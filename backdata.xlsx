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AD0883\AI\영업대쉬보드\"/>
    </mc:Choice>
  </mc:AlternateContent>
  <xr:revisionPtr revIDLastSave="0" documentId="13_ncr:1_{40F6BA8C-C47E-464F-A1A1-2AD27D8650DA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월별목표" sheetId="1" r:id="rId1"/>
    <sheet name="주차별매출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A5" i="2" l="1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C5" i="2"/>
  <c r="B5" i="2"/>
  <c r="L7" i="1" l="1"/>
  <c r="K7" i="1"/>
  <c r="J7" i="1"/>
  <c r="I7" i="1"/>
  <c r="H7" i="1"/>
  <c r="G7" i="1"/>
  <c r="F7" i="1"/>
  <c r="E7" i="1"/>
  <c r="D7" i="1"/>
  <c r="C7" i="1"/>
  <c r="L5" i="1"/>
  <c r="K5" i="1"/>
  <c r="J5" i="1"/>
  <c r="I5" i="1"/>
  <c r="H5" i="1"/>
  <c r="G5" i="1"/>
  <c r="F5" i="1"/>
  <c r="E5" i="1"/>
  <c r="D5" i="1"/>
  <c r="C5" i="1"/>
</calcChain>
</file>

<file path=xl/sharedStrings.xml><?xml version="1.0" encoding="utf-8"?>
<sst xmlns="http://schemas.openxmlformats.org/spreadsheetml/2006/main" count="72" uniqueCount="71">
  <si>
    <t>1월</t>
    <phoneticPr fontId="2" type="noConversion"/>
  </si>
  <si>
    <t>2월</t>
  </si>
  <si>
    <t>3월</t>
  </si>
  <si>
    <t>4월</t>
  </si>
  <si>
    <t>5월</t>
  </si>
  <si>
    <t>6월</t>
  </si>
  <si>
    <t>7월</t>
  </si>
  <si>
    <t>8월</t>
  </si>
  <si>
    <t>9월</t>
  </si>
  <si>
    <t>10월</t>
  </si>
  <si>
    <t>목표</t>
    <phoneticPr fontId="2" type="noConversion"/>
  </si>
  <si>
    <t>실적</t>
    <phoneticPr fontId="2" type="noConversion"/>
  </si>
  <si>
    <t>11월</t>
  </si>
  <si>
    <t>12월</t>
  </si>
  <si>
    <t>달성율</t>
    <phoneticPr fontId="2" type="noConversion"/>
  </si>
  <si>
    <t>전년실적</t>
    <phoneticPr fontId="2" type="noConversion"/>
  </si>
  <si>
    <t>신장율</t>
    <phoneticPr fontId="2" type="noConversion"/>
  </si>
  <si>
    <t>W1</t>
    <phoneticPr fontId="2" type="noConversion"/>
  </si>
  <si>
    <t>W2</t>
  </si>
  <si>
    <t>W3</t>
  </si>
  <si>
    <t>W4</t>
  </si>
  <si>
    <t>W5</t>
  </si>
  <si>
    <t>W6</t>
  </si>
  <si>
    <t>W7</t>
  </si>
  <si>
    <t>W8</t>
  </si>
  <si>
    <t>W9</t>
  </si>
  <si>
    <t>W10</t>
  </si>
  <si>
    <t>W11</t>
  </si>
  <si>
    <t>W12</t>
  </si>
  <si>
    <t>W13</t>
  </si>
  <si>
    <t>W14</t>
  </si>
  <si>
    <t>W15</t>
  </si>
  <si>
    <t>W16</t>
  </si>
  <si>
    <t>W17</t>
  </si>
  <si>
    <t>W18</t>
  </si>
  <si>
    <t>W19</t>
  </si>
  <si>
    <t>W20</t>
  </si>
  <si>
    <t>W21</t>
  </si>
  <si>
    <t>W22</t>
  </si>
  <si>
    <t>W23</t>
  </si>
  <si>
    <t>W24</t>
  </si>
  <si>
    <t>W25</t>
  </si>
  <si>
    <t>W26</t>
  </si>
  <si>
    <t>W27</t>
  </si>
  <si>
    <t>W28</t>
  </si>
  <si>
    <t>W29</t>
  </si>
  <si>
    <t>W30</t>
  </si>
  <si>
    <t>W31</t>
  </si>
  <si>
    <t>W32</t>
  </si>
  <si>
    <t>W33</t>
  </si>
  <si>
    <t>W34</t>
  </si>
  <si>
    <t>W35</t>
  </si>
  <si>
    <t>W36</t>
  </si>
  <si>
    <t>W37</t>
  </si>
  <si>
    <t>W38</t>
  </si>
  <si>
    <t>W39</t>
  </si>
  <si>
    <t>W40</t>
  </si>
  <si>
    <t>W41</t>
  </si>
  <si>
    <t>W42</t>
  </si>
  <si>
    <t>W43</t>
  </si>
  <si>
    <t>W44</t>
  </si>
  <si>
    <t>W45</t>
  </si>
  <si>
    <t>W46</t>
  </si>
  <si>
    <t>W47</t>
  </si>
  <si>
    <t>W48</t>
  </si>
  <si>
    <t>W49</t>
  </si>
  <si>
    <t>W50</t>
  </si>
  <si>
    <t>W51</t>
  </si>
  <si>
    <t>W52</t>
  </si>
  <si>
    <t>2025년</t>
    <phoneticPr fontId="2" type="noConversion"/>
  </si>
  <si>
    <t>2024년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</si>
</sst>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>
      <alignment vertical="center"/>
    </xf>
  </cellStyleXfs>
  <cellXfs count="8">
    <xf numFmtId="0" fontId="0" fillId="0" borderId="0" xfId="0"/>
    <xf numFmtId="0" fontId="0" fillId="0" borderId="1" xfId="0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0" borderId="1" xfId="0" applyBorder="1"/>
    <xf numFmtId="9" fontId="0" fillId="0" borderId="1" xfId="1" applyFont="1" applyBorder="1" applyAlignment="1"/>
    <xf numFmtId="0" fontId="0" fillId="0" borderId="0" xfId="0" applyFill="1" applyBorder="1" applyAlignment="1">
      <alignment horizontal="center" vertical="center"/>
    </xf>
    <xf numFmtId="3" fontId="0" fillId="0" borderId="0" xfId="0" applyNumberFormat="1"/>
    <xf numFmtId="9" fontId="0" fillId="0" borderId="0" xfId="1" applyFont="1" applyAlignment="1"/>
  </cellXfs>
  <cellStyles count="2">
    <cellStyle name="백분율" xfId="1" builtinId="5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N7"/>
  <sheetViews>
    <sheetView workbookViewId="0">
      <selection activeCell="J8" sqref="J8"/>
    </sheetView>
  </sheetViews>
  <sheetFormatPr defaultRowHeight="16.5" x14ac:dyDescent="0.3"/>
  <cols>
    <col min="3" max="13" width="14.125" bestFit="1" customWidth="1"/>
    <col min="14" max="14" width="14" bestFit="1" customWidth="1"/>
  </cols>
  <sheetData>
    <row r="2" spans="2:14" x14ac:dyDescent="0.3">
      <c r="B2" s="1"/>
      <c r="C2" s="1" t="s">
        <v>0</v>
      </c>
      <c r="D2" s="1" t="s">
        <v>1</v>
      </c>
      <c r="E2" s="1" t="s">
        <v>2</v>
      </c>
      <c r="F2" s="1" t="s">
        <v>3</v>
      </c>
      <c r="G2" s="1" t="s">
        <v>4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12</v>
      </c>
      <c r="N2" s="1" t="s">
        <v>13</v>
      </c>
    </row>
    <row r="3" spans="2:14" x14ac:dyDescent="0.3">
      <c r="B3" s="1" t="s">
        <v>10</v>
      </c>
      <c r="C3" s="2">
        <v>23592000000</v>
      </c>
      <c r="D3" s="2">
        <v>24024000000</v>
      </c>
      <c r="E3" s="2">
        <v>30073269300</v>
      </c>
      <c r="F3" s="2">
        <v>31287300000</v>
      </c>
      <c r="G3" s="2">
        <v>30872500000</v>
      </c>
      <c r="H3" s="2">
        <v>26522000000</v>
      </c>
      <c r="I3" s="2">
        <v>22686000000</v>
      </c>
      <c r="J3" s="2">
        <v>23011000000</v>
      </c>
      <c r="K3" s="2">
        <v>24885000000</v>
      </c>
      <c r="L3" s="2">
        <v>29725000000</v>
      </c>
      <c r="M3" s="2">
        <v>33000000000</v>
      </c>
      <c r="N3" s="3"/>
    </row>
    <row r="4" spans="2:14" x14ac:dyDescent="0.3">
      <c r="B4" s="1" t="s">
        <v>11</v>
      </c>
      <c r="C4" s="2">
        <v>26243445951</v>
      </c>
      <c r="D4" s="2">
        <v>25736580043</v>
      </c>
      <c r="E4" s="2">
        <v>33311234589</v>
      </c>
      <c r="F4" s="2">
        <v>31736079152</v>
      </c>
      <c r="G4" s="2">
        <v>31463516247</v>
      </c>
      <c r="H4" s="2">
        <v>23251012935</v>
      </c>
      <c r="I4" s="2">
        <v>21344567149</v>
      </c>
      <c r="J4" s="2">
        <v>21376478426</v>
      </c>
      <c r="K4" s="2">
        <v>24669570889</v>
      </c>
      <c r="L4" s="2">
        <v>31842645617</v>
      </c>
      <c r="M4" s="3"/>
      <c r="N4" s="3"/>
    </row>
    <row r="5" spans="2:14" x14ac:dyDescent="0.3">
      <c r="B5" s="1" t="s">
        <v>14</v>
      </c>
      <c r="C5" s="4">
        <f>C4/C3</f>
        <v>1.1123875021617498</v>
      </c>
      <c r="D5" s="4">
        <f t="shared" ref="D5:L5" si="0">D4/D3</f>
        <v>1.0712862155760905</v>
      </c>
      <c r="E5" s="4">
        <f t="shared" si="0"/>
        <v>1.1076692147002454</v>
      </c>
      <c r="F5" s="4">
        <f t="shared" si="0"/>
        <v>1.0143438120898896</v>
      </c>
      <c r="G5" s="4">
        <f t="shared" si="0"/>
        <v>1.0191437767268605</v>
      </c>
      <c r="H5" s="4">
        <f t="shared" si="0"/>
        <v>0.87666891392051882</v>
      </c>
      <c r="I5" s="4">
        <f t="shared" si="0"/>
        <v>0.94086957370184254</v>
      </c>
      <c r="J5" s="4">
        <f t="shared" si="0"/>
        <v>0.92896781652253269</v>
      </c>
      <c r="K5" s="4">
        <f t="shared" si="0"/>
        <v>0.99134301342174003</v>
      </c>
      <c r="L5" s="4">
        <f t="shared" si="0"/>
        <v>1.0712412318587048</v>
      </c>
      <c r="M5" s="3"/>
      <c r="N5" s="3"/>
    </row>
    <row r="6" spans="2:14" x14ac:dyDescent="0.3">
      <c r="B6" s="5" t="s">
        <v>15</v>
      </c>
      <c r="C6" s="6">
        <v>27898035377</v>
      </c>
      <c r="D6" s="6">
        <v>27944102678</v>
      </c>
      <c r="E6" s="6">
        <v>34923042279</v>
      </c>
      <c r="F6" s="6">
        <v>35310844533</v>
      </c>
      <c r="G6" s="6">
        <v>32118627887</v>
      </c>
      <c r="H6" s="6">
        <v>26639056225</v>
      </c>
      <c r="I6" s="6">
        <v>22092317156</v>
      </c>
      <c r="J6" s="6">
        <v>24012505834</v>
      </c>
      <c r="K6" s="6">
        <v>23946771532</v>
      </c>
      <c r="L6" s="6">
        <v>29702264953</v>
      </c>
      <c r="M6" s="6">
        <v>31007987365</v>
      </c>
      <c r="N6" s="6">
        <v>29174425205</v>
      </c>
    </row>
    <row r="7" spans="2:14" x14ac:dyDescent="0.3">
      <c r="B7" s="5" t="s">
        <v>16</v>
      </c>
      <c r="C7" s="7">
        <f>C4/C6-1</f>
        <v>-5.9308456801373755E-2</v>
      </c>
      <c r="D7" s="7">
        <f t="shared" ref="D7:L7" si="1">D4/D6-1</f>
        <v>-7.8997800016600728E-2</v>
      </c>
      <c r="E7" s="7">
        <f t="shared" si="1"/>
        <v>-4.6153129418773919E-2</v>
      </c>
      <c r="F7" s="7">
        <f t="shared" si="1"/>
        <v>-0.10123704001639433</v>
      </c>
      <c r="G7" s="7">
        <f t="shared" si="1"/>
        <v>-2.0396625979939742E-2</v>
      </c>
      <c r="H7" s="7">
        <f t="shared" si="1"/>
        <v>-0.12718330789888932</v>
      </c>
      <c r="I7" s="7">
        <f t="shared" si="1"/>
        <v>-3.3846608380638799E-2</v>
      </c>
      <c r="J7" s="7">
        <f t="shared" si="1"/>
        <v>-0.10977727298529472</v>
      </c>
      <c r="K7" s="7">
        <f t="shared" si="1"/>
        <v>3.0183582619232263E-2</v>
      </c>
      <c r="L7" s="7">
        <f t="shared" si="1"/>
        <v>7.2061193561732573E-2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8293F-5038-4A8B-8ADC-B11E7F68429B}">
  <dimension ref="A2:BA5"/>
  <sheetViews>
    <sheetView tabSelected="1" workbookViewId="0">
      <selection activeCell="H10" sqref="H10"/>
    </sheetView>
  </sheetViews>
  <sheetFormatPr defaultRowHeight="16.5" x14ac:dyDescent="0.3"/>
  <sheetData>
    <row r="2" spans="1:53" x14ac:dyDescent="0.3">
      <c r="B2" t="s">
        <v>17</v>
      </c>
      <c r="C2" t="s">
        <v>18</v>
      </c>
      <c r="D2" t="s">
        <v>19</v>
      </c>
      <c r="E2" t="s">
        <v>20</v>
      </c>
      <c r="F2" t="s">
        <v>21</v>
      </c>
      <c r="G2" t="s">
        <v>22</v>
      </c>
      <c r="H2" t="s">
        <v>23</v>
      </c>
      <c r="I2" t="s">
        <v>24</v>
      </c>
      <c r="J2" t="s">
        <v>25</v>
      </c>
      <c r="K2" t="s">
        <v>26</v>
      </c>
      <c r="L2" t="s">
        <v>27</v>
      </c>
      <c r="M2" t="s">
        <v>28</v>
      </c>
      <c r="N2" t="s">
        <v>29</v>
      </c>
      <c r="O2" t="s">
        <v>30</v>
      </c>
      <c r="P2" t="s">
        <v>31</v>
      </c>
      <c r="Q2" t="s">
        <v>32</v>
      </c>
      <c r="R2" t="s">
        <v>33</v>
      </c>
      <c r="S2" t="s">
        <v>34</v>
      </c>
      <c r="T2" t="s">
        <v>35</v>
      </c>
      <c r="U2" t="s">
        <v>36</v>
      </c>
      <c r="V2" t="s">
        <v>37</v>
      </c>
      <c r="W2" t="s">
        <v>38</v>
      </c>
      <c r="X2" t="s">
        <v>39</v>
      </c>
      <c r="Y2" t="s">
        <v>40</v>
      </c>
      <c r="Z2" t="s">
        <v>41</v>
      </c>
      <c r="AA2" t="s">
        <v>42</v>
      </c>
      <c r="AB2" t="s">
        <v>43</v>
      </c>
      <c r="AC2" t="s">
        <v>44</v>
      </c>
      <c r="AD2" t="s">
        <v>45</v>
      </c>
      <c r="AE2" t="s">
        <v>46</v>
      </c>
      <c r="AF2" t="s">
        <v>47</v>
      </c>
      <c r="AG2" t="s">
        <v>48</v>
      </c>
      <c r="AH2" t="s">
        <v>49</v>
      </c>
      <c r="AI2" t="s">
        <v>50</v>
      </c>
      <c r="AJ2" t="s">
        <v>51</v>
      </c>
      <c r="AK2" t="s">
        <v>52</v>
      </c>
      <c r="AL2" t="s">
        <v>53</v>
      </c>
      <c r="AM2" t="s">
        <v>54</v>
      </c>
      <c r="AN2" t="s">
        <v>55</v>
      </c>
      <c r="AO2" t="s">
        <v>56</v>
      </c>
      <c r="AP2" t="s">
        <v>57</v>
      </c>
      <c r="AQ2" t="s">
        <v>58</v>
      </c>
      <c r="AR2" t="s">
        <v>59</v>
      </c>
      <c r="AS2" t="s">
        <v>60</v>
      </c>
      <c r="AT2" t="s">
        <v>61</v>
      </c>
      <c r="AU2" t="s">
        <v>62</v>
      </c>
      <c r="AV2" t="s">
        <v>63</v>
      </c>
      <c r="AW2" t="s">
        <v>64</v>
      </c>
      <c r="AX2" t="s">
        <v>65</v>
      </c>
      <c r="AY2" t="s">
        <v>66</v>
      </c>
      <c r="AZ2" t="s">
        <v>67</v>
      </c>
      <c r="BA2" t="s">
        <v>68</v>
      </c>
    </row>
    <row r="3" spans="1:53" x14ac:dyDescent="0.3">
      <c r="A3" t="s">
        <v>69</v>
      </c>
      <c r="B3">
        <v>5507383260</v>
      </c>
      <c r="C3">
        <v>6735869453</v>
      </c>
      <c r="D3">
        <v>8087687278</v>
      </c>
      <c r="E3">
        <v>5429067862</v>
      </c>
      <c r="F3">
        <v>3349406673</v>
      </c>
      <c r="G3">
        <v>7212327421</v>
      </c>
      <c r="H3">
        <v>7034535200</v>
      </c>
      <c r="I3">
        <v>6392724993</v>
      </c>
      <c r="J3">
        <v>6637314434</v>
      </c>
      <c r="K3">
        <v>6308533834</v>
      </c>
      <c r="L3">
        <v>8913999514</v>
      </c>
      <c r="M3">
        <v>7547176279</v>
      </c>
      <c r="N3">
        <v>7142393252</v>
      </c>
      <c r="O3">
        <v>7862710956</v>
      </c>
      <c r="P3">
        <v>7226930265</v>
      </c>
      <c r="Q3">
        <v>7498457111</v>
      </c>
      <c r="R3">
        <v>7187990062</v>
      </c>
      <c r="S3">
        <v>6404642844</v>
      </c>
      <c r="T3">
        <v>6653244800</v>
      </c>
      <c r="U3">
        <v>7991889056</v>
      </c>
      <c r="V3">
        <v>7410377116</v>
      </c>
      <c r="W3">
        <v>6452375781</v>
      </c>
      <c r="X3">
        <v>4913767118</v>
      </c>
      <c r="Y3">
        <v>5610907464</v>
      </c>
      <c r="Z3">
        <v>5333590579</v>
      </c>
      <c r="AA3">
        <v>5935438666</v>
      </c>
      <c r="AB3">
        <v>4608917690</v>
      </c>
      <c r="AC3">
        <v>4360852534</v>
      </c>
      <c r="AD3">
        <v>4716083606</v>
      </c>
      <c r="AE3">
        <v>5357712754</v>
      </c>
      <c r="AF3">
        <v>4908862453</v>
      </c>
      <c r="AG3">
        <v>4168950596</v>
      </c>
      <c r="AH3">
        <v>5249457646</v>
      </c>
      <c r="AI3">
        <v>5931167481</v>
      </c>
      <c r="AJ3">
        <v>4160969677</v>
      </c>
      <c r="AK3">
        <v>5674585261</v>
      </c>
      <c r="AL3">
        <v>5577868943</v>
      </c>
      <c r="AM3">
        <v>6442631332</v>
      </c>
      <c r="AN3">
        <v>6018996746</v>
      </c>
      <c r="AO3">
        <v>4902802737</v>
      </c>
      <c r="AP3">
        <v>5504750697</v>
      </c>
      <c r="AQ3">
        <v>7019481482</v>
      </c>
      <c r="AR3">
        <v>9119198422</v>
      </c>
      <c r="AS3">
        <v>9332272679</v>
      </c>
      <c r="AT3">
        <v>7723441468</v>
      </c>
      <c r="AU3">
        <v>7283929073</v>
      </c>
    </row>
    <row r="4" spans="1:53" x14ac:dyDescent="0.3">
      <c r="A4" t="s">
        <v>70</v>
      </c>
      <c r="B4">
        <v>5780336010</v>
      </c>
      <c r="C4">
        <v>6489781388</v>
      </c>
      <c r="D4">
        <v>6907612123</v>
      </c>
      <c r="E4">
        <v>6623446926</v>
      </c>
      <c r="F4">
        <v>7024678577</v>
      </c>
      <c r="G4">
        <v>4253482825</v>
      </c>
      <c r="H4">
        <v>6693392395</v>
      </c>
      <c r="I4">
        <v>9065020428</v>
      </c>
      <c r="J4">
        <v>6275314150</v>
      </c>
      <c r="K4">
        <v>8293264865</v>
      </c>
      <c r="L4">
        <v>8291195756</v>
      </c>
      <c r="M4">
        <v>8399402332</v>
      </c>
      <c r="N4">
        <v>6668252559</v>
      </c>
      <c r="O4">
        <v>8395937017</v>
      </c>
      <c r="P4">
        <v>9164741397</v>
      </c>
      <c r="Q4">
        <v>8035521949</v>
      </c>
      <c r="R4">
        <v>7744870678</v>
      </c>
      <c r="S4">
        <v>6948928726</v>
      </c>
      <c r="T4">
        <v>7993827333</v>
      </c>
      <c r="U4">
        <v>7936196894</v>
      </c>
      <c r="V4">
        <v>6856851824</v>
      </c>
      <c r="W4">
        <v>6298784782</v>
      </c>
      <c r="X4">
        <v>6504421604</v>
      </c>
      <c r="Y4">
        <v>6489369693</v>
      </c>
      <c r="Z4">
        <v>5755701813</v>
      </c>
      <c r="AA4">
        <v>5943374935</v>
      </c>
      <c r="AB4">
        <v>5042096386</v>
      </c>
      <c r="AC4">
        <v>5736531041</v>
      </c>
      <c r="AD4">
        <v>5097325428</v>
      </c>
      <c r="AE4">
        <v>4330959083</v>
      </c>
      <c r="AF4">
        <v>5020402041</v>
      </c>
      <c r="AG4">
        <v>5206289985</v>
      </c>
      <c r="AH4">
        <v>5900000574</v>
      </c>
      <c r="AI4">
        <v>5674473447</v>
      </c>
      <c r="AJ4">
        <v>4799255686</v>
      </c>
      <c r="AK4">
        <v>5553657649</v>
      </c>
      <c r="AL4">
        <v>5795879593</v>
      </c>
      <c r="AM4">
        <v>4740041166</v>
      </c>
      <c r="AN4">
        <v>6464609315</v>
      </c>
      <c r="AO4">
        <v>6248154672</v>
      </c>
      <c r="AP4">
        <v>7240709353</v>
      </c>
      <c r="AQ4">
        <v>7567955187</v>
      </c>
      <c r="AR4">
        <v>6461084021</v>
      </c>
      <c r="AS4">
        <v>5802662304</v>
      </c>
      <c r="AT4">
        <v>7740086118</v>
      </c>
      <c r="AU4">
        <v>6993007565</v>
      </c>
      <c r="AV4">
        <v>7212765468</v>
      </c>
      <c r="AW4">
        <v>7166784270</v>
      </c>
      <c r="AX4">
        <v>6665671049</v>
      </c>
      <c r="AY4">
        <v>6905742744</v>
      </c>
      <c r="AZ4">
        <v>6112337877</v>
      </c>
      <c r="BA4">
        <v>6676988807</v>
      </c>
    </row>
    <row r="5" spans="1:53" x14ac:dyDescent="0.3">
      <c r="A5" t="s">
        <v>16</v>
      </c>
      <c r="B5" s="7">
        <f>B3/B4-1</f>
        <v>-4.7220914065858932E-2</v>
      </c>
      <c r="C5" s="7">
        <f t="shared" ref="C5:BA5" si="0">C3/C4-1</f>
        <v>3.7919315041186508E-2</v>
      </c>
      <c r="D5" s="7">
        <f t="shared" si="0"/>
        <v>0.17083691643176535</v>
      </c>
      <c r="E5" s="7">
        <f t="shared" si="0"/>
        <v>-0.18032590543022642</v>
      </c>
      <c r="F5" s="7">
        <f t="shared" si="0"/>
        <v>-0.52319431611198119</v>
      </c>
      <c r="G5" s="7">
        <f t="shared" si="0"/>
        <v>0.695628668960242</v>
      </c>
      <c r="H5" s="7">
        <f t="shared" si="0"/>
        <v>5.0967100816446287E-2</v>
      </c>
      <c r="I5" s="7">
        <f t="shared" si="0"/>
        <v>-0.29479199260774136</v>
      </c>
      <c r="J5" s="7">
        <f t="shared" si="0"/>
        <v>5.7686400289617357E-2</v>
      </c>
      <c r="K5" s="7">
        <f t="shared" si="0"/>
        <v>-0.23931841841638801</v>
      </c>
      <c r="L5" s="7">
        <f t="shared" si="0"/>
        <v>7.5116277112297292E-2</v>
      </c>
      <c r="M5" s="7">
        <f t="shared" si="0"/>
        <v>-0.10146270166785476</v>
      </c>
      <c r="N5" s="7">
        <f t="shared" si="0"/>
        <v>7.1104189411671515E-2</v>
      </c>
      <c r="O5" s="7">
        <f t="shared" si="0"/>
        <v>-6.3510012035622676E-2</v>
      </c>
      <c r="P5" s="7">
        <f t="shared" si="0"/>
        <v>-0.21144198707388795</v>
      </c>
      <c r="Q5" s="7">
        <f t="shared" si="0"/>
        <v>-6.6836335138980796E-2</v>
      </c>
      <c r="R5" s="7">
        <f t="shared" si="0"/>
        <v>-7.1903152312390306E-2</v>
      </c>
      <c r="S5" s="7">
        <f t="shared" si="0"/>
        <v>-7.8326588667330665E-2</v>
      </c>
      <c r="T5" s="7">
        <f t="shared" si="0"/>
        <v>-0.1677022128643969</v>
      </c>
      <c r="U5" s="7">
        <f t="shared" si="0"/>
        <v>7.0174874368482687E-3</v>
      </c>
      <c r="V5" s="7">
        <f t="shared" si="0"/>
        <v>8.0725864610721176E-2</v>
      </c>
      <c r="W5" s="7">
        <f t="shared" si="0"/>
        <v>2.4384227166947436E-2</v>
      </c>
      <c r="X5" s="7">
        <f t="shared" si="0"/>
        <v>-0.2445497206118683</v>
      </c>
      <c r="Y5" s="7">
        <f t="shared" si="0"/>
        <v>-0.13536942269564112</v>
      </c>
      <c r="Z5" s="7">
        <f t="shared" si="0"/>
        <v>-7.3337926062571057E-2</v>
      </c>
      <c r="AA5" s="7">
        <f t="shared" si="0"/>
        <v>-1.335313535961502E-3</v>
      </c>
      <c r="AB5" s="7">
        <f t="shared" si="0"/>
        <v>-8.5912418731774687E-2</v>
      </c>
      <c r="AC5" s="7">
        <f t="shared" si="0"/>
        <v>-0.23981017398281002</v>
      </c>
      <c r="AD5" s="7">
        <f t="shared" si="0"/>
        <v>-7.4792521565487879E-2</v>
      </c>
      <c r="AE5" s="7">
        <f t="shared" si="0"/>
        <v>0.23707304809926333</v>
      </c>
      <c r="AF5" s="7">
        <f t="shared" si="0"/>
        <v>-2.2217262101539292E-2</v>
      </c>
      <c r="AG5" s="7">
        <f t="shared" si="0"/>
        <v>-0.1992473319751128</v>
      </c>
      <c r="AH5" s="7">
        <f t="shared" si="0"/>
        <v>-0.11026150249320299</v>
      </c>
      <c r="AI5" s="7">
        <f t="shared" si="0"/>
        <v>4.5236626164091076E-2</v>
      </c>
      <c r="AJ5" s="7">
        <f t="shared" si="0"/>
        <v>-0.13299687509085134</v>
      </c>
      <c r="AK5" s="7">
        <f t="shared" si="0"/>
        <v>2.1774408802777812E-2</v>
      </c>
      <c r="AL5" s="7">
        <f t="shared" si="0"/>
        <v>-3.7614765196865574E-2</v>
      </c>
      <c r="AM5" s="7">
        <f t="shared" si="0"/>
        <v>0.35919311802871379</v>
      </c>
      <c r="AN5" s="7">
        <f t="shared" si="0"/>
        <v>-6.8931090385622173E-2</v>
      </c>
      <c r="AO5" s="7">
        <f t="shared" si="0"/>
        <v>-0.21531988332954632</v>
      </c>
      <c r="AP5" s="7">
        <f t="shared" si="0"/>
        <v>-0.23974980507686727</v>
      </c>
      <c r="AQ5" s="7">
        <f t="shared" si="0"/>
        <v>-7.2473170288078759E-2</v>
      </c>
      <c r="AR5" s="7">
        <f t="shared" si="0"/>
        <v>0.41140378183606963</v>
      </c>
      <c r="AS5" s="7">
        <f t="shared" si="0"/>
        <v>0.60827430411845662</v>
      </c>
      <c r="AT5" s="7">
        <f t="shared" si="0"/>
        <v>-2.1504476495800562E-3</v>
      </c>
      <c r="AU5" s="7">
        <f t="shared" si="0"/>
        <v>4.1601772241182999E-2</v>
      </c>
      <c r="AV5" s="7">
        <f t="shared" si="0"/>
        <v>-1</v>
      </c>
      <c r="AW5" s="7">
        <f t="shared" si="0"/>
        <v>-1</v>
      </c>
      <c r="AX5" s="7">
        <f t="shared" si="0"/>
        <v>-1</v>
      </c>
      <c r="AY5" s="7">
        <f t="shared" si="0"/>
        <v>-1</v>
      </c>
      <c r="AZ5" s="7">
        <f t="shared" si="0"/>
        <v>-1</v>
      </c>
      <c r="BA5" s="7">
        <f t="shared" si="0"/>
        <v>-1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월별목표</vt:lpstr>
      <vt:lpstr>주차별매출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AD0883</dc:creator>
  <cp:lastModifiedBy>murphy(윤진영) F/KR/ML/MD/SS/PC/DS</cp:lastModifiedBy>
  <dcterms:created xsi:type="dcterms:W3CDTF">2015-06-05T18:19:34Z</dcterms:created>
  <dcterms:modified xsi:type="dcterms:W3CDTF">2025-11-19T02:49:31Z</dcterms:modified>
</cp:coreProperties>
</file>