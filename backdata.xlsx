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0883\AI\영업대쉬보드\"/>
    </mc:Choice>
  </mc:AlternateContent>
  <xr:revisionPtr revIDLastSave="0" documentId="13_ncr:1_{C0D8AD6F-EE50-4AAB-A698-29E87D77D1C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월별목표" sheetId="1" r:id="rId1"/>
    <sheet name="주차별매출" sheetId="2" r:id="rId2"/>
    <sheet name="상권구분" sheetId="3" r:id="rId3"/>
    <sheet name="11월실적" sheetId="4" r:id="rId4"/>
    <sheet name="주간회의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5" l="1"/>
  <c r="T21" i="5"/>
  <c r="T20" i="5"/>
  <c r="T19" i="5"/>
  <c r="T18" i="5"/>
  <c r="T16" i="5"/>
  <c r="T14" i="5"/>
  <c r="T4" i="5"/>
  <c r="M4" i="5"/>
  <c r="L4" i="5"/>
  <c r="M13" i="5"/>
  <c r="L13" i="5"/>
  <c r="M21" i="5"/>
  <c r="L21" i="5"/>
  <c r="M20" i="5"/>
  <c r="L20" i="5"/>
  <c r="M19" i="5"/>
  <c r="L19" i="5"/>
  <c r="M18" i="5"/>
  <c r="L18" i="5"/>
  <c r="M16" i="5"/>
  <c r="L16" i="5"/>
  <c r="M14" i="5"/>
  <c r="L14" i="5"/>
  <c r="F13" i="5"/>
  <c r="E13" i="5"/>
  <c r="F21" i="5"/>
  <c r="E21" i="5"/>
  <c r="F20" i="5"/>
  <c r="E20" i="5"/>
  <c r="F19" i="5"/>
  <c r="E19" i="5"/>
  <c r="F18" i="5"/>
  <c r="E18" i="5"/>
  <c r="F16" i="5"/>
  <c r="F14" i="5"/>
  <c r="E14" i="5"/>
  <c r="T8" i="5"/>
  <c r="T7" i="5"/>
  <c r="T5" i="5"/>
  <c r="M8" i="5"/>
  <c r="L8" i="5"/>
  <c r="M7" i="5"/>
  <c r="L7" i="5"/>
  <c r="M5" i="5"/>
  <c r="L5" i="5"/>
  <c r="F8" i="5"/>
  <c r="E8" i="5"/>
  <c r="F7" i="5"/>
  <c r="E7" i="5"/>
  <c r="F4" i="5"/>
  <c r="E4" i="5"/>
  <c r="F5" i="5"/>
  <c r="E5" i="5"/>
  <c r="BA5" i="2" l="1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L7" i="1" l="1"/>
  <c r="K7" i="1"/>
  <c r="J7" i="1"/>
  <c r="I7" i="1"/>
  <c r="H7" i="1"/>
  <c r="G7" i="1"/>
  <c r="F7" i="1"/>
  <c r="E7" i="1"/>
  <c r="D7" i="1"/>
  <c r="C7" i="1"/>
  <c r="L5" i="1"/>
  <c r="K5" i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<sst xmlns="http://schemas.openxmlformats.org/spreadsheetml/2006/main" count="1033" uniqueCount="361">
  <si>
    <t>1월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</si>
  <si>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</si>
  <si>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</si>
  <si>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</si>
  <si>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</si>
  <si>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</si>
  <si>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</si>
  <si>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</si>
  <si>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</si>
  <si>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</si>
  <si>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목표</t>
    <phoneticPr fontId="2" type="noConversion"/>
  </si>
  <si>
    <t>실적</t>
    <phoneticPr fontId="2" type="noConversion"/>
  </si>
  <si>
    <t>11월</t>
  </si>
  <si>
    <t>12월</t>
  </si>
  <si>
    <t>달성율</t>
    <phoneticPr fontId="2" type="noConversion"/>
  </si>
  <si>
    <t>전년실적</t>
    <phoneticPr fontId="2" type="noConversion"/>
  </si>
  <si>
    <t>신장율</t>
    <phoneticPr fontId="2" type="noConversion"/>
  </si>
  <si>
    <t>W1</t>
    <phoneticPr fontId="2" type="noConversion"/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</si>
  <si>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</si>
  <si>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</si>
  <si>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</si>
  <si>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</si>
  <si>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</si>
  <si>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</si>
  <si>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</si>
  <si>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</si>
  <si>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</si>
  <si>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</si>
  <si>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</si>
  <si>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</si>
  <si>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</si>
  <si>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</si>
  <si>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</si>
  <si>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</si>
  <si>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</si>
  <si>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</si>
  <si>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</si>
  <si>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</si>
  <si>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</si>
  <si>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</si>
  <si>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</si>
  <si>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</si>
  <si>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</si>
  <si>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</si>
  <si>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</si>
  <si>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</si>
  <si>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</si>
  <si>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</si>
  <si>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</si>
  <si>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</si>
  <si>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</si>
  <si>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</si>
  <si>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</si>
  <si>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</si>
  <si>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</si>
  <si>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</si>
  <si>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</si>
  <si>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</si>
  <si>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</si>
  <si>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</si>
  <si>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</si>
  <si>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</si>
  <si>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</si>
  <si>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</si>
  <si>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</si>
  <si>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</si>
  <si>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</si>
  <si>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</si>
  <si>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</si>
  <si>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2025년</t>
    <phoneticPr fontId="2" type="noConversion"/>
  </si>
  <si>
    <t>2024년</t>
    <phoneticPr fontId="2" type="noConversion"/>
  </si>
  <si>
    <t>매장명</t>
    <phoneticPr fontId="3" type="noConversion"/>
  </si>
  <si>
    <t>두타(대-위)</t>
  </si>
  <si>
    <t>부산광복(대-위)</t>
  </si>
  <si>
    <t>신제주(대-위)</t>
  </si>
  <si>
    <t>강릉(대-위)</t>
  </si>
  <si>
    <t>거제(대-위)</t>
  </si>
  <si>
    <t>경기광주(대-위)</t>
  </si>
  <si>
    <t>경산(대-위)</t>
  </si>
  <si>
    <t>광명(대-위)</t>
  </si>
  <si>
    <t>광주용봉(대-위)</t>
  </si>
  <si>
    <t>구미(대-위)</t>
  </si>
  <si>
    <t>구미인동(대-위)</t>
  </si>
  <si>
    <t>김포장기(대-위)</t>
  </si>
  <si>
    <t>나주(대-위)</t>
  </si>
  <si>
    <t>남양주삼패(대-위)</t>
  </si>
  <si>
    <t>남원(대-위)</t>
  </si>
  <si>
    <t>당진(대-위)</t>
  </si>
  <si>
    <t>대구성서(대-위)</t>
  </si>
  <si>
    <t>대구칠곡(대-위)</t>
  </si>
  <si>
    <t>대전은행(대-위)</t>
  </si>
  <si>
    <t>동해(대-위)</t>
  </si>
  <si>
    <t>마산합성(대-위)</t>
  </si>
  <si>
    <t>목포하당(대-위)</t>
  </si>
  <si>
    <t>보령(대-위)</t>
  </si>
  <si>
    <t>부천(대-위)</t>
  </si>
  <si>
    <t>상주(대-위)</t>
  </si>
  <si>
    <t>서귀포(대-위)</t>
  </si>
  <si>
    <t>서산(대-위)</t>
  </si>
  <si>
    <t>성남신흥(대-위)</t>
  </si>
  <si>
    <t>세정광주(대-위)</t>
  </si>
  <si>
    <t>속초(대-위)</t>
  </si>
  <si>
    <t>순천연향(대-위)</t>
  </si>
  <si>
    <t>스퀘어원인천(대-위)</t>
  </si>
  <si>
    <t>시흥(대-위)</t>
  </si>
  <si>
    <t>아산(대-위)</t>
  </si>
  <si>
    <t>아이즈빌부평(대-위)</t>
  </si>
  <si>
    <t>안동(대-위)</t>
  </si>
  <si>
    <t>안산시화(대-위)</t>
  </si>
  <si>
    <t>안산중앙(대-위)</t>
  </si>
  <si>
    <t>안산한대(대-위)</t>
  </si>
  <si>
    <t>안성(대-위)</t>
  </si>
  <si>
    <t>여수(대-위)</t>
  </si>
  <si>
    <t>여천(대-위)</t>
  </si>
  <si>
    <t>영주(대-위)</t>
  </si>
  <si>
    <t>오산(대-위)</t>
  </si>
  <si>
    <t>울산무거(대-위)</t>
  </si>
  <si>
    <t>원주(대-위)</t>
  </si>
  <si>
    <t>익산(대-위)</t>
  </si>
  <si>
    <t>인천(대-위)</t>
  </si>
  <si>
    <t>일산덕이(대-위)</t>
  </si>
  <si>
    <t>전주송천(대-위)</t>
  </si>
  <si>
    <t>전주중앙(대-위)</t>
  </si>
  <si>
    <t>정읍(대-위)</t>
  </si>
  <si>
    <t>제주(대-위)</t>
  </si>
  <si>
    <t>제천(대-위)</t>
  </si>
  <si>
    <t>천안쌍용(대-위)</t>
  </si>
  <si>
    <t>청주(대-위)</t>
  </si>
  <si>
    <t>춘천(대-위)</t>
  </si>
  <si>
    <t>충주(대-위)</t>
  </si>
  <si>
    <t>통영(대-위)</t>
  </si>
  <si>
    <t>퍼스트빌리지(대-위)</t>
  </si>
  <si>
    <t>포천(대-위)</t>
  </si>
  <si>
    <t>포항(대-위)</t>
  </si>
  <si>
    <t>해남(대-위)</t>
  </si>
  <si>
    <t>홍성(대-위)</t>
  </si>
  <si>
    <t>화성봉담(대-위)</t>
  </si>
  <si>
    <t>롯데면세소공</t>
  </si>
  <si>
    <t>롯데면세월드</t>
  </si>
  <si>
    <t>롯데면세제주</t>
  </si>
  <si>
    <t>신라면세용산</t>
  </si>
  <si>
    <t>신라면세장충</t>
  </si>
  <si>
    <t>신라면세제주</t>
  </si>
  <si>
    <t>신세계면세명동</t>
  </si>
  <si>
    <t>현대면세동대문</t>
  </si>
  <si>
    <t>현대면세무역</t>
  </si>
  <si>
    <t>롯데본점</t>
  </si>
  <si>
    <t>신세계본점</t>
  </si>
  <si>
    <t>AK분당</t>
  </si>
  <si>
    <t>AK수원</t>
  </si>
  <si>
    <t>AK원주</t>
  </si>
  <si>
    <t>AK평택</t>
  </si>
  <si>
    <t>NC신구로</t>
  </si>
  <si>
    <t>갤러리아광교</t>
  </si>
  <si>
    <t>갤러리아대전</t>
  </si>
  <si>
    <t>갤러리아센터시티</t>
  </si>
  <si>
    <t>갤러리아진주</t>
  </si>
  <si>
    <t>더현대서울</t>
  </si>
  <si>
    <t>롯데강남</t>
  </si>
  <si>
    <t>롯데건대</t>
  </si>
  <si>
    <t>롯데광복</t>
  </si>
  <si>
    <t>롯데광주</t>
  </si>
  <si>
    <t>롯데구리</t>
  </si>
  <si>
    <t>롯데김포</t>
  </si>
  <si>
    <t>롯데노원</t>
  </si>
  <si>
    <t>롯데대구</t>
  </si>
  <si>
    <t>롯데대전</t>
  </si>
  <si>
    <t>롯데동래</t>
  </si>
  <si>
    <t>롯데동탄</t>
  </si>
  <si>
    <t>롯데미아</t>
  </si>
  <si>
    <t>롯데부산</t>
  </si>
  <si>
    <t>롯데분당</t>
  </si>
  <si>
    <t>롯데상인</t>
  </si>
  <si>
    <t>롯데수원</t>
  </si>
  <si>
    <t>롯데안산</t>
  </si>
  <si>
    <t>롯데영등포</t>
  </si>
  <si>
    <t>롯데울산</t>
  </si>
  <si>
    <t>롯데인천</t>
  </si>
  <si>
    <t>롯데일산</t>
  </si>
  <si>
    <t>롯데잠실</t>
  </si>
  <si>
    <t>롯데전주</t>
  </si>
  <si>
    <t>롯데중동</t>
  </si>
  <si>
    <t>롯데창원</t>
  </si>
  <si>
    <t>롯데청량리</t>
  </si>
  <si>
    <t>롯데평촌</t>
  </si>
  <si>
    <t>롯데포항</t>
  </si>
  <si>
    <t>모다아울렛대전</t>
  </si>
  <si>
    <t>모다아울렛천안</t>
  </si>
  <si>
    <t>신세계강남</t>
  </si>
  <si>
    <t>신세계경기</t>
  </si>
  <si>
    <t>신세계광주</t>
  </si>
  <si>
    <t>신세계김해</t>
  </si>
  <si>
    <t>신세계대구</t>
  </si>
  <si>
    <t>신세계대전</t>
  </si>
  <si>
    <t>신세계마산</t>
  </si>
  <si>
    <t>신세계센텀</t>
  </si>
  <si>
    <t>신세계영등포</t>
  </si>
  <si>
    <t>신세계의정부</t>
  </si>
  <si>
    <t>신세계천안아산</t>
  </si>
  <si>
    <t>신세계하남</t>
  </si>
  <si>
    <t>아이파크용산</t>
  </si>
  <si>
    <t>에버세이브청주</t>
  </si>
  <si>
    <t>엔터식스안양</t>
  </si>
  <si>
    <t>엔터식스왕십리</t>
  </si>
  <si>
    <t>현대대구</t>
  </si>
  <si>
    <t>현대디큐브시티</t>
  </si>
  <si>
    <t>현대목동</t>
  </si>
  <si>
    <t>현대미아</t>
  </si>
  <si>
    <t>현대신촌</t>
  </si>
  <si>
    <t>현대울산</t>
  </si>
  <si>
    <t>현대울산동구</t>
  </si>
  <si>
    <t>현대중동</t>
  </si>
  <si>
    <t>현대천호</t>
  </si>
  <si>
    <t>현대충청</t>
  </si>
  <si>
    <t>현대킨텍스</t>
  </si>
  <si>
    <t>현대판교</t>
  </si>
  <si>
    <t>LF스퀘어광양(상-위)</t>
  </si>
  <si>
    <t>LF스퀘어양주(상-위)</t>
  </si>
  <si>
    <t>NC강서(상-위)</t>
  </si>
  <si>
    <t>NC송파(상-위)</t>
  </si>
  <si>
    <t>롯데아울렛군산(상-위)</t>
  </si>
  <si>
    <t>롯데아울렛기흥(상-위)</t>
  </si>
  <si>
    <t>롯데아울렛김해(상-위)</t>
  </si>
  <si>
    <t>롯데아울렛동부산(상-위)</t>
  </si>
  <si>
    <t>롯데아울렛봉무(상-위)</t>
  </si>
  <si>
    <t>롯데아울렛부여(상-위)</t>
  </si>
  <si>
    <t>롯데아울렛수완(상-위)</t>
  </si>
  <si>
    <t>롯데아울렛율하(상-위)</t>
  </si>
  <si>
    <t>롯데아울렛이천(상-위)</t>
  </si>
  <si>
    <t>롯데아울렛진주(상-위)</t>
  </si>
  <si>
    <t>롯데아울렛청주(상-위)</t>
  </si>
  <si>
    <t>롯데아울렛파주(상-위)</t>
  </si>
  <si>
    <t>마리오(상-위)</t>
  </si>
  <si>
    <t>모다경주(상-위)</t>
  </si>
  <si>
    <t>신세계아울렛기장(상-위)</t>
  </si>
  <si>
    <t>신세계아울렛시흥(상-위)</t>
  </si>
  <si>
    <t>신세계아울렛여주(상-위)</t>
  </si>
  <si>
    <t>신세계아울렛파주(상-위)</t>
  </si>
  <si>
    <t>콜렉티드(상-위)</t>
  </si>
  <si>
    <t>현대아울렛가든5(상-위)</t>
  </si>
  <si>
    <t>현대아울렛가산(상-위)</t>
  </si>
  <si>
    <t>현대아울렛대구(상-위)</t>
  </si>
  <si>
    <t>현대아울렛대전(상-위)</t>
  </si>
  <si>
    <t>현대아울렛동대문(상-위)</t>
  </si>
  <si>
    <t>29CM(제휴몰)</t>
  </si>
  <si>
    <t>CJ온스타일(제휴몰)</t>
  </si>
  <si>
    <t>GS SHOP(제휴몰)</t>
  </si>
  <si>
    <t>MLB 글로벌</t>
  </si>
  <si>
    <t>SSF샵(제휴몰)</t>
  </si>
  <si>
    <t>SSG닷컴(제휴몰)</t>
  </si>
  <si>
    <t>네이버스토어(제휴몰)</t>
  </si>
  <si>
    <t>롯데ON(제휴몰)</t>
  </si>
  <si>
    <t>무신사(제휴몰)</t>
  </si>
  <si>
    <t>유니버스티켓(제휴몰)</t>
  </si>
  <si>
    <t>카카오선물하기(제휴몰)</t>
  </si>
  <si>
    <t>온라인완주</t>
  </si>
  <si>
    <t>가로수길(직)</t>
  </si>
  <si>
    <t>명동중앙(직)</t>
  </si>
  <si>
    <t>한남(직)</t>
  </si>
  <si>
    <t>홍대(직)</t>
  </si>
  <si>
    <t>롯데아울렛의왕(직)</t>
  </si>
  <si>
    <t>스타필드수원(직)</t>
  </si>
  <si>
    <t>스타필드안성(직)</t>
  </si>
  <si>
    <t>스타필드하남(직)</t>
  </si>
  <si>
    <t>역삼(직)</t>
  </si>
  <si>
    <t>타임스퀘어영등포(직)</t>
  </si>
  <si>
    <t>타임스트림신림(직)</t>
  </si>
  <si>
    <t>타임테라스동탄(직)</t>
  </si>
  <si>
    <t>트리플스트리트(직)</t>
  </si>
  <si>
    <t>RF</t>
  </si>
  <si>
    <t>국내</t>
  </si>
  <si>
    <t>면세</t>
  </si>
  <si>
    <t>성수(직)</t>
  </si>
  <si>
    <t>롯데수원</t>
    <phoneticPr fontId="3" type="noConversion"/>
  </si>
  <si>
    <t>티몰글로벌</t>
  </si>
  <si>
    <t>대백프라자</t>
  </si>
  <si>
    <t>수원영통(대-위)</t>
  </si>
  <si>
    <t>스타필드고양</t>
  </si>
  <si>
    <t>군산수송(대-위)</t>
  </si>
  <si>
    <t>현대부산</t>
  </si>
  <si>
    <t>스타일쉐어(제휴몰)</t>
  </si>
  <si>
    <t>W몰구로(대-위)</t>
  </si>
  <si>
    <t>롯데면세코엑스</t>
  </si>
  <si>
    <t>대전장대(대-위)</t>
  </si>
  <si>
    <t>디큐브거제</t>
  </si>
  <si>
    <t>롯데마산</t>
  </si>
  <si>
    <t>동화면세</t>
  </si>
  <si>
    <t>W컨셉(제휴몰)</t>
  </si>
  <si>
    <t>평택베스트원몰(대-위)</t>
  </si>
  <si>
    <t>부평(대-위)</t>
  </si>
  <si>
    <t>광주첨단(대-위)</t>
  </si>
  <si>
    <t>EC-온라인물류</t>
  </si>
  <si>
    <t>현대아울렛남양주(상-위)</t>
  </si>
  <si>
    <t>광주용봉(대-위)</t>
    <phoneticPr fontId="3" type="noConversion"/>
  </si>
  <si>
    <t>현대아울렛김포(상-위)</t>
  </si>
  <si>
    <t>강남사옥(직)</t>
  </si>
  <si>
    <t>현대디큐브시티</t>
    <phoneticPr fontId="3" type="noConversion"/>
  </si>
  <si>
    <t>롯데아울렛율하(상-위)</t>
    <phoneticPr fontId="3" type="noConversion"/>
  </si>
  <si>
    <t>MLB 쇼피파이 글로벌</t>
  </si>
  <si>
    <t>현대면세동대문</t>
    <phoneticPr fontId="3" type="noConversion"/>
  </si>
  <si>
    <t>AK분당</t>
    <phoneticPr fontId="3" type="noConversion"/>
  </si>
  <si>
    <t>현대목동</t>
    <phoneticPr fontId="3" type="noConversion"/>
  </si>
  <si>
    <t>롯데아울렛파주(상-위)</t>
    <phoneticPr fontId="3" type="noConversion"/>
  </si>
  <si>
    <t>천안쌍용(대-위)</t>
    <phoneticPr fontId="3" type="noConversion"/>
  </si>
  <si>
    <t>롯데아울렛군산(상-위)</t>
    <phoneticPr fontId="3" type="noConversion"/>
  </si>
  <si>
    <t>상권별</t>
    <phoneticPr fontId="3" type="noConversion"/>
  </si>
  <si>
    <t>도매</t>
    <phoneticPr fontId="3" type="noConversion"/>
  </si>
  <si>
    <t>국내</t>
    <phoneticPr fontId="3" type="noConversion"/>
  </si>
  <si>
    <t>면세+도매</t>
  </si>
  <si>
    <t>RF</t>
    <phoneticPr fontId="3" type="noConversion"/>
  </si>
  <si>
    <t>매장명</t>
  </si>
  <si>
    <t>모다아울렛대전close</t>
  </si>
  <si>
    <t>온라인쇼핑몰(직)</t>
  </si>
  <si>
    <t>충장로(직)</t>
  </si>
  <si>
    <t>동성로(직)</t>
  </si>
  <si>
    <t>25년 11월</t>
    <phoneticPr fontId="2" type="noConversion"/>
  </si>
  <si>
    <t>24년 11월</t>
    <phoneticPr fontId="2" type="noConversion"/>
  </si>
  <si>
    <t>현대면세동대문close</t>
  </si>
  <si>
    <t>현대목동close</t>
  </si>
  <si>
    <t>현대디큐브시티close</t>
  </si>
  <si>
    <t>AK분당close</t>
  </si>
  <si>
    <t>NC신구로close</t>
  </si>
  <si>
    <t>스타필드고양(직)close</t>
  </si>
  <si>
    <t>트리플스트리트(직)close</t>
  </si>
  <si>
    <t>남양주삼패(대-위)close</t>
  </si>
  <si>
    <t>두타(대-위)close</t>
  </si>
  <si>
    <t>부평(대-위)close</t>
  </si>
  <si>
    <t>광주용봉(대-위)close</t>
  </si>
  <si>
    <t>일산덕이(대-위)close</t>
  </si>
  <si>
    <t>천안쌍용(대-위)close</t>
  </si>
  <si>
    <t>군산수송(대-위)close</t>
  </si>
  <si>
    <t>롯데아울렛파주(상-위)close</t>
  </si>
  <si>
    <t>현대아울렛대전(상-위)close</t>
  </si>
  <si>
    <t>롯데아울렛율하(상-위)close</t>
  </si>
  <si>
    <t>롯데아울렛군산(상-위)close</t>
  </si>
  <si>
    <t>현대아울렛대구(상-위)close</t>
  </si>
  <si>
    <t>온라인쇼핑몰(직)</t>
    <phoneticPr fontId="2" type="noConversion"/>
  </si>
  <si>
    <t>충장로(직)</t>
    <phoneticPr fontId="2" type="noConversion"/>
  </si>
  <si>
    <t>동성로(직)</t>
    <phoneticPr fontId="2" type="noConversion"/>
  </si>
  <si>
    <t>모다아울렛대전close</t>
    <phoneticPr fontId="3" type="noConversion"/>
  </si>
  <si>
    <t>상권</t>
  </si>
  <si>
    <t>25년 누계</t>
  </si>
  <si>
    <t>46주차</t>
  </si>
  <si>
    <t>목표</t>
  </si>
  <si>
    <t>금년</t>
  </si>
  <si>
    <t>전년</t>
  </si>
  <si>
    <t>성장율</t>
  </si>
  <si>
    <t>달성율</t>
  </si>
  <si>
    <t>기존점</t>
  </si>
  <si>
    <t>신장율</t>
  </si>
  <si>
    <t>순수</t>
  </si>
  <si>
    <t>단체비중</t>
  </si>
  <si>
    <t>단제비중</t>
  </si>
  <si>
    <t>합계</t>
  </si>
  <si>
    <t>RF+도매</t>
  </si>
  <si>
    <t>채널</t>
  </si>
  <si>
    <t>백화점</t>
  </si>
  <si>
    <t>대리점</t>
  </si>
  <si>
    <t>온라인</t>
  </si>
  <si>
    <t>직영점</t>
  </si>
  <si>
    <t>도매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</si>
</sst>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8"/>
      <name val="Arial"/>
      <family val="2"/>
    </font>
    <font>
      <b/>
      <sz val="8"/>
      <color rgb="FF000000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8"/>
      <color rgb="FF808080"/>
      <name val="맑은 고딕"/>
      <family val="3"/>
      <charset val="129"/>
    </font>
    <font>
      <sz val="8"/>
      <color rgb="FFAEAAAA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EFCFE"/>
        <bgColor indexed="64"/>
      </patternFill>
    </fill>
    <fill>
      <patternFill patternType="solid">
        <fgColor rgb="FFFDCFD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93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" applyFont="1" applyBorder="1" applyAlignment="1"/>
    <xf numFmtId="0" fontId="0" fillId="0" borderId="0" xfId="0" applyAlignment="1">
      <alignment horizontal="center" vertical="center"/>
    </xf>
    <xf numFmtId="3" fontId="0" fillId="0" borderId="0" xfId="0" applyNumberFormat="1"/>
    <xf numFmtId="9" fontId="0" fillId="0" borderId="0" xfId="1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6" fontId="0" fillId="2" borderId="0" xfId="0" applyNumberFormat="1" applyFill="1" applyAlignment="1">
      <alignment vertical="center"/>
    </xf>
    <xf numFmtId="0" fontId="7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9" fillId="5" borderId="8" xfId="0" applyFont="1" applyFill="1" applyBorder="1" applyAlignment="1">
      <alignment horizontal="center" vertical="center" wrapText="1" readingOrder="1"/>
    </xf>
    <xf numFmtId="3" fontId="9" fillId="5" borderId="9" xfId="0" applyNumberFormat="1" applyFont="1" applyFill="1" applyBorder="1" applyAlignment="1">
      <alignment horizontal="center" vertical="center" wrapText="1" readingOrder="1"/>
    </xf>
    <xf numFmtId="3" fontId="9" fillId="5" borderId="10" xfId="0" applyNumberFormat="1" applyFont="1" applyFill="1" applyBorder="1" applyAlignment="1">
      <alignment horizontal="center" vertical="center" wrapText="1" readingOrder="1"/>
    </xf>
    <xf numFmtId="9" fontId="10" fillId="5" borderId="10" xfId="0" applyNumberFormat="1" applyFont="1" applyFill="1" applyBorder="1" applyAlignment="1">
      <alignment horizontal="center" vertical="center" wrapText="1" readingOrder="1"/>
    </xf>
    <xf numFmtId="9" fontId="9" fillId="5" borderId="10" xfId="0" applyNumberFormat="1" applyFont="1" applyFill="1" applyBorder="1" applyAlignment="1">
      <alignment horizontal="center" vertical="center" wrapText="1" readingOrder="1"/>
    </xf>
    <xf numFmtId="3" fontId="7" fillId="5" borderId="10" xfId="0" applyNumberFormat="1" applyFont="1" applyFill="1" applyBorder="1" applyAlignment="1">
      <alignment horizontal="center" vertical="center" wrapText="1" readingOrder="1"/>
    </xf>
    <xf numFmtId="9" fontId="7" fillId="5" borderId="10" xfId="0" applyNumberFormat="1" applyFont="1" applyFill="1" applyBorder="1" applyAlignment="1">
      <alignment horizontal="center" vertical="center" wrapText="1" readingOrder="1"/>
    </xf>
    <xf numFmtId="0" fontId="7" fillId="5" borderId="10" xfId="0" applyFont="1" applyFill="1" applyBorder="1" applyAlignment="1">
      <alignment horizontal="center" vertical="center" wrapText="1" readingOrder="1"/>
    </xf>
    <xf numFmtId="3" fontId="7" fillId="0" borderId="10" xfId="0" applyNumberFormat="1" applyFont="1" applyBorder="1" applyAlignment="1">
      <alignment horizontal="center" vertical="center" wrapText="1" readingOrder="1"/>
    </xf>
    <xf numFmtId="9" fontId="9" fillId="0" borderId="10" xfId="0" applyNumberFormat="1" applyFont="1" applyBorder="1" applyAlignment="1">
      <alignment horizontal="center" vertical="center" wrapText="1" readingOrder="1"/>
    </xf>
    <xf numFmtId="0" fontId="7" fillId="0" borderId="10" xfId="0" applyFont="1" applyBorder="1" applyAlignment="1">
      <alignment horizontal="center" vertical="center" wrapText="1" readingOrder="1"/>
    </xf>
    <xf numFmtId="3" fontId="9" fillId="0" borderId="0" xfId="0" applyNumberFormat="1" applyFont="1" applyAlignment="1">
      <alignment horizontal="center" vertical="center" wrapText="1" readingOrder="1"/>
    </xf>
    <xf numFmtId="9" fontId="10" fillId="0" borderId="0" xfId="0" applyNumberFormat="1" applyFont="1" applyAlignment="1">
      <alignment horizontal="center" vertical="center" wrapText="1" readingOrder="1"/>
    </xf>
    <xf numFmtId="9" fontId="9" fillId="0" borderId="0" xfId="0" applyNumberFormat="1" applyFont="1" applyAlignment="1">
      <alignment horizontal="center" vertical="center" wrapText="1" readingOrder="1"/>
    </xf>
    <xf numFmtId="9" fontId="7" fillId="0" borderId="13" xfId="0" applyNumberFormat="1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3" fontId="9" fillId="0" borderId="5" xfId="0" applyNumberFormat="1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9" fontId="10" fillId="0" borderId="10" xfId="0" applyNumberFormat="1" applyFont="1" applyBorder="1" applyAlignment="1">
      <alignment horizontal="center" vertical="center" wrapText="1" readingOrder="1"/>
    </xf>
    <xf numFmtId="9" fontId="7" fillId="6" borderId="0" xfId="0" applyNumberFormat="1" applyFont="1" applyFill="1" applyAlignment="1">
      <alignment horizontal="center" vertical="center" wrapText="1" readingOrder="1"/>
    </xf>
    <xf numFmtId="0" fontId="7" fillId="6" borderId="0" xfId="0" applyFont="1" applyFill="1" applyAlignment="1">
      <alignment horizontal="center" vertical="center" wrapText="1" readingOrder="1"/>
    </xf>
    <xf numFmtId="9" fontId="7" fillId="6" borderId="13" xfId="0" applyNumberFormat="1" applyFont="1" applyFill="1" applyBorder="1" applyAlignment="1">
      <alignment horizontal="center" vertical="center" wrapText="1" readingOrder="1"/>
    </xf>
    <xf numFmtId="0" fontId="9" fillId="7" borderId="4" xfId="0" applyFont="1" applyFill="1" applyBorder="1" applyAlignment="1">
      <alignment horizontal="center" vertical="center" wrapText="1" readingOrder="1"/>
    </xf>
    <xf numFmtId="3" fontId="9" fillId="7" borderId="5" xfId="0" applyNumberFormat="1" applyFont="1" applyFill="1" applyBorder="1" applyAlignment="1">
      <alignment horizontal="center" vertical="center" wrapText="1" readingOrder="1"/>
    </xf>
    <xf numFmtId="3" fontId="9" fillId="7" borderId="0" xfId="0" applyNumberFormat="1" applyFont="1" applyFill="1" applyAlignment="1">
      <alignment horizontal="center" vertical="center" wrapText="1" readingOrder="1"/>
    </xf>
    <xf numFmtId="9" fontId="10" fillId="7" borderId="0" xfId="0" applyNumberFormat="1" applyFont="1" applyFill="1" applyAlignment="1">
      <alignment horizontal="center" vertical="center" wrapText="1" readingOrder="1"/>
    </xf>
    <xf numFmtId="9" fontId="9" fillId="7" borderId="0" xfId="0" applyNumberFormat="1" applyFont="1" applyFill="1" applyAlignment="1">
      <alignment horizontal="center" vertical="center" wrapText="1" readingOrder="1"/>
    </xf>
    <xf numFmtId="0" fontId="9" fillId="7" borderId="0" xfId="0" applyFont="1" applyFill="1" applyAlignment="1">
      <alignment horizontal="center" vertical="center" wrapText="1" readingOrder="1"/>
    </xf>
    <xf numFmtId="0" fontId="9" fillId="8" borderId="4" xfId="0" applyFont="1" applyFill="1" applyBorder="1" applyAlignment="1">
      <alignment horizontal="center" vertical="center" wrapText="1" readingOrder="1"/>
    </xf>
    <xf numFmtId="3" fontId="9" fillId="8" borderId="5" xfId="0" applyNumberFormat="1" applyFont="1" applyFill="1" applyBorder="1" applyAlignment="1">
      <alignment horizontal="center" vertical="center" wrapText="1" readingOrder="1"/>
    </xf>
    <xf numFmtId="3" fontId="9" fillId="8" borderId="0" xfId="0" applyNumberFormat="1" applyFont="1" applyFill="1" applyAlignment="1">
      <alignment horizontal="center" vertical="center" wrapText="1" readingOrder="1"/>
    </xf>
    <xf numFmtId="9" fontId="9" fillId="8" borderId="0" xfId="0" applyNumberFormat="1" applyFont="1" applyFill="1" applyAlignment="1">
      <alignment horizontal="center" vertical="center" wrapText="1" readingOrder="1"/>
    </xf>
    <xf numFmtId="0" fontId="9" fillId="8" borderId="0" xfId="0" applyFont="1" applyFill="1" applyAlignment="1">
      <alignment horizontal="center" vertical="center" wrapText="1" readingOrder="1"/>
    </xf>
    <xf numFmtId="0" fontId="0" fillId="9" borderId="0" xfId="0" applyFill="1"/>
    <xf numFmtId="9" fontId="0" fillId="9" borderId="0" xfId="1" applyFont="1" applyFill="1" applyAlignment="1"/>
    <xf numFmtId="9" fontId="9" fillId="0" borderId="0" xfId="0" applyNumberFormat="1" applyFont="1" applyAlignment="1">
      <alignment horizontal="center" vertical="center" wrapText="1" readingOrder="1"/>
    </xf>
    <xf numFmtId="9" fontId="7" fillId="0" borderId="0" xfId="0" applyNumberFormat="1" applyFont="1" applyAlignment="1">
      <alignment horizontal="center" vertical="center" wrapText="1" readingOrder="1"/>
    </xf>
    <xf numFmtId="9" fontId="7" fillId="6" borderId="0" xfId="0" applyNumberFormat="1" applyFont="1" applyFill="1" applyAlignment="1">
      <alignment horizontal="center" vertical="center" wrapText="1" readingOrder="1"/>
    </xf>
    <xf numFmtId="9" fontId="8" fillId="0" borderId="0" xfId="0" applyNumberFormat="1" applyFont="1" applyAlignment="1">
      <alignment horizontal="center" vertical="center" wrapText="1" readingOrder="1"/>
    </xf>
    <xf numFmtId="3" fontId="9" fillId="0" borderId="0" xfId="0" applyNumberFormat="1" applyFont="1" applyAlignment="1">
      <alignment horizontal="center" vertical="center" wrapText="1" readingOrder="1"/>
    </xf>
    <xf numFmtId="3" fontId="9" fillId="0" borderId="13" xfId="0" applyNumberFormat="1" applyFont="1" applyBorder="1" applyAlignment="1">
      <alignment horizontal="center" vertical="center" wrapText="1" readingOrder="1"/>
    </xf>
    <xf numFmtId="9" fontId="10" fillId="0" borderId="13" xfId="0" applyNumberFormat="1" applyFont="1" applyBorder="1" applyAlignment="1">
      <alignment horizontal="center" vertical="center" wrapText="1" readingOrder="1"/>
    </xf>
    <xf numFmtId="9" fontId="10" fillId="0" borderId="0" xfId="0" applyNumberFormat="1" applyFont="1" applyAlignment="1">
      <alignment horizontal="center" vertical="center" wrapText="1" readingOrder="1"/>
    </xf>
    <xf numFmtId="9" fontId="9" fillId="0" borderId="13" xfId="0" applyNumberFormat="1" applyFont="1" applyBorder="1" applyAlignment="1">
      <alignment horizontal="center" vertical="center" wrapText="1" readingOrder="1"/>
    </xf>
    <xf numFmtId="9" fontId="11" fillId="6" borderId="13" xfId="0" applyNumberFormat="1" applyFont="1" applyFill="1" applyBorder="1" applyAlignment="1">
      <alignment horizontal="center" vertical="center" wrapText="1" readingOrder="1"/>
    </xf>
    <xf numFmtId="9" fontId="11" fillId="6" borderId="0" xfId="0" applyNumberFormat="1" applyFont="1" applyFill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3" fontId="9" fillId="0" borderId="5" xfId="0" applyNumberFormat="1" applyFont="1" applyBorder="1" applyAlignment="1">
      <alignment horizontal="center" vertical="center" wrapText="1" readingOrder="1"/>
    </xf>
    <xf numFmtId="9" fontId="9" fillId="6" borderId="0" xfId="0" applyNumberFormat="1" applyFont="1" applyFill="1" applyAlignment="1">
      <alignment horizontal="center" vertical="center" wrapText="1" readingOrder="1"/>
    </xf>
    <xf numFmtId="9" fontId="7" fillId="0" borderId="13" xfId="0" applyNumberFormat="1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9" fillId="0" borderId="11" xfId="0" applyFont="1" applyBorder="1" applyAlignment="1">
      <alignment horizontal="center" vertical="center" wrapText="1" readingOrder="1"/>
    </xf>
    <xf numFmtId="3" fontId="9" fillId="0" borderId="12" xfId="0" applyNumberFormat="1" applyFont="1" applyBorder="1" applyAlignment="1">
      <alignment horizontal="center" vertical="center" wrapText="1" readingOrder="1"/>
    </xf>
    <xf numFmtId="9" fontId="10" fillId="6" borderId="13" xfId="0" applyNumberFormat="1" applyFont="1" applyFill="1" applyBorder="1" applyAlignment="1">
      <alignment horizontal="center" vertical="center" wrapText="1" readingOrder="1"/>
    </xf>
    <xf numFmtId="9" fontId="10" fillId="6" borderId="0" xfId="0" applyNumberFormat="1" applyFont="1" applyFill="1" applyAlignment="1">
      <alignment horizontal="center" vertical="center" wrapText="1" readingOrder="1"/>
    </xf>
    <xf numFmtId="9" fontId="11" fillId="0" borderId="13" xfId="0" applyNumberFormat="1" applyFont="1" applyBorder="1" applyAlignment="1">
      <alignment horizontal="center" vertical="center" wrapText="1" readingOrder="1"/>
    </xf>
    <xf numFmtId="9" fontId="11" fillId="0" borderId="0" xfId="0" applyNumberFormat="1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8" fillId="3" borderId="5" xfId="0" applyFont="1" applyFill="1" applyBorder="1" applyAlignment="1">
      <alignment horizontal="center" vertical="center" wrapText="1" readingOrder="1"/>
    </xf>
    <xf numFmtId="0" fontId="8" fillId="3" borderId="0" xfId="0" applyFont="1" applyFill="1" applyAlignment="1">
      <alignment horizontal="center" vertical="center" wrapText="1" readingOrder="1"/>
    </xf>
    <xf numFmtId="0" fontId="7" fillId="4" borderId="0" xfId="0" applyFont="1" applyFill="1" applyAlignment="1">
      <alignment horizontal="center" vertical="center" wrapText="1" readingOrder="1"/>
    </xf>
    <xf numFmtId="0" fontId="9" fillId="0" borderId="5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9" fontId="14" fillId="0" borderId="13" xfId="0" applyNumberFormat="1" applyFont="1" applyBorder="1" applyAlignment="1">
      <alignment horizontal="center" vertical="center" wrapText="1" readingOrder="1"/>
    </xf>
    <xf numFmtId="9" fontId="14" fillId="0" borderId="0" xfId="0" applyNumberFormat="1" applyFont="1" applyAlignment="1">
      <alignment horizontal="center" vertical="center" wrapText="1" readingOrder="1"/>
    </xf>
    <xf numFmtId="9" fontId="15" fillId="0" borderId="13" xfId="0" applyNumberFormat="1" applyFont="1" applyBorder="1" applyAlignment="1">
      <alignment horizontal="center" vertical="center" wrapText="1" readingOrder="1"/>
    </xf>
    <xf numFmtId="9" fontId="15" fillId="0" borderId="0" xfId="0" applyNumberFormat="1" applyFont="1" applyAlignment="1">
      <alignment horizontal="center" vertical="center" wrapText="1" readingOrder="1"/>
    </xf>
    <xf numFmtId="9" fontId="14" fillId="8" borderId="0" xfId="0" applyNumberFormat="1" applyFont="1" applyFill="1" applyAlignment="1">
      <alignment horizontal="center" vertical="center" wrapText="1" readingOrder="1"/>
    </xf>
  </cellXfs>
  <cellStyles count="2">
    <cellStyle name="백분율" xfId="1" builtinId="5"/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7"/>
  <sheetViews>
    <sheetView workbookViewId="0">
      <selection activeCell="J8" sqref="J8"/>
    </sheetView>
  </sheetViews>
  <sheetFormatPr defaultRowHeight="16.5" x14ac:dyDescent="0.3"/>
  <cols>
    <col min="3" max="13" width="14.125" bestFit="1" customWidth="1"/>
    <col min="14" max="14" width="14" bestFit="1" customWidth="1"/>
  </cols>
  <sheetData>
    <row r="2" spans="2:14" x14ac:dyDescent="0.3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12</v>
      </c>
      <c r="N2" s="1" t="s">
        <v>13</v>
      </c>
    </row>
    <row r="3" spans="2:14" x14ac:dyDescent="0.3">
      <c r="B3" s="1" t="s">
        <v>10</v>
      </c>
      <c r="C3" s="2">
        <v>23592000000</v>
      </c>
      <c r="D3" s="2">
        <v>24024000000</v>
      </c>
      <c r="E3" s="2">
        <v>30073269300</v>
      </c>
      <c r="F3" s="2">
        <v>31287300000</v>
      </c>
      <c r="G3" s="2">
        <v>30872500000</v>
      </c>
      <c r="H3" s="2">
        <v>26522000000</v>
      </c>
      <c r="I3" s="2">
        <v>22686000000</v>
      </c>
      <c r="J3" s="2">
        <v>23011000000</v>
      </c>
      <c r="K3" s="2">
        <v>24885000000</v>
      </c>
      <c r="L3" s="2">
        <v>29725000000</v>
      </c>
      <c r="M3" s="2">
        <v>33000000000</v>
      </c>
      <c r="N3" s="3"/>
    </row>
    <row r="4" spans="2:14" x14ac:dyDescent="0.3">
      <c r="B4" s="1" t="s">
        <v>11</v>
      </c>
      <c r="C4" s="2">
        <v>26243445951</v>
      </c>
      <c r="D4" s="2">
        <v>25736580043</v>
      </c>
      <c r="E4" s="2">
        <v>33311234589</v>
      </c>
      <c r="F4" s="2">
        <v>31736079152</v>
      </c>
      <c r="G4" s="2">
        <v>31463516247</v>
      </c>
      <c r="H4" s="2">
        <v>23251012935</v>
      </c>
      <c r="I4" s="2">
        <v>21344567149</v>
      </c>
      <c r="J4" s="2">
        <v>21376478426</v>
      </c>
      <c r="K4" s="2">
        <v>24669570889</v>
      </c>
      <c r="L4" s="2">
        <v>31842645617</v>
      </c>
      <c r="M4" s="3"/>
      <c r="N4" s="3"/>
    </row>
    <row r="5" spans="2:14" x14ac:dyDescent="0.3">
      <c r="B5" s="1" t="s">
        <v>14</v>
      </c>
      <c r="C5" s="4">
        <f>C4/C3</f>
        <v>1.1123875021617498</v>
      </c>
      <c r="D5" s="4">
        <f t="shared" ref="D5:L5" si="0">D4/D3</f>
        <v>1.0712862155760905</v>
      </c>
      <c r="E5" s="4">
        <f t="shared" si="0"/>
        <v>1.1076692147002454</v>
      </c>
      <c r="F5" s="4">
        <f t="shared" si="0"/>
        <v>1.0143438120898896</v>
      </c>
      <c r="G5" s="4">
        <f t="shared" si="0"/>
        <v>1.0191437767268605</v>
      </c>
      <c r="H5" s="4">
        <f t="shared" si="0"/>
        <v>0.87666891392051882</v>
      </c>
      <c r="I5" s="4">
        <f t="shared" si="0"/>
        <v>0.94086957370184254</v>
      </c>
      <c r="J5" s="4">
        <f t="shared" si="0"/>
        <v>0.92896781652253269</v>
      </c>
      <c r="K5" s="4">
        <f t="shared" si="0"/>
        <v>0.99134301342174003</v>
      </c>
      <c r="L5" s="4">
        <f t="shared" si="0"/>
        <v>1.0712412318587048</v>
      </c>
      <c r="M5" s="3"/>
      <c r="N5" s="3"/>
    </row>
    <row r="6" spans="2:14" x14ac:dyDescent="0.3">
      <c r="B6" s="5" t="s">
        <v>15</v>
      </c>
      <c r="C6" s="6">
        <v>27898035377</v>
      </c>
      <c r="D6" s="6">
        <v>27944102678</v>
      </c>
      <c r="E6" s="6">
        <v>34923042279</v>
      </c>
      <c r="F6" s="6">
        <v>35310844533</v>
      </c>
      <c r="G6" s="6">
        <v>32118627887</v>
      </c>
      <c r="H6" s="6">
        <v>26639056225</v>
      </c>
      <c r="I6" s="6">
        <v>22092317156</v>
      </c>
      <c r="J6" s="6">
        <v>24012505834</v>
      </c>
      <c r="K6" s="6">
        <v>23946771532</v>
      </c>
      <c r="L6" s="6">
        <v>29702264953</v>
      </c>
      <c r="M6" s="6">
        <v>31007987365</v>
      </c>
      <c r="N6" s="6">
        <v>29174425205</v>
      </c>
    </row>
    <row r="7" spans="2:14" x14ac:dyDescent="0.3">
      <c r="B7" s="5" t="s">
        <v>16</v>
      </c>
      <c r="C7" s="7">
        <f>C4/C6-1</f>
        <v>-5.9308456801373755E-2</v>
      </c>
      <c r="D7" s="7">
        <f t="shared" ref="D7:L7" si="1">D4/D6-1</f>
        <v>-7.8997800016600728E-2</v>
      </c>
      <c r="E7" s="7">
        <f t="shared" si="1"/>
        <v>-4.6153129418773919E-2</v>
      </c>
      <c r="F7" s="7">
        <f t="shared" si="1"/>
        <v>-0.10123704001639433</v>
      </c>
      <c r="G7" s="7">
        <f t="shared" si="1"/>
        <v>-2.0396625979939742E-2</v>
      </c>
      <c r="H7" s="7">
        <f t="shared" si="1"/>
        <v>-0.12718330789888932</v>
      </c>
      <c r="I7" s="7">
        <f t="shared" si="1"/>
        <v>-3.3846608380638799E-2</v>
      </c>
      <c r="J7" s="7">
        <f t="shared" si="1"/>
        <v>-0.10977727298529472</v>
      </c>
      <c r="K7" s="7">
        <f t="shared" si="1"/>
        <v>3.0183582619232263E-2</v>
      </c>
      <c r="L7" s="7">
        <f t="shared" si="1"/>
        <v>7.2061193561732573E-2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293F-5038-4A8B-8ADC-B11E7F68429B}">
  <dimension ref="A2:BA5"/>
  <sheetViews>
    <sheetView topLeftCell="AC1" workbookViewId="0">
      <selection activeCell="AO13" sqref="AO13"/>
    </sheetView>
  </sheetViews>
  <sheetFormatPr defaultRowHeight="16.5" x14ac:dyDescent="0.3"/>
  <cols>
    <col min="47" max="48" width="11.625" bestFit="1" customWidth="1"/>
  </cols>
  <sheetData>
    <row r="2" spans="1:53" x14ac:dyDescent="0.3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t="s">
        <v>48</v>
      </c>
      <c r="AH2" t="s">
        <v>49</v>
      </c>
      <c r="AI2" t="s">
        <v>50</v>
      </c>
      <c r="AJ2" t="s">
        <v>51</v>
      </c>
      <c r="AK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s="54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68</v>
      </c>
    </row>
    <row r="3" spans="1:53" x14ac:dyDescent="0.3">
      <c r="A3" t="s">
        <v>69</v>
      </c>
      <c r="B3">
        <v>5507383260</v>
      </c>
      <c r="C3">
        <v>6735869453</v>
      </c>
      <c r="D3">
        <v>8087687278</v>
      </c>
      <c r="E3">
        <v>5429067862</v>
      </c>
      <c r="F3">
        <v>3349406673</v>
      </c>
      <c r="G3">
        <v>7212327421</v>
      </c>
      <c r="H3">
        <v>7034535200</v>
      </c>
      <c r="I3">
        <v>6392724993</v>
      </c>
      <c r="J3">
        <v>6637314434</v>
      </c>
      <c r="K3">
        <v>6308533834</v>
      </c>
      <c r="L3">
        <v>8913999514</v>
      </c>
      <c r="M3">
        <v>7547176279</v>
      </c>
      <c r="N3">
        <v>7142393252</v>
      </c>
      <c r="O3">
        <v>7862710956</v>
      </c>
      <c r="P3">
        <v>7226930265</v>
      </c>
      <c r="Q3">
        <v>7498457111</v>
      </c>
      <c r="R3">
        <v>7187990062</v>
      </c>
      <c r="S3">
        <v>6404642844</v>
      </c>
      <c r="T3">
        <v>6653244800</v>
      </c>
      <c r="U3">
        <v>7991889056</v>
      </c>
      <c r="V3">
        <v>7410377116</v>
      </c>
      <c r="W3">
        <v>6452375781</v>
      </c>
      <c r="X3">
        <v>4913767118</v>
      </c>
      <c r="Y3">
        <v>5610907464</v>
      </c>
      <c r="Z3">
        <v>5333590579</v>
      </c>
      <c r="AA3">
        <v>5935438666</v>
      </c>
      <c r="AB3">
        <v>4608917690</v>
      </c>
      <c r="AC3">
        <v>4360852534</v>
      </c>
      <c r="AD3">
        <v>4716083606</v>
      </c>
      <c r="AE3">
        <v>5357712754</v>
      </c>
      <c r="AF3">
        <v>4908862453</v>
      </c>
      <c r="AG3">
        <v>4168950596</v>
      </c>
      <c r="AH3">
        <v>5249457646</v>
      </c>
      <c r="AI3">
        <v>5931167481</v>
      </c>
      <c r="AJ3">
        <v>4160969677</v>
      </c>
      <c r="AK3">
        <v>5674585261</v>
      </c>
      <c r="AL3">
        <v>5577868943</v>
      </c>
      <c r="AM3">
        <v>6442631332</v>
      </c>
      <c r="AN3">
        <v>6018996746</v>
      </c>
      <c r="AO3">
        <v>4902802737</v>
      </c>
      <c r="AP3">
        <v>5504750697</v>
      </c>
      <c r="AQ3">
        <v>7019481482</v>
      </c>
      <c r="AR3">
        <v>9119198422</v>
      </c>
      <c r="AS3">
        <v>9332272679</v>
      </c>
      <c r="AT3">
        <v>7723441468</v>
      </c>
      <c r="AU3">
        <v>7283929073</v>
      </c>
      <c r="AV3" s="54">
        <v>7814770263</v>
      </c>
    </row>
    <row r="4" spans="1:53" x14ac:dyDescent="0.3">
      <c r="A4" t="s">
        <v>70</v>
      </c>
      <c r="B4">
        <v>5780336010</v>
      </c>
      <c r="C4">
        <v>6489781388</v>
      </c>
      <c r="D4">
        <v>6907612123</v>
      </c>
      <c r="E4">
        <v>6623446926</v>
      </c>
      <c r="F4">
        <v>7024678577</v>
      </c>
      <c r="G4">
        <v>4253482825</v>
      </c>
      <c r="H4">
        <v>6693392395</v>
      </c>
      <c r="I4">
        <v>9065020428</v>
      </c>
      <c r="J4">
        <v>6275314150</v>
      </c>
      <c r="K4">
        <v>8293264865</v>
      </c>
      <c r="L4">
        <v>8291195756</v>
      </c>
      <c r="M4">
        <v>8399402332</v>
      </c>
      <c r="N4">
        <v>6668252559</v>
      </c>
      <c r="O4">
        <v>8395937017</v>
      </c>
      <c r="P4">
        <v>9164741397</v>
      </c>
      <c r="Q4">
        <v>8035521949</v>
      </c>
      <c r="R4">
        <v>7744870678</v>
      </c>
      <c r="S4">
        <v>6948928726</v>
      </c>
      <c r="T4">
        <v>7993827333</v>
      </c>
      <c r="U4">
        <v>7936196894</v>
      </c>
      <c r="V4">
        <v>6856851824</v>
      </c>
      <c r="W4">
        <v>6298784782</v>
      </c>
      <c r="X4">
        <v>6504421604</v>
      </c>
      <c r="Y4">
        <v>6489369693</v>
      </c>
      <c r="Z4">
        <v>5755701813</v>
      </c>
      <c r="AA4">
        <v>5943374935</v>
      </c>
      <c r="AB4">
        <v>5042096386</v>
      </c>
      <c r="AC4">
        <v>5736531041</v>
      </c>
      <c r="AD4">
        <v>5097325428</v>
      </c>
      <c r="AE4">
        <v>4330959083</v>
      </c>
      <c r="AF4">
        <v>5020402041</v>
      </c>
      <c r="AG4">
        <v>5206289985</v>
      </c>
      <c r="AH4">
        <v>5900000574</v>
      </c>
      <c r="AI4">
        <v>5674473447</v>
      </c>
      <c r="AJ4">
        <v>4799255686</v>
      </c>
      <c r="AK4">
        <v>5553657649</v>
      </c>
      <c r="AL4">
        <v>5795879593</v>
      </c>
      <c r="AM4">
        <v>4740041166</v>
      </c>
      <c r="AN4">
        <v>6464609315</v>
      </c>
      <c r="AO4">
        <v>6248154672</v>
      </c>
      <c r="AP4">
        <v>7240709353</v>
      </c>
      <c r="AQ4">
        <v>7567955187</v>
      </c>
      <c r="AR4">
        <v>6461084021</v>
      </c>
      <c r="AS4">
        <v>5802662304</v>
      </c>
      <c r="AT4">
        <v>7740086118</v>
      </c>
      <c r="AU4">
        <v>6993007565</v>
      </c>
      <c r="AV4" s="54">
        <v>7212765468</v>
      </c>
      <c r="AW4">
        <v>7166784270</v>
      </c>
      <c r="AX4">
        <v>6665671049</v>
      </c>
      <c r="AY4">
        <v>6905742744</v>
      </c>
      <c r="AZ4">
        <v>6112337877</v>
      </c>
      <c r="BA4">
        <v>6676988807</v>
      </c>
    </row>
    <row r="5" spans="1:53" x14ac:dyDescent="0.3">
      <c r="A5" t="s">
        <v>16</v>
      </c>
      <c r="B5" s="7">
        <f>B3/B4-1</f>
        <v>-4.7220914065858932E-2</v>
      </c>
      <c r="C5" s="7">
        <f t="shared" ref="C5:BA5" si="0">C3/C4-1</f>
        <v>3.7919315041186508E-2</v>
      </c>
      <c r="D5" s="7">
        <f t="shared" si="0"/>
        <v>0.17083691643176535</v>
      </c>
      <c r="E5" s="7">
        <f t="shared" si="0"/>
        <v>-0.18032590543022642</v>
      </c>
      <c r="F5" s="7">
        <f t="shared" si="0"/>
        <v>-0.52319431611198119</v>
      </c>
      <c r="G5" s="7">
        <f t="shared" si="0"/>
        <v>0.695628668960242</v>
      </c>
      <c r="H5" s="7">
        <f t="shared" si="0"/>
        <v>5.0967100816446287E-2</v>
      </c>
      <c r="I5" s="7">
        <f t="shared" si="0"/>
        <v>-0.29479199260774136</v>
      </c>
      <c r="J5" s="7">
        <f t="shared" si="0"/>
        <v>5.7686400289617357E-2</v>
      </c>
      <c r="K5" s="7">
        <f t="shared" si="0"/>
        <v>-0.23931841841638801</v>
      </c>
      <c r="L5" s="7">
        <f t="shared" si="0"/>
        <v>7.5116277112297292E-2</v>
      </c>
      <c r="M5" s="7">
        <f t="shared" si="0"/>
        <v>-0.10146270166785476</v>
      </c>
      <c r="N5" s="7">
        <f t="shared" si="0"/>
        <v>7.1104189411671515E-2</v>
      </c>
      <c r="O5" s="7">
        <f t="shared" si="0"/>
        <v>-6.3510012035622676E-2</v>
      </c>
      <c r="P5" s="7">
        <f t="shared" si="0"/>
        <v>-0.21144198707388795</v>
      </c>
      <c r="Q5" s="7">
        <f t="shared" si="0"/>
        <v>-6.6836335138980796E-2</v>
      </c>
      <c r="R5" s="7">
        <f t="shared" si="0"/>
        <v>-7.1903152312390306E-2</v>
      </c>
      <c r="S5" s="7">
        <f t="shared" si="0"/>
        <v>-7.8326588667330665E-2</v>
      </c>
      <c r="T5" s="7">
        <f t="shared" si="0"/>
        <v>-0.1677022128643969</v>
      </c>
      <c r="U5" s="7">
        <f t="shared" si="0"/>
        <v>7.0174874368482687E-3</v>
      </c>
      <c r="V5" s="7">
        <f t="shared" si="0"/>
        <v>8.0725864610721176E-2</v>
      </c>
      <c r="W5" s="7">
        <f t="shared" si="0"/>
        <v>2.4384227166947436E-2</v>
      </c>
      <c r="X5" s="7">
        <f t="shared" si="0"/>
        <v>-0.2445497206118683</v>
      </c>
      <c r="Y5" s="7">
        <f t="shared" si="0"/>
        <v>-0.13536942269564112</v>
      </c>
      <c r="Z5" s="7">
        <f t="shared" si="0"/>
        <v>-7.3337926062571057E-2</v>
      </c>
      <c r="AA5" s="7">
        <f t="shared" si="0"/>
        <v>-1.335313535961502E-3</v>
      </c>
      <c r="AB5" s="7">
        <f t="shared" si="0"/>
        <v>-8.5912418731774687E-2</v>
      </c>
      <c r="AC5" s="7">
        <f t="shared" si="0"/>
        <v>-0.23981017398281002</v>
      </c>
      <c r="AD5" s="7">
        <f t="shared" si="0"/>
        <v>-7.4792521565487879E-2</v>
      </c>
      <c r="AE5" s="7">
        <f t="shared" si="0"/>
        <v>0.23707304809926333</v>
      </c>
      <c r="AF5" s="7">
        <f t="shared" si="0"/>
        <v>-2.2217262101539292E-2</v>
      </c>
      <c r="AG5" s="7">
        <f t="shared" si="0"/>
        <v>-0.1992473319751128</v>
      </c>
      <c r="AH5" s="7">
        <f t="shared" si="0"/>
        <v>-0.11026150249320299</v>
      </c>
      <c r="AI5" s="7">
        <f t="shared" si="0"/>
        <v>4.5236626164091076E-2</v>
      </c>
      <c r="AJ5" s="7">
        <f t="shared" si="0"/>
        <v>-0.13299687509085134</v>
      </c>
      <c r="AK5" s="7">
        <f t="shared" si="0"/>
        <v>2.1774408802777812E-2</v>
      </c>
      <c r="AL5" s="7">
        <f t="shared" si="0"/>
        <v>-3.7614765196865574E-2</v>
      </c>
      <c r="AM5" s="7">
        <f t="shared" si="0"/>
        <v>0.35919311802871379</v>
      </c>
      <c r="AN5" s="7">
        <f t="shared" si="0"/>
        <v>-6.8931090385622173E-2</v>
      </c>
      <c r="AO5" s="7">
        <f t="shared" si="0"/>
        <v>-0.21531988332954632</v>
      </c>
      <c r="AP5" s="7">
        <f t="shared" si="0"/>
        <v>-0.23974980507686727</v>
      </c>
      <c r="AQ5" s="7">
        <f t="shared" si="0"/>
        <v>-7.2473170288078759E-2</v>
      </c>
      <c r="AR5" s="7">
        <f t="shared" si="0"/>
        <v>0.41140378183606963</v>
      </c>
      <c r="AS5" s="7">
        <f t="shared" si="0"/>
        <v>0.60827430411845662</v>
      </c>
      <c r="AT5" s="7">
        <f t="shared" si="0"/>
        <v>-2.1504476495800562E-3</v>
      </c>
      <c r="AU5" s="7">
        <f t="shared" si="0"/>
        <v>4.1601772241182999E-2</v>
      </c>
      <c r="AV5" s="55">
        <f t="shared" si="0"/>
        <v>8.3463797300888487E-2</v>
      </c>
      <c r="AW5" s="7">
        <f t="shared" si="0"/>
        <v>-1</v>
      </c>
      <c r="AX5" s="7">
        <f t="shared" si="0"/>
        <v>-1</v>
      </c>
      <c r="AY5" s="7">
        <f t="shared" si="0"/>
        <v>-1</v>
      </c>
      <c r="AZ5" s="7">
        <f t="shared" si="0"/>
        <v>-1</v>
      </c>
      <c r="BA5" s="7">
        <f t="shared" si="0"/>
        <v>-1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E28B-1556-4D41-8A72-0ADE0C1703E8}">
  <dimension ref="A1:B252"/>
  <sheetViews>
    <sheetView topLeftCell="A236" workbookViewId="0">
      <selection activeCell="A252" sqref="A252"/>
    </sheetView>
  </sheetViews>
  <sheetFormatPr defaultRowHeight="16.5" x14ac:dyDescent="0.3"/>
  <cols>
    <col min="1" max="1" width="28.5" style="8" customWidth="1"/>
    <col min="2" max="2" width="12.5" style="8" bestFit="1" customWidth="1"/>
  </cols>
  <sheetData>
    <row r="1" spans="1:2" x14ac:dyDescent="0.3">
      <c r="A1" s="8" t="s">
        <v>71</v>
      </c>
      <c r="B1" s="10" t="s">
        <v>305</v>
      </c>
    </row>
    <row r="2" spans="1:2" x14ac:dyDescent="0.3">
      <c r="A2" s="9" t="s">
        <v>256</v>
      </c>
      <c r="B2" s="8" t="s">
        <v>269</v>
      </c>
    </row>
    <row r="3" spans="1:2" x14ac:dyDescent="0.3">
      <c r="A3" s="9" t="s">
        <v>257</v>
      </c>
      <c r="B3" s="8" t="s">
        <v>269</v>
      </c>
    </row>
    <row r="4" spans="1:2" x14ac:dyDescent="0.3">
      <c r="A4" s="9" t="s">
        <v>258</v>
      </c>
      <c r="B4" s="8" t="s">
        <v>269</v>
      </c>
    </row>
    <row r="5" spans="1:2" x14ac:dyDescent="0.3">
      <c r="A5" s="9" t="s">
        <v>259</v>
      </c>
      <c r="B5" s="8" t="s">
        <v>269</v>
      </c>
    </row>
    <row r="6" spans="1:2" x14ac:dyDescent="0.3">
      <c r="A6" s="9" t="s">
        <v>272</v>
      </c>
      <c r="B6" s="8" t="s">
        <v>269</v>
      </c>
    </row>
    <row r="7" spans="1:2" x14ac:dyDescent="0.3">
      <c r="A7" s="9" t="s">
        <v>264</v>
      </c>
      <c r="B7" s="8" t="s">
        <v>270</v>
      </c>
    </row>
    <row r="8" spans="1:2" x14ac:dyDescent="0.3">
      <c r="A8" s="9" t="s">
        <v>265</v>
      </c>
      <c r="B8" s="8" t="s">
        <v>270</v>
      </c>
    </row>
    <row r="9" spans="1:2" x14ac:dyDescent="0.3">
      <c r="A9" s="9" t="s">
        <v>261</v>
      </c>
      <c r="B9" s="8" t="s">
        <v>270</v>
      </c>
    </row>
    <row r="10" spans="1:2" x14ac:dyDescent="0.3">
      <c r="A10" s="9" t="s">
        <v>263</v>
      </c>
      <c r="B10" s="8" t="s">
        <v>270</v>
      </c>
    </row>
    <row r="11" spans="1:2" x14ac:dyDescent="0.3">
      <c r="A11" s="9" t="s">
        <v>260</v>
      </c>
      <c r="B11" s="8" t="s">
        <v>270</v>
      </c>
    </row>
    <row r="12" spans="1:2" x14ac:dyDescent="0.3">
      <c r="A12" s="9" t="s">
        <v>262</v>
      </c>
      <c r="B12" s="8" t="s">
        <v>270</v>
      </c>
    </row>
    <row r="13" spans="1:2" x14ac:dyDescent="0.3">
      <c r="A13" s="9" t="s">
        <v>268</v>
      </c>
      <c r="B13" s="8" t="s">
        <v>270</v>
      </c>
    </row>
    <row r="14" spans="1:2" x14ac:dyDescent="0.3">
      <c r="A14" s="9" t="s">
        <v>266</v>
      </c>
      <c r="B14" s="8" t="s">
        <v>270</v>
      </c>
    </row>
    <row r="15" spans="1:2" x14ac:dyDescent="0.3">
      <c r="A15" s="9" t="s">
        <v>267</v>
      </c>
      <c r="B15" s="8" t="s">
        <v>270</v>
      </c>
    </row>
    <row r="16" spans="1:2" x14ac:dyDescent="0.3">
      <c r="A16" s="9" t="s">
        <v>273</v>
      </c>
      <c r="B16" s="8" t="s">
        <v>270</v>
      </c>
    </row>
    <row r="17" spans="1:2" x14ac:dyDescent="0.3">
      <c r="A17" s="9" t="s">
        <v>149</v>
      </c>
      <c r="B17" s="8" t="s">
        <v>270</v>
      </c>
    </row>
    <row r="18" spans="1:2" x14ac:dyDescent="0.3">
      <c r="A18" s="9" t="s">
        <v>154</v>
      </c>
      <c r="B18" s="8" t="s">
        <v>270</v>
      </c>
    </row>
    <row r="19" spans="1:2" x14ac:dyDescent="0.3">
      <c r="A19" s="9" t="s">
        <v>163</v>
      </c>
      <c r="B19" s="8" t="s">
        <v>270</v>
      </c>
    </row>
    <row r="20" spans="1:2" x14ac:dyDescent="0.3">
      <c r="A20" s="9" t="s">
        <v>177</v>
      </c>
      <c r="B20" s="8" t="s">
        <v>270</v>
      </c>
    </row>
    <row r="21" spans="1:2" x14ac:dyDescent="0.3">
      <c r="A21" s="9" t="s">
        <v>182</v>
      </c>
      <c r="B21" s="8" t="s">
        <v>270</v>
      </c>
    </row>
    <row r="22" spans="1:2" x14ac:dyDescent="0.3">
      <c r="A22" s="9" t="s">
        <v>184</v>
      </c>
      <c r="B22" s="8" t="s">
        <v>270</v>
      </c>
    </row>
    <row r="23" spans="1:2" x14ac:dyDescent="0.3">
      <c r="A23" s="9" t="s">
        <v>190</v>
      </c>
      <c r="B23" s="8" t="s">
        <v>270</v>
      </c>
    </row>
    <row r="24" spans="1:2" x14ac:dyDescent="0.3">
      <c r="A24" s="9" t="s">
        <v>193</v>
      </c>
      <c r="B24" s="8" t="s">
        <v>270</v>
      </c>
    </row>
    <row r="25" spans="1:2" x14ac:dyDescent="0.3">
      <c r="A25" s="9" t="s">
        <v>200</v>
      </c>
      <c r="B25" s="8" t="s">
        <v>270</v>
      </c>
    </row>
    <row r="26" spans="1:2" x14ac:dyDescent="0.3">
      <c r="A26" s="9" t="s">
        <v>206</v>
      </c>
      <c r="B26" s="8" t="s">
        <v>270</v>
      </c>
    </row>
    <row r="27" spans="1:2" x14ac:dyDescent="0.3">
      <c r="A27" s="9" t="s">
        <v>211</v>
      </c>
      <c r="B27" s="8" t="s">
        <v>270</v>
      </c>
    </row>
    <row r="28" spans="1:2" x14ac:dyDescent="0.3">
      <c r="A28" s="9" t="s">
        <v>213</v>
      </c>
      <c r="B28" s="8" t="s">
        <v>270</v>
      </c>
    </row>
    <row r="29" spans="1:2" x14ac:dyDescent="0.3">
      <c r="A29" s="9" t="s">
        <v>150</v>
      </c>
      <c r="B29" s="8" t="s">
        <v>270</v>
      </c>
    </row>
    <row r="30" spans="1:2" x14ac:dyDescent="0.3">
      <c r="A30" s="9" t="s">
        <v>151</v>
      </c>
      <c r="B30" s="8" t="s">
        <v>270</v>
      </c>
    </row>
    <row r="31" spans="1:2" x14ac:dyDescent="0.3">
      <c r="A31" s="9" t="s">
        <v>153</v>
      </c>
      <c r="B31" s="8" t="s">
        <v>270</v>
      </c>
    </row>
    <row r="32" spans="1:2" x14ac:dyDescent="0.3">
      <c r="A32" s="9" t="s">
        <v>160</v>
      </c>
      <c r="B32" s="8" t="s">
        <v>270</v>
      </c>
    </row>
    <row r="33" spans="1:2" x14ac:dyDescent="0.3">
      <c r="A33" s="9" t="s">
        <v>164</v>
      </c>
      <c r="B33" s="8" t="s">
        <v>270</v>
      </c>
    </row>
    <row r="34" spans="1:2" x14ac:dyDescent="0.3">
      <c r="A34" s="9" t="s">
        <v>175</v>
      </c>
      <c r="B34" s="8" t="s">
        <v>270</v>
      </c>
    </row>
    <row r="35" spans="1:2" x14ac:dyDescent="0.3">
      <c r="A35" s="9" t="s">
        <v>176</v>
      </c>
      <c r="B35" s="8" t="s">
        <v>270</v>
      </c>
    </row>
    <row r="36" spans="1:2" x14ac:dyDescent="0.3">
      <c r="A36" s="9" t="s">
        <v>178</v>
      </c>
      <c r="B36" s="8" t="s">
        <v>270</v>
      </c>
    </row>
    <row r="37" spans="1:2" x14ac:dyDescent="0.3">
      <c r="A37" s="9" t="s">
        <v>186</v>
      </c>
      <c r="B37" s="8" t="s">
        <v>270</v>
      </c>
    </row>
    <row r="38" spans="1:2" x14ac:dyDescent="0.3">
      <c r="A38" s="9" t="s">
        <v>197</v>
      </c>
      <c r="B38" s="8" t="s">
        <v>270</v>
      </c>
    </row>
    <row r="39" spans="1:2" x14ac:dyDescent="0.3">
      <c r="A39" s="9" t="s">
        <v>198</v>
      </c>
      <c r="B39" s="8" t="s">
        <v>270</v>
      </c>
    </row>
    <row r="40" spans="1:2" x14ac:dyDescent="0.3">
      <c r="A40" s="9" t="s">
        <v>199</v>
      </c>
      <c r="B40" s="8" t="s">
        <v>270</v>
      </c>
    </row>
    <row r="41" spans="1:2" x14ac:dyDescent="0.3">
      <c r="A41" s="9" t="s">
        <v>204</v>
      </c>
      <c r="B41" s="8" t="s">
        <v>270</v>
      </c>
    </row>
    <row r="42" spans="1:2" x14ac:dyDescent="0.3">
      <c r="A42" s="9" t="s">
        <v>208</v>
      </c>
      <c r="B42" s="8" t="s">
        <v>270</v>
      </c>
    </row>
    <row r="43" spans="1:2" x14ac:dyDescent="0.3">
      <c r="A43" s="9" t="s">
        <v>209</v>
      </c>
      <c r="B43" s="8" t="s">
        <v>270</v>
      </c>
    </row>
    <row r="44" spans="1:2" x14ac:dyDescent="0.3">
      <c r="A44" s="9" t="s">
        <v>168</v>
      </c>
      <c r="B44" s="8" t="s">
        <v>270</v>
      </c>
    </row>
    <row r="45" spans="1:2" x14ac:dyDescent="0.3">
      <c r="A45" s="9" t="s">
        <v>180</v>
      </c>
      <c r="B45" s="8" t="s">
        <v>270</v>
      </c>
    </row>
    <row r="46" spans="1:2" x14ac:dyDescent="0.3">
      <c r="A46" s="9" t="s">
        <v>185</v>
      </c>
      <c r="B46" s="8" t="s">
        <v>270</v>
      </c>
    </row>
    <row r="47" spans="1:2" x14ac:dyDescent="0.3">
      <c r="A47" s="9" t="s">
        <v>189</v>
      </c>
      <c r="B47" s="8" t="s">
        <v>270</v>
      </c>
    </row>
    <row r="48" spans="1:2" x14ac:dyDescent="0.3">
      <c r="A48" s="9" t="s">
        <v>196</v>
      </c>
      <c r="B48" s="8" t="s">
        <v>270</v>
      </c>
    </row>
    <row r="49" spans="1:2" x14ac:dyDescent="0.3">
      <c r="A49" s="9" t="s">
        <v>148</v>
      </c>
      <c r="B49" s="8" t="s">
        <v>270</v>
      </c>
    </row>
    <row r="50" spans="1:2" x14ac:dyDescent="0.3">
      <c r="A50" s="9" t="s">
        <v>158</v>
      </c>
      <c r="B50" s="8" t="s">
        <v>270</v>
      </c>
    </row>
    <row r="51" spans="1:2" x14ac:dyDescent="0.3">
      <c r="A51" s="9" t="s">
        <v>159</v>
      </c>
      <c r="B51" s="8" t="s">
        <v>270</v>
      </c>
    </row>
    <row r="52" spans="1:2" x14ac:dyDescent="0.3">
      <c r="A52" s="9" t="s">
        <v>167</v>
      </c>
      <c r="B52" s="8" t="s">
        <v>270</v>
      </c>
    </row>
    <row r="53" spans="1:2" x14ac:dyDescent="0.3">
      <c r="A53" s="9" t="s">
        <v>169</v>
      </c>
      <c r="B53" s="8" t="s">
        <v>270</v>
      </c>
    </row>
    <row r="54" spans="1:2" x14ac:dyDescent="0.3">
      <c r="A54" s="9" t="s">
        <v>174</v>
      </c>
      <c r="B54" s="8" t="s">
        <v>270</v>
      </c>
    </row>
    <row r="55" spans="1:2" x14ac:dyDescent="0.3">
      <c r="A55" s="9" t="s">
        <v>181</v>
      </c>
      <c r="B55" s="8" t="s">
        <v>270</v>
      </c>
    </row>
    <row r="56" spans="1:2" x14ac:dyDescent="0.3">
      <c r="A56" s="9" t="s">
        <v>210</v>
      </c>
      <c r="B56" s="8" t="s">
        <v>270</v>
      </c>
    </row>
    <row r="57" spans="1:2" x14ac:dyDescent="0.3">
      <c r="A57" s="9" t="s">
        <v>155</v>
      </c>
      <c r="B57" s="8" t="s">
        <v>270</v>
      </c>
    </row>
    <row r="58" spans="1:2" x14ac:dyDescent="0.3">
      <c r="A58" s="9" t="s">
        <v>156</v>
      </c>
      <c r="B58" s="8" t="s">
        <v>270</v>
      </c>
    </row>
    <row r="59" spans="1:2" x14ac:dyDescent="0.3">
      <c r="A59" s="9" t="s">
        <v>161</v>
      </c>
      <c r="B59" s="8" t="s">
        <v>270</v>
      </c>
    </row>
    <row r="60" spans="1:2" x14ac:dyDescent="0.3">
      <c r="A60" s="9" t="s">
        <v>162</v>
      </c>
      <c r="B60" s="8" t="s">
        <v>270</v>
      </c>
    </row>
    <row r="61" spans="1:2" x14ac:dyDescent="0.3">
      <c r="A61" s="9" t="s">
        <v>165</v>
      </c>
      <c r="B61" s="8" t="s">
        <v>270</v>
      </c>
    </row>
    <row r="62" spans="1:2" x14ac:dyDescent="0.3">
      <c r="A62" s="9" t="s">
        <v>166</v>
      </c>
      <c r="B62" s="8" t="s">
        <v>270</v>
      </c>
    </row>
    <row r="63" spans="1:2" x14ac:dyDescent="0.3">
      <c r="A63" s="9" t="s">
        <v>183</v>
      </c>
      <c r="B63" s="8" t="s">
        <v>270</v>
      </c>
    </row>
    <row r="64" spans="1:2" x14ac:dyDescent="0.3">
      <c r="A64" s="9" t="s">
        <v>191</v>
      </c>
      <c r="B64" s="8" t="s">
        <v>270</v>
      </c>
    </row>
    <row r="65" spans="1:2" x14ac:dyDescent="0.3">
      <c r="A65" s="9" t="s">
        <v>201</v>
      </c>
      <c r="B65" s="8" t="s">
        <v>270</v>
      </c>
    </row>
    <row r="66" spans="1:2" x14ac:dyDescent="0.3">
      <c r="A66" s="9" t="s">
        <v>202</v>
      </c>
      <c r="B66" s="8" t="s">
        <v>270</v>
      </c>
    </row>
    <row r="67" spans="1:2" x14ac:dyDescent="0.3">
      <c r="A67" s="9" t="s">
        <v>212</v>
      </c>
      <c r="B67" s="8" t="s">
        <v>270</v>
      </c>
    </row>
    <row r="68" spans="1:2" x14ac:dyDescent="0.3">
      <c r="A68" s="9" t="s">
        <v>214</v>
      </c>
      <c r="B68" s="8" t="s">
        <v>270</v>
      </c>
    </row>
    <row r="69" spans="1:2" x14ac:dyDescent="0.3">
      <c r="A69" s="9" t="s">
        <v>152</v>
      </c>
      <c r="B69" s="8" t="s">
        <v>270</v>
      </c>
    </row>
    <row r="70" spans="1:2" x14ac:dyDescent="0.3">
      <c r="A70" s="9" t="s">
        <v>171</v>
      </c>
      <c r="B70" s="8" t="s">
        <v>270</v>
      </c>
    </row>
    <row r="71" spans="1:2" x14ac:dyDescent="0.3">
      <c r="A71" s="9" t="s">
        <v>172</v>
      </c>
      <c r="B71" s="8" t="s">
        <v>270</v>
      </c>
    </row>
    <row r="72" spans="1:2" x14ac:dyDescent="0.3">
      <c r="A72" s="9" t="s">
        <v>187</v>
      </c>
      <c r="B72" s="8" t="s">
        <v>270</v>
      </c>
    </row>
    <row r="73" spans="1:2" x14ac:dyDescent="0.3">
      <c r="A73" s="9" t="s">
        <v>194</v>
      </c>
      <c r="B73" s="8" t="s">
        <v>270</v>
      </c>
    </row>
    <row r="74" spans="1:2" x14ac:dyDescent="0.3">
      <c r="A74" s="9" t="s">
        <v>203</v>
      </c>
      <c r="B74" s="8" t="s">
        <v>270</v>
      </c>
    </row>
    <row r="75" spans="1:2" x14ac:dyDescent="0.3">
      <c r="A75" s="9" t="s">
        <v>205</v>
      </c>
      <c r="B75" s="8" t="s">
        <v>270</v>
      </c>
    </row>
    <row r="76" spans="1:2" x14ac:dyDescent="0.3">
      <c r="A76" s="9" t="s">
        <v>207</v>
      </c>
      <c r="B76" s="8" t="s">
        <v>270</v>
      </c>
    </row>
    <row r="77" spans="1:2" x14ac:dyDescent="0.3">
      <c r="A77" s="9" t="s">
        <v>338</v>
      </c>
      <c r="B77" s="8" t="s">
        <v>270</v>
      </c>
    </row>
    <row r="78" spans="1:2" x14ac:dyDescent="0.3">
      <c r="A78" s="9" t="s">
        <v>337</v>
      </c>
      <c r="B78" s="8" t="s">
        <v>270</v>
      </c>
    </row>
    <row r="79" spans="1:2" x14ac:dyDescent="0.3">
      <c r="A79" s="9" t="s">
        <v>146</v>
      </c>
      <c r="B79" s="8" t="s">
        <v>269</v>
      </c>
    </row>
    <row r="80" spans="1:2" x14ac:dyDescent="0.3">
      <c r="A80" s="9" t="s">
        <v>157</v>
      </c>
      <c r="B80" s="8" t="s">
        <v>270</v>
      </c>
    </row>
    <row r="81" spans="1:2" x14ac:dyDescent="0.3">
      <c r="A81" s="9" t="s">
        <v>170</v>
      </c>
      <c r="B81" s="8" t="s">
        <v>270</v>
      </c>
    </row>
    <row r="82" spans="1:2" x14ac:dyDescent="0.3">
      <c r="A82" s="9" t="s">
        <v>179</v>
      </c>
      <c r="B82" s="8" t="s">
        <v>270</v>
      </c>
    </row>
    <row r="83" spans="1:2" x14ac:dyDescent="0.3">
      <c r="A83" s="9" t="s">
        <v>188</v>
      </c>
      <c r="B83" s="8" t="s">
        <v>270</v>
      </c>
    </row>
    <row r="84" spans="1:2" x14ac:dyDescent="0.3">
      <c r="A84" s="9" t="s">
        <v>192</v>
      </c>
      <c r="B84" s="8" t="s">
        <v>270</v>
      </c>
    </row>
    <row r="85" spans="1:2" x14ac:dyDescent="0.3">
      <c r="A85" s="9" t="s">
        <v>195</v>
      </c>
      <c r="B85" s="8" t="s">
        <v>270</v>
      </c>
    </row>
    <row r="86" spans="1:2" x14ac:dyDescent="0.3">
      <c r="A86" s="9" t="s">
        <v>215</v>
      </c>
      <c r="B86" s="8" t="s">
        <v>270</v>
      </c>
    </row>
    <row r="87" spans="1:2" x14ac:dyDescent="0.3">
      <c r="A87" s="9" t="s">
        <v>147</v>
      </c>
      <c r="B87" s="8" t="s">
        <v>269</v>
      </c>
    </row>
    <row r="88" spans="1:2" x14ac:dyDescent="0.3">
      <c r="A88" s="8" t="s">
        <v>216</v>
      </c>
      <c r="B88" s="8" t="s">
        <v>270</v>
      </c>
    </row>
    <row r="89" spans="1:2" x14ac:dyDescent="0.3">
      <c r="A89" s="8" t="s">
        <v>217</v>
      </c>
      <c r="B89" s="8" t="s">
        <v>270</v>
      </c>
    </row>
    <row r="90" spans="1:2" x14ac:dyDescent="0.3">
      <c r="A90" s="8" t="s">
        <v>218</v>
      </c>
      <c r="B90" s="8" t="s">
        <v>270</v>
      </c>
    </row>
    <row r="91" spans="1:2" x14ac:dyDescent="0.3">
      <c r="A91" s="8" t="s">
        <v>219</v>
      </c>
      <c r="B91" s="8" t="s">
        <v>270</v>
      </c>
    </row>
    <row r="92" spans="1:2" x14ac:dyDescent="0.3">
      <c r="A92" s="8" t="s">
        <v>220</v>
      </c>
      <c r="B92" s="8" t="s">
        <v>270</v>
      </c>
    </row>
    <row r="93" spans="1:2" x14ac:dyDescent="0.3">
      <c r="A93" s="8" t="s">
        <v>222</v>
      </c>
      <c r="B93" s="8" t="s">
        <v>270</v>
      </c>
    </row>
    <row r="94" spans="1:2" x14ac:dyDescent="0.3">
      <c r="A94" s="8" t="s">
        <v>223</v>
      </c>
      <c r="B94" s="8" t="s">
        <v>270</v>
      </c>
    </row>
    <row r="95" spans="1:2" x14ac:dyDescent="0.3">
      <c r="A95" s="8" t="s">
        <v>224</v>
      </c>
      <c r="B95" s="8" t="s">
        <v>270</v>
      </c>
    </row>
    <row r="96" spans="1:2" x14ac:dyDescent="0.3">
      <c r="A96" s="8" t="s">
        <v>225</v>
      </c>
      <c r="B96" s="8" t="s">
        <v>270</v>
      </c>
    </row>
    <row r="97" spans="1:2" x14ac:dyDescent="0.3">
      <c r="A97" s="8" t="s">
        <v>226</v>
      </c>
      <c r="B97" s="8" t="s">
        <v>270</v>
      </c>
    </row>
    <row r="98" spans="1:2" x14ac:dyDescent="0.3">
      <c r="A98" s="8" t="s">
        <v>227</v>
      </c>
      <c r="B98" s="8" t="s">
        <v>270</v>
      </c>
    </row>
    <row r="99" spans="1:2" x14ac:dyDescent="0.3">
      <c r="A99" s="8" t="s">
        <v>229</v>
      </c>
      <c r="B99" s="8" t="s">
        <v>270</v>
      </c>
    </row>
    <row r="100" spans="1:2" x14ac:dyDescent="0.3">
      <c r="A100" s="8" t="s">
        <v>230</v>
      </c>
      <c r="B100" s="8" t="s">
        <v>270</v>
      </c>
    </row>
    <row r="101" spans="1:2" x14ac:dyDescent="0.3">
      <c r="A101" s="8" t="s">
        <v>231</v>
      </c>
      <c r="B101" s="8" t="s">
        <v>270</v>
      </c>
    </row>
    <row r="102" spans="1:2" x14ac:dyDescent="0.3">
      <c r="A102" s="8" t="s">
        <v>232</v>
      </c>
      <c r="B102" s="8" t="s">
        <v>270</v>
      </c>
    </row>
    <row r="103" spans="1:2" x14ac:dyDescent="0.3">
      <c r="A103" s="8" t="s">
        <v>233</v>
      </c>
      <c r="B103" s="8" t="s">
        <v>270</v>
      </c>
    </row>
    <row r="104" spans="1:2" x14ac:dyDescent="0.3">
      <c r="A104" s="8" t="s">
        <v>234</v>
      </c>
      <c r="B104" s="8" t="s">
        <v>270</v>
      </c>
    </row>
    <row r="105" spans="1:2" x14ac:dyDescent="0.3">
      <c r="A105" s="8" t="s">
        <v>235</v>
      </c>
      <c r="B105" s="8" t="s">
        <v>270</v>
      </c>
    </row>
    <row r="106" spans="1:2" x14ac:dyDescent="0.3">
      <c r="A106" s="8" t="s">
        <v>236</v>
      </c>
      <c r="B106" s="8" t="s">
        <v>270</v>
      </c>
    </row>
    <row r="107" spans="1:2" x14ac:dyDescent="0.3">
      <c r="A107" s="8" t="s">
        <v>237</v>
      </c>
      <c r="B107" s="8" t="s">
        <v>270</v>
      </c>
    </row>
    <row r="108" spans="1:2" x14ac:dyDescent="0.3">
      <c r="A108" s="8" t="s">
        <v>238</v>
      </c>
      <c r="B108" s="8" t="s">
        <v>270</v>
      </c>
    </row>
    <row r="109" spans="1:2" x14ac:dyDescent="0.3">
      <c r="A109" s="8" t="s">
        <v>239</v>
      </c>
      <c r="B109" s="8" t="s">
        <v>270</v>
      </c>
    </row>
    <row r="110" spans="1:2" x14ac:dyDescent="0.3">
      <c r="A110" s="8" t="s">
        <v>240</v>
      </c>
      <c r="B110" s="8" t="s">
        <v>270</v>
      </c>
    </row>
    <row r="111" spans="1:2" x14ac:dyDescent="0.3">
      <c r="A111" s="8" t="s">
        <v>241</v>
      </c>
      <c r="B111" s="8" t="s">
        <v>270</v>
      </c>
    </row>
    <row r="112" spans="1:2" x14ac:dyDescent="0.3">
      <c r="A112" s="8" t="s">
        <v>242</v>
      </c>
      <c r="B112" s="8" t="s">
        <v>270</v>
      </c>
    </row>
    <row r="113" spans="1:2" x14ac:dyDescent="0.3">
      <c r="A113" s="8" t="s">
        <v>242</v>
      </c>
      <c r="B113" s="8" t="s">
        <v>270</v>
      </c>
    </row>
    <row r="114" spans="1:2" x14ac:dyDescent="0.3">
      <c r="A114" s="8" t="s">
        <v>243</v>
      </c>
      <c r="B114" s="8" t="s">
        <v>270</v>
      </c>
    </row>
    <row r="115" spans="1:2" x14ac:dyDescent="0.3">
      <c r="A115" s="9" t="s">
        <v>90</v>
      </c>
      <c r="B115" s="8" t="s">
        <v>270</v>
      </c>
    </row>
    <row r="116" spans="1:2" x14ac:dyDescent="0.3">
      <c r="A116" s="9" t="s">
        <v>127</v>
      </c>
      <c r="B116" s="8" t="s">
        <v>270</v>
      </c>
    </row>
    <row r="117" spans="1:2" x14ac:dyDescent="0.3">
      <c r="A117" s="9" t="s">
        <v>73</v>
      </c>
      <c r="B117" s="8" t="s">
        <v>269</v>
      </c>
    </row>
    <row r="118" spans="1:2" x14ac:dyDescent="0.3">
      <c r="A118" s="9" t="s">
        <v>74</v>
      </c>
      <c r="B118" s="8" t="s">
        <v>269</v>
      </c>
    </row>
    <row r="119" spans="1:2" x14ac:dyDescent="0.3">
      <c r="A119" s="9" t="s">
        <v>79</v>
      </c>
      <c r="B119" s="8" t="s">
        <v>270</v>
      </c>
    </row>
    <row r="120" spans="1:2" x14ac:dyDescent="0.3">
      <c r="A120" s="9" t="s">
        <v>85</v>
      </c>
      <c r="B120" s="8" t="s">
        <v>270</v>
      </c>
    </row>
    <row r="121" spans="1:2" x14ac:dyDescent="0.3">
      <c r="A121" s="9" t="s">
        <v>99</v>
      </c>
      <c r="B121" s="8" t="s">
        <v>270</v>
      </c>
    </row>
    <row r="122" spans="1:2" x14ac:dyDescent="0.3">
      <c r="A122" s="9" t="s">
        <v>103</v>
      </c>
      <c r="B122" s="8" t="s">
        <v>270</v>
      </c>
    </row>
    <row r="123" spans="1:2" x14ac:dyDescent="0.3">
      <c r="A123" s="9" t="s">
        <v>106</v>
      </c>
      <c r="B123" s="8" t="s">
        <v>270</v>
      </c>
    </row>
    <row r="124" spans="1:2" x14ac:dyDescent="0.3">
      <c r="A124" s="9" t="s">
        <v>108</v>
      </c>
      <c r="B124" s="8" t="s">
        <v>270</v>
      </c>
    </row>
    <row r="125" spans="1:2" x14ac:dyDescent="0.3">
      <c r="A125" s="9" t="s">
        <v>111</v>
      </c>
      <c r="B125" s="8" t="s">
        <v>270</v>
      </c>
    </row>
    <row r="126" spans="1:2" x14ac:dyDescent="0.3">
      <c r="A126" s="9" t="s">
        <v>118</v>
      </c>
      <c r="B126" s="8" t="s">
        <v>270</v>
      </c>
    </row>
    <row r="127" spans="1:2" x14ac:dyDescent="0.3">
      <c r="A127" s="9" t="s">
        <v>121</v>
      </c>
      <c r="B127" s="8" t="s">
        <v>270</v>
      </c>
    </row>
    <row r="128" spans="1:2" x14ac:dyDescent="0.3">
      <c r="A128" s="9" t="s">
        <v>124</v>
      </c>
      <c r="B128" s="8" t="s">
        <v>270</v>
      </c>
    </row>
    <row r="129" spans="1:2" x14ac:dyDescent="0.3">
      <c r="A129" s="9" t="s">
        <v>129</v>
      </c>
      <c r="B129" s="8" t="s">
        <v>270</v>
      </c>
    </row>
    <row r="130" spans="1:2" x14ac:dyDescent="0.3">
      <c r="A130" s="9" t="s">
        <v>95</v>
      </c>
      <c r="B130" s="8" t="s">
        <v>270</v>
      </c>
    </row>
    <row r="131" spans="1:2" x14ac:dyDescent="0.3">
      <c r="A131" s="9" t="s">
        <v>101</v>
      </c>
      <c r="B131" s="8" t="s">
        <v>270</v>
      </c>
    </row>
    <row r="132" spans="1:2" x14ac:dyDescent="0.3">
      <c r="A132" s="9" t="s">
        <v>128</v>
      </c>
      <c r="B132" s="8" t="s">
        <v>270</v>
      </c>
    </row>
    <row r="133" spans="1:2" x14ac:dyDescent="0.3">
      <c r="A133" s="9" t="s">
        <v>131</v>
      </c>
      <c r="B133" s="8" t="s">
        <v>270</v>
      </c>
    </row>
    <row r="134" spans="1:2" x14ac:dyDescent="0.3">
      <c r="A134" s="9" t="s">
        <v>72</v>
      </c>
      <c r="B134" s="8" t="s">
        <v>269</v>
      </c>
    </row>
    <row r="135" spans="1:2" x14ac:dyDescent="0.3">
      <c r="A135" s="9" t="s">
        <v>81</v>
      </c>
      <c r="B135" s="8" t="s">
        <v>270</v>
      </c>
    </row>
    <row r="136" spans="1:2" x14ac:dyDescent="0.3">
      <c r="A136" s="9" t="s">
        <v>91</v>
      </c>
      <c r="B136" s="8" t="s">
        <v>270</v>
      </c>
    </row>
    <row r="137" spans="1:2" x14ac:dyDescent="0.3">
      <c r="A137" s="9" t="s">
        <v>100</v>
      </c>
      <c r="B137" s="8" t="s">
        <v>270</v>
      </c>
    </row>
    <row r="138" spans="1:2" x14ac:dyDescent="0.3">
      <c r="A138" s="9" t="s">
        <v>117</v>
      </c>
      <c r="B138" s="8" t="s">
        <v>270</v>
      </c>
    </row>
    <row r="139" spans="1:2" x14ac:dyDescent="0.3">
      <c r="A139" s="9" t="s">
        <v>133</v>
      </c>
      <c r="B139" s="8" t="s">
        <v>270</v>
      </c>
    </row>
    <row r="140" spans="1:2" x14ac:dyDescent="0.3">
      <c r="A140" s="9" t="s">
        <v>75</v>
      </c>
      <c r="B140" s="8" t="s">
        <v>270</v>
      </c>
    </row>
    <row r="141" spans="1:2" x14ac:dyDescent="0.3">
      <c r="A141" s="9" t="s">
        <v>76</v>
      </c>
      <c r="B141" s="8" t="s">
        <v>270</v>
      </c>
    </row>
    <row r="142" spans="1:2" x14ac:dyDescent="0.3">
      <c r="A142" s="9" t="s">
        <v>77</v>
      </c>
      <c r="B142" s="8" t="s">
        <v>270</v>
      </c>
    </row>
    <row r="143" spans="1:2" x14ac:dyDescent="0.3">
      <c r="A143" s="9" t="s">
        <v>78</v>
      </c>
      <c r="B143" s="8" t="s">
        <v>270</v>
      </c>
    </row>
    <row r="144" spans="1:2" x14ac:dyDescent="0.3">
      <c r="A144" s="9" t="s">
        <v>83</v>
      </c>
      <c r="B144" s="8" t="s">
        <v>270</v>
      </c>
    </row>
    <row r="145" spans="1:2" x14ac:dyDescent="0.3">
      <c r="A145" s="9" t="s">
        <v>87</v>
      </c>
      <c r="B145" s="8" t="s">
        <v>270</v>
      </c>
    </row>
    <row r="146" spans="1:2" x14ac:dyDescent="0.3">
      <c r="A146" s="9" t="s">
        <v>88</v>
      </c>
      <c r="B146" s="8" t="s">
        <v>270</v>
      </c>
    </row>
    <row r="147" spans="1:2" x14ac:dyDescent="0.3">
      <c r="A147" s="9" t="s">
        <v>92</v>
      </c>
      <c r="B147" s="8" t="s">
        <v>270</v>
      </c>
    </row>
    <row r="148" spans="1:2" x14ac:dyDescent="0.3">
      <c r="A148" s="9" t="s">
        <v>93</v>
      </c>
      <c r="B148" s="8" t="s">
        <v>270</v>
      </c>
    </row>
    <row r="149" spans="1:2" x14ac:dyDescent="0.3">
      <c r="A149" s="9" t="s">
        <v>97</v>
      </c>
      <c r="B149" s="8" t="s">
        <v>270</v>
      </c>
    </row>
    <row r="150" spans="1:2" x14ac:dyDescent="0.3">
      <c r="A150" s="9" t="s">
        <v>105</v>
      </c>
      <c r="B150" s="8" t="s">
        <v>270</v>
      </c>
    </row>
    <row r="151" spans="1:2" x14ac:dyDescent="0.3">
      <c r="A151" s="9" t="s">
        <v>109</v>
      </c>
      <c r="B151" s="8" t="s">
        <v>270</v>
      </c>
    </row>
    <row r="152" spans="1:2" x14ac:dyDescent="0.3">
      <c r="A152" s="9" t="s">
        <v>110</v>
      </c>
      <c r="B152" s="8" t="s">
        <v>270</v>
      </c>
    </row>
    <row r="153" spans="1:2" x14ac:dyDescent="0.3">
      <c r="A153" s="9" t="s">
        <v>115</v>
      </c>
      <c r="B153" s="8" t="s">
        <v>270</v>
      </c>
    </row>
    <row r="154" spans="1:2" x14ac:dyDescent="0.3">
      <c r="A154" s="9" t="s">
        <v>122</v>
      </c>
      <c r="B154" s="8" t="s">
        <v>270</v>
      </c>
    </row>
    <row r="155" spans="1:2" x14ac:dyDescent="0.3">
      <c r="A155" s="9" t="s">
        <v>84</v>
      </c>
      <c r="B155" s="8" t="s">
        <v>270</v>
      </c>
    </row>
    <row r="156" spans="1:2" x14ac:dyDescent="0.3">
      <c r="A156" s="9" t="s">
        <v>102</v>
      </c>
      <c r="B156" s="8" t="s">
        <v>270</v>
      </c>
    </row>
    <row r="157" spans="1:2" x14ac:dyDescent="0.3">
      <c r="A157" s="9" t="s">
        <v>134</v>
      </c>
      <c r="B157" s="8" t="s">
        <v>270</v>
      </c>
    </row>
    <row r="158" spans="1:2" x14ac:dyDescent="0.3">
      <c r="A158" s="9" t="s">
        <v>136</v>
      </c>
      <c r="B158" s="8" t="s">
        <v>270</v>
      </c>
    </row>
    <row r="159" spans="1:2" x14ac:dyDescent="0.3">
      <c r="A159" s="9" t="s">
        <v>126</v>
      </c>
      <c r="B159" s="8" t="s">
        <v>270</v>
      </c>
    </row>
    <row r="160" spans="1:2" x14ac:dyDescent="0.3">
      <c r="A160" s="9" t="s">
        <v>80</v>
      </c>
      <c r="B160" s="8" t="s">
        <v>270</v>
      </c>
    </row>
    <row r="161" spans="1:2" x14ac:dyDescent="0.3">
      <c r="A161" s="9" t="s">
        <v>82</v>
      </c>
      <c r="B161" s="8" t="s">
        <v>270</v>
      </c>
    </row>
    <row r="162" spans="1:2" x14ac:dyDescent="0.3">
      <c r="A162" s="9" t="s">
        <v>86</v>
      </c>
      <c r="B162" s="8" t="s">
        <v>270</v>
      </c>
    </row>
    <row r="163" spans="1:2" x14ac:dyDescent="0.3">
      <c r="A163" s="9" t="s">
        <v>89</v>
      </c>
      <c r="B163" s="8" t="s">
        <v>270</v>
      </c>
    </row>
    <row r="164" spans="1:2" x14ac:dyDescent="0.3">
      <c r="A164" s="9" t="s">
        <v>94</v>
      </c>
      <c r="B164" s="8" t="s">
        <v>270</v>
      </c>
    </row>
    <row r="165" spans="1:2" x14ac:dyDescent="0.3">
      <c r="A165" s="9" t="s">
        <v>96</v>
      </c>
      <c r="B165" s="8" t="s">
        <v>270</v>
      </c>
    </row>
    <row r="166" spans="1:2" x14ac:dyDescent="0.3">
      <c r="A166" s="9" t="s">
        <v>98</v>
      </c>
      <c r="B166" s="8" t="s">
        <v>270</v>
      </c>
    </row>
    <row r="167" spans="1:2" x14ac:dyDescent="0.3">
      <c r="A167" s="9" t="s">
        <v>104</v>
      </c>
      <c r="B167" s="8" t="s">
        <v>270</v>
      </c>
    </row>
    <row r="168" spans="1:2" x14ac:dyDescent="0.3">
      <c r="A168" s="9" t="s">
        <v>107</v>
      </c>
      <c r="B168" s="8" t="s">
        <v>270</v>
      </c>
    </row>
    <row r="169" spans="1:2" x14ac:dyDescent="0.3">
      <c r="A169" s="9" t="s">
        <v>112</v>
      </c>
      <c r="B169" s="8" t="s">
        <v>270</v>
      </c>
    </row>
    <row r="170" spans="1:2" x14ac:dyDescent="0.3">
      <c r="A170" s="9" t="s">
        <v>113</v>
      </c>
      <c r="B170" s="8" t="s">
        <v>270</v>
      </c>
    </row>
    <row r="171" spans="1:2" x14ac:dyDescent="0.3">
      <c r="A171" s="9" t="s">
        <v>114</v>
      </c>
      <c r="B171" s="8" t="s">
        <v>270</v>
      </c>
    </row>
    <row r="172" spans="1:2" x14ac:dyDescent="0.3">
      <c r="A172" s="9" t="s">
        <v>116</v>
      </c>
      <c r="B172" s="8" t="s">
        <v>270</v>
      </c>
    </row>
    <row r="173" spans="1:2" x14ac:dyDescent="0.3">
      <c r="A173" s="9" t="s">
        <v>119</v>
      </c>
      <c r="B173" s="8" t="s">
        <v>270</v>
      </c>
    </row>
    <row r="174" spans="1:2" x14ac:dyDescent="0.3">
      <c r="A174" s="9" t="s">
        <v>120</v>
      </c>
      <c r="B174" s="8" t="s">
        <v>270</v>
      </c>
    </row>
    <row r="175" spans="1:2" x14ac:dyDescent="0.3">
      <c r="A175" s="9" t="s">
        <v>123</v>
      </c>
      <c r="B175" s="8" t="s">
        <v>270</v>
      </c>
    </row>
    <row r="176" spans="1:2" x14ac:dyDescent="0.3">
      <c r="A176" s="9" t="s">
        <v>125</v>
      </c>
      <c r="B176" s="8" t="s">
        <v>270</v>
      </c>
    </row>
    <row r="177" spans="1:2" x14ac:dyDescent="0.3">
      <c r="A177" s="9" t="s">
        <v>130</v>
      </c>
      <c r="B177" s="8" t="s">
        <v>270</v>
      </c>
    </row>
    <row r="178" spans="1:2" x14ac:dyDescent="0.3">
      <c r="A178" s="9" t="s">
        <v>132</v>
      </c>
      <c r="B178" s="8" t="s">
        <v>270</v>
      </c>
    </row>
    <row r="179" spans="1:2" x14ac:dyDescent="0.3">
      <c r="A179" s="9" t="s">
        <v>135</v>
      </c>
      <c r="B179" s="8" t="s">
        <v>270</v>
      </c>
    </row>
    <row r="180" spans="1:2" x14ac:dyDescent="0.3">
      <c r="A180" s="9" t="s">
        <v>255</v>
      </c>
      <c r="B180" s="8" t="s">
        <v>306</v>
      </c>
    </row>
    <row r="181" spans="1:2" x14ac:dyDescent="0.3">
      <c r="A181" s="9" t="s">
        <v>137</v>
      </c>
      <c r="B181" s="8" t="s">
        <v>271</v>
      </c>
    </row>
    <row r="182" spans="1:2" x14ac:dyDescent="0.3">
      <c r="A182" s="9" t="s">
        <v>138</v>
      </c>
      <c r="B182" s="8" t="s">
        <v>271</v>
      </c>
    </row>
    <row r="183" spans="1:2" x14ac:dyDescent="0.3">
      <c r="A183" s="9" t="s">
        <v>139</v>
      </c>
      <c r="B183" s="8" t="s">
        <v>271</v>
      </c>
    </row>
    <row r="184" spans="1:2" x14ac:dyDescent="0.3">
      <c r="A184" s="9" t="s">
        <v>140</v>
      </c>
      <c r="B184" s="8" t="s">
        <v>271</v>
      </c>
    </row>
    <row r="185" spans="1:2" x14ac:dyDescent="0.3">
      <c r="A185" s="9" t="s">
        <v>141</v>
      </c>
      <c r="B185" s="8" t="s">
        <v>271</v>
      </c>
    </row>
    <row r="186" spans="1:2" x14ac:dyDescent="0.3">
      <c r="A186" s="9" t="s">
        <v>142</v>
      </c>
      <c r="B186" s="8" t="s">
        <v>271</v>
      </c>
    </row>
    <row r="187" spans="1:2" x14ac:dyDescent="0.3">
      <c r="A187" s="9" t="s">
        <v>143</v>
      </c>
      <c r="B187" s="8" t="s">
        <v>271</v>
      </c>
    </row>
    <row r="188" spans="1:2" x14ac:dyDescent="0.3">
      <c r="A188" s="9" t="s">
        <v>144</v>
      </c>
      <c r="B188" s="8" t="s">
        <v>271</v>
      </c>
    </row>
    <row r="189" spans="1:2" x14ac:dyDescent="0.3">
      <c r="A189" s="9" t="s">
        <v>145</v>
      </c>
      <c r="B189" s="8" t="s">
        <v>271</v>
      </c>
    </row>
    <row r="190" spans="1:2" x14ac:dyDescent="0.3">
      <c r="A190" s="9" t="s">
        <v>244</v>
      </c>
      <c r="B190" s="8" t="s">
        <v>270</v>
      </c>
    </row>
    <row r="191" spans="1:2" x14ac:dyDescent="0.3">
      <c r="A191" s="9" t="s">
        <v>245</v>
      </c>
      <c r="B191" s="8" t="s">
        <v>270</v>
      </c>
    </row>
    <row r="192" spans="1:2" x14ac:dyDescent="0.3">
      <c r="A192" s="9" t="s">
        <v>246</v>
      </c>
      <c r="B192" s="8" t="s">
        <v>270</v>
      </c>
    </row>
    <row r="193" spans="1:2" x14ac:dyDescent="0.3">
      <c r="A193" s="9" t="s">
        <v>247</v>
      </c>
      <c r="B193" s="8" t="s">
        <v>270</v>
      </c>
    </row>
    <row r="194" spans="1:2" x14ac:dyDescent="0.3">
      <c r="A194" s="9" t="s">
        <v>248</v>
      </c>
      <c r="B194" s="8" t="s">
        <v>270</v>
      </c>
    </row>
    <row r="195" spans="1:2" x14ac:dyDescent="0.3">
      <c r="A195" s="9" t="s">
        <v>249</v>
      </c>
      <c r="B195" s="8" t="s">
        <v>270</v>
      </c>
    </row>
    <row r="196" spans="1:2" x14ac:dyDescent="0.3">
      <c r="A196" s="9" t="s">
        <v>250</v>
      </c>
      <c r="B196" s="8" t="s">
        <v>270</v>
      </c>
    </row>
    <row r="197" spans="1:2" x14ac:dyDescent="0.3">
      <c r="A197" s="9" t="s">
        <v>251</v>
      </c>
      <c r="B197" s="8" t="s">
        <v>270</v>
      </c>
    </row>
    <row r="198" spans="1:2" x14ac:dyDescent="0.3">
      <c r="A198" s="9" t="s">
        <v>252</v>
      </c>
      <c r="B198" s="8" t="s">
        <v>270</v>
      </c>
    </row>
    <row r="199" spans="1:2" x14ac:dyDescent="0.3">
      <c r="A199" s="9" t="s">
        <v>336</v>
      </c>
      <c r="B199" s="8" t="s">
        <v>270</v>
      </c>
    </row>
    <row r="200" spans="1:2" x14ac:dyDescent="0.3">
      <c r="A200" s="9" t="s">
        <v>254</v>
      </c>
      <c r="B200" s="8" t="s">
        <v>270</v>
      </c>
    </row>
    <row r="201" spans="1:2" x14ac:dyDescent="0.3">
      <c r="A201" s="9" t="s">
        <v>87</v>
      </c>
      <c r="B201" s="8" t="s">
        <v>307</v>
      </c>
    </row>
    <row r="202" spans="1:2" x14ac:dyDescent="0.3">
      <c r="A202" s="9" t="s">
        <v>274</v>
      </c>
      <c r="B202" s="8" t="s">
        <v>308</v>
      </c>
    </row>
    <row r="203" spans="1:2" x14ac:dyDescent="0.3">
      <c r="A203" s="9" t="s">
        <v>128</v>
      </c>
      <c r="B203" s="8" t="s">
        <v>307</v>
      </c>
    </row>
    <row r="204" spans="1:2" x14ac:dyDescent="0.3">
      <c r="A204" s="9" t="s">
        <v>275</v>
      </c>
      <c r="B204" s="8" t="s">
        <v>307</v>
      </c>
    </row>
    <row r="205" spans="1:2" x14ac:dyDescent="0.3">
      <c r="A205" s="9" t="s">
        <v>276</v>
      </c>
      <c r="B205" s="8" t="s">
        <v>307</v>
      </c>
    </row>
    <row r="206" spans="1:2" x14ac:dyDescent="0.3">
      <c r="A206" s="9" t="s">
        <v>277</v>
      </c>
      <c r="B206" s="8" t="s">
        <v>307</v>
      </c>
    </row>
    <row r="207" spans="1:2" x14ac:dyDescent="0.3">
      <c r="A207" s="9" t="s">
        <v>278</v>
      </c>
      <c r="B207" s="8" t="s">
        <v>307</v>
      </c>
    </row>
    <row r="208" spans="1:2" x14ac:dyDescent="0.3">
      <c r="A208" s="9" t="s">
        <v>173</v>
      </c>
      <c r="B208" s="8" t="s">
        <v>307</v>
      </c>
    </row>
    <row r="209" spans="1:2" x14ac:dyDescent="0.3">
      <c r="A209" s="9" t="s">
        <v>279</v>
      </c>
      <c r="B209" s="8" t="s">
        <v>307</v>
      </c>
    </row>
    <row r="210" spans="1:2" x14ac:dyDescent="0.3">
      <c r="A210" s="9" t="s">
        <v>90</v>
      </c>
      <c r="B210" s="8" t="s">
        <v>307</v>
      </c>
    </row>
    <row r="211" spans="1:2" x14ac:dyDescent="0.3">
      <c r="A211" s="9" t="s">
        <v>132</v>
      </c>
      <c r="B211" s="8" t="s">
        <v>307</v>
      </c>
    </row>
    <row r="212" spans="1:2" x14ac:dyDescent="0.3">
      <c r="A212" s="9" t="s">
        <v>280</v>
      </c>
      <c r="B212" s="8" t="s">
        <v>307</v>
      </c>
    </row>
    <row r="213" spans="1:2" x14ac:dyDescent="0.3">
      <c r="A213" s="9" t="s">
        <v>72</v>
      </c>
      <c r="B213" s="8" t="s">
        <v>309</v>
      </c>
    </row>
    <row r="214" spans="1:2" x14ac:dyDescent="0.3">
      <c r="A214" s="9" t="s">
        <v>281</v>
      </c>
      <c r="B214" s="8" t="s">
        <v>307</v>
      </c>
    </row>
    <row r="215" spans="1:2" x14ac:dyDescent="0.3">
      <c r="A215" s="9" t="s">
        <v>190</v>
      </c>
      <c r="B215" s="8" t="s">
        <v>307</v>
      </c>
    </row>
    <row r="216" spans="1:2" x14ac:dyDescent="0.3">
      <c r="A216" s="9" t="s">
        <v>282</v>
      </c>
      <c r="B216" s="8" t="s">
        <v>308</v>
      </c>
    </row>
    <row r="217" spans="1:2" x14ac:dyDescent="0.3">
      <c r="A217" s="9" t="s">
        <v>101</v>
      </c>
      <c r="B217" s="8" t="s">
        <v>307</v>
      </c>
    </row>
    <row r="218" spans="1:2" x14ac:dyDescent="0.3">
      <c r="A218" s="9" t="s">
        <v>283</v>
      </c>
      <c r="B218" s="8" t="s">
        <v>307</v>
      </c>
    </row>
    <row r="219" spans="1:2" x14ac:dyDescent="0.3">
      <c r="A219" s="9" t="s">
        <v>284</v>
      </c>
      <c r="B219" s="8" t="s">
        <v>307</v>
      </c>
    </row>
    <row r="220" spans="1:2" x14ac:dyDescent="0.3">
      <c r="A220" s="9" t="s">
        <v>285</v>
      </c>
      <c r="B220" s="8" t="s">
        <v>307</v>
      </c>
    </row>
    <row r="221" spans="1:2" x14ac:dyDescent="0.3">
      <c r="A221" s="9" t="s">
        <v>286</v>
      </c>
      <c r="B221" s="8" t="s">
        <v>308</v>
      </c>
    </row>
    <row r="222" spans="1:2" x14ac:dyDescent="0.3">
      <c r="A222" s="9" t="s">
        <v>287</v>
      </c>
      <c r="B222" s="8" t="s">
        <v>307</v>
      </c>
    </row>
    <row r="223" spans="1:2" x14ac:dyDescent="0.3">
      <c r="A223" s="9" t="s">
        <v>288</v>
      </c>
      <c r="B223" s="8" t="s">
        <v>307</v>
      </c>
    </row>
    <row r="224" spans="1:2" x14ac:dyDescent="0.3">
      <c r="A224" s="9" t="s">
        <v>289</v>
      </c>
      <c r="B224" s="8" t="s">
        <v>307</v>
      </c>
    </row>
    <row r="225" spans="1:2" x14ac:dyDescent="0.3">
      <c r="A225" s="9" t="s">
        <v>290</v>
      </c>
      <c r="B225" s="8" t="s">
        <v>307</v>
      </c>
    </row>
    <row r="226" spans="1:2" x14ac:dyDescent="0.3">
      <c r="A226" s="9" t="s">
        <v>291</v>
      </c>
      <c r="B226" s="8" t="s">
        <v>307</v>
      </c>
    </row>
    <row r="227" spans="1:2" x14ac:dyDescent="0.3">
      <c r="A227" s="9" t="s">
        <v>253</v>
      </c>
      <c r="B227" s="8" t="s">
        <v>307</v>
      </c>
    </row>
    <row r="228" spans="1:2" x14ac:dyDescent="0.3">
      <c r="A228" s="8" t="s">
        <v>221</v>
      </c>
      <c r="B228" s="8" t="s">
        <v>270</v>
      </c>
    </row>
    <row r="229" spans="1:2" x14ac:dyDescent="0.3">
      <c r="A229" s="8" t="s">
        <v>241</v>
      </c>
      <c r="B229" s="8" t="s">
        <v>270</v>
      </c>
    </row>
    <row r="230" spans="1:2" x14ac:dyDescent="0.3">
      <c r="A230" s="8" t="s">
        <v>228</v>
      </c>
      <c r="B230" s="8" t="s">
        <v>270</v>
      </c>
    </row>
    <row r="231" spans="1:2" x14ac:dyDescent="0.3">
      <c r="A231" s="8" t="s">
        <v>292</v>
      </c>
      <c r="B231" s="8" t="s">
        <v>270</v>
      </c>
    </row>
    <row r="232" spans="1:2" x14ac:dyDescent="0.3">
      <c r="A232" s="8" t="s">
        <v>228</v>
      </c>
      <c r="B232" s="8" t="s">
        <v>270</v>
      </c>
    </row>
    <row r="233" spans="1:2" x14ac:dyDescent="0.3">
      <c r="A233" s="8" t="s">
        <v>221</v>
      </c>
      <c r="B233" s="8" t="s">
        <v>270</v>
      </c>
    </row>
    <row r="234" spans="1:2" x14ac:dyDescent="0.3">
      <c r="A234" s="9" t="s">
        <v>293</v>
      </c>
      <c r="B234" s="8" t="s">
        <v>270</v>
      </c>
    </row>
    <row r="235" spans="1:2" x14ac:dyDescent="0.3">
      <c r="A235" s="8" t="s">
        <v>294</v>
      </c>
      <c r="B235" s="8" t="s">
        <v>270</v>
      </c>
    </row>
    <row r="236" spans="1:2" x14ac:dyDescent="0.3">
      <c r="A236" s="9" t="s">
        <v>295</v>
      </c>
      <c r="B236" s="8" t="s">
        <v>270</v>
      </c>
    </row>
    <row r="237" spans="1:2" x14ac:dyDescent="0.3">
      <c r="A237" s="9" t="s">
        <v>120</v>
      </c>
      <c r="B237" s="9" t="s">
        <v>270</v>
      </c>
    </row>
    <row r="238" spans="1:2" x14ac:dyDescent="0.3">
      <c r="A238" s="9" t="s">
        <v>296</v>
      </c>
      <c r="B238" s="8" t="s">
        <v>307</v>
      </c>
    </row>
    <row r="239" spans="1:2" x14ac:dyDescent="0.3">
      <c r="A239" s="8" t="s">
        <v>297</v>
      </c>
      <c r="B239" s="8" t="s">
        <v>270</v>
      </c>
    </row>
    <row r="240" spans="1:2" x14ac:dyDescent="0.3">
      <c r="A240" s="9" t="s">
        <v>298</v>
      </c>
      <c r="B240" s="9" t="s">
        <v>270</v>
      </c>
    </row>
    <row r="241" spans="1:2" x14ac:dyDescent="0.3">
      <c r="A241" s="9" t="s">
        <v>299</v>
      </c>
      <c r="B241" s="9" t="s">
        <v>271</v>
      </c>
    </row>
    <row r="242" spans="1:2" x14ac:dyDescent="0.3">
      <c r="A242" s="9" t="s">
        <v>300</v>
      </c>
      <c r="B242" s="9" t="s">
        <v>270</v>
      </c>
    </row>
    <row r="243" spans="1:2" x14ac:dyDescent="0.3">
      <c r="A243" s="9" t="s">
        <v>299</v>
      </c>
      <c r="B243" s="8" t="s">
        <v>271</v>
      </c>
    </row>
    <row r="244" spans="1:2" x14ac:dyDescent="0.3">
      <c r="A244" s="9" t="s">
        <v>301</v>
      </c>
      <c r="B244" s="9" t="s">
        <v>270</v>
      </c>
    </row>
    <row r="245" spans="1:2" x14ac:dyDescent="0.3">
      <c r="A245" s="8" t="s">
        <v>302</v>
      </c>
      <c r="B245" s="8" t="s">
        <v>270</v>
      </c>
    </row>
    <row r="246" spans="1:2" x14ac:dyDescent="0.3">
      <c r="A246" s="9" t="s">
        <v>268</v>
      </c>
      <c r="B246" s="8" t="s">
        <v>270</v>
      </c>
    </row>
    <row r="247" spans="1:2" x14ac:dyDescent="0.3">
      <c r="A247" s="9" t="s">
        <v>303</v>
      </c>
      <c r="B247" s="8" t="s">
        <v>270</v>
      </c>
    </row>
    <row r="248" spans="1:2" x14ac:dyDescent="0.3">
      <c r="A248" s="9" t="s">
        <v>152</v>
      </c>
      <c r="B248" s="8" t="s">
        <v>270</v>
      </c>
    </row>
    <row r="249" spans="1:2" x14ac:dyDescent="0.3">
      <c r="A249" s="8" t="s">
        <v>304</v>
      </c>
      <c r="B249" s="8" t="s">
        <v>270</v>
      </c>
    </row>
    <row r="250" spans="1:2" x14ac:dyDescent="0.3">
      <c r="A250" s="9" t="s">
        <v>85</v>
      </c>
      <c r="B250" s="8" t="s">
        <v>270</v>
      </c>
    </row>
    <row r="251" spans="1:2" x14ac:dyDescent="0.3">
      <c r="A251" s="8" t="s">
        <v>304</v>
      </c>
      <c r="B251" s="8" t="s">
        <v>270</v>
      </c>
    </row>
    <row r="252" spans="1:2" x14ac:dyDescent="0.3">
      <c r="A252" s="8" t="s">
        <v>339</v>
      </c>
      <c r="B252" s="9" t="s">
        <v>270</v>
      </c>
    </row>
  </sheetData>
  <phoneticPr fontId="2" type="noConversion"/>
  <conditionalFormatting sqref="A243">
    <cfRule type="duplicateValues" dxfId="2" priority="2"/>
  </conditionalFormatting>
  <conditionalFormatting sqref="A244:A245 A1:A242 A248:A1048576">
    <cfRule type="duplicateValues" dxfId="1" priority="3"/>
  </conditionalFormatting>
  <conditionalFormatting sqref="A246:A247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3468-8A0E-4569-9F89-2893ADD6C65C}">
  <dimension ref="A1:E205"/>
  <sheetViews>
    <sheetView topLeftCell="A63" workbookViewId="0">
      <selection activeCell="D83" sqref="D83"/>
    </sheetView>
  </sheetViews>
  <sheetFormatPr defaultRowHeight="16.5" x14ac:dyDescent="0.3"/>
  <cols>
    <col min="1" max="1" width="20.625" style="11" customWidth="1"/>
    <col min="2" max="2" width="13.875" style="11" bestFit="1" customWidth="1"/>
    <col min="4" max="4" width="21.75" style="11" customWidth="1"/>
    <col min="5" max="5" width="15.625" style="11" bestFit="1" customWidth="1"/>
  </cols>
  <sheetData>
    <row r="1" spans="1:5" x14ac:dyDescent="0.3">
      <c r="A1" s="11" t="s">
        <v>310</v>
      </c>
      <c r="B1" s="13" t="s">
        <v>315</v>
      </c>
      <c r="D1" s="11" t="s">
        <v>310</v>
      </c>
      <c r="E1" s="11" t="s">
        <v>316</v>
      </c>
    </row>
    <row r="2" spans="1:5" x14ac:dyDescent="0.3">
      <c r="A2" s="11" t="s">
        <v>137</v>
      </c>
      <c r="B2" s="14">
        <v>1540763400</v>
      </c>
      <c r="D2" s="11" t="s">
        <v>137</v>
      </c>
      <c r="E2" s="14">
        <v>1252037900</v>
      </c>
    </row>
    <row r="3" spans="1:5" x14ac:dyDescent="0.3">
      <c r="A3" s="11" t="s">
        <v>141</v>
      </c>
      <c r="B3" s="14">
        <v>1502544800</v>
      </c>
      <c r="D3" s="11" t="s">
        <v>141</v>
      </c>
      <c r="E3" s="14">
        <v>1208746300</v>
      </c>
    </row>
    <row r="4" spans="1:5" x14ac:dyDescent="0.3">
      <c r="A4" s="11" t="s">
        <v>140</v>
      </c>
      <c r="B4" s="14">
        <v>1231318500</v>
      </c>
      <c r="D4" s="11" t="s">
        <v>140</v>
      </c>
      <c r="E4" s="14">
        <v>946248000</v>
      </c>
    </row>
    <row r="5" spans="1:5" x14ac:dyDescent="0.3">
      <c r="A5" s="11" t="s">
        <v>145</v>
      </c>
      <c r="B5" s="14">
        <v>954887700</v>
      </c>
      <c r="D5" s="11" t="s">
        <v>317</v>
      </c>
      <c r="E5" s="14">
        <v>917856300</v>
      </c>
    </row>
    <row r="6" spans="1:5" x14ac:dyDescent="0.3">
      <c r="A6" s="11" t="s">
        <v>143</v>
      </c>
      <c r="B6" s="14">
        <v>770903100</v>
      </c>
      <c r="D6" s="11" t="s">
        <v>145</v>
      </c>
      <c r="E6" s="14">
        <v>732913000</v>
      </c>
    </row>
    <row r="7" spans="1:5" x14ac:dyDescent="0.3">
      <c r="A7" s="11" t="s">
        <v>146</v>
      </c>
      <c r="B7" s="14">
        <v>401155900</v>
      </c>
      <c r="D7" s="11" t="s">
        <v>143</v>
      </c>
      <c r="E7" s="14">
        <v>723088400</v>
      </c>
    </row>
    <row r="8" spans="1:5" x14ac:dyDescent="0.3">
      <c r="A8" s="11" t="s">
        <v>142</v>
      </c>
      <c r="B8" s="14">
        <v>271993600</v>
      </c>
      <c r="D8" s="11" t="s">
        <v>138</v>
      </c>
      <c r="E8" s="14">
        <v>440712600</v>
      </c>
    </row>
    <row r="9" spans="1:5" x14ac:dyDescent="0.3">
      <c r="A9" s="11" t="s">
        <v>215</v>
      </c>
      <c r="B9" s="14">
        <v>259730600</v>
      </c>
      <c r="D9" s="11" t="s">
        <v>146</v>
      </c>
      <c r="E9" s="14">
        <v>350360200</v>
      </c>
    </row>
    <row r="10" spans="1:5" x14ac:dyDescent="0.3">
      <c r="A10" s="11" t="s">
        <v>170</v>
      </c>
      <c r="B10" s="14">
        <v>225641700</v>
      </c>
      <c r="D10" s="11" t="s">
        <v>142</v>
      </c>
      <c r="E10" s="14">
        <v>333592000</v>
      </c>
    </row>
    <row r="11" spans="1:5" x14ac:dyDescent="0.3">
      <c r="A11" s="11" t="s">
        <v>139</v>
      </c>
      <c r="B11" s="14">
        <v>221066200</v>
      </c>
      <c r="D11" s="11" t="s">
        <v>170</v>
      </c>
      <c r="E11" s="14">
        <v>250250410</v>
      </c>
    </row>
    <row r="12" spans="1:5" x14ac:dyDescent="0.3">
      <c r="A12" s="11" t="s">
        <v>138</v>
      </c>
      <c r="B12" s="14">
        <v>219589100</v>
      </c>
      <c r="D12" s="11" t="s">
        <v>139</v>
      </c>
      <c r="E12" s="14">
        <v>238965100</v>
      </c>
    </row>
    <row r="13" spans="1:5" x14ac:dyDescent="0.3">
      <c r="A13" s="11" t="s">
        <v>179</v>
      </c>
      <c r="B13" s="14">
        <v>214360100</v>
      </c>
      <c r="D13" s="11" t="s">
        <v>157</v>
      </c>
      <c r="E13" s="14">
        <v>224178710</v>
      </c>
    </row>
    <row r="14" spans="1:5" x14ac:dyDescent="0.3">
      <c r="A14" s="11" t="s">
        <v>147</v>
      </c>
      <c r="B14" s="14">
        <v>204091200</v>
      </c>
      <c r="D14" s="11" t="s">
        <v>179</v>
      </c>
      <c r="E14" s="14">
        <v>177146600</v>
      </c>
    </row>
    <row r="15" spans="1:5" x14ac:dyDescent="0.3">
      <c r="A15" s="11" t="s">
        <v>188</v>
      </c>
      <c r="B15" s="14">
        <v>136821700</v>
      </c>
      <c r="D15" s="11" t="s">
        <v>215</v>
      </c>
      <c r="E15" s="14">
        <v>174048400</v>
      </c>
    </row>
    <row r="16" spans="1:5" x14ac:dyDescent="0.3">
      <c r="A16" s="11" t="s">
        <v>154</v>
      </c>
      <c r="B16" s="14">
        <v>135850500</v>
      </c>
      <c r="D16" s="11" t="s">
        <v>318</v>
      </c>
      <c r="E16" s="14">
        <v>153751510</v>
      </c>
    </row>
    <row r="17" spans="1:5" x14ac:dyDescent="0.3">
      <c r="A17" s="11" t="s">
        <v>164</v>
      </c>
      <c r="B17" s="14">
        <v>130311300</v>
      </c>
      <c r="D17" s="11" t="s">
        <v>147</v>
      </c>
      <c r="E17" s="14">
        <v>141580130</v>
      </c>
    </row>
    <row r="18" spans="1:5" x14ac:dyDescent="0.3">
      <c r="A18" s="11" t="s">
        <v>177</v>
      </c>
      <c r="B18" s="14">
        <v>120339800</v>
      </c>
      <c r="D18" s="11" t="s">
        <v>177</v>
      </c>
      <c r="E18" s="14">
        <v>134480200</v>
      </c>
    </row>
    <row r="19" spans="1:5" x14ac:dyDescent="0.3">
      <c r="A19" s="11" t="s">
        <v>150</v>
      </c>
      <c r="B19" s="14">
        <v>116673500</v>
      </c>
      <c r="D19" s="11" t="s">
        <v>188</v>
      </c>
      <c r="E19" s="14">
        <v>133245710</v>
      </c>
    </row>
    <row r="20" spans="1:5" x14ac:dyDescent="0.3">
      <c r="A20" s="11" t="s">
        <v>200</v>
      </c>
      <c r="B20" s="14">
        <v>114479400</v>
      </c>
      <c r="D20" s="11" t="s">
        <v>195</v>
      </c>
      <c r="E20" s="14">
        <v>124446000</v>
      </c>
    </row>
    <row r="21" spans="1:5" x14ac:dyDescent="0.3">
      <c r="A21" s="11" t="s">
        <v>213</v>
      </c>
      <c r="B21" s="14">
        <v>110505100</v>
      </c>
      <c r="D21" s="11" t="s">
        <v>192</v>
      </c>
      <c r="E21" s="14">
        <v>123763400</v>
      </c>
    </row>
    <row r="22" spans="1:5" x14ac:dyDescent="0.3">
      <c r="A22" s="11" t="s">
        <v>214</v>
      </c>
      <c r="B22" s="14">
        <v>105273000</v>
      </c>
      <c r="D22" s="11" t="s">
        <v>213</v>
      </c>
      <c r="E22" s="14">
        <v>121077300</v>
      </c>
    </row>
    <row r="23" spans="1:5" x14ac:dyDescent="0.3">
      <c r="A23" s="11" t="s">
        <v>211</v>
      </c>
      <c r="B23" s="14">
        <v>104860300</v>
      </c>
      <c r="D23" s="11" t="s">
        <v>164</v>
      </c>
      <c r="E23" s="14">
        <v>117774400</v>
      </c>
    </row>
    <row r="24" spans="1:5" x14ac:dyDescent="0.3">
      <c r="A24" s="11" t="s">
        <v>159</v>
      </c>
      <c r="B24" s="14">
        <v>103930000</v>
      </c>
      <c r="D24" s="11" t="s">
        <v>173</v>
      </c>
      <c r="E24" s="14">
        <v>109481700</v>
      </c>
    </row>
    <row r="25" spans="1:5" x14ac:dyDescent="0.3">
      <c r="A25" s="11" t="s">
        <v>173</v>
      </c>
      <c r="B25" s="14">
        <v>100920500</v>
      </c>
      <c r="D25" s="11" t="s">
        <v>184</v>
      </c>
      <c r="E25" s="14">
        <v>106819300</v>
      </c>
    </row>
    <row r="26" spans="1:5" x14ac:dyDescent="0.3">
      <c r="A26" s="11" t="s">
        <v>157</v>
      </c>
      <c r="B26" s="14">
        <v>97537400</v>
      </c>
      <c r="D26" s="11" t="s">
        <v>200</v>
      </c>
      <c r="E26" s="14">
        <v>104693300</v>
      </c>
    </row>
    <row r="27" spans="1:5" x14ac:dyDescent="0.3">
      <c r="A27" s="11" t="s">
        <v>176</v>
      </c>
      <c r="B27" s="14">
        <v>97514300</v>
      </c>
      <c r="D27" s="11" t="s">
        <v>154</v>
      </c>
      <c r="E27" s="14">
        <v>101609120</v>
      </c>
    </row>
    <row r="28" spans="1:5" x14ac:dyDescent="0.3">
      <c r="A28" s="11" t="s">
        <v>149</v>
      </c>
      <c r="B28" s="14">
        <v>95924800</v>
      </c>
      <c r="D28" s="11" t="s">
        <v>209</v>
      </c>
      <c r="E28" s="14">
        <v>98735500</v>
      </c>
    </row>
    <row r="29" spans="1:5" x14ac:dyDescent="0.3">
      <c r="A29" s="11" t="s">
        <v>184</v>
      </c>
      <c r="B29" s="14">
        <v>94986600</v>
      </c>
      <c r="D29" s="11" t="s">
        <v>149</v>
      </c>
      <c r="E29" s="14">
        <v>94379700</v>
      </c>
    </row>
    <row r="30" spans="1:5" x14ac:dyDescent="0.3">
      <c r="A30" s="11" t="s">
        <v>209</v>
      </c>
      <c r="B30" s="14">
        <v>93681500</v>
      </c>
      <c r="D30" s="11" t="s">
        <v>208</v>
      </c>
      <c r="E30" s="14">
        <v>93428000</v>
      </c>
    </row>
    <row r="31" spans="1:5" x14ac:dyDescent="0.3">
      <c r="A31" s="11" t="s">
        <v>182</v>
      </c>
      <c r="B31" s="14">
        <v>93236900</v>
      </c>
      <c r="D31" s="11" t="s">
        <v>211</v>
      </c>
      <c r="E31" s="14">
        <v>93401300</v>
      </c>
    </row>
    <row r="32" spans="1:5" x14ac:dyDescent="0.3">
      <c r="A32" s="11" t="s">
        <v>192</v>
      </c>
      <c r="B32" s="14">
        <v>80943200</v>
      </c>
      <c r="D32" s="11" t="s">
        <v>150</v>
      </c>
      <c r="E32" s="14">
        <v>88779600</v>
      </c>
    </row>
    <row r="33" spans="1:5" x14ac:dyDescent="0.3">
      <c r="A33" s="11" t="s">
        <v>204</v>
      </c>
      <c r="B33" s="14">
        <v>79376800</v>
      </c>
      <c r="D33" s="11" t="s">
        <v>167</v>
      </c>
      <c r="E33" s="14">
        <v>86884600</v>
      </c>
    </row>
    <row r="34" spans="1:5" x14ac:dyDescent="0.3">
      <c r="A34" s="11" t="s">
        <v>158</v>
      </c>
      <c r="B34" s="14">
        <v>76780900</v>
      </c>
      <c r="D34" s="11" t="s">
        <v>176</v>
      </c>
      <c r="E34" s="14">
        <v>80120500</v>
      </c>
    </row>
    <row r="35" spans="1:5" x14ac:dyDescent="0.3">
      <c r="A35" s="11" t="s">
        <v>178</v>
      </c>
      <c r="B35" s="14">
        <v>74384400</v>
      </c>
      <c r="D35" s="11" t="s">
        <v>169</v>
      </c>
      <c r="E35" s="14">
        <v>73940300</v>
      </c>
    </row>
    <row r="36" spans="1:5" x14ac:dyDescent="0.3">
      <c r="A36" s="11" t="s">
        <v>208</v>
      </c>
      <c r="B36" s="14">
        <v>67655700</v>
      </c>
      <c r="D36" s="11" t="s">
        <v>163</v>
      </c>
      <c r="E36" s="14">
        <v>73269000</v>
      </c>
    </row>
    <row r="37" spans="1:5" x14ac:dyDescent="0.3">
      <c r="A37" s="11" t="s">
        <v>163</v>
      </c>
      <c r="B37" s="14">
        <v>65832500</v>
      </c>
      <c r="D37" s="11" t="s">
        <v>159</v>
      </c>
      <c r="E37" s="14">
        <v>65933300</v>
      </c>
    </row>
    <row r="38" spans="1:5" x14ac:dyDescent="0.3">
      <c r="A38" s="11" t="s">
        <v>175</v>
      </c>
      <c r="B38" s="14">
        <v>62574700</v>
      </c>
      <c r="D38" s="11" t="s">
        <v>182</v>
      </c>
      <c r="E38" s="14">
        <v>65179200</v>
      </c>
    </row>
    <row r="39" spans="1:5" x14ac:dyDescent="0.3">
      <c r="A39" s="11" t="s">
        <v>151</v>
      </c>
      <c r="B39" s="14">
        <v>61563200</v>
      </c>
      <c r="D39" s="11" t="s">
        <v>151</v>
      </c>
      <c r="E39" s="14">
        <v>63552300</v>
      </c>
    </row>
    <row r="40" spans="1:5" x14ac:dyDescent="0.3">
      <c r="A40" s="11" t="s">
        <v>174</v>
      </c>
      <c r="B40" s="14">
        <v>60806100</v>
      </c>
      <c r="D40" s="11" t="s">
        <v>174</v>
      </c>
      <c r="E40" s="14">
        <v>61553300</v>
      </c>
    </row>
    <row r="41" spans="1:5" x14ac:dyDescent="0.3">
      <c r="A41" s="11" t="s">
        <v>207</v>
      </c>
      <c r="B41" s="14">
        <v>60317700</v>
      </c>
      <c r="D41" s="11" t="s">
        <v>193</v>
      </c>
      <c r="E41" s="14">
        <v>61361800</v>
      </c>
    </row>
    <row r="42" spans="1:5" x14ac:dyDescent="0.3">
      <c r="A42" s="11" t="s">
        <v>197</v>
      </c>
      <c r="B42" s="14">
        <v>58673500</v>
      </c>
      <c r="D42" s="11" t="s">
        <v>178</v>
      </c>
      <c r="E42" s="14">
        <v>60633200</v>
      </c>
    </row>
    <row r="43" spans="1:5" x14ac:dyDescent="0.3">
      <c r="A43" s="11" t="s">
        <v>195</v>
      </c>
      <c r="B43" s="14">
        <v>56763500</v>
      </c>
      <c r="D43" s="11" t="s">
        <v>214</v>
      </c>
      <c r="E43" s="14">
        <v>60055800</v>
      </c>
    </row>
    <row r="44" spans="1:5" x14ac:dyDescent="0.3">
      <c r="A44" s="11" t="s">
        <v>183</v>
      </c>
      <c r="B44" s="14">
        <v>53464800</v>
      </c>
      <c r="D44" s="11" t="s">
        <v>204</v>
      </c>
      <c r="E44" s="14">
        <v>59341220</v>
      </c>
    </row>
    <row r="45" spans="1:5" x14ac:dyDescent="0.3">
      <c r="A45" s="11" t="s">
        <v>198</v>
      </c>
      <c r="B45" s="14">
        <v>51283700</v>
      </c>
      <c r="D45" s="11" t="s">
        <v>199</v>
      </c>
      <c r="E45" s="14">
        <v>57931200</v>
      </c>
    </row>
    <row r="46" spans="1:5" x14ac:dyDescent="0.3">
      <c r="A46" s="11" t="s">
        <v>181</v>
      </c>
      <c r="B46" s="14">
        <v>50496900</v>
      </c>
      <c r="D46" s="11" t="s">
        <v>311</v>
      </c>
      <c r="E46" s="14">
        <v>55034600</v>
      </c>
    </row>
    <row r="47" spans="1:5" x14ac:dyDescent="0.3">
      <c r="A47" s="11" t="s">
        <v>190</v>
      </c>
      <c r="B47" s="14">
        <v>49939500</v>
      </c>
      <c r="D47" s="11" t="s">
        <v>212</v>
      </c>
      <c r="E47" s="14">
        <v>53591300</v>
      </c>
    </row>
    <row r="48" spans="1:5" x14ac:dyDescent="0.3">
      <c r="A48" s="11" t="s">
        <v>166</v>
      </c>
      <c r="B48" s="14">
        <v>49598200</v>
      </c>
      <c r="D48" s="11" t="s">
        <v>197</v>
      </c>
      <c r="E48" s="14">
        <v>53522100</v>
      </c>
    </row>
    <row r="49" spans="1:5" x14ac:dyDescent="0.3">
      <c r="A49" s="11" t="s">
        <v>196</v>
      </c>
      <c r="B49" s="14">
        <v>49597800</v>
      </c>
      <c r="D49" s="11" t="s">
        <v>202</v>
      </c>
      <c r="E49" s="14">
        <v>53386800</v>
      </c>
    </row>
    <row r="50" spans="1:5" x14ac:dyDescent="0.3">
      <c r="A50" s="11" t="s">
        <v>180</v>
      </c>
      <c r="B50" s="14">
        <v>46512900</v>
      </c>
      <c r="D50" s="11" t="s">
        <v>190</v>
      </c>
      <c r="E50" s="14">
        <v>51509300</v>
      </c>
    </row>
    <row r="51" spans="1:5" x14ac:dyDescent="0.3">
      <c r="A51" s="11" t="s">
        <v>202</v>
      </c>
      <c r="B51" s="14">
        <v>44667100</v>
      </c>
      <c r="D51" s="11" t="s">
        <v>198</v>
      </c>
      <c r="E51" s="14">
        <v>51359600</v>
      </c>
    </row>
    <row r="52" spans="1:5" x14ac:dyDescent="0.3">
      <c r="A52" s="11" t="s">
        <v>189</v>
      </c>
      <c r="B52" s="14">
        <v>44248700</v>
      </c>
      <c r="D52" s="11" t="s">
        <v>175</v>
      </c>
      <c r="E52" s="14">
        <v>50905600</v>
      </c>
    </row>
    <row r="53" spans="1:5" x14ac:dyDescent="0.3">
      <c r="A53" s="11" t="s">
        <v>199</v>
      </c>
      <c r="B53" s="14">
        <v>43411000</v>
      </c>
      <c r="D53" s="11" t="s">
        <v>160</v>
      </c>
      <c r="E53" s="14">
        <v>48730500</v>
      </c>
    </row>
    <row r="54" spans="1:5" x14ac:dyDescent="0.3">
      <c r="A54" s="11" t="s">
        <v>155</v>
      </c>
      <c r="B54" s="14">
        <v>40525500</v>
      </c>
      <c r="D54" s="11" t="s">
        <v>153</v>
      </c>
      <c r="E54" s="14">
        <v>45698300</v>
      </c>
    </row>
    <row r="55" spans="1:5" x14ac:dyDescent="0.3">
      <c r="A55" s="11" t="s">
        <v>193</v>
      </c>
      <c r="B55" s="14">
        <v>39443700</v>
      </c>
      <c r="D55" s="11" t="s">
        <v>319</v>
      </c>
      <c r="E55" s="14">
        <v>45158300</v>
      </c>
    </row>
    <row r="56" spans="1:5" x14ac:dyDescent="0.3">
      <c r="A56" s="11" t="s">
        <v>185</v>
      </c>
      <c r="B56" s="14">
        <v>38767010</v>
      </c>
      <c r="D56" s="11" t="s">
        <v>196</v>
      </c>
      <c r="E56" s="14">
        <v>44382500</v>
      </c>
    </row>
    <row r="57" spans="1:5" x14ac:dyDescent="0.3">
      <c r="A57" s="11" t="s">
        <v>168</v>
      </c>
      <c r="B57" s="14">
        <v>38188200</v>
      </c>
      <c r="D57" s="11" t="s">
        <v>162</v>
      </c>
      <c r="E57" s="14">
        <v>42994090</v>
      </c>
    </row>
    <row r="58" spans="1:5" x14ac:dyDescent="0.3">
      <c r="A58" s="11" t="s">
        <v>161</v>
      </c>
      <c r="B58" s="14">
        <v>37688530</v>
      </c>
      <c r="D58" s="11" t="s">
        <v>181</v>
      </c>
      <c r="E58" s="14">
        <v>40909400</v>
      </c>
    </row>
    <row r="59" spans="1:5" x14ac:dyDescent="0.3">
      <c r="A59" s="11" t="s">
        <v>167</v>
      </c>
      <c r="B59" s="14">
        <v>37149810</v>
      </c>
      <c r="D59" s="11" t="s">
        <v>161</v>
      </c>
      <c r="E59" s="14">
        <v>38555800</v>
      </c>
    </row>
    <row r="60" spans="1:5" x14ac:dyDescent="0.3">
      <c r="A60" s="11" t="s">
        <v>153</v>
      </c>
      <c r="B60" s="14">
        <v>36824100</v>
      </c>
      <c r="D60" s="11" t="s">
        <v>155</v>
      </c>
      <c r="E60" s="14">
        <v>37705400</v>
      </c>
    </row>
    <row r="61" spans="1:5" x14ac:dyDescent="0.3">
      <c r="A61" s="11" t="s">
        <v>187</v>
      </c>
      <c r="B61" s="14">
        <v>36697500</v>
      </c>
      <c r="D61" s="11" t="s">
        <v>165</v>
      </c>
      <c r="E61" s="14">
        <v>36616200</v>
      </c>
    </row>
    <row r="62" spans="1:5" x14ac:dyDescent="0.3">
      <c r="A62" s="11" t="s">
        <v>160</v>
      </c>
      <c r="B62" s="14">
        <v>36488810</v>
      </c>
      <c r="D62" s="11" t="s">
        <v>185</v>
      </c>
      <c r="E62" s="14">
        <v>35371110</v>
      </c>
    </row>
    <row r="63" spans="1:5" x14ac:dyDescent="0.3">
      <c r="A63" s="11" t="s">
        <v>191</v>
      </c>
      <c r="B63" s="14">
        <v>34803800</v>
      </c>
      <c r="D63" s="11" t="s">
        <v>172</v>
      </c>
      <c r="E63" s="14">
        <v>34004000</v>
      </c>
    </row>
    <row r="64" spans="1:5" x14ac:dyDescent="0.3">
      <c r="A64" s="11" t="s">
        <v>201</v>
      </c>
      <c r="B64" s="14">
        <v>34017800</v>
      </c>
      <c r="D64" s="11" t="s">
        <v>180</v>
      </c>
      <c r="E64" s="14">
        <v>33179600</v>
      </c>
    </row>
    <row r="65" spans="1:5" x14ac:dyDescent="0.3">
      <c r="A65" s="11" t="s">
        <v>162</v>
      </c>
      <c r="B65" s="14">
        <v>32833920</v>
      </c>
      <c r="D65" s="11" t="s">
        <v>320</v>
      </c>
      <c r="E65" s="14">
        <v>33087000</v>
      </c>
    </row>
    <row r="66" spans="1:5" x14ac:dyDescent="0.3">
      <c r="A66" s="11" t="s">
        <v>203</v>
      </c>
      <c r="B66" s="14">
        <v>32695000</v>
      </c>
      <c r="D66" s="11" t="s">
        <v>183</v>
      </c>
      <c r="E66" s="14">
        <v>32489100</v>
      </c>
    </row>
    <row r="67" spans="1:5" x14ac:dyDescent="0.3">
      <c r="A67" s="11" t="s">
        <v>212</v>
      </c>
      <c r="B67" s="14">
        <v>30421200</v>
      </c>
      <c r="D67" s="11" t="s">
        <v>201</v>
      </c>
      <c r="E67" s="14">
        <v>32312200</v>
      </c>
    </row>
    <row r="68" spans="1:5" x14ac:dyDescent="0.3">
      <c r="A68" s="11" t="s">
        <v>172</v>
      </c>
      <c r="B68" s="14">
        <v>29912200</v>
      </c>
      <c r="D68" s="11" t="s">
        <v>203</v>
      </c>
      <c r="E68" s="14">
        <v>31148300</v>
      </c>
    </row>
    <row r="69" spans="1:5" x14ac:dyDescent="0.3">
      <c r="A69" s="11" t="s">
        <v>165</v>
      </c>
      <c r="B69" s="14">
        <v>29692200</v>
      </c>
      <c r="D69" s="11" t="s">
        <v>207</v>
      </c>
      <c r="E69" s="14">
        <v>30868400</v>
      </c>
    </row>
    <row r="70" spans="1:5" x14ac:dyDescent="0.3">
      <c r="A70" s="11" t="s">
        <v>194</v>
      </c>
      <c r="B70" s="14">
        <v>26422800</v>
      </c>
      <c r="D70" s="11" t="s">
        <v>158</v>
      </c>
      <c r="E70" s="14">
        <v>30190900</v>
      </c>
    </row>
    <row r="71" spans="1:5" x14ac:dyDescent="0.3">
      <c r="A71" s="11" t="s">
        <v>311</v>
      </c>
      <c r="B71" s="14">
        <v>25182100</v>
      </c>
      <c r="D71" s="11" t="s">
        <v>168</v>
      </c>
      <c r="E71" s="14">
        <v>29893300</v>
      </c>
    </row>
    <row r="72" spans="1:5" x14ac:dyDescent="0.3">
      <c r="A72" s="11" t="s">
        <v>210</v>
      </c>
      <c r="B72" s="14">
        <v>23674700</v>
      </c>
      <c r="D72" s="11" t="s">
        <v>189</v>
      </c>
      <c r="E72" s="14">
        <v>29637800</v>
      </c>
    </row>
    <row r="73" spans="1:5" x14ac:dyDescent="0.3">
      <c r="A73" s="11" t="s">
        <v>156</v>
      </c>
      <c r="B73" s="14">
        <v>21139800</v>
      </c>
      <c r="D73" s="11" t="s">
        <v>166</v>
      </c>
      <c r="E73" s="14">
        <v>27142500</v>
      </c>
    </row>
    <row r="74" spans="1:5" x14ac:dyDescent="0.3">
      <c r="A74" s="11" t="s">
        <v>169</v>
      </c>
      <c r="B74" s="14">
        <v>20759500</v>
      </c>
      <c r="D74" s="11" t="s">
        <v>156</v>
      </c>
      <c r="E74" s="14">
        <v>26481700</v>
      </c>
    </row>
    <row r="75" spans="1:5" x14ac:dyDescent="0.3">
      <c r="A75" s="11" t="s">
        <v>171</v>
      </c>
      <c r="B75" s="14">
        <v>11006800</v>
      </c>
      <c r="D75" s="11" t="s">
        <v>321</v>
      </c>
      <c r="E75" s="14">
        <v>26300100</v>
      </c>
    </row>
    <row r="76" spans="1:5" x14ac:dyDescent="0.3">
      <c r="A76" s="12"/>
      <c r="B76" s="15">
        <v>11854120280</v>
      </c>
      <c r="D76" s="11" t="s">
        <v>191</v>
      </c>
      <c r="E76" s="14">
        <v>26126800</v>
      </c>
    </row>
    <row r="77" spans="1:5" x14ac:dyDescent="0.3">
      <c r="A77" s="11" t="s">
        <v>257</v>
      </c>
      <c r="B77" s="14">
        <v>672453200</v>
      </c>
      <c r="D77" s="11" t="s">
        <v>194</v>
      </c>
      <c r="E77" s="14">
        <v>25458600</v>
      </c>
    </row>
    <row r="78" spans="1:5" x14ac:dyDescent="0.3">
      <c r="A78" s="11" t="s">
        <v>252</v>
      </c>
      <c r="B78" s="14">
        <v>616932600</v>
      </c>
      <c r="D78" s="11" t="s">
        <v>210</v>
      </c>
      <c r="E78" s="14">
        <v>25034900</v>
      </c>
    </row>
    <row r="79" spans="1:5" x14ac:dyDescent="0.3">
      <c r="A79" s="11" t="s">
        <v>312</v>
      </c>
      <c r="B79" s="14">
        <v>579873380</v>
      </c>
      <c r="D79" s="11" t="s">
        <v>187</v>
      </c>
      <c r="E79" s="14">
        <v>24756100</v>
      </c>
    </row>
    <row r="80" spans="1:5" x14ac:dyDescent="0.3">
      <c r="A80" s="11" t="s">
        <v>272</v>
      </c>
      <c r="B80" s="14">
        <v>423700500</v>
      </c>
      <c r="D80" s="11" t="s">
        <v>171</v>
      </c>
      <c r="E80" s="14">
        <v>15907300</v>
      </c>
    </row>
    <row r="81" spans="1:5" x14ac:dyDescent="0.3">
      <c r="A81" s="11" t="s">
        <v>250</v>
      </c>
      <c r="B81" s="14">
        <v>259462600</v>
      </c>
      <c r="D81" s="12"/>
      <c r="E81" s="12"/>
    </row>
    <row r="82" spans="1:5" x14ac:dyDescent="0.3">
      <c r="A82" s="11" t="s">
        <v>256</v>
      </c>
      <c r="B82" s="14">
        <v>171632700</v>
      </c>
      <c r="D82" s="11" t="s">
        <v>257</v>
      </c>
      <c r="E82" s="14">
        <v>596705100</v>
      </c>
    </row>
    <row r="83" spans="1:5" x14ac:dyDescent="0.3">
      <c r="A83" s="11" t="s">
        <v>255</v>
      </c>
      <c r="B83" s="14">
        <v>149118480</v>
      </c>
      <c r="D83" s="11" t="s">
        <v>312</v>
      </c>
      <c r="E83" s="14">
        <v>491685130</v>
      </c>
    </row>
    <row r="84" spans="1:5" x14ac:dyDescent="0.3">
      <c r="A84" s="11" t="s">
        <v>244</v>
      </c>
      <c r="B84" s="14">
        <v>124937700</v>
      </c>
      <c r="D84" s="11" t="s">
        <v>252</v>
      </c>
      <c r="E84" s="14">
        <v>443669900</v>
      </c>
    </row>
    <row r="85" spans="1:5" x14ac:dyDescent="0.3">
      <c r="A85" s="11" t="s">
        <v>254</v>
      </c>
      <c r="B85" s="14">
        <v>96767300</v>
      </c>
      <c r="D85" s="11" t="s">
        <v>256</v>
      </c>
      <c r="E85" s="14">
        <v>281707300</v>
      </c>
    </row>
    <row r="86" spans="1:5" x14ac:dyDescent="0.3">
      <c r="A86" s="11" t="s">
        <v>259</v>
      </c>
      <c r="B86" s="14">
        <v>94765900</v>
      </c>
      <c r="D86" s="11" t="s">
        <v>250</v>
      </c>
      <c r="E86" s="14">
        <v>184953300</v>
      </c>
    </row>
    <row r="87" spans="1:5" x14ac:dyDescent="0.3">
      <c r="A87" s="11" t="s">
        <v>295</v>
      </c>
      <c r="B87" s="14">
        <v>88387100</v>
      </c>
      <c r="D87" s="11" t="s">
        <v>255</v>
      </c>
      <c r="E87" s="14">
        <v>161422506</v>
      </c>
    </row>
    <row r="88" spans="1:5" x14ac:dyDescent="0.3">
      <c r="A88" s="11" t="s">
        <v>248</v>
      </c>
      <c r="B88" s="14">
        <v>78521500</v>
      </c>
      <c r="D88" s="11" t="s">
        <v>254</v>
      </c>
      <c r="E88" s="14">
        <v>132579200</v>
      </c>
    </row>
    <row r="89" spans="1:5" x14ac:dyDescent="0.3">
      <c r="A89" s="11" t="s">
        <v>251</v>
      </c>
      <c r="B89" s="14">
        <v>77217300</v>
      </c>
      <c r="D89" s="11" t="s">
        <v>259</v>
      </c>
      <c r="E89" s="14">
        <v>97433700</v>
      </c>
    </row>
    <row r="90" spans="1:5" x14ac:dyDescent="0.3">
      <c r="A90" s="11" t="s">
        <v>265</v>
      </c>
      <c r="B90" s="14">
        <v>75118000</v>
      </c>
      <c r="D90" s="11" t="s">
        <v>295</v>
      </c>
      <c r="E90" s="14">
        <v>75502484</v>
      </c>
    </row>
    <row r="91" spans="1:5" x14ac:dyDescent="0.3">
      <c r="A91" s="11" t="s">
        <v>249</v>
      </c>
      <c r="B91" s="14">
        <v>75085100</v>
      </c>
      <c r="D91" s="11" t="s">
        <v>313</v>
      </c>
      <c r="E91" s="14">
        <v>69151110</v>
      </c>
    </row>
    <row r="92" spans="1:5" x14ac:dyDescent="0.3">
      <c r="A92" s="11" t="s">
        <v>258</v>
      </c>
      <c r="B92" s="14">
        <v>75054000</v>
      </c>
      <c r="D92" s="11" t="s">
        <v>263</v>
      </c>
      <c r="E92" s="14">
        <v>68424900</v>
      </c>
    </row>
    <row r="93" spans="1:5" x14ac:dyDescent="0.3">
      <c r="A93" s="11" t="s">
        <v>313</v>
      </c>
      <c r="B93" s="14">
        <v>73625300</v>
      </c>
      <c r="D93" s="11" t="s">
        <v>251</v>
      </c>
      <c r="E93" s="14">
        <v>67068700</v>
      </c>
    </row>
    <row r="94" spans="1:5" x14ac:dyDescent="0.3">
      <c r="A94" s="11" t="s">
        <v>263</v>
      </c>
      <c r="B94" s="14">
        <v>65207000</v>
      </c>
      <c r="D94" s="11" t="s">
        <v>265</v>
      </c>
      <c r="E94" s="14">
        <v>65047600</v>
      </c>
    </row>
    <row r="95" spans="1:5" x14ac:dyDescent="0.3">
      <c r="A95" s="11" t="s">
        <v>262</v>
      </c>
      <c r="B95" s="14">
        <v>60926100</v>
      </c>
      <c r="D95" s="11" t="s">
        <v>322</v>
      </c>
      <c r="E95" s="14">
        <v>61648500</v>
      </c>
    </row>
    <row r="96" spans="1:5" x14ac:dyDescent="0.3">
      <c r="A96" s="11" t="s">
        <v>261</v>
      </c>
      <c r="B96" s="14">
        <v>45167500</v>
      </c>
      <c r="D96" s="11" t="s">
        <v>244</v>
      </c>
      <c r="E96" s="14">
        <v>59922100</v>
      </c>
    </row>
    <row r="97" spans="1:5" x14ac:dyDescent="0.3">
      <c r="A97" s="11" t="s">
        <v>246</v>
      </c>
      <c r="B97" s="14">
        <v>44336700</v>
      </c>
      <c r="D97" s="11" t="s">
        <v>258</v>
      </c>
      <c r="E97" s="14">
        <v>58423100</v>
      </c>
    </row>
    <row r="98" spans="1:5" x14ac:dyDescent="0.3">
      <c r="A98" s="11" t="s">
        <v>314</v>
      </c>
      <c r="B98" s="14">
        <v>37932500</v>
      </c>
      <c r="D98" s="11" t="s">
        <v>246</v>
      </c>
      <c r="E98" s="14">
        <v>52149900</v>
      </c>
    </row>
    <row r="99" spans="1:5" x14ac:dyDescent="0.3">
      <c r="A99" s="11" t="s">
        <v>260</v>
      </c>
      <c r="B99" s="14">
        <v>37357200</v>
      </c>
      <c r="D99" s="11" t="s">
        <v>261</v>
      </c>
      <c r="E99" s="14">
        <v>49399500</v>
      </c>
    </row>
    <row r="100" spans="1:5" x14ac:dyDescent="0.3">
      <c r="A100" s="11" t="s">
        <v>266</v>
      </c>
      <c r="B100" s="14">
        <v>27563500</v>
      </c>
      <c r="D100" s="11" t="s">
        <v>262</v>
      </c>
      <c r="E100" s="14">
        <v>49330900</v>
      </c>
    </row>
    <row r="101" spans="1:5" x14ac:dyDescent="0.3">
      <c r="A101" s="11" t="s">
        <v>267</v>
      </c>
      <c r="B101" s="14">
        <v>23144900</v>
      </c>
      <c r="D101" s="11" t="s">
        <v>249</v>
      </c>
      <c r="E101" s="14">
        <v>47826400</v>
      </c>
    </row>
    <row r="102" spans="1:5" x14ac:dyDescent="0.3">
      <c r="A102" s="11" t="s">
        <v>245</v>
      </c>
      <c r="B102" s="14">
        <v>11120300</v>
      </c>
      <c r="D102" s="11" t="s">
        <v>314</v>
      </c>
      <c r="E102" s="14">
        <v>47331000</v>
      </c>
    </row>
    <row r="103" spans="1:5" x14ac:dyDescent="0.3">
      <c r="A103" s="11" t="s">
        <v>298</v>
      </c>
      <c r="B103" s="14">
        <v>5949679</v>
      </c>
      <c r="D103" s="11" t="s">
        <v>323</v>
      </c>
      <c r="E103" s="14">
        <v>43542130</v>
      </c>
    </row>
    <row r="104" spans="1:5" x14ac:dyDescent="0.3">
      <c r="A104" s="12"/>
      <c r="B104" s="15">
        <v>4091358039</v>
      </c>
      <c r="D104" s="11" t="s">
        <v>248</v>
      </c>
      <c r="E104" s="14">
        <v>38079700</v>
      </c>
    </row>
    <row r="105" spans="1:5" x14ac:dyDescent="0.3">
      <c r="A105" s="11" t="s">
        <v>99</v>
      </c>
      <c r="B105" s="14">
        <v>384605996</v>
      </c>
      <c r="D105" s="11" t="s">
        <v>260</v>
      </c>
      <c r="E105" s="14">
        <v>33841500</v>
      </c>
    </row>
    <row r="106" spans="1:5" x14ac:dyDescent="0.3">
      <c r="A106" s="11" t="s">
        <v>85</v>
      </c>
      <c r="B106" s="14">
        <v>282484549</v>
      </c>
      <c r="D106" s="11" t="s">
        <v>266</v>
      </c>
      <c r="E106" s="14">
        <v>24063900</v>
      </c>
    </row>
    <row r="107" spans="1:5" x14ac:dyDescent="0.3">
      <c r="A107" s="11" t="s">
        <v>79</v>
      </c>
      <c r="B107" s="14">
        <v>196035452</v>
      </c>
      <c r="D107" s="11" t="s">
        <v>267</v>
      </c>
      <c r="E107" s="14">
        <v>20791700</v>
      </c>
    </row>
    <row r="108" spans="1:5" x14ac:dyDescent="0.3">
      <c r="A108" s="11" t="s">
        <v>73</v>
      </c>
      <c r="B108" s="14">
        <v>193651000</v>
      </c>
      <c r="D108" s="11" t="s">
        <v>245</v>
      </c>
      <c r="E108" s="14">
        <v>11935900</v>
      </c>
    </row>
    <row r="109" spans="1:5" x14ac:dyDescent="0.3">
      <c r="A109" s="11" t="s">
        <v>106</v>
      </c>
      <c r="B109" s="14">
        <v>188122200</v>
      </c>
      <c r="D109" s="11" t="s">
        <v>247</v>
      </c>
      <c r="E109" s="14">
        <v>4462662</v>
      </c>
    </row>
    <row r="110" spans="1:5" x14ac:dyDescent="0.3">
      <c r="A110" s="11" t="s">
        <v>127</v>
      </c>
      <c r="B110" s="14">
        <v>171308700</v>
      </c>
      <c r="D110" s="12"/>
      <c r="E110" s="12"/>
    </row>
    <row r="111" spans="1:5" x14ac:dyDescent="0.3">
      <c r="A111" s="11" t="s">
        <v>90</v>
      </c>
      <c r="B111" s="14">
        <v>146953500</v>
      </c>
      <c r="D111" s="11" t="s">
        <v>127</v>
      </c>
      <c r="E111" s="14">
        <v>127911344</v>
      </c>
    </row>
    <row r="112" spans="1:5" x14ac:dyDescent="0.3">
      <c r="A112" s="11" t="s">
        <v>136</v>
      </c>
      <c r="B112" s="14">
        <v>121719982</v>
      </c>
      <c r="D112" s="11" t="s">
        <v>99</v>
      </c>
      <c r="E112" s="14">
        <v>125745188</v>
      </c>
    </row>
    <row r="113" spans="1:5" x14ac:dyDescent="0.3">
      <c r="A113" s="11" t="s">
        <v>74</v>
      </c>
      <c r="B113" s="14">
        <v>98406907</v>
      </c>
      <c r="D113" s="11" t="s">
        <v>324</v>
      </c>
      <c r="E113" s="14">
        <v>116649000</v>
      </c>
    </row>
    <row r="114" spans="1:5" x14ac:dyDescent="0.3">
      <c r="A114" s="11" t="s">
        <v>117</v>
      </c>
      <c r="B114" s="14">
        <v>75662100</v>
      </c>
      <c r="D114" s="11" t="s">
        <v>79</v>
      </c>
      <c r="E114" s="14">
        <v>107731600</v>
      </c>
    </row>
    <row r="115" spans="1:5" x14ac:dyDescent="0.3">
      <c r="A115" s="11" t="s">
        <v>103</v>
      </c>
      <c r="B115" s="14">
        <v>69118573</v>
      </c>
      <c r="D115" s="11" t="s">
        <v>73</v>
      </c>
      <c r="E115" s="14">
        <v>105777500</v>
      </c>
    </row>
    <row r="116" spans="1:5" x14ac:dyDescent="0.3">
      <c r="A116" s="11" t="s">
        <v>87</v>
      </c>
      <c r="B116" s="14">
        <v>69061294</v>
      </c>
      <c r="D116" s="11" t="s">
        <v>74</v>
      </c>
      <c r="E116" s="14">
        <v>97925000</v>
      </c>
    </row>
    <row r="117" spans="1:5" x14ac:dyDescent="0.3">
      <c r="A117" s="11" t="s">
        <v>131</v>
      </c>
      <c r="B117" s="14">
        <v>66310100</v>
      </c>
      <c r="D117" s="11" t="s">
        <v>93</v>
      </c>
      <c r="E117" s="14">
        <v>77258383</v>
      </c>
    </row>
    <row r="118" spans="1:5" x14ac:dyDescent="0.3">
      <c r="A118" s="11" t="s">
        <v>102</v>
      </c>
      <c r="B118" s="14">
        <v>65054759</v>
      </c>
      <c r="D118" s="11" t="s">
        <v>109</v>
      </c>
      <c r="E118" s="14">
        <v>77063434</v>
      </c>
    </row>
    <row r="119" spans="1:5" x14ac:dyDescent="0.3">
      <c r="A119" s="11" t="s">
        <v>93</v>
      </c>
      <c r="B119" s="14">
        <v>64113842</v>
      </c>
      <c r="D119" s="11" t="s">
        <v>136</v>
      </c>
      <c r="E119" s="14">
        <v>74898219</v>
      </c>
    </row>
    <row r="120" spans="1:5" x14ac:dyDescent="0.3">
      <c r="A120" s="11" t="s">
        <v>72</v>
      </c>
      <c r="B120" s="14">
        <v>62467740</v>
      </c>
      <c r="D120" s="11" t="s">
        <v>102</v>
      </c>
      <c r="E120" s="14">
        <v>73395400</v>
      </c>
    </row>
    <row r="121" spans="1:5" x14ac:dyDescent="0.3">
      <c r="A121" s="11" t="s">
        <v>88</v>
      </c>
      <c r="B121" s="14">
        <v>61799265</v>
      </c>
      <c r="D121" s="11" t="s">
        <v>108</v>
      </c>
      <c r="E121" s="14">
        <v>69891090</v>
      </c>
    </row>
    <row r="122" spans="1:5" x14ac:dyDescent="0.3">
      <c r="A122" s="11" t="s">
        <v>110</v>
      </c>
      <c r="B122" s="14">
        <v>58655300</v>
      </c>
      <c r="D122" s="11" t="s">
        <v>95</v>
      </c>
      <c r="E122" s="14">
        <v>66785300</v>
      </c>
    </row>
    <row r="123" spans="1:5" x14ac:dyDescent="0.3">
      <c r="A123" s="11" t="s">
        <v>108</v>
      </c>
      <c r="B123" s="14">
        <v>56379479</v>
      </c>
      <c r="D123" s="11" t="s">
        <v>90</v>
      </c>
      <c r="E123" s="14">
        <v>62377253</v>
      </c>
    </row>
    <row r="124" spans="1:5" x14ac:dyDescent="0.3">
      <c r="A124" s="11" t="s">
        <v>78</v>
      </c>
      <c r="B124" s="14">
        <v>55635310</v>
      </c>
      <c r="D124" s="11" t="s">
        <v>103</v>
      </c>
      <c r="E124" s="14">
        <v>60494805</v>
      </c>
    </row>
    <row r="125" spans="1:5" x14ac:dyDescent="0.3">
      <c r="A125" s="11" t="s">
        <v>133</v>
      </c>
      <c r="B125" s="14">
        <v>51060310</v>
      </c>
      <c r="D125" s="11" t="s">
        <v>111</v>
      </c>
      <c r="E125" s="14">
        <v>58779391</v>
      </c>
    </row>
    <row r="126" spans="1:5" x14ac:dyDescent="0.3">
      <c r="A126" s="11" t="s">
        <v>118</v>
      </c>
      <c r="B126" s="14">
        <v>50477487</v>
      </c>
      <c r="D126" s="11" t="s">
        <v>129</v>
      </c>
      <c r="E126" s="14">
        <v>58527293</v>
      </c>
    </row>
    <row r="127" spans="1:5" x14ac:dyDescent="0.3">
      <c r="A127" s="11" t="s">
        <v>91</v>
      </c>
      <c r="B127" s="14">
        <v>50184327</v>
      </c>
      <c r="D127" s="11" t="s">
        <v>131</v>
      </c>
      <c r="E127" s="14">
        <v>58140159</v>
      </c>
    </row>
    <row r="128" spans="1:5" x14ac:dyDescent="0.3">
      <c r="A128" s="11" t="s">
        <v>101</v>
      </c>
      <c r="B128" s="14">
        <v>48547788</v>
      </c>
      <c r="D128" s="11" t="s">
        <v>81</v>
      </c>
      <c r="E128" s="14">
        <v>57420100</v>
      </c>
    </row>
    <row r="129" spans="1:5" x14ac:dyDescent="0.3">
      <c r="A129" s="11" t="s">
        <v>81</v>
      </c>
      <c r="B129" s="14">
        <v>48258700</v>
      </c>
      <c r="D129" s="11" t="s">
        <v>118</v>
      </c>
      <c r="E129" s="14">
        <v>56269622</v>
      </c>
    </row>
    <row r="130" spans="1:5" x14ac:dyDescent="0.3">
      <c r="A130" s="11" t="s">
        <v>128</v>
      </c>
      <c r="B130" s="14">
        <v>47825656</v>
      </c>
      <c r="D130" s="11" t="s">
        <v>100</v>
      </c>
      <c r="E130" s="14">
        <v>55759600</v>
      </c>
    </row>
    <row r="131" spans="1:5" x14ac:dyDescent="0.3">
      <c r="A131" s="11" t="s">
        <v>132</v>
      </c>
      <c r="B131" s="14">
        <v>47579400</v>
      </c>
      <c r="D131" s="11" t="s">
        <v>133</v>
      </c>
      <c r="E131" s="14">
        <v>53525210</v>
      </c>
    </row>
    <row r="132" spans="1:5" x14ac:dyDescent="0.3">
      <c r="A132" s="11" t="s">
        <v>109</v>
      </c>
      <c r="B132" s="14">
        <v>46661208</v>
      </c>
      <c r="D132" s="11" t="s">
        <v>88</v>
      </c>
      <c r="E132" s="14">
        <v>53065843</v>
      </c>
    </row>
    <row r="133" spans="1:5" x14ac:dyDescent="0.3">
      <c r="A133" s="11" t="s">
        <v>124</v>
      </c>
      <c r="B133" s="14">
        <v>45248500</v>
      </c>
      <c r="D133" s="11" t="s">
        <v>110</v>
      </c>
      <c r="E133" s="14">
        <v>49718704</v>
      </c>
    </row>
    <row r="134" spans="1:5" x14ac:dyDescent="0.3">
      <c r="A134" s="11" t="s">
        <v>122</v>
      </c>
      <c r="B134" s="14">
        <v>45240810</v>
      </c>
      <c r="D134" s="11" t="s">
        <v>121</v>
      </c>
      <c r="E134" s="14">
        <v>47563028</v>
      </c>
    </row>
    <row r="135" spans="1:5" x14ac:dyDescent="0.3">
      <c r="A135" s="11" t="s">
        <v>92</v>
      </c>
      <c r="B135" s="14">
        <v>44699629</v>
      </c>
      <c r="D135" s="11" t="s">
        <v>117</v>
      </c>
      <c r="E135" s="14">
        <v>47215456</v>
      </c>
    </row>
    <row r="136" spans="1:5" x14ac:dyDescent="0.3">
      <c r="A136" s="11" t="s">
        <v>76</v>
      </c>
      <c r="B136" s="14">
        <v>43902400</v>
      </c>
      <c r="D136" s="11" t="s">
        <v>124</v>
      </c>
      <c r="E136" s="14">
        <v>46707460</v>
      </c>
    </row>
    <row r="137" spans="1:5" x14ac:dyDescent="0.3">
      <c r="A137" s="11" t="s">
        <v>125</v>
      </c>
      <c r="B137" s="14">
        <v>41833678</v>
      </c>
      <c r="D137" s="11" t="s">
        <v>101</v>
      </c>
      <c r="E137" s="14">
        <v>46707069</v>
      </c>
    </row>
    <row r="138" spans="1:5" x14ac:dyDescent="0.3">
      <c r="A138" s="11" t="s">
        <v>115</v>
      </c>
      <c r="B138" s="14">
        <v>40794661</v>
      </c>
      <c r="D138" s="11" t="s">
        <v>134</v>
      </c>
      <c r="E138" s="14">
        <v>46457300</v>
      </c>
    </row>
    <row r="139" spans="1:5" x14ac:dyDescent="0.3">
      <c r="A139" s="11" t="s">
        <v>83</v>
      </c>
      <c r="B139" s="14">
        <v>40004500</v>
      </c>
      <c r="D139" s="11" t="s">
        <v>325</v>
      </c>
      <c r="E139" s="14">
        <v>45875600</v>
      </c>
    </row>
    <row r="140" spans="1:5" x14ac:dyDescent="0.3">
      <c r="A140" s="11" t="s">
        <v>95</v>
      </c>
      <c r="B140" s="14">
        <v>37717255</v>
      </c>
      <c r="D140" s="11" t="s">
        <v>75</v>
      </c>
      <c r="E140" s="14">
        <v>45265588</v>
      </c>
    </row>
    <row r="141" spans="1:5" x14ac:dyDescent="0.3">
      <c r="A141" s="11" t="s">
        <v>129</v>
      </c>
      <c r="B141" s="14">
        <v>37649100</v>
      </c>
      <c r="D141" s="11" t="s">
        <v>91</v>
      </c>
      <c r="E141" s="14">
        <v>44939237</v>
      </c>
    </row>
    <row r="142" spans="1:5" x14ac:dyDescent="0.3">
      <c r="A142" s="11" t="s">
        <v>75</v>
      </c>
      <c r="B142" s="14">
        <v>37577100</v>
      </c>
      <c r="D142" s="11" t="s">
        <v>326</v>
      </c>
      <c r="E142" s="14">
        <v>44088000</v>
      </c>
    </row>
    <row r="143" spans="1:5" x14ac:dyDescent="0.3">
      <c r="A143" s="11" t="s">
        <v>84</v>
      </c>
      <c r="B143" s="14">
        <v>35820103</v>
      </c>
      <c r="D143" s="11" t="s">
        <v>84</v>
      </c>
      <c r="E143" s="14">
        <v>43657573</v>
      </c>
    </row>
    <row r="144" spans="1:5" x14ac:dyDescent="0.3">
      <c r="A144" s="11" t="s">
        <v>100</v>
      </c>
      <c r="B144" s="14">
        <v>35573400</v>
      </c>
      <c r="D144" s="11" t="s">
        <v>115</v>
      </c>
      <c r="E144" s="14">
        <v>43539676</v>
      </c>
    </row>
    <row r="145" spans="1:5" x14ac:dyDescent="0.3">
      <c r="A145" s="11" t="s">
        <v>105</v>
      </c>
      <c r="B145" s="14">
        <v>34061800</v>
      </c>
      <c r="D145" s="11" t="s">
        <v>128</v>
      </c>
      <c r="E145" s="14">
        <v>42712887</v>
      </c>
    </row>
    <row r="146" spans="1:5" x14ac:dyDescent="0.3">
      <c r="A146" s="11" t="s">
        <v>97</v>
      </c>
      <c r="B146" s="14">
        <v>33674633</v>
      </c>
      <c r="D146" s="11" t="s">
        <v>92</v>
      </c>
      <c r="E146" s="14">
        <v>42401156</v>
      </c>
    </row>
    <row r="147" spans="1:5" x14ac:dyDescent="0.3">
      <c r="A147" s="11" t="s">
        <v>96</v>
      </c>
      <c r="B147" s="14">
        <v>33354368</v>
      </c>
      <c r="D147" s="11" t="s">
        <v>122</v>
      </c>
      <c r="E147" s="14">
        <v>41490000</v>
      </c>
    </row>
    <row r="148" spans="1:5" x14ac:dyDescent="0.3">
      <c r="A148" s="11" t="s">
        <v>98</v>
      </c>
      <c r="B148" s="14">
        <v>30647500</v>
      </c>
      <c r="D148" s="11" t="s">
        <v>83</v>
      </c>
      <c r="E148" s="14">
        <v>41154800</v>
      </c>
    </row>
    <row r="149" spans="1:5" x14ac:dyDescent="0.3">
      <c r="A149" s="11" t="s">
        <v>112</v>
      </c>
      <c r="B149" s="14">
        <v>30197202</v>
      </c>
      <c r="D149" s="11" t="s">
        <v>105</v>
      </c>
      <c r="E149" s="14">
        <v>38243168</v>
      </c>
    </row>
    <row r="150" spans="1:5" x14ac:dyDescent="0.3">
      <c r="A150" s="11" t="s">
        <v>107</v>
      </c>
      <c r="B150" s="14">
        <v>28915500</v>
      </c>
      <c r="D150" s="11" t="s">
        <v>76</v>
      </c>
      <c r="E150" s="14">
        <v>38066600</v>
      </c>
    </row>
    <row r="151" spans="1:5" x14ac:dyDescent="0.3">
      <c r="A151" s="11" t="s">
        <v>134</v>
      </c>
      <c r="B151" s="14">
        <v>28302118</v>
      </c>
      <c r="D151" s="11" t="s">
        <v>106</v>
      </c>
      <c r="E151" s="14">
        <v>37329750</v>
      </c>
    </row>
    <row r="152" spans="1:5" x14ac:dyDescent="0.3">
      <c r="A152" s="11" t="s">
        <v>111</v>
      </c>
      <c r="B152" s="14">
        <v>28103100</v>
      </c>
      <c r="D152" s="11" t="s">
        <v>87</v>
      </c>
      <c r="E152" s="14">
        <v>36864861</v>
      </c>
    </row>
    <row r="153" spans="1:5" x14ac:dyDescent="0.3">
      <c r="A153" s="11" t="s">
        <v>86</v>
      </c>
      <c r="B153" s="14">
        <v>28078700</v>
      </c>
      <c r="D153" s="11" t="s">
        <v>97</v>
      </c>
      <c r="E153" s="14">
        <v>32416187</v>
      </c>
    </row>
    <row r="154" spans="1:5" x14ac:dyDescent="0.3">
      <c r="A154" s="11" t="s">
        <v>116</v>
      </c>
      <c r="B154" s="14">
        <v>26459300</v>
      </c>
      <c r="D154" s="11" t="s">
        <v>135</v>
      </c>
      <c r="E154" s="14">
        <v>32352662</v>
      </c>
    </row>
    <row r="155" spans="1:5" x14ac:dyDescent="0.3">
      <c r="A155" s="11" t="s">
        <v>77</v>
      </c>
      <c r="B155" s="14">
        <v>25830800</v>
      </c>
      <c r="D155" s="11" t="s">
        <v>125</v>
      </c>
      <c r="E155" s="14">
        <v>31971810</v>
      </c>
    </row>
    <row r="156" spans="1:5" x14ac:dyDescent="0.3">
      <c r="A156" s="11" t="s">
        <v>123</v>
      </c>
      <c r="B156" s="14">
        <v>23732695</v>
      </c>
      <c r="D156" s="11" t="s">
        <v>119</v>
      </c>
      <c r="E156" s="14">
        <v>31508000</v>
      </c>
    </row>
    <row r="157" spans="1:5" x14ac:dyDescent="0.3">
      <c r="A157" s="11" t="s">
        <v>121</v>
      </c>
      <c r="B157" s="14">
        <v>22727296</v>
      </c>
      <c r="D157" s="11" t="s">
        <v>112</v>
      </c>
      <c r="E157" s="14">
        <v>30928100</v>
      </c>
    </row>
    <row r="158" spans="1:5" x14ac:dyDescent="0.3">
      <c r="A158" s="11" t="s">
        <v>135</v>
      </c>
      <c r="B158" s="14">
        <v>20990000</v>
      </c>
      <c r="D158" s="11" t="s">
        <v>78</v>
      </c>
      <c r="E158" s="14">
        <v>29541300</v>
      </c>
    </row>
    <row r="159" spans="1:5" x14ac:dyDescent="0.3">
      <c r="A159" s="11" t="s">
        <v>114</v>
      </c>
      <c r="B159" s="14">
        <v>20618700</v>
      </c>
      <c r="D159" s="11" t="s">
        <v>77</v>
      </c>
      <c r="E159" s="14">
        <v>27296321</v>
      </c>
    </row>
    <row r="160" spans="1:5" x14ac:dyDescent="0.3">
      <c r="A160" s="11" t="s">
        <v>119</v>
      </c>
      <c r="B160" s="14">
        <v>20555300</v>
      </c>
      <c r="D160" s="11" t="s">
        <v>98</v>
      </c>
      <c r="E160" s="14">
        <v>26995400</v>
      </c>
    </row>
    <row r="161" spans="1:5" x14ac:dyDescent="0.3">
      <c r="A161" s="11" t="s">
        <v>223</v>
      </c>
      <c r="B161" s="14">
        <v>20536000</v>
      </c>
      <c r="D161" s="11" t="s">
        <v>114</v>
      </c>
      <c r="E161" s="14">
        <v>26294950</v>
      </c>
    </row>
    <row r="162" spans="1:5" x14ac:dyDescent="0.3">
      <c r="A162" s="11" t="s">
        <v>130</v>
      </c>
      <c r="B162" s="14">
        <v>19984500</v>
      </c>
      <c r="D162" s="11" t="s">
        <v>116</v>
      </c>
      <c r="E162" s="14">
        <v>25825900</v>
      </c>
    </row>
    <row r="163" spans="1:5" x14ac:dyDescent="0.3">
      <c r="A163" s="11" t="s">
        <v>82</v>
      </c>
      <c r="B163" s="14">
        <v>19133500</v>
      </c>
      <c r="D163" s="11" t="s">
        <v>123</v>
      </c>
      <c r="E163" s="14">
        <v>24344080</v>
      </c>
    </row>
    <row r="164" spans="1:5" x14ac:dyDescent="0.3">
      <c r="A164" s="11" t="s">
        <v>113</v>
      </c>
      <c r="B164" s="14">
        <v>19077186</v>
      </c>
      <c r="D164" s="11" t="s">
        <v>104</v>
      </c>
      <c r="E164" s="14">
        <v>24029759</v>
      </c>
    </row>
    <row r="165" spans="1:5" x14ac:dyDescent="0.3">
      <c r="A165" s="11" t="s">
        <v>94</v>
      </c>
      <c r="B165" s="14">
        <v>18741700</v>
      </c>
      <c r="D165" s="11" t="s">
        <v>96</v>
      </c>
      <c r="E165" s="14">
        <v>22276481</v>
      </c>
    </row>
    <row r="166" spans="1:5" x14ac:dyDescent="0.3">
      <c r="A166" s="11" t="s">
        <v>104</v>
      </c>
      <c r="B166" s="14">
        <v>18387318</v>
      </c>
      <c r="D166" s="11" t="s">
        <v>113</v>
      </c>
      <c r="E166" s="14">
        <v>21737895</v>
      </c>
    </row>
    <row r="167" spans="1:5" x14ac:dyDescent="0.3">
      <c r="A167" s="11" t="s">
        <v>222</v>
      </c>
      <c r="B167" s="14">
        <v>17187000</v>
      </c>
      <c r="D167" s="11" t="s">
        <v>89</v>
      </c>
      <c r="E167" s="14">
        <v>21693327</v>
      </c>
    </row>
    <row r="168" spans="1:5" x14ac:dyDescent="0.3">
      <c r="A168" s="11" t="s">
        <v>294</v>
      </c>
      <c r="B168" s="14">
        <v>15004000</v>
      </c>
      <c r="D168" s="11" t="s">
        <v>130</v>
      </c>
      <c r="E168" s="14">
        <v>21553900</v>
      </c>
    </row>
    <row r="169" spans="1:5" x14ac:dyDescent="0.3">
      <c r="A169" s="11" t="s">
        <v>235</v>
      </c>
      <c r="B169" s="14">
        <v>12041000</v>
      </c>
      <c r="D169" s="11" t="s">
        <v>86</v>
      </c>
      <c r="E169" s="14">
        <v>21084355</v>
      </c>
    </row>
    <row r="170" spans="1:5" x14ac:dyDescent="0.3">
      <c r="A170" s="11" t="s">
        <v>89</v>
      </c>
      <c r="B170" s="14">
        <v>11566400</v>
      </c>
      <c r="D170" s="11" t="s">
        <v>82</v>
      </c>
      <c r="E170" s="14">
        <v>20141834</v>
      </c>
    </row>
    <row r="171" spans="1:5" x14ac:dyDescent="0.3">
      <c r="A171" s="11" t="s">
        <v>231</v>
      </c>
      <c r="B171" s="14">
        <v>11429000</v>
      </c>
      <c r="D171" s="11" t="s">
        <v>107</v>
      </c>
      <c r="E171" s="14">
        <v>19593010</v>
      </c>
    </row>
    <row r="172" spans="1:5" x14ac:dyDescent="0.3">
      <c r="A172" s="11" t="s">
        <v>237</v>
      </c>
      <c r="B172" s="14">
        <v>10692000</v>
      </c>
      <c r="D172" s="11" t="s">
        <v>327</v>
      </c>
      <c r="E172" s="14">
        <v>19403000</v>
      </c>
    </row>
    <row r="173" spans="1:5" x14ac:dyDescent="0.3">
      <c r="A173" s="11" t="s">
        <v>236</v>
      </c>
      <c r="B173" s="14">
        <v>10233000</v>
      </c>
      <c r="D173" s="11" t="s">
        <v>94</v>
      </c>
      <c r="E173" s="14">
        <v>17930100</v>
      </c>
    </row>
    <row r="174" spans="1:5" x14ac:dyDescent="0.3">
      <c r="A174" s="11" t="s">
        <v>224</v>
      </c>
      <c r="B174" s="14">
        <v>10095000</v>
      </c>
      <c r="D174" s="11" t="s">
        <v>328</v>
      </c>
      <c r="E174" s="14">
        <v>17149949</v>
      </c>
    </row>
    <row r="175" spans="1:5" x14ac:dyDescent="0.3">
      <c r="A175" s="11" t="s">
        <v>221</v>
      </c>
      <c r="B175" s="14">
        <v>8806000</v>
      </c>
      <c r="D175" s="11" t="s">
        <v>329</v>
      </c>
      <c r="E175" s="14">
        <v>16994900</v>
      </c>
    </row>
    <row r="176" spans="1:5" x14ac:dyDescent="0.3">
      <c r="A176" s="11" t="s">
        <v>228</v>
      </c>
      <c r="B176" s="14">
        <v>8134000</v>
      </c>
      <c r="D176" s="11" t="s">
        <v>132</v>
      </c>
      <c r="E176" s="14">
        <v>15837900</v>
      </c>
    </row>
    <row r="177" spans="1:5" x14ac:dyDescent="0.3">
      <c r="A177" s="11" t="s">
        <v>225</v>
      </c>
      <c r="B177" s="14">
        <v>7530000</v>
      </c>
      <c r="D177" s="11" t="s">
        <v>330</v>
      </c>
      <c r="E177" s="14">
        <v>13926900</v>
      </c>
    </row>
    <row r="178" spans="1:5" x14ac:dyDescent="0.3">
      <c r="A178" s="11" t="s">
        <v>226</v>
      </c>
      <c r="B178" s="14">
        <v>6351000</v>
      </c>
      <c r="D178" s="11" t="s">
        <v>222</v>
      </c>
      <c r="E178" s="14">
        <v>13320000</v>
      </c>
    </row>
    <row r="179" spans="1:5" x14ac:dyDescent="0.3">
      <c r="A179" s="11" t="s">
        <v>216</v>
      </c>
      <c r="B179" s="14">
        <v>5337000</v>
      </c>
      <c r="D179" s="11" t="s">
        <v>236</v>
      </c>
      <c r="E179" s="14">
        <v>11628000</v>
      </c>
    </row>
    <row r="180" spans="1:5" x14ac:dyDescent="0.3">
      <c r="A180" s="11" t="s">
        <v>234</v>
      </c>
      <c r="B180" s="14">
        <v>5029000</v>
      </c>
      <c r="D180" s="11" t="s">
        <v>223</v>
      </c>
      <c r="E180" s="14">
        <v>11520000</v>
      </c>
    </row>
    <row r="181" spans="1:5" x14ac:dyDescent="0.3">
      <c r="A181" s="11" t="s">
        <v>232</v>
      </c>
      <c r="B181" s="14">
        <v>4851000</v>
      </c>
      <c r="D181" s="11" t="s">
        <v>235</v>
      </c>
      <c r="E181" s="14">
        <v>11160000</v>
      </c>
    </row>
    <row r="182" spans="1:5" x14ac:dyDescent="0.3">
      <c r="A182" s="11" t="s">
        <v>243</v>
      </c>
      <c r="B182" s="14">
        <v>3738000</v>
      </c>
      <c r="D182" s="11" t="s">
        <v>237</v>
      </c>
      <c r="E182" s="14">
        <v>10080000</v>
      </c>
    </row>
    <row r="183" spans="1:5" x14ac:dyDescent="0.3">
      <c r="A183" s="11" t="s">
        <v>217</v>
      </c>
      <c r="B183" s="14">
        <v>3642000</v>
      </c>
      <c r="D183" s="11" t="s">
        <v>224</v>
      </c>
      <c r="E183" s="14">
        <v>8316000</v>
      </c>
    </row>
    <row r="184" spans="1:5" x14ac:dyDescent="0.3">
      <c r="A184" s="11" t="s">
        <v>242</v>
      </c>
      <c r="B184" s="14">
        <v>3476000</v>
      </c>
      <c r="D184" s="11" t="s">
        <v>225</v>
      </c>
      <c r="E184" s="14">
        <v>6912000</v>
      </c>
    </row>
    <row r="185" spans="1:5" x14ac:dyDescent="0.3">
      <c r="A185" s="11" t="s">
        <v>229</v>
      </c>
      <c r="B185" s="14">
        <v>3327000</v>
      </c>
      <c r="D185" s="11" t="s">
        <v>226</v>
      </c>
      <c r="E185" s="14">
        <v>6876000</v>
      </c>
    </row>
    <row r="186" spans="1:5" x14ac:dyDescent="0.3">
      <c r="A186" s="11" t="s">
        <v>218</v>
      </c>
      <c r="B186" s="14">
        <v>2637000</v>
      </c>
      <c r="D186" s="11" t="s">
        <v>331</v>
      </c>
      <c r="E186" s="14">
        <v>6732000</v>
      </c>
    </row>
    <row r="187" spans="1:5" x14ac:dyDescent="0.3">
      <c r="A187" s="11" t="s">
        <v>227</v>
      </c>
      <c r="B187" s="14">
        <v>1926000</v>
      </c>
      <c r="D187" s="11" t="s">
        <v>234</v>
      </c>
      <c r="E187" s="14">
        <v>6480000</v>
      </c>
    </row>
    <row r="188" spans="1:5" x14ac:dyDescent="0.3">
      <c r="A188" s="11" t="s">
        <v>240</v>
      </c>
      <c r="B188" s="14">
        <v>1857000</v>
      </c>
      <c r="D188" s="11" t="s">
        <v>332</v>
      </c>
      <c r="E188" s="14">
        <v>5004000</v>
      </c>
    </row>
    <row r="189" spans="1:5" x14ac:dyDescent="0.3">
      <c r="A189" s="11" t="s">
        <v>220</v>
      </c>
      <c r="B189" s="14">
        <v>1800000</v>
      </c>
      <c r="D189" s="11" t="s">
        <v>230</v>
      </c>
      <c r="E189" s="14">
        <v>4500000</v>
      </c>
    </row>
    <row r="190" spans="1:5" x14ac:dyDescent="0.3">
      <c r="A190" s="11" t="s">
        <v>241</v>
      </c>
      <c r="B190" s="14">
        <v>1734000</v>
      </c>
      <c r="D190" s="11" t="s">
        <v>216</v>
      </c>
      <c r="E190" s="14">
        <v>4464000</v>
      </c>
    </row>
    <row r="191" spans="1:5" x14ac:dyDescent="0.3">
      <c r="A191" s="11" t="s">
        <v>219</v>
      </c>
      <c r="B191" s="14">
        <v>1662000</v>
      </c>
      <c r="D191" s="11" t="s">
        <v>243</v>
      </c>
      <c r="E191" s="14">
        <v>4320000</v>
      </c>
    </row>
    <row r="192" spans="1:5" x14ac:dyDescent="0.3">
      <c r="A192" s="11" t="s">
        <v>239</v>
      </c>
      <c r="B192" s="14">
        <v>1620000</v>
      </c>
      <c r="D192" s="11" t="s">
        <v>232</v>
      </c>
      <c r="E192" s="14">
        <v>4320000</v>
      </c>
    </row>
    <row r="193" spans="1:5" x14ac:dyDescent="0.3">
      <c r="A193" s="11" t="s">
        <v>233</v>
      </c>
      <c r="B193" s="14">
        <v>1125000</v>
      </c>
      <c r="D193" s="11" t="s">
        <v>217</v>
      </c>
      <c r="E193" s="14">
        <v>4068000</v>
      </c>
    </row>
    <row r="194" spans="1:5" x14ac:dyDescent="0.3">
      <c r="A194" s="11" t="s">
        <v>230</v>
      </c>
      <c r="B194" s="14">
        <v>1080000</v>
      </c>
      <c r="D194" s="11" t="s">
        <v>229</v>
      </c>
      <c r="E194" s="14">
        <v>3348000</v>
      </c>
    </row>
    <row r="195" spans="1:5" x14ac:dyDescent="0.3">
      <c r="A195" s="11" t="s">
        <v>238</v>
      </c>
      <c r="B195" s="14">
        <v>693000</v>
      </c>
      <c r="D195" s="11" t="s">
        <v>218</v>
      </c>
      <c r="E195" s="14">
        <v>3312000</v>
      </c>
    </row>
    <row r="196" spans="1:5" x14ac:dyDescent="0.3">
      <c r="A196" s="12"/>
      <c r="B196" s="15">
        <v>4090913676</v>
      </c>
      <c r="D196" s="11" t="s">
        <v>239</v>
      </c>
      <c r="E196" s="14">
        <v>2916000</v>
      </c>
    </row>
    <row r="197" spans="1:5" x14ac:dyDescent="0.3">
      <c r="A197" s="12"/>
      <c r="B197" s="15">
        <v>20036391995</v>
      </c>
      <c r="D197" s="11" t="s">
        <v>333</v>
      </c>
      <c r="E197" s="14">
        <v>2520000</v>
      </c>
    </row>
    <row r="198" spans="1:5" x14ac:dyDescent="0.3">
      <c r="B198" s="14">
        <v>20036391995</v>
      </c>
      <c r="D198" s="11" t="s">
        <v>219</v>
      </c>
      <c r="E198" s="14">
        <v>2340000</v>
      </c>
    </row>
    <row r="199" spans="1:5" x14ac:dyDescent="0.3">
      <c r="B199" s="14">
        <v>20036391995</v>
      </c>
      <c r="D199" s="11" t="s">
        <v>240</v>
      </c>
      <c r="E199" s="14">
        <v>1980000</v>
      </c>
    </row>
    <row r="200" spans="1:5" x14ac:dyDescent="0.3">
      <c r="D200" s="11" t="s">
        <v>334</v>
      </c>
      <c r="E200" s="14">
        <v>1908000</v>
      </c>
    </row>
    <row r="201" spans="1:5" x14ac:dyDescent="0.3">
      <c r="D201" s="11" t="s">
        <v>335</v>
      </c>
      <c r="E201" s="14">
        <v>1692000</v>
      </c>
    </row>
    <row r="202" spans="1:5" x14ac:dyDescent="0.3">
      <c r="D202" s="11" t="s">
        <v>233</v>
      </c>
      <c r="E202" s="14">
        <v>1656000</v>
      </c>
    </row>
    <row r="203" spans="1:5" x14ac:dyDescent="0.3">
      <c r="D203" s="11" t="s">
        <v>238</v>
      </c>
      <c r="E203" s="14">
        <v>612000</v>
      </c>
    </row>
    <row r="204" spans="1:5" x14ac:dyDescent="0.3">
      <c r="D204" s="12"/>
      <c r="E204" s="12"/>
    </row>
    <row r="205" spans="1:5" x14ac:dyDescent="0.3">
      <c r="D205" s="12"/>
      <c r="E205" s="1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E0F4-1321-4A56-9E15-68AFE89710B8}">
  <dimension ref="A1:U21"/>
  <sheetViews>
    <sheetView showGridLines="0" tabSelected="1" workbookViewId="0">
      <selection activeCell="T23" sqref="T23"/>
    </sheetView>
  </sheetViews>
  <sheetFormatPr defaultRowHeight="16.5" x14ac:dyDescent="0.3"/>
  <sheetData>
    <row r="1" spans="1:21" ht="23.25" x14ac:dyDescent="0.3">
      <c r="A1" s="81" t="s">
        <v>340</v>
      </c>
      <c r="B1" s="83" t="s">
        <v>341</v>
      </c>
      <c r="C1" s="84"/>
      <c r="D1" s="84"/>
      <c r="E1" s="84"/>
      <c r="F1" s="84"/>
      <c r="G1" s="84"/>
      <c r="H1" s="16"/>
      <c r="I1" s="85" t="s">
        <v>12</v>
      </c>
      <c r="J1" s="85"/>
      <c r="K1" s="85"/>
      <c r="L1" s="85"/>
      <c r="M1" s="85"/>
      <c r="N1" s="85"/>
      <c r="O1" s="85"/>
      <c r="P1" s="85"/>
      <c r="Q1" s="17"/>
      <c r="R1" s="85" t="s">
        <v>342</v>
      </c>
      <c r="S1" s="85"/>
      <c r="T1" s="85"/>
      <c r="U1" s="85"/>
    </row>
    <row r="2" spans="1:21" x14ac:dyDescent="0.3">
      <c r="A2" s="81"/>
      <c r="B2" s="86" t="s">
        <v>343</v>
      </c>
      <c r="C2" s="72" t="s">
        <v>344</v>
      </c>
      <c r="D2" s="72" t="s">
        <v>345</v>
      </c>
      <c r="E2" s="72" t="s">
        <v>346</v>
      </c>
      <c r="F2" s="72" t="s">
        <v>347</v>
      </c>
      <c r="G2" s="18" t="s">
        <v>348</v>
      </c>
      <c r="H2" s="72"/>
      <c r="I2" s="72" t="s">
        <v>343</v>
      </c>
      <c r="J2" s="72" t="s">
        <v>344</v>
      </c>
      <c r="K2" s="72" t="s">
        <v>345</v>
      </c>
      <c r="L2" s="72" t="s">
        <v>346</v>
      </c>
      <c r="M2" s="72" t="s">
        <v>347</v>
      </c>
      <c r="N2" s="18" t="s">
        <v>348</v>
      </c>
      <c r="O2" s="18" t="s">
        <v>350</v>
      </c>
      <c r="P2" s="72" t="s">
        <v>351</v>
      </c>
      <c r="Q2" s="80"/>
      <c r="R2" s="72" t="s">
        <v>344</v>
      </c>
      <c r="S2" s="72" t="s">
        <v>345</v>
      </c>
      <c r="T2" s="72" t="s">
        <v>346</v>
      </c>
      <c r="U2" s="72" t="s">
        <v>352</v>
      </c>
    </row>
    <row r="3" spans="1:21" ht="17.25" thickBot="1" x14ac:dyDescent="0.35">
      <c r="A3" s="82"/>
      <c r="B3" s="87"/>
      <c r="C3" s="73"/>
      <c r="D3" s="73"/>
      <c r="E3" s="73"/>
      <c r="F3" s="73"/>
      <c r="G3" s="19" t="s">
        <v>349</v>
      </c>
      <c r="H3" s="72"/>
      <c r="I3" s="73"/>
      <c r="J3" s="73"/>
      <c r="K3" s="73"/>
      <c r="L3" s="73"/>
      <c r="M3" s="73"/>
      <c r="N3" s="19" t="s">
        <v>349</v>
      </c>
      <c r="O3" s="19" t="s">
        <v>349</v>
      </c>
      <c r="P3" s="73"/>
      <c r="Q3" s="80"/>
      <c r="R3" s="73"/>
      <c r="S3" s="73"/>
      <c r="T3" s="73"/>
      <c r="U3" s="73"/>
    </row>
    <row r="4" spans="1:21" ht="24" thickTop="1" x14ac:dyDescent="0.3">
      <c r="A4" s="20" t="s">
        <v>353</v>
      </c>
      <c r="B4" s="21">
        <v>315598</v>
      </c>
      <c r="C4" s="22">
        <v>296877</v>
      </c>
      <c r="D4" s="22">
        <v>308397</v>
      </c>
      <c r="E4" s="23">
        <f>C4/D4-1</f>
        <v>-3.7354448973239029E-2</v>
      </c>
      <c r="F4" s="24">
        <f>C4/B4</f>
        <v>0.94068086616518487</v>
      </c>
      <c r="G4" s="23">
        <v>-0.01</v>
      </c>
      <c r="H4" s="16"/>
      <c r="I4" s="25">
        <v>33000</v>
      </c>
      <c r="J4" s="25">
        <v>25902</v>
      </c>
      <c r="K4" s="25">
        <v>23809</v>
      </c>
      <c r="L4" s="26">
        <f>J4/K4-1</f>
        <v>8.7907933974547436E-2</v>
      </c>
      <c r="M4" s="26">
        <f>J4/I4</f>
        <v>0.78490909090909089</v>
      </c>
      <c r="N4" s="26">
        <v>0.13</v>
      </c>
      <c r="O4" s="27"/>
      <c r="P4" s="27"/>
      <c r="Q4" s="17"/>
      <c r="R4" s="28">
        <v>7814</v>
      </c>
      <c r="S4" s="28">
        <v>7212</v>
      </c>
      <c r="T4" s="29">
        <f>R4/S4-1</f>
        <v>8.3471991125901202E-2</v>
      </c>
      <c r="U4" s="30"/>
    </row>
    <row r="5" spans="1:21" x14ac:dyDescent="0.3">
      <c r="A5" s="74" t="s">
        <v>270</v>
      </c>
      <c r="B5" s="75">
        <v>167559</v>
      </c>
      <c r="C5" s="61">
        <v>150845</v>
      </c>
      <c r="D5" s="61">
        <v>155417</v>
      </c>
      <c r="E5" s="62">
        <f>C5/D5-1</f>
        <v>-2.9417631275857836E-2</v>
      </c>
      <c r="F5" s="64">
        <f>C5/B5</f>
        <v>0.90025006117248252</v>
      </c>
      <c r="G5" s="62">
        <v>0</v>
      </c>
      <c r="H5" s="72"/>
      <c r="I5" s="61">
        <v>18249</v>
      </c>
      <c r="J5" s="61">
        <v>14335</v>
      </c>
      <c r="K5" s="61">
        <v>12988</v>
      </c>
      <c r="L5" s="64">
        <f>J5/K5-1</f>
        <v>0.1037111179550354</v>
      </c>
      <c r="M5" s="64">
        <f>J5/I5</f>
        <v>0.78552249438325383</v>
      </c>
      <c r="N5" s="64">
        <v>0.14000000000000001</v>
      </c>
      <c r="O5" s="78"/>
      <c r="P5" s="34"/>
      <c r="Q5" s="59">
        <v>0.22</v>
      </c>
      <c r="R5" s="61">
        <v>4457</v>
      </c>
      <c r="S5" s="61">
        <v>4412</v>
      </c>
      <c r="T5" s="88">
        <f>R5/S5-1</f>
        <v>1.0199456029011733E-2</v>
      </c>
      <c r="U5" s="34"/>
    </row>
    <row r="6" spans="1:21" x14ac:dyDescent="0.3">
      <c r="A6" s="67"/>
      <c r="B6" s="68"/>
      <c r="C6" s="60"/>
      <c r="D6" s="60"/>
      <c r="E6" s="63"/>
      <c r="F6" s="56"/>
      <c r="G6" s="63"/>
      <c r="H6" s="72"/>
      <c r="I6" s="60"/>
      <c r="J6" s="60"/>
      <c r="K6" s="60"/>
      <c r="L6" s="56"/>
      <c r="M6" s="56"/>
      <c r="N6" s="56"/>
      <c r="O6" s="79"/>
      <c r="P6" s="16"/>
      <c r="Q6" s="59"/>
      <c r="R6" s="60"/>
      <c r="S6" s="60"/>
      <c r="T6" s="89"/>
      <c r="U6" s="16"/>
    </row>
    <row r="7" spans="1:21" ht="23.25" x14ac:dyDescent="0.3">
      <c r="A7" s="35" t="s">
        <v>271</v>
      </c>
      <c r="B7" s="36">
        <v>108496</v>
      </c>
      <c r="C7" s="31">
        <v>106425</v>
      </c>
      <c r="D7" s="31">
        <v>122900</v>
      </c>
      <c r="E7" s="32">
        <f>C7/D7-1</f>
        <v>-0.13405207485760784</v>
      </c>
      <c r="F7" s="33">
        <f>C7/B7</f>
        <v>0.98091173868161041</v>
      </c>
      <c r="G7" s="32">
        <v>-7.0000000000000007E-2</v>
      </c>
      <c r="H7" s="18"/>
      <c r="I7" s="31">
        <v>10600</v>
      </c>
      <c r="J7" s="31">
        <v>8382</v>
      </c>
      <c r="K7" s="31">
        <v>8486</v>
      </c>
      <c r="L7" s="32">
        <f>J7/K7-1</f>
        <v>-1.2255479613481057E-2</v>
      </c>
      <c r="M7" s="33">
        <f>J7/I7</f>
        <v>0.79075471698113209</v>
      </c>
      <c r="N7" s="33">
        <v>0.14000000000000001</v>
      </c>
      <c r="O7" s="18"/>
      <c r="P7" s="18"/>
      <c r="Q7" s="17"/>
      <c r="R7" s="31">
        <v>2528</v>
      </c>
      <c r="S7" s="31">
        <v>2136</v>
      </c>
      <c r="T7" s="33">
        <f>R7/S7-1</f>
        <v>0.18352059925093633</v>
      </c>
      <c r="U7" s="17"/>
    </row>
    <row r="8" spans="1:21" ht="23.25" x14ac:dyDescent="0.3">
      <c r="A8" s="35" t="s">
        <v>354</v>
      </c>
      <c r="B8" s="36">
        <v>39543</v>
      </c>
      <c r="C8" s="31">
        <v>39607</v>
      </c>
      <c r="D8" s="31">
        <v>30079</v>
      </c>
      <c r="E8" s="33">
        <f>C8/D8-1</f>
        <v>0.31676584992852153</v>
      </c>
      <c r="F8" s="33">
        <f>C8/B8</f>
        <v>1.001618491262676</v>
      </c>
      <c r="G8" s="33">
        <v>0.14000000000000001</v>
      </c>
      <c r="H8" s="18"/>
      <c r="I8" s="31">
        <v>4151</v>
      </c>
      <c r="J8" s="31">
        <v>3184</v>
      </c>
      <c r="K8" s="31">
        <v>2334</v>
      </c>
      <c r="L8" s="33">
        <f>J8/K8-1</f>
        <v>0.36418166238217653</v>
      </c>
      <c r="M8" s="33">
        <f>J8/I8</f>
        <v>0.76704408576246685</v>
      </c>
      <c r="N8" s="33">
        <v>0.12</v>
      </c>
      <c r="O8" s="18"/>
      <c r="P8" s="18"/>
      <c r="Q8" s="17"/>
      <c r="R8" s="18">
        <v>828</v>
      </c>
      <c r="S8" s="18">
        <v>663</v>
      </c>
      <c r="T8" s="33">
        <f>R8/S8-1</f>
        <v>0.24886877828054299</v>
      </c>
      <c r="U8" s="17"/>
    </row>
    <row r="9" spans="1:21" ht="23.25" x14ac:dyDescent="0.3">
      <c r="A9" s="37"/>
      <c r="B9" s="17"/>
      <c r="C9" s="17"/>
      <c r="D9" s="17"/>
      <c r="E9" s="17"/>
      <c r="F9" s="17"/>
      <c r="G9" s="17"/>
      <c r="H9" s="38"/>
      <c r="I9" s="17"/>
      <c r="J9" s="17"/>
      <c r="K9" s="17"/>
      <c r="L9" s="38"/>
      <c r="M9" s="38"/>
      <c r="N9" s="17"/>
      <c r="O9" s="17"/>
      <c r="P9" s="17"/>
      <c r="Q9" s="17"/>
      <c r="R9" s="18"/>
      <c r="S9" s="18"/>
      <c r="T9" s="17"/>
      <c r="U9" s="17"/>
    </row>
    <row r="10" spans="1:21" ht="23.25" x14ac:dyDescent="0.3">
      <c r="A10" s="81" t="s">
        <v>355</v>
      </c>
      <c r="B10" s="83" t="s">
        <v>341</v>
      </c>
      <c r="C10" s="84"/>
      <c r="D10" s="84"/>
      <c r="E10" s="84"/>
      <c r="F10" s="84"/>
      <c r="G10" s="84"/>
      <c r="H10" s="16"/>
      <c r="I10" s="85" t="s">
        <v>12</v>
      </c>
      <c r="J10" s="85"/>
      <c r="K10" s="85"/>
      <c r="L10" s="85"/>
      <c r="M10" s="85"/>
      <c r="N10" s="85"/>
      <c r="O10" s="85"/>
      <c r="P10" s="85"/>
      <c r="Q10" s="17"/>
      <c r="R10" s="85" t="s">
        <v>342</v>
      </c>
      <c r="S10" s="85"/>
      <c r="T10" s="85"/>
      <c r="U10" s="85"/>
    </row>
    <row r="11" spans="1:21" x14ac:dyDescent="0.3">
      <c r="A11" s="81"/>
      <c r="B11" s="86" t="s">
        <v>343</v>
      </c>
      <c r="C11" s="72" t="s">
        <v>344</v>
      </c>
      <c r="D11" s="72" t="s">
        <v>345</v>
      </c>
      <c r="E11" s="72" t="s">
        <v>346</v>
      </c>
      <c r="F11" s="72" t="s">
        <v>347</v>
      </c>
      <c r="G11" s="18" t="s">
        <v>348</v>
      </c>
      <c r="H11" s="71"/>
      <c r="I11" s="72" t="s">
        <v>343</v>
      </c>
      <c r="J11" s="72" t="s">
        <v>344</v>
      </c>
      <c r="K11" s="72" t="s">
        <v>345</v>
      </c>
      <c r="L11" s="72" t="s">
        <v>346</v>
      </c>
      <c r="M11" s="72" t="s">
        <v>347</v>
      </c>
      <c r="N11" s="18" t="s">
        <v>348</v>
      </c>
      <c r="O11" s="18" t="s">
        <v>350</v>
      </c>
      <c r="P11" s="72" t="s">
        <v>351</v>
      </c>
      <c r="Q11" s="80"/>
      <c r="R11" s="72" t="s">
        <v>344</v>
      </c>
      <c r="S11" s="72" t="s">
        <v>345</v>
      </c>
      <c r="T11" s="72" t="s">
        <v>346</v>
      </c>
      <c r="U11" s="72" t="s">
        <v>352</v>
      </c>
    </row>
    <row r="12" spans="1:21" ht="17.25" thickBot="1" x14ac:dyDescent="0.35">
      <c r="A12" s="82"/>
      <c r="B12" s="87"/>
      <c r="C12" s="73"/>
      <c r="D12" s="73"/>
      <c r="E12" s="73"/>
      <c r="F12" s="73"/>
      <c r="G12" s="19" t="s">
        <v>349</v>
      </c>
      <c r="H12" s="71"/>
      <c r="I12" s="73"/>
      <c r="J12" s="73"/>
      <c r="K12" s="73"/>
      <c r="L12" s="73"/>
      <c r="M12" s="73"/>
      <c r="N12" s="19" t="s">
        <v>349</v>
      </c>
      <c r="O12" s="19" t="s">
        <v>349</v>
      </c>
      <c r="P12" s="73"/>
      <c r="Q12" s="80"/>
      <c r="R12" s="73"/>
      <c r="S12" s="73"/>
      <c r="T12" s="73"/>
      <c r="U12" s="73"/>
    </row>
    <row r="13" spans="1:21" ht="24" thickTop="1" x14ac:dyDescent="0.3">
      <c r="A13" s="20" t="s">
        <v>353</v>
      </c>
      <c r="B13" s="21">
        <v>315598</v>
      </c>
      <c r="C13" s="22">
        <v>296877</v>
      </c>
      <c r="D13" s="22">
        <v>308397</v>
      </c>
      <c r="E13" s="23">
        <f>C13/D13-1</f>
        <v>-3.7354448973239029E-2</v>
      </c>
      <c r="F13" s="24">
        <f>C13/B13</f>
        <v>0.94068086616518487</v>
      </c>
      <c r="G13" s="39">
        <v>-0.01</v>
      </c>
      <c r="H13" s="16"/>
      <c r="I13" s="25">
        <v>33000</v>
      </c>
      <c r="J13" s="25">
        <v>25902</v>
      </c>
      <c r="K13" s="25">
        <v>23809</v>
      </c>
      <c r="L13" s="26">
        <f>J13/K13-1</f>
        <v>8.7907933974547436E-2</v>
      </c>
      <c r="M13" s="26">
        <f>J13/I13</f>
        <v>0.78490909090909089</v>
      </c>
      <c r="N13" s="26">
        <v>0.13</v>
      </c>
      <c r="O13" s="27"/>
      <c r="P13" s="27"/>
      <c r="Q13" s="17"/>
      <c r="R13" s="28">
        <v>7814</v>
      </c>
      <c r="S13" s="28">
        <v>7212</v>
      </c>
      <c r="T13" s="29">
        <f>R13/S13-1</f>
        <v>8.3471991125901202E-2</v>
      </c>
      <c r="U13" s="30"/>
    </row>
    <row r="14" spans="1:21" x14ac:dyDescent="0.3">
      <c r="A14" s="74" t="s">
        <v>356</v>
      </c>
      <c r="B14" s="75">
        <v>81716</v>
      </c>
      <c r="C14" s="61">
        <v>76086</v>
      </c>
      <c r="D14" s="61">
        <v>77288</v>
      </c>
      <c r="E14" s="76">
        <f>C14/D14-1</f>
        <v>-1.5552220267053052E-2</v>
      </c>
      <c r="F14" s="64">
        <f>C14/B14</f>
        <v>0.93110284399627985</v>
      </c>
      <c r="G14" s="90">
        <v>0.01</v>
      </c>
      <c r="H14" s="71"/>
      <c r="I14" s="61">
        <v>8970</v>
      </c>
      <c r="J14" s="61">
        <v>6904</v>
      </c>
      <c r="K14" s="61">
        <v>6540</v>
      </c>
      <c r="L14" s="64">
        <f>J14/K14-1</f>
        <v>5.5657492354740157E-2</v>
      </c>
      <c r="M14" s="70">
        <f>J14/I14</f>
        <v>0.7696767001114827</v>
      </c>
      <c r="N14" s="64">
        <v>0.11</v>
      </c>
      <c r="O14" s="65"/>
      <c r="P14" s="42"/>
      <c r="Q14" s="59">
        <v>0.28999999999999998</v>
      </c>
      <c r="R14" s="61">
        <v>1998</v>
      </c>
      <c r="S14" s="61">
        <v>2007</v>
      </c>
      <c r="T14" s="62">
        <f>R14/S14-1</f>
        <v>-4.484304932735439E-3</v>
      </c>
      <c r="U14" s="42"/>
    </row>
    <row r="15" spans="1:21" x14ac:dyDescent="0.3">
      <c r="A15" s="67"/>
      <c r="B15" s="68"/>
      <c r="C15" s="60"/>
      <c r="D15" s="60"/>
      <c r="E15" s="77"/>
      <c r="F15" s="56"/>
      <c r="G15" s="91"/>
      <c r="H15" s="71"/>
      <c r="I15" s="60"/>
      <c r="J15" s="60"/>
      <c r="K15" s="60"/>
      <c r="L15" s="56"/>
      <c r="M15" s="57"/>
      <c r="N15" s="56"/>
      <c r="O15" s="66"/>
      <c r="P15" s="41"/>
      <c r="Q15" s="59"/>
      <c r="R15" s="60"/>
      <c r="S15" s="60"/>
      <c r="T15" s="63"/>
      <c r="U15" s="41"/>
    </row>
    <row r="16" spans="1:21" x14ac:dyDescent="0.3">
      <c r="A16" s="67" t="s">
        <v>357</v>
      </c>
      <c r="B16" s="68">
        <v>56159</v>
      </c>
      <c r="C16" s="60">
        <v>50485</v>
      </c>
      <c r="D16" s="60">
        <v>49355</v>
      </c>
      <c r="E16" s="69">
        <v>0.02</v>
      </c>
      <c r="F16" s="56">
        <f>C16/D16-1</f>
        <v>2.2895350015196048E-2</v>
      </c>
      <c r="G16" s="57">
        <v>0.06</v>
      </c>
      <c r="H16" s="71"/>
      <c r="I16" s="60">
        <v>6260</v>
      </c>
      <c r="J16" s="60">
        <v>4892</v>
      </c>
      <c r="K16" s="60">
        <v>4179</v>
      </c>
      <c r="L16" s="56">
        <f>J16/K16-1</f>
        <v>0.17061497966020589</v>
      </c>
      <c r="M16" s="57">
        <f>J16/I16</f>
        <v>0.78146964856230028</v>
      </c>
      <c r="N16" s="56">
        <v>0.17</v>
      </c>
      <c r="O16" s="58"/>
      <c r="P16" s="40"/>
      <c r="Q16" s="59">
        <v>0.2</v>
      </c>
      <c r="R16" s="60">
        <v>1273</v>
      </c>
      <c r="S16" s="60">
        <v>1479</v>
      </c>
      <c r="T16" s="56">
        <f>R16/S16-1</f>
        <v>-0.13928329952670726</v>
      </c>
      <c r="U16" s="40"/>
    </row>
    <row r="17" spans="1:21" x14ac:dyDescent="0.3">
      <c r="A17" s="67"/>
      <c r="B17" s="68"/>
      <c r="C17" s="60"/>
      <c r="D17" s="60"/>
      <c r="E17" s="69"/>
      <c r="F17" s="56"/>
      <c r="G17" s="57"/>
      <c r="H17" s="71"/>
      <c r="I17" s="60"/>
      <c r="J17" s="60"/>
      <c r="K17" s="60"/>
      <c r="L17" s="56"/>
      <c r="M17" s="57"/>
      <c r="N17" s="56"/>
      <c r="O17" s="58"/>
      <c r="P17" s="41"/>
      <c r="Q17" s="59"/>
      <c r="R17" s="60"/>
      <c r="S17" s="60"/>
      <c r="T17" s="56"/>
      <c r="U17" s="41"/>
    </row>
    <row r="18" spans="1:21" ht="23.25" x14ac:dyDescent="0.3">
      <c r="A18" s="43" t="s">
        <v>358</v>
      </c>
      <c r="B18" s="44">
        <v>32005</v>
      </c>
      <c r="C18" s="45">
        <v>25535</v>
      </c>
      <c r="D18" s="45">
        <v>26134</v>
      </c>
      <c r="E18" s="46">
        <f>C18/D18-1</f>
        <v>-2.2920333664957493E-2</v>
      </c>
      <c r="F18" s="47">
        <f>C18/B18</f>
        <v>0.79784408686142794</v>
      </c>
      <c r="G18" s="46">
        <v>-0.04</v>
      </c>
      <c r="H18" s="16"/>
      <c r="I18" s="45">
        <v>3449</v>
      </c>
      <c r="J18" s="45">
        <v>2656</v>
      </c>
      <c r="K18" s="45">
        <v>2158</v>
      </c>
      <c r="L18" s="47">
        <f>J18/K18-1</f>
        <v>0.23076923076923084</v>
      </c>
      <c r="M18" s="47">
        <f>J18/I18</f>
        <v>0.77007828356045227</v>
      </c>
      <c r="N18" s="47">
        <v>0.2</v>
      </c>
      <c r="O18" s="48"/>
      <c r="P18" s="48"/>
      <c r="Q18" s="17"/>
      <c r="R18" s="45">
        <v>1065</v>
      </c>
      <c r="S18" s="48">
        <v>866</v>
      </c>
      <c r="T18" s="47">
        <f>R18/S18-1</f>
        <v>0.22979214780600454</v>
      </c>
      <c r="U18" s="48"/>
    </row>
    <row r="19" spans="1:21" ht="23.25" x14ac:dyDescent="0.3">
      <c r="A19" s="49" t="s">
        <v>359</v>
      </c>
      <c r="B19" s="50">
        <v>34222</v>
      </c>
      <c r="C19" s="51">
        <v>32236</v>
      </c>
      <c r="D19" s="51">
        <v>26696</v>
      </c>
      <c r="E19" s="52">
        <f>C19/D19-1</f>
        <v>0.2075217261012885</v>
      </c>
      <c r="F19" s="52">
        <f>C19/B19</f>
        <v>0.94196715563088074</v>
      </c>
      <c r="G19" s="52">
        <v>0.06</v>
      </c>
      <c r="H19" s="16"/>
      <c r="I19" s="51">
        <v>3471</v>
      </c>
      <c r="J19" s="51">
        <v>2634</v>
      </c>
      <c r="K19" s="51">
        <v>2061</v>
      </c>
      <c r="L19" s="52">
        <f>J19/K19-1</f>
        <v>0.27802037845705962</v>
      </c>
      <c r="M19" s="52">
        <f>J19/I19</f>
        <v>0.75885911840968023</v>
      </c>
      <c r="N19" s="92">
        <v>0.08</v>
      </c>
      <c r="O19" s="53"/>
      <c r="P19" s="53"/>
      <c r="Q19" s="17"/>
      <c r="R19" s="53">
        <v>840</v>
      </c>
      <c r="S19" s="53">
        <v>624</v>
      </c>
      <c r="T19" s="52">
        <f>R19/S19-1</f>
        <v>0.34615384615384626</v>
      </c>
      <c r="U19" s="53"/>
    </row>
    <row r="20" spans="1:21" ht="23.25" x14ac:dyDescent="0.3">
      <c r="A20" s="35" t="s">
        <v>271</v>
      </c>
      <c r="B20" s="36">
        <v>108496</v>
      </c>
      <c r="C20" s="31">
        <v>106425</v>
      </c>
      <c r="D20" s="31">
        <v>122900</v>
      </c>
      <c r="E20" s="32">
        <f>C20/D20-1</f>
        <v>-0.13405207485760784</v>
      </c>
      <c r="F20" s="33">
        <f>C20/B20</f>
        <v>0.98091173868161041</v>
      </c>
      <c r="G20" s="32">
        <v>-7.0000000000000007E-2</v>
      </c>
      <c r="H20" s="16"/>
      <c r="I20" s="31">
        <v>10600</v>
      </c>
      <c r="J20" s="31">
        <v>8382</v>
      </c>
      <c r="K20" s="31">
        <v>8486</v>
      </c>
      <c r="L20" s="32">
        <f>J20/K20-1</f>
        <v>-1.2255479613481057E-2</v>
      </c>
      <c r="M20" s="33">
        <f>J20/I20</f>
        <v>0.79075471698113209</v>
      </c>
      <c r="N20" s="33">
        <v>0.14000000000000001</v>
      </c>
      <c r="O20" s="18"/>
      <c r="P20" s="18"/>
      <c r="Q20" s="17"/>
      <c r="R20" s="31">
        <v>2528</v>
      </c>
      <c r="S20" s="31">
        <v>2136</v>
      </c>
      <c r="T20" s="33">
        <f>R20/S20-1</f>
        <v>0.18352059925093633</v>
      </c>
      <c r="U20" s="18"/>
    </row>
    <row r="21" spans="1:21" ht="23.25" x14ac:dyDescent="0.3">
      <c r="A21" s="35" t="s">
        <v>360</v>
      </c>
      <c r="B21" s="36">
        <v>3000</v>
      </c>
      <c r="C21" s="31">
        <v>3204</v>
      </c>
      <c r="D21" s="31">
        <v>2980</v>
      </c>
      <c r="E21" s="33">
        <f>C21/D21-1</f>
        <v>7.5167785234899309E-2</v>
      </c>
      <c r="F21" s="33">
        <f>C21/B21</f>
        <v>1.0680000000000001</v>
      </c>
      <c r="G21" s="33">
        <v>0.08</v>
      </c>
      <c r="H21" s="16"/>
      <c r="I21" s="18">
        <v>250</v>
      </c>
      <c r="J21" s="18">
        <v>194</v>
      </c>
      <c r="K21" s="18">
        <v>217</v>
      </c>
      <c r="L21" s="32">
        <f>J21/K21-1</f>
        <v>-0.10599078341013823</v>
      </c>
      <c r="M21" s="33">
        <f>J21/I21</f>
        <v>0.77600000000000002</v>
      </c>
      <c r="N21" s="32">
        <v>-0.11</v>
      </c>
      <c r="O21" s="18"/>
      <c r="P21" s="18"/>
      <c r="Q21" s="17"/>
      <c r="R21" s="18">
        <v>45</v>
      </c>
      <c r="S21" s="18">
        <v>55</v>
      </c>
      <c r="T21" s="33">
        <f>R21/S21-1</f>
        <v>-0.18181818181818177</v>
      </c>
      <c r="U21" s="18"/>
    </row>
  </sheetData>
  <mergeCells count="99">
    <mergeCell ref="P2:P3"/>
    <mergeCell ref="A1:A3"/>
    <mergeCell ref="B1:G1"/>
    <mergeCell ref="I1:P1"/>
    <mergeCell ref="R1:U1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A5:A6"/>
    <mergeCell ref="B5:B6"/>
    <mergeCell ref="C5:C6"/>
    <mergeCell ref="D5:D6"/>
    <mergeCell ref="E5:E6"/>
    <mergeCell ref="Q2:Q3"/>
    <mergeCell ref="R2:R3"/>
    <mergeCell ref="S2:S3"/>
    <mergeCell ref="T2:T3"/>
    <mergeCell ref="U2:U3"/>
    <mergeCell ref="R5:R6"/>
    <mergeCell ref="F5:F6"/>
    <mergeCell ref="G5:G6"/>
    <mergeCell ref="H5:H6"/>
    <mergeCell ref="I5:I6"/>
    <mergeCell ref="J5:J6"/>
    <mergeCell ref="K5:K6"/>
    <mergeCell ref="L11:L12"/>
    <mergeCell ref="S5:S6"/>
    <mergeCell ref="T5:T6"/>
    <mergeCell ref="A10:A12"/>
    <mergeCell ref="B10:G10"/>
    <mergeCell ref="I10:P10"/>
    <mergeCell ref="R10:U10"/>
    <mergeCell ref="B11:B12"/>
    <mergeCell ref="C11:C12"/>
    <mergeCell ref="D11:D12"/>
    <mergeCell ref="E11:E12"/>
    <mergeCell ref="L5:L6"/>
    <mergeCell ref="M5:M6"/>
    <mergeCell ref="N5:N6"/>
    <mergeCell ref="O5:O6"/>
    <mergeCell ref="Q5:Q6"/>
    <mergeCell ref="F11:F12"/>
    <mergeCell ref="H11:H12"/>
    <mergeCell ref="I11:I12"/>
    <mergeCell ref="J11:J12"/>
    <mergeCell ref="K11:K12"/>
    <mergeCell ref="U11:U12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M11:M12"/>
    <mergeCell ref="P11:P12"/>
    <mergeCell ref="Q11:Q12"/>
    <mergeCell ref="R11:R12"/>
    <mergeCell ref="S11:S12"/>
    <mergeCell ref="T11:T12"/>
    <mergeCell ref="F16:F17"/>
    <mergeCell ref="J14:J15"/>
    <mergeCell ref="K14:K15"/>
    <mergeCell ref="L14:L15"/>
    <mergeCell ref="M14:M15"/>
    <mergeCell ref="L16:L17"/>
    <mergeCell ref="G16:G17"/>
    <mergeCell ref="H16:H17"/>
    <mergeCell ref="I16:I17"/>
    <mergeCell ref="J16:J17"/>
    <mergeCell ref="K16:K17"/>
    <mergeCell ref="A16:A17"/>
    <mergeCell ref="B16:B17"/>
    <mergeCell ref="C16:C17"/>
    <mergeCell ref="D16:D17"/>
    <mergeCell ref="E16:E17"/>
    <mergeCell ref="Q14:Q15"/>
    <mergeCell ref="R14:R15"/>
    <mergeCell ref="S14:S15"/>
    <mergeCell ref="T14:T15"/>
    <mergeCell ref="N14:N15"/>
    <mergeCell ref="O14:O15"/>
    <mergeCell ref="T16:T17"/>
    <mergeCell ref="M16:M17"/>
    <mergeCell ref="N16:N17"/>
    <mergeCell ref="O16:O17"/>
    <mergeCell ref="Q16:Q17"/>
    <mergeCell ref="R16:R17"/>
    <mergeCell ref="S16:S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월별목표</vt:lpstr>
      <vt:lpstr>주차별매출</vt:lpstr>
      <vt:lpstr>상권구분</vt:lpstr>
      <vt:lpstr>11월실적</vt:lpstr>
      <vt:lpstr>주간회의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AD0883</dc:creator>
  <cp:lastModifiedBy>murphy(윤진영) F/KR/ML/MD/SS/PC/DS</cp:lastModifiedBy>
  <dcterms:created xsi:type="dcterms:W3CDTF">2015-06-05T18:19:34Z</dcterms:created>
  <dcterms:modified xsi:type="dcterms:W3CDTF">2025-11-24T00:30:42Z</dcterms:modified>
</cp:coreProperties>
</file>