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nf365.sharepoint.com/sites/MMK-M.MK9/Shared Documents/M.MK 영업/3. 마감예상/ENDING FCST/"/>
    </mc:Choice>
  </mc:AlternateContent>
  <xr:revisionPtr revIDLastSave="672" documentId="8_{84FE4187-5E32-4BD4-9BE9-866FBAB0A895}" xr6:coauthVersionLast="47" xr6:coauthVersionMax="47" xr10:uidLastSave="{6188BDBF-7BCE-41F1-8031-94804EA5FA7F}"/>
  <bookViews>
    <workbookView xWindow="-120" yWindow="-120" windowWidth="29040" windowHeight="15720" xr2:uid="{8F9B2945-3715-4423-97BB-917CABA8B9F6}"/>
  </bookViews>
  <sheets>
    <sheet name="요약" sheetId="1" r:id="rId1"/>
    <sheet name="일자별" sheetId="2" r:id="rId2"/>
    <sheet name="단체(당년)" sheetId="4" r:id="rId3"/>
    <sheet name="단체(전년-동일자)" sheetId="5" r:id="rId4"/>
    <sheet name="단체(전년)" sheetId="6" r:id="rId5"/>
    <sheet name="단체(전년마감)" sheetId="11" r:id="rId6"/>
    <sheet name="당년" sheetId="7" r:id="rId7"/>
    <sheet name="전년" sheetId="8" r:id="rId8"/>
    <sheet name="RF(당년)" sheetId="9" r:id="rId9"/>
    <sheet name="RF(전년)" sheetId="10" r:id="rId10"/>
    <sheet name="매장구분" sheetId="3" r:id="rId11"/>
  </sheets>
  <definedNames>
    <definedName name="__?춮tb">#REF!</definedName>
    <definedName name="___________________A19999">#REF!</definedName>
    <definedName name="___________________A20000">#REF!</definedName>
    <definedName name="___________________A99999">#REF!</definedName>
    <definedName name="___________________ZZ16384">#REF!</definedName>
    <definedName name="__________________A19999">#REF!</definedName>
    <definedName name="__________________A20000">#REF!</definedName>
    <definedName name="__________________A99999">#REF!</definedName>
    <definedName name="__________________ZZ16384">#REF!</definedName>
    <definedName name="_________________A19999">#REF!</definedName>
    <definedName name="_________________A20000">#REF!</definedName>
    <definedName name="_________________A99999">#REF!</definedName>
    <definedName name="_________________ZZ16384">#REF!</definedName>
    <definedName name="________________A19999">#REF!</definedName>
    <definedName name="________________A20000">#REF!</definedName>
    <definedName name="________________A99999">#REF!</definedName>
    <definedName name="________________ZZ16384">#REF!</definedName>
    <definedName name="_______________A19999">#REF!</definedName>
    <definedName name="_______________A20000">#REF!</definedName>
    <definedName name="_______________A99999">#REF!</definedName>
    <definedName name="_______________ZZ16384">#REF!</definedName>
    <definedName name="______________A19999">#REF!</definedName>
    <definedName name="______________A20000">#REF!</definedName>
    <definedName name="______________A99999">#REF!</definedName>
    <definedName name="______________ZZ16384">#REF!</definedName>
    <definedName name="_____________A19999">#REF!</definedName>
    <definedName name="_____________A20000">#REF!</definedName>
    <definedName name="_____________A99999">#REF!</definedName>
    <definedName name="_____________ZZ16384">#REF!</definedName>
    <definedName name="____________A19999">#REF!</definedName>
    <definedName name="____________A20000">#REF!</definedName>
    <definedName name="____________A99999">#REF!</definedName>
    <definedName name="____________ZZ16384">#REF!</definedName>
    <definedName name="___________A19999">#REF!</definedName>
    <definedName name="___________A20000">#REF!</definedName>
    <definedName name="_______A19999">#REF!</definedName>
    <definedName name="_______A20000">#REF!</definedName>
    <definedName name="_______A99999">#REF!</definedName>
    <definedName name="_______ZZ16384">#REF!</definedName>
    <definedName name="_____A99999">#REF!</definedName>
    <definedName name="_____ZZ16384">#REF!</definedName>
    <definedName name="____A19999">#REF!</definedName>
    <definedName name="____A20000">#REF!</definedName>
    <definedName name="____A99999">#REF!</definedName>
    <definedName name="____ZZ16384">#REF!</definedName>
    <definedName name="___A19999">#REF!</definedName>
    <definedName name="___A20000">#REF!</definedName>
    <definedName name="___A99999">#REF!</definedName>
    <definedName name="___ZZ16384">#REF!</definedName>
    <definedName name="__0">#REF!</definedName>
    <definedName name="__01">#REF!</definedName>
    <definedName name="__02">#REF!</definedName>
    <definedName name="__03">#REF!</definedName>
    <definedName name="__04">#REF!</definedName>
    <definedName name="__05">#REF!</definedName>
    <definedName name="__06">#REF!</definedName>
    <definedName name="__123Graph_A" hidden="1">#REF!</definedName>
    <definedName name="__123Graph_B" hidden="1">#REF!</definedName>
    <definedName name="__A19999">#N/A</definedName>
    <definedName name="__A20000">#N/A</definedName>
    <definedName name="__Ａ４">#REF!</definedName>
    <definedName name="__A99999">#REF!</definedName>
    <definedName name="__DIR1">#REF!</definedName>
    <definedName name="__DIR2">#REF!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Exp97">#REF!</definedName>
    <definedName name="__p1">#REF!</definedName>
    <definedName name="__SA1">#REF!</definedName>
    <definedName name="__SHR1">#REF!</definedName>
    <definedName name="__SHR2">#REF!</definedName>
    <definedName name="__T2" hidden="1">{#N/A,#N/A,FALSE,"단축1";#N/A,#N/A,FALSE,"단축2";#N/A,#N/A,FALSE,"단축3";#N/A,#N/A,FALSE,"장축";#N/A,#N/A,FALSE,"4WD"}</definedName>
    <definedName name="__T3" hidden="1">{#N/A,#N/A,FALSE,"단축1";#N/A,#N/A,FALSE,"단축2";#N/A,#N/A,FALSE,"단축3";#N/A,#N/A,FALSE,"장축";#N/A,#N/A,FALSE,"4WD"}</definedName>
    <definedName name="__TB111">#REF!</definedName>
    <definedName name="__TB112">#REF!</definedName>
    <definedName name="__TB113">#REF!</definedName>
    <definedName name="__TB114">#REF!</definedName>
    <definedName name="__TB115">#REF!</definedName>
    <definedName name="__TB116">#REF!</definedName>
    <definedName name="__TB117">#REF!</definedName>
    <definedName name="__TB121">#REF!</definedName>
    <definedName name="__TB122">#REF!</definedName>
    <definedName name="__TB123">#REF!</definedName>
    <definedName name="__TB124">#REF!</definedName>
    <definedName name="__TB125">#REF!</definedName>
    <definedName name="__TB126">#REF!</definedName>
    <definedName name="__TB131">#REF!</definedName>
    <definedName name="__TB132">#REF!</definedName>
    <definedName name="__TB211">#REF!</definedName>
    <definedName name="__TB212">#REF!</definedName>
    <definedName name="__TB213">#REF!</definedName>
    <definedName name="__TB214">#REF!</definedName>
    <definedName name="__TB215">#REF!</definedName>
    <definedName name="__TB221">#REF!</definedName>
    <definedName name="__TB2210">#REF!</definedName>
    <definedName name="__TB222">#REF!</definedName>
    <definedName name="__TB223">#REF!</definedName>
    <definedName name="__TB224">#REF!</definedName>
    <definedName name="__TB225">#REF!</definedName>
    <definedName name="__TB226">#REF!</definedName>
    <definedName name="__TB227">#REF!</definedName>
    <definedName name="__TB228">#REF!</definedName>
    <definedName name="__TB229">#REF!</definedName>
    <definedName name="__TB311">#REF!</definedName>
    <definedName name="__TB312">#REF!</definedName>
    <definedName name="__TB313">#REF!</definedName>
    <definedName name="__TB314">#REF!</definedName>
    <definedName name="__TB315">#REF!</definedName>
    <definedName name="__TB316">#REF!</definedName>
    <definedName name="__TB317">#REF!</definedName>
    <definedName name="__TB318">#REF!</definedName>
    <definedName name="__TB319">#REF!</definedName>
    <definedName name="__TB321">#REF!</definedName>
    <definedName name="__TB322">#REF!</definedName>
    <definedName name="__TB323">#REF!</definedName>
    <definedName name="__TB324">#REF!</definedName>
    <definedName name="__TB325">#REF!</definedName>
    <definedName name="__TB401">#REF!</definedName>
    <definedName name="__TB402">#REF!</definedName>
    <definedName name="__TB403">#REF!</definedName>
    <definedName name="__TB404">#REF!</definedName>
    <definedName name="__TB405">#REF!</definedName>
    <definedName name="__TB501">#REF!</definedName>
    <definedName name="__TB502">#REF!</definedName>
    <definedName name="__TB503">#REF!</definedName>
    <definedName name="__TB504">#REF!</definedName>
    <definedName name="__TB505">#REF!</definedName>
    <definedName name="__TB506">#REF!</definedName>
    <definedName name="__TB507">#REF!</definedName>
    <definedName name="__TB508">#REF!</definedName>
    <definedName name="__TB509">#REF!</definedName>
    <definedName name="__TB510">#REF!</definedName>
    <definedName name="__TB511">#REF!</definedName>
    <definedName name="__TB512">#REF!</definedName>
    <definedName name="__TB513">#REF!</definedName>
    <definedName name="__TB601">#REF!</definedName>
    <definedName name="__TB602">#REF!</definedName>
    <definedName name="__TB603">#REF!</definedName>
    <definedName name="__TB604">#REF!</definedName>
    <definedName name="__TB605">#REF!</definedName>
    <definedName name="__TB701">#REF!</definedName>
    <definedName name="__TB811">#REF!</definedName>
    <definedName name="__TB812">#REF!</definedName>
    <definedName name="__TB813">#REF!</definedName>
    <definedName name="__TB814">#REF!</definedName>
    <definedName name="__TB820">#REF!</definedName>
    <definedName name="__TB902">#REF!</definedName>
    <definedName name="__TB903">#REF!</definedName>
    <definedName name="__TB904">#REF!</definedName>
    <definedName name="__TBI1001">#REF!</definedName>
    <definedName name="__TBI1002">#REF!</definedName>
    <definedName name="__TBI1003">#REF!</definedName>
    <definedName name="__TBI1004">#REF!</definedName>
    <definedName name="__TBI1005">#REF!</definedName>
    <definedName name="__TBI101">#REF!</definedName>
    <definedName name="__TBI102">#REF!</definedName>
    <definedName name="__TBI1100">#REF!</definedName>
    <definedName name="__TBI1200">#REF!</definedName>
    <definedName name="__TBI201">#REF!</definedName>
    <definedName name="__TBI202">#REF!</definedName>
    <definedName name="__TBI203">#REF!</definedName>
    <definedName name="__TBI401">#REF!</definedName>
    <definedName name="__TBI402">#REF!</definedName>
    <definedName name="__TBI403">#REF!</definedName>
    <definedName name="__TBI404">#REF!</definedName>
    <definedName name="__TBI405">#REF!</definedName>
    <definedName name="__TBI406">#REF!</definedName>
    <definedName name="__TBI407">#REF!</definedName>
    <definedName name="__TBI408">#REF!</definedName>
    <definedName name="__TBI409">#REF!</definedName>
    <definedName name="__TBI410">#REF!</definedName>
    <definedName name="__TBI411">#REF!</definedName>
    <definedName name="__TBI412">#REF!</definedName>
    <definedName name="__TBI413">#REF!</definedName>
    <definedName name="__TBI414">#REF!</definedName>
    <definedName name="__TBI415">#REF!</definedName>
    <definedName name="__TBI416">#REF!</definedName>
    <definedName name="__TBI417">#REF!</definedName>
    <definedName name="__TBI418">#REF!</definedName>
    <definedName name="__TBI419">#REF!</definedName>
    <definedName name="__TBI420">#REF!</definedName>
    <definedName name="__TBI421">#REF!</definedName>
    <definedName name="__TBI422">#REF!</definedName>
    <definedName name="__TBI423">#REF!</definedName>
    <definedName name="__TBI424">#REF!</definedName>
    <definedName name="__TBI425">#REF!</definedName>
    <definedName name="__TBI601">#REF!</definedName>
    <definedName name="__TBI602">#REF!</definedName>
    <definedName name="__TBI603">#REF!</definedName>
    <definedName name="__TBI604">#REF!</definedName>
    <definedName name="__TBI605">#REF!</definedName>
    <definedName name="__TBI606">#REF!</definedName>
    <definedName name="__TBI607">#REF!</definedName>
    <definedName name="__TBI608">#REF!</definedName>
    <definedName name="__TBI609">#REF!</definedName>
    <definedName name="__TBI610">#REF!</definedName>
    <definedName name="__TBI611">#REF!</definedName>
    <definedName name="__TBI612">#REF!</definedName>
    <definedName name="__TBI613">#REF!</definedName>
    <definedName name="__TBI614">#REF!</definedName>
    <definedName name="__TBI701">#REF!</definedName>
    <definedName name="__TBI702">#REF!</definedName>
    <definedName name="__TBI703">#REF!</definedName>
    <definedName name="__TBI704">#REF!</definedName>
    <definedName name="__TBI705">#REF!</definedName>
    <definedName name="__TBI706">#REF!</definedName>
    <definedName name="__TBI707">#REF!</definedName>
    <definedName name="__TBI708">#REF!</definedName>
    <definedName name="__TBI709">#REF!</definedName>
    <definedName name="__TBI710">#REF!</definedName>
    <definedName name="__TBI711">#REF!</definedName>
    <definedName name="__TBI712">#REF!</definedName>
    <definedName name="__TBI713">#REF!</definedName>
    <definedName name="__TBI714">#REF!</definedName>
    <definedName name="__TBI715">#REF!</definedName>
    <definedName name="__TBI716">#REF!</definedName>
    <definedName name="__TBI717">#REF!</definedName>
    <definedName name="__TBI718">#REF!</definedName>
    <definedName name="__TBI719">#REF!</definedName>
    <definedName name="__TBI901">#REF!</definedName>
    <definedName name="__TBI902">#REF!</definedName>
    <definedName name="__TBI903">#REF!</definedName>
    <definedName name="__TBI904">#REF!</definedName>
    <definedName name="__TBI905">#REF!</definedName>
    <definedName name="__TBI906">#REF!</definedName>
    <definedName name="__TBI907">#REF!</definedName>
    <definedName name="__ZZ16384">#REF!</definedName>
    <definedName name="_1_0">#REF!</definedName>
    <definedName name="_1_Mar">#REF!</definedName>
    <definedName name="_10_05">#REF!</definedName>
    <definedName name="_101600">#REF!</definedName>
    <definedName name="_101601">#REF!</definedName>
    <definedName name="_10A20000_">#REF!</definedName>
    <definedName name="_11_06">#REF!</definedName>
    <definedName name="_12_0ㅁ">#REF!</definedName>
    <definedName name="_13_0bcrclcl100rtr">#REF!</definedName>
    <definedName name="_14_0Crite">#REF!</definedName>
    <definedName name="_15_0Extr">#REF!</definedName>
    <definedName name="_16A1_">#REF!</definedName>
    <definedName name="_17A100_">#REF!</definedName>
    <definedName name="_18A101_">#REF!</definedName>
    <definedName name="_19A20000_">#REF!</definedName>
    <definedName name="_1A19999_">#REF!</definedName>
    <definedName name="_2_0bcrclcl10">#REF!</definedName>
    <definedName name="_20A25000_">#REF!</definedName>
    <definedName name="_21Ａ４_">#REF!</definedName>
    <definedName name="_2311">#REF!</definedName>
    <definedName name="_2331">#REF!</definedName>
    <definedName name="_23DR1_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24p1_">#REF!</definedName>
    <definedName name="_2512">#REF!</definedName>
    <definedName name="_25120">#REF!</definedName>
    <definedName name="_25160">#REF!</definedName>
    <definedName name="_26T2_" hidden="1">{#N/A,#N/A,FALSE,"단축1";#N/A,#N/A,FALSE,"단축2";#N/A,#N/A,FALSE,"단축3";#N/A,#N/A,FALSE,"장축";#N/A,#N/A,FALSE,"4WD"}</definedName>
    <definedName name="_28T3_" hidden="1">{#N/A,#N/A,FALSE,"단축1";#N/A,#N/A,FALSE,"단축2";#N/A,#N/A,FALSE,"단축3";#N/A,#N/A,FALSE,"장축";#N/A,#N/A,FALSE,"4WD"}</definedName>
    <definedName name="_29uÞOUðuueßAÞAIee_YA">#REF!</definedName>
    <definedName name="_2A20000_">#REF!</definedName>
    <definedName name="_3_?춮tb">#REF!</definedName>
    <definedName name="_3_1_93">#REF!</definedName>
    <definedName name="_30__0_S">#REF!</definedName>
    <definedName name="_3311">#REF!</definedName>
    <definedName name="_3331">#REF!</definedName>
    <definedName name="_33310">#REF!</definedName>
    <definedName name="_4_0">#REF!</definedName>
    <definedName name="_5_0">#REF!</definedName>
    <definedName name="_5A19999_">#REF!</definedName>
    <definedName name="_6_01">#REF!</definedName>
    <definedName name="_7_02">#REF!</definedName>
    <definedName name="_8_03">#REF!</definedName>
    <definedName name="_9_04">#REF!</definedName>
    <definedName name="_A1">#REF!</definedName>
    <definedName name="_A100">#REF!</definedName>
    <definedName name="_A101">#REF!</definedName>
    <definedName name="_A19999">#REF!</definedName>
    <definedName name="_A20000">#REF!</definedName>
    <definedName name="_A25000">#REF!</definedName>
    <definedName name="_A99999">#REF!</definedName>
    <definedName name="_DIR1">#REF!</definedName>
    <definedName name="_DIR2">#REF!</definedName>
    <definedName name="_Dist_Bin" hidden="1">#REF!</definedName>
    <definedName name="_Dist_Values" hidden="1">#REF!</definedName>
    <definedName name="_Exp97">#REF!</definedName>
    <definedName name="_Fill" hidden="1">#REF!</definedName>
    <definedName name="_xlnm._FilterDatabase" localSheetId="8" hidden="1">'RF(당년)'!$B$5:$BG$111</definedName>
    <definedName name="_xlnm._FilterDatabase" localSheetId="9" hidden="1">'RF(전년)'!$B$5:$BG$60</definedName>
    <definedName name="_xlnm._FilterDatabase" localSheetId="2" hidden="1">'단체(당년)'!$A$2:$BG$2</definedName>
    <definedName name="_xlnm._FilterDatabase" localSheetId="4" hidden="1">'단체(전년)'!$A$2:$BG$1035</definedName>
    <definedName name="_xlnm._FilterDatabase" localSheetId="3" hidden="1">'단체(전년-동일자)'!$A$2:$BG$220</definedName>
    <definedName name="_xlnm._FilterDatabase" localSheetId="5" hidden="1">'단체(전년마감)'!$A$2:$BG$2</definedName>
    <definedName name="_xlnm._FilterDatabase" localSheetId="6" hidden="1">당년!$A$5:$BC$435</definedName>
    <definedName name="_xlnm._FilterDatabase" localSheetId="10" hidden="1">매장구분!$Q$3:$U$221</definedName>
    <definedName name="_xlnm._FilterDatabase" localSheetId="7" hidden="1">전년!$AW$5:$BA$5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A1">#REF!</definedName>
    <definedName name="_SHR1">#REF!</definedName>
    <definedName name="_SHR2">#REF!</definedName>
    <definedName name="_Sort" hidden="1">#REF!</definedName>
    <definedName name="_TB111">#REF!</definedName>
    <definedName name="_TB112">#REF!</definedName>
    <definedName name="_TB113">#REF!</definedName>
    <definedName name="_TB114">#REF!</definedName>
    <definedName name="_TB115">#REF!</definedName>
    <definedName name="_TB116">#REF!</definedName>
    <definedName name="_TB117">#REF!</definedName>
    <definedName name="_TB121">#REF!</definedName>
    <definedName name="_TB122">#REF!</definedName>
    <definedName name="_TB123">#REF!</definedName>
    <definedName name="_TB124">#REF!</definedName>
    <definedName name="_TB125">#REF!</definedName>
    <definedName name="_TB126">#REF!</definedName>
    <definedName name="_TB131">#REF!</definedName>
    <definedName name="_TB132">#REF!</definedName>
    <definedName name="_TB211">#REF!</definedName>
    <definedName name="_TB212">#REF!</definedName>
    <definedName name="_TB213">#REF!</definedName>
    <definedName name="_TB214">#REF!</definedName>
    <definedName name="_TB215">#REF!</definedName>
    <definedName name="_TB221">#REF!</definedName>
    <definedName name="_TB2210">#REF!</definedName>
    <definedName name="_TB222">#REF!</definedName>
    <definedName name="_TB223">#REF!</definedName>
    <definedName name="_TB224">#REF!</definedName>
    <definedName name="_TB225">#REF!</definedName>
    <definedName name="_TB226">#REF!</definedName>
    <definedName name="_TB227">#REF!</definedName>
    <definedName name="_TB228">#REF!</definedName>
    <definedName name="_TB229">#REF!</definedName>
    <definedName name="_TB311">#REF!</definedName>
    <definedName name="_TB312">#REF!</definedName>
    <definedName name="_TB313">#REF!</definedName>
    <definedName name="_TB314">#REF!</definedName>
    <definedName name="_TB315">#REF!</definedName>
    <definedName name="_TB316">#REF!</definedName>
    <definedName name="_TB317">#REF!</definedName>
    <definedName name="_TB318">#REF!</definedName>
    <definedName name="_TB319">#REF!</definedName>
    <definedName name="_TB321">#REF!</definedName>
    <definedName name="_TB322">#REF!</definedName>
    <definedName name="_TB323">#REF!</definedName>
    <definedName name="_TB324">#REF!</definedName>
    <definedName name="_TB325">#REF!</definedName>
    <definedName name="_TB401">#REF!</definedName>
    <definedName name="_TB402">#REF!</definedName>
    <definedName name="_TB403">#REF!</definedName>
    <definedName name="_TB404">#REF!</definedName>
    <definedName name="_TB405">#REF!</definedName>
    <definedName name="_TB501">#REF!</definedName>
    <definedName name="_TB502">#REF!</definedName>
    <definedName name="_TB503">#REF!</definedName>
    <definedName name="_TB504">#REF!</definedName>
    <definedName name="_TB505">#REF!</definedName>
    <definedName name="_TB506">#REF!</definedName>
    <definedName name="_TB507">#REF!</definedName>
    <definedName name="_TB508">#REF!</definedName>
    <definedName name="_TB509">#REF!</definedName>
    <definedName name="_TB510">#REF!</definedName>
    <definedName name="_TB511">#REF!</definedName>
    <definedName name="_TB512">#REF!</definedName>
    <definedName name="_TB513">#REF!</definedName>
    <definedName name="_TB601">#REF!</definedName>
    <definedName name="_TB602">#REF!</definedName>
    <definedName name="_TB603">#REF!</definedName>
    <definedName name="_TB604">#REF!</definedName>
    <definedName name="_TB605">#REF!</definedName>
    <definedName name="_TB701">#REF!</definedName>
    <definedName name="_TB811">#REF!</definedName>
    <definedName name="_TB812">#REF!</definedName>
    <definedName name="_TB813">#REF!</definedName>
    <definedName name="_TB814">#REF!</definedName>
    <definedName name="_TB820">#REF!</definedName>
    <definedName name="_TB901">#REF!</definedName>
    <definedName name="_TB902">#REF!</definedName>
    <definedName name="_TB903">#REF!</definedName>
    <definedName name="_TB904">#REF!</definedName>
    <definedName name="_TBI1001">#REF!</definedName>
    <definedName name="_TBI1002">#REF!</definedName>
    <definedName name="_TBI1003">#REF!</definedName>
    <definedName name="_TBI1004">#REF!</definedName>
    <definedName name="_TBI1005">#REF!</definedName>
    <definedName name="_TBI101">#REF!</definedName>
    <definedName name="_TBI102">#REF!</definedName>
    <definedName name="_TBI1100">#REF!</definedName>
    <definedName name="_TBI1200">#REF!</definedName>
    <definedName name="_TBI201">#REF!</definedName>
    <definedName name="_TBI202">#REF!</definedName>
    <definedName name="_TBI203">#REF!</definedName>
    <definedName name="_TBI401">#REF!</definedName>
    <definedName name="_TBI402">#REF!</definedName>
    <definedName name="_TBI403">#REF!</definedName>
    <definedName name="_TBI404">#REF!</definedName>
    <definedName name="_TBI405">#REF!</definedName>
    <definedName name="_TBI406">#REF!</definedName>
    <definedName name="_TBI407">#REF!</definedName>
    <definedName name="_TBI408">#REF!</definedName>
    <definedName name="_TBI409">#REF!</definedName>
    <definedName name="_TBI410">#REF!</definedName>
    <definedName name="_TBI411">#REF!</definedName>
    <definedName name="_TBI412">#REF!</definedName>
    <definedName name="_TBI413">#REF!</definedName>
    <definedName name="_TBI414">#REF!</definedName>
    <definedName name="_TBI415">#REF!</definedName>
    <definedName name="_TBI416">#REF!</definedName>
    <definedName name="_TBI417">#REF!</definedName>
    <definedName name="_TBI418">#REF!</definedName>
    <definedName name="_TBI419">#REF!</definedName>
    <definedName name="_TBI420">#REF!</definedName>
    <definedName name="_TBI421">#REF!</definedName>
    <definedName name="_TBI422">#REF!</definedName>
    <definedName name="_TBI423">#REF!</definedName>
    <definedName name="_TBI424">#REF!</definedName>
    <definedName name="_TBI425">#REF!</definedName>
    <definedName name="_TBI601">#REF!</definedName>
    <definedName name="_TBI602">#REF!</definedName>
    <definedName name="_TBI603">#REF!</definedName>
    <definedName name="_TBI604">#REF!</definedName>
    <definedName name="_TBI605">#REF!</definedName>
    <definedName name="_TBI606">#REF!</definedName>
    <definedName name="_TBI607">#REF!</definedName>
    <definedName name="_TBI608">#REF!</definedName>
    <definedName name="_TBI609">#REF!</definedName>
    <definedName name="_TBI610">#REF!</definedName>
    <definedName name="_TBI611">#REF!</definedName>
    <definedName name="_TBI612">#REF!</definedName>
    <definedName name="_TBI613">#REF!</definedName>
    <definedName name="_TBI614">#REF!</definedName>
    <definedName name="_TBI701">#REF!</definedName>
    <definedName name="_TBI702">#REF!</definedName>
    <definedName name="_TBI703">#REF!</definedName>
    <definedName name="_TBI704">#REF!</definedName>
    <definedName name="_TBI705">#REF!</definedName>
    <definedName name="_TBI706">#REF!</definedName>
    <definedName name="_TBI707">#REF!</definedName>
    <definedName name="_TBI708">#REF!</definedName>
    <definedName name="_TBI709">#REF!</definedName>
    <definedName name="_TBI710">#REF!</definedName>
    <definedName name="_TBI711">#REF!</definedName>
    <definedName name="_TBI712">#REF!</definedName>
    <definedName name="_TBI713">#REF!</definedName>
    <definedName name="_TBI714">#REF!</definedName>
    <definedName name="_TBI715">#REF!</definedName>
    <definedName name="_TBI716">#REF!</definedName>
    <definedName name="_TBI717">#REF!</definedName>
    <definedName name="_TBI718">#REF!</definedName>
    <definedName name="_TBI719">#REF!</definedName>
    <definedName name="_TBI901">#REF!</definedName>
    <definedName name="_TBI902">#REF!</definedName>
    <definedName name="_TBI903">#REF!</definedName>
    <definedName name="_TBI904">#REF!</definedName>
    <definedName name="_TBI905">#REF!</definedName>
    <definedName name="_TBI906">#REF!</definedName>
    <definedName name="_TBI907">#REF!</definedName>
    <definedName name="_YEAR">#REF!</definedName>
    <definedName name="_ZZ16384">#REF!</definedName>
    <definedName name="¤A¤A">#REF!</definedName>
    <definedName name="¤μ¤μ">#REF!</definedName>
    <definedName name="￥">#REF!</definedName>
    <definedName name="\" localSheetId="9">#REF!</definedName>
    <definedName name="\" localSheetId="4">#REF!</definedName>
    <definedName name="\" localSheetId="3">#REF!</definedName>
    <definedName name="\" localSheetId="5">#REF!</definedName>
    <definedName name="\">#REF!</definedName>
    <definedName name="\\\\\">#N/A</definedName>
    <definedName name="\0">#N/A</definedName>
    <definedName name="\1">#N/A</definedName>
    <definedName name="\2">#N/A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k">#N/A</definedName>
    <definedName name="\l">#N/A</definedName>
    <definedName name="\m">#N/A</definedName>
    <definedName name="\n">#N/A</definedName>
    <definedName name="\o">#N/A</definedName>
    <definedName name="\p">#N/A</definedName>
    <definedName name="\q">#N/A</definedName>
    <definedName name="\r">#N/A</definedName>
    <definedName name="\s">#N/A</definedName>
    <definedName name="\t">#N/A</definedName>
    <definedName name="\u">#N/A</definedName>
    <definedName name="\v">#N/A</definedName>
    <definedName name="\w">#N/A</definedName>
    <definedName name="\x">#N/A</definedName>
    <definedName name="\y">#N/A</definedName>
    <definedName name="\z">#N/A</definedName>
    <definedName name="●_기존_체계">#REF!</definedName>
    <definedName name="°a°u">#REF!</definedName>
    <definedName name="※_BGA_직접재료비_변동추이">#REF!</definedName>
    <definedName name="※_추후_NAVA__PROJECT는__부품_">#REF!</definedName>
    <definedName name="¹ß">#REF!</definedName>
    <definedName name="¹Uº¸">#REF!</definedName>
    <definedName name="A" localSheetId="10">{#N/A,#N/A,FALSE,"단축1";#N/A,#N/A,FALSE,"단축2";#N/A,#N/A,FALSE,"단축3";#N/A,#N/A,FALSE,"장축";#N/A,#N/A,FALSE,"4WD"}</definedName>
    <definedName name="A">#REF!</definedName>
    <definedName name="aaa" localSheetId="10">#REF!</definedName>
    <definedName name="aaa">IF(aaaaaaaaaaaaaaa,Header_Row+aaaaaaaaaa,Header_Row)</definedName>
    <definedName name="aaaaaaaaaa">MATCH(0.01,End_Bal,-1)+1</definedName>
    <definedName name="aaaaaaaaaaaaaaa">IF(Loan_Amount*Interest_Rate*Loan_Years*Loan_Start&gt;0,1,0)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n1">#REF!</definedName>
    <definedName name="ACCTDIM">#REF!</definedName>
    <definedName name="ACSPEC">#REF!</definedName>
    <definedName name="ad_mu">#REF!</definedName>
    <definedName name="Ad_spend">#REF!</definedName>
    <definedName name="ADFSFADFSADF">#N/A</definedName>
    <definedName name="Ao¿￢">#REF!</definedName>
    <definedName name="ARC">#REF!</definedName>
    <definedName name="AS2DocOpenMode" localSheetId="10" hidden="1">"AS2DocumentEdit"</definedName>
    <definedName name="AS2DocOpenMode" hidden="1">"AS2DocumentBrowse"</definedName>
    <definedName name="asd" hidden="1">{#N/A,#N/A,FALSE,"95FW"}</definedName>
    <definedName name="asdasdasdad" hidden="1">{#N/A,#N/A,FALSE,"95FW"}</definedName>
    <definedName name="AUTOEXEC">#REF!</definedName>
    <definedName name="B">#REF!</definedName>
    <definedName name="BalanceSheet">#REF!</definedName>
    <definedName name="BalanceSheet97">#REF!</definedName>
    <definedName name="Bargain_Frcounters_M_U">#REF!</definedName>
    <definedName name="Bargain_Retailer_MU">#REF!</definedName>
    <definedName name="Bargain_Speciality_M_U">#REF!</definedName>
    <definedName name="Bargain_Specialty_M_U_2009">#REF!</definedName>
    <definedName name="BatchName">#REF!</definedName>
    <definedName name="bbb">#REF!</definedName>
    <definedName name="BD">#N/A</definedName>
    <definedName name="Book_2002">#REF!</definedName>
    <definedName name="BS">#REF!</definedName>
    <definedName name="bu">#REF!</definedName>
    <definedName name="bu_detail">#REF!</definedName>
    <definedName name="BUCCSELECT">#REF!</definedName>
    <definedName name="BUCCSUMMARY">#REF!</definedName>
    <definedName name="BUDGET">#REF!</definedName>
    <definedName name="bumwi">#REF!</definedName>
    <definedName name="ca">#REF!</definedName>
    <definedName name="CAD">#REF!</definedName>
    <definedName name="CapEx">#REF!</definedName>
    <definedName name="Capital">#REF!</definedName>
    <definedName name="CashFlow97">#REF!</definedName>
    <definedName name="Categories_Total">OFFSET(#REF!,#REF!-1,0,#REF!)</definedName>
    <definedName name="Categories_Y2">OFFSET(#REF!,#REF!-1,0,#REF!)</definedName>
    <definedName name="Categories_Y3">OFFSET(#REF!,#REF!-1,0,#REF!)</definedName>
    <definedName name="CC.QQ">#N/A</definedName>
    <definedName name="ccc">#REF!</definedName>
    <definedName name="CCCC">#N/A</definedName>
    <definedName name="ccccccccccc">MATCH(0.01,End_Bal,-1)+1</definedName>
    <definedName name="ccccccccccccccccccccccccccccccccc">IF(Loan_Amount*Interest_Rate*Loan_Years*Loan_Start&gt;0,1,0)</definedName>
    <definedName name="Cday">#REF!</definedName>
    <definedName name="CF">#REF!</definedName>
    <definedName name="CFP">#REF!</definedName>
    <definedName name="CHECK">#REF!</definedName>
    <definedName name="CIQWBGuid" hidden="1">"4157c11a-7dae-466b-8fb7-961bf876c311"</definedName>
    <definedName name="close_01">#REF!</definedName>
    <definedName name="close_04">#REF!</definedName>
    <definedName name="close_05">#REF!</definedName>
    <definedName name="close_06">#REF!</definedName>
    <definedName name="Close_08">#REF!</definedName>
    <definedName name="Close_09">#REF!</definedName>
    <definedName name="Close_10">#REF!</definedName>
    <definedName name="close_99">#REF!</definedName>
    <definedName name="Close_dis_rt">#REF!</definedName>
    <definedName name="Close_dis_rt_2009">#REF!</definedName>
    <definedName name="Close_out_Retailer_M_U">#REF!</definedName>
    <definedName name="Close_re_m_u">#REF!</definedName>
    <definedName name="Closeout_08">#REF!</definedName>
    <definedName name="Closeout_09">#REF!</definedName>
    <definedName name="Closeout_11">#REF!</definedName>
    <definedName name="Closeout_12">#REF!</definedName>
    <definedName name="Closeout_2011">#REF!</definedName>
    <definedName name="Closeout_2012">#REF!</definedName>
    <definedName name="Closeout_retailer_M_U_2009">#REF!</definedName>
    <definedName name="Cmonth">#REF!</definedName>
    <definedName name="CO">#REF!</definedName>
    <definedName name="COL기획">#REF!</definedName>
    <definedName name="COMPANYDIM">#REF!</definedName>
    <definedName name="Compleo.Next">#REF!</definedName>
    <definedName name="CoName1">#REF!</definedName>
    <definedName name="conb121" localSheetId="9">#REF!</definedName>
    <definedName name="conb121" localSheetId="4">#REF!</definedName>
    <definedName name="conb121" localSheetId="3">#REF!</definedName>
    <definedName name="conb121" localSheetId="5">#REF!</definedName>
    <definedName name="conb121">#REF!</definedName>
    <definedName name="CoNum1">#REF!</definedName>
    <definedName name="costcat">#REF!</definedName>
    <definedName name="Counter_mi">#REF!</definedName>
    <definedName name="COUNTY">#REF!</definedName>
    <definedName name="Credit_Card_Rate">#REF!</definedName>
    <definedName name="_xlnm.Criteria">#REF!</definedName>
    <definedName name="CS">#REF!</definedName>
    <definedName name="CSCFranOutlet">#REF!</definedName>
    <definedName name="CSCSIS">#REF!</definedName>
    <definedName name="CSC기획">#REF!</definedName>
    <definedName name="CSK_M_U">#REF!</definedName>
    <definedName name="CSK_M_U_2005">#REF!</definedName>
    <definedName name="CSK_M_U_2007">#REF!</definedName>
    <definedName name="CSK_M_U_2009">#REF!</definedName>
    <definedName name="CSK_MU">#REF!</definedName>
    <definedName name="csk_mu_2000">#REF!</definedName>
    <definedName name="csk_mu_2001">#REF!</definedName>
    <definedName name="csk_mu_2002">#REF!</definedName>
    <definedName name="csk_mu_2003">#REF!</definedName>
    <definedName name="CSK_Myungdong_M_U">#REF!</definedName>
    <definedName name="CSK_Myungdong_M_U_2009">#REF!</definedName>
    <definedName name="CSK_Speciality_M_U">#REF!</definedName>
    <definedName name="CSK_Specialty_M_U_2009">#REF!</definedName>
    <definedName name="csl_mu_2002">#REF!</definedName>
    <definedName name="CS영업">#REF!</definedName>
    <definedName name="CUBE">#REF!</definedName>
    <definedName name="CUBESELECT">#REF!</definedName>
    <definedName name="currency">#REF!</definedName>
    <definedName name="CurrentPeriod">#REF!</definedName>
    <definedName name="CURRENTYEAR">#REF!</definedName>
    <definedName name="CURRFORDRIVER">#REF!</definedName>
    <definedName name="CURRSELECT">#REF!</definedName>
    <definedName name="Cyear">#REF!</definedName>
    <definedName name="D">#REF!</definedName>
    <definedName name="Data">#REF!</definedName>
    <definedName name="_xlnm.Database" localSheetId="10">#REF!</definedName>
    <definedName name="_xlnm.Database">#REF!</definedName>
    <definedName name="DATAVALIDATION">#REF!</definedName>
    <definedName name="DateColorClear" localSheetId="9">#REF!</definedName>
    <definedName name="DateColorClear" localSheetId="4">#REF!</definedName>
    <definedName name="DateColorClear" localSheetId="3">#REF!</definedName>
    <definedName name="DateColorClear" localSheetId="5">#REF!</definedName>
    <definedName name="DateColorClear">#REF!</definedName>
    <definedName name="dd">IF(dddddddddddddddddddddddd,Header_Row+dddddddddd,Header_Row)</definedName>
    <definedName name="ddd">#REF!</definedName>
    <definedName name="ddddd">IF(dddddddddddddddddddddddd,Header_Row+dddddddddd,Header_Row)</definedName>
    <definedName name="dddddddddd">MATCH(0.01,End_Bal,-1)+1</definedName>
    <definedName name="ddddddddddd">#REF!</definedName>
    <definedName name="dddddddddddddddddddddddd">IF(Loan_Amount*Interest_Rate*Loan_Years*Loan_Start&gt;0,1,0)</definedName>
    <definedName name="DEFERRED">#REF!</definedName>
    <definedName name="DEFERRED2">#REF!</definedName>
    <definedName name="deferred3">#REF!</definedName>
    <definedName name="dererred4">#REF!</definedName>
    <definedName name="Deutsche" localSheetId="9">#REF!</definedName>
    <definedName name="Deutsche" localSheetId="4">#REF!</definedName>
    <definedName name="Deutsche" localSheetId="3">#REF!</definedName>
    <definedName name="Deutsche" localSheetId="5">#REF!</definedName>
    <definedName name="Deutsche">#REF!</definedName>
    <definedName name="DF">#REF!</definedName>
    <definedName name="DFBDFD">#N/A</definedName>
    <definedName name="dfdf">#REF!</definedName>
    <definedName name="DFGFHY" localSheetId="9">#REF!</definedName>
    <definedName name="DFGFHY" localSheetId="4">#REF!</definedName>
    <definedName name="DFGFHY" localSheetId="3">#REF!</definedName>
    <definedName name="DFGFHY" localSheetId="5">#REF!</definedName>
    <definedName name="DFGFHY">#REF!</definedName>
    <definedName name="DG">#REF!</definedName>
    <definedName name="DGFHTJTYKHJMKJ" localSheetId="9">#REF!</definedName>
    <definedName name="DGFHTJTYKHJMKJ" localSheetId="4">#REF!</definedName>
    <definedName name="DGFHTJTYKHJMKJ" localSheetId="3">#REF!</definedName>
    <definedName name="DGFHTJTYKHJMKJ" localSheetId="5">#REF!</definedName>
    <definedName name="DGFHTJTYKHJMKJ">#REF!</definedName>
    <definedName name="DIR">#REF!</definedName>
    <definedName name="Dis_rlt_rt">#REF!</definedName>
    <definedName name="dis_rlt_rt_2009">#REF!</definedName>
    <definedName name="Dis_Rtl_MU">#REF!</definedName>
    <definedName name="discount_01">#REF!</definedName>
    <definedName name="discount_04">#REF!</definedName>
    <definedName name="discount_05">#REF!</definedName>
    <definedName name="discount_06">#REF!</definedName>
    <definedName name="Discount_08">#REF!</definedName>
    <definedName name="Discount_09">#REF!</definedName>
    <definedName name="Discount_10">#REF!</definedName>
    <definedName name="Discount_11">#REF!</definedName>
    <definedName name="Discount_12">#REF!</definedName>
    <definedName name="Discount_2011">#REF!</definedName>
    <definedName name="Discount_2012">#REF!</definedName>
    <definedName name="Discount_98">#REF!</definedName>
    <definedName name="discount_99">#REF!</definedName>
    <definedName name="Discount_Re_MU_2012">#REF!</definedName>
    <definedName name="Discount_Retailer_M_U">#REF!</definedName>
    <definedName name="Discount_Speciality_M_U">#REF!</definedName>
    <definedName name="Discount_Specialty_M_U_2009">#REF!</definedName>
    <definedName name="DJFIJWLIN">#N/A</definedName>
    <definedName name="DKJIWJINC">#N/A</definedName>
    <definedName name="DKJVUBIUS">#N/A</definedName>
    <definedName name="DKNGWLERT">#REF!</definedName>
    <definedName name="dl">#REF!</definedName>
    <definedName name="dwsev01">#REF!</definedName>
    <definedName name="DZ">#N/A</definedName>
    <definedName name="e" hidden="1">#REF!</definedName>
    <definedName name="edf" localSheetId="9">#REF!</definedName>
    <definedName name="edf" localSheetId="4">#REF!</definedName>
    <definedName name="edf" localSheetId="3">#REF!</definedName>
    <definedName name="edf" localSheetId="5">#REF!</definedName>
    <definedName name="edf">#REF!</definedName>
    <definedName name="EDPSP">#REF!</definedName>
    <definedName name="eee">#REF!</definedName>
    <definedName name="EffDate">#REF!</definedName>
    <definedName name="EG">#N/A</definedName>
    <definedName name="EGPSP">#REF!</definedName>
    <definedName name="End_Bal">#REF!</definedName>
    <definedName name="EPMWorkbookOptions_1">"SAEAAB+LCAAAAAAABADtvQdgHEmWJSYvbcp7f0r1StfgdKEIgGATJNiQQBDswYjN5pLsHWlHIymrKoHKZVZlXWYWQMztnbz33nvvvffee++997o7nU4n99//P1xmZAFs9s5K2smeIYCqyB8/fnwfPyIe/x7vFmV6mddNUS0/+2h3vPNRmi+n1axYXnz20bo939799KPf4+g3Th5/t6rfTqrq7Zerlpo2Kb23bB69a4rPPpq37erR3btXV1fjq3v"</definedName>
    <definedName name="EPMWorkbookOptions_2">"jqr64u7ezs3v39/7i+evpPF9k28WyabPlNP/IvjW7+a2PqNc0ffwqP6/zZv7l8stVvjw6z8omf3w3/JDbnZR5Vj/N2uzL5evsMjctux9zWzOWl3XV5tM2n5nW/S/C9lez9C6IYRsqNY7+H0p+MExIAQAA"</definedName>
    <definedName name="EUATP">#REF!</definedName>
    <definedName name="EUBXCUBSE">#N/A</definedName>
    <definedName name="EV__LASTREFTIME__" hidden="1">"2018-09-14 오전 10:20:22"</definedName>
    <definedName name="ex_1100">#REF!</definedName>
    <definedName name="ex_1200">#REF!</definedName>
    <definedName name="ex_1250">#REF!</definedName>
    <definedName name="ex_1300">#REF!</definedName>
    <definedName name="ex_1500">#REF!</definedName>
    <definedName name="EXP">#REF!</definedName>
    <definedName name="Expense">#REF!</definedName>
    <definedName name="Extra_Pay">#REF!</definedName>
    <definedName name="_xlnm.Extract">#REF!</definedName>
    <definedName name="f" localSheetId="10" hidden="1">#REF!</definedName>
    <definedName name="f">IF(Values_Entered,Header_Row+Number_of_Payments,Header_Row)</definedName>
    <definedName name="FA">#REF!</definedName>
    <definedName name="FAKOR">#REF!</definedName>
    <definedName name="Fall1차" hidden="1">{#N/A,#N/A,FALSE,"95FW"}</definedName>
    <definedName name="FDFS">#REF!</definedName>
    <definedName name="FF">#REF!</definedName>
    <definedName name="fffffffffffffff">IF(ggggggggggggggggggggggggggggg,Header_Row+fffffffffffffffffffffffffffffffffff,Header_Row)</definedName>
    <definedName name="ffffffffffffffffffffffff">IF(ggggggggggggggggggggggggggggg,Header_Row+fffffffffffffffffffffffffffffffffff,Header_Row)</definedName>
    <definedName name="fffffffffffffffffffffffffffffffffff">MATCH(0.01,End_Bal,-1)+1</definedName>
    <definedName name="FG46TBTB4RTDKDK">#REF!</definedName>
    <definedName name="FGGHGFHJ" hidden="1">{#N/A,#N/A,FALSE,"단축1";#N/A,#N/A,FALSE,"단축2";#N/A,#N/A,FALSE,"단축3";#N/A,#N/A,FALSE,"장축";#N/A,#N/A,FALSE,"4WD"}</definedName>
    <definedName name="FGRKRKRKRKRKRKRKRKRKTBTB1RTDKDK">#REF!</definedName>
    <definedName name="FGZFDVZX">#N/A</definedName>
    <definedName name="FHGFHJGHJK" localSheetId="9">#REF!</definedName>
    <definedName name="FHGFHJGHJK" localSheetId="4">#REF!</definedName>
    <definedName name="FHGFHJGHJK" localSheetId="3">#REF!</definedName>
    <definedName name="FHGFHJGHJK" localSheetId="5">#REF!</definedName>
    <definedName name="FHGFHJGHJK">#REF!</definedName>
    <definedName name="FINALATTRIBUTE">#REF!</definedName>
    <definedName name="FinishedGoods">#REF!</definedName>
    <definedName name="FirstCell">#REF!</definedName>
    <definedName name="Fiscal_term">#REF!</definedName>
    <definedName name="FKNGLNWJNLCNXLKNFG">#N/A</definedName>
    <definedName name="Flagship_mi">#REF!</definedName>
    <definedName name="FO_02">68700</definedName>
    <definedName name="FOIBIOFNLKE">#N/A</definedName>
    <definedName name="FR">#REF!</definedName>
    <definedName name="Frachise_M_U">#REF!</definedName>
    <definedName name="Franchise_M_U_2009">#REF!</definedName>
    <definedName name="Franchise_mi">#REF!</definedName>
    <definedName name="Frcounter_MU_2012">#REF!</definedName>
    <definedName name="Frcounters_M_U">#REF!</definedName>
    <definedName name="Full_Print">#REF!</definedName>
    <definedName name="FullMth">#REF!</definedName>
    <definedName name="fw_rt">#REF!</definedName>
    <definedName name="fw00_rti">#REF!</definedName>
    <definedName name="fw99_rti">#REF!</definedName>
    <definedName name="FWEVSZC">#N/A</definedName>
    <definedName name="g">#REF!</definedName>
    <definedName name="GandA97">#REF!</definedName>
    <definedName name="GFHGJ" hidden="1">{#N/A,#N/A,TRUE,"Y생산";#N/A,#N/A,TRUE,"Y판매";#N/A,#N/A,TRUE,"Y총물량";#N/A,#N/A,TRUE,"Y능력";#N/A,#N/A,TRUE,"YKD"}</definedName>
    <definedName name="GG">#N/A</definedName>
    <definedName name="GGGG">#N/A</definedName>
    <definedName name="ggggggggggggggggggggggggggggg">IF(Loan_Amount*Interest_Rate*Loan_Years*Loan_Start&gt;0,1,0)</definedName>
    <definedName name="GHGJ" localSheetId="9">#REF!</definedName>
    <definedName name="GHGJ" localSheetId="4">#REF!</definedName>
    <definedName name="GHGJ" localSheetId="3">#REF!</definedName>
    <definedName name="GHGJ" localSheetId="5">#REF!</definedName>
    <definedName name="GHGJ">#REF!</definedName>
    <definedName name="GHKJL" localSheetId="9">#REF!</definedName>
    <definedName name="GHKJL" localSheetId="4">#REF!</definedName>
    <definedName name="GHKJL" localSheetId="3">#REF!</definedName>
    <definedName name="GHKJL" localSheetId="5">#REF!</definedName>
    <definedName name="GHKJL">#REF!</definedName>
    <definedName name="GJYKU" hidden="1">{#N/A,#N/A,TRUE,"Y생산";#N/A,#N/A,TRUE,"Y판매";#N/A,#N/A,TRUE,"Y총물량";#N/A,#N/A,TRUE,"Y능력";#N/A,#N/A,TRUE,"YKD"}</definedName>
    <definedName name="GO">#REF!</definedName>
    <definedName name="GR">#N/A</definedName>
    <definedName name="GRY" localSheetId="9">#REF!</definedName>
    <definedName name="GRY" localSheetId="4">#REF!</definedName>
    <definedName name="GRY" localSheetId="3">#REF!</definedName>
    <definedName name="GRY" localSheetId="5">#REF!</definedName>
    <definedName name="GRY">#REF!</definedName>
    <definedName name="HD11t">#REF!</definedName>
    <definedName name="HD14t">#REF!</definedName>
    <definedName name="HD15t">#REF!</definedName>
    <definedName name="HD17t">#REF!</definedName>
    <definedName name="HD18t">#REF!</definedName>
    <definedName name="HD19t">#REF!</definedName>
    <definedName name="HD20t">#REF!</definedName>
    <definedName name="HD22t">#REF!</definedName>
    <definedName name="HD24t">#REF!</definedName>
    <definedName name="HD25t">#REF!</definedName>
    <definedName name="HD28t">#REF!</definedName>
    <definedName name="HD2t">#REF!</definedName>
    <definedName name="HD6t">#REF!</definedName>
    <definedName name="HD7t">#REF!</definedName>
    <definedName name="HD8t">#REF!</definedName>
    <definedName name="HdOth1">#REF!</definedName>
    <definedName name="HdOth2">#REF!</definedName>
    <definedName name="HdOth3">#REF!</definedName>
    <definedName name="HdOth4">#REF!</definedName>
    <definedName name="HdOth5">#REF!</definedName>
    <definedName name="Header_Row">ROW(#REF!)</definedName>
    <definedName name="HeaderPrint">#REF!</definedName>
    <definedName name="HGHTJTY" localSheetId="9">#REF!</definedName>
    <definedName name="HGHTJTY" localSheetId="4">#REF!</definedName>
    <definedName name="HGHTJTY" localSheetId="3">#REF!</definedName>
    <definedName name="HGHTJTY" localSheetId="5">#REF!</definedName>
    <definedName name="HGHTJTY">#REF!</definedName>
    <definedName name="HHH">#N/A</definedName>
    <definedName name="HJJHKHJ" localSheetId="9">#REF!</definedName>
    <definedName name="HJJHKHJ" localSheetId="4">#REF!</definedName>
    <definedName name="HJJHKHJ" localSheetId="3">#REF!</definedName>
    <definedName name="HJJHKHJ" localSheetId="5">#REF!</definedName>
    <definedName name="HJJHKHJ">#REF!</definedName>
    <definedName name="HKHL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HSFGHDYU">#N/A</definedName>
    <definedName name="HTML_CodePage" hidden="1">949</definedName>
    <definedName name="HTML_Control" hidden="1">{"'매출'!$A$1:$I$22"}</definedName>
    <definedName name="HTML_Description" hidden="1">""</definedName>
    <definedName name="HTML_Email" hidden="1">"jsleea@ahnkwon.co.kr"</definedName>
    <definedName name="HTML_Header" hidden="1">"매출"</definedName>
    <definedName name="HTML_LastUpdate" hidden="1">"98-08-21"</definedName>
    <definedName name="HTML_LineAfter" hidden="1">TRUE</definedName>
    <definedName name="HTML_LineBefore" hidden="1">TRUE</definedName>
    <definedName name="HTML_Name" hidden="1">"이지신"</definedName>
    <definedName name="HTML_OBDlg2" hidden="1">TRUE</definedName>
    <definedName name="HTML_OBDlg4" hidden="1">TRUE</definedName>
    <definedName name="HTML_OS" hidden="1">0</definedName>
    <definedName name="HTML_PathFile" hidden="1">"D:\내문서\MyHTML.htm"</definedName>
    <definedName name="HTML_Title" hidden="1">"diamonds"</definedName>
    <definedName name="HTYL" localSheetId="9">#REF!</definedName>
    <definedName name="HTYL" localSheetId="4">#REF!</definedName>
    <definedName name="HTYL" localSheetId="3">#REF!</definedName>
    <definedName name="HTYL" localSheetId="5">#REF!</definedName>
    <definedName name="HTYL">#REF!</definedName>
    <definedName name="INPUT">#REF!</definedName>
    <definedName name="Int">#REF!</definedName>
    <definedName name="INTER">#REF!</definedName>
    <definedName name="INTER_CO">#REF!</definedName>
    <definedName name="Interest_Rate">#REF!</definedName>
    <definedName name="IOIOIOIO">#N/A</definedName>
    <definedName name="IPRT">#REF!</definedName>
    <definedName name="IPRTSAVE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"11/21/2017 14:56:29"</definedName>
    <definedName name="IQ_QTD" hidden="1">750000</definedName>
    <definedName name="IQ_TODAY" hidden="1">0</definedName>
    <definedName name="IQ_YTDMONTH" hidden="1">130000</definedName>
    <definedName name="IR">#N/A</definedName>
    <definedName name="IR8145_">#N/A</definedName>
    <definedName name="IS">#REF!</definedName>
    <definedName name="ISAVE">#REF!</definedName>
    <definedName name="j">#REF!</definedName>
    <definedName name="JGHJ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JJ">#N/A</definedName>
    <definedName name="JJnlDescn">#REF!</definedName>
    <definedName name="JJnlName">#REF!</definedName>
    <definedName name="JJnlRef">#REF!</definedName>
    <definedName name="JKYUKUK" localSheetId="9">#REF!</definedName>
    <definedName name="JKYUKUK" localSheetId="4">#REF!</definedName>
    <definedName name="JKYUKUK" localSheetId="3">#REF!</definedName>
    <definedName name="JKYUKUK" localSheetId="5">#REF!</definedName>
    <definedName name="JKYUKUK">#REF!</definedName>
    <definedName name="JN10t">#REF!</definedName>
    <definedName name="JN11t">#REF!</definedName>
    <definedName name="JN12t">#REF!</definedName>
    <definedName name="JN13t">#REF!</definedName>
    <definedName name="JN14t">#REF!</definedName>
    <definedName name="JN15t">#REF!</definedName>
    <definedName name="JN16t">#REF!</definedName>
    <definedName name="JN17t">#REF!</definedName>
    <definedName name="JN18t">#REF!</definedName>
    <definedName name="JN19t">#REF!</definedName>
    <definedName name="JN1t">#REF!</definedName>
    <definedName name="JN20t">#REF!</definedName>
    <definedName name="JN21t">#REF!</definedName>
    <definedName name="JN23t">#REF!</definedName>
    <definedName name="JN29t">#REF!</definedName>
    <definedName name="JN2t">#REF!</definedName>
    <definedName name="JN30t">#REF!</definedName>
    <definedName name="JN31t">#REF!</definedName>
    <definedName name="JN32t">#REF!</definedName>
    <definedName name="JN3t">#REF!</definedName>
    <definedName name="JN4t">#REF!</definedName>
    <definedName name="JN5t">#REF!</definedName>
    <definedName name="JN6t">#REF!</definedName>
    <definedName name="JN7t">#REF!</definedName>
    <definedName name="JN8t">#REF!</definedName>
    <definedName name="JN9t">#REF!</definedName>
    <definedName name="JnlDesc">#REF!</definedName>
    <definedName name="JnlSufX">#REF!</definedName>
    <definedName name="JnlSufY">#REF!</definedName>
    <definedName name="Journal">#REF!</definedName>
    <definedName name="JSLIFJWLINLCNVILNS">#N/A</definedName>
    <definedName name="k" localSheetId="10" hidden="1">#REF!</definedName>
    <definedName name="k">#REF!</definedName>
    <definedName name="KEY" hidden="1">#REF!</definedName>
    <definedName name="KIA" hidden="1">{#N/A,#N/A,FALSE,"단축1";#N/A,#N/A,FALSE,"단축2";#N/A,#N/A,FALSE,"단축3";#N/A,#N/A,FALSE,"장축";#N/A,#N/A,FALSE,"4WD"}</definedName>
    <definedName name="KKCHNOVNEONGWEW">#N/A</definedName>
    <definedName name="KKJHJ" hidden="1">{#N/A,#N/A,FALSE,"95FW"}</definedName>
    <definedName name="klklklklkl">#N/A</definedName>
    <definedName name="KSJLHFIWN">#N/A</definedName>
    <definedName name="l" hidden="1">#REF!</definedName>
    <definedName name="L_CY_Beg">#REF!</definedName>
    <definedName name="Last_Row">IF(Values_Entered,Header_Row+Number_of_Payments,Header_Row)</definedName>
    <definedName name="LC_02">256600</definedName>
    <definedName name="LKSILDFLIWNLNGLKCNKLVKSLFJIENFD">#N/A</definedName>
    <definedName name="LL">#N/A</definedName>
    <definedName name="Loan_Amount">#REF!</definedName>
    <definedName name="Loan_Start">#REF!</definedName>
    <definedName name="Loan_Years">#REF!</definedName>
    <definedName name="LOCAL">#REF!</definedName>
    <definedName name="LPRT">#REF!</definedName>
    <definedName name="LPRTSAVE">#REF!</definedName>
    <definedName name="lrp_year">#REF!</definedName>
    <definedName name="LSAVE">#REF!</definedName>
    <definedName name="LZ_03">39500</definedName>
    <definedName name="M" hidden="1">{#N/A,#N/A,FALSE,"95FW"}</definedName>
    <definedName name="M.복귀" localSheetId="9">#REF!</definedName>
    <definedName name="M.복귀" localSheetId="4">#REF!</definedName>
    <definedName name="M.복귀" localSheetId="3">#REF!</definedName>
    <definedName name="M.복귀" localSheetId="5">#REF!</definedName>
    <definedName name="M.복귀">#REF!</definedName>
    <definedName name="MACRO">#REF!</definedName>
    <definedName name="MACRO1">#REF!</definedName>
    <definedName name="MACRO2">#REF!</definedName>
    <definedName name="MAINMENU">#REF!</definedName>
    <definedName name="Map" hidden="1">#REF!</definedName>
    <definedName name="MarginChanges">#REF!</definedName>
    <definedName name="measure">#REF!</definedName>
    <definedName name="MEASUREFORDRIVER">#REF!</definedName>
    <definedName name="MEASUREFORMATRIX">#REF!</definedName>
    <definedName name="MHWSales">#REF!</definedName>
    <definedName name="MHW기획">#REF!</definedName>
    <definedName name="MH상품기획">#REF!</definedName>
    <definedName name="MH영업">#REF!</definedName>
    <definedName name="MK">#REF!</definedName>
    <definedName name="Mont_CSK_MU">#REF!</definedName>
    <definedName name="Mont_CSK_Specialty_M_U">#REF!</definedName>
    <definedName name="Mont_Retailer_MU">#REF!</definedName>
    <definedName name="Mont_Specialty_MU">#REF!</definedName>
    <definedName name="monthnames">#REF!</definedName>
    <definedName name="MP">#REF!</definedName>
    <definedName name="Myungdong_M_U">#REF!</definedName>
    <definedName name="Myungdong_M_U_2009">#REF!</definedName>
    <definedName name="namelist">#REF!</definedName>
    <definedName name="NL22t">#REF!</definedName>
    <definedName name="NL24t">#REF!</definedName>
    <definedName name="NL25t">#REF!</definedName>
    <definedName name="NL26t">#REF!</definedName>
    <definedName name="NL75t">#REF!</definedName>
    <definedName name="nnn">#REF!</definedName>
    <definedName name="Num_Pmt_Per_Year">#REF!</definedName>
    <definedName name="Number_of_Payments">MATCH(0.01,End_Bal,-1)+1</definedName>
    <definedName name="ny" hidden="1">{#N/A,#N/A,FALSE,"95FW"}</definedName>
    <definedName name="NYRTYNTY">#N/A</definedName>
    <definedName name="O" localSheetId="10" hidden="1">{#N/A,#N/A,FALSE,"단축1";#N/A,#N/A,FALSE,"단축2";#N/A,#N/A,FALSE,"단축3";#N/A,#N/A,FALSE,"장축";#N/A,#N/A,FALSE,"4WD"}</definedName>
    <definedName name="o">#REF!</definedName>
    <definedName name="O.OHKKJ">#N/A</definedName>
    <definedName name="OBS">#REF!</definedName>
    <definedName name="okwon">#REF!</definedName>
    <definedName name="ONKMNGLDNFG">#N/A</definedName>
    <definedName name="OO">#N/A</definedName>
    <definedName name="OOHOHOHOHOJ">#N/A</definedName>
    <definedName name="OOOOYYO">#N/A</definedName>
    <definedName name="Outlet_Closeout_M_U_2009">#REF!</definedName>
    <definedName name="Outlet_discount_M_U">#REF!</definedName>
    <definedName name="Outlet_Discount_M_U_2009">#REF!</definedName>
    <definedName name="Outlet_M_U">#REF!</definedName>
    <definedName name="Outlet_M_U_2009">#REF!</definedName>
    <definedName name="Outlet_mi">#REF!</definedName>
    <definedName name="P">#N/A</definedName>
    <definedName name="Pay_Num">#REF!</definedName>
    <definedName name="pcversioncompare">#REF!</definedName>
    <definedName name="pcyear">#REF!</definedName>
    <definedName name="PERIOD_END">#REF!</definedName>
    <definedName name="PeriodDropdown">#REF!</definedName>
    <definedName name="PERIODSELECT">#REF!</definedName>
    <definedName name="PickXY">#REF!</definedName>
    <definedName name="picture">#REF!</definedName>
    <definedName name="Planning">#REF!</definedName>
    <definedName name="PLS">#REF!</definedName>
    <definedName name="POR52C2R87C15RTMTBTBTBTBTB55RTR">#REF!</definedName>
    <definedName name="PP">#N/A</definedName>
    <definedName name="ppppppppp">#N/A</definedName>
    <definedName name="PRDIM">#REF!</definedName>
    <definedName name="_xlnm.Print_Area" localSheetId="1">일자별!$A$1:$AJ$38</definedName>
    <definedName name="_xlnm.Print_Area">#REF!</definedName>
    <definedName name="Print_Area_MI">#REF!</definedName>
    <definedName name="PRINT_AREA_MI1">#REF!</definedName>
    <definedName name="_xlnm.Print_Titles">#REF!</definedName>
    <definedName name="PRINT_TITLES_MI">#N/A</definedName>
    <definedName name="printarea">#REF!</definedName>
    <definedName name="PTR">#REF!</definedName>
    <definedName name="q" hidden="1">#REF!</definedName>
    <definedName name="qq">#N/A</definedName>
    <definedName name="qqqqqqqqqqqq">IF(Loan_Amount*Interest_Rate*Loan_Years*Loan_Start&gt;0,1,0)</definedName>
    <definedName name="QQQQQQQQW">#N/A</definedName>
    <definedName name="qweqweqweqweqweqweqweqew">#N/A</definedName>
    <definedName name="range">#REF!</definedName>
    <definedName name="range2">#REF!</definedName>
    <definedName name="RDGRGERTY" localSheetId="9">#REF!</definedName>
    <definedName name="RDGRGERTY" localSheetId="4">#REF!</definedName>
    <definedName name="RDGRGERTY" localSheetId="3">#REF!</definedName>
    <definedName name="RDGRGERTY" localSheetId="5">#REF!</definedName>
    <definedName name="RDGRGERTY">#REF!</definedName>
    <definedName name="RE">#N/A</definedName>
    <definedName name="regular_01">#REF!</definedName>
    <definedName name="regular_04">#REF!</definedName>
    <definedName name="regular_05">#REF!</definedName>
    <definedName name="regular_06">#REF!</definedName>
    <definedName name="Regular_08">#REF!</definedName>
    <definedName name="Regular_09">#REF!</definedName>
    <definedName name="Regular_10">#REF!</definedName>
    <definedName name="Regular_11">#REF!</definedName>
    <definedName name="Regular_12">#REF!</definedName>
    <definedName name="Regular_2011">#REF!</definedName>
    <definedName name="Regular_2012">#REF!</definedName>
    <definedName name="Regular_98">#REF!</definedName>
    <definedName name="regular_99">#REF!</definedName>
    <definedName name="REPORTBASISVERSION">#REF!</definedName>
    <definedName name="REPORTVERSION">#REF!</definedName>
    <definedName name="Retailer_M_U">#REF!</definedName>
    <definedName name="Retailer_M_U_2005">#REF!</definedName>
    <definedName name="Retailer_M_U_2009">#REF!</definedName>
    <definedName name="Retailer_MU">#REF!</definedName>
    <definedName name="RetailMarketing">#REF!</definedName>
    <definedName name="RetailOperation">#REF!</definedName>
    <definedName name="RetailStrategyAnalyst">#REF!</definedName>
    <definedName name="RevPer">#REF!</definedName>
    <definedName name="RevYN">#REF!</definedName>
    <definedName name="RG">#N/A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NRNRNR" hidden="1">{#N/A,#N/A,FALSE,"95FW"}</definedName>
    <definedName name="RowTitleRegion1..G2">#REF!</definedName>
    <definedName name="rr">MATCH(0.01,End_Bal,-1)+1</definedName>
    <definedName name="RSTHFGNCVXC">#N/A</definedName>
    <definedName name="RT" hidden="1">#REF!</definedName>
    <definedName name="s">#N/A</definedName>
    <definedName name="S_CY_Beg_Data">#REF!</definedName>
    <definedName name="sales">#REF!</definedName>
    <definedName name="sales1">#REF!</definedName>
    <definedName name="SAPBEXrevision" hidden="1">5</definedName>
    <definedName name="SAPBEXsysID" hidden="1">"PBW"</definedName>
    <definedName name="SAPBEXwbID" hidden="1">"461MV176AFZ8EMO9X5CXOB1LL"</definedName>
    <definedName name="SCFP">#REF!</definedName>
    <definedName name="Scheduled_Extra_Payments">#REF!</definedName>
    <definedName name="Scheduled_Interest_Rate">#REF!</definedName>
    <definedName name="Scheduled_Monthly_Payment">#REF!</definedName>
    <definedName name="Scoresheet" localSheetId="9">#REF!</definedName>
    <definedName name="Scoresheet" localSheetId="4">#REF!</definedName>
    <definedName name="Scoresheet" localSheetId="3">#REF!</definedName>
    <definedName name="Scoresheet" localSheetId="5">#REF!</definedName>
    <definedName name="Scoresheet">#REF!</definedName>
    <definedName name="sd" localSheetId="10">#REF!</definedName>
    <definedName name="SD">#REF!</definedName>
    <definedName name="SDFWRQGNRYNS">#N/A</definedName>
    <definedName name="sfd" hidden="1">{#N/A,#N/A,FALSE,"95FW"}</definedName>
    <definedName name="sheet" hidden="1">{#N/A,#N/A,FALSE,"95FW"}</definedName>
    <definedName name="sheet1" hidden="1">{#N/A,#N/A,FALSE,"95FW"}</definedName>
    <definedName name="SHR">#REF!</definedName>
    <definedName name="shtName" localSheetId="9">INDEX(wsNames, shtPos)</definedName>
    <definedName name="shtName" localSheetId="4">INDEX(wsNames, shtPos)</definedName>
    <definedName name="shtName" localSheetId="3">INDEX(wsNames, shtPos)</definedName>
    <definedName name="shtName" localSheetId="5">INDEX(wsNames, shtPos)</definedName>
    <definedName name="shtName">INDEX(wsNames, shtPos)</definedName>
    <definedName name="SHTNGCVCNB">#N/A</definedName>
    <definedName name="SINGPORE">#REF!</definedName>
    <definedName name="SIS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SO">#REF!</definedName>
    <definedName name="Speciality_M_U">#REF!</definedName>
    <definedName name="Specialty_con_M_U_2009">#REF!</definedName>
    <definedName name="Specialty_M_U_2009">#REF!</definedName>
    <definedName name="spend">#REF!</definedName>
    <definedName name="SS" hidden="1">#REF!</definedName>
    <definedName name="ss_rt">#REF!</definedName>
    <definedName name="ss00_rt2">#REF!</definedName>
    <definedName name="ss00_rti">#REF!</definedName>
    <definedName name="ss99_rt2">#REF!</definedName>
    <definedName name="ss99_rti">#REF!</definedName>
    <definedName name="SSS" hidden="1">#REF!</definedName>
    <definedName name="ssss">#N/A</definedName>
    <definedName name="STORE_00">#REF!</definedName>
    <definedName name="STORE_98">#REF!</definedName>
    <definedName name="STORE_99">#REF!</definedName>
    <definedName name="STRU">#REF!</definedName>
    <definedName name="STYLENO">#REF!</definedName>
    <definedName name="SU">#REF!</definedName>
    <definedName name="SZG">#N/A</definedName>
    <definedName name="t">#REF!</definedName>
    <definedName name="TABLE1">#REF!</definedName>
    <definedName name="Tax_Rate1">#REF!</definedName>
    <definedName name="TB" localSheetId="9">#REF!</definedName>
    <definedName name="TB" localSheetId="4">#REF!</definedName>
    <definedName name="TB" localSheetId="3">#REF!</definedName>
    <definedName name="TB" localSheetId="5">#REF!</definedName>
    <definedName name="TB">#REF!</definedName>
    <definedName name="TB_Code">#REF!</definedName>
    <definedName name="TB112.1">#REF!</definedName>
    <definedName name="TB113.1">#REF!</definedName>
    <definedName name="TB114.1">#REF!</definedName>
    <definedName name="TB115.1">#REF!</definedName>
    <definedName name="TB116.1">#REF!</definedName>
    <definedName name="TB117.1">#REF!</definedName>
    <definedName name="TB212.1">#REF!</definedName>
    <definedName name="TB213.1">#REF!</definedName>
    <definedName name="TB221.1">#REF!</definedName>
    <definedName name="TB222.1">#REF!</definedName>
    <definedName name="TB222.2">#REF!</definedName>
    <definedName name="TB223.1">#REF!</definedName>
    <definedName name="TB224.1">#REF!</definedName>
    <definedName name="TB312.1">#REF!</definedName>
    <definedName name="TB313.1">#REF!</definedName>
    <definedName name="TB314.1">#REF!</definedName>
    <definedName name="TB315.1">#REF!</definedName>
    <definedName name="TB316.1">#REF!</definedName>
    <definedName name="TB317.1">#REF!</definedName>
    <definedName name="TB318.1">#REF!</definedName>
    <definedName name="TB601.1">#REF!</definedName>
    <definedName name="TB605.1">#REF!</definedName>
    <definedName name="TB904.1">#REF!</definedName>
    <definedName name="TB904.2">#REF!</definedName>
    <definedName name="TEST">#REF!</definedName>
    <definedName name="TextRefCopy1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RangeCount" hidden="1">2</definedName>
    <definedName name="THEMONTH">#REF!</definedName>
    <definedName name="ThisPeriod">#REF!</definedName>
    <definedName name="ThisYear">#REF!</definedName>
    <definedName name="thousand">#REF!</definedName>
    <definedName name="thtty" hidden="1">{#N/A,#N/A,FALSE,"96 3월물량표";#N/A,#N/A,FALSE,"96 4월물량표";#N/A,#N/A,FALSE,"96 5월물량표"}</definedName>
    <definedName name="Time">#REF!</definedName>
    <definedName name="TITLE">#REF!</definedName>
    <definedName name="TM1REBUILDOPTION">1</definedName>
    <definedName name="TOTAL">#REF!</definedName>
    <definedName name="Total_Pay">#REF!</definedName>
    <definedName name="TOTAL1">#REF!</definedName>
    <definedName name="TOTAL2">#REF!</definedName>
    <definedName name="totamt">#REF!</definedName>
    <definedName name="TP1t">#REF!</definedName>
    <definedName name="TP2t">#REF!</definedName>
    <definedName name="TP3t">#REF!</definedName>
    <definedName name="TP5t">#REF!</definedName>
    <definedName name="TRAD">#REF!</definedName>
    <definedName name="TransNum">#REF!</definedName>
    <definedName name="TrialBalance2" localSheetId="9">#REF!</definedName>
    <definedName name="TrialBalance2" localSheetId="4">#REF!</definedName>
    <definedName name="TrialBalance2" localSheetId="3">#REF!</definedName>
    <definedName name="TrialBalance2" localSheetId="5">#REF!</definedName>
    <definedName name="TrialBalance2">#REF!</definedName>
    <definedName name="TT" localSheetId="10" hidden="1">{#N/A,#N/A,FALSE,"단축1";#N/A,#N/A,FALSE,"단축2";#N/A,#N/A,FALSE,"단축3";#N/A,#N/A,FALSE,"장축";#N/A,#N/A,FALSE,"4WD"}</definedName>
    <definedName name="TT">#N/A</definedName>
    <definedName name="TWN">#REF!</definedName>
    <definedName name="TYUTUYUYUTYJUTYJ" localSheetId="9">#REF!</definedName>
    <definedName name="TYUTUYUYUTYJUTYJ" localSheetId="4">#REF!</definedName>
    <definedName name="TYUTUYUYUTYJUTYJ" localSheetId="3">#REF!</definedName>
    <definedName name="TYUTUYUYUTYJUTYJ" localSheetId="5">#REF!</definedName>
    <definedName name="TYUTUYUYUTYJUTYJ">#REF!</definedName>
    <definedName name="UploadFile">#REF!</definedName>
    <definedName name="UU">#N/A</definedName>
    <definedName name="Values_Entered">IF(Loan_Amount*Interest_Rate*Loan_Years*Loan_Start&gt;0,1,0)</definedName>
    <definedName name="VERSIONB">#REF!</definedName>
    <definedName name="VERSIONC">#REF!</definedName>
    <definedName name="VERSIOND">#REF!</definedName>
    <definedName name="versionselect">#REF!</definedName>
    <definedName name="VIEWFORDRIVER">#REF!</definedName>
    <definedName name="VMD">#REF!</definedName>
    <definedName name="VMD_00">#REF!</definedName>
    <definedName name="VMD_98">#REF!</definedName>
    <definedName name="VMD_99">#REF!</definedName>
    <definedName name="VMD_Display">#REF!</definedName>
    <definedName name="VVVV">#N/A</definedName>
    <definedName name="VXVXCV">#REF!</definedName>
    <definedName name="w" hidden="1">#REF!</definedName>
    <definedName name="werq">#REF!</definedName>
    <definedName name="Winter" hidden="1">{#N/A,#N/A,FALSE,"95FW"}</definedName>
    <definedName name="WJOIHFOIDNV">#N/A</definedName>
    <definedName name="wrn.95._.fw._.진행현황." hidden="1">{#N/A,#N/A,FALSE,"95FW"}</definedName>
    <definedName name="wrn.전부인쇄." hidden="1">{#N/A,#N/A,FALSE,"단축1";#N/A,#N/A,FALSE,"단축2";#N/A,#N/A,FALSE,"단축3";#N/A,#N/A,FALSE,"장축";#N/A,#N/A,FALSE,"4WD"}</definedName>
    <definedName name="x">#REF!</definedName>
    <definedName name="XC">#N/A</definedName>
    <definedName name="XCVZXVCCCVS">#N/A</definedName>
    <definedName name="XL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ActiveRow" hidden="1">#REF!</definedName>
    <definedName name="XRefColumnsCount" hidden="1">4</definedName>
    <definedName name="XRefCopy1" hidden="1">#REF!</definedName>
    <definedName name="XRefCopy1Row" hidden="1">#REF!</definedName>
    <definedName name="XRefCopy2" hidden="1">#REF!</definedName>
    <definedName name="XRefCopy20Row" hidden="1">#REF!</definedName>
    <definedName name="XRefCopy21Row" hidden="1">#REF!</definedName>
    <definedName name="XRefCopy22Row" hidden="1">#REF!</definedName>
    <definedName name="XRefCopy24" hidden="1">#REF!</definedName>
    <definedName name="XRefCopy24Row" hidden="1">#REF!</definedName>
    <definedName name="XRefCopy25" hidden="1">#REF!</definedName>
    <definedName name="XRefCopy26" hidden="1">#REF!</definedName>
    <definedName name="XRefCopy26Row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RefPaste1" hidden="1">#REF!</definedName>
    <definedName name="XRefPaste10Row" hidden="1">#REF!</definedName>
    <definedName name="XRefPaste11" hidden="1">#REF!</definedName>
    <definedName name="XRefPaste11Row" hidden="1">#REF!</definedName>
    <definedName name="XRefPaste12Row" hidden="1">#REF!</definedName>
    <definedName name="XRefPaste13Row" hidden="1">#REF!</definedName>
    <definedName name="XRefPaste14Row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Row" hidden="1">#REF!</definedName>
    <definedName name="XRefPaste7Row" hidden="1">#REF!</definedName>
    <definedName name="XRefPaste8Row" hidden="1">#REF!</definedName>
    <definedName name="XRefPaste9Row" hidden="1">#REF!</definedName>
    <definedName name="XRefPasteRangeCount" hidden="1">5</definedName>
    <definedName name="XV">#N/A</definedName>
    <definedName name="xx" localSheetId="10">#REF!</definedName>
    <definedName name="xx">IF(xxxxxxxxxxxxxxxxxxxxxxxxxxxxxxxx,Header_Row+xxxxxxx,Header_Row)</definedName>
    <definedName name="xxxxxxx">MATCH(0.01,End_Bal,-1)+1</definedName>
    <definedName name="XXXXXXXXXXXXXXVBDBX">#N/A</definedName>
    <definedName name="XXXXXXXXXXXXXXXFB">#N/A</definedName>
    <definedName name="XXXXXXXXXXXXXXXXBF">#N/A</definedName>
    <definedName name="XXXXXXXXXXXXXXXXXB">#N/A</definedName>
    <definedName name="xxxxxxxxxxxxxxxxxxxxxxxxxxxxxxxx">IF(Loan_Amount*Interest_Rate*Loan_Years*Loan_Start&gt;0,1,0)</definedName>
    <definedName name="y">#N/A</definedName>
    <definedName name="YEAREND">#REF!</definedName>
    <definedName name="YTD">#REF!</definedName>
    <definedName name="YTD1">#REF!</definedName>
    <definedName name="YTD2">#REF!</definedName>
    <definedName name="YUYU" localSheetId="9">#REF!</definedName>
    <definedName name="YUYU" localSheetId="4">#REF!</definedName>
    <definedName name="YUYU" localSheetId="3">#REF!</definedName>
    <definedName name="YUYU" localSheetId="5">#REF!</definedName>
    <definedName name="YUYU">#REF!</definedName>
    <definedName name="YY">#N/A</definedName>
    <definedName name="yyyyyyyyyyyyyyyyyyyyyyyyyyyyyyyyyyyyyyyyyyyyyyyy">#N/A</definedName>
    <definedName name="ZDVFDGW">#N/A</definedName>
    <definedName name="zzzz">#N/A</definedName>
    <definedName name="zzzzzzzzz">IF(zzzzzzzzzzzzzzzzzzzzzz,Header_Row+zzzzzzzzzzzzzzzzz,Header_Row)</definedName>
    <definedName name="zzzzzzzzzzz">IF(zzzzzzzzzzzzzzzzzzzzzz,Header_Row+zzzzzzzzzzzzzzzzz,Header_Row)</definedName>
    <definedName name="ZZZZZZZZZZZZB">#N/A</definedName>
    <definedName name="ZZZZZZZZZZZZV">#N/A</definedName>
    <definedName name="ZZZZZZZZZZZZZD">#N/A</definedName>
    <definedName name="ZZZZZZZZZZZZZZZFWEFTE">#N/A</definedName>
    <definedName name="zzzzzzzzzzzzzzzzz">MATCH(0.01,End_Bal,-1)+1</definedName>
    <definedName name="ZZZZZZZZZZZZZZZZZZF">#N/A</definedName>
    <definedName name="ZZZZZZZZZZZZZZZZZZG">#N/A</definedName>
    <definedName name="zzzzzzzzzzzzzzzzzzzzzz">IF(Loan_Amount*Interest_Rate*Loan_Years*Loan_Start&gt;0,1,0)</definedName>
    <definedName name="ZZZZZZZZZZZZZZZZZZZZZZZZXV">#N/A</definedName>
    <definedName name="ㄱㄱ">#REF!</definedName>
    <definedName name="ㄱㄱㄱ">#REF!</definedName>
    <definedName name="ㄱㄱㄳㅎ">#REF!</definedName>
    <definedName name="가을" hidden="1">{#N/A,#N/A,FALSE,"95FW"}</definedName>
    <definedName name="가족">#REF!</definedName>
    <definedName name="간접">#REF!</definedName>
    <definedName name="건1">#REF!</definedName>
    <definedName name="건10">#REF!</definedName>
    <definedName name="건11">#REF!</definedName>
    <definedName name="건12">#REF!</definedName>
    <definedName name="건2">#REF!</definedName>
    <definedName name="건3">#REF!</definedName>
    <definedName name="건4">#REF!</definedName>
    <definedName name="건5">#REF!</definedName>
    <definedName name="건6">#REF!</definedName>
    <definedName name="건7">#REF!</definedName>
    <definedName name="건8">#REF!</definedName>
    <definedName name="건9">#REF!</definedName>
    <definedName name="건강10월">#REF!</definedName>
    <definedName name="건강11월">#REF!</definedName>
    <definedName name="건강12월">#REF!</definedName>
    <definedName name="건강3월">#REF!</definedName>
    <definedName name="건강4월">#REF!</definedName>
    <definedName name="건강5월">#REF!</definedName>
    <definedName name="건강6월">#REF!</definedName>
    <definedName name="건강7월">#REF!</definedName>
    <definedName name="건강8월">#REF!</definedName>
    <definedName name="건강9월">#REF!</definedName>
    <definedName name="건물" localSheetId="9">#REF!</definedName>
    <definedName name="건물" localSheetId="4">#REF!</definedName>
    <definedName name="건물" localSheetId="3">#REF!</definedName>
    <definedName name="건물" localSheetId="5">#REF!</definedName>
    <definedName name="건물">#REF!</definedName>
    <definedName name="건물2" localSheetId="9">#REF!</definedName>
    <definedName name="건물2" localSheetId="4">#REF!</definedName>
    <definedName name="건물2" localSheetId="3">#REF!</definedName>
    <definedName name="건물2" localSheetId="5">#REF!</definedName>
    <definedName name="건물2">#REF!</definedName>
    <definedName name="검증순서">#REF!</definedName>
    <definedName name="경로">#REF!</definedName>
    <definedName name="계승산">#REF!</definedName>
    <definedName name="계좌">#REF!</definedName>
    <definedName name="고1">#REF!</definedName>
    <definedName name="고10">#REF!</definedName>
    <definedName name="고11">#REF!</definedName>
    <definedName name="고12">#REF!</definedName>
    <definedName name="고2">#REF!</definedName>
    <definedName name="고3">#REF!</definedName>
    <definedName name="고4">#REF!</definedName>
    <definedName name="고5">#REF!</definedName>
    <definedName name="고6">#REF!</definedName>
    <definedName name="고7">#REF!</definedName>
    <definedName name="고8">#REF!</definedName>
    <definedName name="고9">#REF!</definedName>
    <definedName name="고용10월">#REF!</definedName>
    <definedName name="고용11월">#REF!</definedName>
    <definedName name="고용12월">#REF!</definedName>
    <definedName name="고용3월">#REF!</definedName>
    <definedName name="고용4월">#REF!</definedName>
    <definedName name="고용5월">#REF!</definedName>
    <definedName name="고용6월">#REF!</definedName>
    <definedName name="고용7월">#REF!</definedName>
    <definedName name="고용8월">#REF!</definedName>
    <definedName name="고용9월">#REF!</definedName>
    <definedName name="구축물" localSheetId="9">#REF!</definedName>
    <definedName name="구축물" localSheetId="4">#REF!</definedName>
    <definedName name="구축물" localSheetId="3">#REF!</definedName>
    <definedName name="구축물" localSheetId="5">#REF!</definedName>
    <definedName name="구축물">#REF!</definedName>
    <definedName name="구축물2" localSheetId="9">#REF!</definedName>
    <definedName name="구축물2" localSheetId="4">#REF!</definedName>
    <definedName name="구축물2" localSheetId="3">#REF!</definedName>
    <definedName name="구축물2" localSheetId="5">#REF!</definedName>
    <definedName name="구축물2">#REF!</definedName>
    <definedName name="국1">#REF!</definedName>
    <definedName name="국10">#REF!</definedName>
    <definedName name="국11">#REF!</definedName>
    <definedName name="국12">#REF!</definedName>
    <definedName name="국2">#REF!</definedName>
    <definedName name="국3">#REF!</definedName>
    <definedName name="국4">#REF!</definedName>
    <definedName name="국5">#REF!</definedName>
    <definedName name="국6">#REF!</definedName>
    <definedName name="국7">#REF!</definedName>
    <definedName name="국8">#REF!</definedName>
    <definedName name="국9">#REF!</definedName>
    <definedName name="국가">#REF!</definedName>
    <definedName name="국가명">#REF!</definedName>
    <definedName name="국민10월">#REF!</definedName>
    <definedName name="국민11월">#REF!</definedName>
    <definedName name="국민12월">#REF!</definedName>
    <definedName name="국민3월">#REF!</definedName>
    <definedName name="국민4월">#REF!</definedName>
    <definedName name="국민5월">#REF!</definedName>
    <definedName name="국민6월">#REF!</definedName>
    <definedName name="국민7월">#REF!</definedName>
    <definedName name="국민8월">#REF!</definedName>
    <definedName name="국민9월">#REF!</definedName>
    <definedName name="귀속">#REF!</definedName>
    <definedName name="귀속2">#REF!</definedName>
    <definedName name="근무표">#REF!</definedName>
    <definedName name="금융기관">#REF!</definedName>
    <definedName name="급1">#REF!</definedName>
    <definedName name="급10">#REF!</definedName>
    <definedName name="급11">#REF!</definedName>
    <definedName name="급12">#REF!</definedName>
    <definedName name="급2">#REF!</definedName>
    <definedName name="급3">#REF!</definedName>
    <definedName name="급4">#REF!</definedName>
    <definedName name="급5">#REF!</definedName>
    <definedName name="급6">#REF!</definedName>
    <definedName name="급7">#REF!</definedName>
    <definedName name="급8">#REF!</definedName>
    <definedName name="급9">#REF!</definedName>
    <definedName name="급여">#REF!</definedName>
    <definedName name="급여10월">#REF!</definedName>
    <definedName name="급여11월">#REF!</definedName>
    <definedName name="급여12월">#REF!</definedName>
    <definedName name="급여2">#REF!</definedName>
    <definedName name="급여3월">#REF!</definedName>
    <definedName name="급여4월">#REF!</definedName>
    <definedName name="급여5월">#REF!</definedName>
    <definedName name="급여6월">#REF!</definedName>
    <definedName name="급여7월">#REF!</definedName>
    <definedName name="급여8월">#REF!</definedName>
    <definedName name="급여9월">#REF!</definedName>
    <definedName name="기1">#REF!</definedName>
    <definedName name="기10">#REF!</definedName>
    <definedName name="기11">#REF!</definedName>
    <definedName name="기12">#REF!</definedName>
    <definedName name="기2">#REF!</definedName>
    <definedName name="기3">#REF!</definedName>
    <definedName name="기4">#REF!</definedName>
    <definedName name="기5">#REF!</definedName>
    <definedName name="기6">#REF!</definedName>
    <definedName name="기7">#REF!</definedName>
    <definedName name="기8">#REF!</definedName>
    <definedName name="기9">#REF!</definedName>
    <definedName name="기계" localSheetId="9">#REF!</definedName>
    <definedName name="기계" localSheetId="4">#REF!</definedName>
    <definedName name="기계" localSheetId="3">#REF!</definedName>
    <definedName name="기계" localSheetId="5">#REF!</definedName>
    <definedName name="기계">#REF!</definedName>
    <definedName name="기계장치" localSheetId="9">#REF!</definedName>
    <definedName name="기계장치" localSheetId="4">#REF!</definedName>
    <definedName name="기계장치" localSheetId="3">#REF!</definedName>
    <definedName name="기계장치" localSheetId="5">#REF!</definedName>
    <definedName name="기계장치">#REF!</definedName>
    <definedName name="기계장치2" localSheetId="9">#REF!</definedName>
    <definedName name="기계장치2" localSheetId="4">#REF!</definedName>
    <definedName name="기계장치2" localSheetId="3">#REF!</definedName>
    <definedName name="기계장치2" localSheetId="5">#REF!</definedName>
    <definedName name="기계장치2">#REF!</definedName>
    <definedName name="기안">#REF!</definedName>
    <definedName name="기안1">#REF!</definedName>
    <definedName name="기안2">#REF!</definedName>
    <definedName name="기타10월">#REF!</definedName>
    <definedName name="기타11월">#REF!</definedName>
    <definedName name="기타12월">#REF!</definedName>
    <definedName name="기타3월">#REF!</definedName>
    <definedName name="기타4월">#REF!</definedName>
    <definedName name="기타5월">#REF!</definedName>
    <definedName name="기타6월">#REF!</definedName>
    <definedName name="기타7월">#REF!</definedName>
    <definedName name="기타8월">#REF!</definedName>
    <definedName name="기타9월">#REF!</definedName>
    <definedName name="기타부채" localSheetId="9">#REF!</definedName>
    <definedName name="기타부채" localSheetId="4">#REF!</definedName>
    <definedName name="기타부채" localSheetId="3">#REF!</definedName>
    <definedName name="기타부채" localSheetId="5">#REF!</definedName>
    <definedName name="기타부채">#REF!</definedName>
    <definedName name="기획량">#REF!</definedName>
    <definedName name="기획숫자" localSheetId="9">#REF!</definedName>
    <definedName name="기획숫자" localSheetId="4">#REF!</definedName>
    <definedName name="기획숫자" localSheetId="3">#REF!</definedName>
    <definedName name="기획숫자" localSheetId="5">#REF!</definedName>
    <definedName name="기획숫자">#REF!</definedName>
    <definedName name="ㄴ" hidden="1">{"'기타소득'!$A$3:$D$9"}</definedName>
    <definedName name="ㄴㄴ" hidden="1">{#N/A,#N/A,FALSE,"96 3월물량표";#N/A,#N/A,FALSE,"96 4월물량표";#N/A,#N/A,FALSE,"96 5월물량표"}</definedName>
    <definedName name="ㄴㅁㄴ">#REF!</definedName>
    <definedName name="나">#REF!</definedName>
    <definedName name="나라">#REF!</definedName>
    <definedName name="날짜">#REF!</definedName>
    <definedName name="날짜2">#REF!</definedName>
    <definedName name="내용연수">#REF!</definedName>
    <definedName name="내용연수2">#REF!</definedName>
    <definedName name="ㄷㄷㄷ">#REF!</definedName>
    <definedName name="ㄷㅇ">#REF!</definedName>
    <definedName name="단가표">#REF!</definedName>
    <definedName name="달력">#REF!</definedName>
    <definedName name="달력1">#REF!</definedName>
    <definedName name="달력연도">#REF!</definedName>
    <definedName name="대변">#REF!</definedName>
    <definedName name="대변월계">#REF!</definedName>
    <definedName name="대차">#REF!</definedName>
    <definedName name="대차대조표">#REF!</definedName>
    <definedName name="대표">#REF!</definedName>
    <definedName name="대회">#REF!</definedName>
    <definedName name="둘">#REF!</definedName>
    <definedName name="등록">#REF!</definedName>
    <definedName name="등록2">#REF!</definedName>
    <definedName name="ㄹ">#REF!</definedName>
    <definedName name="ㄹㄹㄹ">#REF!</definedName>
    <definedName name="ㄹㄹㄹㄹ" localSheetId="9">#REF!</definedName>
    <definedName name="ㄹㄹㄹㄹ" localSheetId="4">#REF!</definedName>
    <definedName name="ㄹㄹㄹㄹ" localSheetId="3">#REF!</definedName>
    <definedName name="ㄹㄹㄹㄹ" localSheetId="5">#REF!</definedName>
    <definedName name="ㄹㄹㄹㄹ">#REF!</definedName>
    <definedName name="ㄹㄹㄹㄹㄹ">#REF!</definedName>
    <definedName name="롷ㄹ소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린다앤영">#REF!</definedName>
    <definedName name="ㅁ">#REF!</definedName>
    <definedName name="ㅁ1">#REF!</definedName>
    <definedName name="ㅁ2">#REF!</definedName>
    <definedName name="ㅁ35">#REF!</definedName>
    <definedName name="ㅁ519">#REF!</definedName>
    <definedName name="ㅁㄴㅁㄴㅁ" hidden="1">{#N/A,#N/A,FALSE,"95FW"}</definedName>
    <definedName name="ㅁㅁ">#N/A</definedName>
    <definedName name="ㅁㅁㅁㅁㅁ">#REF!</definedName>
    <definedName name="ㅁㅇㅁㅇㅁㄴㅇㅁㄴㅇㅁㄴ" hidden="1">{#N/A,#N/A,FALSE,"95FW"}</definedName>
    <definedName name="만약">#REF!</definedName>
    <definedName name="매1">#REF!</definedName>
    <definedName name="매10">#REF!</definedName>
    <definedName name="매11">#REF!</definedName>
    <definedName name="매12">#REF!</definedName>
    <definedName name="매2">#REF!</definedName>
    <definedName name="매3">#REF!</definedName>
    <definedName name="매4">#REF!</definedName>
    <definedName name="매5">#REF!</definedName>
    <definedName name="매6">#REF!</definedName>
    <definedName name="매7">#REF!</definedName>
    <definedName name="매8">#REF!</definedName>
    <definedName name="매9">#REF!</definedName>
    <definedName name="매수">#REF!</definedName>
    <definedName name="매수2">#REF!</definedName>
    <definedName name="매입채무" localSheetId="9">#REF!</definedName>
    <definedName name="매입채무" localSheetId="4">#REF!</definedName>
    <definedName name="매입채무" localSheetId="3">#REF!</definedName>
    <definedName name="매입채무" localSheetId="5">#REF!</definedName>
    <definedName name="매입채무">#REF!</definedName>
    <definedName name="매장concept">#REF!</definedName>
    <definedName name="매출">#REF!</definedName>
    <definedName name="매출10월">#REF!</definedName>
    <definedName name="매출11월">#REF!</definedName>
    <definedName name="매출12월">#REF!</definedName>
    <definedName name="매출3월">#REF!</definedName>
    <definedName name="매출4월">#REF!</definedName>
    <definedName name="매출5월">#REF!</definedName>
    <definedName name="매출6월">#REF!</definedName>
    <definedName name="매출7월">#REF!</definedName>
    <definedName name="매출8월">#REF!</definedName>
    <definedName name="매출9월">#REF!</definedName>
    <definedName name="매출채권">#REF!</definedName>
    <definedName name="멍멍" localSheetId="9">#REF!</definedName>
    <definedName name="멍멍" localSheetId="4">#REF!</definedName>
    <definedName name="멍멍" localSheetId="3">#REF!</definedName>
    <definedName name="멍멍" localSheetId="5">#REF!</definedName>
    <definedName name="멍멍">#REF!</definedName>
    <definedName name="멍청이" localSheetId="9">#REF!</definedName>
    <definedName name="멍청이" localSheetId="4">#REF!</definedName>
    <definedName name="멍청이" localSheetId="3">#REF!</definedName>
    <definedName name="멍청이" localSheetId="5">#REF!</definedName>
    <definedName name="멍청이">#REF!</definedName>
    <definedName name="물류">#REF!</definedName>
    <definedName name="뭐야.." hidden="1">{#N/A,#N/A,FALSE,"95FW"}</definedName>
    <definedName name="뭐지" hidden="1">{#N/A,#N/A,FALSE,"95FW"}</definedName>
    <definedName name="미지급금">#REF!</definedName>
    <definedName name="ㅂ" hidden="1">{"'기타소득'!$A$3:$D$9"}</definedName>
    <definedName name="ㅂ1" hidden="1">{#N/A,#N/A,FALSE,"95FW"}</definedName>
    <definedName name="바보">#REF!</definedName>
    <definedName name="발">#REF!</definedName>
    <definedName name="배우자">#REF!</definedName>
    <definedName name="배우자2">#REF!</definedName>
    <definedName name="법인등록번호">#REF!</definedName>
    <definedName name="법인명_상호명">#REF!</definedName>
    <definedName name="법인세" localSheetId="9">#REF!</definedName>
    <definedName name="법인세" localSheetId="4">#REF!</definedName>
    <definedName name="법인세" localSheetId="3">#REF!</definedName>
    <definedName name="법인세" localSheetId="5">#REF!</definedName>
    <definedName name="법인세">#REF!</definedName>
    <definedName name="법인세비용">#REF!</definedName>
    <definedName name="변동비인쇄영역">#REF!</definedName>
    <definedName name="보관1">#REF!</definedName>
    <definedName name="보관2">#REF!</definedName>
    <definedName name="보너스">#REF!</definedName>
    <definedName name="보험">#REF!</definedName>
    <definedName name="보험2">#REF!</definedName>
    <definedName name="복귀" localSheetId="9">#REF!</definedName>
    <definedName name="복귀" localSheetId="4">#REF!</definedName>
    <definedName name="복귀" localSheetId="3">#REF!</definedName>
    <definedName name="복귀" localSheetId="5">#REF!</definedName>
    <definedName name="복귀">#REF!</definedName>
    <definedName name="복리후생비집계" localSheetId="9">#REF!</definedName>
    <definedName name="복리후생비집계" localSheetId="4">#REF!</definedName>
    <definedName name="복리후생비집계" localSheetId="3">#REF!</definedName>
    <definedName name="복리후생비집계" localSheetId="5">#REF!</definedName>
    <definedName name="복리후생비집계">#REF!</definedName>
    <definedName name="봄" hidden="1">{#N/A,#N/A,FALSE,"95FW"}</definedName>
    <definedName name="부녀">#REF!</definedName>
    <definedName name="부녀2">#REF!</definedName>
    <definedName name="부서">#REF!</definedName>
    <definedName name="부서명">#REF!</definedName>
    <definedName name="부서코드다">#REF!</definedName>
    <definedName name="부양">#REF!</definedName>
    <definedName name="부양2">#REF!</definedName>
    <definedName name="부양가족">#REF!</definedName>
    <definedName name="부양가족2">#REF!</definedName>
    <definedName name="부채4">#REF!</definedName>
    <definedName name="부채자본">#REF!</definedName>
    <definedName name="비과세">#REF!</definedName>
    <definedName name="비과세2">#REF!</definedName>
    <definedName name="비교">#REF!</definedName>
    <definedName name="비교분">#REF!</definedName>
    <definedName name="비품" localSheetId="9">#REF!</definedName>
    <definedName name="비품" localSheetId="4">#REF!</definedName>
    <definedName name="비품" localSheetId="3">#REF!</definedName>
    <definedName name="비품" localSheetId="5">#REF!</definedName>
    <definedName name="비품">#REF!</definedName>
    <definedName name="사1">#REF!</definedName>
    <definedName name="사10">#REF!</definedName>
    <definedName name="사11">#REF!</definedName>
    <definedName name="사12">#REF!</definedName>
    <definedName name="사2">#REF!</definedName>
    <definedName name="사3">#REF!</definedName>
    <definedName name="사4">#REF!</definedName>
    <definedName name="사5">#REF!</definedName>
    <definedName name="사6">#REF!</definedName>
    <definedName name="사7">#REF!</definedName>
    <definedName name="사8">#REF!</definedName>
    <definedName name="사9">#REF!</definedName>
    <definedName name="사번">#REF!</definedName>
    <definedName name="사업10월">#REF!</definedName>
    <definedName name="사업11월">#REF!</definedName>
    <definedName name="사업12월">#REF!</definedName>
    <definedName name="사업3월">#REF!</definedName>
    <definedName name="사업4월">#REF!</definedName>
    <definedName name="사업5월">#REF!</definedName>
    <definedName name="사업6월">#REF!</definedName>
    <definedName name="사업7월">#REF!</definedName>
    <definedName name="사업8월">#REF!</definedName>
    <definedName name="사업9월">#REF!</definedName>
    <definedName name="사업별" localSheetId="9">#REF!</definedName>
    <definedName name="사업별" localSheetId="4">#REF!</definedName>
    <definedName name="사업별" localSheetId="3">#REF!</definedName>
    <definedName name="사업별" localSheetId="5">#REF!</definedName>
    <definedName name="사업별">#REF!</definedName>
    <definedName name="사업자등록번호">#REF!</definedName>
    <definedName name="사원">#REF!</definedName>
    <definedName name="산1">#REF!</definedName>
    <definedName name="산10">#REF!</definedName>
    <definedName name="산11">#REF!</definedName>
    <definedName name="산12">#REF!</definedName>
    <definedName name="산2">#REF!</definedName>
    <definedName name="산3">#REF!</definedName>
    <definedName name="산4">#REF!</definedName>
    <definedName name="산5">#REF!</definedName>
    <definedName name="산6">#REF!</definedName>
    <definedName name="산7">#REF!</definedName>
    <definedName name="산8">#REF!</definedName>
    <definedName name="산9">#REF!</definedName>
    <definedName name="산재10월">#REF!</definedName>
    <definedName name="산재11월">#REF!</definedName>
    <definedName name="산재12월">#REF!</definedName>
    <definedName name="산재3월">#REF!</definedName>
    <definedName name="산재4월">#REF!</definedName>
    <definedName name="산재5월">#REF!</definedName>
    <definedName name="산재6월">#REF!</definedName>
    <definedName name="산재7월">#REF!</definedName>
    <definedName name="산재8월">#REF!</definedName>
    <definedName name="산재9월">#REF!</definedName>
    <definedName name="상무">#REF!</definedName>
    <definedName name="상설월별시트2" hidden="1">{#N/A,#N/A,FALSE,"95FW"}</definedName>
    <definedName name="상여">#REF!</definedName>
    <definedName name="상여2">#REF!</definedName>
    <definedName name="상여율">#REF!</definedName>
    <definedName name="상품설명회등">#REF!</definedName>
    <definedName name="새이름">#REF!</definedName>
    <definedName name="생산" localSheetId="10">#REF!</definedName>
    <definedName name="생산">#REF!</definedName>
    <definedName name="생산현황집계표">#REF!</definedName>
    <definedName name="생산현황집계표ELLE">#REF!</definedName>
    <definedName name="생산현황집계표RENO">#REF!</definedName>
    <definedName name="생산현황집계표SIS">#REF!</definedName>
    <definedName name="선택">#REF!</definedName>
    <definedName name="성명">#REF!</definedName>
    <definedName name="성명2">#REF!</definedName>
    <definedName name="세부">#REF!</definedName>
    <definedName name="세부내역">#REF!</definedName>
    <definedName name="소득">#REF!</definedName>
    <definedName name="소득2">#REF!</definedName>
    <definedName name="소득금액">#REF!</definedName>
    <definedName name="소득세">#REF!</definedName>
    <definedName name="소득종류">#REF!</definedName>
    <definedName name="소솟" localSheetId="9">#REF!</definedName>
    <definedName name="소솟" localSheetId="4">#REF!</definedName>
    <definedName name="소솟" localSheetId="3">#REF!</definedName>
    <definedName name="소솟" localSheetId="5">#REF!</definedName>
    <definedName name="소솟">#REF!</definedName>
    <definedName name="수금">#REF!</definedName>
    <definedName name="수금분석">#REF!</definedName>
    <definedName name="수수" hidden="1">{#N/A,#N/A,FALSE,"95FW"}</definedName>
    <definedName name="수수료정산" hidden="1">{#N/A,#N/A,FALSE,"95FW"}</definedName>
    <definedName name="수정">#N/A</definedName>
    <definedName name="스타일">#REF!</definedName>
    <definedName name="시느">#REF!</definedName>
    <definedName name="시즌별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식대2">#REF!</definedName>
    <definedName name="신사번">#REF!</definedName>
    <definedName name="신상">#REF!</definedName>
    <definedName name="심양신세게">#REF!</definedName>
    <definedName name="씨티" localSheetId="9">#REF!</definedName>
    <definedName name="씨티" localSheetId="4">#REF!</definedName>
    <definedName name="씨티" localSheetId="3">#REF!</definedName>
    <definedName name="씨티" localSheetId="5">#REF!</definedName>
    <definedName name="씨티">#REF!</definedName>
    <definedName name="ㅇ" hidden="1">{#N/A,#N/A,TRUE,"Y생산";#N/A,#N/A,TRUE,"Y판매";#N/A,#N/A,TRUE,"Y총물량";#N/A,#N/A,TRUE,"Y능력";#N/A,#N/A,TRUE,"YKD"}</definedName>
    <definedName name="ㅇㄹㅇㄹ" localSheetId="9">#REF!</definedName>
    <definedName name="ㅇㄹㅇㄹ" localSheetId="4">#REF!</definedName>
    <definedName name="ㅇㄹㅇㄹ" localSheetId="3">#REF!</definedName>
    <definedName name="ㅇㄹㅇㄹ" localSheetId="5">#REF!</definedName>
    <definedName name="ㅇㄹㅇㄹ">#REF!</definedName>
    <definedName name="ㅇㄻㅇ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ㅇㅁㅇ">#REF!</definedName>
    <definedName name="ㅇㅇ" localSheetId="9">#REF!</definedName>
    <definedName name="ㅇㅇ" localSheetId="4">#REF!</definedName>
    <definedName name="ㅇㅇ" localSheetId="3">#REF!</definedName>
    <definedName name="ㅇㅇ" localSheetId="5">#REF!</definedName>
    <definedName name="ㅇㅇ">#REF!</definedName>
    <definedName name="ㅇㅇㅁㄹ">#REF!</definedName>
    <definedName name="ㅇㅇㅇ">#REF!</definedName>
    <definedName name="ㅇㅇㅇㅇ">#REF!</definedName>
    <definedName name="아울렛분리">#REF!</definedName>
    <definedName name="알">#REF!</definedName>
    <definedName name="야간근로">#REF!</definedName>
    <definedName name="야간연장">#REF!</definedName>
    <definedName name="야간휴일">#REF!</definedName>
    <definedName name="업무시행">#REF!</definedName>
    <definedName name="연봉">#REF!</definedName>
    <definedName name="연봉1">#REF!</definedName>
    <definedName name="연봉2">#REF!</definedName>
    <definedName name="연봉3">#REF!</definedName>
    <definedName name="연습">#REF!</definedName>
    <definedName name="연장">#REF!</definedName>
    <definedName name="연장추가">#REF!</definedName>
    <definedName name="영업관리">#REF!</definedName>
    <definedName name="영업전략">#REF!</definedName>
    <definedName name="예상실적">#REF!</definedName>
    <definedName name="오공일구">#REF!</definedName>
    <definedName name="오ㅑ">#REF!</definedName>
    <definedName name="왈왈" localSheetId="9">#REF!</definedName>
    <definedName name="왈왈" localSheetId="4">#REF!</definedName>
    <definedName name="왈왈" localSheetId="3">#REF!</definedName>
    <definedName name="왈왈" localSheetId="5">#REF!</definedName>
    <definedName name="왈왈">#REF!</definedName>
    <definedName name="외상매입금">#REF!</definedName>
    <definedName name="요일">#REF!</definedName>
    <definedName name="요일및주">{0,1,2,3,4,5,6} + {0;1;2;3;4;5}*7</definedName>
    <definedName name="용품" hidden="1">{#N/A,#N/A,FALSE,"95FW"}</definedName>
    <definedName name="용품스케쥴" hidden="1">{#N/A,#N/A,FALSE,"95FW"}</definedName>
    <definedName name="월">#REF!</definedName>
    <definedName name="월별출고계획" hidden="1">{#N/A,#N/A,FALSE,"95FW"}</definedName>
    <definedName name="월시간">#REF!</definedName>
    <definedName name="유럽">#REF!</definedName>
    <definedName name="이동">#REF!</definedName>
    <definedName name="이름">#REF!</definedName>
    <definedName name="이름모야" hidden="1">{#N/A,#N/A,FALSE,"95FW"}</definedName>
    <definedName name="이이름">#REF!</definedName>
    <definedName name="이익">#REF!</definedName>
    <definedName name="이종화">#REF!</definedName>
    <definedName name="이천일년">#REF!</definedName>
    <definedName name="익산">#REF!</definedName>
    <definedName name="인사">#REF!</definedName>
    <definedName name="인원10월">#REF!</definedName>
    <definedName name="인원11월">#REF!</definedName>
    <definedName name="인원12월">#REF!</definedName>
    <definedName name="인원3월">#REF!</definedName>
    <definedName name="인원4월">#REF!</definedName>
    <definedName name="인원5월">#REF!</definedName>
    <definedName name="인원6월">#REF!</definedName>
    <definedName name="인원7월">#REF!</definedName>
    <definedName name="인원8월">#REF!</definedName>
    <definedName name="인원9월">#REF!</definedName>
    <definedName name="일월급여">#REF!</definedName>
    <definedName name="임시">#REF!</definedName>
    <definedName name="입사">#REF!</definedName>
    <definedName name="입사일">#REF!</definedName>
    <definedName name="ㅈ121">#REF!</definedName>
    <definedName name="자녀양육">#REF!</definedName>
    <definedName name="자료" hidden="1">{#N/A,#N/A,FALSE,"95FW"}</definedName>
    <definedName name="자산">#REF!</definedName>
    <definedName name="장1">#REF!</definedName>
    <definedName name="장10">#REF!</definedName>
    <definedName name="장11">#REF!</definedName>
    <definedName name="장12">#REF!</definedName>
    <definedName name="장2">#REF!</definedName>
    <definedName name="장3">#REF!</definedName>
    <definedName name="장4">#REF!</definedName>
    <definedName name="장5">#REF!</definedName>
    <definedName name="장6">#REF!</definedName>
    <definedName name="장7">#REF!</definedName>
    <definedName name="장8">#REF!</definedName>
    <definedName name="장9">#REF!</definedName>
    <definedName name="장기선급비용">#REF!</definedName>
    <definedName name="장기투자.94.BB">#REF!</definedName>
    <definedName name="장선비용">#REF!</definedName>
    <definedName name="장애인10월">#REF!</definedName>
    <definedName name="장애인11월">#REF!</definedName>
    <definedName name="장애인12월">#REF!</definedName>
    <definedName name="장애인3월">#REF!</definedName>
    <definedName name="장애인4월">#REF!</definedName>
    <definedName name="장애인5월">#REF!</definedName>
    <definedName name="장애인6월">#REF!</definedName>
    <definedName name="장애인7월">#REF!</definedName>
    <definedName name="장애인8월">#REF!</definedName>
    <definedName name="장애인9월">#REF!</definedName>
    <definedName name="재무">#REF!</definedName>
    <definedName name="적용전체">#REF!</definedName>
    <definedName name="전산">#REF!</definedName>
    <definedName name="전산기획">#REF!</definedName>
    <definedName name="전체">#REF!</definedName>
    <definedName name="전표">#REF!</definedName>
    <definedName name="전표입력">#REF!</definedName>
    <definedName name="접대비집계">#REF!</definedName>
    <definedName name="제목1">#REF!</definedName>
    <definedName name="제목2">#REF!</definedName>
    <definedName name="제목3">#REF!</definedName>
    <definedName name="제목4">#REF!</definedName>
    <definedName name="제조" hidden="1">#REF!</definedName>
    <definedName name="제출일">#REF!</definedName>
    <definedName name="조회액">#REF!</definedName>
    <definedName name="종합추이" localSheetId="9">#REF!</definedName>
    <definedName name="종합추이" localSheetId="4">#REF!</definedName>
    <definedName name="종합추이" localSheetId="3">#REF!</definedName>
    <definedName name="종합추이" localSheetId="5">#REF!</definedName>
    <definedName name="종합추이">#REF!</definedName>
    <definedName name="주">WEEKNUM(#REF!)-WEEKNUM(DATE(YEAR(#REF!),MONTH(#REF!),1))+1-IF(WEEKDAY(DATE(YEAR(#REF!),MONTH(#REF!),1))&gt;2,1,0)</definedName>
    <definedName name="주민">#REF!</definedName>
    <definedName name="주민세">#REF!</definedName>
    <definedName name="주부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주부사원" localSheetId="9">#REF!</definedName>
    <definedName name="주부사원" localSheetId="4">#REF!</definedName>
    <definedName name="주부사원" localSheetId="3">#REF!</definedName>
    <definedName name="주부사원" localSheetId="5">#REF!</definedName>
    <definedName name="주부사원">#REF!</definedName>
    <definedName name="주소">#REF!</definedName>
    <definedName name="주시작">#REF!</definedName>
    <definedName name="주임종">#REF!</definedName>
    <definedName name="중소기업">#REF!</definedName>
    <definedName name="즉조팀" localSheetId="9">#REF!</definedName>
    <definedName name="즉조팀" localSheetId="4">#REF!</definedName>
    <definedName name="즉조팀" localSheetId="3">#REF!</definedName>
    <definedName name="즉조팀" localSheetId="5">#REF!</definedName>
    <definedName name="즉조팀">#REF!</definedName>
    <definedName name="지급액">#REF!</definedName>
    <definedName name="지급어음">#REF!</definedName>
    <definedName name="직위">#REF!</definedName>
    <definedName name="진행보고" hidden="1">{#N/A,#N/A,FALSE,"95FW"}</definedName>
    <definedName name="집기" localSheetId="9">#REF!</definedName>
    <definedName name="집기" localSheetId="4">#REF!</definedName>
    <definedName name="집기" localSheetId="3">#REF!</definedName>
    <definedName name="집기" localSheetId="5">#REF!</definedName>
    <definedName name="집기">#REF!</definedName>
    <definedName name="집기2" localSheetId="9">#REF!</definedName>
    <definedName name="집기2" localSheetId="4">#REF!</definedName>
    <definedName name="집기2" localSheetId="3">#REF!</definedName>
    <definedName name="집기2" localSheetId="5">#REF!</definedName>
    <definedName name="집기2">#REF!</definedName>
    <definedName name="집기비품" localSheetId="9">#REF!</definedName>
    <definedName name="집기비품" localSheetId="4">#REF!</definedName>
    <definedName name="집기비품" localSheetId="3">#REF!</definedName>
    <definedName name="집기비품" localSheetId="5">#REF!</definedName>
    <definedName name="집기비품">#REF!</definedName>
    <definedName name="집기비품ㅈ" localSheetId="9">#REF!</definedName>
    <definedName name="집기비품ㅈ" localSheetId="4">#REF!</definedName>
    <definedName name="집기비품ㅈ" localSheetId="3">#REF!</definedName>
    <definedName name="집기비품ㅈ" localSheetId="5">#REF!</definedName>
    <definedName name="집기비품ㅈ">#REF!</definedName>
    <definedName name="쨔" hidden="1">{#N/A,#N/A,FALSE,"95FW"}</definedName>
    <definedName name="차량" localSheetId="9">#REF!</definedName>
    <definedName name="차량" localSheetId="4">#REF!</definedName>
    <definedName name="차량" localSheetId="3">#REF!</definedName>
    <definedName name="차량" localSheetId="5">#REF!</definedName>
    <definedName name="차량">#REF!</definedName>
    <definedName name="차량2" localSheetId="9">#REF!</definedName>
    <definedName name="차량2" localSheetId="4">#REF!</definedName>
    <definedName name="차량2" localSheetId="3">#REF!</definedName>
    <definedName name="차량2" localSheetId="5">#REF!</definedName>
    <definedName name="차량2">#REF!</definedName>
    <definedName name="차량운반구" localSheetId="9">#REF!</definedName>
    <definedName name="차량운반구" localSheetId="4">#REF!</definedName>
    <definedName name="차량운반구" localSheetId="3">#REF!</definedName>
    <definedName name="차량운반구" localSheetId="5">#REF!</definedName>
    <definedName name="차량운반구">#REF!</definedName>
    <definedName name="차량운반구2" localSheetId="9">#REF!</definedName>
    <definedName name="차량운반구2" localSheetId="4">#REF!</definedName>
    <definedName name="차량운반구2" localSheetId="3">#REF!</definedName>
    <definedName name="차량운반구2" localSheetId="5">#REF!</definedName>
    <definedName name="차량운반구2">#REF!</definedName>
    <definedName name="차변">#REF!</definedName>
    <definedName name="차변월계">#REF!</definedName>
    <definedName name="참조">#REF!</definedName>
    <definedName name="참조1">#REF!</definedName>
    <definedName name="첨부0">#REF!</definedName>
    <definedName name="청구서인쇄영역">#REF!</definedName>
    <definedName name="총경비">#REF!</definedName>
    <definedName name="총괄" localSheetId="9">#REF!</definedName>
    <definedName name="총괄" localSheetId="4">#REF!</definedName>
    <definedName name="총괄" localSheetId="3">#REF!</definedName>
    <definedName name="총괄" localSheetId="5">#REF!</definedName>
    <definedName name="총괄">#REF!</definedName>
    <definedName name="총괄2" localSheetId="9">#REF!</definedName>
    <definedName name="총괄2" localSheetId="4">#REF!</definedName>
    <definedName name="총괄2" localSheetId="3">#REF!</definedName>
    <definedName name="총괄2" localSheetId="5">#REF!</definedName>
    <definedName name="총괄2">#REF!</definedName>
    <definedName name="최종">#REF!</definedName>
    <definedName name="ㅋㅋㅋㅋ" hidden="1">{"'기타소득'!$A$3:$D$9"}</definedName>
    <definedName name="캐드최종">INDEX(#REF!,MATCH(#REF!,#REF!,0))</definedName>
    <definedName name="ㅌ">#REF!</definedName>
    <definedName name="ㅌㅇㅍㅊㅍㅎ" hidden="1">{#N/A,#N/A,FALSE,"96 3월물량표";#N/A,#N/A,FALSE,"96 4월물량표";#N/A,#N/A,FALSE,"96 5월물량표"}</definedName>
    <definedName name="퇴1">#REF!</definedName>
    <definedName name="퇴10">#REF!</definedName>
    <definedName name="퇴11">#REF!</definedName>
    <definedName name="퇴12">#REF!</definedName>
    <definedName name="퇴2">#REF!</definedName>
    <definedName name="퇴3">#REF!</definedName>
    <definedName name="퇴4">#REF!</definedName>
    <definedName name="퇴5">#REF!</definedName>
    <definedName name="퇴6">#REF!</definedName>
    <definedName name="퇴7">#REF!</definedName>
    <definedName name="퇴8">#REF!</definedName>
    <definedName name="퇴9">#REF!</definedName>
    <definedName name="퇴사">#REF!</definedName>
    <definedName name="퇴직">#REF!</definedName>
    <definedName name="퇴직10월">#REF!</definedName>
    <definedName name="퇴직11월">#REF!</definedName>
    <definedName name="퇴직12월">#REF!</definedName>
    <definedName name="퇴직3월">#REF!</definedName>
    <definedName name="퇴직4월">#REF!</definedName>
    <definedName name="퇴직5월">#REF!</definedName>
    <definedName name="퇴직6월">#REF!</definedName>
    <definedName name="퇴직7월">#REF!</definedName>
    <definedName name="퇴직8월">#REF!</definedName>
    <definedName name="퇴직9월">#REF!</definedName>
    <definedName name="평균값" hidden="1">{#N/A,#N/A,FALSE,"95FW"}</definedName>
    <definedName name="표4">#REF!</definedName>
    <definedName name="플래닝">#REF!</definedName>
    <definedName name="ㅎ">#REF!</definedName>
    <definedName name="ㅎㅇㅁ" hidden="1">{#N/A,#N/A,FALSE,"95FW"}</definedName>
    <definedName name="ㅎㅎㅎ">#REF!</definedName>
    <definedName name="하하" localSheetId="9">#REF!</definedName>
    <definedName name="하하" localSheetId="4">#REF!</definedName>
    <definedName name="하하" localSheetId="3">#REF!</definedName>
    <definedName name="하하" localSheetId="5">#REF!</definedName>
    <definedName name="하하">#REF!</definedName>
    <definedName name="항주은태">#REF!</definedName>
    <definedName name="허쇼ㅏ" hidden="1">{#N/A,#N/A,TRUE,"Y생산";#N/A,#N/A,TRUE,"Y판매";#N/A,#N/A,TRUE,"Y총물량";#N/A,#N/A,TRUE,"Y능력";#N/A,#N/A,TRUE,"YKD"}</definedName>
    <definedName name="허ㅇㄻㄹ" hidden="1">{#N/A,#N/A,TRUE,"Y생산";#N/A,#N/A,TRUE,"Y판매";#N/A,#N/A,TRUE,"Y총물량";#N/A,#N/A,TRUE,"Y능력";#N/A,#N/A,TRUE,"YKD"}</definedName>
    <definedName name="현호봉">#REF!</definedName>
    <definedName name="호봉표">#REF!</definedName>
    <definedName name="호봉표1">#REF!</definedName>
    <definedName name="호호" localSheetId="9">#REF!</definedName>
    <definedName name="호호" localSheetId="4">#REF!</definedName>
    <definedName name="호호" localSheetId="3">#REF!</definedName>
    <definedName name="호호" localSheetId="5">#REF!</definedName>
    <definedName name="호호">#REF!</definedName>
    <definedName name="호ㅓ">#REF!</definedName>
    <definedName name="호ㅓ쇼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환율표">#REF!</definedName>
    <definedName name="환평가">#REF!</definedName>
    <definedName name="휴일">#REF!</definedName>
    <definedName name="휴ㅗㅗㅛ" hidden="1">{#VALUE!,#N/A,FALSE,0;#N/A,#N/A,FALSE,0;#N/A,#N/A,FALSE,0;#N/A,#N/A,FALSE,0;#N/A,#N/A,FALSE,0;#N/A,#N/A,FALSE,0;#N/A,#N/A,FALSE,0;#N/A,#N/A,FALSE,0;#N/A,#N/A,FALSE,0}</definedName>
    <definedName name="흐흐" localSheetId="9">#REF!</definedName>
    <definedName name="흐흐" localSheetId="4">#REF!</definedName>
    <definedName name="흐흐" localSheetId="3">#REF!</definedName>
    <definedName name="흐흐" localSheetId="5">#REF!</definedName>
    <definedName name="흐흐">#REF!</definedName>
    <definedName name="히히" localSheetId="9">#REF!</definedName>
    <definedName name="히히" localSheetId="4">#REF!</definedName>
    <definedName name="히히" localSheetId="3">#REF!</definedName>
    <definedName name="히히" localSheetId="5">#REF!</definedName>
    <definedName name="히히">#REF!</definedName>
    <definedName name="ㅏ">#REF!</definedName>
    <definedName name="ㅏㄴ알" hidden="1">{#N/A,#N/A,FALSE,"단축1";#N/A,#N/A,FALSE,"단축2";#N/A,#N/A,FALSE,"단축3";#N/A,#N/A,FALSE,"장축";#N/A,#N/A,FALSE,"4WD"}</definedName>
    <definedName name="ㅏㅏㅏ" hidden="1">{#N/A,#N/A,FALSE,"단축1";#N/A,#N/A,FALSE,"단축2";#N/A,#N/A,FALSE,"단축3";#N/A,#N/A,FALSE,"장축";#N/A,#N/A,FALSE,"4WD"}</definedName>
    <definedName name="ㅐ">#REF!</definedName>
    <definedName name="ㅓ">#REF!</definedName>
    <definedName name="ㅓㅕㅓ" localSheetId="9">#REF!</definedName>
    <definedName name="ㅓㅕㅓ" localSheetId="4">#REF!</definedName>
    <definedName name="ㅓㅕㅓ" localSheetId="3">#REF!</definedName>
    <definedName name="ㅓㅕㅓ" localSheetId="5">#REF!</definedName>
    <definedName name="ㅓㅕㅓ">#REF!</definedName>
    <definedName name="ㅔ">#REF!</definedName>
    <definedName name="ㅗ">#REF!</definedName>
    <definedName name="ㅗㅓㅛㅓㅕ" localSheetId="9">#REF!</definedName>
    <definedName name="ㅗㅓㅛㅓㅕ" localSheetId="4">#REF!</definedName>
    <definedName name="ㅗㅓㅛㅓㅕ" localSheetId="3">#REF!</definedName>
    <definedName name="ㅗㅓㅛㅓㅕ" localSheetId="5">#REF!</definedName>
    <definedName name="ㅗㅓㅛㅓㅕ">#REF!</definedName>
    <definedName name="ㅛㅑㅛㅕㅑ7" hidden="1">{#N/A,#N/A,FALSE,"96 3월물량표";#N/A,#N/A,FALSE,"96 4월물량표";#N/A,#N/A,FALSE,"96 5월물량표"}</definedName>
    <definedName name="ㅜ">#REF!</definedName>
    <definedName name="ㅠ">#REF!</definedName>
    <definedName name="ㅣ">#REF!</definedName>
    <definedName name="ㅣㅏ">#REF!</definedName>
    <definedName name="ㅣㅣㅣ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3" i="1" l="1"/>
  <c r="P53" i="1" s="1"/>
  <c r="W52" i="1"/>
  <c r="W51" i="1" s="1"/>
  <c r="P51" i="1" s="1"/>
  <c r="W50" i="1"/>
  <c r="P50" i="1" s="1"/>
  <c r="W49" i="1"/>
  <c r="P49" i="1" s="1"/>
  <c r="W48" i="1"/>
  <c r="P48" i="1" s="1"/>
  <c r="W46" i="1"/>
  <c r="W45" i="1"/>
  <c r="P45" i="1" s="1"/>
  <c r="W41" i="1"/>
  <c r="P41" i="1" s="1"/>
  <c r="W40" i="1"/>
  <c r="W39" i="1"/>
  <c r="W38" i="1" s="1"/>
  <c r="P38" i="1" s="1"/>
  <c r="W37" i="1"/>
  <c r="P37" i="1" s="1"/>
  <c r="W36" i="1"/>
  <c r="W35" i="1"/>
  <c r="W33" i="1"/>
  <c r="P33" i="1" s="1"/>
  <c r="W32" i="1"/>
  <c r="W31" i="1" s="1"/>
  <c r="P31" i="1" s="1"/>
  <c r="W12" i="1"/>
  <c r="P12" i="1" s="1"/>
  <c r="W11" i="1"/>
  <c r="W25" i="1" s="1"/>
  <c r="P25" i="1" s="1"/>
  <c r="P54" i="1"/>
  <c r="P46" i="1"/>
  <c r="P42" i="1"/>
  <c r="P40" i="1"/>
  <c r="P36" i="1"/>
  <c r="P29" i="1"/>
  <c r="P28" i="1"/>
  <c r="P20" i="1"/>
  <c r="P15" i="1"/>
  <c r="W23" i="1" l="1"/>
  <c r="P23" i="1" s="1"/>
  <c r="W47" i="1"/>
  <c r="P47" i="1" s="1"/>
  <c r="P52" i="1"/>
  <c r="W44" i="1"/>
  <c r="P44" i="1" s="1"/>
  <c r="W10" i="1"/>
  <c r="P10" i="1" s="1"/>
  <c r="W27" i="1"/>
  <c r="P27" i="1" s="1"/>
  <c r="W26" i="1"/>
  <c r="P26" i="1" s="1"/>
  <c r="P39" i="1"/>
  <c r="W34" i="1"/>
  <c r="P34" i="1" s="1"/>
  <c r="P35" i="1"/>
  <c r="W19" i="1"/>
  <c r="P19" i="1" s="1"/>
  <c r="W13" i="1"/>
  <c r="P13" i="1" s="1"/>
  <c r="P32" i="1"/>
  <c r="W9" i="1"/>
  <c r="P9" i="1" s="1"/>
  <c r="P11" i="1"/>
  <c r="W8" i="1"/>
  <c r="W43" i="1"/>
  <c r="P43" i="1" s="1"/>
  <c r="W24" i="1"/>
  <c r="P24" i="1" s="1"/>
  <c r="W18" i="1"/>
  <c r="P18" i="1" s="1"/>
  <c r="W22" i="1"/>
  <c r="P22" i="1" s="1"/>
  <c r="W17" i="1"/>
  <c r="P17" i="1" s="1"/>
  <c r="W30" i="1"/>
  <c r="P30" i="1" s="1"/>
  <c r="W7" i="1" l="1"/>
  <c r="P7" i="1" s="1"/>
  <c r="P8" i="1"/>
  <c r="W14" i="1"/>
  <c r="P14" i="1" s="1"/>
  <c r="W21" i="1"/>
  <c r="P21" i="1" s="1"/>
  <c r="W16" i="1"/>
  <c r="P16" i="1" s="1"/>
  <c r="Y1" i="4" l="1"/>
  <c r="H23" i="1" l="1"/>
  <c r="H9" i="1" l="1"/>
  <c r="BG72" i="10"/>
  <c r="BG71" i="10"/>
  <c r="BG70" i="10"/>
  <c r="BG69" i="10"/>
  <c r="BG68" i="10"/>
  <c r="BG67" i="10"/>
  <c r="BG66" i="10"/>
  <c r="BG65" i="10"/>
  <c r="BG64" i="10"/>
  <c r="BG63" i="10"/>
  <c r="BG62" i="10"/>
  <c r="BG61" i="10"/>
  <c r="BG60" i="10"/>
  <c r="BG59" i="10"/>
  <c r="BG58" i="10"/>
  <c r="BG57" i="10"/>
  <c r="BG56" i="10"/>
  <c r="BG55" i="10"/>
  <c r="BG54" i="10"/>
  <c r="BG53" i="10"/>
  <c r="BG52" i="10"/>
  <c r="BG51" i="10"/>
  <c r="BG50" i="10"/>
  <c r="BG49" i="10"/>
  <c r="BG48" i="10"/>
  <c r="BG47" i="10"/>
  <c r="BG46" i="10"/>
  <c r="BG45" i="10"/>
  <c r="BG44" i="10"/>
  <c r="BG43" i="10"/>
  <c r="BG42" i="10"/>
  <c r="BG41" i="10"/>
  <c r="BG40" i="10"/>
  <c r="BG39" i="10"/>
  <c r="BG38" i="10"/>
  <c r="BG37" i="10"/>
  <c r="BG36" i="10"/>
  <c r="BG35" i="10"/>
  <c r="BG34" i="10"/>
  <c r="BG33" i="10"/>
  <c r="BG32" i="10"/>
  <c r="BG31" i="10"/>
  <c r="BG30" i="10"/>
  <c r="BG29" i="10"/>
  <c r="BG28" i="10"/>
  <c r="BG27" i="10"/>
  <c r="BG26" i="10"/>
  <c r="BG25" i="10"/>
  <c r="BG24" i="10"/>
  <c r="BG23" i="10"/>
  <c r="BG22" i="10"/>
  <c r="BG21" i="10"/>
  <c r="BG20" i="10"/>
  <c r="BG19" i="10"/>
  <c r="BG18" i="10"/>
  <c r="BG17" i="10"/>
  <c r="BG16" i="10"/>
  <c r="BG15" i="10"/>
  <c r="BG14" i="10"/>
  <c r="BG13" i="10"/>
  <c r="BG12" i="10"/>
  <c r="BG11" i="10"/>
  <c r="BG10" i="10"/>
  <c r="BG9" i="10"/>
  <c r="BG8" i="10"/>
  <c r="BG7" i="10"/>
  <c r="BG6" i="10"/>
  <c r="BD211" i="8"/>
  <c r="BD210" i="8"/>
  <c r="BD209" i="8"/>
  <c r="BD208" i="8"/>
  <c r="BD207" i="8"/>
  <c r="BD206" i="8"/>
  <c r="BD205" i="8"/>
  <c r="BD204" i="8"/>
  <c r="BD203" i="8"/>
  <c r="BD202" i="8"/>
  <c r="BD201" i="8"/>
  <c r="BD200" i="8"/>
  <c r="BD199" i="8"/>
  <c r="BD198" i="8"/>
  <c r="BD197" i="8"/>
  <c r="BD196" i="8"/>
  <c r="BD195" i="8"/>
  <c r="BD194" i="8"/>
  <c r="BD193" i="8"/>
  <c r="BD192" i="8"/>
  <c r="BD191" i="8"/>
  <c r="BD190" i="8"/>
  <c r="BD189" i="8"/>
  <c r="BD188" i="8"/>
  <c r="BD187" i="8"/>
  <c r="BD186" i="8"/>
  <c r="BD185" i="8"/>
  <c r="BD184" i="8"/>
  <c r="BD183" i="8"/>
  <c r="BD182" i="8"/>
  <c r="BD181" i="8"/>
  <c r="BD180" i="8"/>
  <c r="BD179" i="8"/>
  <c r="BD178" i="8"/>
  <c r="BD177" i="8"/>
  <c r="BD176" i="8"/>
  <c r="BD175" i="8"/>
  <c r="BD174" i="8"/>
  <c r="BD173" i="8"/>
  <c r="BD172" i="8"/>
  <c r="BD171" i="8"/>
  <c r="BD170" i="8"/>
  <c r="BD169" i="8"/>
  <c r="BD168" i="8"/>
  <c r="BD167" i="8"/>
  <c r="BD166" i="8"/>
  <c r="BD165" i="8"/>
  <c r="BD164" i="8"/>
  <c r="BD163" i="8"/>
  <c r="BD162" i="8"/>
  <c r="BD161" i="8"/>
  <c r="BD160" i="8"/>
  <c r="BD159" i="8"/>
  <c r="BD158" i="8"/>
  <c r="BD157" i="8"/>
  <c r="BD156" i="8"/>
  <c r="BD155" i="8"/>
  <c r="BD154" i="8"/>
  <c r="BD153" i="8"/>
  <c r="BD152" i="8"/>
  <c r="BD151" i="8"/>
  <c r="BD150" i="8"/>
  <c r="BD149" i="8"/>
  <c r="BD148" i="8"/>
  <c r="BD147" i="8"/>
  <c r="BD146" i="8"/>
  <c r="BD145" i="8"/>
  <c r="BD144" i="8"/>
  <c r="BD143" i="8"/>
  <c r="BD142" i="8"/>
  <c r="BD141" i="8"/>
  <c r="BD140" i="8"/>
  <c r="BD139" i="8"/>
  <c r="BD138" i="8"/>
  <c r="BD137" i="8"/>
  <c r="BD136" i="8"/>
  <c r="BD135" i="8"/>
  <c r="BD134" i="8"/>
  <c r="BD133" i="8"/>
  <c r="BD132" i="8"/>
  <c r="BD131" i="8"/>
  <c r="BD130" i="8"/>
  <c r="BD129" i="8"/>
  <c r="BD128" i="8"/>
  <c r="BD127" i="8"/>
  <c r="BD126" i="8"/>
  <c r="BD125" i="8"/>
  <c r="BD124" i="8"/>
  <c r="BD123" i="8"/>
  <c r="BD122" i="8"/>
  <c r="BD121" i="8"/>
  <c r="BD120" i="8"/>
  <c r="BD119" i="8"/>
  <c r="BD118" i="8"/>
  <c r="BD117" i="8"/>
  <c r="BD116" i="8"/>
  <c r="BD115" i="8"/>
  <c r="BD114" i="8"/>
  <c r="BD113" i="8"/>
  <c r="BD112" i="8"/>
  <c r="BD111" i="8"/>
  <c r="BD110" i="8"/>
  <c r="BD109" i="8"/>
  <c r="BD108" i="8"/>
  <c r="BD107" i="8"/>
  <c r="BD106" i="8"/>
  <c r="BD105" i="8"/>
  <c r="BD104" i="8"/>
  <c r="BD103" i="8"/>
  <c r="BD102" i="8"/>
  <c r="BD101" i="8"/>
  <c r="BD100" i="8"/>
  <c r="BD99" i="8"/>
  <c r="BD98" i="8"/>
  <c r="BD97" i="8"/>
  <c r="BD96" i="8"/>
  <c r="BD95" i="8"/>
  <c r="BD94" i="8"/>
  <c r="BD93" i="8"/>
  <c r="BD92" i="8"/>
  <c r="BD91" i="8"/>
  <c r="BD90" i="8"/>
  <c r="BD89" i="8"/>
  <c r="BD88" i="8"/>
  <c r="BD87" i="8"/>
  <c r="BD86" i="8"/>
  <c r="BD85" i="8"/>
  <c r="BD84" i="8"/>
  <c r="BD83" i="8"/>
  <c r="BD82" i="8"/>
  <c r="BD81" i="8"/>
  <c r="BD80" i="8"/>
  <c r="BD79" i="8"/>
  <c r="BD78" i="8"/>
  <c r="BD77" i="8"/>
  <c r="BD76" i="8"/>
  <c r="BD75" i="8"/>
  <c r="BD74" i="8"/>
  <c r="BD73" i="8"/>
  <c r="BD72" i="8"/>
  <c r="BD71" i="8"/>
  <c r="BD70" i="8"/>
  <c r="BD69" i="8"/>
  <c r="BD68" i="8"/>
  <c r="BD67" i="8"/>
  <c r="BD66" i="8"/>
  <c r="BD65" i="8"/>
  <c r="BD64" i="8"/>
  <c r="BD63" i="8"/>
  <c r="BD62" i="8"/>
  <c r="BD61" i="8"/>
  <c r="BD60" i="8"/>
  <c r="BD59" i="8"/>
  <c r="BD58" i="8"/>
  <c r="BD57" i="8"/>
  <c r="BD56" i="8"/>
  <c r="BD55" i="8"/>
  <c r="BD54" i="8"/>
  <c r="BD53" i="8"/>
  <c r="BD52" i="8"/>
  <c r="BD51" i="8"/>
  <c r="BD50" i="8"/>
  <c r="BD49" i="8"/>
  <c r="BD48" i="8"/>
  <c r="BD47" i="8"/>
  <c r="BD46" i="8"/>
  <c r="BD45" i="8"/>
  <c r="BD44" i="8"/>
  <c r="BD43" i="8"/>
  <c r="BD42" i="8"/>
  <c r="BD41" i="8"/>
  <c r="BD40" i="8"/>
  <c r="BD39" i="8"/>
  <c r="BD38" i="8"/>
  <c r="BD37" i="8"/>
  <c r="BD36" i="8"/>
  <c r="BD35" i="8"/>
  <c r="BD34" i="8"/>
  <c r="BD33" i="8"/>
  <c r="BD32" i="8"/>
  <c r="BD31" i="8"/>
  <c r="BD30" i="8"/>
  <c r="BD29" i="8"/>
  <c r="BD28" i="8"/>
  <c r="BD27" i="8"/>
  <c r="BD26" i="8"/>
  <c r="BD25" i="8"/>
  <c r="BD24" i="8"/>
  <c r="BD23" i="8"/>
  <c r="BD22" i="8"/>
  <c r="BD21" i="8"/>
  <c r="BD20" i="8"/>
  <c r="BD19" i="8"/>
  <c r="BD18" i="8"/>
  <c r="BD17" i="8"/>
  <c r="BD16" i="8"/>
  <c r="BD15" i="8"/>
  <c r="BD14" i="8"/>
  <c r="BD13" i="8"/>
  <c r="BD12" i="8"/>
  <c r="BD11" i="8"/>
  <c r="BD10" i="8"/>
  <c r="BD9" i="8"/>
  <c r="BD8" i="8"/>
  <c r="BD7" i="8"/>
  <c r="BB5" i="8" l="1"/>
  <c r="R6" i="8" l="1"/>
  <c r="S6" i="8" s="1"/>
  <c r="T6" i="8" s="1"/>
  <c r="U6" i="8" s="1"/>
  <c r="V6" i="8" s="1"/>
  <c r="W6" i="8" s="1"/>
  <c r="X6" i="8" s="1"/>
  <c r="Y6" i="8" s="1"/>
  <c r="Z6" i="8" s="1"/>
  <c r="AA6" i="8" s="1"/>
  <c r="AB6" i="8" s="1"/>
  <c r="AC6" i="8" s="1"/>
  <c r="AD6" i="8" s="1"/>
  <c r="AE6" i="8" s="1"/>
  <c r="AF6" i="8" s="1"/>
  <c r="AG6" i="8" s="1"/>
  <c r="AH6" i="8" s="1"/>
  <c r="AI6" i="8" s="1"/>
  <c r="AJ6" i="8" s="1"/>
  <c r="AK6" i="8" s="1"/>
  <c r="AL6" i="8" s="1"/>
  <c r="AM6" i="8" s="1"/>
  <c r="AN6" i="8" s="1"/>
  <c r="AO6" i="8" s="1"/>
  <c r="AP6" i="8" s="1"/>
  <c r="AQ6" i="8" s="1"/>
  <c r="AR6" i="8" s="1"/>
  <c r="AS6" i="8" s="1"/>
  <c r="AT6" i="8" s="1"/>
  <c r="Q6" i="8"/>
  <c r="AT5" i="7"/>
  <c r="H27" i="1"/>
  <c r="H26" i="1"/>
  <c r="X10" i="1"/>
  <c r="X9" i="1"/>
  <c r="X27" i="1"/>
  <c r="H47" i="1"/>
  <c r="X34" i="1"/>
  <c r="H34" i="1"/>
  <c r="X25" i="1"/>
  <c r="H25" i="1"/>
  <c r="Z40" i="2" s="1"/>
  <c r="X26" i="1" l="1"/>
  <c r="BA8" i="8" l="1"/>
  <c r="BD5" i="8" l="1"/>
  <c r="U21" i="2"/>
  <c r="U22" i="2"/>
  <c r="U23" i="2"/>
  <c r="U24" i="2"/>
  <c r="U25" i="2"/>
  <c r="U26" i="2"/>
  <c r="U27" i="2"/>
  <c r="X31" i="1" l="1"/>
  <c r="AA38" i="2" l="1"/>
  <c r="X44" i="1" l="1"/>
  <c r="X17" i="1" s="1"/>
  <c r="M1" i="7"/>
  <c r="M1" i="8" s="1"/>
  <c r="Q5" i="7"/>
  <c r="R5" i="7" s="1"/>
  <c r="S5" i="7" s="1"/>
  <c r="T5" i="7" s="1"/>
  <c r="U5" i="7" s="1"/>
  <c r="V5" i="7" s="1"/>
  <c r="W5" i="7" s="1"/>
  <c r="X5" i="7" s="1"/>
  <c r="Y5" i="7" s="1"/>
  <c r="Z5" i="7" s="1"/>
  <c r="AA5" i="7" s="1"/>
  <c r="AB5" i="7" s="1"/>
  <c r="AC5" i="7" s="1"/>
  <c r="AD5" i="7" s="1"/>
  <c r="AE5" i="7" s="1"/>
  <c r="AF5" i="7" s="1"/>
  <c r="AG5" i="7" s="1"/>
  <c r="AH5" i="7" s="1"/>
  <c r="AI5" i="7" s="1"/>
  <c r="AJ5" i="7" s="1"/>
  <c r="AK5" i="7" s="1"/>
  <c r="AL5" i="7" s="1"/>
  <c r="AM5" i="7" s="1"/>
  <c r="AN5" i="7" s="1"/>
  <c r="AO5" i="7" s="1"/>
  <c r="AP5" i="7" s="1"/>
  <c r="AQ5" i="7" s="1"/>
  <c r="AR5" i="7" s="1"/>
  <c r="AS5" i="7" s="1"/>
  <c r="AU1" i="8"/>
  <c r="AV5" i="10" l="1"/>
  <c r="AU5" i="10"/>
  <c r="AT5" i="10"/>
  <c r="AS5" i="10"/>
  <c r="AR5" i="10"/>
  <c r="AQ5" i="10"/>
  <c r="AP5" i="10"/>
  <c r="AO5" i="10"/>
  <c r="AN5" i="10"/>
  <c r="AM5" i="10"/>
  <c r="AL5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Q4" i="10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AV3" i="10" l="1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AV4" i="10" l="1"/>
  <c r="AU4" i="10"/>
  <c r="AT4" i="10"/>
  <c r="AS4" i="10"/>
  <c r="AR4" i="10"/>
  <c r="AQ4" i="10"/>
  <c r="AP4" i="10"/>
  <c r="AO4" i="10"/>
  <c r="AN4" i="10"/>
  <c r="AM4" i="10"/>
  <c r="AL4" i="10"/>
  <c r="AK4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X19" i="1"/>
  <c r="H19" i="1" l="1"/>
  <c r="O40" i="2" s="1"/>
  <c r="M1" i="10"/>
  <c r="AF1945" i="11"/>
  <c r="AF1944" i="11"/>
  <c r="AF1943" i="11"/>
  <c r="AF1942" i="11"/>
  <c r="AF1941" i="11"/>
  <c r="AF1940" i="11"/>
  <c r="AF1939" i="11"/>
  <c r="AF1938" i="11"/>
  <c r="AF1937" i="11"/>
  <c r="AF1936" i="11"/>
  <c r="AF1935" i="11"/>
  <c r="AF1934" i="11"/>
  <c r="AF1933" i="11"/>
  <c r="AF1932" i="11"/>
  <c r="AF1931" i="11"/>
  <c r="AF1930" i="11"/>
  <c r="AF1929" i="11"/>
  <c r="AF1928" i="11"/>
  <c r="AF1927" i="11"/>
  <c r="AF1926" i="11"/>
  <c r="AF1925" i="11"/>
  <c r="AF1924" i="11"/>
  <c r="AF1923" i="11"/>
  <c r="AF1922" i="11"/>
  <c r="AF1921" i="11"/>
  <c r="AF1920" i="11"/>
  <c r="AF1919" i="11"/>
  <c r="AF1918" i="11"/>
  <c r="AF1917" i="11"/>
  <c r="AF1916" i="11"/>
  <c r="AF1915" i="11"/>
  <c r="AF1914" i="11"/>
  <c r="AF1913" i="11"/>
  <c r="AF1912" i="11"/>
  <c r="AF1911" i="11"/>
  <c r="AF1910" i="11"/>
  <c r="AF1909" i="11"/>
  <c r="AF1908" i="11"/>
  <c r="AF1907" i="11"/>
  <c r="AF1906" i="11"/>
  <c r="AF1905" i="11"/>
  <c r="AF1904" i="11"/>
  <c r="AF1903" i="11"/>
  <c r="AF1902" i="11"/>
  <c r="AF1901" i="11"/>
  <c r="AF1900" i="11"/>
  <c r="AF1899" i="11"/>
  <c r="AF1898" i="11"/>
  <c r="AF1897" i="11"/>
  <c r="AF1896" i="11"/>
  <c r="AF1895" i="11"/>
  <c r="AF1894" i="11"/>
  <c r="AF1893" i="11"/>
  <c r="AF1892" i="11"/>
  <c r="AF1891" i="11"/>
  <c r="AF1890" i="11"/>
  <c r="AF1889" i="11"/>
  <c r="AF1888" i="11"/>
  <c r="AF1887" i="11"/>
  <c r="AF1886" i="11"/>
  <c r="AF1885" i="11"/>
  <c r="AF1884" i="11"/>
  <c r="AF1883" i="11"/>
  <c r="AF1882" i="11"/>
  <c r="AF1881" i="11"/>
  <c r="AF1880" i="11"/>
  <c r="AF1879" i="11"/>
  <c r="AF1878" i="11"/>
  <c r="AF1877" i="11"/>
  <c r="AF1876" i="11"/>
  <c r="AF1875" i="11"/>
  <c r="AF1874" i="11"/>
  <c r="AF1873" i="11"/>
  <c r="AF1872" i="11"/>
  <c r="AF1871" i="11"/>
  <c r="AF1870" i="11"/>
  <c r="AF1869" i="11"/>
  <c r="AF1868" i="11"/>
  <c r="AF1867" i="11"/>
  <c r="AF1866" i="11"/>
  <c r="AF1865" i="11"/>
  <c r="AF1864" i="11"/>
  <c r="AF1863" i="11"/>
  <c r="AF1862" i="11"/>
  <c r="AF1861" i="11"/>
  <c r="AF1860" i="11"/>
  <c r="AF1859" i="11"/>
  <c r="AF1858" i="11"/>
  <c r="AF1857" i="11"/>
  <c r="AF1856" i="11"/>
  <c r="AF1855" i="11"/>
  <c r="AF1854" i="11"/>
  <c r="AF1853" i="11"/>
  <c r="AF1852" i="11"/>
  <c r="AF1851" i="11"/>
  <c r="AF1850" i="11"/>
  <c r="AF1849" i="11"/>
  <c r="AF1848" i="11"/>
  <c r="AF1847" i="11"/>
  <c r="AF1846" i="11"/>
  <c r="AF1845" i="11"/>
  <c r="AF1844" i="11"/>
  <c r="AF1843" i="11"/>
  <c r="AF1842" i="11"/>
  <c r="AF1841" i="11"/>
  <c r="AF1840" i="11"/>
  <c r="AF1839" i="11"/>
  <c r="AF1838" i="11"/>
  <c r="AF1837" i="11"/>
  <c r="AF1836" i="11"/>
  <c r="AF1835" i="11"/>
  <c r="AF1834" i="11"/>
  <c r="AF1833" i="11"/>
  <c r="AF1832" i="11"/>
  <c r="AF1831" i="11"/>
  <c r="AF1830" i="11"/>
  <c r="AF1829" i="11"/>
  <c r="AF1828" i="11"/>
  <c r="AF1827" i="11"/>
  <c r="AF1826" i="11"/>
  <c r="AF1825" i="11"/>
  <c r="AF1824" i="11"/>
  <c r="AF1823" i="11"/>
  <c r="AF1822" i="11"/>
  <c r="AF1821" i="11"/>
  <c r="AF1820" i="11"/>
  <c r="AF1819" i="11"/>
  <c r="AF1818" i="11"/>
  <c r="AF1817" i="11"/>
  <c r="AF1816" i="11"/>
  <c r="AF1815" i="11"/>
  <c r="AF1814" i="11"/>
  <c r="AF1813" i="11"/>
  <c r="AF1812" i="11"/>
  <c r="AF1811" i="11"/>
  <c r="AF1810" i="11"/>
  <c r="AF1809" i="11"/>
  <c r="AF1808" i="11"/>
  <c r="AF1807" i="11"/>
  <c r="AF1806" i="11"/>
  <c r="AF1805" i="11"/>
  <c r="AF1804" i="11"/>
  <c r="AF1803" i="11"/>
  <c r="AF1802" i="11"/>
  <c r="AF1801" i="11"/>
  <c r="AF1800" i="11"/>
  <c r="AF1799" i="11"/>
  <c r="AF1798" i="11"/>
  <c r="AF1797" i="11"/>
  <c r="AF1796" i="11"/>
  <c r="AF1795" i="11"/>
  <c r="AF1794" i="11"/>
  <c r="AF1793" i="11"/>
  <c r="AF1792" i="11"/>
  <c r="AF1791" i="11"/>
  <c r="AF1790" i="11"/>
  <c r="AF1789" i="11"/>
  <c r="AF1788" i="11"/>
  <c r="AF1787" i="11"/>
  <c r="AF1786" i="11"/>
  <c r="AF1785" i="11"/>
  <c r="AF1784" i="11"/>
  <c r="AF1783" i="11"/>
  <c r="AF1782" i="11"/>
  <c r="AF1781" i="11"/>
  <c r="AF1780" i="11"/>
  <c r="AF1779" i="11"/>
  <c r="AF1778" i="11"/>
  <c r="AF1777" i="11"/>
  <c r="AF1776" i="11"/>
  <c r="AF1775" i="11"/>
  <c r="AF1774" i="11"/>
  <c r="AF1773" i="11"/>
  <c r="AF1772" i="11"/>
  <c r="AF1771" i="11"/>
  <c r="AF1770" i="11"/>
  <c r="AF1769" i="11"/>
  <c r="AF1768" i="11"/>
  <c r="AF1767" i="11"/>
  <c r="AF1766" i="11"/>
  <c r="AF1765" i="11"/>
  <c r="AF1764" i="11"/>
  <c r="AF1763" i="11"/>
  <c r="AF1762" i="11"/>
  <c r="AF1761" i="11"/>
  <c r="AF1760" i="11"/>
  <c r="AF1759" i="11"/>
  <c r="AF1758" i="11"/>
  <c r="AF1757" i="11"/>
  <c r="AF1756" i="11"/>
  <c r="AF1755" i="11"/>
  <c r="AF1754" i="11"/>
  <c r="AF1753" i="11"/>
  <c r="AF1752" i="11"/>
  <c r="AF1751" i="11"/>
  <c r="AF1750" i="11"/>
  <c r="AF1749" i="11"/>
  <c r="AF1748" i="11"/>
  <c r="AF1747" i="11"/>
  <c r="AF1746" i="11"/>
  <c r="AF1745" i="11"/>
  <c r="AF1744" i="11"/>
  <c r="AF1743" i="11"/>
  <c r="AF1742" i="11"/>
  <c r="AF1741" i="11"/>
  <c r="AF1740" i="11"/>
  <c r="AF1739" i="11"/>
  <c r="AF1738" i="11"/>
  <c r="AF1737" i="11"/>
  <c r="AF1736" i="11"/>
  <c r="AF1735" i="11"/>
  <c r="AF1734" i="11"/>
  <c r="AF1733" i="11"/>
  <c r="AF1732" i="11"/>
  <c r="AF1731" i="11"/>
  <c r="AF1730" i="11"/>
  <c r="AF1729" i="11"/>
  <c r="AF1728" i="11"/>
  <c r="AF1727" i="11"/>
  <c r="AF1726" i="11"/>
  <c r="AF1725" i="11"/>
  <c r="AF1724" i="11"/>
  <c r="AF1723" i="11"/>
  <c r="AF1722" i="11"/>
  <c r="AF1721" i="11"/>
  <c r="AF1720" i="11"/>
  <c r="AF1719" i="11"/>
  <c r="AF1718" i="11"/>
  <c r="AF1717" i="11"/>
  <c r="AF1716" i="11"/>
  <c r="AF1715" i="11"/>
  <c r="AF1714" i="11"/>
  <c r="AF1713" i="11"/>
  <c r="AF1712" i="11"/>
  <c r="AF1711" i="11"/>
  <c r="AF1710" i="11"/>
  <c r="AF1709" i="11"/>
  <c r="AF1708" i="11"/>
  <c r="AF1707" i="11"/>
  <c r="AF1706" i="11"/>
  <c r="AF1705" i="11"/>
  <c r="AF1704" i="11"/>
  <c r="AF1703" i="11"/>
  <c r="AF1702" i="11"/>
  <c r="AF1701" i="11"/>
  <c r="AF1700" i="11"/>
  <c r="AF1699" i="11"/>
  <c r="AF1698" i="11"/>
  <c r="AF1697" i="11"/>
  <c r="AF1696" i="11"/>
  <c r="AF1695" i="11"/>
  <c r="AF1694" i="11"/>
  <c r="AF1693" i="11"/>
  <c r="AF1692" i="11"/>
  <c r="AF1691" i="11"/>
  <c r="AF1690" i="11"/>
  <c r="AF1689" i="11"/>
  <c r="AF1688" i="11"/>
  <c r="AF1687" i="11"/>
  <c r="AF1686" i="11"/>
  <c r="AF1685" i="11"/>
  <c r="AF1684" i="11"/>
  <c r="AF1683" i="11"/>
  <c r="AF1682" i="11"/>
  <c r="AF1681" i="11"/>
  <c r="AF1680" i="11"/>
  <c r="AF1679" i="11"/>
  <c r="AF1678" i="11"/>
  <c r="AF1677" i="11"/>
  <c r="AF1676" i="11"/>
  <c r="AF1675" i="11"/>
  <c r="AF1674" i="11"/>
  <c r="AF1673" i="11"/>
  <c r="AF1672" i="11"/>
  <c r="AF1671" i="11"/>
  <c r="AF1670" i="11"/>
  <c r="AF1669" i="11"/>
  <c r="AF1668" i="11"/>
  <c r="AF1667" i="11"/>
  <c r="AF1666" i="11"/>
  <c r="AF1665" i="11"/>
  <c r="AF1664" i="11"/>
  <c r="AF1663" i="11"/>
  <c r="AF1662" i="11"/>
  <c r="AF1661" i="11"/>
  <c r="AF1660" i="11"/>
  <c r="AF1659" i="11"/>
  <c r="AF1658" i="11"/>
  <c r="AF1657" i="11"/>
  <c r="AF1656" i="11"/>
  <c r="AF1655" i="11"/>
  <c r="AF1654" i="11"/>
  <c r="AF1653" i="11"/>
  <c r="AF1652" i="11"/>
  <c r="AF1651" i="11"/>
  <c r="AF1650" i="11"/>
  <c r="AF1649" i="11"/>
  <c r="AF1648" i="11"/>
  <c r="AF1647" i="11"/>
  <c r="AF1646" i="11"/>
  <c r="AF1645" i="11"/>
  <c r="AF1644" i="11"/>
  <c r="AF1643" i="11"/>
  <c r="AF1642" i="11"/>
  <c r="AF1641" i="11"/>
  <c r="AF1640" i="11"/>
  <c r="AF1639" i="11"/>
  <c r="AF1638" i="11"/>
  <c r="AF1637" i="11"/>
  <c r="AF1636" i="11"/>
  <c r="AF1635" i="11"/>
  <c r="AF1634" i="11"/>
  <c r="AF1633" i="11"/>
  <c r="AF1632" i="11"/>
  <c r="AF1631" i="11"/>
  <c r="AF1630" i="11"/>
  <c r="AF1629" i="11"/>
  <c r="AF1628" i="11"/>
  <c r="AF1627" i="11"/>
  <c r="AF1626" i="11"/>
  <c r="AF1625" i="11"/>
  <c r="AF1624" i="11"/>
  <c r="AF1623" i="11"/>
  <c r="AF1622" i="11"/>
  <c r="AF1621" i="11"/>
  <c r="AF1620" i="11"/>
  <c r="AF1619" i="11"/>
  <c r="AF1618" i="11"/>
  <c r="AF1617" i="11"/>
  <c r="AF1616" i="11"/>
  <c r="AF1615" i="11"/>
  <c r="AF1614" i="11"/>
  <c r="AF1613" i="11"/>
  <c r="AF1612" i="11"/>
  <c r="AF1611" i="11"/>
  <c r="AF1610" i="11"/>
  <c r="AF1609" i="11"/>
  <c r="AF1608" i="11"/>
  <c r="AF1607" i="11"/>
  <c r="AF1606" i="11"/>
  <c r="AF1605" i="11"/>
  <c r="AF1604" i="11"/>
  <c r="AF1603" i="11"/>
  <c r="AF1602" i="11"/>
  <c r="AF1601" i="11"/>
  <c r="AF1600" i="11"/>
  <c r="AF1599" i="11"/>
  <c r="AF1598" i="11"/>
  <c r="AF1597" i="11"/>
  <c r="AF1596" i="11"/>
  <c r="AF1595" i="11"/>
  <c r="AF1594" i="11"/>
  <c r="AF1593" i="11"/>
  <c r="AF1592" i="11"/>
  <c r="AF1591" i="11"/>
  <c r="AF1590" i="11"/>
  <c r="AF1589" i="11"/>
  <c r="AF1588" i="11"/>
  <c r="AF1587" i="11"/>
  <c r="AF1586" i="11"/>
  <c r="AF1585" i="11"/>
  <c r="AF1584" i="11"/>
  <c r="AF1583" i="11"/>
  <c r="AF1582" i="11"/>
  <c r="AF1581" i="11"/>
  <c r="AF1580" i="11"/>
  <c r="AF1579" i="11"/>
  <c r="AF1578" i="11"/>
  <c r="AF1577" i="11"/>
  <c r="AF1576" i="11"/>
  <c r="AF1575" i="11"/>
  <c r="AF1574" i="11"/>
  <c r="AF1573" i="11"/>
  <c r="AF1572" i="11"/>
  <c r="AF1571" i="11"/>
  <c r="AF1570" i="11"/>
  <c r="AF1569" i="11"/>
  <c r="AF1568" i="11"/>
  <c r="AF1567" i="11"/>
  <c r="AF1566" i="11"/>
  <c r="AF1565" i="11"/>
  <c r="AF1564" i="11"/>
  <c r="AF1563" i="11"/>
  <c r="AF1562" i="11"/>
  <c r="AF1561" i="11"/>
  <c r="AF1560" i="11"/>
  <c r="AF1559" i="11"/>
  <c r="AF1558" i="11"/>
  <c r="AF1557" i="11"/>
  <c r="AF1556" i="11"/>
  <c r="AF1555" i="11"/>
  <c r="AF1554" i="11"/>
  <c r="AF1553" i="11"/>
  <c r="AF1552" i="11"/>
  <c r="AF1551" i="11"/>
  <c r="AF1550" i="11"/>
  <c r="AF1549" i="11"/>
  <c r="AF1548" i="11"/>
  <c r="AF1547" i="11"/>
  <c r="AF1546" i="11"/>
  <c r="AF1545" i="11"/>
  <c r="AF1544" i="11"/>
  <c r="AF1543" i="11"/>
  <c r="AF1542" i="11"/>
  <c r="AF1541" i="11"/>
  <c r="AF1540" i="11"/>
  <c r="AF1539" i="11"/>
  <c r="AF1538" i="11"/>
  <c r="AF1537" i="11"/>
  <c r="AF1536" i="11"/>
  <c r="AF1535" i="11"/>
  <c r="AF1534" i="11"/>
  <c r="AF1533" i="11"/>
  <c r="AF1532" i="11"/>
  <c r="AF1531" i="11"/>
  <c r="AF1530" i="11"/>
  <c r="AF1529" i="11"/>
  <c r="AF1528" i="11"/>
  <c r="AF1527" i="11"/>
  <c r="AF1526" i="11"/>
  <c r="AF1525" i="11"/>
  <c r="AF1524" i="11"/>
  <c r="AF1523" i="11"/>
  <c r="AF1522" i="11"/>
  <c r="AF1521" i="11"/>
  <c r="AF1520" i="11"/>
  <c r="AF1519" i="11"/>
  <c r="AF1518" i="11"/>
  <c r="AF1517" i="11"/>
  <c r="AF1516" i="11"/>
  <c r="AF1515" i="11"/>
  <c r="AF1514" i="11"/>
  <c r="AF1513" i="11"/>
  <c r="AF1512" i="11"/>
  <c r="AF1511" i="11"/>
  <c r="AF1510" i="11"/>
  <c r="AF1509" i="11"/>
  <c r="AF1508" i="11"/>
  <c r="AF1507" i="11"/>
  <c r="AF1506" i="11"/>
  <c r="AF1505" i="11"/>
  <c r="AF1504" i="11"/>
  <c r="AF1503" i="11"/>
  <c r="AF1502" i="11"/>
  <c r="AF1501" i="11"/>
  <c r="AF1500" i="11"/>
  <c r="AF1499" i="11"/>
  <c r="AF1498" i="11"/>
  <c r="AF1497" i="11"/>
  <c r="AF1496" i="11"/>
  <c r="AF1495" i="11"/>
  <c r="AF1494" i="11"/>
  <c r="AF1493" i="11"/>
  <c r="AF1492" i="11"/>
  <c r="AF1491" i="11"/>
  <c r="AF1490" i="11"/>
  <c r="AF1489" i="11"/>
  <c r="AF1488" i="11"/>
  <c r="AF1487" i="11"/>
  <c r="AF1486" i="11"/>
  <c r="AF1485" i="11"/>
  <c r="AF1484" i="11"/>
  <c r="AF1483" i="11"/>
  <c r="AF1482" i="11"/>
  <c r="AF1481" i="11"/>
  <c r="AF1480" i="11"/>
  <c r="AF1479" i="11"/>
  <c r="AF1478" i="11"/>
  <c r="AF1477" i="11"/>
  <c r="AF1476" i="11"/>
  <c r="AF1475" i="11"/>
  <c r="AF1474" i="11"/>
  <c r="AF1473" i="11"/>
  <c r="AF1472" i="11"/>
  <c r="AF1471" i="11"/>
  <c r="AF1470" i="11"/>
  <c r="AF1469" i="11"/>
  <c r="AF1468" i="11"/>
  <c r="AF1467" i="11"/>
  <c r="AF1466" i="11"/>
  <c r="AF1465" i="11"/>
  <c r="AF1464" i="11"/>
  <c r="AF1463" i="11"/>
  <c r="AF1462" i="11"/>
  <c r="AF1461" i="11"/>
  <c r="AF1460" i="11"/>
  <c r="AF1459" i="11"/>
  <c r="AF1458" i="11"/>
  <c r="AF1457" i="11"/>
  <c r="AF1456" i="11"/>
  <c r="AF1455" i="11"/>
  <c r="AF1454" i="11"/>
  <c r="AF1453" i="11"/>
  <c r="AF1452" i="11"/>
  <c r="AF1451" i="11"/>
  <c r="AF1450" i="11"/>
  <c r="AF1449" i="11"/>
  <c r="AF1448" i="11"/>
  <c r="AF1447" i="11"/>
  <c r="AF1446" i="11"/>
  <c r="AF1445" i="11"/>
  <c r="AF1444" i="11"/>
  <c r="AF1443" i="11"/>
  <c r="AF1442" i="11"/>
  <c r="AF1441" i="11"/>
  <c r="AF1440" i="11"/>
  <c r="AF1439" i="11"/>
  <c r="AF1438" i="11"/>
  <c r="AF1437" i="11"/>
  <c r="AF1436" i="11"/>
  <c r="AF1435" i="11"/>
  <c r="AF1434" i="11"/>
  <c r="AF1433" i="11"/>
  <c r="AF1432" i="11"/>
  <c r="AF1431" i="11"/>
  <c r="AF1430" i="11"/>
  <c r="AF1429" i="11"/>
  <c r="AF1428" i="11"/>
  <c r="AF1427" i="11"/>
  <c r="AF1426" i="11"/>
  <c r="AF1425" i="11"/>
  <c r="AF1424" i="11"/>
  <c r="AF1423" i="11"/>
  <c r="AF1422" i="11"/>
  <c r="AF1421" i="11"/>
  <c r="AF1420" i="11"/>
  <c r="AF1419" i="11"/>
  <c r="AF1418" i="11"/>
  <c r="AF1417" i="11"/>
  <c r="AF1416" i="11"/>
  <c r="AF1415" i="11"/>
  <c r="AF1414" i="11"/>
  <c r="AF1413" i="11"/>
  <c r="AF1412" i="11"/>
  <c r="AF1411" i="11"/>
  <c r="AF1410" i="11"/>
  <c r="AF1409" i="11"/>
  <c r="AF1408" i="11"/>
  <c r="AF1407" i="11"/>
  <c r="AF1406" i="11"/>
  <c r="AF1405" i="11"/>
  <c r="AF1404" i="11"/>
  <c r="AF1403" i="11"/>
  <c r="AF1402" i="11"/>
  <c r="AF1401" i="11"/>
  <c r="AF1400" i="11"/>
  <c r="AF1399" i="11"/>
  <c r="AF1398" i="11"/>
  <c r="AF1397" i="11"/>
  <c r="AF1396" i="11"/>
  <c r="AF1395" i="11"/>
  <c r="AF1394" i="11"/>
  <c r="AF1393" i="11"/>
  <c r="AF1392" i="11"/>
  <c r="AF1391" i="11"/>
  <c r="AF1390" i="11"/>
  <c r="AF1389" i="11"/>
  <c r="AF1388" i="11"/>
  <c r="AF1387" i="11"/>
  <c r="AF1386" i="11"/>
  <c r="AF1385" i="11"/>
  <c r="AF1384" i="11"/>
  <c r="AF1383" i="11"/>
  <c r="AF1382" i="11"/>
  <c r="AF1381" i="11"/>
  <c r="AF1380" i="11"/>
  <c r="AF1379" i="11"/>
  <c r="AF1378" i="11"/>
  <c r="AF1377" i="11"/>
  <c r="AF1376" i="11"/>
  <c r="AF1375" i="11"/>
  <c r="AF1374" i="11"/>
  <c r="AF1373" i="11"/>
  <c r="AF1372" i="11"/>
  <c r="AF1371" i="11"/>
  <c r="AF1370" i="11"/>
  <c r="AF1369" i="11"/>
  <c r="AF1368" i="11"/>
  <c r="AF1367" i="11"/>
  <c r="AF1366" i="11"/>
  <c r="AF1365" i="11"/>
  <c r="AF1364" i="11"/>
  <c r="AF1363" i="11"/>
  <c r="AF1362" i="11"/>
  <c r="AF1361" i="11"/>
  <c r="AF1360" i="11"/>
  <c r="AF1359" i="11"/>
  <c r="AF1358" i="11"/>
  <c r="AF1357" i="11"/>
  <c r="AF1356" i="11"/>
  <c r="AF1355" i="11"/>
  <c r="AF1354" i="11"/>
  <c r="AF1353" i="11"/>
  <c r="AF1352" i="11"/>
  <c r="AF1351" i="11"/>
  <c r="AF1350" i="11"/>
  <c r="AF1349" i="11"/>
  <c r="AF1348" i="11"/>
  <c r="AF1347" i="11"/>
  <c r="AF1346" i="11"/>
  <c r="AF1345" i="11"/>
  <c r="AF1344" i="11"/>
  <c r="AF1343" i="11"/>
  <c r="AF1342" i="11"/>
  <c r="AF1341" i="11"/>
  <c r="AF1340" i="11"/>
  <c r="AF1339" i="11"/>
  <c r="AF1338" i="11"/>
  <c r="AF1337" i="11"/>
  <c r="AF1336" i="11"/>
  <c r="AF1335" i="11"/>
  <c r="AF1334" i="11"/>
  <c r="AF1333" i="11"/>
  <c r="AF1332" i="11"/>
  <c r="AF1331" i="11"/>
  <c r="AF1330" i="11"/>
  <c r="AF1329" i="11"/>
  <c r="AF1328" i="11"/>
  <c r="AF1327" i="11"/>
  <c r="AF1326" i="11"/>
  <c r="AF1325" i="11"/>
  <c r="AF1324" i="11"/>
  <c r="AF1323" i="11"/>
  <c r="AF1322" i="11"/>
  <c r="AF1321" i="11"/>
  <c r="AF1320" i="11"/>
  <c r="AF1319" i="11"/>
  <c r="AF1318" i="11"/>
  <c r="AF1317" i="11"/>
  <c r="AF1316" i="11"/>
  <c r="AF1315" i="11"/>
  <c r="AF1314" i="11"/>
  <c r="AF1313" i="11"/>
  <c r="AF1312" i="11"/>
  <c r="AF1311" i="11"/>
  <c r="AF1310" i="11"/>
  <c r="AF1309" i="11"/>
  <c r="AF1308" i="11"/>
  <c r="AF1307" i="11"/>
  <c r="AF1306" i="11"/>
  <c r="AF1305" i="11"/>
  <c r="AF1304" i="11"/>
  <c r="AF1303" i="11"/>
  <c r="AF1302" i="11"/>
  <c r="AF1301" i="11"/>
  <c r="AF1300" i="11"/>
  <c r="AF1299" i="11"/>
  <c r="AF1298" i="11"/>
  <c r="AF1297" i="11"/>
  <c r="AF1296" i="11"/>
  <c r="AF1295" i="11"/>
  <c r="AF1294" i="11"/>
  <c r="AF1293" i="11"/>
  <c r="AF1292" i="11"/>
  <c r="AF1291" i="11"/>
  <c r="AF1290" i="11"/>
  <c r="AF1289" i="11"/>
  <c r="AF1288" i="11"/>
  <c r="AF1287" i="11"/>
  <c r="AF1286" i="11"/>
  <c r="AF1285" i="11"/>
  <c r="AF1284" i="11"/>
  <c r="AF1283" i="11"/>
  <c r="AF1282" i="11"/>
  <c r="AF1281" i="11"/>
  <c r="AF1280" i="11"/>
  <c r="AF1279" i="11"/>
  <c r="AF1278" i="11"/>
  <c r="AF1277" i="11"/>
  <c r="AF1276" i="11"/>
  <c r="AF1275" i="11"/>
  <c r="AF1274" i="11"/>
  <c r="AF1273" i="11"/>
  <c r="AF1272" i="11"/>
  <c r="AF1271" i="11"/>
  <c r="AF1270" i="11"/>
  <c r="AF1269" i="11"/>
  <c r="AF1268" i="11"/>
  <c r="AF1267" i="11"/>
  <c r="AF1266" i="11"/>
  <c r="AF1265" i="11"/>
  <c r="AF1264" i="11"/>
  <c r="AF1263" i="11"/>
  <c r="AF1262" i="11"/>
  <c r="AF1261" i="11"/>
  <c r="AF1260" i="11"/>
  <c r="AF1259" i="11"/>
  <c r="AF1258" i="11"/>
  <c r="AF1257" i="11"/>
  <c r="AF1256" i="11"/>
  <c r="AF1255" i="11"/>
  <c r="AF1254" i="11"/>
  <c r="AF1253" i="11"/>
  <c r="AF1252" i="11"/>
  <c r="AF1251" i="11"/>
  <c r="AF1250" i="11"/>
  <c r="AF1249" i="11"/>
  <c r="AF1248" i="11"/>
  <c r="AF1247" i="11"/>
  <c r="AF1246" i="11"/>
  <c r="AF1245" i="11"/>
  <c r="AF1244" i="11"/>
  <c r="AF1243" i="11"/>
  <c r="AF1242" i="11"/>
  <c r="AF1241" i="11"/>
  <c r="AF1240" i="11"/>
  <c r="AF1239" i="11"/>
  <c r="AF1238" i="11"/>
  <c r="AF1237" i="11"/>
  <c r="AF1236" i="11"/>
  <c r="AF1235" i="11"/>
  <c r="AF1234" i="11"/>
  <c r="AF1233" i="11"/>
  <c r="AF1232" i="11"/>
  <c r="AF1231" i="11"/>
  <c r="AF1230" i="11"/>
  <c r="AF1229" i="11"/>
  <c r="AF1228" i="11"/>
  <c r="AF1227" i="11"/>
  <c r="AF1226" i="11"/>
  <c r="AF1225" i="11"/>
  <c r="AF1224" i="11"/>
  <c r="AF1223" i="11"/>
  <c r="AF1222" i="11"/>
  <c r="AF1221" i="11"/>
  <c r="AF1220" i="11"/>
  <c r="AF1219" i="11"/>
  <c r="AF1218" i="11"/>
  <c r="AF1217" i="11"/>
  <c r="AF1216" i="11"/>
  <c r="AF1215" i="11"/>
  <c r="AF1214" i="11"/>
  <c r="AF1213" i="11"/>
  <c r="AF1212" i="11"/>
  <c r="AF1211" i="11"/>
  <c r="AF1210" i="11"/>
  <c r="AF1209" i="11"/>
  <c r="AF1208" i="11"/>
  <c r="AF1207" i="11"/>
  <c r="AF1206" i="11"/>
  <c r="AF1205" i="11"/>
  <c r="AF1204" i="11"/>
  <c r="AF1203" i="11"/>
  <c r="AF1202" i="11"/>
  <c r="AF1201" i="11"/>
  <c r="AF1200" i="11"/>
  <c r="AF1199" i="11"/>
  <c r="AF1198" i="11"/>
  <c r="AF1197" i="11"/>
  <c r="AF1196" i="11"/>
  <c r="AF1195" i="11"/>
  <c r="AF1194" i="11"/>
  <c r="AF1193" i="11"/>
  <c r="AF1192" i="11"/>
  <c r="AF1191" i="11"/>
  <c r="AF1190" i="11"/>
  <c r="AF1189" i="11"/>
  <c r="AF1188" i="11"/>
  <c r="AF1187" i="11"/>
  <c r="AF1186" i="11"/>
  <c r="AF1185" i="11"/>
  <c r="AF1184" i="11"/>
  <c r="AF1183" i="11"/>
  <c r="AF1182" i="11"/>
  <c r="AF1181" i="11"/>
  <c r="AF1180" i="11"/>
  <c r="AF1179" i="11"/>
  <c r="AF1178" i="11"/>
  <c r="AF1177" i="11"/>
  <c r="AF1176" i="11"/>
  <c r="AF1175" i="11"/>
  <c r="AF1174" i="11"/>
  <c r="AF1173" i="11"/>
  <c r="AF1172" i="11"/>
  <c r="AF1171" i="11"/>
  <c r="AF1170" i="11"/>
  <c r="AF1169" i="11"/>
  <c r="AF1168" i="11"/>
  <c r="AF1167" i="11"/>
  <c r="AF1166" i="11"/>
  <c r="AF1165" i="11"/>
  <c r="AF1164" i="11"/>
  <c r="AF1163" i="11"/>
  <c r="AF1162" i="11"/>
  <c r="AF1161" i="11"/>
  <c r="AF1160" i="11"/>
  <c r="AF1159" i="11"/>
  <c r="AF1158" i="11"/>
  <c r="AF1157" i="11"/>
  <c r="AF1156" i="11"/>
  <c r="AF1155" i="11"/>
  <c r="AF1154" i="11"/>
  <c r="AF1153" i="11"/>
  <c r="AF1152" i="11"/>
  <c r="AF1151" i="11"/>
  <c r="AF1150" i="11"/>
  <c r="AF1149" i="11"/>
  <c r="AF1148" i="11"/>
  <c r="AF1147" i="11"/>
  <c r="AF1146" i="11"/>
  <c r="AF1145" i="11"/>
  <c r="AF1144" i="11"/>
  <c r="AF1143" i="11"/>
  <c r="AF1142" i="11"/>
  <c r="AF1141" i="11"/>
  <c r="AF1140" i="11"/>
  <c r="AF1139" i="11"/>
  <c r="AF1138" i="11"/>
  <c r="AF1137" i="11"/>
  <c r="AF1136" i="11"/>
  <c r="AF1135" i="11"/>
  <c r="AF1134" i="11"/>
  <c r="AF1133" i="11"/>
  <c r="AF1132" i="11"/>
  <c r="AF1131" i="11"/>
  <c r="AF1130" i="11"/>
  <c r="AF1129" i="11"/>
  <c r="AF1128" i="11"/>
  <c r="AF1127" i="11"/>
  <c r="AF1126" i="11"/>
  <c r="AF1125" i="11"/>
  <c r="AF1124" i="11"/>
  <c r="AF1123" i="11"/>
  <c r="AF1122" i="11"/>
  <c r="AF1121" i="11"/>
  <c r="AF1120" i="11"/>
  <c r="AF1119" i="11"/>
  <c r="AF1118" i="11"/>
  <c r="AF1117" i="11"/>
  <c r="AF1116" i="11"/>
  <c r="AF1115" i="11"/>
  <c r="AF1114" i="11"/>
  <c r="AF1113" i="11"/>
  <c r="AF1112" i="11"/>
  <c r="AF1111" i="11"/>
  <c r="AF1110" i="11"/>
  <c r="AF1109" i="11"/>
  <c r="AF1108" i="11"/>
  <c r="AF1107" i="11"/>
  <c r="AF1106" i="11"/>
  <c r="AF1105" i="11"/>
  <c r="AF1104" i="11"/>
  <c r="AF1103" i="11"/>
  <c r="AF1102" i="11"/>
  <c r="AF1101" i="11"/>
  <c r="AF1100" i="11"/>
  <c r="AF1099" i="11"/>
  <c r="AF1098" i="11"/>
  <c r="AF1097" i="11"/>
  <c r="AF1096" i="11"/>
  <c r="AF1095" i="11"/>
  <c r="AF1094" i="11"/>
  <c r="AF1093" i="11"/>
  <c r="AF1092" i="11"/>
  <c r="AF1091" i="11"/>
  <c r="AF1090" i="11"/>
  <c r="AF1089" i="11"/>
  <c r="AF1088" i="11"/>
  <c r="AF1087" i="11"/>
  <c r="AF1086" i="11"/>
  <c r="AF1085" i="11"/>
  <c r="AF1084" i="11"/>
  <c r="AF1083" i="11"/>
  <c r="AF1082" i="11"/>
  <c r="AF1081" i="11"/>
  <c r="AF1080" i="11"/>
  <c r="AF1079" i="11"/>
  <c r="AF1078" i="11"/>
  <c r="AF1077" i="11"/>
  <c r="AF1076" i="11"/>
  <c r="AF1075" i="11"/>
  <c r="AF1074" i="11"/>
  <c r="AF1073" i="11"/>
  <c r="AF1072" i="11"/>
  <c r="AF1071" i="11"/>
  <c r="AF1070" i="11"/>
  <c r="AF1069" i="11"/>
  <c r="AF1068" i="11"/>
  <c r="AF1067" i="11"/>
  <c r="AF1066" i="11"/>
  <c r="AF1065" i="11"/>
  <c r="AF1064" i="11"/>
  <c r="AF1063" i="11"/>
  <c r="AF1062" i="11"/>
  <c r="AF1061" i="11"/>
  <c r="AF1060" i="11"/>
  <c r="AF1059" i="11"/>
  <c r="AF1058" i="11"/>
  <c r="AF1057" i="11"/>
  <c r="AF1056" i="11"/>
  <c r="AF1055" i="11"/>
  <c r="AF1054" i="11"/>
  <c r="AF1053" i="11"/>
  <c r="AF1052" i="11"/>
  <c r="AF1051" i="11"/>
  <c r="AF1050" i="11"/>
  <c r="AF1049" i="11"/>
  <c r="AF1048" i="11"/>
  <c r="AF1047" i="11"/>
  <c r="AF1046" i="11"/>
  <c r="AF1045" i="11"/>
  <c r="AF1044" i="11"/>
  <c r="AF1043" i="11"/>
  <c r="AF1042" i="11"/>
  <c r="AF1041" i="11"/>
  <c r="AF1040" i="11"/>
  <c r="AF1039" i="11"/>
  <c r="AF1038" i="11"/>
  <c r="AF1037" i="11"/>
  <c r="AF1036" i="11"/>
  <c r="AF1035" i="11"/>
  <c r="E1035" i="11"/>
  <c r="D1035" i="11"/>
  <c r="C1035" i="11"/>
  <c r="B1035" i="11"/>
  <c r="AF1034" i="11"/>
  <c r="E1034" i="11"/>
  <c r="D1034" i="11"/>
  <c r="C1034" i="11"/>
  <c r="B1034" i="11"/>
  <c r="AF1033" i="11"/>
  <c r="E1033" i="11"/>
  <c r="D1033" i="11"/>
  <c r="C1033" i="11"/>
  <c r="B1033" i="11"/>
  <c r="AF1032" i="11"/>
  <c r="E1032" i="11"/>
  <c r="D1032" i="11"/>
  <c r="C1032" i="11"/>
  <c r="B1032" i="11"/>
  <c r="AF1031" i="11"/>
  <c r="E1031" i="11"/>
  <c r="D1031" i="11"/>
  <c r="C1031" i="11"/>
  <c r="B1031" i="11"/>
  <c r="AF1030" i="11"/>
  <c r="E1030" i="11"/>
  <c r="D1030" i="11"/>
  <c r="C1030" i="11"/>
  <c r="B1030" i="11"/>
  <c r="AF1029" i="11"/>
  <c r="E1029" i="11"/>
  <c r="D1029" i="11"/>
  <c r="C1029" i="11"/>
  <c r="B1029" i="11"/>
  <c r="AF1028" i="11"/>
  <c r="E1028" i="11"/>
  <c r="D1028" i="11"/>
  <c r="C1028" i="11"/>
  <c r="B1028" i="11"/>
  <c r="AF1027" i="11"/>
  <c r="E1027" i="11"/>
  <c r="D1027" i="11"/>
  <c r="C1027" i="11"/>
  <c r="B1027" i="11"/>
  <c r="AF1026" i="11"/>
  <c r="E1026" i="11"/>
  <c r="D1026" i="11"/>
  <c r="C1026" i="11"/>
  <c r="B1026" i="11"/>
  <c r="AF1025" i="11"/>
  <c r="E1025" i="11"/>
  <c r="D1025" i="11"/>
  <c r="C1025" i="11"/>
  <c r="B1025" i="11"/>
  <c r="AF1024" i="11"/>
  <c r="E1024" i="11"/>
  <c r="D1024" i="11"/>
  <c r="C1024" i="11"/>
  <c r="B1024" i="11"/>
  <c r="AF1023" i="11"/>
  <c r="E1023" i="11"/>
  <c r="D1023" i="11"/>
  <c r="C1023" i="11"/>
  <c r="B1023" i="11"/>
  <c r="AF1022" i="11"/>
  <c r="E1022" i="11"/>
  <c r="D1022" i="11"/>
  <c r="C1022" i="11"/>
  <c r="B1022" i="11"/>
  <c r="AF1021" i="11"/>
  <c r="E1021" i="11"/>
  <c r="D1021" i="11"/>
  <c r="C1021" i="11"/>
  <c r="B1021" i="11"/>
  <c r="AF1020" i="11"/>
  <c r="E1020" i="11"/>
  <c r="D1020" i="11"/>
  <c r="C1020" i="11"/>
  <c r="B1020" i="11"/>
  <c r="AF1019" i="11"/>
  <c r="E1019" i="11"/>
  <c r="D1019" i="11"/>
  <c r="C1019" i="11"/>
  <c r="B1019" i="11"/>
  <c r="AF1018" i="11"/>
  <c r="E1018" i="11"/>
  <c r="D1018" i="11"/>
  <c r="C1018" i="11"/>
  <c r="B1018" i="11"/>
  <c r="AF1017" i="11"/>
  <c r="E1017" i="11"/>
  <c r="D1017" i="11"/>
  <c r="C1017" i="11"/>
  <c r="B1017" i="11"/>
  <c r="AF1016" i="11"/>
  <c r="E1016" i="11"/>
  <c r="D1016" i="11"/>
  <c r="C1016" i="11"/>
  <c r="B1016" i="11"/>
  <c r="AF1015" i="11"/>
  <c r="E1015" i="11"/>
  <c r="D1015" i="11"/>
  <c r="C1015" i="11"/>
  <c r="B1015" i="11"/>
  <c r="AF1014" i="11"/>
  <c r="E1014" i="11"/>
  <c r="D1014" i="11"/>
  <c r="C1014" i="11"/>
  <c r="B1014" i="11"/>
  <c r="AF1013" i="11"/>
  <c r="E1013" i="11"/>
  <c r="D1013" i="11"/>
  <c r="C1013" i="11"/>
  <c r="B1013" i="11"/>
  <c r="AF1012" i="11"/>
  <c r="E1012" i="11"/>
  <c r="D1012" i="11"/>
  <c r="C1012" i="11"/>
  <c r="B1012" i="11"/>
  <c r="AF1011" i="11"/>
  <c r="E1011" i="11"/>
  <c r="D1011" i="11"/>
  <c r="C1011" i="11"/>
  <c r="B1011" i="11"/>
  <c r="AF1010" i="11"/>
  <c r="E1010" i="11"/>
  <c r="D1010" i="11"/>
  <c r="C1010" i="11"/>
  <c r="B1010" i="11"/>
  <c r="AF1009" i="11"/>
  <c r="E1009" i="11"/>
  <c r="D1009" i="11"/>
  <c r="C1009" i="11"/>
  <c r="B1009" i="11"/>
  <c r="AF1008" i="11"/>
  <c r="E1008" i="11"/>
  <c r="D1008" i="11"/>
  <c r="C1008" i="11"/>
  <c r="B1008" i="11"/>
  <c r="AF1007" i="11"/>
  <c r="E1007" i="11"/>
  <c r="D1007" i="11"/>
  <c r="C1007" i="11"/>
  <c r="B1007" i="11"/>
  <c r="AF1006" i="11"/>
  <c r="E1006" i="11"/>
  <c r="D1006" i="11"/>
  <c r="C1006" i="11"/>
  <c r="B1006" i="11"/>
  <c r="AF1005" i="11"/>
  <c r="E1005" i="11"/>
  <c r="D1005" i="11"/>
  <c r="C1005" i="11"/>
  <c r="B1005" i="11"/>
  <c r="AF1004" i="11"/>
  <c r="E1004" i="11"/>
  <c r="D1004" i="11"/>
  <c r="C1004" i="11"/>
  <c r="B1004" i="11"/>
  <c r="AF1003" i="11"/>
  <c r="E1003" i="11"/>
  <c r="D1003" i="11"/>
  <c r="C1003" i="11"/>
  <c r="B1003" i="11"/>
  <c r="AF1002" i="11"/>
  <c r="E1002" i="11"/>
  <c r="D1002" i="11"/>
  <c r="C1002" i="11"/>
  <c r="B1002" i="11"/>
  <c r="AF1001" i="11"/>
  <c r="E1001" i="11"/>
  <c r="D1001" i="11"/>
  <c r="C1001" i="11"/>
  <c r="B1001" i="11"/>
  <c r="AF1000" i="11"/>
  <c r="E1000" i="11"/>
  <c r="D1000" i="11"/>
  <c r="C1000" i="11"/>
  <c r="B1000" i="11"/>
  <c r="AF999" i="11"/>
  <c r="E999" i="11"/>
  <c r="D999" i="11"/>
  <c r="C999" i="11"/>
  <c r="B999" i="11"/>
  <c r="AF998" i="11"/>
  <c r="E998" i="11"/>
  <c r="D998" i="11"/>
  <c r="C998" i="11"/>
  <c r="B998" i="11"/>
  <c r="AF997" i="11"/>
  <c r="E997" i="11"/>
  <c r="D997" i="11"/>
  <c r="C997" i="11"/>
  <c r="B997" i="11"/>
  <c r="AF996" i="11"/>
  <c r="E996" i="11"/>
  <c r="D996" i="11"/>
  <c r="C996" i="11"/>
  <c r="B996" i="11"/>
  <c r="AF995" i="11"/>
  <c r="E995" i="11"/>
  <c r="D995" i="11"/>
  <c r="C995" i="11"/>
  <c r="B995" i="11"/>
  <c r="AF994" i="11"/>
  <c r="E994" i="11"/>
  <c r="D994" i="11"/>
  <c r="C994" i="11"/>
  <c r="B994" i="11"/>
  <c r="AF993" i="11"/>
  <c r="E993" i="11"/>
  <c r="D993" i="11"/>
  <c r="C993" i="11"/>
  <c r="B993" i="11"/>
  <c r="AF992" i="11"/>
  <c r="E992" i="11"/>
  <c r="D992" i="11"/>
  <c r="C992" i="11"/>
  <c r="B992" i="11"/>
  <c r="AF991" i="11"/>
  <c r="E991" i="11"/>
  <c r="D991" i="11"/>
  <c r="C991" i="11"/>
  <c r="B991" i="11"/>
  <c r="AF990" i="11"/>
  <c r="E990" i="11"/>
  <c r="D990" i="11"/>
  <c r="C990" i="11"/>
  <c r="B990" i="11"/>
  <c r="AF989" i="11"/>
  <c r="E989" i="11"/>
  <c r="D989" i="11"/>
  <c r="C989" i="11"/>
  <c r="B989" i="11"/>
  <c r="AF988" i="11"/>
  <c r="E988" i="11"/>
  <c r="D988" i="11"/>
  <c r="C988" i="11"/>
  <c r="B988" i="11"/>
  <c r="AF987" i="11"/>
  <c r="E987" i="11"/>
  <c r="D987" i="11"/>
  <c r="C987" i="11"/>
  <c r="B987" i="11"/>
  <c r="AF986" i="11"/>
  <c r="E986" i="11"/>
  <c r="D986" i="11"/>
  <c r="C986" i="11"/>
  <c r="B986" i="11"/>
  <c r="AF985" i="11"/>
  <c r="E985" i="11"/>
  <c r="D985" i="11"/>
  <c r="C985" i="11"/>
  <c r="B985" i="11"/>
  <c r="AF984" i="11"/>
  <c r="E984" i="11"/>
  <c r="D984" i="11"/>
  <c r="C984" i="11"/>
  <c r="B984" i="11"/>
  <c r="AF983" i="11"/>
  <c r="E983" i="11"/>
  <c r="D983" i="11"/>
  <c r="C983" i="11"/>
  <c r="B983" i="11"/>
  <c r="AF982" i="11"/>
  <c r="E982" i="11"/>
  <c r="D982" i="11"/>
  <c r="C982" i="11"/>
  <c r="B982" i="11"/>
  <c r="AF981" i="11"/>
  <c r="E981" i="11"/>
  <c r="D981" i="11"/>
  <c r="C981" i="11"/>
  <c r="B981" i="11"/>
  <c r="AF980" i="11"/>
  <c r="E980" i="11"/>
  <c r="D980" i="11"/>
  <c r="C980" i="11"/>
  <c r="B980" i="11"/>
  <c r="AF979" i="11"/>
  <c r="E979" i="11"/>
  <c r="D979" i="11"/>
  <c r="C979" i="11"/>
  <c r="B979" i="11"/>
  <c r="AF978" i="11"/>
  <c r="E978" i="11"/>
  <c r="D978" i="11"/>
  <c r="C978" i="11"/>
  <c r="B978" i="11"/>
  <c r="AF977" i="11"/>
  <c r="E977" i="11"/>
  <c r="D977" i="11"/>
  <c r="C977" i="11"/>
  <c r="B977" i="11"/>
  <c r="AF976" i="11"/>
  <c r="E976" i="11"/>
  <c r="D976" i="11"/>
  <c r="C976" i="11"/>
  <c r="B976" i="11"/>
  <c r="AF975" i="11"/>
  <c r="E975" i="11"/>
  <c r="D975" i="11"/>
  <c r="C975" i="11"/>
  <c r="B975" i="11"/>
  <c r="AF974" i="11"/>
  <c r="E974" i="11"/>
  <c r="D974" i="11"/>
  <c r="C974" i="11"/>
  <c r="B974" i="11"/>
  <c r="AF973" i="11"/>
  <c r="E973" i="11"/>
  <c r="D973" i="11"/>
  <c r="C973" i="11"/>
  <c r="B973" i="11"/>
  <c r="AF972" i="11"/>
  <c r="E972" i="11"/>
  <c r="D972" i="11"/>
  <c r="C972" i="11"/>
  <c r="B972" i="11"/>
  <c r="AF971" i="11"/>
  <c r="E971" i="11"/>
  <c r="D971" i="11"/>
  <c r="C971" i="11"/>
  <c r="B971" i="11"/>
  <c r="AF970" i="11"/>
  <c r="E970" i="11"/>
  <c r="D970" i="11"/>
  <c r="C970" i="11"/>
  <c r="B970" i="11"/>
  <c r="AF969" i="11"/>
  <c r="E969" i="11"/>
  <c r="D969" i="11"/>
  <c r="C969" i="11"/>
  <c r="B969" i="11"/>
  <c r="AF968" i="11"/>
  <c r="E968" i="11"/>
  <c r="D968" i="11"/>
  <c r="C968" i="11"/>
  <c r="B968" i="11"/>
  <c r="AF967" i="11"/>
  <c r="E967" i="11"/>
  <c r="D967" i="11"/>
  <c r="C967" i="11"/>
  <c r="B967" i="11"/>
  <c r="AF966" i="11"/>
  <c r="E966" i="11"/>
  <c r="D966" i="11"/>
  <c r="C966" i="11"/>
  <c r="B966" i="11"/>
  <c r="AF965" i="11"/>
  <c r="E965" i="11"/>
  <c r="D965" i="11"/>
  <c r="C965" i="11"/>
  <c r="B965" i="11"/>
  <c r="AF964" i="11"/>
  <c r="E964" i="11"/>
  <c r="D964" i="11"/>
  <c r="C964" i="11"/>
  <c r="B964" i="11"/>
  <c r="AF963" i="11"/>
  <c r="E963" i="11"/>
  <c r="D963" i="11"/>
  <c r="C963" i="11"/>
  <c r="B963" i="11"/>
  <c r="AF962" i="11"/>
  <c r="E962" i="11"/>
  <c r="D962" i="11"/>
  <c r="C962" i="11"/>
  <c r="B962" i="11"/>
  <c r="AF961" i="11"/>
  <c r="E961" i="11"/>
  <c r="D961" i="11"/>
  <c r="C961" i="11"/>
  <c r="B961" i="11"/>
  <c r="AF960" i="11"/>
  <c r="E960" i="11"/>
  <c r="D960" i="11"/>
  <c r="C960" i="11"/>
  <c r="B960" i="11"/>
  <c r="AF959" i="11"/>
  <c r="E959" i="11"/>
  <c r="D959" i="11"/>
  <c r="C959" i="11"/>
  <c r="B959" i="11"/>
  <c r="AF958" i="11"/>
  <c r="E958" i="11"/>
  <c r="D958" i="11"/>
  <c r="C958" i="11"/>
  <c r="B958" i="11"/>
  <c r="AF957" i="11"/>
  <c r="E957" i="11"/>
  <c r="D957" i="11"/>
  <c r="C957" i="11"/>
  <c r="B957" i="11"/>
  <c r="AF956" i="11"/>
  <c r="E956" i="11"/>
  <c r="D956" i="11"/>
  <c r="C956" i="11"/>
  <c r="B956" i="11"/>
  <c r="AF955" i="11"/>
  <c r="E955" i="11"/>
  <c r="D955" i="11"/>
  <c r="C955" i="11"/>
  <c r="B955" i="11"/>
  <c r="AF954" i="11"/>
  <c r="E954" i="11"/>
  <c r="D954" i="11"/>
  <c r="C954" i="11"/>
  <c r="B954" i="11"/>
  <c r="AF953" i="11"/>
  <c r="E953" i="11"/>
  <c r="D953" i="11"/>
  <c r="C953" i="11"/>
  <c r="B953" i="11"/>
  <c r="AF952" i="11"/>
  <c r="E952" i="11"/>
  <c r="D952" i="11"/>
  <c r="C952" i="11"/>
  <c r="B952" i="11"/>
  <c r="AF951" i="11"/>
  <c r="E951" i="11"/>
  <c r="D951" i="11"/>
  <c r="C951" i="11"/>
  <c r="B951" i="11"/>
  <c r="AF950" i="11"/>
  <c r="E950" i="11"/>
  <c r="D950" i="11"/>
  <c r="C950" i="11"/>
  <c r="B950" i="11"/>
  <c r="AF949" i="11"/>
  <c r="E949" i="11"/>
  <c r="D949" i="11"/>
  <c r="C949" i="11"/>
  <c r="B949" i="11"/>
  <c r="AF948" i="11"/>
  <c r="E948" i="11"/>
  <c r="D948" i="11"/>
  <c r="C948" i="11"/>
  <c r="B948" i="11"/>
  <c r="AF947" i="11"/>
  <c r="E947" i="11"/>
  <c r="D947" i="11"/>
  <c r="C947" i="11"/>
  <c r="B947" i="11"/>
  <c r="AF946" i="11"/>
  <c r="E946" i="11"/>
  <c r="D946" i="11"/>
  <c r="C946" i="11"/>
  <c r="B946" i="11"/>
  <c r="AF945" i="11"/>
  <c r="E945" i="11"/>
  <c r="D945" i="11"/>
  <c r="C945" i="11"/>
  <c r="B945" i="11"/>
  <c r="AF944" i="11"/>
  <c r="E944" i="11"/>
  <c r="D944" i="11"/>
  <c r="C944" i="11"/>
  <c r="B944" i="11"/>
  <c r="AF943" i="11"/>
  <c r="E943" i="11"/>
  <c r="D943" i="11"/>
  <c r="C943" i="11"/>
  <c r="B943" i="11"/>
  <c r="AF942" i="11"/>
  <c r="E942" i="11"/>
  <c r="D942" i="11"/>
  <c r="C942" i="11"/>
  <c r="B942" i="11"/>
  <c r="AF941" i="11"/>
  <c r="E941" i="11"/>
  <c r="D941" i="11"/>
  <c r="C941" i="11"/>
  <c r="B941" i="11"/>
  <c r="AF940" i="11"/>
  <c r="E940" i="11"/>
  <c r="D940" i="11"/>
  <c r="C940" i="11"/>
  <c r="B940" i="11"/>
  <c r="AF939" i="11"/>
  <c r="E939" i="11"/>
  <c r="D939" i="11"/>
  <c r="C939" i="11"/>
  <c r="B939" i="11"/>
  <c r="AF938" i="11"/>
  <c r="E938" i="11"/>
  <c r="D938" i="11"/>
  <c r="C938" i="11"/>
  <c r="B938" i="11"/>
  <c r="AF937" i="11"/>
  <c r="E937" i="11"/>
  <c r="D937" i="11"/>
  <c r="C937" i="11"/>
  <c r="B937" i="11"/>
  <c r="AF936" i="11"/>
  <c r="E936" i="11"/>
  <c r="D936" i="11"/>
  <c r="C936" i="11"/>
  <c r="B936" i="11"/>
  <c r="AF935" i="11"/>
  <c r="E935" i="11"/>
  <c r="D935" i="11"/>
  <c r="C935" i="11"/>
  <c r="B935" i="11"/>
  <c r="AF934" i="11"/>
  <c r="E934" i="11"/>
  <c r="D934" i="11"/>
  <c r="C934" i="11"/>
  <c r="B934" i="11"/>
  <c r="AF933" i="11"/>
  <c r="E933" i="11"/>
  <c r="D933" i="11"/>
  <c r="C933" i="11"/>
  <c r="B933" i="11"/>
  <c r="AF932" i="11"/>
  <c r="E932" i="11"/>
  <c r="D932" i="11"/>
  <c r="C932" i="11"/>
  <c r="B932" i="11"/>
  <c r="AF931" i="11"/>
  <c r="E931" i="11"/>
  <c r="D931" i="11"/>
  <c r="C931" i="11"/>
  <c r="B931" i="11"/>
  <c r="AF930" i="11"/>
  <c r="E930" i="11"/>
  <c r="D930" i="11"/>
  <c r="C930" i="11"/>
  <c r="B930" i="11"/>
  <c r="AF929" i="11"/>
  <c r="E929" i="11"/>
  <c r="D929" i="11"/>
  <c r="C929" i="11"/>
  <c r="B929" i="11"/>
  <c r="AF928" i="11"/>
  <c r="E928" i="11"/>
  <c r="D928" i="11"/>
  <c r="C928" i="11"/>
  <c r="B928" i="11"/>
  <c r="AF927" i="11"/>
  <c r="E927" i="11"/>
  <c r="D927" i="11"/>
  <c r="C927" i="11"/>
  <c r="B927" i="11"/>
  <c r="AF926" i="11"/>
  <c r="E926" i="11"/>
  <c r="D926" i="11"/>
  <c r="C926" i="11"/>
  <c r="B926" i="11"/>
  <c r="AF925" i="11"/>
  <c r="E925" i="11"/>
  <c r="D925" i="11"/>
  <c r="C925" i="11"/>
  <c r="B925" i="11"/>
  <c r="AF924" i="11"/>
  <c r="E924" i="11"/>
  <c r="D924" i="11"/>
  <c r="C924" i="11"/>
  <c r="B924" i="11"/>
  <c r="AF923" i="11"/>
  <c r="E923" i="11"/>
  <c r="D923" i="11"/>
  <c r="C923" i="11"/>
  <c r="B923" i="11"/>
  <c r="AF922" i="11"/>
  <c r="E922" i="11"/>
  <c r="D922" i="11"/>
  <c r="C922" i="11"/>
  <c r="B922" i="11"/>
  <c r="AF921" i="11"/>
  <c r="E921" i="11"/>
  <c r="D921" i="11"/>
  <c r="C921" i="11"/>
  <c r="B921" i="11"/>
  <c r="AF920" i="11"/>
  <c r="E920" i="11"/>
  <c r="D920" i="11"/>
  <c r="C920" i="11"/>
  <c r="B920" i="11"/>
  <c r="AF919" i="11"/>
  <c r="E919" i="11"/>
  <c r="D919" i="11"/>
  <c r="C919" i="11"/>
  <c r="B919" i="11"/>
  <c r="AF918" i="11"/>
  <c r="E918" i="11"/>
  <c r="D918" i="11"/>
  <c r="C918" i="11"/>
  <c r="B918" i="11"/>
  <c r="AF917" i="11"/>
  <c r="E917" i="11"/>
  <c r="D917" i="11"/>
  <c r="C917" i="11"/>
  <c r="B917" i="11"/>
  <c r="AF916" i="11"/>
  <c r="E916" i="11"/>
  <c r="D916" i="11"/>
  <c r="C916" i="11"/>
  <c r="B916" i="11"/>
  <c r="AF915" i="11"/>
  <c r="E915" i="11"/>
  <c r="D915" i="11"/>
  <c r="C915" i="11"/>
  <c r="B915" i="11"/>
  <c r="AF914" i="11"/>
  <c r="E914" i="11"/>
  <c r="D914" i="11"/>
  <c r="C914" i="11"/>
  <c r="B914" i="11"/>
  <c r="AF913" i="11"/>
  <c r="E913" i="11"/>
  <c r="D913" i="11"/>
  <c r="C913" i="11"/>
  <c r="B913" i="11"/>
  <c r="AF912" i="11"/>
  <c r="E912" i="11"/>
  <c r="D912" i="11"/>
  <c r="C912" i="11"/>
  <c r="B912" i="11"/>
  <c r="AF911" i="11"/>
  <c r="E911" i="11"/>
  <c r="D911" i="11"/>
  <c r="C911" i="11"/>
  <c r="B911" i="11"/>
  <c r="AF910" i="11"/>
  <c r="E910" i="11"/>
  <c r="D910" i="11"/>
  <c r="C910" i="11"/>
  <c r="B910" i="11"/>
  <c r="AF909" i="11"/>
  <c r="E909" i="11"/>
  <c r="D909" i="11"/>
  <c r="C909" i="11"/>
  <c r="B909" i="11"/>
  <c r="AF908" i="11"/>
  <c r="E908" i="11"/>
  <c r="D908" i="11"/>
  <c r="C908" i="11"/>
  <c r="B908" i="11"/>
  <c r="AF907" i="11"/>
  <c r="E907" i="11"/>
  <c r="D907" i="11"/>
  <c r="C907" i="11"/>
  <c r="B907" i="11"/>
  <c r="AF906" i="11"/>
  <c r="E906" i="11"/>
  <c r="D906" i="11"/>
  <c r="C906" i="11"/>
  <c r="B906" i="11"/>
  <c r="AF905" i="11"/>
  <c r="E905" i="11"/>
  <c r="D905" i="11"/>
  <c r="C905" i="11"/>
  <c r="B905" i="11"/>
  <c r="AF904" i="11"/>
  <c r="E904" i="11"/>
  <c r="D904" i="11"/>
  <c r="C904" i="11"/>
  <c r="B904" i="11"/>
  <c r="AF903" i="11"/>
  <c r="E903" i="11"/>
  <c r="D903" i="11"/>
  <c r="C903" i="11"/>
  <c r="B903" i="11"/>
  <c r="AF902" i="11"/>
  <c r="E902" i="11"/>
  <c r="D902" i="11"/>
  <c r="C902" i="11"/>
  <c r="B902" i="11"/>
  <c r="AF901" i="11"/>
  <c r="E901" i="11"/>
  <c r="D901" i="11"/>
  <c r="C901" i="11"/>
  <c r="B901" i="11"/>
  <c r="AF900" i="11"/>
  <c r="E900" i="11"/>
  <c r="D900" i="11"/>
  <c r="C900" i="11"/>
  <c r="B900" i="11"/>
  <c r="AF899" i="11"/>
  <c r="E899" i="11"/>
  <c r="D899" i="11"/>
  <c r="C899" i="11"/>
  <c r="B899" i="11"/>
  <c r="AF898" i="11"/>
  <c r="E898" i="11"/>
  <c r="D898" i="11"/>
  <c r="C898" i="11"/>
  <c r="B898" i="11"/>
  <c r="AF897" i="11"/>
  <c r="E897" i="11"/>
  <c r="D897" i="11"/>
  <c r="C897" i="11"/>
  <c r="B897" i="11"/>
  <c r="AF896" i="11"/>
  <c r="E896" i="11"/>
  <c r="D896" i="11"/>
  <c r="C896" i="11"/>
  <c r="B896" i="11"/>
  <c r="AF895" i="11"/>
  <c r="E895" i="11"/>
  <c r="D895" i="11"/>
  <c r="C895" i="11"/>
  <c r="B895" i="11"/>
  <c r="AF894" i="11"/>
  <c r="E894" i="11"/>
  <c r="D894" i="11"/>
  <c r="C894" i="11"/>
  <c r="B894" i="11"/>
  <c r="AF893" i="11"/>
  <c r="E893" i="11"/>
  <c r="D893" i="11"/>
  <c r="C893" i="11"/>
  <c r="B893" i="11"/>
  <c r="AF892" i="11"/>
  <c r="E892" i="11"/>
  <c r="D892" i="11"/>
  <c r="C892" i="11"/>
  <c r="B892" i="11"/>
  <c r="AF891" i="11"/>
  <c r="E891" i="11"/>
  <c r="D891" i="11"/>
  <c r="C891" i="11"/>
  <c r="B891" i="11"/>
  <c r="AF890" i="11"/>
  <c r="E890" i="11"/>
  <c r="D890" i="11"/>
  <c r="C890" i="11"/>
  <c r="B890" i="11"/>
  <c r="AF889" i="11"/>
  <c r="E889" i="11"/>
  <c r="D889" i="11"/>
  <c r="C889" i="11"/>
  <c r="B889" i="11"/>
  <c r="AF888" i="11"/>
  <c r="E888" i="11"/>
  <c r="D888" i="11"/>
  <c r="C888" i="11"/>
  <c r="B888" i="11"/>
  <c r="AF887" i="11"/>
  <c r="E887" i="11"/>
  <c r="D887" i="11"/>
  <c r="C887" i="11"/>
  <c r="B887" i="11"/>
  <c r="AF886" i="11"/>
  <c r="E886" i="11"/>
  <c r="D886" i="11"/>
  <c r="C886" i="11"/>
  <c r="B886" i="11"/>
  <c r="AF885" i="11"/>
  <c r="E885" i="11"/>
  <c r="D885" i="11"/>
  <c r="C885" i="11"/>
  <c r="B885" i="11"/>
  <c r="AF884" i="11"/>
  <c r="E884" i="11"/>
  <c r="D884" i="11"/>
  <c r="C884" i="11"/>
  <c r="B884" i="11"/>
  <c r="AF883" i="11"/>
  <c r="E883" i="11"/>
  <c r="D883" i="11"/>
  <c r="C883" i="11"/>
  <c r="B883" i="11"/>
  <c r="AF882" i="11"/>
  <c r="E882" i="11"/>
  <c r="D882" i="11"/>
  <c r="C882" i="11"/>
  <c r="B882" i="11"/>
  <c r="AF881" i="11"/>
  <c r="E881" i="11"/>
  <c r="D881" i="11"/>
  <c r="C881" i="11"/>
  <c r="B881" i="11"/>
  <c r="AF880" i="11"/>
  <c r="E880" i="11"/>
  <c r="D880" i="11"/>
  <c r="C880" i="11"/>
  <c r="B880" i="11"/>
  <c r="AF879" i="11"/>
  <c r="E879" i="11"/>
  <c r="D879" i="11"/>
  <c r="C879" i="11"/>
  <c r="B879" i="11"/>
  <c r="AF878" i="11"/>
  <c r="E878" i="11"/>
  <c r="D878" i="11"/>
  <c r="C878" i="11"/>
  <c r="B878" i="11"/>
  <c r="AF877" i="11"/>
  <c r="E877" i="11"/>
  <c r="D877" i="11"/>
  <c r="C877" i="11"/>
  <c r="B877" i="11"/>
  <c r="AF876" i="11"/>
  <c r="E876" i="11"/>
  <c r="D876" i="11"/>
  <c r="C876" i="11"/>
  <c r="B876" i="11"/>
  <c r="AF875" i="11"/>
  <c r="E875" i="11"/>
  <c r="D875" i="11"/>
  <c r="C875" i="11"/>
  <c r="B875" i="11"/>
  <c r="AF874" i="11"/>
  <c r="E874" i="11"/>
  <c r="D874" i="11"/>
  <c r="C874" i="11"/>
  <c r="B874" i="11"/>
  <c r="AF873" i="11"/>
  <c r="E873" i="11"/>
  <c r="D873" i="11"/>
  <c r="C873" i="11"/>
  <c r="B873" i="11"/>
  <c r="AF872" i="11"/>
  <c r="E872" i="11"/>
  <c r="D872" i="11"/>
  <c r="C872" i="11"/>
  <c r="B872" i="11"/>
  <c r="AF871" i="11"/>
  <c r="E871" i="11"/>
  <c r="D871" i="11"/>
  <c r="C871" i="11"/>
  <c r="B871" i="11"/>
  <c r="AF870" i="11"/>
  <c r="E870" i="11"/>
  <c r="D870" i="11"/>
  <c r="C870" i="11"/>
  <c r="B870" i="11"/>
  <c r="AF869" i="11"/>
  <c r="E869" i="11"/>
  <c r="D869" i="11"/>
  <c r="C869" i="11"/>
  <c r="B869" i="11"/>
  <c r="AF868" i="11"/>
  <c r="E868" i="11"/>
  <c r="D868" i="11"/>
  <c r="C868" i="11"/>
  <c r="B868" i="11"/>
  <c r="AF867" i="11"/>
  <c r="E867" i="11"/>
  <c r="D867" i="11"/>
  <c r="C867" i="11"/>
  <c r="B867" i="11"/>
  <c r="AF866" i="11"/>
  <c r="E866" i="11"/>
  <c r="D866" i="11"/>
  <c r="C866" i="11"/>
  <c r="B866" i="11"/>
  <c r="AF865" i="11"/>
  <c r="E865" i="11"/>
  <c r="D865" i="11"/>
  <c r="C865" i="11"/>
  <c r="B865" i="11"/>
  <c r="AF864" i="11"/>
  <c r="E864" i="11"/>
  <c r="D864" i="11"/>
  <c r="C864" i="11"/>
  <c r="B864" i="11"/>
  <c r="AF863" i="11"/>
  <c r="E863" i="11"/>
  <c r="D863" i="11"/>
  <c r="C863" i="11"/>
  <c r="B863" i="11"/>
  <c r="AF862" i="11"/>
  <c r="E862" i="11"/>
  <c r="D862" i="11"/>
  <c r="C862" i="11"/>
  <c r="B862" i="11"/>
  <c r="AF861" i="11"/>
  <c r="E861" i="11"/>
  <c r="D861" i="11"/>
  <c r="C861" i="11"/>
  <c r="B861" i="11"/>
  <c r="AF860" i="11"/>
  <c r="E860" i="11"/>
  <c r="D860" i="11"/>
  <c r="C860" i="11"/>
  <c r="B860" i="11"/>
  <c r="AF859" i="11"/>
  <c r="E859" i="11"/>
  <c r="D859" i="11"/>
  <c r="C859" i="11"/>
  <c r="B859" i="11"/>
  <c r="AF858" i="11"/>
  <c r="E858" i="11"/>
  <c r="D858" i="11"/>
  <c r="C858" i="11"/>
  <c r="B858" i="11"/>
  <c r="AF857" i="11"/>
  <c r="E857" i="11"/>
  <c r="D857" i="11"/>
  <c r="C857" i="11"/>
  <c r="B857" i="11"/>
  <c r="AF856" i="11"/>
  <c r="E856" i="11"/>
  <c r="D856" i="11"/>
  <c r="C856" i="11"/>
  <c r="B856" i="11"/>
  <c r="AF855" i="11"/>
  <c r="E855" i="11"/>
  <c r="D855" i="11"/>
  <c r="C855" i="11"/>
  <c r="B855" i="11"/>
  <c r="AF854" i="11"/>
  <c r="E854" i="11"/>
  <c r="D854" i="11"/>
  <c r="C854" i="11"/>
  <c r="B854" i="11"/>
  <c r="AF853" i="11"/>
  <c r="E853" i="11"/>
  <c r="D853" i="11"/>
  <c r="C853" i="11"/>
  <c r="B853" i="11"/>
  <c r="AF852" i="11"/>
  <c r="E852" i="11"/>
  <c r="D852" i="11"/>
  <c r="C852" i="11"/>
  <c r="B852" i="11"/>
  <c r="AF851" i="11"/>
  <c r="E851" i="11"/>
  <c r="D851" i="11"/>
  <c r="C851" i="11"/>
  <c r="B851" i="11"/>
  <c r="AF850" i="11"/>
  <c r="E850" i="11"/>
  <c r="D850" i="11"/>
  <c r="C850" i="11"/>
  <c r="B850" i="11"/>
  <c r="AF849" i="11"/>
  <c r="E849" i="11"/>
  <c r="D849" i="11"/>
  <c r="C849" i="11"/>
  <c r="B849" i="11"/>
  <c r="AF848" i="11"/>
  <c r="E848" i="11"/>
  <c r="D848" i="11"/>
  <c r="C848" i="11"/>
  <c r="B848" i="11"/>
  <c r="AF847" i="11"/>
  <c r="E847" i="11"/>
  <c r="D847" i="11"/>
  <c r="C847" i="11"/>
  <c r="B847" i="11"/>
  <c r="AF846" i="11"/>
  <c r="E846" i="11"/>
  <c r="D846" i="11"/>
  <c r="C846" i="11"/>
  <c r="B846" i="11"/>
  <c r="AF845" i="11"/>
  <c r="E845" i="11"/>
  <c r="D845" i="11"/>
  <c r="C845" i="11"/>
  <c r="B845" i="11"/>
  <c r="AF844" i="11"/>
  <c r="E844" i="11"/>
  <c r="D844" i="11"/>
  <c r="C844" i="11"/>
  <c r="B844" i="11"/>
  <c r="AF843" i="11"/>
  <c r="E843" i="11"/>
  <c r="D843" i="11"/>
  <c r="C843" i="11"/>
  <c r="B843" i="11"/>
  <c r="AF842" i="11"/>
  <c r="E842" i="11"/>
  <c r="D842" i="11"/>
  <c r="C842" i="11"/>
  <c r="B842" i="11"/>
  <c r="AF841" i="11"/>
  <c r="E841" i="11"/>
  <c r="D841" i="11"/>
  <c r="C841" i="11"/>
  <c r="B841" i="11"/>
  <c r="AF840" i="11"/>
  <c r="E840" i="11"/>
  <c r="D840" i="11"/>
  <c r="C840" i="11"/>
  <c r="B840" i="11"/>
  <c r="AF839" i="11"/>
  <c r="E839" i="11"/>
  <c r="D839" i="11"/>
  <c r="C839" i="11"/>
  <c r="B839" i="11"/>
  <c r="AF838" i="11"/>
  <c r="E838" i="11"/>
  <c r="D838" i="11"/>
  <c r="C838" i="11"/>
  <c r="B838" i="11"/>
  <c r="AF837" i="11"/>
  <c r="E837" i="11"/>
  <c r="D837" i="11"/>
  <c r="C837" i="11"/>
  <c r="B837" i="11"/>
  <c r="AF836" i="11"/>
  <c r="E836" i="11"/>
  <c r="D836" i="11"/>
  <c r="C836" i="11"/>
  <c r="B836" i="11"/>
  <c r="AF835" i="11"/>
  <c r="E835" i="11"/>
  <c r="D835" i="11"/>
  <c r="C835" i="11"/>
  <c r="B835" i="11"/>
  <c r="AF834" i="11"/>
  <c r="E834" i="11"/>
  <c r="D834" i="11"/>
  <c r="C834" i="11"/>
  <c r="B834" i="11"/>
  <c r="AF833" i="11"/>
  <c r="E833" i="11"/>
  <c r="D833" i="11"/>
  <c r="C833" i="11"/>
  <c r="B833" i="11"/>
  <c r="AF832" i="11"/>
  <c r="E832" i="11"/>
  <c r="D832" i="11"/>
  <c r="C832" i="11"/>
  <c r="B832" i="11"/>
  <c r="AF831" i="11"/>
  <c r="E831" i="11"/>
  <c r="D831" i="11"/>
  <c r="C831" i="11"/>
  <c r="B831" i="11"/>
  <c r="AF830" i="11"/>
  <c r="E830" i="11"/>
  <c r="D830" i="11"/>
  <c r="C830" i="11"/>
  <c r="B830" i="11"/>
  <c r="AF829" i="11"/>
  <c r="E829" i="11"/>
  <c r="D829" i="11"/>
  <c r="C829" i="11"/>
  <c r="B829" i="11"/>
  <c r="AF828" i="11"/>
  <c r="E828" i="11"/>
  <c r="D828" i="11"/>
  <c r="C828" i="11"/>
  <c r="B828" i="11"/>
  <c r="AF827" i="11"/>
  <c r="E827" i="11"/>
  <c r="D827" i="11"/>
  <c r="C827" i="11"/>
  <c r="B827" i="11"/>
  <c r="AF826" i="11"/>
  <c r="E826" i="11"/>
  <c r="D826" i="11"/>
  <c r="C826" i="11"/>
  <c r="B826" i="11"/>
  <c r="AF825" i="11"/>
  <c r="E825" i="11"/>
  <c r="D825" i="11"/>
  <c r="C825" i="11"/>
  <c r="B825" i="11"/>
  <c r="AF824" i="11"/>
  <c r="E824" i="11"/>
  <c r="D824" i="11"/>
  <c r="C824" i="11"/>
  <c r="B824" i="11"/>
  <c r="AF823" i="11"/>
  <c r="E823" i="11"/>
  <c r="D823" i="11"/>
  <c r="C823" i="11"/>
  <c r="B823" i="11"/>
  <c r="AF822" i="11"/>
  <c r="E822" i="11"/>
  <c r="D822" i="11"/>
  <c r="C822" i="11"/>
  <c r="B822" i="11"/>
  <c r="AF821" i="11"/>
  <c r="E821" i="11"/>
  <c r="D821" i="11"/>
  <c r="C821" i="11"/>
  <c r="B821" i="11"/>
  <c r="AF820" i="11"/>
  <c r="E820" i="11"/>
  <c r="D820" i="11"/>
  <c r="C820" i="11"/>
  <c r="B820" i="11"/>
  <c r="AF819" i="11"/>
  <c r="E819" i="11"/>
  <c r="D819" i="11"/>
  <c r="C819" i="11"/>
  <c r="B819" i="11"/>
  <c r="AF818" i="11"/>
  <c r="E818" i="11"/>
  <c r="D818" i="11"/>
  <c r="C818" i="11"/>
  <c r="B818" i="11"/>
  <c r="AF817" i="11"/>
  <c r="E817" i="11"/>
  <c r="D817" i="11"/>
  <c r="C817" i="11"/>
  <c r="B817" i="11"/>
  <c r="AF816" i="11"/>
  <c r="E816" i="11"/>
  <c r="D816" i="11"/>
  <c r="C816" i="11"/>
  <c r="B816" i="11"/>
  <c r="AF815" i="11"/>
  <c r="E815" i="11"/>
  <c r="D815" i="11"/>
  <c r="C815" i="11"/>
  <c r="B815" i="11"/>
  <c r="AF814" i="11"/>
  <c r="E814" i="11"/>
  <c r="D814" i="11"/>
  <c r="C814" i="11"/>
  <c r="B814" i="11"/>
  <c r="AF813" i="11"/>
  <c r="E813" i="11"/>
  <c r="D813" i="11"/>
  <c r="C813" i="11"/>
  <c r="B813" i="11"/>
  <c r="AF812" i="11"/>
  <c r="E812" i="11"/>
  <c r="D812" i="11"/>
  <c r="C812" i="11"/>
  <c r="B812" i="11"/>
  <c r="AF811" i="11"/>
  <c r="E811" i="11"/>
  <c r="D811" i="11"/>
  <c r="C811" i="11"/>
  <c r="B811" i="11"/>
  <c r="AF810" i="11"/>
  <c r="E810" i="11"/>
  <c r="D810" i="11"/>
  <c r="C810" i="11"/>
  <c r="B810" i="11"/>
  <c r="AF809" i="11"/>
  <c r="E809" i="11"/>
  <c r="D809" i="11"/>
  <c r="C809" i="11"/>
  <c r="B809" i="11"/>
  <c r="AF808" i="11"/>
  <c r="E808" i="11"/>
  <c r="D808" i="11"/>
  <c r="C808" i="11"/>
  <c r="B808" i="11"/>
  <c r="AF807" i="11"/>
  <c r="E807" i="11"/>
  <c r="D807" i="11"/>
  <c r="C807" i="11"/>
  <c r="B807" i="11"/>
  <c r="AF806" i="11"/>
  <c r="E806" i="11"/>
  <c r="D806" i="11"/>
  <c r="C806" i="11"/>
  <c r="B806" i="11"/>
  <c r="AF805" i="11"/>
  <c r="E805" i="11"/>
  <c r="D805" i="11"/>
  <c r="C805" i="11"/>
  <c r="B805" i="11"/>
  <c r="AF804" i="11"/>
  <c r="E804" i="11"/>
  <c r="D804" i="11"/>
  <c r="C804" i="11"/>
  <c r="B804" i="11"/>
  <c r="AF803" i="11"/>
  <c r="E803" i="11"/>
  <c r="D803" i="11"/>
  <c r="C803" i="11"/>
  <c r="B803" i="11"/>
  <c r="AF802" i="11"/>
  <c r="E802" i="11"/>
  <c r="D802" i="11"/>
  <c r="C802" i="11"/>
  <c r="B802" i="11"/>
  <c r="AF801" i="11"/>
  <c r="E801" i="11"/>
  <c r="D801" i="11"/>
  <c r="C801" i="11"/>
  <c r="B801" i="11"/>
  <c r="AF800" i="11"/>
  <c r="E800" i="11"/>
  <c r="D800" i="11"/>
  <c r="C800" i="11"/>
  <c r="B800" i="11"/>
  <c r="AF799" i="11"/>
  <c r="E799" i="11"/>
  <c r="D799" i="11"/>
  <c r="C799" i="11"/>
  <c r="B799" i="11"/>
  <c r="AF798" i="11"/>
  <c r="E798" i="11"/>
  <c r="D798" i="11"/>
  <c r="C798" i="11"/>
  <c r="B798" i="11"/>
  <c r="AF797" i="11"/>
  <c r="E797" i="11"/>
  <c r="D797" i="11"/>
  <c r="C797" i="11"/>
  <c r="B797" i="11"/>
  <c r="AF796" i="11"/>
  <c r="E796" i="11"/>
  <c r="D796" i="11"/>
  <c r="C796" i="11"/>
  <c r="B796" i="11"/>
  <c r="AF795" i="11"/>
  <c r="E795" i="11"/>
  <c r="D795" i="11"/>
  <c r="C795" i="11"/>
  <c r="B795" i="11"/>
  <c r="AF794" i="11"/>
  <c r="E794" i="11"/>
  <c r="D794" i="11"/>
  <c r="C794" i="11"/>
  <c r="B794" i="11"/>
  <c r="AF793" i="11"/>
  <c r="E793" i="11"/>
  <c r="D793" i="11"/>
  <c r="C793" i="11"/>
  <c r="B793" i="11"/>
  <c r="AF792" i="11"/>
  <c r="E792" i="11"/>
  <c r="D792" i="11"/>
  <c r="C792" i="11"/>
  <c r="B792" i="11"/>
  <c r="AF791" i="11"/>
  <c r="E791" i="11"/>
  <c r="D791" i="11"/>
  <c r="C791" i="11"/>
  <c r="B791" i="11"/>
  <c r="AF790" i="11"/>
  <c r="E790" i="11"/>
  <c r="D790" i="11"/>
  <c r="C790" i="11"/>
  <c r="B790" i="11"/>
  <c r="AF789" i="11"/>
  <c r="E789" i="11"/>
  <c r="D789" i="11"/>
  <c r="C789" i="11"/>
  <c r="B789" i="11"/>
  <c r="AF788" i="11"/>
  <c r="E788" i="11"/>
  <c r="D788" i="11"/>
  <c r="C788" i="11"/>
  <c r="B788" i="11"/>
  <c r="AF787" i="11"/>
  <c r="E787" i="11"/>
  <c r="D787" i="11"/>
  <c r="C787" i="11"/>
  <c r="B787" i="11"/>
  <c r="AF786" i="11"/>
  <c r="E786" i="11"/>
  <c r="D786" i="11"/>
  <c r="C786" i="11"/>
  <c r="B786" i="11"/>
  <c r="AF785" i="11"/>
  <c r="E785" i="11"/>
  <c r="D785" i="11"/>
  <c r="C785" i="11"/>
  <c r="B785" i="11"/>
  <c r="AF784" i="11"/>
  <c r="E784" i="11"/>
  <c r="D784" i="11"/>
  <c r="C784" i="11"/>
  <c r="B784" i="11"/>
  <c r="AF783" i="11"/>
  <c r="E783" i="11"/>
  <c r="D783" i="11"/>
  <c r="C783" i="11"/>
  <c r="B783" i="11"/>
  <c r="AF782" i="11"/>
  <c r="E782" i="11"/>
  <c r="D782" i="11"/>
  <c r="C782" i="11"/>
  <c r="B782" i="11"/>
  <c r="AF781" i="11"/>
  <c r="E781" i="11"/>
  <c r="D781" i="11"/>
  <c r="C781" i="11"/>
  <c r="B781" i="11"/>
  <c r="AF780" i="11"/>
  <c r="E780" i="11"/>
  <c r="D780" i="11"/>
  <c r="C780" i="11"/>
  <c r="B780" i="11"/>
  <c r="AF779" i="11"/>
  <c r="E779" i="11"/>
  <c r="D779" i="11"/>
  <c r="C779" i="11"/>
  <c r="B779" i="11"/>
  <c r="AF778" i="11"/>
  <c r="E778" i="11"/>
  <c r="D778" i="11"/>
  <c r="C778" i="11"/>
  <c r="B778" i="11"/>
  <c r="AF777" i="11"/>
  <c r="E777" i="11"/>
  <c r="D777" i="11"/>
  <c r="C777" i="11"/>
  <c r="B777" i="11"/>
  <c r="AF776" i="11"/>
  <c r="E776" i="11"/>
  <c r="D776" i="11"/>
  <c r="C776" i="11"/>
  <c r="B776" i="11"/>
  <c r="AF775" i="11"/>
  <c r="E775" i="11"/>
  <c r="D775" i="11"/>
  <c r="C775" i="11"/>
  <c r="B775" i="11"/>
  <c r="AF774" i="11"/>
  <c r="E774" i="11"/>
  <c r="D774" i="11"/>
  <c r="C774" i="11"/>
  <c r="B774" i="11"/>
  <c r="AF773" i="11"/>
  <c r="E773" i="11"/>
  <c r="D773" i="11"/>
  <c r="C773" i="11"/>
  <c r="B773" i="11"/>
  <c r="AF772" i="11"/>
  <c r="E772" i="11"/>
  <c r="D772" i="11"/>
  <c r="C772" i="11"/>
  <c r="B772" i="11"/>
  <c r="AF771" i="11"/>
  <c r="E771" i="11"/>
  <c r="D771" i="11"/>
  <c r="C771" i="11"/>
  <c r="B771" i="11"/>
  <c r="AF770" i="11"/>
  <c r="E770" i="11"/>
  <c r="D770" i="11"/>
  <c r="C770" i="11"/>
  <c r="B770" i="11"/>
  <c r="AF769" i="11"/>
  <c r="E769" i="11"/>
  <c r="D769" i="11"/>
  <c r="C769" i="11"/>
  <c r="B769" i="11"/>
  <c r="AF768" i="11"/>
  <c r="E768" i="11"/>
  <c r="D768" i="11"/>
  <c r="C768" i="11"/>
  <c r="B768" i="11"/>
  <c r="AF767" i="11"/>
  <c r="E767" i="11"/>
  <c r="D767" i="11"/>
  <c r="C767" i="11"/>
  <c r="B767" i="11"/>
  <c r="AF766" i="11"/>
  <c r="E766" i="11"/>
  <c r="D766" i="11"/>
  <c r="C766" i="11"/>
  <c r="B766" i="11"/>
  <c r="AF765" i="11"/>
  <c r="E765" i="11"/>
  <c r="D765" i="11"/>
  <c r="C765" i="11"/>
  <c r="B765" i="11"/>
  <c r="AF764" i="11"/>
  <c r="E764" i="11"/>
  <c r="D764" i="11"/>
  <c r="C764" i="11"/>
  <c r="B764" i="11"/>
  <c r="AF763" i="11"/>
  <c r="E763" i="11"/>
  <c r="D763" i="11"/>
  <c r="C763" i="11"/>
  <c r="B763" i="11"/>
  <c r="AF762" i="11"/>
  <c r="E762" i="11"/>
  <c r="D762" i="11"/>
  <c r="C762" i="11"/>
  <c r="B762" i="11"/>
  <c r="AF761" i="11"/>
  <c r="E761" i="11"/>
  <c r="D761" i="11"/>
  <c r="C761" i="11"/>
  <c r="B761" i="11"/>
  <c r="AF760" i="11"/>
  <c r="E760" i="11"/>
  <c r="D760" i="11"/>
  <c r="C760" i="11"/>
  <c r="B760" i="11"/>
  <c r="AF759" i="11"/>
  <c r="E759" i="11"/>
  <c r="D759" i="11"/>
  <c r="C759" i="11"/>
  <c r="B759" i="11"/>
  <c r="AF758" i="11"/>
  <c r="E758" i="11"/>
  <c r="D758" i="11"/>
  <c r="C758" i="11"/>
  <c r="B758" i="11"/>
  <c r="AF757" i="11"/>
  <c r="E757" i="11"/>
  <c r="D757" i="11"/>
  <c r="C757" i="11"/>
  <c r="B757" i="11"/>
  <c r="AF756" i="11"/>
  <c r="E756" i="11"/>
  <c r="D756" i="11"/>
  <c r="C756" i="11"/>
  <c r="B756" i="11"/>
  <c r="AF755" i="11"/>
  <c r="E755" i="11"/>
  <c r="D755" i="11"/>
  <c r="C755" i="11"/>
  <c r="B755" i="11"/>
  <c r="AF754" i="11"/>
  <c r="E754" i="11"/>
  <c r="D754" i="11"/>
  <c r="C754" i="11"/>
  <c r="B754" i="11"/>
  <c r="AF753" i="11"/>
  <c r="E753" i="11"/>
  <c r="D753" i="11"/>
  <c r="C753" i="11"/>
  <c r="B753" i="11"/>
  <c r="AF752" i="11"/>
  <c r="E752" i="11"/>
  <c r="D752" i="11"/>
  <c r="C752" i="11"/>
  <c r="B752" i="11"/>
  <c r="AF751" i="11"/>
  <c r="E751" i="11"/>
  <c r="D751" i="11"/>
  <c r="C751" i="11"/>
  <c r="B751" i="11"/>
  <c r="AF750" i="11"/>
  <c r="E750" i="11"/>
  <c r="D750" i="11"/>
  <c r="C750" i="11"/>
  <c r="B750" i="11"/>
  <c r="AF749" i="11"/>
  <c r="E749" i="11"/>
  <c r="D749" i="11"/>
  <c r="C749" i="11"/>
  <c r="B749" i="11"/>
  <c r="AF748" i="11"/>
  <c r="E748" i="11"/>
  <c r="D748" i="11"/>
  <c r="C748" i="11"/>
  <c r="B748" i="11"/>
  <c r="AF747" i="11"/>
  <c r="E747" i="11"/>
  <c r="D747" i="11"/>
  <c r="C747" i="11"/>
  <c r="B747" i="11"/>
  <c r="AF746" i="11"/>
  <c r="E746" i="11"/>
  <c r="D746" i="11"/>
  <c r="C746" i="11"/>
  <c r="B746" i="11"/>
  <c r="AF745" i="11"/>
  <c r="E745" i="11"/>
  <c r="D745" i="11"/>
  <c r="C745" i="11"/>
  <c r="B745" i="11"/>
  <c r="AF744" i="11"/>
  <c r="E744" i="11"/>
  <c r="D744" i="11"/>
  <c r="C744" i="11"/>
  <c r="B744" i="11"/>
  <c r="AF743" i="11"/>
  <c r="E743" i="11"/>
  <c r="D743" i="11"/>
  <c r="C743" i="11"/>
  <c r="B743" i="11"/>
  <c r="AF742" i="11"/>
  <c r="E742" i="11"/>
  <c r="D742" i="11"/>
  <c r="C742" i="11"/>
  <c r="B742" i="11"/>
  <c r="AF741" i="11"/>
  <c r="E741" i="11"/>
  <c r="D741" i="11"/>
  <c r="C741" i="11"/>
  <c r="B741" i="11"/>
  <c r="AF740" i="11"/>
  <c r="E740" i="11"/>
  <c r="D740" i="11"/>
  <c r="C740" i="11"/>
  <c r="B740" i="11"/>
  <c r="AF739" i="11"/>
  <c r="E739" i="11"/>
  <c r="D739" i="11"/>
  <c r="C739" i="11"/>
  <c r="B739" i="11"/>
  <c r="AF738" i="11"/>
  <c r="E738" i="11"/>
  <c r="D738" i="11"/>
  <c r="C738" i="11"/>
  <c r="B738" i="11"/>
  <c r="AF737" i="11"/>
  <c r="E737" i="11"/>
  <c r="D737" i="11"/>
  <c r="C737" i="11"/>
  <c r="B737" i="11"/>
  <c r="AF736" i="11"/>
  <c r="E736" i="11"/>
  <c r="D736" i="11"/>
  <c r="C736" i="11"/>
  <c r="B736" i="11"/>
  <c r="AF735" i="11"/>
  <c r="E735" i="11"/>
  <c r="D735" i="11"/>
  <c r="C735" i="11"/>
  <c r="B735" i="11"/>
  <c r="AF734" i="11"/>
  <c r="E734" i="11"/>
  <c r="D734" i="11"/>
  <c r="C734" i="11"/>
  <c r="B734" i="11"/>
  <c r="AF733" i="11"/>
  <c r="E733" i="11"/>
  <c r="D733" i="11"/>
  <c r="C733" i="11"/>
  <c r="B733" i="11"/>
  <c r="AF732" i="11"/>
  <c r="E732" i="11"/>
  <c r="D732" i="11"/>
  <c r="C732" i="11"/>
  <c r="B732" i="11"/>
  <c r="AF731" i="11"/>
  <c r="E731" i="11"/>
  <c r="D731" i="11"/>
  <c r="C731" i="11"/>
  <c r="B731" i="11"/>
  <c r="AF730" i="11"/>
  <c r="E730" i="11"/>
  <c r="D730" i="11"/>
  <c r="C730" i="11"/>
  <c r="B730" i="11"/>
  <c r="AF729" i="11"/>
  <c r="E729" i="11"/>
  <c r="D729" i="11"/>
  <c r="C729" i="11"/>
  <c r="B729" i="11"/>
  <c r="AF728" i="11"/>
  <c r="E728" i="11"/>
  <c r="D728" i="11"/>
  <c r="C728" i="11"/>
  <c r="B728" i="11"/>
  <c r="AF727" i="11"/>
  <c r="E727" i="11"/>
  <c r="D727" i="11"/>
  <c r="C727" i="11"/>
  <c r="B727" i="11"/>
  <c r="AF726" i="11"/>
  <c r="E726" i="11"/>
  <c r="D726" i="11"/>
  <c r="C726" i="11"/>
  <c r="B726" i="11"/>
  <c r="AF725" i="11"/>
  <c r="E725" i="11"/>
  <c r="D725" i="11"/>
  <c r="C725" i="11"/>
  <c r="B725" i="11"/>
  <c r="AF724" i="11"/>
  <c r="E724" i="11"/>
  <c r="D724" i="11"/>
  <c r="C724" i="11"/>
  <c r="B724" i="11"/>
  <c r="AF723" i="11"/>
  <c r="E723" i="11"/>
  <c r="D723" i="11"/>
  <c r="C723" i="11"/>
  <c r="B723" i="11"/>
  <c r="AF722" i="11"/>
  <c r="E722" i="11"/>
  <c r="D722" i="11"/>
  <c r="C722" i="11"/>
  <c r="B722" i="11"/>
  <c r="AF721" i="11"/>
  <c r="E721" i="11"/>
  <c r="D721" i="11"/>
  <c r="C721" i="11"/>
  <c r="B721" i="11"/>
  <c r="AF720" i="11"/>
  <c r="E720" i="11"/>
  <c r="D720" i="11"/>
  <c r="C720" i="11"/>
  <c r="B720" i="11"/>
  <c r="AF719" i="11"/>
  <c r="E719" i="11"/>
  <c r="D719" i="11"/>
  <c r="C719" i="11"/>
  <c r="B719" i="11"/>
  <c r="AF718" i="11"/>
  <c r="E718" i="11"/>
  <c r="D718" i="11"/>
  <c r="C718" i="11"/>
  <c r="B718" i="11"/>
  <c r="AF717" i="11"/>
  <c r="E717" i="11"/>
  <c r="D717" i="11"/>
  <c r="C717" i="11"/>
  <c r="B717" i="11"/>
  <c r="AF716" i="11"/>
  <c r="E716" i="11"/>
  <c r="D716" i="11"/>
  <c r="C716" i="11"/>
  <c r="B716" i="11"/>
  <c r="AF715" i="11"/>
  <c r="E715" i="11"/>
  <c r="D715" i="11"/>
  <c r="C715" i="11"/>
  <c r="B715" i="11"/>
  <c r="AF714" i="11"/>
  <c r="E714" i="11"/>
  <c r="D714" i="11"/>
  <c r="C714" i="11"/>
  <c r="B714" i="11"/>
  <c r="AF713" i="11"/>
  <c r="E713" i="11"/>
  <c r="D713" i="11"/>
  <c r="C713" i="11"/>
  <c r="B713" i="11"/>
  <c r="AF712" i="11"/>
  <c r="E712" i="11"/>
  <c r="D712" i="11"/>
  <c r="C712" i="11"/>
  <c r="B712" i="11"/>
  <c r="AF711" i="11"/>
  <c r="E711" i="11"/>
  <c r="D711" i="11"/>
  <c r="C711" i="11"/>
  <c r="B711" i="11"/>
  <c r="AF710" i="11"/>
  <c r="E710" i="11"/>
  <c r="D710" i="11"/>
  <c r="C710" i="11"/>
  <c r="B710" i="11"/>
  <c r="AF709" i="11"/>
  <c r="E709" i="11"/>
  <c r="D709" i="11"/>
  <c r="C709" i="11"/>
  <c r="B709" i="11"/>
  <c r="AF708" i="11"/>
  <c r="E708" i="11"/>
  <c r="D708" i="11"/>
  <c r="C708" i="11"/>
  <c r="B708" i="11"/>
  <c r="AF707" i="11"/>
  <c r="E707" i="11"/>
  <c r="D707" i="11"/>
  <c r="C707" i="11"/>
  <c r="B707" i="11"/>
  <c r="AF706" i="11"/>
  <c r="E706" i="11"/>
  <c r="D706" i="11"/>
  <c r="C706" i="11"/>
  <c r="B706" i="11"/>
  <c r="AF705" i="11"/>
  <c r="E705" i="11"/>
  <c r="D705" i="11"/>
  <c r="C705" i="11"/>
  <c r="B705" i="11"/>
  <c r="AF704" i="11"/>
  <c r="E704" i="11"/>
  <c r="D704" i="11"/>
  <c r="C704" i="11"/>
  <c r="B704" i="11"/>
  <c r="AF703" i="11"/>
  <c r="E703" i="11"/>
  <c r="D703" i="11"/>
  <c r="C703" i="11"/>
  <c r="B703" i="11"/>
  <c r="AF702" i="11"/>
  <c r="E702" i="11"/>
  <c r="D702" i="11"/>
  <c r="C702" i="11"/>
  <c r="B702" i="11"/>
  <c r="AF701" i="11"/>
  <c r="E701" i="11"/>
  <c r="D701" i="11"/>
  <c r="C701" i="11"/>
  <c r="B701" i="11"/>
  <c r="AF700" i="11"/>
  <c r="E700" i="11"/>
  <c r="D700" i="11"/>
  <c r="C700" i="11"/>
  <c r="B700" i="11"/>
  <c r="AF699" i="11"/>
  <c r="E699" i="11"/>
  <c r="D699" i="11"/>
  <c r="C699" i="11"/>
  <c r="B699" i="11"/>
  <c r="AF698" i="11"/>
  <c r="E698" i="11"/>
  <c r="D698" i="11"/>
  <c r="C698" i="11"/>
  <c r="B698" i="11"/>
  <c r="AF697" i="11"/>
  <c r="E697" i="11"/>
  <c r="D697" i="11"/>
  <c r="C697" i="11"/>
  <c r="B697" i="11"/>
  <c r="AF696" i="11"/>
  <c r="E696" i="11"/>
  <c r="D696" i="11"/>
  <c r="C696" i="11"/>
  <c r="B696" i="11"/>
  <c r="AF695" i="11"/>
  <c r="E695" i="11"/>
  <c r="D695" i="11"/>
  <c r="C695" i="11"/>
  <c r="B695" i="11"/>
  <c r="AF694" i="11"/>
  <c r="E694" i="11"/>
  <c r="D694" i="11"/>
  <c r="C694" i="11"/>
  <c r="B694" i="11"/>
  <c r="AF693" i="11"/>
  <c r="E693" i="11"/>
  <c r="D693" i="11"/>
  <c r="C693" i="11"/>
  <c r="B693" i="11"/>
  <c r="AF692" i="11"/>
  <c r="E692" i="11"/>
  <c r="D692" i="11"/>
  <c r="C692" i="11"/>
  <c r="B692" i="11"/>
  <c r="AF691" i="11"/>
  <c r="E691" i="11"/>
  <c r="D691" i="11"/>
  <c r="C691" i="11"/>
  <c r="B691" i="11"/>
  <c r="AF690" i="11"/>
  <c r="E690" i="11"/>
  <c r="D690" i="11"/>
  <c r="C690" i="11"/>
  <c r="B690" i="11"/>
  <c r="AF689" i="11"/>
  <c r="E689" i="11"/>
  <c r="D689" i="11"/>
  <c r="C689" i="11"/>
  <c r="B689" i="11"/>
  <c r="AF688" i="11"/>
  <c r="E688" i="11"/>
  <c r="D688" i="11"/>
  <c r="C688" i="11"/>
  <c r="B688" i="11"/>
  <c r="AF687" i="11"/>
  <c r="E687" i="11"/>
  <c r="D687" i="11"/>
  <c r="C687" i="11"/>
  <c r="B687" i="11"/>
  <c r="AF686" i="11"/>
  <c r="E686" i="11"/>
  <c r="D686" i="11"/>
  <c r="C686" i="11"/>
  <c r="B686" i="11"/>
  <c r="AF685" i="11"/>
  <c r="E685" i="11"/>
  <c r="D685" i="11"/>
  <c r="C685" i="11"/>
  <c r="B685" i="11"/>
  <c r="AF684" i="11"/>
  <c r="E684" i="11"/>
  <c r="D684" i="11"/>
  <c r="C684" i="11"/>
  <c r="B684" i="11"/>
  <c r="AF683" i="11"/>
  <c r="E683" i="11"/>
  <c r="D683" i="11"/>
  <c r="C683" i="11"/>
  <c r="B683" i="11"/>
  <c r="AF682" i="11"/>
  <c r="E682" i="11"/>
  <c r="D682" i="11"/>
  <c r="C682" i="11"/>
  <c r="B682" i="11"/>
  <c r="AF681" i="11"/>
  <c r="E681" i="11"/>
  <c r="D681" i="11"/>
  <c r="C681" i="11"/>
  <c r="B681" i="11"/>
  <c r="AF680" i="11"/>
  <c r="E680" i="11"/>
  <c r="D680" i="11"/>
  <c r="C680" i="11"/>
  <c r="B680" i="11"/>
  <c r="AF679" i="11"/>
  <c r="E679" i="11"/>
  <c r="D679" i="11"/>
  <c r="C679" i="11"/>
  <c r="B679" i="11"/>
  <c r="AF678" i="11"/>
  <c r="E678" i="11"/>
  <c r="D678" i="11"/>
  <c r="C678" i="11"/>
  <c r="B678" i="11"/>
  <c r="AF677" i="11"/>
  <c r="E677" i="11"/>
  <c r="D677" i="11"/>
  <c r="C677" i="11"/>
  <c r="B677" i="11"/>
  <c r="AF676" i="11"/>
  <c r="E676" i="11"/>
  <c r="D676" i="11"/>
  <c r="C676" i="11"/>
  <c r="B676" i="11"/>
  <c r="AF675" i="11"/>
  <c r="E675" i="11"/>
  <c r="D675" i="11"/>
  <c r="C675" i="11"/>
  <c r="B675" i="11"/>
  <c r="AF674" i="11"/>
  <c r="E674" i="11"/>
  <c r="D674" i="11"/>
  <c r="C674" i="11"/>
  <c r="B674" i="11"/>
  <c r="AF673" i="11"/>
  <c r="E673" i="11"/>
  <c r="D673" i="11"/>
  <c r="C673" i="11"/>
  <c r="B673" i="11"/>
  <c r="AF672" i="11"/>
  <c r="E672" i="11"/>
  <c r="D672" i="11"/>
  <c r="C672" i="11"/>
  <c r="B672" i="11"/>
  <c r="AF671" i="11"/>
  <c r="E671" i="11"/>
  <c r="D671" i="11"/>
  <c r="C671" i="11"/>
  <c r="B671" i="11"/>
  <c r="AF670" i="11"/>
  <c r="E670" i="11"/>
  <c r="D670" i="11"/>
  <c r="C670" i="11"/>
  <c r="B670" i="11"/>
  <c r="AF669" i="11"/>
  <c r="E669" i="11"/>
  <c r="D669" i="11"/>
  <c r="C669" i="11"/>
  <c r="B669" i="11"/>
  <c r="AF668" i="11"/>
  <c r="E668" i="11"/>
  <c r="D668" i="11"/>
  <c r="C668" i="11"/>
  <c r="B668" i="11"/>
  <c r="AF667" i="11"/>
  <c r="E667" i="11"/>
  <c r="D667" i="11"/>
  <c r="C667" i="11"/>
  <c r="B667" i="11"/>
  <c r="AF666" i="11"/>
  <c r="E666" i="11"/>
  <c r="D666" i="11"/>
  <c r="C666" i="11"/>
  <c r="B666" i="11"/>
  <c r="AF665" i="11"/>
  <c r="E665" i="11"/>
  <c r="D665" i="11"/>
  <c r="C665" i="11"/>
  <c r="B665" i="11"/>
  <c r="AF664" i="11"/>
  <c r="E664" i="11"/>
  <c r="D664" i="11"/>
  <c r="C664" i="11"/>
  <c r="B664" i="11"/>
  <c r="AF663" i="11"/>
  <c r="E663" i="11"/>
  <c r="D663" i="11"/>
  <c r="C663" i="11"/>
  <c r="B663" i="11"/>
  <c r="AF662" i="11"/>
  <c r="E662" i="11"/>
  <c r="D662" i="11"/>
  <c r="C662" i="11"/>
  <c r="B662" i="11"/>
  <c r="AF661" i="11"/>
  <c r="E661" i="11"/>
  <c r="D661" i="11"/>
  <c r="C661" i="11"/>
  <c r="B661" i="11"/>
  <c r="AF660" i="11"/>
  <c r="E660" i="11"/>
  <c r="D660" i="11"/>
  <c r="C660" i="11"/>
  <c r="B660" i="11"/>
  <c r="AF659" i="11"/>
  <c r="E659" i="11"/>
  <c r="D659" i="11"/>
  <c r="C659" i="11"/>
  <c r="B659" i="11"/>
  <c r="AF658" i="11"/>
  <c r="E658" i="11"/>
  <c r="D658" i="11"/>
  <c r="C658" i="11"/>
  <c r="B658" i="11"/>
  <c r="AF657" i="11"/>
  <c r="E657" i="11"/>
  <c r="D657" i="11"/>
  <c r="C657" i="11"/>
  <c r="B657" i="11"/>
  <c r="AF656" i="11"/>
  <c r="E656" i="11"/>
  <c r="D656" i="11"/>
  <c r="C656" i="11"/>
  <c r="B656" i="11"/>
  <c r="AF655" i="11"/>
  <c r="E655" i="11"/>
  <c r="D655" i="11"/>
  <c r="C655" i="11"/>
  <c r="B655" i="11"/>
  <c r="AF654" i="11"/>
  <c r="E654" i="11"/>
  <c r="D654" i="11"/>
  <c r="C654" i="11"/>
  <c r="B654" i="11"/>
  <c r="AF653" i="11"/>
  <c r="E653" i="11"/>
  <c r="D653" i="11"/>
  <c r="C653" i="11"/>
  <c r="B653" i="11"/>
  <c r="AF652" i="11"/>
  <c r="E652" i="11"/>
  <c r="D652" i="11"/>
  <c r="C652" i="11"/>
  <c r="B652" i="11"/>
  <c r="AF651" i="11"/>
  <c r="E651" i="11"/>
  <c r="D651" i="11"/>
  <c r="C651" i="11"/>
  <c r="B651" i="11"/>
  <c r="AF650" i="11"/>
  <c r="E650" i="11"/>
  <c r="D650" i="11"/>
  <c r="C650" i="11"/>
  <c r="B650" i="11"/>
  <c r="AF649" i="11"/>
  <c r="E649" i="11"/>
  <c r="D649" i="11"/>
  <c r="C649" i="11"/>
  <c r="B649" i="11"/>
  <c r="AF648" i="11"/>
  <c r="E648" i="11"/>
  <c r="D648" i="11"/>
  <c r="C648" i="11"/>
  <c r="B648" i="11"/>
  <c r="AF647" i="11"/>
  <c r="E647" i="11"/>
  <c r="D647" i="11"/>
  <c r="C647" i="11"/>
  <c r="B647" i="11"/>
  <c r="AF646" i="11"/>
  <c r="E646" i="11"/>
  <c r="D646" i="11"/>
  <c r="C646" i="11"/>
  <c r="B646" i="11"/>
  <c r="AF645" i="11"/>
  <c r="E645" i="11"/>
  <c r="D645" i="11"/>
  <c r="C645" i="11"/>
  <c r="B645" i="11"/>
  <c r="AF644" i="11"/>
  <c r="E644" i="11"/>
  <c r="D644" i="11"/>
  <c r="C644" i="11"/>
  <c r="B644" i="11"/>
  <c r="AF643" i="11"/>
  <c r="E643" i="11"/>
  <c r="D643" i="11"/>
  <c r="C643" i="11"/>
  <c r="B643" i="11"/>
  <c r="AF642" i="11"/>
  <c r="E642" i="11"/>
  <c r="D642" i="11"/>
  <c r="C642" i="11"/>
  <c r="B642" i="11"/>
  <c r="AF641" i="11"/>
  <c r="E641" i="11"/>
  <c r="D641" i="11"/>
  <c r="C641" i="11"/>
  <c r="B641" i="11"/>
  <c r="AF640" i="11"/>
  <c r="E640" i="11"/>
  <c r="D640" i="11"/>
  <c r="C640" i="11"/>
  <c r="B640" i="11"/>
  <c r="AF639" i="11"/>
  <c r="E639" i="11"/>
  <c r="D639" i="11"/>
  <c r="C639" i="11"/>
  <c r="B639" i="11"/>
  <c r="AF638" i="11"/>
  <c r="E638" i="11"/>
  <c r="D638" i="11"/>
  <c r="C638" i="11"/>
  <c r="B638" i="11"/>
  <c r="AF637" i="11"/>
  <c r="E637" i="11"/>
  <c r="D637" i="11"/>
  <c r="C637" i="11"/>
  <c r="B637" i="11"/>
  <c r="AF636" i="11"/>
  <c r="E636" i="11"/>
  <c r="D636" i="11"/>
  <c r="C636" i="11"/>
  <c r="B636" i="11"/>
  <c r="AF635" i="11"/>
  <c r="E635" i="11"/>
  <c r="D635" i="11"/>
  <c r="C635" i="11"/>
  <c r="B635" i="11"/>
  <c r="AF634" i="11"/>
  <c r="E634" i="11"/>
  <c r="D634" i="11"/>
  <c r="C634" i="11"/>
  <c r="B634" i="11"/>
  <c r="AF633" i="11"/>
  <c r="E633" i="11"/>
  <c r="D633" i="11"/>
  <c r="C633" i="11"/>
  <c r="B633" i="11"/>
  <c r="AF632" i="11"/>
  <c r="E632" i="11"/>
  <c r="D632" i="11"/>
  <c r="C632" i="11"/>
  <c r="B632" i="11"/>
  <c r="AF631" i="11"/>
  <c r="E631" i="11"/>
  <c r="D631" i="11"/>
  <c r="C631" i="11"/>
  <c r="B631" i="11"/>
  <c r="AF630" i="11"/>
  <c r="E630" i="11"/>
  <c r="D630" i="11"/>
  <c r="C630" i="11"/>
  <c r="B630" i="11"/>
  <c r="AF629" i="11"/>
  <c r="E629" i="11"/>
  <c r="D629" i="11"/>
  <c r="C629" i="11"/>
  <c r="B629" i="11"/>
  <c r="AF628" i="11"/>
  <c r="E628" i="11"/>
  <c r="D628" i="11"/>
  <c r="C628" i="11"/>
  <c r="B628" i="11"/>
  <c r="AF627" i="11"/>
  <c r="E627" i="11"/>
  <c r="D627" i="11"/>
  <c r="C627" i="11"/>
  <c r="B627" i="11"/>
  <c r="AF626" i="11"/>
  <c r="E626" i="11"/>
  <c r="D626" i="11"/>
  <c r="C626" i="11"/>
  <c r="B626" i="11"/>
  <c r="AF625" i="11"/>
  <c r="E625" i="11"/>
  <c r="D625" i="11"/>
  <c r="C625" i="11"/>
  <c r="B625" i="11"/>
  <c r="AF624" i="11"/>
  <c r="E624" i="11"/>
  <c r="D624" i="11"/>
  <c r="C624" i="11"/>
  <c r="B624" i="11"/>
  <c r="AF623" i="11"/>
  <c r="E623" i="11"/>
  <c r="D623" i="11"/>
  <c r="C623" i="11"/>
  <c r="B623" i="11"/>
  <c r="AF622" i="11"/>
  <c r="E622" i="11"/>
  <c r="D622" i="11"/>
  <c r="C622" i="11"/>
  <c r="B622" i="11"/>
  <c r="AF621" i="11"/>
  <c r="E621" i="11"/>
  <c r="D621" i="11"/>
  <c r="C621" i="11"/>
  <c r="B621" i="11"/>
  <c r="AF620" i="11"/>
  <c r="E620" i="11"/>
  <c r="D620" i="11"/>
  <c r="C620" i="11"/>
  <c r="B620" i="11"/>
  <c r="AF619" i="11"/>
  <c r="E619" i="11"/>
  <c r="D619" i="11"/>
  <c r="C619" i="11"/>
  <c r="B619" i="11"/>
  <c r="AF618" i="11"/>
  <c r="E618" i="11"/>
  <c r="D618" i="11"/>
  <c r="C618" i="11"/>
  <c r="B618" i="11"/>
  <c r="AF617" i="11"/>
  <c r="E617" i="11"/>
  <c r="D617" i="11"/>
  <c r="C617" i="11"/>
  <c r="B617" i="11"/>
  <c r="AF616" i="11"/>
  <c r="E616" i="11"/>
  <c r="D616" i="11"/>
  <c r="C616" i="11"/>
  <c r="B616" i="11"/>
  <c r="AF615" i="11"/>
  <c r="E615" i="11"/>
  <c r="D615" i="11"/>
  <c r="C615" i="11"/>
  <c r="B615" i="11"/>
  <c r="AF614" i="11"/>
  <c r="E614" i="11"/>
  <c r="D614" i="11"/>
  <c r="C614" i="11"/>
  <c r="B614" i="11"/>
  <c r="AF613" i="11"/>
  <c r="E613" i="11"/>
  <c r="D613" i="11"/>
  <c r="C613" i="11"/>
  <c r="B613" i="11"/>
  <c r="AF612" i="11"/>
  <c r="E612" i="11"/>
  <c r="D612" i="11"/>
  <c r="C612" i="11"/>
  <c r="B612" i="11"/>
  <c r="AF611" i="11"/>
  <c r="E611" i="11"/>
  <c r="D611" i="11"/>
  <c r="C611" i="11"/>
  <c r="B611" i="11"/>
  <c r="AF610" i="11"/>
  <c r="E610" i="11"/>
  <c r="D610" i="11"/>
  <c r="C610" i="11"/>
  <c r="B610" i="11"/>
  <c r="AF609" i="11"/>
  <c r="E609" i="11"/>
  <c r="D609" i="11"/>
  <c r="C609" i="11"/>
  <c r="B609" i="11"/>
  <c r="AF608" i="11"/>
  <c r="E608" i="11"/>
  <c r="D608" i="11"/>
  <c r="C608" i="11"/>
  <c r="B608" i="11"/>
  <c r="AF607" i="11"/>
  <c r="E607" i="11"/>
  <c r="D607" i="11"/>
  <c r="C607" i="11"/>
  <c r="B607" i="11"/>
  <c r="AF606" i="11"/>
  <c r="E606" i="11"/>
  <c r="D606" i="11"/>
  <c r="C606" i="11"/>
  <c r="B606" i="11"/>
  <c r="AF605" i="11"/>
  <c r="E605" i="11"/>
  <c r="D605" i="11"/>
  <c r="C605" i="11"/>
  <c r="B605" i="11"/>
  <c r="AF604" i="11"/>
  <c r="E604" i="11"/>
  <c r="D604" i="11"/>
  <c r="C604" i="11"/>
  <c r="B604" i="11"/>
  <c r="AF603" i="11"/>
  <c r="E603" i="11"/>
  <c r="D603" i="11"/>
  <c r="C603" i="11"/>
  <c r="B603" i="11"/>
  <c r="AF602" i="11"/>
  <c r="E602" i="11"/>
  <c r="D602" i="11"/>
  <c r="C602" i="11"/>
  <c r="B602" i="11"/>
  <c r="AF601" i="11"/>
  <c r="E601" i="11"/>
  <c r="D601" i="11"/>
  <c r="C601" i="11"/>
  <c r="B601" i="11"/>
  <c r="AF600" i="11"/>
  <c r="E600" i="11"/>
  <c r="D600" i="11"/>
  <c r="C600" i="11"/>
  <c r="B600" i="11"/>
  <c r="AF599" i="11"/>
  <c r="E599" i="11"/>
  <c r="D599" i="11"/>
  <c r="C599" i="11"/>
  <c r="B599" i="11"/>
  <c r="AF598" i="11"/>
  <c r="E598" i="11"/>
  <c r="D598" i="11"/>
  <c r="C598" i="11"/>
  <c r="B598" i="11"/>
  <c r="AF597" i="11"/>
  <c r="E597" i="11"/>
  <c r="D597" i="11"/>
  <c r="C597" i="11"/>
  <c r="B597" i="11"/>
  <c r="AF596" i="11"/>
  <c r="E596" i="11"/>
  <c r="D596" i="11"/>
  <c r="C596" i="11"/>
  <c r="B596" i="11"/>
  <c r="AF595" i="11"/>
  <c r="E595" i="11"/>
  <c r="D595" i="11"/>
  <c r="C595" i="11"/>
  <c r="B595" i="11"/>
  <c r="AF594" i="11"/>
  <c r="E594" i="11"/>
  <c r="D594" i="11"/>
  <c r="C594" i="11"/>
  <c r="B594" i="11"/>
  <c r="AF593" i="11"/>
  <c r="E593" i="11"/>
  <c r="D593" i="11"/>
  <c r="C593" i="11"/>
  <c r="B593" i="11"/>
  <c r="AF592" i="11"/>
  <c r="E592" i="11"/>
  <c r="D592" i="11"/>
  <c r="C592" i="11"/>
  <c r="B592" i="11"/>
  <c r="AF591" i="11"/>
  <c r="E591" i="11"/>
  <c r="D591" i="11"/>
  <c r="C591" i="11"/>
  <c r="B591" i="11"/>
  <c r="AF590" i="11"/>
  <c r="E590" i="11"/>
  <c r="D590" i="11"/>
  <c r="C590" i="11"/>
  <c r="B590" i="11"/>
  <c r="AF589" i="11"/>
  <c r="E589" i="11"/>
  <c r="D589" i="11"/>
  <c r="C589" i="11"/>
  <c r="B589" i="11"/>
  <c r="AF588" i="11"/>
  <c r="E588" i="11"/>
  <c r="D588" i="11"/>
  <c r="C588" i="11"/>
  <c r="B588" i="11"/>
  <c r="AF587" i="11"/>
  <c r="E587" i="11"/>
  <c r="D587" i="11"/>
  <c r="C587" i="11"/>
  <c r="B587" i="11"/>
  <c r="AF586" i="11"/>
  <c r="E586" i="11"/>
  <c r="D586" i="11"/>
  <c r="C586" i="11"/>
  <c r="B586" i="11"/>
  <c r="AF585" i="11"/>
  <c r="E585" i="11"/>
  <c r="D585" i="11"/>
  <c r="C585" i="11"/>
  <c r="B585" i="11"/>
  <c r="AF584" i="11"/>
  <c r="E584" i="11"/>
  <c r="D584" i="11"/>
  <c r="C584" i="11"/>
  <c r="B584" i="11"/>
  <c r="AF583" i="11"/>
  <c r="E583" i="11"/>
  <c r="D583" i="11"/>
  <c r="C583" i="11"/>
  <c r="B583" i="11"/>
  <c r="AF582" i="11"/>
  <c r="E582" i="11"/>
  <c r="D582" i="11"/>
  <c r="C582" i="11"/>
  <c r="B582" i="11"/>
  <c r="AF581" i="11"/>
  <c r="E581" i="11"/>
  <c r="D581" i="11"/>
  <c r="C581" i="11"/>
  <c r="B581" i="11"/>
  <c r="AF580" i="11"/>
  <c r="E580" i="11"/>
  <c r="D580" i="11"/>
  <c r="C580" i="11"/>
  <c r="B580" i="11"/>
  <c r="AF579" i="11"/>
  <c r="E579" i="11"/>
  <c r="D579" i="11"/>
  <c r="C579" i="11"/>
  <c r="B579" i="11"/>
  <c r="AF578" i="11"/>
  <c r="E578" i="11"/>
  <c r="D578" i="11"/>
  <c r="C578" i="11"/>
  <c r="B578" i="11"/>
  <c r="AF577" i="11"/>
  <c r="E577" i="11"/>
  <c r="D577" i="11"/>
  <c r="C577" i="11"/>
  <c r="B577" i="11"/>
  <c r="AF576" i="11"/>
  <c r="E576" i="11"/>
  <c r="D576" i="11"/>
  <c r="C576" i="11"/>
  <c r="B576" i="11"/>
  <c r="AF575" i="11"/>
  <c r="E575" i="11"/>
  <c r="D575" i="11"/>
  <c r="C575" i="11"/>
  <c r="B575" i="11"/>
  <c r="AF574" i="11"/>
  <c r="E574" i="11"/>
  <c r="D574" i="11"/>
  <c r="C574" i="11"/>
  <c r="B574" i="11"/>
  <c r="AF573" i="11"/>
  <c r="E573" i="11"/>
  <c r="D573" i="11"/>
  <c r="C573" i="11"/>
  <c r="B573" i="11"/>
  <c r="AF572" i="11"/>
  <c r="E572" i="11"/>
  <c r="D572" i="11"/>
  <c r="C572" i="11"/>
  <c r="B572" i="11"/>
  <c r="AF571" i="11"/>
  <c r="E571" i="11"/>
  <c r="D571" i="11"/>
  <c r="C571" i="11"/>
  <c r="B571" i="11"/>
  <c r="AF570" i="11"/>
  <c r="E570" i="11"/>
  <c r="D570" i="11"/>
  <c r="C570" i="11"/>
  <c r="B570" i="11"/>
  <c r="AF569" i="11"/>
  <c r="E569" i="11"/>
  <c r="D569" i="11"/>
  <c r="C569" i="11"/>
  <c r="B569" i="11"/>
  <c r="AF568" i="11"/>
  <c r="E568" i="11"/>
  <c r="D568" i="11"/>
  <c r="C568" i="11"/>
  <c r="B568" i="11"/>
  <c r="AF567" i="11"/>
  <c r="E567" i="11"/>
  <c r="D567" i="11"/>
  <c r="C567" i="11"/>
  <c r="B567" i="11"/>
  <c r="AF566" i="11"/>
  <c r="E566" i="11"/>
  <c r="D566" i="11"/>
  <c r="C566" i="11"/>
  <c r="B566" i="11"/>
  <c r="AF565" i="11"/>
  <c r="E565" i="11"/>
  <c r="D565" i="11"/>
  <c r="C565" i="11"/>
  <c r="B565" i="11"/>
  <c r="AF564" i="11"/>
  <c r="E564" i="11"/>
  <c r="D564" i="11"/>
  <c r="C564" i="11"/>
  <c r="B564" i="11"/>
  <c r="AF563" i="11"/>
  <c r="E563" i="11"/>
  <c r="D563" i="11"/>
  <c r="C563" i="11"/>
  <c r="B563" i="11"/>
  <c r="AF562" i="11"/>
  <c r="E562" i="11"/>
  <c r="D562" i="11"/>
  <c r="C562" i="11"/>
  <c r="B562" i="11"/>
  <c r="AF561" i="11"/>
  <c r="E561" i="11"/>
  <c r="D561" i="11"/>
  <c r="C561" i="11"/>
  <c r="B561" i="11"/>
  <c r="AF560" i="11"/>
  <c r="E560" i="11"/>
  <c r="D560" i="11"/>
  <c r="C560" i="11"/>
  <c r="B560" i="11"/>
  <c r="AF559" i="11"/>
  <c r="E559" i="11"/>
  <c r="D559" i="11"/>
  <c r="C559" i="11"/>
  <c r="B559" i="11"/>
  <c r="AF558" i="11"/>
  <c r="E558" i="11"/>
  <c r="D558" i="11"/>
  <c r="C558" i="11"/>
  <c r="B558" i="11"/>
  <c r="AF557" i="11"/>
  <c r="E557" i="11"/>
  <c r="D557" i="11"/>
  <c r="C557" i="11"/>
  <c r="B557" i="11"/>
  <c r="AF556" i="11"/>
  <c r="E556" i="11"/>
  <c r="D556" i="11"/>
  <c r="C556" i="11"/>
  <c r="B556" i="11"/>
  <c r="AF555" i="11"/>
  <c r="E555" i="11"/>
  <c r="D555" i="11"/>
  <c r="C555" i="11"/>
  <c r="B555" i="11"/>
  <c r="AF554" i="11"/>
  <c r="E554" i="11"/>
  <c r="D554" i="11"/>
  <c r="C554" i="11"/>
  <c r="B554" i="11"/>
  <c r="AF553" i="11"/>
  <c r="E553" i="11"/>
  <c r="D553" i="11"/>
  <c r="C553" i="11"/>
  <c r="B553" i="11"/>
  <c r="AF552" i="11"/>
  <c r="E552" i="11"/>
  <c r="D552" i="11"/>
  <c r="C552" i="11"/>
  <c r="B552" i="11"/>
  <c r="AF551" i="11"/>
  <c r="E551" i="11"/>
  <c r="D551" i="11"/>
  <c r="C551" i="11"/>
  <c r="B551" i="11"/>
  <c r="AF550" i="11"/>
  <c r="E550" i="11"/>
  <c r="D550" i="11"/>
  <c r="C550" i="11"/>
  <c r="B550" i="11"/>
  <c r="AF549" i="11"/>
  <c r="E549" i="11"/>
  <c r="D549" i="11"/>
  <c r="C549" i="11"/>
  <c r="B549" i="11"/>
  <c r="AF548" i="11"/>
  <c r="E548" i="11"/>
  <c r="D548" i="11"/>
  <c r="C548" i="11"/>
  <c r="B548" i="11"/>
  <c r="AF547" i="11"/>
  <c r="E547" i="11"/>
  <c r="D547" i="11"/>
  <c r="C547" i="11"/>
  <c r="B547" i="11"/>
  <c r="AF546" i="11"/>
  <c r="E546" i="11"/>
  <c r="D546" i="11"/>
  <c r="C546" i="11"/>
  <c r="B546" i="11"/>
  <c r="AF545" i="11"/>
  <c r="E545" i="11"/>
  <c r="D545" i="11"/>
  <c r="C545" i="11"/>
  <c r="B545" i="11"/>
  <c r="AF544" i="11"/>
  <c r="E544" i="11"/>
  <c r="D544" i="11"/>
  <c r="C544" i="11"/>
  <c r="B544" i="11"/>
  <c r="AF543" i="11"/>
  <c r="E543" i="11"/>
  <c r="D543" i="11"/>
  <c r="C543" i="11"/>
  <c r="B543" i="11"/>
  <c r="AF542" i="11"/>
  <c r="E542" i="11"/>
  <c r="D542" i="11"/>
  <c r="C542" i="11"/>
  <c r="B542" i="11"/>
  <c r="AF541" i="11"/>
  <c r="E541" i="11"/>
  <c r="D541" i="11"/>
  <c r="C541" i="11"/>
  <c r="B541" i="11"/>
  <c r="AF540" i="11"/>
  <c r="E540" i="11"/>
  <c r="D540" i="11"/>
  <c r="C540" i="11"/>
  <c r="B540" i="11"/>
  <c r="AF539" i="11"/>
  <c r="E539" i="11"/>
  <c r="D539" i="11"/>
  <c r="C539" i="11"/>
  <c r="B539" i="11"/>
  <c r="AF538" i="11"/>
  <c r="E538" i="11"/>
  <c r="D538" i="11"/>
  <c r="C538" i="11"/>
  <c r="B538" i="11"/>
  <c r="AF537" i="11"/>
  <c r="E537" i="11"/>
  <c r="D537" i="11"/>
  <c r="C537" i="11"/>
  <c r="B537" i="11"/>
  <c r="AF536" i="11"/>
  <c r="E536" i="11"/>
  <c r="D536" i="11"/>
  <c r="C536" i="11"/>
  <c r="B536" i="11"/>
  <c r="AF535" i="11"/>
  <c r="E535" i="11"/>
  <c r="D535" i="11"/>
  <c r="C535" i="11"/>
  <c r="B535" i="11"/>
  <c r="AF534" i="11"/>
  <c r="E534" i="11"/>
  <c r="D534" i="11"/>
  <c r="C534" i="11"/>
  <c r="B534" i="11"/>
  <c r="AF533" i="11"/>
  <c r="E533" i="11"/>
  <c r="D533" i="11"/>
  <c r="C533" i="11"/>
  <c r="B533" i="11"/>
  <c r="AF532" i="11"/>
  <c r="E532" i="11"/>
  <c r="D532" i="11"/>
  <c r="C532" i="11"/>
  <c r="B532" i="11"/>
  <c r="AF531" i="11"/>
  <c r="E531" i="11"/>
  <c r="D531" i="11"/>
  <c r="C531" i="11"/>
  <c r="B531" i="11"/>
  <c r="AF530" i="11"/>
  <c r="E530" i="11"/>
  <c r="D530" i="11"/>
  <c r="C530" i="11"/>
  <c r="B530" i="11"/>
  <c r="AF529" i="11"/>
  <c r="E529" i="11"/>
  <c r="D529" i="11"/>
  <c r="C529" i="11"/>
  <c r="B529" i="11"/>
  <c r="AF528" i="11"/>
  <c r="E528" i="11"/>
  <c r="D528" i="11"/>
  <c r="C528" i="11"/>
  <c r="B528" i="11"/>
  <c r="AF527" i="11"/>
  <c r="E527" i="11"/>
  <c r="D527" i="11"/>
  <c r="C527" i="11"/>
  <c r="B527" i="11"/>
  <c r="AF526" i="11"/>
  <c r="E526" i="11"/>
  <c r="D526" i="11"/>
  <c r="C526" i="11"/>
  <c r="B526" i="11"/>
  <c r="AF525" i="11"/>
  <c r="E525" i="11"/>
  <c r="D525" i="11"/>
  <c r="C525" i="11"/>
  <c r="B525" i="11"/>
  <c r="AF524" i="11"/>
  <c r="E524" i="11"/>
  <c r="D524" i="11"/>
  <c r="C524" i="11"/>
  <c r="B524" i="11"/>
  <c r="AF523" i="11"/>
  <c r="E523" i="11"/>
  <c r="D523" i="11"/>
  <c r="C523" i="11"/>
  <c r="B523" i="11"/>
  <c r="AF522" i="11"/>
  <c r="E522" i="11"/>
  <c r="D522" i="11"/>
  <c r="C522" i="11"/>
  <c r="B522" i="11"/>
  <c r="AF521" i="11"/>
  <c r="E521" i="11"/>
  <c r="D521" i="11"/>
  <c r="C521" i="11"/>
  <c r="B521" i="11"/>
  <c r="AF520" i="11"/>
  <c r="E520" i="11"/>
  <c r="D520" i="11"/>
  <c r="C520" i="11"/>
  <c r="B520" i="11"/>
  <c r="AF519" i="11"/>
  <c r="E519" i="11"/>
  <c r="D519" i="11"/>
  <c r="C519" i="11"/>
  <c r="B519" i="11"/>
  <c r="AF518" i="11"/>
  <c r="E518" i="11"/>
  <c r="D518" i="11"/>
  <c r="C518" i="11"/>
  <c r="B518" i="11"/>
  <c r="AF517" i="11"/>
  <c r="E517" i="11"/>
  <c r="D517" i="11"/>
  <c r="C517" i="11"/>
  <c r="B517" i="11"/>
  <c r="AF516" i="11"/>
  <c r="E516" i="11"/>
  <c r="D516" i="11"/>
  <c r="C516" i="11"/>
  <c r="B516" i="11"/>
  <c r="AF515" i="11"/>
  <c r="E515" i="11"/>
  <c r="D515" i="11"/>
  <c r="C515" i="11"/>
  <c r="B515" i="11"/>
  <c r="AF514" i="11"/>
  <c r="E514" i="11"/>
  <c r="D514" i="11"/>
  <c r="C514" i="11"/>
  <c r="B514" i="11"/>
  <c r="AF513" i="11"/>
  <c r="E513" i="11"/>
  <c r="D513" i="11"/>
  <c r="C513" i="11"/>
  <c r="B513" i="11"/>
  <c r="AF512" i="11"/>
  <c r="E512" i="11"/>
  <c r="D512" i="11"/>
  <c r="C512" i="11"/>
  <c r="B512" i="11"/>
  <c r="AF511" i="11"/>
  <c r="E511" i="11"/>
  <c r="D511" i="11"/>
  <c r="C511" i="11"/>
  <c r="B511" i="11"/>
  <c r="AF510" i="11"/>
  <c r="E510" i="11"/>
  <c r="D510" i="11"/>
  <c r="C510" i="11"/>
  <c r="B510" i="11"/>
  <c r="AF509" i="11"/>
  <c r="E509" i="11"/>
  <c r="D509" i="11"/>
  <c r="C509" i="11"/>
  <c r="B509" i="11"/>
  <c r="AF508" i="11"/>
  <c r="E508" i="11"/>
  <c r="D508" i="11"/>
  <c r="C508" i="11"/>
  <c r="B508" i="11"/>
  <c r="AF507" i="11"/>
  <c r="E507" i="11"/>
  <c r="D507" i="11"/>
  <c r="C507" i="11"/>
  <c r="B507" i="11"/>
  <c r="AF506" i="11"/>
  <c r="E506" i="11"/>
  <c r="D506" i="11"/>
  <c r="C506" i="11"/>
  <c r="B506" i="11"/>
  <c r="AF505" i="11"/>
  <c r="E505" i="11"/>
  <c r="D505" i="11"/>
  <c r="C505" i="11"/>
  <c r="B505" i="11"/>
  <c r="AF504" i="11"/>
  <c r="E504" i="11"/>
  <c r="D504" i="11"/>
  <c r="C504" i="11"/>
  <c r="B504" i="11"/>
  <c r="AF503" i="11"/>
  <c r="E503" i="11"/>
  <c r="D503" i="11"/>
  <c r="C503" i="11"/>
  <c r="B503" i="11"/>
  <c r="AF502" i="11"/>
  <c r="E502" i="11"/>
  <c r="D502" i="11"/>
  <c r="C502" i="11"/>
  <c r="B502" i="11"/>
  <c r="AF501" i="11"/>
  <c r="E501" i="11"/>
  <c r="D501" i="11"/>
  <c r="C501" i="11"/>
  <c r="B501" i="11"/>
  <c r="AF500" i="11"/>
  <c r="E500" i="11"/>
  <c r="D500" i="11"/>
  <c r="C500" i="11"/>
  <c r="B500" i="11"/>
  <c r="AF499" i="11"/>
  <c r="E499" i="11"/>
  <c r="D499" i="11"/>
  <c r="C499" i="11"/>
  <c r="B499" i="11"/>
  <c r="AF498" i="11"/>
  <c r="E498" i="11"/>
  <c r="D498" i="11"/>
  <c r="C498" i="11"/>
  <c r="B498" i="11"/>
  <c r="AF497" i="11"/>
  <c r="E497" i="11"/>
  <c r="D497" i="11"/>
  <c r="C497" i="11"/>
  <c r="B497" i="11"/>
  <c r="AF496" i="11"/>
  <c r="E496" i="11"/>
  <c r="D496" i="11"/>
  <c r="C496" i="11"/>
  <c r="B496" i="11"/>
  <c r="AF495" i="11"/>
  <c r="E495" i="11"/>
  <c r="D495" i="11"/>
  <c r="C495" i="11"/>
  <c r="B495" i="11"/>
  <c r="AF494" i="11"/>
  <c r="E494" i="11"/>
  <c r="D494" i="11"/>
  <c r="C494" i="11"/>
  <c r="B494" i="11"/>
  <c r="AF493" i="11"/>
  <c r="E493" i="11"/>
  <c r="D493" i="11"/>
  <c r="C493" i="11"/>
  <c r="B493" i="11"/>
  <c r="AF492" i="11"/>
  <c r="E492" i="11"/>
  <c r="D492" i="11"/>
  <c r="C492" i="11"/>
  <c r="B492" i="11"/>
  <c r="AF491" i="11"/>
  <c r="E491" i="11"/>
  <c r="D491" i="11"/>
  <c r="C491" i="11"/>
  <c r="B491" i="11"/>
  <c r="AF490" i="11"/>
  <c r="E490" i="11"/>
  <c r="D490" i="11"/>
  <c r="C490" i="11"/>
  <c r="B490" i="11"/>
  <c r="AF489" i="11"/>
  <c r="E489" i="11"/>
  <c r="D489" i="11"/>
  <c r="C489" i="11"/>
  <c r="B489" i="11"/>
  <c r="AF488" i="11"/>
  <c r="E488" i="11"/>
  <c r="D488" i="11"/>
  <c r="C488" i="11"/>
  <c r="B488" i="11"/>
  <c r="AF487" i="11"/>
  <c r="E487" i="11"/>
  <c r="D487" i="11"/>
  <c r="C487" i="11"/>
  <c r="B487" i="11"/>
  <c r="AF486" i="11"/>
  <c r="E486" i="11"/>
  <c r="D486" i="11"/>
  <c r="C486" i="11"/>
  <c r="B486" i="11"/>
  <c r="AF485" i="11"/>
  <c r="E485" i="11"/>
  <c r="D485" i="11"/>
  <c r="C485" i="11"/>
  <c r="B485" i="11"/>
  <c r="AF484" i="11"/>
  <c r="E484" i="11"/>
  <c r="D484" i="11"/>
  <c r="C484" i="11"/>
  <c r="B484" i="11"/>
  <c r="AF483" i="11"/>
  <c r="E483" i="11"/>
  <c r="D483" i="11"/>
  <c r="C483" i="11"/>
  <c r="B483" i="11"/>
  <c r="AF482" i="11"/>
  <c r="E482" i="11"/>
  <c r="D482" i="11"/>
  <c r="C482" i="11"/>
  <c r="B482" i="11"/>
  <c r="AF481" i="11"/>
  <c r="E481" i="11"/>
  <c r="D481" i="11"/>
  <c r="C481" i="11"/>
  <c r="B481" i="11"/>
  <c r="AF480" i="11"/>
  <c r="E480" i="11"/>
  <c r="D480" i="11"/>
  <c r="C480" i="11"/>
  <c r="B480" i="11"/>
  <c r="AF479" i="11"/>
  <c r="E479" i="11"/>
  <c r="D479" i="11"/>
  <c r="C479" i="11"/>
  <c r="B479" i="11"/>
  <c r="AF478" i="11"/>
  <c r="E478" i="11"/>
  <c r="D478" i="11"/>
  <c r="C478" i="11"/>
  <c r="B478" i="11"/>
  <c r="AF477" i="11"/>
  <c r="E477" i="11"/>
  <c r="D477" i="11"/>
  <c r="C477" i="11"/>
  <c r="B477" i="11"/>
  <c r="AF476" i="11"/>
  <c r="E476" i="11"/>
  <c r="D476" i="11"/>
  <c r="C476" i="11"/>
  <c r="B476" i="11"/>
  <c r="AF475" i="11"/>
  <c r="E475" i="11"/>
  <c r="D475" i="11"/>
  <c r="C475" i="11"/>
  <c r="B475" i="11"/>
  <c r="AF474" i="11"/>
  <c r="E474" i="11"/>
  <c r="D474" i="11"/>
  <c r="C474" i="11"/>
  <c r="B474" i="11"/>
  <c r="AF473" i="11"/>
  <c r="E473" i="11"/>
  <c r="D473" i="11"/>
  <c r="C473" i="11"/>
  <c r="B473" i="11"/>
  <c r="AF472" i="11"/>
  <c r="E472" i="11"/>
  <c r="D472" i="11"/>
  <c r="C472" i="11"/>
  <c r="B472" i="11"/>
  <c r="AF471" i="11"/>
  <c r="E471" i="11"/>
  <c r="D471" i="11"/>
  <c r="C471" i="11"/>
  <c r="B471" i="11"/>
  <c r="AF470" i="11"/>
  <c r="E470" i="11"/>
  <c r="D470" i="11"/>
  <c r="C470" i="11"/>
  <c r="B470" i="11"/>
  <c r="AF469" i="11"/>
  <c r="E469" i="11"/>
  <c r="D469" i="11"/>
  <c r="C469" i="11"/>
  <c r="B469" i="11"/>
  <c r="AF468" i="11"/>
  <c r="E468" i="11"/>
  <c r="D468" i="11"/>
  <c r="C468" i="11"/>
  <c r="B468" i="11"/>
  <c r="AF467" i="11"/>
  <c r="E467" i="11"/>
  <c r="D467" i="11"/>
  <c r="C467" i="11"/>
  <c r="B467" i="11"/>
  <c r="AF466" i="11"/>
  <c r="E466" i="11"/>
  <c r="D466" i="11"/>
  <c r="C466" i="11"/>
  <c r="B466" i="11"/>
  <c r="AF465" i="11"/>
  <c r="E465" i="11"/>
  <c r="D465" i="11"/>
  <c r="C465" i="11"/>
  <c r="B465" i="11"/>
  <c r="AF464" i="11"/>
  <c r="E464" i="11"/>
  <c r="D464" i="11"/>
  <c r="C464" i="11"/>
  <c r="B464" i="11"/>
  <c r="AF463" i="11"/>
  <c r="E463" i="11"/>
  <c r="D463" i="11"/>
  <c r="C463" i="11"/>
  <c r="B463" i="11"/>
  <c r="AF462" i="11"/>
  <c r="E462" i="11"/>
  <c r="D462" i="11"/>
  <c r="C462" i="11"/>
  <c r="B462" i="11"/>
  <c r="AF461" i="11"/>
  <c r="E461" i="11"/>
  <c r="D461" i="11"/>
  <c r="C461" i="11"/>
  <c r="B461" i="11"/>
  <c r="AF460" i="11"/>
  <c r="E460" i="11"/>
  <c r="D460" i="11"/>
  <c r="C460" i="11"/>
  <c r="B460" i="11"/>
  <c r="AF459" i="11"/>
  <c r="E459" i="11"/>
  <c r="D459" i="11"/>
  <c r="C459" i="11"/>
  <c r="B459" i="11"/>
  <c r="AF458" i="11"/>
  <c r="E458" i="11"/>
  <c r="D458" i="11"/>
  <c r="C458" i="11"/>
  <c r="B458" i="11"/>
  <c r="AF457" i="11"/>
  <c r="E457" i="11"/>
  <c r="D457" i="11"/>
  <c r="C457" i="11"/>
  <c r="B457" i="11"/>
  <c r="AF456" i="11"/>
  <c r="E456" i="11"/>
  <c r="D456" i="11"/>
  <c r="C456" i="11"/>
  <c r="B456" i="11"/>
  <c r="AF455" i="11"/>
  <c r="E455" i="11"/>
  <c r="D455" i="11"/>
  <c r="C455" i="11"/>
  <c r="B455" i="11"/>
  <c r="AF454" i="11"/>
  <c r="E454" i="11"/>
  <c r="D454" i="11"/>
  <c r="C454" i="11"/>
  <c r="B454" i="11"/>
  <c r="AF453" i="11"/>
  <c r="E453" i="11"/>
  <c r="D453" i="11"/>
  <c r="C453" i="11"/>
  <c r="B453" i="11"/>
  <c r="AF452" i="11"/>
  <c r="E452" i="11"/>
  <c r="D452" i="11"/>
  <c r="C452" i="11"/>
  <c r="B452" i="11"/>
  <c r="AF451" i="11"/>
  <c r="E451" i="11"/>
  <c r="D451" i="11"/>
  <c r="C451" i="11"/>
  <c r="B451" i="11"/>
  <c r="AF450" i="11"/>
  <c r="E450" i="11"/>
  <c r="D450" i="11"/>
  <c r="C450" i="11"/>
  <c r="B450" i="11"/>
  <c r="AF449" i="11"/>
  <c r="E449" i="11"/>
  <c r="D449" i="11"/>
  <c r="C449" i="11"/>
  <c r="B449" i="11"/>
  <c r="AF448" i="11"/>
  <c r="E448" i="11"/>
  <c r="D448" i="11"/>
  <c r="C448" i="11"/>
  <c r="B448" i="11"/>
  <c r="AF447" i="11"/>
  <c r="E447" i="11"/>
  <c r="D447" i="11"/>
  <c r="C447" i="11"/>
  <c r="B447" i="11"/>
  <c r="AF446" i="11"/>
  <c r="E446" i="11"/>
  <c r="D446" i="11"/>
  <c r="C446" i="11"/>
  <c r="B446" i="11"/>
  <c r="AF445" i="11"/>
  <c r="E445" i="11"/>
  <c r="D445" i="11"/>
  <c r="C445" i="11"/>
  <c r="B445" i="11"/>
  <c r="AF444" i="11"/>
  <c r="E444" i="11"/>
  <c r="D444" i="11"/>
  <c r="C444" i="11"/>
  <c r="B444" i="11"/>
  <c r="AF443" i="11"/>
  <c r="E443" i="11"/>
  <c r="D443" i="11"/>
  <c r="C443" i="11"/>
  <c r="B443" i="11"/>
  <c r="AF442" i="11"/>
  <c r="E442" i="11"/>
  <c r="D442" i="11"/>
  <c r="C442" i="11"/>
  <c r="B442" i="11"/>
  <c r="AF441" i="11"/>
  <c r="E441" i="11"/>
  <c r="D441" i="11"/>
  <c r="C441" i="11"/>
  <c r="B441" i="11"/>
  <c r="AF440" i="11"/>
  <c r="E440" i="11"/>
  <c r="D440" i="11"/>
  <c r="C440" i="11"/>
  <c r="B440" i="11"/>
  <c r="AF439" i="11"/>
  <c r="E439" i="11"/>
  <c r="D439" i="11"/>
  <c r="C439" i="11"/>
  <c r="B439" i="11"/>
  <c r="AF438" i="11"/>
  <c r="E438" i="11"/>
  <c r="D438" i="11"/>
  <c r="C438" i="11"/>
  <c r="B438" i="11"/>
  <c r="AF437" i="11"/>
  <c r="E437" i="11"/>
  <c r="D437" i="11"/>
  <c r="C437" i="11"/>
  <c r="B437" i="11"/>
  <c r="AF436" i="11"/>
  <c r="E436" i="11"/>
  <c r="D436" i="11"/>
  <c r="C436" i="11"/>
  <c r="B436" i="11"/>
  <c r="AF435" i="11"/>
  <c r="E435" i="11"/>
  <c r="D435" i="11"/>
  <c r="C435" i="11"/>
  <c r="B435" i="11"/>
  <c r="AF434" i="11"/>
  <c r="E434" i="11"/>
  <c r="D434" i="11"/>
  <c r="C434" i="11"/>
  <c r="B434" i="11"/>
  <c r="AF433" i="11"/>
  <c r="E433" i="11"/>
  <c r="D433" i="11"/>
  <c r="C433" i="11"/>
  <c r="B433" i="11"/>
  <c r="AF432" i="11"/>
  <c r="E432" i="11"/>
  <c r="D432" i="11"/>
  <c r="C432" i="11"/>
  <c r="B432" i="11"/>
  <c r="AF431" i="11"/>
  <c r="E431" i="11"/>
  <c r="D431" i="11"/>
  <c r="C431" i="11"/>
  <c r="B431" i="11"/>
  <c r="AF430" i="11"/>
  <c r="E430" i="11"/>
  <c r="D430" i="11"/>
  <c r="C430" i="11"/>
  <c r="B430" i="11"/>
  <c r="AF429" i="11"/>
  <c r="E429" i="11"/>
  <c r="D429" i="11"/>
  <c r="C429" i="11"/>
  <c r="B429" i="11"/>
  <c r="AF428" i="11"/>
  <c r="E428" i="11"/>
  <c r="D428" i="11"/>
  <c r="C428" i="11"/>
  <c r="B428" i="11"/>
  <c r="AF427" i="11"/>
  <c r="E427" i="11"/>
  <c r="D427" i="11"/>
  <c r="C427" i="11"/>
  <c r="B427" i="11"/>
  <c r="AF426" i="11"/>
  <c r="E426" i="11"/>
  <c r="D426" i="11"/>
  <c r="C426" i="11"/>
  <c r="B426" i="11"/>
  <c r="AF425" i="11"/>
  <c r="E425" i="11"/>
  <c r="D425" i="11"/>
  <c r="C425" i="11"/>
  <c r="B425" i="11"/>
  <c r="AF424" i="11"/>
  <c r="E424" i="11"/>
  <c r="D424" i="11"/>
  <c r="C424" i="11"/>
  <c r="B424" i="11"/>
  <c r="AF423" i="11"/>
  <c r="E423" i="11"/>
  <c r="D423" i="11"/>
  <c r="C423" i="11"/>
  <c r="B423" i="11"/>
  <c r="AF422" i="11"/>
  <c r="E422" i="11"/>
  <c r="D422" i="11"/>
  <c r="C422" i="11"/>
  <c r="B422" i="11"/>
  <c r="AF421" i="11"/>
  <c r="E421" i="11"/>
  <c r="D421" i="11"/>
  <c r="C421" i="11"/>
  <c r="B421" i="11"/>
  <c r="AF420" i="11"/>
  <c r="E420" i="11"/>
  <c r="D420" i="11"/>
  <c r="C420" i="11"/>
  <c r="B420" i="11"/>
  <c r="AF419" i="11"/>
  <c r="E419" i="11"/>
  <c r="D419" i="11"/>
  <c r="C419" i="11"/>
  <c r="B419" i="11"/>
  <c r="AF418" i="11"/>
  <c r="E418" i="11"/>
  <c r="D418" i="11"/>
  <c r="C418" i="11"/>
  <c r="B418" i="11"/>
  <c r="AF417" i="11"/>
  <c r="E417" i="11"/>
  <c r="D417" i="11"/>
  <c r="C417" i="11"/>
  <c r="B417" i="11"/>
  <c r="AF416" i="11"/>
  <c r="E416" i="11"/>
  <c r="D416" i="11"/>
  <c r="C416" i="11"/>
  <c r="B416" i="11"/>
  <c r="AF415" i="11"/>
  <c r="E415" i="11"/>
  <c r="D415" i="11"/>
  <c r="C415" i="11"/>
  <c r="B415" i="11"/>
  <c r="AF414" i="11"/>
  <c r="E414" i="11"/>
  <c r="D414" i="11"/>
  <c r="C414" i="11"/>
  <c r="B414" i="11"/>
  <c r="AF413" i="11"/>
  <c r="E413" i="11"/>
  <c r="D413" i="11"/>
  <c r="C413" i="11"/>
  <c r="B413" i="11"/>
  <c r="AF412" i="11"/>
  <c r="E412" i="11"/>
  <c r="D412" i="11"/>
  <c r="C412" i="11"/>
  <c r="B412" i="11"/>
  <c r="AF411" i="11"/>
  <c r="E411" i="11"/>
  <c r="D411" i="11"/>
  <c r="C411" i="11"/>
  <c r="B411" i="11"/>
  <c r="AF410" i="11"/>
  <c r="E410" i="11"/>
  <c r="D410" i="11"/>
  <c r="C410" i="11"/>
  <c r="B410" i="11"/>
  <c r="AF409" i="11"/>
  <c r="E409" i="11"/>
  <c r="D409" i="11"/>
  <c r="C409" i="11"/>
  <c r="B409" i="11"/>
  <c r="AF408" i="11"/>
  <c r="E408" i="11"/>
  <c r="D408" i="11"/>
  <c r="C408" i="11"/>
  <c r="B408" i="11"/>
  <c r="AF407" i="11"/>
  <c r="E407" i="11"/>
  <c r="D407" i="11"/>
  <c r="C407" i="11"/>
  <c r="B407" i="11"/>
  <c r="AF406" i="11"/>
  <c r="E406" i="11"/>
  <c r="D406" i="11"/>
  <c r="C406" i="11"/>
  <c r="B406" i="11"/>
  <c r="AF405" i="11"/>
  <c r="E405" i="11"/>
  <c r="D405" i="11"/>
  <c r="C405" i="11"/>
  <c r="B405" i="11"/>
  <c r="AF404" i="11"/>
  <c r="E404" i="11"/>
  <c r="D404" i="11"/>
  <c r="C404" i="11"/>
  <c r="B404" i="11"/>
  <c r="AF403" i="11"/>
  <c r="E403" i="11"/>
  <c r="D403" i="11"/>
  <c r="C403" i="11"/>
  <c r="B403" i="11"/>
  <c r="AF402" i="11"/>
  <c r="E402" i="11"/>
  <c r="D402" i="11"/>
  <c r="C402" i="11"/>
  <c r="B402" i="11"/>
  <c r="AF401" i="11"/>
  <c r="E401" i="11"/>
  <c r="D401" i="11"/>
  <c r="C401" i="11"/>
  <c r="B401" i="11"/>
  <c r="AF400" i="11"/>
  <c r="E400" i="11"/>
  <c r="D400" i="11"/>
  <c r="C400" i="11"/>
  <c r="B400" i="11"/>
  <c r="AF399" i="11"/>
  <c r="E399" i="11"/>
  <c r="D399" i="11"/>
  <c r="C399" i="11"/>
  <c r="B399" i="11"/>
  <c r="AF398" i="11"/>
  <c r="E398" i="11"/>
  <c r="D398" i="11"/>
  <c r="C398" i="11"/>
  <c r="B398" i="11"/>
  <c r="AF397" i="11"/>
  <c r="E397" i="11"/>
  <c r="D397" i="11"/>
  <c r="C397" i="11"/>
  <c r="B397" i="11"/>
  <c r="AF396" i="11"/>
  <c r="E396" i="11"/>
  <c r="D396" i="11"/>
  <c r="C396" i="11"/>
  <c r="B396" i="11"/>
  <c r="AF395" i="11"/>
  <c r="E395" i="11"/>
  <c r="D395" i="11"/>
  <c r="C395" i="11"/>
  <c r="B395" i="11"/>
  <c r="AF394" i="11"/>
  <c r="E394" i="11"/>
  <c r="D394" i="11"/>
  <c r="C394" i="11"/>
  <c r="B394" i="11"/>
  <c r="AF393" i="11"/>
  <c r="E393" i="11"/>
  <c r="D393" i="11"/>
  <c r="C393" i="11"/>
  <c r="B393" i="11"/>
  <c r="AF392" i="11"/>
  <c r="E392" i="11"/>
  <c r="D392" i="11"/>
  <c r="C392" i="11"/>
  <c r="B392" i="11"/>
  <c r="AF391" i="11"/>
  <c r="E391" i="11"/>
  <c r="D391" i="11"/>
  <c r="C391" i="11"/>
  <c r="B391" i="11"/>
  <c r="AF390" i="11"/>
  <c r="E390" i="11"/>
  <c r="D390" i="11"/>
  <c r="C390" i="11"/>
  <c r="B390" i="11"/>
  <c r="AF389" i="11"/>
  <c r="E389" i="11"/>
  <c r="D389" i="11"/>
  <c r="C389" i="11"/>
  <c r="B389" i="11"/>
  <c r="AF388" i="11"/>
  <c r="E388" i="11"/>
  <c r="D388" i="11"/>
  <c r="C388" i="11"/>
  <c r="B388" i="11"/>
  <c r="AF387" i="11"/>
  <c r="E387" i="11"/>
  <c r="D387" i="11"/>
  <c r="C387" i="11"/>
  <c r="B387" i="11"/>
  <c r="AF386" i="11"/>
  <c r="E386" i="11"/>
  <c r="D386" i="11"/>
  <c r="C386" i="11"/>
  <c r="B386" i="11"/>
  <c r="AF385" i="11"/>
  <c r="E385" i="11"/>
  <c r="D385" i="11"/>
  <c r="C385" i="11"/>
  <c r="B385" i="11"/>
  <c r="AF384" i="11"/>
  <c r="E384" i="11"/>
  <c r="D384" i="11"/>
  <c r="C384" i="11"/>
  <c r="B384" i="11"/>
  <c r="AF383" i="11"/>
  <c r="E383" i="11"/>
  <c r="D383" i="11"/>
  <c r="C383" i="11"/>
  <c r="B383" i="11"/>
  <c r="AF382" i="11"/>
  <c r="E382" i="11"/>
  <c r="D382" i="11"/>
  <c r="C382" i="11"/>
  <c r="B382" i="11"/>
  <c r="AF381" i="11"/>
  <c r="E381" i="11"/>
  <c r="D381" i="11"/>
  <c r="C381" i="11"/>
  <c r="B381" i="11"/>
  <c r="AF380" i="11"/>
  <c r="E380" i="11"/>
  <c r="D380" i="11"/>
  <c r="C380" i="11"/>
  <c r="B380" i="11"/>
  <c r="AF379" i="11"/>
  <c r="E379" i="11"/>
  <c r="D379" i="11"/>
  <c r="C379" i="11"/>
  <c r="B379" i="11"/>
  <c r="AF378" i="11"/>
  <c r="E378" i="11"/>
  <c r="D378" i="11"/>
  <c r="C378" i="11"/>
  <c r="B378" i="11"/>
  <c r="AF377" i="11"/>
  <c r="E377" i="11"/>
  <c r="D377" i="11"/>
  <c r="C377" i="11"/>
  <c r="B377" i="11"/>
  <c r="AF376" i="11"/>
  <c r="E376" i="11"/>
  <c r="D376" i="11"/>
  <c r="C376" i="11"/>
  <c r="B376" i="11"/>
  <c r="AF375" i="11"/>
  <c r="E375" i="11"/>
  <c r="D375" i="11"/>
  <c r="C375" i="11"/>
  <c r="B375" i="11"/>
  <c r="AF374" i="11"/>
  <c r="E374" i="11"/>
  <c r="D374" i="11"/>
  <c r="C374" i="11"/>
  <c r="B374" i="11"/>
  <c r="AF373" i="11"/>
  <c r="E373" i="11"/>
  <c r="D373" i="11"/>
  <c r="C373" i="11"/>
  <c r="B373" i="11"/>
  <c r="AF372" i="11"/>
  <c r="E372" i="11"/>
  <c r="D372" i="11"/>
  <c r="C372" i="11"/>
  <c r="B372" i="11"/>
  <c r="AF371" i="11"/>
  <c r="E371" i="11"/>
  <c r="D371" i="11"/>
  <c r="C371" i="11"/>
  <c r="B371" i="11"/>
  <c r="AF370" i="11"/>
  <c r="E370" i="11"/>
  <c r="D370" i="11"/>
  <c r="C370" i="11"/>
  <c r="B370" i="11"/>
  <c r="AF369" i="11"/>
  <c r="E369" i="11"/>
  <c r="D369" i="11"/>
  <c r="C369" i="11"/>
  <c r="B369" i="11"/>
  <c r="AF368" i="11"/>
  <c r="E368" i="11"/>
  <c r="D368" i="11"/>
  <c r="C368" i="11"/>
  <c r="B368" i="11"/>
  <c r="AF367" i="11"/>
  <c r="E367" i="11"/>
  <c r="D367" i="11"/>
  <c r="C367" i="11"/>
  <c r="B367" i="11"/>
  <c r="AF366" i="11"/>
  <c r="E366" i="11"/>
  <c r="D366" i="11"/>
  <c r="C366" i="11"/>
  <c r="B366" i="11"/>
  <c r="AF365" i="11"/>
  <c r="E365" i="11"/>
  <c r="D365" i="11"/>
  <c r="C365" i="11"/>
  <c r="B365" i="11"/>
  <c r="AF364" i="11"/>
  <c r="E364" i="11"/>
  <c r="D364" i="11"/>
  <c r="C364" i="11"/>
  <c r="B364" i="11"/>
  <c r="AF363" i="11"/>
  <c r="E363" i="11"/>
  <c r="D363" i="11"/>
  <c r="C363" i="11"/>
  <c r="B363" i="11"/>
  <c r="AF362" i="11"/>
  <c r="E362" i="11"/>
  <c r="D362" i="11"/>
  <c r="C362" i="11"/>
  <c r="B362" i="11"/>
  <c r="AF361" i="11"/>
  <c r="E361" i="11"/>
  <c r="D361" i="11"/>
  <c r="C361" i="11"/>
  <c r="B361" i="11"/>
  <c r="AF360" i="11"/>
  <c r="E360" i="11"/>
  <c r="D360" i="11"/>
  <c r="C360" i="11"/>
  <c r="B360" i="11"/>
  <c r="AF359" i="11"/>
  <c r="E359" i="11"/>
  <c r="D359" i="11"/>
  <c r="C359" i="11"/>
  <c r="B359" i="11"/>
  <c r="AF358" i="11"/>
  <c r="E358" i="11"/>
  <c r="D358" i="11"/>
  <c r="C358" i="11"/>
  <c r="B358" i="11"/>
  <c r="AF357" i="11"/>
  <c r="E357" i="11"/>
  <c r="D357" i="11"/>
  <c r="C357" i="11"/>
  <c r="B357" i="11"/>
  <c r="AF356" i="11"/>
  <c r="E356" i="11"/>
  <c r="D356" i="11"/>
  <c r="C356" i="11"/>
  <c r="B356" i="11"/>
  <c r="AF355" i="11"/>
  <c r="E355" i="11"/>
  <c r="D355" i="11"/>
  <c r="C355" i="11"/>
  <c r="B355" i="11"/>
  <c r="AF354" i="11"/>
  <c r="E354" i="11"/>
  <c r="D354" i="11"/>
  <c r="C354" i="11"/>
  <c r="B354" i="11"/>
  <c r="AF353" i="11"/>
  <c r="E353" i="11"/>
  <c r="D353" i="11"/>
  <c r="C353" i="11"/>
  <c r="B353" i="11"/>
  <c r="AF352" i="11"/>
  <c r="E352" i="11"/>
  <c r="D352" i="11"/>
  <c r="C352" i="11"/>
  <c r="B352" i="11"/>
  <c r="AF351" i="11"/>
  <c r="E351" i="11"/>
  <c r="D351" i="11"/>
  <c r="C351" i="11"/>
  <c r="B351" i="11"/>
  <c r="AF350" i="11"/>
  <c r="E350" i="11"/>
  <c r="D350" i="11"/>
  <c r="C350" i="11"/>
  <c r="B350" i="11"/>
  <c r="AF349" i="11"/>
  <c r="E349" i="11"/>
  <c r="D349" i="11"/>
  <c r="C349" i="11"/>
  <c r="B349" i="11"/>
  <c r="AF348" i="11"/>
  <c r="E348" i="11"/>
  <c r="D348" i="11"/>
  <c r="C348" i="11"/>
  <c r="B348" i="11"/>
  <c r="AF347" i="11"/>
  <c r="E347" i="11"/>
  <c r="D347" i="11"/>
  <c r="C347" i="11"/>
  <c r="B347" i="11"/>
  <c r="AF346" i="11"/>
  <c r="E346" i="11"/>
  <c r="D346" i="11"/>
  <c r="C346" i="11"/>
  <c r="B346" i="11"/>
  <c r="AF345" i="11"/>
  <c r="E345" i="11"/>
  <c r="D345" i="11"/>
  <c r="C345" i="11"/>
  <c r="B345" i="11"/>
  <c r="AF344" i="11"/>
  <c r="E344" i="11"/>
  <c r="D344" i="11"/>
  <c r="C344" i="11"/>
  <c r="B344" i="11"/>
  <c r="AF343" i="11"/>
  <c r="E343" i="11"/>
  <c r="D343" i="11"/>
  <c r="C343" i="11"/>
  <c r="B343" i="11"/>
  <c r="AF342" i="11"/>
  <c r="E342" i="11"/>
  <c r="D342" i="11"/>
  <c r="C342" i="11"/>
  <c r="B342" i="11"/>
  <c r="AF341" i="11"/>
  <c r="E341" i="11"/>
  <c r="D341" i="11"/>
  <c r="C341" i="11"/>
  <c r="B341" i="11"/>
  <c r="AF340" i="11"/>
  <c r="E340" i="11"/>
  <c r="D340" i="11"/>
  <c r="C340" i="11"/>
  <c r="B340" i="11"/>
  <c r="AF339" i="11"/>
  <c r="E339" i="11"/>
  <c r="D339" i="11"/>
  <c r="C339" i="11"/>
  <c r="B339" i="11"/>
  <c r="AF338" i="11"/>
  <c r="E338" i="11"/>
  <c r="D338" i="11"/>
  <c r="C338" i="11"/>
  <c r="B338" i="11"/>
  <c r="AF337" i="11"/>
  <c r="E337" i="11"/>
  <c r="D337" i="11"/>
  <c r="C337" i="11"/>
  <c r="B337" i="11"/>
  <c r="AF336" i="11"/>
  <c r="E336" i="11"/>
  <c r="D336" i="11"/>
  <c r="C336" i="11"/>
  <c r="B336" i="11"/>
  <c r="AF335" i="11"/>
  <c r="E335" i="11"/>
  <c r="D335" i="11"/>
  <c r="C335" i="11"/>
  <c r="B335" i="11"/>
  <c r="AF334" i="11"/>
  <c r="E334" i="11"/>
  <c r="D334" i="11"/>
  <c r="C334" i="11"/>
  <c r="B334" i="11"/>
  <c r="AF333" i="11"/>
  <c r="E333" i="11"/>
  <c r="D333" i="11"/>
  <c r="C333" i="11"/>
  <c r="B333" i="11"/>
  <c r="AF332" i="11"/>
  <c r="E332" i="11"/>
  <c r="D332" i="11"/>
  <c r="C332" i="11"/>
  <c r="B332" i="11"/>
  <c r="AF331" i="11"/>
  <c r="E331" i="11"/>
  <c r="D331" i="11"/>
  <c r="C331" i="11"/>
  <c r="B331" i="11"/>
  <c r="AF330" i="11"/>
  <c r="E330" i="11"/>
  <c r="D330" i="11"/>
  <c r="C330" i="11"/>
  <c r="B330" i="11"/>
  <c r="AF329" i="11"/>
  <c r="E329" i="11"/>
  <c r="D329" i="11"/>
  <c r="C329" i="11"/>
  <c r="B329" i="11"/>
  <c r="AF328" i="11"/>
  <c r="E328" i="11"/>
  <c r="D328" i="11"/>
  <c r="C328" i="11"/>
  <c r="B328" i="11"/>
  <c r="AF327" i="11"/>
  <c r="E327" i="11"/>
  <c r="D327" i="11"/>
  <c r="C327" i="11"/>
  <c r="B327" i="11"/>
  <c r="AF326" i="11"/>
  <c r="E326" i="11"/>
  <c r="D326" i="11"/>
  <c r="C326" i="11"/>
  <c r="B326" i="11"/>
  <c r="AF325" i="11"/>
  <c r="E325" i="11"/>
  <c r="D325" i="11"/>
  <c r="C325" i="11"/>
  <c r="B325" i="11"/>
  <c r="AF324" i="11"/>
  <c r="E324" i="11"/>
  <c r="D324" i="11"/>
  <c r="C324" i="11"/>
  <c r="B324" i="11"/>
  <c r="AF323" i="11"/>
  <c r="E323" i="11"/>
  <c r="D323" i="11"/>
  <c r="C323" i="11"/>
  <c r="B323" i="11"/>
  <c r="AF322" i="11"/>
  <c r="E322" i="11"/>
  <c r="D322" i="11"/>
  <c r="C322" i="11"/>
  <c r="B322" i="11"/>
  <c r="AF321" i="11"/>
  <c r="E321" i="11"/>
  <c r="D321" i="11"/>
  <c r="C321" i="11"/>
  <c r="B321" i="11"/>
  <c r="AF320" i="11"/>
  <c r="E320" i="11"/>
  <c r="D320" i="11"/>
  <c r="C320" i="11"/>
  <c r="B320" i="11"/>
  <c r="AF319" i="11"/>
  <c r="E319" i="11"/>
  <c r="D319" i="11"/>
  <c r="C319" i="11"/>
  <c r="B319" i="11"/>
  <c r="AF318" i="11"/>
  <c r="E318" i="11"/>
  <c r="D318" i="11"/>
  <c r="C318" i="11"/>
  <c r="B318" i="11"/>
  <c r="AF317" i="11"/>
  <c r="E317" i="11"/>
  <c r="D317" i="11"/>
  <c r="C317" i="11"/>
  <c r="B317" i="11"/>
  <c r="AF316" i="11"/>
  <c r="E316" i="11"/>
  <c r="D316" i="11"/>
  <c r="C316" i="11"/>
  <c r="B316" i="11"/>
  <c r="AF315" i="11"/>
  <c r="E315" i="11"/>
  <c r="D315" i="11"/>
  <c r="C315" i="11"/>
  <c r="B315" i="11"/>
  <c r="AF314" i="11"/>
  <c r="E314" i="11"/>
  <c r="D314" i="11"/>
  <c r="C314" i="11"/>
  <c r="B314" i="11"/>
  <c r="AF313" i="11"/>
  <c r="E313" i="11"/>
  <c r="D313" i="11"/>
  <c r="C313" i="11"/>
  <c r="B313" i="11"/>
  <c r="AF312" i="11"/>
  <c r="E312" i="11"/>
  <c r="D312" i="11"/>
  <c r="C312" i="11"/>
  <c r="B312" i="11"/>
  <c r="AF311" i="11"/>
  <c r="E311" i="11"/>
  <c r="D311" i="11"/>
  <c r="C311" i="11"/>
  <c r="B311" i="11"/>
  <c r="AF310" i="11"/>
  <c r="E310" i="11"/>
  <c r="D310" i="11"/>
  <c r="C310" i="11"/>
  <c r="B310" i="11"/>
  <c r="AF309" i="11"/>
  <c r="E309" i="11"/>
  <c r="D309" i="11"/>
  <c r="C309" i="11"/>
  <c r="B309" i="11"/>
  <c r="AF308" i="11"/>
  <c r="E308" i="11"/>
  <c r="D308" i="11"/>
  <c r="C308" i="11"/>
  <c r="B308" i="11"/>
  <c r="AF307" i="11"/>
  <c r="E307" i="11"/>
  <c r="D307" i="11"/>
  <c r="C307" i="11"/>
  <c r="B307" i="11"/>
  <c r="AF306" i="11"/>
  <c r="E306" i="11"/>
  <c r="D306" i="11"/>
  <c r="C306" i="11"/>
  <c r="B306" i="11"/>
  <c r="AF305" i="11"/>
  <c r="E305" i="11"/>
  <c r="D305" i="11"/>
  <c r="C305" i="11"/>
  <c r="B305" i="11"/>
  <c r="AF304" i="11"/>
  <c r="E304" i="11"/>
  <c r="D304" i="11"/>
  <c r="C304" i="11"/>
  <c r="B304" i="11"/>
  <c r="AF303" i="11"/>
  <c r="E303" i="11"/>
  <c r="D303" i="11"/>
  <c r="C303" i="11"/>
  <c r="B303" i="11"/>
  <c r="AF302" i="11"/>
  <c r="E302" i="11"/>
  <c r="D302" i="11"/>
  <c r="C302" i="11"/>
  <c r="B302" i="11"/>
  <c r="AF301" i="11"/>
  <c r="E301" i="11"/>
  <c r="D301" i="11"/>
  <c r="C301" i="11"/>
  <c r="B301" i="11"/>
  <c r="AF300" i="11"/>
  <c r="E300" i="11"/>
  <c r="D300" i="11"/>
  <c r="C300" i="11"/>
  <c r="B300" i="11"/>
  <c r="AF299" i="11"/>
  <c r="E299" i="11"/>
  <c r="D299" i="11"/>
  <c r="C299" i="11"/>
  <c r="B299" i="11"/>
  <c r="AF298" i="11"/>
  <c r="E298" i="11"/>
  <c r="D298" i="11"/>
  <c r="C298" i="11"/>
  <c r="B298" i="11"/>
  <c r="AF297" i="11"/>
  <c r="E297" i="11"/>
  <c r="D297" i="11"/>
  <c r="C297" i="11"/>
  <c r="B297" i="11"/>
  <c r="AF296" i="11"/>
  <c r="E296" i="11"/>
  <c r="D296" i="11"/>
  <c r="C296" i="11"/>
  <c r="B296" i="11"/>
  <c r="AF295" i="11"/>
  <c r="E295" i="11"/>
  <c r="D295" i="11"/>
  <c r="C295" i="11"/>
  <c r="B295" i="11"/>
  <c r="AF294" i="11"/>
  <c r="E294" i="11"/>
  <c r="D294" i="11"/>
  <c r="C294" i="11"/>
  <c r="B294" i="11"/>
  <c r="AF293" i="11"/>
  <c r="E293" i="11"/>
  <c r="D293" i="11"/>
  <c r="C293" i="11"/>
  <c r="B293" i="11"/>
  <c r="AF292" i="11"/>
  <c r="E292" i="11"/>
  <c r="D292" i="11"/>
  <c r="C292" i="11"/>
  <c r="B292" i="11"/>
  <c r="AF291" i="11"/>
  <c r="E291" i="11"/>
  <c r="D291" i="11"/>
  <c r="C291" i="11"/>
  <c r="B291" i="11"/>
  <c r="AF290" i="11"/>
  <c r="E290" i="11"/>
  <c r="D290" i="11"/>
  <c r="C290" i="11"/>
  <c r="B290" i="11"/>
  <c r="AF289" i="11"/>
  <c r="E289" i="11"/>
  <c r="D289" i="11"/>
  <c r="C289" i="11"/>
  <c r="B289" i="11"/>
  <c r="AF288" i="11"/>
  <c r="E288" i="11"/>
  <c r="D288" i="11"/>
  <c r="C288" i="11"/>
  <c r="B288" i="11"/>
  <c r="AF287" i="11"/>
  <c r="E287" i="11"/>
  <c r="D287" i="11"/>
  <c r="C287" i="11"/>
  <c r="B287" i="11"/>
  <c r="AF286" i="11"/>
  <c r="E286" i="11"/>
  <c r="D286" i="11"/>
  <c r="C286" i="11"/>
  <c r="B286" i="11"/>
  <c r="AF285" i="11"/>
  <c r="E285" i="11"/>
  <c r="D285" i="11"/>
  <c r="C285" i="11"/>
  <c r="B285" i="11"/>
  <c r="AF284" i="11"/>
  <c r="E284" i="11"/>
  <c r="D284" i="11"/>
  <c r="C284" i="11"/>
  <c r="B284" i="11"/>
  <c r="AF283" i="11"/>
  <c r="E283" i="11"/>
  <c r="D283" i="11"/>
  <c r="C283" i="11"/>
  <c r="B283" i="11"/>
  <c r="AF282" i="11"/>
  <c r="E282" i="11"/>
  <c r="D282" i="11"/>
  <c r="C282" i="11"/>
  <c r="B282" i="11"/>
  <c r="AF281" i="11"/>
  <c r="E281" i="11"/>
  <c r="D281" i="11"/>
  <c r="C281" i="11"/>
  <c r="B281" i="11"/>
  <c r="AF280" i="11"/>
  <c r="E280" i="11"/>
  <c r="D280" i="11"/>
  <c r="C280" i="11"/>
  <c r="B280" i="11"/>
  <c r="AF279" i="11"/>
  <c r="E279" i="11"/>
  <c r="D279" i="11"/>
  <c r="C279" i="11"/>
  <c r="B279" i="11"/>
  <c r="AF278" i="11"/>
  <c r="E278" i="11"/>
  <c r="D278" i="11"/>
  <c r="C278" i="11"/>
  <c r="B278" i="11"/>
  <c r="AF277" i="11"/>
  <c r="E277" i="11"/>
  <c r="D277" i="11"/>
  <c r="C277" i="11"/>
  <c r="B277" i="11"/>
  <c r="AF276" i="11"/>
  <c r="E276" i="11"/>
  <c r="D276" i="11"/>
  <c r="C276" i="11"/>
  <c r="B276" i="11"/>
  <c r="AF275" i="11"/>
  <c r="E275" i="11"/>
  <c r="D275" i="11"/>
  <c r="C275" i="11"/>
  <c r="B275" i="11"/>
  <c r="AF274" i="11"/>
  <c r="E274" i="11"/>
  <c r="D274" i="11"/>
  <c r="C274" i="11"/>
  <c r="B274" i="11"/>
  <c r="AF273" i="11"/>
  <c r="E273" i="11"/>
  <c r="D273" i="11"/>
  <c r="C273" i="11"/>
  <c r="B273" i="11"/>
  <c r="AF272" i="11"/>
  <c r="E272" i="11"/>
  <c r="D272" i="11"/>
  <c r="C272" i="11"/>
  <c r="B272" i="11"/>
  <c r="AF271" i="11"/>
  <c r="E271" i="11"/>
  <c r="D271" i="11"/>
  <c r="C271" i="11"/>
  <c r="B271" i="11"/>
  <c r="AF270" i="11"/>
  <c r="E270" i="11"/>
  <c r="D270" i="11"/>
  <c r="C270" i="11"/>
  <c r="B270" i="11"/>
  <c r="AF269" i="11"/>
  <c r="E269" i="11"/>
  <c r="D269" i="11"/>
  <c r="C269" i="11"/>
  <c r="B269" i="11"/>
  <c r="AF268" i="11"/>
  <c r="E268" i="11"/>
  <c r="D268" i="11"/>
  <c r="C268" i="11"/>
  <c r="B268" i="11"/>
  <c r="AF267" i="11"/>
  <c r="E267" i="11"/>
  <c r="D267" i="11"/>
  <c r="C267" i="11"/>
  <c r="B267" i="11"/>
  <c r="AF266" i="11"/>
  <c r="E266" i="11"/>
  <c r="D266" i="11"/>
  <c r="C266" i="11"/>
  <c r="B266" i="11"/>
  <c r="AF265" i="11"/>
  <c r="E265" i="11"/>
  <c r="D265" i="11"/>
  <c r="C265" i="11"/>
  <c r="B265" i="11"/>
  <c r="AF264" i="11"/>
  <c r="E264" i="11"/>
  <c r="D264" i="11"/>
  <c r="C264" i="11"/>
  <c r="B264" i="11"/>
  <c r="AF263" i="11"/>
  <c r="E263" i="11"/>
  <c r="D263" i="11"/>
  <c r="C263" i="11"/>
  <c r="B263" i="11"/>
  <c r="AF262" i="11"/>
  <c r="E262" i="11"/>
  <c r="D262" i="11"/>
  <c r="C262" i="11"/>
  <c r="B262" i="11"/>
  <c r="AF261" i="11"/>
  <c r="E261" i="11"/>
  <c r="D261" i="11"/>
  <c r="C261" i="11"/>
  <c r="B261" i="11"/>
  <c r="AF260" i="11"/>
  <c r="E260" i="11"/>
  <c r="D260" i="11"/>
  <c r="C260" i="11"/>
  <c r="B260" i="11"/>
  <c r="AF259" i="11"/>
  <c r="E259" i="11"/>
  <c r="D259" i="11"/>
  <c r="C259" i="11"/>
  <c r="B259" i="11"/>
  <c r="AF258" i="11"/>
  <c r="E258" i="11"/>
  <c r="D258" i="11"/>
  <c r="C258" i="11"/>
  <c r="B258" i="11"/>
  <c r="AF257" i="11"/>
  <c r="E257" i="11"/>
  <c r="D257" i="11"/>
  <c r="C257" i="11"/>
  <c r="B257" i="11"/>
  <c r="AF256" i="11"/>
  <c r="E256" i="11"/>
  <c r="D256" i="11"/>
  <c r="C256" i="11"/>
  <c r="B256" i="11"/>
  <c r="AF255" i="11"/>
  <c r="E255" i="11"/>
  <c r="D255" i="11"/>
  <c r="C255" i="11"/>
  <c r="B255" i="11"/>
  <c r="AF254" i="11"/>
  <c r="E254" i="11"/>
  <c r="D254" i="11"/>
  <c r="C254" i="11"/>
  <c r="B254" i="11"/>
  <c r="AF253" i="11"/>
  <c r="E253" i="11"/>
  <c r="D253" i="11"/>
  <c r="C253" i="11"/>
  <c r="B253" i="11"/>
  <c r="AF252" i="11"/>
  <c r="E252" i="11"/>
  <c r="D252" i="11"/>
  <c r="C252" i="11"/>
  <c r="B252" i="11"/>
  <c r="AF251" i="11"/>
  <c r="E251" i="11"/>
  <c r="D251" i="11"/>
  <c r="C251" i="11"/>
  <c r="B251" i="11"/>
  <c r="AF250" i="11"/>
  <c r="E250" i="11"/>
  <c r="D250" i="11"/>
  <c r="C250" i="11"/>
  <c r="B250" i="11"/>
  <c r="AF249" i="11"/>
  <c r="E249" i="11"/>
  <c r="D249" i="11"/>
  <c r="C249" i="11"/>
  <c r="B249" i="11"/>
  <c r="AF248" i="11"/>
  <c r="E248" i="11"/>
  <c r="D248" i="11"/>
  <c r="C248" i="11"/>
  <c r="B248" i="11"/>
  <c r="AF247" i="11"/>
  <c r="E247" i="11"/>
  <c r="D247" i="11"/>
  <c r="C247" i="11"/>
  <c r="B247" i="11"/>
  <c r="AF246" i="11"/>
  <c r="E246" i="11"/>
  <c r="D246" i="11"/>
  <c r="C246" i="11"/>
  <c r="B246" i="11"/>
  <c r="AF245" i="11"/>
  <c r="E245" i="11"/>
  <c r="D245" i="11"/>
  <c r="C245" i="11"/>
  <c r="B245" i="11"/>
  <c r="AF244" i="11"/>
  <c r="E244" i="11"/>
  <c r="D244" i="11"/>
  <c r="C244" i="11"/>
  <c r="B244" i="11"/>
  <c r="AF243" i="11"/>
  <c r="E243" i="11"/>
  <c r="D243" i="11"/>
  <c r="C243" i="11"/>
  <c r="B243" i="11"/>
  <c r="AF242" i="11"/>
  <c r="E242" i="11"/>
  <c r="D242" i="11"/>
  <c r="C242" i="11"/>
  <c r="B242" i="11"/>
  <c r="AF241" i="11"/>
  <c r="E241" i="11"/>
  <c r="D241" i="11"/>
  <c r="C241" i="11"/>
  <c r="B241" i="11"/>
  <c r="AF240" i="11"/>
  <c r="E240" i="11"/>
  <c r="D240" i="11"/>
  <c r="C240" i="11"/>
  <c r="B240" i="11"/>
  <c r="AF239" i="11"/>
  <c r="E239" i="11"/>
  <c r="D239" i="11"/>
  <c r="C239" i="11"/>
  <c r="B239" i="11"/>
  <c r="AF238" i="11"/>
  <c r="E238" i="11"/>
  <c r="D238" i="11"/>
  <c r="C238" i="11"/>
  <c r="B238" i="11"/>
  <c r="AF237" i="11"/>
  <c r="E237" i="11"/>
  <c r="D237" i="11"/>
  <c r="C237" i="11"/>
  <c r="B237" i="11"/>
  <c r="AF236" i="11"/>
  <c r="E236" i="11"/>
  <c r="D236" i="11"/>
  <c r="C236" i="11"/>
  <c r="B236" i="11"/>
  <c r="AF235" i="11"/>
  <c r="E235" i="11"/>
  <c r="D235" i="11"/>
  <c r="C235" i="11"/>
  <c r="B235" i="11"/>
  <c r="AF234" i="11"/>
  <c r="E234" i="11"/>
  <c r="D234" i="11"/>
  <c r="C234" i="11"/>
  <c r="B234" i="11"/>
  <c r="AF233" i="11"/>
  <c r="E233" i="11"/>
  <c r="D233" i="11"/>
  <c r="C233" i="11"/>
  <c r="B233" i="11"/>
  <c r="AF232" i="11"/>
  <c r="E232" i="11"/>
  <c r="D232" i="11"/>
  <c r="C232" i="11"/>
  <c r="B232" i="11"/>
  <c r="AF231" i="11"/>
  <c r="E231" i="11"/>
  <c r="D231" i="11"/>
  <c r="C231" i="11"/>
  <c r="B231" i="11"/>
  <c r="AF230" i="11"/>
  <c r="E230" i="11"/>
  <c r="D230" i="11"/>
  <c r="C230" i="11"/>
  <c r="B230" i="11"/>
  <c r="AF229" i="11"/>
  <c r="E229" i="11"/>
  <c r="D229" i="11"/>
  <c r="C229" i="11"/>
  <c r="B229" i="11"/>
  <c r="AF228" i="11"/>
  <c r="E228" i="11"/>
  <c r="D228" i="11"/>
  <c r="C228" i="11"/>
  <c r="B228" i="11"/>
  <c r="AF227" i="11"/>
  <c r="E227" i="11"/>
  <c r="D227" i="11"/>
  <c r="C227" i="11"/>
  <c r="B227" i="11"/>
  <c r="AF226" i="11"/>
  <c r="E226" i="11"/>
  <c r="D226" i="11"/>
  <c r="C226" i="11"/>
  <c r="B226" i="11"/>
  <c r="AF225" i="11"/>
  <c r="E225" i="11"/>
  <c r="D225" i="11"/>
  <c r="C225" i="11"/>
  <c r="B225" i="11"/>
  <c r="AF224" i="11"/>
  <c r="E224" i="11"/>
  <c r="D224" i="11"/>
  <c r="C224" i="11"/>
  <c r="B224" i="11"/>
  <c r="AF223" i="11"/>
  <c r="E223" i="11"/>
  <c r="D223" i="11"/>
  <c r="C223" i="11"/>
  <c r="B223" i="11"/>
  <c r="AF222" i="11"/>
  <c r="E222" i="11"/>
  <c r="D222" i="11"/>
  <c r="C222" i="11"/>
  <c r="B222" i="11"/>
  <c r="AF221" i="11"/>
  <c r="E221" i="11"/>
  <c r="D221" i="11"/>
  <c r="C221" i="11"/>
  <c r="B221" i="11"/>
  <c r="AF220" i="11"/>
  <c r="E220" i="11"/>
  <c r="D220" i="11"/>
  <c r="C220" i="11"/>
  <c r="B220" i="11"/>
  <c r="AF219" i="11"/>
  <c r="E219" i="11"/>
  <c r="D219" i="11"/>
  <c r="C219" i="11"/>
  <c r="B219" i="11"/>
  <c r="AF218" i="11"/>
  <c r="E218" i="11"/>
  <c r="D218" i="11"/>
  <c r="C218" i="11"/>
  <c r="B218" i="11"/>
  <c r="AF217" i="11"/>
  <c r="E217" i="11"/>
  <c r="D217" i="11"/>
  <c r="C217" i="11"/>
  <c r="B217" i="11"/>
  <c r="AF216" i="11"/>
  <c r="E216" i="11"/>
  <c r="D216" i="11"/>
  <c r="C216" i="11"/>
  <c r="B216" i="11"/>
  <c r="AF215" i="11"/>
  <c r="E215" i="11"/>
  <c r="D215" i="11"/>
  <c r="C215" i="11"/>
  <c r="B215" i="11"/>
  <c r="AF214" i="11"/>
  <c r="E214" i="11"/>
  <c r="D214" i="11"/>
  <c r="C214" i="11"/>
  <c r="B214" i="11"/>
  <c r="AF213" i="11"/>
  <c r="E213" i="11"/>
  <c r="D213" i="11"/>
  <c r="C213" i="11"/>
  <c r="B213" i="11"/>
  <c r="AF212" i="11"/>
  <c r="E212" i="11"/>
  <c r="D212" i="11"/>
  <c r="C212" i="11"/>
  <c r="B212" i="11"/>
  <c r="AF211" i="11"/>
  <c r="E211" i="11"/>
  <c r="D211" i="11"/>
  <c r="C211" i="11"/>
  <c r="B211" i="11"/>
  <c r="AF210" i="11"/>
  <c r="E210" i="11"/>
  <c r="D210" i="11"/>
  <c r="C210" i="11"/>
  <c r="B210" i="11"/>
  <c r="AF209" i="11"/>
  <c r="E209" i="11"/>
  <c r="D209" i="11"/>
  <c r="C209" i="11"/>
  <c r="B209" i="11"/>
  <c r="AF208" i="11"/>
  <c r="E208" i="11"/>
  <c r="D208" i="11"/>
  <c r="C208" i="11"/>
  <c r="B208" i="11"/>
  <c r="AF207" i="11"/>
  <c r="E207" i="11"/>
  <c r="D207" i="11"/>
  <c r="C207" i="11"/>
  <c r="B207" i="11"/>
  <c r="AF206" i="11"/>
  <c r="E206" i="11"/>
  <c r="D206" i="11"/>
  <c r="C206" i="11"/>
  <c r="B206" i="11"/>
  <c r="AF205" i="11"/>
  <c r="E205" i="11"/>
  <c r="D205" i="11"/>
  <c r="C205" i="11"/>
  <c r="B205" i="11"/>
  <c r="AF204" i="11"/>
  <c r="E204" i="11"/>
  <c r="D204" i="11"/>
  <c r="C204" i="11"/>
  <c r="B204" i="11"/>
  <c r="AF203" i="11"/>
  <c r="E203" i="11"/>
  <c r="D203" i="11"/>
  <c r="C203" i="11"/>
  <c r="B203" i="11"/>
  <c r="AF202" i="11"/>
  <c r="E202" i="11"/>
  <c r="D202" i="11"/>
  <c r="C202" i="11"/>
  <c r="B202" i="11"/>
  <c r="AF201" i="11"/>
  <c r="E201" i="11"/>
  <c r="D201" i="11"/>
  <c r="C201" i="11"/>
  <c r="B201" i="11"/>
  <c r="AF200" i="11"/>
  <c r="E200" i="11"/>
  <c r="D200" i="11"/>
  <c r="C200" i="11"/>
  <c r="B200" i="11"/>
  <c r="AF199" i="11"/>
  <c r="E199" i="11"/>
  <c r="D199" i="11"/>
  <c r="C199" i="11"/>
  <c r="B199" i="11"/>
  <c r="AF198" i="11"/>
  <c r="E198" i="11"/>
  <c r="D198" i="11"/>
  <c r="C198" i="11"/>
  <c r="B198" i="11"/>
  <c r="AF197" i="11"/>
  <c r="E197" i="11"/>
  <c r="D197" i="11"/>
  <c r="C197" i="11"/>
  <c r="B197" i="11"/>
  <c r="AF196" i="11"/>
  <c r="E196" i="11"/>
  <c r="D196" i="11"/>
  <c r="C196" i="11"/>
  <c r="B196" i="11"/>
  <c r="AF195" i="11"/>
  <c r="E195" i="11"/>
  <c r="D195" i="11"/>
  <c r="C195" i="11"/>
  <c r="B195" i="11"/>
  <c r="AF194" i="11"/>
  <c r="E194" i="11"/>
  <c r="D194" i="11"/>
  <c r="C194" i="11"/>
  <c r="B194" i="11"/>
  <c r="AF193" i="11"/>
  <c r="E193" i="11"/>
  <c r="D193" i="11"/>
  <c r="C193" i="11"/>
  <c r="B193" i="11"/>
  <c r="AF192" i="11"/>
  <c r="E192" i="11"/>
  <c r="D192" i="11"/>
  <c r="C192" i="11"/>
  <c r="B192" i="11"/>
  <c r="AF191" i="11"/>
  <c r="E191" i="11"/>
  <c r="D191" i="11"/>
  <c r="C191" i="11"/>
  <c r="B191" i="11"/>
  <c r="AF190" i="11"/>
  <c r="E190" i="11"/>
  <c r="D190" i="11"/>
  <c r="C190" i="11"/>
  <c r="B190" i="11"/>
  <c r="AF189" i="11"/>
  <c r="E189" i="11"/>
  <c r="D189" i="11"/>
  <c r="C189" i="11"/>
  <c r="B189" i="11"/>
  <c r="AF188" i="11"/>
  <c r="E188" i="11"/>
  <c r="D188" i="11"/>
  <c r="C188" i="11"/>
  <c r="B188" i="11"/>
  <c r="AF187" i="11"/>
  <c r="E187" i="11"/>
  <c r="D187" i="11"/>
  <c r="C187" i="11"/>
  <c r="B187" i="11"/>
  <c r="AF186" i="11"/>
  <c r="E186" i="11"/>
  <c r="D186" i="11"/>
  <c r="C186" i="11"/>
  <c r="B186" i="11"/>
  <c r="AF185" i="11"/>
  <c r="E185" i="11"/>
  <c r="D185" i="11"/>
  <c r="C185" i="11"/>
  <c r="B185" i="11"/>
  <c r="AF184" i="11"/>
  <c r="E184" i="11"/>
  <c r="D184" i="11"/>
  <c r="C184" i="11"/>
  <c r="B184" i="11"/>
  <c r="AF183" i="11"/>
  <c r="E183" i="11"/>
  <c r="D183" i="11"/>
  <c r="C183" i="11"/>
  <c r="B183" i="11"/>
  <c r="AF182" i="11"/>
  <c r="E182" i="11"/>
  <c r="D182" i="11"/>
  <c r="C182" i="11"/>
  <c r="B182" i="11"/>
  <c r="AF181" i="11"/>
  <c r="E181" i="11"/>
  <c r="D181" i="11"/>
  <c r="C181" i="11"/>
  <c r="B181" i="11"/>
  <c r="AF180" i="11"/>
  <c r="E180" i="11"/>
  <c r="D180" i="11"/>
  <c r="C180" i="11"/>
  <c r="B180" i="11"/>
  <c r="AF179" i="11"/>
  <c r="E179" i="11"/>
  <c r="D179" i="11"/>
  <c r="C179" i="11"/>
  <c r="B179" i="11"/>
  <c r="AF178" i="11"/>
  <c r="E178" i="11"/>
  <c r="D178" i="11"/>
  <c r="C178" i="11"/>
  <c r="B178" i="11"/>
  <c r="AF177" i="11"/>
  <c r="E177" i="11"/>
  <c r="D177" i="11"/>
  <c r="C177" i="11"/>
  <c r="B177" i="11"/>
  <c r="AF176" i="11"/>
  <c r="E176" i="11"/>
  <c r="D176" i="11"/>
  <c r="C176" i="11"/>
  <c r="B176" i="11"/>
  <c r="AF175" i="11"/>
  <c r="E175" i="11"/>
  <c r="D175" i="11"/>
  <c r="C175" i="11"/>
  <c r="B175" i="11"/>
  <c r="AF174" i="11"/>
  <c r="E174" i="11"/>
  <c r="D174" i="11"/>
  <c r="C174" i="11"/>
  <c r="B174" i="11"/>
  <c r="AF173" i="11"/>
  <c r="E173" i="11"/>
  <c r="D173" i="11"/>
  <c r="C173" i="11"/>
  <c r="B173" i="11"/>
  <c r="AF172" i="11"/>
  <c r="E172" i="11"/>
  <c r="D172" i="11"/>
  <c r="C172" i="11"/>
  <c r="B172" i="11"/>
  <c r="AF171" i="11"/>
  <c r="E171" i="11"/>
  <c r="D171" i="11"/>
  <c r="C171" i="11"/>
  <c r="B171" i="11"/>
  <c r="AF170" i="11"/>
  <c r="E170" i="11"/>
  <c r="D170" i="11"/>
  <c r="C170" i="11"/>
  <c r="B170" i="11"/>
  <c r="AF169" i="11"/>
  <c r="E169" i="11"/>
  <c r="D169" i="11"/>
  <c r="C169" i="11"/>
  <c r="B169" i="11"/>
  <c r="AF168" i="11"/>
  <c r="E168" i="11"/>
  <c r="D168" i="11"/>
  <c r="C168" i="11"/>
  <c r="B168" i="11"/>
  <c r="AF167" i="11"/>
  <c r="E167" i="11"/>
  <c r="D167" i="11"/>
  <c r="C167" i="11"/>
  <c r="B167" i="11"/>
  <c r="AF166" i="11"/>
  <c r="E166" i="11"/>
  <c r="D166" i="11"/>
  <c r="C166" i="11"/>
  <c r="B166" i="11"/>
  <c r="AF165" i="11"/>
  <c r="E165" i="11"/>
  <c r="D165" i="11"/>
  <c r="C165" i="11"/>
  <c r="B165" i="11"/>
  <c r="AF164" i="11"/>
  <c r="E164" i="11"/>
  <c r="D164" i="11"/>
  <c r="C164" i="11"/>
  <c r="B164" i="11"/>
  <c r="AF163" i="11"/>
  <c r="E163" i="11"/>
  <c r="D163" i="11"/>
  <c r="C163" i="11"/>
  <c r="B163" i="11"/>
  <c r="AF162" i="11"/>
  <c r="E162" i="11"/>
  <c r="D162" i="11"/>
  <c r="C162" i="11"/>
  <c r="B162" i="11"/>
  <c r="AF161" i="11"/>
  <c r="E161" i="11"/>
  <c r="D161" i="11"/>
  <c r="C161" i="11"/>
  <c r="B161" i="11"/>
  <c r="AF160" i="11"/>
  <c r="E160" i="11"/>
  <c r="D160" i="11"/>
  <c r="C160" i="11"/>
  <c r="B160" i="11"/>
  <c r="AF159" i="11"/>
  <c r="E159" i="11"/>
  <c r="D159" i="11"/>
  <c r="C159" i="11"/>
  <c r="B159" i="11"/>
  <c r="AF158" i="11"/>
  <c r="E158" i="11"/>
  <c r="D158" i="11"/>
  <c r="C158" i="11"/>
  <c r="B158" i="11"/>
  <c r="AF157" i="11"/>
  <c r="E157" i="11"/>
  <c r="D157" i="11"/>
  <c r="C157" i="11"/>
  <c r="B157" i="11"/>
  <c r="AF156" i="11"/>
  <c r="E156" i="11"/>
  <c r="D156" i="11"/>
  <c r="C156" i="11"/>
  <c r="B156" i="11"/>
  <c r="AF155" i="11"/>
  <c r="E155" i="11"/>
  <c r="D155" i="11"/>
  <c r="C155" i="11"/>
  <c r="B155" i="11"/>
  <c r="AF154" i="11"/>
  <c r="E154" i="11"/>
  <c r="D154" i="11"/>
  <c r="C154" i="11"/>
  <c r="B154" i="11"/>
  <c r="AF153" i="11"/>
  <c r="E153" i="11"/>
  <c r="D153" i="11"/>
  <c r="C153" i="11"/>
  <c r="B153" i="11"/>
  <c r="AF152" i="11"/>
  <c r="E152" i="11"/>
  <c r="D152" i="11"/>
  <c r="C152" i="11"/>
  <c r="B152" i="11"/>
  <c r="AF151" i="11"/>
  <c r="E151" i="11"/>
  <c r="D151" i="11"/>
  <c r="C151" i="11"/>
  <c r="B151" i="11"/>
  <c r="AF150" i="11"/>
  <c r="E150" i="11"/>
  <c r="D150" i="11"/>
  <c r="C150" i="11"/>
  <c r="B150" i="11"/>
  <c r="AF149" i="11"/>
  <c r="E149" i="11"/>
  <c r="D149" i="11"/>
  <c r="C149" i="11"/>
  <c r="B149" i="11"/>
  <c r="AF148" i="11"/>
  <c r="E148" i="11"/>
  <c r="D148" i="11"/>
  <c r="C148" i="11"/>
  <c r="B148" i="11"/>
  <c r="AF147" i="11"/>
  <c r="E147" i="11"/>
  <c r="D147" i="11"/>
  <c r="C147" i="11"/>
  <c r="B147" i="11"/>
  <c r="AF146" i="11"/>
  <c r="E146" i="11"/>
  <c r="D146" i="11"/>
  <c r="C146" i="11"/>
  <c r="B146" i="11"/>
  <c r="AF145" i="11"/>
  <c r="E145" i="11"/>
  <c r="D145" i="11"/>
  <c r="C145" i="11"/>
  <c r="B145" i="11"/>
  <c r="AF144" i="11"/>
  <c r="E144" i="11"/>
  <c r="D144" i="11"/>
  <c r="C144" i="11"/>
  <c r="B144" i="11"/>
  <c r="AF143" i="11"/>
  <c r="E143" i="11"/>
  <c r="D143" i="11"/>
  <c r="C143" i="11"/>
  <c r="B143" i="11"/>
  <c r="AF142" i="11"/>
  <c r="E142" i="11"/>
  <c r="D142" i="11"/>
  <c r="C142" i="11"/>
  <c r="B142" i="11"/>
  <c r="AF141" i="11"/>
  <c r="E141" i="11"/>
  <c r="D141" i="11"/>
  <c r="C141" i="11"/>
  <c r="B141" i="11"/>
  <c r="AF140" i="11"/>
  <c r="E140" i="11"/>
  <c r="D140" i="11"/>
  <c r="C140" i="11"/>
  <c r="B140" i="11"/>
  <c r="AF139" i="11"/>
  <c r="E139" i="11"/>
  <c r="D139" i="11"/>
  <c r="C139" i="11"/>
  <c r="B139" i="11"/>
  <c r="AF138" i="11"/>
  <c r="E138" i="11"/>
  <c r="D138" i="11"/>
  <c r="C138" i="11"/>
  <c r="B138" i="11"/>
  <c r="AF137" i="11"/>
  <c r="E137" i="11"/>
  <c r="D137" i="11"/>
  <c r="C137" i="11"/>
  <c r="B137" i="11"/>
  <c r="AF136" i="11"/>
  <c r="E136" i="11"/>
  <c r="D136" i="11"/>
  <c r="C136" i="11"/>
  <c r="B136" i="11"/>
  <c r="AF135" i="11"/>
  <c r="E135" i="11"/>
  <c r="D135" i="11"/>
  <c r="C135" i="11"/>
  <c r="B135" i="11"/>
  <c r="AF134" i="11"/>
  <c r="E134" i="11"/>
  <c r="D134" i="11"/>
  <c r="C134" i="11"/>
  <c r="B134" i="11"/>
  <c r="AF133" i="11"/>
  <c r="E133" i="11"/>
  <c r="D133" i="11"/>
  <c r="C133" i="11"/>
  <c r="B133" i="11"/>
  <c r="AF132" i="11"/>
  <c r="E132" i="11"/>
  <c r="D132" i="11"/>
  <c r="C132" i="11"/>
  <c r="B132" i="11"/>
  <c r="AF131" i="11"/>
  <c r="E131" i="11"/>
  <c r="D131" i="11"/>
  <c r="C131" i="11"/>
  <c r="B131" i="11"/>
  <c r="AF130" i="11"/>
  <c r="E130" i="11"/>
  <c r="D130" i="11"/>
  <c r="C130" i="11"/>
  <c r="B130" i="11"/>
  <c r="AF129" i="11"/>
  <c r="E129" i="11"/>
  <c r="D129" i="11"/>
  <c r="C129" i="11"/>
  <c r="B129" i="11"/>
  <c r="AF128" i="11"/>
  <c r="E128" i="11"/>
  <c r="D128" i="11"/>
  <c r="C128" i="11"/>
  <c r="B128" i="11"/>
  <c r="AF127" i="11"/>
  <c r="E127" i="11"/>
  <c r="D127" i="11"/>
  <c r="C127" i="11"/>
  <c r="B127" i="11"/>
  <c r="AF126" i="11"/>
  <c r="E126" i="11"/>
  <c r="D126" i="11"/>
  <c r="C126" i="11"/>
  <c r="B126" i="11"/>
  <c r="AF125" i="11"/>
  <c r="E125" i="11"/>
  <c r="D125" i="11"/>
  <c r="C125" i="11"/>
  <c r="B125" i="11"/>
  <c r="AF124" i="11"/>
  <c r="E124" i="11"/>
  <c r="D124" i="11"/>
  <c r="C124" i="11"/>
  <c r="B124" i="11"/>
  <c r="AF123" i="11"/>
  <c r="E123" i="11"/>
  <c r="D123" i="11"/>
  <c r="C123" i="11"/>
  <c r="B123" i="11"/>
  <c r="AF122" i="11"/>
  <c r="E122" i="11"/>
  <c r="D122" i="11"/>
  <c r="C122" i="11"/>
  <c r="B122" i="11"/>
  <c r="AF121" i="11"/>
  <c r="E121" i="11"/>
  <c r="D121" i="11"/>
  <c r="C121" i="11"/>
  <c r="B121" i="11"/>
  <c r="AF120" i="11"/>
  <c r="E120" i="11"/>
  <c r="D120" i="11"/>
  <c r="C120" i="11"/>
  <c r="B120" i="11"/>
  <c r="AF119" i="11"/>
  <c r="E119" i="11"/>
  <c r="D119" i="11"/>
  <c r="C119" i="11"/>
  <c r="B119" i="11"/>
  <c r="AF118" i="11"/>
  <c r="E118" i="11"/>
  <c r="D118" i="11"/>
  <c r="C118" i="11"/>
  <c r="B118" i="11"/>
  <c r="AF117" i="11"/>
  <c r="E117" i="11"/>
  <c r="D117" i="11"/>
  <c r="C117" i="11"/>
  <c r="B117" i="11"/>
  <c r="AF116" i="11"/>
  <c r="E116" i="11"/>
  <c r="D116" i="11"/>
  <c r="C116" i="11"/>
  <c r="B116" i="11"/>
  <c r="AF115" i="11"/>
  <c r="E115" i="11"/>
  <c r="D115" i="11"/>
  <c r="C115" i="11"/>
  <c r="B115" i="11"/>
  <c r="AF114" i="11"/>
  <c r="E114" i="11"/>
  <c r="D114" i="11"/>
  <c r="C114" i="11"/>
  <c r="B114" i="11"/>
  <c r="AF113" i="11"/>
  <c r="E113" i="11"/>
  <c r="D113" i="11"/>
  <c r="C113" i="11"/>
  <c r="B113" i="11"/>
  <c r="AF112" i="11"/>
  <c r="E112" i="11"/>
  <c r="D112" i="11"/>
  <c r="C112" i="11"/>
  <c r="B112" i="11"/>
  <c r="AF111" i="11"/>
  <c r="E111" i="11"/>
  <c r="D111" i="11"/>
  <c r="C111" i="11"/>
  <c r="B111" i="11"/>
  <c r="AF110" i="11"/>
  <c r="E110" i="11"/>
  <c r="D110" i="11"/>
  <c r="C110" i="11"/>
  <c r="B110" i="11"/>
  <c r="AF109" i="11"/>
  <c r="E109" i="11"/>
  <c r="D109" i="11"/>
  <c r="C109" i="11"/>
  <c r="B109" i="11"/>
  <c r="AF108" i="11"/>
  <c r="E108" i="11"/>
  <c r="D108" i="11"/>
  <c r="C108" i="11"/>
  <c r="B108" i="11"/>
  <c r="AF107" i="11"/>
  <c r="E107" i="11"/>
  <c r="D107" i="11"/>
  <c r="C107" i="11"/>
  <c r="B107" i="11"/>
  <c r="AF106" i="11"/>
  <c r="E106" i="11"/>
  <c r="D106" i="11"/>
  <c r="C106" i="11"/>
  <c r="B106" i="11"/>
  <c r="AF105" i="11"/>
  <c r="E105" i="11"/>
  <c r="D105" i="11"/>
  <c r="C105" i="11"/>
  <c r="B105" i="11"/>
  <c r="AF104" i="11"/>
  <c r="E104" i="11"/>
  <c r="D104" i="11"/>
  <c r="C104" i="11"/>
  <c r="B104" i="11"/>
  <c r="AF103" i="11"/>
  <c r="E103" i="11"/>
  <c r="D103" i="11"/>
  <c r="C103" i="11"/>
  <c r="B103" i="11"/>
  <c r="AF102" i="11"/>
  <c r="E102" i="11"/>
  <c r="D102" i="11"/>
  <c r="C102" i="11"/>
  <c r="B102" i="11"/>
  <c r="AF101" i="11"/>
  <c r="E101" i="11"/>
  <c r="D101" i="11"/>
  <c r="C101" i="11"/>
  <c r="B101" i="11"/>
  <c r="AF100" i="11"/>
  <c r="E100" i="11"/>
  <c r="D100" i="11"/>
  <c r="C100" i="11"/>
  <c r="B100" i="11"/>
  <c r="AF99" i="11"/>
  <c r="E99" i="11"/>
  <c r="D99" i="11"/>
  <c r="C99" i="11"/>
  <c r="B99" i="11"/>
  <c r="AF98" i="11"/>
  <c r="E98" i="11"/>
  <c r="D98" i="11"/>
  <c r="C98" i="11"/>
  <c r="B98" i="11"/>
  <c r="AF97" i="11"/>
  <c r="E97" i="11"/>
  <c r="D97" i="11"/>
  <c r="C97" i="11"/>
  <c r="B97" i="11"/>
  <c r="AF96" i="11"/>
  <c r="E96" i="11"/>
  <c r="D96" i="11"/>
  <c r="C96" i="11"/>
  <c r="B96" i="11"/>
  <c r="AF95" i="11"/>
  <c r="E95" i="11"/>
  <c r="D95" i="11"/>
  <c r="C95" i="11"/>
  <c r="B95" i="11"/>
  <c r="AF94" i="11"/>
  <c r="E94" i="11"/>
  <c r="D94" i="11"/>
  <c r="C94" i="11"/>
  <c r="B94" i="11"/>
  <c r="AF93" i="11"/>
  <c r="E93" i="11"/>
  <c r="D93" i="11"/>
  <c r="C93" i="11"/>
  <c r="B93" i="11"/>
  <c r="AF92" i="11"/>
  <c r="E92" i="11"/>
  <c r="D92" i="11"/>
  <c r="C92" i="11"/>
  <c r="B92" i="11"/>
  <c r="AF91" i="11"/>
  <c r="E91" i="11"/>
  <c r="D91" i="11"/>
  <c r="C91" i="11"/>
  <c r="B91" i="11"/>
  <c r="AF90" i="11"/>
  <c r="E90" i="11"/>
  <c r="D90" i="11"/>
  <c r="C90" i="11"/>
  <c r="B90" i="11"/>
  <c r="AF89" i="11"/>
  <c r="E89" i="11"/>
  <c r="D89" i="11"/>
  <c r="C89" i="11"/>
  <c r="B89" i="11"/>
  <c r="AF88" i="11"/>
  <c r="E88" i="11"/>
  <c r="D88" i="11"/>
  <c r="C88" i="11"/>
  <c r="B88" i="11"/>
  <c r="AF87" i="11"/>
  <c r="E87" i="11"/>
  <c r="D87" i="11"/>
  <c r="C87" i="11"/>
  <c r="B87" i="11"/>
  <c r="AF86" i="11"/>
  <c r="E86" i="11"/>
  <c r="D86" i="11"/>
  <c r="C86" i="11"/>
  <c r="B86" i="11"/>
  <c r="AF85" i="11"/>
  <c r="E85" i="11"/>
  <c r="D85" i="11"/>
  <c r="C85" i="11"/>
  <c r="B85" i="11"/>
  <c r="AF84" i="11"/>
  <c r="E84" i="11"/>
  <c r="D84" i="11"/>
  <c r="C84" i="11"/>
  <c r="B84" i="11"/>
  <c r="AF83" i="11"/>
  <c r="E83" i="11"/>
  <c r="D83" i="11"/>
  <c r="C83" i="11"/>
  <c r="B83" i="11"/>
  <c r="AF82" i="11"/>
  <c r="E82" i="11"/>
  <c r="D82" i="11"/>
  <c r="C82" i="11"/>
  <c r="B82" i="11"/>
  <c r="AF81" i="11"/>
  <c r="E81" i="11"/>
  <c r="D81" i="11"/>
  <c r="C81" i="11"/>
  <c r="B81" i="11"/>
  <c r="AF80" i="11"/>
  <c r="E80" i="11"/>
  <c r="D80" i="11"/>
  <c r="C80" i="11"/>
  <c r="B80" i="11"/>
  <c r="AF79" i="11"/>
  <c r="E79" i="11"/>
  <c r="D79" i="11"/>
  <c r="C79" i="11"/>
  <c r="B79" i="11"/>
  <c r="AF78" i="11"/>
  <c r="E78" i="11"/>
  <c r="D78" i="11"/>
  <c r="C78" i="11"/>
  <c r="B78" i="11"/>
  <c r="AF77" i="11"/>
  <c r="E77" i="11"/>
  <c r="D77" i="11"/>
  <c r="C77" i="11"/>
  <c r="B77" i="11"/>
  <c r="AF76" i="11"/>
  <c r="E76" i="11"/>
  <c r="D76" i="11"/>
  <c r="C76" i="11"/>
  <c r="B76" i="11"/>
  <c r="AF75" i="11"/>
  <c r="E75" i="11"/>
  <c r="D75" i="11"/>
  <c r="C75" i="11"/>
  <c r="B75" i="11"/>
  <c r="AF74" i="11"/>
  <c r="E74" i="11"/>
  <c r="D74" i="11"/>
  <c r="C74" i="11"/>
  <c r="B74" i="11"/>
  <c r="AF73" i="11"/>
  <c r="E73" i="11"/>
  <c r="D73" i="11"/>
  <c r="C73" i="11"/>
  <c r="B73" i="11"/>
  <c r="AF72" i="11"/>
  <c r="E72" i="11"/>
  <c r="D72" i="11"/>
  <c r="C72" i="11"/>
  <c r="B72" i="11"/>
  <c r="AF71" i="11"/>
  <c r="E71" i="11"/>
  <c r="D71" i="11"/>
  <c r="C71" i="11"/>
  <c r="B71" i="11"/>
  <c r="AF70" i="11"/>
  <c r="E70" i="11"/>
  <c r="D70" i="11"/>
  <c r="C70" i="11"/>
  <c r="B70" i="11"/>
  <c r="AF69" i="11"/>
  <c r="E69" i="11"/>
  <c r="D69" i="11"/>
  <c r="C69" i="11"/>
  <c r="B69" i="11"/>
  <c r="AF68" i="11"/>
  <c r="E68" i="11"/>
  <c r="D68" i="11"/>
  <c r="C68" i="11"/>
  <c r="B68" i="11"/>
  <c r="AF67" i="11"/>
  <c r="E67" i="11"/>
  <c r="D67" i="11"/>
  <c r="C67" i="11"/>
  <c r="B67" i="11"/>
  <c r="AF66" i="11"/>
  <c r="E66" i="11"/>
  <c r="D66" i="11"/>
  <c r="C66" i="11"/>
  <c r="B66" i="11"/>
  <c r="AF65" i="11"/>
  <c r="E65" i="11"/>
  <c r="D65" i="11"/>
  <c r="C65" i="11"/>
  <c r="B65" i="11"/>
  <c r="AF64" i="11"/>
  <c r="E64" i="11"/>
  <c r="D64" i="11"/>
  <c r="C64" i="11"/>
  <c r="B64" i="11"/>
  <c r="AF63" i="11"/>
  <c r="E63" i="11"/>
  <c r="D63" i="11"/>
  <c r="C63" i="11"/>
  <c r="B63" i="11"/>
  <c r="AF62" i="11"/>
  <c r="E62" i="11"/>
  <c r="D62" i="11"/>
  <c r="C62" i="11"/>
  <c r="B62" i="11"/>
  <c r="AF61" i="11"/>
  <c r="E61" i="11"/>
  <c r="D61" i="11"/>
  <c r="C61" i="11"/>
  <c r="B61" i="11"/>
  <c r="AF60" i="11"/>
  <c r="E60" i="11"/>
  <c r="D60" i="11"/>
  <c r="C60" i="11"/>
  <c r="B60" i="11"/>
  <c r="AF59" i="11"/>
  <c r="E59" i="11"/>
  <c r="D59" i="11"/>
  <c r="C59" i="11"/>
  <c r="B59" i="11"/>
  <c r="AF58" i="11"/>
  <c r="E58" i="11"/>
  <c r="D58" i="11"/>
  <c r="C58" i="11"/>
  <c r="B58" i="11"/>
  <c r="AF57" i="11"/>
  <c r="E57" i="11"/>
  <c r="D57" i="11"/>
  <c r="C57" i="11"/>
  <c r="B57" i="11"/>
  <c r="AF56" i="11"/>
  <c r="E56" i="11"/>
  <c r="D56" i="11"/>
  <c r="C56" i="11"/>
  <c r="B56" i="11"/>
  <c r="AF55" i="11"/>
  <c r="E55" i="11"/>
  <c r="D55" i="11"/>
  <c r="C55" i="11"/>
  <c r="B55" i="11"/>
  <c r="AF54" i="11"/>
  <c r="E54" i="11"/>
  <c r="D54" i="11"/>
  <c r="C54" i="11"/>
  <c r="B54" i="11"/>
  <c r="AF53" i="11"/>
  <c r="E53" i="11"/>
  <c r="D53" i="11"/>
  <c r="C53" i="11"/>
  <c r="B53" i="11"/>
  <c r="AF52" i="11"/>
  <c r="E52" i="11"/>
  <c r="D52" i="11"/>
  <c r="C52" i="11"/>
  <c r="B52" i="11"/>
  <c r="AF51" i="11"/>
  <c r="E51" i="11"/>
  <c r="D51" i="11"/>
  <c r="C51" i="11"/>
  <c r="B51" i="11"/>
  <c r="AF50" i="11"/>
  <c r="E50" i="11"/>
  <c r="D50" i="11"/>
  <c r="C50" i="11"/>
  <c r="B50" i="11"/>
  <c r="AF49" i="11"/>
  <c r="E49" i="11"/>
  <c r="D49" i="11"/>
  <c r="C49" i="11"/>
  <c r="B49" i="11"/>
  <c r="AF48" i="11"/>
  <c r="E48" i="11"/>
  <c r="D48" i="11"/>
  <c r="C48" i="11"/>
  <c r="B48" i="11"/>
  <c r="AF47" i="11"/>
  <c r="E47" i="11"/>
  <c r="D47" i="11"/>
  <c r="C47" i="11"/>
  <c r="B47" i="11"/>
  <c r="AF46" i="11"/>
  <c r="E46" i="11"/>
  <c r="D46" i="11"/>
  <c r="C46" i="11"/>
  <c r="B46" i="11"/>
  <c r="AF45" i="11"/>
  <c r="E45" i="11"/>
  <c r="D45" i="11"/>
  <c r="C45" i="11"/>
  <c r="B45" i="11"/>
  <c r="AF44" i="11"/>
  <c r="E44" i="11"/>
  <c r="D44" i="11"/>
  <c r="C44" i="11"/>
  <c r="B44" i="11"/>
  <c r="AF43" i="11"/>
  <c r="E43" i="11"/>
  <c r="D43" i="11"/>
  <c r="C43" i="11"/>
  <c r="B43" i="11"/>
  <c r="AF42" i="11"/>
  <c r="E42" i="11"/>
  <c r="D42" i="11"/>
  <c r="C42" i="11"/>
  <c r="B42" i="11"/>
  <c r="AF41" i="11"/>
  <c r="E41" i="11"/>
  <c r="D41" i="11"/>
  <c r="C41" i="11"/>
  <c r="B41" i="11"/>
  <c r="AF40" i="11"/>
  <c r="E40" i="11"/>
  <c r="D40" i="11"/>
  <c r="C40" i="11"/>
  <c r="B40" i="11"/>
  <c r="AF39" i="11"/>
  <c r="E39" i="11"/>
  <c r="D39" i="11"/>
  <c r="C39" i="11"/>
  <c r="B39" i="11"/>
  <c r="AF38" i="11"/>
  <c r="E38" i="11"/>
  <c r="D38" i="11"/>
  <c r="C38" i="11"/>
  <c r="B38" i="11"/>
  <c r="AF37" i="11"/>
  <c r="E37" i="11"/>
  <c r="D37" i="11"/>
  <c r="C37" i="11"/>
  <c r="B37" i="11"/>
  <c r="AF36" i="11"/>
  <c r="E36" i="11"/>
  <c r="D36" i="11"/>
  <c r="C36" i="11"/>
  <c r="B36" i="11"/>
  <c r="AF35" i="11"/>
  <c r="E35" i="11"/>
  <c r="D35" i="11"/>
  <c r="C35" i="11"/>
  <c r="B35" i="11"/>
  <c r="AF34" i="11"/>
  <c r="E34" i="11"/>
  <c r="D34" i="11"/>
  <c r="C34" i="11"/>
  <c r="B34" i="11"/>
  <c r="AF33" i="11"/>
  <c r="E33" i="11"/>
  <c r="D33" i="11"/>
  <c r="C33" i="11"/>
  <c r="B33" i="11"/>
  <c r="AF32" i="11"/>
  <c r="E32" i="11"/>
  <c r="D32" i="11"/>
  <c r="C32" i="11"/>
  <c r="B32" i="11"/>
  <c r="AF31" i="11"/>
  <c r="E31" i="11"/>
  <c r="D31" i="11"/>
  <c r="C31" i="11"/>
  <c r="B31" i="11"/>
  <c r="AF30" i="11"/>
  <c r="E30" i="11"/>
  <c r="D30" i="11"/>
  <c r="C30" i="11"/>
  <c r="B30" i="11"/>
  <c r="AF29" i="11"/>
  <c r="E29" i="11"/>
  <c r="D29" i="11"/>
  <c r="C29" i="11"/>
  <c r="B29" i="11"/>
  <c r="AF28" i="11"/>
  <c r="E28" i="11"/>
  <c r="D28" i="11"/>
  <c r="C28" i="11"/>
  <c r="B28" i="11"/>
  <c r="AF27" i="11"/>
  <c r="E27" i="11"/>
  <c r="D27" i="11"/>
  <c r="C27" i="11"/>
  <c r="B27" i="11"/>
  <c r="AF26" i="11"/>
  <c r="E26" i="11"/>
  <c r="D26" i="11"/>
  <c r="C26" i="11"/>
  <c r="B26" i="11"/>
  <c r="AF25" i="11"/>
  <c r="E25" i="11"/>
  <c r="D25" i="11"/>
  <c r="C25" i="11"/>
  <c r="B25" i="11"/>
  <c r="AF24" i="11"/>
  <c r="E24" i="11"/>
  <c r="D24" i="11"/>
  <c r="C24" i="11"/>
  <c r="B24" i="11"/>
  <c r="AF23" i="11"/>
  <c r="E23" i="11"/>
  <c r="D23" i="11"/>
  <c r="C23" i="11"/>
  <c r="B23" i="11"/>
  <c r="AF22" i="11"/>
  <c r="E22" i="11"/>
  <c r="D22" i="11"/>
  <c r="C22" i="11"/>
  <c r="B22" i="11"/>
  <c r="AF21" i="11"/>
  <c r="E21" i="11"/>
  <c r="D21" i="11"/>
  <c r="C21" i="11"/>
  <c r="B21" i="11"/>
  <c r="AF20" i="11"/>
  <c r="E20" i="11"/>
  <c r="D20" i="11"/>
  <c r="C20" i="11"/>
  <c r="B20" i="11"/>
  <c r="AF19" i="11"/>
  <c r="E19" i="11"/>
  <c r="D19" i="11"/>
  <c r="C19" i="11"/>
  <c r="B19" i="11"/>
  <c r="AF18" i="11"/>
  <c r="E18" i="11"/>
  <c r="D18" i="11"/>
  <c r="C18" i="11"/>
  <c r="B18" i="11"/>
  <c r="AF17" i="11"/>
  <c r="E17" i="11"/>
  <c r="D17" i="11"/>
  <c r="C17" i="11"/>
  <c r="B17" i="11"/>
  <c r="AF16" i="11"/>
  <c r="E16" i="11"/>
  <c r="D16" i="11"/>
  <c r="C16" i="11"/>
  <c r="B16" i="11"/>
  <c r="AF15" i="11"/>
  <c r="E15" i="11"/>
  <c r="D15" i="11"/>
  <c r="C15" i="11"/>
  <c r="B15" i="11"/>
  <c r="AF14" i="11"/>
  <c r="E14" i="11"/>
  <c r="D14" i="11"/>
  <c r="C14" i="11"/>
  <c r="B14" i="11"/>
  <c r="AF13" i="11"/>
  <c r="E13" i="11"/>
  <c r="D13" i="11"/>
  <c r="C13" i="11"/>
  <c r="B13" i="11"/>
  <c r="AF12" i="11"/>
  <c r="E12" i="11"/>
  <c r="D12" i="11"/>
  <c r="C12" i="11"/>
  <c r="B12" i="11"/>
  <c r="AF11" i="11"/>
  <c r="E11" i="11"/>
  <c r="D11" i="11"/>
  <c r="C11" i="11"/>
  <c r="B11" i="11"/>
  <c r="AF10" i="11"/>
  <c r="E10" i="11"/>
  <c r="D10" i="11"/>
  <c r="C10" i="11"/>
  <c r="B10" i="11"/>
  <c r="AF9" i="11"/>
  <c r="E9" i="11"/>
  <c r="D9" i="11"/>
  <c r="C9" i="11"/>
  <c r="B9" i="11"/>
  <c r="AF8" i="11"/>
  <c r="E8" i="11"/>
  <c r="D8" i="11"/>
  <c r="C8" i="11"/>
  <c r="B8" i="11"/>
  <c r="AF7" i="11"/>
  <c r="E7" i="11"/>
  <c r="D7" i="11"/>
  <c r="C7" i="11"/>
  <c r="B7" i="11"/>
  <c r="AF6" i="11"/>
  <c r="E6" i="11"/>
  <c r="D6" i="11"/>
  <c r="C6" i="11"/>
  <c r="B6" i="11"/>
  <c r="AF5" i="11"/>
  <c r="E5" i="11"/>
  <c r="D5" i="11"/>
  <c r="C5" i="11"/>
  <c r="B5" i="11"/>
  <c r="AF4" i="11"/>
  <c r="E4" i="11"/>
  <c r="D4" i="11"/>
  <c r="C4" i="11"/>
  <c r="B4" i="11"/>
  <c r="AF3" i="11"/>
  <c r="E3" i="11"/>
  <c r="D3" i="11"/>
  <c r="C3" i="11"/>
  <c r="B3" i="11"/>
  <c r="C111" i="9"/>
  <c r="B111" i="9"/>
  <c r="C110" i="9"/>
  <c r="B110" i="9"/>
  <c r="C109" i="9"/>
  <c r="B109" i="9"/>
  <c r="C108" i="9"/>
  <c r="B108" i="9"/>
  <c r="C107" i="9"/>
  <c r="B107" i="9"/>
  <c r="C106" i="9"/>
  <c r="B106" i="9"/>
  <c r="C105" i="9"/>
  <c r="B105" i="9"/>
  <c r="C104" i="9"/>
  <c r="B104" i="9"/>
  <c r="C103" i="9"/>
  <c r="B103" i="9"/>
  <c r="C102" i="9"/>
  <c r="B102" i="9"/>
  <c r="C101" i="9"/>
  <c r="B101" i="9"/>
  <c r="C100" i="9"/>
  <c r="B100" i="9"/>
  <c r="C99" i="9"/>
  <c r="B99" i="9"/>
  <c r="C98" i="9"/>
  <c r="B98" i="9"/>
  <c r="C97" i="9"/>
  <c r="B97" i="9"/>
  <c r="C96" i="9"/>
  <c r="B96" i="9"/>
  <c r="C95" i="9"/>
  <c r="B95" i="9"/>
  <c r="C94" i="9"/>
  <c r="B94" i="9"/>
  <c r="C93" i="9"/>
  <c r="B93" i="9"/>
  <c r="C92" i="9"/>
  <c r="B92" i="9"/>
  <c r="C91" i="9"/>
  <c r="B91" i="9"/>
  <c r="C90" i="9"/>
  <c r="B90" i="9"/>
  <c r="C89" i="9"/>
  <c r="B89" i="9"/>
  <c r="C88" i="9"/>
  <c r="B88" i="9"/>
  <c r="C87" i="9"/>
  <c r="B87" i="9"/>
  <c r="C86" i="9"/>
  <c r="B86" i="9"/>
  <c r="C85" i="9"/>
  <c r="B85" i="9"/>
  <c r="C84" i="9"/>
  <c r="B84" i="9"/>
  <c r="C83" i="9"/>
  <c r="B83" i="9"/>
  <c r="C82" i="9"/>
  <c r="B82" i="9"/>
  <c r="C81" i="9"/>
  <c r="B81" i="9"/>
  <c r="C80" i="9"/>
  <c r="B80" i="9"/>
  <c r="C79" i="9"/>
  <c r="B79" i="9"/>
  <c r="C78" i="9"/>
  <c r="B78" i="9"/>
  <c r="C77" i="9"/>
  <c r="B77" i="9"/>
  <c r="C76" i="9"/>
  <c r="B76" i="9"/>
  <c r="C75" i="9"/>
  <c r="B75" i="9"/>
  <c r="C74" i="9"/>
  <c r="B74" i="9"/>
  <c r="C73" i="9"/>
  <c r="B73" i="9"/>
  <c r="C72" i="9"/>
  <c r="B72" i="9"/>
  <c r="C71" i="9"/>
  <c r="B71" i="9"/>
  <c r="C70" i="9"/>
  <c r="B70" i="9"/>
  <c r="C69" i="9"/>
  <c r="B69" i="9"/>
  <c r="C68" i="9"/>
  <c r="B68" i="9"/>
  <c r="C67" i="9"/>
  <c r="B67" i="9"/>
  <c r="C66" i="9"/>
  <c r="B66" i="9"/>
  <c r="C65" i="9"/>
  <c r="B65" i="9"/>
  <c r="C64" i="9"/>
  <c r="B64" i="9"/>
  <c r="C63" i="9"/>
  <c r="B63" i="9"/>
  <c r="C62" i="9"/>
  <c r="B62" i="9"/>
  <c r="C61" i="9"/>
  <c r="B61" i="9"/>
  <c r="C60" i="9"/>
  <c r="B60" i="9"/>
  <c r="C59" i="9"/>
  <c r="B59" i="9"/>
  <c r="C58" i="9"/>
  <c r="B58" i="9"/>
  <c r="C57" i="9"/>
  <c r="B57" i="9"/>
  <c r="C56" i="9"/>
  <c r="B56" i="9"/>
  <c r="C55" i="9"/>
  <c r="B55" i="9"/>
  <c r="C54" i="9"/>
  <c r="B54" i="9"/>
  <c r="C53" i="9"/>
  <c r="B53" i="9"/>
  <c r="C52" i="9"/>
  <c r="B52" i="9"/>
  <c r="C51" i="9"/>
  <c r="B51" i="9"/>
  <c r="C50" i="9"/>
  <c r="B50" i="9"/>
  <c r="C49" i="9"/>
  <c r="B49" i="9"/>
  <c r="C48" i="9"/>
  <c r="B48" i="9"/>
  <c r="C47" i="9"/>
  <c r="B47" i="9"/>
  <c r="C46" i="9"/>
  <c r="B46" i="9"/>
  <c r="C45" i="9"/>
  <c r="B45" i="9"/>
  <c r="C44" i="9"/>
  <c r="B44" i="9"/>
  <c r="C43" i="9"/>
  <c r="B43" i="9"/>
  <c r="C42" i="9"/>
  <c r="B42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32" i="9"/>
  <c r="B32" i="9"/>
  <c r="C31" i="9"/>
  <c r="B31" i="9"/>
  <c r="C30" i="9"/>
  <c r="B30" i="9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50" i="10"/>
  <c r="B50" i="10"/>
  <c r="C49" i="10"/>
  <c r="B49" i="10"/>
  <c r="C48" i="10"/>
  <c r="B48" i="10"/>
  <c r="BD60" i="9"/>
  <c r="BC60" i="9"/>
  <c r="BB60" i="9"/>
  <c r="BA60" i="9"/>
  <c r="AZ60" i="9"/>
  <c r="BD59" i="9"/>
  <c r="BC59" i="9"/>
  <c r="BB59" i="9"/>
  <c r="BA59" i="9"/>
  <c r="AZ59" i="9"/>
  <c r="BD58" i="9"/>
  <c r="BC58" i="9"/>
  <c r="BB58" i="9"/>
  <c r="BA58" i="9"/>
  <c r="AZ58" i="9"/>
  <c r="BD57" i="9"/>
  <c r="BC57" i="9"/>
  <c r="BB57" i="9"/>
  <c r="BA57" i="9"/>
  <c r="AZ57" i="9"/>
  <c r="BD56" i="9"/>
  <c r="BC56" i="9"/>
  <c r="BB56" i="9"/>
  <c r="BA56" i="9"/>
  <c r="AZ56" i="9"/>
  <c r="BD55" i="9"/>
  <c r="BC55" i="9"/>
  <c r="BB55" i="9"/>
  <c r="BA55" i="9"/>
  <c r="AZ55" i="9"/>
  <c r="BD54" i="9"/>
  <c r="BC54" i="9"/>
  <c r="BB54" i="9"/>
  <c r="BA54" i="9"/>
  <c r="AZ54" i="9"/>
  <c r="BD53" i="9"/>
  <c r="BC53" i="9"/>
  <c r="BB53" i="9"/>
  <c r="BA53" i="9"/>
  <c r="AZ53" i="9"/>
  <c r="BD52" i="9"/>
  <c r="BC52" i="9"/>
  <c r="BB52" i="9"/>
  <c r="BA52" i="9"/>
  <c r="AZ52" i="9"/>
  <c r="BD51" i="9"/>
  <c r="BC51" i="9"/>
  <c r="BB51" i="9"/>
  <c r="BA51" i="9"/>
  <c r="AZ51" i="9"/>
  <c r="BD50" i="9"/>
  <c r="BC50" i="9"/>
  <c r="BB50" i="9"/>
  <c r="BA50" i="9"/>
  <c r="AZ50" i="9"/>
  <c r="BD49" i="9"/>
  <c r="BC49" i="9"/>
  <c r="BB49" i="9"/>
  <c r="BA49" i="9"/>
  <c r="AZ49" i="9"/>
  <c r="BD48" i="9"/>
  <c r="BC48" i="9"/>
  <c r="BB48" i="9"/>
  <c r="BA48" i="9"/>
  <c r="AZ48" i="9"/>
  <c r="BD47" i="9"/>
  <c r="BC47" i="9"/>
  <c r="BB47" i="9"/>
  <c r="BA47" i="9"/>
  <c r="AZ47" i="9"/>
  <c r="BD46" i="9"/>
  <c r="BC46" i="9"/>
  <c r="BB46" i="9"/>
  <c r="BA46" i="9"/>
  <c r="AZ46" i="9"/>
  <c r="BD45" i="9"/>
  <c r="BC45" i="9"/>
  <c r="BB45" i="9"/>
  <c r="BA45" i="9"/>
  <c r="AZ45" i="9"/>
  <c r="BD44" i="9"/>
  <c r="BC44" i="9"/>
  <c r="BB44" i="9"/>
  <c r="BA44" i="9"/>
  <c r="AZ44" i="9"/>
  <c r="BD43" i="9"/>
  <c r="BC43" i="9"/>
  <c r="BB43" i="9"/>
  <c r="BA43" i="9"/>
  <c r="AZ43" i="9"/>
  <c r="BD42" i="9"/>
  <c r="BC42" i="9"/>
  <c r="BB42" i="9"/>
  <c r="BA42" i="9"/>
  <c r="AZ42" i="9"/>
  <c r="BD41" i="9"/>
  <c r="BC41" i="9"/>
  <c r="BB41" i="9"/>
  <c r="BA41" i="9"/>
  <c r="AZ41" i="9"/>
  <c r="BD40" i="9"/>
  <c r="BC40" i="9"/>
  <c r="BB40" i="9"/>
  <c r="BA40" i="9"/>
  <c r="AZ40" i="9"/>
  <c r="BD39" i="9"/>
  <c r="BC39" i="9"/>
  <c r="BB39" i="9"/>
  <c r="BA39" i="9"/>
  <c r="AZ39" i="9"/>
  <c r="BD38" i="9"/>
  <c r="BC38" i="9"/>
  <c r="BB38" i="9"/>
  <c r="BA38" i="9"/>
  <c r="AZ38" i="9"/>
  <c r="BD37" i="9"/>
  <c r="BC37" i="9"/>
  <c r="BB37" i="9"/>
  <c r="BA37" i="9"/>
  <c r="AZ37" i="9"/>
  <c r="BD36" i="9"/>
  <c r="BC36" i="9"/>
  <c r="BB36" i="9"/>
  <c r="BA36" i="9"/>
  <c r="AZ36" i="9"/>
  <c r="BD35" i="9"/>
  <c r="BC35" i="9"/>
  <c r="BB35" i="9"/>
  <c r="BA35" i="9"/>
  <c r="AZ35" i="9"/>
  <c r="BD34" i="9"/>
  <c r="BC34" i="9"/>
  <c r="BB34" i="9"/>
  <c r="BA34" i="9"/>
  <c r="AZ34" i="9"/>
  <c r="BD33" i="9"/>
  <c r="BC33" i="9"/>
  <c r="BB33" i="9"/>
  <c r="BA33" i="9"/>
  <c r="AZ33" i="9"/>
  <c r="BD32" i="9"/>
  <c r="BC32" i="9"/>
  <c r="BB32" i="9"/>
  <c r="BA32" i="9"/>
  <c r="AZ32" i="9"/>
  <c r="BD31" i="9"/>
  <c r="BC31" i="9"/>
  <c r="BB31" i="9"/>
  <c r="BA31" i="9"/>
  <c r="AZ31" i="9"/>
  <c r="BD30" i="9"/>
  <c r="BC30" i="9"/>
  <c r="BB30" i="9"/>
  <c r="BA30" i="9"/>
  <c r="AZ30" i="9"/>
  <c r="BD29" i="9"/>
  <c r="BC29" i="9"/>
  <c r="BB29" i="9"/>
  <c r="BA29" i="9"/>
  <c r="AZ29" i="9"/>
  <c r="BD28" i="9"/>
  <c r="BC28" i="9"/>
  <c r="BB28" i="9"/>
  <c r="BA28" i="9"/>
  <c r="AZ28" i="9"/>
  <c r="BD27" i="9"/>
  <c r="BC27" i="9"/>
  <c r="BB27" i="9"/>
  <c r="BA27" i="9"/>
  <c r="AZ27" i="9"/>
  <c r="BD26" i="9"/>
  <c r="BC26" i="9"/>
  <c r="BB26" i="9"/>
  <c r="BA26" i="9"/>
  <c r="AZ26" i="9"/>
  <c r="BD25" i="9"/>
  <c r="BC25" i="9"/>
  <c r="BB25" i="9"/>
  <c r="BA25" i="9"/>
  <c r="AZ25" i="9"/>
  <c r="BD24" i="9"/>
  <c r="BC24" i="9"/>
  <c r="BB24" i="9"/>
  <c r="BA24" i="9"/>
  <c r="AZ24" i="9"/>
  <c r="BD23" i="9"/>
  <c r="BC23" i="9"/>
  <c r="BB23" i="9"/>
  <c r="BA23" i="9"/>
  <c r="AZ23" i="9"/>
  <c r="BD22" i="9"/>
  <c r="BC22" i="9"/>
  <c r="BB22" i="9"/>
  <c r="BA22" i="9"/>
  <c r="AZ22" i="9"/>
  <c r="BD21" i="9"/>
  <c r="BC21" i="9"/>
  <c r="BB21" i="9"/>
  <c r="BA21" i="9"/>
  <c r="AZ21" i="9"/>
  <c r="BD20" i="9"/>
  <c r="BC20" i="9"/>
  <c r="BB20" i="9"/>
  <c r="BA20" i="9"/>
  <c r="AZ20" i="9"/>
  <c r="BD19" i="9"/>
  <c r="BC19" i="9"/>
  <c r="BB19" i="9"/>
  <c r="BA19" i="9"/>
  <c r="AZ19" i="9"/>
  <c r="BD18" i="9"/>
  <c r="BC18" i="9"/>
  <c r="BB18" i="9"/>
  <c r="BA18" i="9"/>
  <c r="AZ18" i="9"/>
  <c r="BD17" i="9"/>
  <c r="BC17" i="9"/>
  <c r="BB17" i="9"/>
  <c r="BA17" i="9"/>
  <c r="AZ17" i="9"/>
  <c r="BD16" i="9"/>
  <c r="BC16" i="9"/>
  <c r="BB16" i="9"/>
  <c r="BA16" i="9"/>
  <c r="AZ16" i="9"/>
  <c r="BD15" i="9"/>
  <c r="BC15" i="9"/>
  <c r="BB15" i="9"/>
  <c r="BA15" i="9"/>
  <c r="AZ15" i="9"/>
  <c r="BD14" i="9"/>
  <c r="BC14" i="9"/>
  <c r="BB14" i="9"/>
  <c r="BA14" i="9"/>
  <c r="AZ14" i="9"/>
  <c r="BD13" i="9"/>
  <c r="BC13" i="9"/>
  <c r="BB13" i="9"/>
  <c r="BA13" i="9"/>
  <c r="AZ13" i="9"/>
  <c r="BD12" i="9"/>
  <c r="BC12" i="9"/>
  <c r="BB12" i="9"/>
  <c r="BA12" i="9"/>
  <c r="AZ12" i="9"/>
  <c r="BD11" i="9"/>
  <c r="BC11" i="9"/>
  <c r="BB11" i="9"/>
  <c r="BA11" i="9"/>
  <c r="AZ11" i="9"/>
  <c r="BD10" i="9"/>
  <c r="BC10" i="9"/>
  <c r="BB10" i="9"/>
  <c r="BA10" i="9"/>
  <c r="AZ10" i="9"/>
  <c r="BD9" i="9"/>
  <c r="BC9" i="9"/>
  <c r="BB9" i="9"/>
  <c r="BA9" i="9"/>
  <c r="AZ9" i="9"/>
  <c r="BD8" i="9"/>
  <c r="BC8" i="9"/>
  <c r="BB8" i="9"/>
  <c r="BA8" i="9"/>
  <c r="AZ8" i="9"/>
  <c r="BD7" i="9"/>
  <c r="BC7" i="9"/>
  <c r="BB7" i="9"/>
  <c r="BA7" i="9"/>
  <c r="AZ7" i="9"/>
  <c r="BD6" i="9"/>
  <c r="BB6" i="9"/>
  <c r="BA6" i="9"/>
  <c r="AZ6" i="9"/>
  <c r="BC6" i="9"/>
  <c r="BD72" i="10"/>
  <c r="BC72" i="10"/>
  <c r="BB72" i="10"/>
  <c r="BA72" i="10"/>
  <c r="AZ72" i="10"/>
  <c r="BD71" i="10"/>
  <c r="BC71" i="10"/>
  <c r="BB71" i="10"/>
  <c r="BA71" i="10"/>
  <c r="AZ71" i="10"/>
  <c r="BD70" i="10"/>
  <c r="BC70" i="10"/>
  <c r="BB70" i="10"/>
  <c r="BA70" i="10"/>
  <c r="AZ70" i="10"/>
  <c r="BD69" i="10"/>
  <c r="BC69" i="10"/>
  <c r="BB69" i="10"/>
  <c r="BA69" i="10"/>
  <c r="AZ69" i="10"/>
  <c r="BD68" i="10"/>
  <c r="BC68" i="10"/>
  <c r="BB68" i="10"/>
  <c r="BA68" i="10"/>
  <c r="AZ68" i="10"/>
  <c r="BD67" i="10"/>
  <c r="BC67" i="10"/>
  <c r="BB67" i="10"/>
  <c r="BA67" i="10"/>
  <c r="AZ67" i="10"/>
  <c r="BD66" i="10"/>
  <c r="BC66" i="10"/>
  <c r="BB66" i="10"/>
  <c r="BA66" i="10"/>
  <c r="AZ66" i="10"/>
  <c r="BD65" i="10"/>
  <c r="BC65" i="10"/>
  <c r="BB65" i="10"/>
  <c r="BA65" i="10"/>
  <c r="AZ65" i="10"/>
  <c r="BD64" i="10"/>
  <c r="BC64" i="10"/>
  <c r="BB64" i="10"/>
  <c r="BA64" i="10"/>
  <c r="AZ64" i="10"/>
  <c r="BD63" i="10"/>
  <c r="BC63" i="10"/>
  <c r="BB63" i="10"/>
  <c r="BA63" i="10"/>
  <c r="AZ63" i="10"/>
  <c r="BD62" i="10"/>
  <c r="BC62" i="10"/>
  <c r="BB62" i="10"/>
  <c r="BA62" i="10"/>
  <c r="AZ62" i="10"/>
  <c r="BD61" i="10"/>
  <c r="BC61" i="10"/>
  <c r="BB61" i="10"/>
  <c r="BA61" i="10"/>
  <c r="AZ61" i="10"/>
  <c r="BD60" i="10"/>
  <c r="BC60" i="10"/>
  <c r="BB60" i="10"/>
  <c r="BA60" i="10"/>
  <c r="AZ60" i="10"/>
  <c r="BD59" i="10"/>
  <c r="BC59" i="10"/>
  <c r="BB59" i="10"/>
  <c r="BA59" i="10"/>
  <c r="AZ59" i="10"/>
  <c r="BD58" i="10"/>
  <c r="BC58" i="10"/>
  <c r="BB58" i="10"/>
  <c r="BA58" i="10"/>
  <c r="AZ58" i="10"/>
  <c r="BD57" i="10"/>
  <c r="BC57" i="10"/>
  <c r="BB57" i="10"/>
  <c r="BA57" i="10"/>
  <c r="AZ57" i="10"/>
  <c r="BD56" i="10"/>
  <c r="BC56" i="10"/>
  <c r="BB56" i="10"/>
  <c r="BA56" i="10"/>
  <c r="AZ56" i="10"/>
  <c r="BD55" i="10"/>
  <c r="BC55" i="10"/>
  <c r="BB55" i="10"/>
  <c r="BA55" i="10"/>
  <c r="AZ55" i="10"/>
  <c r="BD54" i="10"/>
  <c r="BC54" i="10"/>
  <c r="BB54" i="10"/>
  <c r="BA54" i="10"/>
  <c r="AZ54" i="10"/>
  <c r="BD53" i="10"/>
  <c r="BC53" i="10"/>
  <c r="BB53" i="10"/>
  <c r="BA53" i="10"/>
  <c r="AZ53" i="10"/>
  <c r="BD52" i="10"/>
  <c r="BC52" i="10"/>
  <c r="BB52" i="10"/>
  <c r="BA52" i="10"/>
  <c r="AZ52" i="10"/>
  <c r="BD51" i="10"/>
  <c r="BC51" i="10"/>
  <c r="BB51" i="10"/>
  <c r="BA51" i="10"/>
  <c r="AZ51" i="10"/>
  <c r="BD50" i="10"/>
  <c r="BC50" i="10"/>
  <c r="BB50" i="10"/>
  <c r="BA50" i="10"/>
  <c r="AZ50" i="10"/>
  <c r="BD49" i="10"/>
  <c r="BC49" i="10"/>
  <c r="BB49" i="10"/>
  <c r="BA49" i="10"/>
  <c r="AZ49" i="10"/>
  <c r="BD48" i="10"/>
  <c r="BC48" i="10"/>
  <c r="BB48" i="10"/>
  <c r="BA48" i="10"/>
  <c r="AZ48" i="10"/>
  <c r="BD47" i="10"/>
  <c r="BC47" i="10"/>
  <c r="BB47" i="10"/>
  <c r="BA47" i="10"/>
  <c r="AZ47" i="10"/>
  <c r="BD46" i="10"/>
  <c r="BC46" i="10"/>
  <c r="BB46" i="10"/>
  <c r="BA46" i="10"/>
  <c r="AZ46" i="10"/>
  <c r="BD45" i="10"/>
  <c r="BC45" i="10"/>
  <c r="BB45" i="10"/>
  <c r="BA45" i="10"/>
  <c r="AZ45" i="10"/>
  <c r="BD44" i="10"/>
  <c r="BC44" i="10"/>
  <c r="BB44" i="10"/>
  <c r="BA44" i="10"/>
  <c r="AZ44" i="10"/>
  <c r="BD43" i="10"/>
  <c r="BC43" i="10"/>
  <c r="BB43" i="10"/>
  <c r="BA43" i="10"/>
  <c r="AZ43" i="10"/>
  <c r="BD42" i="10"/>
  <c r="BC42" i="10"/>
  <c r="BB42" i="10"/>
  <c r="BA42" i="10"/>
  <c r="AZ42" i="10"/>
  <c r="BD41" i="10"/>
  <c r="BC41" i="10"/>
  <c r="BB41" i="10"/>
  <c r="BA41" i="10"/>
  <c r="AZ41" i="10"/>
  <c r="BD40" i="10"/>
  <c r="BC40" i="10"/>
  <c r="BB40" i="10"/>
  <c r="BA40" i="10"/>
  <c r="AZ40" i="10"/>
  <c r="BD39" i="10"/>
  <c r="BC39" i="10"/>
  <c r="BB39" i="10"/>
  <c r="BA39" i="10"/>
  <c r="AZ39" i="10"/>
  <c r="BD38" i="10"/>
  <c r="BC38" i="10"/>
  <c r="BB38" i="10"/>
  <c r="BA38" i="10"/>
  <c r="AZ38" i="10"/>
  <c r="BD37" i="10"/>
  <c r="BC37" i="10"/>
  <c r="BB37" i="10"/>
  <c r="BA37" i="10"/>
  <c r="AZ37" i="10"/>
  <c r="BD36" i="10"/>
  <c r="BC36" i="10"/>
  <c r="BB36" i="10"/>
  <c r="BA36" i="10"/>
  <c r="AZ36" i="10"/>
  <c r="BD35" i="10"/>
  <c r="BC35" i="10"/>
  <c r="BB35" i="10"/>
  <c r="BA35" i="10"/>
  <c r="AZ35" i="10"/>
  <c r="BD34" i="10"/>
  <c r="BC34" i="10"/>
  <c r="BB34" i="10"/>
  <c r="BA34" i="10"/>
  <c r="AZ34" i="10"/>
  <c r="BD33" i="10"/>
  <c r="BC33" i="10"/>
  <c r="BB33" i="10"/>
  <c r="BA33" i="10"/>
  <c r="AZ33" i="10"/>
  <c r="BD32" i="10"/>
  <c r="BC32" i="10"/>
  <c r="BB32" i="10"/>
  <c r="BA32" i="10"/>
  <c r="AZ32" i="10"/>
  <c r="BD31" i="10"/>
  <c r="BC31" i="10"/>
  <c r="BB31" i="10"/>
  <c r="BA31" i="10"/>
  <c r="AZ31" i="10"/>
  <c r="BD30" i="10"/>
  <c r="BC30" i="10"/>
  <c r="BB30" i="10"/>
  <c r="BA30" i="10"/>
  <c r="AZ30" i="10"/>
  <c r="BD29" i="10"/>
  <c r="BC29" i="10"/>
  <c r="BB29" i="10"/>
  <c r="BA29" i="10"/>
  <c r="AZ29" i="10"/>
  <c r="BD28" i="10"/>
  <c r="BC28" i="10"/>
  <c r="BB28" i="10"/>
  <c r="BA28" i="10"/>
  <c r="AZ28" i="10"/>
  <c r="BD27" i="10"/>
  <c r="BC27" i="10"/>
  <c r="BB27" i="10"/>
  <c r="BA27" i="10"/>
  <c r="AZ27" i="10"/>
  <c r="BD26" i="10"/>
  <c r="BC26" i="10"/>
  <c r="BB26" i="10"/>
  <c r="BA26" i="10"/>
  <c r="AZ26" i="10"/>
  <c r="BD25" i="10"/>
  <c r="BC25" i="10"/>
  <c r="BB25" i="10"/>
  <c r="BA25" i="10"/>
  <c r="AZ25" i="10"/>
  <c r="BD24" i="10"/>
  <c r="BC24" i="10"/>
  <c r="BB24" i="10"/>
  <c r="BA24" i="10"/>
  <c r="AZ24" i="10"/>
  <c r="BD23" i="10"/>
  <c r="BC23" i="10"/>
  <c r="BB23" i="10"/>
  <c r="BA23" i="10"/>
  <c r="AZ23" i="10"/>
  <c r="BD22" i="10"/>
  <c r="BC22" i="10"/>
  <c r="BB22" i="10"/>
  <c r="BA22" i="10"/>
  <c r="AZ22" i="10"/>
  <c r="BD21" i="10"/>
  <c r="BC21" i="10"/>
  <c r="BB21" i="10"/>
  <c r="BA21" i="10"/>
  <c r="AZ21" i="10"/>
  <c r="BD20" i="10"/>
  <c r="BC20" i="10"/>
  <c r="BB20" i="10"/>
  <c r="BA20" i="10"/>
  <c r="AZ20" i="10"/>
  <c r="BD19" i="10"/>
  <c r="BC19" i="10"/>
  <c r="BB19" i="10"/>
  <c r="BA19" i="10"/>
  <c r="AZ19" i="10"/>
  <c r="BD18" i="10"/>
  <c r="BC18" i="10"/>
  <c r="BB18" i="10"/>
  <c r="BA18" i="10"/>
  <c r="AZ18" i="10"/>
  <c r="BD17" i="10"/>
  <c r="BC17" i="10"/>
  <c r="BB17" i="10"/>
  <c r="BA17" i="10"/>
  <c r="AZ17" i="10"/>
  <c r="BD16" i="10"/>
  <c r="BC16" i="10"/>
  <c r="BB16" i="10"/>
  <c r="BA16" i="10"/>
  <c r="AZ16" i="10"/>
  <c r="BD15" i="10"/>
  <c r="BC15" i="10"/>
  <c r="BB15" i="10"/>
  <c r="BA15" i="10"/>
  <c r="AZ15" i="10"/>
  <c r="BD14" i="10"/>
  <c r="BC14" i="10"/>
  <c r="BB14" i="10"/>
  <c r="BA14" i="10"/>
  <c r="AZ14" i="10"/>
  <c r="BD13" i="10"/>
  <c r="BC13" i="10"/>
  <c r="BB13" i="10"/>
  <c r="BA13" i="10"/>
  <c r="AZ13" i="10"/>
  <c r="BD12" i="10"/>
  <c r="BC12" i="10"/>
  <c r="BB12" i="10"/>
  <c r="BA12" i="10"/>
  <c r="AZ12" i="10"/>
  <c r="BD11" i="10"/>
  <c r="BC11" i="10"/>
  <c r="BB11" i="10"/>
  <c r="BA11" i="10"/>
  <c r="AZ11" i="10"/>
  <c r="BD10" i="10"/>
  <c r="BC10" i="10"/>
  <c r="BB10" i="10"/>
  <c r="BA10" i="10"/>
  <c r="AZ10" i="10"/>
  <c r="BD9" i="10"/>
  <c r="BC9" i="10"/>
  <c r="BB9" i="10"/>
  <c r="BA9" i="10"/>
  <c r="AZ9" i="10"/>
  <c r="BD8" i="10"/>
  <c r="BC8" i="10"/>
  <c r="BB8" i="10"/>
  <c r="BA8" i="10"/>
  <c r="AZ8" i="10"/>
  <c r="BD7" i="10"/>
  <c r="BC7" i="10"/>
  <c r="BB7" i="10"/>
  <c r="BA7" i="10"/>
  <c r="AZ7" i="10"/>
  <c r="BD6" i="10"/>
  <c r="BC6" i="10"/>
  <c r="BB6" i="10"/>
  <c r="BA6" i="10"/>
  <c r="AZ6" i="10"/>
  <c r="K41" i="1" l="1"/>
  <c r="K26" i="1" s="1"/>
  <c r="AP16" i="1"/>
  <c r="AQ16" i="1" s="1"/>
  <c r="AQ18" i="1"/>
  <c r="AQ19" i="1"/>
  <c r="AQ17" i="1"/>
  <c r="H31" i="1" l="1"/>
  <c r="H44" i="1"/>
  <c r="H22" i="1" l="1"/>
  <c r="H17" i="1"/>
  <c r="AA1" i="2"/>
  <c r="AB1" i="2" s="1"/>
  <c r="AC1" i="2" s="1"/>
  <c r="P1" i="2"/>
  <c r="Q1" i="2" s="1"/>
  <c r="R1" i="2" s="1"/>
  <c r="K1" i="2"/>
  <c r="L1" i="2" s="1"/>
  <c r="M1" i="2" s="1"/>
  <c r="N1" i="2" s="1"/>
  <c r="F1" i="2"/>
  <c r="G1" i="2" s="1"/>
  <c r="S1" i="2" l="1"/>
  <c r="AD1" i="2"/>
  <c r="E40" i="2"/>
  <c r="H1" i="2"/>
  <c r="I1" i="2" s="1"/>
  <c r="H51" i="1"/>
  <c r="H38" i="1"/>
  <c r="H13" i="1"/>
  <c r="H10" i="1"/>
  <c r="H8" i="1" s="1"/>
  <c r="H18" i="1" l="1"/>
  <c r="H24" i="1"/>
  <c r="H21" i="1" s="1"/>
  <c r="H7" i="1"/>
  <c r="H14" i="1"/>
  <c r="H43" i="1"/>
  <c r="H30" i="1"/>
  <c r="H16" i="1" l="1"/>
  <c r="J40" i="2"/>
  <c r="X38" i="1"/>
  <c r="X51" i="1" l="1"/>
  <c r="X24" i="1" s="1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C47" i="10"/>
  <c r="B47" i="10"/>
  <c r="D46" i="10"/>
  <c r="C46" i="10"/>
  <c r="B46" i="10"/>
  <c r="D45" i="10"/>
  <c r="C45" i="10"/>
  <c r="B45" i="10"/>
  <c r="D44" i="10"/>
  <c r="C44" i="10"/>
  <c r="B44" i="10"/>
  <c r="D43" i="10"/>
  <c r="C43" i="10"/>
  <c r="B43" i="10"/>
  <c r="D42" i="10"/>
  <c r="C42" i="10"/>
  <c r="B42" i="10"/>
  <c r="D41" i="10"/>
  <c r="C41" i="10"/>
  <c r="B41" i="10"/>
  <c r="D40" i="10"/>
  <c r="C40" i="10"/>
  <c r="B40" i="10"/>
  <c r="D39" i="10"/>
  <c r="C39" i="10"/>
  <c r="B39" i="10"/>
  <c r="D38" i="10"/>
  <c r="C38" i="10"/>
  <c r="B38" i="10"/>
  <c r="D37" i="10"/>
  <c r="C37" i="10"/>
  <c r="B37" i="10"/>
  <c r="D36" i="10"/>
  <c r="C36" i="10"/>
  <c r="B36" i="10"/>
  <c r="D35" i="10"/>
  <c r="C35" i="10"/>
  <c r="B35" i="10"/>
  <c r="D34" i="10"/>
  <c r="C34" i="10"/>
  <c r="B34" i="10"/>
  <c r="D33" i="10"/>
  <c r="C33" i="10"/>
  <c r="B33" i="10"/>
  <c r="D32" i="10"/>
  <c r="C32" i="10"/>
  <c r="B32" i="10"/>
  <c r="D31" i="10"/>
  <c r="C31" i="10"/>
  <c r="B31" i="10"/>
  <c r="D30" i="10"/>
  <c r="C30" i="10"/>
  <c r="B30" i="10"/>
  <c r="D29" i="10"/>
  <c r="C29" i="10"/>
  <c r="B29" i="10"/>
  <c r="D28" i="10"/>
  <c r="C28" i="10"/>
  <c r="B28" i="10"/>
  <c r="D27" i="10"/>
  <c r="C27" i="10"/>
  <c r="B27" i="10"/>
  <c r="D26" i="10"/>
  <c r="C26" i="10"/>
  <c r="B26" i="10"/>
  <c r="D25" i="10"/>
  <c r="C25" i="10"/>
  <c r="B25" i="10"/>
  <c r="D24" i="10"/>
  <c r="C24" i="10"/>
  <c r="B24" i="10"/>
  <c r="D23" i="10"/>
  <c r="C23" i="10"/>
  <c r="B23" i="10"/>
  <c r="D22" i="10"/>
  <c r="C22" i="10"/>
  <c r="B22" i="10"/>
  <c r="D21" i="10"/>
  <c r="C21" i="10"/>
  <c r="B21" i="10"/>
  <c r="D20" i="10"/>
  <c r="C20" i="10"/>
  <c r="B20" i="10"/>
  <c r="D19" i="10"/>
  <c r="C19" i="10"/>
  <c r="B19" i="10"/>
  <c r="D18" i="10"/>
  <c r="C18" i="10"/>
  <c r="B18" i="10"/>
  <c r="D17" i="10"/>
  <c r="C17" i="10"/>
  <c r="B17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D8" i="10"/>
  <c r="C8" i="10"/>
  <c r="B8" i="10"/>
  <c r="D7" i="10"/>
  <c r="C7" i="10"/>
  <c r="B7" i="10"/>
  <c r="D6" i="10"/>
  <c r="C6" i="10"/>
  <c r="B6" i="10"/>
  <c r="AT2" i="10"/>
  <c r="BD183" i="9"/>
  <c r="BC183" i="9"/>
  <c r="BB183" i="9"/>
  <c r="BA183" i="9"/>
  <c r="AZ183" i="9"/>
  <c r="BG183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BC4" i="9" l="1"/>
  <c r="BD4" i="9"/>
  <c r="AZ4" i="9"/>
  <c r="BA4" i="9"/>
  <c r="BB4" i="9"/>
  <c r="AF2" i="10"/>
  <c r="AB2" i="10"/>
  <c r="AD2" i="10"/>
  <c r="AJ2" i="10"/>
  <c r="AL2" i="10"/>
  <c r="T2" i="10"/>
  <c r="AN2" i="10"/>
  <c r="V2" i="10"/>
  <c r="AR2" i="10"/>
  <c r="X2" i="10"/>
  <c r="Y2" i="10"/>
  <c r="AG2" i="10"/>
  <c r="AO2" i="10"/>
  <c r="R2" i="10"/>
  <c r="Z2" i="10"/>
  <c r="AH2" i="10"/>
  <c r="AP2" i="10"/>
  <c r="S2" i="10"/>
  <c r="AA2" i="10"/>
  <c r="AI2" i="10"/>
  <c r="AQ2" i="10"/>
  <c r="U2" i="10"/>
  <c r="AC2" i="10"/>
  <c r="AK2" i="10"/>
  <c r="AS2" i="10"/>
  <c r="W2" i="10"/>
  <c r="AE2" i="10"/>
  <c r="AM2" i="10"/>
  <c r="Q2" i="10"/>
  <c r="M1" i="9"/>
  <c r="D280" i="8"/>
  <c r="C280" i="8"/>
  <c r="B280" i="8"/>
  <c r="A280" i="8"/>
  <c r="D279" i="8"/>
  <c r="C279" i="8"/>
  <c r="B279" i="8"/>
  <c r="A279" i="8"/>
  <c r="D278" i="8"/>
  <c r="C278" i="8"/>
  <c r="B278" i="8"/>
  <c r="A278" i="8"/>
  <c r="D277" i="8"/>
  <c r="C277" i="8"/>
  <c r="B277" i="8"/>
  <c r="A277" i="8"/>
  <c r="D276" i="8"/>
  <c r="C276" i="8"/>
  <c r="B276" i="8"/>
  <c r="A276" i="8"/>
  <c r="D275" i="8"/>
  <c r="C275" i="8"/>
  <c r="B275" i="8"/>
  <c r="A275" i="8"/>
  <c r="D274" i="8"/>
  <c r="C274" i="8"/>
  <c r="B274" i="8"/>
  <c r="A274" i="8"/>
  <c r="D273" i="8"/>
  <c r="C273" i="8"/>
  <c r="B273" i="8"/>
  <c r="A273" i="8"/>
  <c r="D272" i="8"/>
  <c r="C272" i="8"/>
  <c r="B272" i="8"/>
  <c r="A272" i="8"/>
  <c r="D271" i="8"/>
  <c r="C271" i="8"/>
  <c r="B271" i="8"/>
  <c r="A271" i="8"/>
  <c r="D270" i="8"/>
  <c r="C270" i="8"/>
  <c r="B270" i="8"/>
  <c r="A270" i="8"/>
  <c r="D269" i="8"/>
  <c r="C269" i="8"/>
  <c r="B269" i="8"/>
  <c r="A269" i="8"/>
  <c r="D268" i="8"/>
  <c r="C268" i="8"/>
  <c r="B268" i="8"/>
  <c r="A268" i="8"/>
  <c r="D267" i="8"/>
  <c r="C267" i="8"/>
  <c r="B267" i="8"/>
  <c r="A267" i="8"/>
  <c r="D266" i="8"/>
  <c r="C266" i="8"/>
  <c r="B266" i="8"/>
  <c r="A266" i="8"/>
  <c r="D265" i="8"/>
  <c r="C265" i="8"/>
  <c r="B265" i="8"/>
  <c r="A265" i="8"/>
  <c r="D264" i="8"/>
  <c r="C264" i="8"/>
  <c r="B264" i="8"/>
  <c r="A264" i="8"/>
  <c r="D263" i="8"/>
  <c r="C263" i="8"/>
  <c r="B263" i="8"/>
  <c r="A263" i="8"/>
  <c r="D262" i="8"/>
  <c r="C262" i="8"/>
  <c r="B262" i="8"/>
  <c r="A262" i="8"/>
  <c r="D261" i="8"/>
  <c r="C261" i="8"/>
  <c r="B261" i="8"/>
  <c r="A261" i="8"/>
  <c r="D260" i="8"/>
  <c r="C260" i="8"/>
  <c r="B260" i="8"/>
  <c r="A260" i="8"/>
  <c r="D259" i="8"/>
  <c r="C259" i="8"/>
  <c r="B259" i="8"/>
  <c r="A259" i="8"/>
  <c r="D258" i="8"/>
  <c r="C258" i="8"/>
  <c r="B258" i="8"/>
  <c r="A258" i="8"/>
  <c r="D257" i="8"/>
  <c r="C257" i="8"/>
  <c r="B257" i="8"/>
  <c r="A257" i="8"/>
  <c r="D256" i="8"/>
  <c r="C256" i="8"/>
  <c r="B256" i="8"/>
  <c r="A256" i="8"/>
  <c r="D255" i="8"/>
  <c r="C255" i="8"/>
  <c r="B255" i="8"/>
  <c r="A255" i="8"/>
  <c r="D254" i="8"/>
  <c r="C254" i="8"/>
  <c r="B254" i="8"/>
  <c r="A254" i="8"/>
  <c r="D253" i="8"/>
  <c r="C253" i="8"/>
  <c r="B253" i="8"/>
  <c r="A253" i="8"/>
  <c r="D252" i="8"/>
  <c r="C252" i="8"/>
  <c r="B252" i="8"/>
  <c r="A252" i="8"/>
  <c r="D251" i="8"/>
  <c r="C251" i="8"/>
  <c r="B251" i="8"/>
  <c r="A251" i="8"/>
  <c r="D250" i="8"/>
  <c r="C250" i="8"/>
  <c r="B250" i="8"/>
  <c r="A250" i="8"/>
  <c r="D249" i="8"/>
  <c r="C249" i="8"/>
  <c r="B249" i="8"/>
  <c r="A249" i="8"/>
  <c r="D248" i="8"/>
  <c r="C248" i="8"/>
  <c r="B248" i="8"/>
  <c r="A248" i="8"/>
  <c r="D247" i="8"/>
  <c r="C247" i="8"/>
  <c r="B247" i="8"/>
  <c r="A247" i="8"/>
  <c r="D246" i="8"/>
  <c r="C246" i="8"/>
  <c r="B246" i="8"/>
  <c r="A246" i="8"/>
  <c r="D245" i="8"/>
  <c r="C245" i="8"/>
  <c r="B245" i="8"/>
  <c r="A245" i="8"/>
  <c r="D244" i="8"/>
  <c r="C244" i="8"/>
  <c r="B244" i="8"/>
  <c r="A244" i="8"/>
  <c r="D243" i="8"/>
  <c r="C243" i="8"/>
  <c r="B243" i="8"/>
  <c r="A243" i="8"/>
  <c r="D242" i="8"/>
  <c r="C242" i="8"/>
  <c r="B242" i="8"/>
  <c r="A242" i="8"/>
  <c r="D241" i="8"/>
  <c r="C241" i="8"/>
  <c r="B241" i="8"/>
  <c r="A241" i="8"/>
  <c r="D240" i="8"/>
  <c r="C240" i="8"/>
  <c r="B240" i="8"/>
  <c r="A240" i="8"/>
  <c r="D239" i="8"/>
  <c r="C239" i="8"/>
  <c r="B239" i="8"/>
  <c r="A239" i="8"/>
  <c r="D238" i="8"/>
  <c r="C238" i="8"/>
  <c r="B238" i="8"/>
  <c r="A238" i="8"/>
  <c r="D237" i="8"/>
  <c r="C237" i="8"/>
  <c r="B237" i="8"/>
  <c r="A237" i="8"/>
  <c r="D236" i="8"/>
  <c r="C236" i="8"/>
  <c r="B236" i="8"/>
  <c r="A236" i="8"/>
  <c r="D235" i="8"/>
  <c r="C235" i="8"/>
  <c r="B235" i="8"/>
  <c r="A235" i="8"/>
  <c r="D234" i="8"/>
  <c r="C234" i="8"/>
  <c r="B234" i="8"/>
  <c r="A234" i="8"/>
  <c r="D233" i="8"/>
  <c r="C233" i="8"/>
  <c r="B233" i="8"/>
  <c r="A233" i="8"/>
  <c r="D232" i="8"/>
  <c r="C232" i="8"/>
  <c r="B232" i="8"/>
  <c r="A232" i="8"/>
  <c r="D231" i="8"/>
  <c r="C231" i="8"/>
  <c r="B231" i="8"/>
  <c r="A231" i="8"/>
  <c r="D230" i="8"/>
  <c r="C230" i="8"/>
  <c r="B230" i="8"/>
  <c r="A230" i="8"/>
  <c r="D229" i="8"/>
  <c r="C229" i="8"/>
  <c r="B229" i="8"/>
  <c r="A229" i="8"/>
  <c r="D228" i="8"/>
  <c r="C228" i="8"/>
  <c r="B228" i="8"/>
  <c r="A228" i="8"/>
  <c r="D227" i="8"/>
  <c r="C227" i="8"/>
  <c r="B227" i="8"/>
  <c r="A227" i="8"/>
  <c r="D226" i="8"/>
  <c r="C226" i="8"/>
  <c r="B226" i="8"/>
  <c r="A226" i="8"/>
  <c r="D225" i="8"/>
  <c r="C225" i="8"/>
  <c r="B225" i="8"/>
  <c r="A225" i="8"/>
  <c r="D224" i="8"/>
  <c r="C224" i="8"/>
  <c r="B224" i="8"/>
  <c r="A224" i="8"/>
  <c r="D223" i="8"/>
  <c r="C223" i="8"/>
  <c r="B223" i="8"/>
  <c r="A223" i="8"/>
  <c r="D222" i="8"/>
  <c r="C222" i="8"/>
  <c r="B222" i="8"/>
  <c r="A222" i="8"/>
  <c r="D221" i="8"/>
  <c r="C221" i="8"/>
  <c r="B221" i="8"/>
  <c r="A221" i="8"/>
  <c r="D220" i="8"/>
  <c r="C220" i="8"/>
  <c r="B220" i="8"/>
  <c r="A220" i="8"/>
  <c r="D219" i="8"/>
  <c r="C219" i="8"/>
  <c r="B219" i="8"/>
  <c r="A219" i="8"/>
  <c r="D218" i="8"/>
  <c r="C218" i="8"/>
  <c r="B218" i="8"/>
  <c r="A218" i="8"/>
  <c r="D217" i="8"/>
  <c r="C217" i="8"/>
  <c r="B217" i="8"/>
  <c r="A217" i="8"/>
  <c r="D216" i="8"/>
  <c r="C216" i="8"/>
  <c r="B216" i="8"/>
  <c r="A216" i="8"/>
  <c r="D215" i="8"/>
  <c r="C215" i="8"/>
  <c r="B215" i="8"/>
  <c r="A215" i="8"/>
  <c r="D214" i="8"/>
  <c r="C214" i="8"/>
  <c r="B214" i="8"/>
  <c r="A214" i="8"/>
  <c r="D213" i="8"/>
  <c r="C213" i="8"/>
  <c r="B213" i="8"/>
  <c r="A213" i="8"/>
  <c r="D211" i="8"/>
  <c r="C211" i="8"/>
  <c r="B211" i="8"/>
  <c r="A211" i="8"/>
  <c r="D210" i="8"/>
  <c r="C210" i="8"/>
  <c r="B210" i="8"/>
  <c r="A210" i="8"/>
  <c r="D209" i="8"/>
  <c r="C209" i="8"/>
  <c r="B209" i="8"/>
  <c r="A209" i="8"/>
  <c r="D208" i="8"/>
  <c r="C208" i="8"/>
  <c r="B208" i="8"/>
  <c r="A208" i="8"/>
  <c r="D207" i="8"/>
  <c r="C207" i="8"/>
  <c r="B207" i="8"/>
  <c r="A207" i="8"/>
  <c r="D206" i="8"/>
  <c r="C206" i="8"/>
  <c r="B206" i="8"/>
  <c r="A206" i="8"/>
  <c r="D205" i="8"/>
  <c r="C205" i="8"/>
  <c r="B205" i="8"/>
  <c r="A205" i="8"/>
  <c r="D204" i="8"/>
  <c r="C204" i="8"/>
  <c r="B204" i="8"/>
  <c r="A204" i="8"/>
  <c r="D203" i="8"/>
  <c r="C203" i="8"/>
  <c r="B203" i="8"/>
  <c r="A203" i="8"/>
  <c r="D202" i="8"/>
  <c r="C202" i="8"/>
  <c r="B202" i="8"/>
  <c r="A202" i="8"/>
  <c r="D201" i="8"/>
  <c r="C201" i="8"/>
  <c r="B201" i="8"/>
  <c r="A201" i="8"/>
  <c r="D200" i="8"/>
  <c r="C200" i="8"/>
  <c r="B200" i="8"/>
  <c r="A200" i="8"/>
  <c r="D199" i="8"/>
  <c r="C199" i="8"/>
  <c r="B199" i="8"/>
  <c r="A199" i="8"/>
  <c r="D198" i="8"/>
  <c r="C198" i="8"/>
  <c r="B198" i="8"/>
  <c r="A198" i="8"/>
  <c r="D197" i="8"/>
  <c r="C197" i="8"/>
  <c r="B197" i="8"/>
  <c r="A197" i="8"/>
  <c r="D196" i="8"/>
  <c r="C196" i="8"/>
  <c r="B196" i="8"/>
  <c r="A196" i="8"/>
  <c r="D195" i="8"/>
  <c r="C195" i="8"/>
  <c r="B195" i="8"/>
  <c r="A195" i="8"/>
  <c r="D194" i="8"/>
  <c r="C194" i="8"/>
  <c r="B194" i="8"/>
  <c r="A194" i="8"/>
  <c r="D193" i="8"/>
  <c r="C193" i="8"/>
  <c r="B193" i="8"/>
  <c r="A193" i="8"/>
  <c r="D192" i="8"/>
  <c r="C192" i="8"/>
  <c r="B192" i="8"/>
  <c r="A192" i="8"/>
  <c r="D191" i="8"/>
  <c r="C191" i="8"/>
  <c r="B191" i="8"/>
  <c r="A191" i="8"/>
  <c r="D190" i="8"/>
  <c r="C190" i="8"/>
  <c r="B190" i="8"/>
  <c r="A190" i="8"/>
  <c r="D189" i="8"/>
  <c r="C189" i="8"/>
  <c r="B189" i="8"/>
  <c r="A189" i="8"/>
  <c r="D188" i="8"/>
  <c r="C188" i="8"/>
  <c r="B188" i="8"/>
  <c r="A188" i="8"/>
  <c r="D187" i="8"/>
  <c r="C187" i="8"/>
  <c r="B187" i="8"/>
  <c r="A187" i="8"/>
  <c r="D186" i="8"/>
  <c r="C186" i="8"/>
  <c r="B186" i="8"/>
  <c r="A186" i="8"/>
  <c r="D185" i="8"/>
  <c r="C185" i="8"/>
  <c r="B185" i="8"/>
  <c r="A185" i="8"/>
  <c r="D184" i="8"/>
  <c r="C184" i="8"/>
  <c r="B184" i="8"/>
  <c r="A184" i="8"/>
  <c r="D183" i="8"/>
  <c r="C183" i="8"/>
  <c r="B183" i="8"/>
  <c r="A183" i="8"/>
  <c r="D182" i="8"/>
  <c r="C182" i="8"/>
  <c r="B182" i="8"/>
  <c r="A182" i="8"/>
  <c r="D181" i="8"/>
  <c r="C181" i="8"/>
  <c r="B181" i="8"/>
  <c r="A181" i="8"/>
  <c r="D180" i="8"/>
  <c r="C180" i="8"/>
  <c r="B180" i="8"/>
  <c r="A180" i="8"/>
  <c r="D179" i="8"/>
  <c r="C179" i="8"/>
  <c r="B179" i="8"/>
  <c r="A179" i="8"/>
  <c r="D178" i="8"/>
  <c r="C178" i="8"/>
  <c r="B178" i="8"/>
  <c r="A178" i="8"/>
  <c r="D177" i="8"/>
  <c r="C177" i="8"/>
  <c r="B177" i="8"/>
  <c r="A177" i="8"/>
  <c r="D176" i="8"/>
  <c r="C176" i="8"/>
  <c r="B176" i="8"/>
  <c r="A176" i="8"/>
  <c r="D175" i="8"/>
  <c r="C175" i="8"/>
  <c r="B175" i="8"/>
  <c r="A175" i="8"/>
  <c r="D174" i="8"/>
  <c r="C174" i="8"/>
  <c r="B174" i="8"/>
  <c r="A174" i="8"/>
  <c r="D173" i="8"/>
  <c r="C173" i="8"/>
  <c r="B173" i="8"/>
  <c r="A173" i="8"/>
  <c r="D172" i="8"/>
  <c r="C172" i="8"/>
  <c r="B172" i="8"/>
  <c r="A172" i="8"/>
  <c r="D171" i="8"/>
  <c r="C171" i="8"/>
  <c r="B171" i="8"/>
  <c r="A171" i="8"/>
  <c r="D170" i="8"/>
  <c r="C170" i="8"/>
  <c r="B170" i="8"/>
  <c r="A170" i="8"/>
  <c r="D169" i="8"/>
  <c r="C169" i="8"/>
  <c r="B169" i="8"/>
  <c r="A169" i="8"/>
  <c r="D168" i="8"/>
  <c r="C168" i="8"/>
  <c r="B168" i="8"/>
  <c r="A168" i="8"/>
  <c r="D167" i="8"/>
  <c r="C167" i="8"/>
  <c r="B167" i="8"/>
  <c r="A167" i="8"/>
  <c r="D166" i="8"/>
  <c r="C166" i="8"/>
  <c r="B166" i="8"/>
  <c r="A166" i="8"/>
  <c r="D165" i="8"/>
  <c r="C165" i="8"/>
  <c r="B165" i="8"/>
  <c r="A165" i="8"/>
  <c r="D164" i="8"/>
  <c r="C164" i="8"/>
  <c r="B164" i="8"/>
  <c r="A164" i="8"/>
  <c r="D163" i="8"/>
  <c r="C163" i="8"/>
  <c r="B163" i="8"/>
  <c r="A163" i="8"/>
  <c r="D162" i="8"/>
  <c r="C162" i="8"/>
  <c r="B162" i="8"/>
  <c r="A162" i="8"/>
  <c r="D161" i="8"/>
  <c r="C161" i="8"/>
  <c r="B161" i="8"/>
  <c r="A161" i="8"/>
  <c r="D160" i="8"/>
  <c r="C160" i="8"/>
  <c r="B160" i="8"/>
  <c r="A160" i="8"/>
  <c r="D159" i="8"/>
  <c r="C159" i="8"/>
  <c r="B159" i="8"/>
  <c r="A159" i="8"/>
  <c r="D158" i="8"/>
  <c r="C158" i="8"/>
  <c r="B158" i="8"/>
  <c r="A158" i="8"/>
  <c r="D157" i="8"/>
  <c r="C157" i="8"/>
  <c r="B157" i="8"/>
  <c r="A157" i="8"/>
  <c r="D156" i="8"/>
  <c r="C156" i="8"/>
  <c r="B156" i="8"/>
  <c r="A156" i="8"/>
  <c r="D155" i="8"/>
  <c r="C155" i="8"/>
  <c r="B155" i="8"/>
  <c r="A155" i="8"/>
  <c r="D154" i="8"/>
  <c r="C154" i="8"/>
  <c r="B154" i="8"/>
  <c r="A154" i="8"/>
  <c r="D153" i="8"/>
  <c r="C153" i="8"/>
  <c r="B153" i="8"/>
  <c r="A153" i="8"/>
  <c r="D152" i="8"/>
  <c r="C152" i="8"/>
  <c r="B152" i="8"/>
  <c r="A152" i="8"/>
  <c r="D151" i="8"/>
  <c r="C151" i="8"/>
  <c r="B151" i="8"/>
  <c r="A151" i="8"/>
  <c r="D150" i="8"/>
  <c r="C150" i="8"/>
  <c r="B150" i="8"/>
  <c r="A150" i="8"/>
  <c r="D149" i="8"/>
  <c r="C149" i="8"/>
  <c r="B149" i="8"/>
  <c r="A149" i="8"/>
  <c r="D148" i="8"/>
  <c r="C148" i="8"/>
  <c r="B148" i="8"/>
  <c r="A148" i="8"/>
  <c r="D147" i="8"/>
  <c r="C147" i="8"/>
  <c r="B147" i="8"/>
  <c r="A147" i="8"/>
  <c r="D146" i="8"/>
  <c r="C146" i="8"/>
  <c r="B146" i="8"/>
  <c r="A146" i="8"/>
  <c r="D145" i="8"/>
  <c r="C145" i="8"/>
  <c r="B145" i="8"/>
  <c r="A145" i="8"/>
  <c r="D144" i="8"/>
  <c r="C144" i="8"/>
  <c r="B144" i="8"/>
  <c r="A144" i="8"/>
  <c r="D143" i="8"/>
  <c r="C143" i="8"/>
  <c r="B143" i="8"/>
  <c r="A143" i="8"/>
  <c r="D142" i="8"/>
  <c r="C142" i="8"/>
  <c r="B142" i="8"/>
  <c r="A142" i="8"/>
  <c r="D141" i="8"/>
  <c r="C141" i="8"/>
  <c r="B141" i="8"/>
  <c r="A141" i="8"/>
  <c r="D140" i="8"/>
  <c r="C140" i="8"/>
  <c r="B140" i="8"/>
  <c r="A140" i="8"/>
  <c r="D139" i="8"/>
  <c r="C139" i="8"/>
  <c r="B139" i="8"/>
  <c r="A139" i="8"/>
  <c r="D138" i="8"/>
  <c r="C138" i="8"/>
  <c r="B138" i="8"/>
  <c r="A138" i="8"/>
  <c r="D137" i="8"/>
  <c r="C137" i="8"/>
  <c r="B137" i="8"/>
  <c r="A137" i="8"/>
  <c r="D136" i="8"/>
  <c r="C136" i="8"/>
  <c r="B136" i="8"/>
  <c r="A136" i="8"/>
  <c r="D135" i="8"/>
  <c r="C135" i="8"/>
  <c r="B135" i="8"/>
  <c r="A135" i="8"/>
  <c r="D134" i="8"/>
  <c r="C134" i="8"/>
  <c r="B134" i="8"/>
  <c r="A134" i="8"/>
  <c r="D133" i="8"/>
  <c r="C133" i="8"/>
  <c r="B133" i="8"/>
  <c r="A133" i="8"/>
  <c r="D132" i="8"/>
  <c r="C132" i="8"/>
  <c r="B132" i="8"/>
  <c r="A132" i="8"/>
  <c r="D131" i="8"/>
  <c r="C131" i="8"/>
  <c r="B131" i="8"/>
  <c r="A131" i="8"/>
  <c r="D130" i="8"/>
  <c r="C130" i="8"/>
  <c r="B130" i="8"/>
  <c r="A130" i="8"/>
  <c r="D129" i="8"/>
  <c r="C129" i="8"/>
  <c r="B129" i="8"/>
  <c r="A129" i="8"/>
  <c r="D128" i="8"/>
  <c r="C128" i="8"/>
  <c r="B128" i="8"/>
  <c r="A128" i="8"/>
  <c r="D127" i="8"/>
  <c r="C127" i="8"/>
  <c r="B127" i="8"/>
  <c r="A127" i="8"/>
  <c r="D126" i="8"/>
  <c r="C126" i="8"/>
  <c r="B126" i="8"/>
  <c r="A126" i="8"/>
  <c r="D125" i="8"/>
  <c r="C125" i="8"/>
  <c r="B125" i="8"/>
  <c r="A125" i="8"/>
  <c r="D124" i="8"/>
  <c r="C124" i="8"/>
  <c r="B124" i="8"/>
  <c r="A124" i="8"/>
  <c r="D123" i="8"/>
  <c r="C123" i="8"/>
  <c r="B123" i="8"/>
  <c r="A123" i="8"/>
  <c r="D122" i="8"/>
  <c r="C122" i="8"/>
  <c r="B122" i="8"/>
  <c r="A122" i="8"/>
  <c r="D121" i="8"/>
  <c r="C121" i="8"/>
  <c r="B121" i="8"/>
  <c r="A121" i="8"/>
  <c r="D120" i="8"/>
  <c r="C120" i="8"/>
  <c r="B120" i="8"/>
  <c r="A120" i="8"/>
  <c r="D119" i="8"/>
  <c r="C119" i="8"/>
  <c r="B119" i="8"/>
  <c r="A119" i="8"/>
  <c r="D118" i="8"/>
  <c r="C118" i="8"/>
  <c r="B118" i="8"/>
  <c r="A118" i="8"/>
  <c r="D117" i="8"/>
  <c r="C117" i="8"/>
  <c r="B117" i="8"/>
  <c r="A117" i="8"/>
  <c r="D116" i="8"/>
  <c r="C116" i="8"/>
  <c r="B116" i="8"/>
  <c r="A116" i="8"/>
  <c r="D115" i="8"/>
  <c r="C115" i="8"/>
  <c r="B115" i="8"/>
  <c r="A115" i="8"/>
  <c r="D114" i="8"/>
  <c r="C114" i="8"/>
  <c r="B114" i="8"/>
  <c r="A114" i="8"/>
  <c r="D113" i="8"/>
  <c r="C113" i="8"/>
  <c r="B113" i="8"/>
  <c r="A113" i="8"/>
  <c r="D112" i="8"/>
  <c r="C112" i="8"/>
  <c r="B112" i="8"/>
  <c r="A112" i="8"/>
  <c r="D111" i="8"/>
  <c r="C111" i="8"/>
  <c r="B111" i="8"/>
  <c r="A111" i="8"/>
  <c r="D110" i="8"/>
  <c r="C110" i="8"/>
  <c r="B110" i="8"/>
  <c r="A110" i="8"/>
  <c r="D109" i="8"/>
  <c r="C109" i="8"/>
  <c r="B109" i="8"/>
  <c r="A109" i="8"/>
  <c r="D108" i="8"/>
  <c r="C108" i="8"/>
  <c r="B108" i="8"/>
  <c r="A108" i="8"/>
  <c r="D107" i="8"/>
  <c r="C107" i="8"/>
  <c r="B107" i="8"/>
  <c r="A107" i="8"/>
  <c r="D106" i="8"/>
  <c r="C106" i="8"/>
  <c r="B106" i="8"/>
  <c r="A106" i="8"/>
  <c r="D105" i="8"/>
  <c r="C105" i="8"/>
  <c r="B105" i="8"/>
  <c r="A105" i="8"/>
  <c r="D104" i="8"/>
  <c r="C104" i="8"/>
  <c r="B104" i="8"/>
  <c r="A104" i="8"/>
  <c r="D103" i="8"/>
  <c r="C103" i="8"/>
  <c r="B103" i="8"/>
  <c r="A103" i="8"/>
  <c r="D102" i="8"/>
  <c r="C102" i="8"/>
  <c r="B102" i="8"/>
  <c r="A102" i="8"/>
  <c r="D101" i="8"/>
  <c r="C101" i="8"/>
  <c r="B101" i="8"/>
  <c r="A101" i="8"/>
  <c r="D100" i="8"/>
  <c r="C100" i="8"/>
  <c r="B100" i="8"/>
  <c r="A100" i="8"/>
  <c r="D99" i="8"/>
  <c r="C99" i="8"/>
  <c r="B99" i="8"/>
  <c r="A99" i="8"/>
  <c r="D98" i="8"/>
  <c r="C98" i="8"/>
  <c r="B98" i="8"/>
  <c r="A98" i="8"/>
  <c r="D97" i="8"/>
  <c r="C97" i="8"/>
  <c r="B97" i="8"/>
  <c r="A97" i="8"/>
  <c r="D96" i="8"/>
  <c r="C96" i="8"/>
  <c r="B96" i="8"/>
  <c r="A96" i="8"/>
  <c r="D95" i="8"/>
  <c r="C95" i="8"/>
  <c r="B95" i="8"/>
  <c r="A95" i="8"/>
  <c r="D94" i="8"/>
  <c r="C94" i="8"/>
  <c r="B94" i="8"/>
  <c r="A94" i="8"/>
  <c r="D93" i="8"/>
  <c r="C93" i="8"/>
  <c r="B93" i="8"/>
  <c r="A93" i="8"/>
  <c r="D92" i="8"/>
  <c r="C92" i="8"/>
  <c r="B92" i="8"/>
  <c r="A92" i="8"/>
  <c r="D91" i="8"/>
  <c r="C91" i="8"/>
  <c r="B91" i="8"/>
  <c r="A91" i="8"/>
  <c r="D90" i="8"/>
  <c r="C90" i="8"/>
  <c r="B90" i="8"/>
  <c r="A90" i="8"/>
  <c r="D89" i="8"/>
  <c r="C89" i="8"/>
  <c r="B89" i="8"/>
  <c r="A89" i="8"/>
  <c r="D88" i="8"/>
  <c r="C88" i="8"/>
  <c r="B88" i="8"/>
  <c r="A88" i="8"/>
  <c r="D87" i="8"/>
  <c r="C87" i="8"/>
  <c r="B87" i="8"/>
  <c r="A87" i="8"/>
  <c r="D86" i="8"/>
  <c r="C86" i="8"/>
  <c r="B86" i="8"/>
  <c r="A86" i="8"/>
  <c r="D85" i="8"/>
  <c r="C85" i="8"/>
  <c r="B85" i="8"/>
  <c r="A85" i="8"/>
  <c r="D84" i="8"/>
  <c r="C84" i="8"/>
  <c r="B84" i="8"/>
  <c r="A84" i="8"/>
  <c r="D83" i="8"/>
  <c r="C83" i="8"/>
  <c r="B83" i="8"/>
  <c r="A83" i="8"/>
  <c r="D82" i="8"/>
  <c r="C82" i="8"/>
  <c r="B82" i="8"/>
  <c r="A82" i="8"/>
  <c r="D81" i="8"/>
  <c r="C81" i="8"/>
  <c r="B81" i="8"/>
  <c r="A81" i="8"/>
  <c r="D80" i="8"/>
  <c r="C80" i="8"/>
  <c r="B80" i="8"/>
  <c r="A80" i="8"/>
  <c r="D79" i="8"/>
  <c r="C79" i="8"/>
  <c r="B79" i="8"/>
  <c r="A79" i="8"/>
  <c r="D78" i="8"/>
  <c r="C78" i="8"/>
  <c r="B78" i="8"/>
  <c r="A78" i="8"/>
  <c r="D77" i="8"/>
  <c r="C77" i="8"/>
  <c r="B77" i="8"/>
  <c r="A77" i="8"/>
  <c r="D76" i="8"/>
  <c r="C76" i="8"/>
  <c r="B76" i="8"/>
  <c r="A76" i="8"/>
  <c r="D75" i="8"/>
  <c r="C75" i="8"/>
  <c r="B75" i="8"/>
  <c r="A75" i="8"/>
  <c r="D74" i="8"/>
  <c r="C74" i="8"/>
  <c r="B74" i="8"/>
  <c r="A74" i="8"/>
  <c r="D73" i="8"/>
  <c r="C73" i="8"/>
  <c r="B73" i="8"/>
  <c r="A73" i="8"/>
  <c r="D72" i="8"/>
  <c r="C72" i="8"/>
  <c r="B72" i="8"/>
  <c r="A72" i="8"/>
  <c r="D71" i="8"/>
  <c r="C71" i="8"/>
  <c r="B71" i="8"/>
  <c r="A71" i="8"/>
  <c r="D70" i="8"/>
  <c r="C70" i="8"/>
  <c r="B70" i="8"/>
  <c r="A70" i="8"/>
  <c r="D69" i="8"/>
  <c r="C69" i="8"/>
  <c r="B69" i="8"/>
  <c r="A69" i="8"/>
  <c r="D68" i="8"/>
  <c r="C68" i="8"/>
  <c r="B68" i="8"/>
  <c r="A68" i="8"/>
  <c r="D67" i="8"/>
  <c r="C67" i="8"/>
  <c r="B67" i="8"/>
  <c r="A67" i="8"/>
  <c r="D66" i="8"/>
  <c r="C66" i="8"/>
  <c r="B66" i="8"/>
  <c r="A66" i="8"/>
  <c r="D65" i="8"/>
  <c r="C65" i="8"/>
  <c r="B65" i="8"/>
  <c r="A65" i="8"/>
  <c r="D64" i="8"/>
  <c r="C64" i="8"/>
  <c r="B64" i="8"/>
  <c r="A64" i="8"/>
  <c r="D63" i="8"/>
  <c r="C63" i="8"/>
  <c r="B63" i="8"/>
  <c r="A63" i="8"/>
  <c r="D62" i="8"/>
  <c r="C62" i="8"/>
  <c r="B62" i="8"/>
  <c r="A62" i="8"/>
  <c r="D61" i="8"/>
  <c r="C61" i="8"/>
  <c r="B61" i="8"/>
  <c r="A61" i="8"/>
  <c r="D60" i="8"/>
  <c r="C60" i="8"/>
  <c r="B60" i="8"/>
  <c r="A60" i="8"/>
  <c r="D59" i="8"/>
  <c r="C59" i="8"/>
  <c r="B59" i="8"/>
  <c r="A59" i="8"/>
  <c r="D58" i="8"/>
  <c r="C58" i="8"/>
  <c r="B58" i="8"/>
  <c r="A58" i="8"/>
  <c r="D57" i="8"/>
  <c r="C57" i="8"/>
  <c r="B57" i="8"/>
  <c r="A57" i="8"/>
  <c r="D56" i="8"/>
  <c r="C56" i="8"/>
  <c r="B56" i="8"/>
  <c r="A56" i="8"/>
  <c r="D55" i="8"/>
  <c r="C55" i="8"/>
  <c r="B55" i="8"/>
  <c r="A55" i="8"/>
  <c r="D54" i="8"/>
  <c r="C54" i="8"/>
  <c r="B54" i="8"/>
  <c r="A54" i="8"/>
  <c r="D53" i="8"/>
  <c r="C53" i="8"/>
  <c r="B53" i="8"/>
  <c r="A53" i="8"/>
  <c r="D52" i="8"/>
  <c r="C52" i="8"/>
  <c r="B52" i="8"/>
  <c r="A52" i="8"/>
  <c r="D51" i="8"/>
  <c r="C51" i="8"/>
  <c r="B51" i="8"/>
  <c r="A51" i="8"/>
  <c r="D50" i="8"/>
  <c r="C50" i="8"/>
  <c r="B50" i="8"/>
  <c r="A50" i="8"/>
  <c r="D49" i="8"/>
  <c r="C49" i="8"/>
  <c r="B49" i="8"/>
  <c r="A49" i="8"/>
  <c r="D48" i="8"/>
  <c r="C48" i="8"/>
  <c r="B48" i="8"/>
  <c r="A48" i="8"/>
  <c r="D47" i="8"/>
  <c r="C47" i="8"/>
  <c r="B47" i="8"/>
  <c r="A47" i="8"/>
  <c r="D46" i="8"/>
  <c r="C46" i="8"/>
  <c r="B46" i="8"/>
  <c r="A46" i="8"/>
  <c r="D45" i="8"/>
  <c r="C45" i="8"/>
  <c r="B45" i="8"/>
  <c r="A45" i="8"/>
  <c r="D44" i="8"/>
  <c r="C44" i="8"/>
  <c r="B44" i="8"/>
  <c r="A44" i="8"/>
  <c r="D43" i="8"/>
  <c r="C43" i="8"/>
  <c r="B43" i="8"/>
  <c r="A43" i="8"/>
  <c r="D42" i="8"/>
  <c r="C42" i="8"/>
  <c r="B42" i="8"/>
  <c r="A42" i="8"/>
  <c r="D41" i="8"/>
  <c r="C41" i="8"/>
  <c r="B41" i="8"/>
  <c r="A41" i="8"/>
  <c r="D40" i="8"/>
  <c r="C40" i="8"/>
  <c r="B40" i="8"/>
  <c r="A40" i="8"/>
  <c r="D39" i="8"/>
  <c r="C39" i="8"/>
  <c r="B39" i="8"/>
  <c r="A39" i="8"/>
  <c r="D38" i="8"/>
  <c r="C38" i="8"/>
  <c r="B38" i="8"/>
  <c r="A38" i="8"/>
  <c r="D37" i="8"/>
  <c r="C37" i="8"/>
  <c r="B37" i="8"/>
  <c r="A37" i="8"/>
  <c r="D36" i="8"/>
  <c r="C36" i="8"/>
  <c r="B36" i="8"/>
  <c r="A36" i="8"/>
  <c r="D35" i="8"/>
  <c r="C35" i="8"/>
  <c r="B35" i="8"/>
  <c r="A35" i="8"/>
  <c r="D34" i="8"/>
  <c r="C34" i="8"/>
  <c r="B34" i="8"/>
  <c r="A34" i="8"/>
  <c r="D33" i="8"/>
  <c r="C33" i="8"/>
  <c r="B33" i="8"/>
  <c r="A33" i="8"/>
  <c r="D32" i="8"/>
  <c r="C32" i="8"/>
  <c r="B32" i="8"/>
  <c r="A32" i="8"/>
  <c r="D31" i="8"/>
  <c r="C31" i="8"/>
  <c r="B31" i="8"/>
  <c r="A31" i="8"/>
  <c r="D30" i="8"/>
  <c r="C30" i="8"/>
  <c r="B30" i="8"/>
  <c r="A30" i="8"/>
  <c r="D29" i="8"/>
  <c r="C29" i="8"/>
  <c r="B29" i="8"/>
  <c r="A29" i="8"/>
  <c r="D28" i="8"/>
  <c r="C28" i="8"/>
  <c r="B28" i="8"/>
  <c r="A28" i="8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C435" i="7"/>
  <c r="B435" i="7"/>
  <c r="A435" i="7"/>
  <c r="C434" i="7"/>
  <c r="B434" i="7"/>
  <c r="A434" i="7"/>
  <c r="C433" i="7"/>
  <c r="B433" i="7"/>
  <c r="A433" i="7"/>
  <c r="C432" i="7"/>
  <c r="B432" i="7"/>
  <c r="A432" i="7"/>
  <c r="C431" i="7"/>
  <c r="B431" i="7"/>
  <c r="A431" i="7"/>
  <c r="C430" i="7"/>
  <c r="B430" i="7"/>
  <c r="A430" i="7"/>
  <c r="C429" i="7"/>
  <c r="B429" i="7"/>
  <c r="A429" i="7"/>
  <c r="C428" i="7"/>
  <c r="B428" i="7"/>
  <c r="A428" i="7"/>
  <c r="C427" i="7"/>
  <c r="B427" i="7"/>
  <c r="A427" i="7"/>
  <c r="C426" i="7"/>
  <c r="B426" i="7"/>
  <c r="A426" i="7"/>
  <c r="C425" i="7"/>
  <c r="B425" i="7"/>
  <c r="A425" i="7"/>
  <c r="C424" i="7"/>
  <c r="B424" i="7"/>
  <c r="A424" i="7"/>
  <c r="C423" i="7"/>
  <c r="B423" i="7"/>
  <c r="A423" i="7"/>
  <c r="C422" i="7"/>
  <c r="B422" i="7"/>
  <c r="A422" i="7"/>
  <c r="C421" i="7"/>
  <c r="B421" i="7"/>
  <c r="A421" i="7"/>
  <c r="C420" i="7"/>
  <c r="B420" i="7"/>
  <c r="A420" i="7"/>
  <c r="C419" i="7"/>
  <c r="B419" i="7"/>
  <c r="A419" i="7"/>
  <c r="C418" i="7"/>
  <c r="B418" i="7"/>
  <c r="A418" i="7"/>
  <c r="C417" i="7"/>
  <c r="B417" i="7"/>
  <c r="A417" i="7"/>
  <c r="C416" i="7"/>
  <c r="B416" i="7"/>
  <c r="A416" i="7"/>
  <c r="C415" i="7"/>
  <c r="B415" i="7"/>
  <c r="A415" i="7"/>
  <c r="C414" i="7"/>
  <c r="B414" i="7"/>
  <c r="A414" i="7"/>
  <c r="C413" i="7"/>
  <c r="B413" i="7"/>
  <c r="A413" i="7"/>
  <c r="C412" i="7"/>
  <c r="B412" i="7"/>
  <c r="A412" i="7"/>
  <c r="C411" i="7"/>
  <c r="B411" i="7"/>
  <c r="A411" i="7"/>
  <c r="C410" i="7"/>
  <c r="B410" i="7"/>
  <c r="A410" i="7"/>
  <c r="C409" i="7"/>
  <c r="B409" i="7"/>
  <c r="A409" i="7"/>
  <c r="C408" i="7"/>
  <c r="B408" i="7"/>
  <c r="A408" i="7"/>
  <c r="C407" i="7"/>
  <c r="B407" i="7"/>
  <c r="A407" i="7"/>
  <c r="C406" i="7"/>
  <c r="B406" i="7"/>
  <c r="A406" i="7"/>
  <c r="C405" i="7"/>
  <c r="B405" i="7"/>
  <c r="A405" i="7"/>
  <c r="C404" i="7"/>
  <c r="B404" i="7"/>
  <c r="A404" i="7"/>
  <c r="C403" i="7"/>
  <c r="B403" i="7"/>
  <c r="A403" i="7"/>
  <c r="C402" i="7"/>
  <c r="B402" i="7"/>
  <c r="A402" i="7"/>
  <c r="C401" i="7"/>
  <c r="B401" i="7"/>
  <c r="A401" i="7"/>
  <c r="C400" i="7"/>
  <c r="B400" i="7"/>
  <c r="A400" i="7"/>
  <c r="C399" i="7"/>
  <c r="B399" i="7"/>
  <c r="A399" i="7"/>
  <c r="C398" i="7"/>
  <c r="B398" i="7"/>
  <c r="A398" i="7"/>
  <c r="C397" i="7"/>
  <c r="B397" i="7"/>
  <c r="A397" i="7"/>
  <c r="C396" i="7"/>
  <c r="B396" i="7"/>
  <c r="A396" i="7"/>
  <c r="C395" i="7"/>
  <c r="B395" i="7"/>
  <c r="A395" i="7"/>
  <c r="C394" i="7"/>
  <c r="B394" i="7"/>
  <c r="A394" i="7"/>
  <c r="C393" i="7"/>
  <c r="B393" i="7"/>
  <c r="A393" i="7"/>
  <c r="C392" i="7"/>
  <c r="B392" i="7"/>
  <c r="A392" i="7"/>
  <c r="C391" i="7"/>
  <c r="B391" i="7"/>
  <c r="A391" i="7"/>
  <c r="C390" i="7"/>
  <c r="B390" i="7"/>
  <c r="A390" i="7"/>
  <c r="C389" i="7"/>
  <c r="B389" i="7"/>
  <c r="A389" i="7"/>
  <c r="C388" i="7"/>
  <c r="B388" i="7"/>
  <c r="A388" i="7"/>
  <c r="C387" i="7"/>
  <c r="B387" i="7"/>
  <c r="A387" i="7"/>
  <c r="C386" i="7"/>
  <c r="B386" i="7"/>
  <c r="A386" i="7"/>
  <c r="C385" i="7"/>
  <c r="B385" i="7"/>
  <c r="A385" i="7"/>
  <c r="C384" i="7"/>
  <c r="B384" i="7"/>
  <c r="A384" i="7"/>
  <c r="C383" i="7"/>
  <c r="B383" i="7"/>
  <c r="A383" i="7"/>
  <c r="C382" i="7"/>
  <c r="B382" i="7"/>
  <c r="A382" i="7"/>
  <c r="C381" i="7"/>
  <c r="B381" i="7"/>
  <c r="A381" i="7"/>
  <c r="C380" i="7"/>
  <c r="B380" i="7"/>
  <c r="A380" i="7"/>
  <c r="C379" i="7"/>
  <c r="B379" i="7"/>
  <c r="A379" i="7"/>
  <c r="C378" i="7"/>
  <c r="B378" i="7"/>
  <c r="A378" i="7"/>
  <c r="C377" i="7"/>
  <c r="B377" i="7"/>
  <c r="A377" i="7"/>
  <c r="C376" i="7"/>
  <c r="B376" i="7"/>
  <c r="A376" i="7"/>
  <c r="C375" i="7"/>
  <c r="B375" i="7"/>
  <c r="A375" i="7"/>
  <c r="C374" i="7"/>
  <c r="B374" i="7"/>
  <c r="A374" i="7"/>
  <c r="C373" i="7"/>
  <c r="B373" i="7"/>
  <c r="A373" i="7"/>
  <c r="C372" i="7"/>
  <c r="B372" i="7"/>
  <c r="A372" i="7"/>
  <c r="C371" i="7"/>
  <c r="B371" i="7"/>
  <c r="A371" i="7"/>
  <c r="C370" i="7"/>
  <c r="B370" i="7"/>
  <c r="A370" i="7"/>
  <c r="C369" i="7"/>
  <c r="B369" i="7"/>
  <c r="A369" i="7"/>
  <c r="C368" i="7"/>
  <c r="B368" i="7"/>
  <c r="A368" i="7"/>
  <c r="C367" i="7"/>
  <c r="B367" i="7"/>
  <c r="A367" i="7"/>
  <c r="C366" i="7"/>
  <c r="B366" i="7"/>
  <c r="A366" i="7"/>
  <c r="C365" i="7"/>
  <c r="B365" i="7"/>
  <c r="A365" i="7"/>
  <c r="C364" i="7"/>
  <c r="B364" i="7"/>
  <c r="A364" i="7"/>
  <c r="C363" i="7"/>
  <c r="B363" i="7"/>
  <c r="A363" i="7"/>
  <c r="C362" i="7"/>
  <c r="B362" i="7"/>
  <c r="A362" i="7"/>
  <c r="C361" i="7"/>
  <c r="B361" i="7"/>
  <c r="A361" i="7"/>
  <c r="C360" i="7"/>
  <c r="B360" i="7"/>
  <c r="A360" i="7"/>
  <c r="C359" i="7"/>
  <c r="B359" i="7"/>
  <c r="A359" i="7"/>
  <c r="C358" i="7"/>
  <c r="B358" i="7"/>
  <c r="A358" i="7"/>
  <c r="C357" i="7"/>
  <c r="B357" i="7"/>
  <c r="A357" i="7"/>
  <c r="C356" i="7"/>
  <c r="B356" i="7"/>
  <c r="A356" i="7"/>
  <c r="C355" i="7"/>
  <c r="B355" i="7"/>
  <c r="A355" i="7"/>
  <c r="C354" i="7"/>
  <c r="B354" i="7"/>
  <c r="A354" i="7"/>
  <c r="C353" i="7"/>
  <c r="B353" i="7"/>
  <c r="A353" i="7"/>
  <c r="C352" i="7"/>
  <c r="B352" i="7"/>
  <c r="A352" i="7"/>
  <c r="C351" i="7"/>
  <c r="B351" i="7"/>
  <c r="A351" i="7"/>
  <c r="C350" i="7"/>
  <c r="B350" i="7"/>
  <c r="A350" i="7"/>
  <c r="C349" i="7"/>
  <c r="B349" i="7"/>
  <c r="A349" i="7"/>
  <c r="C348" i="7"/>
  <c r="B348" i="7"/>
  <c r="A348" i="7"/>
  <c r="C347" i="7"/>
  <c r="B347" i="7"/>
  <c r="A347" i="7"/>
  <c r="C346" i="7"/>
  <c r="B346" i="7"/>
  <c r="A346" i="7"/>
  <c r="C345" i="7"/>
  <c r="B345" i="7"/>
  <c r="A345" i="7"/>
  <c r="C344" i="7"/>
  <c r="B344" i="7"/>
  <c r="A344" i="7"/>
  <c r="C343" i="7"/>
  <c r="B343" i="7"/>
  <c r="A343" i="7"/>
  <c r="C342" i="7"/>
  <c r="B342" i="7"/>
  <c r="A342" i="7"/>
  <c r="C341" i="7"/>
  <c r="B341" i="7"/>
  <c r="A341" i="7"/>
  <c r="C340" i="7"/>
  <c r="B340" i="7"/>
  <c r="A340" i="7"/>
  <c r="C339" i="7"/>
  <c r="B339" i="7"/>
  <c r="A339" i="7"/>
  <c r="C338" i="7"/>
  <c r="B338" i="7"/>
  <c r="A338" i="7"/>
  <c r="C337" i="7"/>
  <c r="B337" i="7"/>
  <c r="A337" i="7"/>
  <c r="C336" i="7"/>
  <c r="B336" i="7"/>
  <c r="A336" i="7"/>
  <c r="C335" i="7"/>
  <c r="B335" i="7"/>
  <c r="A335" i="7"/>
  <c r="C334" i="7"/>
  <c r="B334" i="7"/>
  <c r="A334" i="7"/>
  <c r="C333" i="7"/>
  <c r="B333" i="7"/>
  <c r="A333" i="7"/>
  <c r="C332" i="7"/>
  <c r="B332" i="7"/>
  <c r="A332" i="7"/>
  <c r="C331" i="7"/>
  <c r="B331" i="7"/>
  <c r="A331" i="7"/>
  <c r="C330" i="7"/>
  <c r="B330" i="7"/>
  <c r="A330" i="7"/>
  <c r="C329" i="7"/>
  <c r="B329" i="7"/>
  <c r="A329" i="7"/>
  <c r="C328" i="7"/>
  <c r="B328" i="7"/>
  <c r="A328" i="7"/>
  <c r="C327" i="7"/>
  <c r="B327" i="7"/>
  <c r="A327" i="7"/>
  <c r="C326" i="7"/>
  <c r="B326" i="7"/>
  <c r="A326" i="7"/>
  <c r="C325" i="7"/>
  <c r="B325" i="7"/>
  <c r="A325" i="7"/>
  <c r="C324" i="7"/>
  <c r="B324" i="7"/>
  <c r="A324" i="7"/>
  <c r="C323" i="7"/>
  <c r="B323" i="7"/>
  <c r="A323" i="7"/>
  <c r="C322" i="7"/>
  <c r="B322" i="7"/>
  <c r="A322" i="7"/>
  <c r="C321" i="7"/>
  <c r="B321" i="7"/>
  <c r="A321" i="7"/>
  <c r="C320" i="7"/>
  <c r="B320" i="7"/>
  <c r="A320" i="7"/>
  <c r="C319" i="7"/>
  <c r="B319" i="7"/>
  <c r="A319" i="7"/>
  <c r="C318" i="7"/>
  <c r="B318" i="7"/>
  <c r="A318" i="7"/>
  <c r="C317" i="7"/>
  <c r="B317" i="7"/>
  <c r="A317" i="7"/>
  <c r="C316" i="7"/>
  <c r="B316" i="7"/>
  <c r="A316" i="7"/>
  <c r="C315" i="7"/>
  <c r="B315" i="7"/>
  <c r="A315" i="7"/>
  <c r="C314" i="7"/>
  <c r="B314" i="7"/>
  <c r="A314" i="7"/>
  <c r="C313" i="7"/>
  <c r="B313" i="7"/>
  <c r="A313" i="7"/>
  <c r="C312" i="7"/>
  <c r="B312" i="7"/>
  <c r="A312" i="7"/>
  <c r="C311" i="7"/>
  <c r="B311" i="7"/>
  <c r="A311" i="7"/>
  <c r="C310" i="7"/>
  <c r="B310" i="7"/>
  <c r="A310" i="7"/>
  <c r="C309" i="7"/>
  <c r="B309" i="7"/>
  <c r="A309" i="7"/>
  <c r="C308" i="7"/>
  <c r="B308" i="7"/>
  <c r="A308" i="7"/>
  <c r="C307" i="7"/>
  <c r="B307" i="7"/>
  <c r="A307" i="7"/>
  <c r="C306" i="7"/>
  <c r="B306" i="7"/>
  <c r="A306" i="7"/>
  <c r="C305" i="7"/>
  <c r="B305" i="7"/>
  <c r="A305" i="7"/>
  <c r="C304" i="7"/>
  <c r="B304" i="7"/>
  <c r="A304" i="7"/>
  <c r="C303" i="7"/>
  <c r="B303" i="7"/>
  <c r="A303" i="7"/>
  <c r="C302" i="7"/>
  <c r="B302" i="7"/>
  <c r="A302" i="7"/>
  <c r="C301" i="7"/>
  <c r="B301" i="7"/>
  <c r="A301" i="7"/>
  <c r="C300" i="7"/>
  <c r="B300" i="7"/>
  <c r="A300" i="7"/>
  <c r="C299" i="7"/>
  <c r="B299" i="7"/>
  <c r="A299" i="7"/>
  <c r="C298" i="7"/>
  <c r="B298" i="7"/>
  <c r="A298" i="7"/>
  <c r="C297" i="7"/>
  <c r="B297" i="7"/>
  <c r="A297" i="7"/>
  <c r="C296" i="7"/>
  <c r="B296" i="7"/>
  <c r="A296" i="7"/>
  <c r="C295" i="7"/>
  <c r="B295" i="7"/>
  <c r="A295" i="7"/>
  <c r="C294" i="7"/>
  <c r="B294" i="7"/>
  <c r="A294" i="7"/>
  <c r="C293" i="7"/>
  <c r="B293" i="7"/>
  <c r="A293" i="7"/>
  <c r="C292" i="7"/>
  <c r="B292" i="7"/>
  <c r="A292" i="7"/>
  <c r="C291" i="7"/>
  <c r="B291" i="7"/>
  <c r="A291" i="7"/>
  <c r="C290" i="7"/>
  <c r="B290" i="7"/>
  <c r="A290" i="7"/>
  <c r="C289" i="7"/>
  <c r="B289" i="7"/>
  <c r="A289" i="7"/>
  <c r="C288" i="7"/>
  <c r="B288" i="7"/>
  <c r="A288" i="7"/>
  <c r="C287" i="7"/>
  <c r="B287" i="7"/>
  <c r="A287" i="7"/>
  <c r="C286" i="7"/>
  <c r="B286" i="7"/>
  <c r="A286" i="7"/>
  <c r="C285" i="7"/>
  <c r="B285" i="7"/>
  <c r="A285" i="7"/>
  <c r="C284" i="7"/>
  <c r="B284" i="7"/>
  <c r="A284" i="7"/>
  <c r="C283" i="7"/>
  <c r="B283" i="7"/>
  <c r="A283" i="7"/>
  <c r="C282" i="7"/>
  <c r="B282" i="7"/>
  <c r="A282" i="7"/>
  <c r="C281" i="7"/>
  <c r="B281" i="7"/>
  <c r="A281" i="7"/>
  <c r="C280" i="7"/>
  <c r="B280" i="7"/>
  <c r="A280" i="7"/>
  <c r="D279" i="7"/>
  <c r="C279" i="7"/>
  <c r="B279" i="7"/>
  <c r="A279" i="7"/>
  <c r="D278" i="7"/>
  <c r="C278" i="7"/>
  <c r="B278" i="7"/>
  <c r="A278" i="7"/>
  <c r="D277" i="7"/>
  <c r="C277" i="7"/>
  <c r="B277" i="7"/>
  <c r="A277" i="7"/>
  <c r="D276" i="7"/>
  <c r="C276" i="7"/>
  <c r="B276" i="7"/>
  <c r="A276" i="7"/>
  <c r="D275" i="7"/>
  <c r="C275" i="7"/>
  <c r="B275" i="7"/>
  <c r="A275" i="7"/>
  <c r="D274" i="7"/>
  <c r="C274" i="7"/>
  <c r="B274" i="7"/>
  <c r="A274" i="7"/>
  <c r="D273" i="7"/>
  <c r="C273" i="7"/>
  <c r="B273" i="7"/>
  <c r="A273" i="7"/>
  <c r="D272" i="7"/>
  <c r="C272" i="7"/>
  <c r="B272" i="7"/>
  <c r="A272" i="7"/>
  <c r="D271" i="7"/>
  <c r="C271" i="7"/>
  <c r="B271" i="7"/>
  <c r="A271" i="7"/>
  <c r="D270" i="7"/>
  <c r="C270" i="7"/>
  <c r="B270" i="7"/>
  <c r="A270" i="7"/>
  <c r="D269" i="7"/>
  <c r="C269" i="7"/>
  <c r="B269" i="7"/>
  <c r="A269" i="7"/>
  <c r="D268" i="7"/>
  <c r="C268" i="7"/>
  <c r="B268" i="7"/>
  <c r="A268" i="7"/>
  <c r="D267" i="7"/>
  <c r="C267" i="7"/>
  <c r="B267" i="7"/>
  <c r="A267" i="7"/>
  <c r="D266" i="7"/>
  <c r="C266" i="7"/>
  <c r="B266" i="7"/>
  <c r="A266" i="7"/>
  <c r="D265" i="7"/>
  <c r="C265" i="7"/>
  <c r="B265" i="7"/>
  <c r="A265" i="7"/>
  <c r="D264" i="7"/>
  <c r="C264" i="7"/>
  <c r="B264" i="7"/>
  <c r="A264" i="7"/>
  <c r="D263" i="7"/>
  <c r="C263" i="7"/>
  <c r="B263" i="7"/>
  <c r="A263" i="7"/>
  <c r="D262" i="7"/>
  <c r="C262" i="7"/>
  <c r="B262" i="7"/>
  <c r="A262" i="7"/>
  <c r="D261" i="7"/>
  <c r="C261" i="7"/>
  <c r="B261" i="7"/>
  <c r="A261" i="7"/>
  <c r="D260" i="7"/>
  <c r="C260" i="7"/>
  <c r="B260" i="7"/>
  <c r="A260" i="7"/>
  <c r="D259" i="7"/>
  <c r="C259" i="7"/>
  <c r="B259" i="7"/>
  <c r="A259" i="7"/>
  <c r="D258" i="7"/>
  <c r="C258" i="7"/>
  <c r="B258" i="7"/>
  <c r="A258" i="7"/>
  <c r="D257" i="7"/>
  <c r="C257" i="7"/>
  <c r="B257" i="7"/>
  <c r="A257" i="7"/>
  <c r="D256" i="7"/>
  <c r="C256" i="7"/>
  <c r="B256" i="7"/>
  <c r="A256" i="7"/>
  <c r="D255" i="7"/>
  <c r="C255" i="7"/>
  <c r="B255" i="7"/>
  <c r="A255" i="7"/>
  <c r="D254" i="7"/>
  <c r="C254" i="7"/>
  <c r="B254" i="7"/>
  <c r="A254" i="7"/>
  <c r="D253" i="7"/>
  <c r="C253" i="7"/>
  <c r="B253" i="7"/>
  <c r="A253" i="7"/>
  <c r="D252" i="7"/>
  <c r="C252" i="7"/>
  <c r="B252" i="7"/>
  <c r="A252" i="7"/>
  <c r="D251" i="7"/>
  <c r="C251" i="7"/>
  <c r="B251" i="7"/>
  <c r="A251" i="7"/>
  <c r="D250" i="7"/>
  <c r="C250" i="7"/>
  <c r="B250" i="7"/>
  <c r="A250" i="7"/>
  <c r="D249" i="7"/>
  <c r="C249" i="7"/>
  <c r="B249" i="7"/>
  <c r="A249" i="7"/>
  <c r="D248" i="7"/>
  <c r="C248" i="7"/>
  <c r="B248" i="7"/>
  <c r="A248" i="7"/>
  <c r="D247" i="7"/>
  <c r="C247" i="7"/>
  <c r="B247" i="7"/>
  <c r="A247" i="7"/>
  <c r="D246" i="7"/>
  <c r="C246" i="7"/>
  <c r="B246" i="7"/>
  <c r="A246" i="7"/>
  <c r="D245" i="7"/>
  <c r="C245" i="7"/>
  <c r="B245" i="7"/>
  <c r="A245" i="7"/>
  <c r="D244" i="7"/>
  <c r="C244" i="7"/>
  <c r="B244" i="7"/>
  <c r="A244" i="7"/>
  <c r="D243" i="7"/>
  <c r="C243" i="7"/>
  <c r="B243" i="7"/>
  <c r="A243" i="7"/>
  <c r="D242" i="7"/>
  <c r="C242" i="7"/>
  <c r="B242" i="7"/>
  <c r="A242" i="7"/>
  <c r="D241" i="7"/>
  <c r="C241" i="7"/>
  <c r="B241" i="7"/>
  <c r="A241" i="7"/>
  <c r="D240" i="7"/>
  <c r="C240" i="7"/>
  <c r="B240" i="7"/>
  <c r="A240" i="7"/>
  <c r="D239" i="7"/>
  <c r="C239" i="7"/>
  <c r="B239" i="7"/>
  <c r="A239" i="7"/>
  <c r="D238" i="7"/>
  <c r="C238" i="7"/>
  <c r="B238" i="7"/>
  <c r="A238" i="7"/>
  <c r="D237" i="7"/>
  <c r="C237" i="7"/>
  <c r="B237" i="7"/>
  <c r="A237" i="7"/>
  <c r="D236" i="7"/>
  <c r="C236" i="7"/>
  <c r="B236" i="7"/>
  <c r="A236" i="7"/>
  <c r="D235" i="7"/>
  <c r="C235" i="7"/>
  <c r="B235" i="7"/>
  <c r="A235" i="7"/>
  <c r="D234" i="7"/>
  <c r="C234" i="7"/>
  <c r="B234" i="7"/>
  <c r="A234" i="7"/>
  <c r="D233" i="7"/>
  <c r="C233" i="7"/>
  <c r="B233" i="7"/>
  <c r="A233" i="7"/>
  <c r="D232" i="7"/>
  <c r="C232" i="7"/>
  <c r="B232" i="7"/>
  <c r="A232" i="7"/>
  <c r="D231" i="7"/>
  <c r="C231" i="7"/>
  <c r="B231" i="7"/>
  <c r="A231" i="7"/>
  <c r="D230" i="7"/>
  <c r="C230" i="7"/>
  <c r="B230" i="7"/>
  <c r="A230" i="7"/>
  <c r="D229" i="7"/>
  <c r="C229" i="7"/>
  <c r="B229" i="7"/>
  <c r="A229" i="7"/>
  <c r="D228" i="7"/>
  <c r="C228" i="7"/>
  <c r="B228" i="7"/>
  <c r="A228" i="7"/>
  <c r="D227" i="7"/>
  <c r="C227" i="7"/>
  <c r="B227" i="7"/>
  <c r="A227" i="7"/>
  <c r="D226" i="7"/>
  <c r="C226" i="7"/>
  <c r="B226" i="7"/>
  <c r="A226" i="7"/>
  <c r="D225" i="7"/>
  <c r="C225" i="7"/>
  <c r="B225" i="7"/>
  <c r="A225" i="7"/>
  <c r="D224" i="7"/>
  <c r="C224" i="7"/>
  <c r="B224" i="7"/>
  <c r="A224" i="7"/>
  <c r="D223" i="7"/>
  <c r="C223" i="7"/>
  <c r="B223" i="7"/>
  <c r="A223" i="7"/>
  <c r="D222" i="7"/>
  <c r="C222" i="7"/>
  <c r="B222" i="7"/>
  <c r="A222" i="7"/>
  <c r="D221" i="7"/>
  <c r="C221" i="7"/>
  <c r="B221" i="7"/>
  <c r="A221" i="7"/>
  <c r="D220" i="7"/>
  <c r="C220" i="7"/>
  <c r="B220" i="7"/>
  <c r="A220" i="7"/>
  <c r="D219" i="7"/>
  <c r="C219" i="7"/>
  <c r="B219" i="7"/>
  <c r="A219" i="7"/>
  <c r="D218" i="7"/>
  <c r="C218" i="7"/>
  <c r="B218" i="7"/>
  <c r="A218" i="7"/>
  <c r="D217" i="7"/>
  <c r="C217" i="7"/>
  <c r="B217" i="7"/>
  <c r="A217" i="7"/>
  <c r="D216" i="7"/>
  <c r="C216" i="7"/>
  <c r="B216" i="7"/>
  <c r="A216" i="7"/>
  <c r="D215" i="7"/>
  <c r="C215" i="7"/>
  <c r="B215" i="7"/>
  <c r="A215" i="7"/>
  <c r="D214" i="7"/>
  <c r="C214" i="7"/>
  <c r="B214" i="7"/>
  <c r="A214" i="7"/>
  <c r="D213" i="7"/>
  <c r="C213" i="7"/>
  <c r="B213" i="7"/>
  <c r="A213" i="7"/>
  <c r="D212" i="7"/>
  <c r="C212" i="7"/>
  <c r="B212" i="7"/>
  <c r="A212" i="7"/>
  <c r="D211" i="7"/>
  <c r="C211" i="7"/>
  <c r="B211" i="7"/>
  <c r="A211" i="7"/>
  <c r="D210" i="7"/>
  <c r="C210" i="7"/>
  <c r="B210" i="7"/>
  <c r="A210" i="7"/>
  <c r="D209" i="7"/>
  <c r="C209" i="7"/>
  <c r="B209" i="7"/>
  <c r="A209" i="7"/>
  <c r="D208" i="7"/>
  <c r="C208" i="7"/>
  <c r="B208" i="7"/>
  <c r="A208" i="7"/>
  <c r="D207" i="7"/>
  <c r="C207" i="7"/>
  <c r="B207" i="7"/>
  <c r="A207" i="7"/>
  <c r="D206" i="7"/>
  <c r="C206" i="7"/>
  <c r="B206" i="7"/>
  <c r="A206" i="7"/>
  <c r="D205" i="7"/>
  <c r="C205" i="7"/>
  <c r="B205" i="7"/>
  <c r="A205" i="7"/>
  <c r="D204" i="7"/>
  <c r="C204" i="7"/>
  <c r="B204" i="7"/>
  <c r="A204" i="7"/>
  <c r="D203" i="7"/>
  <c r="C203" i="7"/>
  <c r="B203" i="7"/>
  <c r="A203" i="7"/>
  <c r="D202" i="7"/>
  <c r="C202" i="7"/>
  <c r="B202" i="7"/>
  <c r="A202" i="7"/>
  <c r="D201" i="7"/>
  <c r="C201" i="7"/>
  <c r="B201" i="7"/>
  <c r="A201" i="7"/>
  <c r="D200" i="7"/>
  <c r="C200" i="7"/>
  <c r="B200" i="7"/>
  <c r="A200" i="7"/>
  <c r="D199" i="7"/>
  <c r="C199" i="7"/>
  <c r="B199" i="7"/>
  <c r="A199" i="7"/>
  <c r="D198" i="7"/>
  <c r="C198" i="7"/>
  <c r="B198" i="7"/>
  <c r="A198" i="7"/>
  <c r="D197" i="7"/>
  <c r="C197" i="7"/>
  <c r="B197" i="7"/>
  <c r="A197" i="7"/>
  <c r="D196" i="7"/>
  <c r="C196" i="7"/>
  <c r="B196" i="7"/>
  <c r="A196" i="7"/>
  <c r="D195" i="7"/>
  <c r="C195" i="7"/>
  <c r="B195" i="7"/>
  <c r="A195" i="7"/>
  <c r="D194" i="7"/>
  <c r="C194" i="7"/>
  <c r="B194" i="7"/>
  <c r="A194" i="7"/>
  <c r="D193" i="7"/>
  <c r="C193" i="7"/>
  <c r="B193" i="7"/>
  <c r="A193" i="7"/>
  <c r="D192" i="7"/>
  <c r="C192" i="7"/>
  <c r="B192" i="7"/>
  <c r="A192" i="7"/>
  <c r="D191" i="7"/>
  <c r="C191" i="7"/>
  <c r="B191" i="7"/>
  <c r="A191" i="7"/>
  <c r="D190" i="7"/>
  <c r="C190" i="7"/>
  <c r="B190" i="7"/>
  <c r="A190" i="7"/>
  <c r="D189" i="7"/>
  <c r="C189" i="7"/>
  <c r="B189" i="7"/>
  <c r="A189" i="7"/>
  <c r="D188" i="7"/>
  <c r="C188" i="7"/>
  <c r="B188" i="7"/>
  <c r="A188" i="7"/>
  <c r="D187" i="7"/>
  <c r="C187" i="7"/>
  <c r="B187" i="7"/>
  <c r="A187" i="7"/>
  <c r="D186" i="7"/>
  <c r="C186" i="7"/>
  <c r="B186" i="7"/>
  <c r="A186" i="7"/>
  <c r="D185" i="7"/>
  <c r="C185" i="7"/>
  <c r="B185" i="7"/>
  <c r="A185" i="7"/>
  <c r="D184" i="7"/>
  <c r="C184" i="7"/>
  <c r="B184" i="7"/>
  <c r="A184" i="7"/>
  <c r="D183" i="7"/>
  <c r="C183" i="7"/>
  <c r="B183" i="7"/>
  <c r="A183" i="7"/>
  <c r="D182" i="7"/>
  <c r="C182" i="7"/>
  <c r="B182" i="7"/>
  <c r="A182" i="7"/>
  <c r="D181" i="7"/>
  <c r="C181" i="7"/>
  <c r="B181" i="7"/>
  <c r="A181" i="7"/>
  <c r="D180" i="7"/>
  <c r="C180" i="7"/>
  <c r="B180" i="7"/>
  <c r="A180" i="7"/>
  <c r="D179" i="7"/>
  <c r="C179" i="7"/>
  <c r="B179" i="7"/>
  <c r="A179" i="7"/>
  <c r="D178" i="7"/>
  <c r="C178" i="7"/>
  <c r="B178" i="7"/>
  <c r="A178" i="7"/>
  <c r="D177" i="7"/>
  <c r="C177" i="7"/>
  <c r="B177" i="7"/>
  <c r="A177" i="7"/>
  <c r="D176" i="7"/>
  <c r="C176" i="7"/>
  <c r="B176" i="7"/>
  <c r="A176" i="7"/>
  <c r="D175" i="7"/>
  <c r="C175" i="7"/>
  <c r="B175" i="7"/>
  <c r="A175" i="7"/>
  <c r="D174" i="7"/>
  <c r="C174" i="7"/>
  <c r="B174" i="7"/>
  <c r="A174" i="7"/>
  <c r="D173" i="7"/>
  <c r="C173" i="7"/>
  <c r="B173" i="7"/>
  <c r="A173" i="7"/>
  <c r="D172" i="7"/>
  <c r="C172" i="7"/>
  <c r="B172" i="7"/>
  <c r="A172" i="7"/>
  <c r="D171" i="7"/>
  <c r="C171" i="7"/>
  <c r="B171" i="7"/>
  <c r="A171" i="7"/>
  <c r="D170" i="7"/>
  <c r="C170" i="7"/>
  <c r="B170" i="7"/>
  <c r="A170" i="7"/>
  <c r="D169" i="7"/>
  <c r="C169" i="7"/>
  <c r="B169" i="7"/>
  <c r="A169" i="7"/>
  <c r="D168" i="7"/>
  <c r="C168" i="7"/>
  <c r="B168" i="7"/>
  <c r="A168" i="7"/>
  <c r="D167" i="7"/>
  <c r="C167" i="7"/>
  <c r="B167" i="7"/>
  <c r="A167" i="7"/>
  <c r="D166" i="7"/>
  <c r="C166" i="7"/>
  <c r="B166" i="7"/>
  <c r="A166" i="7"/>
  <c r="D165" i="7"/>
  <c r="C165" i="7"/>
  <c r="B165" i="7"/>
  <c r="A165" i="7"/>
  <c r="D164" i="7"/>
  <c r="C164" i="7"/>
  <c r="B164" i="7"/>
  <c r="A164" i="7"/>
  <c r="D163" i="7"/>
  <c r="C163" i="7"/>
  <c r="B163" i="7"/>
  <c r="A163" i="7"/>
  <c r="D162" i="7"/>
  <c r="C162" i="7"/>
  <c r="B162" i="7"/>
  <c r="A162" i="7"/>
  <c r="D161" i="7"/>
  <c r="C161" i="7"/>
  <c r="B161" i="7"/>
  <c r="A161" i="7"/>
  <c r="D160" i="7"/>
  <c r="C160" i="7"/>
  <c r="B160" i="7"/>
  <c r="A160" i="7"/>
  <c r="D159" i="7"/>
  <c r="C159" i="7"/>
  <c r="B159" i="7"/>
  <c r="A159" i="7"/>
  <c r="D158" i="7"/>
  <c r="C158" i="7"/>
  <c r="B158" i="7"/>
  <c r="A158" i="7"/>
  <c r="D157" i="7"/>
  <c r="C157" i="7"/>
  <c r="B157" i="7"/>
  <c r="A157" i="7"/>
  <c r="D156" i="7"/>
  <c r="C156" i="7"/>
  <c r="B156" i="7"/>
  <c r="A156" i="7"/>
  <c r="D155" i="7"/>
  <c r="C155" i="7"/>
  <c r="B155" i="7"/>
  <c r="A155" i="7"/>
  <c r="D154" i="7"/>
  <c r="C154" i="7"/>
  <c r="B154" i="7"/>
  <c r="A154" i="7"/>
  <c r="D153" i="7"/>
  <c r="C153" i="7"/>
  <c r="B153" i="7"/>
  <c r="A153" i="7"/>
  <c r="D152" i="7"/>
  <c r="C152" i="7"/>
  <c r="B152" i="7"/>
  <c r="A152" i="7"/>
  <c r="D151" i="7"/>
  <c r="C151" i="7"/>
  <c r="B151" i="7"/>
  <c r="A151" i="7"/>
  <c r="D150" i="7"/>
  <c r="C150" i="7"/>
  <c r="B150" i="7"/>
  <c r="A150" i="7"/>
  <c r="D149" i="7"/>
  <c r="C149" i="7"/>
  <c r="B149" i="7"/>
  <c r="A149" i="7"/>
  <c r="D148" i="7"/>
  <c r="C148" i="7"/>
  <c r="B148" i="7"/>
  <c r="A148" i="7"/>
  <c r="D147" i="7"/>
  <c r="C147" i="7"/>
  <c r="B147" i="7"/>
  <c r="A147" i="7"/>
  <c r="D146" i="7"/>
  <c r="C146" i="7"/>
  <c r="B146" i="7"/>
  <c r="A146" i="7"/>
  <c r="D145" i="7"/>
  <c r="C145" i="7"/>
  <c r="B145" i="7"/>
  <c r="A145" i="7"/>
  <c r="D144" i="7"/>
  <c r="C144" i="7"/>
  <c r="B144" i="7"/>
  <c r="A144" i="7"/>
  <c r="D143" i="7"/>
  <c r="C143" i="7"/>
  <c r="B143" i="7"/>
  <c r="A143" i="7"/>
  <c r="D142" i="7"/>
  <c r="C142" i="7"/>
  <c r="B142" i="7"/>
  <c r="A142" i="7"/>
  <c r="D141" i="7"/>
  <c r="C141" i="7"/>
  <c r="B141" i="7"/>
  <c r="A141" i="7"/>
  <c r="D140" i="7"/>
  <c r="C140" i="7"/>
  <c r="B140" i="7"/>
  <c r="A140" i="7"/>
  <c r="D139" i="7"/>
  <c r="C139" i="7"/>
  <c r="B139" i="7"/>
  <c r="A139" i="7"/>
  <c r="D138" i="7"/>
  <c r="C138" i="7"/>
  <c r="B138" i="7"/>
  <c r="A138" i="7"/>
  <c r="D137" i="7"/>
  <c r="C137" i="7"/>
  <c r="B137" i="7"/>
  <c r="A137" i="7"/>
  <c r="D136" i="7"/>
  <c r="C136" i="7"/>
  <c r="B136" i="7"/>
  <c r="A136" i="7"/>
  <c r="D135" i="7"/>
  <c r="C135" i="7"/>
  <c r="B135" i="7"/>
  <c r="A135" i="7"/>
  <c r="D134" i="7"/>
  <c r="C134" i="7"/>
  <c r="B134" i="7"/>
  <c r="A134" i="7"/>
  <c r="D133" i="7"/>
  <c r="C133" i="7"/>
  <c r="B133" i="7"/>
  <c r="A133" i="7"/>
  <c r="D132" i="7"/>
  <c r="C132" i="7"/>
  <c r="B132" i="7"/>
  <c r="A132" i="7"/>
  <c r="D131" i="7"/>
  <c r="C131" i="7"/>
  <c r="B131" i="7"/>
  <c r="A131" i="7"/>
  <c r="D130" i="7"/>
  <c r="C130" i="7"/>
  <c r="B130" i="7"/>
  <c r="A130" i="7"/>
  <c r="D129" i="7"/>
  <c r="C129" i="7"/>
  <c r="B129" i="7"/>
  <c r="A129" i="7"/>
  <c r="D128" i="7"/>
  <c r="C128" i="7"/>
  <c r="B128" i="7"/>
  <c r="A128" i="7"/>
  <c r="D127" i="7"/>
  <c r="C127" i="7"/>
  <c r="B127" i="7"/>
  <c r="A127" i="7"/>
  <c r="D126" i="7"/>
  <c r="C126" i="7"/>
  <c r="B126" i="7"/>
  <c r="A126" i="7"/>
  <c r="D125" i="7"/>
  <c r="C125" i="7"/>
  <c r="B125" i="7"/>
  <c r="A125" i="7"/>
  <c r="D124" i="7"/>
  <c r="C124" i="7"/>
  <c r="B124" i="7"/>
  <c r="A124" i="7"/>
  <c r="D123" i="7"/>
  <c r="C123" i="7"/>
  <c r="B123" i="7"/>
  <c r="A123" i="7"/>
  <c r="D122" i="7"/>
  <c r="C122" i="7"/>
  <c r="B122" i="7"/>
  <c r="A122" i="7"/>
  <c r="D121" i="7"/>
  <c r="C121" i="7"/>
  <c r="B121" i="7"/>
  <c r="A121" i="7"/>
  <c r="D120" i="7"/>
  <c r="C120" i="7"/>
  <c r="B120" i="7"/>
  <c r="A120" i="7"/>
  <c r="D119" i="7"/>
  <c r="C119" i="7"/>
  <c r="B119" i="7"/>
  <c r="A119" i="7"/>
  <c r="D118" i="7"/>
  <c r="C118" i="7"/>
  <c r="B118" i="7"/>
  <c r="A118" i="7"/>
  <c r="D117" i="7"/>
  <c r="C117" i="7"/>
  <c r="B117" i="7"/>
  <c r="A117" i="7"/>
  <c r="D116" i="7"/>
  <c r="C116" i="7"/>
  <c r="B116" i="7"/>
  <c r="A116" i="7"/>
  <c r="D115" i="7"/>
  <c r="C115" i="7"/>
  <c r="B115" i="7"/>
  <c r="A115" i="7"/>
  <c r="D114" i="7"/>
  <c r="C114" i="7"/>
  <c r="B114" i="7"/>
  <c r="A114" i="7"/>
  <c r="D113" i="7"/>
  <c r="C113" i="7"/>
  <c r="B113" i="7"/>
  <c r="A113" i="7"/>
  <c r="D112" i="7"/>
  <c r="C112" i="7"/>
  <c r="B112" i="7"/>
  <c r="A112" i="7"/>
  <c r="D111" i="7"/>
  <c r="C111" i="7"/>
  <c r="B111" i="7"/>
  <c r="A111" i="7"/>
  <c r="D110" i="7"/>
  <c r="C110" i="7"/>
  <c r="B110" i="7"/>
  <c r="A110" i="7"/>
  <c r="D109" i="7"/>
  <c r="C109" i="7"/>
  <c r="B109" i="7"/>
  <c r="A109" i="7"/>
  <c r="D108" i="7"/>
  <c r="C108" i="7"/>
  <c r="B108" i="7"/>
  <c r="A108" i="7"/>
  <c r="D107" i="7"/>
  <c r="C107" i="7"/>
  <c r="B107" i="7"/>
  <c r="A107" i="7"/>
  <c r="D106" i="7"/>
  <c r="C106" i="7"/>
  <c r="B106" i="7"/>
  <c r="A106" i="7"/>
  <c r="D105" i="7"/>
  <c r="C105" i="7"/>
  <c r="B105" i="7"/>
  <c r="A105" i="7"/>
  <c r="D104" i="7"/>
  <c r="C104" i="7"/>
  <c r="B104" i="7"/>
  <c r="A104" i="7"/>
  <c r="D103" i="7"/>
  <c r="C103" i="7"/>
  <c r="B103" i="7"/>
  <c r="A103" i="7"/>
  <c r="D102" i="7"/>
  <c r="C102" i="7"/>
  <c r="B102" i="7"/>
  <c r="A102" i="7"/>
  <c r="D101" i="7"/>
  <c r="C101" i="7"/>
  <c r="B101" i="7"/>
  <c r="A101" i="7"/>
  <c r="D100" i="7"/>
  <c r="C100" i="7"/>
  <c r="B100" i="7"/>
  <c r="A100" i="7"/>
  <c r="D99" i="7"/>
  <c r="C99" i="7"/>
  <c r="B99" i="7"/>
  <c r="A99" i="7"/>
  <c r="D98" i="7"/>
  <c r="C98" i="7"/>
  <c r="B98" i="7"/>
  <c r="A98" i="7"/>
  <c r="D97" i="7"/>
  <c r="C97" i="7"/>
  <c r="B97" i="7"/>
  <c r="A97" i="7"/>
  <c r="D96" i="7"/>
  <c r="C96" i="7"/>
  <c r="B96" i="7"/>
  <c r="A96" i="7"/>
  <c r="D95" i="7"/>
  <c r="C95" i="7"/>
  <c r="B95" i="7"/>
  <c r="A95" i="7"/>
  <c r="D94" i="7"/>
  <c r="C94" i="7"/>
  <c r="B94" i="7"/>
  <c r="A94" i="7"/>
  <c r="D93" i="7"/>
  <c r="C93" i="7"/>
  <c r="B93" i="7"/>
  <c r="A93" i="7"/>
  <c r="D92" i="7"/>
  <c r="C92" i="7"/>
  <c r="B92" i="7"/>
  <c r="A92" i="7"/>
  <c r="D91" i="7"/>
  <c r="C91" i="7"/>
  <c r="B91" i="7"/>
  <c r="A91" i="7"/>
  <c r="D90" i="7"/>
  <c r="C90" i="7"/>
  <c r="B90" i="7"/>
  <c r="A90" i="7"/>
  <c r="D89" i="7"/>
  <c r="C89" i="7"/>
  <c r="B89" i="7"/>
  <c r="A89" i="7"/>
  <c r="D88" i="7"/>
  <c r="C88" i="7"/>
  <c r="B88" i="7"/>
  <c r="A88" i="7"/>
  <c r="D87" i="7"/>
  <c r="C87" i="7"/>
  <c r="B87" i="7"/>
  <c r="A87" i="7"/>
  <c r="D86" i="7"/>
  <c r="C86" i="7"/>
  <c r="B86" i="7"/>
  <c r="A86" i="7"/>
  <c r="D85" i="7"/>
  <c r="C85" i="7"/>
  <c r="B85" i="7"/>
  <c r="A85" i="7"/>
  <c r="D84" i="7"/>
  <c r="C84" i="7"/>
  <c r="B84" i="7"/>
  <c r="A84" i="7"/>
  <c r="D83" i="7"/>
  <c r="C83" i="7"/>
  <c r="B83" i="7"/>
  <c r="A83" i="7"/>
  <c r="D82" i="7"/>
  <c r="C82" i="7"/>
  <c r="B82" i="7"/>
  <c r="A82" i="7"/>
  <c r="D81" i="7"/>
  <c r="C81" i="7"/>
  <c r="B81" i="7"/>
  <c r="A81" i="7"/>
  <c r="D80" i="7"/>
  <c r="C80" i="7"/>
  <c r="B80" i="7"/>
  <c r="A80" i="7"/>
  <c r="D79" i="7"/>
  <c r="C79" i="7"/>
  <c r="B79" i="7"/>
  <c r="A79" i="7"/>
  <c r="D78" i="7"/>
  <c r="C78" i="7"/>
  <c r="B78" i="7"/>
  <c r="A78" i="7"/>
  <c r="D77" i="7"/>
  <c r="C77" i="7"/>
  <c r="B77" i="7"/>
  <c r="A77" i="7"/>
  <c r="D76" i="7"/>
  <c r="C76" i="7"/>
  <c r="B76" i="7"/>
  <c r="A76" i="7"/>
  <c r="D75" i="7"/>
  <c r="C75" i="7"/>
  <c r="B75" i="7"/>
  <c r="A75" i="7"/>
  <c r="D74" i="7"/>
  <c r="C74" i="7"/>
  <c r="B74" i="7"/>
  <c r="A74" i="7"/>
  <c r="D73" i="7"/>
  <c r="C73" i="7"/>
  <c r="B73" i="7"/>
  <c r="A73" i="7"/>
  <c r="D72" i="7"/>
  <c r="C72" i="7"/>
  <c r="B72" i="7"/>
  <c r="A72" i="7"/>
  <c r="D71" i="7"/>
  <c r="C71" i="7"/>
  <c r="B71" i="7"/>
  <c r="A71" i="7"/>
  <c r="D70" i="7"/>
  <c r="C70" i="7"/>
  <c r="B70" i="7"/>
  <c r="A70" i="7"/>
  <c r="D69" i="7"/>
  <c r="C69" i="7"/>
  <c r="B69" i="7"/>
  <c r="A69" i="7"/>
  <c r="D68" i="7"/>
  <c r="C68" i="7"/>
  <c r="B68" i="7"/>
  <c r="A68" i="7"/>
  <c r="D67" i="7"/>
  <c r="C67" i="7"/>
  <c r="B67" i="7"/>
  <c r="A67" i="7"/>
  <c r="D66" i="7"/>
  <c r="C66" i="7"/>
  <c r="B66" i="7"/>
  <c r="A66" i="7"/>
  <c r="D65" i="7"/>
  <c r="C65" i="7"/>
  <c r="B65" i="7"/>
  <c r="A65" i="7"/>
  <c r="D64" i="7"/>
  <c r="C64" i="7"/>
  <c r="B64" i="7"/>
  <c r="A64" i="7"/>
  <c r="D63" i="7"/>
  <c r="C63" i="7"/>
  <c r="B63" i="7"/>
  <c r="A63" i="7"/>
  <c r="D62" i="7"/>
  <c r="C62" i="7"/>
  <c r="B62" i="7"/>
  <c r="A62" i="7"/>
  <c r="D61" i="7"/>
  <c r="C61" i="7"/>
  <c r="B61" i="7"/>
  <c r="A61" i="7"/>
  <c r="D60" i="7"/>
  <c r="C60" i="7"/>
  <c r="B60" i="7"/>
  <c r="A60" i="7"/>
  <c r="D59" i="7"/>
  <c r="C59" i="7"/>
  <c r="B59" i="7"/>
  <c r="A59" i="7"/>
  <c r="D58" i="7"/>
  <c r="C58" i="7"/>
  <c r="B58" i="7"/>
  <c r="A58" i="7"/>
  <c r="D57" i="7"/>
  <c r="C57" i="7"/>
  <c r="B57" i="7"/>
  <c r="A57" i="7"/>
  <c r="D56" i="7"/>
  <c r="C56" i="7"/>
  <c r="B56" i="7"/>
  <c r="A56" i="7"/>
  <c r="D55" i="7"/>
  <c r="C55" i="7"/>
  <c r="B55" i="7"/>
  <c r="A55" i="7"/>
  <c r="D54" i="7"/>
  <c r="C54" i="7"/>
  <c r="B54" i="7"/>
  <c r="A54" i="7"/>
  <c r="D53" i="7"/>
  <c r="C53" i="7"/>
  <c r="B53" i="7"/>
  <c r="A53" i="7"/>
  <c r="D52" i="7"/>
  <c r="C52" i="7"/>
  <c r="B52" i="7"/>
  <c r="A52" i="7"/>
  <c r="D51" i="7"/>
  <c r="C51" i="7"/>
  <c r="B51" i="7"/>
  <c r="A51" i="7"/>
  <c r="D50" i="7"/>
  <c r="C50" i="7"/>
  <c r="B50" i="7"/>
  <c r="A50" i="7"/>
  <c r="D49" i="7"/>
  <c r="C49" i="7"/>
  <c r="B49" i="7"/>
  <c r="A49" i="7"/>
  <c r="D48" i="7"/>
  <c r="C48" i="7"/>
  <c r="B48" i="7"/>
  <c r="A48" i="7"/>
  <c r="D47" i="7"/>
  <c r="C47" i="7"/>
  <c r="B47" i="7"/>
  <c r="A47" i="7"/>
  <c r="D46" i="7"/>
  <c r="C46" i="7"/>
  <c r="B46" i="7"/>
  <c r="A46" i="7"/>
  <c r="D45" i="7"/>
  <c r="C45" i="7"/>
  <c r="B45" i="7"/>
  <c r="A45" i="7"/>
  <c r="D44" i="7"/>
  <c r="C44" i="7"/>
  <c r="B44" i="7"/>
  <c r="A44" i="7"/>
  <c r="D43" i="7"/>
  <c r="C43" i="7"/>
  <c r="B43" i="7"/>
  <c r="A43" i="7"/>
  <c r="D42" i="7"/>
  <c r="C42" i="7"/>
  <c r="B42" i="7"/>
  <c r="A42" i="7"/>
  <c r="D41" i="7"/>
  <c r="C41" i="7"/>
  <c r="B41" i="7"/>
  <c r="A41" i="7"/>
  <c r="D40" i="7"/>
  <c r="C40" i="7"/>
  <c r="B40" i="7"/>
  <c r="A40" i="7"/>
  <c r="D39" i="7"/>
  <c r="C39" i="7"/>
  <c r="B39" i="7"/>
  <c r="A39" i="7"/>
  <c r="D38" i="7"/>
  <c r="C38" i="7"/>
  <c r="B38" i="7"/>
  <c r="A38" i="7"/>
  <c r="D37" i="7"/>
  <c r="C37" i="7"/>
  <c r="B37" i="7"/>
  <c r="A37" i="7"/>
  <c r="D36" i="7"/>
  <c r="C36" i="7"/>
  <c r="B36" i="7"/>
  <c r="A36" i="7"/>
  <c r="D35" i="7"/>
  <c r="C35" i="7"/>
  <c r="B35" i="7"/>
  <c r="A35" i="7"/>
  <c r="D34" i="7"/>
  <c r="C34" i="7"/>
  <c r="B34" i="7"/>
  <c r="A34" i="7"/>
  <c r="D33" i="7"/>
  <c r="C33" i="7"/>
  <c r="B33" i="7"/>
  <c r="A33" i="7"/>
  <c r="D32" i="7"/>
  <c r="C32" i="7"/>
  <c r="B32" i="7"/>
  <c r="A32" i="7"/>
  <c r="D31" i="7"/>
  <c r="C31" i="7"/>
  <c r="B31" i="7"/>
  <c r="A31" i="7"/>
  <c r="D30" i="7"/>
  <c r="C30" i="7"/>
  <c r="B30" i="7"/>
  <c r="A30" i="7"/>
  <c r="D29" i="7"/>
  <c r="C29" i="7"/>
  <c r="B29" i="7"/>
  <c r="A29" i="7"/>
  <c r="D28" i="7"/>
  <c r="C28" i="7"/>
  <c r="B28" i="7"/>
  <c r="A28" i="7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E1035" i="6"/>
  <c r="D1035" i="6"/>
  <c r="C1035" i="6"/>
  <c r="B1035" i="6"/>
  <c r="E1034" i="6"/>
  <c r="D1034" i="6"/>
  <c r="C1034" i="6"/>
  <c r="B1034" i="6"/>
  <c r="E1033" i="6"/>
  <c r="D1033" i="6"/>
  <c r="C1033" i="6"/>
  <c r="B1033" i="6"/>
  <c r="E1032" i="6"/>
  <c r="D1032" i="6"/>
  <c r="C1032" i="6"/>
  <c r="B1032" i="6"/>
  <c r="E1031" i="6"/>
  <c r="D1031" i="6"/>
  <c r="C1031" i="6"/>
  <c r="B1031" i="6"/>
  <c r="E1030" i="6"/>
  <c r="D1030" i="6"/>
  <c r="C1030" i="6"/>
  <c r="B1030" i="6"/>
  <c r="E1029" i="6"/>
  <c r="D1029" i="6"/>
  <c r="C1029" i="6"/>
  <c r="B1029" i="6"/>
  <c r="E1028" i="6"/>
  <c r="D1028" i="6"/>
  <c r="C1028" i="6"/>
  <c r="B1028" i="6"/>
  <c r="E1027" i="6"/>
  <c r="D1027" i="6"/>
  <c r="C1027" i="6"/>
  <c r="B1027" i="6"/>
  <c r="E1026" i="6"/>
  <c r="D1026" i="6"/>
  <c r="C1026" i="6"/>
  <c r="B1026" i="6"/>
  <c r="E1025" i="6"/>
  <c r="D1025" i="6"/>
  <c r="C1025" i="6"/>
  <c r="B1025" i="6"/>
  <c r="E1024" i="6"/>
  <c r="D1024" i="6"/>
  <c r="C1024" i="6"/>
  <c r="B1024" i="6"/>
  <c r="E1023" i="6"/>
  <c r="D1023" i="6"/>
  <c r="C1023" i="6"/>
  <c r="B1023" i="6"/>
  <c r="E1022" i="6"/>
  <c r="D1022" i="6"/>
  <c r="C1022" i="6"/>
  <c r="B1022" i="6"/>
  <c r="E1021" i="6"/>
  <c r="D1021" i="6"/>
  <c r="C1021" i="6"/>
  <c r="B1021" i="6"/>
  <c r="E1020" i="6"/>
  <c r="D1020" i="6"/>
  <c r="C1020" i="6"/>
  <c r="B1020" i="6"/>
  <c r="E1019" i="6"/>
  <c r="D1019" i="6"/>
  <c r="C1019" i="6"/>
  <c r="B1019" i="6"/>
  <c r="E1018" i="6"/>
  <c r="D1018" i="6"/>
  <c r="C1018" i="6"/>
  <c r="B1018" i="6"/>
  <c r="E1017" i="6"/>
  <c r="D1017" i="6"/>
  <c r="C1017" i="6"/>
  <c r="B1017" i="6"/>
  <c r="E1016" i="6"/>
  <c r="D1016" i="6"/>
  <c r="C1016" i="6"/>
  <c r="B1016" i="6"/>
  <c r="E1015" i="6"/>
  <c r="D1015" i="6"/>
  <c r="C1015" i="6"/>
  <c r="B1015" i="6"/>
  <c r="E1014" i="6"/>
  <c r="D1014" i="6"/>
  <c r="C1014" i="6"/>
  <c r="B1014" i="6"/>
  <c r="E1013" i="6"/>
  <c r="D1013" i="6"/>
  <c r="C1013" i="6"/>
  <c r="B1013" i="6"/>
  <c r="E1012" i="6"/>
  <c r="D1012" i="6"/>
  <c r="C1012" i="6"/>
  <c r="B1012" i="6"/>
  <c r="E1011" i="6"/>
  <c r="D1011" i="6"/>
  <c r="C1011" i="6"/>
  <c r="B1011" i="6"/>
  <c r="E1010" i="6"/>
  <c r="D1010" i="6"/>
  <c r="C1010" i="6"/>
  <c r="B1010" i="6"/>
  <c r="E1009" i="6"/>
  <c r="D1009" i="6"/>
  <c r="C1009" i="6"/>
  <c r="B1009" i="6"/>
  <c r="E1008" i="6"/>
  <c r="D1008" i="6"/>
  <c r="C1008" i="6"/>
  <c r="B1008" i="6"/>
  <c r="E1007" i="6"/>
  <c r="D1007" i="6"/>
  <c r="C1007" i="6"/>
  <c r="B1007" i="6"/>
  <c r="E1006" i="6"/>
  <c r="D1006" i="6"/>
  <c r="C1006" i="6"/>
  <c r="B1006" i="6"/>
  <c r="E1005" i="6"/>
  <c r="D1005" i="6"/>
  <c r="C1005" i="6"/>
  <c r="B1005" i="6"/>
  <c r="E1004" i="6"/>
  <c r="D1004" i="6"/>
  <c r="C1004" i="6"/>
  <c r="B1004" i="6"/>
  <c r="E1003" i="6"/>
  <c r="D1003" i="6"/>
  <c r="C1003" i="6"/>
  <c r="B1003" i="6"/>
  <c r="E1002" i="6"/>
  <c r="D1002" i="6"/>
  <c r="C1002" i="6"/>
  <c r="B1002" i="6"/>
  <c r="E1001" i="6"/>
  <c r="D1001" i="6"/>
  <c r="C1001" i="6"/>
  <c r="B1001" i="6"/>
  <c r="E1000" i="6"/>
  <c r="D1000" i="6"/>
  <c r="C1000" i="6"/>
  <c r="B1000" i="6"/>
  <c r="E999" i="6"/>
  <c r="D999" i="6"/>
  <c r="C999" i="6"/>
  <c r="B999" i="6"/>
  <c r="E998" i="6"/>
  <c r="D998" i="6"/>
  <c r="C998" i="6"/>
  <c r="B998" i="6"/>
  <c r="E997" i="6"/>
  <c r="D997" i="6"/>
  <c r="C997" i="6"/>
  <c r="B997" i="6"/>
  <c r="E996" i="6"/>
  <c r="D996" i="6"/>
  <c r="C996" i="6"/>
  <c r="B996" i="6"/>
  <c r="E995" i="6"/>
  <c r="D995" i="6"/>
  <c r="C995" i="6"/>
  <c r="B995" i="6"/>
  <c r="E994" i="6"/>
  <c r="D994" i="6"/>
  <c r="C994" i="6"/>
  <c r="B994" i="6"/>
  <c r="E993" i="6"/>
  <c r="D993" i="6"/>
  <c r="C993" i="6"/>
  <c r="B993" i="6"/>
  <c r="E992" i="6"/>
  <c r="D992" i="6"/>
  <c r="C992" i="6"/>
  <c r="B992" i="6"/>
  <c r="E991" i="6"/>
  <c r="D991" i="6"/>
  <c r="C991" i="6"/>
  <c r="B991" i="6"/>
  <c r="E990" i="6"/>
  <c r="D990" i="6"/>
  <c r="C990" i="6"/>
  <c r="B990" i="6"/>
  <c r="E989" i="6"/>
  <c r="D989" i="6"/>
  <c r="C989" i="6"/>
  <c r="B989" i="6"/>
  <c r="E988" i="6"/>
  <c r="D988" i="6"/>
  <c r="C988" i="6"/>
  <c r="B988" i="6"/>
  <c r="E987" i="6"/>
  <c r="D987" i="6"/>
  <c r="C987" i="6"/>
  <c r="B987" i="6"/>
  <c r="E986" i="6"/>
  <c r="D986" i="6"/>
  <c r="C986" i="6"/>
  <c r="B986" i="6"/>
  <c r="E985" i="6"/>
  <c r="D985" i="6"/>
  <c r="C985" i="6"/>
  <c r="B985" i="6"/>
  <c r="E984" i="6"/>
  <c r="D984" i="6"/>
  <c r="C984" i="6"/>
  <c r="B984" i="6"/>
  <c r="E983" i="6"/>
  <c r="D983" i="6"/>
  <c r="C983" i="6"/>
  <c r="B983" i="6"/>
  <c r="E982" i="6"/>
  <c r="D982" i="6"/>
  <c r="C982" i="6"/>
  <c r="B982" i="6"/>
  <c r="E981" i="6"/>
  <c r="D981" i="6"/>
  <c r="C981" i="6"/>
  <c r="B981" i="6"/>
  <c r="E980" i="6"/>
  <c r="D980" i="6"/>
  <c r="C980" i="6"/>
  <c r="B980" i="6"/>
  <c r="E979" i="6"/>
  <c r="D979" i="6"/>
  <c r="C979" i="6"/>
  <c r="B979" i="6"/>
  <c r="E978" i="6"/>
  <c r="D978" i="6"/>
  <c r="C978" i="6"/>
  <c r="B978" i="6"/>
  <c r="E977" i="6"/>
  <c r="D977" i="6"/>
  <c r="C977" i="6"/>
  <c r="B977" i="6"/>
  <c r="E976" i="6"/>
  <c r="D976" i="6"/>
  <c r="C976" i="6"/>
  <c r="B976" i="6"/>
  <c r="E975" i="6"/>
  <c r="D975" i="6"/>
  <c r="C975" i="6"/>
  <c r="B975" i="6"/>
  <c r="E974" i="6"/>
  <c r="D974" i="6"/>
  <c r="C974" i="6"/>
  <c r="B974" i="6"/>
  <c r="E973" i="6"/>
  <c r="D973" i="6"/>
  <c r="C973" i="6"/>
  <c r="B973" i="6"/>
  <c r="E972" i="6"/>
  <c r="D972" i="6"/>
  <c r="C972" i="6"/>
  <c r="B972" i="6"/>
  <c r="E971" i="6"/>
  <c r="D971" i="6"/>
  <c r="C971" i="6"/>
  <c r="B971" i="6"/>
  <c r="E970" i="6"/>
  <c r="D970" i="6"/>
  <c r="C970" i="6"/>
  <c r="B970" i="6"/>
  <c r="E969" i="6"/>
  <c r="D969" i="6"/>
  <c r="C969" i="6"/>
  <c r="B969" i="6"/>
  <c r="E968" i="6"/>
  <c r="D968" i="6"/>
  <c r="C968" i="6"/>
  <c r="B968" i="6"/>
  <c r="E967" i="6"/>
  <c r="D967" i="6"/>
  <c r="C967" i="6"/>
  <c r="B967" i="6"/>
  <c r="E966" i="6"/>
  <c r="D966" i="6"/>
  <c r="C966" i="6"/>
  <c r="B966" i="6"/>
  <c r="E965" i="6"/>
  <c r="D965" i="6"/>
  <c r="C965" i="6"/>
  <c r="B965" i="6"/>
  <c r="E964" i="6"/>
  <c r="D964" i="6"/>
  <c r="C964" i="6"/>
  <c r="B964" i="6"/>
  <c r="E963" i="6"/>
  <c r="D963" i="6"/>
  <c r="C963" i="6"/>
  <c r="B963" i="6"/>
  <c r="E962" i="6"/>
  <c r="D962" i="6"/>
  <c r="C962" i="6"/>
  <c r="B962" i="6"/>
  <c r="E961" i="6"/>
  <c r="D961" i="6"/>
  <c r="C961" i="6"/>
  <c r="B961" i="6"/>
  <c r="E960" i="6"/>
  <c r="D960" i="6"/>
  <c r="C960" i="6"/>
  <c r="B960" i="6"/>
  <c r="E959" i="6"/>
  <c r="D959" i="6"/>
  <c r="C959" i="6"/>
  <c r="B959" i="6"/>
  <c r="E958" i="6"/>
  <c r="D958" i="6"/>
  <c r="C958" i="6"/>
  <c r="B958" i="6"/>
  <c r="E957" i="6"/>
  <c r="D957" i="6"/>
  <c r="C957" i="6"/>
  <c r="B957" i="6"/>
  <c r="E956" i="6"/>
  <c r="D956" i="6"/>
  <c r="C956" i="6"/>
  <c r="B956" i="6"/>
  <c r="E955" i="6"/>
  <c r="D955" i="6"/>
  <c r="C955" i="6"/>
  <c r="B955" i="6"/>
  <c r="E954" i="6"/>
  <c r="D954" i="6"/>
  <c r="C954" i="6"/>
  <c r="B954" i="6"/>
  <c r="E953" i="6"/>
  <c r="D953" i="6"/>
  <c r="C953" i="6"/>
  <c r="B953" i="6"/>
  <c r="E952" i="6"/>
  <c r="D952" i="6"/>
  <c r="C952" i="6"/>
  <c r="B952" i="6"/>
  <c r="E951" i="6"/>
  <c r="D951" i="6"/>
  <c r="C951" i="6"/>
  <c r="B951" i="6"/>
  <c r="E950" i="6"/>
  <c r="D950" i="6"/>
  <c r="C950" i="6"/>
  <c r="B950" i="6"/>
  <c r="E949" i="6"/>
  <c r="D949" i="6"/>
  <c r="C949" i="6"/>
  <c r="B949" i="6"/>
  <c r="E948" i="6"/>
  <c r="D948" i="6"/>
  <c r="C948" i="6"/>
  <c r="B948" i="6"/>
  <c r="E947" i="6"/>
  <c r="D947" i="6"/>
  <c r="C947" i="6"/>
  <c r="B947" i="6"/>
  <c r="E946" i="6"/>
  <c r="D946" i="6"/>
  <c r="C946" i="6"/>
  <c r="B946" i="6"/>
  <c r="E945" i="6"/>
  <c r="D945" i="6"/>
  <c r="C945" i="6"/>
  <c r="B945" i="6"/>
  <c r="E944" i="6"/>
  <c r="D944" i="6"/>
  <c r="C944" i="6"/>
  <c r="B944" i="6"/>
  <c r="E943" i="6"/>
  <c r="D943" i="6"/>
  <c r="C943" i="6"/>
  <c r="B943" i="6"/>
  <c r="E942" i="6"/>
  <c r="D942" i="6"/>
  <c r="C942" i="6"/>
  <c r="B942" i="6"/>
  <c r="E941" i="6"/>
  <c r="D941" i="6"/>
  <c r="C941" i="6"/>
  <c r="B941" i="6"/>
  <c r="E940" i="6"/>
  <c r="D940" i="6"/>
  <c r="C940" i="6"/>
  <c r="B940" i="6"/>
  <c r="E939" i="6"/>
  <c r="D939" i="6"/>
  <c r="C939" i="6"/>
  <c r="B939" i="6"/>
  <c r="E938" i="6"/>
  <c r="D938" i="6"/>
  <c r="C938" i="6"/>
  <c r="B938" i="6"/>
  <c r="E937" i="6"/>
  <c r="D937" i="6"/>
  <c r="C937" i="6"/>
  <c r="B937" i="6"/>
  <c r="E936" i="6"/>
  <c r="D936" i="6"/>
  <c r="C936" i="6"/>
  <c r="B936" i="6"/>
  <c r="E935" i="6"/>
  <c r="D935" i="6"/>
  <c r="C935" i="6"/>
  <c r="B935" i="6"/>
  <c r="E934" i="6"/>
  <c r="D934" i="6"/>
  <c r="C934" i="6"/>
  <c r="B934" i="6"/>
  <c r="E933" i="6"/>
  <c r="D933" i="6"/>
  <c r="C933" i="6"/>
  <c r="B933" i="6"/>
  <c r="E932" i="6"/>
  <c r="D932" i="6"/>
  <c r="C932" i="6"/>
  <c r="B932" i="6"/>
  <c r="E931" i="6"/>
  <c r="D931" i="6"/>
  <c r="C931" i="6"/>
  <c r="B931" i="6"/>
  <c r="E930" i="6"/>
  <c r="D930" i="6"/>
  <c r="C930" i="6"/>
  <c r="B930" i="6"/>
  <c r="E929" i="6"/>
  <c r="D929" i="6"/>
  <c r="C929" i="6"/>
  <c r="B929" i="6"/>
  <c r="E928" i="6"/>
  <c r="D928" i="6"/>
  <c r="C928" i="6"/>
  <c r="B928" i="6"/>
  <c r="E927" i="6"/>
  <c r="D927" i="6"/>
  <c r="C927" i="6"/>
  <c r="B927" i="6"/>
  <c r="E926" i="6"/>
  <c r="D926" i="6"/>
  <c r="C926" i="6"/>
  <c r="B926" i="6"/>
  <c r="E925" i="6"/>
  <c r="D925" i="6"/>
  <c r="C925" i="6"/>
  <c r="B925" i="6"/>
  <c r="E924" i="6"/>
  <c r="D924" i="6"/>
  <c r="C924" i="6"/>
  <c r="B924" i="6"/>
  <c r="E923" i="6"/>
  <c r="D923" i="6"/>
  <c r="C923" i="6"/>
  <c r="B923" i="6"/>
  <c r="E922" i="6"/>
  <c r="D922" i="6"/>
  <c r="C922" i="6"/>
  <c r="B922" i="6"/>
  <c r="E921" i="6"/>
  <c r="D921" i="6"/>
  <c r="C921" i="6"/>
  <c r="B921" i="6"/>
  <c r="E920" i="6"/>
  <c r="D920" i="6"/>
  <c r="C920" i="6"/>
  <c r="B920" i="6"/>
  <c r="E919" i="6"/>
  <c r="D919" i="6"/>
  <c r="C919" i="6"/>
  <c r="B919" i="6"/>
  <c r="E918" i="6"/>
  <c r="D918" i="6"/>
  <c r="C918" i="6"/>
  <c r="B918" i="6"/>
  <c r="E917" i="6"/>
  <c r="D917" i="6"/>
  <c r="C917" i="6"/>
  <c r="B917" i="6"/>
  <c r="E916" i="6"/>
  <c r="D916" i="6"/>
  <c r="C916" i="6"/>
  <c r="B916" i="6"/>
  <c r="E915" i="6"/>
  <c r="D915" i="6"/>
  <c r="C915" i="6"/>
  <c r="B915" i="6"/>
  <c r="E914" i="6"/>
  <c r="D914" i="6"/>
  <c r="C914" i="6"/>
  <c r="B914" i="6"/>
  <c r="E913" i="6"/>
  <c r="D913" i="6"/>
  <c r="C913" i="6"/>
  <c r="B913" i="6"/>
  <c r="E912" i="6"/>
  <c r="D912" i="6"/>
  <c r="C912" i="6"/>
  <c r="B912" i="6"/>
  <c r="E911" i="6"/>
  <c r="D911" i="6"/>
  <c r="C911" i="6"/>
  <c r="B911" i="6"/>
  <c r="E910" i="6"/>
  <c r="D910" i="6"/>
  <c r="C910" i="6"/>
  <c r="B910" i="6"/>
  <c r="E909" i="6"/>
  <c r="D909" i="6"/>
  <c r="C909" i="6"/>
  <c r="B909" i="6"/>
  <c r="E908" i="6"/>
  <c r="D908" i="6"/>
  <c r="C908" i="6"/>
  <c r="B908" i="6"/>
  <c r="E907" i="6"/>
  <c r="D907" i="6"/>
  <c r="C907" i="6"/>
  <c r="B907" i="6"/>
  <c r="E906" i="6"/>
  <c r="D906" i="6"/>
  <c r="C906" i="6"/>
  <c r="B906" i="6"/>
  <c r="E905" i="6"/>
  <c r="D905" i="6"/>
  <c r="C905" i="6"/>
  <c r="B905" i="6"/>
  <c r="E904" i="6"/>
  <c r="D904" i="6"/>
  <c r="C904" i="6"/>
  <c r="B904" i="6"/>
  <c r="E903" i="6"/>
  <c r="D903" i="6"/>
  <c r="C903" i="6"/>
  <c r="B903" i="6"/>
  <c r="E902" i="6"/>
  <c r="D902" i="6"/>
  <c r="C902" i="6"/>
  <c r="B902" i="6"/>
  <c r="E901" i="6"/>
  <c r="D901" i="6"/>
  <c r="C901" i="6"/>
  <c r="B901" i="6"/>
  <c r="E900" i="6"/>
  <c r="D900" i="6"/>
  <c r="C900" i="6"/>
  <c r="B900" i="6"/>
  <c r="E899" i="6"/>
  <c r="D899" i="6"/>
  <c r="C899" i="6"/>
  <c r="B899" i="6"/>
  <c r="E898" i="6"/>
  <c r="D898" i="6"/>
  <c r="C898" i="6"/>
  <c r="B898" i="6"/>
  <c r="E897" i="6"/>
  <c r="D897" i="6"/>
  <c r="C897" i="6"/>
  <c r="B897" i="6"/>
  <c r="E896" i="6"/>
  <c r="D896" i="6"/>
  <c r="C896" i="6"/>
  <c r="B896" i="6"/>
  <c r="E895" i="6"/>
  <c r="D895" i="6"/>
  <c r="C895" i="6"/>
  <c r="B895" i="6"/>
  <c r="E894" i="6"/>
  <c r="D894" i="6"/>
  <c r="C894" i="6"/>
  <c r="B894" i="6"/>
  <c r="E893" i="6"/>
  <c r="D893" i="6"/>
  <c r="C893" i="6"/>
  <c r="B893" i="6"/>
  <c r="E892" i="6"/>
  <c r="D892" i="6"/>
  <c r="C892" i="6"/>
  <c r="B892" i="6"/>
  <c r="E891" i="6"/>
  <c r="D891" i="6"/>
  <c r="C891" i="6"/>
  <c r="B891" i="6"/>
  <c r="E890" i="6"/>
  <c r="D890" i="6"/>
  <c r="C890" i="6"/>
  <c r="B890" i="6"/>
  <c r="E889" i="6"/>
  <c r="D889" i="6"/>
  <c r="C889" i="6"/>
  <c r="B889" i="6"/>
  <c r="E888" i="6"/>
  <c r="D888" i="6"/>
  <c r="C888" i="6"/>
  <c r="B888" i="6"/>
  <c r="E887" i="6"/>
  <c r="D887" i="6"/>
  <c r="C887" i="6"/>
  <c r="B887" i="6"/>
  <c r="E886" i="6"/>
  <c r="D886" i="6"/>
  <c r="C886" i="6"/>
  <c r="B886" i="6"/>
  <c r="E885" i="6"/>
  <c r="D885" i="6"/>
  <c r="C885" i="6"/>
  <c r="B885" i="6"/>
  <c r="E884" i="6"/>
  <c r="D884" i="6"/>
  <c r="C884" i="6"/>
  <c r="B884" i="6"/>
  <c r="E883" i="6"/>
  <c r="D883" i="6"/>
  <c r="C883" i="6"/>
  <c r="B883" i="6"/>
  <c r="E882" i="6"/>
  <c r="D882" i="6"/>
  <c r="C882" i="6"/>
  <c r="B882" i="6"/>
  <c r="E881" i="6"/>
  <c r="D881" i="6"/>
  <c r="C881" i="6"/>
  <c r="B881" i="6"/>
  <c r="E880" i="6"/>
  <c r="D880" i="6"/>
  <c r="C880" i="6"/>
  <c r="B880" i="6"/>
  <c r="E879" i="6"/>
  <c r="D879" i="6"/>
  <c r="C879" i="6"/>
  <c r="B879" i="6"/>
  <c r="E878" i="6"/>
  <c r="D878" i="6"/>
  <c r="C878" i="6"/>
  <c r="B878" i="6"/>
  <c r="E877" i="6"/>
  <c r="D877" i="6"/>
  <c r="C877" i="6"/>
  <c r="B877" i="6"/>
  <c r="E876" i="6"/>
  <c r="D876" i="6"/>
  <c r="C876" i="6"/>
  <c r="B876" i="6"/>
  <c r="E875" i="6"/>
  <c r="D875" i="6"/>
  <c r="C875" i="6"/>
  <c r="B875" i="6"/>
  <c r="E874" i="6"/>
  <c r="D874" i="6"/>
  <c r="C874" i="6"/>
  <c r="B874" i="6"/>
  <c r="E873" i="6"/>
  <c r="D873" i="6"/>
  <c r="C873" i="6"/>
  <c r="B873" i="6"/>
  <c r="E872" i="6"/>
  <c r="D872" i="6"/>
  <c r="C872" i="6"/>
  <c r="B872" i="6"/>
  <c r="E871" i="6"/>
  <c r="D871" i="6"/>
  <c r="C871" i="6"/>
  <c r="B871" i="6"/>
  <c r="E870" i="6"/>
  <c r="D870" i="6"/>
  <c r="C870" i="6"/>
  <c r="B870" i="6"/>
  <c r="E869" i="6"/>
  <c r="D869" i="6"/>
  <c r="C869" i="6"/>
  <c r="B869" i="6"/>
  <c r="E868" i="6"/>
  <c r="D868" i="6"/>
  <c r="C868" i="6"/>
  <c r="B868" i="6"/>
  <c r="E867" i="6"/>
  <c r="D867" i="6"/>
  <c r="C867" i="6"/>
  <c r="B867" i="6"/>
  <c r="E866" i="6"/>
  <c r="D866" i="6"/>
  <c r="C866" i="6"/>
  <c r="B866" i="6"/>
  <c r="E865" i="6"/>
  <c r="D865" i="6"/>
  <c r="C865" i="6"/>
  <c r="B865" i="6"/>
  <c r="E864" i="6"/>
  <c r="D864" i="6"/>
  <c r="C864" i="6"/>
  <c r="B864" i="6"/>
  <c r="E863" i="6"/>
  <c r="D863" i="6"/>
  <c r="C863" i="6"/>
  <c r="B863" i="6"/>
  <c r="E862" i="6"/>
  <c r="D862" i="6"/>
  <c r="C862" i="6"/>
  <c r="B862" i="6"/>
  <c r="E861" i="6"/>
  <c r="D861" i="6"/>
  <c r="C861" i="6"/>
  <c r="B861" i="6"/>
  <c r="E860" i="6"/>
  <c r="D860" i="6"/>
  <c r="C860" i="6"/>
  <c r="B860" i="6"/>
  <c r="E859" i="6"/>
  <c r="D859" i="6"/>
  <c r="C859" i="6"/>
  <c r="B859" i="6"/>
  <c r="E858" i="6"/>
  <c r="D858" i="6"/>
  <c r="C858" i="6"/>
  <c r="B858" i="6"/>
  <c r="E857" i="6"/>
  <c r="D857" i="6"/>
  <c r="C857" i="6"/>
  <c r="B857" i="6"/>
  <c r="E856" i="6"/>
  <c r="D856" i="6"/>
  <c r="C856" i="6"/>
  <c r="B856" i="6"/>
  <c r="E855" i="6"/>
  <c r="D855" i="6"/>
  <c r="C855" i="6"/>
  <c r="B855" i="6"/>
  <c r="E854" i="6"/>
  <c r="D854" i="6"/>
  <c r="C854" i="6"/>
  <c r="B854" i="6"/>
  <c r="E853" i="6"/>
  <c r="D853" i="6"/>
  <c r="C853" i="6"/>
  <c r="B853" i="6"/>
  <c r="E852" i="6"/>
  <c r="D852" i="6"/>
  <c r="C852" i="6"/>
  <c r="B852" i="6"/>
  <c r="E851" i="6"/>
  <c r="D851" i="6"/>
  <c r="C851" i="6"/>
  <c r="B851" i="6"/>
  <c r="E850" i="6"/>
  <c r="D850" i="6"/>
  <c r="C850" i="6"/>
  <c r="B850" i="6"/>
  <c r="E849" i="6"/>
  <c r="D849" i="6"/>
  <c r="C849" i="6"/>
  <c r="B849" i="6"/>
  <c r="E848" i="6"/>
  <c r="D848" i="6"/>
  <c r="C848" i="6"/>
  <c r="B848" i="6"/>
  <c r="E847" i="6"/>
  <c r="D847" i="6"/>
  <c r="C847" i="6"/>
  <c r="B847" i="6"/>
  <c r="E846" i="6"/>
  <c r="D846" i="6"/>
  <c r="C846" i="6"/>
  <c r="B846" i="6"/>
  <c r="E845" i="6"/>
  <c r="D845" i="6"/>
  <c r="C845" i="6"/>
  <c r="B845" i="6"/>
  <c r="E844" i="6"/>
  <c r="D844" i="6"/>
  <c r="C844" i="6"/>
  <c r="B844" i="6"/>
  <c r="E843" i="6"/>
  <c r="D843" i="6"/>
  <c r="C843" i="6"/>
  <c r="B843" i="6"/>
  <c r="E842" i="6"/>
  <c r="D842" i="6"/>
  <c r="C842" i="6"/>
  <c r="B842" i="6"/>
  <c r="E841" i="6"/>
  <c r="D841" i="6"/>
  <c r="C841" i="6"/>
  <c r="B841" i="6"/>
  <c r="E840" i="6"/>
  <c r="D840" i="6"/>
  <c r="C840" i="6"/>
  <c r="B840" i="6"/>
  <c r="E839" i="6"/>
  <c r="D839" i="6"/>
  <c r="C839" i="6"/>
  <c r="B839" i="6"/>
  <c r="E838" i="6"/>
  <c r="D838" i="6"/>
  <c r="C838" i="6"/>
  <c r="B838" i="6"/>
  <c r="E837" i="6"/>
  <c r="D837" i="6"/>
  <c r="C837" i="6"/>
  <c r="B837" i="6"/>
  <c r="E836" i="6"/>
  <c r="D836" i="6"/>
  <c r="C836" i="6"/>
  <c r="B836" i="6"/>
  <c r="E835" i="6"/>
  <c r="D835" i="6"/>
  <c r="C835" i="6"/>
  <c r="B835" i="6"/>
  <c r="E834" i="6"/>
  <c r="D834" i="6"/>
  <c r="C834" i="6"/>
  <c r="B834" i="6"/>
  <c r="E833" i="6"/>
  <c r="D833" i="6"/>
  <c r="C833" i="6"/>
  <c r="B833" i="6"/>
  <c r="E832" i="6"/>
  <c r="D832" i="6"/>
  <c r="C832" i="6"/>
  <c r="B832" i="6"/>
  <c r="E831" i="6"/>
  <c r="D831" i="6"/>
  <c r="C831" i="6"/>
  <c r="B831" i="6"/>
  <c r="E830" i="6"/>
  <c r="D830" i="6"/>
  <c r="C830" i="6"/>
  <c r="B830" i="6"/>
  <c r="E829" i="6"/>
  <c r="D829" i="6"/>
  <c r="C829" i="6"/>
  <c r="B829" i="6"/>
  <c r="E828" i="6"/>
  <c r="D828" i="6"/>
  <c r="C828" i="6"/>
  <c r="B828" i="6"/>
  <c r="E827" i="6"/>
  <c r="D827" i="6"/>
  <c r="C827" i="6"/>
  <c r="B827" i="6"/>
  <c r="E826" i="6"/>
  <c r="D826" i="6"/>
  <c r="C826" i="6"/>
  <c r="B826" i="6"/>
  <c r="E825" i="6"/>
  <c r="D825" i="6"/>
  <c r="C825" i="6"/>
  <c r="B825" i="6"/>
  <c r="E824" i="6"/>
  <c r="D824" i="6"/>
  <c r="C824" i="6"/>
  <c r="B824" i="6"/>
  <c r="E823" i="6"/>
  <c r="D823" i="6"/>
  <c r="C823" i="6"/>
  <c r="B823" i="6"/>
  <c r="E822" i="6"/>
  <c r="D822" i="6"/>
  <c r="C822" i="6"/>
  <c r="B822" i="6"/>
  <c r="E821" i="6"/>
  <c r="D821" i="6"/>
  <c r="C821" i="6"/>
  <c r="B821" i="6"/>
  <c r="E820" i="6"/>
  <c r="D820" i="6"/>
  <c r="C820" i="6"/>
  <c r="B820" i="6"/>
  <c r="E819" i="6"/>
  <c r="D819" i="6"/>
  <c r="C819" i="6"/>
  <c r="B819" i="6"/>
  <c r="E818" i="6"/>
  <c r="D818" i="6"/>
  <c r="C818" i="6"/>
  <c r="B818" i="6"/>
  <c r="E817" i="6"/>
  <c r="D817" i="6"/>
  <c r="C817" i="6"/>
  <c r="B817" i="6"/>
  <c r="E816" i="6"/>
  <c r="D816" i="6"/>
  <c r="C816" i="6"/>
  <c r="B816" i="6"/>
  <c r="E815" i="6"/>
  <c r="D815" i="6"/>
  <c r="C815" i="6"/>
  <c r="B815" i="6"/>
  <c r="E814" i="6"/>
  <c r="D814" i="6"/>
  <c r="C814" i="6"/>
  <c r="B814" i="6"/>
  <c r="E813" i="6"/>
  <c r="D813" i="6"/>
  <c r="C813" i="6"/>
  <c r="B813" i="6"/>
  <c r="E812" i="6"/>
  <c r="D812" i="6"/>
  <c r="C812" i="6"/>
  <c r="B812" i="6"/>
  <c r="E811" i="6"/>
  <c r="D811" i="6"/>
  <c r="C811" i="6"/>
  <c r="B811" i="6"/>
  <c r="E810" i="6"/>
  <c r="D810" i="6"/>
  <c r="C810" i="6"/>
  <c r="B810" i="6"/>
  <c r="E809" i="6"/>
  <c r="D809" i="6"/>
  <c r="C809" i="6"/>
  <c r="B809" i="6"/>
  <c r="E808" i="6"/>
  <c r="D808" i="6"/>
  <c r="C808" i="6"/>
  <c r="B808" i="6"/>
  <c r="E807" i="6"/>
  <c r="D807" i="6"/>
  <c r="C807" i="6"/>
  <c r="B807" i="6"/>
  <c r="E806" i="6"/>
  <c r="D806" i="6"/>
  <c r="C806" i="6"/>
  <c r="B806" i="6"/>
  <c r="E805" i="6"/>
  <c r="D805" i="6"/>
  <c r="C805" i="6"/>
  <c r="B805" i="6"/>
  <c r="E804" i="6"/>
  <c r="D804" i="6"/>
  <c r="C804" i="6"/>
  <c r="B804" i="6"/>
  <c r="E803" i="6"/>
  <c r="D803" i="6"/>
  <c r="C803" i="6"/>
  <c r="B803" i="6"/>
  <c r="E802" i="6"/>
  <c r="D802" i="6"/>
  <c r="C802" i="6"/>
  <c r="B802" i="6"/>
  <c r="E801" i="6"/>
  <c r="D801" i="6"/>
  <c r="C801" i="6"/>
  <c r="B801" i="6"/>
  <c r="E800" i="6"/>
  <c r="D800" i="6"/>
  <c r="C800" i="6"/>
  <c r="B800" i="6"/>
  <c r="E799" i="6"/>
  <c r="D799" i="6"/>
  <c r="C799" i="6"/>
  <c r="B799" i="6"/>
  <c r="E798" i="6"/>
  <c r="D798" i="6"/>
  <c r="C798" i="6"/>
  <c r="B798" i="6"/>
  <c r="E797" i="6"/>
  <c r="D797" i="6"/>
  <c r="C797" i="6"/>
  <c r="B797" i="6"/>
  <c r="E796" i="6"/>
  <c r="D796" i="6"/>
  <c r="C796" i="6"/>
  <c r="B796" i="6"/>
  <c r="E795" i="6"/>
  <c r="D795" i="6"/>
  <c r="C795" i="6"/>
  <c r="B795" i="6"/>
  <c r="E794" i="6"/>
  <c r="D794" i="6"/>
  <c r="C794" i="6"/>
  <c r="B794" i="6"/>
  <c r="E793" i="6"/>
  <c r="D793" i="6"/>
  <c r="C793" i="6"/>
  <c r="B793" i="6"/>
  <c r="E792" i="6"/>
  <c r="D792" i="6"/>
  <c r="C792" i="6"/>
  <c r="B792" i="6"/>
  <c r="E791" i="6"/>
  <c r="D791" i="6"/>
  <c r="C791" i="6"/>
  <c r="B791" i="6"/>
  <c r="E790" i="6"/>
  <c r="D790" i="6"/>
  <c r="C790" i="6"/>
  <c r="B790" i="6"/>
  <c r="E789" i="6"/>
  <c r="D789" i="6"/>
  <c r="C789" i="6"/>
  <c r="B789" i="6"/>
  <c r="E788" i="6"/>
  <c r="D788" i="6"/>
  <c r="C788" i="6"/>
  <c r="B788" i="6"/>
  <c r="E787" i="6"/>
  <c r="D787" i="6"/>
  <c r="C787" i="6"/>
  <c r="B787" i="6"/>
  <c r="E786" i="6"/>
  <c r="D786" i="6"/>
  <c r="C786" i="6"/>
  <c r="B786" i="6"/>
  <c r="E785" i="6"/>
  <c r="D785" i="6"/>
  <c r="C785" i="6"/>
  <c r="B785" i="6"/>
  <c r="E784" i="6"/>
  <c r="D784" i="6"/>
  <c r="C784" i="6"/>
  <c r="B784" i="6"/>
  <c r="E783" i="6"/>
  <c r="D783" i="6"/>
  <c r="C783" i="6"/>
  <c r="B783" i="6"/>
  <c r="E782" i="6"/>
  <c r="D782" i="6"/>
  <c r="C782" i="6"/>
  <c r="B782" i="6"/>
  <c r="E781" i="6"/>
  <c r="D781" i="6"/>
  <c r="C781" i="6"/>
  <c r="B781" i="6"/>
  <c r="E780" i="6"/>
  <c r="D780" i="6"/>
  <c r="C780" i="6"/>
  <c r="B780" i="6"/>
  <c r="E779" i="6"/>
  <c r="D779" i="6"/>
  <c r="C779" i="6"/>
  <c r="B779" i="6"/>
  <c r="E778" i="6"/>
  <c r="D778" i="6"/>
  <c r="C778" i="6"/>
  <c r="B778" i="6"/>
  <c r="E777" i="6"/>
  <c r="D777" i="6"/>
  <c r="C777" i="6"/>
  <c r="B777" i="6"/>
  <c r="E776" i="6"/>
  <c r="D776" i="6"/>
  <c r="C776" i="6"/>
  <c r="B776" i="6"/>
  <c r="E775" i="6"/>
  <c r="D775" i="6"/>
  <c r="C775" i="6"/>
  <c r="B775" i="6"/>
  <c r="E774" i="6"/>
  <c r="D774" i="6"/>
  <c r="C774" i="6"/>
  <c r="B774" i="6"/>
  <c r="E773" i="6"/>
  <c r="D773" i="6"/>
  <c r="C773" i="6"/>
  <c r="B773" i="6"/>
  <c r="E772" i="6"/>
  <c r="D772" i="6"/>
  <c r="C772" i="6"/>
  <c r="B772" i="6"/>
  <c r="E771" i="6"/>
  <c r="D771" i="6"/>
  <c r="C771" i="6"/>
  <c r="B771" i="6"/>
  <c r="E770" i="6"/>
  <c r="D770" i="6"/>
  <c r="C770" i="6"/>
  <c r="B770" i="6"/>
  <c r="E769" i="6"/>
  <c r="D769" i="6"/>
  <c r="C769" i="6"/>
  <c r="B769" i="6"/>
  <c r="E768" i="6"/>
  <c r="D768" i="6"/>
  <c r="C768" i="6"/>
  <c r="B768" i="6"/>
  <c r="E767" i="6"/>
  <c r="D767" i="6"/>
  <c r="C767" i="6"/>
  <c r="B767" i="6"/>
  <c r="E766" i="6"/>
  <c r="D766" i="6"/>
  <c r="C766" i="6"/>
  <c r="B766" i="6"/>
  <c r="E765" i="6"/>
  <c r="D765" i="6"/>
  <c r="C765" i="6"/>
  <c r="B765" i="6"/>
  <c r="E764" i="6"/>
  <c r="D764" i="6"/>
  <c r="C764" i="6"/>
  <c r="B764" i="6"/>
  <c r="E763" i="6"/>
  <c r="D763" i="6"/>
  <c r="C763" i="6"/>
  <c r="B763" i="6"/>
  <c r="E762" i="6"/>
  <c r="D762" i="6"/>
  <c r="C762" i="6"/>
  <c r="B762" i="6"/>
  <c r="E761" i="6"/>
  <c r="D761" i="6"/>
  <c r="C761" i="6"/>
  <c r="B761" i="6"/>
  <c r="E760" i="6"/>
  <c r="D760" i="6"/>
  <c r="C760" i="6"/>
  <c r="B760" i="6"/>
  <c r="E759" i="6"/>
  <c r="D759" i="6"/>
  <c r="C759" i="6"/>
  <c r="B759" i="6"/>
  <c r="E758" i="6"/>
  <c r="D758" i="6"/>
  <c r="C758" i="6"/>
  <c r="B758" i="6"/>
  <c r="E757" i="6"/>
  <c r="D757" i="6"/>
  <c r="C757" i="6"/>
  <c r="B757" i="6"/>
  <c r="E756" i="6"/>
  <c r="D756" i="6"/>
  <c r="C756" i="6"/>
  <c r="B756" i="6"/>
  <c r="E755" i="6"/>
  <c r="D755" i="6"/>
  <c r="C755" i="6"/>
  <c r="B755" i="6"/>
  <c r="E754" i="6"/>
  <c r="D754" i="6"/>
  <c r="C754" i="6"/>
  <c r="B754" i="6"/>
  <c r="E753" i="6"/>
  <c r="D753" i="6"/>
  <c r="C753" i="6"/>
  <c r="B753" i="6"/>
  <c r="E752" i="6"/>
  <c r="D752" i="6"/>
  <c r="C752" i="6"/>
  <c r="B752" i="6"/>
  <c r="E751" i="6"/>
  <c r="D751" i="6"/>
  <c r="C751" i="6"/>
  <c r="B751" i="6"/>
  <c r="E750" i="6"/>
  <c r="D750" i="6"/>
  <c r="C750" i="6"/>
  <c r="B750" i="6"/>
  <c r="E749" i="6"/>
  <c r="D749" i="6"/>
  <c r="C749" i="6"/>
  <c r="B749" i="6"/>
  <c r="E748" i="6"/>
  <c r="D748" i="6"/>
  <c r="C748" i="6"/>
  <c r="B748" i="6"/>
  <c r="E747" i="6"/>
  <c r="D747" i="6"/>
  <c r="C747" i="6"/>
  <c r="B747" i="6"/>
  <c r="E746" i="6"/>
  <c r="D746" i="6"/>
  <c r="C746" i="6"/>
  <c r="B746" i="6"/>
  <c r="E745" i="6"/>
  <c r="D745" i="6"/>
  <c r="C745" i="6"/>
  <c r="B745" i="6"/>
  <c r="E744" i="6"/>
  <c r="D744" i="6"/>
  <c r="C744" i="6"/>
  <c r="B744" i="6"/>
  <c r="E743" i="6"/>
  <c r="D743" i="6"/>
  <c r="C743" i="6"/>
  <c r="B743" i="6"/>
  <c r="E742" i="6"/>
  <c r="D742" i="6"/>
  <c r="C742" i="6"/>
  <c r="B742" i="6"/>
  <c r="E741" i="6"/>
  <c r="D741" i="6"/>
  <c r="C741" i="6"/>
  <c r="B741" i="6"/>
  <c r="E740" i="6"/>
  <c r="D740" i="6"/>
  <c r="C740" i="6"/>
  <c r="B740" i="6"/>
  <c r="E739" i="6"/>
  <c r="D739" i="6"/>
  <c r="C739" i="6"/>
  <c r="B739" i="6"/>
  <c r="E738" i="6"/>
  <c r="D738" i="6"/>
  <c r="C738" i="6"/>
  <c r="B738" i="6"/>
  <c r="E737" i="6"/>
  <c r="D737" i="6"/>
  <c r="C737" i="6"/>
  <c r="B737" i="6"/>
  <c r="E736" i="6"/>
  <c r="D736" i="6"/>
  <c r="C736" i="6"/>
  <c r="B736" i="6"/>
  <c r="E735" i="6"/>
  <c r="D735" i="6"/>
  <c r="C735" i="6"/>
  <c r="B735" i="6"/>
  <c r="E734" i="6"/>
  <c r="D734" i="6"/>
  <c r="C734" i="6"/>
  <c r="B734" i="6"/>
  <c r="E733" i="6"/>
  <c r="D733" i="6"/>
  <c r="C733" i="6"/>
  <c r="B733" i="6"/>
  <c r="E732" i="6"/>
  <c r="D732" i="6"/>
  <c r="C732" i="6"/>
  <c r="B732" i="6"/>
  <c r="E731" i="6"/>
  <c r="D731" i="6"/>
  <c r="C731" i="6"/>
  <c r="B731" i="6"/>
  <c r="E730" i="6"/>
  <c r="D730" i="6"/>
  <c r="C730" i="6"/>
  <c r="B730" i="6"/>
  <c r="E729" i="6"/>
  <c r="D729" i="6"/>
  <c r="C729" i="6"/>
  <c r="B729" i="6"/>
  <c r="E728" i="6"/>
  <c r="D728" i="6"/>
  <c r="C728" i="6"/>
  <c r="B728" i="6"/>
  <c r="E727" i="6"/>
  <c r="D727" i="6"/>
  <c r="C727" i="6"/>
  <c r="B727" i="6"/>
  <c r="E726" i="6"/>
  <c r="D726" i="6"/>
  <c r="C726" i="6"/>
  <c r="B726" i="6"/>
  <c r="E725" i="6"/>
  <c r="D725" i="6"/>
  <c r="C725" i="6"/>
  <c r="B725" i="6"/>
  <c r="E724" i="6"/>
  <c r="D724" i="6"/>
  <c r="C724" i="6"/>
  <c r="B724" i="6"/>
  <c r="E723" i="6"/>
  <c r="D723" i="6"/>
  <c r="C723" i="6"/>
  <c r="B723" i="6"/>
  <c r="E722" i="6"/>
  <c r="D722" i="6"/>
  <c r="C722" i="6"/>
  <c r="B722" i="6"/>
  <c r="E721" i="6"/>
  <c r="D721" i="6"/>
  <c r="C721" i="6"/>
  <c r="B721" i="6"/>
  <c r="E720" i="6"/>
  <c r="D720" i="6"/>
  <c r="C720" i="6"/>
  <c r="B720" i="6"/>
  <c r="E719" i="6"/>
  <c r="D719" i="6"/>
  <c r="C719" i="6"/>
  <c r="B719" i="6"/>
  <c r="E718" i="6"/>
  <c r="D718" i="6"/>
  <c r="C718" i="6"/>
  <c r="B718" i="6"/>
  <c r="E717" i="6"/>
  <c r="D717" i="6"/>
  <c r="C717" i="6"/>
  <c r="B717" i="6"/>
  <c r="E716" i="6"/>
  <c r="D716" i="6"/>
  <c r="C716" i="6"/>
  <c r="B716" i="6"/>
  <c r="E715" i="6"/>
  <c r="D715" i="6"/>
  <c r="C715" i="6"/>
  <c r="B715" i="6"/>
  <c r="E714" i="6"/>
  <c r="D714" i="6"/>
  <c r="C714" i="6"/>
  <c r="B714" i="6"/>
  <c r="E713" i="6"/>
  <c r="D713" i="6"/>
  <c r="C713" i="6"/>
  <c r="B713" i="6"/>
  <c r="E712" i="6"/>
  <c r="D712" i="6"/>
  <c r="C712" i="6"/>
  <c r="B712" i="6"/>
  <c r="E711" i="6"/>
  <c r="D711" i="6"/>
  <c r="C711" i="6"/>
  <c r="B711" i="6"/>
  <c r="E710" i="6"/>
  <c r="D710" i="6"/>
  <c r="C710" i="6"/>
  <c r="B710" i="6"/>
  <c r="E709" i="6"/>
  <c r="D709" i="6"/>
  <c r="C709" i="6"/>
  <c r="B709" i="6"/>
  <c r="E708" i="6"/>
  <c r="D708" i="6"/>
  <c r="C708" i="6"/>
  <c r="B708" i="6"/>
  <c r="E707" i="6"/>
  <c r="D707" i="6"/>
  <c r="C707" i="6"/>
  <c r="B707" i="6"/>
  <c r="E706" i="6"/>
  <c r="D706" i="6"/>
  <c r="C706" i="6"/>
  <c r="B706" i="6"/>
  <c r="E705" i="6"/>
  <c r="D705" i="6"/>
  <c r="C705" i="6"/>
  <c r="B705" i="6"/>
  <c r="E704" i="6"/>
  <c r="D704" i="6"/>
  <c r="C704" i="6"/>
  <c r="B704" i="6"/>
  <c r="E703" i="6"/>
  <c r="D703" i="6"/>
  <c r="C703" i="6"/>
  <c r="B703" i="6"/>
  <c r="E702" i="6"/>
  <c r="D702" i="6"/>
  <c r="C702" i="6"/>
  <c r="B702" i="6"/>
  <c r="E701" i="6"/>
  <c r="D701" i="6"/>
  <c r="C701" i="6"/>
  <c r="B701" i="6"/>
  <c r="E700" i="6"/>
  <c r="D700" i="6"/>
  <c r="C700" i="6"/>
  <c r="B700" i="6"/>
  <c r="E699" i="6"/>
  <c r="D699" i="6"/>
  <c r="C699" i="6"/>
  <c r="B699" i="6"/>
  <c r="E698" i="6"/>
  <c r="D698" i="6"/>
  <c r="C698" i="6"/>
  <c r="B698" i="6"/>
  <c r="E697" i="6"/>
  <c r="D697" i="6"/>
  <c r="C697" i="6"/>
  <c r="B697" i="6"/>
  <c r="E696" i="6"/>
  <c r="D696" i="6"/>
  <c r="C696" i="6"/>
  <c r="B696" i="6"/>
  <c r="E695" i="6"/>
  <c r="D695" i="6"/>
  <c r="C695" i="6"/>
  <c r="B695" i="6"/>
  <c r="E694" i="6"/>
  <c r="D694" i="6"/>
  <c r="C694" i="6"/>
  <c r="B694" i="6"/>
  <c r="E693" i="6"/>
  <c r="D693" i="6"/>
  <c r="C693" i="6"/>
  <c r="B693" i="6"/>
  <c r="E692" i="6"/>
  <c r="D692" i="6"/>
  <c r="C692" i="6"/>
  <c r="B692" i="6"/>
  <c r="E691" i="6"/>
  <c r="D691" i="6"/>
  <c r="C691" i="6"/>
  <c r="B691" i="6"/>
  <c r="E690" i="6"/>
  <c r="D690" i="6"/>
  <c r="C690" i="6"/>
  <c r="B690" i="6"/>
  <c r="E689" i="6"/>
  <c r="D689" i="6"/>
  <c r="C689" i="6"/>
  <c r="B689" i="6"/>
  <c r="E688" i="6"/>
  <c r="D688" i="6"/>
  <c r="C688" i="6"/>
  <c r="B688" i="6"/>
  <c r="E687" i="6"/>
  <c r="D687" i="6"/>
  <c r="C687" i="6"/>
  <c r="B687" i="6"/>
  <c r="E686" i="6"/>
  <c r="D686" i="6"/>
  <c r="C686" i="6"/>
  <c r="B686" i="6"/>
  <c r="E685" i="6"/>
  <c r="D685" i="6"/>
  <c r="C685" i="6"/>
  <c r="B685" i="6"/>
  <c r="E684" i="6"/>
  <c r="D684" i="6"/>
  <c r="C684" i="6"/>
  <c r="B684" i="6"/>
  <c r="E683" i="6"/>
  <c r="D683" i="6"/>
  <c r="C683" i="6"/>
  <c r="B683" i="6"/>
  <c r="E682" i="6"/>
  <c r="D682" i="6"/>
  <c r="C682" i="6"/>
  <c r="B682" i="6"/>
  <c r="E681" i="6"/>
  <c r="D681" i="6"/>
  <c r="C681" i="6"/>
  <c r="B681" i="6"/>
  <c r="E680" i="6"/>
  <c r="D680" i="6"/>
  <c r="C680" i="6"/>
  <c r="B680" i="6"/>
  <c r="E679" i="6"/>
  <c r="D679" i="6"/>
  <c r="C679" i="6"/>
  <c r="B679" i="6"/>
  <c r="E678" i="6"/>
  <c r="D678" i="6"/>
  <c r="C678" i="6"/>
  <c r="B678" i="6"/>
  <c r="E677" i="6"/>
  <c r="D677" i="6"/>
  <c r="C677" i="6"/>
  <c r="B677" i="6"/>
  <c r="E676" i="6"/>
  <c r="D676" i="6"/>
  <c r="C676" i="6"/>
  <c r="B676" i="6"/>
  <c r="E675" i="6"/>
  <c r="D675" i="6"/>
  <c r="C675" i="6"/>
  <c r="B675" i="6"/>
  <c r="E674" i="6"/>
  <c r="D674" i="6"/>
  <c r="C674" i="6"/>
  <c r="B674" i="6"/>
  <c r="E673" i="6"/>
  <c r="D673" i="6"/>
  <c r="C673" i="6"/>
  <c r="B673" i="6"/>
  <c r="E672" i="6"/>
  <c r="D672" i="6"/>
  <c r="C672" i="6"/>
  <c r="B672" i="6"/>
  <c r="E671" i="6"/>
  <c r="D671" i="6"/>
  <c r="C671" i="6"/>
  <c r="B671" i="6"/>
  <c r="E670" i="6"/>
  <c r="D670" i="6"/>
  <c r="C670" i="6"/>
  <c r="B670" i="6"/>
  <c r="E669" i="6"/>
  <c r="D669" i="6"/>
  <c r="C669" i="6"/>
  <c r="B669" i="6"/>
  <c r="E668" i="6"/>
  <c r="D668" i="6"/>
  <c r="C668" i="6"/>
  <c r="B668" i="6"/>
  <c r="E667" i="6"/>
  <c r="D667" i="6"/>
  <c r="C667" i="6"/>
  <c r="B667" i="6"/>
  <c r="E666" i="6"/>
  <c r="D666" i="6"/>
  <c r="C666" i="6"/>
  <c r="B666" i="6"/>
  <c r="E665" i="6"/>
  <c r="D665" i="6"/>
  <c r="C665" i="6"/>
  <c r="B665" i="6"/>
  <c r="E664" i="6"/>
  <c r="D664" i="6"/>
  <c r="C664" i="6"/>
  <c r="B664" i="6"/>
  <c r="E663" i="6"/>
  <c r="D663" i="6"/>
  <c r="C663" i="6"/>
  <c r="B663" i="6"/>
  <c r="E662" i="6"/>
  <c r="D662" i="6"/>
  <c r="C662" i="6"/>
  <c r="B662" i="6"/>
  <c r="E661" i="6"/>
  <c r="D661" i="6"/>
  <c r="C661" i="6"/>
  <c r="B661" i="6"/>
  <c r="E660" i="6"/>
  <c r="D660" i="6"/>
  <c r="C660" i="6"/>
  <c r="B660" i="6"/>
  <c r="E659" i="6"/>
  <c r="D659" i="6"/>
  <c r="C659" i="6"/>
  <c r="B659" i="6"/>
  <c r="E658" i="6"/>
  <c r="D658" i="6"/>
  <c r="C658" i="6"/>
  <c r="B658" i="6"/>
  <c r="E657" i="6"/>
  <c r="D657" i="6"/>
  <c r="C657" i="6"/>
  <c r="B657" i="6"/>
  <c r="E656" i="6"/>
  <c r="D656" i="6"/>
  <c r="C656" i="6"/>
  <c r="B656" i="6"/>
  <c r="E655" i="6"/>
  <c r="D655" i="6"/>
  <c r="C655" i="6"/>
  <c r="B655" i="6"/>
  <c r="E654" i="6"/>
  <c r="D654" i="6"/>
  <c r="C654" i="6"/>
  <c r="B654" i="6"/>
  <c r="E653" i="6"/>
  <c r="D653" i="6"/>
  <c r="C653" i="6"/>
  <c r="B653" i="6"/>
  <c r="E652" i="6"/>
  <c r="D652" i="6"/>
  <c r="C652" i="6"/>
  <c r="B652" i="6"/>
  <c r="E651" i="6"/>
  <c r="D651" i="6"/>
  <c r="C651" i="6"/>
  <c r="B651" i="6"/>
  <c r="E650" i="6"/>
  <c r="D650" i="6"/>
  <c r="C650" i="6"/>
  <c r="B650" i="6"/>
  <c r="E649" i="6"/>
  <c r="D649" i="6"/>
  <c r="C649" i="6"/>
  <c r="B649" i="6"/>
  <c r="E648" i="6"/>
  <c r="D648" i="6"/>
  <c r="C648" i="6"/>
  <c r="B648" i="6"/>
  <c r="E647" i="6"/>
  <c r="D647" i="6"/>
  <c r="C647" i="6"/>
  <c r="B647" i="6"/>
  <c r="E646" i="6"/>
  <c r="D646" i="6"/>
  <c r="C646" i="6"/>
  <c r="B646" i="6"/>
  <c r="E645" i="6"/>
  <c r="D645" i="6"/>
  <c r="C645" i="6"/>
  <c r="B645" i="6"/>
  <c r="E644" i="6"/>
  <c r="D644" i="6"/>
  <c r="C644" i="6"/>
  <c r="B644" i="6"/>
  <c r="E643" i="6"/>
  <c r="D643" i="6"/>
  <c r="C643" i="6"/>
  <c r="B643" i="6"/>
  <c r="E642" i="6"/>
  <c r="D642" i="6"/>
  <c r="C642" i="6"/>
  <c r="B642" i="6"/>
  <c r="E641" i="6"/>
  <c r="D641" i="6"/>
  <c r="C641" i="6"/>
  <c r="B641" i="6"/>
  <c r="E640" i="6"/>
  <c r="D640" i="6"/>
  <c r="C640" i="6"/>
  <c r="B640" i="6"/>
  <c r="E639" i="6"/>
  <c r="D639" i="6"/>
  <c r="C639" i="6"/>
  <c r="B639" i="6"/>
  <c r="E638" i="6"/>
  <c r="D638" i="6"/>
  <c r="C638" i="6"/>
  <c r="B638" i="6"/>
  <c r="E637" i="6"/>
  <c r="D637" i="6"/>
  <c r="C637" i="6"/>
  <c r="B637" i="6"/>
  <c r="E636" i="6"/>
  <c r="D636" i="6"/>
  <c r="C636" i="6"/>
  <c r="B636" i="6"/>
  <c r="E635" i="6"/>
  <c r="D635" i="6"/>
  <c r="C635" i="6"/>
  <c r="B635" i="6"/>
  <c r="E634" i="6"/>
  <c r="D634" i="6"/>
  <c r="C634" i="6"/>
  <c r="B634" i="6"/>
  <c r="E633" i="6"/>
  <c r="D633" i="6"/>
  <c r="C633" i="6"/>
  <c r="B633" i="6"/>
  <c r="E632" i="6"/>
  <c r="D632" i="6"/>
  <c r="C632" i="6"/>
  <c r="B632" i="6"/>
  <c r="E631" i="6"/>
  <c r="D631" i="6"/>
  <c r="C631" i="6"/>
  <c r="B631" i="6"/>
  <c r="E630" i="6"/>
  <c r="D630" i="6"/>
  <c r="C630" i="6"/>
  <c r="B630" i="6"/>
  <c r="E629" i="6"/>
  <c r="D629" i="6"/>
  <c r="C629" i="6"/>
  <c r="B629" i="6"/>
  <c r="E628" i="6"/>
  <c r="D628" i="6"/>
  <c r="C628" i="6"/>
  <c r="B628" i="6"/>
  <c r="E627" i="6"/>
  <c r="D627" i="6"/>
  <c r="C627" i="6"/>
  <c r="B627" i="6"/>
  <c r="E626" i="6"/>
  <c r="D626" i="6"/>
  <c r="C626" i="6"/>
  <c r="B626" i="6"/>
  <c r="E625" i="6"/>
  <c r="D625" i="6"/>
  <c r="C625" i="6"/>
  <c r="B625" i="6"/>
  <c r="E624" i="6"/>
  <c r="D624" i="6"/>
  <c r="C624" i="6"/>
  <c r="B624" i="6"/>
  <c r="E623" i="6"/>
  <c r="D623" i="6"/>
  <c r="C623" i="6"/>
  <c r="B623" i="6"/>
  <c r="E622" i="6"/>
  <c r="D622" i="6"/>
  <c r="C622" i="6"/>
  <c r="B622" i="6"/>
  <c r="E621" i="6"/>
  <c r="D621" i="6"/>
  <c r="C621" i="6"/>
  <c r="B621" i="6"/>
  <c r="E620" i="6"/>
  <c r="D620" i="6"/>
  <c r="C620" i="6"/>
  <c r="B620" i="6"/>
  <c r="E619" i="6"/>
  <c r="D619" i="6"/>
  <c r="C619" i="6"/>
  <c r="B619" i="6"/>
  <c r="E618" i="6"/>
  <c r="D618" i="6"/>
  <c r="C618" i="6"/>
  <c r="B618" i="6"/>
  <c r="E617" i="6"/>
  <c r="D617" i="6"/>
  <c r="C617" i="6"/>
  <c r="B617" i="6"/>
  <c r="E616" i="6"/>
  <c r="D616" i="6"/>
  <c r="C616" i="6"/>
  <c r="B616" i="6"/>
  <c r="E615" i="6"/>
  <c r="D615" i="6"/>
  <c r="C615" i="6"/>
  <c r="B615" i="6"/>
  <c r="E614" i="6"/>
  <c r="D614" i="6"/>
  <c r="C614" i="6"/>
  <c r="B614" i="6"/>
  <c r="E613" i="6"/>
  <c r="D613" i="6"/>
  <c r="C613" i="6"/>
  <c r="B613" i="6"/>
  <c r="E612" i="6"/>
  <c r="D612" i="6"/>
  <c r="C612" i="6"/>
  <c r="B612" i="6"/>
  <c r="E611" i="6"/>
  <c r="D611" i="6"/>
  <c r="C611" i="6"/>
  <c r="B611" i="6"/>
  <c r="E610" i="6"/>
  <c r="D610" i="6"/>
  <c r="C610" i="6"/>
  <c r="B610" i="6"/>
  <c r="E609" i="6"/>
  <c r="D609" i="6"/>
  <c r="C609" i="6"/>
  <c r="B609" i="6"/>
  <c r="E608" i="6"/>
  <c r="D608" i="6"/>
  <c r="C608" i="6"/>
  <c r="B608" i="6"/>
  <c r="E607" i="6"/>
  <c r="D607" i="6"/>
  <c r="C607" i="6"/>
  <c r="B607" i="6"/>
  <c r="E606" i="6"/>
  <c r="D606" i="6"/>
  <c r="C606" i="6"/>
  <c r="B606" i="6"/>
  <c r="E605" i="6"/>
  <c r="D605" i="6"/>
  <c r="C605" i="6"/>
  <c r="B605" i="6"/>
  <c r="E604" i="6"/>
  <c r="D604" i="6"/>
  <c r="C604" i="6"/>
  <c r="B604" i="6"/>
  <c r="E603" i="6"/>
  <c r="D603" i="6"/>
  <c r="C603" i="6"/>
  <c r="B603" i="6"/>
  <c r="E602" i="6"/>
  <c r="D602" i="6"/>
  <c r="C602" i="6"/>
  <c r="B602" i="6"/>
  <c r="E601" i="6"/>
  <c r="D601" i="6"/>
  <c r="C601" i="6"/>
  <c r="B601" i="6"/>
  <c r="E600" i="6"/>
  <c r="D600" i="6"/>
  <c r="C600" i="6"/>
  <c r="B600" i="6"/>
  <c r="E599" i="6"/>
  <c r="D599" i="6"/>
  <c r="C599" i="6"/>
  <c r="B599" i="6"/>
  <c r="E598" i="6"/>
  <c r="D598" i="6"/>
  <c r="C598" i="6"/>
  <c r="B598" i="6"/>
  <c r="E597" i="6"/>
  <c r="D597" i="6"/>
  <c r="C597" i="6"/>
  <c r="B597" i="6"/>
  <c r="E596" i="6"/>
  <c r="D596" i="6"/>
  <c r="C596" i="6"/>
  <c r="B596" i="6"/>
  <c r="E595" i="6"/>
  <c r="D595" i="6"/>
  <c r="C595" i="6"/>
  <c r="B595" i="6"/>
  <c r="E594" i="6"/>
  <c r="D594" i="6"/>
  <c r="C594" i="6"/>
  <c r="B594" i="6"/>
  <c r="E593" i="6"/>
  <c r="D593" i="6"/>
  <c r="C593" i="6"/>
  <c r="B593" i="6"/>
  <c r="E592" i="6"/>
  <c r="D592" i="6"/>
  <c r="C592" i="6"/>
  <c r="B592" i="6"/>
  <c r="E591" i="6"/>
  <c r="D591" i="6"/>
  <c r="C591" i="6"/>
  <c r="B591" i="6"/>
  <c r="E590" i="6"/>
  <c r="D590" i="6"/>
  <c r="C590" i="6"/>
  <c r="B590" i="6"/>
  <c r="E589" i="6"/>
  <c r="D589" i="6"/>
  <c r="C589" i="6"/>
  <c r="B589" i="6"/>
  <c r="E588" i="6"/>
  <c r="D588" i="6"/>
  <c r="C588" i="6"/>
  <c r="B588" i="6"/>
  <c r="E587" i="6"/>
  <c r="D587" i="6"/>
  <c r="C587" i="6"/>
  <c r="B587" i="6"/>
  <c r="E586" i="6"/>
  <c r="D586" i="6"/>
  <c r="C586" i="6"/>
  <c r="B586" i="6"/>
  <c r="E585" i="6"/>
  <c r="D585" i="6"/>
  <c r="C585" i="6"/>
  <c r="B585" i="6"/>
  <c r="E584" i="6"/>
  <c r="D584" i="6"/>
  <c r="C584" i="6"/>
  <c r="B584" i="6"/>
  <c r="E583" i="6"/>
  <c r="D583" i="6"/>
  <c r="C583" i="6"/>
  <c r="B583" i="6"/>
  <c r="E582" i="6"/>
  <c r="D582" i="6"/>
  <c r="C582" i="6"/>
  <c r="B582" i="6"/>
  <c r="E581" i="6"/>
  <c r="D581" i="6"/>
  <c r="C581" i="6"/>
  <c r="B581" i="6"/>
  <c r="E580" i="6"/>
  <c r="D580" i="6"/>
  <c r="C580" i="6"/>
  <c r="B580" i="6"/>
  <c r="E579" i="6"/>
  <c r="D579" i="6"/>
  <c r="C579" i="6"/>
  <c r="B579" i="6"/>
  <c r="E578" i="6"/>
  <c r="D578" i="6"/>
  <c r="C578" i="6"/>
  <c r="B578" i="6"/>
  <c r="E577" i="6"/>
  <c r="D577" i="6"/>
  <c r="C577" i="6"/>
  <c r="B577" i="6"/>
  <c r="E576" i="6"/>
  <c r="D576" i="6"/>
  <c r="C576" i="6"/>
  <c r="B576" i="6"/>
  <c r="E575" i="6"/>
  <c r="D575" i="6"/>
  <c r="C575" i="6"/>
  <c r="B575" i="6"/>
  <c r="E574" i="6"/>
  <c r="D574" i="6"/>
  <c r="C574" i="6"/>
  <c r="B574" i="6"/>
  <c r="E573" i="6"/>
  <c r="D573" i="6"/>
  <c r="C573" i="6"/>
  <c r="B573" i="6"/>
  <c r="E572" i="6"/>
  <c r="D572" i="6"/>
  <c r="C572" i="6"/>
  <c r="B572" i="6"/>
  <c r="E571" i="6"/>
  <c r="D571" i="6"/>
  <c r="C571" i="6"/>
  <c r="B571" i="6"/>
  <c r="E570" i="6"/>
  <c r="D570" i="6"/>
  <c r="C570" i="6"/>
  <c r="B570" i="6"/>
  <c r="E569" i="6"/>
  <c r="D569" i="6"/>
  <c r="C569" i="6"/>
  <c r="B569" i="6"/>
  <c r="E568" i="6"/>
  <c r="D568" i="6"/>
  <c r="C568" i="6"/>
  <c r="B568" i="6"/>
  <c r="E567" i="6"/>
  <c r="D567" i="6"/>
  <c r="C567" i="6"/>
  <c r="B567" i="6"/>
  <c r="E566" i="6"/>
  <c r="D566" i="6"/>
  <c r="C566" i="6"/>
  <c r="B566" i="6"/>
  <c r="E565" i="6"/>
  <c r="D565" i="6"/>
  <c r="C565" i="6"/>
  <c r="B565" i="6"/>
  <c r="E564" i="6"/>
  <c r="D564" i="6"/>
  <c r="C564" i="6"/>
  <c r="B564" i="6"/>
  <c r="E563" i="6"/>
  <c r="D563" i="6"/>
  <c r="C563" i="6"/>
  <c r="B563" i="6"/>
  <c r="E562" i="6"/>
  <c r="D562" i="6"/>
  <c r="C562" i="6"/>
  <c r="B562" i="6"/>
  <c r="E561" i="6"/>
  <c r="D561" i="6"/>
  <c r="C561" i="6"/>
  <c r="B561" i="6"/>
  <c r="E560" i="6"/>
  <c r="D560" i="6"/>
  <c r="C560" i="6"/>
  <c r="B560" i="6"/>
  <c r="E559" i="6"/>
  <c r="D559" i="6"/>
  <c r="C559" i="6"/>
  <c r="B559" i="6"/>
  <c r="E558" i="6"/>
  <c r="D558" i="6"/>
  <c r="C558" i="6"/>
  <c r="B558" i="6"/>
  <c r="E557" i="6"/>
  <c r="D557" i="6"/>
  <c r="C557" i="6"/>
  <c r="B557" i="6"/>
  <c r="E556" i="6"/>
  <c r="D556" i="6"/>
  <c r="C556" i="6"/>
  <c r="B556" i="6"/>
  <c r="E555" i="6"/>
  <c r="D555" i="6"/>
  <c r="C555" i="6"/>
  <c r="B555" i="6"/>
  <c r="E554" i="6"/>
  <c r="D554" i="6"/>
  <c r="C554" i="6"/>
  <c r="B554" i="6"/>
  <c r="E553" i="6"/>
  <c r="D553" i="6"/>
  <c r="C553" i="6"/>
  <c r="B553" i="6"/>
  <c r="E552" i="6"/>
  <c r="D552" i="6"/>
  <c r="C552" i="6"/>
  <c r="B552" i="6"/>
  <c r="E551" i="6"/>
  <c r="D551" i="6"/>
  <c r="C551" i="6"/>
  <c r="B551" i="6"/>
  <c r="E550" i="6"/>
  <c r="D550" i="6"/>
  <c r="C550" i="6"/>
  <c r="B550" i="6"/>
  <c r="E549" i="6"/>
  <c r="D549" i="6"/>
  <c r="C549" i="6"/>
  <c r="B549" i="6"/>
  <c r="E548" i="6"/>
  <c r="D548" i="6"/>
  <c r="C548" i="6"/>
  <c r="B548" i="6"/>
  <c r="E547" i="6"/>
  <c r="D547" i="6"/>
  <c r="C547" i="6"/>
  <c r="B547" i="6"/>
  <c r="E546" i="6"/>
  <c r="D546" i="6"/>
  <c r="C546" i="6"/>
  <c r="B546" i="6"/>
  <c r="E545" i="6"/>
  <c r="D545" i="6"/>
  <c r="C545" i="6"/>
  <c r="B545" i="6"/>
  <c r="E544" i="6"/>
  <c r="D544" i="6"/>
  <c r="C544" i="6"/>
  <c r="B544" i="6"/>
  <c r="E543" i="6"/>
  <c r="D543" i="6"/>
  <c r="C543" i="6"/>
  <c r="B543" i="6"/>
  <c r="E542" i="6"/>
  <c r="D542" i="6"/>
  <c r="C542" i="6"/>
  <c r="B542" i="6"/>
  <c r="E541" i="6"/>
  <c r="D541" i="6"/>
  <c r="C541" i="6"/>
  <c r="B541" i="6"/>
  <c r="E540" i="6"/>
  <c r="D540" i="6"/>
  <c r="C540" i="6"/>
  <c r="B540" i="6"/>
  <c r="E539" i="6"/>
  <c r="D539" i="6"/>
  <c r="C539" i="6"/>
  <c r="B539" i="6"/>
  <c r="E538" i="6"/>
  <c r="D538" i="6"/>
  <c r="C538" i="6"/>
  <c r="B538" i="6"/>
  <c r="E537" i="6"/>
  <c r="D537" i="6"/>
  <c r="C537" i="6"/>
  <c r="B537" i="6"/>
  <c r="E536" i="6"/>
  <c r="D536" i="6"/>
  <c r="C536" i="6"/>
  <c r="B536" i="6"/>
  <c r="E535" i="6"/>
  <c r="D535" i="6"/>
  <c r="C535" i="6"/>
  <c r="B535" i="6"/>
  <c r="E534" i="6"/>
  <c r="D534" i="6"/>
  <c r="C534" i="6"/>
  <c r="B534" i="6"/>
  <c r="E533" i="6"/>
  <c r="D533" i="6"/>
  <c r="C533" i="6"/>
  <c r="B533" i="6"/>
  <c r="E532" i="6"/>
  <c r="D532" i="6"/>
  <c r="C532" i="6"/>
  <c r="B532" i="6"/>
  <c r="E531" i="6"/>
  <c r="D531" i="6"/>
  <c r="C531" i="6"/>
  <c r="B531" i="6"/>
  <c r="E530" i="6"/>
  <c r="D530" i="6"/>
  <c r="C530" i="6"/>
  <c r="B530" i="6"/>
  <c r="E529" i="6"/>
  <c r="D529" i="6"/>
  <c r="C529" i="6"/>
  <c r="B529" i="6"/>
  <c r="E528" i="6"/>
  <c r="D528" i="6"/>
  <c r="C528" i="6"/>
  <c r="B528" i="6"/>
  <c r="E527" i="6"/>
  <c r="D527" i="6"/>
  <c r="C527" i="6"/>
  <c r="B527" i="6"/>
  <c r="E526" i="6"/>
  <c r="D526" i="6"/>
  <c r="C526" i="6"/>
  <c r="B526" i="6"/>
  <c r="E525" i="6"/>
  <c r="D525" i="6"/>
  <c r="C525" i="6"/>
  <c r="B525" i="6"/>
  <c r="E524" i="6"/>
  <c r="D524" i="6"/>
  <c r="C524" i="6"/>
  <c r="B524" i="6"/>
  <c r="E523" i="6"/>
  <c r="D523" i="6"/>
  <c r="C523" i="6"/>
  <c r="B523" i="6"/>
  <c r="E522" i="6"/>
  <c r="D522" i="6"/>
  <c r="C522" i="6"/>
  <c r="B522" i="6"/>
  <c r="E521" i="6"/>
  <c r="D521" i="6"/>
  <c r="C521" i="6"/>
  <c r="B521" i="6"/>
  <c r="E520" i="6"/>
  <c r="D520" i="6"/>
  <c r="C520" i="6"/>
  <c r="B520" i="6"/>
  <c r="E519" i="6"/>
  <c r="D519" i="6"/>
  <c r="C519" i="6"/>
  <c r="B519" i="6"/>
  <c r="E518" i="6"/>
  <c r="D518" i="6"/>
  <c r="C518" i="6"/>
  <c r="B518" i="6"/>
  <c r="E517" i="6"/>
  <c r="D517" i="6"/>
  <c r="C517" i="6"/>
  <c r="B517" i="6"/>
  <c r="E516" i="6"/>
  <c r="D516" i="6"/>
  <c r="C516" i="6"/>
  <c r="B516" i="6"/>
  <c r="E515" i="6"/>
  <c r="D515" i="6"/>
  <c r="C515" i="6"/>
  <c r="B515" i="6"/>
  <c r="E514" i="6"/>
  <c r="D514" i="6"/>
  <c r="C514" i="6"/>
  <c r="B514" i="6"/>
  <c r="E513" i="6"/>
  <c r="D513" i="6"/>
  <c r="C513" i="6"/>
  <c r="B513" i="6"/>
  <c r="E512" i="6"/>
  <c r="D512" i="6"/>
  <c r="C512" i="6"/>
  <c r="B512" i="6"/>
  <c r="E511" i="6"/>
  <c r="D511" i="6"/>
  <c r="C511" i="6"/>
  <c r="B511" i="6"/>
  <c r="E510" i="6"/>
  <c r="D510" i="6"/>
  <c r="C510" i="6"/>
  <c r="B510" i="6"/>
  <c r="E509" i="6"/>
  <c r="D509" i="6"/>
  <c r="C509" i="6"/>
  <c r="B509" i="6"/>
  <c r="E508" i="6"/>
  <c r="D508" i="6"/>
  <c r="C508" i="6"/>
  <c r="B508" i="6"/>
  <c r="E507" i="6"/>
  <c r="D507" i="6"/>
  <c r="C507" i="6"/>
  <c r="B507" i="6"/>
  <c r="E506" i="6"/>
  <c r="D506" i="6"/>
  <c r="C506" i="6"/>
  <c r="B506" i="6"/>
  <c r="E505" i="6"/>
  <c r="D505" i="6"/>
  <c r="C505" i="6"/>
  <c r="B505" i="6"/>
  <c r="E504" i="6"/>
  <c r="D504" i="6"/>
  <c r="C504" i="6"/>
  <c r="B504" i="6"/>
  <c r="E503" i="6"/>
  <c r="D503" i="6"/>
  <c r="C503" i="6"/>
  <c r="B503" i="6"/>
  <c r="E502" i="6"/>
  <c r="D502" i="6"/>
  <c r="C502" i="6"/>
  <c r="B502" i="6"/>
  <c r="E501" i="6"/>
  <c r="D501" i="6"/>
  <c r="C501" i="6"/>
  <c r="B501" i="6"/>
  <c r="E500" i="6"/>
  <c r="D500" i="6"/>
  <c r="C500" i="6"/>
  <c r="B500" i="6"/>
  <c r="E499" i="6"/>
  <c r="D499" i="6"/>
  <c r="C499" i="6"/>
  <c r="B499" i="6"/>
  <c r="E498" i="6"/>
  <c r="D498" i="6"/>
  <c r="C498" i="6"/>
  <c r="B498" i="6"/>
  <c r="E497" i="6"/>
  <c r="D497" i="6"/>
  <c r="C497" i="6"/>
  <c r="B497" i="6"/>
  <c r="E496" i="6"/>
  <c r="D496" i="6"/>
  <c r="C496" i="6"/>
  <c r="B496" i="6"/>
  <c r="E495" i="6"/>
  <c r="D495" i="6"/>
  <c r="C495" i="6"/>
  <c r="B495" i="6"/>
  <c r="E494" i="6"/>
  <c r="D494" i="6"/>
  <c r="C494" i="6"/>
  <c r="B494" i="6"/>
  <c r="E493" i="6"/>
  <c r="D493" i="6"/>
  <c r="C493" i="6"/>
  <c r="B493" i="6"/>
  <c r="E492" i="6"/>
  <c r="D492" i="6"/>
  <c r="C492" i="6"/>
  <c r="B492" i="6"/>
  <c r="E491" i="6"/>
  <c r="D491" i="6"/>
  <c r="C491" i="6"/>
  <c r="B491" i="6"/>
  <c r="E490" i="6"/>
  <c r="D490" i="6"/>
  <c r="C490" i="6"/>
  <c r="B490" i="6"/>
  <c r="E489" i="6"/>
  <c r="D489" i="6"/>
  <c r="C489" i="6"/>
  <c r="B489" i="6"/>
  <c r="E488" i="6"/>
  <c r="D488" i="6"/>
  <c r="C488" i="6"/>
  <c r="B488" i="6"/>
  <c r="E487" i="6"/>
  <c r="D487" i="6"/>
  <c r="C487" i="6"/>
  <c r="B487" i="6"/>
  <c r="E486" i="6"/>
  <c r="D486" i="6"/>
  <c r="C486" i="6"/>
  <c r="B486" i="6"/>
  <c r="E485" i="6"/>
  <c r="D485" i="6"/>
  <c r="C485" i="6"/>
  <c r="B485" i="6"/>
  <c r="E484" i="6"/>
  <c r="D484" i="6"/>
  <c r="C484" i="6"/>
  <c r="B484" i="6"/>
  <c r="E483" i="6"/>
  <c r="D483" i="6"/>
  <c r="C483" i="6"/>
  <c r="B483" i="6"/>
  <c r="E482" i="6"/>
  <c r="D482" i="6"/>
  <c r="C482" i="6"/>
  <c r="B482" i="6"/>
  <c r="E481" i="6"/>
  <c r="D481" i="6"/>
  <c r="C481" i="6"/>
  <c r="B481" i="6"/>
  <c r="E480" i="6"/>
  <c r="D480" i="6"/>
  <c r="C480" i="6"/>
  <c r="B480" i="6"/>
  <c r="E479" i="6"/>
  <c r="D479" i="6"/>
  <c r="C479" i="6"/>
  <c r="B479" i="6"/>
  <c r="E478" i="6"/>
  <c r="D478" i="6"/>
  <c r="C478" i="6"/>
  <c r="B478" i="6"/>
  <c r="E477" i="6"/>
  <c r="D477" i="6"/>
  <c r="C477" i="6"/>
  <c r="B477" i="6"/>
  <c r="E476" i="6"/>
  <c r="D476" i="6"/>
  <c r="C476" i="6"/>
  <c r="B476" i="6"/>
  <c r="E475" i="6"/>
  <c r="D475" i="6"/>
  <c r="C475" i="6"/>
  <c r="B475" i="6"/>
  <c r="E474" i="6"/>
  <c r="D474" i="6"/>
  <c r="C474" i="6"/>
  <c r="B474" i="6"/>
  <c r="E473" i="6"/>
  <c r="D473" i="6"/>
  <c r="C473" i="6"/>
  <c r="B473" i="6"/>
  <c r="E472" i="6"/>
  <c r="D472" i="6"/>
  <c r="C472" i="6"/>
  <c r="B472" i="6"/>
  <c r="E471" i="6"/>
  <c r="D471" i="6"/>
  <c r="C471" i="6"/>
  <c r="B471" i="6"/>
  <c r="E470" i="6"/>
  <c r="D470" i="6"/>
  <c r="C470" i="6"/>
  <c r="B470" i="6"/>
  <c r="E469" i="6"/>
  <c r="D469" i="6"/>
  <c r="C469" i="6"/>
  <c r="B469" i="6"/>
  <c r="E468" i="6"/>
  <c r="D468" i="6"/>
  <c r="C468" i="6"/>
  <c r="B468" i="6"/>
  <c r="E467" i="6"/>
  <c r="D467" i="6"/>
  <c r="C467" i="6"/>
  <c r="B467" i="6"/>
  <c r="E466" i="6"/>
  <c r="D466" i="6"/>
  <c r="C466" i="6"/>
  <c r="B466" i="6"/>
  <c r="E465" i="6"/>
  <c r="D465" i="6"/>
  <c r="C465" i="6"/>
  <c r="B465" i="6"/>
  <c r="E464" i="6"/>
  <c r="D464" i="6"/>
  <c r="C464" i="6"/>
  <c r="B464" i="6"/>
  <c r="E463" i="6"/>
  <c r="D463" i="6"/>
  <c r="C463" i="6"/>
  <c r="B463" i="6"/>
  <c r="E462" i="6"/>
  <c r="D462" i="6"/>
  <c r="C462" i="6"/>
  <c r="B462" i="6"/>
  <c r="E461" i="6"/>
  <c r="D461" i="6"/>
  <c r="C461" i="6"/>
  <c r="B461" i="6"/>
  <c r="E460" i="6"/>
  <c r="D460" i="6"/>
  <c r="C460" i="6"/>
  <c r="B460" i="6"/>
  <c r="E459" i="6"/>
  <c r="D459" i="6"/>
  <c r="C459" i="6"/>
  <c r="B459" i="6"/>
  <c r="E458" i="6"/>
  <c r="D458" i="6"/>
  <c r="C458" i="6"/>
  <c r="B458" i="6"/>
  <c r="E457" i="6"/>
  <c r="D457" i="6"/>
  <c r="C457" i="6"/>
  <c r="B457" i="6"/>
  <c r="E456" i="6"/>
  <c r="D456" i="6"/>
  <c r="C456" i="6"/>
  <c r="B456" i="6"/>
  <c r="E455" i="6"/>
  <c r="D455" i="6"/>
  <c r="C455" i="6"/>
  <c r="B455" i="6"/>
  <c r="E454" i="6"/>
  <c r="D454" i="6"/>
  <c r="C454" i="6"/>
  <c r="B454" i="6"/>
  <c r="E453" i="6"/>
  <c r="D453" i="6"/>
  <c r="C453" i="6"/>
  <c r="B453" i="6"/>
  <c r="E452" i="6"/>
  <c r="D452" i="6"/>
  <c r="C452" i="6"/>
  <c r="B452" i="6"/>
  <c r="E451" i="6"/>
  <c r="D451" i="6"/>
  <c r="C451" i="6"/>
  <c r="B451" i="6"/>
  <c r="E450" i="6"/>
  <c r="D450" i="6"/>
  <c r="C450" i="6"/>
  <c r="B450" i="6"/>
  <c r="E449" i="6"/>
  <c r="D449" i="6"/>
  <c r="C449" i="6"/>
  <c r="B449" i="6"/>
  <c r="E448" i="6"/>
  <c r="D448" i="6"/>
  <c r="C448" i="6"/>
  <c r="B448" i="6"/>
  <c r="E447" i="6"/>
  <c r="D447" i="6"/>
  <c r="C447" i="6"/>
  <c r="B447" i="6"/>
  <c r="E446" i="6"/>
  <c r="D446" i="6"/>
  <c r="C446" i="6"/>
  <c r="B446" i="6"/>
  <c r="E445" i="6"/>
  <c r="D445" i="6"/>
  <c r="C445" i="6"/>
  <c r="B445" i="6"/>
  <c r="E444" i="6"/>
  <c r="D444" i="6"/>
  <c r="C444" i="6"/>
  <c r="B444" i="6"/>
  <c r="E443" i="6"/>
  <c r="D443" i="6"/>
  <c r="C443" i="6"/>
  <c r="B443" i="6"/>
  <c r="E442" i="6"/>
  <c r="D442" i="6"/>
  <c r="C442" i="6"/>
  <c r="B442" i="6"/>
  <c r="E441" i="6"/>
  <c r="D441" i="6"/>
  <c r="C441" i="6"/>
  <c r="B441" i="6"/>
  <c r="E440" i="6"/>
  <c r="D440" i="6"/>
  <c r="C440" i="6"/>
  <c r="B440" i="6"/>
  <c r="E439" i="6"/>
  <c r="D439" i="6"/>
  <c r="C439" i="6"/>
  <c r="B439" i="6"/>
  <c r="E438" i="6"/>
  <c r="D438" i="6"/>
  <c r="C438" i="6"/>
  <c r="B438" i="6"/>
  <c r="E437" i="6"/>
  <c r="D437" i="6"/>
  <c r="C437" i="6"/>
  <c r="B437" i="6"/>
  <c r="E436" i="6"/>
  <c r="D436" i="6"/>
  <c r="C436" i="6"/>
  <c r="B436" i="6"/>
  <c r="E435" i="6"/>
  <c r="D435" i="6"/>
  <c r="C435" i="6"/>
  <c r="B435" i="6"/>
  <c r="E434" i="6"/>
  <c r="D434" i="6"/>
  <c r="C434" i="6"/>
  <c r="B434" i="6"/>
  <c r="E433" i="6"/>
  <c r="D433" i="6"/>
  <c r="C433" i="6"/>
  <c r="B433" i="6"/>
  <c r="E432" i="6"/>
  <c r="D432" i="6"/>
  <c r="C432" i="6"/>
  <c r="B432" i="6"/>
  <c r="E431" i="6"/>
  <c r="D431" i="6"/>
  <c r="C431" i="6"/>
  <c r="B431" i="6"/>
  <c r="E430" i="6"/>
  <c r="D430" i="6"/>
  <c r="C430" i="6"/>
  <c r="B430" i="6"/>
  <c r="E429" i="6"/>
  <c r="D429" i="6"/>
  <c r="C429" i="6"/>
  <c r="B429" i="6"/>
  <c r="E428" i="6"/>
  <c r="D428" i="6"/>
  <c r="C428" i="6"/>
  <c r="B428" i="6"/>
  <c r="E427" i="6"/>
  <c r="D427" i="6"/>
  <c r="C427" i="6"/>
  <c r="B427" i="6"/>
  <c r="E426" i="6"/>
  <c r="D426" i="6"/>
  <c r="C426" i="6"/>
  <c r="B426" i="6"/>
  <c r="E425" i="6"/>
  <c r="D425" i="6"/>
  <c r="C425" i="6"/>
  <c r="B425" i="6"/>
  <c r="E424" i="6"/>
  <c r="D424" i="6"/>
  <c r="C424" i="6"/>
  <c r="B424" i="6"/>
  <c r="E423" i="6"/>
  <c r="D423" i="6"/>
  <c r="C423" i="6"/>
  <c r="B423" i="6"/>
  <c r="E422" i="6"/>
  <c r="D422" i="6"/>
  <c r="C422" i="6"/>
  <c r="B422" i="6"/>
  <c r="E421" i="6"/>
  <c r="D421" i="6"/>
  <c r="C421" i="6"/>
  <c r="B421" i="6"/>
  <c r="E420" i="6"/>
  <c r="D420" i="6"/>
  <c r="C420" i="6"/>
  <c r="B420" i="6"/>
  <c r="E419" i="6"/>
  <c r="D419" i="6"/>
  <c r="C419" i="6"/>
  <c r="B419" i="6"/>
  <c r="E418" i="6"/>
  <c r="D418" i="6"/>
  <c r="C418" i="6"/>
  <c r="B418" i="6"/>
  <c r="E417" i="6"/>
  <c r="D417" i="6"/>
  <c r="C417" i="6"/>
  <c r="B417" i="6"/>
  <c r="E416" i="6"/>
  <c r="D416" i="6"/>
  <c r="C416" i="6"/>
  <c r="B416" i="6"/>
  <c r="E415" i="6"/>
  <c r="D415" i="6"/>
  <c r="C415" i="6"/>
  <c r="B415" i="6"/>
  <c r="E414" i="6"/>
  <c r="D414" i="6"/>
  <c r="C414" i="6"/>
  <c r="B414" i="6"/>
  <c r="E413" i="6"/>
  <c r="D413" i="6"/>
  <c r="C413" i="6"/>
  <c r="B413" i="6"/>
  <c r="E412" i="6"/>
  <c r="D412" i="6"/>
  <c r="C412" i="6"/>
  <c r="B412" i="6"/>
  <c r="E411" i="6"/>
  <c r="D411" i="6"/>
  <c r="C411" i="6"/>
  <c r="B411" i="6"/>
  <c r="E410" i="6"/>
  <c r="D410" i="6"/>
  <c r="C410" i="6"/>
  <c r="B410" i="6"/>
  <c r="E409" i="6"/>
  <c r="D409" i="6"/>
  <c r="C409" i="6"/>
  <c r="B409" i="6"/>
  <c r="E408" i="6"/>
  <c r="D408" i="6"/>
  <c r="C408" i="6"/>
  <c r="B408" i="6"/>
  <c r="E407" i="6"/>
  <c r="D407" i="6"/>
  <c r="C407" i="6"/>
  <c r="B407" i="6"/>
  <c r="E406" i="6"/>
  <c r="D406" i="6"/>
  <c r="C406" i="6"/>
  <c r="B406" i="6"/>
  <c r="E405" i="6"/>
  <c r="D405" i="6"/>
  <c r="C405" i="6"/>
  <c r="B405" i="6"/>
  <c r="E404" i="6"/>
  <c r="D404" i="6"/>
  <c r="C404" i="6"/>
  <c r="B404" i="6"/>
  <c r="E403" i="6"/>
  <c r="D403" i="6"/>
  <c r="C403" i="6"/>
  <c r="B403" i="6"/>
  <c r="E402" i="6"/>
  <c r="D402" i="6"/>
  <c r="C402" i="6"/>
  <c r="B402" i="6"/>
  <c r="E401" i="6"/>
  <c r="D401" i="6"/>
  <c r="C401" i="6"/>
  <c r="B401" i="6"/>
  <c r="E400" i="6"/>
  <c r="D400" i="6"/>
  <c r="C400" i="6"/>
  <c r="B400" i="6"/>
  <c r="E399" i="6"/>
  <c r="D399" i="6"/>
  <c r="C399" i="6"/>
  <c r="B399" i="6"/>
  <c r="E398" i="6"/>
  <c r="D398" i="6"/>
  <c r="C398" i="6"/>
  <c r="B398" i="6"/>
  <c r="E397" i="6"/>
  <c r="D397" i="6"/>
  <c r="C397" i="6"/>
  <c r="B397" i="6"/>
  <c r="E396" i="6"/>
  <c r="D396" i="6"/>
  <c r="C396" i="6"/>
  <c r="B396" i="6"/>
  <c r="E395" i="6"/>
  <c r="D395" i="6"/>
  <c r="C395" i="6"/>
  <c r="B395" i="6"/>
  <c r="E394" i="6"/>
  <c r="D394" i="6"/>
  <c r="C394" i="6"/>
  <c r="B394" i="6"/>
  <c r="E393" i="6"/>
  <c r="D393" i="6"/>
  <c r="C393" i="6"/>
  <c r="B393" i="6"/>
  <c r="E392" i="6"/>
  <c r="D392" i="6"/>
  <c r="C392" i="6"/>
  <c r="B392" i="6"/>
  <c r="E391" i="6"/>
  <c r="D391" i="6"/>
  <c r="C391" i="6"/>
  <c r="B391" i="6"/>
  <c r="E390" i="6"/>
  <c r="D390" i="6"/>
  <c r="C390" i="6"/>
  <c r="B390" i="6"/>
  <c r="E389" i="6"/>
  <c r="D389" i="6"/>
  <c r="C389" i="6"/>
  <c r="B389" i="6"/>
  <c r="E388" i="6"/>
  <c r="D388" i="6"/>
  <c r="C388" i="6"/>
  <c r="B388" i="6"/>
  <c r="E387" i="6"/>
  <c r="D387" i="6"/>
  <c r="C387" i="6"/>
  <c r="B387" i="6"/>
  <c r="E386" i="6"/>
  <c r="D386" i="6"/>
  <c r="C386" i="6"/>
  <c r="B386" i="6"/>
  <c r="E385" i="6"/>
  <c r="D385" i="6"/>
  <c r="C385" i="6"/>
  <c r="B385" i="6"/>
  <c r="E384" i="6"/>
  <c r="D384" i="6"/>
  <c r="C384" i="6"/>
  <c r="B384" i="6"/>
  <c r="E383" i="6"/>
  <c r="D383" i="6"/>
  <c r="C383" i="6"/>
  <c r="B383" i="6"/>
  <c r="E382" i="6"/>
  <c r="D382" i="6"/>
  <c r="C382" i="6"/>
  <c r="B382" i="6"/>
  <c r="E381" i="6"/>
  <c r="D381" i="6"/>
  <c r="C381" i="6"/>
  <c r="B381" i="6"/>
  <c r="E380" i="6"/>
  <c r="D380" i="6"/>
  <c r="C380" i="6"/>
  <c r="B380" i="6"/>
  <c r="E379" i="6"/>
  <c r="D379" i="6"/>
  <c r="C379" i="6"/>
  <c r="B379" i="6"/>
  <c r="E378" i="6"/>
  <c r="D378" i="6"/>
  <c r="C378" i="6"/>
  <c r="B378" i="6"/>
  <c r="E377" i="6"/>
  <c r="D377" i="6"/>
  <c r="C377" i="6"/>
  <c r="B377" i="6"/>
  <c r="E376" i="6"/>
  <c r="D376" i="6"/>
  <c r="C376" i="6"/>
  <c r="B376" i="6"/>
  <c r="E375" i="6"/>
  <c r="D375" i="6"/>
  <c r="C375" i="6"/>
  <c r="B375" i="6"/>
  <c r="E374" i="6"/>
  <c r="D374" i="6"/>
  <c r="C374" i="6"/>
  <c r="B374" i="6"/>
  <c r="E373" i="6"/>
  <c r="D373" i="6"/>
  <c r="C373" i="6"/>
  <c r="B373" i="6"/>
  <c r="E372" i="6"/>
  <c r="D372" i="6"/>
  <c r="C372" i="6"/>
  <c r="B372" i="6"/>
  <c r="E371" i="6"/>
  <c r="D371" i="6"/>
  <c r="C371" i="6"/>
  <c r="B371" i="6"/>
  <c r="E370" i="6"/>
  <c r="D370" i="6"/>
  <c r="C370" i="6"/>
  <c r="B370" i="6"/>
  <c r="E369" i="6"/>
  <c r="D369" i="6"/>
  <c r="C369" i="6"/>
  <c r="B369" i="6"/>
  <c r="E368" i="6"/>
  <c r="D368" i="6"/>
  <c r="C368" i="6"/>
  <c r="B368" i="6"/>
  <c r="E367" i="6"/>
  <c r="D367" i="6"/>
  <c r="C367" i="6"/>
  <c r="B367" i="6"/>
  <c r="E366" i="6"/>
  <c r="D366" i="6"/>
  <c r="C366" i="6"/>
  <c r="B366" i="6"/>
  <c r="E365" i="6"/>
  <c r="D365" i="6"/>
  <c r="C365" i="6"/>
  <c r="B365" i="6"/>
  <c r="E364" i="6"/>
  <c r="D364" i="6"/>
  <c r="C364" i="6"/>
  <c r="B364" i="6"/>
  <c r="E363" i="6"/>
  <c r="D363" i="6"/>
  <c r="C363" i="6"/>
  <c r="B363" i="6"/>
  <c r="E362" i="6"/>
  <c r="D362" i="6"/>
  <c r="C362" i="6"/>
  <c r="B362" i="6"/>
  <c r="E361" i="6"/>
  <c r="D361" i="6"/>
  <c r="C361" i="6"/>
  <c r="B361" i="6"/>
  <c r="E360" i="6"/>
  <c r="D360" i="6"/>
  <c r="C360" i="6"/>
  <c r="B360" i="6"/>
  <c r="E359" i="6"/>
  <c r="D359" i="6"/>
  <c r="C359" i="6"/>
  <c r="B359" i="6"/>
  <c r="E358" i="6"/>
  <c r="D358" i="6"/>
  <c r="C358" i="6"/>
  <c r="B358" i="6"/>
  <c r="E357" i="6"/>
  <c r="D357" i="6"/>
  <c r="C357" i="6"/>
  <c r="B357" i="6"/>
  <c r="E356" i="6"/>
  <c r="D356" i="6"/>
  <c r="C356" i="6"/>
  <c r="B356" i="6"/>
  <c r="E355" i="6"/>
  <c r="D355" i="6"/>
  <c r="C355" i="6"/>
  <c r="B355" i="6"/>
  <c r="E354" i="6"/>
  <c r="D354" i="6"/>
  <c r="C354" i="6"/>
  <c r="B354" i="6"/>
  <c r="E353" i="6"/>
  <c r="D353" i="6"/>
  <c r="C353" i="6"/>
  <c r="B353" i="6"/>
  <c r="E352" i="6"/>
  <c r="D352" i="6"/>
  <c r="C352" i="6"/>
  <c r="B352" i="6"/>
  <c r="E351" i="6"/>
  <c r="D351" i="6"/>
  <c r="C351" i="6"/>
  <c r="B351" i="6"/>
  <c r="E350" i="6"/>
  <c r="D350" i="6"/>
  <c r="C350" i="6"/>
  <c r="B350" i="6"/>
  <c r="E349" i="6"/>
  <c r="D349" i="6"/>
  <c r="C349" i="6"/>
  <c r="B349" i="6"/>
  <c r="E348" i="6"/>
  <c r="D348" i="6"/>
  <c r="C348" i="6"/>
  <c r="B348" i="6"/>
  <c r="E347" i="6"/>
  <c r="D347" i="6"/>
  <c r="C347" i="6"/>
  <c r="B347" i="6"/>
  <c r="E346" i="6"/>
  <c r="D346" i="6"/>
  <c r="C346" i="6"/>
  <c r="B346" i="6"/>
  <c r="E345" i="6"/>
  <c r="D345" i="6"/>
  <c r="C345" i="6"/>
  <c r="B345" i="6"/>
  <c r="E344" i="6"/>
  <c r="D344" i="6"/>
  <c r="C344" i="6"/>
  <c r="B344" i="6"/>
  <c r="E343" i="6"/>
  <c r="D343" i="6"/>
  <c r="C343" i="6"/>
  <c r="B343" i="6"/>
  <c r="E342" i="6"/>
  <c r="D342" i="6"/>
  <c r="C342" i="6"/>
  <c r="B342" i="6"/>
  <c r="E341" i="6"/>
  <c r="D341" i="6"/>
  <c r="C341" i="6"/>
  <c r="B341" i="6"/>
  <c r="E340" i="6"/>
  <c r="D340" i="6"/>
  <c r="C340" i="6"/>
  <c r="B340" i="6"/>
  <c r="E339" i="6"/>
  <c r="D339" i="6"/>
  <c r="C339" i="6"/>
  <c r="B339" i="6"/>
  <c r="E338" i="6"/>
  <c r="D338" i="6"/>
  <c r="C338" i="6"/>
  <c r="B338" i="6"/>
  <c r="E337" i="6"/>
  <c r="D337" i="6"/>
  <c r="C337" i="6"/>
  <c r="B337" i="6"/>
  <c r="E336" i="6"/>
  <c r="D336" i="6"/>
  <c r="C336" i="6"/>
  <c r="B336" i="6"/>
  <c r="E335" i="6"/>
  <c r="D335" i="6"/>
  <c r="C335" i="6"/>
  <c r="B335" i="6"/>
  <c r="E334" i="6"/>
  <c r="D334" i="6"/>
  <c r="C334" i="6"/>
  <c r="B334" i="6"/>
  <c r="E333" i="6"/>
  <c r="D333" i="6"/>
  <c r="C333" i="6"/>
  <c r="B333" i="6"/>
  <c r="E332" i="6"/>
  <c r="D332" i="6"/>
  <c r="C332" i="6"/>
  <c r="B332" i="6"/>
  <c r="E331" i="6"/>
  <c r="D331" i="6"/>
  <c r="C331" i="6"/>
  <c r="B331" i="6"/>
  <c r="E330" i="6"/>
  <c r="D330" i="6"/>
  <c r="C330" i="6"/>
  <c r="B330" i="6"/>
  <c r="E329" i="6"/>
  <c r="D329" i="6"/>
  <c r="C329" i="6"/>
  <c r="B329" i="6"/>
  <c r="E328" i="6"/>
  <c r="D328" i="6"/>
  <c r="C328" i="6"/>
  <c r="B328" i="6"/>
  <c r="E327" i="6"/>
  <c r="D327" i="6"/>
  <c r="C327" i="6"/>
  <c r="B327" i="6"/>
  <c r="E326" i="6"/>
  <c r="D326" i="6"/>
  <c r="C326" i="6"/>
  <c r="B326" i="6"/>
  <c r="E325" i="6"/>
  <c r="D325" i="6"/>
  <c r="C325" i="6"/>
  <c r="B325" i="6"/>
  <c r="E324" i="6"/>
  <c r="D324" i="6"/>
  <c r="C324" i="6"/>
  <c r="B324" i="6"/>
  <c r="E323" i="6"/>
  <c r="D323" i="6"/>
  <c r="C323" i="6"/>
  <c r="B323" i="6"/>
  <c r="E322" i="6"/>
  <c r="D322" i="6"/>
  <c r="C322" i="6"/>
  <c r="B322" i="6"/>
  <c r="E321" i="6"/>
  <c r="D321" i="6"/>
  <c r="C321" i="6"/>
  <c r="B321" i="6"/>
  <c r="E320" i="6"/>
  <c r="D320" i="6"/>
  <c r="C320" i="6"/>
  <c r="B320" i="6"/>
  <c r="E319" i="6"/>
  <c r="D319" i="6"/>
  <c r="C319" i="6"/>
  <c r="B319" i="6"/>
  <c r="E318" i="6"/>
  <c r="D318" i="6"/>
  <c r="C318" i="6"/>
  <c r="B318" i="6"/>
  <c r="E317" i="6"/>
  <c r="D317" i="6"/>
  <c r="C317" i="6"/>
  <c r="B317" i="6"/>
  <c r="E316" i="6"/>
  <c r="D316" i="6"/>
  <c r="C316" i="6"/>
  <c r="B316" i="6"/>
  <c r="E315" i="6"/>
  <c r="D315" i="6"/>
  <c r="C315" i="6"/>
  <c r="B315" i="6"/>
  <c r="E314" i="6"/>
  <c r="D314" i="6"/>
  <c r="C314" i="6"/>
  <c r="B314" i="6"/>
  <c r="E313" i="6"/>
  <c r="D313" i="6"/>
  <c r="C313" i="6"/>
  <c r="B313" i="6"/>
  <c r="E312" i="6"/>
  <c r="D312" i="6"/>
  <c r="C312" i="6"/>
  <c r="B312" i="6"/>
  <c r="E311" i="6"/>
  <c r="D311" i="6"/>
  <c r="C311" i="6"/>
  <c r="B311" i="6"/>
  <c r="E310" i="6"/>
  <c r="D310" i="6"/>
  <c r="C310" i="6"/>
  <c r="B310" i="6"/>
  <c r="E309" i="6"/>
  <c r="D309" i="6"/>
  <c r="C309" i="6"/>
  <c r="B309" i="6"/>
  <c r="E308" i="6"/>
  <c r="D308" i="6"/>
  <c r="C308" i="6"/>
  <c r="B308" i="6"/>
  <c r="E307" i="6"/>
  <c r="D307" i="6"/>
  <c r="C307" i="6"/>
  <c r="B307" i="6"/>
  <c r="E306" i="6"/>
  <c r="D306" i="6"/>
  <c r="C306" i="6"/>
  <c r="B306" i="6"/>
  <c r="E305" i="6"/>
  <c r="D305" i="6"/>
  <c r="C305" i="6"/>
  <c r="B305" i="6"/>
  <c r="E304" i="6"/>
  <c r="D304" i="6"/>
  <c r="C304" i="6"/>
  <c r="B304" i="6"/>
  <c r="E303" i="6"/>
  <c r="D303" i="6"/>
  <c r="C303" i="6"/>
  <c r="B303" i="6"/>
  <c r="E302" i="6"/>
  <c r="D302" i="6"/>
  <c r="C302" i="6"/>
  <c r="B302" i="6"/>
  <c r="E301" i="6"/>
  <c r="D301" i="6"/>
  <c r="C301" i="6"/>
  <c r="B301" i="6"/>
  <c r="E300" i="6"/>
  <c r="D300" i="6"/>
  <c r="C300" i="6"/>
  <c r="B300" i="6"/>
  <c r="E299" i="6"/>
  <c r="D299" i="6"/>
  <c r="C299" i="6"/>
  <c r="B299" i="6"/>
  <c r="E298" i="6"/>
  <c r="D298" i="6"/>
  <c r="C298" i="6"/>
  <c r="B298" i="6"/>
  <c r="E297" i="6"/>
  <c r="D297" i="6"/>
  <c r="C297" i="6"/>
  <c r="B297" i="6"/>
  <c r="E296" i="6"/>
  <c r="D296" i="6"/>
  <c r="C296" i="6"/>
  <c r="B296" i="6"/>
  <c r="E295" i="6"/>
  <c r="D295" i="6"/>
  <c r="C295" i="6"/>
  <c r="B295" i="6"/>
  <c r="E294" i="6"/>
  <c r="D294" i="6"/>
  <c r="C294" i="6"/>
  <c r="B294" i="6"/>
  <c r="E293" i="6"/>
  <c r="D293" i="6"/>
  <c r="C293" i="6"/>
  <c r="B293" i="6"/>
  <c r="E292" i="6"/>
  <c r="D292" i="6"/>
  <c r="C292" i="6"/>
  <c r="B292" i="6"/>
  <c r="E291" i="6"/>
  <c r="D291" i="6"/>
  <c r="C291" i="6"/>
  <c r="B291" i="6"/>
  <c r="E290" i="6"/>
  <c r="D290" i="6"/>
  <c r="C290" i="6"/>
  <c r="B290" i="6"/>
  <c r="E289" i="6"/>
  <c r="D289" i="6"/>
  <c r="C289" i="6"/>
  <c r="B289" i="6"/>
  <c r="E288" i="6"/>
  <c r="D288" i="6"/>
  <c r="C288" i="6"/>
  <c r="B288" i="6"/>
  <c r="E287" i="6"/>
  <c r="D287" i="6"/>
  <c r="C287" i="6"/>
  <c r="B287" i="6"/>
  <c r="E286" i="6"/>
  <c r="D286" i="6"/>
  <c r="C286" i="6"/>
  <c r="B286" i="6"/>
  <c r="E285" i="6"/>
  <c r="D285" i="6"/>
  <c r="C285" i="6"/>
  <c r="B285" i="6"/>
  <c r="E284" i="6"/>
  <c r="D284" i="6"/>
  <c r="C284" i="6"/>
  <c r="B284" i="6"/>
  <c r="E283" i="6"/>
  <c r="D283" i="6"/>
  <c r="C283" i="6"/>
  <c r="B283" i="6"/>
  <c r="E282" i="6"/>
  <c r="D282" i="6"/>
  <c r="C282" i="6"/>
  <c r="B282" i="6"/>
  <c r="E281" i="6"/>
  <c r="D281" i="6"/>
  <c r="C281" i="6"/>
  <c r="B281" i="6"/>
  <c r="E280" i="6"/>
  <c r="D280" i="6"/>
  <c r="C280" i="6"/>
  <c r="B280" i="6"/>
  <c r="E279" i="6"/>
  <c r="D279" i="6"/>
  <c r="C279" i="6"/>
  <c r="B279" i="6"/>
  <c r="E278" i="6"/>
  <c r="D278" i="6"/>
  <c r="C278" i="6"/>
  <c r="B278" i="6"/>
  <c r="E277" i="6"/>
  <c r="D277" i="6"/>
  <c r="C277" i="6"/>
  <c r="B277" i="6"/>
  <c r="E276" i="6"/>
  <c r="D276" i="6"/>
  <c r="C276" i="6"/>
  <c r="B276" i="6"/>
  <c r="E275" i="6"/>
  <c r="D275" i="6"/>
  <c r="C275" i="6"/>
  <c r="B275" i="6"/>
  <c r="E274" i="6"/>
  <c r="D274" i="6"/>
  <c r="C274" i="6"/>
  <c r="B274" i="6"/>
  <c r="E273" i="6"/>
  <c r="D273" i="6"/>
  <c r="C273" i="6"/>
  <c r="B273" i="6"/>
  <c r="E272" i="6"/>
  <c r="D272" i="6"/>
  <c r="C272" i="6"/>
  <c r="B272" i="6"/>
  <c r="E271" i="6"/>
  <c r="D271" i="6"/>
  <c r="C271" i="6"/>
  <c r="B271" i="6"/>
  <c r="E270" i="6"/>
  <c r="D270" i="6"/>
  <c r="C270" i="6"/>
  <c r="B270" i="6"/>
  <c r="E269" i="6"/>
  <c r="D269" i="6"/>
  <c r="C269" i="6"/>
  <c r="B269" i="6"/>
  <c r="E268" i="6"/>
  <c r="D268" i="6"/>
  <c r="C268" i="6"/>
  <c r="B268" i="6"/>
  <c r="E267" i="6"/>
  <c r="D267" i="6"/>
  <c r="C267" i="6"/>
  <c r="B267" i="6"/>
  <c r="E266" i="6"/>
  <c r="D266" i="6"/>
  <c r="C266" i="6"/>
  <c r="B266" i="6"/>
  <c r="E265" i="6"/>
  <c r="D265" i="6"/>
  <c r="C265" i="6"/>
  <c r="B265" i="6"/>
  <c r="E264" i="6"/>
  <c r="D264" i="6"/>
  <c r="C264" i="6"/>
  <c r="B264" i="6"/>
  <c r="E263" i="6"/>
  <c r="D263" i="6"/>
  <c r="C263" i="6"/>
  <c r="B263" i="6"/>
  <c r="E262" i="6"/>
  <c r="D262" i="6"/>
  <c r="C262" i="6"/>
  <c r="B262" i="6"/>
  <c r="E261" i="6"/>
  <c r="D261" i="6"/>
  <c r="C261" i="6"/>
  <c r="B261" i="6"/>
  <c r="E260" i="6"/>
  <c r="D260" i="6"/>
  <c r="C260" i="6"/>
  <c r="B260" i="6"/>
  <c r="E259" i="6"/>
  <c r="D259" i="6"/>
  <c r="C259" i="6"/>
  <c r="B259" i="6"/>
  <c r="E258" i="6"/>
  <c r="D258" i="6"/>
  <c r="C258" i="6"/>
  <c r="B258" i="6"/>
  <c r="E257" i="6"/>
  <c r="D257" i="6"/>
  <c r="C257" i="6"/>
  <c r="B257" i="6"/>
  <c r="E256" i="6"/>
  <c r="D256" i="6"/>
  <c r="C256" i="6"/>
  <c r="B256" i="6"/>
  <c r="E255" i="6"/>
  <c r="D255" i="6"/>
  <c r="C255" i="6"/>
  <c r="B255" i="6"/>
  <c r="E254" i="6"/>
  <c r="D254" i="6"/>
  <c r="C254" i="6"/>
  <c r="B254" i="6"/>
  <c r="E253" i="6"/>
  <c r="D253" i="6"/>
  <c r="C253" i="6"/>
  <c r="B253" i="6"/>
  <c r="E252" i="6"/>
  <c r="D252" i="6"/>
  <c r="C252" i="6"/>
  <c r="B252" i="6"/>
  <c r="E251" i="6"/>
  <c r="D251" i="6"/>
  <c r="C251" i="6"/>
  <c r="B251" i="6"/>
  <c r="E250" i="6"/>
  <c r="D250" i="6"/>
  <c r="C250" i="6"/>
  <c r="B250" i="6"/>
  <c r="E249" i="6"/>
  <c r="D249" i="6"/>
  <c r="C249" i="6"/>
  <c r="B249" i="6"/>
  <c r="E248" i="6"/>
  <c r="D248" i="6"/>
  <c r="C248" i="6"/>
  <c r="B248" i="6"/>
  <c r="E247" i="6"/>
  <c r="D247" i="6"/>
  <c r="C247" i="6"/>
  <c r="B247" i="6"/>
  <c r="E246" i="6"/>
  <c r="D246" i="6"/>
  <c r="C246" i="6"/>
  <c r="B246" i="6"/>
  <c r="E245" i="6"/>
  <c r="D245" i="6"/>
  <c r="C245" i="6"/>
  <c r="B245" i="6"/>
  <c r="E244" i="6"/>
  <c r="D244" i="6"/>
  <c r="C244" i="6"/>
  <c r="B244" i="6"/>
  <c r="E243" i="6"/>
  <c r="D243" i="6"/>
  <c r="C243" i="6"/>
  <c r="B243" i="6"/>
  <c r="E242" i="6"/>
  <c r="D242" i="6"/>
  <c r="C242" i="6"/>
  <c r="B242" i="6"/>
  <c r="E241" i="6"/>
  <c r="D241" i="6"/>
  <c r="C241" i="6"/>
  <c r="B241" i="6"/>
  <c r="E240" i="6"/>
  <c r="D240" i="6"/>
  <c r="C240" i="6"/>
  <c r="B240" i="6"/>
  <c r="E239" i="6"/>
  <c r="D239" i="6"/>
  <c r="C239" i="6"/>
  <c r="B239" i="6"/>
  <c r="E238" i="6"/>
  <c r="D238" i="6"/>
  <c r="C238" i="6"/>
  <c r="B238" i="6"/>
  <c r="E237" i="6"/>
  <c r="D237" i="6"/>
  <c r="C237" i="6"/>
  <c r="B237" i="6"/>
  <c r="E236" i="6"/>
  <c r="D236" i="6"/>
  <c r="C236" i="6"/>
  <c r="B236" i="6"/>
  <c r="E235" i="6"/>
  <c r="D235" i="6"/>
  <c r="C235" i="6"/>
  <c r="B235" i="6"/>
  <c r="E234" i="6"/>
  <c r="D234" i="6"/>
  <c r="C234" i="6"/>
  <c r="B234" i="6"/>
  <c r="E233" i="6"/>
  <c r="D233" i="6"/>
  <c r="C233" i="6"/>
  <c r="B233" i="6"/>
  <c r="E232" i="6"/>
  <c r="D232" i="6"/>
  <c r="C232" i="6"/>
  <c r="B232" i="6"/>
  <c r="E231" i="6"/>
  <c r="D231" i="6"/>
  <c r="C231" i="6"/>
  <c r="B231" i="6"/>
  <c r="E230" i="6"/>
  <c r="D230" i="6"/>
  <c r="C230" i="6"/>
  <c r="B230" i="6"/>
  <c r="E229" i="6"/>
  <c r="D229" i="6"/>
  <c r="C229" i="6"/>
  <c r="B229" i="6"/>
  <c r="E228" i="6"/>
  <c r="D228" i="6"/>
  <c r="C228" i="6"/>
  <c r="B228" i="6"/>
  <c r="E227" i="6"/>
  <c r="D227" i="6"/>
  <c r="C227" i="6"/>
  <c r="B227" i="6"/>
  <c r="E226" i="6"/>
  <c r="D226" i="6"/>
  <c r="C226" i="6"/>
  <c r="B226" i="6"/>
  <c r="E225" i="6"/>
  <c r="D225" i="6"/>
  <c r="C225" i="6"/>
  <c r="B225" i="6"/>
  <c r="E224" i="6"/>
  <c r="D224" i="6"/>
  <c r="C224" i="6"/>
  <c r="B224" i="6"/>
  <c r="E223" i="6"/>
  <c r="D223" i="6"/>
  <c r="C223" i="6"/>
  <c r="B223" i="6"/>
  <c r="E222" i="6"/>
  <c r="D222" i="6"/>
  <c r="C222" i="6"/>
  <c r="B222" i="6"/>
  <c r="E221" i="6"/>
  <c r="D221" i="6"/>
  <c r="C221" i="6"/>
  <c r="B221" i="6"/>
  <c r="E220" i="6"/>
  <c r="D220" i="6"/>
  <c r="C220" i="6"/>
  <c r="B220" i="6"/>
  <c r="E219" i="6"/>
  <c r="D219" i="6"/>
  <c r="C219" i="6"/>
  <c r="B219" i="6"/>
  <c r="E218" i="6"/>
  <c r="D218" i="6"/>
  <c r="C218" i="6"/>
  <c r="B218" i="6"/>
  <c r="E217" i="6"/>
  <c r="D217" i="6"/>
  <c r="C217" i="6"/>
  <c r="B217" i="6"/>
  <c r="E216" i="6"/>
  <c r="D216" i="6"/>
  <c r="C216" i="6"/>
  <c r="B216" i="6"/>
  <c r="E215" i="6"/>
  <c r="D215" i="6"/>
  <c r="C215" i="6"/>
  <c r="B215" i="6"/>
  <c r="E214" i="6"/>
  <c r="D214" i="6"/>
  <c r="C214" i="6"/>
  <c r="B214" i="6"/>
  <c r="E213" i="6"/>
  <c r="D213" i="6"/>
  <c r="C213" i="6"/>
  <c r="B213" i="6"/>
  <c r="E212" i="6"/>
  <c r="D212" i="6"/>
  <c r="C212" i="6"/>
  <c r="B212" i="6"/>
  <c r="E211" i="6"/>
  <c r="D211" i="6"/>
  <c r="C211" i="6"/>
  <c r="B211" i="6"/>
  <c r="E210" i="6"/>
  <c r="D210" i="6"/>
  <c r="C210" i="6"/>
  <c r="B210" i="6"/>
  <c r="E209" i="6"/>
  <c r="D209" i="6"/>
  <c r="C209" i="6"/>
  <c r="B209" i="6"/>
  <c r="E208" i="6"/>
  <c r="D208" i="6"/>
  <c r="C208" i="6"/>
  <c r="B208" i="6"/>
  <c r="E207" i="6"/>
  <c r="D207" i="6"/>
  <c r="C207" i="6"/>
  <c r="B207" i="6"/>
  <c r="E206" i="6"/>
  <c r="D206" i="6"/>
  <c r="C206" i="6"/>
  <c r="B206" i="6"/>
  <c r="E205" i="6"/>
  <c r="D205" i="6"/>
  <c r="C205" i="6"/>
  <c r="B205" i="6"/>
  <c r="E204" i="6"/>
  <c r="D204" i="6"/>
  <c r="C204" i="6"/>
  <c r="B204" i="6"/>
  <c r="E203" i="6"/>
  <c r="D203" i="6"/>
  <c r="C203" i="6"/>
  <c r="B203" i="6"/>
  <c r="E202" i="6"/>
  <c r="D202" i="6"/>
  <c r="C202" i="6"/>
  <c r="B202" i="6"/>
  <c r="E201" i="6"/>
  <c r="D201" i="6"/>
  <c r="C201" i="6"/>
  <c r="B201" i="6"/>
  <c r="E200" i="6"/>
  <c r="D200" i="6"/>
  <c r="C200" i="6"/>
  <c r="B200" i="6"/>
  <c r="E199" i="6"/>
  <c r="D199" i="6"/>
  <c r="C199" i="6"/>
  <c r="B199" i="6"/>
  <c r="E198" i="6"/>
  <c r="D198" i="6"/>
  <c r="C198" i="6"/>
  <c r="B198" i="6"/>
  <c r="E197" i="6"/>
  <c r="D197" i="6"/>
  <c r="C197" i="6"/>
  <c r="B197" i="6"/>
  <c r="E196" i="6"/>
  <c r="D196" i="6"/>
  <c r="C196" i="6"/>
  <c r="B196" i="6"/>
  <c r="E195" i="6"/>
  <c r="D195" i="6"/>
  <c r="C195" i="6"/>
  <c r="B195" i="6"/>
  <c r="E194" i="6"/>
  <c r="D194" i="6"/>
  <c r="C194" i="6"/>
  <c r="B194" i="6"/>
  <c r="E193" i="6"/>
  <c r="D193" i="6"/>
  <c r="C193" i="6"/>
  <c r="B193" i="6"/>
  <c r="E192" i="6"/>
  <c r="D192" i="6"/>
  <c r="C192" i="6"/>
  <c r="B192" i="6"/>
  <c r="E191" i="6"/>
  <c r="D191" i="6"/>
  <c r="C191" i="6"/>
  <c r="B191" i="6"/>
  <c r="E190" i="6"/>
  <c r="D190" i="6"/>
  <c r="C190" i="6"/>
  <c r="B190" i="6"/>
  <c r="E189" i="6"/>
  <c r="D189" i="6"/>
  <c r="C189" i="6"/>
  <c r="B189" i="6"/>
  <c r="E188" i="6"/>
  <c r="D188" i="6"/>
  <c r="C188" i="6"/>
  <c r="B188" i="6"/>
  <c r="E187" i="6"/>
  <c r="D187" i="6"/>
  <c r="C187" i="6"/>
  <c r="B187" i="6"/>
  <c r="E186" i="6"/>
  <c r="D186" i="6"/>
  <c r="C186" i="6"/>
  <c r="B186" i="6"/>
  <c r="E185" i="6"/>
  <c r="D185" i="6"/>
  <c r="C185" i="6"/>
  <c r="B185" i="6"/>
  <c r="E184" i="6"/>
  <c r="D184" i="6"/>
  <c r="C184" i="6"/>
  <c r="B184" i="6"/>
  <c r="E183" i="6"/>
  <c r="D183" i="6"/>
  <c r="C183" i="6"/>
  <c r="B183" i="6"/>
  <c r="E182" i="6"/>
  <c r="D182" i="6"/>
  <c r="C182" i="6"/>
  <c r="B182" i="6"/>
  <c r="E181" i="6"/>
  <c r="D181" i="6"/>
  <c r="C181" i="6"/>
  <c r="B181" i="6"/>
  <c r="E180" i="6"/>
  <c r="D180" i="6"/>
  <c r="C180" i="6"/>
  <c r="B180" i="6"/>
  <c r="E179" i="6"/>
  <c r="D179" i="6"/>
  <c r="C179" i="6"/>
  <c r="B179" i="6"/>
  <c r="E178" i="6"/>
  <c r="D178" i="6"/>
  <c r="C178" i="6"/>
  <c r="B178" i="6"/>
  <c r="E177" i="6"/>
  <c r="D177" i="6"/>
  <c r="C177" i="6"/>
  <c r="B177" i="6"/>
  <c r="E176" i="6"/>
  <c r="D176" i="6"/>
  <c r="C176" i="6"/>
  <c r="B176" i="6"/>
  <c r="E175" i="6"/>
  <c r="D175" i="6"/>
  <c r="C175" i="6"/>
  <c r="B175" i="6"/>
  <c r="E174" i="6"/>
  <c r="D174" i="6"/>
  <c r="C174" i="6"/>
  <c r="B174" i="6"/>
  <c r="E173" i="6"/>
  <c r="D173" i="6"/>
  <c r="C173" i="6"/>
  <c r="B173" i="6"/>
  <c r="E172" i="6"/>
  <c r="D172" i="6"/>
  <c r="C172" i="6"/>
  <c r="B172" i="6"/>
  <c r="E171" i="6"/>
  <c r="D171" i="6"/>
  <c r="C171" i="6"/>
  <c r="B171" i="6"/>
  <c r="E170" i="6"/>
  <c r="D170" i="6"/>
  <c r="C170" i="6"/>
  <c r="B170" i="6"/>
  <c r="E169" i="6"/>
  <c r="D169" i="6"/>
  <c r="C169" i="6"/>
  <c r="B169" i="6"/>
  <c r="E168" i="6"/>
  <c r="D168" i="6"/>
  <c r="C168" i="6"/>
  <c r="B168" i="6"/>
  <c r="E167" i="6"/>
  <c r="D167" i="6"/>
  <c r="C167" i="6"/>
  <c r="B167" i="6"/>
  <c r="E166" i="6"/>
  <c r="D166" i="6"/>
  <c r="C166" i="6"/>
  <c r="B166" i="6"/>
  <c r="E165" i="6"/>
  <c r="D165" i="6"/>
  <c r="C165" i="6"/>
  <c r="B165" i="6"/>
  <c r="E164" i="6"/>
  <c r="D164" i="6"/>
  <c r="C164" i="6"/>
  <c r="B164" i="6"/>
  <c r="E163" i="6"/>
  <c r="D163" i="6"/>
  <c r="C163" i="6"/>
  <c r="B163" i="6"/>
  <c r="E162" i="6"/>
  <c r="D162" i="6"/>
  <c r="C162" i="6"/>
  <c r="B162" i="6"/>
  <c r="E161" i="6"/>
  <c r="D161" i="6"/>
  <c r="C161" i="6"/>
  <c r="B161" i="6"/>
  <c r="E160" i="6"/>
  <c r="D160" i="6"/>
  <c r="C160" i="6"/>
  <c r="B160" i="6"/>
  <c r="E159" i="6"/>
  <c r="D159" i="6"/>
  <c r="C159" i="6"/>
  <c r="B159" i="6"/>
  <c r="E158" i="6"/>
  <c r="D158" i="6"/>
  <c r="C158" i="6"/>
  <c r="B158" i="6"/>
  <c r="E157" i="6"/>
  <c r="D157" i="6"/>
  <c r="C157" i="6"/>
  <c r="B157" i="6"/>
  <c r="E156" i="6"/>
  <c r="D156" i="6"/>
  <c r="C156" i="6"/>
  <c r="B156" i="6"/>
  <c r="E155" i="6"/>
  <c r="D155" i="6"/>
  <c r="C155" i="6"/>
  <c r="B155" i="6"/>
  <c r="E154" i="6"/>
  <c r="D154" i="6"/>
  <c r="C154" i="6"/>
  <c r="B154" i="6"/>
  <c r="E153" i="6"/>
  <c r="D153" i="6"/>
  <c r="C153" i="6"/>
  <c r="B153" i="6"/>
  <c r="E152" i="6"/>
  <c r="D152" i="6"/>
  <c r="C152" i="6"/>
  <c r="B152" i="6"/>
  <c r="E151" i="6"/>
  <c r="D151" i="6"/>
  <c r="C151" i="6"/>
  <c r="B151" i="6"/>
  <c r="E150" i="6"/>
  <c r="D150" i="6"/>
  <c r="C150" i="6"/>
  <c r="B150" i="6"/>
  <c r="E149" i="6"/>
  <c r="D149" i="6"/>
  <c r="C149" i="6"/>
  <c r="B149" i="6"/>
  <c r="E148" i="6"/>
  <c r="D148" i="6"/>
  <c r="C148" i="6"/>
  <c r="B148" i="6"/>
  <c r="E147" i="6"/>
  <c r="D147" i="6"/>
  <c r="C147" i="6"/>
  <c r="B147" i="6"/>
  <c r="E146" i="6"/>
  <c r="D146" i="6"/>
  <c r="C146" i="6"/>
  <c r="B146" i="6"/>
  <c r="E145" i="6"/>
  <c r="D145" i="6"/>
  <c r="C145" i="6"/>
  <c r="B145" i="6"/>
  <c r="E144" i="6"/>
  <c r="D144" i="6"/>
  <c r="C144" i="6"/>
  <c r="B144" i="6"/>
  <c r="E143" i="6"/>
  <c r="D143" i="6"/>
  <c r="C143" i="6"/>
  <c r="B143" i="6"/>
  <c r="E142" i="6"/>
  <c r="D142" i="6"/>
  <c r="C142" i="6"/>
  <c r="B142" i="6"/>
  <c r="E141" i="6"/>
  <c r="D141" i="6"/>
  <c r="C141" i="6"/>
  <c r="B141" i="6"/>
  <c r="E140" i="6"/>
  <c r="D140" i="6"/>
  <c r="C140" i="6"/>
  <c r="B140" i="6"/>
  <c r="E139" i="6"/>
  <c r="D139" i="6"/>
  <c r="C139" i="6"/>
  <c r="B139" i="6"/>
  <c r="E138" i="6"/>
  <c r="D138" i="6"/>
  <c r="C138" i="6"/>
  <c r="B138" i="6"/>
  <c r="E137" i="6"/>
  <c r="D137" i="6"/>
  <c r="C137" i="6"/>
  <c r="B137" i="6"/>
  <c r="E136" i="6"/>
  <c r="D136" i="6"/>
  <c r="C136" i="6"/>
  <c r="B136" i="6"/>
  <c r="E135" i="6"/>
  <c r="D135" i="6"/>
  <c r="C135" i="6"/>
  <c r="B135" i="6"/>
  <c r="E134" i="6"/>
  <c r="D134" i="6"/>
  <c r="C134" i="6"/>
  <c r="B134" i="6"/>
  <c r="E133" i="6"/>
  <c r="D133" i="6"/>
  <c r="C133" i="6"/>
  <c r="B133" i="6"/>
  <c r="E132" i="6"/>
  <c r="D132" i="6"/>
  <c r="C132" i="6"/>
  <c r="B132" i="6"/>
  <c r="E131" i="6"/>
  <c r="D131" i="6"/>
  <c r="C131" i="6"/>
  <c r="B131" i="6"/>
  <c r="E130" i="6"/>
  <c r="D130" i="6"/>
  <c r="C130" i="6"/>
  <c r="B130" i="6"/>
  <c r="E129" i="6"/>
  <c r="D129" i="6"/>
  <c r="C129" i="6"/>
  <c r="B129" i="6"/>
  <c r="E128" i="6"/>
  <c r="D128" i="6"/>
  <c r="C128" i="6"/>
  <c r="B128" i="6"/>
  <c r="E127" i="6"/>
  <c r="D127" i="6"/>
  <c r="C127" i="6"/>
  <c r="B127" i="6"/>
  <c r="E126" i="6"/>
  <c r="D126" i="6"/>
  <c r="C126" i="6"/>
  <c r="B126" i="6"/>
  <c r="E125" i="6"/>
  <c r="D125" i="6"/>
  <c r="C125" i="6"/>
  <c r="B125" i="6"/>
  <c r="E124" i="6"/>
  <c r="D124" i="6"/>
  <c r="C124" i="6"/>
  <c r="B124" i="6"/>
  <c r="E123" i="6"/>
  <c r="D123" i="6"/>
  <c r="C123" i="6"/>
  <c r="B123" i="6"/>
  <c r="E122" i="6"/>
  <c r="D122" i="6"/>
  <c r="C122" i="6"/>
  <c r="B122" i="6"/>
  <c r="E121" i="6"/>
  <c r="D121" i="6"/>
  <c r="C121" i="6"/>
  <c r="B121" i="6"/>
  <c r="E120" i="6"/>
  <c r="D120" i="6"/>
  <c r="C120" i="6"/>
  <c r="B120" i="6"/>
  <c r="E119" i="6"/>
  <c r="D119" i="6"/>
  <c r="C119" i="6"/>
  <c r="B119" i="6"/>
  <c r="E118" i="6"/>
  <c r="D118" i="6"/>
  <c r="C118" i="6"/>
  <c r="B118" i="6"/>
  <c r="E117" i="6"/>
  <c r="D117" i="6"/>
  <c r="C117" i="6"/>
  <c r="B117" i="6"/>
  <c r="E116" i="6"/>
  <c r="D116" i="6"/>
  <c r="C116" i="6"/>
  <c r="B116" i="6"/>
  <c r="E115" i="6"/>
  <c r="D115" i="6"/>
  <c r="C115" i="6"/>
  <c r="B115" i="6"/>
  <c r="E114" i="6"/>
  <c r="D114" i="6"/>
  <c r="C114" i="6"/>
  <c r="B114" i="6"/>
  <c r="E113" i="6"/>
  <c r="D113" i="6"/>
  <c r="C113" i="6"/>
  <c r="B113" i="6"/>
  <c r="E112" i="6"/>
  <c r="D112" i="6"/>
  <c r="C112" i="6"/>
  <c r="B112" i="6"/>
  <c r="E111" i="6"/>
  <c r="D111" i="6"/>
  <c r="C111" i="6"/>
  <c r="B111" i="6"/>
  <c r="E110" i="6"/>
  <c r="D110" i="6"/>
  <c r="C110" i="6"/>
  <c r="B110" i="6"/>
  <c r="E109" i="6"/>
  <c r="D109" i="6"/>
  <c r="C109" i="6"/>
  <c r="B109" i="6"/>
  <c r="E108" i="6"/>
  <c r="D108" i="6"/>
  <c r="C108" i="6"/>
  <c r="B108" i="6"/>
  <c r="E107" i="6"/>
  <c r="D107" i="6"/>
  <c r="C107" i="6"/>
  <c r="B107" i="6"/>
  <c r="E106" i="6"/>
  <c r="D106" i="6"/>
  <c r="C106" i="6"/>
  <c r="B106" i="6"/>
  <c r="E105" i="6"/>
  <c r="D105" i="6"/>
  <c r="C105" i="6"/>
  <c r="B105" i="6"/>
  <c r="E104" i="6"/>
  <c r="D104" i="6"/>
  <c r="C104" i="6"/>
  <c r="B104" i="6"/>
  <c r="E103" i="6"/>
  <c r="D103" i="6"/>
  <c r="C103" i="6"/>
  <c r="B103" i="6"/>
  <c r="E102" i="6"/>
  <c r="D102" i="6"/>
  <c r="C102" i="6"/>
  <c r="B102" i="6"/>
  <c r="E101" i="6"/>
  <c r="D101" i="6"/>
  <c r="C101" i="6"/>
  <c r="B101" i="6"/>
  <c r="E100" i="6"/>
  <c r="D100" i="6"/>
  <c r="C100" i="6"/>
  <c r="B100" i="6"/>
  <c r="E99" i="6"/>
  <c r="D99" i="6"/>
  <c r="C99" i="6"/>
  <c r="B99" i="6"/>
  <c r="E98" i="6"/>
  <c r="D98" i="6"/>
  <c r="C98" i="6"/>
  <c r="B98" i="6"/>
  <c r="E97" i="6"/>
  <c r="D97" i="6"/>
  <c r="C97" i="6"/>
  <c r="B97" i="6"/>
  <c r="E96" i="6"/>
  <c r="D96" i="6"/>
  <c r="C96" i="6"/>
  <c r="B96" i="6"/>
  <c r="E95" i="6"/>
  <c r="D95" i="6"/>
  <c r="C95" i="6"/>
  <c r="B95" i="6"/>
  <c r="E94" i="6"/>
  <c r="D94" i="6"/>
  <c r="C94" i="6"/>
  <c r="B94" i="6"/>
  <c r="E93" i="6"/>
  <c r="D93" i="6"/>
  <c r="C93" i="6"/>
  <c r="B93" i="6"/>
  <c r="E92" i="6"/>
  <c r="D92" i="6"/>
  <c r="C92" i="6"/>
  <c r="B92" i="6"/>
  <c r="E91" i="6"/>
  <c r="D91" i="6"/>
  <c r="C91" i="6"/>
  <c r="B91" i="6"/>
  <c r="E90" i="6"/>
  <c r="D90" i="6"/>
  <c r="C90" i="6"/>
  <c r="B90" i="6"/>
  <c r="E89" i="6"/>
  <c r="D89" i="6"/>
  <c r="C89" i="6"/>
  <c r="B89" i="6"/>
  <c r="E88" i="6"/>
  <c r="D88" i="6"/>
  <c r="C88" i="6"/>
  <c r="B88" i="6"/>
  <c r="E87" i="6"/>
  <c r="D87" i="6"/>
  <c r="C87" i="6"/>
  <c r="B87" i="6"/>
  <c r="E86" i="6"/>
  <c r="D86" i="6"/>
  <c r="C86" i="6"/>
  <c r="B86" i="6"/>
  <c r="E85" i="6"/>
  <c r="D85" i="6"/>
  <c r="C85" i="6"/>
  <c r="B85" i="6"/>
  <c r="E84" i="6"/>
  <c r="D84" i="6"/>
  <c r="C84" i="6"/>
  <c r="B84" i="6"/>
  <c r="E83" i="6"/>
  <c r="D83" i="6"/>
  <c r="C83" i="6"/>
  <c r="B83" i="6"/>
  <c r="E82" i="6"/>
  <c r="D82" i="6"/>
  <c r="C82" i="6"/>
  <c r="B82" i="6"/>
  <c r="E81" i="6"/>
  <c r="D81" i="6"/>
  <c r="C81" i="6"/>
  <c r="B81" i="6"/>
  <c r="E80" i="6"/>
  <c r="D80" i="6"/>
  <c r="C80" i="6"/>
  <c r="B80" i="6"/>
  <c r="E79" i="6"/>
  <c r="D79" i="6"/>
  <c r="C79" i="6"/>
  <c r="B79" i="6"/>
  <c r="E78" i="6"/>
  <c r="D78" i="6"/>
  <c r="C78" i="6"/>
  <c r="B78" i="6"/>
  <c r="E77" i="6"/>
  <c r="D77" i="6"/>
  <c r="C77" i="6"/>
  <c r="B77" i="6"/>
  <c r="E76" i="6"/>
  <c r="D76" i="6"/>
  <c r="C76" i="6"/>
  <c r="B76" i="6"/>
  <c r="E75" i="6"/>
  <c r="D75" i="6"/>
  <c r="C75" i="6"/>
  <c r="B75" i="6"/>
  <c r="E74" i="6"/>
  <c r="D74" i="6"/>
  <c r="C74" i="6"/>
  <c r="B74" i="6"/>
  <c r="E73" i="6"/>
  <c r="D73" i="6"/>
  <c r="C73" i="6"/>
  <c r="B73" i="6"/>
  <c r="E72" i="6"/>
  <c r="D72" i="6"/>
  <c r="C72" i="6"/>
  <c r="B72" i="6"/>
  <c r="E71" i="6"/>
  <c r="D71" i="6"/>
  <c r="C71" i="6"/>
  <c r="B71" i="6"/>
  <c r="E70" i="6"/>
  <c r="D70" i="6"/>
  <c r="C70" i="6"/>
  <c r="B70" i="6"/>
  <c r="E69" i="6"/>
  <c r="D69" i="6"/>
  <c r="C69" i="6"/>
  <c r="B69" i="6"/>
  <c r="E68" i="6"/>
  <c r="D68" i="6"/>
  <c r="C68" i="6"/>
  <c r="B68" i="6"/>
  <c r="E67" i="6"/>
  <c r="D67" i="6"/>
  <c r="C67" i="6"/>
  <c r="B67" i="6"/>
  <c r="E66" i="6"/>
  <c r="D66" i="6"/>
  <c r="C66" i="6"/>
  <c r="B66" i="6"/>
  <c r="E65" i="6"/>
  <c r="D65" i="6"/>
  <c r="C65" i="6"/>
  <c r="B65" i="6"/>
  <c r="E64" i="6"/>
  <c r="D64" i="6"/>
  <c r="C64" i="6"/>
  <c r="B64" i="6"/>
  <c r="E63" i="6"/>
  <c r="D63" i="6"/>
  <c r="C63" i="6"/>
  <c r="B63" i="6"/>
  <c r="E62" i="6"/>
  <c r="D62" i="6"/>
  <c r="C62" i="6"/>
  <c r="B62" i="6"/>
  <c r="E61" i="6"/>
  <c r="D61" i="6"/>
  <c r="C61" i="6"/>
  <c r="B61" i="6"/>
  <c r="E60" i="6"/>
  <c r="D60" i="6"/>
  <c r="C60" i="6"/>
  <c r="B60" i="6"/>
  <c r="E59" i="6"/>
  <c r="D59" i="6"/>
  <c r="C59" i="6"/>
  <c r="B59" i="6"/>
  <c r="E58" i="6"/>
  <c r="D58" i="6"/>
  <c r="C58" i="6"/>
  <c r="B58" i="6"/>
  <c r="E57" i="6"/>
  <c r="D57" i="6"/>
  <c r="C57" i="6"/>
  <c r="B57" i="6"/>
  <c r="E56" i="6"/>
  <c r="D56" i="6"/>
  <c r="C56" i="6"/>
  <c r="B56" i="6"/>
  <c r="E55" i="6"/>
  <c r="D55" i="6"/>
  <c r="C55" i="6"/>
  <c r="B55" i="6"/>
  <c r="E54" i="6"/>
  <c r="D54" i="6"/>
  <c r="C54" i="6"/>
  <c r="B54" i="6"/>
  <c r="E53" i="6"/>
  <c r="D53" i="6"/>
  <c r="C53" i="6"/>
  <c r="B53" i="6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220" i="5"/>
  <c r="D220" i="5"/>
  <c r="C220" i="5"/>
  <c r="B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E216" i="5"/>
  <c r="D216" i="5"/>
  <c r="C216" i="5"/>
  <c r="B216" i="5"/>
  <c r="E215" i="5"/>
  <c r="D215" i="5"/>
  <c r="C215" i="5"/>
  <c r="B215" i="5"/>
  <c r="E214" i="5"/>
  <c r="D214" i="5"/>
  <c r="C214" i="5"/>
  <c r="B214" i="5"/>
  <c r="E213" i="5"/>
  <c r="D213" i="5"/>
  <c r="C213" i="5"/>
  <c r="B213" i="5"/>
  <c r="E212" i="5"/>
  <c r="D212" i="5"/>
  <c r="C212" i="5"/>
  <c r="B212" i="5"/>
  <c r="E211" i="5"/>
  <c r="D211" i="5"/>
  <c r="C211" i="5"/>
  <c r="B211" i="5"/>
  <c r="E210" i="5"/>
  <c r="D210" i="5"/>
  <c r="C210" i="5"/>
  <c r="B210" i="5"/>
  <c r="E209" i="5"/>
  <c r="D209" i="5"/>
  <c r="C209" i="5"/>
  <c r="B209" i="5"/>
  <c r="E208" i="5"/>
  <c r="D208" i="5"/>
  <c r="C208" i="5"/>
  <c r="B208" i="5"/>
  <c r="E207" i="5"/>
  <c r="D207" i="5"/>
  <c r="C207" i="5"/>
  <c r="B207" i="5"/>
  <c r="E206" i="5"/>
  <c r="D206" i="5"/>
  <c r="C206" i="5"/>
  <c r="B206" i="5"/>
  <c r="E205" i="5"/>
  <c r="D205" i="5"/>
  <c r="C205" i="5"/>
  <c r="B205" i="5"/>
  <c r="E204" i="5"/>
  <c r="D204" i="5"/>
  <c r="C204" i="5"/>
  <c r="B204" i="5"/>
  <c r="E203" i="5"/>
  <c r="D203" i="5"/>
  <c r="C203" i="5"/>
  <c r="B203" i="5"/>
  <c r="E202" i="5"/>
  <c r="D202" i="5"/>
  <c r="C202" i="5"/>
  <c r="B202" i="5"/>
  <c r="E201" i="5"/>
  <c r="D201" i="5"/>
  <c r="C201" i="5"/>
  <c r="B201" i="5"/>
  <c r="E200" i="5"/>
  <c r="D200" i="5"/>
  <c r="C200" i="5"/>
  <c r="B200" i="5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3" i="5"/>
  <c r="D193" i="5"/>
  <c r="C193" i="5"/>
  <c r="B193" i="5"/>
  <c r="E192" i="5"/>
  <c r="D192" i="5"/>
  <c r="C192" i="5"/>
  <c r="B192" i="5"/>
  <c r="E191" i="5"/>
  <c r="D191" i="5"/>
  <c r="C191" i="5"/>
  <c r="B191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5" i="5"/>
  <c r="D175" i="5"/>
  <c r="C175" i="5"/>
  <c r="B175" i="5"/>
  <c r="E174" i="5"/>
  <c r="D174" i="5"/>
  <c r="C174" i="5"/>
  <c r="B174" i="5"/>
  <c r="E173" i="5"/>
  <c r="D173" i="5"/>
  <c r="C173" i="5"/>
  <c r="B173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4" i="5"/>
  <c r="D154" i="5"/>
  <c r="C154" i="5"/>
  <c r="B154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031" i="4"/>
  <c r="D1031" i="4"/>
  <c r="C1031" i="4"/>
  <c r="B1031" i="4"/>
  <c r="E1030" i="4"/>
  <c r="D1030" i="4"/>
  <c r="C1030" i="4"/>
  <c r="B1030" i="4"/>
  <c r="E1029" i="4"/>
  <c r="D1029" i="4"/>
  <c r="C1029" i="4"/>
  <c r="B1029" i="4"/>
  <c r="E1028" i="4"/>
  <c r="D1028" i="4"/>
  <c r="C1028" i="4"/>
  <c r="B1028" i="4"/>
  <c r="E1027" i="4"/>
  <c r="D1027" i="4"/>
  <c r="C1027" i="4"/>
  <c r="B1027" i="4"/>
  <c r="E1026" i="4"/>
  <c r="D1026" i="4"/>
  <c r="C1026" i="4"/>
  <c r="B1026" i="4"/>
  <c r="E1025" i="4"/>
  <c r="D1025" i="4"/>
  <c r="C1025" i="4"/>
  <c r="B1025" i="4"/>
  <c r="E1024" i="4"/>
  <c r="D1024" i="4"/>
  <c r="C1024" i="4"/>
  <c r="B1024" i="4"/>
  <c r="E1023" i="4"/>
  <c r="D1023" i="4"/>
  <c r="C1023" i="4"/>
  <c r="B1023" i="4"/>
  <c r="E1022" i="4"/>
  <c r="D1022" i="4"/>
  <c r="C1022" i="4"/>
  <c r="B1022" i="4"/>
  <c r="E1021" i="4"/>
  <c r="D1021" i="4"/>
  <c r="C1021" i="4"/>
  <c r="B1021" i="4"/>
  <c r="E1020" i="4"/>
  <c r="D1020" i="4"/>
  <c r="C1020" i="4"/>
  <c r="B1020" i="4"/>
  <c r="E1019" i="4"/>
  <c r="D1019" i="4"/>
  <c r="C1019" i="4"/>
  <c r="B1019" i="4"/>
  <c r="E1018" i="4"/>
  <c r="D1018" i="4"/>
  <c r="C1018" i="4"/>
  <c r="B1018" i="4"/>
  <c r="E1017" i="4"/>
  <c r="D1017" i="4"/>
  <c r="C1017" i="4"/>
  <c r="B1017" i="4"/>
  <c r="E1016" i="4"/>
  <c r="D1016" i="4"/>
  <c r="C1016" i="4"/>
  <c r="B1016" i="4"/>
  <c r="E1015" i="4"/>
  <c r="D1015" i="4"/>
  <c r="C1015" i="4"/>
  <c r="B1015" i="4"/>
  <c r="E1014" i="4"/>
  <c r="D1014" i="4"/>
  <c r="C1014" i="4"/>
  <c r="B1014" i="4"/>
  <c r="E1013" i="4"/>
  <c r="D1013" i="4"/>
  <c r="C1013" i="4"/>
  <c r="B1013" i="4"/>
  <c r="E1012" i="4"/>
  <c r="D1012" i="4"/>
  <c r="C1012" i="4"/>
  <c r="B1012" i="4"/>
  <c r="E1011" i="4"/>
  <c r="D1011" i="4"/>
  <c r="C1011" i="4"/>
  <c r="B1011" i="4"/>
  <c r="E1010" i="4"/>
  <c r="D1010" i="4"/>
  <c r="C1010" i="4"/>
  <c r="B1010" i="4"/>
  <c r="E1009" i="4"/>
  <c r="D1009" i="4"/>
  <c r="C1009" i="4"/>
  <c r="B1009" i="4"/>
  <c r="E1008" i="4"/>
  <c r="D1008" i="4"/>
  <c r="C1008" i="4"/>
  <c r="B1008" i="4"/>
  <c r="E1007" i="4"/>
  <c r="D1007" i="4"/>
  <c r="C1007" i="4"/>
  <c r="B1007" i="4"/>
  <c r="E1006" i="4"/>
  <c r="D1006" i="4"/>
  <c r="C1006" i="4"/>
  <c r="B1006" i="4"/>
  <c r="E1005" i="4"/>
  <c r="D1005" i="4"/>
  <c r="C1005" i="4"/>
  <c r="B1005" i="4"/>
  <c r="E1004" i="4"/>
  <c r="D1004" i="4"/>
  <c r="C1004" i="4"/>
  <c r="B1004" i="4"/>
  <c r="E1003" i="4"/>
  <c r="D1003" i="4"/>
  <c r="C1003" i="4"/>
  <c r="B1003" i="4"/>
  <c r="E1002" i="4"/>
  <c r="D1002" i="4"/>
  <c r="C1002" i="4"/>
  <c r="B1002" i="4"/>
  <c r="E1001" i="4"/>
  <c r="D1001" i="4"/>
  <c r="C1001" i="4"/>
  <c r="B1001" i="4"/>
  <c r="E1000" i="4"/>
  <c r="D1000" i="4"/>
  <c r="C1000" i="4"/>
  <c r="B1000" i="4"/>
  <c r="E999" i="4"/>
  <c r="D999" i="4"/>
  <c r="C999" i="4"/>
  <c r="B999" i="4"/>
  <c r="E998" i="4"/>
  <c r="D998" i="4"/>
  <c r="C998" i="4"/>
  <c r="B998" i="4"/>
  <c r="E997" i="4"/>
  <c r="D997" i="4"/>
  <c r="C997" i="4"/>
  <c r="B997" i="4"/>
  <c r="E996" i="4"/>
  <c r="D996" i="4"/>
  <c r="C996" i="4"/>
  <c r="B996" i="4"/>
  <c r="E995" i="4"/>
  <c r="D995" i="4"/>
  <c r="C995" i="4"/>
  <c r="B995" i="4"/>
  <c r="E994" i="4"/>
  <c r="D994" i="4"/>
  <c r="C994" i="4"/>
  <c r="B994" i="4"/>
  <c r="E993" i="4"/>
  <c r="D993" i="4"/>
  <c r="C993" i="4"/>
  <c r="B993" i="4"/>
  <c r="E992" i="4"/>
  <c r="D992" i="4"/>
  <c r="C992" i="4"/>
  <c r="B992" i="4"/>
  <c r="E991" i="4"/>
  <c r="D991" i="4"/>
  <c r="C991" i="4"/>
  <c r="B991" i="4"/>
  <c r="E990" i="4"/>
  <c r="D990" i="4"/>
  <c r="C990" i="4"/>
  <c r="B990" i="4"/>
  <c r="E989" i="4"/>
  <c r="D989" i="4"/>
  <c r="C989" i="4"/>
  <c r="B989" i="4"/>
  <c r="E988" i="4"/>
  <c r="D988" i="4"/>
  <c r="C988" i="4"/>
  <c r="B988" i="4"/>
  <c r="E987" i="4"/>
  <c r="D987" i="4"/>
  <c r="C987" i="4"/>
  <c r="B987" i="4"/>
  <c r="E986" i="4"/>
  <c r="D986" i="4"/>
  <c r="C986" i="4"/>
  <c r="B986" i="4"/>
  <c r="E985" i="4"/>
  <c r="D985" i="4"/>
  <c r="C985" i="4"/>
  <c r="B985" i="4"/>
  <c r="E984" i="4"/>
  <c r="D984" i="4"/>
  <c r="C984" i="4"/>
  <c r="B984" i="4"/>
  <c r="E983" i="4"/>
  <c r="D983" i="4"/>
  <c r="C983" i="4"/>
  <c r="B983" i="4"/>
  <c r="E982" i="4"/>
  <c r="D982" i="4"/>
  <c r="C982" i="4"/>
  <c r="B982" i="4"/>
  <c r="E981" i="4"/>
  <c r="D981" i="4"/>
  <c r="C981" i="4"/>
  <c r="B981" i="4"/>
  <c r="E980" i="4"/>
  <c r="D980" i="4"/>
  <c r="C980" i="4"/>
  <c r="B980" i="4"/>
  <c r="E979" i="4"/>
  <c r="D979" i="4"/>
  <c r="C979" i="4"/>
  <c r="B979" i="4"/>
  <c r="E978" i="4"/>
  <c r="D978" i="4"/>
  <c r="C978" i="4"/>
  <c r="B978" i="4"/>
  <c r="E977" i="4"/>
  <c r="D977" i="4"/>
  <c r="C977" i="4"/>
  <c r="B977" i="4"/>
  <c r="E976" i="4"/>
  <c r="D976" i="4"/>
  <c r="C976" i="4"/>
  <c r="B976" i="4"/>
  <c r="E975" i="4"/>
  <c r="D975" i="4"/>
  <c r="C975" i="4"/>
  <c r="B975" i="4"/>
  <c r="E974" i="4"/>
  <c r="D974" i="4"/>
  <c r="C974" i="4"/>
  <c r="B974" i="4"/>
  <c r="E973" i="4"/>
  <c r="D973" i="4"/>
  <c r="C973" i="4"/>
  <c r="B973" i="4"/>
  <c r="E972" i="4"/>
  <c r="D972" i="4"/>
  <c r="C972" i="4"/>
  <c r="B972" i="4"/>
  <c r="E971" i="4"/>
  <c r="D971" i="4"/>
  <c r="C971" i="4"/>
  <c r="B971" i="4"/>
  <c r="E970" i="4"/>
  <c r="D970" i="4"/>
  <c r="C970" i="4"/>
  <c r="B970" i="4"/>
  <c r="E969" i="4"/>
  <c r="D969" i="4"/>
  <c r="C969" i="4"/>
  <c r="B969" i="4"/>
  <c r="E968" i="4"/>
  <c r="D968" i="4"/>
  <c r="C968" i="4"/>
  <c r="B968" i="4"/>
  <c r="E967" i="4"/>
  <c r="D967" i="4"/>
  <c r="C967" i="4"/>
  <c r="B967" i="4"/>
  <c r="E966" i="4"/>
  <c r="D966" i="4"/>
  <c r="C966" i="4"/>
  <c r="B966" i="4"/>
  <c r="E965" i="4"/>
  <c r="D965" i="4"/>
  <c r="C965" i="4"/>
  <c r="B965" i="4"/>
  <c r="E964" i="4"/>
  <c r="D964" i="4"/>
  <c r="C964" i="4"/>
  <c r="B964" i="4"/>
  <c r="E963" i="4"/>
  <c r="D963" i="4"/>
  <c r="C963" i="4"/>
  <c r="B963" i="4"/>
  <c r="E962" i="4"/>
  <c r="D962" i="4"/>
  <c r="C962" i="4"/>
  <c r="B962" i="4"/>
  <c r="E961" i="4"/>
  <c r="D961" i="4"/>
  <c r="C961" i="4"/>
  <c r="B961" i="4"/>
  <c r="E960" i="4"/>
  <c r="D960" i="4"/>
  <c r="C960" i="4"/>
  <c r="B960" i="4"/>
  <c r="E959" i="4"/>
  <c r="D959" i="4"/>
  <c r="C959" i="4"/>
  <c r="B959" i="4"/>
  <c r="E958" i="4"/>
  <c r="D958" i="4"/>
  <c r="C958" i="4"/>
  <c r="B958" i="4"/>
  <c r="E957" i="4"/>
  <c r="D957" i="4"/>
  <c r="C957" i="4"/>
  <c r="B957" i="4"/>
  <c r="E956" i="4"/>
  <c r="D956" i="4"/>
  <c r="C956" i="4"/>
  <c r="B956" i="4"/>
  <c r="E955" i="4"/>
  <c r="D955" i="4"/>
  <c r="C955" i="4"/>
  <c r="B955" i="4"/>
  <c r="E954" i="4"/>
  <c r="D954" i="4"/>
  <c r="C954" i="4"/>
  <c r="B954" i="4"/>
  <c r="E953" i="4"/>
  <c r="D953" i="4"/>
  <c r="C953" i="4"/>
  <c r="B953" i="4"/>
  <c r="E952" i="4"/>
  <c r="D952" i="4"/>
  <c r="C952" i="4"/>
  <c r="B952" i="4"/>
  <c r="E951" i="4"/>
  <c r="D951" i="4"/>
  <c r="C951" i="4"/>
  <c r="B951" i="4"/>
  <c r="E950" i="4"/>
  <c r="D950" i="4"/>
  <c r="C950" i="4"/>
  <c r="B950" i="4"/>
  <c r="E949" i="4"/>
  <c r="D949" i="4"/>
  <c r="C949" i="4"/>
  <c r="B949" i="4"/>
  <c r="E948" i="4"/>
  <c r="D948" i="4"/>
  <c r="C948" i="4"/>
  <c r="B948" i="4"/>
  <c r="E947" i="4"/>
  <c r="D947" i="4"/>
  <c r="C947" i="4"/>
  <c r="B947" i="4"/>
  <c r="E946" i="4"/>
  <c r="D946" i="4"/>
  <c r="C946" i="4"/>
  <c r="B946" i="4"/>
  <c r="E945" i="4"/>
  <c r="D945" i="4"/>
  <c r="C945" i="4"/>
  <c r="B945" i="4"/>
  <c r="E944" i="4"/>
  <c r="D944" i="4"/>
  <c r="C944" i="4"/>
  <c r="B944" i="4"/>
  <c r="E943" i="4"/>
  <c r="D943" i="4"/>
  <c r="C943" i="4"/>
  <c r="B943" i="4"/>
  <c r="E942" i="4"/>
  <c r="D942" i="4"/>
  <c r="C942" i="4"/>
  <c r="B942" i="4"/>
  <c r="E941" i="4"/>
  <c r="D941" i="4"/>
  <c r="C941" i="4"/>
  <c r="B941" i="4"/>
  <c r="E940" i="4"/>
  <c r="D940" i="4"/>
  <c r="C940" i="4"/>
  <c r="B940" i="4"/>
  <c r="E939" i="4"/>
  <c r="D939" i="4"/>
  <c r="C939" i="4"/>
  <c r="B939" i="4"/>
  <c r="E938" i="4"/>
  <c r="D938" i="4"/>
  <c r="C938" i="4"/>
  <c r="B938" i="4"/>
  <c r="E937" i="4"/>
  <c r="D937" i="4"/>
  <c r="C937" i="4"/>
  <c r="B937" i="4"/>
  <c r="E936" i="4"/>
  <c r="D936" i="4"/>
  <c r="C936" i="4"/>
  <c r="B936" i="4"/>
  <c r="E935" i="4"/>
  <c r="D935" i="4"/>
  <c r="C935" i="4"/>
  <c r="B935" i="4"/>
  <c r="E934" i="4"/>
  <c r="D934" i="4"/>
  <c r="C934" i="4"/>
  <c r="B934" i="4"/>
  <c r="E933" i="4"/>
  <c r="D933" i="4"/>
  <c r="C933" i="4"/>
  <c r="B933" i="4"/>
  <c r="E932" i="4"/>
  <c r="D932" i="4"/>
  <c r="C932" i="4"/>
  <c r="B932" i="4"/>
  <c r="E931" i="4"/>
  <c r="D931" i="4"/>
  <c r="C931" i="4"/>
  <c r="B931" i="4"/>
  <c r="E930" i="4"/>
  <c r="D930" i="4"/>
  <c r="C930" i="4"/>
  <c r="B930" i="4"/>
  <c r="E929" i="4"/>
  <c r="D929" i="4"/>
  <c r="C929" i="4"/>
  <c r="B929" i="4"/>
  <c r="E928" i="4"/>
  <c r="D928" i="4"/>
  <c r="C928" i="4"/>
  <c r="B928" i="4"/>
  <c r="E927" i="4"/>
  <c r="D927" i="4"/>
  <c r="C927" i="4"/>
  <c r="B927" i="4"/>
  <c r="E926" i="4"/>
  <c r="D926" i="4"/>
  <c r="C926" i="4"/>
  <c r="B926" i="4"/>
  <c r="E925" i="4"/>
  <c r="D925" i="4"/>
  <c r="C925" i="4"/>
  <c r="B925" i="4"/>
  <c r="E924" i="4"/>
  <c r="D924" i="4"/>
  <c r="C924" i="4"/>
  <c r="B924" i="4"/>
  <c r="E923" i="4"/>
  <c r="D923" i="4"/>
  <c r="C923" i="4"/>
  <c r="B923" i="4"/>
  <c r="E922" i="4"/>
  <c r="D922" i="4"/>
  <c r="C922" i="4"/>
  <c r="B922" i="4"/>
  <c r="E921" i="4"/>
  <c r="D921" i="4"/>
  <c r="C921" i="4"/>
  <c r="B921" i="4"/>
  <c r="E920" i="4"/>
  <c r="D920" i="4"/>
  <c r="C920" i="4"/>
  <c r="B920" i="4"/>
  <c r="E919" i="4"/>
  <c r="D919" i="4"/>
  <c r="C919" i="4"/>
  <c r="B919" i="4"/>
  <c r="E918" i="4"/>
  <c r="D918" i="4"/>
  <c r="C918" i="4"/>
  <c r="B918" i="4"/>
  <c r="E917" i="4"/>
  <c r="D917" i="4"/>
  <c r="C917" i="4"/>
  <c r="B917" i="4"/>
  <c r="E916" i="4"/>
  <c r="D916" i="4"/>
  <c r="C916" i="4"/>
  <c r="B916" i="4"/>
  <c r="E915" i="4"/>
  <c r="D915" i="4"/>
  <c r="C915" i="4"/>
  <c r="B915" i="4"/>
  <c r="E914" i="4"/>
  <c r="D914" i="4"/>
  <c r="C914" i="4"/>
  <c r="B914" i="4"/>
  <c r="E913" i="4"/>
  <c r="D913" i="4"/>
  <c r="C913" i="4"/>
  <c r="B913" i="4"/>
  <c r="E912" i="4"/>
  <c r="D912" i="4"/>
  <c r="C912" i="4"/>
  <c r="B912" i="4"/>
  <c r="E911" i="4"/>
  <c r="D911" i="4"/>
  <c r="C911" i="4"/>
  <c r="B911" i="4"/>
  <c r="E910" i="4"/>
  <c r="D910" i="4"/>
  <c r="C910" i="4"/>
  <c r="B910" i="4"/>
  <c r="E909" i="4"/>
  <c r="D909" i="4"/>
  <c r="C909" i="4"/>
  <c r="B909" i="4"/>
  <c r="E908" i="4"/>
  <c r="D908" i="4"/>
  <c r="C908" i="4"/>
  <c r="B908" i="4"/>
  <c r="E907" i="4"/>
  <c r="D907" i="4"/>
  <c r="C907" i="4"/>
  <c r="B907" i="4"/>
  <c r="E906" i="4"/>
  <c r="D906" i="4"/>
  <c r="C906" i="4"/>
  <c r="B906" i="4"/>
  <c r="E905" i="4"/>
  <c r="D905" i="4"/>
  <c r="C905" i="4"/>
  <c r="B905" i="4"/>
  <c r="E904" i="4"/>
  <c r="D904" i="4"/>
  <c r="C904" i="4"/>
  <c r="B904" i="4"/>
  <c r="E903" i="4"/>
  <c r="D903" i="4"/>
  <c r="C903" i="4"/>
  <c r="B903" i="4"/>
  <c r="E902" i="4"/>
  <c r="D902" i="4"/>
  <c r="C902" i="4"/>
  <c r="B902" i="4"/>
  <c r="E901" i="4"/>
  <c r="D901" i="4"/>
  <c r="C901" i="4"/>
  <c r="B901" i="4"/>
  <c r="E900" i="4"/>
  <c r="D900" i="4"/>
  <c r="C900" i="4"/>
  <c r="B900" i="4"/>
  <c r="E899" i="4"/>
  <c r="D899" i="4"/>
  <c r="C899" i="4"/>
  <c r="B899" i="4"/>
  <c r="E898" i="4"/>
  <c r="D898" i="4"/>
  <c r="C898" i="4"/>
  <c r="B898" i="4"/>
  <c r="E897" i="4"/>
  <c r="D897" i="4"/>
  <c r="C897" i="4"/>
  <c r="B897" i="4"/>
  <c r="E896" i="4"/>
  <c r="D896" i="4"/>
  <c r="C896" i="4"/>
  <c r="B896" i="4"/>
  <c r="E895" i="4"/>
  <c r="D895" i="4"/>
  <c r="C895" i="4"/>
  <c r="B895" i="4"/>
  <c r="E894" i="4"/>
  <c r="D894" i="4"/>
  <c r="C894" i="4"/>
  <c r="B894" i="4"/>
  <c r="E893" i="4"/>
  <c r="D893" i="4"/>
  <c r="C893" i="4"/>
  <c r="B893" i="4"/>
  <c r="E892" i="4"/>
  <c r="D892" i="4"/>
  <c r="C892" i="4"/>
  <c r="B892" i="4"/>
  <c r="E891" i="4"/>
  <c r="D891" i="4"/>
  <c r="C891" i="4"/>
  <c r="B891" i="4"/>
  <c r="E890" i="4"/>
  <c r="D890" i="4"/>
  <c r="C890" i="4"/>
  <c r="B890" i="4"/>
  <c r="E889" i="4"/>
  <c r="D889" i="4"/>
  <c r="C889" i="4"/>
  <c r="B889" i="4"/>
  <c r="E888" i="4"/>
  <c r="D888" i="4"/>
  <c r="C888" i="4"/>
  <c r="B888" i="4"/>
  <c r="E887" i="4"/>
  <c r="D887" i="4"/>
  <c r="C887" i="4"/>
  <c r="B887" i="4"/>
  <c r="E886" i="4"/>
  <c r="D886" i="4"/>
  <c r="C886" i="4"/>
  <c r="B886" i="4"/>
  <c r="E885" i="4"/>
  <c r="D885" i="4"/>
  <c r="C885" i="4"/>
  <c r="B885" i="4"/>
  <c r="E884" i="4"/>
  <c r="D884" i="4"/>
  <c r="C884" i="4"/>
  <c r="B884" i="4"/>
  <c r="E883" i="4"/>
  <c r="D883" i="4"/>
  <c r="C883" i="4"/>
  <c r="B883" i="4"/>
  <c r="E882" i="4"/>
  <c r="D882" i="4"/>
  <c r="C882" i="4"/>
  <c r="B882" i="4"/>
  <c r="E881" i="4"/>
  <c r="D881" i="4"/>
  <c r="C881" i="4"/>
  <c r="B881" i="4"/>
  <c r="E880" i="4"/>
  <c r="D880" i="4"/>
  <c r="C880" i="4"/>
  <c r="B880" i="4"/>
  <c r="E879" i="4"/>
  <c r="D879" i="4"/>
  <c r="C879" i="4"/>
  <c r="B879" i="4"/>
  <c r="E878" i="4"/>
  <c r="D878" i="4"/>
  <c r="C878" i="4"/>
  <c r="B878" i="4"/>
  <c r="E877" i="4"/>
  <c r="D877" i="4"/>
  <c r="C877" i="4"/>
  <c r="B877" i="4"/>
  <c r="E876" i="4"/>
  <c r="D876" i="4"/>
  <c r="C876" i="4"/>
  <c r="B876" i="4"/>
  <c r="E875" i="4"/>
  <c r="D875" i="4"/>
  <c r="C875" i="4"/>
  <c r="B875" i="4"/>
  <c r="E874" i="4"/>
  <c r="D874" i="4"/>
  <c r="C874" i="4"/>
  <c r="B874" i="4"/>
  <c r="E873" i="4"/>
  <c r="D873" i="4"/>
  <c r="C873" i="4"/>
  <c r="B873" i="4"/>
  <c r="E872" i="4"/>
  <c r="D872" i="4"/>
  <c r="C872" i="4"/>
  <c r="B872" i="4"/>
  <c r="E871" i="4"/>
  <c r="D871" i="4"/>
  <c r="C871" i="4"/>
  <c r="B871" i="4"/>
  <c r="E870" i="4"/>
  <c r="D870" i="4"/>
  <c r="C870" i="4"/>
  <c r="B870" i="4"/>
  <c r="E869" i="4"/>
  <c r="D869" i="4"/>
  <c r="C869" i="4"/>
  <c r="B869" i="4"/>
  <c r="E868" i="4"/>
  <c r="D868" i="4"/>
  <c r="C868" i="4"/>
  <c r="B868" i="4"/>
  <c r="E867" i="4"/>
  <c r="D867" i="4"/>
  <c r="C867" i="4"/>
  <c r="B867" i="4"/>
  <c r="E866" i="4"/>
  <c r="D866" i="4"/>
  <c r="C866" i="4"/>
  <c r="B866" i="4"/>
  <c r="E865" i="4"/>
  <c r="D865" i="4"/>
  <c r="C865" i="4"/>
  <c r="B865" i="4"/>
  <c r="E864" i="4"/>
  <c r="D864" i="4"/>
  <c r="C864" i="4"/>
  <c r="B864" i="4"/>
  <c r="E863" i="4"/>
  <c r="D863" i="4"/>
  <c r="C863" i="4"/>
  <c r="B863" i="4"/>
  <c r="E862" i="4"/>
  <c r="D862" i="4"/>
  <c r="C862" i="4"/>
  <c r="B862" i="4"/>
  <c r="E861" i="4"/>
  <c r="D861" i="4"/>
  <c r="C861" i="4"/>
  <c r="B861" i="4"/>
  <c r="E860" i="4"/>
  <c r="D860" i="4"/>
  <c r="C860" i="4"/>
  <c r="B860" i="4"/>
  <c r="E859" i="4"/>
  <c r="D859" i="4"/>
  <c r="C859" i="4"/>
  <c r="B859" i="4"/>
  <c r="E858" i="4"/>
  <c r="D858" i="4"/>
  <c r="C858" i="4"/>
  <c r="B858" i="4"/>
  <c r="E857" i="4"/>
  <c r="D857" i="4"/>
  <c r="C857" i="4"/>
  <c r="B857" i="4"/>
  <c r="E856" i="4"/>
  <c r="D856" i="4"/>
  <c r="C856" i="4"/>
  <c r="B856" i="4"/>
  <c r="E855" i="4"/>
  <c r="D855" i="4"/>
  <c r="C855" i="4"/>
  <c r="B855" i="4"/>
  <c r="E854" i="4"/>
  <c r="D854" i="4"/>
  <c r="C854" i="4"/>
  <c r="B854" i="4"/>
  <c r="E853" i="4"/>
  <c r="D853" i="4"/>
  <c r="C853" i="4"/>
  <c r="B853" i="4"/>
  <c r="E852" i="4"/>
  <c r="D852" i="4"/>
  <c r="C852" i="4"/>
  <c r="B852" i="4"/>
  <c r="E851" i="4"/>
  <c r="D851" i="4"/>
  <c r="C851" i="4"/>
  <c r="B851" i="4"/>
  <c r="E850" i="4"/>
  <c r="D850" i="4"/>
  <c r="C850" i="4"/>
  <c r="B850" i="4"/>
  <c r="E849" i="4"/>
  <c r="D849" i="4"/>
  <c r="C849" i="4"/>
  <c r="B849" i="4"/>
  <c r="E848" i="4"/>
  <c r="D848" i="4"/>
  <c r="C848" i="4"/>
  <c r="B848" i="4"/>
  <c r="E847" i="4"/>
  <c r="D847" i="4"/>
  <c r="C847" i="4"/>
  <c r="B847" i="4"/>
  <c r="E846" i="4"/>
  <c r="D846" i="4"/>
  <c r="C846" i="4"/>
  <c r="B846" i="4"/>
  <c r="E845" i="4"/>
  <c r="D845" i="4"/>
  <c r="C845" i="4"/>
  <c r="B845" i="4"/>
  <c r="E844" i="4"/>
  <c r="D844" i="4"/>
  <c r="C844" i="4"/>
  <c r="B844" i="4"/>
  <c r="E843" i="4"/>
  <c r="D843" i="4"/>
  <c r="C843" i="4"/>
  <c r="B843" i="4"/>
  <c r="E842" i="4"/>
  <c r="D842" i="4"/>
  <c r="C842" i="4"/>
  <c r="B842" i="4"/>
  <c r="E841" i="4"/>
  <c r="D841" i="4"/>
  <c r="C841" i="4"/>
  <c r="B841" i="4"/>
  <c r="E840" i="4"/>
  <c r="D840" i="4"/>
  <c r="C840" i="4"/>
  <c r="B840" i="4"/>
  <c r="E839" i="4"/>
  <c r="D839" i="4"/>
  <c r="C839" i="4"/>
  <c r="B839" i="4"/>
  <c r="E838" i="4"/>
  <c r="D838" i="4"/>
  <c r="C838" i="4"/>
  <c r="B838" i="4"/>
  <c r="E837" i="4"/>
  <c r="D837" i="4"/>
  <c r="C837" i="4"/>
  <c r="B837" i="4"/>
  <c r="E836" i="4"/>
  <c r="D836" i="4"/>
  <c r="C836" i="4"/>
  <c r="B836" i="4"/>
  <c r="E835" i="4"/>
  <c r="D835" i="4"/>
  <c r="C835" i="4"/>
  <c r="B835" i="4"/>
  <c r="E834" i="4"/>
  <c r="D834" i="4"/>
  <c r="C834" i="4"/>
  <c r="B834" i="4"/>
  <c r="E833" i="4"/>
  <c r="D833" i="4"/>
  <c r="C833" i="4"/>
  <c r="B833" i="4"/>
  <c r="E832" i="4"/>
  <c r="D832" i="4"/>
  <c r="C832" i="4"/>
  <c r="B832" i="4"/>
  <c r="E831" i="4"/>
  <c r="D831" i="4"/>
  <c r="C831" i="4"/>
  <c r="B831" i="4"/>
  <c r="E830" i="4"/>
  <c r="D830" i="4"/>
  <c r="C830" i="4"/>
  <c r="B830" i="4"/>
  <c r="E829" i="4"/>
  <c r="D829" i="4"/>
  <c r="C829" i="4"/>
  <c r="B829" i="4"/>
  <c r="E828" i="4"/>
  <c r="D828" i="4"/>
  <c r="C828" i="4"/>
  <c r="B828" i="4"/>
  <c r="E827" i="4"/>
  <c r="D827" i="4"/>
  <c r="C827" i="4"/>
  <c r="B827" i="4"/>
  <c r="E826" i="4"/>
  <c r="D826" i="4"/>
  <c r="C826" i="4"/>
  <c r="B826" i="4"/>
  <c r="E825" i="4"/>
  <c r="D825" i="4"/>
  <c r="C825" i="4"/>
  <c r="B825" i="4"/>
  <c r="E824" i="4"/>
  <c r="D824" i="4"/>
  <c r="C824" i="4"/>
  <c r="B824" i="4"/>
  <c r="E823" i="4"/>
  <c r="D823" i="4"/>
  <c r="C823" i="4"/>
  <c r="B823" i="4"/>
  <c r="E822" i="4"/>
  <c r="D822" i="4"/>
  <c r="C822" i="4"/>
  <c r="B822" i="4"/>
  <c r="E821" i="4"/>
  <c r="D821" i="4"/>
  <c r="C821" i="4"/>
  <c r="B821" i="4"/>
  <c r="E820" i="4"/>
  <c r="D820" i="4"/>
  <c r="C820" i="4"/>
  <c r="B820" i="4"/>
  <c r="E819" i="4"/>
  <c r="D819" i="4"/>
  <c r="C819" i="4"/>
  <c r="B819" i="4"/>
  <c r="E818" i="4"/>
  <c r="D818" i="4"/>
  <c r="C818" i="4"/>
  <c r="B818" i="4"/>
  <c r="E817" i="4"/>
  <c r="D817" i="4"/>
  <c r="C817" i="4"/>
  <c r="B817" i="4"/>
  <c r="E816" i="4"/>
  <c r="D816" i="4"/>
  <c r="C816" i="4"/>
  <c r="B816" i="4"/>
  <c r="E815" i="4"/>
  <c r="D815" i="4"/>
  <c r="C815" i="4"/>
  <c r="B815" i="4"/>
  <c r="E814" i="4"/>
  <c r="D814" i="4"/>
  <c r="C814" i="4"/>
  <c r="B814" i="4"/>
  <c r="E813" i="4"/>
  <c r="D813" i="4"/>
  <c r="C813" i="4"/>
  <c r="B813" i="4"/>
  <c r="E812" i="4"/>
  <c r="D812" i="4"/>
  <c r="C812" i="4"/>
  <c r="B812" i="4"/>
  <c r="E811" i="4"/>
  <c r="D811" i="4"/>
  <c r="C811" i="4"/>
  <c r="B811" i="4"/>
  <c r="E810" i="4"/>
  <c r="D810" i="4"/>
  <c r="C810" i="4"/>
  <c r="B810" i="4"/>
  <c r="E809" i="4"/>
  <c r="D809" i="4"/>
  <c r="C809" i="4"/>
  <c r="B809" i="4"/>
  <c r="E808" i="4"/>
  <c r="D808" i="4"/>
  <c r="C808" i="4"/>
  <c r="B808" i="4"/>
  <c r="E807" i="4"/>
  <c r="D807" i="4"/>
  <c r="C807" i="4"/>
  <c r="B807" i="4"/>
  <c r="E806" i="4"/>
  <c r="D806" i="4"/>
  <c r="C806" i="4"/>
  <c r="B806" i="4"/>
  <c r="E805" i="4"/>
  <c r="D805" i="4"/>
  <c r="C805" i="4"/>
  <c r="B805" i="4"/>
  <c r="E804" i="4"/>
  <c r="D804" i="4"/>
  <c r="C804" i="4"/>
  <c r="B804" i="4"/>
  <c r="E803" i="4"/>
  <c r="D803" i="4"/>
  <c r="C803" i="4"/>
  <c r="B803" i="4"/>
  <c r="E802" i="4"/>
  <c r="D802" i="4"/>
  <c r="C802" i="4"/>
  <c r="B802" i="4"/>
  <c r="E801" i="4"/>
  <c r="D801" i="4"/>
  <c r="C801" i="4"/>
  <c r="B801" i="4"/>
  <c r="E800" i="4"/>
  <c r="D800" i="4"/>
  <c r="C800" i="4"/>
  <c r="B800" i="4"/>
  <c r="E799" i="4"/>
  <c r="D799" i="4"/>
  <c r="C799" i="4"/>
  <c r="B799" i="4"/>
  <c r="E798" i="4"/>
  <c r="D798" i="4"/>
  <c r="C798" i="4"/>
  <c r="B798" i="4"/>
  <c r="E797" i="4"/>
  <c r="D797" i="4"/>
  <c r="C797" i="4"/>
  <c r="B797" i="4"/>
  <c r="E796" i="4"/>
  <c r="D796" i="4"/>
  <c r="C796" i="4"/>
  <c r="B796" i="4"/>
  <c r="E795" i="4"/>
  <c r="D795" i="4"/>
  <c r="C795" i="4"/>
  <c r="B795" i="4"/>
  <c r="E794" i="4"/>
  <c r="D794" i="4"/>
  <c r="C794" i="4"/>
  <c r="B794" i="4"/>
  <c r="E793" i="4"/>
  <c r="D793" i="4"/>
  <c r="C793" i="4"/>
  <c r="B793" i="4"/>
  <c r="E792" i="4"/>
  <c r="D792" i="4"/>
  <c r="C792" i="4"/>
  <c r="B792" i="4"/>
  <c r="E791" i="4"/>
  <c r="D791" i="4"/>
  <c r="C791" i="4"/>
  <c r="B791" i="4"/>
  <c r="E790" i="4"/>
  <c r="D790" i="4"/>
  <c r="C790" i="4"/>
  <c r="B790" i="4"/>
  <c r="E789" i="4"/>
  <c r="D789" i="4"/>
  <c r="C789" i="4"/>
  <c r="B789" i="4"/>
  <c r="E788" i="4"/>
  <c r="D788" i="4"/>
  <c r="C788" i="4"/>
  <c r="B788" i="4"/>
  <c r="E787" i="4"/>
  <c r="D787" i="4"/>
  <c r="C787" i="4"/>
  <c r="B787" i="4"/>
  <c r="E786" i="4"/>
  <c r="D786" i="4"/>
  <c r="C786" i="4"/>
  <c r="B786" i="4"/>
  <c r="E785" i="4"/>
  <c r="D785" i="4"/>
  <c r="C785" i="4"/>
  <c r="B785" i="4"/>
  <c r="E784" i="4"/>
  <c r="D784" i="4"/>
  <c r="C784" i="4"/>
  <c r="B784" i="4"/>
  <c r="E783" i="4"/>
  <c r="D783" i="4"/>
  <c r="C783" i="4"/>
  <c r="B783" i="4"/>
  <c r="E782" i="4"/>
  <c r="D782" i="4"/>
  <c r="C782" i="4"/>
  <c r="B782" i="4"/>
  <c r="E781" i="4"/>
  <c r="D781" i="4"/>
  <c r="C781" i="4"/>
  <c r="B781" i="4"/>
  <c r="E780" i="4"/>
  <c r="D780" i="4"/>
  <c r="C780" i="4"/>
  <c r="B780" i="4"/>
  <c r="E779" i="4"/>
  <c r="D779" i="4"/>
  <c r="C779" i="4"/>
  <c r="B779" i="4"/>
  <c r="E778" i="4"/>
  <c r="D778" i="4"/>
  <c r="C778" i="4"/>
  <c r="B778" i="4"/>
  <c r="E777" i="4"/>
  <c r="D777" i="4"/>
  <c r="C777" i="4"/>
  <c r="B777" i="4"/>
  <c r="E776" i="4"/>
  <c r="D776" i="4"/>
  <c r="C776" i="4"/>
  <c r="B776" i="4"/>
  <c r="E775" i="4"/>
  <c r="D775" i="4"/>
  <c r="C775" i="4"/>
  <c r="B775" i="4"/>
  <c r="E774" i="4"/>
  <c r="D774" i="4"/>
  <c r="C774" i="4"/>
  <c r="B774" i="4"/>
  <c r="E773" i="4"/>
  <c r="D773" i="4"/>
  <c r="C773" i="4"/>
  <c r="B773" i="4"/>
  <c r="E772" i="4"/>
  <c r="D772" i="4"/>
  <c r="C772" i="4"/>
  <c r="B772" i="4"/>
  <c r="E771" i="4"/>
  <c r="D771" i="4"/>
  <c r="C771" i="4"/>
  <c r="B771" i="4"/>
  <c r="E770" i="4"/>
  <c r="D770" i="4"/>
  <c r="C770" i="4"/>
  <c r="B770" i="4"/>
  <c r="E769" i="4"/>
  <c r="D769" i="4"/>
  <c r="C769" i="4"/>
  <c r="B769" i="4"/>
  <c r="E768" i="4"/>
  <c r="D768" i="4"/>
  <c r="C768" i="4"/>
  <c r="B768" i="4"/>
  <c r="E767" i="4"/>
  <c r="D767" i="4"/>
  <c r="C767" i="4"/>
  <c r="B767" i="4"/>
  <c r="E766" i="4"/>
  <c r="D766" i="4"/>
  <c r="C766" i="4"/>
  <c r="B766" i="4"/>
  <c r="E765" i="4"/>
  <c r="D765" i="4"/>
  <c r="C765" i="4"/>
  <c r="B765" i="4"/>
  <c r="E764" i="4"/>
  <c r="D764" i="4"/>
  <c r="C764" i="4"/>
  <c r="B764" i="4"/>
  <c r="E763" i="4"/>
  <c r="D763" i="4"/>
  <c r="C763" i="4"/>
  <c r="B763" i="4"/>
  <c r="E762" i="4"/>
  <c r="D762" i="4"/>
  <c r="C762" i="4"/>
  <c r="B762" i="4"/>
  <c r="E761" i="4"/>
  <c r="D761" i="4"/>
  <c r="C761" i="4"/>
  <c r="B761" i="4"/>
  <c r="E760" i="4"/>
  <c r="D760" i="4"/>
  <c r="C760" i="4"/>
  <c r="B760" i="4"/>
  <c r="E759" i="4"/>
  <c r="D759" i="4"/>
  <c r="C759" i="4"/>
  <c r="B759" i="4"/>
  <c r="E758" i="4"/>
  <c r="D758" i="4"/>
  <c r="C758" i="4"/>
  <c r="B758" i="4"/>
  <c r="E757" i="4"/>
  <c r="D757" i="4"/>
  <c r="C757" i="4"/>
  <c r="B757" i="4"/>
  <c r="E756" i="4"/>
  <c r="D756" i="4"/>
  <c r="C756" i="4"/>
  <c r="B756" i="4"/>
  <c r="E755" i="4"/>
  <c r="D755" i="4"/>
  <c r="C755" i="4"/>
  <c r="B755" i="4"/>
  <c r="E754" i="4"/>
  <c r="D754" i="4"/>
  <c r="C754" i="4"/>
  <c r="B754" i="4"/>
  <c r="E753" i="4"/>
  <c r="D753" i="4"/>
  <c r="C753" i="4"/>
  <c r="B753" i="4"/>
  <c r="E752" i="4"/>
  <c r="D752" i="4"/>
  <c r="C752" i="4"/>
  <c r="B752" i="4"/>
  <c r="E751" i="4"/>
  <c r="D751" i="4"/>
  <c r="C751" i="4"/>
  <c r="B751" i="4"/>
  <c r="E750" i="4"/>
  <c r="D750" i="4"/>
  <c r="C750" i="4"/>
  <c r="B750" i="4"/>
  <c r="E749" i="4"/>
  <c r="D749" i="4"/>
  <c r="C749" i="4"/>
  <c r="B749" i="4"/>
  <c r="E748" i="4"/>
  <c r="D748" i="4"/>
  <c r="C748" i="4"/>
  <c r="B748" i="4"/>
  <c r="E747" i="4"/>
  <c r="D747" i="4"/>
  <c r="C747" i="4"/>
  <c r="B747" i="4"/>
  <c r="E746" i="4"/>
  <c r="D746" i="4"/>
  <c r="C746" i="4"/>
  <c r="B746" i="4"/>
  <c r="E745" i="4"/>
  <c r="D745" i="4"/>
  <c r="C745" i="4"/>
  <c r="B745" i="4"/>
  <c r="E744" i="4"/>
  <c r="D744" i="4"/>
  <c r="C744" i="4"/>
  <c r="B744" i="4"/>
  <c r="E743" i="4"/>
  <c r="D743" i="4"/>
  <c r="C743" i="4"/>
  <c r="B743" i="4"/>
  <c r="E742" i="4"/>
  <c r="D742" i="4"/>
  <c r="C742" i="4"/>
  <c r="B742" i="4"/>
  <c r="E741" i="4"/>
  <c r="D741" i="4"/>
  <c r="C741" i="4"/>
  <c r="B741" i="4"/>
  <c r="E740" i="4"/>
  <c r="D740" i="4"/>
  <c r="C740" i="4"/>
  <c r="B740" i="4"/>
  <c r="E739" i="4"/>
  <c r="D739" i="4"/>
  <c r="C739" i="4"/>
  <c r="B739" i="4"/>
  <c r="E738" i="4"/>
  <c r="D738" i="4"/>
  <c r="C738" i="4"/>
  <c r="B738" i="4"/>
  <c r="E737" i="4"/>
  <c r="D737" i="4"/>
  <c r="C737" i="4"/>
  <c r="B737" i="4"/>
  <c r="E736" i="4"/>
  <c r="D736" i="4"/>
  <c r="C736" i="4"/>
  <c r="B736" i="4"/>
  <c r="E735" i="4"/>
  <c r="D735" i="4"/>
  <c r="C735" i="4"/>
  <c r="B735" i="4"/>
  <c r="E734" i="4"/>
  <c r="D734" i="4"/>
  <c r="C734" i="4"/>
  <c r="B734" i="4"/>
  <c r="E733" i="4"/>
  <c r="D733" i="4"/>
  <c r="C733" i="4"/>
  <c r="B733" i="4"/>
  <c r="E732" i="4"/>
  <c r="D732" i="4"/>
  <c r="C732" i="4"/>
  <c r="B732" i="4"/>
  <c r="E731" i="4"/>
  <c r="D731" i="4"/>
  <c r="C731" i="4"/>
  <c r="B731" i="4"/>
  <c r="E730" i="4"/>
  <c r="D730" i="4"/>
  <c r="C730" i="4"/>
  <c r="B730" i="4"/>
  <c r="E729" i="4"/>
  <c r="D729" i="4"/>
  <c r="C729" i="4"/>
  <c r="B729" i="4"/>
  <c r="E728" i="4"/>
  <c r="D728" i="4"/>
  <c r="C728" i="4"/>
  <c r="B728" i="4"/>
  <c r="E727" i="4"/>
  <c r="D727" i="4"/>
  <c r="C727" i="4"/>
  <c r="B727" i="4"/>
  <c r="E726" i="4"/>
  <c r="D726" i="4"/>
  <c r="C726" i="4"/>
  <c r="B726" i="4"/>
  <c r="E725" i="4"/>
  <c r="D725" i="4"/>
  <c r="C725" i="4"/>
  <c r="B725" i="4"/>
  <c r="E724" i="4"/>
  <c r="D724" i="4"/>
  <c r="C724" i="4"/>
  <c r="B724" i="4"/>
  <c r="E723" i="4"/>
  <c r="D723" i="4"/>
  <c r="C723" i="4"/>
  <c r="B723" i="4"/>
  <c r="E722" i="4"/>
  <c r="D722" i="4"/>
  <c r="C722" i="4"/>
  <c r="B722" i="4"/>
  <c r="E721" i="4"/>
  <c r="D721" i="4"/>
  <c r="C721" i="4"/>
  <c r="B721" i="4"/>
  <c r="E720" i="4"/>
  <c r="D720" i="4"/>
  <c r="C720" i="4"/>
  <c r="B720" i="4"/>
  <c r="E719" i="4"/>
  <c r="D719" i="4"/>
  <c r="C719" i="4"/>
  <c r="B719" i="4"/>
  <c r="E718" i="4"/>
  <c r="D718" i="4"/>
  <c r="C718" i="4"/>
  <c r="B718" i="4"/>
  <c r="E717" i="4"/>
  <c r="D717" i="4"/>
  <c r="C717" i="4"/>
  <c r="B717" i="4"/>
  <c r="E716" i="4"/>
  <c r="D716" i="4"/>
  <c r="C716" i="4"/>
  <c r="B716" i="4"/>
  <c r="E715" i="4"/>
  <c r="D715" i="4"/>
  <c r="C715" i="4"/>
  <c r="B715" i="4"/>
  <c r="E714" i="4"/>
  <c r="D714" i="4"/>
  <c r="C714" i="4"/>
  <c r="B714" i="4"/>
  <c r="E713" i="4"/>
  <c r="D713" i="4"/>
  <c r="C713" i="4"/>
  <c r="B713" i="4"/>
  <c r="E712" i="4"/>
  <c r="D712" i="4"/>
  <c r="C712" i="4"/>
  <c r="B712" i="4"/>
  <c r="E711" i="4"/>
  <c r="D711" i="4"/>
  <c r="C711" i="4"/>
  <c r="B711" i="4"/>
  <c r="E710" i="4"/>
  <c r="D710" i="4"/>
  <c r="C710" i="4"/>
  <c r="B710" i="4"/>
  <c r="E709" i="4"/>
  <c r="D709" i="4"/>
  <c r="C709" i="4"/>
  <c r="B709" i="4"/>
  <c r="E708" i="4"/>
  <c r="D708" i="4"/>
  <c r="C708" i="4"/>
  <c r="B708" i="4"/>
  <c r="E707" i="4"/>
  <c r="D707" i="4"/>
  <c r="C707" i="4"/>
  <c r="B707" i="4"/>
  <c r="E706" i="4"/>
  <c r="D706" i="4"/>
  <c r="C706" i="4"/>
  <c r="B706" i="4"/>
  <c r="E705" i="4"/>
  <c r="D705" i="4"/>
  <c r="C705" i="4"/>
  <c r="B705" i="4"/>
  <c r="E704" i="4"/>
  <c r="D704" i="4"/>
  <c r="C704" i="4"/>
  <c r="B704" i="4"/>
  <c r="E703" i="4"/>
  <c r="D703" i="4"/>
  <c r="C703" i="4"/>
  <c r="B703" i="4"/>
  <c r="E702" i="4"/>
  <c r="D702" i="4"/>
  <c r="C702" i="4"/>
  <c r="B702" i="4"/>
  <c r="E701" i="4"/>
  <c r="D701" i="4"/>
  <c r="C701" i="4"/>
  <c r="B701" i="4"/>
  <c r="E700" i="4"/>
  <c r="D700" i="4"/>
  <c r="C700" i="4"/>
  <c r="B700" i="4"/>
  <c r="E699" i="4"/>
  <c r="D699" i="4"/>
  <c r="C699" i="4"/>
  <c r="B699" i="4"/>
  <c r="E698" i="4"/>
  <c r="D698" i="4"/>
  <c r="C698" i="4"/>
  <c r="B698" i="4"/>
  <c r="E697" i="4"/>
  <c r="D697" i="4"/>
  <c r="C697" i="4"/>
  <c r="B697" i="4"/>
  <c r="E696" i="4"/>
  <c r="D696" i="4"/>
  <c r="C696" i="4"/>
  <c r="B696" i="4"/>
  <c r="E695" i="4"/>
  <c r="D695" i="4"/>
  <c r="C695" i="4"/>
  <c r="B695" i="4"/>
  <c r="E694" i="4"/>
  <c r="D694" i="4"/>
  <c r="C694" i="4"/>
  <c r="B694" i="4"/>
  <c r="E693" i="4"/>
  <c r="D693" i="4"/>
  <c r="C693" i="4"/>
  <c r="B693" i="4"/>
  <c r="E692" i="4"/>
  <c r="D692" i="4"/>
  <c r="C692" i="4"/>
  <c r="B692" i="4"/>
  <c r="E691" i="4"/>
  <c r="D691" i="4"/>
  <c r="C691" i="4"/>
  <c r="B691" i="4"/>
  <c r="E690" i="4"/>
  <c r="D690" i="4"/>
  <c r="C690" i="4"/>
  <c r="B690" i="4"/>
  <c r="E689" i="4"/>
  <c r="D689" i="4"/>
  <c r="C689" i="4"/>
  <c r="B689" i="4"/>
  <c r="E688" i="4"/>
  <c r="D688" i="4"/>
  <c r="C688" i="4"/>
  <c r="B688" i="4"/>
  <c r="E687" i="4"/>
  <c r="D687" i="4"/>
  <c r="C687" i="4"/>
  <c r="B687" i="4"/>
  <c r="E686" i="4"/>
  <c r="D686" i="4"/>
  <c r="C686" i="4"/>
  <c r="B686" i="4"/>
  <c r="E685" i="4"/>
  <c r="D685" i="4"/>
  <c r="C685" i="4"/>
  <c r="B685" i="4"/>
  <c r="E684" i="4"/>
  <c r="D684" i="4"/>
  <c r="C684" i="4"/>
  <c r="B684" i="4"/>
  <c r="E683" i="4"/>
  <c r="D683" i="4"/>
  <c r="C683" i="4"/>
  <c r="B683" i="4"/>
  <c r="E682" i="4"/>
  <c r="D682" i="4"/>
  <c r="C682" i="4"/>
  <c r="B682" i="4"/>
  <c r="E681" i="4"/>
  <c r="D681" i="4"/>
  <c r="C681" i="4"/>
  <c r="B681" i="4"/>
  <c r="E680" i="4"/>
  <c r="D680" i="4"/>
  <c r="C680" i="4"/>
  <c r="B680" i="4"/>
  <c r="E679" i="4"/>
  <c r="D679" i="4"/>
  <c r="C679" i="4"/>
  <c r="B679" i="4"/>
  <c r="E678" i="4"/>
  <c r="D678" i="4"/>
  <c r="C678" i="4"/>
  <c r="B678" i="4"/>
  <c r="E677" i="4"/>
  <c r="D677" i="4"/>
  <c r="C677" i="4"/>
  <c r="B677" i="4"/>
  <c r="E676" i="4"/>
  <c r="D676" i="4"/>
  <c r="C676" i="4"/>
  <c r="B676" i="4"/>
  <c r="E675" i="4"/>
  <c r="D675" i="4"/>
  <c r="C675" i="4"/>
  <c r="B675" i="4"/>
  <c r="E674" i="4"/>
  <c r="D674" i="4"/>
  <c r="C674" i="4"/>
  <c r="B674" i="4"/>
  <c r="E673" i="4"/>
  <c r="D673" i="4"/>
  <c r="C673" i="4"/>
  <c r="B673" i="4"/>
  <c r="E672" i="4"/>
  <c r="D672" i="4"/>
  <c r="C672" i="4"/>
  <c r="B672" i="4"/>
  <c r="E671" i="4"/>
  <c r="D671" i="4"/>
  <c r="C671" i="4"/>
  <c r="B671" i="4"/>
  <c r="E670" i="4"/>
  <c r="D670" i="4"/>
  <c r="C670" i="4"/>
  <c r="B670" i="4"/>
  <c r="E669" i="4"/>
  <c r="D669" i="4"/>
  <c r="C669" i="4"/>
  <c r="B669" i="4"/>
  <c r="E668" i="4"/>
  <c r="D668" i="4"/>
  <c r="C668" i="4"/>
  <c r="B668" i="4"/>
  <c r="E667" i="4"/>
  <c r="D667" i="4"/>
  <c r="C667" i="4"/>
  <c r="B667" i="4"/>
  <c r="E666" i="4"/>
  <c r="D666" i="4"/>
  <c r="C666" i="4"/>
  <c r="B666" i="4"/>
  <c r="E665" i="4"/>
  <c r="D665" i="4"/>
  <c r="C665" i="4"/>
  <c r="B665" i="4"/>
  <c r="E664" i="4"/>
  <c r="D664" i="4"/>
  <c r="C664" i="4"/>
  <c r="B664" i="4"/>
  <c r="E663" i="4"/>
  <c r="D663" i="4"/>
  <c r="C663" i="4"/>
  <c r="B663" i="4"/>
  <c r="E662" i="4"/>
  <c r="D662" i="4"/>
  <c r="C662" i="4"/>
  <c r="B662" i="4"/>
  <c r="E661" i="4"/>
  <c r="D661" i="4"/>
  <c r="C661" i="4"/>
  <c r="B661" i="4"/>
  <c r="E660" i="4"/>
  <c r="D660" i="4"/>
  <c r="C660" i="4"/>
  <c r="B660" i="4"/>
  <c r="E659" i="4"/>
  <c r="D659" i="4"/>
  <c r="C659" i="4"/>
  <c r="B659" i="4"/>
  <c r="E658" i="4"/>
  <c r="D658" i="4"/>
  <c r="C658" i="4"/>
  <c r="B658" i="4"/>
  <c r="E657" i="4"/>
  <c r="D657" i="4"/>
  <c r="C657" i="4"/>
  <c r="B657" i="4"/>
  <c r="E656" i="4"/>
  <c r="D656" i="4"/>
  <c r="C656" i="4"/>
  <c r="B656" i="4"/>
  <c r="E655" i="4"/>
  <c r="D655" i="4"/>
  <c r="C655" i="4"/>
  <c r="B655" i="4"/>
  <c r="E654" i="4"/>
  <c r="D654" i="4"/>
  <c r="C654" i="4"/>
  <c r="B654" i="4"/>
  <c r="E653" i="4"/>
  <c r="D653" i="4"/>
  <c r="C653" i="4"/>
  <c r="B653" i="4"/>
  <c r="E652" i="4"/>
  <c r="D652" i="4"/>
  <c r="C652" i="4"/>
  <c r="B652" i="4"/>
  <c r="E651" i="4"/>
  <c r="D651" i="4"/>
  <c r="C651" i="4"/>
  <c r="B651" i="4"/>
  <c r="E650" i="4"/>
  <c r="D650" i="4"/>
  <c r="C650" i="4"/>
  <c r="B650" i="4"/>
  <c r="E649" i="4"/>
  <c r="D649" i="4"/>
  <c r="C649" i="4"/>
  <c r="B649" i="4"/>
  <c r="E648" i="4"/>
  <c r="D648" i="4"/>
  <c r="C648" i="4"/>
  <c r="B648" i="4"/>
  <c r="E647" i="4"/>
  <c r="D647" i="4"/>
  <c r="C647" i="4"/>
  <c r="B647" i="4"/>
  <c r="E646" i="4"/>
  <c r="D646" i="4"/>
  <c r="C646" i="4"/>
  <c r="B646" i="4"/>
  <c r="E645" i="4"/>
  <c r="D645" i="4"/>
  <c r="C645" i="4"/>
  <c r="B645" i="4"/>
  <c r="E644" i="4"/>
  <c r="D644" i="4"/>
  <c r="C644" i="4"/>
  <c r="B644" i="4"/>
  <c r="E643" i="4"/>
  <c r="D643" i="4"/>
  <c r="C643" i="4"/>
  <c r="B643" i="4"/>
  <c r="E642" i="4"/>
  <c r="D642" i="4"/>
  <c r="C642" i="4"/>
  <c r="B642" i="4"/>
  <c r="E641" i="4"/>
  <c r="D641" i="4"/>
  <c r="C641" i="4"/>
  <c r="B641" i="4"/>
  <c r="E640" i="4"/>
  <c r="D640" i="4"/>
  <c r="C640" i="4"/>
  <c r="B640" i="4"/>
  <c r="E639" i="4"/>
  <c r="D639" i="4"/>
  <c r="C639" i="4"/>
  <c r="B639" i="4"/>
  <c r="E638" i="4"/>
  <c r="D638" i="4"/>
  <c r="C638" i="4"/>
  <c r="B638" i="4"/>
  <c r="E637" i="4"/>
  <c r="D637" i="4"/>
  <c r="C637" i="4"/>
  <c r="B637" i="4"/>
  <c r="E636" i="4"/>
  <c r="D636" i="4"/>
  <c r="C636" i="4"/>
  <c r="B636" i="4"/>
  <c r="E635" i="4"/>
  <c r="D635" i="4"/>
  <c r="C635" i="4"/>
  <c r="B635" i="4"/>
  <c r="E634" i="4"/>
  <c r="D634" i="4"/>
  <c r="C634" i="4"/>
  <c r="B634" i="4"/>
  <c r="E633" i="4"/>
  <c r="D633" i="4"/>
  <c r="C633" i="4"/>
  <c r="B633" i="4"/>
  <c r="E632" i="4"/>
  <c r="D632" i="4"/>
  <c r="C632" i="4"/>
  <c r="B632" i="4"/>
  <c r="E631" i="4"/>
  <c r="D631" i="4"/>
  <c r="C631" i="4"/>
  <c r="B631" i="4"/>
  <c r="E630" i="4"/>
  <c r="D630" i="4"/>
  <c r="C630" i="4"/>
  <c r="B630" i="4"/>
  <c r="E629" i="4"/>
  <c r="D629" i="4"/>
  <c r="C629" i="4"/>
  <c r="B629" i="4"/>
  <c r="E628" i="4"/>
  <c r="D628" i="4"/>
  <c r="C628" i="4"/>
  <c r="B628" i="4"/>
  <c r="E627" i="4"/>
  <c r="D627" i="4"/>
  <c r="C627" i="4"/>
  <c r="B627" i="4"/>
  <c r="E626" i="4"/>
  <c r="D626" i="4"/>
  <c r="C626" i="4"/>
  <c r="B626" i="4"/>
  <c r="E625" i="4"/>
  <c r="D625" i="4"/>
  <c r="C625" i="4"/>
  <c r="B625" i="4"/>
  <c r="E624" i="4"/>
  <c r="D624" i="4"/>
  <c r="C624" i="4"/>
  <c r="B624" i="4"/>
  <c r="E623" i="4"/>
  <c r="D623" i="4"/>
  <c r="C623" i="4"/>
  <c r="B623" i="4"/>
  <c r="E622" i="4"/>
  <c r="D622" i="4"/>
  <c r="C622" i="4"/>
  <c r="B622" i="4"/>
  <c r="E621" i="4"/>
  <c r="D621" i="4"/>
  <c r="C621" i="4"/>
  <c r="B621" i="4"/>
  <c r="E620" i="4"/>
  <c r="D620" i="4"/>
  <c r="C620" i="4"/>
  <c r="B620" i="4"/>
  <c r="E619" i="4"/>
  <c r="D619" i="4"/>
  <c r="C619" i="4"/>
  <c r="B619" i="4"/>
  <c r="E618" i="4"/>
  <c r="D618" i="4"/>
  <c r="C618" i="4"/>
  <c r="B618" i="4"/>
  <c r="E617" i="4"/>
  <c r="D617" i="4"/>
  <c r="C617" i="4"/>
  <c r="B617" i="4"/>
  <c r="E616" i="4"/>
  <c r="D616" i="4"/>
  <c r="C616" i="4"/>
  <c r="B616" i="4"/>
  <c r="E615" i="4"/>
  <c r="D615" i="4"/>
  <c r="C615" i="4"/>
  <c r="B615" i="4"/>
  <c r="E614" i="4"/>
  <c r="D614" i="4"/>
  <c r="C614" i="4"/>
  <c r="B614" i="4"/>
  <c r="E613" i="4"/>
  <c r="D613" i="4"/>
  <c r="C613" i="4"/>
  <c r="B613" i="4"/>
  <c r="E612" i="4"/>
  <c r="D612" i="4"/>
  <c r="C612" i="4"/>
  <c r="B612" i="4"/>
  <c r="E611" i="4"/>
  <c r="D611" i="4"/>
  <c r="C611" i="4"/>
  <c r="B611" i="4"/>
  <c r="E610" i="4"/>
  <c r="D610" i="4"/>
  <c r="C610" i="4"/>
  <c r="B610" i="4"/>
  <c r="E609" i="4"/>
  <c r="D609" i="4"/>
  <c r="C609" i="4"/>
  <c r="B609" i="4"/>
  <c r="E608" i="4"/>
  <c r="D608" i="4"/>
  <c r="C608" i="4"/>
  <c r="B608" i="4"/>
  <c r="E607" i="4"/>
  <c r="D607" i="4"/>
  <c r="C607" i="4"/>
  <c r="B607" i="4"/>
  <c r="E606" i="4"/>
  <c r="D606" i="4"/>
  <c r="C606" i="4"/>
  <c r="B606" i="4"/>
  <c r="E605" i="4"/>
  <c r="D605" i="4"/>
  <c r="C605" i="4"/>
  <c r="B605" i="4"/>
  <c r="E604" i="4"/>
  <c r="D604" i="4"/>
  <c r="C604" i="4"/>
  <c r="B604" i="4"/>
  <c r="E603" i="4"/>
  <c r="D603" i="4"/>
  <c r="C603" i="4"/>
  <c r="B603" i="4"/>
  <c r="E602" i="4"/>
  <c r="D602" i="4"/>
  <c r="C602" i="4"/>
  <c r="B602" i="4"/>
  <c r="E601" i="4"/>
  <c r="D601" i="4"/>
  <c r="C601" i="4"/>
  <c r="B601" i="4"/>
  <c r="E600" i="4"/>
  <c r="D600" i="4"/>
  <c r="C600" i="4"/>
  <c r="B600" i="4"/>
  <c r="E599" i="4"/>
  <c r="D599" i="4"/>
  <c r="C599" i="4"/>
  <c r="B599" i="4"/>
  <c r="E598" i="4"/>
  <c r="D598" i="4"/>
  <c r="C598" i="4"/>
  <c r="B598" i="4"/>
  <c r="E597" i="4"/>
  <c r="D597" i="4"/>
  <c r="C597" i="4"/>
  <c r="B597" i="4"/>
  <c r="E596" i="4"/>
  <c r="D596" i="4"/>
  <c r="C596" i="4"/>
  <c r="B596" i="4"/>
  <c r="E595" i="4"/>
  <c r="D595" i="4"/>
  <c r="C595" i="4"/>
  <c r="B595" i="4"/>
  <c r="E594" i="4"/>
  <c r="D594" i="4"/>
  <c r="C594" i="4"/>
  <c r="B594" i="4"/>
  <c r="E593" i="4"/>
  <c r="D593" i="4"/>
  <c r="C593" i="4"/>
  <c r="B593" i="4"/>
  <c r="E592" i="4"/>
  <c r="D592" i="4"/>
  <c r="C592" i="4"/>
  <c r="B592" i="4"/>
  <c r="E591" i="4"/>
  <c r="D591" i="4"/>
  <c r="C591" i="4"/>
  <c r="B591" i="4"/>
  <c r="E590" i="4"/>
  <c r="D590" i="4"/>
  <c r="C590" i="4"/>
  <c r="B590" i="4"/>
  <c r="E589" i="4"/>
  <c r="D589" i="4"/>
  <c r="C589" i="4"/>
  <c r="B589" i="4"/>
  <c r="E588" i="4"/>
  <c r="D588" i="4"/>
  <c r="C588" i="4"/>
  <c r="B588" i="4"/>
  <c r="E587" i="4"/>
  <c r="D587" i="4"/>
  <c r="C587" i="4"/>
  <c r="B587" i="4"/>
  <c r="E586" i="4"/>
  <c r="D586" i="4"/>
  <c r="C586" i="4"/>
  <c r="B586" i="4"/>
  <c r="E585" i="4"/>
  <c r="D585" i="4"/>
  <c r="C585" i="4"/>
  <c r="B585" i="4"/>
  <c r="E584" i="4"/>
  <c r="D584" i="4"/>
  <c r="C584" i="4"/>
  <c r="B584" i="4"/>
  <c r="E583" i="4"/>
  <c r="D583" i="4"/>
  <c r="C583" i="4"/>
  <c r="B583" i="4"/>
  <c r="E582" i="4"/>
  <c r="D582" i="4"/>
  <c r="C582" i="4"/>
  <c r="B582" i="4"/>
  <c r="E581" i="4"/>
  <c r="D581" i="4"/>
  <c r="C581" i="4"/>
  <c r="B581" i="4"/>
  <c r="E580" i="4"/>
  <c r="D580" i="4"/>
  <c r="C580" i="4"/>
  <c r="B580" i="4"/>
  <c r="E579" i="4"/>
  <c r="D579" i="4"/>
  <c r="C579" i="4"/>
  <c r="B579" i="4"/>
  <c r="E578" i="4"/>
  <c r="D578" i="4"/>
  <c r="C578" i="4"/>
  <c r="B578" i="4"/>
  <c r="E577" i="4"/>
  <c r="D577" i="4"/>
  <c r="C577" i="4"/>
  <c r="B577" i="4"/>
  <c r="E576" i="4"/>
  <c r="D576" i="4"/>
  <c r="C576" i="4"/>
  <c r="B576" i="4"/>
  <c r="E575" i="4"/>
  <c r="D575" i="4"/>
  <c r="C575" i="4"/>
  <c r="B575" i="4"/>
  <c r="E574" i="4"/>
  <c r="D574" i="4"/>
  <c r="C574" i="4"/>
  <c r="B574" i="4"/>
  <c r="E573" i="4"/>
  <c r="D573" i="4"/>
  <c r="C573" i="4"/>
  <c r="B573" i="4"/>
  <c r="E572" i="4"/>
  <c r="D572" i="4"/>
  <c r="C572" i="4"/>
  <c r="B572" i="4"/>
  <c r="E571" i="4"/>
  <c r="D571" i="4"/>
  <c r="C571" i="4"/>
  <c r="B571" i="4"/>
  <c r="E570" i="4"/>
  <c r="D570" i="4"/>
  <c r="C570" i="4"/>
  <c r="B570" i="4"/>
  <c r="E569" i="4"/>
  <c r="D569" i="4"/>
  <c r="C569" i="4"/>
  <c r="B569" i="4"/>
  <c r="E568" i="4"/>
  <c r="D568" i="4"/>
  <c r="C568" i="4"/>
  <c r="B568" i="4"/>
  <c r="E567" i="4"/>
  <c r="D567" i="4"/>
  <c r="C567" i="4"/>
  <c r="B567" i="4"/>
  <c r="E566" i="4"/>
  <c r="D566" i="4"/>
  <c r="C566" i="4"/>
  <c r="B566" i="4"/>
  <c r="E565" i="4"/>
  <c r="D565" i="4"/>
  <c r="C565" i="4"/>
  <c r="B565" i="4"/>
  <c r="E564" i="4"/>
  <c r="D564" i="4"/>
  <c r="C564" i="4"/>
  <c r="B564" i="4"/>
  <c r="E563" i="4"/>
  <c r="D563" i="4"/>
  <c r="C563" i="4"/>
  <c r="B563" i="4"/>
  <c r="E562" i="4"/>
  <c r="D562" i="4"/>
  <c r="C562" i="4"/>
  <c r="B562" i="4"/>
  <c r="E561" i="4"/>
  <c r="D561" i="4"/>
  <c r="C561" i="4"/>
  <c r="B561" i="4"/>
  <c r="E560" i="4"/>
  <c r="D560" i="4"/>
  <c r="C560" i="4"/>
  <c r="B560" i="4"/>
  <c r="E559" i="4"/>
  <c r="D559" i="4"/>
  <c r="C559" i="4"/>
  <c r="B559" i="4"/>
  <c r="E558" i="4"/>
  <c r="D558" i="4"/>
  <c r="C558" i="4"/>
  <c r="B558" i="4"/>
  <c r="E557" i="4"/>
  <c r="D557" i="4"/>
  <c r="C557" i="4"/>
  <c r="B557" i="4"/>
  <c r="E556" i="4"/>
  <c r="D556" i="4"/>
  <c r="C556" i="4"/>
  <c r="B556" i="4"/>
  <c r="E555" i="4"/>
  <c r="D555" i="4"/>
  <c r="C555" i="4"/>
  <c r="B555" i="4"/>
  <c r="E554" i="4"/>
  <c r="D554" i="4"/>
  <c r="C554" i="4"/>
  <c r="B554" i="4"/>
  <c r="E553" i="4"/>
  <c r="D553" i="4"/>
  <c r="C553" i="4"/>
  <c r="B553" i="4"/>
  <c r="E552" i="4"/>
  <c r="D552" i="4"/>
  <c r="C552" i="4"/>
  <c r="B552" i="4"/>
  <c r="E551" i="4"/>
  <c r="D551" i="4"/>
  <c r="C551" i="4"/>
  <c r="B551" i="4"/>
  <c r="E550" i="4"/>
  <c r="D550" i="4"/>
  <c r="C550" i="4"/>
  <c r="B550" i="4"/>
  <c r="E549" i="4"/>
  <c r="D549" i="4"/>
  <c r="C549" i="4"/>
  <c r="B549" i="4"/>
  <c r="E548" i="4"/>
  <c r="D548" i="4"/>
  <c r="C548" i="4"/>
  <c r="B548" i="4"/>
  <c r="E547" i="4"/>
  <c r="D547" i="4"/>
  <c r="C547" i="4"/>
  <c r="B547" i="4"/>
  <c r="E546" i="4"/>
  <c r="D546" i="4"/>
  <c r="C546" i="4"/>
  <c r="B546" i="4"/>
  <c r="E545" i="4"/>
  <c r="D545" i="4"/>
  <c r="C545" i="4"/>
  <c r="B545" i="4"/>
  <c r="E544" i="4"/>
  <c r="D544" i="4"/>
  <c r="C544" i="4"/>
  <c r="B544" i="4"/>
  <c r="E543" i="4"/>
  <c r="D543" i="4"/>
  <c r="C543" i="4"/>
  <c r="B543" i="4"/>
  <c r="E542" i="4"/>
  <c r="D542" i="4"/>
  <c r="C542" i="4"/>
  <c r="B542" i="4"/>
  <c r="E541" i="4"/>
  <c r="D541" i="4"/>
  <c r="C541" i="4"/>
  <c r="B541" i="4"/>
  <c r="E540" i="4"/>
  <c r="D540" i="4"/>
  <c r="C540" i="4"/>
  <c r="B540" i="4"/>
  <c r="E539" i="4"/>
  <c r="D539" i="4"/>
  <c r="C539" i="4"/>
  <c r="B539" i="4"/>
  <c r="E538" i="4"/>
  <c r="D538" i="4"/>
  <c r="C538" i="4"/>
  <c r="B538" i="4"/>
  <c r="E537" i="4"/>
  <c r="D537" i="4"/>
  <c r="C537" i="4"/>
  <c r="B537" i="4"/>
  <c r="E536" i="4"/>
  <c r="D536" i="4"/>
  <c r="C536" i="4"/>
  <c r="B536" i="4"/>
  <c r="E535" i="4"/>
  <c r="D535" i="4"/>
  <c r="C535" i="4"/>
  <c r="B535" i="4"/>
  <c r="E534" i="4"/>
  <c r="D534" i="4"/>
  <c r="C534" i="4"/>
  <c r="B534" i="4"/>
  <c r="E533" i="4"/>
  <c r="D533" i="4"/>
  <c r="C533" i="4"/>
  <c r="B533" i="4"/>
  <c r="E532" i="4"/>
  <c r="D532" i="4"/>
  <c r="C532" i="4"/>
  <c r="B532" i="4"/>
  <c r="E531" i="4"/>
  <c r="D531" i="4"/>
  <c r="C531" i="4"/>
  <c r="B531" i="4"/>
  <c r="E530" i="4"/>
  <c r="D530" i="4"/>
  <c r="C530" i="4"/>
  <c r="B530" i="4"/>
  <c r="E529" i="4"/>
  <c r="D529" i="4"/>
  <c r="C529" i="4"/>
  <c r="B529" i="4"/>
  <c r="E528" i="4"/>
  <c r="D528" i="4"/>
  <c r="C528" i="4"/>
  <c r="B528" i="4"/>
  <c r="E527" i="4"/>
  <c r="D527" i="4"/>
  <c r="C527" i="4"/>
  <c r="B527" i="4"/>
  <c r="E526" i="4"/>
  <c r="D526" i="4"/>
  <c r="C526" i="4"/>
  <c r="B526" i="4"/>
  <c r="E525" i="4"/>
  <c r="D525" i="4"/>
  <c r="C525" i="4"/>
  <c r="B525" i="4"/>
  <c r="E524" i="4"/>
  <c r="D524" i="4"/>
  <c r="C524" i="4"/>
  <c r="B524" i="4"/>
  <c r="E523" i="4"/>
  <c r="D523" i="4"/>
  <c r="C523" i="4"/>
  <c r="B523" i="4"/>
  <c r="E522" i="4"/>
  <c r="D522" i="4"/>
  <c r="C522" i="4"/>
  <c r="B522" i="4"/>
  <c r="E521" i="4"/>
  <c r="D521" i="4"/>
  <c r="C521" i="4"/>
  <c r="B521" i="4"/>
  <c r="E520" i="4"/>
  <c r="D520" i="4"/>
  <c r="C520" i="4"/>
  <c r="B520" i="4"/>
  <c r="E519" i="4"/>
  <c r="D519" i="4"/>
  <c r="C519" i="4"/>
  <c r="B519" i="4"/>
  <c r="E518" i="4"/>
  <c r="D518" i="4"/>
  <c r="C518" i="4"/>
  <c r="B518" i="4"/>
  <c r="E517" i="4"/>
  <c r="D517" i="4"/>
  <c r="C517" i="4"/>
  <c r="B517" i="4"/>
  <c r="E516" i="4"/>
  <c r="D516" i="4"/>
  <c r="C516" i="4"/>
  <c r="B516" i="4"/>
  <c r="E515" i="4"/>
  <c r="D515" i="4"/>
  <c r="C515" i="4"/>
  <c r="B515" i="4"/>
  <c r="E514" i="4"/>
  <c r="D514" i="4"/>
  <c r="C514" i="4"/>
  <c r="B514" i="4"/>
  <c r="E513" i="4"/>
  <c r="D513" i="4"/>
  <c r="C513" i="4"/>
  <c r="B513" i="4"/>
  <c r="E512" i="4"/>
  <c r="D512" i="4"/>
  <c r="C512" i="4"/>
  <c r="B512" i="4"/>
  <c r="E511" i="4"/>
  <c r="D511" i="4"/>
  <c r="C511" i="4"/>
  <c r="B511" i="4"/>
  <c r="E510" i="4"/>
  <c r="D510" i="4"/>
  <c r="C510" i="4"/>
  <c r="B510" i="4"/>
  <c r="E509" i="4"/>
  <c r="D509" i="4"/>
  <c r="C509" i="4"/>
  <c r="B509" i="4"/>
  <c r="E508" i="4"/>
  <c r="D508" i="4"/>
  <c r="C508" i="4"/>
  <c r="B508" i="4"/>
  <c r="E507" i="4"/>
  <c r="D507" i="4"/>
  <c r="C507" i="4"/>
  <c r="B507" i="4"/>
  <c r="E506" i="4"/>
  <c r="D506" i="4"/>
  <c r="C506" i="4"/>
  <c r="B506" i="4"/>
  <c r="E505" i="4"/>
  <c r="D505" i="4"/>
  <c r="C505" i="4"/>
  <c r="B505" i="4"/>
  <c r="E504" i="4"/>
  <c r="D504" i="4"/>
  <c r="C504" i="4"/>
  <c r="B504" i="4"/>
  <c r="E503" i="4"/>
  <c r="D503" i="4"/>
  <c r="C503" i="4"/>
  <c r="B503" i="4"/>
  <c r="E502" i="4"/>
  <c r="D502" i="4"/>
  <c r="C502" i="4"/>
  <c r="B502" i="4"/>
  <c r="E501" i="4"/>
  <c r="D501" i="4"/>
  <c r="C501" i="4"/>
  <c r="B501" i="4"/>
  <c r="E500" i="4"/>
  <c r="D500" i="4"/>
  <c r="C500" i="4"/>
  <c r="B500" i="4"/>
  <c r="E499" i="4"/>
  <c r="D499" i="4"/>
  <c r="C499" i="4"/>
  <c r="B499" i="4"/>
  <c r="E498" i="4"/>
  <c r="D498" i="4"/>
  <c r="C498" i="4"/>
  <c r="B498" i="4"/>
  <c r="E497" i="4"/>
  <c r="D497" i="4"/>
  <c r="C497" i="4"/>
  <c r="B497" i="4"/>
  <c r="E496" i="4"/>
  <c r="D496" i="4"/>
  <c r="C496" i="4"/>
  <c r="B496" i="4"/>
  <c r="E495" i="4"/>
  <c r="D495" i="4"/>
  <c r="C495" i="4"/>
  <c r="B495" i="4"/>
  <c r="E494" i="4"/>
  <c r="D494" i="4"/>
  <c r="C494" i="4"/>
  <c r="B494" i="4"/>
  <c r="E493" i="4"/>
  <c r="D493" i="4"/>
  <c r="C493" i="4"/>
  <c r="B493" i="4"/>
  <c r="E492" i="4"/>
  <c r="D492" i="4"/>
  <c r="C492" i="4"/>
  <c r="B492" i="4"/>
  <c r="E491" i="4"/>
  <c r="D491" i="4"/>
  <c r="C491" i="4"/>
  <c r="B491" i="4"/>
  <c r="E490" i="4"/>
  <c r="D490" i="4"/>
  <c r="C490" i="4"/>
  <c r="B490" i="4"/>
  <c r="E489" i="4"/>
  <c r="D489" i="4"/>
  <c r="C489" i="4"/>
  <c r="B489" i="4"/>
  <c r="E488" i="4"/>
  <c r="D488" i="4"/>
  <c r="C488" i="4"/>
  <c r="B488" i="4"/>
  <c r="E487" i="4"/>
  <c r="D487" i="4"/>
  <c r="C487" i="4"/>
  <c r="B487" i="4"/>
  <c r="E486" i="4"/>
  <c r="D486" i="4"/>
  <c r="C486" i="4"/>
  <c r="B486" i="4"/>
  <c r="E485" i="4"/>
  <c r="D485" i="4"/>
  <c r="C485" i="4"/>
  <c r="B485" i="4"/>
  <c r="E484" i="4"/>
  <c r="D484" i="4"/>
  <c r="C484" i="4"/>
  <c r="B484" i="4"/>
  <c r="E483" i="4"/>
  <c r="D483" i="4"/>
  <c r="C483" i="4"/>
  <c r="B483" i="4"/>
  <c r="E482" i="4"/>
  <c r="D482" i="4"/>
  <c r="C482" i="4"/>
  <c r="B482" i="4"/>
  <c r="E481" i="4"/>
  <c r="D481" i="4"/>
  <c r="C481" i="4"/>
  <c r="B481" i="4"/>
  <c r="E480" i="4"/>
  <c r="D480" i="4"/>
  <c r="C480" i="4"/>
  <c r="B480" i="4"/>
  <c r="E479" i="4"/>
  <c r="D479" i="4"/>
  <c r="C479" i="4"/>
  <c r="B479" i="4"/>
  <c r="E478" i="4"/>
  <c r="D478" i="4"/>
  <c r="C478" i="4"/>
  <c r="B478" i="4"/>
  <c r="E477" i="4"/>
  <c r="D477" i="4"/>
  <c r="C477" i="4"/>
  <c r="B477" i="4"/>
  <c r="E476" i="4"/>
  <c r="D476" i="4"/>
  <c r="C476" i="4"/>
  <c r="B476" i="4"/>
  <c r="E475" i="4"/>
  <c r="D475" i="4"/>
  <c r="C475" i="4"/>
  <c r="B475" i="4"/>
  <c r="E474" i="4"/>
  <c r="D474" i="4"/>
  <c r="C474" i="4"/>
  <c r="B474" i="4"/>
  <c r="E473" i="4"/>
  <c r="D473" i="4"/>
  <c r="C473" i="4"/>
  <c r="B473" i="4"/>
  <c r="E472" i="4"/>
  <c r="D472" i="4"/>
  <c r="C472" i="4"/>
  <c r="B472" i="4"/>
  <c r="E471" i="4"/>
  <c r="D471" i="4"/>
  <c r="C471" i="4"/>
  <c r="B471" i="4"/>
  <c r="E470" i="4"/>
  <c r="D470" i="4"/>
  <c r="C470" i="4"/>
  <c r="B470" i="4"/>
  <c r="E469" i="4"/>
  <c r="D469" i="4"/>
  <c r="C469" i="4"/>
  <c r="B469" i="4"/>
  <c r="E468" i="4"/>
  <c r="D468" i="4"/>
  <c r="C468" i="4"/>
  <c r="B468" i="4"/>
  <c r="E467" i="4"/>
  <c r="D467" i="4"/>
  <c r="C467" i="4"/>
  <c r="B467" i="4"/>
  <c r="E466" i="4"/>
  <c r="D466" i="4"/>
  <c r="C466" i="4"/>
  <c r="B466" i="4"/>
  <c r="E465" i="4"/>
  <c r="D465" i="4"/>
  <c r="C465" i="4"/>
  <c r="B465" i="4"/>
  <c r="E464" i="4"/>
  <c r="D464" i="4"/>
  <c r="C464" i="4"/>
  <c r="B464" i="4"/>
  <c r="E463" i="4"/>
  <c r="D463" i="4"/>
  <c r="C463" i="4"/>
  <c r="B463" i="4"/>
  <c r="E462" i="4"/>
  <c r="D462" i="4"/>
  <c r="C462" i="4"/>
  <c r="B462" i="4"/>
  <c r="E461" i="4"/>
  <c r="D461" i="4"/>
  <c r="C461" i="4"/>
  <c r="B461" i="4"/>
  <c r="E460" i="4"/>
  <c r="D460" i="4"/>
  <c r="C460" i="4"/>
  <c r="B460" i="4"/>
  <c r="E459" i="4"/>
  <c r="D459" i="4"/>
  <c r="C459" i="4"/>
  <c r="B459" i="4"/>
  <c r="E458" i="4"/>
  <c r="D458" i="4"/>
  <c r="C458" i="4"/>
  <c r="B458" i="4"/>
  <c r="E457" i="4"/>
  <c r="D457" i="4"/>
  <c r="C457" i="4"/>
  <c r="B457" i="4"/>
  <c r="E456" i="4"/>
  <c r="D456" i="4"/>
  <c r="C456" i="4"/>
  <c r="B456" i="4"/>
  <c r="E455" i="4"/>
  <c r="D455" i="4"/>
  <c r="C455" i="4"/>
  <c r="B455" i="4"/>
  <c r="E454" i="4"/>
  <c r="D454" i="4"/>
  <c r="C454" i="4"/>
  <c r="B454" i="4"/>
  <c r="E453" i="4"/>
  <c r="D453" i="4"/>
  <c r="C453" i="4"/>
  <c r="B453" i="4"/>
  <c r="E452" i="4"/>
  <c r="D452" i="4"/>
  <c r="C452" i="4"/>
  <c r="B452" i="4"/>
  <c r="E451" i="4"/>
  <c r="D451" i="4"/>
  <c r="C451" i="4"/>
  <c r="B451" i="4"/>
  <c r="E450" i="4"/>
  <c r="D450" i="4"/>
  <c r="C450" i="4"/>
  <c r="B450" i="4"/>
  <c r="E449" i="4"/>
  <c r="D449" i="4"/>
  <c r="C449" i="4"/>
  <c r="B449" i="4"/>
  <c r="E448" i="4"/>
  <c r="D448" i="4"/>
  <c r="C448" i="4"/>
  <c r="B448" i="4"/>
  <c r="E447" i="4"/>
  <c r="D447" i="4"/>
  <c r="C447" i="4"/>
  <c r="B447" i="4"/>
  <c r="E446" i="4"/>
  <c r="D446" i="4"/>
  <c r="C446" i="4"/>
  <c r="B446" i="4"/>
  <c r="E445" i="4"/>
  <c r="D445" i="4"/>
  <c r="C445" i="4"/>
  <c r="B445" i="4"/>
  <c r="E444" i="4"/>
  <c r="D444" i="4"/>
  <c r="C444" i="4"/>
  <c r="B444" i="4"/>
  <c r="E443" i="4"/>
  <c r="D443" i="4"/>
  <c r="C443" i="4"/>
  <c r="B443" i="4"/>
  <c r="E442" i="4"/>
  <c r="D442" i="4"/>
  <c r="C442" i="4"/>
  <c r="B442" i="4"/>
  <c r="E441" i="4"/>
  <c r="D441" i="4"/>
  <c r="C441" i="4"/>
  <c r="B441" i="4"/>
  <c r="E440" i="4"/>
  <c r="D440" i="4"/>
  <c r="C440" i="4"/>
  <c r="B440" i="4"/>
  <c r="E439" i="4"/>
  <c r="D439" i="4"/>
  <c r="C439" i="4"/>
  <c r="B439" i="4"/>
  <c r="E438" i="4"/>
  <c r="D438" i="4"/>
  <c r="C438" i="4"/>
  <c r="B438" i="4"/>
  <c r="E437" i="4"/>
  <c r="D437" i="4"/>
  <c r="C437" i="4"/>
  <c r="B437" i="4"/>
  <c r="E436" i="4"/>
  <c r="D436" i="4"/>
  <c r="C436" i="4"/>
  <c r="B436" i="4"/>
  <c r="E435" i="4"/>
  <c r="D435" i="4"/>
  <c r="C435" i="4"/>
  <c r="B435" i="4"/>
  <c r="E434" i="4"/>
  <c r="D434" i="4"/>
  <c r="C434" i="4"/>
  <c r="B434" i="4"/>
  <c r="E433" i="4"/>
  <c r="D433" i="4"/>
  <c r="C433" i="4"/>
  <c r="B433" i="4"/>
  <c r="E432" i="4"/>
  <c r="D432" i="4"/>
  <c r="C432" i="4"/>
  <c r="B432" i="4"/>
  <c r="E431" i="4"/>
  <c r="D431" i="4"/>
  <c r="C431" i="4"/>
  <c r="B431" i="4"/>
  <c r="E430" i="4"/>
  <c r="D430" i="4"/>
  <c r="C430" i="4"/>
  <c r="B430" i="4"/>
  <c r="E429" i="4"/>
  <c r="D429" i="4"/>
  <c r="C429" i="4"/>
  <c r="B429" i="4"/>
  <c r="E428" i="4"/>
  <c r="D428" i="4"/>
  <c r="C428" i="4"/>
  <c r="B428" i="4"/>
  <c r="E427" i="4"/>
  <c r="D427" i="4"/>
  <c r="C427" i="4"/>
  <c r="B427" i="4"/>
  <c r="E426" i="4"/>
  <c r="D426" i="4"/>
  <c r="C426" i="4"/>
  <c r="B426" i="4"/>
  <c r="E425" i="4"/>
  <c r="D425" i="4"/>
  <c r="C425" i="4"/>
  <c r="B425" i="4"/>
  <c r="E424" i="4"/>
  <c r="D424" i="4"/>
  <c r="C424" i="4"/>
  <c r="B424" i="4"/>
  <c r="E423" i="4"/>
  <c r="D423" i="4"/>
  <c r="C423" i="4"/>
  <c r="B423" i="4"/>
  <c r="E422" i="4"/>
  <c r="D422" i="4"/>
  <c r="C422" i="4"/>
  <c r="B422" i="4"/>
  <c r="E421" i="4"/>
  <c r="D421" i="4"/>
  <c r="C421" i="4"/>
  <c r="B421" i="4"/>
  <c r="E420" i="4"/>
  <c r="D420" i="4"/>
  <c r="C420" i="4"/>
  <c r="B420" i="4"/>
  <c r="E419" i="4"/>
  <c r="D419" i="4"/>
  <c r="C419" i="4"/>
  <c r="B419" i="4"/>
  <c r="E418" i="4"/>
  <c r="D418" i="4"/>
  <c r="C418" i="4"/>
  <c r="B418" i="4"/>
  <c r="E417" i="4"/>
  <c r="D417" i="4"/>
  <c r="C417" i="4"/>
  <c r="B417" i="4"/>
  <c r="E416" i="4"/>
  <c r="D416" i="4"/>
  <c r="C416" i="4"/>
  <c r="B416" i="4"/>
  <c r="E415" i="4"/>
  <c r="D415" i="4"/>
  <c r="C415" i="4"/>
  <c r="B415" i="4"/>
  <c r="E414" i="4"/>
  <c r="D414" i="4"/>
  <c r="C414" i="4"/>
  <c r="B414" i="4"/>
  <c r="E413" i="4"/>
  <c r="D413" i="4"/>
  <c r="C413" i="4"/>
  <c r="B413" i="4"/>
  <c r="E412" i="4"/>
  <c r="D412" i="4"/>
  <c r="C412" i="4"/>
  <c r="B412" i="4"/>
  <c r="E411" i="4"/>
  <c r="D411" i="4"/>
  <c r="C411" i="4"/>
  <c r="B411" i="4"/>
  <c r="E410" i="4"/>
  <c r="D410" i="4"/>
  <c r="C410" i="4"/>
  <c r="B410" i="4"/>
  <c r="E409" i="4"/>
  <c r="D409" i="4"/>
  <c r="C409" i="4"/>
  <c r="B409" i="4"/>
  <c r="E408" i="4"/>
  <c r="D408" i="4"/>
  <c r="C408" i="4"/>
  <c r="B408" i="4"/>
  <c r="E407" i="4"/>
  <c r="D407" i="4"/>
  <c r="C407" i="4"/>
  <c r="B407" i="4"/>
  <c r="E406" i="4"/>
  <c r="D406" i="4"/>
  <c r="C406" i="4"/>
  <c r="B406" i="4"/>
  <c r="E405" i="4"/>
  <c r="D405" i="4"/>
  <c r="C405" i="4"/>
  <c r="B405" i="4"/>
  <c r="E404" i="4"/>
  <c r="D404" i="4"/>
  <c r="C404" i="4"/>
  <c r="B404" i="4"/>
  <c r="E403" i="4"/>
  <c r="D403" i="4"/>
  <c r="C403" i="4"/>
  <c r="B403" i="4"/>
  <c r="E402" i="4"/>
  <c r="D402" i="4"/>
  <c r="C402" i="4"/>
  <c r="B402" i="4"/>
  <c r="E401" i="4"/>
  <c r="D401" i="4"/>
  <c r="C401" i="4"/>
  <c r="B401" i="4"/>
  <c r="E400" i="4"/>
  <c r="D400" i="4"/>
  <c r="C400" i="4"/>
  <c r="B400" i="4"/>
  <c r="E399" i="4"/>
  <c r="D399" i="4"/>
  <c r="C399" i="4"/>
  <c r="B399" i="4"/>
  <c r="E398" i="4"/>
  <c r="D398" i="4"/>
  <c r="C398" i="4"/>
  <c r="B398" i="4"/>
  <c r="E397" i="4"/>
  <c r="D397" i="4"/>
  <c r="C397" i="4"/>
  <c r="B397" i="4"/>
  <c r="E396" i="4"/>
  <c r="D396" i="4"/>
  <c r="C396" i="4"/>
  <c r="B396" i="4"/>
  <c r="E395" i="4"/>
  <c r="D395" i="4"/>
  <c r="C395" i="4"/>
  <c r="B395" i="4"/>
  <c r="E394" i="4"/>
  <c r="D394" i="4"/>
  <c r="C394" i="4"/>
  <c r="B394" i="4"/>
  <c r="E393" i="4"/>
  <c r="D393" i="4"/>
  <c r="C393" i="4"/>
  <c r="B393" i="4"/>
  <c r="E392" i="4"/>
  <c r="D392" i="4"/>
  <c r="C392" i="4"/>
  <c r="B392" i="4"/>
  <c r="E391" i="4"/>
  <c r="D391" i="4"/>
  <c r="C391" i="4"/>
  <c r="B391" i="4"/>
  <c r="E390" i="4"/>
  <c r="D390" i="4"/>
  <c r="C390" i="4"/>
  <c r="B390" i="4"/>
  <c r="E389" i="4"/>
  <c r="D389" i="4"/>
  <c r="C389" i="4"/>
  <c r="B389" i="4"/>
  <c r="E388" i="4"/>
  <c r="D388" i="4"/>
  <c r="C388" i="4"/>
  <c r="B388" i="4"/>
  <c r="E387" i="4"/>
  <c r="D387" i="4"/>
  <c r="C387" i="4"/>
  <c r="B387" i="4"/>
  <c r="E386" i="4"/>
  <c r="D386" i="4"/>
  <c r="C386" i="4"/>
  <c r="B386" i="4"/>
  <c r="E385" i="4"/>
  <c r="D385" i="4"/>
  <c r="C385" i="4"/>
  <c r="B385" i="4"/>
  <c r="E384" i="4"/>
  <c r="D384" i="4"/>
  <c r="C384" i="4"/>
  <c r="B384" i="4"/>
  <c r="E383" i="4"/>
  <c r="D383" i="4"/>
  <c r="C383" i="4"/>
  <c r="B383" i="4"/>
  <c r="E382" i="4"/>
  <c r="D382" i="4"/>
  <c r="C382" i="4"/>
  <c r="B382" i="4"/>
  <c r="E381" i="4"/>
  <c r="D381" i="4"/>
  <c r="C381" i="4"/>
  <c r="B381" i="4"/>
  <c r="E380" i="4"/>
  <c r="D380" i="4"/>
  <c r="C380" i="4"/>
  <c r="B380" i="4"/>
  <c r="E379" i="4"/>
  <c r="D379" i="4"/>
  <c r="C379" i="4"/>
  <c r="B379" i="4"/>
  <c r="E378" i="4"/>
  <c r="D378" i="4"/>
  <c r="C378" i="4"/>
  <c r="B378" i="4"/>
  <c r="E377" i="4"/>
  <c r="D377" i="4"/>
  <c r="C377" i="4"/>
  <c r="B377" i="4"/>
  <c r="E376" i="4"/>
  <c r="D376" i="4"/>
  <c r="C376" i="4"/>
  <c r="B376" i="4"/>
  <c r="E375" i="4"/>
  <c r="D375" i="4"/>
  <c r="C375" i="4"/>
  <c r="B375" i="4"/>
  <c r="E374" i="4"/>
  <c r="D374" i="4"/>
  <c r="C374" i="4"/>
  <c r="B374" i="4"/>
  <c r="E373" i="4"/>
  <c r="D373" i="4"/>
  <c r="C373" i="4"/>
  <c r="B373" i="4"/>
  <c r="E372" i="4"/>
  <c r="D372" i="4"/>
  <c r="C372" i="4"/>
  <c r="B372" i="4"/>
  <c r="E371" i="4"/>
  <c r="D371" i="4"/>
  <c r="C371" i="4"/>
  <c r="B371" i="4"/>
  <c r="E370" i="4"/>
  <c r="D370" i="4"/>
  <c r="C370" i="4"/>
  <c r="B370" i="4"/>
  <c r="E369" i="4"/>
  <c r="D369" i="4"/>
  <c r="C369" i="4"/>
  <c r="B369" i="4"/>
  <c r="E368" i="4"/>
  <c r="D368" i="4"/>
  <c r="C368" i="4"/>
  <c r="B368" i="4"/>
  <c r="E367" i="4"/>
  <c r="D367" i="4"/>
  <c r="C367" i="4"/>
  <c r="B367" i="4"/>
  <c r="E366" i="4"/>
  <c r="D366" i="4"/>
  <c r="C366" i="4"/>
  <c r="B366" i="4"/>
  <c r="E365" i="4"/>
  <c r="D365" i="4"/>
  <c r="C365" i="4"/>
  <c r="B365" i="4"/>
  <c r="E364" i="4"/>
  <c r="D364" i="4"/>
  <c r="C364" i="4"/>
  <c r="B364" i="4"/>
  <c r="E363" i="4"/>
  <c r="D363" i="4"/>
  <c r="C363" i="4"/>
  <c r="B363" i="4"/>
  <c r="E362" i="4"/>
  <c r="D362" i="4"/>
  <c r="C362" i="4"/>
  <c r="B362" i="4"/>
  <c r="E361" i="4"/>
  <c r="D361" i="4"/>
  <c r="C361" i="4"/>
  <c r="B361" i="4"/>
  <c r="E360" i="4"/>
  <c r="D360" i="4"/>
  <c r="C360" i="4"/>
  <c r="B360" i="4"/>
  <c r="E359" i="4"/>
  <c r="D359" i="4"/>
  <c r="C359" i="4"/>
  <c r="B359" i="4"/>
  <c r="E358" i="4"/>
  <c r="D358" i="4"/>
  <c r="C358" i="4"/>
  <c r="B358" i="4"/>
  <c r="E357" i="4"/>
  <c r="D357" i="4"/>
  <c r="C357" i="4"/>
  <c r="B357" i="4"/>
  <c r="E356" i="4"/>
  <c r="D356" i="4"/>
  <c r="C356" i="4"/>
  <c r="B356" i="4"/>
  <c r="E355" i="4"/>
  <c r="D355" i="4"/>
  <c r="C355" i="4"/>
  <c r="B355" i="4"/>
  <c r="E354" i="4"/>
  <c r="D354" i="4"/>
  <c r="C354" i="4"/>
  <c r="B354" i="4"/>
  <c r="E353" i="4"/>
  <c r="D353" i="4"/>
  <c r="C353" i="4"/>
  <c r="B353" i="4"/>
  <c r="E352" i="4"/>
  <c r="D352" i="4"/>
  <c r="C352" i="4"/>
  <c r="B352" i="4"/>
  <c r="E351" i="4"/>
  <c r="D351" i="4"/>
  <c r="C351" i="4"/>
  <c r="B351" i="4"/>
  <c r="E350" i="4"/>
  <c r="D350" i="4"/>
  <c r="C350" i="4"/>
  <c r="B350" i="4"/>
  <c r="E349" i="4"/>
  <c r="D349" i="4"/>
  <c r="C349" i="4"/>
  <c r="B349" i="4"/>
  <c r="E348" i="4"/>
  <c r="D348" i="4"/>
  <c r="C348" i="4"/>
  <c r="B348" i="4"/>
  <c r="E347" i="4"/>
  <c r="D347" i="4"/>
  <c r="C347" i="4"/>
  <c r="B347" i="4"/>
  <c r="E346" i="4"/>
  <c r="D346" i="4"/>
  <c r="C346" i="4"/>
  <c r="B346" i="4"/>
  <c r="E345" i="4"/>
  <c r="D345" i="4"/>
  <c r="C345" i="4"/>
  <c r="B345" i="4"/>
  <c r="E344" i="4"/>
  <c r="D344" i="4"/>
  <c r="C344" i="4"/>
  <c r="B344" i="4"/>
  <c r="E343" i="4"/>
  <c r="D343" i="4"/>
  <c r="C343" i="4"/>
  <c r="B343" i="4"/>
  <c r="E342" i="4"/>
  <c r="D342" i="4"/>
  <c r="C342" i="4"/>
  <c r="B342" i="4"/>
  <c r="E341" i="4"/>
  <c r="D341" i="4"/>
  <c r="C341" i="4"/>
  <c r="B341" i="4"/>
  <c r="E340" i="4"/>
  <c r="D340" i="4"/>
  <c r="C340" i="4"/>
  <c r="B340" i="4"/>
  <c r="E339" i="4"/>
  <c r="D339" i="4"/>
  <c r="C339" i="4"/>
  <c r="B339" i="4"/>
  <c r="E338" i="4"/>
  <c r="D338" i="4"/>
  <c r="C338" i="4"/>
  <c r="B338" i="4"/>
  <c r="E337" i="4"/>
  <c r="D337" i="4"/>
  <c r="C337" i="4"/>
  <c r="B337" i="4"/>
  <c r="E336" i="4"/>
  <c r="D336" i="4"/>
  <c r="C336" i="4"/>
  <c r="B336" i="4"/>
  <c r="E335" i="4"/>
  <c r="D335" i="4"/>
  <c r="C335" i="4"/>
  <c r="B335" i="4"/>
  <c r="E334" i="4"/>
  <c r="D334" i="4"/>
  <c r="C334" i="4"/>
  <c r="B334" i="4"/>
  <c r="E333" i="4"/>
  <c r="D333" i="4"/>
  <c r="C333" i="4"/>
  <c r="B333" i="4"/>
  <c r="E332" i="4"/>
  <c r="D332" i="4"/>
  <c r="C332" i="4"/>
  <c r="B332" i="4"/>
  <c r="E331" i="4"/>
  <c r="D331" i="4"/>
  <c r="C331" i="4"/>
  <c r="B331" i="4"/>
  <c r="E330" i="4"/>
  <c r="D330" i="4"/>
  <c r="C330" i="4"/>
  <c r="B330" i="4"/>
  <c r="E329" i="4"/>
  <c r="D329" i="4"/>
  <c r="C329" i="4"/>
  <c r="B329" i="4"/>
  <c r="E328" i="4"/>
  <c r="D328" i="4"/>
  <c r="C328" i="4"/>
  <c r="B328" i="4"/>
  <c r="E327" i="4"/>
  <c r="D327" i="4"/>
  <c r="C327" i="4"/>
  <c r="B327" i="4"/>
  <c r="E326" i="4"/>
  <c r="D326" i="4"/>
  <c r="C326" i="4"/>
  <c r="B326" i="4"/>
  <c r="E325" i="4"/>
  <c r="D325" i="4"/>
  <c r="C325" i="4"/>
  <c r="B325" i="4"/>
  <c r="E324" i="4"/>
  <c r="D324" i="4"/>
  <c r="C324" i="4"/>
  <c r="B324" i="4"/>
  <c r="E323" i="4"/>
  <c r="D323" i="4"/>
  <c r="C323" i="4"/>
  <c r="B323" i="4"/>
  <c r="E322" i="4"/>
  <c r="D322" i="4"/>
  <c r="C322" i="4"/>
  <c r="B322" i="4"/>
  <c r="E321" i="4"/>
  <c r="D321" i="4"/>
  <c r="C321" i="4"/>
  <c r="B321" i="4"/>
  <c r="E320" i="4"/>
  <c r="D320" i="4"/>
  <c r="C320" i="4"/>
  <c r="B320" i="4"/>
  <c r="E319" i="4"/>
  <c r="D319" i="4"/>
  <c r="C319" i="4"/>
  <c r="B319" i="4"/>
  <c r="E318" i="4"/>
  <c r="D318" i="4"/>
  <c r="C318" i="4"/>
  <c r="B318" i="4"/>
  <c r="E317" i="4"/>
  <c r="D317" i="4"/>
  <c r="C317" i="4"/>
  <c r="B317" i="4"/>
  <c r="E316" i="4"/>
  <c r="D316" i="4"/>
  <c r="C316" i="4"/>
  <c r="B316" i="4"/>
  <c r="E315" i="4"/>
  <c r="D315" i="4"/>
  <c r="C315" i="4"/>
  <c r="B315" i="4"/>
  <c r="E314" i="4"/>
  <c r="D314" i="4"/>
  <c r="C314" i="4"/>
  <c r="B314" i="4"/>
  <c r="E313" i="4"/>
  <c r="D313" i="4"/>
  <c r="C313" i="4"/>
  <c r="B313" i="4"/>
  <c r="E312" i="4"/>
  <c r="D312" i="4"/>
  <c r="C312" i="4"/>
  <c r="B312" i="4"/>
  <c r="E311" i="4"/>
  <c r="D311" i="4"/>
  <c r="C311" i="4"/>
  <c r="B311" i="4"/>
  <c r="E310" i="4"/>
  <c r="D310" i="4"/>
  <c r="C310" i="4"/>
  <c r="B310" i="4"/>
  <c r="E309" i="4"/>
  <c r="D309" i="4"/>
  <c r="C309" i="4"/>
  <c r="B309" i="4"/>
  <c r="E308" i="4"/>
  <c r="D308" i="4"/>
  <c r="C308" i="4"/>
  <c r="B308" i="4"/>
  <c r="E307" i="4"/>
  <c r="D307" i="4"/>
  <c r="C307" i="4"/>
  <c r="B307" i="4"/>
  <c r="E306" i="4"/>
  <c r="D306" i="4"/>
  <c r="C306" i="4"/>
  <c r="B306" i="4"/>
  <c r="E305" i="4"/>
  <c r="D305" i="4"/>
  <c r="C305" i="4"/>
  <c r="B305" i="4"/>
  <c r="E304" i="4"/>
  <c r="D304" i="4"/>
  <c r="C304" i="4"/>
  <c r="B304" i="4"/>
  <c r="E303" i="4"/>
  <c r="D303" i="4"/>
  <c r="C303" i="4"/>
  <c r="B303" i="4"/>
  <c r="E302" i="4"/>
  <c r="D302" i="4"/>
  <c r="C302" i="4"/>
  <c r="B302" i="4"/>
  <c r="E301" i="4"/>
  <c r="D301" i="4"/>
  <c r="C301" i="4"/>
  <c r="B301" i="4"/>
  <c r="E300" i="4"/>
  <c r="D300" i="4"/>
  <c r="C300" i="4"/>
  <c r="B300" i="4"/>
  <c r="E299" i="4"/>
  <c r="D299" i="4"/>
  <c r="C299" i="4"/>
  <c r="B299" i="4"/>
  <c r="E298" i="4"/>
  <c r="D298" i="4"/>
  <c r="C298" i="4"/>
  <c r="B298" i="4"/>
  <c r="E297" i="4"/>
  <c r="D297" i="4"/>
  <c r="C297" i="4"/>
  <c r="B297" i="4"/>
  <c r="E296" i="4"/>
  <c r="D296" i="4"/>
  <c r="C296" i="4"/>
  <c r="B296" i="4"/>
  <c r="E295" i="4"/>
  <c r="D295" i="4"/>
  <c r="C295" i="4"/>
  <c r="B295" i="4"/>
  <c r="E294" i="4"/>
  <c r="D294" i="4"/>
  <c r="C294" i="4"/>
  <c r="B294" i="4"/>
  <c r="E293" i="4"/>
  <c r="D293" i="4"/>
  <c r="C293" i="4"/>
  <c r="B293" i="4"/>
  <c r="E292" i="4"/>
  <c r="D292" i="4"/>
  <c r="C292" i="4"/>
  <c r="B292" i="4"/>
  <c r="E291" i="4"/>
  <c r="D291" i="4"/>
  <c r="C291" i="4"/>
  <c r="B291" i="4"/>
  <c r="E290" i="4"/>
  <c r="D290" i="4"/>
  <c r="C290" i="4"/>
  <c r="B290" i="4"/>
  <c r="E289" i="4"/>
  <c r="D289" i="4"/>
  <c r="C289" i="4"/>
  <c r="B289" i="4"/>
  <c r="E288" i="4"/>
  <c r="D288" i="4"/>
  <c r="C288" i="4"/>
  <c r="B288" i="4"/>
  <c r="E287" i="4"/>
  <c r="D287" i="4"/>
  <c r="C287" i="4"/>
  <c r="B287" i="4"/>
  <c r="E286" i="4"/>
  <c r="D286" i="4"/>
  <c r="C286" i="4"/>
  <c r="B286" i="4"/>
  <c r="E285" i="4"/>
  <c r="D285" i="4"/>
  <c r="C285" i="4"/>
  <c r="B285" i="4"/>
  <c r="E284" i="4"/>
  <c r="D284" i="4"/>
  <c r="C284" i="4"/>
  <c r="B284" i="4"/>
  <c r="E283" i="4"/>
  <c r="D283" i="4"/>
  <c r="C283" i="4"/>
  <c r="B283" i="4"/>
  <c r="E282" i="4"/>
  <c r="D282" i="4"/>
  <c r="C282" i="4"/>
  <c r="B282" i="4"/>
  <c r="E281" i="4"/>
  <c r="D281" i="4"/>
  <c r="C281" i="4"/>
  <c r="B281" i="4"/>
  <c r="E280" i="4"/>
  <c r="D280" i="4"/>
  <c r="C280" i="4"/>
  <c r="B280" i="4"/>
  <c r="E279" i="4"/>
  <c r="D279" i="4"/>
  <c r="C279" i="4"/>
  <c r="B279" i="4"/>
  <c r="E278" i="4"/>
  <c r="D278" i="4"/>
  <c r="C278" i="4"/>
  <c r="B278" i="4"/>
  <c r="E277" i="4"/>
  <c r="D277" i="4"/>
  <c r="C277" i="4"/>
  <c r="B277" i="4"/>
  <c r="E276" i="4"/>
  <c r="D276" i="4"/>
  <c r="C276" i="4"/>
  <c r="B276" i="4"/>
  <c r="E275" i="4"/>
  <c r="D275" i="4"/>
  <c r="C275" i="4"/>
  <c r="B275" i="4"/>
  <c r="E274" i="4"/>
  <c r="D274" i="4"/>
  <c r="C274" i="4"/>
  <c r="B274" i="4"/>
  <c r="E273" i="4"/>
  <c r="D273" i="4"/>
  <c r="C273" i="4"/>
  <c r="B273" i="4"/>
  <c r="E272" i="4"/>
  <c r="D272" i="4"/>
  <c r="C272" i="4"/>
  <c r="B272" i="4"/>
  <c r="E271" i="4"/>
  <c r="D271" i="4"/>
  <c r="C271" i="4"/>
  <c r="B271" i="4"/>
  <c r="E270" i="4"/>
  <c r="D270" i="4"/>
  <c r="C270" i="4"/>
  <c r="B270" i="4"/>
  <c r="E269" i="4"/>
  <c r="D269" i="4"/>
  <c r="C269" i="4"/>
  <c r="B269" i="4"/>
  <c r="E268" i="4"/>
  <c r="D268" i="4"/>
  <c r="C268" i="4"/>
  <c r="B268" i="4"/>
  <c r="E267" i="4"/>
  <c r="D267" i="4"/>
  <c r="C267" i="4"/>
  <c r="B267" i="4"/>
  <c r="E266" i="4"/>
  <c r="D266" i="4"/>
  <c r="C266" i="4"/>
  <c r="B266" i="4"/>
  <c r="E265" i="4"/>
  <c r="D265" i="4"/>
  <c r="C265" i="4"/>
  <c r="B265" i="4"/>
  <c r="E264" i="4"/>
  <c r="D264" i="4"/>
  <c r="C264" i="4"/>
  <c r="B264" i="4"/>
  <c r="E263" i="4"/>
  <c r="D263" i="4"/>
  <c r="C263" i="4"/>
  <c r="B263" i="4"/>
  <c r="E262" i="4"/>
  <c r="D262" i="4"/>
  <c r="C262" i="4"/>
  <c r="B262" i="4"/>
  <c r="E261" i="4"/>
  <c r="D261" i="4"/>
  <c r="C261" i="4"/>
  <c r="B261" i="4"/>
  <c r="E260" i="4"/>
  <c r="D260" i="4"/>
  <c r="C260" i="4"/>
  <c r="B260" i="4"/>
  <c r="E259" i="4"/>
  <c r="D259" i="4"/>
  <c r="C259" i="4"/>
  <c r="B259" i="4"/>
  <c r="E258" i="4"/>
  <c r="D258" i="4"/>
  <c r="C258" i="4"/>
  <c r="B258" i="4"/>
  <c r="E257" i="4"/>
  <c r="D257" i="4"/>
  <c r="C257" i="4"/>
  <c r="B257" i="4"/>
  <c r="E256" i="4"/>
  <c r="D256" i="4"/>
  <c r="C256" i="4"/>
  <c r="B256" i="4"/>
  <c r="E255" i="4"/>
  <c r="D255" i="4"/>
  <c r="C255" i="4"/>
  <c r="B255" i="4"/>
  <c r="E254" i="4"/>
  <c r="D254" i="4"/>
  <c r="C254" i="4"/>
  <c r="B254" i="4"/>
  <c r="E253" i="4"/>
  <c r="D253" i="4"/>
  <c r="C253" i="4"/>
  <c r="B253" i="4"/>
  <c r="E252" i="4"/>
  <c r="D252" i="4"/>
  <c r="C252" i="4"/>
  <c r="B252" i="4"/>
  <c r="E251" i="4"/>
  <c r="D251" i="4"/>
  <c r="C251" i="4"/>
  <c r="B251" i="4"/>
  <c r="E250" i="4"/>
  <c r="D250" i="4"/>
  <c r="C250" i="4"/>
  <c r="B250" i="4"/>
  <c r="E249" i="4"/>
  <c r="D249" i="4"/>
  <c r="C249" i="4"/>
  <c r="B249" i="4"/>
  <c r="E248" i="4"/>
  <c r="D248" i="4"/>
  <c r="C248" i="4"/>
  <c r="B248" i="4"/>
  <c r="E247" i="4"/>
  <c r="D247" i="4"/>
  <c r="C247" i="4"/>
  <c r="B247" i="4"/>
  <c r="E246" i="4"/>
  <c r="D246" i="4"/>
  <c r="C246" i="4"/>
  <c r="B246" i="4"/>
  <c r="E245" i="4"/>
  <c r="D245" i="4"/>
  <c r="C245" i="4"/>
  <c r="B245" i="4"/>
  <c r="E244" i="4"/>
  <c r="D244" i="4"/>
  <c r="C244" i="4"/>
  <c r="B244" i="4"/>
  <c r="E243" i="4"/>
  <c r="D243" i="4"/>
  <c r="C243" i="4"/>
  <c r="B243" i="4"/>
  <c r="E242" i="4"/>
  <c r="D242" i="4"/>
  <c r="C242" i="4"/>
  <c r="B242" i="4"/>
  <c r="E241" i="4"/>
  <c r="D241" i="4"/>
  <c r="C241" i="4"/>
  <c r="B241" i="4"/>
  <c r="E240" i="4"/>
  <c r="D240" i="4"/>
  <c r="C240" i="4"/>
  <c r="B240" i="4"/>
  <c r="E239" i="4"/>
  <c r="D239" i="4"/>
  <c r="C239" i="4"/>
  <c r="B239" i="4"/>
  <c r="E238" i="4"/>
  <c r="D238" i="4"/>
  <c r="C238" i="4"/>
  <c r="B238" i="4"/>
  <c r="E237" i="4"/>
  <c r="D237" i="4"/>
  <c r="C237" i="4"/>
  <c r="B237" i="4"/>
  <c r="E236" i="4"/>
  <c r="D236" i="4"/>
  <c r="C236" i="4"/>
  <c r="B236" i="4"/>
  <c r="E235" i="4"/>
  <c r="D235" i="4"/>
  <c r="C235" i="4"/>
  <c r="B235" i="4"/>
  <c r="E234" i="4"/>
  <c r="D234" i="4"/>
  <c r="C234" i="4"/>
  <c r="B234" i="4"/>
  <c r="E233" i="4"/>
  <c r="D233" i="4"/>
  <c r="C233" i="4"/>
  <c r="B233" i="4"/>
  <c r="E232" i="4"/>
  <c r="D232" i="4"/>
  <c r="C232" i="4"/>
  <c r="B232" i="4"/>
  <c r="E231" i="4"/>
  <c r="D231" i="4"/>
  <c r="C231" i="4"/>
  <c r="B231" i="4"/>
  <c r="E230" i="4"/>
  <c r="D230" i="4"/>
  <c r="C230" i="4"/>
  <c r="B230" i="4"/>
  <c r="E229" i="4"/>
  <c r="D229" i="4"/>
  <c r="C229" i="4"/>
  <c r="B229" i="4"/>
  <c r="E228" i="4"/>
  <c r="D228" i="4"/>
  <c r="C228" i="4"/>
  <c r="B228" i="4"/>
  <c r="E227" i="4"/>
  <c r="D227" i="4"/>
  <c r="C227" i="4"/>
  <c r="B227" i="4"/>
  <c r="E226" i="4"/>
  <c r="D226" i="4"/>
  <c r="C226" i="4"/>
  <c r="B226" i="4"/>
  <c r="E225" i="4"/>
  <c r="D225" i="4"/>
  <c r="C225" i="4"/>
  <c r="B225" i="4"/>
  <c r="E224" i="4"/>
  <c r="D224" i="4"/>
  <c r="C224" i="4"/>
  <c r="B224" i="4"/>
  <c r="E223" i="4"/>
  <c r="D223" i="4"/>
  <c r="C223" i="4"/>
  <c r="B223" i="4"/>
  <c r="E222" i="4"/>
  <c r="D222" i="4"/>
  <c r="C222" i="4"/>
  <c r="B222" i="4"/>
  <c r="E221" i="4"/>
  <c r="D221" i="4"/>
  <c r="C221" i="4"/>
  <c r="B221" i="4"/>
  <c r="E220" i="4"/>
  <c r="D220" i="4"/>
  <c r="C220" i="4"/>
  <c r="B220" i="4"/>
  <c r="E219" i="4"/>
  <c r="D219" i="4"/>
  <c r="C219" i="4"/>
  <c r="B219" i="4"/>
  <c r="E218" i="4"/>
  <c r="D218" i="4"/>
  <c r="C218" i="4"/>
  <c r="B218" i="4"/>
  <c r="E217" i="4"/>
  <c r="D217" i="4"/>
  <c r="C217" i="4"/>
  <c r="B217" i="4"/>
  <c r="E216" i="4"/>
  <c r="D216" i="4"/>
  <c r="C216" i="4"/>
  <c r="B216" i="4"/>
  <c r="E215" i="4"/>
  <c r="D215" i="4"/>
  <c r="C215" i="4"/>
  <c r="B215" i="4"/>
  <c r="E214" i="4"/>
  <c r="D214" i="4"/>
  <c r="C214" i="4"/>
  <c r="B214" i="4"/>
  <c r="E213" i="4"/>
  <c r="D213" i="4"/>
  <c r="C213" i="4"/>
  <c r="B213" i="4"/>
  <c r="E212" i="4"/>
  <c r="D212" i="4"/>
  <c r="C212" i="4"/>
  <c r="B212" i="4"/>
  <c r="E211" i="4"/>
  <c r="D211" i="4"/>
  <c r="C211" i="4"/>
  <c r="B211" i="4"/>
  <c r="E210" i="4"/>
  <c r="D210" i="4"/>
  <c r="C210" i="4"/>
  <c r="B210" i="4"/>
  <c r="E209" i="4"/>
  <c r="D209" i="4"/>
  <c r="C209" i="4"/>
  <c r="B209" i="4"/>
  <c r="E208" i="4"/>
  <c r="D208" i="4"/>
  <c r="C208" i="4"/>
  <c r="B208" i="4"/>
  <c r="E207" i="4"/>
  <c r="D207" i="4"/>
  <c r="C207" i="4"/>
  <c r="B207" i="4"/>
  <c r="E206" i="4"/>
  <c r="D206" i="4"/>
  <c r="C206" i="4"/>
  <c r="B206" i="4"/>
  <c r="E205" i="4"/>
  <c r="D205" i="4"/>
  <c r="C205" i="4"/>
  <c r="B205" i="4"/>
  <c r="E204" i="4"/>
  <c r="D204" i="4"/>
  <c r="C204" i="4"/>
  <c r="B204" i="4"/>
  <c r="E203" i="4"/>
  <c r="D203" i="4"/>
  <c r="C203" i="4"/>
  <c r="B203" i="4"/>
  <c r="E202" i="4"/>
  <c r="D202" i="4"/>
  <c r="C202" i="4"/>
  <c r="B202" i="4"/>
  <c r="E201" i="4"/>
  <c r="D201" i="4"/>
  <c r="C201" i="4"/>
  <c r="B201" i="4"/>
  <c r="E200" i="4"/>
  <c r="D200" i="4"/>
  <c r="C200" i="4"/>
  <c r="B200" i="4"/>
  <c r="E199" i="4"/>
  <c r="D199" i="4"/>
  <c r="C199" i="4"/>
  <c r="B199" i="4"/>
  <c r="E198" i="4"/>
  <c r="D198" i="4"/>
  <c r="C198" i="4"/>
  <c r="B198" i="4"/>
  <c r="E197" i="4"/>
  <c r="D197" i="4"/>
  <c r="C197" i="4"/>
  <c r="B197" i="4"/>
  <c r="E196" i="4"/>
  <c r="D196" i="4"/>
  <c r="C196" i="4"/>
  <c r="B196" i="4"/>
  <c r="E195" i="4"/>
  <c r="D195" i="4"/>
  <c r="C195" i="4"/>
  <c r="B195" i="4"/>
  <c r="E194" i="4"/>
  <c r="D194" i="4"/>
  <c r="C194" i="4"/>
  <c r="B194" i="4"/>
  <c r="E193" i="4"/>
  <c r="D193" i="4"/>
  <c r="C193" i="4"/>
  <c r="B193" i="4"/>
  <c r="E192" i="4"/>
  <c r="D192" i="4"/>
  <c r="C192" i="4"/>
  <c r="B192" i="4"/>
  <c r="E191" i="4"/>
  <c r="D191" i="4"/>
  <c r="C191" i="4"/>
  <c r="B191" i="4"/>
  <c r="E190" i="4"/>
  <c r="D190" i="4"/>
  <c r="C190" i="4"/>
  <c r="B190" i="4"/>
  <c r="E189" i="4"/>
  <c r="D189" i="4"/>
  <c r="C189" i="4"/>
  <c r="B189" i="4"/>
  <c r="E188" i="4"/>
  <c r="D188" i="4"/>
  <c r="C188" i="4"/>
  <c r="B188" i="4"/>
  <c r="E187" i="4"/>
  <c r="D187" i="4"/>
  <c r="C187" i="4"/>
  <c r="B187" i="4"/>
  <c r="E186" i="4"/>
  <c r="D186" i="4"/>
  <c r="C186" i="4"/>
  <c r="B186" i="4"/>
  <c r="E185" i="4"/>
  <c r="D185" i="4"/>
  <c r="C185" i="4"/>
  <c r="B185" i="4"/>
  <c r="E184" i="4"/>
  <c r="D184" i="4"/>
  <c r="C184" i="4"/>
  <c r="B184" i="4"/>
  <c r="E183" i="4"/>
  <c r="D183" i="4"/>
  <c r="C183" i="4"/>
  <c r="B183" i="4"/>
  <c r="E182" i="4"/>
  <c r="D182" i="4"/>
  <c r="C182" i="4"/>
  <c r="B182" i="4"/>
  <c r="E181" i="4"/>
  <c r="D181" i="4"/>
  <c r="C181" i="4"/>
  <c r="B181" i="4"/>
  <c r="E180" i="4"/>
  <c r="D180" i="4"/>
  <c r="C180" i="4"/>
  <c r="B180" i="4"/>
  <c r="E179" i="4"/>
  <c r="D179" i="4"/>
  <c r="C179" i="4"/>
  <c r="B179" i="4"/>
  <c r="E178" i="4"/>
  <c r="D178" i="4"/>
  <c r="C178" i="4"/>
  <c r="B178" i="4"/>
  <c r="E177" i="4"/>
  <c r="D177" i="4"/>
  <c r="C177" i="4"/>
  <c r="B177" i="4"/>
  <c r="E176" i="4"/>
  <c r="D176" i="4"/>
  <c r="C176" i="4"/>
  <c r="B176" i="4"/>
  <c r="E175" i="4"/>
  <c r="D175" i="4"/>
  <c r="C175" i="4"/>
  <c r="B175" i="4"/>
  <c r="E174" i="4"/>
  <c r="D174" i="4"/>
  <c r="C174" i="4"/>
  <c r="B174" i="4"/>
  <c r="E173" i="4"/>
  <c r="D173" i="4"/>
  <c r="C173" i="4"/>
  <c r="B173" i="4"/>
  <c r="E172" i="4"/>
  <c r="D172" i="4"/>
  <c r="C172" i="4"/>
  <c r="B172" i="4"/>
  <c r="E171" i="4"/>
  <c r="D171" i="4"/>
  <c r="C171" i="4"/>
  <c r="B171" i="4"/>
  <c r="E170" i="4"/>
  <c r="D170" i="4"/>
  <c r="C170" i="4"/>
  <c r="B170" i="4"/>
  <c r="E169" i="4"/>
  <c r="D169" i="4"/>
  <c r="C169" i="4"/>
  <c r="B169" i="4"/>
  <c r="E168" i="4"/>
  <c r="D168" i="4"/>
  <c r="C168" i="4"/>
  <c r="B168" i="4"/>
  <c r="E167" i="4"/>
  <c r="D167" i="4"/>
  <c r="C167" i="4"/>
  <c r="B167" i="4"/>
  <c r="E166" i="4"/>
  <c r="D166" i="4"/>
  <c r="C166" i="4"/>
  <c r="B166" i="4"/>
  <c r="E165" i="4"/>
  <c r="D165" i="4"/>
  <c r="C165" i="4"/>
  <c r="B165" i="4"/>
  <c r="E164" i="4"/>
  <c r="D164" i="4"/>
  <c r="C164" i="4"/>
  <c r="B164" i="4"/>
  <c r="E163" i="4"/>
  <c r="D163" i="4"/>
  <c r="C163" i="4"/>
  <c r="B163" i="4"/>
  <c r="E162" i="4"/>
  <c r="D162" i="4"/>
  <c r="C162" i="4"/>
  <c r="B162" i="4"/>
  <c r="E161" i="4"/>
  <c r="D161" i="4"/>
  <c r="C161" i="4"/>
  <c r="B161" i="4"/>
  <c r="E160" i="4"/>
  <c r="D160" i="4"/>
  <c r="C160" i="4"/>
  <c r="B160" i="4"/>
  <c r="E159" i="4"/>
  <c r="D159" i="4"/>
  <c r="C159" i="4"/>
  <c r="B159" i="4"/>
  <c r="E158" i="4"/>
  <c r="D158" i="4"/>
  <c r="C158" i="4"/>
  <c r="B158" i="4"/>
  <c r="E157" i="4"/>
  <c r="D157" i="4"/>
  <c r="C157" i="4"/>
  <c r="B157" i="4"/>
  <c r="E156" i="4"/>
  <c r="D156" i="4"/>
  <c r="C156" i="4"/>
  <c r="B156" i="4"/>
  <c r="E155" i="4"/>
  <c r="D155" i="4"/>
  <c r="C155" i="4"/>
  <c r="B155" i="4"/>
  <c r="E154" i="4"/>
  <c r="D154" i="4"/>
  <c r="C154" i="4"/>
  <c r="B154" i="4"/>
  <c r="E153" i="4"/>
  <c r="D153" i="4"/>
  <c r="C153" i="4"/>
  <c r="B153" i="4"/>
  <c r="E152" i="4"/>
  <c r="D152" i="4"/>
  <c r="C152" i="4"/>
  <c r="B152" i="4"/>
  <c r="E151" i="4"/>
  <c r="D151" i="4"/>
  <c r="C151" i="4"/>
  <c r="B151" i="4"/>
  <c r="E150" i="4"/>
  <c r="D150" i="4"/>
  <c r="C150" i="4"/>
  <c r="B150" i="4"/>
  <c r="E149" i="4"/>
  <c r="D149" i="4"/>
  <c r="C149" i="4"/>
  <c r="B149" i="4"/>
  <c r="E148" i="4"/>
  <c r="D148" i="4"/>
  <c r="C148" i="4"/>
  <c r="B148" i="4"/>
  <c r="E147" i="4"/>
  <c r="D147" i="4"/>
  <c r="C147" i="4"/>
  <c r="B147" i="4"/>
  <c r="E146" i="4"/>
  <c r="D146" i="4"/>
  <c r="C146" i="4"/>
  <c r="B146" i="4"/>
  <c r="E145" i="4"/>
  <c r="D145" i="4"/>
  <c r="C145" i="4"/>
  <c r="B145" i="4"/>
  <c r="E144" i="4"/>
  <c r="D144" i="4"/>
  <c r="C144" i="4"/>
  <c r="B144" i="4"/>
  <c r="E143" i="4"/>
  <c r="D143" i="4"/>
  <c r="C143" i="4"/>
  <c r="B143" i="4"/>
  <c r="E142" i="4"/>
  <c r="D142" i="4"/>
  <c r="C142" i="4"/>
  <c r="B142" i="4"/>
  <c r="E141" i="4"/>
  <c r="D141" i="4"/>
  <c r="C141" i="4"/>
  <c r="B141" i="4"/>
  <c r="E140" i="4"/>
  <c r="D140" i="4"/>
  <c r="C140" i="4"/>
  <c r="B140" i="4"/>
  <c r="E139" i="4"/>
  <c r="D139" i="4"/>
  <c r="C139" i="4"/>
  <c r="B139" i="4"/>
  <c r="E138" i="4"/>
  <c r="D138" i="4"/>
  <c r="C138" i="4"/>
  <c r="B138" i="4"/>
  <c r="E137" i="4"/>
  <c r="D137" i="4"/>
  <c r="C137" i="4"/>
  <c r="B137" i="4"/>
  <c r="E136" i="4"/>
  <c r="D136" i="4"/>
  <c r="C136" i="4"/>
  <c r="B136" i="4"/>
  <c r="E135" i="4"/>
  <c r="D135" i="4"/>
  <c r="C135" i="4"/>
  <c r="B135" i="4"/>
  <c r="E134" i="4"/>
  <c r="D134" i="4"/>
  <c r="C134" i="4"/>
  <c r="B134" i="4"/>
  <c r="E133" i="4"/>
  <c r="D133" i="4"/>
  <c r="C133" i="4"/>
  <c r="B133" i="4"/>
  <c r="E132" i="4"/>
  <c r="D132" i="4"/>
  <c r="C132" i="4"/>
  <c r="B132" i="4"/>
  <c r="E131" i="4"/>
  <c r="D131" i="4"/>
  <c r="C131" i="4"/>
  <c r="B131" i="4"/>
  <c r="E130" i="4"/>
  <c r="D130" i="4"/>
  <c r="C130" i="4"/>
  <c r="B130" i="4"/>
  <c r="E129" i="4"/>
  <c r="D129" i="4"/>
  <c r="C129" i="4"/>
  <c r="B129" i="4"/>
  <c r="E128" i="4"/>
  <c r="D128" i="4"/>
  <c r="C128" i="4"/>
  <c r="B128" i="4"/>
  <c r="E127" i="4"/>
  <c r="D127" i="4"/>
  <c r="C127" i="4"/>
  <c r="B127" i="4"/>
  <c r="E126" i="4"/>
  <c r="D126" i="4"/>
  <c r="C126" i="4"/>
  <c r="B126" i="4"/>
  <c r="E125" i="4"/>
  <c r="D125" i="4"/>
  <c r="C125" i="4"/>
  <c r="B125" i="4"/>
  <c r="E124" i="4"/>
  <c r="D124" i="4"/>
  <c r="C124" i="4"/>
  <c r="B124" i="4"/>
  <c r="E123" i="4"/>
  <c r="D123" i="4"/>
  <c r="C123" i="4"/>
  <c r="B123" i="4"/>
  <c r="E122" i="4"/>
  <c r="D122" i="4"/>
  <c r="C122" i="4"/>
  <c r="B122" i="4"/>
  <c r="E121" i="4"/>
  <c r="D121" i="4"/>
  <c r="C121" i="4"/>
  <c r="B121" i="4"/>
  <c r="E120" i="4"/>
  <c r="D120" i="4"/>
  <c r="C120" i="4"/>
  <c r="B120" i="4"/>
  <c r="E119" i="4"/>
  <c r="D119" i="4"/>
  <c r="C119" i="4"/>
  <c r="B119" i="4"/>
  <c r="E118" i="4"/>
  <c r="D118" i="4"/>
  <c r="C118" i="4"/>
  <c r="B118" i="4"/>
  <c r="E117" i="4"/>
  <c r="D117" i="4"/>
  <c r="C117" i="4"/>
  <c r="B117" i="4"/>
  <c r="E116" i="4"/>
  <c r="D116" i="4"/>
  <c r="C116" i="4"/>
  <c r="B116" i="4"/>
  <c r="E115" i="4"/>
  <c r="D115" i="4"/>
  <c r="C115" i="4"/>
  <c r="B115" i="4"/>
  <c r="E114" i="4"/>
  <c r="D114" i="4"/>
  <c r="C114" i="4"/>
  <c r="B114" i="4"/>
  <c r="E113" i="4"/>
  <c r="D113" i="4"/>
  <c r="C113" i="4"/>
  <c r="B113" i="4"/>
  <c r="E112" i="4"/>
  <c r="D112" i="4"/>
  <c r="C112" i="4"/>
  <c r="B112" i="4"/>
  <c r="E111" i="4"/>
  <c r="D111" i="4"/>
  <c r="C111" i="4"/>
  <c r="B111" i="4"/>
  <c r="E110" i="4"/>
  <c r="D110" i="4"/>
  <c r="C110" i="4"/>
  <c r="B110" i="4"/>
  <c r="E109" i="4"/>
  <c r="D109" i="4"/>
  <c r="C109" i="4"/>
  <c r="B109" i="4"/>
  <c r="E108" i="4"/>
  <c r="D108" i="4"/>
  <c r="C108" i="4"/>
  <c r="B108" i="4"/>
  <c r="E107" i="4"/>
  <c r="D107" i="4"/>
  <c r="C107" i="4"/>
  <c r="B107" i="4"/>
  <c r="E106" i="4"/>
  <c r="D106" i="4"/>
  <c r="C106" i="4"/>
  <c r="B106" i="4"/>
  <c r="E105" i="4"/>
  <c r="D105" i="4"/>
  <c r="C105" i="4"/>
  <c r="B105" i="4"/>
  <c r="E104" i="4"/>
  <c r="D104" i="4"/>
  <c r="C104" i="4"/>
  <c r="B104" i="4"/>
  <c r="E103" i="4"/>
  <c r="D103" i="4"/>
  <c r="C103" i="4"/>
  <c r="B103" i="4"/>
  <c r="E102" i="4"/>
  <c r="D102" i="4"/>
  <c r="C102" i="4"/>
  <c r="B102" i="4"/>
  <c r="E101" i="4"/>
  <c r="D101" i="4"/>
  <c r="C101" i="4"/>
  <c r="B101" i="4"/>
  <c r="E100" i="4"/>
  <c r="D100" i="4"/>
  <c r="C100" i="4"/>
  <c r="B100" i="4"/>
  <c r="E99" i="4"/>
  <c r="D99" i="4"/>
  <c r="C99" i="4"/>
  <c r="B99" i="4"/>
  <c r="E98" i="4"/>
  <c r="D98" i="4"/>
  <c r="C98" i="4"/>
  <c r="B98" i="4"/>
  <c r="E97" i="4"/>
  <c r="D97" i="4"/>
  <c r="C97" i="4"/>
  <c r="B97" i="4"/>
  <c r="E96" i="4"/>
  <c r="D96" i="4"/>
  <c r="C96" i="4"/>
  <c r="B96" i="4"/>
  <c r="E95" i="4"/>
  <c r="D95" i="4"/>
  <c r="C95" i="4"/>
  <c r="B95" i="4"/>
  <c r="E94" i="4"/>
  <c r="D94" i="4"/>
  <c r="C94" i="4"/>
  <c r="B94" i="4"/>
  <c r="E93" i="4"/>
  <c r="D93" i="4"/>
  <c r="C93" i="4"/>
  <c r="B93" i="4"/>
  <c r="E92" i="4"/>
  <c r="D92" i="4"/>
  <c r="C92" i="4"/>
  <c r="B92" i="4"/>
  <c r="E91" i="4"/>
  <c r="D91" i="4"/>
  <c r="C91" i="4"/>
  <c r="B91" i="4"/>
  <c r="E90" i="4"/>
  <c r="D90" i="4"/>
  <c r="C90" i="4"/>
  <c r="B90" i="4"/>
  <c r="E89" i="4"/>
  <c r="D89" i="4"/>
  <c r="C89" i="4"/>
  <c r="B89" i="4"/>
  <c r="E88" i="4"/>
  <c r="D88" i="4"/>
  <c r="C88" i="4"/>
  <c r="B88" i="4"/>
  <c r="E87" i="4"/>
  <c r="D87" i="4"/>
  <c r="C87" i="4"/>
  <c r="B87" i="4"/>
  <c r="E86" i="4"/>
  <c r="D86" i="4"/>
  <c r="C86" i="4"/>
  <c r="B86" i="4"/>
  <c r="E85" i="4"/>
  <c r="D85" i="4"/>
  <c r="C85" i="4"/>
  <c r="B85" i="4"/>
  <c r="E84" i="4"/>
  <c r="D84" i="4"/>
  <c r="C84" i="4"/>
  <c r="B84" i="4"/>
  <c r="E83" i="4"/>
  <c r="D83" i="4"/>
  <c r="C83" i="4"/>
  <c r="B83" i="4"/>
  <c r="E82" i="4"/>
  <c r="D82" i="4"/>
  <c r="C82" i="4"/>
  <c r="B82" i="4"/>
  <c r="E81" i="4"/>
  <c r="D81" i="4"/>
  <c r="C81" i="4"/>
  <c r="B81" i="4"/>
  <c r="E80" i="4"/>
  <c r="D80" i="4"/>
  <c r="C80" i="4"/>
  <c r="B80" i="4"/>
  <c r="E79" i="4"/>
  <c r="D79" i="4"/>
  <c r="C79" i="4"/>
  <c r="B79" i="4"/>
  <c r="E78" i="4"/>
  <c r="D78" i="4"/>
  <c r="C78" i="4"/>
  <c r="B78" i="4"/>
  <c r="E77" i="4"/>
  <c r="D77" i="4"/>
  <c r="C77" i="4"/>
  <c r="B77" i="4"/>
  <c r="E76" i="4"/>
  <c r="D76" i="4"/>
  <c r="C76" i="4"/>
  <c r="B76" i="4"/>
  <c r="E75" i="4"/>
  <c r="D75" i="4"/>
  <c r="C75" i="4"/>
  <c r="B75" i="4"/>
  <c r="E74" i="4"/>
  <c r="D74" i="4"/>
  <c r="C74" i="4"/>
  <c r="B74" i="4"/>
  <c r="E73" i="4"/>
  <c r="D73" i="4"/>
  <c r="C73" i="4"/>
  <c r="B73" i="4"/>
  <c r="E72" i="4"/>
  <c r="D72" i="4"/>
  <c r="C72" i="4"/>
  <c r="B72" i="4"/>
  <c r="E71" i="4"/>
  <c r="D71" i="4"/>
  <c r="C71" i="4"/>
  <c r="B71" i="4"/>
  <c r="E70" i="4"/>
  <c r="D70" i="4"/>
  <c r="C70" i="4"/>
  <c r="B70" i="4"/>
  <c r="E69" i="4"/>
  <c r="D69" i="4"/>
  <c r="C69" i="4"/>
  <c r="B69" i="4"/>
  <c r="E68" i="4"/>
  <c r="D68" i="4"/>
  <c r="C68" i="4"/>
  <c r="B68" i="4"/>
  <c r="E67" i="4"/>
  <c r="D67" i="4"/>
  <c r="C67" i="4"/>
  <c r="B67" i="4"/>
  <c r="E66" i="4"/>
  <c r="D66" i="4"/>
  <c r="C66" i="4"/>
  <c r="B66" i="4"/>
  <c r="E65" i="4"/>
  <c r="D65" i="4"/>
  <c r="C65" i="4"/>
  <c r="B65" i="4"/>
  <c r="E64" i="4"/>
  <c r="D64" i="4"/>
  <c r="C64" i="4"/>
  <c r="B64" i="4"/>
  <c r="E63" i="4"/>
  <c r="D63" i="4"/>
  <c r="C63" i="4"/>
  <c r="B63" i="4"/>
  <c r="E62" i="4"/>
  <c r="D62" i="4"/>
  <c r="C62" i="4"/>
  <c r="B62" i="4"/>
  <c r="E61" i="4"/>
  <c r="D61" i="4"/>
  <c r="C61" i="4"/>
  <c r="B61" i="4"/>
  <c r="E60" i="4"/>
  <c r="D60" i="4"/>
  <c r="C60" i="4"/>
  <c r="B60" i="4"/>
  <c r="E59" i="4"/>
  <c r="D59" i="4"/>
  <c r="C59" i="4"/>
  <c r="B59" i="4"/>
  <c r="E58" i="4"/>
  <c r="D58" i="4"/>
  <c r="C58" i="4"/>
  <c r="B58" i="4"/>
  <c r="E57" i="4"/>
  <c r="D57" i="4"/>
  <c r="C57" i="4"/>
  <c r="B57" i="4"/>
  <c r="E56" i="4"/>
  <c r="D56" i="4"/>
  <c r="C56" i="4"/>
  <c r="B56" i="4"/>
  <c r="E55" i="4"/>
  <c r="D55" i="4"/>
  <c r="C55" i="4"/>
  <c r="B55" i="4"/>
  <c r="E54" i="4"/>
  <c r="D54" i="4"/>
  <c r="C54" i="4"/>
  <c r="B54" i="4"/>
  <c r="E53" i="4"/>
  <c r="D53" i="4"/>
  <c r="C53" i="4"/>
  <c r="B53" i="4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A45" i="1"/>
  <c r="A48" i="1"/>
  <c r="A52" i="1"/>
  <c r="A39" i="1"/>
  <c r="A35" i="1"/>
  <c r="A32" i="1"/>
  <c r="BA211" i="8"/>
  <c r="AZ211" i="8"/>
  <c r="AY211" i="8"/>
  <c r="AX211" i="8"/>
  <c r="AW211" i="8"/>
  <c r="BA210" i="8"/>
  <c r="AZ210" i="8"/>
  <c r="AY210" i="8"/>
  <c r="AX210" i="8"/>
  <c r="AW210" i="8"/>
  <c r="BA209" i="8"/>
  <c r="AZ209" i="8"/>
  <c r="AY209" i="8"/>
  <c r="AX209" i="8"/>
  <c r="AW209" i="8"/>
  <c r="BA208" i="8"/>
  <c r="AZ208" i="8"/>
  <c r="AY208" i="8"/>
  <c r="AX208" i="8"/>
  <c r="AW208" i="8"/>
  <c r="BA207" i="8"/>
  <c r="AZ207" i="8"/>
  <c r="AY207" i="8"/>
  <c r="AX207" i="8"/>
  <c r="AW207" i="8"/>
  <c r="BA206" i="8"/>
  <c r="AZ206" i="8"/>
  <c r="AY206" i="8"/>
  <c r="AX206" i="8"/>
  <c r="AW206" i="8"/>
  <c r="BA205" i="8"/>
  <c r="AZ205" i="8"/>
  <c r="AY205" i="8"/>
  <c r="AX205" i="8"/>
  <c r="AW205" i="8"/>
  <c r="BA204" i="8"/>
  <c r="AZ204" i="8"/>
  <c r="AY204" i="8"/>
  <c r="AX204" i="8"/>
  <c r="AW204" i="8"/>
  <c r="BA203" i="8"/>
  <c r="AZ203" i="8"/>
  <c r="AY203" i="8"/>
  <c r="AX203" i="8"/>
  <c r="AW203" i="8"/>
  <c r="BA202" i="8"/>
  <c r="AZ202" i="8"/>
  <c r="AY202" i="8"/>
  <c r="AX202" i="8"/>
  <c r="AW202" i="8"/>
  <c r="BA201" i="8"/>
  <c r="AZ201" i="8"/>
  <c r="AY201" i="8"/>
  <c r="AX201" i="8"/>
  <c r="AW201" i="8"/>
  <c r="BA200" i="8"/>
  <c r="AZ200" i="8"/>
  <c r="AY200" i="8"/>
  <c r="AX200" i="8"/>
  <c r="AW200" i="8"/>
  <c r="BA199" i="8"/>
  <c r="AZ199" i="8"/>
  <c r="AY199" i="8"/>
  <c r="AX199" i="8"/>
  <c r="AW199" i="8"/>
  <c r="BA198" i="8"/>
  <c r="AZ198" i="8"/>
  <c r="AY198" i="8"/>
  <c r="AX198" i="8"/>
  <c r="AW198" i="8"/>
  <c r="BA197" i="8"/>
  <c r="AZ197" i="8"/>
  <c r="AY197" i="8"/>
  <c r="AX197" i="8"/>
  <c r="AW197" i="8"/>
  <c r="BA196" i="8"/>
  <c r="AZ196" i="8"/>
  <c r="AY196" i="8"/>
  <c r="AX196" i="8"/>
  <c r="AW196" i="8"/>
  <c r="BA195" i="8"/>
  <c r="AZ195" i="8"/>
  <c r="AY195" i="8"/>
  <c r="AX195" i="8"/>
  <c r="AW195" i="8"/>
  <c r="BA194" i="8"/>
  <c r="AZ194" i="8"/>
  <c r="AY194" i="8"/>
  <c r="AX194" i="8"/>
  <c r="AW194" i="8"/>
  <c r="BA193" i="8"/>
  <c r="AZ193" i="8"/>
  <c r="AY193" i="8"/>
  <c r="AX193" i="8"/>
  <c r="AW193" i="8"/>
  <c r="BA192" i="8"/>
  <c r="AZ192" i="8"/>
  <c r="AY192" i="8"/>
  <c r="AX192" i="8"/>
  <c r="AW192" i="8"/>
  <c r="BA191" i="8"/>
  <c r="AZ191" i="8"/>
  <c r="AY191" i="8"/>
  <c r="AX191" i="8"/>
  <c r="AW191" i="8"/>
  <c r="BA190" i="8"/>
  <c r="AZ190" i="8"/>
  <c r="AY190" i="8"/>
  <c r="AX190" i="8"/>
  <c r="AW190" i="8"/>
  <c r="BA189" i="8"/>
  <c r="AZ189" i="8"/>
  <c r="AY189" i="8"/>
  <c r="AX189" i="8"/>
  <c r="AW189" i="8"/>
  <c r="BA188" i="8"/>
  <c r="AZ188" i="8"/>
  <c r="AY188" i="8"/>
  <c r="AX188" i="8"/>
  <c r="AW188" i="8"/>
  <c r="BA187" i="8"/>
  <c r="AZ187" i="8"/>
  <c r="AY187" i="8"/>
  <c r="AX187" i="8"/>
  <c r="AW187" i="8"/>
  <c r="BA186" i="8"/>
  <c r="AZ186" i="8"/>
  <c r="AY186" i="8"/>
  <c r="AX186" i="8"/>
  <c r="AW186" i="8"/>
  <c r="BA185" i="8"/>
  <c r="AZ185" i="8"/>
  <c r="AY185" i="8"/>
  <c r="AX185" i="8"/>
  <c r="AW185" i="8"/>
  <c r="BA184" i="8"/>
  <c r="AZ184" i="8"/>
  <c r="AY184" i="8"/>
  <c r="AX184" i="8"/>
  <c r="AW184" i="8"/>
  <c r="BA183" i="8"/>
  <c r="AZ183" i="8"/>
  <c r="AY183" i="8"/>
  <c r="AX183" i="8"/>
  <c r="AW183" i="8"/>
  <c r="BA182" i="8"/>
  <c r="AZ182" i="8"/>
  <c r="AY182" i="8"/>
  <c r="AX182" i="8"/>
  <c r="AW182" i="8"/>
  <c r="BA181" i="8"/>
  <c r="AZ181" i="8"/>
  <c r="AY181" i="8"/>
  <c r="AX181" i="8"/>
  <c r="AW181" i="8"/>
  <c r="BA180" i="8"/>
  <c r="AZ180" i="8"/>
  <c r="AY180" i="8"/>
  <c r="AX180" i="8"/>
  <c r="AW180" i="8"/>
  <c r="BA179" i="8"/>
  <c r="AZ179" i="8"/>
  <c r="AY179" i="8"/>
  <c r="AX179" i="8"/>
  <c r="AW179" i="8"/>
  <c r="BA178" i="8"/>
  <c r="AZ178" i="8"/>
  <c r="AY178" i="8"/>
  <c r="AX178" i="8"/>
  <c r="AW178" i="8"/>
  <c r="BA177" i="8"/>
  <c r="AZ177" i="8"/>
  <c r="AY177" i="8"/>
  <c r="AX177" i="8"/>
  <c r="AW177" i="8"/>
  <c r="BA176" i="8"/>
  <c r="AZ176" i="8"/>
  <c r="AY176" i="8"/>
  <c r="AX176" i="8"/>
  <c r="AW176" i="8"/>
  <c r="BA175" i="8"/>
  <c r="AZ175" i="8"/>
  <c r="AY175" i="8"/>
  <c r="AX175" i="8"/>
  <c r="AW175" i="8"/>
  <c r="BA174" i="8"/>
  <c r="AZ174" i="8"/>
  <c r="AY174" i="8"/>
  <c r="AX174" i="8"/>
  <c r="AW174" i="8"/>
  <c r="BA173" i="8"/>
  <c r="AZ173" i="8"/>
  <c r="AY173" i="8"/>
  <c r="AX173" i="8"/>
  <c r="AW173" i="8"/>
  <c r="BA172" i="8"/>
  <c r="AZ172" i="8"/>
  <c r="AY172" i="8"/>
  <c r="AX172" i="8"/>
  <c r="AW172" i="8"/>
  <c r="BA171" i="8"/>
  <c r="AZ171" i="8"/>
  <c r="AY171" i="8"/>
  <c r="AX171" i="8"/>
  <c r="AW171" i="8"/>
  <c r="BA170" i="8"/>
  <c r="AZ170" i="8"/>
  <c r="AY170" i="8"/>
  <c r="AX170" i="8"/>
  <c r="AW170" i="8"/>
  <c r="BA169" i="8"/>
  <c r="AZ169" i="8"/>
  <c r="AY169" i="8"/>
  <c r="AX169" i="8"/>
  <c r="AW169" i="8"/>
  <c r="BA168" i="8"/>
  <c r="AZ168" i="8"/>
  <c r="AY168" i="8"/>
  <c r="AX168" i="8"/>
  <c r="AW168" i="8"/>
  <c r="BA167" i="8"/>
  <c r="AZ167" i="8"/>
  <c r="AY167" i="8"/>
  <c r="AX167" i="8"/>
  <c r="AW167" i="8"/>
  <c r="BA166" i="8"/>
  <c r="AZ166" i="8"/>
  <c r="AY166" i="8"/>
  <c r="AX166" i="8"/>
  <c r="AW166" i="8"/>
  <c r="BA165" i="8"/>
  <c r="AZ165" i="8"/>
  <c r="AY165" i="8"/>
  <c r="AX165" i="8"/>
  <c r="AW165" i="8"/>
  <c r="BA164" i="8"/>
  <c r="AZ164" i="8"/>
  <c r="AY164" i="8"/>
  <c r="AX164" i="8"/>
  <c r="AW164" i="8"/>
  <c r="BA163" i="8"/>
  <c r="AZ163" i="8"/>
  <c r="AY163" i="8"/>
  <c r="AX163" i="8"/>
  <c r="AW163" i="8"/>
  <c r="BA162" i="8"/>
  <c r="AZ162" i="8"/>
  <c r="AY162" i="8"/>
  <c r="AX162" i="8"/>
  <c r="AW162" i="8"/>
  <c r="BA161" i="8"/>
  <c r="AZ161" i="8"/>
  <c r="AY161" i="8"/>
  <c r="AX161" i="8"/>
  <c r="AW161" i="8"/>
  <c r="BA160" i="8"/>
  <c r="AZ160" i="8"/>
  <c r="AY160" i="8"/>
  <c r="AX160" i="8"/>
  <c r="AW160" i="8"/>
  <c r="BA159" i="8"/>
  <c r="AZ159" i="8"/>
  <c r="AY159" i="8"/>
  <c r="AX159" i="8"/>
  <c r="AW159" i="8"/>
  <c r="BA158" i="8"/>
  <c r="AZ158" i="8"/>
  <c r="AY158" i="8"/>
  <c r="AX158" i="8"/>
  <c r="AW158" i="8"/>
  <c r="BA157" i="8"/>
  <c r="AZ157" i="8"/>
  <c r="AY157" i="8"/>
  <c r="AX157" i="8"/>
  <c r="AW157" i="8"/>
  <c r="BA156" i="8"/>
  <c r="AZ156" i="8"/>
  <c r="AY156" i="8"/>
  <c r="AX156" i="8"/>
  <c r="AW156" i="8"/>
  <c r="BA155" i="8"/>
  <c r="AZ155" i="8"/>
  <c r="AY155" i="8"/>
  <c r="AX155" i="8"/>
  <c r="AW155" i="8"/>
  <c r="BA154" i="8"/>
  <c r="AZ154" i="8"/>
  <c r="AY154" i="8"/>
  <c r="AX154" i="8"/>
  <c r="AW154" i="8"/>
  <c r="BA153" i="8"/>
  <c r="AZ153" i="8"/>
  <c r="AY153" i="8"/>
  <c r="AX153" i="8"/>
  <c r="AW153" i="8"/>
  <c r="BA152" i="8"/>
  <c r="AZ152" i="8"/>
  <c r="AY152" i="8"/>
  <c r="AX152" i="8"/>
  <c r="AW152" i="8"/>
  <c r="BA151" i="8"/>
  <c r="AZ151" i="8"/>
  <c r="AY151" i="8"/>
  <c r="AX151" i="8"/>
  <c r="AW151" i="8"/>
  <c r="BA150" i="8"/>
  <c r="AZ150" i="8"/>
  <c r="AY150" i="8"/>
  <c r="AX150" i="8"/>
  <c r="AW150" i="8"/>
  <c r="BA149" i="8"/>
  <c r="AZ149" i="8"/>
  <c r="AY149" i="8"/>
  <c r="AX149" i="8"/>
  <c r="AW149" i="8"/>
  <c r="BA148" i="8"/>
  <c r="AZ148" i="8"/>
  <c r="AY148" i="8"/>
  <c r="AX148" i="8"/>
  <c r="AW148" i="8"/>
  <c r="BA147" i="8"/>
  <c r="AZ147" i="8"/>
  <c r="AY147" i="8"/>
  <c r="AX147" i="8"/>
  <c r="AW147" i="8"/>
  <c r="BA146" i="8"/>
  <c r="AZ146" i="8"/>
  <c r="AY146" i="8"/>
  <c r="AX146" i="8"/>
  <c r="AW146" i="8"/>
  <c r="BA145" i="8"/>
  <c r="AZ145" i="8"/>
  <c r="AY145" i="8"/>
  <c r="AX145" i="8"/>
  <c r="AW145" i="8"/>
  <c r="BA144" i="8"/>
  <c r="AZ144" i="8"/>
  <c r="AY144" i="8"/>
  <c r="AX144" i="8"/>
  <c r="AW144" i="8"/>
  <c r="BA143" i="8"/>
  <c r="AZ143" i="8"/>
  <c r="AY143" i="8"/>
  <c r="AX143" i="8"/>
  <c r="AW143" i="8"/>
  <c r="BA142" i="8"/>
  <c r="AZ142" i="8"/>
  <c r="AY142" i="8"/>
  <c r="AX142" i="8"/>
  <c r="AW142" i="8"/>
  <c r="BA141" i="8"/>
  <c r="AZ141" i="8"/>
  <c r="AY141" i="8"/>
  <c r="AX141" i="8"/>
  <c r="AW141" i="8"/>
  <c r="BA140" i="8"/>
  <c r="AZ140" i="8"/>
  <c r="AY140" i="8"/>
  <c r="AX140" i="8"/>
  <c r="AW140" i="8"/>
  <c r="BA139" i="8"/>
  <c r="AZ139" i="8"/>
  <c r="AY139" i="8"/>
  <c r="AX139" i="8"/>
  <c r="AW139" i="8"/>
  <c r="BA138" i="8"/>
  <c r="AZ138" i="8"/>
  <c r="AY138" i="8"/>
  <c r="AX138" i="8"/>
  <c r="AW138" i="8"/>
  <c r="BA137" i="8"/>
  <c r="AZ137" i="8"/>
  <c r="AY137" i="8"/>
  <c r="AX137" i="8"/>
  <c r="AW137" i="8"/>
  <c r="BA136" i="8"/>
  <c r="AZ136" i="8"/>
  <c r="AY136" i="8"/>
  <c r="AX136" i="8"/>
  <c r="AW136" i="8"/>
  <c r="BA135" i="8"/>
  <c r="AZ135" i="8"/>
  <c r="AY135" i="8"/>
  <c r="AX135" i="8"/>
  <c r="AW135" i="8"/>
  <c r="BA134" i="8"/>
  <c r="AZ134" i="8"/>
  <c r="AY134" i="8"/>
  <c r="AX134" i="8"/>
  <c r="AW134" i="8"/>
  <c r="BA133" i="8"/>
  <c r="AZ133" i="8"/>
  <c r="AY133" i="8"/>
  <c r="AX133" i="8"/>
  <c r="AW133" i="8"/>
  <c r="BA132" i="8"/>
  <c r="AZ132" i="8"/>
  <c r="AY132" i="8"/>
  <c r="AX132" i="8"/>
  <c r="AW132" i="8"/>
  <c r="BA131" i="8"/>
  <c r="AZ131" i="8"/>
  <c r="AY131" i="8"/>
  <c r="AX131" i="8"/>
  <c r="AW131" i="8"/>
  <c r="BA130" i="8"/>
  <c r="AZ130" i="8"/>
  <c r="AY130" i="8"/>
  <c r="AX130" i="8"/>
  <c r="AW130" i="8"/>
  <c r="BA129" i="8"/>
  <c r="AZ129" i="8"/>
  <c r="AY129" i="8"/>
  <c r="AX129" i="8"/>
  <c r="AW129" i="8"/>
  <c r="BA128" i="8"/>
  <c r="AZ128" i="8"/>
  <c r="AY128" i="8"/>
  <c r="AX128" i="8"/>
  <c r="AW128" i="8"/>
  <c r="BA127" i="8"/>
  <c r="AZ127" i="8"/>
  <c r="AY127" i="8"/>
  <c r="AX127" i="8"/>
  <c r="AW127" i="8"/>
  <c r="BA126" i="8"/>
  <c r="AZ126" i="8"/>
  <c r="AY126" i="8"/>
  <c r="AX126" i="8"/>
  <c r="AW126" i="8"/>
  <c r="BA125" i="8"/>
  <c r="AZ125" i="8"/>
  <c r="AY125" i="8"/>
  <c r="AX125" i="8"/>
  <c r="AW125" i="8"/>
  <c r="BA124" i="8"/>
  <c r="AZ124" i="8"/>
  <c r="AY124" i="8"/>
  <c r="AX124" i="8"/>
  <c r="AW124" i="8"/>
  <c r="BA123" i="8"/>
  <c r="AZ123" i="8"/>
  <c r="AY123" i="8"/>
  <c r="AX123" i="8"/>
  <c r="AW123" i="8"/>
  <c r="BA122" i="8"/>
  <c r="AZ122" i="8"/>
  <c r="AY122" i="8"/>
  <c r="AX122" i="8"/>
  <c r="AW122" i="8"/>
  <c r="BA121" i="8"/>
  <c r="AZ121" i="8"/>
  <c r="AY121" i="8"/>
  <c r="AX121" i="8"/>
  <c r="AW121" i="8"/>
  <c r="BA120" i="8"/>
  <c r="AZ120" i="8"/>
  <c r="AY120" i="8"/>
  <c r="AX120" i="8"/>
  <c r="AW120" i="8"/>
  <c r="BA119" i="8"/>
  <c r="AZ119" i="8"/>
  <c r="AY119" i="8"/>
  <c r="AX119" i="8"/>
  <c r="AW119" i="8"/>
  <c r="BA118" i="8"/>
  <c r="AZ118" i="8"/>
  <c r="AY118" i="8"/>
  <c r="AX118" i="8"/>
  <c r="AW118" i="8"/>
  <c r="BA117" i="8"/>
  <c r="AZ117" i="8"/>
  <c r="AY117" i="8"/>
  <c r="AX117" i="8"/>
  <c r="AW117" i="8"/>
  <c r="BA116" i="8"/>
  <c r="AZ116" i="8"/>
  <c r="AY116" i="8"/>
  <c r="AX116" i="8"/>
  <c r="AW116" i="8"/>
  <c r="BA115" i="8"/>
  <c r="AZ115" i="8"/>
  <c r="AY115" i="8"/>
  <c r="AX115" i="8"/>
  <c r="AW115" i="8"/>
  <c r="BA114" i="8"/>
  <c r="AZ114" i="8"/>
  <c r="AY114" i="8"/>
  <c r="AX114" i="8"/>
  <c r="AW114" i="8"/>
  <c r="BA113" i="8"/>
  <c r="AZ113" i="8"/>
  <c r="AY113" i="8"/>
  <c r="AX113" i="8"/>
  <c r="AW113" i="8"/>
  <c r="BA112" i="8"/>
  <c r="AZ112" i="8"/>
  <c r="AY112" i="8"/>
  <c r="AX112" i="8"/>
  <c r="AW112" i="8"/>
  <c r="BA111" i="8"/>
  <c r="AZ111" i="8"/>
  <c r="AY111" i="8"/>
  <c r="AX111" i="8"/>
  <c r="AW111" i="8"/>
  <c r="BA110" i="8"/>
  <c r="AZ110" i="8"/>
  <c r="AY110" i="8"/>
  <c r="AX110" i="8"/>
  <c r="AW110" i="8"/>
  <c r="BA109" i="8"/>
  <c r="AZ109" i="8"/>
  <c r="AY109" i="8"/>
  <c r="AX109" i="8"/>
  <c r="AW109" i="8"/>
  <c r="BA108" i="8"/>
  <c r="AZ108" i="8"/>
  <c r="AY108" i="8"/>
  <c r="AX108" i="8"/>
  <c r="AW108" i="8"/>
  <c r="BA107" i="8"/>
  <c r="AZ107" i="8"/>
  <c r="AY107" i="8"/>
  <c r="AX107" i="8"/>
  <c r="AW107" i="8"/>
  <c r="BA106" i="8"/>
  <c r="AZ106" i="8"/>
  <c r="AY106" i="8"/>
  <c r="AX106" i="8"/>
  <c r="AW106" i="8"/>
  <c r="BA105" i="8"/>
  <c r="AZ105" i="8"/>
  <c r="AY105" i="8"/>
  <c r="AX105" i="8"/>
  <c r="AW105" i="8"/>
  <c r="BA104" i="8"/>
  <c r="AZ104" i="8"/>
  <c r="AY104" i="8"/>
  <c r="AX104" i="8"/>
  <c r="AW104" i="8"/>
  <c r="BA103" i="8"/>
  <c r="AZ103" i="8"/>
  <c r="AY103" i="8"/>
  <c r="AX103" i="8"/>
  <c r="AW103" i="8"/>
  <c r="BA102" i="8"/>
  <c r="AZ102" i="8"/>
  <c r="AY102" i="8"/>
  <c r="AX102" i="8"/>
  <c r="AW102" i="8"/>
  <c r="BA101" i="8"/>
  <c r="AZ101" i="8"/>
  <c r="AY101" i="8"/>
  <c r="AX101" i="8"/>
  <c r="AW101" i="8"/>
  <c r="BA100" i="8"/>
  <c r="AZ100" i="8"/>
  <c r="AY100" i="8"/>
  <c r="AX100" i="8"/>
  <c r="AW100" i="8"/>
  <c r="BA99" i="8"/>
  <c r="AZ99" i="8"/>
  <c r="AY99" i="8"/>
  <c r="AX99" i="8"/>
  <c r="AW99" i="8"/>
  <c r="BA98" i="8"/>
  <c r="AZ98" i="8"/>
  <c r="AY98" i="8"/>
  <c r="AX98" i="8"/>
  <c r="AW98" i="8"/>
  <c r="BA97" i="8"/>
  <c r="AZ97" i="8"/>
  <c r="AY97" i="8"/>
  <c r="AX97" i="8"/>
  <c r="AW97" i="8"/>
  <c r="BA96" i="8"/>
  <c r="AZ96" i="8"/>
  <c r="AY96" i="8"/>
  <c r="AX96" i="8"/>
  <c r="AW96" i="8"/>
  <c r="BA95" i="8"/>
  <c r="AZ95" i="8"/>
  <c r="AY95" i="8"/>
  <c r="AX95" i="8"/>
  <c r="AW95" i="8"/>
  <c r="BA94" i="8"/>
  <c r="AZ94" i="8"/>
  <c r="AY94" i="8"/>
  <c r="AX94" i="8"/>
  <c r="AW94" i="8"/>
  <c r="BA93" i="8"/>
  <c r="AZ93" i="8"/>
  <c r="AY93" i="8"/>
  <c r="AX93" i="8"/>
  <c r="AW93" i="8"/>
  <c r="BA92" i="8"/>
  <c r="AZ92" i="8"/>
  <c r="AY92" i="8"/>
  <c r="AX92" i="8"/>
  <c r="AW92" i="8"/>
  <c r="BA91" i="8"/>
  <c r="AZ91" i="8"/>
  <c r="AY91" i="8"/>
  <c r="AX91" i="8"/>
  <c r="AW91" i="8"/>
  <c r="BA90" i="8"/>
  <c r="AZ90" i="8"/>
  <c r="AY90" i="8"/>
  <c r="AX90" i="8"/>
  <c r="AW90" i="8"/>
  <c r="BA89" i="8"/>
  <c r="AZ89" i="8"/>
  <c r="AY89" i="8"/>
  <c r="AX89" i="8"/>
  <c r="AW89" i="8"/>
  <c r="BA88" i="8"/>
  <c r="AZ88" i="8"/>
  <c r="AY88" i="8"/>
  <c r="AX88" i="8"/>
  <c r="AW88" i="8"/>
  <c r="BA87" i="8"/>
  <c r="AZ87" i="8"/>
  <c r="AY87" i="8"/>
  <c r="AX87" i="8"/>
  <c r="AW87" i="8"/>
  <c r="BA86" i="8"/>
  <c r="AZ86" i="8"/>
  <c r="AY86" i="8"/>
  <c r="AX86" i="8"/>
  <c r="AW86" i="8"/>
  <c r="BA85" i="8"/>
  <c r="AZ85" i="8"/>
  <c r="AY85" i="8"/>
  <c r="AX85" i="8"/>
  <c r="AW85" i="8"/>
  <c r="BA84" i="8"/>
  <c r="AZ84" i="8"/>
  <c r="AY84" i="8"/>
  <c r="AX84" i="8"/>
  <c r="AW84" i="8"/>
  <c r="BA83" i="8"/>
  <c r="AZ83" i="8"/>
  <c r="AY83" i="8"/>
  <c r="AX83" i="8"/>
  <c r="AW83" i="8"/>
  <c r="BA82" i="8"/>
  <c r="AZ82" i="8"/>
  <c r="AY82" i="8"/>
  <c r="AX82" i="8"/>
  <c r="AW82" i="8"/>
  <c r="BA81" i="8"/>
  <c r="AZ81" i="8"/>
  <c r="AY81" i="8"/>
  <c r="AX81" i="8"/>
  <c r="AW81" i="8"/>
  <c r="BA80" i="8"/>
  <c r="AZ80" i="8"/>
  <c r="AY80" i="8"/>
  <c r="AX80" i="8"/>
  <c r="AW80" i="8"/>
  <c r="BA79" i="8"/>
  <c r="AZ79" i="8"/>
  <c r="AY79" i="8"/>
  <c r="AX79" i="8"/>
  <c r="AW79" i="8"/>
  <c r="BA78" i="8"/>
  <c r="AZ78" i="8"/>
  <c r="AY78" i="8"/>
  <c r="AX78" i="8"/>
  <c r="AW78" i="8"/>
  <c r="BA77" i="8"/>
  <c r="AZ77" i="8"/>
  <c r="AY77" i="8"/>
  <c r="AX77" i="8"/>
  <c r="AW77" i="8"/>
  <c r="BA76" i="8"/>
  <c r="AZ76" i="8"/>
  <c r="AY76" i="8"/>
  <c r="AX76" i="8"/>
  <c r="AW76" i="8"/>
  <c r="BA75" i="8"/>
  <c r="AZ75" i="8"/>
  <c r="AY75" i="8"/>
  <c r="AX75" i="8"/>
  <c r="AW75" i="8"/>
  <c r="BA74" i="8"/>
  <c r="AZ74" i="8"/>
  <c r="AY74" i="8"/>
  <c r="AX74" i="8"/>
  <c r="AW74" i="8"/>
  <c r="BA73" i="8"/>
  <c r="AZ73" i="8"/>
  <c r="AY73" i="8"/>
  <c r="AX73" i="8"/>
  <c r="AW73" i="8"/>
  <c r="BA72" i="8"/>
  <c r="AZ72" i="8"/>
  <c r="AY72" i="8"/>
  <c r="AX72" i="8"/>
  <c r="AW72" i="8"/>
  <c r="BA71" i="8"/>
  <c r="AZ71" i="8"/>
  <c r="AY71" i="8"/>
  <c r="AX71" i="8"/>
  <c r="AW71" i="8"/>
  <c r="BA70" i="8"/>
  <c r="AZ70" i="8"/>
  <c r="AY70" i="8"/>
  <c r="AX70" i="8"/>
  <c r="AW70" i="8"/>
  <c r="BA69" i="8"/>
  <c r="AZ69" i="8"/>
  <c r="AY69" i="8"/>
  <c r="AX69" i="8"/>
  <c r="AW69" i="8"/>
  <c r="BA68" i="8"/>
  <c r="AZ68" i="8"/>
  <c r="AY68" i="8"/>
  <c r="AX68" i="8"/>
  <c r="AW68" i="8"/>
  <c r="BA67" i="8"/>
  <c r="AZ67" i="8"/>
  <c r="AY67" i="8"/>
  <c r="AX67" i="8"/>
  <c r="AW67" i="8"/>
  <c r="BA66" i="8"/>
  <c r="AZ66" i="8"/>
  <c r="AY66" i="8"/>
  <c r="AX66" i="8"/>
  <c r="AW66" i="8"/>
  <c r="BA65" i="8"/>
  <c r="AZ65" i="8"/>
  <c r="AY65" i="8"/>
  <c r="AX65" i="8"/>
  <c r="AW65" i="8"/>
  <c r="BA64" i="8"/>
  <c r="AZ64" i="8"/>
  <c r="AY64" i="8"/>
  <c r="AX64" i="8"/>
  <c r="AW64" i="8"/>
  <c r="BA63" i="8"/>
  <c r="AZ63" i="8"/>
  <c r="AY63" i="8"/>
  <c r="AX63" i="8"/>
  <c r="AW63" i="8"/>
  <c r="BA62" i="8"/>
  <c r="AZ62" i="8"/>
  <c r="AY62" i="8"/>
  <c r="AX62" i="8"/>
  <c r="AW62" i="8"/>
  <c r="BA61" i="8"/>
  <c r="AZ61" i="8"/>
  <c r="AY61" i="8"/>
  <c r="AX61" i="8"/>
  <c r="AW61" i="8"/>
  <c r="BA60" i="8"/>
  <c r="AZ60" i="8"/>
  <c r="AY60" i="8"/>
  <c r="AX60" i="8"/>
  <c r="AW60" i="8"/>
  <c r="BA59" i="8"/>
  <c r="AZ59" i="8"/>
  <c r="AY59" i="8"/>
  <c r="AX59" i="8"/>
  <c r="AW59" i="8"/>
  <c r="BA58" i="8"/>
  <c r="AZ58" i="8"/>
  <c r="AY58" i="8"/>
  <c r="AX58" i="8"/>
  <c r="AW58" i="8"/>
  <c r="BA57" i="8"/>
  <c r="AZ57" i="8"/>
  <c r="AY57" i="8"/>
  <c r="AX57" i="8"/>
  <c r="AW57" i="8"/>
  <c r="BA56" i="8"/>
  <c r="AZ56" i="8"/>
  <c r="AY56" i="8"/>
  <c r="AX56" i="8"/>
  <c r="AW56" i="8"/>
  <c r="BA55" i="8"/>
  <c r="AZ55" i="8"/>
  <c r="AY55" i="8"/>
  <c r="AX55" i="8"/>
  <c r="AW55" i="8"/>
  <c r="BA54" i="8"/>
  <c r="AZ54" i="8"/>
  <c r="AY54" i="8"/>
  <c r="AX54" i="8"/>
  <c r="AW54" i="8"/>
  <c r="BA53" i="8"/>
  <c r="AZ53" i="8"/>
  <c r="AY53" i="8"/>
  <c r="AX53" i="8"/>
  <c r="AW53" i="8"/>
  <c r="BA52" i="8"/>
  <c r="AZ52" i="8"/>
  <c r="AY52" i="8"/>
  <c r="AX52" i="8"/>
  <c r="AW52" i="8"/>
  <c r="BA51" i="8"/>
  <c r="AZ51" i="8"/>
  <c r="AY51" i="8"/>
  <c r="AX51" i="8"/>
  <c r="AW51" i="8"/>
  <c r="BA50" i="8"/>
  <c r="AZ50" i="8"/>
  <c r="AY50" i="8"/>
  <c r="AX50" i="8"/>
  <c r="AW50" i="8"/>
  <c r="BA49" i="8"/>
  <c r="AZ49" i="8"/>
  <c r="AY49" i="8"/>
  <c r="AX49" i="8"/>
  <c r="AW49" i="8"/>
  <c r="BA48" i="8"/>
  <c r="AZ48" i="8"/>
  <c r="AY48" i="8"/>
  <c r="AX48" i="8"/>
  <c r="AW48" i="8"/>
  <c r="BA47" i="8"/>
  <c r="AZ47" i="8"/>
  <c r="AY47" i="8"/>
  <c r="AX47" i="8"/>
  <c r="AW47" i="8"/>
  <c r="BA46" i="8"/>
  <c r="AZ46" i="8"/>
  <c r="AY46" i="8"/>
  <c r="AX46" i="8"/>
  <c r="AW46" i="8"/>
  <c r="BA45" i="8"/>
  <c r="AZ45" i="8"/>
  <c r="AY45" i="8"/>
  <c r="AX45" i="8"/>
  <c r="AW45" i="8"/>
  <c r="BA44" i="8"/>
  <c r="AZ44" i="8"/>
  <c r="AY44" i="8"/>
  <c r="AX44" i="8"/>
  <c r="AW44" i="8"/>
  <c r="BA43" i="8"/>
  <c r="AZ43" i="8"/>
  <c r="AY43" i="8"/>
  <c r="AX43" i="8"/>
  <c r="AW43" i="8"/>
  <c r="BA42" i="8"/>
  <c r="AZ42" i="8"/>
  <c r="AY42" i="8"/>
  <c r="AX42" i="8"/>
  <c r="AW42" i="8"/>
  <c r="BA41" i="8"/>
  <c r="AZ41" i="8"/>
  <c r="AY41" i="8"/>
  <c r="AX41" i="8"/>
  <c r="AW41" i="8"/>
  <c r="BA40" i="8"/>
  <c r="AZ40" i="8"/>
  <c r="AY40" i="8"/>
  <c r="AX40" i="8"/>
  <c r="AW40" i="8"/>
  <c r="BA39" i="8"/>
  <c r="AZ39" i="8"/>
  <c r="AY39" i="8"/>
  <c r="AX39" i="8"/>
  <c r="AW39" i="8"/>
  <c r="BA38" i="8"/>
  <c r="AZ38" i="8"/>
  <c r="AY38" i="8"/>
  <c r="AX38" i="8"/>
  <c r="AW38" i="8"/>
  <c r="BA37" i="8"/>
  <c r="AZ37" i="8"/>
  <c r="AY37" i="8"/>
  <c r="AX37" i="8"/>
  <c r="AW37" i="8"/>
  <c r="BA36" i="8"/>
  <c r="AZ36" i="8"/>
  <c r="AY36" i="8"/>
  <c r="AX36" i="8"/>
  <c r="AW36" i="8"/>
  <c r="BA35" i="8"/>
  <c r="AZ35" i="8"/>
  <c r="AY35" i="8"/>
  <c r="AX35" i="8"/>
  <c r="AW35" i="8"/>
  <c r="BA34" i="8"/>
  <c r="AZ34" i="8"/>
  <c r="AY34" i="8"/>
  <c r="AX34" i="8"/>
  <c r="AW34" i="8"/>
  <c r="BA33" i="8"/>
  <c r="AZ33" i="8"/>
  <c r="AY33" i="8"/>
  <c r="AX33" i="8"/>
  <c r="AW33" i="8"/>
  <c r="BA32" i="8"/>
  <c r="AZ32" i="8"/>
  <c r="AY32" i="8"/>
  <c r="AX32" i="8"/>
  <c r="AW32" i="8"/>
  <c r="BA31" i="8"/>
  <c r="AZ31" i="8"/>
  <c r="AY31" i="8"/>
  <c r="AX31" i="8"/>
  <c r="AW31" i="8"/>
  <c r="BA30" i="8"/>
  <c r="AZ30" i="8"/>
  <c r="AY30" i="8"/>
  <c r="AX30" i="8"/>
  <c r="AW30" i="8"/>
  <c r="BA29" i="8"/>
  <c r="AZ29" i="8"/>
  <c r="AY29" i="8"/>
  <c r="AX29" i="8"/>
  <c r="AW29" i="8"/>
  <c r="BA28" i="8"/>
  <c r="AZ28" i="8"/>
  <c r="AY28" i="8"/>
  <c r="AX28" i="8"/>
  <c r="AW28" i="8"/>
  <c r="BA27" i="8"/>
  <c r="AZ27" i="8"/>
  <c r="AY27" i="8"/>
  <c r="AX27" i="8"/>
  <c r="AW27" i="8"/>
  <c r="BA26" i="8"/>
  <c r="AZ26" i="8"/>
  <c r="AY26" i="8"/>
  <c r="AX26" i="8"/>
  <c r="AW26" i="8"/>
  <c r="BA25" i="8"/>
  <c r="AZ25" i="8"/>
  <c r="AY25" i="8"/>
  <c r="AX25" i="8"/>
  <c r="AW25" i="8"/>
  <c r="BA24" i="8"/>
  <c r="AZ24" i="8"/>
  <c r="AY24" i="8"/>
  <c r="AX24" i="8"/>
  <c r="AW24" i="8"/>
  <c r="BA23" i="8"/>
  <c r="AZ23" i="8"/>
  <c r="AY23" i="8"/>
  <c r="AX23" i="8"/>
  <c r="AW23" i="8"/>
  <c r="BA22" i="8"/>
  <c r="AZ22" i="8"/>
  <c r="AY22" i="8"/>
  <c r="AX22" i="8"/>
  <c r="AW22" i="8"/>
  <c r="BA21" i="8"/>
  <c r="AZ21" i="8"/>
  <c r="AY21" i="8"/>
  <c r="AX21" i="8"/>
  <c r="AW21" i="8"/>
  <c r="BA20" i="8"/>
  <c r="AZ20" i="8"/>
  <c r="AY20" i="8"/>
  <c r="AX20" i="8"/>
  <c r="AW20" i="8"/>
  <c r="BA19" i="8"/>
  <c r="AZ19" i="8"/>
  <c r="AY19" i="8"/>
  <c r="AX19" i="8"/>
  <c r="AW19" i="8"/>
  <c r="BA18" i="8"/>
  <c r="AZ18" i="8"/>
  <c r="AY18" i="8"/>
  <c r="AX18" i="8"/>
  <c r="AW18" i="8"/>
  <c r="BA17" i="8"/>
  <c r="AZ17" i="8"/>
  <c r="AY17" i="8"/>
  <c r="AX17" i="8"/>
  <c r="AW17" i="8"/>
  <c r="BA16" i="8"/>
  <c r="AZ16" i="8"/>
  <c r="AY16" i="8"/>
  <c r="AX16" i="8"/>
  <c r="AW16" i="8"/>
  <c r="BA15" i="8"/>
  <c r="AZ15" i="8"/>
  <c r="AY15" i="8"/>
  <c r="AX15" i="8"/>
  <c r="AW15" i="8"/>
  <c r="BA14" i="8"/>
  <c r="AZ14" i="8"/>
  <c r="AY14" i="8"/>
  <c r="AX14" i="8"/>
  <c r="AW14" i="8"/>
  <c r="BA13" i="8"/>
  <c r="AZ13" i="8"/>
  <c r="AY13" i="8"/>
  <c r="AX13" i="8"/>
  <c r="AW13" i="8"/>
  <c r="BA12" i="8"/>
  <c r="AZ12" i="8"/>
  <c r="AY12" i="8"/>
  <c r="AX12" i="8"/>
  <c r="AW12" i="8"/>
  <c r="BA11" i="8"/>
  <c r="AZ11" i="8"/>
  <c r="AY11" i="8"/>
  <c r="AX11" i="8"/>
  <c r="AW11" i="8"/>
  <c r="BA10" i="8"/>
  <c r="AZ10" i="8"/>
  <c r="AY10" i="8"/>
  <c r="AX10" i="8"/>
  <c r="AW10" i="8"/>
  <c r="BA9" i="8"/>
  <c r="AZ9" i="8"/>
  <c r="AY9" i="8"/>
  <c r="AX9" i="8"/>
  <c r="AW9" i="8"/>
  <c r="AZ8" i="8"/>
  <c r="AY8" i="8"/>
  <c r="AX8" i="8"/>
  <c r="AW8" i="8"/>
  <c r="BA7" i="8"/>
  <c r="AZ7" i="8"/>
  <c r="AY7" i="8"/>
  <c r="AX7" i="8"/>
  <c r="AW7" i="8"/>
  <c r="AT1" i="8"/>
  <c r="AS1" i="8"/>
  <c r="AS2" i="8" s="1"/>
  <c r="AR1" i="8"/>
  <c r="AR2" i="8" s="1"/>
  <c r="AQ1" i="8"/>
  <c r="AQ2" i="8" s="1"/>
  <c r="AP1" i="8"/>
  <c r="AP2" i="8" s="1"/>
  <c r="AO1" i="8"/>
  <c r="AO2" i="8" s="1"/>
  <c r="AN1" i="8"/>
  <c r="AN2" i="8" s="1"/>
  <c r="AM1" i="8"/>
  <c r="AM2" i="8" s="1"/>
  <c r="AL1" i="8"/>
  <c r="AL2" i="8" s="1"/>
  <c r="AK1" i="8"/>
  <c r="AK2" i="8" s="1"/>
  <c r="AJ1" i="8"/>
  <c r="AJ2" i="8" s="1"/>
  <c r="AI1" i="8"/>
  <c r="AI2" i="8" s="1"/>
  <c r="AH1" i="8"/>
  <c r="AH2" i="8" s="1"/>
  <c r="AG1" i="8"/>
  <c r="AG2" i="8" s="1"/>
  <c r="AF1" i="8"/>
  <c r="AF2" i="8" s="1"/>
  <c r="AE1" i="8"/>
  <c r="AE2" i="8" s="1"/>
  <c r="AD1" i="8"/>
  <c r="AD2" i="8" s="1"/>
  <c r="AC1" i="8"/>
  <c r="AC2" i="8" s="1"/>
  <c r="AB1" i="8"/>
  <c r="AB2" i="8" s="1"/>
  <c r="AA1" i="8"/>
  <c r="AA2" i="8" s="1"/>
  <c r="Z1" i="8"/>
  <c r="Z2" i="8" s="1"/>
  <c r="Y1" i="8"/>
  <c r="Y2" i="8" s="1"/>
  <c r="X1" i="8"/>
  <c r="X2" i="8" s="1"/>
  <c r="W1" i="8"/>
  <c r="W2" i="8" s="1"/>
  <c r="V1" i="8"/>
  <c r="V2" i="8" s="1"/>
  <c r="U1" i="8"/>
  <c r="U2" i="8" s="1"/>
  <c r="T1" i="8"/>
  <c r="T2" i="8" s="1"/>
  <c r="S1" i="8"/>
  <c r="S2" i="8" s="1"/>
  <c r="R1" i="8"/>
  <c r="R2" i="8" s="1"/>
  <c r="Q1" i="8"/>
  <c r="Q2" i="8" s="1"/>
  <c r="P1" i="8"/>
  <c r="P2" i="8" s="1"/>
  <c r="BA211" i="7"/>
  <c r="AZ211" i="7"/>
  <c r="AY211" i="7"/>
  <c r="AX211" i="7"/>
  <c r="AW211" i="7"/>
  <c r="BA210" i="7"/>
  <c r="AZ210" i="7"/>
  <c r="AY210" i="7"/>
  <c r="AX210" i="7"/>
  <c r="AW210" i="7"/>
  <c r="BA209" i="7"/>
  <c r="AZ209" i="7"/>
  <c r="AY209" i="7"/>
  <c r="AX209" i="7"/>
  <c r="AW209" i="7"/>
  <c r="BA208" i="7"/>
  <c r="AZ208" i="7"/>
  <c r="AY208" i="7"/>
  <c r="AX208" i="7"/>
  <c r="AW208" i="7"/>
  <c r="BA207" i="7"/>
  <c r="AZ207" i="7"/>
  <c r="AY207" i="7"/>
  <c r="AX207" i="7"/>
  <c r="AW207" i="7"/>
  <c r="BA206" i="7"/>
  <c r="AZ206" i="7"/>
  <c r="AY206" i="7"/>
  <c r="AX206" i="7"/>
  <c r="AW206" i="7"/>
  <c r="BA205" i="7"/>
  <c r="AZ205" i="7"/>
  <c r="AY205" i="7"/>
  <c r="AX205" i="7"/>
  <c r="AW205" i="7"/>
  <c r="BA204" i="7"/>
  <c r="AZ204" i="7"/>
  <c r="AY204" i="7"/>
  <c r="AX204" i="7"/>
  <c r="AW204" i="7"/>
  <c r="BA203" i="7"/>
  <c r="AZ203" i="7"/>
  <c r="AY203" i="7"/>
  <c r="AX203" i="7"/>
  <c r="AW203" i="7"/>
  <c r="BA202" i="7"/>
  <c r="AZ202" i="7"/>
  <c r="AY202" i="7"/>
  <c r="AX202" i="7"/>
  <c r="AW202" i="7"/>
  <c r="BA201" i="7"/>
  <c r="AZ201" i="7"/>
  <c r="AY201" i="7"/>
  <c r="AX201" i="7"/>
  <c r="AW201" i="7"/>
  <c r="BA200" i="7"/>
  <c r="AZ200" i="7"/>
  <c r="AY200" i="7"/>
  <c r="AX200" i="7"/>
  <c r="AW200" i="7"/>
  <c r="BA199" i="7"/>
  <c r="AZ199" i="7"/>
  <c r="AY199" i="7"/>
  <c r="AX199" i="7"/>
  <c r="AW199" i="7"/>
  <c r="BA198" i="7"/>
  <c r="AZ198" i="7"/>
  <c r="AY198" i="7"/>
  <c r="AX198" i="7"/>
  <c r="AW198" i="7"/>
  <c r="BA197" i="7"/>
  <c r="AZ197" i="7"/>
  <c r="AY197" i="7"/>
  <c r="AX197" i="7"/>
  <c r="AW197" i="7"/>
  <c r="BA196" i="7"/>
  <c r="AZ196" i="7"/>
  <c r="AY196" i="7"/>
  <c r="AX196" i="7"/>
  <c r="AW196" i="7"/>
  <c r="BA195" i="7"/>
  <c r="AZ195" i="7"/>
  <c r="AY195" i="7"/>
  <c r="AX195" i="7"/>
  <c r="AW195" i="7"/>
  <c r="BA194" i="7"/>
  <c r="AZ194" i="7"/>
  <c r="AY194" i="7"/>
  <c r="AX194" i="7"/>
  <c r="AW194" i="7"/>
  <c r="BA193" i="7"/>
  <c r="AZ193" i="7"/>
  <c r="AY193" i="7"/>
  <c r="AX193" i="7"/>
  <c r="AW193" i="7"/>
  <c r="BA192" i="7"/>
  <c r="AZ192" i="7"/>
  <c r="AY192" i="7"/>
  <c r="AX192" i="7"/>
  <c r="AW192" i="7"/>
  <c r="BA191" i="7"/>
  <c r="AZ191" i="7"/>
  <c r="AY191" i="7"/>
  <c r="AX191" i="7"/>
  <c r="AW191" i="7"/>
  <c r="BA190" i="7"/>
  <c r="AZ190" i="7"/>
  <c r="AY190" i="7"/>
  <c r="AX190" i="7"/>
  <c r="AW190" i="7"/>
  <c r="BA189" i="7"/>
  <c r="AZ189" i="7"/>
  <c r="AY189" i="7"/>
  <c r="AX189" i="7"/>
  <c r="AW189" i="7"/>
  <c r="BA188" i="7"/>
  <c r="AZ188" i="7"/>
  <c r="AY188" i="7"/>
  <c r="AX188" i="7"/>
  <c r="AW188" i="7"/>
  <c r="BA187" i="7"/>
  <c r="AZ187" i="7"/>
  <c r="AY187" i="7"/>
  <c r="AX187" i="7"/>
  <c r="AW187" i="7"/>
  <c r="BA186" i="7"/>
  <c r="AZ186" i="7"/>
  <c r="AY186" i="7"/>
  <c r="AX186" i="7"/>
  <c r="AW186" i="7"/>
  <c r="BA185" i="7"/>
  <c r="AZ185" i="7"/>
  <c r="AY185" i="7"/>
  <c r="AX185" i="7"/>
  <c r="AW185" i="7"/>
  <c r="BA184" i="7"/>
  <c r="AZ184" i="7"/>
  <c r="AY184" i="7"/>
  <c r="AX184" i="7"/>
  <c r="AW184" i="7"/>
  <c r="BA183" i="7"/>
  <c r="AZ183" i="7"/>
  <c r="AY183" i="7"/>
  <c r="AX183" i="7"/>
  <c r="AW183" i="7"/>
  <c r="BA182" i="7"/>
  <c r="AZ182" i="7"/>
  <c r="AY182" i="7"/>
  <c r="AX182" i="7"/>
  <c r="AW182" i="7"/>
  <c r="BA181" i="7"/>
  <c r="AZ181" i="7"/>
  <c r="AY181" i="7"/>
  <c r="AX181" i="7"/>
  <c r="AW181" i="7"/>
  <c r="BA180" i="7"/>
  <c r="AZ180" i="7"/>
  <c r="AY180" i="7"/>
  <c r="AX180" i="7"/>
  <c r="AW180" i="7"/>
  <c r="BA179" i="7"/>
  <c r="AZ179" i="7"/>
  <c r="AY179" i="7"/>
  <c r="AX179" i="7"/>
  <c r="AW179" i="7"/>
  <c r="BA178" i="7"/>
  <c r="AZ178" i="7"/>
  <c r="AY178" i="7"/>
  <c r="AX178" i="7"/>
  <c r="AW178" i="7"/>
  <c r="BA177" i="7"/>
  <c r="AZ177" i="7"/>
  <c r="AY177" i="7"/>
  <c r="AX177" i="7"/>
  <c r="AW177" i="7"/>
  <c r="BA176" i="7"/>
  <c r="AZ176" i="7"/>
  <c r="AY176" i="7"/>
  <c r="AX176" i="7"/>
  <c r="AW176" i="7"/>
  <c r="BA175" i="7"/>
  <c r="AZ175" i="7"/>
  <c r="AY175" i="7"/>
  <c r="AX175" i="7"/>
  <c r="AW175" i="7"/>
  <c r="BA174" i="7"/>
  <c r="AZ174" i="7"/>
  <c r="AY174" i="7"/>
  <c r="AX174" i="7"/>
  <c r="AW174" i="7"/>
  <c r="BA173" i="7"/>
  <c r="AZ173" i="7"/>
  <c r="AY173" i="7"/>
  <c r="AX173" i="7"/>
  <c r="AW173" i="7"/>
  <c r="BA172" i="7"/>
  <c r="AZ172" i="7"/>
  <c r="AY172" i="7"/>
  <c r="AX172" i="7"/>
  <c r="AW172" i="7"/>
  <c r="BA171" i="7"/>
  <c r="AZ171" i="7"/>
  <c r="AY171" i="7"/>
  <c r="AX171" i="7"/>
  <c r="AW171" i="7"/>
  <c r="BA170" i="7"/>
  <c r="AZ170" i="7"/>
  <c r="AY170" i="7"/>
  <c r="AX170" i="7"/>
  <c r="AW170" i="7"/>
  <c r="BA169" i="7"/>
  <c r="AZ169" i="7"/>
  <c r="AY169" i="7"/>
  <c r="AX169" i="7"/>
  <c r="AW169" i="7"/>
  <c r="BA168" i="7"/>
  <c r="AZ168" i="7"/>
  <c r="AY168" i="7"/>
  <c r="AX168" i="7"/>
  <c r="AW168" i="7"/>
  <c r="BA167" i="7"/>
  <c r="AZ167" i="7"/>
  <c r="AY167" i="7"/>
  <c r="AX167" i="7"/>
  <c r="AW167" i="7"/>
  <c r="BA166" i="7"/>
  <c r="AZ166" i="7"/>
  <c r="AY166" i="7"/>
  <c r="AX166" i="7"/>
  <c r="AW166" i="7"/>
  <c r="BA165" i="7"/>
  <c r="AZ165" i="7"/>
  <c r="AY165" i="7"/>
  <c r="AX165" i="7"/>
  <c r="AW165" i="7"/>
  <c r="BA164" i="7"/>
  <c r="AZ164" i="7"/>
  <c r="AY164" i="7"/>
  <c r="AX164" i="7"/>
  <c r="AW164" i="7"/>
  <c r="BA163" i="7"/>
  <c r="AZ163" i="7"/>
  <c r="AY163" i="7"/>
  <c r="AX163" i="7"/>
  <c r="AW163" i="7"/>
  <c r="BA162" i="7"/>
  <c r="AZ162" i="7"/>
  <c r="AY162" i="7"/>
  <c r="AX162" i="7"/>
  <c r="AW162" i="7"/>
  <c r="BA161" i="7"/>
  <c r="AZ161" i="7"/>
  <c r="AY161" i="7"/>
  <c r="AX161" i="7"/>
  <c r="AW161" i="7"/>
  <c r="BA160" i="7"/>
  <c r="AZ160" i="7"/>
  <c r="AY160" i="7"/>
  <c r="AX160" i="7"/>
  <c r="AW160" i="7"/>
  <c r="BA159" i="7"/>
  <c r="AZ159" i="7"/>
  <c r="AY159" i="7"/>
  <c r="AX159" i="7"/>
  <c r="AW159" i="7"/>
  <c r="BA158" i="7"/>
  <c r="AZ158" i="7"/>
  <c r="AY158" i="7"/>
  <c r="AX158" i="7"/>
  <c r="AW158" i="7"/>
  <c r="BA157" i="7"/>
  <c r="AZ157" i="7"/>
  <c r="AY157" i="7"/>
  <c r="AX157" i="7"/>
  <c r="AW157" i="7"/>
  <c r="BA156" i="7"/>
  <c r="AZ156" i="7"/>
  <c r="AY156" i="7"/>
  <c r="AX156" i="7"/>
  <c r="AW156" i="7"/>
  <c r="BA155" i="7"/>
  <c r="AZ155" i="7"/>
  <c r="AY155" i="7"/>
  <c r="AX155" i="7"/>
  <c r="AW155" i="7"/>
  <c r="BA154" i="7"/>
  <c r="AZ154" i="7"/>
  <c r="AY154" i="7"/>
  <c r="AX154" i="7"/>
  <c r="AW154" i="7"/>
  <c r="BA153" i="7"/>
  <c r="AZ153" i="7"/>
  <c r="AY153" i="7"/>
  <c r="AX153" i="7"/>
  <c r="AW153" i="7"/>
  <c r="BA152" i="7"/>
  <c r="AZ152" i="7"/>
  <c r="AY152" i="7"/>
  <c r="AX152" i="7"/>
  <c r="AW152" i="7"/>
  <c r="BA151" i="7"/>
  <c r="AZ151" i="7"/>
  <c r="AY151" i="7"/>
  <c r="AX151" i="7"/>
  <c r="AW151" i="7"/>
  <c r="BA150" i="7"/>
  <c r="AZ150" i="7"/>
  <c r="AY150" i="7"/>
  <c r="AX150" i="7"/>
  <c r="AW150" i="7"/>
  <c r="BA149" i="7"/>
  <c r="AZ149" i="7"/>
  <c r="AY149" i="7"/>
  <c r="AX149" i="7"/>
  <c r="AW149" i="7"/>
  <c r="BA148" i="7"/>
  <c r="AZ148" i="7"/>
  <c r="AY148" i="7"/>
  <c r="AX148" i="7"/>
  <c r="AW148" i="7"/>
  <c r="BA147" i="7"/>
  <c r="AZ147" i="7"/>
  <c r="AY147" i="7"/>
  <c r="AX147" i="7"/>
  <c r="AW147" i="7"/>
  <c r="BA146" i="7"/>
  <c r="AZ146" i="7"/>
  <c r="AY146" i="7"/>
  <c r="AX146" i="7"/>
  <c r="AW146" i="7"/>
  <c r="BA145" i="7"/>
  <c r="AZ145" i="7"/>
  <c r="AY145" i="7"/>
  <c r="AX145" i="7"/>
  <c r="AW145" i="7"/>
  <c r="BA144" i="7"/>
  <c r="AZ144" i="7"/>
  <c r="AY144" i="7"/>
  <c r="AX144" i="7"/>
  <c r="AW144" i="7"/>
  <c r="BA143" i="7"/>
  <c r="AZ143" i="7"/>
  <c r="AY143" i="7"/>
  <c r="AX143" i="7"/>
  <c r="AW143" i="7"/>
  <c r="BA142" i="7"/>
  <c r="AZ142" i="7"/>
  <c r="AY142" i="7"/>
  <c r="AX142" i="7"/>
  <c r="AW142" i="7"/>
  <c r="BA141" i="7"/>
  <c r="AZ141" i="7"/>
  <c r="AY141" i="7"/>
  <c r="AX141" i="7"/>
  <c r="AW141" i="7"/>
  <c r="BA140" i="7"/>
  <c r="AZ140" i="7"/>
  <c r="AY140" i="7"/>
  <c r="AX140" i="7"/>
  <c r="AW140" i="7"/>
  <c r="BA139" i="7"/>
  <c r="AZ139" i="7"/>
  <c r="AY139" i="7"/>
  <c r="AX139" i="7"/>
  <c r="AW139" i="7"/>
  <c r="BA138" i="7"/>
  <c r="AZ138" i="7"/>
  <c r="AY138" i="7"/>
  <c r="AX138" i="7"/>
  <c r="AW138" i="7"/>
  <c r="BA137" i="7"/>
  <c r="AZ137" i="7"/>
  <c r="AY137" i="7"/>
  <c r="AX137" i="7"/>
  <c r="AW137" i="7"/>
  <c r="BA136" i="7"/>
  <c r="AZ136" i="7"/>
  <c r="AY136" i="7"/>
  <c r="AX136" i="7"/>
  <c r="AW136" i="7"/>
  <c r="BA135" i="7"/>
  <c r="AZ135" i="7"/>
  <c r="AY135" i="7"/>
  <c r="AX135" i="7"/>
  <c r="AW135" i="7"/>
  <c r="BA134" i="7"/>
  <c r="AZ134" i="7"/>
  <c r="AY134" i="7"/>
  <c r="AX134" i="7"/>
  <c r="AW134" i="7"/>
  <c r="BA133" i="7"/>
  <c r="AZ133" i="7"/>
  <c r="AY133" i="7"/>
  <c r="AX133" i="7"/>
  <c r="AW133" i="7"/>
  <c r="BA132" i="7"/>
  <c r="AZ132" i="7"/>
  <c r="AY132" i="7"/>
  <c r="AX132" i="7"/>
  <c r="AW132" i="7"/>
  <c r="BA131" i="7"/>
  <c r="AZ131" i="7"/>
  <c r="AY131" i="7"/>
  <c r="AX131" i="7"/>
  <c r="AW131" i="7"/>
  <c r="BA130" i="7"/>
  <c r="AZ130" i="7"/>
  <c r="AY130" i="7"/>
  <c r="AX130" i="7"/>
  <c r="AW130" i="7"/>
  <c r="BA129" i="7"/>
  <c r="AZ129" i="7"/>
  <c r="AY129" i="7"/>
  <c r="AX129" i="7"/>
  <c r="AW129" i="7"/>
  <c r="BA128" i="7"/>
  <c r="AZ128" i="7"/>
  <c r="AY128" i="7"/>
  <c r="AX128" i="7"/>
  <c r="AW128" i="7"/>
  <c r="BA127" i="7"/>
  <c r="AZ127" i="7"/>
  <c r="AY127" i="7"/>
  <c r="AX127" i="7"/>
  <c r="AW127" i="7"/>
  <c r="BA126" i="7"/>
  <c r="AZ126" i="7"/>
  <c r="AY126" i="7"/>
  <c r="AX126" i="7"/>
  <c r="AW126" i="7"/>
  <c r="BA125" i="7"/>
  <c r="AZ125" i="7"/>
  <c r="AY125" i="7"/>
  <c r="AX125" i="7"/>
  <c r="AW125" i="7"/>
  <c r="BA124" i="7"/>
  <c r="AZ124" i="7"/>
  <c r="AY124" i="7"/>
  <c r="AX124" i="7"/>
  <c r="AW124" i="7"/>
  <c r="BA123" i="7"/>
  <c r="AZ123" i="7"/>
  <c r="AY123" i="7"/>
  <c r="AX123" i="7"/>
  <c r="AW123" i="7"/>
  <c r="BA122" i="7"/>
  <c r="AZ122" i="7"/>
  <c r="AY122" i="7"/>
  <c r="AX122" i="7"/>
  <c r="AW122" i="7"/>
  <c r="BA121" i="7"/>
  <c r="AZ121" i="7"/>
  <c r="AY121" i="7"/>
  <c r="AX121" i="7"/>
  <c r="AW121" i="7"/>
  <c r="BA120" i="7"/>
  <c r="AZ120" i="7"/>
  <c r="AY120" i="7"/>
  <c r="AX120" i="7"/>
  <c r="AW120" i="7"/>
  <c r="BA119" i="7"/>
  <c r="AZ119" i="7"/>
  <c r="AY119" i="7"/>
  <c r="AX119" i="7"/>
  <c r="AW119" i="7"/>
  <c r="BA118" i="7"/>
  <c r="AZ118" i="7"/>
  <c r="AY118" i="7"/>
  <c r="AX118" i="7"/>
  <c r="AW118" i="7"/>
  <c r="BA117" i="7"/>
  <c r="AZ117" i="7"/>
  <c r="AY117" i="7"/>
  <c r="AX117" i="7"/>
  <c r="AW117" i="7"/>
  <c r="BA116" i="7"/>
  <c r="AZ116" i="7"/>
  <c r="AY116" i="7"/>
  <c r="AX116" i="7"/>
  <c r="AW116" i="7"/>
  <c r="BA115" i="7"/>
  <c r="AZ115" i="7"/>
  <c r="AY115" i="7"/>
  <c r="AX115" i="7"/>
  <c r="AW115" i="7"/>
  <c r="BA114" i="7"/>
  <c r="AZ114" i="7"/>
  <c r="AY114" i="7"/>
  <c r="AX114" i="7"/>
  <c r="AW114" i="7"/>
  <c r="BA113" i="7"/>
  <c r="AZ113" i="7"/>
  <c r="AY113" i="7"/>
  <c r="AX113" i="7"/>
  <c r="AW113" i="7"/>
  <c r="BA112" i="7"/>
  <c r="AZ112" i="7"/>
  <c r="AY112" i="7"/>
  <c r="AX112" i="7"/>
  <c r="AW112" i="7"/>
  <c r="BA111" i="7"/>
  <c r="AZ111" i="7"/>
  <c r="AY111" i="7"/>
  <c r="AX111" i="7"/>
  <c r="AW111" i="7"/>
  <c r="BA110" i="7"/>
  <c r="AZ110" i="7"/>
  <c r="AY110" i="7"/>
  <c r="AX110" i="7"/>
  <c r="AW110" i="7"/>
  <c r="BA109" i="7"/>
  <c r="AZ109" i="7"/>
  <c r="AY109" i="7"/>
  <c r="AX109" i="7"/>
  <c r="AW109" i="7"/>
  <c r="BA108" i="7"/>
  <c r="AZ108" i="7"/>
  <c r="AY108" i="7"/>
  <c r="AX108" i="7"/>
  <c r="AW108" i="7"/>
  <c r="BA107" i="7"/>
  <c r="AZ107" i="7"/>
  <c r="AY107" i="7"/>
  <c r="AX107" i="7"/>
  <c r="AW107" i="7"/>
  <c r="BA106" i="7"/>
  <c r="AZ106" i="7"/>
  <c r="AY106" i="7"/>
  <c r="AX106" i="7"/>
  <c r="AW106" i="7"/>
  <c r="BA105" i="7"/>
  <c r="AZ105" i="7"/>
  <c r="AY105" i="7"/>
  <c r="AX105" i="7"/>
  <c r="AW105" i="7"/>
  <c r="BA104" i="7"/>
  <c r="AZ104" i="7"/>
  <c r="AY104" i="7"/>
  <c r="AX104" i="7"/>
  <c r="AW104" i="7"/>
  <c r="BA103" i="7"/>
  <c r="AZ103" i="7"/>
  <c r="AY103" i="7"/>
  <c r="AX103" i="7"/>
  <c r="AW103" i="7"/>
  <c r="BA102" i="7"/>
  <c r="AZ102" i="7"/>
  <c r="AY102" i="7"/>
  <c r="AX102" i="7"/>
  <c r="AW102" i="7"/>
  <c r="BA101" i="7"/>
  <c r="AZ101" i="7"/>
  <c r="AY101" i="7"/>
  <c r="AX101" i="7"/>
  <c r="AW101" i="7"/>
  <c r="BA100" i="7"/>
  <c r="AZ100" i="7"/>
  <c r="AY100" i="7"/>
  <c r="AX100" i="7"/>
  <c r="AW100" i="7"/>
  <c r="BA99" i="7"/>
  <c r="AZ99" i="7"/>
  <c r="AY99" i="7"/>
  <c r="AX99" i="7"/>
  <c r="AW99" i="7"/>
  <c r="BA98" i="7"/>
  <c r="AZ98" i="7"/>
  <c r="AY98" i="7"/>
  <c r="AX98" i="7"/>
  <c r="AW98" i="7"/>
  <c r="BA97" i="7"/>
  <c r="AZ97" i="7"/>
  <c r="AY97" i="7"/>
  <c r="AX97" i="7"/>
  <c r="AW97" i="7"/>
  <c r="BA96" i="7"/>
  <c r="AZ96" i="7"/>
  <c r="AY96" i="7"/>
  <c r="AX96" i="7"/>
  <c r="AW96" i="7"/>
  <c r="BA95" i="7"/>
  <c r="AZ95" i="7"/>
  <c r="AY95" i="7"/>
  <c r="AX95" i="7"/>
  <c r="AW95" i="7"/>
  <c r="BA94" i="7"/>
  <c r="AZ94" i="7"/>
  <c r="AY94" i="7"/>
  <c r="AX94" i="7"/>
  <c r="AW94" i="7"/>
  <c r="BA93" i="7"/>
  <c r="AZ93" i="7"/>
  <c r="AY93" i="7"/>
  <c r="AX93" i="7"/>
  <c r="AW93" i="7"/>
  <c r="BA92" i="7"/>
  <c r="AZ92" i="7"/>
  <c r="AY92" i="7"/>
  <c r="AX92" i="7"/>
  <c r="AW92" i="7"/>
  <c r="BA91" i="7"/>
  <c r="AZ91" i="7"/>
  <c r="AY91" i="7"/>
  <c r="AX91" i="7"/>
  <c r="AW91" i="7"/>
  <c r="BA90" i="7"/>
  <c r="AZ90" i="7"/>
  <c r="AY90" i="7"/>
  <c r="AX90" i="7"/>
  <c r="AW90" i="7"/>
  <c r="BA89" i="7"/>
  <c r="AZ89" i="7"/>
  <c r="AY89" i="7"/>
  <c r="AX89" i="7"/>
  <c r="AW89" i="7"/>
  <c r="BA88" i="7"/>
  <c r="AZ88" i="7"/>
  <c r="AY88" i="7"/>
  <c r="AX88" i="7"/>
  <c r="AW88" i="7"/>
  <c r="BA87" i="7"/>
  <c r="AZ87" i="7"/>
  <c r="AY87" i="7"/>
  <c r="AX87" i="7"/>
  <c r="AW87" i="7"/>
  <c r="BA86" i="7"/>
  <c r="AZ86" i="7"/>
  <c r="AY86" i="7"/>
  <c r="AX86" i="7"/>
  <c r="AW86" i="7"/>
  <c r="BA85" i="7"/>
  <c r="AZ85" i="7"/>
  <c r="AY85" i="7"/>
  <c r="AX85" i="7"/>
  <c r="AW85" i="7"/>
  <c r="BA84" i="7"/>
  <c r="AZ84" i="7"/>
  <c r="AY84" i="7"/>
  <c r="AX84" i="7"/>
  <c r="AW84" i="7"/>
  <c r="BA83" i="7"/>
  <c r="AZ83" i="7"/>
  <c r="AY83" i="7"/>
  <c r="AX83" i="7"/>
  <c r="AW83" i="7"/>
  <c r="BA82" i="7"/>
  <c r="AZ82" i="7"/>
  <c r="AY82" i="7"/>
  <c r="AX82" i="7"/>
  <c r="AW82" i="7"/>
  <c r="BA81" i="7"/>
  <c r="AZ81" i="7"/>
  <c r="AY81" i="7"/>
  <c r="AX81" i="7"/>
  <c r="AW81" i="7"/>
  <c r="BA80" i="7"/>
  <c r="AZ80" i="7"/>
  <c r="AY80" i="7"/>
  <c r="AX80" i="7"/>
  <c r="AW80" i="7"/>
  <c r="BA79" i="7"/>
  <c r="AZ79" i="7"/>
  <c r="AY79" i="7"/>
  <c r="AX79" i="7"/>
  <c r="AW79" i="7"/>
  <c r="BA78" i="7"/>
  <c r="AZ78" i="7"/>
  <c r="AY78" i="7"/>
  <c r="AX78" i="7"/>
  <c r="AW78" i="7"/>
  <c r="BA77" i="7"/>
  <c r="AZ77" i="7"/>
  <c r="AY77" i="7"/>
  <c r="AX77" i="7"/>
  <c r="AW77" i="7"/>
  <c r="BA76" i="7"/>
  <c r="AZ76" i="7"/>
  <c r="AY76" i="7"/>
  <c r="AX76" i="7"/>
  <c r="AW76" i="7"/>
  <c r="BA75" i="7"/>
  <c r="AZ75" i="7"/>
  <c r="AY75" i="7"/>
  <c r="AX75" i="7"/>
  <c r="AW75" i="7"/>
  <c r="BA74" i="7"/>
  <c r="AZ74" i="7"/>
  <c r="AY74" i="7"/>
  <c r="AX74" i="7"/>
  <c r="AW74" i="7"/>
  <c r="BA73" i="7"/>
  <c r="AZ73" i="7"/>
  <c r="AY73" i="7"/>
  <c r="AX73" i="7"/>
  <c r="AW73" i="7"/>
  <c r="BA72" i="7"/>
  <c r="AZ72" i="7"/>
  <c r="AY72" i="7"/>
  <c r="AX72" i="7"/>
  <c r="AW72" i="7"/>
  <c r="BA71" i="7"/>
  <c r="AZ71" i="7"/>
  <c r="AY71" i="7"/>
  <c r="AX71" i="7"/>
  <c r="AW71" i="7"/>
  <c r="BA70" i="7"/>
  <c r="AZ70" i="7"/>
  <c r="AY70" i="7"/>
  <c r="AX70" i="7"/>
  <c r="AW70" i="7"/>
  <c r="BA69" i="7"/>
  <c r="AZ69" i="7"/>
  <c r="AY69" i="7"/>
  <c r="AX69" i="7"/>
  <c r="AW69" i="7"/>
  <c r="BA68" i="7"/>
  <c r="AZ68" i="7"/>
  <c r="AY68" i="7"/>
  <c r="AX68" i="7"/>
  <c r="AW68" i="7"/>
  <c r="BA67" i="7"/>
  <c r="AZ67" i="7"/>
  <c r="AY67" i="7"/>
  <c r="AX67" i="7"/>
  <c r="AW67" i="7"/>
  <c r="BA66" i="7"/>
  <c r="AZ66" i="7"/>
  <c r="AY66" i="7"/>
  <c r="AX66" i="7"/>
  <c r="AW66" i="7"/>
  <c r="BA65" i="7"/>
  <c r="AZ65" i="7"/>
  <c r="AY65" i="7"/>
  <c r="AX65" i="7"/>
  <c r="AW65" i="7"/>
  <c r="BA64" i="7"/>
  <c r="AZ64" i="7"/>
  <c r="AY64" i="7"/>
  <c r="AX64" i="7"/>
  <c r="AW64" i="7"/>
  <c r="BA63" i="7"/>
  <c r="AZ63" i="7"/>
  <c r="AY63" i="7"/>
  <c r="AX63" i="7"/>
  <c r="AW63" i="7"/>
  <c r="BA62" i="7"/>
  <c r="AZ62" i="7"/>
  <c r="AY62" i="7"/>
  <c r="AX62" i="7"/>
  <c r="AW62" i="7"/>
  <c r="BA61" i="7"/>
  <c r="AZ61" i="7"/>
  <c r="AY61" i="7"/>
  <c r="AX61" i="7"/>
  <c r="AW61" i="7"/>
  <c r="BA60" i="7"/>
  <c r="AZ60" i="7"/>
  <c r="AY60" i="7"/>
  <c r="AX60" i="7"/>
  <c r="AW60" i="7"/>
  <c r="BA59" i="7"/>
  <c r="AZ59" i="7"/>
  <c r="AY59" i="7"/>
  <c r="AX59" i="7"/>
  <c r="AW59" i="7"/>
  <c r="BA58" i="7"/>
  <c r="AZ58" i="7"/>
  <c r="AY58" i="7"/>
  <c r="AX58" i="7"/>
  <c r="AW58" i="7"/>
  <c r="BA57" i="7"/>
  <c r="AZ57" i="7"/>
  <c r="AY57" i="7"/>
  <c r="AX57" i="7"/>
  <c r="AW57" i="7"/>
  <c r="BA56" i="7"/>
  <c r="AZ56" i="7"/>
  <c r="AY56" i="7"/>
  <c r="AX56" i="7"/>
  <c r="AW56" i="7"/>
  <c r="BA55" i="7"/>
  <c r="AZ55" i="7"/>
  <c r="AY55" i="7"/>
  <c r="AX55" i="7"/>
  <c r="AW55" i="7"/>
  <c r="BA54" i="7"/>
  <c r="AZ54" i="7"/>
  <c r="AY54" i="7"/>
  <c r="AX54" i="7"/>
  <c r="AW54" i="7"/>
  <c r="BA53" i="7"/>
  <c r="AZ53" i="7"/>
  <c r="AY53" i="7"/>
  <c r="AX53" i="7"/>
  <c r="AW53" i="7"/>
  <c r="BA52" i="7"/>
  <c r="AZ52" i="7"/>
  <c r="AY52" i="7"/>
  <c r="AX52" i="7"/>
  <c r="AW52" i="7"/>
  <c r="BA51" i="7"/>
  <c r="AZ51" i="7"/>
  <c r="AY51" i="7"/>
  <c r="AX51" i="7"/>
  <c r="AW51" i="7"/>
  <c r="BA50" i="7"/>
  <c r="AZ50" i="7"/>
  <c r="AY50" i="7"/>
  <c r="AX50" i="7"/>
  <c r="AW50" i="7"/>
  <c r="BA49" i="7"/>
  <c r="AZ49" i="7"/>
  <c r="AY49" i="7"/>
  <c r="AX49" i="7"/>
  <c r="AW49" i="7"/>
  <c r="BA48" i="7"/>
  <c r="AZ48" i="7"/>
  <c r="AY48" i="7"/>
  <c r="AX48" i="7"/>
  <c r="AW48" i="7"/>
  <c r="BA47" i="7"/>
  <c r="AZ47" i="7"/>
  <c r="AY47" i="7"/>
  <c r="AX47" i="7"/>
  <c r="AW47" i="7"/>
  <c r="BA46" i="7"/>
  <c r="AZ46" i="7"/>
  <c r="AY46" i="7"/>
  <c r="AX46" i="7"/>
  <c r="AW46" i="7"/>
  <c r="BA45" i="7"/>
  <c r="AZ45" i="7"/>
  <c r="AY45" i="7"/>
  <c r="AX45" i="7"/>
  <c r="AW45" i="7"/>
  <c r="BA44" i="7"/>
  <c r="AZ44" i="7"/>
  <c r="AY44" i="7"/>
  <c r="AX44" i="7"/>
  <c r="AW44" i="7"/>
  <c r="BA43" i="7"/>
  <c r="AZ43" i="7"/>
  <c r="AY43" i="7"/>
  <c r="AX43" i="7"/>
  <c r="AW43" i="7"/>
  <c r="BA42" i="7"/>
  <c r="AZ42" i="7"/>
  <c r="AY42" i="7"/>
  <c r="AX42" i="7"/>
  <c r="AW42" i="7"/>
  <c r="BA41" i="7"/>
  <c r="AZ41" i="7"/>
  <c r="AY41" i="7"/>
  <c r="AX41" i="7"/>
  <c r="AW41" i="7"/>
  <c r="BA40" i="7"/>
  <c r="AZ40" i="7"/>
  <c r="AY40" i="7"/>
  <c r="AX40" i="7"/>
  <c r="AW40" i="7"/>
  <c r="BA39" i="7"/>
  <c r="AZ39" i="7"/>
  <c r="AY39" i="7"/>
  <c r="AX39" i="7"/>
  <c r="AW39" i="7"/>
  <c r="BA38" i="7"/>
  <c r="AZ38" i="7"/>
  <c r="AY38" i="7"/>
  <c r="AX38" i="7"/>
  <c r="AW38" i="7"/>
  <c r="BA37" i="7"/>
  <c r="AZ37" i="7"/>
  <c r="AY37" i="7"/>
  <c r="AX37" i="7"/>
  <c r="AW37" i="7"/>
  <c r="BA36" i="7"/>
  <c r="AZ36" i="7"/>
  <c r="AY36" i="7"/>
  <c r="AX36" i="7"/>
  <c r="AW36" i="7"/>
  <c r="BA35" i="7"/>
  <c r="AZ35" i="7"/>
  <c r="AY35" i="7"/>
  <c r="AX35" i="7"/>
  <c r="AW35" i="7"/>
  <c r="BA34" i="7"/>
  <c r="AZ34" i="7"/>
  <c r="AY34" i="7"/>
  <c r="AX34" i="7"/>
  <c r="AW34" i="7"/>
  <c r="BA33" i="7"/>
  <c r="AZ33" i="7"/>
  <c r="AY33" i="7"/>
  <c r="AX33" i="7"/>
  <c r="AW33" i="7"/>
  <c r="BA32" i="7"/>
  <c r="AZ32" i="7"/>
  <c r="AY32" i="7"/>
  <c r="AX32" i="7"/>
  <c r="AW32" i="7"/>
  <c r="BA31" i="7"/>
  <c r="AZ31" i="7"/>
  <c r="AY31" i="7"/>
  <c r="AX31" i="7"/>
  <c r="AW31" i="7"/>
  <c r="BA30" i="7"/>
  <c r="AZ30" i="7"/>
  <c r="AY30" i="7"/>
  <c r="AX30" i="7"/>
  <c r="AW30" i="7"/>
  <c r="BA29" i="7"/>
  <c r="AZ29" i="7"/>
  <c r="AY29" i="7"/>
  <c r="AX29" i="7"/>
  <c r="AW29" i="7"/>
  <c r="BA28" i="7"/>
  <c r="AZ28" i="7"/>
  <c r="AY28" i="7"/>
  <c r="AX28" i="7"/>
  <c r="AW28" i="7"/>
  <c r="BA27" i="7"/>
  <c r="AZ27" i="7"/>
  <c r="AY27" i="7"/>
  <c r="AX27" i="7"/>
  <c r="AW27" i="7"/>
  <c r="BA26" i="7"/>
  <c r="AZ26" i="7"/>
  <c r="AY26" i="7"/>
  <c r="AX26" i="7"/>
  <c r="AW26" i="7"/>
  <c r="BA25" i="7"/>
  <c r="AZ25" i="7"/>
  <c r="AY25" i="7"/>
  <c r="AX25" i="7"/>
  <c r="AW25" i="7"/>
  <c r="BA24" i="7"/>
  <c r="AZ24" i="7"/>
  <c r="AY24" i="7"/>
  <c r="AX24" i="7"/>
  <c r="AW24" i="7"/>
  <c r="BA23" i="7"/>
  <c r="AZ23" i="7"/>
  <c r="AY23" i="7"/>
  <c r="AX23" i="7"/>
  <c r="AW23" i="7"/>
  <c r="BA22" i="7"/>
  <c r="AZ22" i="7"/>
  <c r="AY22" i="7"/>
  <c r="AX22" i="7"/>
  <c r="AW22" i="7"/>
  <c r="BA21" i="7"/>
  <c r="AZ21" i="7"/>
  <c r="AY21" i="7"/>
  <c r="AX21" i="7"/>
  <c r="AW21" i="7"/>
  <c r="BA20" i="7"/>
  <c r="AZ20" i="7"/>
  <c r="AY20" i="7"/>
  <c r="AX20" i="7"/>
  <c r="AW20" i="7"/>
  <c r="BA19" i="7"/>
  <c r="AZ19" i="7"/>
  <c r="AY19" i="7"/>
  <c r="AX19" i="7"/>
  <c r="AW19" i="7"/>
  <c r="BA18" i="7"/>
  <c r="AZ18" i="7"/>
  <c r="AY18" i="7"/>
  <c r="AX18" i="7"/>
  <c r="AW18" i="7"/>
  <c r="BA17" i="7"/>
  <c r="AZ17" i="7"/>
  <c r="AY17" i="7"/>
  <c r="AX17" i="7"/>
  <c r="AW17" i="7"/>
  <c r="BA16" i="7"/>
  <c r="AZ16" i="7"/>
  <c r="AY16" i="7"/>
  <c r="AX16" i="7"/>
  <c r="AW16" i="7"/>
  <c r="BA15" i="7"/>
  <c r="AZ15" i="7"/>
  <c r="AY15" i="7"/>
  <c r="AX15" i="7"/>
  <c r="AW15" i="7"/>
  <c r="BA14" i="7"/>
  <c r="AZ14" i="7"/>
  <c r="AY14" i="7"/>
  <c r="AX14" i="7"/>
  <c r="AW14" i="7"/>
  <c r="BA13" i="7"/>
  <c r="AZ13" i="7"/>
  <c r="AY13" i="7"/>
  <c r="AX13" i="7"/>
  <c r="AW13" i="7"/>
  <c r="BA12" i="7"/>
  <c r="AZ12" i="7"/>
  <c r="AY12" i="7"/>
  <c r="AX12" i="7"/>
  <c r="AW12" i="7"/>
  <c r="BA11" i="7"/>
  <c r="AZ11" i="7"/>
  <c r="AY11" i="7"/>
  <c r="AX11" i="7"/>
  <c r="AW11" i="7"/>
  <c r="BA10" i="7"/>
  <c r="AZ10" i="7"/>
  <c r="AY10" i="7"/>
  <c r="AX10" i="7"/>
  <c r="AW10" i="7"/>
  <c r="BA9" i="7"/>
  <c r="AZ9" i="7"/>
  <c r="AY9" i="7"/>
  <c r="AX9" i="7"/>
  <c r="AW9" i="7"/>
  <c r="BA8" i="7"/>
  <c r="AZ8" i="7"/>
  <c r="AY8" i="7"/>
  <c r="AX8" i="7"/>
  <c r="AW8" i="7"/>
  <c r="BA7" i="7"/>
  <c r="AZ7" i="7"/>
  <c r="AY7" i="7"/>
  <c r="AX7" i="7"/>
  <c r="AW7" i="7"/>
  <c r="BA6" i="7"/>
  <c r="AZ6" i="7"/>
  <c r="AY6" i="7"/>
  <c r="AX6" i="7"/>
  <c r="AW6" i="7"/>
  <c r="AT1" i="7"/>
  <c r="AS1" i="7"/>
  <c r="AR1" i="7"/>
  <c r="AQ1" i="7"/>
  <c r="AP1" i="7"/>
  <c r="AO1" i="7"/>
  <c r="AN1" i="7"/>
  <c r="AN2" i="7" s="1"/>
  <c r="AM1" i="7"/>
  <c r="AL1" i="7"/>
  <c r="AK1" i="7"/>
  <c r="AJ1" i="7"/>
  <c r="AI1" i="7"/>
  <c r="AH1" i="7"/>
  <c r="AG1" i="7"/>
  <c r="AF1" i="7"/>
  <c r="AE1" i="7"/>
  <c r="AD1" i="7"/>
  <c r="AC1" i="7"/>
  <c r="AB1" i="7"/>
  <c r="AA1" i="7"/>
  <c r="Z1" i="7"/>
  <c r="Y1" i="7"/>
  <c r="X1" i="7"/>
  <c r="W1" i="7"/>
  <c r="V1" i="7"/>
  <c r="U1" i="7"/>
  <c r="T1" i="7"/>
  <c r="S1" i="7"/>
  <c r="R1" i="7"/>
  <c r="Q1" i="7"/>
  <c r="P1" i="7"/>
  <c r="AF1945" i="6"/>
  <c r="AF1944" i="6"/>
  <c r="AF1943" i="6"/>
  <c r="AF1942" i="6"/>
  <c r="AF1941" i="6"/>
  <c r="AF1940" i="6"/>
  <c r="AF1939" i="6"/>
  <c r="AF1938" i="6"/>
  <c r="AF1937" i="6"/>
  <c r="AF1936" i="6"/>
  <c r="AF1935" i="6"/>
  <c r="AF1934" i="6"/>
  <c r="AF1933" i="6"/>
  <c r="AF1932" i="6"/>
  <c r="AF1931" i="6"/>
  <c r="AF1930" i="6"/>
  <c r="AF1929" i="6"/>
  <c r="AF1928" i="6"/>
  <c r="AF1927" i="6"/>
  <c r="AF1926" i="6"/>
  <c r="AF1925" i="6"/>
  <c r="AF1924" i="6"/>
  <c r="AF1923" i="6"/>
  <c r="AF1922" i="6"/>
  <c r="AF1921" i="6"/>
  <c r="AF1920" i="6"/>
  <c r="AF1919" i="6"/>
  <c r="AF1918" i="6"/>
  <c r="AF1917" i="6"/>
  <c r="AF1916" i="6"/>
  <c r="AF1915" i="6"/>
  <c r="AF1914" i="6"/>
  <c r="AF1913" i="6"/>
  <c r="AF1912" i="6"/>
  <c r="AF1911" i="6"/>
  <c r="AF1910" i="6"/>
  <c r="AF1909" i="6"/>
  <c r="AF1908" i="6"/>
  <c r="AF1907" i="6"/>
  <c r="AF1906" i="6"/>
  <c r="AF1905" i="6"/>
  <c r="AF1904" i="6"/>
  <c r="AF1903" i="6"/>
  <c r="AF1902" i="6"/>
  <c r="AF1901" i="6"/>
  <c r="AF1900" i="6"/>
  <c r="AF1899" i="6"/>
  <c r="AF1898" i="6"/>
  <c r="AF1897" i="6"/>
  <c r="AF1896" i="6"/>
  <c r="AF1895" i="6"/>
  <c r="AF1894" i="6"/>
  <c r="AF1893" i="6"/>
  <c r="AF1892" i="6"/>
  <c r="AF1891" i="6"/>
  <c r="AF1890" i="6"/>
  <c r="AF1889" i="6"/>
  <c r="AF1888" i="6"/>
  <c r="AF1887" i="6"/>
  <c r="AF1886" i="6"/>
  <c r="AF1885" i="6"/>
  <c r="AF1884" i="6"/>
  <c r="AF1883" i="6"/>
  <c r="AF1882" i="6"/>
  <c r="AF1881" i="6"/>
  <c r="AF1880" i="6"/>
  <c r="AF1879" i="6"/>
  <c r="AF1878" i="6"/>
  <c r="AF1877" i="6"/>
  <c r="AF1876" i="6"/>
  <c r="AF1875" i="6"/>
  <c r="AF1874" i="6"/>
  <c r="AF1873" i="6"/>
  <c r="AF1872" i="6"/>
  <c r="AF1871" i="6"/>
  <c r="AF1870" i="6"/>
  <c r="AF1869" i="6"/>
  <c r="AF1868" i="6"/>
  <c r="AF1867" i="6"/>
  <c r="AF1866" i="6"/>
  <c r="AF1865" i="6"/>
  <c r="AF1864" i="6"/>
  <c r="AF1863" i="6"/>
  <c r="AF1862" i="6"/>
  <c r="AF1861" i="6"/>
  <c r="AF1860" i="6"/>
  <c r="AF1859" i="6"/>
  <c r="AF1858" i="6"/>
  <c r="AF1857" i="6"/>
  <c r="AF1856" i="6"/>
  <c r="AF1855" i="6"/>
  <c r="AF1854" i="6"/>
  <c r="AF1853" i="6"/>
  <c r="AF1852" i="6"/>
  <c r="AF1851" i="6"/>
  <c r="AF1850" i="6"/>
  <c r="AF1849" i="6"/>
  <c r="AF1848" i="6"/>
  <c r="AF1847" i="6"/>
  <c r="AF1846" i="6"/>
  <c r="AF1845" i="6"/>
  <c r="AF1844" i="6"/>
  <c r="AF1843" i="6"/>
  <c r="AF1842" i="6"/>
  <c r="AF1841" i="6"/>
  <c r="AF1840" i="6"/>
  <c r="AF1839" i="6"/>
  <c r="AF1838" i="6"/>
  <c r="AF1837" i="6"/>
  <c r="AF1836" i="6"/>
  <c r="AF1835" i="6"/>
  <c r="AF1834" i="6"/>
  <c r="AF1833" i="6"/>
  <c r="AF1832" i="6"/>
  <c r="AF1831" i="6"/>
  <c r="AF1830" i="6"/>
  <c r="AF1829" i="6"/>
  <c r="AF1828" i="6"/>
  <c r="AF1827" i="6"/>
  <c r="AF1826" i="6"/>
  <c r="AF1825" i="6"/>
  <c r="AF1824" i="6"/>
  <c r="AF1823" i="6"/>
  <c r="AF1822" i="6"/>
  <c r="AF1821" i="6"/>
  <c r="AF1820" i="6"/>
  <c r="AF1819" i="6"/>
  <c r="AF1818" i="6"/>
  <c r="AF1817" i="6"/>
  <c r="AF1816" i="6"/>
  <c r="AF1815" i="6"/>
  <c r="AF1814" i="6"/>
  <c r="AF1813" i="6"/>
  <c r="AF1812" i="6"/>
  <c r="AF1811" i="6"/>
  <c r="AF1810" i="6"/>
  <c r="AF1809" i="6"/>
  <c r="AF1808" i="6"/>
  <c r="AF1807" i="6"/>
  <c r="AF1806" i="6"/>
  <c r="AF1805" i="6"/>
  <c r="AF1804" i="6"/>
  <c r="AF1803" i="6"/>
  <c r="AF1802" i="6"/>
  <c r="AF1801" i="6"/>
  <c r="AF1800" i="6"/>
  <c r="AF1799" i="6"/>
  <c r="AF1798" i="6"/>
  <c r="AF1797" i="6"/>
  <c r="AF1796" i="6"/>
  <c r="AF1795" i="6"/>
  <c r="AF1794" i="6"/>
  <c r="AF1793" i="6"/>
  <c r="AF1792" i="6"/>
  <c r="AF1791" i="6"/>
  <c r="AF1790" i="6"/>
  <c r="AF1789" i="6"/>
  <c r="AF1788" i="6"/>
  <c r="AF1787" i="6"/>
  <c r="AF1786" i="6"/>
  <c r="AF1785" i="6"/>
  <c r="AF1784" i="6"/>
  <c r="AF1783" i="6"/>
  <c r="AF1782" i="6"/>
  <c r="AF1781" i="6"/>
  <c r="AF1780" i="6"/>
  <c r="AF1779" i="6"/>
  <c r="AF1778" i="6"/>
  <c r="AF1777" i="6"/>
  <c r="AF1776" i="6"/>
  <c r="AF1775" i="6"/>
  <c r="AF1774" i="6"/>
  <c r="AF1773" i="6"/>
  <c r="AF1772" i="6"/>
  <c r="AF1771" i="6"/>
  <c r="AF1770" i="6"/>
  <c r="AF1769" i="6"/>
  <c r="AF1768" i="6"/>
  <c r="AF1767" i="6"/>
  <c r="AF1766" i="6"/>
  <c r="AF1765" i="6"/>
  <c r="AF1764" i="6"/>
  <c r="AF1763" i="6"/>
  <c r="AF1762" i="6"/>
  <c r="AF1761" i="6"/>
  <c r="AF1760" i="6"/>
  <c r="AF1759" i="6"/>
  <c r="AF1758" i="6"/>
  <c r="AF1757" i="6"/>
  <c r="AF1756" i="6"/>
  <c r="AF1755" i="6"/>
  <c r="AF1754" i="6"/>
  <c r="AF1753" i="6"/>
  <c r="AF1752" i="6"/>
  <c r="AF1751" i="6"/>
  <c r="AF1750" i="6"/>
  <c r="AF1749" i="6"/>
  <c r="AF1748" i="6"/>
  <c r="AF1747" i="6"/>
  <c r="AF1746" i="6"/>
  <c r="AF1745" i="6"/>
  <c r="AF1744" i="6"/>
  <c r="AF1743" i="6"/>
  <c r="AF1742" i="6"/>
  <c r="AF1741" i="6"/>
  <c r="AF1740" i="6"/>
  <c r="AF1739" i="6"/>
  <c r="AF1738" i="6"/>
  <c r="AF1737" i="6"/>
  <c r="AF1736" i="6"/>
  <c r="AF1735" i="6"/>
  <c r="AF1734" i="6"/>
  <c r="AF1733" i="6"/>
  <c r="AF1732" i="6"/>
  <c r="AF1731" i="6"/>
  <c r="AF1730" i="6"/>
  <c r="AF1729" i="6"/>
  <c r="AF1728" i="6"/>
  <c r="AF1727" i="6"/>
  <c r="AF1726" i="6"/>
  <c r="AF1725" i="6"/>
  <c r="AF1724" i="6"/>
  <c r="AF1723" i="6"/>
  <c r="AF1722" i="6"/>
  <c r="AF1721" i="6"/>
  <c r="AF1720" i="6"/>
  <c r="AF1719" i="6"/>
  <c r="AF1718" i="6"/>
  <c r="AF1717" i="6"/>
  <c r="AF1716" i="6"/>
  <c r="AF1715" i="6"/>
  <c r="AF1714" i="6"/>
  <c r="AF1713" i="6"/>
  <c r="AF1712" i="6"/>
  <c r="AF1711" i="6"/>
  <c r="AF1710" i="6"/>
  <c r="AF1709" i="6"/>
  <c r="AF1708" i="6"/>
  <c r="AF1707" i="6"/>
  <c r="AF1706" i="6"/>
  <c r="AF1705" i="6"/>
  <c r="AF1704" i="6"/>
  <c r="AF1703" i="6"/>
  <c r="AF1702" i="6"/>
  <c r="AF1701" i="6"/>
  <c r="AF1700" i="6"/>
  <c r="AF1699" i="6"/>
  <c r="AF1698" i="6"/>
  <c r="AF1697" i="6"/>
  <c r="AF1696" i="6"/>
  <c r="AF1695" i="6"/>
  <c r="AF1694" i="6"/>
  <c r="AF1693" i="6"/>
  <c r="AF1692" i="6"/>
  <c r="AF1691" i="6"/>
  <c r="AF1690" i="6"/>
  <c r="AF1689" i="6"/>
  <c r="AF1688" i="6"/>
  <c r="AF1687" i="6"/>
  <c r="AF1686" i="6"/>
  <c r="AF1685" i="6"/>
  <c r="AF1684" i="6"/>
  <c r="AF1683" i="6"/>
  <c r="AF1682" i="6"/>
  <c r="AF1681" i="6"/>
  <c r="AF1680" i="6"/>
  <c r="AF1679" i="6"/>
  <c r="AF1678" i="6"/>
  <c r="AF1677" i="6"/>
  <c r="AF1676" i="6"/>
  <c r="AF1675" i="6"/>
  <c r="AF1674" i="6"/>
  <c r="AF1673" i="6"/>
  <c r="AF1672" i="6"/>
  <c r="AF1671" i="6"/>
  <c r="AF1670" i="6"/>
  <c r="AF1669" i="6"/>
  <c r="AF1668" i="6"/>
  <c r="AF1667" i="6"/>
  <c r="AF1666" i="6"/>
  <c r="AF1665" i="6"/>
  <c r="AF1664" i="6"/>
  <c r="AF1663" i="6"/>
  <c r="AF1662" i="6"/>
  <c r="AF1661" i="6"/>
  <c r="AF1660" i="6"/>
  <c r="AF1659" i="6"/>
  <c r="AF1658" i="6"/>
  <c r="AF1657" i="6"/>
  <c r="AF1656" i="6"/>
  <c r="AF1655" i="6"/>
  <c r="AF1654" i="6"/>
  <c r="AF1653" i="6"/>
  <c r="AF1652" i="6"/>
  <c r="AF1651" i="6"/>
  <c r="AF1650" i="6"/>
  <c r="AF1649" i="6"/>
  <c r="AF1648" i="6"/>
  <c r="AF1647" i="6"/>
  <c r="AF1646" i="6"/>
  <c r="AF1645" i="6"/>
  <c r="AF1644" i="6"/>
  <c r="AF1643" i="6"/>
  <c r="AF1642" i="6"/>
  <c r="AF1641" i="6"/>
  <c r="AF1640" i="6"/>
  <c r="AF1639" i="6"/>
  <c r="AF1638" i="6"/>
  <c r="AF1637" i="6"/>
  <c r="AF1636" i="6"/>
  <c r="AF1635" i="6"/>
  <c r="AF1634" i="6"/>
  <c r="AF1633" i="6"/>
  <c r="AF1632" i="6"/>
  <c r="AF1631" i="6"/>
  <c r="AF1630" i="6"/>
  <c r="AF1629" i="6"/>
  <c r="AF1628" i="6"/>
  <c r="AF1627" i="6"/>
  <c r="AF1626" i="6"/>
  <c r="AF1625" i="6"/>
  <c r="AF1624" i="6"/>
  <c r="AF1623" i="6"/>
  <c r="AF1622" i="6"/>
  <c r="AF1621" i="6"/>
  <c r="AF1620" i="6"/>
  <c r="AF1619" i="6"/>
  <c r="AF1618" i="6"/>
  <c r="AF1617" i="6"/>
  <c r="AF1616" i="6"/>
  <c r="AF1615" i="6"/>
  <c r="AF1614" i="6"/>
  <c r="AF1613" i="6"/>
  <c r="AF1612" i="6"/>
  <c r="AF1611" i="6"/>
  <c r="AF1610" i="6"/>
  <c r="AF1609" i="6"/>
  <c r="AF1608" i="6"/>
  <c r="AF1607" i="6"/>
  <c r="AF1606" i="6"/>
  <c r="AF1605" i="6"/>
  <c r="AF1604" i="6"/>
  <c r="AF1603" i="6"/>
  <c r="AF1602" i="6"/>
  <c r="AF1601" i="6"/>
  <c r="AF1600" i="6"/>
  <c r="AF1599" i="6"/>
  <c r="AF1598" i="6"/>
  <c r="AF1597" i="6"/>
  <c r="AF1596" i="6"/>
  <c r="AF1595" i="6"/>
  <c r="AF1594" i="6"/>
  <c r="AF1593" i="6"/>
  <c r="AF1592" i="6"/>
  <c r="AF1591" i="6"/>
  <c r="AF1590" i="6"/>
  <c r="AF1589" i="6"/>
  <c r="AF1588" i="6"/>
  <c r="AF1587" i="6"/>
  <c r="AF1586" i="6"/>
  <c r="AF1585" i="6"/>
  <c r="AF1584" i="6"/>
  <c r="AF1583" i="6"/>
  <c r="AF1582" i="6"/>
  <c r="AF1581" i="6"/>
  <c r="AF1580" i="6"/>
  <c r="AF1579" i="6"/>
  <c r="AF1578" i="6"/>
  <c r="AF1577" i="6"/>
  <c r="AF1576" i="6"/>
  <c r="AF1575" i="6"/>
  <c r="AF1574" i="6"/>
  <c r="AF1573" i="6"/>
  <c r="AF1572" i="6"/>
  <c r="AF1571" i="6"/>
  <c r="AF1570" i="6"/>
  <c r="AF1569" i="6"/>
  <c r="AF1568" i="6"/>
  <c r="AF1567" i="6"/>
  <c r="AF1566" i="6"/>
  <c r="AF1565" i="6"/>
  <c r="AF1564" i="6"/>
  <c r="AF1563" i="6"/>
  <c r="AF1562" i="6"/>
  <c r="AF1561" i="6"/>
  <c r="AF1560" i="6"/>
  <c r="AF1559" i="6"/>
  <c r="AF1558" i="6"/>
  <c r="AF1557" i="6"/>
  <c r="AF1556" i="6"/>
  <c r="AF1555" i="6"/>
  <c r="AF1554" i="6"/>
  <c r="AF1553" i="6"/>
  <c r="AF1552" i="6"/>
  <c r="AF1551" i="6"/>
  <c r="AF1550" i="6"/>
  <c r="AF1549" i="6"/>
  <c r="AF1548" i="6"/>
  <c r="AF1547" i="6"/>
  <c r="AF1546" i="6"/>
  <c r="AF1545" i="6"/>
  <c r="AF1544" i="6"/>
  <c r="AF1543" i="6"/>
  <c r="AF1542" i="6"/>
  <c r="AF1541" i="6"/>
  <c r="AF1540" i="6"/>
  <c r="AF1539" i="6"/>
  <c r="AF1538" i="6"/>
  <c r="AF1537" i="6"/>
  <c r="AF1536" i="6"/>
  <c r="AF1535" i="6"/>
  <c r="AF1534" i="6"/>
  <c r="AF1533" i="6"/>
  <c r="AF1532" i="6"/>
  <c r="AF1531" i="6"/>
  <c r="AF1530" i="6"/>
  <c r="AF1529" i="6"/>
  <c r="AF1528" i="6"/>
  <c r="AF1527" i="6"/>
  <c r="AF1526" i="6"/>
  <c r="AF1525" i="6"/>
  <c r="AF1524" i="6"/>
  <c r="AF1523" i="6"/>
  <c r="AF1522" i="6"/>
  <c r="AF1521" i="6"/>
  <c r="AF1520" i="6"/>
  <c r="AF1519" i="6"/>
  <c r="AF1518" i="6"/>
  <c r="AF1517" i="6"/>
  <c r="AF1516" i="6"/>
  <c r="AF1515" i="6"/>
  <c r="AF1514" i="6"/>
  <c r="AF1513" i="6"/>
  <c r="AF1512" i="6"/>
  <c r="AF1511" i="6"/>
  <c r="AF1510" i="6"/>
  <c r="AF1509" i="6"/>
  <c r="AF1508" i="6"/>
  <c r="AF1507" i="6"/>
  <c r="AF1506" i="6"/>
  <c r="AF1505" i="6"/>
  <c r="AF1504" i="6"/>
  <c r="AF1503" i="6"/>
  <c r="AF1502" i="6"/>
  <c r="AF1501" i="6"/>
  <c r="AF1500" i="6"/>
  <c r="AF1499" i="6"/>
  <c r="AF1498" i="6"/>
  <c r="AF1497" i="6"/>
  <c r="AF1496" i="6"/>
  <c r="AF1495" i="6"/>
  <c r="AF1494" i="6"/>
  <c r="AF1493" i="6"/>
  <c r="AF1492" i="6"/>
  <c r="AF1491" i="6"/>
  <c r="AF1490" i="6"/>
  <c r="AF1489" i="6"/>
  <c r="AF1488" i="6"/>
  <c r="AF1487" i="6"/>
  <c r="AF1486" i="6"/>
  <c r="AF1485" i="6"/>
  <c r="AF1484" i="6"/>
  <c r="AF1483" i="6"/>
  <c r="AF1482" i="6"/>
  <c r="AF1481" i="6"/>
  <c r="AF1480" i="6"/>
  <c r="AF1479" i="6"/>
  <c r="AF1478" i="6"/>
  <c r="AF1477" i="6"/>
  <c r="AF1476" i="6"/>
  <c r="AF1475" i="6"/>
  <c r="AF1474" i="6"/>
  <c r="AF1473" i="6"/>
  <c r="AF1472" i="6"/>
  <c r="AF1471" i="6"/>
  <c r="AF1470" i="6"/>
  <c r="AF1469" i="6"/>
  <c r="AF1468" i="6"/>
  <c r="AF1467" i="6"/>
  <c r="AF1466" i="6"/>
  <c r="AF1465" i="6"/>
  <c r="AF1464" i="6"/>
  <c r="AF1463" i="6"/>
  <c r="AF1462" i="6"/>
  <c r="AF1461" i="6"/>
  <c r="AF1460" i="6"/>
  <c r="AF1459" i="6"/>
  <c r="AF1458" i="6"/>
  <c r="AF1457" i="6"/>
  <c r="AF1456" i="6"/>
  <c r="AF1455" i="6"/>
  <c r="AF1454" i="6"/>
  <c r="AF1453" i="6"/>
  <c r="AF1452" i="6"/>
  <c r="AF1451" i="6"/>
  <c r="AF1450" i="6"/>
  <c r="AF1449" i="6"/>
  <c r="AF1448" i="6"/>
  <c r="AF1447" i="6"/>
  <c r="AF1446" i="6"/>
  <c r="AF1445" i="6"/>
  <c r="AF1444" i="6"/>
  <c r="AF1443" i="6"/>
  <c r="AF1442" i="6"/>
  <c r="AF1441" i="6"/>
  <c r="AF1440" i="6"/>
  <c r="AF1439" i="6"/>
  <c r="AF1438" i="6"/>
  <c r="AF1437" i="6"/>
  <c r="AF1436" i="6"/>
  <c r="AF1435" i="6"/>
  <c r="AF1434" i="6"/>
  <c r="AF1433" i="6"/>
  <c r="AF1432" i="6"/>
  <c r="AF1431" i="6"/>
  <c r="AF1430" i="6"/>
  <c r="AF1429" i="6"/>
  <c r="AF1428" i="6"/>
  <c r="AF1427" i="6"/>
  <c r="AF1426" i="6"/>
  <c r="AF1425" i="6"/>
  <c r="AF1424" i="6"/>
  <c r="AF1423" i="6"/>
  <c r="AF1422" i="6"/>
  <c r="AF1421" i="6"/>
  <c r="AF1420" i="6"/>
  <c r="AF1419" i="6"/>
  <c r="AF1418" i="6"/>
  <c r="AF1417" i="6"/>
  <c r="AF1416" i="6"/>
  <c r="AF1415" i="6"/>
  <c r="AF1414" i="6"/>
  <c r="AF1413" i="6"/>
  <c r="AF1412" i="6"/>
  <c r="AF1411" i="6"/>
  <c r="AF1410" i="6"/>
  <c r="AF1409" i="6"/>
  <c r="AF1408" i="6"/>
  <c r="AF1407" i="6"/>
  <c r="AF1406" i="6"/>
  <c r="AF1405" i="6"/>
  <c r="AF1404" i="6"/>
  <c r="AF1403" i="6"/>
  <c r="AF1402" i="6"/>
  <c r="AF1401" i="6"/>
  <c r="AF1400" i="6"/>
  <c r="AF1399" i="6"/>
  <c r="AF1398" i="6"/>
  <c r="AF1397" i="6"/>
  <c r="AF1396" i="6"/>
  <c r="AF1395" i="6"/>
  <c r="AF1394" i="6"/>
  <c r="AF1393" i="6"/>
  <c r="AF1392" i="6"/>
  <c r="AF1391" i="6"/>
  <c r="AF1390" i="6"/>
  <c r="AF1389" i="6"/>
  <c r="AF1388" i="6"/>
  <c r="AF1387" i="6"/>
  <c r="AF1386" i="6"/>
  <c r="AF1385" i="6"/>
  <c r="AF1384" i="6"/>
  <c r="AF1383" i="6"/>
  <c r="AF1382" i="6"/>
  <c r="AF1381" i="6"/>
  <c r="AF1380" i="6"/>
  <c r="AF1379" i="6"/>
  <c r="AF1378" i="6"/>
  <c r="AF1377" i="6"/>
  <c r="AF1376" i="6"/>
  <c r="AF1375" i="6"/>
  <c r="AF1374" i="6"/>
  <c r="AF1373" i="6"/>
  <c r="AF1372" i="6"/>
  <c r="AF1371" i="6"/>
  <c r="AF1370" i="6"/>
  <c r="AF1369" i="6"/>
  <c r="AF1368" i="6"/>
  <c r="AF1367" i="6"/>
  <c r="AF1366" i="6"/>
  <c r="AF1365" i="6"/>
  <c r="AF1364" i="6"/>
  <c r="AF1363" i="6"/>
  <c r="AF1362" i="6"/>
  <c r="AF1361" i="6"/>
  <c r="AF1360" i="6"/>
  <c r="AF1359" i="6"/>
  <c r="AF1358" i="6"/>
  <c r="AF1357" i="6"/>
  <c r="AF1356" i="6"/>
  <c r="AF1355" i="6"/>
  <c r="AF1354" i="6"/>
  <c r="AF1353" i="6"/>
  <c r="AF1352" i="6"/>
  <c r="AF1351" i="6"/>
  <c r="AF1350" i="6"/>
  <c r="AF1349" i="6"/>
  <c r="AF1348" i="6"/>
  <c r="AF1347" i="6"/>
  <c r="AF1346" i="6"/>
  <c r="AF1345" i="6"/>
  <c r="AF1344" i="6"/>
  <c r="AF1343" i="6"/>
  <c r="AF1342" i="6"/>
  <c r="AF1341" i="6"/>
  <c r="AF1340" i="6"/>
  <c r="AF1339" i="6"/>
  <c r="AF1338" i="6"/>
  <c r="AF1337" i="6"/>
  <c r="AF1336" i="6"/>
  <c r="AF1335" i="6"/>
  <c r="AF1334" i="6"/>
  <c r="AF1333" i="6"/>
  <c r="AF1332" i="6"/>
  <c r="AF1331" i="6"/>
  <c r="AF1330" i="6"/>
  <c r="AF1329" i="6"/>
  <c r="AF1328" i="6"/>
  <c r="AF1327" i="6"/>
  <c r="AF1326" i="6"/>
  <c r="AF1325" i="6"/>
  <c r="AF1324" i="6"/>
  <c r="AF1323" i="6"/>
  <c r="AF1322" i="6"/>
  <c r="AF1321" i="6"/>
  <c r="AF1320" i="6"/>
  <c r="AF1319" i="6"/>
  <c r="AF1318" i="6"/>
  <c r="AF1317" i="6"/>
  <c r="AF1316" i="6"/>
  <c r="AF1315" i="6"/>
  <c r="AF1314" i="6"/>
  <c r="AF1313" i="6"/>
  <c r="AF1312" i="6"/>
  <c r="AF1311" i="6"/>
  <c r="AF1310" i="6"/>
  <c r="AF1309" i="6"/>
  <c r="AF1308" i="6"/>
  <c r="AF1307" i="6"/>
  <c r="AF1306" i="6"/>
  <c r="AF1305" i="6"/>
  <c r="AF1304" i="6"/>
  <c r="AF1303" i="6"/>
  <c r="AF1302" i="6"/>
  <c r="AF1301" i="6"/>
  <c r="AF1300" i="6"/>
  <c r="AF1299" i="6"/>
  <c r="AF1298" i="6"/>
  <c r="AF1297" i="6"/>
  <c r="AF1296" i="6"/>
  <c r="AF1295" i="6"/>
  <c r="AF1294" i="6"/>
  <c r="AF1293" i="6"/>
  <c r="AF1292" i="6"/>
  <c r="AF1291" i="6"/>
  <c r="AF1290" i="6"/>
  <c r="AF1289" i="6"/>
  <c r="AF1288" i="6"/>
  <c r="AF1287" i="6"/>
  <c r="AF1286" i="6"/>
  <c r="AF1285" i="6"/>
  <c r="AF1284" i="6"/>
  <c r="AF1283" i="6"/>
  <c r="AF1282" i="6"/>
  <c r="AF1281" i="6"/>
  <c r="AF1280" i="6"/>
  <c r="AF1279" i="6"/>
  <c r="AF1278" i="6"/>
  <c r="AF1277" i="6"/>
  <c r="AF1276" i="6"/>
  <c r="AF1275" i="6"/>
  <c r="AF1274" i="6"/>
  <c r="AF1273" i="6"/>
  <c r="AF1272" i="6"/>
  <c r="AF1271" i="6"/>
  <c r="AF1270" i="6"/>
  <c r="AF1269" i="6"/>
  <c r="AF1268" i="6"/>
  <c r="AF1267" i="6"/>
  <c r="AF1266" i="6"/>
  <c r="AF1265" i="6"/>
  <c r="AF1264" i="6"/>
  <c r="AF1263" i="6"/>
  <c r="AF1262" i="6"/>
  <c r="AF1261" i="6"/>
  <c r="AF1260" i="6"/>
  <c r="AF1259" i="6"/>
  <c r="AF1258" i="6"/>
  <c r="AF1257" i="6"/>
  <c r="AF1256" i="6"/>
  <c r="AF1255" i="6"/>
  <c r="AF1254" i="6"/>
  <c r="AF1253" i="6"/>
  <c r="AF1252" i="6"/>
  <c r="AF1251" i="6"/>
  <c r="AF1250" i="6"/>
  <c r="AF1249" i="6"/>
  <c r="AF1248" i="6"/>
  <c r="AF1247" i="6"/>
  <c r="AF1246" i="6"/>
  <c r="AF1245" i="6"/>
  <c r="AF1244" i="6"/>
  <c r="AF1243" i="6"/>
  <c r="AF1242" i="6"/>
  <c r="AF1241" i="6"/>
  <c r="AF1240" i="6"/>
  <c r="AF1239" i="6"/>
  <c r="AF1238" i="6"/>
  <c r="AF1237" i="6"/>
  <c r="AF1236" i="6"/>
  <c r="AF1235" i="6"/>
  <c r="AF1234" i="6"/>
  <c r="AF1233" i="6"/>
  <c r="AF1232" i="6"/>
  <c r="AF1231" i="6"/>
  <c r="AF1230" i="6"/>
  <c r="AF1229" i="6"/>
  <c r="AF1228" i="6"/>
  <c r="AF1227" i="6"/>
  <c r="AF1226" i="6"/>
  <c r="AF1225" i="6"/>
  <c r="AF1224" i="6"/>
  <c r="AF1223" i="6"/>
  <c r="AF1222" i="6"/>
  <c r="AF1221" i="6"/>
  <c r="AF1220" i="6"/>
  <c r="AF1219" i="6"/>
  <c r="AF1218" i="6"/>
  <c r="AF1217" i="6"/>
  <c r="AF1216" i="6"/>
  <c r="AF1215" i="6"/>
  <c r="AF1214" i="6"/>
  <c r="AF1213" i="6"/>
  <c r="AF1212" i="6"/>
  <c r="AF1211" i="6"/>
  <c r="AF1210" i="6"/>
  <c r="AF1209" i="6"/>
  <c r="AF1208" i="6"/>
  <c r="AF1207" i="6"/>
  <c r="AF1206" i="6"/>
  <c r="AF1205" i="6"/>
  <c r="AF1204" i="6"/>
  <c r="AF1203" i="6"/>
  <c r="AF1202" i="6"/>
  <c r="AF1201" i="6"/>
  <c r="AF1200" i="6"/>
  <c r="AF1199" i="6"/>
  <c r="AF1198" i="6"/>
  <c r="AF1197" i="6"/>
  <c r="AF1196" i="6"/>
  <c r="AF1195" i="6"/>
  <c r="AF1194" i="6"/>
  <c r="AF1193" i="6"/>
  <c r="AF1192" i="6"/>
  <c r="AF1191" i="6"/>
  <c r="AF1190" i="6"/>
  <c r="AF1189" i="6"/>
  <c r="AF1188" i="6"/>
  <c r="AF1187" i="6"/>
  <c r="AF1186" i="6"/>
  <c r="AF1185" i="6"/>
  <c r="AF1184" i="6"/>
  <c r="AF1183" i="6"/>
  <c r="AF1182" i="6"/>
  <c r="AF1181" i="6"/>
  <c r="AF1180" i="6"/>
  <c r="AF1179" i="6"/>
  <c r="AF1178" i="6"/>
  <c r="AF1177" i="6"/>
  <c r="AF1176" i="6"/>
  <c r="AF1175" i="6"/>
  <c r="AF1174" i="6"/>
  <c r="AF1173" i="6"/>
  <c r="AF1172" i="6"/>
  <c r="AF1171" i="6"/>
  <c r="AF1170" i="6"/>
  <c r="AF1169" i="6"/>
  <c r="AF1168" i="6"/>
  <c r="AF1167" i="6"/>
  <c r="AF1166" i="6"/>
  <c r="AF1165" i="6"/>
  <c r="AF1164" i="6"/>
  <c r="AF1163" i="6"/>
  <c r="AF1162" i="6"/>
  <c r="AF1161" i="6"/>
  <c r="AF1160" i="6"/>
  <c r="AF1159" i="6"/>
  <c r="AF1158" i="6"/>
  <c r="AF1157" i="6"/>
  <c r="AF1156" i="6"/>
  <c r="AF1155" i="6"/>
  <c r="AF1154" i="6"/>
  <c r="AF1153" i="6"/>
  <c r="AF1152" i="6"/>
  <c r="AF1151" i="6"/>
  <c r="AF1150" i="6"/>
  <c r="AF1149" i="6"/>
  <c r="AF1148" i="6"/>
  <c r="AF1147" i="6"/>
  <c r="AF1146" i="6"/>
  <c r="AF1145" i="6"/>
  <c r="AF1144" i="6"/>
  <c r="AF1143" i="6"/>
  <c r="AF1142" i="6"/>
  <c r="AF1141" i="6"/>
  <c r="AF1140" i="6"/>
  <c r="AF1139" i="6"/>
  <c r="AF1138" i="6"/>
  <c r="AF1137" i="6"/>
  <c r="AF1136" i="6"/>
  <c r="AF1135" i="6"/>
  <c r="AF1134" i="6"/>
  <c r="AF1133" i="6"/>
  <c r="AF1132" i="6"/>
  <c r="AF1131" i="6"/>
  <c r="AF1130" i="6"/>
  <c r="AF1129" i="6"/>
  <c r="AF1128" i="6"/>
  <c r="AF1127" i="6"/>
  <c r="AF1126" i="6"/>
  <c r="AF1125" i="6"/>
  <c r="AF1124" i="6"/>
  <c r="AF1123" i="6"/>
  <c r="AF1122" i="6"/>
  <c r="AF1121" i="6"/>
  <c r="AF1120" i="6"/>
  <c r="AF1119" i="6"/>
  <c r="AF1118" i="6"/>
  <c r="AF1117" i="6"/>
  <c r="AF1116" i="6"/>
  <c r="AF1115" i="6"/>
  <c r="AF1114" i="6"/>
  <c r="AF1113" i="6"/>
  <c r="AF1112" i="6"/>
  <c r="AF1111" i="6"/>
  <c r="AF1110" i="6"/>
  <c r="AF1109" i="6"/>
  <c r="AF1108" i="6"/>
  <c r="AF1107" i="6"/>
  <c r="AF1106" i="6"/>
  <c r="AF1105" i="6"/>
  <c r="AF1104" i="6"/>
  <c r="AF1103" i="6"/>
  <c r="AF1102" i="6"/>
  <c r="AF1101" i="6"/>
  <c r="AF1100" i="6"/>
  <c r="AF1099" i="6"/>
  <c r="AF1098" i="6"/>
  <c r="AF1097" i="6"/>
  <c r="AF1096" i="6"/>
  <c r="AF1095" i="6"/>
  <c r="AF1094" i="6"/>
  <c r="AF1093" i="6"/>
  <c r="AF1092" i="6"/>
  <c r="AF1091" i="6"/>
  <c r="AF1090" i="6"/>
  <c r="AF1089" i="6"/>
  <c r="AF1088" i="6"/>
  <c r="AF1087" i="6"/>
  <c r="AF1086" i="6"/>
  <c r="AF1085" i="6"/>
  <c r="AF1084" i="6"/>
  <c r="AF1083" i="6"/>
  <c r="AF1082" i="6"/>
  <c r="AF1081" i="6"/>
  <c r="AF1080" i="6"/>
  <c r="AF1079" i="6"/>
  <c r="AF1078" i="6"/>
  <c r="AF1077" i="6"/>
  <c r="AF1076" i="6"/>
  <c r="AF1075" i="6"/>
  <c r="AF1074" i="6"/>
  <c r="AF1073" i="6"/>
  <c r="AF1072" i="6"/>
  <c r="AF1071" i="6"/>
  <c r="AF1070" i="6"/>
  <c r="AF1069" i="6"/>
  <c r="AF1068" i="6"/>
  <c r="AF1067" i="6"/>
  <c r="AF1066" i="6"/>
  <c r="AF1065" i="6"/>
  <c r="AF1064" i="6"/>
  <c r="AF1063" i="6"/>
  <c r="AF1062" i="6"/>
  <c r="AF1061" i="6"/>
  <c r="AF1060" i="6"/>
  <c r="AF1059" i="6"/>
  <c r="AF1058" i="6"/>
  <c r="AF1057" i="6"/>
  <c r="AF1056" i="6"/>
  <c r="AF1055" i="6"/>
  <c r="AF1054" i="6"/>
  <c r="AF1053" i="6"/>
  <c r="AF1052" i="6"/>
  <c r="AF1051" i="6"/>
  <c r="AF1050" i="6"/>
  <c r="AF1049" i="6"/>
  <c r="AF1048" i="6"/>
  <c r="AF1047" i="6"/>
  <c r="AF1046" i="6"/>
  <c r="AF1045" i="6"/>
  <c r="AF1044" i="6"/>
  <c r="AF1043" i="6"/>
  <c r="AF1042" i="6"/>
  <c r="AF1041" i="6"/>
  <c r="AF1040" i="6"/>
  <c r="AF1039" i="6"/>
  <c r="AF1038" i="6"/>
  <c r="AF1037" i="6"/>
  <c r="AF1036" i="6"/>
  <c r="AF1035" i="6"/>
  <c r="AF1034" i="6"/>
  <c r="AF1033" i="6"/>
  <c r="AF1032" i="6"/>
  <c r="AF1031" i="6"/>
  <c r="AF1030" i="6"/>
  <c r="AF1029" i="6"/>
  <c r="AF1028" i="6"/>
  <c r="AF1027" i="6"/>
  <c r="AF1026" i="6"/>
  <c r="AF1025" i="6"/>
  <c r="AF1024" i="6"/>
  <c r="AF1023" i="6"/>
  <c r="AF1022" i="6"/>
  <c r="AF1021" i="6"/>
  <c r="AF1020" i="6"/>
  <c r="AF1019" i="6"/>
  <c r="AF1018" i="6"/>
  <c r="AF1017" i="6"/>
  <c r="AF1016" i="6"/>
  <c r="AF1015" i="6"/>
  <c r="AF1014" i="6"/>
  <c r="AF1013" i="6"/>
  <c r="AF1012" i="6"/>
  <c r="AF1011" i="6"/>
  <c r="AF1010" i="6"/>
  <c r="AF1009" i="6"/>
  <c r="AF1008" i="6"/>
  <c r="AF1007" i="6"/>
  <c r="AF1006" i="6"/>
  <c r="AF1005" i="6"/>
  <c r="AF1004" i="6"/>
  <c r="AF1003" i="6"/>
  <c r="AF1002" i="6"/>
  <c r="AF1001" i="6"/>
  <c r="AF1000" i="6"/>
  <c r="AF999" i="6"/>
  <c r="AF998" i="6"/>
  <c r="AF997" i="6"/>
  <c r="AF996" i="6"/>
  <c r="AF995" i="6"/>
  <c r="AF994" i="6"/>
  <c r="AF993" i="6"/>
  <c r="AF992" i="6"/>
  <c r="AF991" i="6"/>
  <c r="AF990" i="6"/>
  <c r="AF989" i="6"/>
  <c r="AF988" i="6"/>
  <c r="AF987" i="6"/>
  <c r="AF986" i="6"/>
  <c r="AF985" i="6"/>
  <c r="AF984" i="6"/>
  <c r="AF983" i="6"/>
  <c r="AF982" i="6"/>
  <c r="AF981" i="6"/>
  <c r="AF980" i="6"/>
  <c r="AF979" i="6"/>
  <c r="AF978" i="6"/>
  <c r="AF977" i="6"/>
  <c r="AF976" i="6"/>
  <c r="AF975" i="6"/>
  <c r="AF974" i="6"/>
  <c r="AF973" i="6"/>
  <c r="AF972" i="6"/>
  <c r="AF971" i="6"/>
  <c r="AF970" i="6"/>
  <c r="AF969" i="6"/>
  <c r="AF968" i="6"/>
  <c r="AF967" i="6"/>
  <c r="AF966" i="6"/>
  <c r="AF965" i="6"/>
  <c r="AF964" i="6"/>
  <c r="AF963" i="6"/>
  <c r="AF962" i="6"/>
  <c r="AF961" i="6"/>
  <c r="AF960" i="6"/>
  <c r="AF959" i="6"/>
  <c r="AF958" i="6"/>
  <c r="AF957" i="6"/>
  <c r="AF956" i="6"/>
  <c r="AF955" i="6"/>
  <c r="AF954" i="6"/>
  <c r="AF953" i="6"/>
  <c r="AF952" i="6"/>
  <c r="AF951" i="6"/>
  <c r="AF950" i="6"/>
  <c r="AF949" i="6"/>
  <c r="AF948" i="6"/>
  <c r="AF947" i="6"/>
  <c r="AF946" i="6"/>
  <c r="AF945" i="6"/>
  <c r="AF944" i="6"/>
  <c r="AF943" i="6"/>
  <c r="AF942" i="6"/>
  <c r="AF941" i="6"/>
  <c r="AF940" i="6"/>
  <c r="AF939" i="6"/>
  <c r="AF938" i="6"/>
  <c r="AF937" i="6"/>
  <c r="AF936" i="6"/>
  <c r="AF935" i="6"/>
  <c r="AF934" i="6"/>
  <c r="AF933" i="6"/>
  <c r="AF932" i="6"/>
  <c r="AF931" i="6"/>
  <c r="AF930" i="6"/>
  <c r="AF929" i="6"/>
  <c r="AF928" i="6"/>
  <c r="AF927" i="6"/>
  <c r="AF926" i="6"/>
  <c r="AF925" i="6"/>
  <c r="AF924" i="6"/>
  <c r="AF923" i="6"/>
  <c r="AF922" i="6"/>
  <c r="AF921" i="6"/>
  <c r="AF920" i="6"/>
  <c r="AF919" i="6"/>
  <c r="AF918" i="6"/>
  <c r="AF917" i="6"/>
  <c r="AF916" i="6"/>
  <c r="AF915" i="6"/>
  <c r="AF914" i="6"/>
  <c r="AF913" i="6"/>
  <c r="AF912" i="6"/>
  <c r="AF911" i="6"/>
  <c r="AF910" i="6"/>
  <c r="AF909" i="6"/>
  <c r="AF908" i="6"/>
  <c r="AF907" i="6"/>
  <c r="AF906" i="6"/>
  <c r="AF905" i="6"/>
  <c r="AF904" i="6"/>
  <c r="AF903" i="6"/>
  <c r="AF902" i="6"/>
  <c r="AF901" i="6"/>
  <c r="AF900" i="6"/>
  <c r="AF899" i="6"/>
  <c r="AF898" i="6"/>
  <c r="AF897" i="6"/>
  <c r="AF896" i="6"/>
  <c r="AF895" i="6"/>
  <c r="AF894" i="6"/>
  <c r="AF893" i="6"/>
  <c r="AF892" i="6"/>
  <c r="AF891" i="6"/>
  <c r="AF890" i="6"/>
  <c r="AF889" i="6"/>
  <c r="AF888" i="6"/>
  <c r="AF887" i="6"/>
  <c r="AF886" i="6"/>
  <c r="AF885" i="6"/>
  <c r="AF884" i="6"/>
  <c r="AF883" i="6"/>
  <c r="AF882" i="6"/>
  <c r="AF881" i="6"/>
  <c r="AF880" i="6"/>
  <c r="AF879" i="6"/>
  <c r="AF878" i="6"/>
  <c r="AF877" i="6"/>
  <c r="AF876" i="6"/>
  <c r="AF875" i="6"/>
  <c r="AF874" i="6"/>
  <c r="AF873" i="6"/>
  <c r="AF872" i="6"/>
  <c r="AF871" i="6"/>
  <c r="AF870" i="6"/>
  <c r="AF869" i="6"/>
  <c r="AF868" i="6"/>
  <c r="AF867" i="6"/>
  <c r="AF866" i="6"/>
  <c r="AF865" i="6"/>
  <c r="AF864" i="6"/>
  <c r="AF863" i="6"/>
  <c r="AF862" i="6"/>
  <c r="AF861" i="6"/>
  <c r="AF860" i="6"/>
  <c r="AF859" i="6"/>
  <c r="AF858" i="6"/>
  <c r="AF857" i="6"/>
  <c r="AF856" i="6"/>
  <c r="AF855" i="6"/>
  <c r="AF854" i="6"/>
  <c r="AF853" i="6"/>
  <c r="AF852" i="6"/>
  <c r="AF851" i="6"/>
  <c r="AF850" i="6"/>
  <c r="AF849" i="6"/>
  <c r="AF848" i="6"/>
  <c r="AF847" i="6"/>
  <c r="AF846" i="6"/>
  <c r="AF845" i="6"/>
  <c r="AF844" i="6"/>
  <c r="AF843" i="6"/>
  <c r="AF842" i="6"/>
  <c r="AF841" i="6"/>
  <c r="AF840" i="6"/>
  <c r="AF839" i="6"/>
  <c r="AF838" i="6"/>
  <c r="AF837" i="6"/>
  <c r="AF836" i="6"/>
  <c r="AF835" i="6"/>
  <c r="AF834" i="6"/>
  <c r="AF833" i="6"/>
  <c r="AF832" i="6"/>
  <c r="AF831" i="6"/>
  <c r="AF830" i="6"/>
  <c r="AF829" i="6"/>
  <c r="AF828" i="6"/>
  <c r="AF827" i="6"/>
  <c r="AF826" i="6"/>
  <c r="AF825" i="6"/>
  <c r="AF824" i="6"/>
  <c r="AF823" i="6"/>
  <c r="AF822" i="6"/>
  <c r="AF821" i="6"/>
  <c r="AF820" i="6"/>
  <c r="AF819" i="6"/>
  <c r="AF818" i="6"/>
  <c r="AF817" i="6"/>
  <c r="AF816" i="6"/>
  <c r="AF815" i="6"/>
  <c r="AF814" i="6"/>
  <c r="AF813" i="6"/>
  <c r="AF812" i="6"/>
  <c r="AF811" i="6"/>
  <c r="AF810" i="6"/>
  <c r="AF809" i="6"/>
  <c r="AF808" i="6"/>
  <c r="AF807" i="6"/>
  <c r="AF806" i="6"/>
  <c r="AF805" i="6"/>
  <c r="AF804" i="6"/>
  <c r="AF803" i="6"/>
  <c r="AF802" i="6"/>
  <c r="AF801" i="6"/>
  <c r="AF800" i="6"/>
  <c r="AF799" i="6"/>
  <c r="AF798" i="6"/>
  <c r="AF797" i="6"/>
  <c r="AF796" i="6"/>
  <c r="AF795" i="6"/>
  <c r="AF794" i="6"/>
  <c r="AF793" i="6"/>
  <c r="AF792" i="6"/>
  <c r="AF791" i="6"/>
  <c r="AF790" i="6"/>
  <c r="AF789" i="6"/>
  <c r="AF788" i="6"/>
  <c r="AF787" i="6"/>
  <c r="AF786" i="6"/>
  <c r="AF785" i="6"/>
  <c r="AF784" i="6"/>
  <c r="AF783" i="6"/>
  <c r="AF782" i="6"/>
  <c r="AF781" i="6"/>
  <c r="AF780" i="6"/>
  <c r="AF779" i="6"/>
  <c r="AF778" i="6"/>
  <c r="AF777" i="6"/>
  <c r="AF776" i="6"/>
  <c r="AF775" i="6"/>
  <c r="AF774" i="6"/>
  <c r="AF773" i="6"/>
  <c r="AF772" i="6"/>
  <c r="AF771" i="6"/>
  <c r="AF770" i="6"/>
  <c r="AF769" i="6"/>
  <c r="AF768" i="6"/>
  <c r="AF767" i="6"/>
  <c r="AF766" i="6"/>
  <c r="AF765" i="6"/>
  <c r="AF764" i="6"/>
  <c r="AF763" i="6"/>
  <c r="AF762" i="6"/>
  <c r="AF761" i="6"/>
  <c r="AF760" i="6"/>
  <c r="AF759" i="6"/>
  <c r="AF758" i="6"/>
  <c r="AF757" i="6"/>
  <c r="AF756" i="6"/>
  <c r="AF755" i="6"/>
  <c r="AF754" i="6"/>
  <c r="AF753" i="6"/>
  <c r="AF752" i="6"/>
  <c r="AF751" i="6"/>
  <c r="AF750" i="6"/>
  <c r="AF749" i="6"/>
  <c r="AF748" i="6"/>
  <c r="AF747" i="6"/>
  <c r="AF746" i="6"/>
  <c r="AF745" i="6"/>
  <c r="AF744" i="6"/>
  <c r="AF743" i="6"/>
  <c r="AF742" i="6"/>
  <c r="AF741" i="6"/>
  <c r="AF740" i="6"/>
  <c r="AF739" i="6"/>
  <c r="AF738" i="6"/>
  <c r="AF737" i="6"/>
  <c r="AF736" i="6"/>
  <c r="AF735" i="6"/>
  <c r="AF734" i="6"/>
  <c r="AF733" i="6"/>
  <c r="AF732" i="6"/>
  <c r="AF731" i="6"/>
  <c r="AF730" i="6"/>
  <c r="AF729" i="6"/>
  <c r="AF728" i="6"/>
  <c r="AF727" i="6"/>
  <c r="AF726" i="6"/>
  <c r="AF725" i="6"/>
  <c r="AF724" i="6"/>
  <c r="AF723" i="6"/>
  <c r="AF722" i="6"/>
  <c r="AF721" i="6"/>
  <c r="AF720" i="6"/>
  <c r="AF719" i="6"/>
  <c r="AF718" i="6"/>
  <c r="AF717" i="6"/>
  <c r="AF716" i="6"/>
  <c r="AF715" i="6"/>
  <c r="AF714" i="6"/>
  <c r="AF713" i="6"/>
  <c r="AF712" i="6"/>
  <c r="AF711" i="6"/>
  <c r="AF710" i="6"/>
  <c r="AF709" i="6"/>
  <c r="AF708" i="6"/>
  <c r="AF707" i="6"/>
  <c r="AF706" i="6"/>
  <c r="AF705" i="6"/>
  <c r="AF704" i="6"/>
  <c r="AF703" i="6"/>
  <c r="AF702" i="6"/>
  <c r="AF701" i="6"/>
  <c r="AF700" i="6"/>
  <c r="AF699" i="6"/>
  <c r="AF698" i="6"/>
  <c r="AF697" i="6"/>
  <c r="AF696" i="6"/>
  <c r="AF695" i="6"/>
  <c r="AF694" i="6"/>
  <c r="AF693" i="6"/>
  <c r="AF692" i="6"/>
  <c r="AF691" i="6"/>
  <c r="AF690" i="6"/>
  <c r="AF689" i="6"/>
  <c r="AF688" i="6"/>
  <c r="AF687" i="6"/>
  <c r="AF686" i="6"/>
  <c r="AF685" i="6"/>
  <c r="AF684" i="6"/>
  <c r="AF683" i="6"/>
  <c r="AF682" i="6"/>
  <c r="AF681" i="6"/>
  <c r="AF680" i="6"/>
  <c r="AF679" i="6"/>
  <c r="AF678" i="6"/>
  <c r="AF677" i="6"/>
  <c r="AF676" i="6"/>
  <c r="AF675" i="6"/>
  <c r="AF674" i="6"/>
  <c r="AF673" i="6"/>
  <c r="AF672" i="6"/>
  <c r="AF671" i="6"/>
  <c r="AF670" i="6"/>
  <c r="AF669" i="6"/>
  <c r="AF668" i="6"/>
  <c r="AF667" i="6"/>
  <c r="AF666" i="6"/>
  <c r="AF665" i="6"/>
  <c r="AF664" i="6"/>
  <c r="AF663" i="6"/>
  <c r="AF662" i="6"/>
  <c r="AF661" i="6"/>
  <c r="AF660" i="6"/>
  <c r="AF659" i="6"/>
  <c r="AF658" i="6"/>
  <c r="AF657" i="6"/>
  <c r="AF656" i="6"/>
  <c r="AF655" i="6"/>
  <c r="AF654" i="6"/>
  <c r="AF653" i="6"/>
  <c r="AF652" i="6"/>
  <c r="AF651" i="6"/>
  <c r="AF650" i="6"/>
  <c r="AF649" i="6"/>
  <c r="AF648" i="6"/>
  <c r="AF647" i="6"/>
  <c r="AF646" i="6"/>
  <c r="AF645" i="6"/>
  <c r="AF644" i="6"/>
  <c r="AF643" i="6"/>
  <c r="AF642" i="6"/>
  <c r="AF641" i="6"/>
  <c r="AF640" i="6"/>
  <c r="AF639" i="6"/>
  <c r="AF638" i="6"/>
  <c r="AF637" i="6"/>
  <c r="AF636" i="6"/>
  <c r="AF635" i="6"/>
  <c r="AF634" i="6"/>
  <c r="AF633" i="6"/>
  <c r="AF632" i="6"/>
  <c r="AF631" i="6"/>
  <c r="AF630" i="6"/>
  <c r="AF629" i="6"/>
  <c r="AF628" i="6"/>
  <c r="AF627" i="6"/>
  <c r="AF626" i="6"/>
  <c r="AF625" i="6"/>
  <c r="AF624" i="6"/>
  <c r="AF623" i="6"/>
  <c r="AF622" i="6"/>
  <c r="AF621" i="6"/>
  <c r="AF620" i="6"/>
  <c r="AF619" i="6"/>
  <c r="AF618" i="6"/>
  <c r="AF617" i="6"/>
  <c r="AF616" i="6"/>
  <c r="AF615" i="6"/>
  <c r="AF614" i="6"/>
  <c r="AF613" i="6"/>
  <c r="AF612" i="6"/>
  <c r="AF611" i="6"/>
  <c r="AF610" i="6"/>
  <c r="AF609" i="6"/>
  <c r="AF608" i="6"/>
  <c r="AF607" i="6"/>
  <c r="AF606" i="6"/>
  <c r="AF605" i="6"/>
  <c r="AF604" i="6"/>
  <c r="AF603" i="6"/>
  <c r="AF602" i="6"/>
  <c r="AF601" i="6"/>
  <c r="AF600" i="6"/>
  <c r="AF599" i="6"/>
  <c r="AF598" i="6"/>
  <c r="AF597" i="6"/>
  <c r="AF596" i="6"/>
  <c r="AF595" i="6"/>
  <c r="AF594" i="6"/>
  <c r="AF593" i="6"/>
  <c r="AF592" i="6"/>
  <c r="AF591" i="6"/>
  <c r="AF590" i="6"/>
  <c r="AF589" i="6"/>
  <c r="AF588" i="6"/>
  <c r="AF587" i="6"/>
  <c r="AF586" i="6"/>
  <c r="AF585" i="6"/>
  <c r="AF584" i="6"/>
  <c r="AF583" i="6"/>
  <c r="AF582" i="6"/>
  <c r="AF581" i="6"/>
  <c r="AF580" i="6"/>
  <c r="AF579" i="6"/>
  <c r="AF578" i="6"/>
  <c r="AF577" i="6"/>
  <c r="AF576" i="6"/>
  <c r="AF575" i="6"/>
  <c r="AF574" i="6"/>
  <c r="AF573" i="6"/>
  <c r="AF572" i="6"/>
  <c r="AF571" i="6"/>
  <c r="AF570" i="6"/>
  <c r="AF569" i="6"/>
  <c r="AF568" i="6"/>
  <c r="AF567" i="6"/>
  <c r="AF566" i="6"/>
  <c r="AF565" i="6"/>
  <c r="AF564" i="6"/>
  <c r="AF563" i="6"/>
  <c r="AF562" i="6"/>
  <c r="AF561" i="6"/>
  <c r="AF560" i="6"/>
  <c r="AF559" i="6"/>
  <c r="AF558" i="6"/>
  <c r="AF557" i="6"/>
  <c r="AF556" i="6"/>
  <c r="AF555" i="6"/>
  <c r="AF554" i="6"/>
  <c r="AF553" i="6"/>
  <c r="AF552" i="6"/>
  <c r="AF551" i="6"/>
  <c r="AF550" i="6"/>
  <c r="AF549" i="6"/>
  <c r="AF548" i="6"/>
  <c r="AF547" i="6"/>
  <c r="AF546" i="6"/>
  <c r="AF545" i="6"/>
  <c r="AF544" i="6"/>
  <c r="AF543" i="6"/>
  <c r="AF542" i="6"/>
  <c r="AF541" i="6"/>
  <c r="AF540" i="6"/>
  <c r="AF539" i="6"/>
  <c r="AF538" i="6"/>
  <c r="AF537" i="6"/>
  <c r="AF536" i="6"/>
  <c r="AF535" i="6"/>
  <c r="AF534" i="6"/>
  <c r="AF533" i="6"/>
  <c r="AF532" i="6"/>
  <c r="AF531" i="6"/>
  <c r="AF530" i="6"/>
  <c r="AF529" i="6"/>
  <c r="AF528" i="6"/>
  <c r="AF527" i="6"/>
  <c r="AF526" i="6"/>
  <c r="AF525" i="6"/>
  <c r="AF524" i="6"/>
  <c r="AF523" i="6"/>
  <c r="AF522" i="6"/>
  <c r="AF521" i="6"/>
  <c r="AF520" i="6"/>
  <c r="AF519" i="6"/>
  <c r="AF518" i="6"/>
  <c r="AF517" i="6"/>
  <c r="AF516" i="6"/>
  <c r="AF515" i="6"/>
  <c r="AF514" i="6"/>
  <c r="AF513" i="6"/>
  <c r="AF512" i="6"/>
  <c r="AF511" i="6"/>
  <c r="AF510" i="6"/>
  <c r="AF509" i="6"/>
  <c r="AF508" i="6"/>
  <c r="AF507" i="6"/>
  <c r="AF506" i="6"/>
  <c r="AF505" i="6"/>
  <c r="AF504" i="6"/>
  <c r="AF503" i="6"/>
  <c r="AF502" i="6"/>
  <c r="AF501" i="6"/>
  <c r="AF500" i="6"/>
  <c r="AF499" i="6"/>
  <c r="AF498" i="6"/>
  <c r="AF497" i="6"/>
  <c r="AF496" i="6"/>
  <c r="AF495" i="6"/>
  <c r="AF494" i="6"/>
  <c r="AF493" i="6"/>
  <c r="AF492" i="6"/>
  <c r="AF491" i="6"/>
  <c r="AF490" i="6"/>
  <c r="AF489" i="6"/>
  <c r="AF488" i="6"/>
  <c r="AF487" i="6"/>
  <c r="AF486" i="6"/>
  <c r="AF485" i="6"/>
  <c r="AF484" i="6"/>
  <c r="AF483" i="6"/>
  <c r="AF482" i="6"/>
  <c r="AF481" i="6"/>
  <c r="AF480" i="6"/>
  <c r="AF479" i="6"/>
  <c r="AF478" i="6"/>
  <c r="AF477" i="6"/>
  <c r="AF476" i="6"/>
  <c r="AF475" i="6"/>
  <c r="AF474" i="6"/>
  <c r="AF473" i="6"/>
  <c r="AF472" i="6"/>
  <c r="AF471" i="6"/>
  <c r="AF470" i="6"/>
  <c r="AF469" i="6"/>
  <c r="AF468" i="6"/>
  <c r="AF467" i="6"/>
  <c r="AF466" i="6"/>
  <c r="AF465" i="6"/>
  <c r="AF464" i="6"/>
  <c r="AF463" i="6"/>
  <c r="AF462" i="6"/>
  <c r="AF461" i="6"/>
  <c r="AF460" i="6"/>
  <c r="AF459" i="6"/>
  <c r="AF458" i="6"/>
  <c r="AF457" i="6"/>
  <c r="AF456" i="6"/>
  <c r="AF455" i="6"/>
  <c r="AF454" i="6"/>
  <c r="AF453" i="6"/>
  <c r="AF452" i="6"/>
  <c r="AF451" i="6"/>
  <c r="AF450" i="6"/>
  <c r="AF449" i="6"/>
  <c r="AF448" i="6"/>
  <c r="AF447" i="6"/>
  <c r="AF446" i="6"/>
  <c r="AF445" i="6"/>
  <c r="AF444" i="6"/>
  <c r="AF443" i="6"/>
  <c r="AF442" i="6"/>
  <c r="AF441" i="6"/>
  <c r="AF440" i="6"/>
  <c r="AF439" i="6"/>
  <c r="AF438" i="6"/>
  <c r="AF437" i="6"/>
  <c r="AF436" i="6"/>
  <c r="AF435" i="6"/>
  <c r="AF434" i="6"/>
  <c r="AF433" i="6"/>
  <c r="AF432" i="6"/>
  <c r="AF431" i="6"/>
  <c r="AF430" i="6"/>
  <c r="AF429" i="6"/>
  <c r="AF428" i="6"/>
  <c r="AF427" i="6"/>
  <c r="AF426" i="6"/>
  <c r="AF425" i="6"/>
  <c r="AF424" i="6"/>
  <c r="AF423" i="6"/>
  <c r="AF422" i="6"/>
  <c r="AF421" i="6"/>
  <c r="AF420" i="6"/>
  <c r="AF419" i="6"/>
  <c r="AF418" i="6"/>
  <c r="AF417" i="6"/>
  <c r="AF416" i="6"/>
  <c r="AF415" i="6"/>
  <c r="AF414" i="6"/>
  <c r="AF413" i="6"/>
  <c r="AF412" i="6"/>
  <c r="AF411" i="6"/>
  <c r="AF410" i="6"/>
  <c r="AF409" i="6"/>
  <c r="AF408" i="6"/>
  <c r="AF407" i="6"/>
  <c r="AF406" i="6"/>
  <c r="AF405" i="6"/>
  <c r="AF404" i="6"/>
  <c r="AF403" i="6"/>
  <c r="AF402" i="6"/>
  <c r="AF401" i="6"/>
  <c r="AF400" i="6"/>
  <c r="AF399" i="6"/>
  <c r="AF398" i="6"/>
  <c r="AF397" i="6"/>
  <c r="AF396" i="6"/>
  <c r="AF395" i="6"/>
  <c r="AF394" i="6"/>
  <c r="AF393" i="6"/>
  <c r="AF392" i="6"/>
  <c r="AF391" i="6"/>
  <c r="AF390" i="6"/>
  <c r="AF389" i="6"/>
  <c r="AF388" i="6"/>
  <c r="AF387" i="6"/>
  <c r="AF386" i="6"/>
  <c r="AF385" i="6"/>
  <c r="AF384" i="6"/>
  <c r="AF383" i="6"/>
  <c r="AF382" i="6"/>
  <c r="AF381" i="6"/>
  <c r="AF380" i="6"/>
  <c r="AF379" i="6"/>
  <c r="AF378" i="6"/>
  <c r="AF377" i="6"/>
  <c r="AF376" i="6"/>
  <c r="AF375" i="6"/>
  <c r="AF374" i="6"/>
  <c r="AF373" i="6"/>
  <c r="AF372" i="6"/>
  <c r="AF371" i="6"/>
  <c r="AF370" i="6"/>
  <c r="AF369" i="6"/>
  <c r="AF368" i="6"/>
  <c r="AF367" i="6"/>
  <c r="AF366" i="6"/>
  <c r="AF365" i="6"/>
  <c r="AF364" i="6"/>
  <c r="AF363" i="6"/>
  <c r="AF362" i="6"/>
  <c r="AF361" i="6"/>
  <c r="AF360" i="6"/>
  <c r="AF359" i="6"/>
  <c r="AF358" i="6"/>
  <c r="AF357" i="6"/>
  <c r="AF356" i="6"/>
  <c r="AF355" i="6"/>
  <c r="AF354" i="6"/>
  <c r="AF353" i="6"/>
  <c r="AF352" i="6"/>
  <c r="AF351" i="6"/>
  <c r="AF350" i="6"/>
  <c r="AF349" i="6"/>
  <c r="AF348" i="6"/>
  <c r="AF347" i="6"/>
  <c r="AF346" i="6"/>
  <c r="AF345" i="6"/>
  <c r="AF344" i="6"/>
  <c r="AF343" i="6"/>
  <c r="AF342" i="6"/>
  <c r="AF341" i="6"/>
  <c r="AF340" i="6"/>
  <c r="AF339" i="6"/>
  <c r="AF338" i="6"/>
  <c r="AF337" i="6"/>
  <c r="AF336" i="6"/>
  <c r="AF335" i="6"/>
  <c r="AF334" i="6"/>
  <c r="AF333" i="6"/>
  <c r="AF332" i="6"/>
  <c r="AF331" i="6"/>
  <c r="AF330" i="6"/>
  <c r="AF329" i="6"/>
  <c r="AF328" i="6"/>
  <c r="AF327" i="6"/>
  <c r="AF326" i="6"/>
  <c r="AF325" i="6"/>
  <c r="AF324" i="6"/>
  <c r="AF323" i="6"/>
  <c r="AF322" i="6"/>
  <c r="AF321" i="6"/>
  <c r="AF320" i="6"/>
  <c r="AF319" i="6"/>
  <c r="AF318" i="6"/>
  <c r="AF317" i="6"/>
  <c r="AF316" i="6"/>
  <c r="AF315" i="6"/>
  <c r="AF314" i="6"/>
  <c r="AF313" i="6"/>
  <c r="AF312" i="6"/>
  <c r="AF311" i="6"/>
  <c r="AF310" i="6"/>
  <c r="AF309" i="6"/>
  <c r="AF308" i="6"/>
  <c r="AF307" i="6"/>
  <c r="AF306" i="6"/>
  <c r="AF305" i="6"/>
  <c r="AF304" i="6"/>
  <c r="AF303" i="6"/>
  <c r="AF302" i="6"/>
  <c r="AF301" i="6"/>
  <c r="AF300" i="6"/>
  <c r="AF299" i="6"/>
  <c r="AF298" i="6"/>
  <c r="AF297" i="6"/>
  <c r="AF296" i="6"/>
  <c r="AF295" i="6"/>
  <c r="AF294" i="6"/>
  <c r="AF293" i="6"/>
  <c r="AF292" i="6"/>
  <c r="AF291" i="6"/>
  <c r="AF290" i="6"/>
  <c r="AF289" i="6"/>
  <c r="AF288" i="6"/>
  <c r="AF287" i="6"/>
  <c r="AF286" i="6"/>
  <c r="AF285" i="6"/>
  <c r="AF284" i="6"/>
  <c r="AF283" i="6"/>
  <c r="AF282" i="6"/>
  <c r="AF281" i="6"/>
  <c r="AF280" i="6"/>
  <c r="AF279" i="6"/>
  <c r="AF278" i="6"/>
  <c r="AF277" i="6"/>
  <c r="AF276" i="6"/>
  <c r="AF275" i="6"/>
  <c r="AF274" i="6"/>
  <c r="AF273" i="6"/>
  <c r="AF272" i="6"/>
  <c r="AF271" i="6"/>
  <c r="AF270" i="6"/>
  <c r="AF269" i="6"/>
  <c r="AF268" i="6"/>
  <c r="AF267" i="6"/>
  <c r="AF266" i="6"/>
  <c r="AF265" i="6"/>
  <c r="AF264" i="6"/>
  <c r="AF263" i="6"/>
  <c r="AF262" i="6"/>
  <c r="AF261" i="6"/>
  <c r="AF260" i="6"/>
  <c r="AF259" i="6"/>
  <c r="AF258" i="6"/>
  <c r="AF257" i="6"/>
  <c r="AF256" i="6"/>
  <c r="AF255" i="6"/>
  <c r="AF254" i="6"/>
  <c r="AF253" i="6"/>
  <c r="AF252" i="6"/>
  <c r="AF251" i="6"/>
  <c r="AF250" i="6"/>
  <c r="AF249" i="6"/>
  <c r="AF248" i="6"/>
  <c r="AF247" i="6"/>
  <c r="AF246" i="6"/>
  <c r="AF245" i="6"/>
  <c r="AF244" i="6"/>
  <c r="AF243" i="6"/>
  <c r="AF242" i="6"/>
  <c r="AF241" i="6"/>
  <c r="AF240" i="6"/>
  <c r="AF239" i="6"/>
  <c r="AF238" i="6"/>
  <c r="AF237" i="6"/>
  <c r="AF236" i="6"/>
  <c r="AF235" i="6"/>
  <c r="AF234" i="6"/>
  <c r="AF233" i="6"/>
  <c r="AF232" i="6"/>
  <c r="AF231" i="6"/>
  <c r="AF230" i="6"/>
  <c r="AF229" i="6"/>
  <c r="AF228" i="6"/>
  <c r="AF227" i="6"/>
  <c r="AF226" i="6"/>
  <c r="AF225" i="6"/>
  <c r="AF224" i="6"/>
  <c r="AF223" i="6"/>
  <c r="AF222" i="6"/>
  <c r="AF221" i="6"/>
  <c r="AF220" i="6"/>
  <c r="AF219" i="6"/>
  <c r="AF218" i="6"/>
  <c r="AF217" i="6"/>
  <c r="AF216" i="6"/>
  <c r="AF215" i="6"/>
  <c r="AF214" i="6"/>
  <c r="AF213" i="6"/>
  <c r="AF212" i="6"/>
  <c r="AF211" i="6"/>
  <c r="AF210" i="6"/>
  <c r="AF209" i="6"/>
  <c r="AF208" i="6"/>
  <c r="AF207" i="6"/>
  <c r="AF206" i="6"/>
  <c r="AF205" i="6"/>
  <c r="AF204" i="6"/>
  <c r="AF203" i="6"/>
  <c r="AF202" i="6"/>
  <c r="AF201" i="6"/>
  <c r="AF200" i="6"/>
  <c r="AF199" i="6"/>
  <c r="AF198" i="6"/>
  <c r="AF197" i="6"/>
  <c r="AF196" i="6"/>
  <c r="AF195" i="6"/>
  <c r="AF194" i="6"/>
  <c r="AF193" i="6"/>
  <c r="AF192" i="6"/>
  <c r="AF191" i="6"/>
  <c r="AF190" i="6"/>
  <c r="AF189" i="6"/>
  <c r="AF188" i="6"/>
  <c r="AF187" i="6"/>
  <c r="AF186" i="6"/>
  <c r="AF185" i="6"/>
  <c r="AF184" i="6"/>
  <c r="AF183" i="6"/>
  <c r="AF182" i="6"/>
  <c r="AF181" i="6"/>
  <c r="AF180" i="6"/>
  <c r="AF179" i="6"/>
  <c r="AF178" i="6"/>
  <c r="AF177" i="6"/>
  <c r="AF176" i="6"/>
  <c r="AF175" i="6"/>
  <c r="AF174" i="6"/>
  <c r="AF173" i="6"/>
  <c r="AF172" i="6"/>
  <c r="AF171" i="6"/>
  <c r="AF170" i="6"/>
  <c r="AF169" i="6"/>
  <c r="AF168" i="6"/>
  <c r="AF167" i="6"/>
  <c r="AF166" i="6"/>
  <c r="AF165" i="6"/>
  <c r="AF164" i="6"/>
  <c r="AF163" i="6"/>
  <c r="AF162" i="6"/>
  <c r="AF161" i="6"/>
  <c r="AF160" i="6"/>
  <c r="AF159" i="6"/>
  <c r="AF158" i="6"/>
  <c r="AF157" i="6"/>
  <c r="AF156" i="6"/>
  <c r="AF155" i="6"/>
  <c r="AF154" i="6"/>
  <c r="AF153" i="6"/>
  <c r="AF152" i="6"/>
  <c r="AF151" i="6"/>
  <c r="AF150" i="6"/>
  <c r="AF149" i="6"/>
  <c r="AF148" i="6"/>
  <c r="AF147" i="6"/>
  <c r="AF146" i="6"/>
  <c r="AF145" i="6"/>
  <c r="AF144" i="6"/>
  <c r="AF143" i="6"/>
  <c r="AF142" i="6"/>
  <c r="AF141" i="6"/>
  <c r="AF140" i="6"/>
  <c r="AF139" i="6"/>
  <c r="AF138" i="6"/>
  <c r="AF137" i="6"/>
  <c r="AF136" i="6"/>
  <c r="AF135" i="6"/>
  <c r="AF134" i="6"/>
  <c r="AF133" i="6"/>
  <c r="AF132" i="6"/>
  <c r="AF131" i="6"/>
  <c r="AF130" i="6"/>
  <c r="AF129" i="6"/>
  <c r="AF128" i="6"/>
  <c r="AF127" i="6"/>
  <c r="AF126" i="6"/>
  <c r="AF125" i="6"/>
  <c r="AF124" i="6"/>
  <c r="AF123" i="6"/>
  <c r="AF122" i="6"/>
  <c r="AF121" i="6"/>
  <c r="AF120" i="6"/>
  <c r="AF119" i="6"/>
  <c r="AF118" i="6"/>
  <c r="AF117" i="6"/>
  <c r="AF116" i="6"/>
  <c r="AF115" i="6"/>
  <c r="AF114" i="6"/>
  <c r="AF113" i="6"/>
  <c r="AF112" i="6"/>
  <c r="AF111" i="6"/>
  <c r="AF110" i="6"/>
  <c r="AF109" i="6"/>
  <c r="AF108" i="6"/>
  <c r="AF107" i="6"/>
  <c r="AF106" i="6"/>
  <c r="AF105" i="6"/>
  <c r="AF104" i="6"/>
  <c r="AF103" i="6"/>
  <c r="AF102" i="6"/>
  <c r="AF101" i="6"/>
  <c r="AF100" i="6"/>
  <c r="AF99" i="6"/>
  <c r="AF98" i="6"/>
  <c r="AF97" i="6"/>
  <c r="AF96" i="6"/>
  <c r="AF95" i="6"/>
  <c r="AF94" i="6"/>
  <c r="AF93" i="6"/>
  <c r="AF92" i="6"/>
  <c r="AF91" i="6"/>
  <c r="AF90" i="6"/>
  <c r="AF89" i="6"/>
  <c r="AF88" i="6"/>
  <c r="AF87" i="6"/>
  <c r="AF86" i="6"/>
  <c r="AF85" i="6"/>
  <c r="AF84" i="6"/>
  <c r="AF83" i="6"/>
  <c r="AF82" i="6"/>
  <c r="AF81" i="6"/>
  <c r="AF80" i="6"/>
  <c r="AF79" i="6"/>
  <c r="AF78" i="6"/>
  <c r="AF77" i="6"/>
  <c r="AF76" i="6"/>
  <c r="AF75" i="6"/>
  <c r="AF74" i="6"/>
  <c r="AF73" i="6"/>
  <c r="AF72" i="6"/>
  <c r="AF71" i="6"/>
  <c r="AF70" i="6"/>
  <c r="AF69" i="6"/>
  <c r="AF68" i="6"/>
  <c r="AF67" i="6"/>
  <c r="AF66" i="6"/>
  <c r="AF65" i="6"/>
  <c r="AF64" i="6"/>
  <c r="AF63" i="6"/>
  <c r="AF62" i="6"/>
  <c r="AF61" i="6"/>
  <c r="AF60" i="6"/>
  <c r="AF59" i="6"/>
  <c r="AF58" i="6"/>
  <c r="AF57" i="6"/>
  <c r="AF56" i="6"/>
  <c r="AF55" i="6"/>
  <c r="AF54" i="6"/>
  <c r="AF53" i="6"/>
  <c r="AF52" i="6"/>
  <c r="AF51" i="6"/>
  <c r="AF50" i="6"/>
  <c r="AF49" i="6"/>
  <c r="AF48" i="6"/>
  <c r="AF47" i="6"/>
  <c r="AF46" i="6"/>
  <c r="AF45" i="6"/>
  <c r="AF44" i="6"/>
  <c r="AF43" i="6"/>
  <c r="AF42" i="6"/>
  <c r="AF41" i="6"/>
  <c r="AF40" i="6"/>
  <c r="AF39" i="6"/>
  <c r="AF38" i="6"/>
  <c r="AF37" i="6"/>
  <c r="AF36" i="6"/>
  <c r="AF35" i="6"/>
  <c r="AF34" i="6"/>
  <c r="AF33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1945" i="5"/>
  <c r="AF1944" i="5"/>
  <c r="AF1943" i="5"/>
  <c r="AF1942" i="5"/>
  <c r="AF1941" i="5"/>
  <c r="AF1940" i="5"/>
  <c r="AF1939" i="5"/>
  <c r="AF1938" i="5"/>
  <c r="AF1937" i="5"/>
  <c r="AF1936" i="5"/>
  <c r="AF1935" i="5"/>
  <c r="AF1934" i="5"/>
  <c r="AF1933" i="5"/>
  <c r="AF1932" i="5"/>
  <c r="AF1931" i="5"/>
  <c r="AF1930" i="5"/>
  <c r="AF1929" i="5"/>
  <c r="AF1928" i="5"/>
  <c r="AF1927" i="5"/>
  <c r="AF1926" i="5"/>
  <c r="AF1925" i="5"/>
  <c r="AF1924" i="5"/>
  <c r="AF1923" i="5"/>
  <c r="AF1922" i="5"/>
  <c r="AF1921" i="5"/>
  <c r="AF1920" i="5"/>
  <c r="AF1919" i="5"/>
  <c r="AF1918" i="5"/>
  <c r="AF1917" i="5"/>
  <c r="AF1916" i="5"/>
  <c r="AF1915" i="5"/>
  <c r="AF1914" i="5"/>
  <c r="AF1913" i="5"/>
  <c r="AF1912" i="5"/>
  <c r="AF1911" i="5"/>
  <c r="AF1910" i="5"/>
  <c r="AF1909" i="5"/>
  <c r="AF1908" i="5"/>
  <c r="AF1907" i="5"/>
  <c r="AF1906" i="5"/>
  <c r="AF1905" i="5"/>
  <c r="AF1904" i="5"/>
  <c r="AF1903" i="5"/>
  <c r="AF1902" i="5"/>
  <c r="AF1901" i="5"/>
  <c r="AF1900" i="5"/>
  <c r="AF1899" i="5"/>
  <c r="AF1898" i="5"/>
  <c r="AF1897" i="5"/>
  <c r="AF1896" i="5"/>
  <c r="AF1895" i="5"/>
  <c r="AF1894" i="5"/>
  <c r="AF1893" i="5"/>
  <c r="AF1892" i="5"/>
  <c r="AF1891" i="5"/>
  <c r="AF1890" i="5"/>
  <c r="AF1889" i="5"/>
  <c r="AF1888" i="5"/>
  <c r="AF1887" i="5"/>
  <c r="AF1886" i="5"/>
  <c r="AF1885" i="5"/>
  <c r="AF1884" i="5"/>
  <c r="AF1883" i="5"/>
  <c r="AF1882" i="5"/>
  <c r="AF1881" i="5"/>
  <c r="AF1880" i="5"/>
  <c r="AF1879" i="5"/>
  <c r="AF1878" i="5"/>
  <c r="AF1877" i="5"/>
  <c r="AF1876" i="5"/>
  <c r="AF1875" i="5"/>
  <c r="AF1874" i="5"/>
  <c r="AF1873" i="5"/>
  <c r="AF1872" i="5"/>
  <c r="AF1871" i="5"/>
  <c r="AF1870" i="5"/>
  <c r="AF1869" i="5"/>
  <c r="AF1868" i="5"/>
  <c r="AF1867" i="5"/>
  <c r="AF1866" i="5"/>
  <c r="AF1865" i="5"/>
  <c r="AF1864" i="5"/>
  <c r="AF1863" i="5"/>
  <c r="AF1862" i="5"/>
  <c r="AF1861" i="5"/>
  <c r="AF1860" i="5"/>
  <c r="AF1859" i="5"/>
  <c r="AF1858" i="5"/>
  <c r="AF1857" i="5"/>
  <c r="AF1856" i="5"/>
  <c r="AF1855" i="5"/>
  <c r="AF1854" i="5"/>
  <c r="AF1853" i="5"/>
  <c r="AF1852" i="5"/>
  <c r="AF1851" i="5"/>
  <c r="AF1850" i="5"/>
  <c r="AF1849" i="5"/>
  <c r="AF1848" i="5"/>
  <c r="AF1847" i="5"/>
  <c r="AF1846" i="5"/>
  <c r="AF1845" i="5"/>
  <c r="AF1844" i="5"/>
  <c r="AF1843" i="5"/>
  <c r="AF1842" i="5"/>
  <c r="AF1841" i="5"/>
  <c r="AF1840" i="5"/>
  <c r="AF1839" i="5"/>
  <c r="AF1838" i="5"/>
  <c r="AF1837" i="5"/>
  <c r="AF1836" i="5"/>
  <c r="AF1835" i="5"/>
  <c r="AF1834" i="5"/>
  <c r="AF1833" i="5"/>
  <c r="AF1832" i="5"/>
  <c r="AF1831" i="5"/>
  <c r="AF1830" i="5"/>
  <c r="AF1829" i="5"/>
  <c r="AF1828" i="5"/>
  <c r="AF1827" i="5"/>
  <c r="AF1826" i="5"/>
  <c r="AF1825" i="5"/>
  <c r="AF1824" i="5"/>
  <c r="AF1823" i="5"/>
  <c r="AF1822" i="5"/>
  <c r="AF1821" i="5"/>
  <c r="AF1820" i="5"/>
  <c r="AF1819" i="5"/>
  <c r="AF1818" i="5"/>
  <c r="AF1817" i="5"/>
  <c r="AF1816" i="5"/>
  <c r="AF1815" i="5"/>
  <c r="AF1814" i="5"/>
  <c r="AF1813" i="5"/>
  <c r="AF1812" i="5"/>
  <c r="AF1811" i="5"/>
  <c r="AF1810" i="5"/>
  <c r="AF1809" i="5"/>
  <c r="AF1808" i="5"/>
  <c r="AF1807" i="5"/>
  <c r="AF1806" i="5"/>
  <c r="AF1805" i="5"/>
  <c r="AF1804" i="5"/>
  <c r="AF1803" i="5"/>
  <c r="AF1802" i="5"/>
  <c r="AF1801" i="5"/>
  <c r="AF1800" i="5"/>
  <c r="AF1799" i="5"/>
  <c r="AF1798" i="5"/>
  <c r="AF1797" i="5"/>
  <c r="AF1796" i="5"/>
  <c r="AF1795" i="5"/>
  <c r="AF1794" i="5"/>
  <c r="AF1793" i="5"/>
  <c r="AF1792" i="5"/>
  <c r="AF1791" i="5"/>
  <c r="AF1790" i="5"/>
  <c r="AF1789" i="5"/>
  <c r="AF1788" i="5"/>
  <c r="AF1787" i="5"/>
  <c r="AF1786" i="5"/>
  <c r="AF1785" i="5"/>
  <c r="AF1784" i="5"/>
  <c r="AF1783" i="5"/>
  <c r="AF1782" i="5"/>
  <c r="AF1781" i="5"/>
  <c r="AF1780" i="5"/>
  <c r="AF1779" i="5"/>
  <c r="AF1778" i="5"/>
  <c r="AF1777" i="5"/>
  <c r="AF1776" i="5"/>
  <c r="AF1775" i="5"/>
  <c r="AF1774" i="5"/>
  <c r="AF1773" i="5"/>
  <c r="AF1772" i="5"/>
  <c r="AF1771" i="5"/>
  <c r="AF1770" i="5"/>
  <c r="AF1769" i="5"/>
  <c r="AF1768" i="5"/>
  <c r="AF1767" i="5"/>
  <c r="AF1766" i="5"/>
  <c r="AF1765" i="5"/>
  <c r="AF1764" i="5"/>
  <c r="AF1763" i="5"/>
  <c r="AF1762" i="5"/>
  <c r="AF1761" i="5"/>
  <c r="AF1760" i="5"/>
  <c r="AF1759" i="5"/>
  <c r="AF1758" i="5"/>
  <c r="AF1757" i="5"/>
  <c r="AF1756" i="5"/>
  <c r="AF1755" i="5"/>
  <c r="AF1754" i="5"/>
  <c r="AF1753" i="5"/>
  <c r="AF1752" i="5"/>
  <c r="AF1751" i="5"/>
  <c r="AF1750" i="5"/>
  <c r="AF1749" i="5"/>
  <c r="AF1748" i="5"/>
  <c r="AF1747" i="5"/>
  <c r="AF1746" i="5"/>
  <c r="AF1745" i="5"/>
  <c r="AF1744" i="5"/>
  <c r="AF1743" i="5"/>
  <c r="AF1742" i="5"/>
  <c r="AF1741" i="5"/>
  <c r="AF1740" i="5"/>
  <c r="AF1739" i="5"/>
  <c r="AF1738" i="5"/>
  <c r="AF1737" i="5"/>
  <c r="AF1736" i="5"/>
  <c r="AF1735" i="5"/>
  <c r="AF1734" i="5"/>
  <c r="AF1733" i="5"/>
  <c r="AF1732" i="5"/>
  <c r="AF1731" i="5"/>
  <c r="AF1730" i="5"/>
  <c r="AF1729" i="5"/>
  <c r="AF1728" i="5"/>
  <c r="AF1727" i="5"/>
  <c r="AF1726" i="5"/>
  <c r="AF1725" i="5"/>
  <c r="AF1724" i="5"/>
  <c r="AF1723" i="5"/>
  <c r="AF1722" i="5"/>
  <c r="AF1721" i="5"/>
  <c r="AF1720" i="5"/>
  <c r="AF1719" i="5"/>
  <c r="AF1718" i="5"/>
  <c r="AF1717" i="5"/>
  <c r="AF1716" i="5"/>
  <c r="AF1715" i="5"/>
  <c r="AF1714" i="5"/>
  <c r="AF1713" i="5"/>
  <c r="AF1712" i="5"/>
  <c r="AF1711" i="5"/>
  <c r="AF1710" i="5"/>
  <c r="AF1709" i="5"/>
  <c r="AF1708" i="5"/>
  <c r="AF1707" i="5"/>
  <c r="AF1706" i="5"/>
  <c r="AF1705" i="5"/>
  <c r="AF1704" i="5"/>
  <c r="AF1703" i="5"/>
  <c r="AF1702" i="5"/>
  <c r="AF1701" i="5"/>
  <c r="AF1700" i="5"/>
  <c r="AF1699" i="5"/>
  <c r="AF1698" i="5"/>
  <c r="AF1697" i="5"/>
  <c r="AF1696" i="5"/>
  <c r="AF1695" i="5"/>
  <c r="AF1694" i="5"/>
  <c r="AF1693" i="5"/>
  <c r="AF1692" i="5"/>
  <c r="AF1691" i="5"/>
  <c r="AF1690" i="5"/>
  <c r="AF1689" i="5"/>
  <c r="AF1688" i="5"/>
  <c r="AF1687" i="5"/>
  <c r="AF1686" i="5"/>
  <c r="AF1685" i="5"/>
  <c r="AF1684" i="5"/>
  <c r="AF1683" i="5"/>
  <c r="AF1682" i="5"/>
  <c r="AF1681" i="5"/>
  <c r="AF1680" i="5"/>
  <c r="AF1679" i="5"/>
  <c r="AF1678" i="5"/>
  <c r="AF1677" i="5"/>
  <c r="AF1676" i="5"/>
  <c r="AF1675" i="5"/>
  <c r="AF1674" i="5"/>
  <c r="AF1673" i="5"/>
  <c r="AF1672" i="5"/>
  <c r="AF1671" i="5"/>
  <c r="AF1670" i="5"/>
  <c r="AF1669" i="5"/>
  <c r="AF1668" i="5"/>
  <c r="AF1667" i="5"/>
  <c r="AF1666" i="5"/>
  <c r="AF1665" i="5"/>
  <c r="AF1664" i="5"/>
  <c r="AF1663" i="5"/>
  <c r="AF1662" i="5"/>
  <c r="AF1661" i="5"/>
  <c r="AF1660" i="5"/>
  <c r="AF1659" i="5"/>
  <c r="AF1658" i="5"/>
  <c r="AF1657" i="5"/>
  <c r="AF1656" i="5"/>
  <c r="AF1655" i="5"/>
  <c r="AF1654" i="5"/>
  <c r="AF1653" i="5"/>
  <c r="AF1652" i="5"/>
  <c r="AF1651" i="5"/>
  <c r="AF1650" i="5"/>
  <c r="AF1649" i="5"/>
  <c r="AF1648" i="5"/>
  <c r="AF1647" i="5"/>
  <c r="AF1646" i="5"/>
  <c r="AF1645" i="5"/>
  <c r="AF1644" i="5"/>
  <c r="AF1643" i="5"/>
  <c r="AF1642" i="5"/>
  <c r="AF1641" i="5"/>
  <c r="AF1640" i="5"/>
  <c r="AF1639" i="5"/>
  <c r="AF1638" i="5"/>
  <c r="AF1637" i="5"/>
  <c r="AF1636" i="5"/>
  <c r="AF1635" i="5"/>
  <c r="AF1634" i="5"/>
  <c r="AF1633" i="5"/>
  <c r="AF1632" i="5"/>
  <c r="AF1631" i="5"/>
  <c r="AF1630" i="5"/>
  <c r="AF1629" i="5"/>
  <c r="AF1628" i="5"/>
  <c r="AF1627" i="5"/>
  <c r="AF1626" i="5"/>
  <c r="AF1625" i="5"/>
  <c r="AF1624" i="5"/>
  <c r="AF1623" i="5"/>
  <c r="AF1622" i="5"/>
  <c r="AF1621" i="5"/>
  <c r="AF1620" i="5"/>
  <c r="AF1619" i="5"/>
  <c r="AF1618" i="5"/>
  <c r="AF1617" i="5"/>
  <c r="AF1616" i="5"/>
  <c r="AF1615" i="5"/>
  <c r="AF1614" i="5"/>
  <c r="AF1613" i="5"/>
  <c r="AF1612" i="5"/>
  <c r="AF1611" i="5"/>
  <c r="AF1610" i="5"/>
  <c r="AF1609" i="5"/>
  <c r="AF1608" i="5"/>
  <c r="AF1607" i="5"/>
  <c r="AF1606" i="5"/>
  <c r="AF1605" i="5"/>
  <c r="AF1604" i="5"/>
  <c r="AF1603" i="5"/>
  <c r="AF1602" i="5"/>
  <c r="AF1601" i="5"/>
  <c r="AF1600" i="5"/>
  <c r="AF1599" i="5"/>
  <c r="AF1598" i="5"/>
  <c r="AF1597" i="5"/>
  <c r="AF1596" i="5"/>
  <c r="AF1595" i="5"/>
  <c r="AF1594" i="5"/>
  <c r="AF1593" i="5"/>
  <c r="AF1592" i="5"/>
  <c r="AF1591" i="5"/>
  <c r="AF1590" i="5"/>
  <c r="AF1589" i="5"/>
  <c r="AF1588" i="5"/>
  <c r="AF1587" i="5"/>
  <c r="AF1586" i="5"/>
  <c r="AF1585" i="5"/>
  <c r="AF1584" i="5"/>
  <c r="AF1583" i="5"/>
  <c r="AF1582" i="5"/>
  <c r="AF1581" i="5"/>
  <c r="AF1580" i="5"/>
  <c r="AF1579" i="5"/>
  <c r="AF1578" i="5"/>
  <c r="AF1577" i="5"/>
  <c r="AF1576" i="5"/>
  <c r="AF1575" i="5"/>
  <c r="AF1574" i="5"/>
  <c r="AF1573" i="5"/>
  <c r="AF1572" i="5"/>
  <c r="AF1571" i="5"/>
  <c r="AF1570" i="5"/>
  <c r="AF1569" i="5"/>
  <c r="AF1568" i="5"/>
  <c r="AF1567" i="5"/>
  <c r="AF1566" i="5"/>
  <c r="AF1565" i="5"/>
  <c r="AF1564" i="5"/>
  <c r="AF1563" i="5"/>
  <c r="AF1562" i="5"/>
  <c r="AF1561" i="5"/>
  <c r="AF1560" i="5"/>
  <c r="AF1559" i="5"/>
  <c r="AF1558" i="5"/>
  <c r="AF1557" i="5"/>
  <c r="AF1556" i="5"/>
  <c r="AF1555" i="5"/>
  <c r="AF1554" i="5"/>
  <c r="AF1553" i="5"/>
  <c r="AF1552" i="5"/>
  <c r="AF1551" i="5"/>
  <c r="AF1550" i="5"/>
  <c r="AF1549" i="5"/>
  <c r="AF1548" i="5"/>
  <c r="AF1547" i="5"/>
  <c r="AF1546" i="5"/>
  <c r="AF1545" i="5"/>
  <c r="AF1544" i="5"/>
  <c r="AF1543" i="5"/>
  <c r="AF1542" i="5"/>
  <c r="AF1541" i="5"/>
  <c r="AF1540" i="5"/>
  <c r="AF1539" i="5"/>
  <c r="AF1538" i="5"/>
  <c r="AF1537" i="5"/>
  <c r="AF1536" i="5"/>
  <c r="AF1535" i="5"/>
  <c r="AF1534" i="5"/>
  <c r="AF1533" i="5"/>
  <c r="AF1532" i="5"/>
  <c r="AF1531" i="5"/>
  <c r="AF1530" i="5"/>
  <c r="AF1529" i="5"/>
  <c r="AF1528" i="5"/>
  <c r="AF1527" i="5"/>
  <c r="AF1526" i="5"/>
  <c r="AF1525" i="5"/>
  <c r="AF1524" i="5"/>
  <c r="AF1523" i="5"/>
  <c r="AF1522" i="5"/>
  <c r="AF1521" i="5"/>
  <c r="AF1520" i="5"/>
  <c r="AF1519" i="5"/>
  <c r="AF1518" i="5"/>
  <c r="AF1517" i="5"/>
  <c r="AF1516" i="5"/>
  <c r="AF1515" i="5"/>
  <c r="AF1514" i="5"/>
  <c r="AF1513" i="5"/>
  <c r="AF1512" i="5"/>
  <c r="AF1511" i="5"/>
  <c r="AF1510" i="5"/>
  <c r="AF1509" i="5"/>
  <c r="AF1508" i="5"/>
  <c r="AF1507" i="5"/>
  <c r="AF1506" i="5"/>
  <c r="AF1505" i="5"/>
  <c r="AF1504" i="5"/>
  <c r="AF1503" i="5"/>
  <c r="AF1502" i="5"/>
  <c r="AF1501" i="5"/>
  <c r="AF1500" i="5"/>
  <c r="AF1499" i="5"/>
  <c r="AF1498" i="5"/>
  <c r="AF1497" i="5"/>
  <c r="AF1496" i="5"/>
  <c r="AF1495" i="5"/>
  <c r="AF1494" i="5"/>
  <c r="AF1493" i="5"/>
  <c r="AF1492" i="5"/>
  <c r="AF1491" i="5"/>
  <c r="AF1490" i="5"/>
  <c r="AF1489" i="5"/>
  <c r="AF1488" i="5"/>
  <c r="AF1487" i="5"/>
  <c r="AF1486" i="5"/>
  <c r="AF1485" i="5"/>
  <c r="AF1484" i="5"/>
  <c r="AF1483" i="5"/>
  <c r="AF1482" i="5"/>
  <c r="AF1481" i="5"/>
  <c r="AF1480" i="5"/>
  <c r="AF1479" i="5"/>
  <c r="AF1478" i="5"/>
  <c r="AF1477" i="5"/>
  <c r="AF1476" i="5"/>
  <c r="AF1475" i="5"/>
  <c r="AF1474" i="5"/>
  <c r="AF1473" i="5"/>
  <c r="AF1472" i="5"/>
  <c r="AF1471" i="5"/>
  <c r="AF1470" i="5"/>
  <c r="AF1469" i="5"/>
  <c r="AF1468" i="5"/>
  <c r="AF1467" i="5"/>
  <c r="AF1466" i="5"/>
  <c r="AF1465" i="5"/>
  <c r="AF1464" i="5"/>
  <c r="AF1463" i="5"/>
  <c r="AF1462" i="5"/>
  <c r="AF1461" i="5"/>
  <c r="AF1460" i="5"/>
  <c r="AF1459" i="5"/>
  <c r="AF1458" i="5"/>
  <c r="AF1457" i="5"/>
  <c r="AF1456" i="5"/>
  <c r="AF1455" i="5"/>
  <c r="AF1454" i="5"/>
  <c r="AF1453" i="5"/>
  <c r="AF1452" i="5"/>
  <c r="AF1451" i="5"/>
  <c r="AF1450" i="5"/>
  <c r="AF1449" i="5"/>
  <c r="AF1448" i="5"/>
  <c r="AF1447" i="5"/>
  <c r="AF1446" i="5"/>
  <c r="AF1445" i="5"/>
  <c r="AF1444" i="5"/>
  <c r="AF1443" i="5"/>
  <c r="AF1442" i="5"/>
  <c r="AF1441" i="5"/>
  <c r="AF1440" i="5"/>
  <c r="AF1439" i="5"/>
  <c r="AF1438" i="5"/>
  <c r="AF1437" i="5"/>
  <c r="AF1436" i="5"/>
  <c r="AF1435" i="5"/>
  <c r="AF1434" i="5"/>
  <c r="AF1433" i="5"/>
  <c r="AF1432" i="5"/>
  <c r="AF1431" i="5"/>
  <c r="AF1430" i="5"/>
  <c r="AF1429" i="5"/>
  <c r="AF1428" i="5"/>
  <c r="AF1427" i="5"/>
  <c r="AF1426" i="5"/>
  <c r="AF1425" i="5"/>
  <c r="AF1424" i="5"/>
  <c r="AF1423" i="5"/>
  <c r="AF1422" i="5"/>
  <c r="AF1421" i="5"/>
  <c r="AF1420" i="5"/>
  <c r="AF1419" i="5"/>
  <c r="AF1418" i="5"/>
  <c r="AF1417" i="5"/>
  <c r="AF1416" i="5"/>
  <c r="AF1415" i="5"/>
  <c r="AF1414" i="5"/>
  <c r="AF1413" i="5"/>
  <c r="AF1412" i="5"/>
  <c r="AF1411" i="5"/>
  <c r="AF1410" i="5"/>
  <c r="AF1409" i="5"/>
  <c r="AF1408" i="5"/>
  <c r="AF1407" i="5"/>
  <c r="AF1406" i="5"/>
  <c r="AF1405" i="5"/>
  <c r="AF1404" i="5"/>
  <c r="AF1403" i="5"/>
  <c r="AF1402" i="5"/>
  <c r="AF1401" i="5"/>
  <c r="AF1400" i="5"/>
  <c r="AF1399" i="5"/>
  <c r="AF1398" i="5"/>
  <c r="AF1397" i="5"/>
  <c r="AF1396" i="5"/>
  <c r="AF1395" i="5"/>
  <c r="AF1394" i="5"/>
  <c r="AF1393" i="5"/>
  <c r="AF1392" i="5"/>
  <c r="AF1391" i="5"/>
  <c r="AF1390" i="5"/>
  <c r="AF1389" i="5"/>
  <c r="AF1388" i="5"/>
  <c r="AF1387" i="5"/>
  <c r="AF1386" i="5"/>
  <c r="AF1385" i="5"/>
  <c r="AF1384" i="5"/>
  <c r="AF1383" i="5"/>
  <c r="AF1382" i="5"/>
  <c r="AF1381" i="5"/>
  <c r="AF1380" i="5"/>
  <c r="AF1379" i="5"/>
  <c r="AF1378" i="5"/>
  <c r="AF1377" i="5"/>
  <c r="AF1376" i="5"/>
  <c r="AF1375" i="5"/>
  <c r="AF1374" i="5"/>
  <c r="AF1373" i="5"/>
  <c r="AF1372" i="5"/>
  <c r="AF1371" i="5"/>
  <c r="AF1370" i="5"/>
  <c r="AF1369" i="5"/>
  <c r="AF1368" i="5"/>
  <c r="AF1367" i="5"/>
  <c r="AF1366" i="5"/>
  <c r="AF1365" i="5"/>
  <c r="AF1364" i="5"/>
  <c r="AF1363" i="5"/>
  <c r="AF1362" i="5"/>
  <c r="AF1361" i="5"/>
  <c r="AF1360" i="5"/>
  <c r="AF1359" i="5"/>
  <c r="AF1358" i="5"/>
  <c r="AF1357" i="5"/>
  <c r="AF1356" i="5"/>
  <c r="AF1355" i="5"/>
  <c r="AF1354" i="5"/>
  <c r="AF1353" i="5"/>
  <c r="AF1352" i="5"/>
  <c r="AF1351" i="5"/>
  <c r="AF1350" i="5"/>
  <c r="AF1349" i="5"/>
  <c r="AF1348" i="5"/>
  <c r="AF1347" i="5"/>
  <c r="AF1346" i="5"/>
  <c r="AF1345" i="5"/>
  <c r="AF1344" i="5"/>
  <c r="AF1343" i="5"/>
  <c r="AF1342" i="5"/>
  <c r="AF1341" i="5"/>
  <c r="AF1340" i="5"/>
  <c r="AF1339" i="5"/>
  <c r="AF1338" i="5"/>
  <c r="AF1337" i="5"/>
  <c r="AF1336" i="5"/>
  <c r="AF1335" i="5"/>
  <c r="AF1334" i="5"/>
  <c r="AF1333" i="5"/>
  <c r="AF1332" i="5"/>
  <c r="AF1331" i="5"/>
  <c r="AF1330" i="5"/>
  <c r="AF1329" i="5"/>
  <c r="AF1328" i="5"/>
  <c r="AF1327" i="5"/>
  <c r="AF1326" i="5"/>
  <c r="AF1325" i="5"/>
  <c r="AF1324" i="5"/>
  <c r="AF1323" i="5"/>
  <c r="AF1322" i="5"/>
  <c r="AF1321" i="5"/>
  <c r="AF1320" i="5"/>
  <c r="AF1319" i="5"/>
  <c r="AF1318" i="5"/>
  <c r="AF1317" i="5"/>
  <c r="AF1316" i="5"/>
  <c r="AF1315" i="5"/>
  <c r="AF1314" i="5"/>
  <c r="AF1313" i="5"/>
  <c r="AF1312" i="5"/>
  <c r="AF1311" i="5"/>
  <c r="AF1310" i="5"/>
  <c r="AF1309" i="5"/>
  <c r="AF1308" i="5"/>
  <c r="AF1307" i="5"/>
  <c r="AF1306" i="5"/>
  <c r="AF1305" i="5"/>
  <c r="AF1304" i="5"/>
  <c r="AF1303" i="5"/>
  <c r="AF1302" i="5"/>
  <c r="AF1301" i="5"/>
  <c r="AF1300" i="5"/>
  <c r="AF1299" i="5"/>
  <c r="AF1298" i="5"/>
  <c r="AF1297" i="5"/>
  <c r="AF1296" i="5"/>
  <c r="AF1295" i="5"/>
  <c r="AF1294" i="5"/>
  <c r="AF1293" i="5"/>
  <c r="AF1292" i="5"/>
  <c r="AF1291" i="5"/>
  <c r="AF1290" i="5"/>
  <c r="AF1289" i="5"/>
  <c r="AF1288" i="5"/>
  <c r="AF1287" i="5"/>
  <c r="AF1286" i="5"/>
  <c r="AF1285" i="5"/>
  <c r="AF1284" i="5"/>
  <c r="AF1283" i="5"/>
  <c r="AF1282" i="5"/>
  <c r="AF1281" i="5"/>
  <c r="AF1280" i="5"/>
  <c r="AF1279" i="5"/>
  <c r="AF1278" i="5"/>
  <c r="AF1277" i="5"/>
  <c r="AF1276" i="5"/>
  <c r="AF1275" i="5"/>
  <c r="AF1274" i="5"/>
  <c r="AF1273" i="5"/>
  <c r="AF1272" i="5"/>
  <c r="AF1271" i="5"/>
  <c r="AF1270" i="5"/>
  <c r="AF1269" i="5"/>
  <c r="AF1268" i="5"/>
  <c r="AF1267" i="5"/>
  <c r="AF1266" i="5"/>
  <c r="AF1265" i="5"/>
  <c r="AF1264" i="5"/>
  <c r="AF1263" i="5"/>
  <c r="AF1262" i="5"/>
  <c r="AF1261" i="5"/>
  <c r="AF1260" i="5"/>
  <c r="AF1259" i="5"/>
  <c r="AF1258" i="5"/>
  <c r="AF1257" i="5"/>
  <c r="AF1256" i="5"/>
  <c r="AF1255" i="5"/>
  <c r="AF1254" i="5"/>
  <c r="AF1253" i="5"/>
  <c r="AF1252" i="5"/>
  <c r="AF1251" i="5"/>
  <c r="AF1250" i="5"/>
  <c r="AF1249" i="5"/>
  <c r="AF1248" i="5"/>
  <c r="AF1247" i="5"/>
  <c r="AF1246" i="5"/>
  <c r="AF1245" i="5"/>
  <c r="AF1244" i="5"/>
  <c r="AF1243" i="5"/>
  <c r="AF1242" i="5"/>
  <c r="AF1241" i="5"/>
  <c r="AF1240" i="5"/>
  <c r="AF1239" i="5"/>
  <c r="AF1238" i="5"/>
  <c r="AF1237" i="5"/>
  <c r="AF1236" i="5"/>
  <c r="AF1235" i="5"/>
  <c r="AF1234" i="5"/>
  <c r="AF1233" i="5"/>
  <c r="AF1232" i="5"/>
  <c r="AF1231" i="5"/>
  <c r="AF1230" i="5"/>
  <c r="AF1229" i="5"/>
  <c r="AF1228" i="5"/>
  <c r="AF1227" i="5"/>
  <c r="AF1226" i="5"/>
  <c r="AF1225" i="5"/>
  <c r="AF1224" i="5"/>
  <c r="AF1223" i="5"/>
  <c r="AF1222" i="5"/>
  <c r="AF1221" i="5"/>
  <c r="AF1220" i="5"/>
  <c r="AF1219" i="5"/>
  <c r="AF1218" i="5"/>
  <c r="AF1217" i="5"/>
  <c r="AF1216" i="5"/>
  <c r="AF1215" i="5"/>
  <c r="AF1214" i="5"/>
  <c r="AF1213" i="5"/>
  <c r="AF1212" i="5"/>
  <c r="AF1211" i="5"/>
  <c r="AF1210" i="5"/>
  <c r="AF1209" i="5"/>
  <c r="AF1208" i="5"/>
  <c r="AF1207" i="5"/>
  <c r="AF1206" i="5"/>
  <c r="AF1205" i="5"/>
  <c r="AF1204" i="5"/>
  <c r="AF1203" i="5"/>
  <c r="AF1202" i="5"/>
  <c r="AF1201" i="5"/>
  <c r="AF1200" i="5"/>
  <c r="AF1199" i="5"/>
  <c r="AF1198" i="5"/>
  <c r="AF1197" i="5"/>
  <c r="AF1196" i="5"/>
  <c r="AF1195" i="5"/>
  <c r="AF1194" i="5"/>
  <c r="AF1193" i="5"/>
  <c r="AF1192" i="5"/>
  <c r="AF1191" i="5"/>
  <c r="AF1190" i="5"/>
  <c r="AF1189" i="5"/>
  <c r="AF1188" i="5"/>
  <c r="AF1187" i="5"/>
  <c r="AF1186" i="5"/>
  <c r="AF1185" i="5"/>
  <c r="AF1184" i="5"/>
  <c r="AF1183" i="5"/>
  <c r="AF1182" i="5"/>
  <c r="AF1181" i="5"/>
  <c r="AF1180" i="5"/>
  <c r="AF1179" i="5"/>
  <c r="AF1178" i="5"/>
  <c r="AF1177" i="5"/>
  <c r="AF1176" i="5"/>
  <c r="AF1175" i="5"/>
  <c r="AF1174" i="5"/>
  <c r="AF1173" i="5"/>
  <c r="AF1172" i="5"/>
  <c r="AF1171" i="5"/>
  <c r="AF1170" i="5"/>
  <c r="AF1169" i="5"/>
  <c r="AF1168" i="5"/>
  <c r="AF1167" i="5"/>
  <c r="AF1166" i="5"/>
  <c r="AF1165" i="5"/>
  <c r="AF1164" i="5"/>
  <c r="AF1163" i="5"/>
  <c r="AF1162" i="5"/>
  <c r="AF1161" i="5"/>
  <c r="AF1160" i="5"/>
  <c r="AF1159" i="5"/>
  <c r="AF1158" i="5"/>
  <c r="AF1157" i="5"/>
  <c r="AF1156" i="5"/>
  <c r="AF1155" i="5"/>
  <c r="AF1154" i="5"/>
  <c r="AF1153" i="5"/>
  <c r="AF1152" i="5"/>
  <c r="AF1151" i="5"/>
  <c r="AF1150" i="5"/>
  <c r="AF1149" i="5"/>
  <c r="AF1148" i="5"/>
  <c r="AF1147" i="5"/>
  <c r="AF1146" i="5"/>
  <c r="AF1145" i="5"/>
  <c r="AF1144" i="5"/>
  <c r="AF1143" i="5"/>
  <c r="AF1142" i="5"/>
  <c r="AF1141" i="5"/>
  <c r="AF1140" i="5"/>
  <c r="AF1139" i="5"/>
  <c r="AF1138" i="5"/>
  <c r="AF1137" i="5"/>
  <c r="AF1136" i="5"/>
  <c r="AF1135" i="5"/>
  <c r="AF1134" i="5"/>
  <c r="AF1133" i="5"/>
  <c r="AF1132" i="5"/>
  <c r="AF1131" i="5"/>
  <c r="AF1130" i="5"/>
  <c r="AF1129" i="5"/>
  <c r="AF1128" i="5"/>
  <c r="AF1127" i="5"/>
  <c r="AF1126" i="5"/>
  <c r="AF1125" i="5"/>
  <c r="AF1124" i="5"/>
  <c r="AF1123" i="5"/>
  <c r="AF1122" i="5"/>
  <c r="AF1121" i="5"/>
  <c r="AF1120" i="5"/>
  <c r="AF1119" i="5"/>
  <c r="AF1118" i="5"/>
  <c r="AF1117" i="5"/>
  <c r="AF1116" i="5"/>
  <c r="AF1115" i="5"/>
  <c r="AF1114" i="5"/>
  <c r="AF1113" i="5"/>
  <c r="AF1112" i="5"/>
  <c r="AF1111" i="5"/>
  <c r="AF1110" i="5"/>
  <c r="AF1109" i="5"/>
  <c r="AF1108" i="5"/>
  <c r="AF1107" i="5"/>
  <c r="AF1106" i="5"/>
  <c r="AF1105" i="5"/>
  <c r="AF1104" i="5"/>
  <c r="AF1103" i="5"/>
  <c r="AF1102" i="5"/>
  <c r="AF1101" i="5"/>
  <c r="AF1100" i="5"/>
  <c r="AF1099" i="5"/>
  <c r="AF1098" i="5"/>
  <c r="AF1097" i="5"/>
  <c r="AF1096" i="5"/>
  <c r="AF1095" i="5"/>
  <c r="AF1094" i="5"/>
  <c r="AF1093" i="5"/>
  <c r="AF1092" i="5"/>
  <c r="AF1091" i="5"/>
  <c r="AF1090" i="5"/>
  <c r="AF1089" i="5"/>
  <c r="AF1088" i="5"/>
  <c r="AF1087" i="5"/>
  <c r="AF1086" i="5"/>
  <c r="AF1085" i="5"/>
  <c r="AF1084" i="5"/>
  <c r="AF1083" i="5"/>
  <c r="AF1082" i="5"/>
  <c r="AF1081" i="5"/>
  <c r="AF1080" i="5"/>
  <c r="AF1079" i="5"/>
  <c r="AF1078" i="5"/>
  <c r="AF1077" i="5"/>
  <c r="AF1076" i="5"/>
  <c r="AF1075" i="5"/>
  <c r="AF1074" i="5"/>
  <c r="AF1073" i="5"/>
  <c r="AF1072" i="5"/>
  <c r="AF1071" i="5"/>
  <c r="AF1070" i="5"/>
  <c r="AF1069" i="5"/>
  <c r="AF1068" i="5"/>
  <c r="AF1067" i="5"/>
  <c r="AF1066" i="5"/>
  <c r="AF1065" i="5"/>
  <c r="AF1064" i="5"/>
  <c r="AF1063" i="5"/>
  <c r="AF1062" i="5"/>
  <c r="AF1061" i="5"/>
  <c r="AF1060" i="5"/>
  <c r="AF1059" i="5"/>
  <c r="AF1058" i="5"/>
  <c r="AF1057" i="5"/>
  <c r="AF1056" i="5"/>
  <c r="AF1055" i="5"/>
  <c r="AF1054" i="5"/>
  <c r="AF1053" i="5"/>
  <c r="AF1052" i="5"/>
  <c r="AF1051" i="5"/>
  <c r="AF1050" i="5"/>
  <c r="AF1049" i="5"/>
  <c r="AF1048" i="5"/>
  <c r="AF1047" i="5"/>
  <c r="AF1046" i="5"/>
  <c r="AF1045" i="5"/>
  <c r="AF1044" i="5"/>
  <c r="AF1043" i="5"/>
  <c r="AF1042" i="5"/>
  <c r="AF1041" i="5"/>
  <c r="AF1040" i="5"/>
  <c r="AF1039" i="5"/>
  <c r="AF1038" i="5"/>
  <c r="AF1037" i="5"/>
  <c r="AF1036" i="5"/>
  <c r="AF1035" i="5"/>
  <c r="AF1034" i="5"/>
  <c r="AF1033" i="5"/>
  <c r="AF1032" i="5"/>
  <c r="AF1031" i="5"/>
  <c r="AF1030" i="5"/>
  <c r="AF1029" i="5"/>
  <c r="AF1028" i="5"/>
  <c r="AF1027" i="5"/>
  <c r="AF1026" i="5"/>
  <c r="AF1025" i="5"/>
  <c r="AF1024" i="5"/>
  <c r="AF1023" i="5"/>
  <c r="AF1022" i="5"/>
  <c r="AF1021" i="5"/>
  <c r="AF1020" i="5"/>
  <c r="AF1019" i="5"/>
  <c r="AF1018" i="5"/>
  <c r="AF1017" i="5"/>
  <c r="AF1016" i="5"/>
  <c r="AF1015" i="5"/>
  <c r="AF1014" i="5"/>
  <c r="AF1013" i="5"/>
  <c r="AF1012" i="5"/>
  <c r="AF1011" i="5"/>
  <c r="AF1010" i="5"/>
  <c r="AF1009" i="5"/>
  <c r="AF1008" i="5"/>
  <c r="AF1007" i="5"/>
  <c r="AF1006" i="5"/>
  <c r="AF1005" i="5"/>
  <c r="AF1004" i="5"/>
  <c r="AF1003" i="5"/>
  <c r="AF1002" i="5"/>
  <c r="AF1001" i="5"/>
  <c r="AF1000" i="5"/>
  <c r="AF999" i="5"/>
  <c r="AF998" i="5"/>
  <c r="AF997" i="5"/>
  <c r="AF996" i="5"/>
  <c r="AF995" i="5"/>
  <c r="AF994" i="5"/>
  <c r="AF993" i="5"/>
  <c r="AF992" i="5"/>
  <c r="AF991" i="5"/>
  <c r="AF990" i="5"/>
  <c r="AF989" i="5"/>
  <c r="AF988" i="5"/>
  <c r="AF987" i="5"/>
  <c r="AF986" i="5"/>
  <c r="AF985" i="5"/>
  <c r="AF984" i="5"/>
  <c r="AF983" i="5"/>
  <c r="AF982" i="5"/>
  <c r="AF981" i="5"/>
  <c r="AF980" i="5"/>
  <c r="AF979" i="5"/>
  <c r="AF978" i="5"/>
  <c r="AF977" i="5"/>
  <c r="AF976" i="5"/>
  <c r="AF975" i="5"/>
  <c r="AF974" i="5"/>
  <c r="AF973" i="5"/>
  <c r="AF972" i="5"/>
  <c r="AF971" i="5"/>
  <c r="AF970" i="5"/>
  <c r="AF969" i="5"/>
  <c r="AF968" i="5"/>
  <c r="AF967" i="5"/>
  <c r="AF966" i="5"/>
  <c r="AF965" i="5"/>
  <c r="AF964" i="5"/>
  <c r="AF963" i="5"/>
  <c r="AF962" i="5"/>
  <c r="AF961" i="5"/>
  <c r="AF960" i="5"/>
  <c r="AF959" i="5"/>
  <c r="AF958" i="5"/>
  <c r="AF957" i="5"/>
  <c r="AF956" i="5"/>
  <c r="AF955" i="5"/>
  <c r="AF954" i="5"/>
  <c r="AF953" i="5"/>
  <c r="AF952" i="5"/>
  <c r="AF951" i="5"/>
  <c r="AF950" i="5"/>
  <c r="AF949" i="5"/>
  <c r="AF948" i="5"/>
  <c r="AF947" i="5"/>
  <c r="AF946" i="5"/>
  <c r="AF945" i="5"/>
  <c r="AF944" i="5"/>
  <c r="AF943" i="5"/>
  <c r="AF942" i="5"/>
  <c r="AF941" i="5"/>
  <c r="AF940" i="5"/>
  <c r="AF939" i="5"/>
  <c r="AF938" i="5"/>
  <c r="AF937" i="5"/>
  <c r="AF936" i="5"/>
  <c r="AF935" i="5"/>
  <c r="AF934" i="5"/>
  <c r="AF933" i="5"/>
  <c r="AF932" i="5"/>
  <c r="AF931" i="5"/>
  <c r="AF930" i="5"/>
  <c r="AF929" i="5"/>
  <c r="AF928" i="5"/>
  <c r="AF927" i="5"/>
  <c r="AF926" i="5"/>
  <c r="AF925" i="5"/>
  <c r="AF924" i="5"/>
  <c r="AF923" i="5"/>
  <c r="AF922" i="5"/>
  <c r="AF921" i="5"/>
  <c r="AF920" i="5"/>
  <c r="AF919" i="5"/>
  <c r="AF918" i="5"/>
  <c r="AF917" i="5"/>
  <c r="AF916" i="5"/>
  <c r="AF915" i="5"/>
  <c r="AF914" i="5"/>
  <c r="AF913" i="5"/>
  <c r="AF912" i="5"/>
  <c r="AF911" i="5"/>
  <c r="AF910" i="5"/>
  <c r="AF909" i="5"/>
  <c r="AF908" i="5"/>
  <c r="AF907" i="5"/>
  <c r="AF906" i="5"/>
  <c r="AF905" i="5"/>
  <c r="AF904" i="5"/>
  <c r="AF903" i="5"/>
  <c r="AF902" i="5"/>
  <c r="AF901" i="5"/>
  <c r="AF900" i="5"/>
  <c r="AF899" i="5"/>
  <c r="AF898" i="5"/>
  <c r="AF897" i="5"/>
  <c r="AF896" i="5"/>
  <c r="AF895" i="5"/>
  <c r="AF894" i="5"/>
  <c r="AF893" i="5"/>
  <c r="AF892" i="5"/>
  <c r="AF891" i="5"/>
  <c r="AF890" i="5"/>
  <c r="AF889" i="5"/>
  <c r="AF888" i="5"/>
  <c r="AF887" i="5"/>
  <c r="AF886" i="5"/>
  <c r="AF885" i="5"/>
  <c r="AF884" i="5"/>
  <c r="AF883" i="5"/>
  <c r="AF882" i="5"/>
  <c r="AF881" i="5"/>
  <c r="AF880" i="5"/>
  <c r="AF879" i="5"/>
  <c r="AF878" i="5"/>
  <c r="AF877" i="5"/>
  <c r="AF876" i="5"/>
  <c r="AF875" i="5"/>
  <c r="AF874" i="5"/>
  <c r="AF873" i="5"/>
  <c r="AF872" i="5"/>
  <c r="AF871" i="5"/>
  <c r="AF870" i="5"/>
  <c r="AF869" i="5"/>
  <c r="AF868" i="5"/>
  <c r="AF867" i="5"/>
  <c r="AF866" i="5"/>
  <c r="AF865" i="5"/>
  <c r="AF864" i="5"/>
  <c r="AF863" i="5"/>
  <c r="AF862" i="5"/>
  <c r="AF861" i="5"/>
  <c r="AF860" i="5"/>
  <c r="AF859" i="5"/>
  <c r="AF858" i="5"/>
  <c r="AF857" i="5"/>
  <c r="AF856" i="5"/>
  <c r="AF855" i="5"/>
  <c r="AF854" i="5"/>
  <c r="AF853" i="5"/>
  <c r="AF852" i="5"/>
  <c r="AF851" i="5"/>
  <c r="AF850" i="5"/>
  <c r="AF849" i="5"/>
  <c r="AF848" i="5"/>
  <c r="AF847" i="5"/>
  <c r="AF846" i="5"/>
  <c r="AF845" i="5"/>
  <c r="AF844" i="5"/>
  <c r="AF843" i="5"/>
  <c r="AF842" i="5"/>
  <c r="AF841" i="5"/>
  <c r="AF840" i="5"/>
  <c r="AF839" i="5"/>
  <c r="AF838" i="5"/>
  <c r="AF837" i="5"/>
  <c r="AF836" i="5"/>
  <c r="AF835" i="5"/>
  <c r="AF834" i="5"/>
  <c r="AF833" i="5"/>
  <c r="AF832" i="5"/>
  <c r="AF831" i="5"/>
  <c r="AF830" i="5"/>
  <c r="AF829" i="5"/>
  <c r="AF828" i="5"/>
  <c r="AF827" i="5"/>
  <c r="AF826" i="5"/>
  <c r="AF825" i="5"/>
  <c r="AF824" i="5"/>
  <c r="AF823" i="5"/>
  <c r="AF822" i="5"/>
  <c r="AF821" i="5"/>
  <c r="AF820" i="5"/>
  <c r="AF819" i="5"/>
  <c r="AF818" i="5"/>
  <c r="AF817" i="5"/>
  <c r="AF816" i="5"/>
  <c r="AF815" i="5"/>
  <c r="AF814" i="5"/>
  <c r="AF813" i="5"/>
  <c r="AF812" i="5"/>
  <c r="AF811" i="5"/>
  <c r="AF810" i="5"/>
  <c r="AF809" i="5"/>
  <c r="AF808" i="5"/>
  <c r="AF807" i="5"/>
  <c r="AF806" i="5"/>
  <c r="AF805" i="5"/>
  <c r="AF804" i="5"/>
  <c r="AF803" i="5"/>
  <c r="AF802" i="5"/>
  <c r="AF801" i="5"/>
  <c r="AF800" i="5"/>
  <c r="AF799" i="5"/>
  <c r="AF798" i="5"/>
  <c r="AF797" i="5"/>
  <c r="AF796" i="5"/>
  <c r="AF795" i="5"/>
  <c r="AF794" i="5"/>
  <c r="AF793" i="5"/>
  <c r="AF792" i="5"/>
  <c r="AF791" i="5"/>
  <c r="AF790" i="5"/>
  <c r="AF789" i="5"/>
  <c r="AF788" i="5"/>
  <c r="AF787" i="5"/>
  <c r="AF786" i="5"/>
  <c r="AF785" i="5"/>
  <c r="AF784" i="5"/>
  <c r="AF783" i="5"/>
  <c r="AF782" i="5"/>
  <c r="AF781" i="5"/>
  <c r="AF780" i="5"/>
  <c r="AF779" i="5"/>
  <c r="AF778" i="5"/>
  <c r="AF777" i="5"/>
  <c r="AF776" i="5"/>
  <c r="AF775" i="5"/>
  <c r="AF774" i="5"/>
  <c r="AF773" i="5"/>
  <c r="AF772" i="5"/>
  <c r="AF771" i="5"/>
  <c r="AF770" i="5"/>
  <c r="AF769" i="5"/>
  <c r="AF768" i="5"/>
  <c r="AF767" i="5"/>
  <c r="AF766" i="5"/>
  <c r="AF765" i="5"/>
  <c r="AF764" i="5"/>
  <c r="AF763" i="5"/>
  <c r="AF762" i="5"/>
  <c r="AF761" i="5"/>
  <c r="AF760" i="5"/>
  <c r="AF759" i="5"/>
  <c r="AF758" i="5"/>
  <c r="AF757" i="5"/>
  <c r="AF756" i="5"/>
  <c r="AF755" i="5"/>
  <c r="AF754" i="5"/>
  <c r="AF753" i="5"/>
  <c r="AF752" i="5"/>
  <c r="AF751" i="5"/>
  <c r="AF750" i="5"/>
  <c r="AF749" i="5"/>
  <c r="AF748" i="5"/>
  <c r="AF747" i="5"/>
  <c r="AF746" i="5"/>
  <c r="AF745" i="5"/>
  <c r="AF744" i="5"/>
  <c r="AF743" i="5"/>
  <c r="AF742" i="5"/>
  <c r="AF741" i="5"/>
  <c r="AF740" i="5"/>
  <c r="AF739" i="5"/>
  <c r="AF738" i="5"/>
  <c r="AF737" i="5"/>
  <c r="AF736" i="5"/>
  <c r="AF735" i="5"/>
  <c r="AF734" i="5"/>
  <c r="AF733" i="5"/>
  <c r="AF732" i="5"/>
  <c r="AF731" i="5"/>
  <c r="AF730" i="5"/>
  <c r="AF729" i="5"/>
  <c r="AF728" i="5"/>
  <c r="AF727" i="5"/>
  <c r="AF726" i="5"/>
  <c r="AF725" i="5"/>
  <c r="AF724" i="5"/>
  <c r="AF723" i="5"/>
  <c r="AF722" i="5"/>
  <c r="AF721" i="5"/>
  <c r="AF720" i="5"/>
  <c r="AF719" i="5"/>
  <c r="AF718" i="5"/>
  <c r="AF717" i="5"/>
  <c r="AF716" i="5"/>
  <c r="AF715" i="5"/>
  <c r="AF714" i="5"/>
  <c r="AF713" i="5"/>
  <c r="AF712" i="5"/>
  <c r="AF711" i="5"/>
  <c r="AF710" i="5"/>
  <c r="AF709" i="5"/>
  <c r="AF708" i="5"/>
  <c r="AF707" i="5"/>
  <c r="AF706" i="5"/>
  <c r="AF705" i="5"/>
  <c r="AF704" i="5"/>
  <c r="AF703" i="5"/>
  <c r="AF702" i="5"/>
  <c r="AF701" i="5"/>
  <c r="AF700" i="5"/>
  <c r="AF699" i="5"/>
  <c r="AF698" i="5"/>
  <c r="AF697" i="5"/>
  <c r="AF696" i="5"/>
  <c r="AF695" i="5"/>
  <c r="AF694" i="5"/>
  <c r="AF693" i="5"/>
  <c r="AF692" i="5"/>
  <c r="AF691" i="5"/>
  <c r="AF690" i="5"/>
  <c r="AF689" i="5"/>
  <c r="AF688" i="5"/>
  <c r="AF687" i="5"/>
  <c r="AF686" i="5"/>
  <c r="AF685" i="5"/>
  <c r="AF684" i="5"/>
  <c r="AF683" i="5"/>
  <c r="AF682" i="5"/>
  <c r="AF681" i="5"/>
  <c r="AF680" i="5"/>
  <c r="AF679" i="5"/>
  <c r="AF678" i="5"/>
  <c r="AF677" i="5"/>
  <c r="AF676" i="5"/>
  <c r="AF675" i="5"/>
  <c r="AF674" i="5"/>
  <c r="AF673" i="5"/>
  <c r="AF672" i="5"/>
  <c r="AF671" i="5"/>
  <c r="AF670" i="5"/>
  <c r="AF669" i="5"/>
  <c r="AF668" i="5"/>
  <c r="AF667" i="5"/>
  <c r="AF666" i="5"/>
  <c r="AF665" i="5"/>
  <c r="AF664" i="5"/>
  <c r="AF663" i="5"/>
  <c r="AF662" i="5"/>
  <c r="AF661" i="5"/>
  <c r="AF660" i="5"/>
  <c r="AF659" i="5"/>
  <c r="AF658" i="5"/>
  <c r="AF657" i="5"/>
  <c r="AF656" i="5"/>
  <c r="AF655" i="5"/>
  <c r="AF654" i="5"/>
  <c r="AF653" i="5"/>
  <c r="AF652" i="5"/>
  <c r="AF651" i="5"/>
  <c r="AF650" i="5"/>
  <c r="AF649" i="5"/>
  <c r="AF648" i="5"/>
  <c r="AF647" i="5"/>
  <c r="AF646" i="5"/>
  <c r="AF645" i="5"/>
  <c r="AF644" i="5"/>
  <c r="AF643" i="5"/>
  <c r="AF642" i="5"/>
  <c r="AF641" i="5"/>
  <c r="AF640" i="5"/>
  <c r="AF639" i="5"/>
  <c r="AF638" i="5"/>
  <c r="AF637" i="5"/>
  <c r="AF636" i="5"/>
  <c r="AF635" i="5"/>
  <c r="AF634" i="5"/>
  <c r="AF633" i="5"/>
  <c r="AF632" i="5"/>
  <c r="AF631" i="5"/>
  <c r="AF630" i="5"/>
  <c r="AF629" i="5"/>
  <c r="AF628" i="5"/>
  <c r="AF627" i="5"/>
  <c r="AF626" i="5"/>
  <c r="AF625" i="5"/>
  <c r="AF624" i="5"/>
  <c r="AF623" i="5"/>
  <c r="AF622" i="5"/>
  <c r="AF621" i="5"/>
  <c r="AF620" i="5"/>
  <c r="AF619" i="5"/>
  <c r="AF618" i="5"/>
  <c r="AF617" i="5"/>
  <c r="AF616" i="5"/>
  <c r="AF615" i="5"/>
  <c r="AF614" i="5"/>
  <c r="AF613" i="5"/>
  <c r="AF612" i="5"/>
  <c r="AF611" i="5"/>
  <c r="AF610" i="5"/>
  <c r="AF609" i="5"/>
  <c r="AF608" i="5"/>
  <c r="AF607" i="5"/>
  <c r="AF606" i="5"/>
  <c r="AF605" i="5"/>
  <c r="AF604" i="5"/>
  <c r="AF603" i="5"/>
  <c r="AF602" i="5"/>
  <c r="AF601" i="5"/>
  <c r="AF600" i="5"/>
  <c r="AF599" i="5"/>
  <c r="AF598" i="5"/>
  <c r="AF597" i="5"/>
  <c r="AF596" i="5"/>
  <c r="AF595" i="5"/>
  <c r="AF594" i="5"/>
  <c r="AF593" i="5"/>
  <c r="AF592" i="5"/>
  <c r="AF591" i="5"/>
  <c r="AF590" i="5"/>
  <c r="AF589" i="5"/>
  <c r="AF588" i="5"/>
  <c r="AF587" i="5"/>
  <c r="AF586" i="5"/>
  <c r="AF585" i="5"/>
  <c r="AF584" i="5"/>
  <c r="AF583" i="5"/>
  <c r="AF582" i="5"/>
  <c r="AF581" i="5"/>
  <c r="AF580" i="5"/>
  <c r="AF579" i="5"/>
  <c r="AF578" i="5"/>
  <c r="AF577" i="5"/>
  <c r="AF576" i="5"/>
  <c r="AF575" i="5"/>
  <c r="AF574" i="5"/>
  <c r="AF573" i="5"/>
  <c r="AF572" i="5"/>
  <c r="AF571" i="5"/>
  <c r="AF570" i="5"/>
  <c r="AF569" i="5"/>
  <c r="AF568" i="5"/>
  <c r="AF567" i="5"/>
  <c r="AF566" i="5"/>
  <c r="AF565" i="5"/>
  <c r="AF564" i="5"/>
  <c r="AF563" i="5"/>
  <c r="AF562" i="5"/>
  <c r="AF561" i="5"/>
  <c r="AF560" i="5"/>
  <c r="AF559" i="5"/>
  <c r="AF558" i="5"/>
  <c r="AF557" i="5"/>
  <c r="AF556" i="5"/>
  <c r="AF555" i="5"/>
  <c r="AF554" i="5"/>
  <c r="AF553" i="5"/>
  <c r="AF552" i="5"/>
  <c r="AF551" i="5"/>
  <c r="AF550" i="5"/>
  <c r="AF549" i="5"/>
  <c r="AF548" i="5"/>
  <c r="AF547" i="5"/>
  <c r="AF546" i="5"/>
  <c r="AF545" i="5"/>
  <c r="AF544" i="5"/>
  <c r="AF543" i="5"/>
  <c r="AF542" i="5"/>
  <c r="AF541" i="5"/>
  <c r="AF540" i="5"/>
  <c r="AF539" i="5"/>
  <c r="AF538" i="5"/>
  <c r="AF537" i="5"/>
  <c r="AF536" i="5"/>
  <c r="AF535" i="5"/>
  <c r="AF534" i="5"/>
  <c r="AF533" i="5"/>
  <c r="AF532" i="5"/>
  <c r="AF531" i="5"/>
  <c r="AF530" i="5"/>
  <c r="AF529" i="5"/>
  <c r="AF528" i="5"/>
  <c r="AF527" i="5"/>
  <c r="AF526" i="5"/>
  <c r="AF525" i="5"/>
  <c r="AF524" i="5"/>
  <c r="AF523" i="5"/>
  <c r="AF522" i="5"/>
  <c r="AF521" i="5"/>
  <c r="AF520" i="5"/>
  <c r="AF519" i="5"/>
  <c r="AF518" i="5"/>
  <c r="AF517" i="5"/>
  <c r="AF516" i="5"/>
  <c r="AF515" i="5"/>
  <c r="AF514" i="5"/>
  <c r="AF513" i="5"/>
  <c r="AF512" i="5"/>
  <c r="AF511" i="5"/>
  <c r="AF510" i="5"/>
  <c r="AF509" i="5"/>
  <c r="AF508" i="5"/>
  <c r="AF507" i="5"/>
  <c r="AF506" i="5"/>
  <c r="AF505" i="5"/>
  <c r="AF504" i="5"/>
  <c r="AF503" i="5"/>
  <c r="AF502" i="5"/>
  <c r="AF501" i="5"/>
  <c r="AF500" i="5"/>
  <c r="AF499" i="5"/>
  <c r="AF498" i="5"/>
  <c r="AF497" i="5"/>
  <c r="AF496" i="5"/>
  <c r="AF495" i="5"/>
  <c r="AF494" i="5"/>
  <c r="AF493" i="5"/>
  <c r="AF492" i="5"/>
  <c r="AF491" i="5"/>
  <c r="AF490" i="5"/>
  <c r="AF489" i="5"/>
  <c r="AF488" i="5"/>
  <c r="AF487" i="5"/>
  <c r="AF486" i="5"/>
  <c r="AF485" i="5"/>
  <c r="AF484" i="5"/>
  <c r="AF483" i="5"/>
  <c r="AF482" i="5"/>
  <c r="AF481" i="5"/>
  <c r="AF480" i="5"/>
  <c r="AF479" i="5"/>
  <c r="AF478" i="5"/>
  <c r="AF477" i="5"/>
  <c r="AF476" i="5"/>
  <c r="AF475" i="5"/>
  <c r="AF474" i="5"/>
  <c r="AF473" i="5"/>
  <c r="AF472" i="5"/>
  <c r="AF471" i="5"/>
  <c r="AF470" i="5"/>
  <c r="AF469" i="5"/>
  <c r="AF468" i="5"/>
  <c r="AF467" i="5"/>
  <c r="AF466" i="5"/>
  <c r="AF465" i="5"/>
  <c r="AF464" i="5"/>
  <c r="AF463" i="5"/>
  <c r="AF462" i="5"/>
  <c r="AF461" i="5"/>
  <c r="AF460" i="5"/>
  <c r="AF459" i="5"/>
  <c r="AF458" i="5"/>
  <c r="AF457" i="5"/>
  <c r="AF456" i="5"/>
  <c r="AF455" i="5"/>
  <c r="AF454" i="5"/>
  <c r="AF453" i="5"/>
  <c r="AF452" i="5"/>
  <c r="AF451" i="5"/>
  <c r="AF450" i="5"/>
  <c r="AF449" i="5"/>
  <c r="AF448" i="5"/>
  <c r="AF447" i="5"/>
  <c r="AF446" i="5"/>
  <c r="AF445" i="5"/>
  <c r="AF444" i="5"/>
  <c r="AF443" i="5"/>
  <c r="AF442" i="5"/>
  <c r="AF441" i="5"/>
  <c r="AF440" i="5"/>
  <c r="AF439" i="5"/>
  <c r="AF438" i="5"/>
  <c r="AF437" i="5"/>
  <c r="AF436" i="5"/>
  <c r="AF435" i="5"/>
  <c r="AF434" i="5"/>
  <c r="AF433" i="5"/>
  <c r="AF432" i="5"/>
  <c r="AF431" i="5"/>
  <c r="AF430" i="5"/>
  <c r="AF429" i="5"/>
  <c r="AF428" i="5"/>
  <c r="AF427" i="5"/>
  <c r="AF426" i="5"/>
  <c r="AF425" i="5"/>
  <c r="AF424" i="5"/>
  <c r="AF423" i="5"/>
  <c r="AF422" i="5"/>
  <c r="AF421" i="5"/>
  <c r="AF420" i="5"/>
  <c r="AF419" i="5"/>
  <c r="AF418" i="5"/>
  <c r="AF417" i="5"/>
  <c r="AF416" i="5"/>
  <c r="AF415" i="5"/>
  <c r="AF414" i="5"/>
  <c r="AF413" i="5"/>
  <c r="AF412" i="5"/>
  <c r="AF411" i="5"/>
  <c r="AF410" i="5"/>
  <c r="AF409" i="5"/>
  <c r="AF408" i="5"/>
  <c r="AF407" i="5"/>
  <c r="AF406" i="5"/>
  <c r="AF405" i="5"/>
  <c r="AF404" i="5"/>
  <c r="AF403" i="5"/>
  <c r="AF402" i="5"/>
  <c r="AF401" i="5"/>
  <c r="AF400" i="5"/>
  <c r="AF399" i="5"/>
  <c r="AF398" i="5"/>
  <c r="AF397" i="5"/>
  <c r="AF396" i="5"/>
  <c r="AF395" i="5"/>
  <c r="AF394" i="5"/>
  <c r="AF393" i="5"/>
  <c r="AF392" i="5"/>
  <c r="AF391" i="5"/>
  <c r="AF390" i="5"/>
  <c r="AF389" i="5"/>
  <c r="AF388" i="5"/>
  <c r="AF387" i="5"/>
  <c r="AF386" i="5"/>
  <c r="AF385" i="5"/>
  <c r="AF384" i="5"/>
  <c r="AF383" i="5"/>
  <c r="AF382" i="5"/>
  <c r="AF381" i="5"/>
  <c r="AF380" i="5"/>
  <c r="AF379" i="5"/>
  <c r="AF378" i="5"/>
  <c r="AF377" i="5"/>
  <c r="AF376" i="5"/>
  <c r="AF375" i="5"/>
  <c r="AF374" i="5"/>
  <c r="AF373" i="5"/>
  <c r="AF372" i="5"/>
  <c r="AF371" i="5"/>
  <c r="AF370" i="5"/>
  <c r="AF369" i="5"/>
  <c r="AF368" i="5"/>
  <c r="AF367" i="5"/>
  <c r="AF366" i="5"/>
  <c r="AF365" i="5"/>
  <c r="AF364" i="5"/>
  <c r="AF363" i="5"/>
  <c r="AF362" i="5"/>
  <c r="AF361" i="5"/>
  <c r="AF360" i="5"/>
  <c r="AF359" i="5"/>
  <c r="AF358" i="5"/>
  <c r="AF357" i="5"/>
  <c r="AF356" i="5"/>
  <c r="AF355" i="5"/>
  <c r="AF354" i="5"/>
  <c r="AF353" i="5"/>
  <c r="AF352" i="5"/>
  <c r="AF351" i="5"/>
  <c r="AF350" i="5"/>
  <c r="AF349" i="5"/>
  <c r="AF348" i="5"/>
  <c r="AF347" i="5"/>
  <c r="AF346" i="5"/>
  <c r="AF345" i="5"/>
  <c r="AF344" i="5"/>
  <c r="AF343" i="5"/>
  <c r="AF342" i="5"/>
  <c r="AF341" i="5"/>
  <c r="AF340" i="5"/>
  <c r="AF339" i="5"/>
  <c r="AF338" i="5"/>
  <c r="AF337" i="5"/>
  <c r="AF336" i="5"/>
  <c r="AF335" i="5"/>
  <c r="AF334" i="5"/>
  <c r="AF333" i="5"/>
  <c r="AF332" i="5"/>
  <c r="AF331" i="5"/>
  <c r="AF330" i="5"/>
  <c r="AF329" i="5"/>
  <c r="AF328" i="5"/>
  <c r="AF327" i="5"/>
  <c r="AF326" i="5"/>
  <c r="AF325" i="5"/>
  <c r="AF324" i="5"/>
  <c r="AF323" i="5"/>
  <c r="AF322" i="5"/>
  <c r="AF321" i="5"/>
  <c r="AF320" i="5"/>
  <c r="AF319" i="5"/>
  <c r="AF318" i="5"/>
  <c r="AF317" i="5"/>
  <c r="AF316" i="5"/>
  <c r="AF315" i="5"/>
  <c r="AF314" i="5"/>
  <c r="AF313" i="5"/>
  <c r="AF312" i="5"/>
  <c r="AF311" i="5"/>
  <c r="AF310" i="5"/>
  <c r="AF309" i="5"/>
  <c r="AF308" i="5"/>
  <c r="AF307" i="5"/>
  <c r="AF306" i="5"/>
  <c r="AF305" i="5"/>
  <c r="AF304" i="5"/>
  <c r="AF303" i="5"/>
  <c r="AF302" i="5"/>
  <c r="AF301" i="5"/>
  <c r="AF300" i="5"/>
  <c r="AF299" i="5"/>
  <c r="AF298" i="5"/>
  <c r="AF297" i="5"/>
  <c r="AF296" i="5"/>
  <c r="AF295" i="5"/>
  <c r="AF294" i="5"/>
  <c r="AF293" i="5"/>
  <c r="AF292" i="5"/>
  <c r="AF291" i="5"/>
  <c r="AF290" i="5"/>
  <c r="AF289" i="5"/>
  <c r="AF288" i="5"/>
  <c r="AF287" i="5"/>
  <c r="AF286" i="5"/>
  <c r="AF285" i="5"/>
  <c r="AF284" i="5"/>
  <c r="AF283" i="5"/>
  <c r="AF282" i="5"/>
  <c r="AF281" i="5"/>
  <c r="AF280" i="5"/>
  <c r="AF279" i="5"/>
  <c r="AF278" i="5"/>
  <c r="AF277" i="5"/>
  <c r="AF276" i="5"/>
  <c r="AF275" i="5"/>
  <c r="AF274" i="5"/>
  <c r="AF273" i="5"/>
  <c r="AF272" i="5"/>
  <c r="AF271" i="5"/>
  <c r="AF270" i="5"/>
  <c r="AF269" i="5"/>
  <c r="AF268" i="5"/>
  <c r="AF267" i="5"/>
  <c r="AF266" i="5"/>
  <c r="AF265" i="5"/>
  <c r="AF264" i="5"/>
  <c r="AF263" i="5"/>
  <c r="AF262" i="5"/>
  <c r="AF261" i="5"/>
  <c r="AF260" i="5"/>
  <c r="AF259" i="5"/>
  <c r="AF258" i="5"/>
  <c r="AF257" i="5"/>
  <c r="AF256" i="5"/>
  <c r="AF255" i="5"/>
  <c r="AF254" i="5"/>
  <c r="AF253" i="5"/>
  <c r="AF252" i="5"/>
  <c r="AF251" i="5"/>
  <c r="AF250" i="5"/>
  <c r="AF249" i="5"/>
  <c r="AF248" i="5"/>
  <c r="AF247" i="5"/>
  <c r="AF246" i="5"/>
  <c r="AF245" i="5"/>
  <c r="AF244" i="5"/>
  <c r="AF243" i="5"/>
  <c r="AF242" i="5"/>
  <c r="AF241" i="5"/>
  <c r="AF240" i="5"/>
  <c r="AF239" i="5"/>
  <c r="AF238" i="5"/>
  <c r="AF237" i="5"/>
  <c r="AF236" i="5"/>
  <c r="AF235" i="5"/>
  <c r="AF234" i="5"/>
  <c r="AF233" i="5"/>
  <c r="AF232" i="5"/>
  <c r="AF231" i="5"/>
  <c r="AF230" i="5"/>
  <c r="AF229" i="5"/>
  <c r="AF228" i="5"/>
  <c r="AF227" i="5"/>
  <c r="AF226" i="5"/>
  <c r="AF225" i="5"/>
  <c r="AF224" i="5"/>
  <c r="AF223" i="5"/>
  <c r="AF222" i="5"/>
  <c r="AF221" i="5"/>
  <c r="AF220" i="5"/>
  <c r="AF219" i="5"/>
  <c r="AF218" i="5"/>
  <c r="AF217" i="5"/>
  <c r="AF216" i="5"/>
  <c r="AF215" i="5"/>
  <c r="AF214" i="5"/>
  <c r="AF213" i="5"/>
  <c r="AF212" i="5"/>
  <c r="AF211" i="5"/>
  <c r="AF210" i="5"/>
  <c r="AF209" i="5"/>
  <c r="AF208" i="5"/>
  <c r="AF207" i="5"/>
  <c r="AF206" i="5"/>
  <c r="AF205" i="5"/>
  <c r="AF204" i="5"/>
  <c r="AF203" i="5"/>
  <c r="AF202" i="5"/>
  <c r="AF201" i="5"/>
  <c r="AF200" i="5"/>
  <c r="AF199" i="5"/>
  <c r="AF198" i="5"/>
  <c r="AF197" i="5"/>
  <c r="AF196" i="5"/>
  <c r="AF195" i="5"/>
  <c r="AF194" i="5"/>
  <c r="AF193" i="5"/>
  <c r="AF192" i="5"/>
  <c r="AF191" i="5"/>
  <c r="AF190" i="5"/>
  <c r="AF189" i="5"/>
  <c r="AF188" i="5"/>
  <c r="AF187" i="5"/>
  <c r="AF186" i="5"/>
  <c r="AF185" i="5"/>
  <c r="AF184" i="5"/>
  <c r="AF183" i="5"/>
  <c r="AF182" i="5"/>
  <c r="AF181" i="5"/>
  <c r="AF180" i="5"/>
  <c r="AF179" i="5"/>
  <c r="AF178" i="5"/>
  <c r="AF177" i="5"/>
  <c r="AF176" i="5"/>
  <c r="AF175" i="5"/>
  <c r="AF174" i="5"/>
  <c r="AF173" i="5"/>
  <c r="AF172" i="5"/>
  <c r="AF171" i="5"/>
  <c r="AF170" i="5"/>
  <c r="AF169" i="5"/>
  <c r="AF168" i="5"/>
  <c r="AF167" i="5"/>
  <c r="AF166" i="5"/>
  <c r="AF165" i="5"/>
  <c r="AF164" i="5"/>
  <c r="AF163" i="5"/>
  <c r="AF162" i="5"/>
  <c r="AF161" i="5"/>
  <c r="AF160" i="5"/>
  <c r="AF159" i="5"/>
  <c r="AF158" i="5"/>
  <c r="AF157" i="5"/>
  <c r="AF156" i="5"/>
  <c r="AF155" i="5"/>
  <c r="AF154" i="5"/>
  <c r="AF153" i="5"/>
  <c r="AF152" i="5"/>
  <c r="AF151" i="5"/>
  <c r="AF150" i="5"/>
  <c r="AF149" i="5"/>
  <c r="AF148" i="5"/>
  <c r="AF147" i="5"/>
  <c r="AF146" i="5"/>
  <c r="AF145" i="5"/>
  <c r="AF144" i="5"/>
  <c r="AF143" i="5"/>
  <c r="AF142" i="5"/>
  <c r="AF141" i="5"/>
  <c r="AF140" i="5"/>
  <c r="AF139" i="5"/>
  <c r="AF138" i="5"/>
  <c r="AF137" i="5"/>
  <c r="AF136" i="5"/>
  <c r="AF135" i="5"/>
  <c r="AF134" i="5"/>
  <c r="AF133" i="5"/>
  <c r="AF132" i="5"/>
  <c r="AF131" i="5"/>
  <c r="AF130" i="5"/>
  <c r="AF129" i="5"/>
  <c r="AF128" i="5"/>
  <c r="AF127" i="5"/>
  <c r="AF126" i="5"/>
  <c r="AF125" i="5"/>
  <c r="AF124" i="5"/>
  <c r="AF123" i="5"/>
  <c r="AF122" i="5"/>
  <c r="AF121" i="5"/>
  <c r="AF120" i="5"/>
  <c r="AF119" i="5"/>
  <c r="AF118" i="5"/>
  <c r="AF117" i="5"/>
  <c r="AF116" i="5"/>
  <c r="AF115" i="5"/>
  <c r="AF114" i="5"/>
  <c r="AF113" i="5"/>
  <c r="AF112" i="5"/>
  <c r="AF111" i="5"/>
  <c r="AF110" i="5"/>
  <c r="AF109" i="5"/>
  <c r="AF108" i="5"/>
  <c r="AF107" i="5"/>
  <c r="AF106" i="5"/>
  <c r="AF105" i="5"/>
  <c r="AF104" i="5"/>
  <c r="AF103" i="5"/>
  <c r="AF102" i="5"/>
  <c r="AF101" i="5"/>
  <c r="AF100" i="5"/>
  <c r="AF99" i="5"/>
  <c r="AF98" i="5"/>
  <c r="AF97" i="5"/>
  <c r="AF96" i="5"/>
  <c r="AF95" i="5"/>
  <c r="AF94" i="5"/>
  <c r="AF93" i="5"/>
  <c r="AF92" i="5"/>
  <c r="AF91" i="5"/>
  <c r="AF90" i="5"/>
  <c r="AF89" i="5"/>
  <c r="AF88" i="5"/>
  <c r="AF87" i="5"/>
  <c r="AF86" i="5"/>
  <c r="AF85" i="5"/>
  <c r="AF84" i="5"/>
  <c r="AF83" i="5"/>
  <c r="AF82" i="5"/>
  <c r="AF81" i="5"/>
  <c r="AF80" i="5"/>
  <c r="AF79" i="5"/>
  <c r="AF78" i="5"/>
  <c r="AF77" i="5"/>
  <c r="AF76" i="5"/>
  <c r="AF75" i="5"/>
  <c r="AF74" i="5"/>
  <c r="AF73" i="5"/>
  <c r="AF72" i="5"/>
  <c r="AF71" i="5"/>
  <c r="AF70" i="5"/>
  <c r="AF69" i="5"/>
  <c r="AF68" i="5"/>
  <c r="AF67" i="5"/>
  <c r="AF66" i="5"/>
  <c r="AF65" i="5"/>
  <c r="AF64" i="5"/>
  <c r="AF63" i="5"/>
  <c r="AF62" i="5"/>
  <c r="AF61" i="5"/>
  <c r="AF60" i="5"/>
  <c r="AF59" i="5"/>
  <c r="AF58" i="5"/>
  <c r="AF57" i="5"/>
  <c r="AF56" i="5"/>
  <c r="AF55" i="5"/>
  <c r="AF54" i="5"/>
  <c r="AF53" i="5"/>
  <c r="AF52" i="5"/>
  <c r="AF51" i="5"/>
  <c r="AF50" i="5"/>
  <c r="AF49" i="5"/>
  <c r="AF48" i="5"/>
  <c r="AF47" i="5"/>
  <c r="AF46" i="5"/>
  <c r="AF45" i="5"/>
  <c r="AF44" i="5"/>
  <c r="AF43" i="5"/>
  <c r="AF42" i="5"/>
  <c r="AF41" i="5"/>
  <c r="AF40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F3" i="5"/>
  <c r="AF1945" i="4"/>
  <c r="AF1944" i="4"/>
  <c r="AF1943" i="4"/>
  <c r="AF1942" i="4"/>
  <c r="AF1941" i="4"/>
  <c r="AF1940" i="4"/>
  <c r="AF1939" i="4"/>
  <c r="AF1938" i="4"/>
  <c r="AF1937" i="4"/>
  <c r="AF1936" i="4"/>
  <c r="AF1935" i="4"/>
  <c r="AF1934" i="4"/>
  <c r="AF1933" i="4"/>
  <c r="AF1932" i="4"/>
  <c r="AF1931" i="4"/>
  <c r="AF1930" i="4"/>
  <c r="AF1929" i="4"/>
  <c r="AF1928" i="4"/>
  <c r="AF1927" i="4"/>
  <c r="AF1926" i="4"/>
  <c r="AF1925" i="4"/>
  <c r="AF1924" i="4"/>
  <c r="AF1923" i="4"/>
  <c r="AF1922" i="4"/>
  <c r="AF1921" i="4"/>
  <c r="AF1920" i="4"/>
  <c r="AF1919" i="4"/>
  <c r="AF1918" i="4"/>
  <c r="AF1917" i="4"/>
  <c r="AF1916" i="4"/>
  <c r="AF1915" i="4"/>
  <c r="AF1914" i="4"/>
  <c r="AF1913" i="4"/>
  <c r="AF1912" i="4"/>
  <c r="AF1911" i="4"/>
  <c r="AF1910" i="4"/>
  <c r="AF1909" i="4"/>
  <c r="AF1908" i="4"/>
  <c r="AF1907" i="4"/>
  <c r="AF1906" i="4"/>
  <c r="AF1905" i="4"/>
  <c r="AF1904" i="4"/>
  <c r="AF1903" i="4"/>
  <c r="AF1902" i="4"/>
  <c r="AF1901" i="4"/>
  <c r="AF1900" i="4"/>
  <c r="AF1899" i="4"/>
  <c r="AF1898" i="4"/>
  <c r="AF1897" i="4"/>
  <c r="AF1896" i="4"/>
  <c r="AF1895" i="4"/>
  <c r="AF1894" i="4"/>
  <c r="AF1893" i="4"/>
  <c r="AF1892" i="4"/>
  <c r="AF1891" i="4"/>
  <c r="AF1890" i="4"/>
  <c r="AF1889" i="4"/>
  <c r="AF1888" i="4"/>
  <c r="AF1887" i="4"/>
  <c r="AF1886" i="4"/>
  <c r="AF1885" i="4"/>
  <c r="AF1884" i="4"/>
  <c r="AF1883" i="4"/>
  <c r="AF1882" i="4"/>
  <c r="AF1881" i="4"/>
  <c r="AF1880" i="4"/>
  <c r="AF1879" i="4"/>
  <c r="AF1878" i="4"/>
  <c r="AF1877" i="4"/>
  <c r="AF1876" i="4"/>
  <c r="AF1875" i="4"/>
  <c r="AF1874" i="4"/>
  <c r="AF1873" i="4"/>
  <c r="AF1872" i="4"/>
  <c r="AF1871" i="4"/>
  <c r="AF1870" i="4"/>
  <c r="AF1869" i="4"/>
  <c r="AF1868" i="4"/>
  <c r="AF1867" i="4"/>
  <c r="AF1866" i="4"/>
  <c r="AF1865" i="4"/>
  <c r="AF1864" i="4"/>
  <c r="AF1863" i="4"/>
  <c r="AF1862" i="4"/>
  <c r="AF1861" i="4"/>
  <c r="AF1860" i="4"/>
  <c r="AF1859" i="4"/>
  <c r="AF1858" i="4"/>
  <c r="AF1857" i="4"/>
  <c r="AF1856" i="4"/>
  <c r="AF1855" i="4"/>
  <c r="AF1854" i="4"/>
  <c r="AF1853" i="4"/>
  <c r="AF1852" i="4"/>
  <c r="AF1851" i="4"/>
  <c r="AF1850" i="4"/>
  <c r="AF1849" i="4"/>
  <c r="AF1848" i="4"/>
  <c r="AF1847" i="4"/>
  <c r="AF1846" i="4"/>
  <c r="AF1845" i="4"/>
  <c r="AF1844" i="4"/>
  <c r="AF1843" i="4"/>
  <c r="AF1842" i="4"/>
  <c r="AF1841" i="4"/>
  <c r="AF1840" i="4"/>
  <c r="AF1839" i="4"/>
  <c r="AF1838" i="4"/>
  <c r="AF1837" i="4"/>
  <c r="AF1836" i="4"/>
  <c r="AF1835" i="4"/>
  <c r="AF1834" i="4"/>
  <c r="AF1833" i="4"/>
  <c r="AF1832" i="4"/>
  <c r="AF1831" i="4"/>
  <c r="AF1830" i="4"/>
  <c r="AF1829" i="4"/>
  <c r="AF1828" i="4"/>
  <c r="AF1827" i="4"/>
  <c r="AF1826" i="4"/>
  <c r="AF1825" i="4"/>
  <c r="AF1824" i="4"/>
  <c r="AF1823" i="4"/>
  <c r="AF1822" i="4"/>
  <c r="AF1821" i="4"/>
  <c r="AF1820" i="4"/>
  <c r="AF1819" i="4"/>
  <c r="AF1818" i="4"/>
  <c r="AF1817" i="4"/>
  <c r="AF1816" i="4"/>
  <c r="AF1815" i="4"/>
  <c r="AF1814" i="4"/>
  <c r="AF1813" i="4"/>
  <c r="AF1812" i="4"/>
  <c r="AF1811" i="4"/>
  <c r="AF1810" i="4"/>
  <c r="AF1809" i="4"/>
  <c r="AF1808" i="4"/>
  <c r="AF1807" i="4"/>
  <c r="AF1806" i="4"/>
  <c r="AF1805" i="4"/>
  <c r="AF1804" i="4"/>
  <c r="AF1803" i="4"/>
  <c r="AF1802" i="4"/>
  <c r="AF1801" i="4"/>
  <c r="AF1800" i="4"/>
  <c r="AF1799" i="4"/>
  <c r="AF1798" i="4"/>
  <c r="AF1797" i="4"/>
  <c r="AF1796" i="4"/>
  <c r="AF1795" i="4"/>
  <c r="AF1794" i="4"/>
  <c r="AF1793" i="4"/>
  <c r="AF1792" i="4"/>
  <c r="AF1791" i="4"/>
  <c r="AF1790" i="4"/>
  <c r="AF1789" i="4"/>
  <c r="AF1788" i="4"/>
  <c r="AF1787" i="4"/>
  <c r="AF1786" i="4"/>
  <c r="AF1785" i="4"/>
  <c r="AF1784" i="4"/>
  <c r="AF1783" i="4"/>
  <c r="AF1782" i="4"/>
  <c r="AF1781" i="4"/>
  <c r="AF1780" i="4"/>
  <c r="AF1779" i="4"/>
  <c r="AF1778" i="4"/>
  <c r="AF1777" i="4"/>
  <c r="AF1776" i="4"/>
  <c r="AF1775" i="4"/>
  <c r="AF1774" i="4"/>
  <c r="AF1773" i="4"/>
  <c r="AF1772" i="4"/>
  <c r="AF1771" i="4"/>
  <c r="AF1770" i="4"/>
  <c r="AF1769" i="4"/>
  <c r="AF1768" i="4"/>
  <c r="AF1767" i="4"/>
  <c r="AF1766" i="4"/>
  <c r="AF1765" i="4"/>
  <c r="AF1764" i="4"/>
  <c r="AF1763" i="4"/>
  <c r="AF1762" i="4"/>
  <c r="AF1761" i="4"/>
  <c r="AF1760" i="4"/>
  <c r="AF1759" i="4"/>
  <c r="AF1758" i="4"/>
  <c r="AF1757" i="4"/>
  <c r="AF1756" i="4"/>
  <c r="AF1755" i="4"/>
  <c r="AF1754" i="4"/>
  <c r="AF1753" i="4"/>
  <c r="AF1752" i="4"/>
  <c r="AF1751" i="4"/>
  <c r="AF1750" i="4"/>
  <c r="AF1749" i="4"/>
  <c r="AF1748" i="4"/>
  <c r="AF1747" i="4"/>
  <c r="AF1746" i="4"/>
  <c r="AF1745" i="4"/>
  <c r="AF1744" i="4"/>
  <c r="AF1743" i="4"/>
  <c r="AF1742" i="4"/>
  <c r="AF1741" i="4"/>
  <c r="AF1740" i="4"/>
  <c r="AF1739" i="4"/>
  <c r="AF1738" i="4"/>
  <c r="AF1737" i="4"/>
  <c r="AF1736" i="4"/>
  <c r="AF1735" i="4"/>
  <c r="AF1734" i="4"/>
  <c r="AF1733" i="4"/>
  <c r="AF1732" i="4"/>
  <c r="AF1731" i="4"/>
  <c r="AF1730" i="4"/>
  <c r="AF1729" i="4"/>
  <c r="AF1728" i="4"/>
  <c r="AF1727" i="4"/>
  <c r="AF1726" i="4"/>
  <c r="AF1725" i="4"/>
  <c r="AF1724" i="4"/>
  <c r="AF1723" i="4"/>
  <c r="AF1722" i="4"/>
  <c r="AF1721" i="4"/>
  <c r="AF1720" i="4"/>
  <c r="AF1719" i="4"/>
  <c r="AF1718" i="4"/>
  <c r="AF1717" i="4"/>
  <c r="AF1716" i="4"/>
  <c r="AF1715" i="4"/>
  <c r="AF1714" i="4"/>
  <c r="AF1713" i="4"/>
  <c r="AF1712" i="4"/>
  <c r="AF1711" i="4"/>
  <c r="AF1710" i="4"/>
  <c r="AF1709" i="4"/>
  <c r="AF1708" i="4"/>
  <c r="AF1707" i="4"/>
  <c r="AF1706" i="4"/>
  <c r="AF1705" i="4"/>
  <c r="AF1704" i="4"/>
  <c r="AF1703" i="4"/>
  <c r="AF1702" i="4"/>
  <c r="AF1701" i="4"/>
  <c r="AF1700" i="4"/>
  <c r="AF1699" i="4"/>
  <c r="AF1698" i="4"/>
  <c r="AF1697" i="4"/>
  <c r="AF1696" i="4"/>
  <c r="AF1695" i="4"/>
  <c r="AF1694" i="4"/>
  <c r="AF1693" i="4"/>
  <c r="AF1692" i="4"/>
  <c r="AF1691" i="4"/>
  <c r="AF1690" i="4"/>
  <c r="AF1689" i="4"/>
  <c r="AF1688" i="4"/>
  <c r="AF1687" i="4"/>
  <c r="AF1686" i="4"/>
  <c r="AF1685" i="4"/>
  <c r="AF1684" i="4"/>
  <c r="AF1683" i="4"/>
  <c r="AF1682" i="4"/>
  <c r="AF1681" i="4"/>
  <c r="AF1680" i="4"/>
  <c r="AF1679" i="4"/>
  <c r="AF1678" i="4"/>
  <c r="AF1677" i="4"/>
  <c r="AF1676" i="4"/>
  <c r="AF1675" i="4"/>
  <c r="AF1674" i="4"/>
  <c r="AF1673" i="4"/>
  <c r="AF1672" i="4"/>
  <c r="AF1671" i="4"/>
  <c r="AF1670" i="4"/>
  <c r="AF1669" i="4"/>
  <c r="AF1668" i="4"/>
  <c r="AF1667" i="4"/>
  <c r="AF1666" i="4"/>
  <c r="AF1665" i="4"/>
  <c r="AF1664" i="4"/>
  <c r="AF1663" i="4"/>
  <c r="AF1662" i="4"/>
  <c r="AF1661" i="4"/>
  <c r="AF1660" i="4"/>
  <c r="AF1659" i="4"/>
  <c r="AF1658" i="4"/>
  <c r="AF1657" i="4"/>
  <c r="AF1656" i="4"/>
  <c r="AF1655" i="4"/>
  <c r="AF1654" i="4"/>
  <c r="AF1653" i="4"/>
  <c r="AF1652" i="4"/>
  <c r="AF1651" i="4"/>
  <c r="AF1650" i="4"/>
  <c r="AF1649" i="4"/>
  <c r="AF1648" i="4"/>
  <c r="AF1647" i="4"/>
  <c r="AF1646" i="4"/>
  <c r="AF1645" i="4"/>
  <c r="AF1644" i="4"/>
  <c r="AF1643" i="4"/>
  <c r="AF1642" i="4"/>
  <c r="AF1641" i="4"/>
  <c r="AF1640" i="4"/>
  <c r="AF1639" i="4"/>
  <c r="AF1638" i="4"/>
  <c r="AF1637" i="4"/>
  <c r="AF1636" i="4"/>
  <c r="AF1635" i="4"/>
  <c r="AF1634" i="4"/>
  <c r="AF1633" i="4"/>
  <c r="AF1632" i="4"/>
  <c r="AF1631" i="4"/>
  <c r="AF1630" i="4"/>
  <c r="AF1629" i="4"/>
  <c r="AF1628" i="4"/>
  <c r="AF1627" i="4"/>
  <c r="AF1626" i="4"/>
  <c r="AF1625" i="4"/>
  <c r="AF1624" i="4"/>
  <c r="AF1623" i="4"/>
  <c r="AF1622" i="4"/>
  <c r="AF1621" i="4"/>
  <c r="AF1620" i="4"/>
  <c r="AF1619" i="4"/>
  <c r="AF1618" i="4"/>
  <c r="AF1617" i="4"/>
  <c r="AF1616" i="4"/>
  <c r="AF1615" i="4"/>
  <c r="AF1614" i="4"/>
  <c r="AF1613" i="4"/>
  <c r="AF1612" i="4"/>
  <c r="AF1611" i="4"/>
  <c r="AF1610" i="4"/>
  <c r="AF1609" i="4"/>
  <c r="AF1608" i="4"/>
  <c r="AF1607" i="4"/>
  <c r="AF1606" i="4"/>
  <c r="AF1605" i="4"/>
  <c r="AF1604" i="4"/>
  <c r="AF1603" i="4"/>
  <c r="AF1602" i="4"/>
  <c r="AF1601" i="4"/>
  <c r="AF1600" i="4"/>
  <c r="AF1599" i="4"/>
  <c r="AF1598" i="4"/>
  <c r="AF1597" i="4"/>
  <c r="AF1596" i="4"/>
  <c r="AF1595" i="4"/>
  <c r="AF1594" i="4"/>
  <c r="AF1593" i="4"/>
  <c r="AF1592" i="4"/>
  <c r="AF1591" i="4"/>
  <c r="AF1590" i="4"/>
  <c r="AF1589" i="4"/>
  <c r="AF1588" i="4"/>
  <c r="AF1587" i="4"/>
  <c r="AF1586" i="4"/>
  <c r="AF1585" i="4"/>
  <c r="AF1584" i="4"/>
  <c r="AF1583" i="4"/>
  <c r="AF1582" i="4"/>
  <c r="AF1581" i="4"/>
  <c r="AF1580" i="4"/>
  <c r="AF1579" i="4"/>
  <c r="AF1578" i="4"/>
  <c r="AF1577" i="4"/>
  <c r="AF1576" i="4"/>
  <c r="AF1575" i="4"/>
  <c r="AF1574" i="4"/>
  <c r="AF1573" i="4"/>
  <c r="AF1572" i="4"/>
  <c r="AF1571" i="4"/>
  <c r="AF1570" i="4"/>
  <c r="AF1569" i="4"/>
  <c r="AF1568" i="4"/>
  <c r="AF1567" i="4"/>
  <c r="AF1566" i="4"/>
  <c r="AF1565" i="4"/>
  <c r="AF1564" i="4"/>
  <c r="AF1563" i="4"/>
  <c r="AF1562" i="4"/>
  <c r="AF1561" i="4"/>
  <c r="AF1560" i="4"/>
  <c r="AF1559" i="4"/>
  <c r="AF1558" i="4"/>
  <c r="AF1557" i="4"/>
  <c r="AF1556" i="4"/>
  <c r="AF1555" i="4"/>
  <c r="AF1554" i="4"/>
  <c r="AF1553" i="4"/>
  <c r="AF1552" i="4"/>
  <c r="AF1551" i="4"/>
  <c r="AF1550" i="4"/>
  <c r="AF1549" i="4"/>
  <c r="AF1548" i="4"/>
  <c r="AF1547" i="4"/>
  <c r="AF1546" i="4"/>
  <c r="AF1545" i="4"/>
  <c r="AF1544" i="4"/>
  <c r="AF1543" i="4"/>
  <c r="AF1542" i="4"/>
  <c r="AF1541" i="4"/>
  <c r="AF1540" i="4"/>
  <c r="AF1539" i="4"/>
  <c r="AF1538" i="4"/>
  <c r="AF1537" i="4"/>
  <c r="AF1536" i="4"/>
  <c r="AF1535" i="4"/>
  <c r="AF1534" i="4"/>
  <c r="AF1533" i="4"/>
  <c r="AF1532" i="4"/>
  <c r="AF1531" i="4"/>
  <c r="AF1530" i="4"/>
  <c r="AF1529" i="4"/>
  <c r="AF1528" i="4"/>
  <c r="AF1527" i="4"/>
  <c r="AF1526" i="4"/>
  <c r="AF1525" i="4"/>
  <c r="AF1524" i="4"/>
  <c r="AF1523" i="4"/>
  <c r="AF1522" i="4"/>
  <c r="AF1521" i="4"/>
  <c r="AF1520" i="4"/>
  <c r="AF1519" i="4"/>
  <c r="AF1518" i="4"/>
  <c r="AF1517" i="4"/>
  <c r="AF1516" i="4"/>
  <c r="AF1515" i="4"/>
  <c r="AF1514" i="4"/>
  <c r="AF1513" i="4"/>
  <c r="AF1512" i="4"/>
  <c r="AF1511" i="4"/>
  <c r="AF1510" i="4"/>
  <c r="AF1509" i="4"/>
  <c r="AF1508" i="4"/>
  <c r="AF1507" i="4"/>
  <c r="AF1506" i="4"/>
  <c r="AF1505" i="4"/>
  <c r="AF1504" i="4"/>
  <c r="AF1503" i="4"/>
  <c r="AF1502" i="4"/>
  <c r="AF1501" i="4"/>
  <c r="AF1500" i="4"/>
  <c r="AF1499" i="4"/>
  <c r="AF1498" i="4"/>
  <c r="AF1497" i="4"/>
  <c r="AF1496" i="4"/>
  <c r="AF1495" i="4"/>
  <c r="AF1494" i="4"/>
  <c r="AF1493" i="4"/>
  <c r="AF1492" i="4"/>
  <c r="AF1491" i="4"/>
  <c r="AF1490" i="4"/>
  <c r="AF1489" i="4"/>
  <c r="AF1488" i="4"/>
  <c r="AF1487" i="4"/>
  <c r="AF1486" i="4"/>
  <c r="AF1485" i="4"/>
  <c r="AF1484" i="4"/>
  <c r="AF1483" i="4"/>
  <c r="AF1482" i="4"/>
  <c r="AF1481" i="4"/>
  <c r="AF1480" i="4"/>
  <c r="AF1479" i="4"/>
  <c r="AF1478" i="4"/>
  <c r="AF1477" i="4"/>
  <c r="AF1476" i="4"/>
  <c r="AF1475" i="4"/>
  <c r="AF1474" i="4"/>
  <c r="AF1473" i="4"/>
  <c r="AF1472" i="4"/>
  <c r="AF1471" i="4"/>
  <c r="AF1470" i="4"/>
  <c r="AF1469" i="4"/>
  <c r="AF1468" i="4"/>
  <c r="AF1467" i="4"/>
  <c r="AF1466" i="4"/>
  <c r="AF1465" i="4"/>
  <c r="AF1464" i="4"/>
  <c r="AF1463" i="4"/>
  <c r="AF1462" i="4"/>
  <c r="AF1461" i="4"/>
  <c r="AF1460" i="4"/>
  <c r="AF1459" i="4"/>
  <c r="AF1458" i="4"/>
  <c r="AF1457" i="4"/>
  <c r="AF1456" i="4"/>
  <c r="AF1455" i="4"/>
  <c r="AF1454" i="4"/>
  <c r="AF1453" i="4"/>
  <c r="AF1452" i="4"/>
  <c r="AF1451" i="4"/>
  <c r="AF1450" i="4"/>
  <c r="AF1449" i="4"/>
  <c r="AF1448" i="4"/>
  <c r="AF1447" i="4"/>
  <c r="AF1446" i="4"/>
  <c r="AF1445" i="4"/>
  <c r="AF1444" i="4"/>
  <c r="AF1443" i="4"/>
  <c r="AF1442" i="4"/>
  <c r="AF1441" i="4"/>
  <c r="AF1440" i="4"/>
  <c r="AF1439" i="4"/>
  <c r="AF1438" i="4"/>
  <c r="AF1437" i="4"/>
  <c r="AF1436" i="4"/>
  <c r="AF1435" i="4"/>
  <c r="AF1434" i="4"/>
  <c r="AF1433" i="4"/>
  <c r="AF1432" i="4"/>
  <c r="AF1431" i="4"/>
  <c r="AF1430" i="4"/>
  <c r="AF1429" i="4"/>
  <c r="AF1428" i="4"/>
  <c r="AF1427" i="4"/>
  <c r="AF1426" i="4"/>
  <c r="AF1425" i="4"/>
  <c r="AF1424" i="4"/>
  <c r="AF1423" i="4"/>
  <c r="AF1422" i="4"/>
  <c r="AF1421" i="4"/>
  <c r="AF1420" i="4"/>
  <c r="AF1419" i="4"/>
  <c r="AF1418" i="4"/>
  <c r="AF1417" i="4"/>
  <c r="AF1416" i="4"/>
  <c r="AF1415" i="4"/>
  <c r="AF1414" i="4"/>
  <c r="AF1413" i="4"/>
  <c r="AF1412" i="4"/>
  <c r="AF1411" i="4"/>
  <c r="AF1410" i="4"/>
  <c r="AF1409" i="4"/>
  <c r="AF1408" i="4"/>
  <c r="AF1407" i="4"/>
  <c r="AF1406" i="4"/>
  <c r="AF1405" i="4"/>
  <c r="AF1404" i="4"/>
  <c r="AF1403" i="4"/>
  <c r="AF1402" i="4"/>
  <c r="AF1401" i="4"/>
  <c r="AF1400" i="4"/>
  <c r="AF1399" i="4"/>
  <c r="AF1398" i="4"/>
  <c r="AF1397" i="4"/>
  <c r="AF1396" i="4"/>
  <c r="AF1395" i="4"/>
  <c r="AF1394" i="4"/>
  <c r="AF1393" i="4"/>
  <c r="AF1392" i="4"/>
  <c r="AF1391" i="4"/>
  <c r="AF1390" i="4"/>
  <c r="AF1389" i="4"/>
  <c r="AF1388" i="4"/>
  <c r="AF1387" i="4"/>
  <c r="AF1386" i="4"/>
  <c r="AF1385" i="4"/>
  <c r="AF1384" i="4"/>
  <c r="AF1383" i="4"/>
  <c r="AF1382" i="4"/>
  <c r="AF1381" i="4"/>
  <c r="AF1380" i="4"/>
  <c r="AF1379" i="4"/>
  <c r="AF1378" i="4"/>
  <c r="AF1377" i="4"/>
  <c r="AF1376" i="4"/>
  <c r="AF1375" i="4"/>
  <c r="AF1374" i="4"/>
  <c r="AF1373" i="4"/>
  <c r="AF1372" i="4"/>
  <c r="AF1371" i="4"/>
  <c r="AF1370" i="4"/>
  <c r="AF1369" i="4"/>
  <c r="AF1368" i="4"/>
  <c r="AF1367" i="4"/>
  <c r="AF1366" i="4"/>
  <c r="AF1365" i="4"/>
  <c r="AF1364" i="4"/>
  <c r="AF1363" i="4"/>
  <c r="AF1362" i="4"/>
  <c r="AF1361" i="4"/>
  <c r="AF1360" i="4"/>
  <c r="AF1359" i="4"/>
  <c r="AF1358" i="4"/>
  <c r="AF1357" i="4"/>
  <c r="AF1356" i="4"/>
  <c r="AF1355" i="4"/>
  <c r="AF1354" i="4"/>
  <c r="AF1353" i="4"/>
  <c r="AF1352" i="4"/>
  <c r="AF1351" i="4"/>
  <c r="AF1350" i="4"/>
  <c r="AF1349" i="4"/>
  <c r="AF1348" i="4"/>
  <c r="AF1347" i="4"/>
  <c r="AF1346" i="4"/>
  <c r="AF1345" i="4"/>
  <c r="AF1344" i="4"/>
  <c r="AF1343" i="4"/>
  <c r="AF1342" i="4"/>
  <c r="AF1341" i="4"/>
  <c r="AF1340" i="4"/>
  <c r="AF1339" i="4"/>
  <c r="AF1338" i="4"/>
  <c r="AF1337" i="4"/>
  <c r="AF1336" i="4"/>
  <c r="AF1335" i="4"/>
  <c r="AF1334" i="4"/>
  <c r="AF1333" i="4"/>
  <c r="AF1332" i="4"/>
  <c r="AF1331" i="4"/>
  <c r="AF1330" i="4"/>
  <c r="AF1329" i="4"/>
  <c r="AF1328" i="4"/>
  <c r="AF1327" i="4"/>
  <c r="AF1326" i="4"/>
  <c r="AF1325" i="4"/>
  <c r="AF1324" i="4"/>
  <c r="AF1323" i="4"/>
  <c r="AF1322" i="4"/>
  <c r="AF1321" i="4"/>
  <c r="AF1320" i="4"/>
  <c r="AF1319" i="4"/>
  <c r="AF1318" i="4"/>
  <c r="AF1317" i="4"/>
  <c r="AF1316" i="4"/>
  <c r="AF1315" i="4"/>
  <c r="AF1314" i="4"/>
  <c r="AF1313" i="4"/>
  <c r="AF1312" i="4"/>
  <c r="AF1311" i="4"/>
  <c r="AF1310" i="4"/>
  <c r="AF1309" i="4"/>
  <c r="AF1308" i="4"/>
  <c r="AF1307" i="4"/>
  <c r="AF1306" i="4"/>
  <c r="AF1305" i="4"/>
  <c r="AF1304" i="4"/>
  <c r="AF1303" i="4"/>
  <c r="AF1302" i="4"/>
  <c r="AF1301" i="4"/>
  <c r="AF1300" i="4"/>
  <c r="AF1299" i="4"/>
  <c r="AF1298" i="4"/>
  <c r="AF1297" i="4"/>
  <c r="AF1296" i="4"/>
  <c r="AF1295" i="4"/>
  <c r="AF1294" i="4"/>
  <c r="AF1293" i="4"/>
  <c r="AF1292" i="4"/>
  <c r="AF1291" i="4"/>
  <c r="AF1290" i="4"/>
  <c r="AF1289" i="4"/>
  <c r="AF1288" i="4"/>
  <c r="AF1287" i="4"/>
  <c r="AF1286" i="4"/>
  <c r="AF1285" i="4"/>
  <c r="AF1284" i="4"/>
  <c r="AF1283" i="4"/>
  <c r="AF1282" i="4"/>
  <c r="AF1281" i="4"/>
  <c r="AF1280" i="4"/>
  <c r="AF1279" i="4"/>
  <c r="AF1278" i="4"/>
  <c r="AF1277" i="4"/>
  <c r="AF1276" i="4"/>
  <c r="AF1275" i="4"/>
  <c r="AF1274" i="4"/>
  <c r="AF1273" i="4"/>
  <c r="AF1272" i="4"/>
  <c r="AF1271" i="4"/>
  <c r="AF1270" i="4"/>
  <c r="AF1269" i="4"/>
  <c r="AF1268" i="4"/>
  <c r="AF1267" i="4"/>
  <c r="AF1266" i="4"/>
  <c r="AF1265" i="4"/>
  <c r="AF1264" i="4"/>
  <c r="AF1263" i="4"/>
  <c r="AF1262" i="4"/>
  <c r="AF1261" i="4"/>
  <c r="AF1260" i="4"/>
  <c r="AF1259" i="4"/>
  <c r="AF1258" i="4"/>
  <c r="AF1257" i="4"/>
  <c r="AF1256" i="4"/>
  <c r="AF1255" i="4"/>
  <c r="AF1254" i="4"/>
  <c r="AF1253" i="4"/>
  <c r="AF1252" i="4"/>
  <c r="AF1251" i="4"/>
  <c r="AF1250" i="4"/>
  <c r="AF1249" i="4"/>
  <c r="AF1248" i="4"/>
  <c r="AF1247" i="4"/>
  <c r="AF1246" i="4"/>
  <c r="AF1245" i="4"/>
  <c r="AF1244" i="4"/>
  <c r="AF1243" i="4"/>
  <c r="AF1242" i="4"/>
  <c r="AF1241" i="4"/>
  <c r="AF1240" i="4"/>
  <c r="AF1239" i="4"/>
  <c r="AF1238" i="4"/>
  <c r="AF1237" i="4"/>
  <c r="AF1236" i="4"/>
  <c r="AF1235" i="4"/>
  <c r="AF1234" i="4"/>
  <c r="AF1233" i="4"/>
  <c r="AF1232" i="4"/>
  <c r="AF1231" i="4"/>
  <c r="AF1230" i="4"/>
  <c r="AF1229" i="4"/>
  <c r="AF1228" i="4"/>
  <c r="AF1227" i="4"/>
  <c r="AF1226" i="4"/>
  <c r="AF1225" i="4"/>
  <c r="AF1224" i="4"/>
  <c r="AF1223" i="4"/>
  <c r="AF1222" i="4"/>
  <c r="AF1221" i="4"/>
  <c r="AF1220" i="4"/>
  <c r="AF1219" i="4"/>
  <c r="AF1218" i="4"/>
  <c r="AF1217" i="4"/>
  <c r="AF1216" i="4"/>
  <c r="AF1215" i="4"/>
  <c r="AF1214" i="4"/>
  <c r="AF1213" i="4"/>
  <c r="AF1212" i="4"/>
  <c r="AF1211" i="4"/>
  <c r="AF1210" i="4"/>
  <c r="AF1209" i="4"/>
  <c r="AF1208" i="4"/>
  <c r="AF1207" i="4"/>
  <c r="AF1206" i="4"/>
  <c r="AF1205" i="4"/>
  <c r="AF1204" i="4"/>
  <c r="AF1203" i="4"/>
  <c r="AF1202" i="4"/>
  <c r="AF1201" i="4"/>
  <c r="AF1200" i="4"/>
  <c r="AF1199" i="4"/>
  <c r="AF1198" i="4"/>
  <c r="AF1197" i="4"/>
  <c r="AF1196" i="4"/>
  <c r="AF1195" i="4"/>
  <c r="AF1194" i="4"/>
  <c r="AF1193" i="4"/>
  <c r="AF1192" i="4"/>
  <c r="AF1191" i="4"/>
  <c r="AF1190" i="4"/>
  <c r="AF1189" i="4"/>
  <c r="AF1188" i="4"/>
  <c r="AF1187" i="4"/>
  <c r="AF1186" i="4"/>
  <c r="AF1185" i="4"/>
  <c r="AF1184" i="4"/>
  <c r="AF1183" i="4"/>
  <c r="AF1182" i="4"/>
  <c r="AF1181" i="4"/>
  <c r="AF1180" i="4"/>
  <c r="AF1179" i="4"/>
  <c r="AF1178" i="4"/>
  <c r="AF1177" i="4"/>
  <c r="AF1176" i="4"/>
  <c r="AF1175" i="4"/>
  <c r="AF1174" i="4"/>
  <c r="AF1173" i="4"/>
  <c r="AF1172" i="4"/>
  <c r="AF1171" i="4"/>
  <c r="AF1170" i="4"/>
  <c r="AF1169" i="4"/>
  <c r="AF1168" i="4"/>
  <c r="AF1167" i="4"/>
  <c r="AF1166" i="4"/>
  <c r="AF1165" i="4"/>
  <c r="AF1164" i="4"/>
  <c r="AF1163" i="4"/>
  <c r="AF1162" i="4"/>
  <c r="AF1161" i="4"/>
  <c r="AF1160" i="4"/>
  <c r="AF1159" i="4"/>
  <c r="AF1158" i="4"/>
  <c r="AF1157" i="4"/>
  <c r="AF1156" i="4"/>
  <c r="AF1155" i="4"/>
  <c r="AF1154" i="4"/>
  <c r="AF1153" i="4"/>
  <c r="AF1152" i="4"/>
  <c r="AF1151" i="4"/>
  <c r="AF1150" i="4"/>
  <c r="AF1149" i="4"/>
  <c r="AF1148" i="4"/>
  <c r="AF1147" i="4"/>
  <c r="AF1146" i="4"/>
  <c r="AF1145" i="4"/>
  <c r="AF1144" i="4"/>
  <c r="AF1143" i="4"/>
  <c r="AF1142" i="4"/>
  <c r="AF1141" i="4"/>
  <c r="AF1140" i="4"/>
  <c r="AF1139" i="4"/>
  <c r="AF1138" i="4"/>
  <c r="AF1137" i="4"/>
  <c r="AF1136" i="4"/>
  <c r="AF1135" i="4"/>
  <c r="AF1134" i="4"/>
  <c r="AF1133" i="4"/>
  <c r="AF1132" i="4"/>
  <c r="AF1131" i="4"/>
  <c r="AF1130" i="4"/>
  <c r="AF1129" i="4"/>
  <c r="AF1128" i="4"/>
  <c r="AF1127" i="4"/>
  <c r="AF1126" i="4"/>
  <c r="AF1125" i="4"/>
  <c r="AF1124" i="4"/>
  <c r="AF1123" i="4"/>
  <c r="AF1122" i="4"/>
  <c r="AF1121" i="4"/>
  <c r="AF1120" i="4"/>
  <c r="AF1119" i="4"/>
  <c r="AF1118" i="4"/>
  <c r="AF1117" i="4"/>
  <c r="AF1116" i="4"/>
  <c r="AF1115" i="4"/>
  <c r="AF1114" i="4"/>
  <c r="AF1113" i="4"/>
  <c r="AF1112" i="4"/>
  <c r="AF1111" i="4"/>
  <c r="AF1110" i="4"/>
  <c r="AF1109" i="4"/>
  <c r="AF1108" i="4"/>
  <c r="AF1107" i="4"/>
  <c r="AF1106" i="4"/>
  <c r="AF1105" i="4"/>
  <c r="AF1104" i="4"/>
  <c r="AF1103" i="4"/>
  <c r="AF1102" i="4"/>
  <c r="AF1101" i="4"/>
  <c r="AF1100" i="4"/>
  <c r="AF1099" i="4"/>
  <c r="AF1098" i="4"/>
  <c r="AF1097" i="4"/>
  <c r="AF1096" i="4"/>
  <c r="AF1095" i="4"/>
  <c r="AF1094" i="4"/>
  <c r="AF1093" i="4"/>
  <c r="AF1092" i="4"/>
  <c r="AF1091" i="4"/>
  <c r="AF1090" i="4"/>
  <c r="AF1089" i="4"/>
  <c r="AF1088" i="4"/>
  <c r="AF1087" i="4"/>
  <c r="AF1086" i="4"/>
  <c r="AF1085" i="4"/>
  <c r="AF1084" i="4"/>
  <c r="AF1083" i="4"/>
  <c r="AF1082" i="4"/>
  <c r="AF1081" i="4"/>
  <c r="AF1080" i="4"/>
  <c r="AF1079" i="4"/>
  <c r="AF1078" i="4"/>
  <c r="AF1077" i="4"/>
  <c r="AF1076" i="4"/>
  <c r="AF1075" i="4"/>
  <c r="AF1074" i="4"/>
  <c r="AF1073" i="4"/>
  <c r="AF1072" i="4"/>
  <c r="AF1071" i="4"/>
  <c r="AF1070" i="4"/>
  <c r="AF1069" i="4"/>
  <c r="AF1068" i="4"/>
  <c r="AF1067" i="4"/>
  <c r="AF1066" i="4"/>
  <c r="AF1065" i="4"/>
  <c r="AF1064" i="4"/>
  <c r="AF1063" i="4"/>
  <c r="AF1062" i="4"/>
  <c r="AF1061" i="4"/>
  <c r="AF1060" i="4"/>
  <c r="AF1059" i="4"/>
  <c r="AF1058" i="4"/>
  <c r="AF1057" i="4"/>
  <c r="AF1056" i="4"/>
  <c r="AF1055" i="4"/>
  <c r="AF1054" i="4"/>
  <c r="AF1053" i="4"/>
  <c r="AF1052" i="4"/>
  <c r="AF1051" i="4"/>
  <c r="AF1050" i="4"/>
  <c r="AF1049" i="4"/>
  <c r="AF1048" i="4"/>
  <c r="AF1047" i="4"/>
  <c r="AF1046" i="4"/>
  <c r="AF1045" i="4"/>
  <c r="AF1044" i="4"/>
  <c r="AF1043" i="4"/>
  <c r="AF1042" i="4"/>
  <c r="AF1041" i="4"/>
  <c r="AF1040" i="4"/>
  <c r="AF1039" i="4"/>
  <c r="AF1038" i="4"/>
  <c r="AF1037" i="4"/>
  <c r="AF1036" i="4"/>
  <c r="AF1035" i="4"/>
  <c r="AF1034" i="4"/>
  <c r="AF1033" i="4"/>
  <c r="AF1032" i="4"/>
  <c r="AF1031" i="4"/>
  <c r="AF1030" i="4"/>
  <c r="AF1029" i="4"/>
  <c r="AF1028" i="4"/>
  <c r="AF1027" i="4"/>
  <c r="AF1026" i="4"/>
  <c r="AF1025" i="4"/>
  <c r="AF1024" i="4"/>
  <c r="AF1023" i="4"/>
  <c r="AF1022" i="4"/>
  <c r="AF1021" i="4"/>
  <c r="AF1020" i="4"/>
  <c r="AF1019" i="4"/>
  <c r="AF1018" i="4"/>
  <c r="AF1017" i="4"/>
  <c r="AF1016" i="4"/>
  <c r="AF1015" i="4"/>
  <c r="AF1014" i="4"/>
  <c r="AF1013" i="4"/>
  <c r="AF1012" i="4"/>
  <c r="AF1011" i="4"/>
  <c r="AF1010" i="4"/>
  <c r="AF1009" i="4"/>
  <c r="AF1008" i="4"/>
  <c r="AF1007" i="4"/>
  <c r="AF1006" i="4"/>
  <c r="AF1005" i="4"/>
  <c r="AF1004" i="4"/>
  <c r="AF1003" i="4"/>
  <c r="AF1002" i="4"/>
  <c r="AF1001" i="4"/>
  <c r="AF1000" i="4"/>
  <c r="AF999" i="4"/>
  <c r="AF998" i="4"/>
  <c r="AF997" i="4"/>
  <c r="AF996" i="4"/>
  <c r="AF995" i="4"/>
  <c r="AF994" i="4"/>
  <c r="AF993" i="4"/>
  <c r="AF992" i="4"/>
  <c r="AF991" i="4"/>
  <c r="AF990" i="4"/>
  <c r="AF989" i="4"/>
  <c r="AF988" i="4"/>
  <c r="AF987" i="4"/>
  <c r="AF986" i="4"/>
  <c r="AF985" i="4"/>
  <c r="AF984" i="4"/>
  <c r="AF983" i="4"/>
  <c r="AF982" i="4"/>
  <c r="AF981" i="4"/>
  <c r="AF980" i="4"/>
  <c r="AF979" i="4"/>
  <c r="AF978" i="4"/>
  <c r="AF977" i="4"/>
  <c r="AF976" i="4"/>
  <c r="AF975" i="4"/>
  <c r="AF974" i="4"/>
  <c r="AF973" i="4"/>
  <c r="AF972" i="4"/>
  <c r="AF971" i="4"/>
  <c r="AF970" i="4"/>
  <c r="AF969" i="4"/>
  <c r="AF968" i="4"/>
  <c r="AF967" i="4"/>
  <c r="AF966" i="4"/>
  <c r="AF965" i="4"/>
  <c r="AF964" i="4"/>
  <c r="AF963" i="4"/>
  <c r="AF962" i="4"/>
  <c r="AF961" i="4"/>
  <c r="AF960" i="4"/>
  <c r="AF959" i="4"/>
  <c r="AF958" i="4"/>
  <c r="AF957" i="4"/>
  <c r="AF956" i="4"/>
  <c r="AF955" i="4"/>
  <c r="AF954" i="4"/>
  <c r="AF953" i="4"/>
  <c r="AF952" i="4"/>
  <c r="AF951" i="4"/>
  <c r="AF950" i="4"/>
  <c r="AF949" i="4"/>
  <c r="AF948" i="4"/>
  <c r="AF947" i="4"/>
  <c r="AF946" i="4"/>
  <c r="AF945" i="4"/>
  <c r="AF944" i="4"/>
  <c r="AF943" i="4"/>
  <c r="AF942" i="4"/>
  <c r="AF941" i="4"/>
  <c r="AF940" i="4"/>
  <c r="AF939" i="4"/>
  <c r="AF938" i="4"/>
  <c r="AF937" i="4"/>
  <c r="AF936" i="4"/>
  <c r="AF935" i="4"/>
  <c r="AF934" i="4"/>
  <c r="AF933" i="4"/>
  <c r="AF932" i="4"/>
  <c r="AF931" i="4"/>
  <c r="AF930" i="4"/>
  <c r="AF929" i="4"/>
  <c r="AF928" i="4"/>
  <c r="AF927" i="4"/>
  <c r="AF926" i="4"/>
  <c r="AF925" i="4"/>
  <c r="AF924" i="4"/>
  <c r="AF923" i="4"/>
  <c r="AF922" i="4"/>
  <c r="AF921" i="4"/>
  <c r="AF920" i="4"/>
  <c r="AF919" i="4"/>
  <c r="AF918" i="4"/>
  <c r="AF917" i="4"/>
  <c r="AF916" i="4"/>
  <c r="AF915" i="4"/>
  <c r="AF914" i="4"/>
  <c r="AF913" i="4"/>
  <c r="AF912" i="4"/>
  <c r="AF911" i="4"/>
  <c r="AF910" i="4"/>
  <c r="AF909" i="4"/>
  <c r="AF908" i="4"/>
  <c r="AF907" i="4"/>
  <c r="AF906" i="4"/>
  <c r="AF905" i="4"/>
  <c r="AF904" i="4"/>
  <c r="AF903" i="4"/>
  <c r="AF902" i="4"/>
  <c r="AF901" i="4"/>
  <c r="AF900" i="4"/>
  <c r="AF899" i="4"/>
  <c r="AF898" i="4"/>
  <c r="AF897" i="4"/>
  <c r="AF896" i="4"/>
  <c r="AF895" i="4"/>
  <c r="AF894" i="4"/>
  <c r="AF893" i="4"/>
  <c r="AF892" i="4"/>
  <c r="AF891" i="4"/>
  <c r="AF890" i="4"/>
  <c r="AF889" i="4"/>
  <c r="AF888" i="4"/>
  <c r="AF887" i="4"/>
  <c r="AF886" i="4"/>
  <c r="AF885" i="4"/>
  <c r="AF884" i="4"/>
  <c r="AF883" i="4"/>
  <c r="AF882" i="4"/>
  <c r="AF881" i="4"/>
  <c r="AF880" i="4"/>
  <c r="AF879" i="4"/>
  <c r="AF878" i="4"/>
  <c r="AF877" i="4"/>
  <c r="AF876" i="4"/>
  <c r="AF875" i="4"/>
  <c r="AF874" i="4"/>
  <c r="AF873" i="4"/>
  <c r="AF872" i="4"/>
  <c r="AF871" i="4"/>
  <c r="AF870" i="4"/>
  <c r="AF869" i="4"/>
  <c r="AF868" i="4"/>
  <c r="AF867" i="4"/>
  <c r="AF866" i="4"/>
  <c r="AF865" i="4"/>
  <c r="AF864" i="4"/>
  <c r="AF863" i="4"/>
  <c r="AF862" i="4"/>
  <c r="AF861" i="4"/>
  <c r="AF860" i="4"/>
  <c r="AF859" i="4"/>
  <c r="AF858" i="4"/>
  <c r="AF857" i="4"/>
  <c r="AF856" i="4"/>
  <c r="AF855" i="4"/>
  <c r="AF854" i="4"/>
  <c r="AF853" i="4"/>
  <c r="AF852" i="4"/>
  <c r="AF851" i="4"/>
  <c r="AF850" i="4"/>
  <c r="AF849" i="4"/>
  <c r="AF848" i="4"/>
  <c r="AF847" i="4"/>
  <c r="AF846" i="4"/>
  <c r="AF845" i="4"/>
  <c r="AF844" i="4"/>
  <c r="AF843" i="4"/>
  <c r="AF842" i="4"/>
  <c r="AF841" i="4"/>
  <c r="AF840" i="4"/>
  <c r="AF839" i="4"/>
  <c r="AF838" i="4"/>
  <c r="AF837" i="4"/>
  <c r="AF836" i="4"/>
  <c r="AF835" i="4"/>
  <c r="AF834" i="4"/>
  <c r="AF833" i="4"/>
  <c r="AF832" i="4"/>
  <c r="AF831" i="4"/>
  <c r="AF830" i="4"/>
  <c r="AF829" i="4"/>
  <c r="AF828" i="4"/>
  <c r="AF827" i="4"/>
  <c r="AF826" i="4"/>
  <c r="AF825" i="4"/>
  <c r="AF824" i="4"/>
  <c r="AF823" i="4"/>
  <c r="AF822" i="4"/>
  <c r="AF821" i="4"/>
  <c r="AF820" i="4"/>
  <c r="AF819" i="4"/>
  <c r="AF818" i="4"/>
  <c r="AF817" i="4"/>
  <c r="AF816" i="4"/>
  <c r="AF815" i="4"/>
  <c r="AF814" i="4"/>
  <c r="AF813" i="4"/>
  <c r="AF812" i="4"/>
  <c r="AF811" i="4"/>
  <c r="AF810" i="4"/>
  <c r="AF809" i="4"/>
  <c r="AF808" i="4"/>
  <c r="AF807" i="4"/>
  <c r="AF806" i="4"/>
  <c r="AF805" i="4"/>
  <c r="AF804" i="4"/>
  <c r="AF803" i="4"/>
  <c r="AF802" i="4"/>
  <c r="AF801" i="4"/>
  <c r="AF800" i="4"/>
  <c r="AF799" i="4"/>
  <c r="AF798" i="4"/>
  <c r="AF797" i="4"/>
  <c r="AF796" i="4"/>
  <c r="AF795" i="4"/>
  <c r="AF794" i="4"/>
  <c r="AF793" i="4"/>
  <c r="AF792" i="4"/>
  <c r="AF791" i="4"/>
  <c r="AF790" i="4"/>
  <c r="AF789" i="4"/>
  <c r="AF788" i="4"/>
  <c r="AF787" i="4"/>
  <c r="AF786" i="4"/>
  <c r="AF785" i="4"/>
  <c r="AF784" i="4"/>
  <c r="AF783" i="4"/>
  <c r="AF782" i="4"/>
  <c r="AF781" i="4"/>
  <c r="AF780" i="4"/>
  <c r="AF779" i="4"/>
  <c r="AF778" i="4"/>
  <c r="AF777" i="4"/>
  <c r="AF776" i="4"/>
  <c r="AF775" i="4"/>
  <c r="AF774" i="4"/>
  <c r="AF773" i="4"/>
  <c r="AF772" i="4"/>
  <c r="AF771" i="4"/>
  <c r="AF770" i="4"/>
  <c r="AF769" i="4"/>
  <c r="AF768" i="4"/>
  <c r="AF767" i="4"/>
  <c r="AF766" i="4"/>
  <c r="AF765" i="4"/>
  <c r="AF764" i="4"/>
  <c r="AF763" i="4"/>
  <c r="AF762" i="4"/>
  <c r="AF761" i="4"/>
  <c r="AF760" i="4"/>
  <c r="AF759" i="4"/>
  <c r="AF758" i="4"/>
  <c r="AF757" i="4"/>
  <c r="AF756" i="4"/>
  <c r="AF755" i="4"/>
  <c r="AF754" i="4"/>
  <c r="AF753" i="4"/>
  <c r="AF752" i="4"/>
  <c r="AF751" i="4"/>
  <c r="AF750" i="4"/>
  <c r="AF749" i="4"/>
  <c r="AF748" i="4"/>
  <c r="AF747" i="4"/>
  <c r="AF746" i="4"/>
  <c r="AF745" i="4"/>
  <c r="AF744" i="4"/>
  <c r="AF743" i="4"/>
  <c r="AF742" i="4"/>
  <c r="AF741" i="4"/>
  <c r="AF740" i="4"/>
  <c r="AF739" i="4"/>
  <c r="AF738" i="4"/>
  <c r="AF737" i="4"/>
  <c r="AF736" i="4"/>
  <c r="AF735" i="4"/>
  <c r="AF734" i="4"/>
  <c r="AF733" i="4"/>
  <c r="AF732" i="4"/>
  <c r="AF731" i="4"/>
  <c r="AF730" i="4"/>
  <c r="AF729" i="4"/>
  <c r="AF728" i="4"/>
  <c r="AF727" i="4"/>
  <c r="AF726" i="4"/>
  <c r="AF725" i="4"/>
  <c r="AF724" i="4"/>
  <c r="AF723" i="4"/>
  <c r="AF722" i="4"/>
  <c r="AF721" i="4"/>
  <c r="AF720" i="4"/>
  <c r="AF719" i="4"/>
  <c r="AF718" i="4"/>
  <c r="AF717" i="4"/>
  <c r="AF716" i="4"/>
  <c r="AF715" i="4"/>
  <c r="AF714" i="4"/>
  <c r="AF713" i="4"/>
  <c r="AF712" i="4"/>
  <c r="AF711" i="4"/>
  <c r="AF710" i="4"/>
  <c r="AF709" i="4"/>
  <c r="AF708" i="4"/>
  <c r="AF707" i="4"/>
  <c r="AF706" i="4"/>
  <c r="AF705" i="4"/>
  <c r="AF704" i="4"/>
  <c r="AF703" i="4"/>
  <c r="AF702" i="4"/>
  <c r="AF701" i="4"/>
  <c r="AF700" i="4"/>
  <c r="AF699" i="4"/>
  <c r="AF698" i="4"/>
  <c r="AF697" i="4"/>
  <c r="AF696" i="4"/>
  <c r="AF695" i="4"/>
  <c r="AF694" i="4"/>
  <c r="AF693" i="4"/>
  <c r="AF692" i="4"/>
  <c r="AF691" i="4"/>
  <c r="AF690" i="4"/>
  <c r="AF689" i="4"/>
  <c r="AF688" i="4"/>
  <c r="AF687" i="4"/>
  <c r="AF686" i="4"/>
  <c r="AF685" i="4"/>
  <c r="AF684" i="4"/>
  <c r="AF683" i="4"/>
  <c r="AF682" i="4"/>
  <c r="AF681" i="4"/>
  <c r="AF680" i="4"/>
  <c r="AF679" i="4"/>
  <c r="AF678" i="4"/>
  <c r="AF677" i="4"/>
  <c r="AF676" i="4"/>
  <c r="AF675" i="4"/>
  <c r="AF674" i="4"/>
  <c r="AF673" i="4"/>
  <c r="AF672" i="4"/>
  <c r="AF671" i="4"/>
  <c r="AF670" i="4"/>
  <c r="AF669" i="4"/>
  <c r="AF668" i="4"/>
  <c r="AF667" i="4"/>
  <c r="AF666" i="4"/>
  <c r="AF665" i="4"/>
  <c r="AF664" i="4"/>
  <c r="AF663" i="4"/>
  <c r="AF662" i="4"/>
  <c r="AF661" i="4"/>
  <c r="AF660" i="4"/>
  <c r="AF659" i="4"/>
  <c r="AF658" i="4"/>
  <c r="AF657" i="4"/>
  <c r="AF656" i="4"/>
  <c r="AF655" i="4"/>
  <c r="AF654" i="4"/>
  <c r="AF653" i="4"/>
  <c r="AF652" i="4"/>
  <c r="AF651" i="4"/>
  <c r="AF650" i="4"/>
  <c r="AF649" i="4"/>
  <c r="AF648" i="4"/>
  <c r="AF647" i="4"/>
  <c r="AF646" i="4"/>
  <c r="AF645" i="4"/>
  <c r="AF644" i="4"/>
  <c r="AF643" i="4"/>
  <c r="AF642" i="4"/>
  <c r="AF641" i="4"/>
  <c r="AF640" i="4"/>
  <c r="AF639" i="4"/>
  <c r="AF638" i="4"/>
  <c r="AF637" i="4"/>
  <c r="AF636" i="4"/>
  <c r="AF635" i="4"/>
  <c r="AF634" i="4"/>
  <c r="AF633" i="4"/>
  <c r="AF632" i="4"/>
  <c r="AF631" i="4"/>
  <c r="AF630" i="4"/>
  <c r="AF629" i="4"/>
  <c r="AF628" i="4"/>
  <c r="AF627" i="4"/>
  <c r="AF626" i="4"/>
  <c r="AF625" i="4"/>
  <c r="AF624" i="4"/>
  <c r="AF623" i="4"/>
  <c r="AF622" i="4"/>
  <c r="AF621" i="4"/>
  <c r="AF620" i="4"/>
  <c r="AF619" i="4"/>
  <c r="AF618" i="4"/>
  <c r="AF617" i="4"/>
  <c r="AF616" i="4"/>
  <c r="AF615" i="4"/>
  <c r="AF614" i="4"/>
  <c r="AF613" i="4"/>
  <c r="AF612" i="4"/>
  <c r="AF611" i="4"/>
  <c r="AF610" i="4"/>
  <c r="AF609" i="4"/>
  <c r="AF608" i="4"/>
  <c r="AF607" i="4"/>
  <c r="AF606" i="4"/>
  <c r="AF605" i="4"/>
  <c r="AF604" i="4"/>
  <c r="AF603" i="4"/>
  <c r="AF602" i="4"/>
  <c r="AF601" i="4"/>
  <c r="AF600" i="4"/>
  <c r="AF599" i="4"/>
  <c r="AF598" i="4"/>
  <c r="AF597" i="4"/>
  <c r="AF596" i="4"/>
  <c r="AF595" i="4"/>
  <c r="AF594" i="4"/>
  <c r="AF593" i="4"/>
  <c r="AF592" i="4"/>
  <c r="AF591" i="4"/>
  <c r="AF590" i="4"/>
  <c r="AF589" i="4"/>
  <c r="AF588" i="4"/>
  <c r="AF587" i="4"/>
  <c r="AF586" i="4"/>
  <c r="AF585" i="4"/>
  <c r="AF584" i="4"/>
  <c r="AF583" i="4"/>
  <c r="AF582" i="4"/>
  <c r="AF581" i="4"/>
  <c r="AF580" i="4"/>
  <c r="AF579" i="4"/>
  <c r="AF578" i="4"/>
  <c r="AF577" i="4"/>
  <c r="AF576" i="4"/>
  <c r="AF575" i="4"/>
  <c r="AF574" i="4"/>
  <c r="AF573" i="4"/>
  <c r="AF572" i="4"/>
  <c r="AF571" i="4"/>
  <c r="AF570" i="4"/>
  <c r="AF569" i="4"/>
  <c r="AF568" i="4"/>
  <c r="AF567" i="4"/>
  <c r="AF566" i="4"/>
  <c r="AF565" i="4"/>
  <c r="AF564" i="4"/>
  <c r="AF563" i="4"/>
  <c r="AF562" i="4"/>
  <c r="AF561" i="4"/>
  <c r="AF560" i="4"/>
  <c r="AF559" i="4"/>
  <c r="AF558" i="4"/>
  <c r="AF557" i="4"/>
  <c r="AF556" i="4"/>
  <c r="AF555" i="4"/>
  <c r="AF554" i="4"/>
  <c r="AF553" i="4"/>
  <c r="AF552" i="4"/>
  <c r="AF551" i="4"/>
  <c r="AF550" i="4"/>
  <c r="AF549" i="4"/>
  <c r="AF548" i="4"/>
  <c r="AF547" i="4"/>
  <c r="AF546" i="4"/>
  <c r="AF545" i="4"/>
  <c r="AF544" i="4"/>
  <c r="AF543" i="4"/>
  <c r="AF542" i="4"/>
  <c r="AF541" i="4"/>
  <c r="AF540" i="4"/>
  <c r="AF539" i="4"/>
  <c r="AF538" i="4"/>
  <c r="AF537" i="4"/>
  <c r="AF536" i="4"/>
  <c r="AF535" i="4"/>
  <c r="AF534" i="4"/>
  <c r="AF533" i="4"/>
  <c r="AF532" i="4"/>
  <c r="AF531" i="4"/>
  <c r="AF530" i="4"/>
  <c r="AF529" i="4"/>
  <c r="AF528" i="4"/>
  <c r="AF527" i="4"/>
  <c r="AF526" i="4"/>
  <c r="AF525" i="4"/>
  <c r="AF524" i="4"/>
  <c r="AF523" i="4"/>
  <c r="AF522" i="4"/>
  <c r="AF521" i="4"/>
  <c r="AF520" i="4"/>
  <c r="AF519" i="4"/>
  <c r="AF518" i="4"/>
  <c r="AF517" i="4"/>
  <c r="AF516" i="4"/>
  <c r="AF515" i="4"/>
  <c r="AF514" i="4"/>
  <c r="AF513" i="4"/>
  <c r="AF512" i="4"/>
  <c r="AF511" i="4"/>
  <c r="AF510" i="4"/>
  <c r="AF509" i="4"/>
  <c r="AF508" i="4"/>
  <c r="AF507" i="4"/>
  <c r="AF506" i="4"/>
  <c r="AF505" i="4"/>
  <c r="AF504" i="4"/>
  <c r="AF503" i="4"/>
  <c r="AF502" i="4"/>
  <c r="AF501" i="4"/>
  <c r="AF500" i="4"/>
  <c r="AF499" i="4"/>
  <c r="AF498" i="4"/>
  <c r="AF497" i="4"/>
  <c r="AF496" i="4"/>
  <c r="AF495" i="4"/>
  <c r="AF494" i="4"/>
  <c r="AF493" i="4"/>
  <c r="AF492" i="4"/>
  <c r="AF491" i="4"/>
  <c r="AF490" i="4"/>
  <c r="AF489" i="4"/>
  <c r="AF488" i="4"/>
  <c r="AF487" i="4"/>
  <c r="AF486" i="4"/>
  <c r="AF485" i="4"/>
  <c r="AF484" i="4"/>
  <c r="AF483" i="4"/>
  <c r="AF482" i="4"/>
  <c r="AF481" i="4"/>
  <c r="AF480" i="4"/>
  <c r="AF479" i="4"/>
  <c r="AF478" i="4"/>
  <c r="AF477" i="4"/>
  <c r="AF476" i="4"/>
  <c r="AF475" i="4"/>
  <c r="AF474" i="4"/>
  <c r="AF473" i="4"/>
  <c r="AF472" i="4"/>
  <c r="AF471" i="4"/>
  <c r="AF470" i="4"/>
  <c r="AF469" i="4"/>
  <c r="AF468" i="4"/>
  <c r="AF467" i="4"/>
  <c r="AF466" i="4"/>
  <c r="AF465" i="4"/>
  <c r="AF464" i="4"/>
  <c r="AF463" i="4"/>
  <c r="AF462" i="4"/>
  <c r="AF461" i="4"/>
  <c r="AF460" i="4"/>
  <c r="AF459" i="4"/>
  <c r="AF458" i="4"/>
  <c r="AF457" i="4"/>
  <c r="AF456" i="4"/>
  <c r="AF455" i="4"/>
  <c r="AF454" i="4"/>
  <c r="AF453" i="4"/>
  <c r="AF452" i="4"/>
  <c r="AF451" i="4"/>
  <c r="AF450" i="4"/>
  <c r="AF449" i="4"/>
  <c r="AF448" i="4"/>
  <c r="AF447" i="4"/>
  <c r="AF446" i="4"/>
  <c r="AF445" i="4"/>
  <c r="AF444" i="4"/>
  <c r="AF443" i="4"/>
  <c r="AF442" i="4"/>
  <c r="AF441" i="4"/>
  <c r="AF440" i="4"/>
  <c r="AF439" i="4"/>
  <c r="AF438" i="4"/>
  <c r="AF437" i="4"/>
  <c r="AF436" i="4"/>
  <c r="AF435" i="4"/>
  <c r="AF434" i="4"/>
  <c r="AF433" i="4"/>
  <c r="AF432" i="4"/>
  <c r="AF431" i="4"/>
  <c r="AF430" i="4"/>
  <c r="AF429" i="4"/>
  <c r="AF428" i="4"/>
  <c r="AF427" i="4"/>
  <c r="AF426" i="4"/>
  <c r="AF425" i="4"/>
  <c r="AF424" i="4"/>
  <c r="AF423" i="4"/>
  <c r="AF422" i="4"/>
  <c r="AF421" i="4"/>
  <c r="AF420" i="4"/>
  <c r="AF419" i="4"/>
  <c r="AF418" i="4"/>
  <c r="AF417" i="4"/>
  <c r="AF416" i="4"/>
  <c r="AF415" i="4"/>
  <c r="AF414" i="4"/>
  <c r="AF413" i="4"/>
  <c r="AF412" i="4"/>
  <c r="AF411" i="4"/>
  <c r="AF410" i="4"/>
  <c r="AF409" i="4"/>
  <c r="AF408" i="4"/>
  <c r="AF407" i="4"/>
  <c r="AF406" i="4"/>
  <c r="AF405" i="4"/>
  <c r="AF404" i="4"/>
  <c r="AF403" i="4"/>
  <c r="AF402" i="4"/>
  <c r="AF401" i="4"/>
  <c r="AF400" i="4"/>
  <c r="AF399" i="4"/>
  <c r="AF398" i="4"/>
  <c r="AF397" i="4"/>
  <c r="AF396" i="4"/>
  <c r="AF395" i="4"/>
  <c r="AF394" i="4"/>
  <c r="AF393" i="4"/>
  <c r="AF392" i="4"/>
  <c r="AF391" i="4"/>
  <c r="AF390" i="4"/>
  <c r="AF389" i="4"/>
  <c r="AF388" i="4"/>
  <c r="AF387" i="4"/>
  <c r="AF386" i="4"/>
  <c r="AF385" i="4"/>
  <c r="AF384" i="4"/>
  <c r="AF383" i="4"/>
  <c r="AF382" i="4"/>
  <c r="AF381" i="4"/>
  <c r="AF380" i="4"/>
  <c r="AF379" i="4"/>
  <c r="AF378" i="4"/>
  <c r="AF377" i="4"/>
  <c r="AF376" i="4"/>
  <c r="AF375" i="4"/>
  <c r="AF374" i="4"/>
  <c r="AF373" i="4"/>
  <c r="AF372" i="4"/>
  <c r="AF371" i="4"/>
  <c r="AF370" i="4"/>
  <c r="AF369" i="4"/>
  <c r="AF368" i="4"/>
  <c r="AF367" i="4"/>
  <c r="AF366" i="4"/>
  <c r="AF365" i="4"/>
  <c r="AF364" i="4"/>
  <c r="AF363" i="4"/>
  <c r="AF362" i="4"/>
  <c r="AF361" i="4"/>
  <c r="AF360" i="4"/>
  <c r="AF359" i="4"/>
  <c r="AF358" i="4"/>
  <c r="AF357" i="4"/>
  <c r="AF356" i="4"/>
  <c r="AF355" i="4"/>
  <c r="AF354" i="4"/>
  <c r="AF353" i="4"/>
  <c r="AF352" i="4"/>
  <c r="AF351" i="4"/>
  <c r="AF350" i="4"/>
  <c r="AF349" i="4"/>
  <c r="AF348" i="4"/>
  <c r="AF347" i="4"/>
  <c r="AF346" i="4"/>
  <c r="AF345" i="4"/>
  <c r="AF344" i="4"/>
  <c r="AF343" i="4"/>
  <c r="AF342" i="4"/>
  <c r="AF341" i="4"/>
  <c r="AF340" i="4"/>
  <c r="AF339" i="4"/>
  <c r="AF338" i="4"/>
  <c r="AF337" i="4"/>
  <c r="AF336" i="4"/>
  <c r="AF335" i="4"/>
  <c r="AF334" i="4"/>
  <c r="AF333" i="4"/>
  <c r="AF332" i="4"/>
  <c r="AF331" i="4"/>
  <c r="AF330" i="4"/>
  <c r="AF329" i="4"/>
  <c r="AF328" i="4"/>
  <c r="AF327" i="4"/>
  <c r="AF326" i="4"/>
  <c r="AF325" i="4"/>
  <c r="AF324" i="4"/>
  <c r="AF323" i="4"/>
  <c r="AF322" i="4"/>
  <c r="AF321" i="4"/>
  <c r="AF320" i="4"/>
  <c r="AF319" i="4"/>
  <c r="AF318" i="4"/>
  <c r="AF317" i="4"/>
  <c r="AF316" i="4"/>
  <c r="AF315" i="4"/>
  <c r="AF314" i="4"/>
  <c r="AF313" i="4"/>
  <c r="AF312" i="4"/>
  <c r="AF311" i="4"/>
  <c r="AF310" i="4"/>
  <c r="AF309" i="4"/>
  <c r="AF308" i="4"/>
  <c r="AF307" i="4"/>
  <c r="AF306" i="4"/>
  <c r="AF305" i="4"/>
  <c r="AF304" i="4"/>
  <c r="AF303" i="4"/>
  <c r="AF302" i="4"/>
  <c r="AF301" i="4"/>
  <c r="AF300" i="4"/>
  <c r="AF299" i="4"/>
  <c r="AF298" i="4"/>
  <c r="AF297" i="4"/>
  <c r="AF296" i="4"/>
  <c r="AF295" i="4"/>
  <c r="AF294" i="4"/>
  <c r="AF293" i="4"/>
  <c r="AF292" i="4"/>
  <c r="AF291" i="4"/>
  <c r="AF290" i="4"/>
  <c r="AF289" i="4"/>
  <c r="AF288" i="4"/>
  <c r="AF287" i="4"/>
  <c r="AF286" i="4"/>
  <c r="AF285" i="4"/>
  <c r="AF284" i="4"/>
  <c r="AF283" i="4"/>
  <c r="AF282" i="4"/>
  <c r="AF281" i="4"/>
  <c r="AF280" i="4"/>
  <c r="AF279" i="4"/>
  <c r="AF278" i="4"/>
  <c r="AF277" i="4"/>
  <c r="AF276" i="4"/>
  <c r="AF275" i="4"/>
  <c r="AF274" i="4"/>
  <c r="AF273" i="4"/>
  <c r="AF272" i="4"/>
  <c r="AF271" i="4"/>
  <c r="AF270" i="4"/>
  <c r="AF269" i="4"/>
  <c r="AF268" i="4"/>
  <c r="AF267" i="4"/>
  <c r="AF266" i="4"/>
  <c r="AF265" i="4"/>
  <c r="AF264" i="4"/>
  <c r="AF263" i="4"/>
  <c r="AF262" i="4"/>
  <c r="AF261" i="4"/>
  <c r="AF260" i="4"/>
  <c r="AF259" i="4"/>
  <c r="AF258" i="4"/>
  <c r="AF257" i="4"/>
  <c r="AF256" i="4"/>
  <c r="AF255" i="4"/>
  <c r="AF254" i="4"/>
  <c r="AF253" i="4"/>
  <c r="AF252" i="4"/>
  <c r="AF251" i="4"/>
  <c r="AF250" i="4"/>
  <c r="AF249" i="4"/>
  <c r="AF248" i="4"/>
  <c r="AF247" i="4"/>
  <c r="AF246" i="4"/>
  <c r="AF245" i="4"/>
  <c r="AF244" i="4"/>
  <c r="AF243" i="4"/>
  <c r="AF242" i="4"/>
  <c r="AF241" i="4"/>
  <c r="AF240" i="4"/>
  <c r="AF239" i="4"/>
  <c r="AF238" i="4"/>
  <c r="AF237" i="4"/>
  <c r="AF236" i="4"/>
  <c r="AF235" i="4"/>
  <c r="AF234" i="4"/>
  <c r="AF233" i="4"/>
  <c r="AF232" i="4"/>
  <c r="AF231" i="4"/>
  <c r="AF230" i="4"/>
  <c r="AF229" i="4"/>
  <c r="AF228" i="4"/>
  <c r="AF227" i="4"/>
  <c r="AF226" i="4"/>
  <c r="AF225" i="4"/>
  <c r="AF224" i="4"/>
  <c r="AF223" i="4"/>
  <c r="AF222" i="4"/>
  <c r="AF221" i="4"/>
  <c r="AF220" i="4"/>
  <c r="AF219" i="4"/>
  <c r="AF218" i="4"/>
  <c r="AF217" i="4"/>
  <c r="AF216" i="4"/>
  <c r="AF215" i="4"/>
  <c r="AF214" i="4"/>
  <c r="AF213" i="4"/>
  <c r="AF212" i="4"/>
  <c r="AF211" i="4"/>
  <c r="AF210" i="4"/>
  <c r="AF209" i="4"/>
  <c r="AF208" i="4"/>
  <c r="AF207" i="4"/>
  <c r="AF206" i="4"/>
  <c r="AF205" i="4"/>
  <c r="AF204" i="4"/>
  <c r="AF203" i="4"/>
  <c r="AF202" i="4"/>
  <c r="AF201" i="4"/>
  <c r="AF200" i="4"/>
  <c r="AF199" i="4"/>
  <c r="AF198" i="4"/>
  <c r="AF197" i="4"/>
  <c r="AF196" i="4"/>
  <c r="AF195" i="4"/>
  <c r="AF194" i="4"/>
  <c r="AF193" i="4"/>
  <c r="AF192" i="4"/>
  <c r="AF191" i="4"/>
  <c r="AF190" i="4"/>
  <c r="AF189" i="4"/>
  <c r="AF188" i="4"/>
  <c r="AF187" i="4"/>
  <c r="AF186" i="4"/>
  <c r="AF185" i="4"/>
  <c r="AF184" i="4"/>
  <c r="AF183" i="4"/>
  <c r="AF182" i="4"/>
  <c r="AF181" i="4"/>
  <c r="AF180" i="4"/>
  <c r="AF179" i="4"/>
  <c r="AF178" i="4"/>
  <c r="AF177" i="4"/>
  <c r="AF176" i="4"/>
  <c r="AF175" i="4"/>
  <c r="AF174" i="4"/>
  <c r="AF173" i="4"/>
  <c r="AF172" i="4"/>
  <c r="AF171" i="4"/>
  <c r="AF170" i="4"/>
  <c r="AF169" i="4"/>
  <c r="AF168" i="4"/>
  <c r="AF167" i="4"/>
  <c r="AF166" i="4"/>
  <c r="AF165" i="4"/>
  <c r="AF164" i="4"/>
  <c r="AF163" i="4"/>
  <c r="AF162" i="4"/>
  <c r="AF161" i="4"/>
  <c r="AF160" i="4"/>
  <c r="AF159" i="4"/>
  <c r="AF158" i="4"/>
  <c r="AF157" i="4"/>
  <c r="AF156" i="4"/>
  <c r="AF155" i="4"/>
  <c r="AF154" i="4"/>
  <c r="AF153" i="4"/>
  <c r="AF152" i="4"/>
  <c r="AF151" i="4"/>
  <c r="AF150" i="4"/>
  <c r="AF149" i="4"/>
  <c r="AF148" i="4"/>
  <c r="AF147" i="4"/>
  <c r="AF146" i="4"/>
  <c r="AF145" i="4"/>
  <c r="AF144" i="4"/>
  <c r="AF143" i="4"/>
  <c r="AF142" i="4"/>
  <c r="AF141" i="4"/>
  <c r="AF140" i="4"/>
  <c r="AF139" i="4"/>
  <c r="AF138" i="4"/>
  <c r="AF137" i="4"/>
  <c r="AF136" i="4"/>
  <c r="AF135" i="4"/>
  <c r="AF134" i="4"/>
  <c r="AF133" i="4"/>
  <c r="AF132" i="4"/>
  <c r="AF131" i="4"/>
  <c r="AF130" i="4"/>
  <c r="AF129" i="4"/>
  <c r="AF128" i="4"/>
  <c r="AF127" i="4"/>
  <c r="AF126" i="4"/>
  <c r="AF125" i="4"/>
  <c r="AF124" i="4"/>
  <c r="AF123" i="4"/>
  <c r="AF122" i="4"/>
  <c r="AF121" i="4"/>
  <c r="AF120" i="4"/>
  <c r="AF119" i="4"/>
  <c r="AF118" i="4"/>
  <c r="AF117" i="4"/>
  <c r="AF116" i="4"/>
  <c r="AF115" i="4"/>
  <c r="AF114" i="4"/>
  <c r="AF113" i="4"/>
  <c r="AF112" i="4"/>
  <c r="AF111" i="4"/>
  <c r="AF110" i="4"/>
  <c r="AF109" i="4"/>
  <c r="AF108" i="4"/>
  <c r="AF107" i="4"/>
  <c r="AF106" i="4"/>
  <c r="AF105" i="4"/>
  <c r="AF104" i="4"/>
  <c r="AF103" i="4"/>
  <c r="AF102" i="4"/>
  <c r="AF101" i="4"/>
  <c r="AF100" i="4"/>
  <c r="AF99" i="4"/>
  <c r="AF98" i="4"/>
  <c r="AF97" i="4"/>
  <c r="AF96" i="4"/>
  <c r="AF95" i="4"/>
  <c r="AF94" i="4"/>
  <c r="AF93" i="4"/>
  <c r="AF92" i="4"/>
  <c r="AF91" i="4"/>
  <c r="AF90" i="4"/>
  <c r="AF89" i="4"/>
  <c r="AF88" i="4"/>
  <c r="AF87" i="4"/>
  <c r="AF86" i="4"/>
  <c r="AF85" i="4"/>
  <c r="AF84" i="4"/>
  <c r="AF83" i="4"/>
  <c r="AF82" i="4"/>
  <c r="AF81" i="4"/>
  <c r="AF80" i="4"/>
  <c r="AF79" i="4"/>
  <c r="AF78" i="4"/>
  <c r="AF77" i="4"/>
  <c r="AF76" i="4"/>
  <c r="AF75" i="4"/>
  <c r="AF74" i="4"/>
  <c r="AF73" i="4"/>
  <c r="AF72" i="4"/>
  <c r="AF71" i="4"/>
  <c r="AF70" i="4"/>
  <c r="AF69" i="4"/>
  <c r="AF68" i="4"/>
  <c r="AF67" i="4"/>
  <c r="AF66" i="4"/>
  <c r="AF65" i="4"/>
  <c r="AF64" i="4"/>
  <c r="AF63" i="4"/>
  <c r="AF62" i="4"/>
  <c r="AF61" i="4"/>
  <c r="AF60" i="4"/>
  <c r="AF59" i="4"/>
  <c r="AF58" i="4"/>
  <c r="AF57" i="4"/>
  <c r="AF56" i="4"/>
  <c r="AF55" i="4"/>
  <c r="AF54" i="4"/>
  <c r="AF53" i="4"/>
  <c r="AF52" i="4"/>
  <c r="AF51" i="4"/>
  <c r="AF50" i="4"/>
  <c r="AF49" i="4"/>
  <c r="AF48" i="4"/>
  <c r="AF47" i="4"/>
  <c r="AF46" i="4"/>
  <c r="AF45" i="4"/>
  <c r="AF44" i="4"/>
  <c r="AF43" i="4"/>
  <c r="AF42" i="4"/>
  <c r="AF41" i="4"/>
  <c r="AF40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F3" i="4"/>
  <c r="AC1" i="4"/>
  <c r="H24" i="2"/>
  <c r="M29" i="2"/>
  <c r="L29" i="2"/>
  <c r="M12" i="2"/>
  <c r="M34" i="2"/>
  <c r="G20" i="2"/>
  <c r="AB7" i="2"/>
  <c r="L26" i="2"/>
  <c r="AB13" i="2"/>
  <c r="M15" i="2"/>
  <c r="L33" i="2"/>
  <c r="AC11" i="2"/>
  <c r="AB35" i="2"/>
  <c r="G32" i="2"/>
  <c r="AB8" i="2"/>
  <c r="H19" i="2"/>
  <c r="G25" i="2"/>
  <c r="M25" i="2"/>
  <c r="H17" i="2"/>
  <c r="AC15" i="2"/>
  <c r="AB20" i="2"/>
  <c r="L18" i="2"/>
  <c r="G30" i="2"/>
  <c r="H29" i="2"/>
  <c r="AC32" i="2"/>
  <c r="H18" i="2"/>
  <c r="H8" i="2"/>
  <c r="G8" i="2"/>
  <c r="AB29" i="2"/>
  <c r="AC29" i="2"/>
  <c r="H15" i="2"/>
  <c r="G22" i="2"/>
  <c r="AC27" i="2"/>
  <c r="AC25" i="2"/>
  <c r="AB31" i="2"/>
  <c r="H30" i="2"/>
  <c r="H21" i="2"/>
  <c r="H23" i="2"/>
  <c r="G9" i="2"/>
  <c r="H14" i="2"/>
  <c r="G17" i="2"/>
  <c r="AC30" i="2"/>
  <c r="AC10" i="2"/>
  <c r="M26" i="2"/>
  <c r="G27" i="2"/>
  <c r="G14" i="2"/>
  <c r="AB25" i="2"/>
  <c r="AB18" i="2"/>
  <c r="L37" i="2"/>
  <c r="L30" i="2"/>
  <c r="L20" i="2"/>
  <c r="H10" i="2"/>
  <c r="L16" i="2"/>
  <c r="AC34" i="2"/>
  <c r="L19" i="2"/>
  <c r="L13" i="2"/>
  <c r="AC24" i="2"/>
  <c r="L11" i="2"/>
  <c r="M17" i="2"/>
  <c r="AC37" i="2"/>
  <c r="AC22" i="2"/>
  <c r="M13" i="2"/>
  <c r="L21" i="2"/>
  <c r="H25" i="2"/>
  <c r="L27" i="2"/>
  <c r="H12" i="2"/>
  <c r="G33" i="2"/>
  <c r="G28" i="2"/>
  <c r="M14" i="2"/>
  <c r="M28" i="2"/>
  <c r="AB12" i="2"/>
  <c r="L23" i="2"/>
  <c r="AB14" i="2"/>
  <c r="G7" i="2"/>
  <c r="G13" i="2"/>
  <c r="AB26" i="2"/>
  <c r="G26" i="2"/>
  <c r="M9" i="2"/>
  <c r="M20" i="2"/>
  <c r="AC28" i="2"/>
  <c r="H28" i="2"/>
  <c r="AB24" i="2"/>
  <c r="L31" i="2"/>
  <c r="L9" i="2"/>
  <c r="M35" i="2"/>
  <c r="AB10" i="2"/>
  <c r="H31" i="2"/>
  <c r="AC9" i="2"/>
  <c r="M24" i="2"/>
  <c r="L35" i="2"/>
  <c r="H34" i="2"/>
  <c r="M27" i="2"/>
  <c r="M10" i="2"/>
  <c r="H35" i="2"/>
  <c r="H27" i="2"/>
  <c r="L24" i="2"/>
  <c r="AC16" i="2"/>
  <c r="L7" i="2"/>
  <c r="AC18" i="2"/>
  <c r="AB34" i="2"/>
  <c r="AC23" i="2"/>
  <c r="AB28" i="2"/>
  <c r="H22" i="2"/>
  <c r="L36" i="2"/>
  <c r="AB15" i="2"/>
  <c r="G19" i="2"/>
  <c r="H13" i="2"/>
  <c r="H7" i="2"/>
  <c r="L25" i="2"/>
  <c r="AC33" i="2"/>
  <c r="L17" i="2"/>
  <c r="AC7" i="2"/>
  <c r="M22" i="2"/>
  <c r="M8" i="2"/>
  <c r="G31" i="2"/>
  <c r="AC26" i="2"/>
  <c r="M19" i="2"/>
  <c r="H26" i="2"/>
  <c r="G15" i="2"/>
  <c r="AB9" i="2"/>
  <c r="H36" i="2"/>
  <c r="AC20" i="2"/>
  <c r="AC19" i="2"/>
  <c r="M11" i="2"/>
  <c r="AC35" i="2"/>
  <c r="H16" i="2"/>
  <c r="AB36" i="2"/>
  <c r="L15" i="2"/>
  <c r="AC17" i="2"/>
  <c r="G10" i="2"/>
  <c r="M33" i="2"/>
  <c r="M36" i="2"/>
  <c r="M16" i="2"/>
  <c r="AB23" i="2"/>
  <c r="L28" i="2"/>
  <c r="M18" i="2"/>
  <c r="G11" i="2"/>
  <c r="G12" i="2"/>
  <c r="G24" i="2"/>
  <c r="H37" i="2"/>
  <c r="M7" i="2"/>
  <c r="AB11" i="2"/>
  <c r="AC8" i="2"/>
  <c r="AC36" i="2"/>
  <c r="AB22" i="2"/>
  <c r="M31" i="2"/>
  <c r="G37" i="2"/>
  <c r="H32" i="2"/>
  <c r="AB33" i="2"/>
  <c r="H9" i="2"/>
  <c r="AB30" i="2"/>
  <c r="AB19" i="2"/>
  <c r="AB17" i="2"/>
  <c r="AB27" i="2"/>
  <c r="G35" i="2"/>
  <c r="G16" i="2"/>
  <c r="M30" i="2"/>
  <c r="G21" i="2"/>
  <c r="AC13" i="2"/>
  <c r="H33" i="2"/>
  <c r="L22" i="2"/>
  <c r="AB16" i="2"/>
  <c r="G36" i="2"/>
  <c r="L34" i="2"/>
  <c r="H20" i="2"/>
  <c r="AB37" i="2"/>
  <c r="AC14" i="2"/>
  <c r="L8" i="2"/>
  <c r="G23" i="2"/>
  <c r="G18" i="2"/>
  <c r="L12" i="2"/>
  <c r="L14" i="2"/>
  <c r="AC12" i="2"/>
  <c r="M32" i="2"/>
  <c r="H11" i="2"/>
  <c r="AB32" i="2"/>
  <c r="AC31" i="2"/>
  <c r="G34" i="2"/>
  <c r="L32" i="2"/>
  <c r="M23" i="2"/>
  <c r="L10" i="2"/>
  <c r="AB21" i="2"/>
  <c r="G29" i="2"/>
  <c r="M37" i="2"/>
  <c r="AC21" i="2"/>
  <c r="M21" i="2"/>
  <c r="V41" i="1" l="1"/>
  <c r="V32" i="1"/>
  <c r="V39" i="1"/>
  <c r="V45" i="1"/>
  <c r="V52" i="1"/>
  <c r="V48" i="1"/>
  <c r="V35" i="1"/>
  <c r="V12" i="1"/>
  <c r="V11" i="1"/>
  <c r="U12" i="1"/>
  <c r="U45" i="1"/>
  <c r="U35" i="1"/>
  <c r="U52" i="1"/>
  <c r="U48" i="1"/>
  <c r="U41" i="1"/>
  <c r="T41" i="1"/>
  <c r="T26" i="1" s="1"/>
  <c r="U11" i="1"/>
  <c r="T32" i="1"/>
  <c r="U32" i="1"/>
  <c r="T39" i="1"/>
  <c r="U39" i="1"/>
  <c r="T11" i="1"/>
  <c r="T12" i="1"/>
  <c r="T35" i="1"/>
  <c r="AU35" i="1"/>
  <c r="AU52" i="1"/>
  <c r="AU32" i="1"/>
  <c r="AU48" i="1"/>
  <c r="AU45" i="1"/>
  <c r="AU41" i="1"/>
  <c r="AU39" i="1"/>
  <c r="AU12" i="1"/>
  <c r="AU11" i="1"/>
  <c r="AZ5" i="8"/>
  <c r="BA5" i="8"/>
  <c r="AW5" i="8"/>
  <c r="AX5" i="8"/>
  <c r="AY5" i="8"/>
  <c r="K17" i="1"/>
  <c r="C17" i="1" s="1"/>
  <c r="K11" i="1"/>
  <c r="K19" i="1"/>
  <c r="C19" i="1" s="1"/>
  <c r="T52" i="1"/>
  <c r="T45" i="1"/>
  <c r="T48" i="1"/>
  <c r="K12" i="1"/>
  <c r="C12" i="1" s="1"/>
  <c r="K45" i="1"/>
  <c r="K32" i="1"/>
  <c r="K52" i="1"/>
  <c r="K48" i="1"/>
  <c r="K35" i="1"/>
  <c r="K39" i="1"/>
  <c r="U8" i="2"/>
  <c r="AG8" i="2" s="1"/>
  <c r="U7" i="2"/>
  <c r="AG7" i="2" s="1"/>
  <c r="U9" i="2"/>
  <c r="AG9" i="2" s="1"/>
  <c r="K18" i="1"/>
  <c r="C18" i="1" s="1"/>
  <c r="AB11" i="1"/>
  <c r="AA12" i="1"/>
  <c r="Z12" i="1"/>
  <c r="AC11" i="1"/>
  <c r="AB12" i="1"/>
  <c r="AA11" i="1"/>
  <c r="Z11" i="1"/>
  <c r="AD11" i="1"/>
  <c r="AC12" i="1"/>
  <c r="AD12" i="1"/>
  <c r="R32" i="1"/>
  <c r="Q48" i="1"/>
  <c r="Q32" i="1"/>
  <c r="Q52" i="1"/>
  <c r="Q41" i="1"/>
  <c r="Q54" i="1"/>
  <c r="Q35" i="1"/>
  <c r="A40" i="1"/>
  <c r="Q39" i="1"/>
  <c r="A46" i="1"/>
  <c r="V46" i="1" s="1"/>
  <c r="Q45" i="1"/>
  <c r="R35" i="1"/>
  <c r="R45" i="1"/>
  <c r="R54" i="1"/>
  <c r="R52" i="1"/>
  <c r="R48" i="1"/>
  <c r="R41" i="1"/>
  <c r="R39" i="1"/>
  <c r="BA4" i="7"/>
  <c r="AW4" i="7"/>
  <c r="AD41" i="1"/>
  <c r="AC41" i="1"/>
  <c r="AB41" i="1"/>
  <c r="AA41" i="1"/>
  <c r="Z41" i="1"/>
  <c r="AA19" i="1"/>
  <c r="AB18" i="1"/>
  <c r="Z19" i="1"/>
  <c r="AA18" i="1"/>
  <c r="Z18" i="1"/>
  <c r="AD17" i="1"/>
  <c r="AC17" i="1"/>
  <c r="AD19" i="1"/>
  <c r="AB17" i="1"/>
  <c r="AC19" i="1"/>
  <c r="AD18" i="1"/>
  <c r="AA17" i="1"/>
  <c r="AB19" i="1"/>
  <c r="AC18" i="1"/>
  <c r="Z17" i="1"/>
  <c r="AD54" i="1"/>
  <c r="AC54" i="1"/>
  <c r="AB54" i="1"/>
  <c r="AA54" i="1"/>
  <c r="Z54" i="1"/>
  <c r="A33" i="1"/>
  <c r="A36" i="1"/>
  <c r="V36" i="1" s="1"/>
  <c r="AA39" i="1"/>
  <c r="Z39" i="1"/>
  <c r="AD39" i="1"/>
  <c r="AC39" i="1"/>
  <c r="AB39" i="1"/>
  <c r="A53" i="1"/>
  <c r="V53" i="1" s="1"/>
  <c r="Z52" i="1"/>
  <c r="AA52" i="1"/>
  <c r="AD52" i="1"/>
  <c r="AC52" i="1"/>
  <c r="AB52" i="1"/>
  <c r="A49" i="1"/>
  <c r="BF71" i="10"/>
  <c r="BF63" i="10"/>
  <c r="BF47" i="10"/>
  <c r="BF43" i="10"/>
  <c r="BF39" i="10"/>
  <c r="BF35" i="10"/>
  <c r="BF31" i="10"/>
  <c r="BF27" i="10"/>
  <c r="BF23" i="10"/>
  <c r="BF19" i="10"/>
  <c r="BF15" i="10"/>
  <c r="BF11" i="10"/>
  <c r="BF7" i="10"/>
  <c r="BF72" i="10"/>
  <c r="BF64" i="10"/>
  <c r="BF65" i="10"/>
  <c r="BF46" i="10"/>
  <c r="BF42" i="10"/>
  <c r="BF38" i="10"/>
  <c r="BF34" i="10"/>
  <c r="BF30" i="10"/>
  <c r="BF26" i="10"/>
  <c r="BF22" i="10"/>
  <c r="BF18" i="10"/>
  <c r="BF14" i="10"/>
  <c r="BF10" i="10"/>
  <c r="BF6" i="10"/>
  <c r="BF66" i="10"/>
  <c r="BF67" i="10"/>
  <c r="BF59" i="10"/>
  <c r="BF58" i="10"/>
  <c r="BF57" i="10"/>
  <c r="BF56" i="10"/>
  <c r="BF55" i="10"/>
  <c r="BF54" i="10"/>
  <c r="BF53" i="10"/>
  <c r="BF52" i="10"/>
  <c r="BF51" i="10"/>
  <c r="BF50" i="10"/>
  <c r="BF49" i="10"/>
  <c r="BF45" i="10"/>
  <c r="BF41" i="10"/>
  <c r="BF37" i="10"/>
  <c r="BF33" i="10"/>
  <c r="BF29" i="10"/>
  <c r="BF25" i="10"/>
  <c r="BF21" i="10"/>
  <c r="BF17" i="10"/>
  <c r="BF13" i="10"/>
  <c r="BF9" i="10"/>
  <c r="BF68" i="10"/>
  <c r="BF60" i="10"/>
  <c r="BF69" i="10"/>
  <c r="BF61" i="10"/>
  <c r="BF48" i="10"/>
  <c r="BF44" i="10"/>
  <c r="BF40" i="10"/>
  <c r="BF36" i="10"/>
  <c r="BF32" i="10"/>
  <c r="BF28" i="10"/>
  <c r="BF24" i="10"/>
  <c r="BF20" i="10"/>
  <c r="BF16" i="10"/>
  <c r="BF12" i="10"/>
  <c r="BF8" i="10"/>
  <c r="BF70" i="10"/>
  <c r="BF62" i="10"/>
  <c r="Q2" i="9"/>
  <c r="AT2" i="9"/>
  <c r="AS2" i="9"/>
  <c r="AK2" i="9"/>
  <c r="AC2" i="9"/>
  <c r="AR2" i="9"/>
  <c r="AJ2" i="9"/>
  <c r="AB2" i="9"/>
  <c r="T2" i="9"/>
  <c r="AH2" i="9"/>
  <c r="Z2" i="9"/>
  <c r="R2" i="9"/>
  <c r="AE2" i="9"/>
  <c r="AD2" i="9"/>
  <c r="AQ2" i="9"/>
  <c r="AI2" i="9"/>
  <c r="AA2" i="9"/>
  <c r="S2" i="9"/>
  <c r="AP2" i="9"/>
  <c r="W2" i="9"/>
  <c r="V2" i="9"/>
  <c r="U2" i="9"/>
  <c r="AO2" i="9"/>
  <c r="AG2" i="9"/>
  <c r="Y2" i="9"/>
  <c r="AN2" i="9"/>
  <c r="AF2" i="9"/>
  <c r="X2" i="9"/>
  <c r="AM2" i="9"/>
  <c r="AL2" i="9"/>
  <c r="AE2" i="7"/>
  <c r="T2" i="7"/>
  <c r="AK2" i="7"/>
  <c r="Q2" i="7"/>
  <c r="Y2" i="7"/>
  <c r="AG2" i="7"/>
  <c r="AO2" i="7"/>
  <c r="U2" i="7"/>
  <c r="AL2" i="7"/>
  <c r="S2" i="7"/>
  <c r="R2" i="7"/>
  <c r="Z2" i="7"/>
  <c r="AH2" i="7"/>
  <c r="V2" i="7"/>
  <c r="AM2" i="7"/>
  <c r="AA2" i="7"/>
  <c r="AI2" i="7"/>
  <c r="W2" i="7"/>
  <c r="AP2" i="7"/>
  <c r="AJ2" i="7"/>
  <c r="AB2" i="7"/>
  <c r="AQ2" i="7"/>
  <c r="AC2" i="7"/>
  <c r="AR2" i="7"/>
  <c r="AD2" i="7"/>
  <c r="AS2" i="7"/>
  <c r="BC207" i="8"/>
  <c r="BC199" i="8"/>
  <c r="BC191" i="8"/>
  <c r="BC183" i="8"/>
  <c r="BC175" i="8"/>
  <c r="BC167" i="8"/>
  <c r="BC159" i="8"/>
  <c r="BC151" i="8"/>
  <c r="BC143" i="8"/>
  <c r="BC135" i="8"/>
  <c r="BC127" i="8"/>
  <c r="BC119" i="8"/>
  <c r="BC111" i="8"/>
  <c r="BC103" i="8"/>
  <c r="BC95" i="8"/>
  <c r="BC87" i="8"/>
  <c r="BC79" i="8"/>
  <c r="BC71" i="8"/>
  <c r="BC63" i="8"/>
  <c r="BC55" i="8"/>
  <c r="BC47" i="8"/>
  <c r="BC39" i="8"/>
  <c r="BC31" i="8"/>
  <c r="BC23" i="8"/>
  <c r="BC204" i="8"/>
  <c r="BC196" i="8"/>
  <c r="BC188" i="8"/>
  <c r="BC180" i="8"/>
  <c r="BC172" i="8"/>
  <c r="BC164" i="8"/>
  <c r="BC156" i="8"/>
  <c r="BC148" i="8"/>
  <c r="BC140" i="8"/>
  <c r="BC132" i="8"/>
  <c r="BC124" i="8"/>
  <c r="BC116" i="8"/>
  <c r="BC108" i="8"/>
  <c r="BC100" i="8"/>
  <c r="BC92" i="8"/>
  <c r="BC84" i="8"/>
  <c r="BC76" i="8"/>
  <c r="BC68" i="8"/>
  <c r="BC60" i="8"/>
  <c r="BC52" i="8"/>
  <c r="BC44" i="8"/>
  <c r="BC36" i="8"/>
  <c r="BC28" i="8"/>
  <c r="BC20" i="8"/>
  <c r="BC12" i="8"/>
  <c r="BC209" i="8"/>
  <c r="BC201" i="8"/>
  <c r="BC193" i="8"/>
  <c r="BC185" i="8"/>
  <c r="BC177" i="8"/>
  <c r="BC169" i="8"/>
  <c r="BC161" i="8"/>
  <c r="BC153" i="8"/>
  <c r="BC145" i="8"/>
  <c r="BC137" i="8"/>
  <c r="BC129" i="8"/>
  <c r="BC121" i="8"/>
  <c r="BC113" i="8"/>
  <c r="BC105" i="8"/>
  <c r="BC97" i="8"/>
  <c r="BC89" i="8"/>
  <c r="BC81" i="8"/>
  <c r="BC73" i="8"/>
  <c r="BC65" i="8"/>
  <c r="BC57" i="8"/>
  <c r="BC49" i="8"/>
  <c r="BC41" i="8"/>
  <c r="BC33" i="8"/>
  <c r="BC25" i="8"/>
  <c r="BC17" i="8"/>
  <c r="BC9" i="8"/>
  <c r="BC206" i="8"/>
  <c r="BC198" i="8"/>
  <c r="BC190" i="8"/>
  <c r="BC182" i="8"/>
  <c r="BC174" i="8"/>
  <c r="BC166" i="8"/>
  <c r="BC158" i="8"/>
  <c r="BC150" i="8"/>
  <c r="BC142" i="8"/>
  <c r="BC134" i="8"/>
  <c r="BC126" i="8"/>
  <c r="BC118" i="8"/>
  <c r="BC110" i="8"/>
  <c r="BC102" i="8"/>
  <c r="BC94" i="8"/>
  <c r="BC86" i="8"/>
  <c r="BC78" i="8"/>
  <c r="BC70" i="8"/>
  <c r="BC62" i="8"/>
  <c r="BC54" i="8"/>
  <c r="BC46" i="8"/>
  <c r="BC38" i="8"/>
  <c r="BC30" i="8"/>
  <c r="BC22" i="8"/>
  <c r="BC14" i="8"/>
  <c r="BC211" i="8"/>
  <c r="BC203" i="8"/>
  <c r="BC195" i="8"/>
  <c r="BC187" i="8"/>
  <c r="BC179" i="8"/>
  <c r="BC171" i="8"/>
  <c r="BC163" i="8"/>
  <c r="BC155" i="8"/>
  <c r="BC147" i="8"/>
  <c r="BC139" i="8"/>
  <c r="BC131" i="8"/>
  <c r="BC123" i="8"/>
  <c r="BC115" i="8"/>
  <c r="BC107" i="8"/>
  <c r="BC99" i="8"/>
  <c r="BC91" i="8"/>
  <c r="BC83" i="8"/>
  <c r="BC75" i="8"/>
  <c r="BC67" i="8"/>
  <c r="BC59" i="8"/>
  <c r="BC51" i="8"/>
  <c r="BC43" i="8"/>
  <c r="BC35" i="8"/>
  <c r="BC27" i="8"/>
  <c r="BC19" i="8"/>
  <c r="BC11" i="8"/>
  <c r="BC200" i="8"/>
  <c r="BC192" i="8"/>
  <c r="BC168" i="8"/>
  <c r="BC160" i="8"/>
  <c r="BC152" i="8"/>
  <c r="BC144" i="8"/>
  <c r="BC136" i="8"/>
  <c r="BC128" i="8"/>
  <c r="BC120" i="8"/>
  <c r="BC112" i="8"/>
  <c r="BC96" i="8"/>
  <c r="BC64" i="8"/>
  <c r="BC32" i="8"/>
  <c r="BC24" i="8"/>
  <c r="BC16" i="8"/>
  <c r="BC8" i="8"/>
  <c r="BC197" i="8"/>
  <c r="BC189" i="8"/>
  <c r="BC181" i="8"/>
  <c r="BC208" i="8"/>
  <c r="BC184" i="8"/>
  <c r="BC176" i="8"/>
  <c r="BC104" i="8"/>
  <c r="BC88" i="8"/>
  <c r="BC56" i="8"/>
  <c r="BC80" i="8"/>
  <c r="BC72" i="8"/>
  <c r="BC48" i="8"/>
  <c r="BC40" i="8"/>
  <c r="BC205" i="8"/>
  <c r="BC186" i="8"/>
  <c r="BC157" i="8"/>
  <c r="BC125" i="8"/>
  <c r="BC93" i="8"/>
  <c r="BC61" i="8"/>
  <c r="BC29" i="8"/>
  <c r="BC15" i="8"/>
  <c r="BC178" i="8"/>
  <c r="BC146" i="8"/>
  <c r="BC114" i="8"/>
  <c r="BC82" i="8"/>
  <c r="BC50" i="8"/>
  <c r="BC18" i="8"/>
  <c r="BC149" i="8"/>
  <c r="BC117" i="8"/>
  <c r="BC85" i="8"/>
  <c r="BC53" i="8"/>
  <c r="BC21" i="8"/>
  <c r="BC130" i="8"/>
  <c r="BC98" i="8"/>
  <c r="BC66" i="8"/>
  <c r="BC13" i="8"/>
  <c r="BC133" i="8"/>
  <c r="BC101" i="8"/>
  <c r="BC69" i="8"/>
  <c r="BC37" i="8"/>
  <c r="BC154" i="8"/>
  <c r="BC122" i="8"/>
  <c r="BC58" i="8"/>
  <c r="BC26" i="8"/>
  <c r="BC170" i="8"/>
  <c r="BC138" i="8"/>
  <c r="BC106" i="8"/>
  <c r="BC74" i="8"/>
  <c r="BC42" i="8"/>
  <c r="BC7" i="8"/>
  <c r="BC173" i="8"/>
  <c r="BC141" i="8"/>
  <c r="BC109" i="8"/>
  <c r="BC77" i="8"/>
  <c r="BC45" i="8"/>
  <c r="BC10" i="8"/>
  <c r="BC210" i="8"/>
  <c r="BC162" i="8"/>
  <c r="BC34" i="8"/>
  <c r="BC202" i="8"/>
  <c r="BC165" i="8"/>
  <c r="BC194" i="8"/>
  <c r="BC90" i="8"/>
  <c r="AZ4" i="7"/>
  <c r="AY4" i="7"/>
  <c r="AX4" i="7"/>
  <c r="P2" i="7"/>
  <c r="X2" i="7"/>
  <c r="AF2" i="7"/>
  <c r="U40" i="1" l="1"/>
  <c r="U38" i="1" s="1"/>
  <c r="V40" i="1"/>
  <c r="U33" i="1"/>
  <c r="V33" i="1"/>
  <c r="V31" i="1" s="1"/>
  <c r="U49" i="1"/>
  <c r="V49" i="1"/>
  <c r="V23" i="1" s="1"/>
  <c r="V51" i="1"/>
  <c r="V44" i="1"/>
  <c r="V25" i="1"/>
  <c r="V38" i="1"/>
  <c r="V26" i="1"/>
  <c r="V19" i="1"/>
  <c r="AU36" i="1"/>
  <c r="T36" i="1"/>
  <c r="U36" i="1"/>
  <c r="U26" i="1"/>
  <c r="U19" i="1"/>
  <c r="U25" i="1"/>
  <c r="AU46" i="1"/>
  <c r="AU44" i="1" s="1"/>
  <c r="U46" i="1"/>
  <c r="AU53" i="1"/>
  <c r="AU51" i="1" s="1"/>
  <c r="U53" i="1"/>
  <c r="U31" i="1"/>
  <c r="A50" i="1"/>
  <c r="AU49" i="1"/>
  <c r="T33" i="1"/>
  <c r="T31" i="1" s="1"/>
  <c r="AU33" i="1"/>
  <c r="T40" i="1"/>
  <c r="T38" i="1" s="1"/>
  <c r="AU40" i="1"/>
  <c r="AU38" i="1" s="1"/>
  <c r="AU19" i="1"/>
  <c r="AU26" i="1"/>
  <c r="AU25" i="1"/>
  <c r="BC5" i="8"/>
  <c r="AB25" i="1"/>
  <c r="Z25" i="1"/>
  <c r="AA25" i="1"/>
  <c r="AD25" i="1"/>
  <c r="AC25" i="1"/>
  <c r="A37" i="1"/>
  <c r="K36" i="1"/>
  <c r="T25" i="1"/>
  <c r="K25" i="1"/>
  <c r="AD40" i="1"/>
  <c r="AN40" i="1" s="1"/>
  <c r="T53" i="1"/>
  <c r="T51" i="1" s="1"/>
  <c r="T49" i="1"/>
  <c r="T46" i="1"/>
  <c r="T44" i="1" s="1"/>
  <c r="T19" i="1"/>
  <c r="Z40" i="1"/>
  <c r="AC46" i="1"/>
  <c r="AB40" i="1"/>
  <c r="AC40" i="1"/>
  <c r="AA40" i="1"/>
  <c r="AA38" i="1" s="1"/>
  <c r="R26" i="1"/>
  <c r="Z26" i="1"/>
  <c r="AB26" i="1"/>
  <c r="AD26" i="1"/>
  <c r="Q26" i="1"/>
  <c r="AA26" i="1"/>
  <c r="AC26" i="1"/>
  <c r="U29" i="2"/>
  <c r="AG29" i="2" s="1"/>
  <c r="U28" i="2"/>
  <c r="AG28" i="2" s="1"/>
  <c r="AG24" i="2"/>
  <c r="AG27" i="2"/>
  <c r="AG25" i="2"/>
  <c r="AG26" i="2"/>
  <c r="AG21" i="2"/>
  <c r="U20" i="2"/>
  <c r="AG20" i="2" s="1"/>
  <c r="U18" i="2"/>
  <c r="AG18" i="2" s="1"/>
  <c r="U14" i="2"/>
  <c r="AG14" i="2" s="1"/>
  <c r="U13" i="2"/>
  <c r="AG13" i="2" s="1"/>
  <c r="U15" i="2"/>
  <c r="AG15" i="2" s="1"/>
  <c r="U10" i="2"/>
  <c r="AG10" i="2" s="1"/>
  <c r="U11" i="2"/>
  <c r="AG11" i="2" s="1"/>
  <c r="AA46" i="1"/>
  <c r="AA44" i="1" s="1"/>
  <c r="C11" i="1"/>
  <c r="K40" i="1"/>
  <c r="K38" i="1" s="1"/>
  <c r="K33" i="1"/>
  <c r="K49" i="1"/>
  <c r="K53" i="1"/>
  <c r="K46" i="1"/>
  <c r="K44" i="1" s="1"/>
  <c r="I12" i="1"/>
  <c r="N12" i="1" s="1"/>
  <c r="K16" i="1"/>
  <c r="C16" i="1" s="1"/>
  <c r="R12" i="1"/>
  <c r="R11" i="1"/>
  <c r="AG12" i="1"/>
  <c r="AF12" i="1"/>
  <c r="AJ11" i="1"/>
  <c r="AE11" i="1"/>
  <c r="AE12" i="1"/>
  <c r="AJ12" i="1"/>
  <c r="AH11" i="1"/>
  <c r="AM11" i="1"/>
  <c r="AN12" i="1"/>
  <c r="AI12" i="1"/>
  <c r="AF11" i="1"/>
  <c r="AK11" i="1"/>
  <c r="AK12" i="1"/>
  <c r="AH12" i="1"/>
  <c r="AM12" i="1"/>
  <c r="AL12" i="1"/>
  <c r="AG11" i="1"/>
  <c r="AL11" i="1"/>
  <c r="X8" i="1"/>
  <c r="X22" i="1"/>
  <c r="S52" i="1"/>
  <c r="Q19" i="1"/>
  <c r="Q10" i="1"/>
  <c r="AI19" i="1"/>
  <c r="AN19" i="1"/>
  <c r="AN52" i="1"/>
  <c r="AI52" i="1"/>
  <c r="AM48" i="1"/>
  <c r="AH48" i="1"/>
  <c r="AI32" i="1"/>
  <c r="AN32" i="1"/>
  <c r="AN41" i="1"/>
  <c r="AI41" i="1"/>
  <c r="AL39" i="1"/>
  <c r="AG39" i="1"/>
  <c r="AM35" i="1"/>
  <c r="AH35" i="1"/>
  <c r="S35" i="1"/>
  <c r="AL35" i="1"/>
  <c r="AG35" i="1"/>
  <c r="AH39" i="1"/>
  <c r="AM39" i="1"/>
  <c r="AN39" i="1"/>
  <c r="AI39" i="1"/>
  <c r="AG52" i="1"/>
  <c r="AL52" i="1"/>
  <c r="AL48" i="1"/>
  <c r="AG48" i="1"/>
  <c r="AL45" i="1"/>
  <c r="AG45" i="1"/>
  <c r="AH52" i="1"/>
  <c r="AM52" i="1"/>
  <c r="AI35" i="1"/>
  <c r="AN35" i="1"/>
  <c r="AH45" i="1"/>
  <c r="AM45" i="1"/>
  <c r="AG32" i="1"/>
  <c r="AL32" i="1"/>
  <c r="AG41" i="1"/>
  <c r="AL41" i="1"/>
  <c r="AN48" i="1"/>
  <c r="AI48" i="1"/>
  <c r="AI45" i="1"/>
  <c r="AN45" i="1"/>
  <c r="AH32" i="1"/>
  <c r="AM32" i="1"/>
  <c r="AH41" i="1"/>
  <c r="AM41" i="1"/>
  <c r="S54" i="1"/>
  <c r="AF39" i="1"/>
  <c r="AK39" i="1"/>
  <c r="AE39" i="1"/>
  <c r="AJ39" i="1"/>
  <c r="I39" i="1"/>
  <c r="N39" i="1" s="1"/>
  <c r="AK41" i="1"/>
  <c r="AF41" i="1"/>
  <c r="I45" i="1"/>
  <c r="N45" i="1" s="1"/>
  <c r="AF52" i="1"/>
  <c r="AK52" i="1"/>
  <c r="AK35" i="1"/>
  <c r="AF35" i="1"/>
  <c r="AJ41" i="1"/>
  <c r="AE41" i="1"/>
  <c r="I41" i="1"/>
  <c r="AE35" i="1"/>
  <c r="AJ35" i="1"/>
  <c r="I35" i="1"/>
  <c r="AK45" i="1"/>
  <c r="AF45" i="1"/>
  <c r="AE52" i="1"/>
  <c r="AJ52" i="1"/>
  <c r="I52" i="1"/>
  <c r="N52" i="1" s="1"/>
  <c r="AE54" i="1"/>
  <c r="AJ54" i="1"/>
  <c r="AJ48" i="1"/>
  <c r="AE48" i="1"/>
  <c r="I48" i="1"/>
  <c r="N48" i="1" s="1"/>
  <c r="AK32" i="1"/>
  <c r="AF32" i="1"/>
  <c r="AL54" i="1"/>
  <c r="AG54" i="1"/>
  <c r="S48" i="1"/>
  <c r="AF48" i="1"/>
  <c r="AK48" i="1"/>
  <c r="AK54" i="1"/>
  <c r="AF54" i="1"/>
  <c r="AM54" i="1"/>
  <c r="AH54" i="1"/>
  <c r="I32" i="1"/>
  <c r="N32" i="1" s="1"/>
  <c r="AI54" i="1"/>
  <c r="AN54" i="1"/>
  <c r="I54" i="1"/>
  <c r="N54" i="1" s="1"/>
  <c r="AB46" i="1"/>
  <c r="AB44" i="1" s="1"/>
  <c r="S39" i="1"/>
  <c r="Z46" i="1"/>
  <c r="AD46" i="1"/>
  <c r="AD44" i="1" s="1"/>
  <c r="S41" i="1"/>
  <c r="R19" i="1"/>
  <c r="R10" i="1"/>
  <c r="S45" i="1"/>
  <c r="S32" i="1"/>
  <c r="R46" i="1"/>
  <c r="BC6" i="7"/>
  <c r="BC211" i="7"/>
  <c r="BC203" i="7"/>
  <c r="BC195" i="7"/>
  <c r="BC187" i="7"/>
  <c r="BC179" i="7"/>
  <c r="BC171" i="7"/>
  <c r="BC163" i="7"/>
  <c r="BC155" i="7"/>
  <c r="BC147" i="7"/>
  <c r="BC139" i="7"/>
  <c r="BC131" i="7"/>
  <c r="BC123" i="7"/>
  <c r="BC115" i="7"/>
  <c r="BC107" i="7"/>
  <c r="BC99" i="7"/>
  <c r="BC91" i="7"/>
  <c r="BC83" i="7"/>
  <c r="BC75" i="7"/>
  <c r="BC67" i="7"/>
  <c r="BC59" i="7"/>
  <c r="BC51" i="7"/>
  <c r="BC43" i="7"/>
  <c r="BC35" i="7"/>
  <c r="BC27" i="7"/>
  <c r="BC19" i="7"/>
  <c r="BC11" i="7"/>
  <c r="BC120" i="7"/>
  <c r="BC88" i="7"/>
  <c r="BC64" i="7"/>
  <c r="BC48" i="7"/>
  <c r="BC16" i="7"/>
  <c r="BC111" i="7"/>
  <c r="BC71" i="7"/>
  <c r="BC55" i="7"/>
  <c r="BC15" i="7"/>
  <c r="BC109" i="7"/>
  <c r="BC85" i="7"/>
  <c r="BC37" i="7"/>
  <c r="BC188" i="7"/>
  <c r="BC164" i="7"/>
  <c r="BC100" i="7"/>
  <c r="BC60" i="7"/>
  <c r="BC36" i="7"/>
  <c r="BC210" i="7"/>
  <c r="BC202" i="7"/>
  <c r="BC194" i="7"/>
  <c r="BC186" i="7"/>
  <c r="BC178" i="7"/>
  <c r="BC170" i="7"/>
  <c r="BC162" i="7"/>
  <c r="BC154" i="7"/>
  <c r="BC146" i="7"/>
  <c r="BC138" i="7"/>
  <c r="BC130" i="7"/>
  <c r="BC122" i="7"/>
  <c r="BC114" i="7"/>
  <c r="BC106" i="7"/>
  <c r="BC98" i="7"/>
  <c r="BC90" i="7"/>
  <c r="BC82" i="7"/>
  <c r="BC74" i="7"/>
  <c r="BC66" i="7"/>
  <c r="BC58" i="7"/>
  <c r="BC50" i="7"/>
  <c r="BC42" i="7"/>
  <c r="BC34" i="7"/>
  <c r="BC26" i="7"/>
  <c r="BC18" i="7"/>
  <c r="BC10" i="7"/>
  <c r="BC136" i="7"/>
  <c r="BC112" i="7"/>
  <c r="BC80" i="7"/>
  <c r="BC56" i="7"/>
  <c r="BC32" i="7"/>
  <c r="BC8" i="7"/>
  <c r="BC119" i="7"/>
  <c r="BC87" i="7"/>
  <c r="BC63" i="7"/>
  <c r="BC31" i="7"/>
  <c r="BC125" i="7"/>
  <c r="BC93" i="7"/>
  <c r="BC53" i="7"/>
  <c r="BC13" i="7"/>
  <c r="BC180" i="7"/>
  <c r="BC148" i="7"/>
  <c r="BC116" i="7"/>
  <c r="BC84" i="7"/>
  <c r="BC52" i="7"/>
  <c r="BC20" i="7"/>
  <c r="BC209" i="7"/>
  <c r="BC201" i="7"/>
  <c r="BC193" i="7"/>
  <c r="BC185" i="7"/>
  <c r="BC177" i="7"/>
  <c r="BC169" i="7"/>
  <c r="BC161" i="7"/>
  <c r="BC153" i="7"/>
  <c r="BC145" i="7"/>
  <c r="BC137" i="7"/>
  <c r="BC129" i="7"/>
  <c r="BC121" i="7"/>
  <c r="BC113" i="7"/>
  <c r="BC105" i="7"/>
  <c r="BC97" i="7"/>
  <c r="BC89" i="7"/>
  <c r="BC81" i="7"/>
  <c r="BC73" i="7"/>
  <c r="BC65" i="7"/>
  <c r="BC57" i="7"/>
  <c r="BC49" i="7"/>
  <c r="BC41" i="7"/>
  <c r="BC33" i="7"/>
  <c r="BC25" i="7"/>
  <c r="BC17" i="7"/>
  <c r="BC9" i="7"/>
  <c r="BC128" i="7"/>
  <c r="BC96" i="7"/>
  <c r="BC72" i="7"/>
  <c r="BC40" i="7"/>
  <c r="BC24" i="7"/>
  <c r="BC103" i="7"/>
  <c r="BC79" i="7"/>
  <c r="BC47" i="7"/>
  <c r="BC23" i="7"/>
  <c r="BC117" i="7"/>
  <c r="BC77" i="7"/>
  <c r="BC29" i="7"/>
  <c r="BC196" i="7"/>
  <c r="BC156" i="7"/>
  <c r="BC108" i="7"/>
  <c r="BC68" i="7"/>
  <c r="BC28" i="7"/>
  <c r="BC208" i="7"/>
  <c r="BC200" i="7"/>
  <c r="BC192" i="7"/>
  <c r="BC184" i="7"/>
  <c r="BC176" i="7"/>
  <c r="BC168" i="7"/>
  <c r="BC160" i="7"/>
  <c r="BC152" i="7"/>
  <c r="BC144" i="7"/>
  <c r="BC104" i="7"/>
  <c r="BC95" i="7"/>
  <c r="BC7" i="7"/>
  <c r="BC21" i="7"/>
  <c r="BC124" i="7"/>
  <c r="BC207" i="7"/>
  <c r="BC199" i="7"/>
  <c r="BC191" i="7"/>
  <c r="BC183" i="7"/>
  <c r="BC175" i="7"/>
  <c r="BC167" i="7"/>
  <c r="BC159" i="7"/>
  <c r="BC151" i="7"/>
  <c r="BC143" i="7"/>
  <c r="BC135" i="7"/>
  <c r="BC127" i="7"/>
  <c r="BC39" i="7"/>
  <c r="BC61" i="7"/>
  <c r="BC140" i="7"/>
  <c r="BC206" i="7"/>
  <c r="BC198" i="7"/>
  <c r="BC190" i="7"/>
  <c r="BC182" i="7"/>
  <c r="BC174" i="7"/>
  <c r="BC166" i="7"/>
  <c r="BC158" i="7"/>
  <c r="BC150" i="7"/>
  <c r="BC142" i="7"/>
  <c r="BC134" i="7"/>
  <c r="BC126" i="7"/>
  <c r="BC118" i="7"/>
  <c r="BC110" i="7"/>
  <c r="BC102" i="7"/>
  <c r="BC94" i="7"/>
  <c r="BC86" i="7"/>
  <c r="BC78" i="7"/>
  <c r="BC70" i="7"/>
  <c r="BC62" i="7"/>
  <c r="BC54" i="7"/>
  <c r="BC46" i="7"/>
  <c r="BC38" i="7"/>
  <c r="BC30" i="7"/>
  <c r="BC22" i="7"/>
  <c r="BC14" i="7"/>
  <c r="BC205" i="7"/>
  <c r="BC197" i="7"/>
  <c r="BC189" i="7"/>
  <c r="BC181" i="7"/>
  <c r="BC173" i="7"/>
  <c r="BC165" i="7"/>
  <c r="BC157" i="7"/>
  <c r="BC149" i="7"/>
  <c r="BC141" i="7"/>
  <c r="BC133" i="7"/>
  <c r="BC101" i="7"/>
  <c r="BC69" i="7"/>
  <c r="BC45" i="7"/>
  <c r="BC204" i="7"/>
  <c r="BC172" i="7"/>
  <c r="BC132" i="7"/>
  <c r="BC92" i="7"/>
  <c r="BC76" i="7"/>
  <c r="BC44" i="7"/>
  <c r="BC12" i="7"/>
  <c r="BF60" i="9"/>
  <c r="BF52" i="9"/>
  <c r="BF44" i="9"/>
  <c r="BF36" i="9"/>
  <c r="BF28" i="9"/>
  <c r="BF20" i="9"/>
  <c r="BF59" i="9"/>
  <c r="BF51" i="9"/>
  <c r="BF43" i="9"/>
  <c r="BF35" i="9"/>
  <c r="BF27" i="9"/>
  <c r="BF19" i="9"/>
  <c r="BF11" i="9"/>
  <c r="BF42" i="9"/>
  <c r="BF26" i="9"/>
  <c r="BF18" i="9"/>
  <c r="BF37" i="9"/>
  <c r="BF13" i="9"/>
  <c r="BF58" i="9"/>
  <c r="BF50" i="9"/>
  <c r="BF34" i="9"/>
  <c r="BF10" i="9"/>
  <c r="BF29" i="9"/>
  <c r="BF12" i="9"/>
  <c r="BF57" i="9"/>
  <c r="BF49" i="9"/>
  <c r="BF41" i="9"/>
  <c r="BF33" i="9"/>
  <c r="BF25" i="9"/>
  <c r="BF17" i="9"/>
  <c r="BF9" i="9"/>
  <c r="BF32" i="9"/>
  <c r="BF24" i="9"/>
  <c r="BF16" i="9"/>
  <c r="BF23" i="9"/>
  <c r="BF15" i="9"/>
  <c r="BF54" i="9"/>
  <c r="BF38" i="9"/>
  <c r="BF30" i="9"/>
  <c r="BF14" i="9"/>
  <c r="BF53" i="9"/>
  <c r="BF21" i="9"/>
  <c r="BF56" i="9"/>
  <c r="BF48" i="9"/>
  <c r="BF40" i="9"/>
  <c r="BF8" i="9"/>
  <c r="BF46" i="9"/>
  <c r="BF45" i="9"/>
  <c r="BF55" i="9"/>
  <c r="BF47" i="9"/>
  <c r="BF39" i="9"/>
  <c r="BF31" i="9"/>
  <c r="BF7" i="9"/>
  <c r="BF22" i="9"/>
  <c r="BF6" i="9"/>
  <c r="R53" i="1"/>
  <c r="R51" i="1" s="1"/>
  <c r="R49" i="1"/>
  <c r="R36" i="1"/>
  <c r="R40" i="1"/>
  <c r="R38" i="1" s="1"/>
  <c r="R33" i="1"/>
  <c r="AB16" i="1"/>
  <c r="Z16" i="1"/>
  <c r="AC16" i="1"/>
  <c r="AA16" i="1"/>
  <c r="AD16" i="1"/>
  <c r="AD49" i="1"/>
  <c r="AC49" i="1"/>
  <c r="AB49" i="1"/>
  <c r="AA49" i="1"/>
  <c r="Z49" i="1"/>
  <c r="AC53" i="1"/>
  <c r="AC51" i="1" s="1"/>
  <c r="AB53" i="1"/>
  <c r="AA53" i="1"/>
  <c r="AA51" i="1" s="1"/>
  <c r="Z53" i="1"/>
  <c r="Z51" i="1" s="1"/>
  <c r="AD53" i="1"/>
  <c r="AC36" i="1"/>
  <c r="AB36" i="1"/>
  <c r="AA36" i="1"/>
  <c r="Z36" i="1"/>
  <c r="AD36" i="1"/>
  <c r="AB33" i="1"/>
  <c r="AA33" i="1"/>
  <c r="AD33" i="1"/>
  <c r="Z33" i="1"/>
  <c r="AC33" i="1"/>
  <c r="BF183" i="9"/>
  <c r="U23" i="1" l="1"/>
  <c r="U50" i="1"/>
  <c r="U10" i="1" s="1"/>
  <c r="V50" i="1"/>
  <c r="V10" i="1" s="1"/>
  <c r="U37" i="1"/>
  <c r="U9" i="1" s="1"/>
  <c r="V37" i="1"/>
  <c r="V13" i="1"/>
  <c r="V22" i="1"/>
  <c r="V17" i="1"/>
  <c r="V24" i="1"/>
  <c r="BC4" i="7"/>
  <c r="K50" i="1"/>
  <c r="K10" i="1" s="1"/>
  <c r="T23" i="1"/>
  <c r="AD50" i="1"/>
  <c r="AN50" i="1" s="1"/>
  <c r="AB50" i="1"/>
  <c r="AB10" i="1" s="1"/>
  <c r="T50" i="1"/>
  <c r="T10" i="1" s="1"/>
  <c r="U13" i="1"/>
  <c r="Q50" i="1"/>
  <c r="Z50" i="1"/>
  <c r="Z10" i="1" s="1"/>
  <c r="AC50" i="1"/>
  <c r="AC10" i="1" s="1"/>
  <c r="AA50" i="1"/>
  <c r="AA10" i="1" s="1"/>
  <c r="U51" i="1"/>
  <c r="AU24" i="1"/>
  <c r="U44" i="1"/>
  <c r="U22" i="1" s="1"/>
  <c r="AU23" i="1"/>
  <c r="R50" i="1"/>
  <c r="R47" i="1" s="1"/>
  <c r="AU50" i="1"/>
  <c r="AU10" i="1" s="1"/>
  <c r="AU13" i="1"/>
  <c r="T37" i="1"/>
  <c r="T34" i="1" s="1"/>
  <c r="AU37" i="1"/>
  <c r="AU31" i="1"/>
  <c r="AU22" i="1" s="1"/>
  <c r="K23" i="1"/>
  <c r="AD37" i="1"/>
  <c r="AD34" i="1" s="1"/>
  <c r="AA37" i="1"/>
  <c r="AA9" i="1" s="1"/>
  <c r="Z37" i="1"/>
  <c r="Z34" i="1" s="1"/>
  <c r="AB37" i="1"/>
  <c r="AC37" i="1"/>
  <c r="AC23" i="1"/>
  <c r="AB23" i="1"/>
  <c r="AD23" i="1"/>
  <c r="Z23" i="1"/>
  <c r="AA23" i="1"/>
  <c r="AI25" i="1"/>
  <c r="AN25" i="1"/>
  <c r="AH25" i="1"/>
  <c r="AM25" i="1"/>
  <c r="AJ25" i="1"/>
  <c r="AE25" i="1"/>
  <c r="AL25" i="1"/>
  <c r="AG25" i="1"/>
  <c r="AK25" i="1"/>
  <c r="AF25" i="1"/>
  <c r="AM26" i="1"/>
  <c r="AH26" i="1"/>
  <c r="AH19" i="1"/>
  <c r="AF26" i="1"/>
  <c r="AK26" i="1"/>
  <c r="AM19" i="1"/>
  <c r="AL26" i="1"/>
  <c r="AG26" i="1"/>
  <c r="AN26" i="1"/>
  <c r="AI26" i="1"/>
  <c r="AE26" i="1"/>
  <c r="AJ26" i="1"/>
  <c r="N35" i="1"/>
  <c r="R23" i="1"/>
  <c r="K37" i="1"/>
  <c r="K34" i="1" s="1"/>
  <c r="R37" i="1"/>
  <c r="Q37" i="1"/>
  <c r="I36" i="1"/>
  <c r="J36" i="1" s="1"/>
  <c r="AM40" i="1"/>
  <c r="AD38" i="1"/>
  <c r="AN38" i="1" s="1"/>
  <c r="T17" i="1"/>
  <c r="R25" i="1"/>
  <c r="AI40" i="1"/>
  <c r="AL40" i="1"/>
  <c r="AM46" i="1"/>
  <c r="I19" i="1"/>
  <c r="J19" i="1" s="1"/>
  <c r="AE40" i="1"/>
  <c r="AL19" i="1"/>
  <c r="Z38" i="1"/>
  <c r="Z24" i="1" s="1"/>
  <c r="AC38" i="1"/>
  <c r="AC24" i="1" s="1"/>
  <c r="AH40" i="1"/>
  <c r="J64" i="1"/>
  <c r="J63" i="1"/>
  <c r="AH46" i="1"/>
  <c r="AC44" i="1"/>
  <c r="AB38" i="1"/>
  <c r="AL38" i="1" s="1"/>
  <c r="AG40" i="1"/>
  <c r="AG19" i="1"/>
  <c r="AA24" i="1"/>
  <c r="S26" i="1"/>
  <c r="R24" i="1"/>
  <c r="N41" i="1"/>
  <c r="I26" i="1"/>
  <c r="U36" i="2"/>
  <c r="AG36" i="2" s="1"/>
  <c r="U34" i="2"/>
  <c r="AG34" i="2" s="1"/>
  <c r="U33" i="2"/>
  <c r="AG33" i="2" s="1"/>
  <c r="U35" i="2"/>
  <c r="AG35" i="2" s="1"/>
  <c r="U30" i="2"/>
  <c r="AG30" i="2" s="1"/>
  <c r="AG23" i="2"/>
  <c r="U17" i="2"/>
  <c r="AG17" i="2" s="1"/>
  <c r="U16" i="2"/>
  <c r="AG16" i="2" s="1"/>
  <c r="K51" i="1"/>
  <c r="K24" i="1" s="1"/>
  <c r="L12" i="1"/>
  <c r="J12" i="1"/>
  <c r="AJ40" i="1"/>
  <c r="I40" i="1"/>
  <c r="N40" i="1" s="1"/>
  <c r="AK40" i="1"/>
  <c r="AF40" i="1"/>
  <c r="K31" i="1"/>
  <c r="K13" i="1"/>
  <c r="Q12" i="1"/>
  <c r="S12" i="1" s="1"/>
  <c r="U19" i="2"/>
  <c r="AG19" i="2" s="1"/>
  <c r="U12" i="2"/>
  <c r="AG12" i="2" s="1"/>
  <c r="AG22" i="2"/>
  <c r="Q11" i="1"/>
  <c r="S19" i="1"/>
  <c r="Q46" i="1"/>
  <c r="S46" i="1" s="1"/>
  <c r="S10" i="1"/>
  <c r="Q53" i="1"/>
  <c r="Q51" i="1" s="1"/>
  <c r="S51" i="1" s="1"/>
  <c r="AK33" i="1"/>
  <c r="AF33" i="1"/>
  <c r="AM53" i="1"/>
  <c r="AH53" i="1"/>
  <c r="AI44" i="1"/>
  <c r="AN44" i="1"/>
  <c r="AK36" i="1"/>
  <c r="AF36" i="1"/>
  <c r="L54" i="1"/>
  <c r="J54" i="1"/>
  <c r="AG44" i="1"/>
  <c r="AL44" i="1"/>
  <c r="AL33" i="1"/>
  <c r="AG33" i="1"/>
  <c r="AE53" i="1"/>
  <c r="AJ53" i="1"/>
  <c r="I53" i="1"/>
  <c r="N53" i="1" s="1"/>
  <c r="AD51" i="1"/>
  <c r="AI53" i="1"/>
  <c r="AN53" i="1"/>
  <c r="AE46" i="1"/>
  <c r="AJ46" i="1"/>
  <c r="I46" i="1"/>
  <c r="N46" i="1" s="1"/>
  <c r="AM33" i="1"/>
  <c r="AH33" i="1"/>
  <c r="AE33" i="1"/>
  <c r="AJ33" i="1"/>
  <c r="I33" i="1"/>
  <c r="N33" i="1" s="1"/>
  <c r="AJ36" i="1"/>
  <c r="AE36" i="1"/>
  <c r="AF53" i="1"/>
  <c r="AK53" i="1"/>
  <c r="AL46" i="1"/>
  <c r="AG46" i="1"/>
  <c r="AI33" i="1"/>
  <c r="AN33" i="1"/>
  <c r="AJ49" i="1"/>
  <c r="AE49" i="1"/>
  <c r="AI46" i="1"/>
  <c r="AN46" i="1"/>
  <c r="AB51" i="1"/>
  <c r="AL53" i="1"/>
  <c r="AG53" i="1"/>
  <c r="AK46" i="1"/>
  <c r="AF46" i="1"/>
  <c r="L48" i="1"/>
  <c r="J48" i="1"/>
  <c r="AF19" i="1"/>
  <c r="AK19" i="1"/>
  <c r="L32" i="1"/>
  <c r="J32" i="1"/>
  <c r="L35" i="1"/>
  <c r="J35" i="1"/>
  <c r="L39" i="1"/>
  <c r="J39" i="1"/>
  <c r="L45" i="1"/>
  <c r="J45" i="1"/>
  <c r="AE19" i="1"/>
  <c r="AJ19" i="1"/>
  <c r="L52" i="1"/>
  <c r="J52" i="1"/>
  <c r="L41" i="1"/>
  <c r="J41" i="1"/>
  <c r="AF38" i="1"/>
  <c r="AK38" i="1"/>
  <c r="R44" i="1"/>
  <c r="AD31" i="1"/>
  <c r="AD22" i="1" s="1"/>
  <c r="AN22" i="1" s="1"/>
  <c r="AD13" i="1"/>
  <c r="AB31" i="1"/>
  <c r="AB22" i="1" s="1"/>
  <c r="AB13" i="1"/>
  <c r="Z13" i="1"/>
  <c r="AA31" i="1"/>
  <c r="AA13" i="1"/>
  <c r="AC31" i="1"/>
  <c r="AC13" i="1"/>
  <c r="Q49" i="1"/>
  <c r="Q33" i="1"/>
  <c r="Q40" i="1"/>
  <c r="Q36" i="1"/>
  <c r="T22" i="1"/>
  <c r="T13" i="1"/>
  <c r="R13" i="1"/>
  <c r="R31" i="1"/>
  <c r="D8" i="2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Q29" i="2"/>
  <c r="Q36" i="2"/>
  <c r="R27" i="2"/>
  <c r="R34" i="2"/>
  <c r="Q22" i="2"/>
  <c r="Q34" i="2"/>
  <c r="R21" i="2"/>
  <c r="R17" i="2"/>
  <c r="Q12" i="2"/>
  <c r="Q14" i="2"/>
  <c r="R23" i="2"/>
  <c r="H47" i="2"/>
  <c r="R14" i="2"/>
  <c r="R36" i="2"/>
  <c r="Q24" i="2"/>
  <c r="Q37" i="2"/>
  <c r="Q11" i="2"/>
  <c r="Q8" i="2"/>
  <c r="R9" i="2"/>
  <c r="R15" i="2"/>
  <c r="R8" i="2"/>
  <c r="Q32" i="2"/>
  <c r="R19" i="2"/>
  <c r="Q35" i="2"/>
  <c r="R29" i="2"/>
  <c r="Q33" i="2"/>
  <c r="R26" i="2"/>
  <c r="Q30" i="2"/>
  <c r="R31" i="2"/>
  <c r="R37" i="2"/>
  <c r="Q19" i="2"/>
  <c r="Q21" i="2"/>
  <c r="Q13" i="2"/>
  <c r="R20" i="2"/>
  <c r="AC47" i="2"/>
  <c r="R24" i="2"/>
  <c r="Q27" i="2"/>
  <c r="R13" i="2"/>
  <c r="R25" i="2"/>
  <c r="Q17" i="2"/>
  <c r="R18" i="2"/>
  <c r="R12" i="2"/>
  <c r="Q28" i="2"/>
  <c r="Q10" i="2"/>
  <c r="R28" i="2"/>
  <c r="Q26" i="2"/>
  <c r="R30" i="2"/>
  <c r="Q23" i="2"/>
  <c r="Q25" i="2"/>
  <c r="Q31" i="2"/>
  <c r="R11" i="2"/>
  <c r="R47" i="2"/>
  <c r="Q15" i="2"/>
  <c r="Q20" i="2"/>
  <c r="R32" i="2"/>
  <c r="R22" i="2"/>
  <c r="Q16" i="2"/>
  <c r="M47" i="2"/>
  <c r="R10" i="2"/>
  <c r="R33" i="2"/>
  <c r="Q9" i="2"/>
  <c r="R16" i="2"/>
  <c r="Q18" i="2"/>
  <c r="R35" i="2"/>
  <c r="AK9" i="1" l="1"/>
  <c r="U47" i="1"/>
  <c r="U43" i="1" s="1"/>
  <c r="U27" i="1"/>
  <c r="U34" i="1"/>
  <c r="V27" i="1"/>
  <c r="V21" i="1" s="1"/>
  <c r="V34" i="1"/>
  <c r="V9" i="1"/>
  <c r="V8" i="1" s="1"/>
  <c r="V14" i="1" s="1"/>
  <c r="V47" i="1"/>
  <c r="V43" i="1" s="1"/>
  <c r="T47" i="1"/>
  <c r="T43" i="1" s="1"/>
  <c r="I50" i="1"/>
  <c r="J50" i="1" s="1"/>
  <c r="AL50" i="1"/>
  <c r="AG50" i="1"/>
  <c r="K47" i="1"/>
  <c r="K61" i="1" s="1"/>
  <c r="AB47" i="1"/>
  <c r="AB43" i="1" s="1"/>
  <c r="AI50" i="1"/>
  <c r="AD10" i="1"/>
  <c r="AI10" i="1" s="1"/>
  <c r="AD47" i="1"/>
  <c r="AD43" i="1" s="1"/>
  <c r="AF10" i="1"/>
  <c r="AK10" i="1"/>
  <c r="Q47" i="1"/>
  <c r="S47" i="1" s="1"/>
  <c r="U24" i="1"/>
  <c r="AK44" i="1"/>
  <c r="U17" i="1"/>
  <c r="AF44" i="1"/>
  <c r="AH50" i="1"/>
  <c r="AJ50" i="1"/>
  <c r="AA47" i="1"/>
  <c r="AA43" i="1" s="1"/>
  <c r="AE50" i="1"/>
  <c r="Z47" i="1"/>
  <c r="AC47" i="1"/>
  <c r="AC43" i="1" s="1"/>
  <c r="U30" i="1"/>
  <c r="AK50" i="1"/>
  <c r="AF50" i="1"/>
  <c r="AM50" i="1"/>
  <c r="U8" i="1"/>
  <c r="AU17" i="1"/>
  <c r="S50" i="1"/>
  <c r="AU47" i="1"/>
  <c r="AU43" i="1" s="1"/>
  <c r="AU34" i="1"/>
  <c r="AU9" i="1"/>
  <c r="AU8" i="1" s="1"/>
  <c r="AU14" i="1" s="1"/>
  <c r="AU27" i="1"/>
  <c r="AU21" i="1" s="1"/>
  <c r="AL10" i="1"/>
  <c r="I10" i="1"/>
  <c r="N10" i="1" s="1"/>
  <c r="AC27" i="1"/>
  <c r="AC9" i="1"/>
  <c r="AC8" i="1" s="1"/>
  <c r="AC14" i="1" s="1"/>
  <c r="AB9" i="1"/>
  <c r="AB8" i="1" s="1"/>
  <c r="AB14" i="1" s="1"/>
  <c r="AB27" i="1"/>
  <c r="Z27" i="1"/>
  <c r="Z9" i="1"/>
  <c r="AA8" i="1"/>
  <c r="AA14" i="1" s="1"/>
  <c r="AA27" i="1"/>
  <c r="AB34" i="1"/>
  <c r="AB30" i="1" s="1"/>
  <c r="AD27" i="1"/>
  <c r="AD9" i="1"/>
  <c r="AN37" i="1"/>
  <c r="AI37" i="1"/>
  <c r="AA34" i="1"/>
  <c r="AA30" i="1" s="1"/>
  <c r="AC34" i="1"/>
  <c r="AC30" i="1" s="1"/>
  <c r="AG10" i="1"/>
  <c r="R34" i="1"/>
  <c r="R18" i="1" s="1"/>
  <c r="R9" i="1"/>
  <c r="R8" i="1" s="1"/>
  <c r="R7" i="1" s="1"/>
  <c r="R27" i="1"/>
  <c r="AM51" i="1"/>
  <c r="AH51" i="1"/>
  <c r="K27" i="1"/>
  <c r="K9" i="1"/>
  <c r="K8" i="1" s="1"/>
  <c r="C8" i="1" s="1"/>
  <c r="AL37" i="1"/>
  <c r="AG37" i="1"/>
  <c r="T27" i="1"/>
  <c r="AE37" i="1"/>
  <c r="AJ37" i="1"/>
  <c r="T9" i="1"/>
  <c r="AM37" i="1"/>
  <c r="AH37" i="1"/>
  <c r="AF37" i="1"/>
  <c r="AK37" i="1"/>
  <c r="AH10" i="1"/>
  <c r="AM10" i="1"/>
  <c r="Q9" i="1"/>
  <c r="Q27" i="1"/>
  <c r="T30" i="1"/>
  <c r="Q34" i="1"/>
  <c r="Q23" i="1"/>
  <c r="I37" i="1"/>
  <c r="L37" i="1" s="1"/>
  <c r="S37" i="1"/>
  <c r="L36" i="1"/>
  <c r="AH44" i="1"/>
  <c r="I44" i="1"/>
  <c r="N44" i="1" s="1"/>
  <c r="AI38" i="1"/>
  <c r="Q25" i="1"/>
  <c r="S25" i="1" s="1"/>
  <c r="R17" i="1"/>
  <c r="N19" i="1"/>
  <c r="L19" i="1"/>
  <c r="I9" i="2"/>
  <c r="V9" i="2"/>
  <c r="AH9" i="2" s="1"/>
  <c r="J19" i="2"/>
  <c r="AD37" i="2"/>
  <c r="AD22" i="2"/>
  <c r="E27" i="2"/>
  <c r="W28" i="2"/>
  <c r="AI28" i="2" s="1"/>
  <c r="I19" i="2"/>
  <c r="V19" i="2"/>
  <c r="AH19" i="2" s="1"/>
  <c r="V26" i="2"/>
  <c r="AH26" i="2" s="1"/>
  <c r="I26" i="2"/>
  <c r="I24" i="2"/>
  <c r="V24" i="2"/>
  <c r="AH24" i="2" s="1"/>
  <c r="Z33" i="2"/>
  <c r="S9" i="2"/>
  <c r="N15" i="2"/>
  <c r="Z17" i="2"/>
  <c r="I17" i="2"/>
  <c r="V17" i="2"/>
  <c r="AH17" i="2" s="1"/>
  <c r="S16" i="2"/>
  <c r="J17" i="2"/>
  <c r="V15" i="2"/>
  <c r="AH15" i="2" s="1"/>
  <c r="I15" i="2"/>
  <c r="E10" i="2"/>
  <c r="W11" i="2"/>
  <c r="AI11" i="2" s="1"/>
  <c r="S35" i="2"/>
  <c r="Z36" i="2"/>
  <c r="E13" i="2"/>
  <c r="W14" i="2"/>
  <c r="AI14" i="2" s="1"/>
  <c r="J21" i="2"/>
  <c r="S14" i="2"/>
  <c r="Z16" i="2"/>
  <c r="I14" i="2"/>
  <c r="V14" i="2"/>
  <c r="AH14" i="2" s="1"/>
  <c r="J31" i="2"/>
  <c r="N27" i="2"/>
  <c r="J30" i="2"/>
  <c r="E31" i="2"/>
  <c r="W32" i="2"/>
  <c r="AI32" i="2" s="1"/>
  <c r="O35" i="2"/>
  <c r="Z9" i="2"/>
  <c r="J25" i="2"/>
  <c r="J34" i="2"/>
  <c r="O8" i="2"/>
  <c r="J28" i="2"/>
  <c r="E33" i="2"/>
  <c r="W34" i="2"/>
  <c r="AI34" i="2" s="1"/>
  <c r="E36" i="2"/>
  <c r="W37" i="2"/>
  <c r="AI37" i="2" s="1"/>
  <c r="S11" i="2"/>
  <c r="O32" i="2"/>
  <c r="J13" i="2"/>
  <c r="N36" i="2"/>
  <c r="Z20" i="2"/>
  <c r="J27" i="2"/>
  <c r="O26" i="2"/>
  <c r="N16" i="2"/>
  <c r="O30" i="2"/>
  <c r="S33" i="2"/>
  <c r="I12" i="2"/>
  <c r="V12" i="2"/>
  <c r="AH12" i="2" s="1"/>
  <c r="N26" i="2"/>
  <c r="J22" i="2"/>
  <c r="I16" i="2"/>
  <c r="V16" i="2"/>
  <c r="AH16" i="2" s="1"/>
  <c r="AD8" i="2"/>
  <c r="S23" i="2"/>
  <c r="S10" i="2"/>
  <c r="O15" i="2"/>
  <c r="E22" i="2"/>
  <c r="W23" i="2"/>
  <c r="AI23" i="2" s="1"/>
  <c r="AD19" i="2"/>
  <c r="W29" i="2"/>
  <c r="AI29" i="2" s="1"/>
  <c r="E28" i="2"/>
  <c r="S28" i="2"/>
  <c r="O14" i="2"/>
  <c r="J11" i="2"/>
  <c r="J18" i="2"/>
  <c r="S34" i="2"/>
  <c r="I10" i="2"/>
  <c r="V10" i="2"/>
  <c r="AH10" i="2" s="1"/>
  <c r="AD9" i="2"/>
  <c r="AD35" i="2"/>
  <c r="N31" i="2"/>
  <c r="F38" i="2"/>
  <c r="G38" i="2"/>
  <c r="V27" i="2"/>
  <c r="AH27" i="2" s="1"/>
  <c r="I27" i="2"/>
  <c r="J26" i="2"/>
  <c r="Z21" i="2"/>
  <c r="S15" i="2"/>
  <c r="O20" i="2"/>
  <c r="I25" i="2"/>
  <c r="V25" i="2"/>
  <c r="AH25" i="2" s="1"/>
  <c r="AD14" i="2"/>
  <c r="N18" i="2"/>
  <c r="Z30" i="2"/>
  <c r="J10" i="2"/>
  <c r="O11" i="2"/>
  <c r="J7" i="2"/>
  <c r="I35" i="2"/>
  <c r="V35" i="2"/>
  <c r="AH35" i="2" s="1"/>
  <c r="S27" i="2"/>
  <c r="V21" i="2"/>
  <c r="AH21" i="2" s="1"/>
  <c r="I21" i="2"/>
  <c r="AD18" i="2"/>
  <c r="S29" i="2"/>
  <c r="O31" i="2"/>
  <c r="Z10" i="2"/>
  <c r="V30" i="2"/>
  <c r="AH30" i="2" s="1"/>
  <c r="I30" i="2"/>
  <c r="N24" i="2"/>
  <c r="AD29" i="2"/>
  <c r="S32" i="2"/>
  <c r="AD31" i="2"/>
  <c r="I32" i="2"/>
  <c r="V32" i="2"/>
  <c r="AH32" i="2" s="1"/>
  <c r="AD12" i="2"/>
  <c r="W15" i="2"/>
  <c r="AI15" i="2" s="1"/>
  <c r="E14" i="2"/>
  <c r="S17" i="2"/>
  <c r="E8" i="2"/>
  <c r="W9" i="2"/>
  <c r="AI9" i="2" s="1"/>
  <c r="E21" i="2"/>
  <c r="W22" i="2"/>
  <c r="AI22" i="2" s="1"/>
  <c r="Z27" i="2"/>
  <c r="AD34" i="2"/>
  <c r="N25" i="2"/>
  <c r="E32" i="2"/>
  <c r="W33" i="2"/>
  <c r="AI33" i="2" s="1"/>
  <c r="N21" i="2"/>
  <c r="AD30" i="2"/>
  <c r="Z19" i="2"/>
  <c r="N29" i="2"/>
  <c r="S26" i="2"/>
  <c r="Z18" i="2"/>
  <c r="Z23" i="2"/>
  <c r="J32" i="2"/>
  <c r="J23" i="2"/>
  <c r="E29" i="2"/>
  <c r="W30" i="2"/>
  <c r="AI30" i="2" s="1"/>
  <c r="O17" i="2"/>
  <c r="O18" i="2"/>
  <c r="N9" i="2"/>
  <c r="E12" i="2"/>
  <c r="W13" i="2"/>
  <c r="AI13" i="2" s="1"/>
  <c r="V23" i="2"/>
  <c r="AH23" i="2" s="1"/>
  <c r="I23" i="2"/>
  <c r="W10" i="2"/>
  <c r="AI10" i="2" s="1"/>
  <c r="E9" i="2"/>
  <c r="AD21" i="2"/>
  <c r="AD20" i="2"/>
  <c r="J16" i="2"/>
  <c r="N12" i="2"/>
  <c r="N11" i="2"/>
  <c r="S25" i="2"/>
  <c r="V33" i="2"/>
  <c r="AH33" i="2" s="1"/>
  <c r="I33" i="2"/>
  <c r="V29" i="2"/>
  <c r="AH29" i="2" s="1"/>
  <c r="I29" i="2"/>
  <c r="W25" i="2"/>
  <c r="AI25" i="2" s="1"/>
  <c r="E24" i="2"/>
  <c r="E16" i="2"/>
  <c r="W17" i="2"/>
  <c r="AI17" i="2" s="1"/>
  <c r="N8" i="2"/>
  <c r="J15" i="2"/>
  <c r="O34" i="2"/>
  <c r="O22" i="2"/>
  <c r="I22" i="2"/>
  <c r="V22" i="2"/>
  <c r="AH22" i="2" s="1"/>
  <c r="J24" i="2"/>
  <c r="N13" i="2"/>
  <c r="N33" i="2"/>
  <c r="S37" i="2"/>
  <c r="I36" i="2"/>
  <c r="V36" i="2"/>
  <c r="AH36" i="2" s="1"/>
  <c r="O10" i="2"/>
  <c r="E35" i="2"/>
  <c r="W36" i="2"/>
  <c r="AI36" i="2" s="1"/>
  <c r="O25" i="2"/>
  <c r="V8" i="2"/>
  <c r="AH8" i="2" s="1"/>
  <c r="I8" i="2"/>
  <c r="I20" i="2"/>
  <c r="V20" i="2"/>
  <c r="AH20" i="2" s="1"/>
  <c r="Z29" i="2"/>
  <c r="AD28" i="2"/>
  <c r="E19" i="2"/>
  <c r="W20" i="2"/>
  <c r="AI20" i="2" s="1"/>
  <c r="AD11" i="2"/>
  <c r="J33" i="2"/>
  <c r="Z7" i="2"/>
  <c r="E20" i="2"/>
  <c r="W21" i="2"/>
  <c r="AI21" i="2" s="1"/>
  <c r="Z13" i="2"/>
  <c r="AD10" i="2"/>
  <c r="N30" i="2"/>
  <c r="O33" i="2"/>
  <c r="J20" i="2"/>
  <c r="N34" i="2"/>
  <c r="AD33" i="2"/>
  <c r="Z24" i="2"/>
  <c r="O7" i="2"/>
  <c r="Z25" i="2"/>
  <c r="Z22" i="2"/>
  <c r="Z8" i="2"/>
  <c r="O29" i="2"/>
  <c r="J35" i="2"/>
  <c r="N23" i="2"/>
  <c r="E25" i="2"/>
  <c r="W26" i="2"/>
  <c r="AI26" i="2" s="1"/>
  <c r="O27" i="2"/>
  <c r="S21" i="2"/>
  <c r="O12" i="2"/>
  <c r="J9" i="2"/>
  <c r="V13" i="2"/>
  <c r="AH13" i="2" s="1"/>
  <c r="I13" i="2"/>
  <c r="O28" i="2"/>
  <c r="O36" i="2"/>
  <c r="N35" i="2"/>
  <c r="AD36" i="2"/>
  <c r="S24" i="2"/>
  <c r="S22" i="2"/>
  <c r="W35" i="2"/>
  <c r="AI35" i="2" s="1"/>
  <c r="E34" i="2"/>
  <c r="I37" i="2"/>
  <c r="V37" i="2"/>
  <c r="AH37" i="2" s="1"/>
  <c r="E26" i="2"/>
  <c r="W27" i="2"/>
  <c r="AI27" i="2" s="1"/>
  <c r="Z26" i="2"/>
  <c r="W12" i="2"/>
  <c r="AI12" i="2" s="1"/>
  <c r="E11" i="2"/>
  <c r="AD16" i="2"/>
  <c r="AD26" i="2"/>
  <c r="J12" i="2"/>
  <c r="N10" i="2"/>
  <c r="N17" i="2"/>
  <c r="I31" i="2"/>
  <c r="V31" i="2"/>
  <c r="AH31" i="2" s="1"/>
  <c r="O16" i="2"/>
  <c r="O13" i="2"/>
  <c r="N28" i="2"/>
  <c r="Z35" i="2"/>
  <c r="E7" i="2"/>
  <c r="W8" i="2"/>
  <c r="AI8" i="2" s="1"/>
  <c r="AD17" i="2"/>
  <c r="AD15" i="2"/>
  <c r="Z12" i="2"/>
  <c r="Z14" i="2"/>
  <c r="S19" i="2"/>
  <c r="E18" i="2"/>
  <c r="W19" i="2"/>
  <c r="AI19" i="2" s="1"/>
  <c r="Z11" i="2"/>
  <c r="Z34" i="2"/>
  <c r="N22" i="2"/>
  <c r="O24" i="2"/>
  <c r="J36" i="2"/>
  <c r="E15" i="2"/>
  <c r="W16" i="2"/>
  <c r="AI16" i="2" s="1"/>
  <c r="N32" i="2"/>
  <c r="J8" i="2"/>
  <c r="S30" i="2"/>
  <c r="S20" i="2"/>
  <c r="E23" i="2"/>
  <c r="W24" i="2"/>
  <c r="AI24" i="2" s="1"/>
  <c r="Z28" i="2"/>
  <c r="N20" i="2"/>
  <c r="I18" i="2"/>
  <c r="V18" i="2"/>
  <c r="AH18" i="2" s="1"/>
  <c r="AD25" i="2"/>
  <c r="O23" i="2"/>
  <c r="V34" i="2"/>
  <c r="AH34" i="2" s="1"/>
  <c r="I34" i="2"/>
  <c r="S36" i="2"/>
  <c r="O21" i="2"/>
  <c r="AD13" i="2"/>
  <c r="E17" i="2"/>
  <c r="W18" i="2"/>
  <c r="AI18" i="2" s="1"/>
  <c r="Z32" i="2"/>
  <c r="AB38" i="2"/>
  <c r="I28" i="2"/>
  <c r="V28" i="2"/>
  <c r="AH28" i="2" s="1"/>
  <c r="S31" i="2"/>
  <c r="Z31" i="2"/>
  <c r="N19" i="2"/>
  <c r="O19" i="2"/>
  <c r="J29" i="2"/>
  <c r="E30" i="2"/>
  <c r="W31" i="2"/>
  <c r="AI31" i="2" s="1"/>
  <c r="Z15" i="2"/>
  <c r="AD23" i="2"/>
  <c r="S8" i="2"/>
  <c r="J14" i="2"/>
  <c r="N14" i="2"/>
  <c r="AD32" i="2"/>
  <c r="I11" i="2"/>
  <c r="V11" i="2"/>
  <c r="AH11" i="2" s="1"/>
  <c r="O9" i="2"/>
  <c r="S18" i="2"/>
  <c r="N37" i="2"/>
  <c r="AD24" i="2"/>
  <c r="AD27" i="2"/>
  <c r="S12" i="2"/>
  <c r="S13" i="2"/>
  <c r="AH38" i="1"/>
  <c r="AM38" i="1"/>
  <c r="AM44" i="1"/>
  <c r="AC22" i="1"/>
  <c r="AG38" i="1"/>
  <c r="AB24" i="1"/>
  <c r="AL22" i="1"/>
  <c r="R22" i="1"/>
  <c r="J26" i="1"/>
  <c r="L26" i="1"/>
  <c r="N26" i="1"/>
  <c r="AE38" i="1"/>
  <c r="T24" i="1"/>
  <c r="AI22" i="1"/>
  <c r="AA22" i="1"/>
  <c r="AG22" i="1"/>
  <c r="AD24" i="1"/>
  <c r="K30" i="1"/>
  <c r="K22" i="1"/>
  <c r="K56" i="1"/>
  <c r="K58" i="1"/>
  <c r="I38" i="1"/>
  <c r="AJ38" i="1"/>
  <c r="U31" i="2"/>
  <c r="AG31" i="2" s="1"/>
  <c r="U37" i="2"/>
  <c r="AG37" i="2" s="1"/>
  <c r="J40" i="1"/>
  <c r="L40" i="1"/>
  <c r="C13" i="1"/>
  <c r="AK51" i="1"/>
  <c r="AE51" i="1"/>
  <c r="AL17" i="1"/>
  <c r="AG17" i="1"/>
  <c r="AN17" i="1"/>
  <c r="AI17" i="1"/>
  <c r="Q44" i="1"/>
  <c r="S44" i="1" s="1"/>
  <c r="S53" i="1"/>
  <c r="AE34" i="1"/>
  <c r="AD30" i="1"/>
  <c r="I51" i="1"/>
  <c r="AG31" i="1"/>
  <c r="AL31" i="1"/>
  <c r="AJ51" i="1"/>
  <c r="AI51" i="1"/>
  <c r="AN51" i="1"/>
  <c r="L53" i="1"/>
  <c r="J53" i="1"/>
  <c r="AJ13" i="1"/>
  <c r="AE13" i="1"/>
  <c r="AM31" i="1"/>
  <c r="AH31" i="1"/>
  <c r="AF51" i="1"/>
  <c r="AL51" i="1"/>
  <c r="AG51" i="1"/>
  <c r="L46" i="1"/>
  <c r="J46" i="1"/>
  <c r="AI31" i="1"/>
  <c r="AN31" i="1"/>
  <c r="L33" i="1"/>
  <c r="J33" i="1"/>
  <c r="I31" i="1"/>
  <c r="AK31" i="1"/>
  <c r="AF31" i="1"/>
  <c r="R43" i="1"/>
  <c r="S36" i="1"/>
  <c r="Q38" i="1"/>
  <c r="S40" i="1"/>
  <c r="Q31" i="1"/>
  <c r="S33" i="1"/>
  <c r="S49" i="1"/>
  <c r="Q13" i="1"/>
  <c r="U18" i="1" l="1"/>
  <c r="L50" i="1"/>
  <c r="V7" i="1"/>
  <c r="T56" i="1"/>
  <c r="K43" i="1"/>
  <c r="V30" i="1"/>
  <c r="V18" i="1"/>
  <c r="V16" i="1" s="1"/>
  <c r="AJ47" i="1"/>
  <c r="K57" i="1"/>
  <c r="K42" i="1"/>
  <c r="AE47" i="1"/>
  <c r="AN10" i="1"/>
  <c r="R14" i="1"/>
  <c r="AC7" i="1"/>
  <c r="AK24" i="1"/>
  <c r="AF24" i="1"/>
  <c r="U21" i="1"/>
  <c r="U16" i="1"/>
  <c r="U14" i="1"/>
  <c r="U7" i="1"/>
  <c r="K14" i="1"/>
  <c r="K7" i="1"/>
  <c r="C7" i="1" s="1"/>
  <c r="Z38" i="2"/>
  <c r="T18" i="2"/>
  <c r="AF18" i="2" s="1"/>
  <c r="T26" i="2"/>
  <c r="AF26" i="2" s="1"/>
  <c r="T35" i="2"/>
  <c r="AF35" i="2" s="1"/>
  <c r="T34" i="2"/>
  <c r="T11" i="2"/>
  <c r="AF11" i="2" s="1"/>
  <c r="T29" i="2"/>
  <c r="AF29" i="2" s="1"/>
  <c r="T21" i="2"/>
  <c r="AF21" i="2" s="1"/>
  <c r="T30" i="2"/>
  <c r="AF30" i="2" s="1"/>
  <c r="T13" i="2"/>
  <c r="AF13" i="2" s="1"/>
  <c r="T19" i="2"/>
  <c r="AF19" i="2" s="1"/>
  <c r="T16" i="2"/>
  <c r="AF16" i="2" s="1"/>
  <c r="T28" i="2"/>
  <c r="AF28" i="2" s="1"/>
  <c r="T22" i="2"/>
  <c r="AF22" i="2" s="1"/>
  <c r="E38" i="2"/>
  <c r="T24" i="2"/>
  <c r="AF24" i="2" s="1"/>
  <c r="T8" i="2"/>
  <c r="AF8" i="2" s="1"/>
  <c r="T20" i="2"/>
  <c r="AF20" i="2" s="1"/>
  <c r="T14" i="2"/>
  <c r="AF14" i="2" s="1"/>
  <c r="T33" i="2"/>
  <c r="AF33" i="2" s="1"/>
  <c r="AU18" i="1"/>
  <c r="AU16" i="1" s="1"/>
  <c r="AU30" i="1"/>
  <c r="T21" i="1"/>
  <c r="AC21" i="1"/>
  <c r="AU7" i="1"/>
  <c r="AB21" i="1"/>
  <c r="R21" i="1"/>
  <c r="S27" i="1"/>
  <c r="R30" i="1"/>
  <c r="AB7" i="1"/>
  <c r="AA7" i="1"/>
  <c r="AD8" i="1"/>
  <c r="AI9" i="1"/>
  <c r="AN9" i="1"/>
  <c r="AA21" i="1"/>
  <c r="AN27" i="1"/>
  <c r="AI27" i="1"/>
  <c r="AG24" i="1"/>
  <c r="AF34" i="1"/>
  <c r="K21" i="1"/>
  <c r="AL24" i="1"/>
  <c r="AI24" i="1"/>
  <c r="AN24" i="1"/>
  <c r="AD21" i="1"/>
  <c r="T18" i="1"/>
  <c r="AJ18" i="1" s="1"/>
  <c r="AM24" i="1"/>
  <c r="AH24" i="1"/>
  <c r="Q8" i="1"/>
  <c r="Q14" i="1" s="1"/>
  <c r="S9" i="1"/>
  <c r="AM27" i="1"/>
  <c r="AH27" i="1"/>
  <c r="AK27" i="1"/>
  <c r="AF27" i="1"/>
  <c r="I9" i="1"/>
  <c r="T8" i="1"/>
  <c r="AK34" i="1"/>
  <c r="AE24" i="1"/>
  <c r="AJ24" i="1"/>
  <c r="AE27" i="1"/>
  <c r="AJ27" i="1"/>
  <c r="AL9" i="1"/>
  <c r="AG9" i="1"/>
  <c r="AJ34" i="1"/>
  <c r="J10" i="1"/>
  <c r="L10" i="1"/>
  <c r="AM9" i="1"/>
  <c r="AH9" i="1"/>
  <c r="AF9" i="1"/>
  <c r="AL27" i="1"/>
  <c r="AG27" i="1"/>
  <c r="J37" i="1"/>
  <c r="I27" i="1"/>
  <c r="R16" i="1"/>
  <c r="AJ14" i="2"/>
  <c r="J38" i="2"/>
  <c r="J44" i="1"/>
  <c r="L44" i="1"/>
  <c r="I22" i="1"/>
  <c r="L22" i="1" s="1"/>
  <c r="X28" i="2"/>
  <c r="AJ34" i="2"/>
  <c r="AJ19" i="2"/>
  <c r="AJ22" i="2"/>
  <c r="AJ26" i="2"/>
  <c r="AJ16" i="2"/>
  <c r="X32" i="2"/>
  <c r="AJ10" i="2"/>
  <c r="T36" i="2"/>
  <c r="AF36" i="2" s="1"/>
  <c r="AJ20" i="2"/>
  <c r="X9" i="2"/>
  <c r="AJ15" i="2"/>
  <c r="Z37" i="2"/>
  <c r="T25" i="2"/>
  <c r="AF25" i="2" s="1"/>
  <c r="AJ33" i="2"/>
  <c r="T23" i="2"/>
  <c r="AF23" i="2" s="1"/>
  <c r="X15" i="2"/>
  <c r="X20" i="2"/>
  <c r="AJ8" i="2"/>
  <c r="AJ13" i="2"/>
  <c r="AJ18" i="2"/>
  <c r="T17" i="2"/>
  <c r="AF17" i="2" s="1"/>
  <c r="T10" i="2"/>
  <c r="AF10" i="2" s="1"/>
  <c r="AJ29" i="2"/>
  <c r="AJ9" i="2"/>
  <c r="AJ27" i="2"/>
  <c r="T15" i="2"/>
  <c r="AF15" i="2" s="1"/>
  <c r="AJ12" i="2"/>
  <c r="T27" i="2"/>
  <c r="AF27" i="2" s="1"/>
  <c r="AJ17" i="2"/>
  <c r="T31" i="2"/>
  <c r="AF31" i="2" s="1"/>
  <c r="X11" i="2"/>
  <c r="X13" i="2"/>
  <c r="AJ28" i="2"/>
  <c r="X26" i="2"/>
  <c r="AJ11" i="2"/>
  <c r="X19" i="2"/>
  <c r="X8" i="2"/>
  <c r="AJ36" i="2"/>
  <c r="AJ21" i="2"/>
  <c r="AJ24" i="2"/>
  <c r="X29" i="2"/>
  <c r="T12" i="2"/>
  <c r="AF12" i="2" s="1"/>
  <c r="X14" i="2"/>
  <c r="X23" i="2"/>
  <c r="T32" i="2"/>
  <c r="AF32" i="2" s="1"/>
  <c r="AJ35" i="2"/>
  <c r="X34" i="2"/>
  <c r="X17" i="2"/>
  <c r="O38" i="2"/>
  <c r="AJ32" i="2"/>
  <c r="X25" i="2"/>
  <c r="X31" i="2"/>
  <c r="Q17" i="1"/>
  <c r="S17" i="1" s="1"/>
  <c r="X27" i="2"/>
  <c r="X16" i="2"/>
  <c r="O37" i="2"/>
  <c r="AJ31" i="2"/>
  <c r="AJ25" i="2"/>
  <c r="X33" i="2"/>
  <c r="X18" i="2"/>
  <c r="X30" i="2"/>
  <c r="X37" i="2"/>
  <c r="E37" i="2"/>
  <c r="X10" i="2"/>
  <c r="X36" i="2"/>
  <c r="X35" i="2"/>
  <c r="X24" i="2"/>
  <c r="AJ23" i="2"/>
  <c r="T9" i="2"/>
  <c r="AF9" i="2" s="1"/>
  <c r="X22" i="2"/>
  <c r="J37" i="2"/>
  <c r="U32" i="2" s="1"/>
  <c r="AG32" i="2" s="1"/>
  <c r="T7" i="2"/>
  <c r="AF7" i="2" s="1"/>
  <c r="AJ37" i="2"/>
  <c r="X21" i="2"/>
  <c r="AJ30" i="2"/>
  <c r="X12" i="2"/>
  <c r="AI36" i="1"/>
  <c r="AN36" i="1"/>
  <c r="AM36" i="1"/>
  <c r="AH36" i="1"/>
  <c r="AL36" i="1"/>
  <c r="AG36" i="1"/>
  <c r="AK49" i="1"/>
  <c r="AF49" i="1"/>
  <c r="Q22" i="1"/>
  <c r="AK22" i="1"/>
  <c r="AF22" i="1"/>
  <c r="S38" i="1"/>
  <c r="Q24" i="1"/>
  <c r="S24" i="1" s="1"/>
  <c r="AH22" i="1"/>
  <c r="AM22" i="1"/>
  <c r="S34" i="1"/>
  <c r="S23" i="1"/>
  <c r="N38" i="1"/>
  <c r="I24" i="1"/>
  <c r="AE23" i="1"/>
  <c r="AJ23" i="1"/>
  <c r="N51" i="1"/>
  <c r="I58" i="1"/>
  <c r="L58" i="1" s="1"/>
  <c r="N31" i="1"/>
  <c r="I56" i="1"/>
  <c r="L56" i="1" s="1"/>
  <c r="L38" i="1"/>
  <c r="J38" i="1"/>
  <c r="AM17" i="1"/>
  <c r="AH17" i="1"/>
  <c r="S11" i="1"/>
  <c r="J51" i="1"/>
  <c r="L51" i="1"/>
  <c r="AE17" i="1"/>
  <c r="AJ17" i="1"/>
  <c r="I17" i="1"/>
  <c r="AK17" i="1"/>
  <c r="AF17" i="1"/>
  <c r="L31" i="1"/>
  <c r="J31" i="1"/>
  <c r="AF30" i="1"/>
  <c r="Q30" i="1"/>
  <c r="S31" i="1"/>
  <c r="Q18" i="1"/>
  <c r="Q43" i="1"/>
  <c r="S13" i="1"/>
  <c r="S14" i="1" l="1"/>
  <c r="AK30" i="1"/>
  <c r="S30" i="1"/>
  <c r="AD14" i="1"/>
  <c r="AN8" i="1"/>
  <c r="AD7" i="1"/>
  <c r="AI8" i="1"/>
  <c r="Q21" i="1"/>
  <c r="S21" i="1" s="1"/>
  <c r="N22" i="1"/>
  <c r="AH8" i="1"/>
  <c r="AM8" i="1"/>
  <c r="T14" i="1"/>
  <c r="T7" i="1"/>
  <c r="I8" i="1"/>
  <c r="N9" i="1"/>
  <c r="L9" i="1"/>
  <c r="J9" i="1"/>
  <c r="R2" i="1"/>
  <c r="S8" i="1"/>
  <c r="Q7" i="1"/>
  <c r="S7" i="1" s="1"/>
  <c r="J22" i="1"/>
  <c r="T16" i="1"/>
  <c r="AJ16" i="1" s="1"/>
  <c r="AK8" i="1"/>
  <c r="AF8" i="1"/>
  <c r="AG8" i="1"/>
  <c r="AL8" i="1"/>
  <c r="AE18" i="1"/>
  <c r="S22" i="1"/>
  <c r="J27" i="1"/>
  <c r="L27" i="1"/>
  <c r="T38" i="2"/>
  <c r="N17" i="1"/>
  <c r="J17" i="1"/>
  <c r="X30" i="1"/>
  <c r="AN34" i="1"/>
  <c r="AI34" i="1"/>
  <c r="AH34" i="1"/>
  <c r="AM34" i="1"/>
  <c r="N36" i="1"/>
  <c r="AL34" i="1"/>
  <c r="I34" i="1"/>
  <c r="AG34" i="1"/>
  <c r="AK13" i="1"/>
  <c r="AF13" i="1"/>
  <c r="U56" i="1"/>
  <c r="AK47" i="1"/>
  <c r="AF47" i="1"/>
  <c r="L24" i="1"/>
  <c r="J24" i="1"/>
  <c r="N24" i="1"/>
  <c r="S43" i="1"/>
  <c r="L17" i="1"/>
  <c r="Q16" i="1"/>
  <c r="S16" i="1" s="1"/>
  <c r="S18" i="1"/>
  <c r="AE16" i="1" l="1"/>
  <c r="N8" i="1"/>
  <c r="L8" i="1"/>
  <c r="J8" i="1"/>
  <c r="AI30" i="1"/>
  <c r="AN30" i="1"/>
  <c r="AH30" i="1"/>
  <c r="AM30" i="1"/>
  <c r="N34" i="1"/>
  <c r="J34" i="1"/>
  <c r="L34" i="1"/>
  <c r="AL30" i="1"/>
  <c r="AG30" i="1"/>
  <c r="I30" i="1"/>
  <c r="AF23" i="1"/>
  <c r="AK23" i="1"/>
  <c r="AF14" i="1"/>
  <c r="AK14" i="1"/>
  <c r="AF18" i="1"/>
  <c r="AK18" i="1"/>
  <c r="AK7" i="1"/>
  <c r="AF7" i="1"/>
  <c r="AF43" i="1"/>
  <c r="AK43" i="1"/>
  <c r="AC38" i="2"/>
  <c r="AD7" i="2"/>
  <c r="R7" i="2"/>
  <c r="N30" i="1" l="1"/>
  <c r="L30" i="1"/>
  <c r="J30" i="1"/>
  <c r="AK16" i="1"/>
  <c r="AF16" i="1"/>
  <c r="AF21" i="1"/>
  <c r="AK21" i="1"/>
  <c r="M38" i="2"/>
  <c r="R38" i="2"/>
  <c r="H38" i="2"/>
  <c r="AD38" i="2"/>
  <c r="W7" i="2"/>
  <c r="W38" i="2" s="1"/>
  <c r="L38" i="2" l="1"/>
  <c r="N38" i="2" s="1"/>
  <c r="K38" i="2"/>
  <c r="T37" i="2"/>
  <c r="AF34" i="2"/>
  <c r="AF38" i="2" s="1"/>
  <c r="AI7" i="2"/>
  <c r="AI38" i="2" s="1"/>
  <c r="N7" i="2"/>
  <c r="Q7" i="2"/>
  <c r="Q38" i="2" l="1"/>
  <c r="S38" i="2" s="1"/>
  <c r="P38" i="2"/>
  <c r="AF37" i="2"/>
  <c r="S7" i="2"/>
  <c r="V7" i="2" l="1"/>
  <c r="I7" i="2"/>
  <c r="V38" i="2" l="1"/>
  <c r="X38" i="2" s="1"/>
  <c r="U38" i="2"/>
  <c r="I38" i="2"/>
  <c r="X7" i="2"/>
  <c r="AH7" i="2"/>
  <c r="AH38" i="2" l="1"/>
  <c r="AJ38" i="2" s="1"/>
  <c r="AG38" i="2"/>
  <c r="AJ7" i="2"/>
  <c r="AI11" i="1" l="1"/>
  <c r="AN11" i="1"/>
  <c r="I11" i="1"/>
  <c r="I25" i="1" s="1"/>
  <c r="J25" i="1" l="1"/>
  <c r="L25" i="1"/>
  <c r="N25" i="1"/>
  <c r="N11" i="1"/>
  <c r="J11" i="1"/>
  <c r="L11" i="1"/>
  <c r="Z31" i="1" l="1"/>
  <c r="Z30" i="1" s="1"/>
  <c r="AE9" i="1"/>
  <c r="AE32" i="1"/>
  <c r="AJ32" i="1"/>
  <c r="AJ31" i="1" l="1"/>
  <c r="AJ30" i="1"/>
  <c r="AE30" i="1"/>
  <c r="AJ9" i="1"/>
  <c r="AE31" i="1"/>
  <c r="Z8" i="1"/>
  <c r="Z44" i="1"/>
  <c r="Z22" i="1" s="1"/>
  <c r="Z21" i="1" s="1"/>
  <c r="AJ45" i="1"/>
  <c r="AE45" i="1"/>
  <c r="Z43" i="1" l="1"/>
  <c r="AJ43" i="1" s="1"/>
  <c r="AE44" i="1"/>
  <c r="AE22" i="1"/>
  <c r="AJ22" i="1"/>
  <c r="Z7" i="1"/>
  <c r="AJ8" i="1"/>
  <c r="AE8" i="1"/>
  <c r="Z14" i="1"/>
  <c r="AJ44" i="1"/>
  <c r="AJ10" i="1"/>
  <c r="AE10" i="1"/>
  <c r="AE43" i="1" l="1"/>
  <c r="AE14" i="1"/>
  <c r="AJ14" i="1"/>
  <c r="AE7" i="1"/>
  <c r="AJ7" i="1"/>
  <c r="AE21" i="1"/>
  <c r="AJ21" i="1"/>
  <c r="AN49" i="1"/>
  <c r="AI49" i="1"/>
  <c r="AL49" i="1"/>
  <c r="AG49" i="1"/>
  <c r="X23" i="1"/>
  <c r="AI23" i="1" s="1"/>
  <c r="AG23" i="1"/>
  <c r="X13" i="1"/>
  <c r="AI13" i="1" s="1"/>
  <c r="AM49" i="1"/>
  <c r="AH49" i="1"/>
  <c r="I49" i="1"/>
  <c r="I23" i="1" s="1"/>
  <c r="X47" i="1"/>
  <c r="X56" i="1" s="1"/>
  <c r="X7" i="1" l="1"/>
  <c r="AI7" i="1" s="1"/>
  <c r="X43" i="1"/>
  <c r="AI43" i="1" s="1"/>
  <c r="AN13" i="1"/>
  <c r="X18" i="1"/>
  <c r="AI18" i="1" s="1"/>
  <c r="I13" i="1"/>
  <c r="L13" i="1" s="1"/>
  <c r="AH18" i="1"/>
  <c r="AL23" i="1"/>
  <c r="N49" i="1"/>
  <c r="L49" i="1"/>
  <c r="AG16" i="1"/>
  <c r="AL18" i="1"/>
  <c r="AM14" i="1"/>
  <c r="AN23" i="1"/>
  <c r="AL13" i="1"/>
  <c r="X14" i="1"/>
  <c r="X21" i="1"/>
  <c r="AG13" i="1"/>
  <c r="AH13" i="1"/>
  <c r="AM13" i="1"/>
  <c r="AM23" i="1"/>
  <c r="J49" i="1"/>
  <c r="AM47" i="1"/>
  <c r="AL7" i="1"/>
  <c r="I47" i="1"/>
  <c r="I57" i="1" s="1"/>
  <c r="L57" i="1" s="1"/>
  <c r="W56" i="1"/>
  <c r="AM7" i="1"/>
  <c r="AH7" i="1"/>
  <c r="I21" i="1"/>
  <c r="N23" i="1"/>
  <c r="J23" i="1"/>
  <c r="L23" i="1"/>
  <c r="AH43" i="1"/>
  <c r="AM43" i="1"/>
  <c r="AH47" i="1"/>
  <c r="AG18" i="1"/>
  <c r="AH23" i="1"/>
  <c r="AL47" i="1"/>
  <c r="AG47" i="1"/>
  <c r="AI47" i="1"/>
  <c r="AN47" i="1"/>
  <c r="V56" i="1"/>
  <c r="AN7" i="1" l="1"/>
  <c r="X16" i="1"/>
  <c r="AI16" i="1" s="1"/>
  <c r="AN18" i="1"/>
  <c r="I7" i="1"/>
  <c r="J7" i="1" s="1"/>
  <c r="N13" i="1"/>
  <c r="AN43" i="1"/>
  <c r="J13" i="1"/>
  <c r="I18" i="1"/>
  <c r="L18" i="1" s="1"/>
  <c r="L47" i="1"/>
  <c r="N47" i="1"/>
  <c r="J47" i="1"/>
  <c r="AM18" i="1"/>
  <c r="AL16" i="1"/>
  <c r="AL21" i="1"/>
  <c r="AG21" i="1"/>
  <c r="AI21" i="1"/>
  <c r="AN21" i="1"/>
  <c r="AN14" i="1"/>
  <c r="AI14" i="1"/>
  <c r="AH14" i="1"/>
  <c r="AG7" i="1"/>
  <c r="AM21" i="1"/>
  <c r="AH21" i="1"/>
  <c r="N21" i="1"/>
  <c r="L21" i="1"/>
  <c r="J21" i="1"/>
  <c r="AG43" i="1"/>
  <c r="AL43" i="1"/>
  <c r="I43" i="1"/>
  <c r="AG14" i="1"/>
  <c r="AL14" i="1"/>
  <c r="I14" i="1"/>
  <c r="N7" i="1" l="1"/>
  <c r="AN16" i="1"/>
  <c r="L7" i="1"/>
  <c r="N18" i="1"/>
  <c r="J18" i="1"/>
  <c r="AM16" i="1"/>
  <c r="AH16" i="1"/>
  <c r="I16" i="1"/>
  <c r="L14" i="1"/>
  <c r="J14" i="1"/>
  <c r="N14" i="1"/>
  <c r="J43" i="1"/>
  <c r="L43" i="1"/>
  <c r="N43" i="1"/>
  <c r="I42" i="1"/>
  <c r="L16" i="1" l="1"/>
  <c r="N16" i="1"/>
  <c r="J16" i="1"/>
</calcChain>
</file>

<file path=xl/sharedStrings.xml><?xml version="1.0" encoding="utf-8"?>
<sst xmlns="http://schemas.openxmlformats.org/spreadsheetml/2006/main" count="23469" uniqueCount="759">
  <si>
    <t>1W</t>
    <phoneticPr fontId="3" type="noConversion"/>
  </si>
  <si>
    <t>2W</t>
    <phoneticPr fontId="3" type="noConversion"/>
  </si>
  <si>
    <t>3W</t>
    <phoneticPr fontId="3" type="noConversion"/>
  </si>
  <si>
    <t>4W</t>
    <phoneticPr fontId="3" type="noConversion"/>
  </si>
  <si>
    <t>5W</t>
    <phoneticPr fontId="3" type="noConversion"/>
  </si>
  <si>
    <t>동요일</t>
    <phoneticPr fontId="3" type="noConversion"/>
  </si>
  <si>
    <t>동일자</t>
    <phoneticPr fontId="3" type="noConversion"/>
  </si>
  <si>
    <t>MLB</t>
    <phoneticPr fontId="3" type="noConversion"/>
  </si>
  <si>
    <t>11월</t>
    <phoneticPr fontId="3" type="noConversion"/>
  </si>
  <si>
    <t>Actual + Forward FCST</t>
  </si>
  <si>
    <t>Lsat Year</t>
    <phoneticPr fontId="3" type="noConversion"/>
  </si>
  <si>
    <t>수식</t>
    <phoneticPr fontId="3" type="noConversion"/>
  </si>
  <si>
    <t>TARGET</t>
    <phoneticPr fontId="3" type="noConversion"/>
  </si>
  <si>
    <t>Sales FCST</t>
  </si>
  <si>
    <t>LY ACTUAL월마감</t>
    <phoneticPr fontId="3" type="noConversion"/>
  </si>
  <si>
    <t>GR</t>
    <phoneticPr fontId="3" type="noConversion"/>
  </si>
  <si>
    <t>Latest FCST</t>
    <phoneticPr fontId="3" type="noConversion"/>
  </si>
  <si>
    <t>Actual MTD</t>
  </si>
  <si>
    <t>LY ACTUAL</t>
  </si>
  <si>
    <t>Actual</t>
    <phoneticPr fontId="3" type="noConversion"/>
  </si>
  <si>
    <t>Actual</t>
  </si>
  <si>
    <t>FCST</t>
  </si>
  <si>
    <t>LY</t>
    <phoneticPr fontId="3" type="noConversion"/>
  </si>
  <si>
    <t>diff (+/-) vs LY</t>
  </si>
  <si>
    <t>Gr.</t>
    <phoneticPr fontId="3" type="noConversion"/>
  </si>
  <si>
    <t>Sales AMT</t>
  </si>
  <si>
    <t>Ach%</t>
  </si>
  <si>
    <t>SALES</t>
    <phoneticPr fontId="3" type="noConversion"/>
  </si>
  <si>
    <t>vs LY</t>
    <phoneticPr fontId="3" type="noConversion"/>
  </si>
  <si>
    <t>DIFF</t>
    <phoneticPr fontId="3" type="noConversion"/>
  </si>
  <si>
    <t>주간</t>
    <phoneticPr fontId="3" type="noConversion"/>
  </si>
  <si>
    <t>W44
(11.1~2)</t>
    <phoneticPr fontId="3" type="noConversion"/>
  </si>
  <si>
    <t>W45
(11.3~9)</t>
    <phoneticPr fontId="3" type="noConversion"/>
  </si>
  <si>
    <t>W46
(11.10~16)</t>
    <phoneticPr fontId="3" type="noConversion"/>
  </si>
  <si>
    <t>W47
(11.17~23)</t>
    <phoneticPr fontId="3" type="noConversion"/>
  </si>
  <si>
    <t>W48
(11.24~30)</t>
    <phoneticPr fontId="3" type="noConversion"/>
  </si>
  <si>
    <t>W44
(11.2~3)</t>
    <phoneticPr fontId="3" type="noConversion"/>
  </si>
  <si>
    <t>W45
(11.4~10)</t>
    <phoneticPr fontId="3" type="noConversion"/>
  </si>
  <si>
    <t>W46
(11.11~17)</t>
    <phoneticPr fontId="3" type="noConversion"/>
  </si>
  <si>
    <t>W47
(11.18~24)</t>
    <phoneticPr fontId="3" type="noConversion"/>
  </si>
  <si>
    <t>W48
(11.25~12.1)</t>
    <phoneticPr fontId="3" type="noConversion"/>
  </si>
  <si>
    <t>W40</t>
  </si>
  <si>
    <t>W41</t>
  </si>
  <si>
    <t>W42</t>
  </si>
  <si>
    <t>W43</t>
  </si>
  <si>
    <t>W44</t>
  </si>
  <si>
    <t>W44</t>
    <phoneticPr fontId="3" type="noConversion"/>
  </si>
  <si>
    <t>W45</t>
    <phoneticPr fontId="3" type="noConversion"/>
  </si>
  <si>
    <t>W46</t>
    <phoneticPr fontId="3" type="noConversion"/>
  </si>
  <si>
    <t>W47</t>
    <phoneticPr fontId="3" type="noConversion"/>
  </si>
  <si>
    <t>W48</t>
    <phoneticPr fontId="3" type="noConversion"/>
  </si>
  <si>
    <t>상권</t>
    <phoneticPr fontId="3" type="noConversion"/>
  </si>
  <si>
    <t>SUM</t>
    <phoneticPr fontId="3" type="noConversion"/>
  </si>
  <si>
    <t>국내</t>
    <phoneticPr fontId="3" type="noConversion"/>
  </si>
  <si>
    <t>국내(순수)</t>
    <phoneticPr fontId="3" type="noConversion"/>
  </si>
  <si>
    <t>국내(단체)</t>
    <phoneticPr fontId="3" type="noConversion"/>
  </si>
  <si>
    <t>파트너채널팀</t>
  </si>
  <si>
    <t>면세</t>
    <phoneticPr fontId="3" type="noConversion"/>
  </si>
  <si>
    <t>도매</t>
    <phoneticPr fontId="3" type="noConversion"/>
  </si>
  <si>
    <t>RF</t>
    <phoneticPr fontId="3" type="noConversion"/>
  </si>
  <si>
    <t>면세제외</t>
    <phoneticPr fontId="3" type="noConversion"/>
  </si>
  <si>
    <t>TEAM</t>
    <phoneticPr fontId="3" type="noConversion"/>
  </si>
  <si>
    <t>파트너채널팀</t>
    <phoneticPr fontId="3" type="noConversion"/>
  </si>
  <si>
    <t>파트너채널</t>
    <phoneticPr fontId="3" type="noConversion"/>
  </si>
  <si>
    <t>리테일채널팀</t>
    <phoneticPr fontId="3" type="noConversion"/>
  </si>
  <si>
    <t>리테일채널</t>
    <phoneticPr fontId="3" type="noConversion"/>
  </si>
  <si>
    <t>E-biz</t>
    <phoneticPr fontId="3" type="noConversion"/>
  </si>
  <si>
    <t>온라인</t>
    <phoneticPr fontId="3" type="noConversion"/>
  </si>
  <si>
    <t>유통별
(국내+RF)</t>
    <phoneticPr fontId="3" type="noConversion"/>
  </si>
  <si>
    <t>백화점</t>
    <phoneticPr fontId="3" type="noConversion"/>
  </si>
  <si>
    <t>대리점</t>
    <phoneticPr fontId="3" type="noConversion"/>
  </si>
  <si>
    <t>직영점</t>
    <phoneticPr fontId="3" type="noConversion"/>
  </si>
  <si>
    <t>면세+도매</t>
    <phoneticPr fontId="3" type="noConversion"/>
  </si>
  <si>
    <t>상설(위탁)</t>
    <phoneticPr fontId="3" type="noConversion"/>
  </si>
  <si>
    <t>국내+RF</t>
    <phoneticPr fontId="3" type="noConversion"/>
  </si>
  <si>
    <t>순수</t>
    <phoneticPr fontId="3" type="noConversion"/>
  </si>
  <si>
    <t>*</t>
    <phoneticPr fontId="3" type="noConversion"/>
  </si>
  <si>
    <t>백화점</t>
  </si>
  <si>
    <t>리테일채널팀</t>
  </si>
  <si>
    <t>대리점</t>
  </si>
  <si>
    <t>단체</t>
    <phoneticPr fontId="3" type="noConversion"/>
  </si>
  <si>
    <t>상설(위탁)</t>
  </si>
  <si>
    <t>승명과장님이 만든 단체 데이터로 주차별 금액 입력</t>
    <phoneticPr fontId="3" type="noConversion"/>
  </si>
  <si>
    <t>40주차 / 44주차는 전체매출 x 단체비중</t>
    <phoneticPr fontId="3" type="noConversion"/>
  </si>
  <si>
    <t>백RF</t>
    <phoneticPr fontId="3" type="noConversion"/>
  </si>
  <si>
    <t>대RF</t>
    <phoneticPr fontId="3" type="noConversion"/>
  </si>
  <si>
    <t>파트너채널팀(백화점)</t>
    <phoneticPr fontId="3" type="noConversion"/>
  </si>
  <si>
    <t>금년</t>
    <phoneticPr fontId="3" type="noConversion"/>
  </si>
  <si>
    <t>동요일기준</t>
    <phoneticPr fontId="3" type="noConversion"/>
  </si>
  <si>
    <t>목표</t>
    <phoneticPr fontId="3" type="noConversion"/>
  </si>
  <si>
    <t>FCST</t>
    <phoneticPr fontId="3" type="noConversion"/>
  </si>
  <si>
    <t>ACTUAL</t>
    <phoneticPr fontId="3" type="noConversion"/>
  </si>
  <si>
    <t>전년</t>
    <phoneticPr fontId="3" type="noConversion"/>
  </si>
  <si>
    <t>YOY</t>
    <phoneticPr fontId="3" type="noConversion"/>
  </si>
  <si>
    <t>P:P</t>
    <phoneticPr fontId="3" type="noConversion"/>
  </si>
  <si>
    <t>토</t>
  </si>
  <si>
    <t>Q:Q</t>
    <phoneticPr fontId="3" type="noConversion"/>
  </si>
  <si>
    <t>일</t>
  </si>
  <si>
    <t>R:R</t>
    <phoneticPr fontId="3" type="noConversion"/>
  </si>
  <si>
    <t>월</t>
  </si>
  <si>
    <t>S:S</t>
    <phoneticPr fontId="3" type="noConversion"/>
  </si>
  <si>
    <t>화</t>
  </si>
  <si>
    <t>T:T</t>
    <phoneticPr fontId="3" type="noConversion"/>
  </si>
  <si>
    <t>수</t>
  </si>
  <si>
    <t>U:U</t>
    <phoneticPr fontId="3" type="noConversion"/>
  </si>
  <si>
    <t>목</t>
  </si>
  <si>
    <t>V:V</t>
    <phoneticPr fontId="3" type="noConversion"/>
  </si>
  <si>
    <t>금</t>
  </si>
  <si>
    <t>W:W</t>
    <phoneticPr fontId="3" type="noConversion"/>
  </si>
  <si>
    <t>X:X</t>
    <phoneticPr fontId="3" type="noConversion"/>
  </si>
  <si>
    <t>Y:Y</t>
    <phoneticPr fontId="3" type="noConversion"/>
  </si>
  <si>
    <t>Z:Z</t>
    <phoneticPr fontId="3" type="noConversion"/>
  </si>
  <si>
    <t>AA:AA</t>
    <phoneticPr fontId="3" type="noConversion"/>
  </si>
  <si>
    <t>AB:AB</t>
    <phoneticPr fontId="3" type="noConversion"/>
  </si>
  <si>
    <t>AC:AC</t>
    <phoneticPr fontId="3" type="noConversion"/>
  </si>
  <si>
    <t>AD:AD</t>
    <phoneticPr fontId="3" type="noConversion"/>
  </si>
  <si>
    <t>AE:AE</t>
    <phoneticPr fontId="3" type="noConversion"/>
  </si>
  <si>
    <t>AF:AF</t>
    <phoneticPr fontId="3" type="noConversion"/>
  </si>
  <si>
    <t>AG:AG</t>
    <phoneticPr fontId="3" type="noConversion"/>
  </si>
  <si>
    <t>AH:AH</t>
    <phoneticPr fontId="3" type="noConversion"/>
  </si>
  <si>
    <t>AI:Ai</t>
    <phoneticPr fontId="3" type="noConversion"/>
  </si>
  <si>
    <t>AJ:AJ</t>
    <phoneticPr fontId="3" type="noConversion"/>
  </si>
  <si>
    <t>AK:AK</t>
    <phoneticPr fontId="3" type="noConversion"/>
  </si>
  <si>
    <t>AL:AL</t>
    <phoneticPr fontId="3" type="noConversion"/>
  </si>
  <si>
    <t>AM:AM</t>
    <phoneticPr fontId="3" type="noConversion"/>
  </si>
  <si>
    <t>AN:AN</t>
    <phoneticPr fontId="3" type="noConversion"/>
  </si>
  <si>
    <t>AO:AO</t>
    <phoneticPr fontId="3" type="noConversion"/>
  </si>
  <si>
    <t>AP:AP</t>
    <phoneticPr fontId="3" type="noConversion"/>
  </si>
  <si>
    <t>AQ:AQ</t>
    <phoneticPr fontId="3" type="noConversion"/>
  </si>
  <si>
    <t>AR:AR</t>
    <phoneticPr fontId="3" type="noConversion"/>
  </si>
  <si>
    <t>AS:AS</t>
    <phoneticPr fontId="3" type="noConversion"/>
  </si>
  <si>
    <t>AT:AT</t>
    <phoneticPr fontId="3" type="noConversion"/>
  </si>
  <si>
    <t>월</t>
    <phoneticPr fontId="3" type="noConversion"/>
  </si>
  <si>
    <t>AU:AU</t>
    <phoneticPr fontId="3" type="noConversion"/>
  </si>
  <si>
    <t>TTL</t>
    <phoneticPr fontId="3" type="noConversion"/>
  </si>
  <si>
    <t>8/1</t>
    <phoneticPr fontId="3" type="noConversion"/>
  </si>
  <si>
    <t>주차</t>
    <phoneticPr fontId="3" type="noConversion"/>
  </si>
  <si>
    <t>팀</t>
  </si>
  <si>
    <t>상권</t>
  </si>
  <si>
    <t>유통</t>
  </si>
  <si>
    <t>매장명변환</t>
  </si>
  <si>
    <t>매장그룹명</t>
    <phoneticPr fontId="3" type="noConversion"/>
  </si>
  <si>
    <t>매장코드</t>
    <phoneticPr fontId="3" type="noConversion"/>
  </si>
  <si>
    <t>매장명</t>
    <phoneticPr fontId="3" type="noConversion"/>
  </si>
  <si>
    <t>거래구분</t>
    <phoneticPr fontId="3" type="noConversion"/>
  </si>
  <si>
    <t>계약구분</t>
    <phoneticPr fontId="3" type="noConversion"/>
  </si>
  <si>
    <t>관리구분</t>
    <phoneticPr fontId="3" type="noConversion"/>
  </si>
  <si>
    <t>온오프</t>
    <phoneticPr fontId="3" type="noConversion"/>
  </si>
  <si>
    <t>유통채널</t>
    <phoneticPr fontId="3" type="noConversion"/>
  </si>
  <si>
    <t>유통채널상세</t>
    <phoneticPr fontId="3" type="noConversion"/>
  </si>
  <si>
    <t>일반판매액</t>
    <phoneticPr fontId="3" type="noConversion"/>
  </si>
  <si>
    <t>일반판매수량</t>
    <phoneticPr fontId="3" type="noConversion"/>
  </si>
  <si>
    <t>온라인판매액</t>
    <phoneticPr fontId="3" type="noConversion"/>
  </si>
  <si>
    <t>온라인판매수량</t>
    <phoneticPr fontId="3" type="noConversion"/>
  </si>
  <si>
    <t>온라인단독판매액</t>
    <phoneticPr fontId="3" type="noConversion"/>
  </si>
  <si>
    <t>온라인단독판매수량</t>
    <phoneticPr fontId="3" type="noConversion"/>
  </si>
  <si>
    <t>완불판매액</t>
    <phoneticPr fontId="3" type="noConversion"/>
  </si>
  <si>
    <t>완불판매수량</t>
    <phoneticPr fontId="3" type="noConversion"/>
  </si>
  <si>
    <t>예약판매액</t>
    <phoneticPr fontId="3" type="noConversion"/>
  </si>
  <si>
    <t>예약판매수량</t>
    <phoneticPr fontId="3" type="noConversion"/>
  </si>
  <si>
    <t>소량단체판매액</t>
    <phoneticPr fontId="3" type="noConversion"/>
  </si>
  <si>
    <t>소량단체판매수량</t>
    <phoneticPr fontId="3" type="noConversion"/>
  </si>
  <si>
    <t>기타판매액</t>
    <phoneticPr fontId="3" type="noConversion"/>
  </si>
  <si>
    <t>기타판매수량</t>
    <phoneticPr fontId="3" type="noConversion"/>
  </si>
  <si>
    <t>판매액합계</t>
    <phoneticPr fontId="3" type="noConversion"/>
  </si>
  <si>
    <t>판매수량합계</t>
    <phoneticPr fontId="3" type="noConversion"/>
  </si>
  <si>
    <t>순수매출</t>
    <phoneticPr fontId="3" type="noConversion"/>
  </si>
  <si>
    <t>7526</t>
  </si>
  <si>
    <t>LF스퀘어광양(상-위)</t>
  </si>
  <si>
    <t>일반매장</t>
  </si>
  <si>
    <t>위탁</t>
  </si>
  <si>
    <t>오프라인</t>
  </si>
  <si>
    <t>백화점(대형)</t>
  </si>
  <si>
    <t>431</t>
  </si>
  <si>
    <t>신세계면세명동</t>
  </si>
  <si>
    <t>백화점특정</t>
  </si>
  <si>
    <t>면세</t>
  </si>
  <si>
    <t>면세점</t>
  </si>
  <si>
    <t>510</t>
  </si>
  <si>
    <t>온라인쇼핑몰(직)</t>
  </si>
  <si>
    <t>직영점</t>
  </si>
  <si>
    <t>온라인</t>
  </si>
  <si>
    <t>자사몰</t>
  </si>
  <si>
    <t>8001</t>
  </si>
  <si>
    <t>무신사(제휴몰)</t>
  </si>
  <si>
    <t>제휴몰</t>
  </si>
  <si>
    <t>509</t>
  </si>
  <si>
    <t>타임스퀘어영등포(직)</t>
  </si>
  <si>
    <t>쇼핑몰</t>
  </si>
  <si>
    <t>쇼핑몰(대형)</t>
  </si>
  <si>
    <t>034</t>
  </si>
  <si>
    <t>롯데김포</t>
  </si>
  <si>
    <t>080</t>
  </si>
  <si>
    <t>신세계대구</t>
  </si>
  <si>
    <t>6029</t>
  </si>
  <si>
    <t>아산(대-위)</t>
  </si>
  <si>
    <t>가두</t>
  </si>
  <si>
    <t>가두(대리)</t>
  </si>
  <si>
    <t>661</t>
  </si>
  <si>
    <t>여수(대-위)</t>
  </si>
  <si>
    <t>043</t>
  </si>
  <si>
    <t>롯데안산</t>
  </si>
  <si>
    <t>161</t>
  </si>
  <si>
    <t>롯데영등포</t>
  </si>
  <si>
    <t>521</t>
  </si>
  <si>
    <t>동성로(직)</t>
  </si>
  <si>
    <t>가두(직영)</t>
  </si>
  <si>
    <t>8003</t>
  </si>
  <si>
    <t>네이버스토어(제휴몰)</t>
  </si>
  <si>
    <t>8005</t>
  </si>
  <si>
    <t>카카오선물하기(제휴몰)</t>
  </si>
  <si>
    <t>6011</t>
  </si>
  <si>
    <t>보령(대-위)</t>
  </si>
  <si>
    <t>427</t>
  </si>
  <si>
    <t>롯데면세월드</t>
  </si>
  <si>
    <t>643</t>
  </si>
  <si>
    <t>인천(대-위)</t>
  </si>
  <si>
    <t>7536</t>
  </si>
  <si>
    <t>롯데아울렛파주(상-위)</t>
  </si>
  <si>
    <t>백화점아울렛</t>
  </si>
  <si>
    <t>7504</t>
  </si>
  <si>
    <t>롯데아울렛봉무(상-위)</t>
  </si>
  <si>
    <t>6049</t>
  </si>
  <si>
    <t>남양주삼패(대-위)</t>
  </si>
  <si>
    <t>6003</t>
  </si>
  <si>
    <t>원주(대-위)</t>
  </si>
  <si>
    <t>6004</t>
  </si>
  <si>
    <t>오산(대-위)</t>
  </si>
  <si>
    <t>6031</t>
  </si>
  <si>
    <t>성남신흥(대-위)</t>
  </si>
  <si>
    <t>738</t>
  </si>
  <si>
    <t>강릉(대-위)</t>
  </si>
  <si>
    <t>042</t>
  </si>
  <si>
    <t>롯데구리</t>
  </si>
  <si>
    <t>079</t>
  </si>
  <si>
    <t>신세계강남</t>
  </si>
  <si>
    <t>095</t>
  </si>
  <si>
    <t>모다아울렛대전</t>
  </si>
  <si>
    <t>백화점(중소)</t>
  </si>
  <si>
    <t>175</t>
  </si>
  <si>
    <t>롯데동래</t>
  </si>
  <si>
    <t>6038</t>
  </si>
  <si>
    <t>울산무거(대-위)</t>
  </si>
  <si>
    <t>052</t>
  </si>
  <si>
    <t>신세계하남</t>
  </si>
  <si>
    <t>084</t>
  </si>
  <si>
    <t>롯데인천</t>
  </si>
  <si>
    <t>118</t>
  </si>
  <si>
    <t>롯데잠실</t>
  </si>
  <si>
    <t>174</t>
  </si>
  <si>
    <t>롯데포항</t>
  </si>
  <si>
    <t>086</t>
  </si>
  <si>
    <t>AK평택</t>
  </si>
  <si>
    <t>8009</t>
  </si>
  <si>
    <t>롯데ON(제휴몰)</t>
  </si>
  <si>
    <t>016</t>
  </si>
  <si>
    <t>롯데청량리</t>
  </si>
  <si>
    <t>078</t>
  </si>
  <si>
    <t>현대판교</t>
  </si>
  <si>
    <t>027</t>
  </si>
  <si>
    <t>갤러리아센터시티</t>
  </si>
  <si>
    <t>085</t>
  </si>
  <si>
    <t>갤러리아광교</t>
  </si>
  <si>
    <t>088</t>
  </si>
  <si>
    <t>신세계대전</t>
  </si>
  <si>
    <t>729</t>
  </si>
  <si>
    <t>청주(대-위)</t>
  </si>
  <si>
    <t>096</t>
  </si>
  <si>
    <t>모다아울렛천안</t>
  </si>
  <si>
    <t>155</t>
  </si>
  <si>
    <t>롯데본점</t>
  </si>
  <si>
    <t>165</t>
  </si>
  <si>
    <t>신세계천안아산</t>
  </si>
  <si>
    <t>6017</t>
  </si>
  <si>
    <t>화성봉담(대-위)</t>
  </si>
  <si>
    <t>006</t>
  </si>
  <si>
    <t>롯데강남</t>
  </si>
  <si>
    <t>7522</t>
  </si>
  <si>
    <t>신세계아울렛기장(상-위)</t>
  </si>
  <si>
    <t>8011</t>
  </si>
  <si>
    <t>CJ온스타일(제휴몰)</t>
  </si>
  <si>
    <t>7505</t>
  </si>
  <si>
    <t>롯데아울렛부여(상-위)</t>
  </si>
  <si>
    <t>7527</t>
  </si>
  <si>
    <t>LF스퀘어양주(상-위)</t>
  </si>
  <si>
    <t>7519</t>
  </si>
  <si>
    <t>현대아울렛가산(상-위)</t>
  </si>
  <si>
    <t>7529</t>
  </si>
  <si>
    <t>현대아울렛대전(상-위)</t>
  </si>
  <si>
    <t>6047</t>
  </si>
  <si>
    <t>포천(대-위)</t>
  </si>
  <si>
    <t>6016</t>
  </si>
  <si>
    <t>안산시화(대-위)</t>
  </si>
  <si>
    <t>685</t>
  </si>
  <si>
    <t>전주중앙(대-위)</t>
  </si>
  <si>
    <t>696</t>
  </si>
  <si>
    <t>안산한대(대-위)</t>
  </si>
  <si>
    <t>039</t>
  </si>
  <si>
    <t>현대신촌</t>
  </si>
  <si>
    <t>428</t>
  </si>
  <si>
    <t>신라면세장충</t>
  </si>
  <si>
    <t>022</t>
  </si>
  <si>
    <t>신세계센텀</t>
  </si>
  <si>
    <t>177</t>
  </si>
  <si>
    <t>갤러리아대전</t>
  </si>
  <si>
    <t>114</t>
  </si>
  <si>
    <t>현대천호</t>
  </si>
  <si>
    <t>6019</t>
  </si>
  <si>
    <t>안산중앙(대-위)</t>
  </si>
  <si>
    <t>6037</t>
  </si>
  <si>
    <t>안성(대-위)</t>
  </si>
  <si>
    <t>6020</t>
  </si>
  <si>
    <t>제천(대-위)</t>
  </si>
  <si>
    <t>733</t>
  </si>
  <si>
    <t>서귀포(대-위)</t>
  </si>
  <si>
    <t>6024</t>
  </si>
  <si>
    <t>아이즈빌부평(대-위)</t>
  </si>
  <si>
    <t>쇼핑몰(중소)</t>
  </si>
  <si>
    <t>6025</t>
  </si>
  <si>
    <t>정읍(대-위)</t>
  </si>
  <si>
    <t>6046</t>
  </si>
  <si>
    <t>춘천(대-위)</t>
  </si>
  <si>
    <t>6013</t>
  </si>
  <si>
    <t>충주(대-위)</t>
  </si>
  <si>
    <t>6044</t>
  </si>
  <si>
    <t>나주(대-위)</t>
  </si>
  <si>
    <t>649</t>
  </si>
  <si>
    <t>부산광복(대-위)</t>
  </si>
  <si>
    <t>091</t>
  </si>
  <si>
    <t>에버세이브청주</t>
  </si>
  <si>
    <t>6002</t>
  </si>
  <si>
    <t>시흥(대-위)</t>
  </si>
  <si>
    <t>540</t>
  </si>
  <si>
    <t>성수(직)</t>
  </si>
  <si>
    <t>426</t>
  </si>
  <si>
    <t>신라면세제주</t>
  </si>
  <si>
    <t>688</t>
  </si>
  <si>
    <t>서산(대-위)</t>
  </si>
  <si>
    <t>630</t>
  </si>
  <si>
    <t>포항(대-위)</t>
  </si>
  <si>
    <t>744</t>
  </si>
  <si>
    <t>신제주(대-위)</t>
  </si>
  <si>
    <t>8010</t>
  </si>
  <si>
    <t>SSF샵(제휴몰)</t>
  </si>
  <si>
    <t>032</t>
  </si>
  <si>
    <t>현대울산</t>
  </si>
  <si>
    <t>6001</t>
  </si>
  <si>
    <t>세정광주(대-위)</t>
  </si>
  <si>
    <t>169</t>
  </si>
  <si>
    <t>롯데상인</t>
  </si>
  <si>
    <t>195</t>
  </si>
  <si>
    <t>롯데미아</t>
  </si>
  <si>
    <t>532</t>
  </si>
  <si>
    <t>롯데아울렛의왕(직)</t>
  </si>
  <si>
    <t>010</t>
  </si>
  <si>
    <t>롯데건대</t>
  </si>
  <si>
    <t>019</t>
  </si>
  <si>
    <t>신세계경기</t>
  </si>
  <si>
    <t>040</t>
  </si>
  <si>
    <t>현대충청</t>
  </si>
  <si>
    <t>533</t>
  </si>
  <si>
    <t>타임스트림신림(직)</t>
  </si>
  <si>
    <t>6039</t>
  </si>
  <si>
    <t>경기광주(대-위)</t>
  </si>
  <si>
    <t>6036</t>
  </si>
  <si>
    <t>대구칠곡(대-위)</t>
  </si>
  <si>
    <t>7503</t>
  </si>
  <si>
    <t>롯데아울렛동부산(상-위)</t>
  </si>
  <si>
    <t>7534</t>
  </si>
  <si>
    <t>롯데아울렛율하(상-위)</t>
  </si>
  <si>
    <t>7521</t>
  </si>
  <si>
    <t>롯데아울렛김해(상-위)</t>
  </si>
  <si>
    <t>7509</t>
  </si>
  <si>
    <t>현대아울렛가든5(상-위)</t>
  </si>
  <si>
    <t>7523</t>
  </si>
  <si>
    <t>모다경주(상-위)</t>
  </si>
  <si>
    <t>7510</t>
  </si>
  <si>
    <t>NC강서(상-위)</t>
  </si>
  <si>
    <t>7513</t>
  </si>
  <si>
    <t>NC송파(상-위)</t>
  </si>
  <si>
    <t>7516</t>
  </si>
  <si>
    <t>신세계아울렛여주(상-위)</t>
  </si>
  <si>
    <t>7535</t>
  </si>
  <si>
    <t>롯데아울렛기흥(상-위)</t>
  </si>
  <si>
    <t>429</t>
  </si>
  <si>
    <t>롯데면세소공</t>
  </si>
  <si>
    <t>526</t>
  </si>
  <si>
    <t>홍대(직)</t>
  </si>
  <si>
    <t>6023</t>
  </si>
  <si>
    <t>상주(대-위)</t>
  </si>
  <si>
    <t>740</t>
  </si>
  <si>
    <t>순천연향(대-위)</t>
  </si>
  <si>
    <t>6022</t>
  </si>
  <si>
    <t>영주(대-위)</t>
  </si>
  <si>
    <t>535</t>
  </si>
  <si>
    <t>스타필드하남(직)</t>
  </si>
  <si>
    <t>036</t>
  </si>
  <si>
    <t>AK원주</t>
  </si>
  <si>
    <t>524</t>
  </si>
  <si>
    <t>가로수길(직)</t>
  </si>
  <si>
    <t>717</t>
  </si>
  <si>
    <t>김포장기(대-위)</t>
  </si>
  <si>
    <t>048</t>
  </si>
  <si>
    <t>롯데수원</t>
  </si>
  <si>
    <t>112</t>
  </si>
  <si>
    <t>롯데광주</t>
  </si>
  <si>
    <t>089</t>
  </si>
  <si>
    <t>롯데동탄</t>
  </si>
  <si>
    <t>534</t>
  </si>
  <si>
    <t>타임테라스동탄(직)</t>
  </si>
  <si>
    <t>6026</t>
  </si>
  <si>
    <t>남원(대-위)</t>
  </si>
  <si>
    <t>035</t>
  </si>
  <si>
    <t>롯데평촌</t>
  </si>
  <si>
    <t>093</t>
  </si>
  <si>
    <t>엔터식스안양</t>
  </si>
  <si>
    <t>094</t>
  </si>
  <si>
    <t>신세계영등포</t>
  </si>
  <si>
    <t>6030</t>
  </si>
  <si>
    <t>홍성(대-위)</t>
  </si>
  <si>
    <t>6033</t>
  </si>
  <si>
    <t>광명(대-위)</t>
  </si>
  <si>
    <t>053</t>
  </si>
  <si>
    <t>더현대서울</t>
  </si>
  <si>
    <t>694</t>
  </si>
  <si>
    <t>안동(대-위)</t>
  </si>
  <si>
    <t>180</t>
  </si>
  <si>
    <t>신세계마산</t>
  </si>
  <si>
    <t>6009</t>
  </si>
  <si>
    <t>전주송천(대-위)</t>
  </si>
  <si>
    <t>7500</t>
  </si>
  <si>
    <t>롯데아울렛수완(상-위)</t>
  </si>
  <si>
    <t>7518</t>
  </si>
  <si>
    <t>신세계아울렛파주(상-위)</t>
  </si>
  <si>
    <t>7520</t>
  </si>
  <si>
    <t>콜렉티드(상-위)</t>
  </si>
  <si>
    <t>537</t>
  </si>
  <si>
    <t>한남(직)</t>
  </si>
  <si>
    <t>037</t>
  </si>
  <si>
    <t>신세계의정부</t>
  </si>
  <si>
    <t>746</t>
  </si>
  <si>
    <t>퍼스트빌리지(대-위)</t>
  </si>
  <si>
    <t>025</t>
  </si>
  <si>
    <t>현대킨텍스</t>
  </si>
  <si>
    <t>054</t>
  </si>
  <si>
    <t>엔터식스왕십리</t>
  </si>
  <si>
    <t>170</t>
  </si>
  <si>
    <t>롯데전주</t>
  </si>
  <si>
    <t>021</t>
  </si>
  <si>
    <t>롯데광복</t>
  </si>
  <si>
    <t>082</t>
  </si>
  <si>
    <t>신세계본점</t>
  </si>
  <si>
    <t>120</t>
  </si>
  <si>
    <t>롯데부산</t>
  </si>
  <si>
    <t>081</t>
  </si>
  <si>
    <t>신세계김해</t>
  </si>
  <si>
    <t>6040</t>
  </si>
  <si>
    <t>대전은행(대-위)</t>
  </si>
  <si>
    <t>736</t>
  </si>
  <si>
    <t>구미(대-위)</t>
  </si>
  <si>
    <t>146</t>
  </si>
  <si>
    <t>롯데울산</t>
  </si>
  <si>
    <t>6043</t>
  </si>
  <si>
    <t>당진(대-위)</t>
  </si>
  <si>
    <t>421</t>
  </si>
  <si>
    <t>롯데면세제주</t>
  </si>
  <si>
    <t>443</t>
  </si>
  <si>
    <t>현대면세무역</t>
  </si>
  <si>
    <t>536</t>
  </si>
  <si>
    <t>스타필드수원(직)</t>
  </si>
  <si>
    <t>014</t>
  </si>
  <si>
    <t>롯데분당</t>
  </si>
  <si>
    <t>045</t>
  </si>
  <si>
    <t>롯데노원</t>
  </si>
  <si>
    <t>676</t>
  </si>
  <si>
    <t>제주(대-위)</t>
  </si>
  <si>
    <t>129</t>
  </si>
  <si>
    <t>롯데대전</t>
  </si>
  <si>
    <t>7524</t>
  </si>
  <si>
    <t>롯데아울렛청주(상-위)</t>
  </si>
  <si>
    <t>015</t>
  </si>
  <si>
    <t>현대울산동구</t>
  </si>
  <si>
    <t>529</t>
  </si>
  <si>
    <t>강남사옥(직)</t>
  </si>
  <si>
    <t>6048</t>
  </si>
  <si>
    <t>두타(대-위)</t>
  </si>
  <si>
    <t>6008</t>
  </si>
  <si>
    <t>목포하당(대-위)</t>
  </si>
  <si>
    <t>6042</t>
  </si>
  <si>
    <t>속초(대-위)</t>
  </si>
  <si>
    <t>6007</t>
  </si>
  <si>
    <t>익산(대-위)</t>
  </si>
  <si>
    <t>6015</t>
  </si>
  <si>
    <t>대구성서(대-위)</t>
  </si>
  <si>
    <t>164</t>
  </si>
  <si>
    <t>현대중동</t>
  </si>
  <si>
    <t>193</t>
  </si>
  <si>
    <t>아이파크용산</t>
  </si>
  <si>
    <t>8008</t>
  </si>
  <si>
    <t>SSG닷컴(제휴몰)</t>
  </si>
  <si>
    <t>718</t>
  </si>
  <si>
    <t>여천(대-위)</t>
  </si>
  <si>
    <t>735</t>
  </si>
  <si>
    <t>거제(대-위)</t>
  </si>
  <si>
    <t>097</t>
  </si>
  <si>
    <t>신세계광주</t>
  </si>
  <si>
    <t>6005</t>
  </si>
  <si>
    <t>통영(대-위)</t>
  </si>
  <si>
    <t>007</t>
  </si>
  <si>
    <t>롯데일산</t>
  </si>
  <si>
    <t>044</t>
  </si>
  <si>
    <t>롯데중동</t>
  </si>
  <si>
    <t>147</t>
  </si>
  <si>
    <t>현대미아</t>
  </si>
  <si>
    <t>6035</t>
  </si>
  <si>
    <t>해남(대-위)</t>
  </si>
  <si>
    <t>001</t>
  </si>
  <si>
    <t>갤러리아진주</t>
  </si>
  <si>
    <t>8007</t>
  </si>
  <si>
    <t>29CM(제휴몰)</t>
  </si>
  <si>
    <t>7532</t>
  </si>
  <si>
    <t>현대아울렛대구(상-위)</t>
  </si>
  <si>
    <t>7533</t>
  </si>
  <si>
    <t>현대아울렛김포(상-위)</t>
  </si>
  <si>
    <t>7515</t>
  </si>
  <si>
    <t>신세계아울렛시흥(상-위)</t>
  </si>
  <si>
    <t>7508</t>
  </si>
  <si>
    <t>현대아울렛동대문(상-위)</t>
  </si>
  <si>
    <t>7525</t>
  </si>
  <si>
    <t>롯데아울렛진주(상-위)</t>
  </si>
  <si>
    <t>6028</t>
  </si>
  <si>
    <t>부천(대-위)</t>
  </si>
  <si>
    <t>6021</t>
  </si>
  <si>
    <t>스퀘어원인천(대-위)</t>
  </si>
  <si>
    <t>737</t>
  </si>
  <si>
    <t>동해(대-위)</t>
  </si>
  <si>
    <t>168</t>
  </si>
  <si>
    <t>롯데대구</t>
  </si>
  <si>
    <t>527</t>
  </si>
  <si>
    <t>명동중앙(직)</t>
  </si>
  <si>
    <t>031</t>
  </si>
  <si>
    <t>현대대구</t>
  </si>
  <si>
    <t>422</t>
  </si>
  <si>
    <t>신라면세용산</t>
  </si>
  <si>
    <t>513</t>
  </si>
  <si>
    <t>충장로(직)</t>
  </si>
  <si>
    <t>6045</t>
  </si>
  <si>
    <t>마산합성(대-위)</t>
  </si>
  <si>
    <t>167</t>
  </si>
  <si>
    <t>롯데창원</t>
  </si>
  <si>
    <t>8012</t>
  </si>
  <si>
    <t>GS SHOP(제휴몰)</t>
  </si>
  <si>
    <t>159</t>
  </si>
  <si>
    <t>AK수원</t>
  </si>
  <si>
    <t>531</t>
  </si>
  <si>
    <t>스타필드안성(직)</t>
  </si>
  <si>
    <t>749</t>
  </si>
  <si>
    <t>경산(대-위)</t>
  </si>
  <si>
    <t>745</t>
  </si>
  <si>
    <t>구미인동(대-위)</t>
  </si>
  <si>
    <t>7530</t>
  </si>
  <si>
    <t>롯데아울렛이천(상-위)</t>
  </si>
  <si>
    <t>7537</t>
  </si>
  <si>
    <t>롯데아울렛군산(상-위)</t>
  </si>
  <si>
    <t>7517</t>
  </si>
  <si>
    <t>마리오(상-위)</t>
  </si>
  <si>
    <t>954</t>
  </si>
  <si>
    <t>온라인완주</t>
  </si>
  <si>
    <t>기타</t>
  </si>
  <si>
    <t>8015</t>
  </si>
  <si>
    <t>MLB 쇼피파이 글로벌</t>
  </si>
  <si>
    <t>모다아울렛대전close</t>
  </si>
  <si>
    <t>444</t>
  </si>
  <si>
    <t>현대면세동대문close</t>
  </si>
  <si>
    <t>747</t>
  </si>
  <si>
    <t>천안쌍용(대-위)close</t>
  </si>
  <si>
    <t>522</t>
  </si>
  <si>
    <t>트리플스트리트(직)close</t>
  </si>
  <si>
    <t>8004</t>
  </si>
  <si>
    <t>MLB 글로벌</t>
  </si>
  <si>
    <t>6018</t>
  </si>
  <si>
    <t>일산덕이(대-위)close</t>
  </si>
  <si>
    <t>008</t>
  </si>
  <si>
    <t>AK분당close</t>
  </si>
  <si>
    <t>092</t>
  </si>
  <si>
    <t>현대디큐브시티close</t>
  </si>
  <si>
    <t>6032</t>
  </si>
  <si>
    <t>남양주삼패(대-위)close</t>
  </si>
  <si>
    <t>6034</t>
  </si>
  <si>
    <t>부평(대-위)close</t>
  </si>
  <si>
    <t>7512</t>
  </si>
  <si>
    <t>현대아울렛대구(상-위)close</t>
  </si>
  <si>
    <t>525</t>
  </si>
  <si>
    <t>스타필드고양(직)close</t>
  </si>
  <si>
    <t>748</t>
  </si>
  <si>
    <t>군산수송(대-위)close</t>
  </si>
  <si>
    <t>087</t>
  </si>
  <si>
    <t>NC신구로close</t>
  </si>
  <si>
    <t>7507</t>
  </si>
  <si>
    <t>롯데아울렛파주(상-위)close</t>
  </si>
  <si>
    <t>734</t>
  </si>
  <si>
    <t>두타(대-위)close</t>
  </si>
  <si>
    <t>7506</t>
  </si>
  <si>
    <t>롯데아울렛군산(상-위)close</t>
  </si>
  <si>
    <t>179</t>
  </si>
  <si>
    <t>현대목동close</t>
  </si>
  <si>
    <t>6014</t>
  </si>
  <si>
    <t>광주용봉(대-위)close</t>
  </si>
  <si>
    <t>7502</t>
  </si>
  <si>
    <t>현대아울렛대전(상-위)close</t>
  </si>
  <si>
    <t>7514</t>
  </si>
  <si>
    <t>롯데아울렛율하(상-위)close</t>
  </si>
  <si>
    <t>2W</t>
  </si>
  <si>
    <t>3W</t>
  </si>
  <si>
    <t>4W</t>
  </si>
  <si>
    <t>5W</t>
  </si>
  <si>
    <t>오늘 몇일</t>
    <phoneticPr fontId="3" type="noConversion"/>
  </si>
  <si>
    <t>동일</t>
    <phoneticPr fontId="3" type="noConversion"/>
  </si>
  <si>
    <t>목</t>
    <phoneticPr fontId="3" type="noConversion"/>
  </si>
  <si>
    <t>토</t>
    <phoneticPr fontId="3" type="noConversion"/>
  </si>
  <si>
    <t>일</t>
    <phoneticPr fontId="3" type="noConversion"/>
  </si>
  <si>
    <t>팀</t>
    <phoneticPr fontId="3" type="noConversion"/>
  </si>
  <si>
    <t>유통</t>
    <phoneticPr fontId="3" type="noConversion"/>
  </si>
  <si>
    <t>매장명변환</t>
    <phoneticPr fontId="3" type="noConversion"/>
  </si>
  <si>
    <t>매장코드</t>
  </si>
  <si>
    <t>매장명</t>
  </si>
  <si>
    <t>판매수량</t>
  </si>
  <si>
    <t>판매액</t>
  </si>
  <si>
    <t>판매택가</t>
  </si>
  <si>
    <t>정상_판매수량</t>
  </si>
  <si>
    <t>정상_판매액</t>
  </si>
  <si>
    <t>정상_판매택가</t>
  </si>
  <si>
    <t>반품_판매수량</t>
  </si>
  <si>
    <t>반품_판매액</t>
  </si>
  <si>
    <t>반품_판매택가</t>
  </si>
  <si>
    <t>직접 수기로 바꿀것</t>
    <phoneticPr fontId="3" type="noConversion"/>
  </si>
  <si>
    <t>월마감</t>
    <phoneticPr fontId="3" type="noConversion"/>
  </si>
  <si>
    <t>화</t>
    <phoneticPr fontId="3" type="noConversion"/>
  </si>
  <si>
    <t>수</t>
    <phoneticPr fontId="3" type="noConversion"/>
  </si>
  <si>
    <t>금</t>
    <phoneticPr fontId="3" type="noConversion"/>
  </si>
  <si>
    <t>당년</t>
    <phoneticPr fontId="3" type="noConversion"/>
  </si>
  <si>
    <t>판매유형</t>
  </si>
  <si>
    <t>단체할인</t>
  </si>
  <si>
    <t>마일리지판매</t>
  </si>
  <si>
    <t>정상</t>
  </si>
  <si>
    <t>할인권</t>
  </si>
  <si>
    <t>30%</t>
  </si>
  <si>
    <t>직원구매</t>
  </si>
  <si>
    <t>50%</t>
  </si>
  <si>
    <t>운영팀</t>
    <phoneticPr fontId="3" type="noConversion"/>
  </si>
  <si>
    <t>상권별</t>
    <phoneticPr fontId="3" type="noConversion"/>
  </si>
  <si>
    <t>채널별</t>
    <phoneticPr fontId="3" type="noConversion"/>
  </si>
  <si>
    <t>채널구분</t>
    <phoneticPr fontId="3" type="noConversion"/>
  </si>
  <si>
    <t>상권(그룹FV)</t>
  </si>
  <si>
    <t>폐점 추가(재오픈제외)</t>
    <phoneticPr fontId="3" type="noConversion"/>
  </si>
  <si>
    <t>매장수</t>
    <phoneticPr fontId="3" type="noConversion"/>
  </si>
  <si>
    <t>팀별</t>
  </si>
  <si>
    <t>mlb상권구분</t>
  </si>
  <si>
    <t>상권구분(매장)</t>
  </si>
  <si>
    <t>상권구분(2)</t>
  </si>
  <si>
    <t>RF</t>
  </si>
  <si>
    <t>H1</t>
    <phoneticPr fontId="3" type="noConversion"/>
  </si>
  <si>
    <t>직영팀</t>
  </si>
  <si>
    <t>성수(직)</t>
    <phoneticPr fontId="3" type="noConversion"/>
  </si>
  <si>
    <t>국내</t>
  </si>
  <si>
    <t>역삼(직)</t>
  </si>
  <si>
    <t>F3</t>
    <phoneticPr fontId="3" type="noConversion"/>
  </si>
  <si>
    <t>F2</t>
    <phoneticPr fontId="3" type="noConversion"/>
  </si>
  <si>
    <t>스타필드수원(직)</t>
    <phoneticPr fontId="3" type="noConversion"/>
  </si>
  <si>
    <t>광주용봉(대-위)</t>
  </si>
  <si>
    <t>광주첨단(대-위)close</t>
  </si>
  <si>
    <t>트리플스트리트(직)</t>
  </si>
  <si>
    <t>롯데수원(쇼핑몰 입점)</t>
    <phoneticPr fontId="3" type="noConversion"/>
  </si>
  <si>
    <t>롯데수원</t>
    <phoneticPr fontId="3" type="noConversion"/>
  </si>
  <si>
    <t>현대목동</t>
  </si>
  <si>
    <t>수원영통(대-위)close</t>
  </si>
  <si>
    <t>AK분당</t>
  </si>
  <si>
    <t>일산덕이(대-위)</t>
  </si>
  <si>
    <t>천안쌍용(대-위)</t>
  </si>
  <si>
    <t>평택베스트원몰(대-위)close</t>
  </si>
  <si>
    <t>NC신구로</t>
  </si>
  <si>
    <t>포천(대-위)close</t>
  </si>
  <si>
    <t>면세점팀</t>
  </si>
  <si>
    <t>현대디큐브시티</t>
  </si>
  <si>
    <t>동성로</t>
  </si>
  <si>
    <t>충장로</t>
  </si>
  <si>
    <t>F1</t>
    <phoneticPr fontId="3" type="noConversion"/>
  </si>
  <si>
    <t>현대면세동대문</t>
  </si>
  <si>
    <t>백화점팀</t>
  </si>
  <si>
    <t>디큐브거제close</t>
  </si>
  <si>
    <t>롯데마산close</t>
  </si>
  <si>
    <t>신세계광주close</t>
  </si>
  <si>
    <t>현대부산close</t>
  </si>
  <si>
    <t>상설 CP</t>
  </si>
  <si>
    <t>롯데아울렛기흥(상-위)close</t>
  </si>
  <si>
    <t>롯데아울렛이천(상-위)close</t>
  </si>
  <si>
    <t>현대아울렛남양주(상-위)close</t>
  </si>
  <si>
    <t>E-biz</t>
  </si>
  <si>
    <t>온(제휴몰)</t>
  </si>
  <si>
    <t>온(자사몰)</t>
  </si>
  <si>
    <t>온라인쇼핑몰</t>
  </si>
  <si>
    <t>유니버스티켓(제휴몰)</t>
  </si>
  <si>
    <t>당진(대-위)close</t>
  </si>
  <si>
    <t>티몰글로벌</t>
  </si>
  <si>
    <t>면세+도매</t>
  </si>
  <si>
    <t>춘천(대-위)close</t>
  </si>
  <si>
    <t>직영팀</t>
    <phoneticPr fontId="3" type="noConversion"/>
  </si>
  <si>
    <t>도매</t>
  </si>
  <si>
    <t>대백프라자close</t>
  </si>
  <si>
    <t>폐점</t>
    <phoneticPr fontId="3" type="noConversion"/>
  </si>
  <si>
    <t>대백프라자</t>
  </si>
  <si>
    <t>직영점(로드)</t>
  </si>
  <si>
    <t>수원영통(대-위)</t>
  </si>
  <si>
    <t>스타필드고양</t>
  </si>
  <si>
    <t>군산수송(대-위)</t>
  </si>
  <si>
    <t>현대부산</t>
  </si>
  <si>
    <t>백화점팀</t>
    <phoneticPr fontId="3" type="noConversion"/>
  </si>
  <si>
    <t>직영점(몰)</t>
  </si>
  <si>
    <t>대전은행(대-위)close</t>
  </si>
  <si>
    <t>스타일쉐어(제휴몰)</t>
  </si>
  <si>
    <t>W몰구로(대-위)close</t>
  </si>
  <si>
    <t>W몰구로(대-위)</t>
  </si>
  <si>
    <t>롯데면세코엑스close</t>
  </si>
  <si>
    <t>롯데면세코엑스</t>
  </si>
  <si>
    <t>속초(대-위)close</t>
  </si>
  <si>
    <t>대전장대(대-위)close</t>
  </si>
  <si>
    <t>대전장대(대-위)</t>
  </si>
  <si>
    <t>디큐브거제</t>
  </si>
  <si>
    <t>롯데마산</t>
  </si>
  <si>
    <t>동화면세close</t>
  </si>
  <si>
    <t>동화면세</t>
  </si>
  <si>
    <t>W컨셉(제휴몰)close</t>
  </si>
  <si>
    <t>W컨셉(제휴몰)</t>
  </si>
  <si>
    <t>평택베스트원몰(대-위)</t>
  </si>
  <si>
    <t>부평(대-위)</t>
  </si>
  <si>
    <t>광주첨단(대-위)</t>
  </si>
  <si>
    <t>EC-온라인물류</t>
  </si>
  <si>
    <t>현대아울렛남양주(상-위)</t>
  </si>
  <si>
    <t>광주용봉(대-위)close</t>
    <phoneticPr fontId="3" type="noConversion"/>
  </si>
  <si>
    <t>광주용봉(대-위)</t>
    <phoneticPr fontId="3" type="noConversion"/>
  </si>
  <si>
    <t>일산덕이(대-위)close</t>
    <phoneticPr fontId="3" type="noConversion"/>
  </si>
  <si>
    <t>현대디큐브시티close</t>
    <phoneticPr fontId="3" type="noConversion"/>
  </si>
  <si>
    <t>현대디큐브시티</t>
    <phoneticPr fontId="3" type="noConversion"/>
  </si>
  <si>
    <t>롯데아울렛율하(상-위)close</t>
    <phoneticPr fontId="3" type="noConversion"/>
  </si>
  <si>
    <t>롯데아울렛율하(상-위)</t>
    <phoneticPr fontId="3" type="noConversion"/>
  </si>
  <si>
    <t>현대면세동대문close</t>
    <phoneticPr fontId="3" type="noConversion"/>
  </si>
  <si>
    <t>현대면세동대문</t>
    <phoneticPr fontId="3" type="noConversion"/>
  </si>
  <si>
    <t>AK분당close</t>
    <phoneticPr fontId="3" type="noConversion"/>
  </si>
  <si>
    <t>AK분당</t>
    <phoneticPr fontId="3" type="noConversion"/>
  </si>
  <si>
    <t>현대목동</t>
    <phoneticPr fontId="3" type="noConversion"/>
  </si>
  <si>
    <t>롯데아울렛파주(상-위)close</t>
    <phoneticPr fontId="3" type="noConversion"/>
  </si>
  <si>
    <t>롯데아울렛파주(상-위)</t>
    <phoneticPr fontId="3" type="noConversion"/>
  </si>
  <si>
    <t>천안쌍용(대-위)</t>
    <phoneticPr fontId="3" type="noConversion"/>
  </si>
  <si>
    <t>NC신구로close</t>
    <phoneticPr fontId="3" type="noConversion"/>
  </si>
  <si>
    <t>롯데아울렛군산(상-위)오픈전</t>
  </si>
  <si>
    <t>롯데아울렛군산(상-위)</t>
    <phoneticPr fontId="3" type="noConversion"/>
  </si>
  <si>
    <t>남양주삼패(대-위)close</t>
    <phoneticPr fontId="3" type="noConversion"/>
  </si>
  <si>
    <t>모다아울렛대전</t>
    <phoneticPr fontId="3" type="noConversion"/>
  </si>
  <si>
    <t>4W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</si>
</sst>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#,##0,"/>
    <numFmt numFmtId="177" formatCode="#,##0_ ;[Red]\-#,##0\ "/>
    <numFmt numFmtId="178" formatCode="m&quot;월&quot;\ d&quot;일&quot;;@"/>
    <numFmt numFmtId="179" formatCode="[Blue]\+0%;[Red]\-0%"/>
    <numFmt numFmtId="180" formatCode="#,##0,,"/>
    <numFmt numFmtId="181" formatCode="#,##0,\ ;[Red]\-#,##0,"/>
    <numFmt numFmtId="182" formatCode="#,##0,;[Red]\-#,##0,"/>
    <numFmt numFmtId="183" formatCode="[Blue]\+#,##0,;[Red]\-#,##0,"/>
    <numFmt numFmtId="184" formatCode="0.0%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indexed="8"/>
      <name val="Calibri"/>
      <family val="2"/>
    </font>
    <font>
      <b/>
      <i/>
      <sz val="9"/>
      <color theme="1"/>
      <name val="맑은 고딕"/>
      <family val="3"/>
      <charset val="129"/>
      <scheme val="minor"/>
    </font>
    <font>
      <b/>
      <i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i/>
      <sz val="9"/>
      <color theme="0"/>
      <name val="맑은 고딕"/>
      <family val="3"/>
      <charset val="129"/>
      <scheme val="minor"/>
    </font>
    <font>
      <i/>
      <sz val="9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i/>
      <sz val="8"/>
      <color theme="1"/>
      <name val="맑은 고딕"/>
      <family val="3"/>
      <charset val="129"/>
      <scheme val="minor"/>
    </font>
    <font>
      <i/>
      <sz val="9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 style="thin">
        <color auto="1"/>
      </top>
      <bottom/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medium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medium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thick">
        <color rgb="FFFF0000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/>
  </cellStyleXfs>
  <cellXfs count="32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Continuous"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2" fillId="2" borderId="22" xfId="0" applyFont="1" applyFill="1" applyBorder="1">
      <alignment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5" xfId="0" applyFont="1" applyFill="1" applyBorder="1">
      <alignment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8" xfId="0" applyFont="1" applyFill="1" applyBorder="1">
      <alignment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10" fillId="6" borderId="32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/>
    </xf>
    <xf numFmtId="0" fontId="10" fillId="6" borderId="36" xfId="0" applyFont="1" applyFill="1" applyBorder="1" applyAlignment="1">
      <alignment horizontal="center" vertical="center"/>
    </xf>
    <xf numFmtId="0" fontId="10" fillId="6" borderId="37" xfId="0" applyFont="1" applyFill="1" applyBorder="1" applyAlignment="1">
      <alignment horizontal="center" vertical="center"/>
    </xf>
    <xf numFmtId="176" fontId="10" fillId="6" borderId="36" xfId="0" applyNumberFormat="1" applyFont="1" applyFill="1" applyBorder="1" applyAlignment="1">
      <alignment horizontal="center" vertical="center"/>
    </xf>
    <xf numFmtId="176" fontId="10" fillId="6" borderId="37" xfId="0" applyNumberFormat="1" applyFont="1" applyFill="1" applyBorder="1" applyAlignment="1">
      <alignment horizontal="center" vertical="center"/>
    </xf>
    <xf numFmtId="179" fontId="10" fillId="6" borderId="38" xfId="1" applyNumberFormat="1" applyFont="1" applyFill="1" applyBorder="1" applyAlignment="1">
      <alignment horizontal="center" vertical="center"/>
    </xf>
    <xf numFmtId="179" fontId="10" fillId="6" borderId="37" xfId="1" applyNumberFormat="1" applyFont="1" applyFill="1" applyBorder="1" applyAlignment="1">
      <alignment horizontal="center" vertical="center"/>
    </xf>
    <xf numFmtId="0" fontId="2" fillId="6" borderId="28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10" fillId="2" borderId="0" xfId="0" applyFont="1" applyFill="1" applyAlignment="1">
      <alignment horizontal="center" vertical="center"/>
    </xf>
    <xf numFmtId="0" fontId="9" fillId="8" borderId="33" xfId="2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Continuous" vertical="center"/>
    </xf>
    <xf numFmtId="0" fontId="14" fillId="9" borderId="13" xfId="2" applyFont="1" applyFill="1" applyBorder="1" applyAlignment="1">
      <alignment horizontal="centerContinuous" vertical="center"/>
    </xf>
    <xf numFmtId="0" fontId="14" fillId="9" borderId="14" xfId="2" applyFont="1" applyFill="1" applyBorder="1" applyAlignment="1">
      <alignment horizontal="centerContinuous" vertical="center"/>
    </xf>
    <xf numFmtId="0" fontId="15" fillId="9" borderId="12" xfId="2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45" xfId="0" applyFont="1" applyFill="1" applyBorder="1">
      <alignment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7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6" fillId="4" borderId="0" xfId="0" applyNumberFormat="1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7" fillId="11" borderId="47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/>
    </xf>
    <xf numFmtId="0" fontId="17" fillId="9" borderId="0" xfId="0" applyFont="1" applyFill="1" applyAlignment="1">
      <alignment horizontal="center" vertical="center"/>
    </xf>
    <xf numFmtId="0" fontId="12" fillId="12" borderId="47" xfId="0" applyFont="1" applyFill="1" applyBorder="1" applyAlignment="1">
      <alignment horizontal="center" vertical="center"/>
    </xf>
    <xf numFmtId="0" fontId="12" fillId="12" borderId="48" xfId="0" applyFont="1" applyFill="1" applyBorder="1" applyAlignment="1">
      <alignment horizontal="center" vertical="center"/>
    </xf>
    <xf numFmtId="3" fontId="12" fillId="12" borderId="48" xfId="0" applyNumberFormat="1" applyFont="1" applyFill="1" applyBorder="1" applyAlignment="1">
      <alignment horizontal="center" vertical="center"/>
    </xf>
    <xf numFmtId="3" fontId="16" fillId="13" borderId="48" xfId="0" applyNumberFormat="1" applyFont="1" applyFill="1" applyBorder="1" applyAlignment="1">
      <alignment horizontal="center" vertical="center"/>
    </xf>
    <xf numFmtId="3" fontId="12" fillId="12" borderId="49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3" fontId="12" fillId="0" borderId="48" xfId="0" applyNumberFormat="1" applyFont="1" applyBorder="1" applyAlignment="1">
      <alignment horizontal="center" vertical="center"/>
    </xf>
    <xf numFmtId="3" fontId="16" fillId="4" borderId="48" xfId="0" applyNumberFormat="1" applyFont="1" applyFill="1" applyBorder="1" applyAlignment="1">
      <alignment horizontal="center" vertical="center"/>
    </xf>
    <xf numFmtId="3" fontId="12" fillId="0" borderId="49" xfId="0" applyNumberFormat="1" applyFont="1" applyBorder="1" applyAlignment="1">
      <alignment horizontal="center" vertical="center"/>
    </xf>
    <xf numFmtId="3" fontId="12" fillId="13" borderId="48" xfId="0" applyNumberFormat="1" applyFont="1" applyFill="1" applyBorder="1" applyAlignment="1">
      <alignment horizontal="center" vertical="center"/>
    </xf>
    <xf numFmtId="3" fontId="12" fillId="4" borderId="48" xfId="0" applyNumberFormat="1" applyFont="1" applyFill="1" applyBorder="1" applyAlignment="1">
      <alignment horizontal="center" vertical="center"/>
    </xf>
    <xf numFmtId="0" fontId="8" fillId="4" borderId="0" xfId="0" applyFont="1" applyFill="1">
      <alignment vertical="center"/>
    </xf>
    <xf numFmtId="3" fontId="2" fillId="0" borderId="0" xfId="0" applyNumberFormat="1" applyFont="1">
      <alignment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180" fontId="2" fillId="0" borderId="0" xfId="0" applyNumberFormat="1" applyFont="1">
      <alignment vertical="center"/>
    </xf>
    <xf numFmtId="0" fontId="12" fillId="4" borderId="0" xfId="0" applyFont="1" applyFill="1" applyAlignment="1">
      <alignment horizontal="center" vertical="center"/>
    </xf>
    <xf numFmtId="181" fontId="2" fillId="2" borderId="22" xfId="0" applyNumberFormat="1" applyFont="1" applyFill="1" applyBorder="1" applyAlignment="1">
      <alignment horizontal="center" vertical="center"/>
    </xf>
    <xf numFmtId="181" fontId="2" fillId="6" borderId="28" xfId="0" applyNumberFormat="1" applyFont="1" applyFill="1" applyBorder="1" applyAlignment="1">
      <alignment horizontal="center" vertical="center"/>
    </xf>
    <xf numFmtId="181" fontId="2" fillId="2" borderId="25" xfId="0" applyNumberFormat="1" applyFont="1" applyFill="1" applyBorder="1" applyAlignment="1">
      <alignment horizontal="center" vertical="center"/>
    </xf>
    <xf numFmtId="181" fontId="2" fillId="2" borderId="0" xfId="0" applyNumberFormat="1" applyFont="1" applyFill="1" applyAlignment="1">
      <alignment horizontal="center" vertical="center"/>
    </xf>
    <xf numFmtId="181" fontId="2" fillId="2" borderId="2" xfId="0" applyNumberFormat="1" applyFont="1" applyFill="1" applyBorder="1" applyAlignment="1">
      <alignment horizontal="center" vertical="center"/>
    </xf>
    <xf numFmtId="181" fontId="2" fillId="2" borderId="45" xfId="0" applyNumberFormat="1" applyFont="1" applyFill="1" applyBorder="1" applyAlignment="1">
      <alignment horizontal="center" vertical="center"/>
    </xf>
    <xf numFmtId="181" fontId="2" fillId="2" borderId="37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14" fontId="12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/>
    <xf numFmtId="0" fontId="12" fillId="7" borderId="0" xfId="0" applyFont="1" applyFill="1">
      <alignment vertical="center"/>
    </xf>
    <xf numFmtId="3" fontId="12" fillId="0" borderId="0" xfId="0" applyNumberFormat="1" applyFont="1" applyAlignment="1"/>
    <xf numFmtId="3" fontId="12" fillId="0" borderId="0" xfId="0" applyNumberFormat="1" applyFont="1">
      <alignment vertical="center"/>
    </xf>
    <xf numFmtId="14" fontId="12" fillId="7" borderId="0" xfId="0" applyNumberFormat="1" applyFont="1" applyFill="1">
      <alignment vertical="center"/>
    </xf>
    <xf numFmtId="14" fontId="12" fillId="7" borderId="0" xfId="0" quotePrefix="1" applyNumberFormat="1" applyFont="1" applyFill="1">
      <alignment vertical="center"/>
    </xf>
    <xf numFmtId="0" fontId="19" fillId="4" borderId="0" xfId="0" applyFont="1" applyFill="1">
      <alignment vertical="center"/>
    </xf>
    <xf numFmtId="0" fontId="2" fillId="14" borderId="22" xfId="0" applyFont="1" applyFill="1" applyBorder="1" applyAlignment="1">
      <alignment horizontal="center" vertical="center"/>
    </xf>
    <xf numFmtId="181" fontId="2" fillId="14" borderId="22" xfId="0" applyNumberFormat="1" applyFont="1" applyFill="1" applyBorder="1" applyAlignment="1">
      <alignment horizontal="center" vertical="center"/>
    </xf>
    <xf numFmtId="182" fontId="2" fillId="7" borderId="27" xfId="0" applyNumberFormat="1" applyFont="1" applyFill="1" applyBorder="1" applyAlignment="1">
      <alignment horizontal="center" vertical="center"/>
    </xf>
    <xf numFmtId="182" fontId="2" fillId="7" borderId="28" xfId="0" applyNumberFormat="1" applyFont="1" applyFill="1" applyBorder="1" applyAlignment="1">
      <alignment horizontal="center" vertical="center"/>
    </xf>
    <xf numFmtId="182" fontId="2" fillId="2" borderId="21" xfId="0" applyNumberFormat="1" applyFont="1" applyFill="1" applyBorder="1" applyAlignment="1">
      <alignment horizontal="center" vertical="center"/>
    </xf>
    <xf numFmtId="182" fontId="2" fillId="2" borderId="22" xfId="0" applyNumberFormat="1" applyFont="1" applyFill="1" applyBorder="1" applyAlignment="1">
      <alignment horizontal="center" vertical="center"/>
    </xf>
    <xf numFmtId="182" fontId="2" fillId="2" borderId="24" xfId="0" applyNumberFormat="1" applyFont="1" applyFill="1" applyBorder="1" applyAlignment="1">
      <alignment horizontal="center" vertical="center"/>
    </xf>
    <xf numFmtId="182" fontId="2" fillId="2" borderId="25" xfId="0" applyNumberFormat="1" applyFont="1" applyFill="1" applyBorder="1" applyAlignment="1">
      <alignment horizontal="center" vertical="center"/>
    </xf>
    <xf numFmtId="182" fontId="2" fillId="2" borderId="0" xfId="0" applyNumberFormat="1" applyFont="1" applyFill="1" applyAlignment="1">
      <alignment horizontal="center" vertical="center"/>
    </xf>
    <xf numFmtId="182" fontId="2" fillId="2" borderId="2" xfId="0" applyNumberFormat="1" applyFont="1" applyFill="1" applyBorder="1" applyAlignment="1">
      <alignment horizontal="center" vertical="center"/>
    </xf>
    <xf numFmtId="182" fontId="2" fillId="2" borderId="44" xfId="0" applyNumberFormat="1" applyFont="1" applyFill="1" applyBorder="1" applyAlignment="1">
      <alignment horizontal="center" vertical="center"/>
    </xf>
    <xf numFmtId="182" fontId="2" fillId="2" borderId="45" xfId="0" applyNumberFormat="1" applyFont="1" applyFill="1" applyBorder="1" applyAlignment="1">
      <alignment horizontal="center" vertical="center"/>
    </xf>
    <xf numFmtId="182" fontId="2" fillId="2" borderId="37" xfId="0" applyNumberFormat="1" applyFont="1" applyFill="1" applyBorder="1" applyAlignment="1">
      <alignment horizontal="center" vertical="center"/>
    </xf>
    <xf numFmtId="182" fontId="2" fillId="14" borderId="21" xfId="0" applyNumberFormat="1" applyFont="1" applyFill="1" applyBorder="1" applyAlignment="1">
      <alignment horizontal="center" vertical="center"/>
    </xf>
    <xf numFmtId="182" fontId="2" fillId="14" borderId="22" xfId="0" applyNumberFormat="1" applyFont="1" applyFill="1" applyBorder="1" applyAlignment="1">
      <alignment horizontal="center" vertical="center"/>
    </xf>
    <xf numFmtId="182" fontId="2" fillId="7" borderId="53" xfId="0" applyNumberFormat="1" applyFont="1" applyFill="1" applyBorder="1" applyAlignment="1">
      <alignment horizontal="center" vertical="center"/>
    </xf>
    <xf numFmtId="182" fontId="2" fillId="2" borderId="54" xfId="0" applyNumberFormat="1" applyFont="1" applyFill="1" applyBorder="1" applyAlignment="1">
      <alignment horizontal="center" vertical="center"/>
    </xf>
    <xf numFmtId="182" fontId="2" fillId="2" borderId="55" xfId="0" applyNumberFormat="1" applyFont="1" applyFill="1" applyBorder="1" applyAlignment="1">
      <alignment horizontal="center" vertical="center"/>
    </xf>
    <xf numFmtId="182" fontId="2" fillId="14" borderId="54" xfId="0" applyNumberFormat="1" applyFont="1" applyFill="1" applyBorder="1" applyAlignment="1">
      <alignment horizontal="center" vertical="center"/>
    </xf>
    <xf numFmtId="182" fontId="2" fillId="2" borderId="56" xfId="0" applyNumberFormat="1" applyFont="1" applyFill="1" applyBorder="1" applyAlignment="1">
      <alignment horizontal="center" vertical="center"/>
    </xf>
    <xf numFmtId="0" fontId="2" fillId="14" borderId="45" xfId="0" applyFont="1" applyFill="1" applyBorder="1" applyAlignment="1">
      <alignment horizontal="center" vertical="center"/>
    </xf>
    <xf numFmtId="181" fontId="2" fillId="14" borderId="45" xfId="0" applyNumberFormat="1" applyFont="1" applyFill="1" applyBorder="1" applyAlignment="1">
      <alignment horizontal="center" vertical="center"/>
    </xf>
    <xf numFmtId="182" fontId="2" fillId="14" borderId="44" xfId="0" applyNumberFormat="1" applyFont="1" applyFill="1" applyBorder="1" applyAlignment="1">
      <alignment horizontal="center" vertical="center"/>
    </xf>
    <xf numFmtId="182" fontId="2" fillId="14" borderId="45" xfId="0" applyNumberFormat="1" applyFont="1" applyFill="1" applyBorder="1" applyAlignment="1">
      <alignment horizontal="center" vertical="center"/>
    </xf>
    <xf numFmtId="182" fontId="2" fillId="14" borderId="56" xfId="0" applyNumberFormat="1" applyFont="1" applyFill="1" applyBorder="1" applyAlignment="1">
      <alignment horizontal="center" vertical="center"/>
    </xf>
    <xf numFmtId="179" fontId="2" fillId="6" borderId="28" xfId="0" applyNumberFormat="1" applyFont="1" applyFill="1" applyBorder="1" applyAlignment="1">
      <alignment horizontal="center" vertical="center"/>
    </xf>
    <xf numFmtId="179" fontId="2" fillId="2" borderId="22" xfId="0" applyNumberFormat="1" applyFont="1" applyFill="1" applyBorder="1" applyAlignment="1">
      <alignment horizontal="center" vertical="center"/>
    </xf>
    <xf numFmtId="179" fontId="2" fillId="2" borderId="25" xfId="0" applyNumberFormat="1" applyFont="1" applyFill="1" applyBorder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/>
    </xf>
    <xf numFmtId="179" fontId="2" fillId="2" borderId="2" xfId="0" applyNumberFormat="1" applyFont="1" applyFill="1" applyBorder="1" applyAlignment="1">
      <alignment horizontal="center" vertical="center"/>
    </xf>
    <xf numFmtId="179" fontId="2" fillId="14" borderId="22" xfId="0" applyNumberFormat="1" applyFont="1" applyFill="1" applyBorder="1" applyAlignment="1">
      <alignment horizontal="center" vertical="center"/>
    </xf>
    <xf numFmtId="179" fontId="2" fillId="2" borderId="45" xfId="0" applyNumberFormat="1" applyFont="1" applyFill="1" applyBorder="1" applyAlignment="1">
      <alignment horizontal="center" vertical="center"/>
    </xf>
    <xf numFmtId="179" fontId="2" fillId="14" borderId="45" xfId="0" applyNumberFormat="1" applyFont="1" applyFill="1" applyBorder="1" applyAlignment="1">
      <alignment horizontal="center" vertical="center"/>
    </xf>
    <xf numFmtId="179" fontId="2" fillId="2" borderId="37" xfId="0" applyNumberFormat="1" applyFont="1" applyFill="1" applyBorder="1" applyAlignment="1">
      <alignment horizontal="center" vertical="center"/>
    </xf>
    <xf numFmtId="181" fontId="2" fillId="15" borderId="22" xfId="0" applyNumberFormat="1" applyFont="1" applyFill="1" applyBorder="1" applyAlignment="1">
      <alignment horizontal="center" vertical="center"/>
    </xf>
    <xf numFmtId="181" fontId="2" fillId="15" borderId="45" xfId="0" applyNumberFormat="1" applyFont="1" applyFill="1" applyBorder="1" applyAlignment="1">
      <alignment horizontal="center" vertical="center"/>
    </xf>
    <xf numFmtId="9" fontId="2" fillId="6" borderId="28" xfId="1" applyFont="1" applyFill="1" applyBorder="1" applyAlignment="1">
      <alignment horizontal="center" vertical="center"/>
    </xf>
    <xf numFmtId="9" fontId="2" fillId="2" borderId="22" xfId="1" applyFont="1" applyFill="1" applyBorder="1" applyAlignment="1">
      <alignment horizontal="center" vertical="center"/>
    </xf>
    <xf numFmtId="9" fontId="2" fillId="2" borderId="25" xfId="1" applyFont="1" applyFill="1" applyBorder="1" applyAlignment="1">
      <alignment horizontal="center" vertical="center"/>
    </xf>
    <xf numFmtId="9" fontId="2" fillId="14" borderId="22" xfId="1" applyFont="1" applyFill="1" applyBorder="1" applyAlignment="1">
      <alignment horizontal="center" vertical="center"/>
    </xf>
    <xf numFmtId="9" fontId="2" fillId="2" borderId="45" xfId="1" applyFont="1" applyFill="1" applyBorder="1" applyAlignment="1">
      <alignment horizontal="center" vertical="center"/>
    </xf>
    <xf numFmtId="9" fontId="2" fillId="14" borderId="45" xfId="1" applyFont="1" applyFill="1" applyBorder="1" applyAlignment="1">
      <alignment horizontal="center" vertical="center"/>
    </xf>
    <xf numFmtId="179" fontId="2" fillId="7" borderId="57" xfId="0" applyNumberFormat="1" applyFont="1" applyFill="1" applyBorder="1" applyAlignment="1">
      <alignment horizontal="center" vertical="center"/>
    </xf>
    <xf numFmtId="179" fontId="2" fillId="7" borderId="28" xfId="0" applyNumberFormat="1" applyFont="1" applyFill="1" applyBorder="1" applyAlignment="1">
      <alignment horizontal="center" vertical="center"/>
    </xf>
    <xf numFmtId="179" fontId="2" fillId="7" borderId="29" xfId="0" applyNumberFormat="1" applyFont="1" applyFill="1" applyBorder="1" applyAlignment="1">
      <alignment horizontal="center" vertical="center"/>
    </xf>
    <xf numFmtId="179" fontId="2" fillId="2" borderId="58" xfId="0" applyNumberFormat="1" applyFont="1" applyFill="1" applyBorder="1" applyAlignment="1">
      <alignment horizontal="center" vertical="center"/>
    </xf>
    <xf numFmtId="179" fontId="2" fillId="2" borderId="23" xfId="0" applyNumberFormat="1" applyFont="1" applyFill="1" applyBorder="1" applyAlignment="1">
      <alignment horizontal="center" vertical="center"/>
    </xf>
    <xf numFmtId="179" fontId="2" fillId="2" borderId="59" xfId="0" applyNumberFormat="1" applyFont="1" applyFill="1" applyBorder="1" applyAlignment="1">
      <alignment horizontal="center" vertical="center"/>
    </xf>
    <xf numFmtId="179" fontId="2" fillId="2" borderId="26" xfId="0" applyNumberFormat="1" applyFont="1" applyFill="1" applyBorder="1" applyAlignment="1">
      <alignment horizontal="center" vertical="center"/>
    </xf>
    <xf numFmtId="179" fontId="2" fillId="14" borderId="58" xfId="0" applyNumberFormat="1" applyFont="1" applyFill="1" applyBorder="1" applyAlignment="1">
      <alignment horizontal="center" vertical="center"/>
    </xf>
    <xf numFmtId="179" fontId="2" fillId="14" borderId="23" xfId="0" applyNumberFormat="1" applyFont="1" applyFill="1" applyBorder="1" applyAlignment="1">
      <alignment horizontal="center" vertical="center"/>
    </xf>
    <xf numFmtId="179" fontId="2" fillId="2" borderId="60" xfId="0" applyNumberFormat="1" applyFont="1" applyFill="1" applyBorder="1" applyAlignment="1">
      <alignment horizontal="center" vertical="center"/>
    </xf>
    <xf numFmtId="179" fontId="2" fillId="2" borderId="46" xfId="0" applyNumberFormat="1" applyFont="1" applyFill="1" applyBorder="1" applyAlignment="1">
      <alignment horizontal="center" vertical="center"/>
    </xf>
    <xf numFmtId="179" fontId="2" fillId="14" borderId="60" xfId="0" applyNumberFormat="1" applyFont="1" applyFill="1" applyBorder="1" applyAlignment="1">
      <alignment horizontal="center" vertical="center"/>
    </xf>
    <xf numFmtId="179" fontId="2" fillId="14" borderId="46" xfId="0" applyNumberFormat="1" applyFont="1" applyFill="1" applyBorder="1" applyAlignment="1">
      <alignment horizontal="center" vertical="center"/>
    </xf>
    <xf numFmtId="183" fontId="2" fillId="7" borderId="27" xfId="0" applyNumberFormat="1" applyFont="1" applyFill="1" applyBorder="1" applyAlignment="1">
      <alignment horizontal="center" vertical="center"/>
    </xf>
    <xf numFmtId="183" fontId="2" fillId="7" borderId="28" xfId="0" applyNumberFormat="1" applyFont="1" applyFill="1" applyBorder="1" applyAlignment="1">
      <alignment horizontal="center" vertical="center"/>
    </xf>
    <xf numFmtId="183" fontId="2" fillId="7" borderId="29" xfId="0" applyNumberFormat="1" applyFont="1" applyFill="1" applyBorder="1" applyAlignment="1">
      <alignment horizontal="center" vertical="center"/>
    </xf>
    <xf numFmtId="183" fontId="2" fillId="2" borderId="21" xfId="0" applyNumberFormat="1" applyFont="1" applyFill="1" applyBorder="1" applyAlignment="1">
      <alignment horizontal="center" vertical="center"/>
    </xf>
    <xf numFmtId="183" fontId="2" fillId="2" borderId="22" xfId="0" applyNumberFormat="1" applyFont="1" applyFill="1" applyBorder="1" applyAlignment="1">
      <alignment horizontal="center" vertical="center"/>
    </xf>
    <xf numFmtId="183" fontId="2" fillId="2" borderId="23" xfId="0" applyNumberFormat="1" applyFont="1" applyFill="1" applyBorder="1" applyAlignment="1">
      <alignment horizontal="center" vertical="center"/>
    </xf>
    <xf numFmtId="183" fontId="2" fillId="2" borderId="24" xfId="0" applyNumberFormat="1" applyFont="1" applyFill="1" applyBorder="1" applyAlignment="1">
      <alignment horizontal="center" vertical="center"/>
    </xf>
    <xf numFmtId="183" fontId="2" fillId="2" borderId="25" xfId="0" applyNumberFormat="1" applyFont="1" applyFill="1" applyBorder="1" applyAlignment="1">
      <alignment horizontal="center" vertical="center"/>
    </xf>
    <xf numFmtId="183" fontId="2" fillId="2" borderId="26" xfId="0" applyNumberFormat="1" applyFont="1" applyFill="1" applyBorder="1" applyAlignment="1">
      <alignment horizontal="center" vertical="center"/>
    </xf>
    <xf numFmtId="183" fontId="2" fillId="14" borderId="21" xfId="0" applyNumberFormat="1" applyFont="1" applyFill="1" applyBorder="1" applyAlignment="1">
      <alignment horizontal="center" vertical="center"/>
    </xf>
    <xf numFmtId="183" fontId="2" fillId="14" borderId="22" xfId="0" applyNumberFormat="1" applyFont="1" applyFill="1" applyBorder="1" applyAlignment="1">
      <alignment horizontal="center" vertical="center"/>
    </xf>
    <xf numFmtId="183" fontId="2" fillId="14" borderId="23" xfId="0" applyNumberFormat="1" applyFont="1" applyFill="1" applyBorder="1" applyAlignment="1">
      <alignment horizontal="center" vertical="center"/>
    </xf>
    <xf numFmtId="183" fontId="2" fillId="2" borderId="44" xfId="0" applyNumberFormat="1" applyFont="1" applyFill="1" applyBorder="1" applyAlignment="1">
      <alignment horizontal="center" vertical="center"/>
    </xf>
    <xf numFmtId="183" fontId="2" fillId="2" borderId="45" xfId="0" applyNumberFormat="1" applyFont="1" applyFill="1" applyBorder="1" applyAlignment="1">
      <alignment horizontal="center" vertical="center"/>
    </xf>
    <xf numFmtId="183" fontId="2" fillId="2" borderId="46" xfId="0" applyNumberFormat="1" applyFont="1" applyFill="1" applyBorder="1" applyAlignment="1">
      <alignment horizontal="center" vertical="center"/>
    </xf>
    <xf numFmtId="183" fontId="2" fillId="14" borderId="44" xfId="0" applyNumberFormat="1" applyFont="1" applyFill="1" applyBorder="1" applyAlignment="1">
      <alignment horizontal="center" vertical="center"/>
    </xf>
    <xf numFmtId="183" fontId="2" fillId="14" borderId="45" xfId="0" applyNumberFormat="1" applyFont="1" applyFill="1" applyBorder="1" applyAlignment="1">
      <alignment horizontal="center" vertical="center"/>
    </xf>
    <xf numFmtId="183" fontId="2" fillId="14" borderId="46" xfId="0" applyNumberFormat="1" applyFont="1" applyFill="1" applyBorder="1" applyAlignment="1">
      <alignment horizontal="center" vertical="center"/>
    </xf>
    <xf numFmtId="182" fontId="0" fillId="0" borderId="0" xfId="0" applyNumberFormat="1">
      <alignment vertical="center"/>
    </xf>
    <xf numFmtId="182" fontId="0" fillId="2" borderId="0" xfId="0" applyNumberFormat="1" applyFill="1">
      <alignment vertical="center"/>
    </xf>
    <xf numFmtId="182" fontId="10" fillId="0" borderId="0" xfId="0" applyNumberFormat="1" applyFont="1">
      <alignment vertical="center"/>
    </xf>
    <xf numFmtId="0" fontId="20" fillId="0" borderId="0" xfId="0" applyFont="1">
      <alignment vertical="center"/>
    </xf>
    <xf numFmtId="183" fontId="2" fillId="6" borderId="28" xfId="0" applyNumberFormat="1" applyFont="1" applyFill="1" applyBorder="1" applyAlignment="1">
      <alignment horizontal="center" vertical="center"/>
    </xf>
    <xf numFmtId="183" fontId="2" fillId="2" borderId="0" xfId="0" applyNumberFormat="1" applyFont="1" applyFill="1" applyAlignment="1">
      <alignment horizontal="center" vertical="center"/>
    </xf>
    <xf numFmtId="183" fontId="2" fillId="2" borderId="2" xfId="0" applyNumberFormat="1" applyFont="1" applyFill="1" applyBorder="1" applyAlignment="1">
      <alignment horizontal="center" vertical="center"/>
    </xf>
    <xf numFmtId="183" fontId="2" fillId="2" borderId="37" xfId="0" applyNumberFormat="1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178" fontId="12" fillId="2" borderId="0" xfId="0" applyNumberFormat="1" applyFont="1" applyFill="1" applyAlignment="1">
      <alignment horizontal="center" vertical="center"/>
    </xf>
    <xf numFmtId="176" fontId="10" fillId="2" borderId="10" xfId="0" applyNumberFormat="1" applyFont="1" applyFill="1" applyBorder="1" applyAlignment="1">
      <alignment horizontal="center" vertical="center"/>
    </xf>
    <xf numFmtId="176" fontId="10" fillId="2" borderId="0" xfId="0" applyNumberFormat="1" applyFont="1" applyFill="1" applyAlignment="1">
      <alignment horizontal="center" vertical="center"/>
    </xf>
    <xf numFmtId="179" fontId="10" fillId="2" borderId="0" xfId="1" applyNumberFormat="1" applyFont="1" applyFill="1" applyBorder="1" applyAlignment="1">
      <alignment horizontal="center" vertical="center"/>
    </xf>
    <xf numFmtId="179" fontId="10" fillId="2" borderId="20" xfId="1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81" fontId="2" fillId="2" borderId="0" xfId="0" applyNumberFormat="1" applyFont="1" applyFill="1">
      <alignment vertical="center"/>
    </xf>
    <xf numFmtId="0" fontId="8" fillId="2" borderId="22" xfId="0" applyFont="1" applyFill="1" applyBorder="1" applyAlignment="1">
      <alignment horizontal="center" vertical="center"/>
    </xf>
    <xf numFmtId="181" fontId="8" fillId="2" borderId="22" xfId="0" applyNumberFormat="1" applyFont="1" applyFill="1" applyBorder="1" applyAlignment="1">
      <alignment horizontal="center" vertical="center"/>
    </xf>
    <xf numFmtId="0" fontId="8" fillId="2" borderId="45" xfId="0" applyFont="1" applyFill="1" applyBorder="1" applyAlignment="1">
      <alignment horizontal="center" vertical="center"/>
    </xf>
    <xf numFmtId="9" fontId="2" fillId="2" borderId="0" xfId="1" applyFont="1" applyFill="1">
      <alignment vertical="center"/>
    </xf>
    <xf numFmtId="9" fontId="2" fillId="2" borderId="37" xfId="1" applyFont="1" applyFill="1" applyBorder="1" applyAlignment="1">
      <alignment horizontal="center" vertical="center"/>
    </xf>
    <xf numFmtId="9" fontId="2" fillId="2" borderId="0" xfId="1" applyFont="1" applyFill="1" applyAlignment="1">
      <alignment horizontal="center" vertical="center"/>
    </xf>
    <xf numFmtId="9" fontId="2" fillId="0" borderId="0" xfId="1" applyFont="1" applyAlignment="1">
      <alignment horizontal="center" vertical="center"/>
    </xf>
    <xf numFmtId="0" fontId="21" fillId="2" borderId="0" xfId="0" applyFont="1" applyFill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0" xfId="0" applyFont="1" applyFill="1">
      <alignment vertical="center"/>
    </xf>
    <xf numFmtId="0" fontId="22" fillId="0" borderId="0" xfId="0" applyFont="1">
      <alignment vertical="center"/>
    </xf>
    <xf numFmtId="0" fontId="22" fillId="5" borderId="4" xfId="0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Continuous" vertical="center"/>
    </xf>
    <xf numFmtId="0" fontId="7" fillId="5" borderId="6" xfId="2" applyFont="1" applyFill="1" applyBorder="1" applyAlignment="1">
      <alignment horizontal="centerContinuous" vertical="center"/>
    </xf>
    <xf numFmtId="0" fontId="7" fillId="5" borderId="2" xfId="2" applyFont="1" applyFill="1" applyBorder="1" applyAlignment="1">
      <alignment horizontal="centerContinuous" vertical="center"/>
    </xf>
    <xf numFmtId="0" fontId="7" fillId="5" borderId="7" xfId="2" applyFont="1" applyFill="1" applyBorder="1" applyAlignment="1">
      <alignment horizontal="centerContinuous" vertical="center"/>
    </xf>
    <xf numFmtId="0" fontId="15" fillId="9" borderId="13" xfId="0" applyFont="1" applyFill="1" applyBorder="1">
      <alignment vertical="center"/>
    </xf>
    <xf numFmtId="0" fontId="14" fillId="9" borderId="15" xfId="0" applyFont="1" applyFill="1" applyBorder="1" applyAlignment="1">
      <alignment horizontal="center" vertical="center"/>
    </xf>
    <xf numFmtId="0" fontId="15" fillId="9" borderId="16" xfId="2" applyFont="1" applyFill="1" applyBorder="1" applyAlignment="1">
      <alignment horizontal="center" vertical="center"/>
    </xf>
    <xf numFmtId="0" fontId="15" fillId="9" borderId="12" xfId="0" applyFont="1" applyFill="1" applyBorder="1" applyAlignment="1">
      <alignment horizontal="center" vertical="center"/>
    </xf>
    <xf numFmtId="0" fontId="15" fillId="9" borderId="16" xfId="0" applyFont="1" applyFill="1" applyBorder="1" applyAlignment="1">
      <alignment horizontal="center" vertical="center"/>
    </xf>
    <xf numFmtId="177" fontId="22" fillId="5" borderId="31" xfId="0" applyNumberFormat="1" applyFont="1" applyFill="1" applyBorder="1" applyAlignment="1">
      <alignment horizontal="center" vertical="center" shrinkToFit="1"/>
    </xf>
    <xf numFmtId="177" fontId="22" fillId="5" borderId="33" xfId="0" applyNumberFormat="1" applyFont="1" applyFill="1" applyBorder="1" applyAlignment="1">
      <alignment horizontal="center" vertical="center" shrinkToFit="1"/>
    </xf>
    <xf numFmtId="177" fontId="22" fillId="5" borderId="32" xfId="0" applyNumberFormat="1" applyFont="1" applyFill="1" applyBorder="1" applyAlignment="1">
      <alignment horizontal="center" vertical="center" shrinkToFit="1"/>
    </xf>
    <xf numFmtId="9" fontId="0" fillId="0" borderId="0" xfId="1" applyFont="1">
      <alignment vertical="center"/>
    </xf>
    <xf numFmtId="181" fontId="2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16" fillId="4" borderId="0" xfId="0" applyFont="1" applyFill="1">
      <alignment vertical="center"/>
    </xf>
    <xf numFmtId="182" fontId="0" fillId="0" borderId="0" xfId="0" quotePrefix="1" applyNumberFormat="1">
      <alignment vertical="center"/>
    </xf>
    <xf numFmtId="0" fontId="7" fillId="5" borderId="16" xfId="2" applyFont="1" applyFill="1" applyBorder="1" applyAlignment="1">
      <alignment horizontal="center" vertical="center"/>
    </xf>
    <xf numFmtId="181" fontId="2" fillId="6" borderId="53" xfId="0" applyNumberFormat="1" applyFont="1" applyFill="1" applyBorder="1" applyAlignment="1">
      <alignment horizontal="center" vertical="center"/>
    </xf>
    <xf numFmtId="181" fontId="2" fillId="2" borderId="54" xfId="0" applyNumberFormat="1" applyFont="1" applyFill="1" applyBorder="1" applyAlignment="1">
      <alignment horizontal="center" vertical="center"/>
    </xf>
    <xf numFmtId="181" fontId="2" fillId="2" borderId="55" xfId="0" applyNumberFormat="1" applyFont="1" applyFill="1" applyBorder="1" applyAlignment="1">
      <alignment horizontal="center" vertical="center"/>
    </xf>
    <xf numFmtId="181" fontId="2" fillId="2" borderId="56" xfId="0" applyNumberFormat="1" applyFont="1" applyFill="1" applyBorder="1" applyAlignment="1">
      <alignment horizontal="center" vertical="center"/>
    </xf>
    <xf numFmtId="3" fontId="2" fillId="2" borderId="0" xfId="0" applyNumberFormat="1" applyFont="1" applyFill="1">
      <alignment vertical="center"/>
    </xf>
    <xf numFmtId="181" fontId="2" fillId="15" borderId="25" xfId="0" applyNumberFormat="1" applyFont="1" applyFill="1" applyBorder="1" applyAlignment="1">
      <alignment horizontal="center" vertical="center"/>
    </xf>
    <xf numFmtId="176" fontId="2" fillId="2" borderId="0" xfId="1" applyNumberFormat="1" applyFont="1" applyFill="1">
      <alignment vertical="center"/>
    </xf>
    <xf numFmtId="176" fontId="2" fillId="2" borderId="0" xfId="0" applyNumberFormat="1" applyFont="1" applyFill="1">
      <alignment vertical="center"/>
    </xf>
    <xf numFmtId="181" fontId="2" fillId="7" borderId="27" xfId="0" applyNumberFormat="1" applyFont="1" applyFill="1" applyBorder="1" applyAlignment="1">
      <alignment horizontal="center" vertical="center"/>
    </xf>
    <xf numFmtId="181" fontId="2" fillId="7" borderId="28" xfId="0" applyNumberFormat="1" applyFont="1" applyFill="1" applyBorder="1" applyAlignment="1">
      <alignment horizontal="center" vertical="center"/>
    </xf>
    <xf numFmtId="181" fontId="2" fillId="7" borderId="53" xfId="0" applyNumberFormat="1" applyFont="1" applyFill="1" applyBorder="1" applyAlignment="1">
      <alignment horizontal="center" vertical="center"/>
    </xf>
    <xf numFmtId="181" fontId="2" fillId="2" borderId="21" xfId="0" applyNumberFormat="1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182" fontId="2" fillId="16" borderId="21" xfId="0" applyNumberFormat="1" applyFont="1" applyFill="1" applyBorder="1" applyAlignment="1">
      <alignment horizontal="center" vertical="center"/>
    </xf>
    <xf numFmtId="182" fontId="2" fillId="16" borderId="22" xfId="0" applyNumberFormat="1" applyFont="1" applyFill="1" applyBorder="1" applyAlignment="1">
      <alignment horizontal="center" vertical="center"/>
    </xf>
    <xf numFmtId="182" fontId="2" fillId="16" borderId="54" xfId="0" applyNumberFormat="1" applyFont="1" applyFill="1" applyBorder="1" applyAlignment="1">
      <alignment horizontal="center" vertical="center"/>
    </xf>
    <xf numFmtId="182" fontId="2" fillId="2" borderId="0" xfId="0" applyNumberFormat="1" applyFont="1" applyFill="1">
      <alignment vertical="center"/>
    </xf>
    <xf numFmtId="0" fontId="2" fillId="16" borderId="0" xfId="0" applyFont="1" applyFill="1">
      <alignment vertical="center"/>
    </xf>
    <xf numFmtId="179" fontId="2" fillId="6" borderId="53" xfId="0" applyNumberFormat="1" applyFont="1" applyFill="1" applyBorder="1" applyAlignment="1">
      <alignment horizontal="center" vertical="center"/>
    </xf>
    <xf numFmtId="179" fontId="2" fillId="2" borderId="54" xfId="0" applyNumberFormat="1" applyFont="1" applyFill="1" applyBorder="1" applyAlignment="1">
      <alignment horizontal="center" vertical="center"/>
    </xf>
    <xf numFmtId="179" fontId="2" fillId="2" borderId="56" xfId="0" applyNumberFormat="1" applyFont="1" applyFill="1" applyBorder="1" applyAlignment="1">
      <alignment horizontal="center" vertical="center"/>
    </xf>
    <xf numFmtId="179" fontId="2" fillId="2" borderId="55" xfId="0" applyNumberFormat="1" applyFont="1" applyFill="1" applyBorder="1" applyAlignment="1">
      <alignment horizontal="center" vertical="center"/>
    </xf>
    <xf numFmtId="184" fontId="2" fillId="2" borderId="0" xfId="1" applyNumberFormat="1" applyFont="1" applyFill="1" applyAlignment="1">
      <alignment horizontal="center" vertical="center"/>
    </xf>
    <xf numFmtId="3" fontId="2" fillId="4" borderId="0" xfId="0" applyNumberFormat="1" applyFont="1" applyFill="1" applyAlignment="1">
      <alignment horizontal="center" vertical="center"/>
    </xf>
    <xf numFmtId="177" fontId="9" fillId="5" borderId="16" xfId="2" applyNumberFormat="1" applyFont="1" applyFill="1" applyBorder="1" applyAlignment="1">
      <alignment horizontal="centerContinuous" vertical="center" wrapText="1" shrinkToFit="1"/>
    </xf>
    <xf numFmtId="177" fontId="22" fillId="5" borderId="31" xfId="0" applyNumberFormat="1" applyFont="1" applyFill="1" applyBorder="1" applyAlignment="1">
      <alignment horizontal="center" vertical="center" wrapText="1" shrinkToFit="1"/>
    </xf>
    <xf numFmtId="177" fontId="22" fillId="5" borderId="33" xfId="0" applyNumberFormat="1" applyFont="1" applyFill="1" applyBorder="1" applyAlignment="1">
      <alignment horizontal="center" vertical="center" wrapText="1" shrinkToFit="1"/>
    </xf>
    <xf numFmtId="179" fontId="2" fillId="14" borderId="54" xfId="0" applyNumberFormat="1" applyFont="1" applyFill="1" applyBorder="1" applyAlignment="1">
      <alignment horizontal="center" vertical="center"/>
    </xf>
    <xf numFmtId="179" fontId="2" fillId="14" borderId="56" xfId="0" applyNumberFormat="1" applyFont="1" applyFill="1" applyBorder="1" applyAlignment="1">
      <alignment horizontal="center" vertical="center"/>
    </xf>
    <xf numFmtId="9" fontId="2" fillId="2" borderId="0" xfId="0" applyNumberFormat="1" applyFont="1" applyFill="1">
      <alignment vertical="center"/>
    </xf>
    <xf numFmtId="181" fontId="2" fillId="17" borderId="54" xfId="0" applyNumberFormat="1" applyFont="1" applyFill="1" applyBorder="1" applyAlignment="1">
      <alignment horizontal="center" vertical="center"/>
    </xf>
    <xf numFmtId="176" fontId="2" fillId="17" borderId="54" xfId="0" applyNumberFormat="1" applyFont="1" applyFill="1" applyBorder="1" applyAlignment="1">
      <alignment horizontal="center" vertical="center"/>
    </xf>
    <xf numFmtId="181" fontId="2" fillId="17" borderId="55" xfId="0" applyNumberFormat="1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9" fontId="2" fillId="2" borderId="62" xfId="1" applyFont="1" applyFill="1" applyBorder="1" applyAlignment="1">
      <alignment horizontal="center" vertical="center"/>
    </xf>
    <xf numFmtId="181" fontId="2" fillId="2" borderId="63" xfId="0" applyNumberFormat="1" applyFont="1" applyFill="1" applyBorder="1" applyAlignment="1">
      <alignment horizontal="center" vertical="center"/>
    </xf>
    <xf numFmtId="0" fontId="22" fillId="2" borderId="36" xfId="0" applyFont="1" applyFill="1" applyBorder="1" applyAlignment="1">
      <alignment horizontal="center" vertical="center"/>
    </xf>
    <xf numFmtId="177" fontId="22" fillId="5" borderId="34" xfId="0" applyNumberFormat="1" applyFont="1" applyFill="1" applyBorder="1" applyAlignment="1">
      <alignment horizontal="center" vertical="center" shrinkToFit="1"/>
    </xf>
    <xf numFmtId="179" fontId="2" fillId="4" borderId="22" xfId="0" applyNumberFormat="1" applyFont="1" applyFill="1" applyBorder="1" applyAlignment="1">
      <alignment horizontal="center" vertical="center"/>
    </xf>
    <xf numFmtId="179" fontId="2" fillId="4" borderId="23" xfId="0" applyNumberFormat="1" applyFont="1" applyFill="1" applyBorder="1" applyAlignment="1">
      <alignment horizontal="center" vertical="center"/>
    </xf>
    <xf numFmtId="0" fontId="8" fillId="8" borderId="22" xfId="0" applyFont="1" applyFill="1" applyBorder="1" applyAlignment="1">
      <alignment horizontal="center" vertical="center"/>
    </xf>
    <xf numFmtId="0" fontId="8" fillId="8" borderId="45" xfId="0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181" fontId="2" fillId="2" borderId="44" xfId="0" applyNumberFormat="1" applyFont="1" applyFill="1" applyBorder="1" applyAlignment="1">
      <alignment horizontal="center" vertical="center"/>
    </xf>
    <xf numFmtId="176" fontId="2" fillId="17" borderId="56" xfId="0" applyNumberFormat="1" applyFont="1" applyFill="1" applyBorder="1" applyAlignment="1">
      <alignment horizontal="center" vertical="center"/>
    </xf>
    <xf numFmtId="181" fontId="2" fillId="17" borderId="56" xfId="0" applyNumberFormat="1" applyFont="1" applyFill="1" applyBorder="1" applyAlignment="1">
      <alignment horizontal="center" vertical="center"/>
    </xf>
    <xf numFmtId="177" fontId="24" fillId="5" borderId="32" xfId="0" applyNumberFormat="1" applyFont="1" applyFill="1" applyBorder="1" applyAlignment="1">
      <alignment horizontal="center" vertical="center" wrapText="1" shrinkToFit="1"/>
    </xf>
    <xf numFmtId="181" fontId="8" fillId="6" borderId="53" xfId="0" applyNumberFormat="1" applyFont="1" applyFill="1" applyBorder="1" applyAlignment="1">
      <alignment horizontal="center" vertical="center"/>
    </xf>
    <xf numFmtId="181" fontId="8" fillId="2" borderId="54" xfId="0" applyNumberFormat="1" applyFont="1" applyFill="1" applyBorder="1" applyAlignment="1">
      <alignment horizontal="center" vertical="center"/>
    </xf>
    <xf numFmtId="181" fontId="8" fillId="17" borderId="54" xfId="0" applyNumberFormat="1" applyFont="1" applyFill="1" applyBorder="1" applyAlignment="1">
      <alignment horizontal="center" vertical="center"/>
    </xf>
    <xf numFmtId="181" fontId="8" fillId="2" borderId="55" xfId="0" applyNumberFormat="1" applyFont="1" applyFill="1" applyBorder="1" applyAlignment="1">
      <alignment horizontal="center" vertical="center"/>
    </xf>
    <xf numFmtId="181" fontId="8" fillId="2" borderId="0" xfId="0" applyNumberFormat="1" applyFont="1" applyFill="1" applyAlignment="1">
      <alignment horizontal="center" vertical="center"/>
    </xf>
    <xf numFmtId="181" fontId="8" fillId="2" borderId="2" xfId="0" applyNumberFormat="1" applyFont="1" applyFill="1" applyBorder="1" applyAlignment="1">
      <alignment horizontal="center" vertical="center"/>
    </xf>
    <xf numFmtId="181" fontId="8" fillId="2" borderId="56" xfId="0" applyNumberFormat="1" applyFont="1" applyFill="1" applyBorder="1" applyAlignment="1">
      <alignment horizontal="center" vertical="center"/>
    </xf>
    <xf numFmtId="176" fontId="8" fillId="17" borderId="54" xfId="0" applyNumberFormat="1" applyFont="1" applyFill="1" applyBorder="1" applyAlignment="1">
      <alignment horizontal="center" vertical="center"/>
    </xf>
    <xf numFmtId="181" fontId="8" fillId="17" borderId="56" xfId="0" applyNumberFormat="1" applyFont="1" applyFill="1" applyBorder="1" applyAlignment="1">
      <alignment horizontal="center" vertical="center"/>
    </xf>
    <xf numFmtId="181" fontId="8" fillId="17" borderId="55" xfId="0" applyNumberFormat="1" applyFont="1" applyFill="1" applyBorder="1" applyAlignment="1">
      <alignment horizontal="center" vertical="center"/>
    </xf>
    <xf numFmtId="181" fontId="8" fillId="2" borderId="37" xfId="0" applyNumberFormat="1" applyFont="1" applyFill="1" applyBorder="1" applyAlignment="1">
      <alignment horizontal="center" vertical="center"/>
    </xf>
    <xf numFmtId="176" fontId="8" fillId="17" borderId="5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5" borderId="64" xfId="2" applyFont="1" applyFill="1" applyBorder="1" applyAlignment="1">
      <alignment horizontal="center" vertical="center"/>
    </xf>
    <xf numFmtId="177" fontId="9" fillId="5" borderId="65" xfId="2" applyNumberFormat="1" applyFont="1" applyFill="1" applyBorder="1" applyAlignment="1">
      <alignment horizontal="centerContinuous" vertical="center" wrapText="1" shrinkToFit="1"/>
    </xf>
    <xf numFmtId="181" fontId="2" fillId="6" borderId="66" xfId="0" applyNumberFormat="1" applyFont="1" applyFill="1" applyBorder="1" applyAlignment="1">
      <alignment horizontal="center" vertical="center"/>
    </xf>
    <xf numFmtId="181" fontId="2" fillId="2" borderId="67" xfId="0" applyNumberFormat="1" applyFont="1" applyFill="1" applyBorder="1" applyAlignment="1">
      <alignment horizontal="center" vertical="center"/>
    </xf>
    <xf numFmtId="181" fontId="2" fillId="15" borderId="67" xfId="0" applyNumberFormat="1" applyFont="1" applyFill="1" applyBorder="1" applyAlignment="1">
      <alignment horizontal="center" vertical="center"/>
    </xf>
    <xf numFmtId="181" fontId="2" fillId="2" borderId="68" xfId="0" applyNumberFormat="1" applyFont="1" applyFill="1" applyBorder="1" applyAlignment="1">
      <alignment horizontal="center" vertical="center"/>
    </xf>
    <xf numFmtId="181" fontId="2" fillId="2" borderId="69" xfId="0" applyNumberFormat="1" applyFont="1" applyFill="1" applyBorder="1" applyAlignment="1">
      <alignment horizontal="center" vertical="center"/>
    </xf>
    <xf numFmtId="181" fontId="2" fillId="2" borderId="70" xfId="0" applyNumberFormat="1" applyFont="1" applyFill="1" applyBorder="1" applyAlignment="1">
      <alignment horizontal="center" vertical="center"/>
    </xf>
    <xf numFmtId="181" fontId="2" fillId="2" borderId="71" xfId="0" applyNumberFormat="1" applyFont="1" applyFill="1" applyBorder="1" applyAlignment="1">
      <alignment horizontal="center" vertical="center"/>
    </xf>
    <xf numFmtId="176" fontId="2" fillId="15" borderId="67" xfId="0" applyNumberFormat="1" applyFont="1" applyFill="1" applyBorder="1" applyAlignment="1">
      <alignment horizontal="center" vertical="center"/>
    </xf>
    <xf numFmtId="181" fontId="2" fillId="15" borderId="71" xfId="0" applyNumberFormat="1" applyFont="1" applyFill="1" applyBorder="1" applyAlignment="1">
      <alignment horizontal="center" vertical="center"/>
    </xf>
    <xf numFmtId="181" fontId="2" fillId="15" borderId="68" xfId="0" applyNumberFormat="1" applyFont="1" applyFill="1" applyBorder="1" applyAlignment="1">
      <alignment horizontal="center" vertical="center"/>
    </xf>
    <xf numFmtId="181" fontId="2" fillId="2" borderId="72" xfId="0" applyNumberFormat="1" applyFont="1" applyFill="1" applyBorder="1" applyAlignment="1">
      <alignment horizontal="center" vertical="center"/>
    </xf>
    <xf numFmtId="176" fontId="2" fillId="2" borderId="71" xfId="0" applyNumberFormat="1" applyFont="1" applyFill="1" applyBorder="1" applyAlignment="1">
      <alignment horizontal="center" vertical="center"/>
    </xf>
    <xf numFmtId="181" fontId="2" fillId="2" borderId="73" xfId="0" applyNumberFormat="1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2" fillId="2" borderId="50" xfId="0" applyFont="1" applyFill="1" applyBorder="1" applyAlignment="1">
      <alignment horizontal="center" vertical="center"/>
    </xf>
    <xf numFmtId="0" fontId="22" fillId="2" borderId="51" xfId="0" applyFont="1" applyFill="1" applyBorder="1" applyAlignment="1">
      <alignment horizontal="center" vertical="center"/>
    </xf>
    <xf numFmtId="0" fontId="22" fillId="2" borderId="52" xfId="0" applyFont="1" applyFill="1" applyBorder="1" applyAlignment="1">
      <alignment horizontal="center" vertical="center"/>
    </xf>
    <xf numFmtId="0" fontId="7" fillId="8" borderId="16" xfId="2" applyFont="1" applyFill="1" applyBorder="1" applyAlignment="1">
      <alignment horizontal="center" vertical="center"/>
    </xf>
    <xf numFmtId="0" fontId="7" fillId="8" borderId="17" xfId="2" applyFont="1" applyFill="1" applyBorder="1" applyAlignment="1">
      <alignment horizontal="center" vertical="center"/>
    </xf>
    <xf numFmtId="0" fontId="7" fillId="8" borderId="18" xfId="2" applyFont="1" applyFill="1" applyBorder="1" applyAlignment="1">
      <alignment horizontal="center" vertical="center"/>
    </xf>
    <xf numFmtId="0" fontId="22" fillId="5" borderId="40" xfId="0" applyFont="1" applyFill="1" applyBorder="1" applyAlignment="1">
      <alignment horizontal="center" vertical="center"/>
    </xf>
    <xf numFmtId="0" fontId="22" fillId="5" borderId="15" xfId="0" applyFont="1" applyFill="1" applyBorder="1" applyAlignment="1">
      <alignment horizontal="center" vertical="center"/>
    </xf>
    <xf numFmtId="0" fontId="22" fillId="5" borderId="19" xfId="0" applyFont="1" applyFill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2" borderId="21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22" fillId="5" borderId="39" xfId="0" applyFont="1" applyFill="1" applyBorder="1" applyAlignment="1">
      <alignment horizontal="center" vertical="center"/>
    </xf>
    <xf numFmtId="0" fontId="22" fillId="5" borderId="6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41" xfId="0" applyFont="1" applyFill="1" applyBorder="1" applyAlignment="1">
      <alignment horizontal="center" vertical="center"/>
    </xf>
    <xf numFmtId="0" fontId="9" fillId="5" borderId="12" xfId="2" applyFont="1" applyFill="1" applyBorder="1" applyAlignment="1">
      <alignment horizontal="center" vertical="center" wrapText="1"/>
    </xf>
    <xf numFmtId="0" fontId="9" fillId="5" borderId="41" xfId="2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22" fillId="5" borderId="41" xfId="0" applyFont="1" applyFill="1" applyBorder="1" applyAlignment="1">
      <alignment horizontal="center" vertical="center"/>
    </xf>
    <xf numFmtId="0" fontId="9" fillId="5" borderId="16" xfId="2" applyFont="1" applyFill="1" applyBorder="1" applyAlignment="1">
      <alignment horizontal="center" vertical="center" wrapText="1"/>
    </xf>
    <xf numFmtId="0" fontId="9" fillId="5" borderId="42" xfId="2" applyFont="1" applyFill="1" applyBorder="1" applyAlignment="1">
      <alignment horizontal="center" vertical="center" wrapText="1"/>
    </xf>
    <xf numFmtId="0" fontId="22" fillId="2" borderId="50" xfId="0" applyFont="1" applyFill="1" applyBorder="1" applyAlignment="1">
      <alignment horizontal="center" vertical="center" wrapText="1"/>
    </xf>
    <xf numFmtId="182" fontId="23" fillId="0" borderId="0" xfId="0" applyNumberFormat="1" applyFont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</cellXfs>
  <cellStyles count="3">
    <cellStyle name="백분율" xfId="1" builtinId="5"/>
    <cellStyle name="표준" xfId="0" builtinId="0"/>
    <cellStyle name="표준 99" xfId="2" xr:uid="{84C991F4-194D-428C-AEFB-ED6E966189DE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9790-C8C6-4694-8A56-66ABC08EC6B4}">
  <sheetPr>
    <tabColor rgb="FFFFFF00"/>
  </sheetPr>
  <dimension ref="A1:AU252"/>
  <sheetViews>
    <sheetView tabSelected="1" topLeftCell="A2" zoomScale="85" zoomScaleNormal="85" workbookViewId="0">
      <pane xSplit="7" ySplit="6" topLeftCell="H8" activePane="bottomRight" state="frozen"/>
      <selection pane="topRight" activeCell="H2" sqref="H2"/>
      <selection pane="bottomLeft" activeCell="E8" sqref="E8"/>
      <selection pane="bottomRight" activeCell="S20" sqref="S20"/>
    </sheetView>
  </sheetViews>
  <sheetFormatPr defaultColWidth="8.75" defaultRowHeight="12" outlineLevelRow="1" outlineLevelCol="1" x14ac:dyDescent="0.3"/>
  <cols>
    <col min="1" max="3" width="8.75" style="1" hidden="1" customWidth="1" outlineLevel="1"/>
    <col min="4" max="4" width="5.125" style="7" hidden="1" customWidth="1" collapsed="1"/>
    <col min="5" max="5" width="8.75" style="191"/>
    <col min="6" max="6" width="8.75" style="6" hidden="1" customWidth="1" outlineLevel="1"/>
    <col min="7" max="7" width="8.75" style="1" collapsed="1"/>
    <col min="8" max="8" width="9.625" style="6" customWidth="1"/>
    <col min="9" max="9" width="10.625" style="6" customWidth="1"/>
    <col min="10" max="10" width="8.75" style="6"/>
    <col min="11" max="11" width="14" style="6" customWidth="1"/>
    <col min="12" max="12" width="8.75" style="6"/>
    <col min="13" max="13" width="9.625" style="6" customWidth="1"/>
    <col min="14" max="14" width="10.375" style="6" customWidth="1"/>
    <col min="15" max="15" width="8.75" style="6" customWidth="1"/>
    <col min="16" max="16" width="9.125" style="6" customWidth="1"/>
    <col min="17" max="18" width="10.5" style="6" customWidth="1"/>
    <col min="19" max="19" width="8.75" style="6" customWidth="1"/>
    <col min="20" max="21" width="9.25" style="6" customWidth="1"/>
    <col min="22" max="24" width="10" style="6" customWidth="1"/>
    <col min="25" max="25" width="1.875" style="7" customWidth="1"/>
    <col min="26" max="26" width="9.375" style="6" customWidth="1"/>
    <col min="27" max="30" width="8.75" style="6" customWidth="1"/>
    <col min="31" max="31" width="8.875" style="6" customWidth="1"/>
    <col min="32" max="35" width="9.125" style="6" customWidth="1"/>
    <col min="36" max="40" width="8.75" style="6" customWidth="1"/>
    <col min="41" max="41" width="8.75" style="7"/>
    <col min="42" max="42" width="10.625" style="7" bestFit="1" customWidth="1"/>
    <col min="43" max="46" width="8.75" style="6"/>
    <col min="47" max="47" width="8.75" style="70"/>
    <col min="48" max="16384" width="8.75" style="6"/>
  </cols>
  <sheetData>
    <row r="1" spans="1:47" hidden="1" outlineLevel="1" x14ac:dyDescent="0.3">
      <c r="E1" s="187"/>
      <c r="F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 t="s">
        <v>0</v>
      </c>
      <c r="U1" s="2" t="s">
        <v>1</v>
      </c>
      <c r="V1" s="2" t="s">
        <v>2</v>
      </c>
      <c r="W1" s="2" t="s">
        <v>3</v>
      </c>
      <c r="X1" s="2" t="s">
        <v>4</v>
      </c>
      <c r="Y1" s="2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7" collapsed="1" x14ac:dyDescent="0.3">
      <c r="E2" s="188"/>
      <c r="F2" s="2"/>
      <c r="G2" s="2"/>
      <c r="H2" s="3"/>
      <c r="I2" s="77"/>
      <c r="J2" s="2"/>
      <c r="K2" s="4"/>
      <c r="L2" s="2"/>
      <c r="M2" s="2"/>
      <c r="N2" s="2"/>
      <c r="O2" s="2"/>
      <c r="P2" s="2"/>
      <c r="Q2" s="246"/>
      <c r="R2" s="185">
        <f>Q2/Q8</f>
        <v>0</v>
      </c>
      <c r="S2" s="2"/>
      <c r="T2" s="2"/>
      <c r="U2" s="2"/>
      <c r="V2" s="2"/>
      <c r="W2" s="2"/>
      <c r="X2" s="2"/>
      <c r="Y2" s="2"/>
      <c r="Z2" s="1" t="s">
        <v>5</v>
      </c>
      <c r="AA2" s="1" t="s">
        <v>5</v>
      </c>
      <c r="AB2" s="1" t="s">
        <v>5</v>
      </c>
      <c r="AC2" s="1" t="s">
        <v>5</v>
      </c>
      <c r="AD2" s="1" t="s">
        <v>5</v>
      </c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7" ht="12.75" thickBot="1" x14ac:dyDescent="0.35">
      <c r="E3" s="188"/>
      <c r="F3" s="2"/>
      <c r="G3" s="2"/>
      <c r="H3" s="2"/>
      <c r="I3" s="2"/>
      <c r="J3" s="244"/>
      <c r="K3" s="245"/>
      <c r="L3" s="244"/>
      <c r="M3" s="2"/>
      <c r="N3" s="2"/>
      <c r="O3" s="2"/>
      <c r="P3" s="2"/>
      <c r="Q3" s="30" t="s">
        <v>6</v>
      </c>
      <c r="R3" s="5"/>
      <c r="S3" s="2"/>
      <c r="T3" s="2"/>
      <c r="U3" s="2"/>
      <c r="V3" s="2"/>
      <c r="W3" s="2"/>
      <c r="X3" s="2"/>
      <c r="Y3" s="2"/>
      <c r="Z3" s="4"/>
      <c r="AA3" s="4"/>
      <c r="AB3" s="4"/>
      <c r="AC3" s="4"/>
      <c r="AD3" s="4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7" s="191" customFormat="1" ht="12.75" thickBot="1" x14ac:dyDescent="0.35">
      <c r="A4" s="187"/>
      <c r="B4" s="187"/>
      <c r="C4" s="187"/>
      <c r="D4" s="190"/>
      <c r="E4" s="300" t="s">
        <v>7</v>
      </c>
      <c r="F4" s="301"/>
      <c r="G4" s="302"/>
      <c r="H4" s="192" t="s">
        <v>8</v>
      </c>
      <c r="I4" s="193" t="s">
        <v>9</v>
      </c>
      <c r="J4" s="194"/>
      <c r="K4" s="195"/>
      <c r="L4" s="195"/>
      <c r="M4" s="194"/>
      <c r="N4" s="194"/>
      <c r="O4" s="194"/>
      <c r="P4" s="194"/>
      <c r="Q4" s="194"/>
      <c r="R4" s="194"/>
      <c r="S4" s="194"/>
      <c r="T4" s="195"/>
      <c r="U4" s="195"/>
      <c r="V4" s="195"/>
      <c r="W4" s="195"/>
      <c r="X4" s="196"/>
      <c r="Y4" s="188"/>
      <c r="Z4" s="306" t="s">
        <v>10</v>
      </c>
      <c r="AA4" s="307"/>
      <c r="AB4" s="307"/>
      <c r="AC4" s="307"/>
      <c r="AD4" s="307"/>
      <c r="AE4" s="307"/>
      <c r="AF4" s="307"/>
      <c r="AG4" s="307"/>
      <c r="AH4" s="307"/>
      <c r="AI4" s="307"/>
      <c r="AJ4" s="307"/>
      <c r="AK4" s="307"/>
      <c r="AL4" s="307"/>
      <c r="AM4" s="307"/>
      <c r="AN4" s="308"/>
      <c r="AO4" s="190"/>
      <c r="AP4" s="190"/>
      <c r="AU4" s="270" t="s">
        <v>11</v>
      </c>
    </row>
    <row r="5" spans="1:47" s="191" customFormat="1" ht="12.75" thickTop="1" x14ac:dyDescent="0.3">
      <c r="A5" s="187"/>
      <c r="B5" s="187"/>
      <c r="C5" s="187"/>
      <c r="D5" s="190"/>
      <c r="E5" s="303"/>
      <c r="F5" s="304"/>
      <c r="G5" s="305"/>
      <c r="H5" s="309" t="s">
        <v>12</v>
      </c>
      <c r="I5" s="31" t="s">
        <v>13</v>
      </c>
      <c r="J5" s="32"/>
      <c r="K5" s="197" t="s">
        <v>14</v>
      </c>
      <c r="L5" s="198" t="s">
        <v>15</v>
      </c>
      <c r="M5" s="291" t="s">
        <v>16</v>
      </c>
      <c r="N5" s="292"/>
      <c r="O5" s="292"/>
      <c r="P5" s="293"/>
      <c r="Q5" s="311" t="s">
        <v>17</v>
      </c>
      <c r="R5" s="313" t="s">
        <v>18</v>
      </c>
      <c r="S5" s="315" t="s">
        <v>15</v>
      </c>
      <c r="T5" s="210" t="s">
        <v>19</v>
      </c>
      <c r="U5" s="210" t="s">
        <v>20</v>
      </c>
      <c r="V5" s="210" t="s">
        <v>20</v>
      </c>
      <c r="W5" s="210" t="s">
        <v>20</v>
      </c>
      <c r="X5" s="272" t="s">
        <v>21</v>
      </c>
      <c r="Y5" s="188"/>
      <c r="Z5" s="294" t="s">
        <v>22</v>
      </c>
      <c r="AA5" s="295"/>
      <c r="AB5" s="295"/>
      <c r="AC5" s="295"/>
      <c r="AD5" s="295"/>
      <c r="AE5" s="294" t="s">
        <v>23</v>
      </c>
      <c r="AF5" s="295"/>
      <c r="AG5" s="295"/>
      <c r="AH5" s="295"/>
      <c r="AI5" s="296"/>
      <c r="AJ5" s="295" t="s">
        <v>24</v>
      </c>
      <c r="AK5" s="295"/>
      <c r="AL5" s="295"/>
      <c r="AM5" s="295"/>
      <c r="AN5" s="296"/>
      <c r="AO5" s="190"/>
      <c r="AP5" s="190"/>
      <c r="AU5" s="270"/>
    </row>
    <row r="6" spans="1:47" s="191" customFormat="1" ht="30" customHeight="1" thickBot="1" x14ac:dyDescent="0.35">
      <c r="A6" s="187"/>
      <c r="B6" s="187"/>
      <c r="C6" s="187"/>
      <c r="D6" s="190"/>
      <c r="E6" s="303"/>
      <c r="F6" s="304"/>
      <c r="G6" s="305"/>
      <c r="H6" s="310"/>
      <c r="I6" s="33" t="s">
        <v>25</v>
      </c>
      <c r="J6" s="199" t="s">
        <v>26</v>
      </c>
      <c r="K6" s="200" t="s">
        <v>27</v>
      </c>
      <c r="L6" s="201" t="s">
        <v>28</v>
      </c>
      <c r="M6" s="29" t="s">
        <v>25</v>
      </c>
      <c r="N6" s="29" t="s">
        <v>29</v>
      </c>
      <c r="O6" s="29" t="s">
        <v>30</v>
      </c>
      <c r="P6" s="29" t="s">
        <v>29</v>
      </c>
      <c r="Q6" s="312"/>
      <c r="R6" s="314"/>
      <c r="S6" s="316"/>
      <c r="T6" s="235" t="s">
        <v>31</v>
      </c>
      <c r="U6" s="235" t="s">
        <v>32</v>
      </c>
      <c r="V6" s="235" t="s">
        <v>33</v>
      </c>
      <c r="W6" s="235" t="s">
        <v>34</v>
      </c>
      <c r="X6" s="273" t="s">
        <v>35</v>
      </c>
      <c r="Y6" s="188"/>
      <c r="Z6" s="236" t="s">
        <v>36</v>
      </c>
      <c r="AA6" s="237" t="s">
        <v>37</v>
      </c>
      <c r="AB6" s="237" t="s">
        <v>38</v>
      </c>
      <c r="AC6" s="237" t="s">
        <v>39</v>
      </c>
      <c r="AD6" s="257" t="s">
        <v>40</v>
      </c>
      <c r="AE6" s="202" t="s">
        <v>41</v>
      </c>
      <c r="AF6" s="203" t="s">
        <v>42</v>
      </c>
      <c r="AG6" s="203" t="s">
        <v>43</v>
      </c>
      <c r="AH6" s="203" t="s">
        <v>44</v>
      </c>
      <c r="AI6" s="204" t="s">
        <v>45</v>
      </c>
      <c r="AJ6" s="202" t="s">
        <v>46</v>
      </c>
      <c r="AK6" s="203" t="s">
        <v>47</v>
      </c>
      <c r="AL6" s="203" t="s">
        <v>48</v>
      </c>
      <c r="AM6" s="203" t="s">
        <v>49</v>
      </c>
      <c r="AN6" s="248" t="s">
        <v>50</v>
      </c>
      <c r="AO6" s="190"/>
      <c r="AP6" s="190"/>
      <c r="AU6" s="270"/>
    </row>
    <row r="7" spans="1:47" x14ac:dyDescent="0.3">
      <c r="C7" s="185">
        <f t="shared" ref="C7" si="0">H7/K7-1</f>
        <v>6.4241919720609442E-2</v>
      </c>
      <c r="E7" s="297" t="s">
        <v>51</v>
      </c>
      <c r="F7" s="12"/>
      <c r="G7" s="26" t="s">
        <v>52</v>
      </c>
      <c r="H7" s="75">
        <f>SUM(H8,H11,H13,H12)</f>
        <v>33000000000</v>
      </c>
      <c r="I7" s="75">
        <f>SUM(I8,I11,I13,I12)</f>
        <v>33686756220</v>
      </c>
      <c r="J7" s="126">
        <f>IFERROR(I7/$H7,"")</f>
        <v>1.0208107945454545</v>
      </c>
      <c r="K7" s="75">
        <f>SUM(K8,K11,K13,K12)</f>
        <v>31007987365</v>
      </c>
      <c r="L7" s="115">
        <f>IFERROR(I7/K7-1,"")</f>
        <v>8.6389639658575046E-2</v>
      </c>
      <c r="M7" s="75">
        <v>33558797360</v>
      </c>
      <c r="N7" s="167">
        <f t="shared" ref="N7:N14" si="1">IFERROR(M7-I7,"")</f>
        <v>-127958860</v>
      </c>
      <c r="O7" s="75">
        <v>7686811403</v>
      </c>
      <c r="P7" s="167">
        <f>IFERROR(W7-O7,"")</f>
        <v>127958860</v>
      </c>
      <c r="Q7" s="75">
        <f ca="1">SUM(Q8,Q11,Q13)+Q12</f>
        <v>25901904597</v>
      </c>
      <c r="R7" s="75">
        <f ca="1">SUM(R8,R11,R13)+R12</f>
        <v>23809938360</v>
      </c>
      <c r="S7" s="229">
        <f ca="1">IFERROR(Q7/R7-1,"")</f>
        <v>8.7861052194676992E-2</v>
      </c>
      <c r="T7" s="211">
        <f>SUM(T8,T11,T13)+T12</f>
        <v>3080371793</v>
      </c>
      <c r="U7" s="211">
        <f t="shared" ref="U7" si="2">SUM(U8,U11,U13)+U12</f>
        <v>7723410468</v>
      </c>
      <c r="V7" s="211">
        <f>SUM(V8,V11,V13)+V12</f>
        <v>7283352073</v>
      </c>
      <c r="W7" s="211">
        <f>SUM(W8,W11,W13)+W12</f>
        <v>7814770263</v>
      </c>
      <c r="X7" s="274">
        <f>SUM(X8,X11,X13)+X12</f>
        <v>7784851623</v>
      </c>
      <c r="Z7" s="92">
        <f>SUM(Z8,Z11,Z12,Z13)</f>
        <v>2007969322</v>
      </c>
      <c r="AA7" s="93">
        <f t="shared" ref="AA7:AD7" si="3">SUM(AA8,AA11,AA12,AA13)</f>
        <v>7740086118</v>
      </c>
      <c r="AB7" s="93">
        <f t="shared" si="3"/>
        <v>6993007565</v>
      </c>
      <c r="AC7" s="93">
        <f t="shared" si="3"/>
        <v>7212765468</v>
      </c>
      <c r="AD7" s="105">
        <f t="shared" si="3"/>
        <v>7166784270</v>
      </c>
      <c r="AE7" s="145">
        <f>IFERROR(T7-Z7,"")</f>
        <v>1072402471</v>
      </c>
      <c r="AF7" s="146">
        <f>IFERROR(U7-AA7,"")</f>
        <v>-16675650</v>
      </c>
      <c r="AG7" s="146">
        <f>IFERROR(V7-AB7,"")</f>
        <v>290344508</v>
      </c>
      <c r="AH7" s="146">
        <f>IFERROR(W7-AC7,"")</f>
        <v>602004795</v>
      </c>
      <c r="AI7" s="147">
        <f>IFERROR(X7-AD7,"")</f>
        <v>618067353</v>
      </c>
      <c r="AJ7" s="132">
        <f>IFERROR(T7/Z7-1,"")</f>
        <v>0.53407313510738996</v>
      </c>
      <c r="AK7" s="133">
        <f>IFERROR(U7/AA7-1,"")</f>
        <v>-2.154452772976212E-3</v>
      </c>
      <c r="AL7" s="133">
        <f>IFERROR(V7/AB7-1,"")</f>
        <v>4.1519261247932038E-2</v>
      </c>
      <c r="AM7" s="133">
        <f>IFERROR(W7/AC7-1,"")</f>
        <v>8.3463797300888487E-2</v>
      </c>
      <c r="AN7" s="134">
        <f>IFERROR(X7/AD7-1,"")</f>
        <v>8.6240541045335517E-2</v>
      </c>
      <c r="AU7" s="258">
        <f ca="1">SUM(AU8,AU11,AU13)+AU12</f>
        <v>0</v>
      </c>
    </row>
    <row r="8" spans="1:47" x14ac:dyDescent="0.3">
      <c r="B8" s="1" t="s">
        <v>53</v>
      </c>
      <c r="C8" s="185">
        <f t="shared" ref="C8" si="4">H8/K8-1</f>
        <v>6.6193527094647431E-2</v>
      </c>
      <c r="E8" s="298"/>
      <c r="F8" s="8"/>
      <c r="G8" s="9" t="s">
        <v>53</v>
      </c>
      <c r="H8" s="74">
        <f>SUM(H9:H10)</f>
        <v>18249000000</v>
      </c>
      <c r="I8" s="74">
        <f t="shared" ref="I8:I14" si="5">SUM(T8,U8,V8,W8,X8)</f>
        <v>19080059720</v>
      </c>
      <c r="J8" s="127">
        <f t="shared" ref="J8:J14" si="6">IFERROR(I8/$H8,"")</f>
        <v>1.0455400142473561</v>
      </c>
      <c r="K8" s="74">
        <f>SUM(K9:K10)</f>
        <v>17116029629</v>
      </c>
      <c r="L8" s="116">
        <f t="shared" ref="L8:L14" si="7">IFERROR(I8/K8-1,"")</f>
        <v>0.11474799550897652</v>
      </c>
      <c r="M8" s="74">
        <v>19020314207</v>
      </c>
      <c r="N8" s="149">
        <f t="shared" si="1"/>
        <v>-59745513</v>
      </c>
      <c r="O8" s="74">
        <v>4397800000</v>
      </c>
      <c r="P8" s="149">
        <f t="shared" ref="P8:P54" si="8">IFERROR(W8-O8,"")</f>
        <v>59745513</v>
      </c>
      <c r="Q8" s="74">
        <f t="shared" ref="Q8:R8" si="9">SUM(Q9:Q10)</f>
        <v>14335259720</v>
      </c>
      <c r="R8" s="74">
        <f t="shared" si="9"/>
        <v>12988923264</v>
      </c>
      <c r="S8" s="230">
        <f t="shared" ref="S8:S14" si="10">IFERROR(Q8/R8-1,"")</f>
        <v>0.10365266070448631</v>
      </c>
      <c r="T8" s="212">
        <f>SUM(T9:T10)</f>
        <v>2057056396</v>
      </c>
      <c r="U8" s="212">
        <f t="shared" ref="U8" si="11">SUM(U9:U10)</f>
        <v>4109710148</v>
      </c>
      <c r="V8" s="212">
        <f>SUM(V9:V10)</f>
        <v>3710947663</v>
      </c>
      <c r="W8" s="212">
        <f>SUM(W9:W10)</f>
        <v>4457545513</v>
      </c>
      <c r="X8" s="275">
        <f>SUM(X9:X10)</f>
        <v>4744800000</v>
      </c>
      <c r="Z8" s="94">
        <f>SUM(Z9:Z10)</f>
        <v>1142785422</v>
      </c>
      <c r="AA8" s="95">
        <f t="shared" ref="AA8" si="12">SUM(AA9:AA10)</f>
        <v>4066843012</v>
      </c>
      <c r="AB8" s="95">
        <f t="shared" ref="AB8" si="13">SUM(AB9:AB10)</f>
        <v>3746477935</v>
      </c>
      <c r="AC8" s="95">
        <f t="shared" ref="AC8" si="14">SUM(AC9:AC10)</f>
        <v>4412933708</v>
      </c>
      <c r="AD8" s="106">
        <f t="shared" ref="AD8" si="15">SUM(AD9:AD10)</f>
        <v>4141793510</v>
      </c>
      <c r="AE8" s="148">
        <f t="shared" ref="AE8:AG14" si="16">IFERROR(T8-Z8,"")</f>
        <v>914270974</v>
      </c>
      <c r="AF8" s="149">
        <f t="shared" si="16"/>
        <v>42867136</v>
      </c>
      <c r="AG8" s="149">
        <f t="shared" si="16"/>
        <v>-35530272</v>
      </c>
      <c r="AH8" s="149">
        <f t="shared" ref="AH8:AI14" si="17">IFERROR(W8-AC8,"")</f>
        <v>44611805</v>
      </c>
      <c r="AI8" s="150">
        <f t="shared" si="17"/>
        <v>603006490</v>
      </c>
      <c r="AJ8" s="135">
        <f t="shared" ref="AJ8:AL14" si="18">IFERROR(T8/Z8-1,"")</f>
        <v>0.8000373091913664</v>
      </c>
      <c r="AK8" s="116">
        <f t="shared" si="18"/>
        <v>1.0540641936143569E-2</v>
      </c>
      <c r="AL8" s="116">
        <f t="shared" si="18"/>
        <v>-9.4836464050868097E-3</v>
      </c>
      <c r="AM8" s="116">
        <f t="shared" ref="AM8:AN14" si="19">IFERROR(W8/AC8-1,"")</f>
        <v>1.0109330425500218E-2</v>
      </c>
      <c r="AN8" s="136">
        <f t="shared" si="19"/>
        <v>0.14559066948752841</v>
      </c>
      <c r="AU8" s="259">
        <f>SUM(AU9:AU10)</f>
        <v>0</v>
      </c>
    </row>
    <row r="9" spans="1:47" x14ac:dyDescent="0.3">
      <c r="E9" s="298"/>
      <c r="F9" s="8"/>
      <c r="G9" s="9" t="s">
        <v>54</v>
      </c>
      <c r="H9" s="74">
        <f>SUM(H32,H35,H39,H41,H37)</f>
        <v>13309000000</v>
      </c>
      <c r="I9" s="74">
        <f t="shared" si="5"/>
        <v>13772469070</v>
      </c>
      <c r="J9" s="127">
        <f t="shared" si="6"/>
        <v>1.0348237335637538</v>
      </c>
      <c r="K9" s="74">
        <f>SUM(K32,K35,K39,K41,K37)</f>
        <v>14487407654</v>
      </c>
      <c r="L9" s="116">
        <f t="shared" si="7"/>
        <v>-4.9348965741473072E-2</v>
      </c>
      <c r="M9" s="74">
        <v>14029877545</v>
      </c>
      <c r="N9" s="149">
        <f t="shared" si="1"/>
        <v>257408475</v>
      </c>
      <c r="O9" s="74">
        <v>3632300000</v>
      </c>
      <c r="P9" s="149">
        <f t="shared" si="8"/>
        <v>-257408475</v>
      </c>
      <c r="Q9" s="74">
        <f>SUM(Q32,Q35,Q39,Q41,Q37)</f>
        <v>10279169070</v>
      </c>
      <c r="R9" s="74">
        <f>SUM(R32,R35,R39,R41,R37)</f>
        <v>10794634811</v>
      </c>
      <c r="S9" s="230">
        <f t="shared" si="10"/>
        <v>-4.775203145128426E-2</v>
      </c>
      <c r="T9" s="212">
        <f>SUM(T32,T35,T39,T41,T37)</f>
        <v>1268310918</v>
      </c>
      <c r="U9" s="212">
        <f t="shared" ref="U9" si="20">SUM(U32,U35,U39,U41,U37)</f>
        <v>2753223784</v>
      </c>
      <c r="V9" s="212">
        <f>SUM(V32,V35,V39,V41,V37)</f>
        <v>2882742843</v>
      </c>
      <c r="W9" s="212">
        <f>SUM(W32,W35,W39,W41,W37)</f>
        <v>3374891525</v>
      </c>
      <c r="X9" s="275">
        <f>SUM(X32,X35,X39,X41,X37)</f>
        <v>3493300000</v>
      </c>
      <c r="Z9" s="224">
        <f>SUM(Z32,Z35,Z39,Z41,Z37)</f>
        <v>811004662.43863153</v>
      </c>
      <c r="AA9" s="225">
        <f>SUM(AA32,AA35,AA39,AA41,AA37)</f>
        <v>2799401874.7280335</v>
      </c>
      <c r="AB9" s="225">
        <f>SUM(AB32,AB35,AB39,AB41,AB37)</f>
        <v>2685776840.3649678</v>
      </c>
      <c r="AC9" s="225">
        <f>SUM(AC32,AC35,AC39,AC41,AC37)</f>
        <v>3334128547.4614959</v>
      </c>
      <c r="AD9" s="226">
        <f>SUM(AD32,AD35,AD39,AD41,AD37)</f>
        <v>3382615531.5552168</v>
      </c>
      <c r="AE9" s="148">
        <f t="shared" si="16"/>
        <v>457306255.56136847</v>
      </c>
      <c r="AF9" s="149">
        <f t="shared" si="16"/>
        <v>-46178090.728033543</v>
      </c>
      <c r="AG9" s="149">
        <f t="shared" si="16"/>
        <v>196966002.63503218</v>
      </c>
      <c r="AH9" s="149">
        <f t="shared" si="17"/>
        <v>40762977.538504124</v>
      </c>
      <c r="AI9" s="150">
        <f t="shared" si="17"/>
        <v>110684468.44478321</v>
      </c>
      <c r="AJ9" s="135">
        <f t="shared" si="18"/>
        <v>0.56387623492358485</v>
      </c>
      <c r="AK9" s="116">
        <f t="shared" si="18"/>
        <v>-1.6495699008031828E-2</v>
      </c>
      <c r="AL9" s="116">
        <f t="shared" si="18"/>
        <v>7.3336697105581772E-2</v>
      </c>
      <c r="AM9" s="116">
        <f t="shared" si="19"/>
        <v>1.2225976580758857E-2</v>
      </c>
      <c r="AN9" s="136">
        <f t="shared" si="19"/>
        <v>3.272156336191534E-2</v>
      </c>
      <c r="AU9" s="259">
        <f>SUM(AU32,AU35,AU39,AU41,AU37)</f>
        <v>0</v>
      </c>
    </row>
    <row r="10" spans="1:47" x14ac:dyDescent="0.3">
      <c r="E10" s="298"/>
      <c r="F10" s="8"/>
      <c r="G10" s="9" t="s">
        <v>55</v>
      </c>
      <c r="H10" s="74">
        <f t="shared" ref="H10" si="21">SUM(H45,H48,H52,H54)</f>
        <v>4940000000</v>
      </c>
      <c r="I10" s="74">
        <f t="shared" si="5"/>
        <v>5307590650</v>
      </c>
      <c r="J10" s="127">
        <f t="shared" si="6"/>
        <v>1.0744110627530363</v>
      </c>
      <c r="K10" s="74">
        <f>SUM(K45,K48,K52,K54,K50)</f>
        <v>2628621975</v>
      </c>
      <c r="L10" s="116">
        <f t="shared" si="7"/>
        <v>1.0191532675595165</v>
      </c>
      <c r="M10" s="74">
        <v>4990436662</v>
      </c>
      <c r="N10" s="149">
        <f t="shared" si="1"/>
        <v>-317153988</v>
      </c>
      <c r="O10" s="74">
        <v>765500000</v>
      </c>
      <c r="P10" s="149">
        <f t="shared" si="8"/>
        <v>317153988</v>
      </c>
      <c r="Q10" s="74">
        <f t="shared" ref="Q10:R10" si="22">SUM(Q45,Q48,Q52,Q54)</f>
        <v>4056090650</v>
      </c>
      <c r="R10" s="74">
        <f t="shared" si="22"/>
        <v>2194288453</v>
      </c>
      <c r="S10" s="230">
        <f t="shared" si="10"/>
        <v>0.84847650474328962</v>
      </c>
      <c r="T10" s="212">
        <f>SUM(T45,T48,T52,T54,T50)</f>
        <v>788745478</v>
      </c>
      <c r="U10" s="212">
        <f t="shared" ref="U10" si="23">SUM(U45,U48,U52,U54,U50)</f>
        <v>1356486364</v>
      </c>
      <c r="V10" s="212">
        <f>SUM(V45,V48,V52,V54,V50)</f>
        <v>828204820</v>
      </c>
      <c r="W10" s="212">
        <f>SUM(W45,W48,W52,W54,W50)</f>
        <v>1082653988</v>
      </c>
      <c r="X10" s="275">
        <f>SUM(X45,X48,X52,X54,X50)</f>
        <v>1251500000</v>
      </c>
      <c r="Z10" s="94">
        <f>SUM(Z45,Z48,Z52,Z54,Z50)</f>
        <v>331780759.56136847</v>
      </c>
      <c r="AA10" s="95">
        <f>SUM(AA45,AA48,AA52,AA54,AA50)</f>
        <v>1267441137.2719665</v>
      </c>
      <c r="AB10" s="95">
        <f>SUM(AB45,AB48,AB52,AB54,AB50)</f>
        <v>1060701094.6350322</v>
      </c>
      <c r="AC10" s="95">
        <f>SUM(AC45,AC48,AC52,AC54,AC50)</f>
        <v>1078805160.5385041</v>
      </c>
      <c r="AD10" s="106">
        <f>SUM(AD45,AD48,AD52,AD54,AD50)</f>
        <v>759177978.44478297</v>
      </c>
      <c r="AE10" s="148">
        <f t="shared" si="16"/>
        <v>456964718.43863153</v>
      </c>
      <c r="AF10" s="149">
        <f t="shared" si="16"/>
        <v>89045226.728033543</v>
      </c>
      <c r="AG10" s="149">
        <f t="shared" si="16"/>
        <v>-232496274.63503218</v>
      </c>
      <c r="AH10" s="149">
        <f t="shared" si="17"/>
        <v>3848827.4614958763</v>
      </c>
      <c r="AI10" s="150">
        <f t="shared" si="17"/>
        <v>492322021.55521703</v>
      </c>
      <c r="AJ10" s="135">
        <f t="shared" si="18"/>
        <v>1.3773092780990761</v>
      </c>
      <c r="AK10" s="116">
        <f t="shared" si="18"/>
        <v>7.0255907047244825E-2</v>
      </c>
      <c r="AL10" s="116">
        <f t="shared" si="18"/>
        <v>-0.21919113293178027</v>
      </c>
      <c r="AM10" s="116">
        <f t="shared" si="19"/>
        <v>3.5676761683034464E-3</v>
      </c>
      <c r="AN10" s="136">
        <f t="shared" si="19"/>
        <v>0.64849354898803213</v>
      </c>
      <c r="AU10" s="259">
        <f>SUM(AU45,AU48,AU52,AU54,AU50)</f>
        <v>0</v>
      </c>
    </row>
    <row r="11" spans="1:47" x14ac:dyDescent="0.3">
      <c r="A11" s="1" t="s">
        <v>56</v>
      </c>
      <c r="B11" s="1" t="s">
        <v>57</v>
      </c>
      <c r="C11" s="185">
        <f t="shared" ref="C11:C13" si="24">H11/K11-1</f>
        <v>-2.8421823863967299E-2</v>
      </c>
      <c r="E11" s="298"/>
      <c r="F11" s="8"/>
      <c r="G11" s="9" t="s">
        <v>57</v>
      </c>
      <c r="H11" s="124">
        <v>10600000000</v>
      </c>
      <c r="I11" s="74">
        <f t="shared" si="5"/>
        <v>10456477100</v>
      </c>
      <c r="J11" s="127">
        <f t="shared" si="6"/>
        <v>0.98646010377358495</v>
      </c>
      <c r="K11" s="74">
        <f>SUMIFS(전년!$BD:$BD,전년!$A:$A,$A11,전년!$B:$B,요약!$B11)</f>
        <v>10910084500</v>
      </c>
      <c r="L11" s="116">
        <f t="shared" si="7"/>
        <v>-4.1576891544698902E-2</v>
      </c>
      <c r="M11" s="74">
        <v>10340000000</v>
      </c>
      <c r="N11" s="149">
        <f t="shared" si="1"/>
        <v>-116477100</v>
      </c>
      <c r="O11" s="74">
        <v>2412000000</v>
      </c>
      <c r="P11" s="149">
        <f t="shared" si="8"/>
        <v>116477100</v>
      </c>
      <c r="Q11" s="74">
        <f ca="1">SUMIFS(당년!$BC:$BC,당년!$A:$A,요약!$A11,당년!$B:$B,요약!$B11)</f>
        <v>8382056500</v>
      </c>
      <c r="R11" s="74">
        <f ca="1">SUMIFS(전년!$BC:$BC,전년!$A:$A,요약!$A11,전년!$B:$B,요약!$B11)</f>
        <v>8486829900</v>
      </c>
      <c r="S11" s="230">
        <f t="shared" ca="1" si="10"/>
        <v>-1.2345410622640163E-2</v>
      </c>
      <c r="T11" s="241">
        <f>SUMIFS(당년!AW:AW,당년!$A:$A,요약!$A11,당년!$B:$B,요약!$B11)</f>
        <v>671832000</v>
      </c>
      <c r="U11" s="241">
        <f>SUMIFS(당년!AX:AX,당년!$A:$A,요약!$A11,당년!$B:$B,요약!$B11)</f>
        <v>2533637300</v>
      </c>
      <c r="V11" s="241">
        <f>SUMIFS(당년!AY:AY,당년!$A:$A,요약!$A11,당년!$B:$B,요약!$B11)</f>
        <v>2648110100</v>
      </c>
      <c r="W11" s="241">
        <f>SUMIFS(당년!AZ:AZ,당년!$A:$A,요약!$A11,당년!$B:$B,요약!$B11)</f>
        <v>2528477100</v>
      </c>
      <c r="X11" s="276">
        <v>2074420600</v>
      </c>
      <c r="Z11" s="94">
        <f>SUMIFS(전년!AW:AW,전년!$A:$A,$A11,전년!$B:$B,$B11)</f>
        <v>689328400</v>
      </c>
      <c r="AA11" s="95">
        <f>SUMIFS(전년!AX:AX,전년!$A:$A,$A11,전년!$B:$B,$B11)</f>
        <v>2886112500</v>
      </c>
      <c r="AB11" s="95">
        <f>SUMIFS(전년!AY:AY,전년!$A:$A,$A11,전년!$B:$B,$B11)</f>
        <v>2538642900</v>
      </c>
      <c r="AC11" s="95">
        <f>SUMIFS(전년!AZ:AZ,전년!$A:$A,$A11,전년!$B:$B,$B11)</f>
        <v>2136325600</v>
      </c>
      <c r="AD11" s="106">
        <f>SUMIFS(전년!BA:BA,전년!$A:$A,$A11,전년!$B:$B,$B11)</f>
        <v>2362900600</v>
      </c>
      <c r="AE11" s="148">
        <f t="shared" si="16"/>
        <v>-17496400</v>
      </c>
      <c r="AF11" s="149">
        <f t="shared" si="16"/>
        <v>-352475200</v>
      </c>
      <c r="AG11" s="149">
        <f t="shared" si="16"/>
        <v>109467200</v>
      </c>
      <c r="AH11" s="149">
        <f t="shared" si="17"/>
        <v>392151500</v>
      </c>
      <c r="AI11" s="150">
        <f t="shared" si="17"/>
        <v>-288480000</v>
      </c>
      <c r="AJ11" s="135">
        <f t="shared" si="18"/>
        <v>-2.5381806407511975E-2</v>
      </c>
      <c r="AK11" s="116">
        <f t="shared" si="18"/>
        <v>-0.1221280182252078</v>
      </c>
      <c r="AL11" s="116">
        <f t="shared" si="18"/>
        <v>4.3120361670402785E-2</v>
      </c>
      <c r="AM11" s="116">
        <f t="shared" si="19"/>
        <v>0.18356354480796377</v>
      </c>
      <c r="AN11" s="136">
        <f t="shared" si="19"/>
        <v>-0.12208723464711124</v>
      </c>
      <c r="AU11" s="260">
        <f ca="1">SUMIFS(당년!BX:BX,당년!$A:$A,요약!$A11,당년!$B:$B,요약!$B11)</f>
        <v>0</v>
      </c>
    </row>
    <row r="12" spans="1:47" x14ac:dyDescent="0.3">
      <c r="A12" s="1" t="s">
        <v>56</v>
      </c>
      <c r="B12" s="1" t="s">
        <v>58</v>
      </c>
      <c r="C12" s="185">
        <f t="shared" si="24"/>
        <v>-0.11099885515854968</v>
      </c>
      <c r="E12" s="298"/>
      <c r="F12" s="8"/>
      <c r="G12" s="9" t="s">
        <v>58</v>
      </c>
      <c r="H12" s="124">
        <v>250000000</v>
      </c>
      <c r="I12" s="74">
        <f t="shared" si="5"/>
        <v>250000000</v>
      </c>
      <c r="J12" s="127">
        <f>IFERROR(I12/$H12,"")</f>
        <v>1</v>
      </c>
      <c r="K12" s="74">
        <f>SUMIFS(전년!$BD:$BD,전년!$A:$A,$A12,전년!$B:$B,요약!$B12)</f>
        <v>281214486</v>
      </c>
      <c r="L12" s="116">
        <f>IFERROR(I12/K12-1,"")</f>
        <v>-0.11099885515854968</v>
      </c>
      <c r="M12" s="74">
        <v>250000000</v>
      </c>
      <c r="N12" s="149">
        <f t="shared" si="1"/>
        <v>0</v>
      </c>
      <c r="O12" s="74">
        <v>45085950</v>
      </c>
      <c r="P12" s="149">
        <f t="shared" si="8"/>
        <v>0</v>
      </c>
      <c r="Q12" s="74">
        <f ca="1">SUMIFS(당년!$BC:$BC,당년!$A:$A,요약!$A12,당년!$B:$B,요약!$B12)</f>
        <v>194204430</v>
      </c>
      <c r="R12" s="74">
        <f ca="1">SUMIFS(전년!$BC:$BC,전년!$A:$A,요약!$A12,전년!$B:$B,요약!$B12)</f>
        <v>217153566</v>
      </c>
      <c r="S12" s="230">
        <f ca="1">IFERROR(Q12/R12-1,"")</f>
        <v>-0.10568159861579252</v>
      </c>
      <c r="T12" s="241">
        <f>SUMIFS(당년!AW:AW,당년!$A:$A,요약!$A12,당년!$B:$B,요약!$B12)</f>
        <v>0</v>
      </c>
      <c r="U12" s="241">
        <f>SUMIFS(당년!AX:AX,당년!$A:$A,요약!$A12,당년!$B:$B,요약!$B12)</f>
        <v>76939380</v>
      </c>
      <c r="V12" s="241">
        <f>SUMIFS(당년!AY:AY,당년!$A:$A,요약!$A12,당년!$B:$B,요약!$B12)</f>
        <v>72179100</v>
      </c>
      <c r="W12" s="241">
        <f>SUMIFS(당년!AZ:AZ,당년!$A:$A,요약!$A12,당년!$B:$B,요약!$B12)</f>
        <v>45085950</v>
      </c>
      <c r="X12" s="276">
        <v>55795570</v>
      </c>
      <c r="Z12" s="94">
        <f>SUMIFS(전년!AW:AW,전년!$A:$A,$A12,전년!$B:$B,$B12)</f>
        <v>0</v>
      </c>
      <c r="AA12" s="95">
        <f>SUMIFS(전년!AX:AX,전년!$A:$A,$A12,전년!$B:$B,$B12)</f>
        <v>116924976</v>
      </c>
      <c r="AB12" s="95">
        <f>SUMIFS(전년!AY:AY,전년!$A:$A,$A12,전년!$B:$B,$B12)</f>
        <v>44497530</v>
      </c>
      <c r="AC12" s="95">
        <f>SUMIFS(전년!AZ:AZ,전년!$A:$A,$A12,전년!$B:$B,$B12)</f>
        <v>55731060</v>
      </c>
      <c r="AD12" s="106">
        <f>SUMIFS(전년!BA:BA,전년!$A:$A,$A12,전년!$B:$B,$B12)</f>
        <v>64060920</v>
      </c>
      <c r="AE12" s="148">
        <f t="shared" si="16"/>
        <v>0</v>
      </c>
      <c r="AF12" s="149">
        <f t="shared" si="16"/>
        <v>-39985596</v>
      </c>
      <c r="AG12" s="149">
        <f t="shared" si="16"/>
        <v>27681570</v>
      </c>
      <c r="AH12" s="149">
        <f t="shared" si="17"/>
        <v>-10645110</v>
      </c>
      <c r="AI12" s="150">
        <f t="shared" si="17"/>
        <v>-8265350</v>
      </c>
      <c r="AJ12" s="135" t="str">
        <f t="shared" si="18"/>
        <v/>
      </c>
      <c r="AK12" s="116">
        <f t="shared" si="18"/>
        <v>-0.34197651663405093</v>
      </c>
      <c r="AL12" s="116">
        <f t="shared" si="18"/>
        <v>0.62209228242556391</v>
      </c>
      <c r="AM12" s="116">
        <f t="shared" si="19"/>
        <v>-0.19100856865094618</v>
      </c>
      <c r="AN12" s="136">
        <f t="shared" si="19"/>
        <v>-0.12902327971562066</v>
      </c>
      <c r="AU12" s="260">
        <f ca="1">SUMIFS(당년!BX:BX,당년!$A:$A,요약!$A12,당년!$B:$B,요약!$B12)</f>
        <v>0</v>
      </c>
    </row>
    <row r="13" spans="1:47" x14ac:dyDescent="0.3">
      <c r="B13" s="1" t="s">
        <v>59</v>
      </c>
      <c r="C13" s="185">
        <f t="shared" si="24"/>
        <v>0.44446239274028976</v>
      </c>
      <c r="E13" s="298"/>
      <c r="F13" s="8"/>
      <c r="G13" s="9" t="s">
        <v>59</v>
      </c>
      <c r="H13" s="74">
        <f t="shared" ref="H13" si="25">SUM(H33,H36,H40,H46,H49,H53)</f>
        <v>3901000000</v>
      </c>
      <c r="I13" s="74">
        <f t="shared" si="5"/>
        <v>3900219400</v>
      </c>
      <c r="J13" s="127">
        <f t="shared" si="6"/>
        <v>0.99979989746218922</v>
      </c>
      <c r="K13" s="74">
        <f t="shared" ref="K13" si="26">SUM(K33,K36,K40,K46,K49,K53)</f>
        <v>2700658750</v>
      </c>
      <c r="L13" s="116">
        <f t="shared" si="7"/>
        <v>0.44417335214973019</v>
      </c>
      <c r="M13" s="74">
        <v>3948483153</v>
      </c>
      <c r="N13" s="149">
        <f t="shared" si="1"/>
        <v>48263753</v>
      </c>
      <c r="O13" s="74">
        <v>831925453</v>
      </c>
      <c r="P13" s="149">
        <f t="shared" si="8"/>
        <v>-48263753</v>
      </c>
      <c r="Q13" s="74">
        <f t="shared" ref="Q13:R13" ca="1" si="27">SUM(Q33,Q36,Q40,Q46,Q49,Q53)</f>
        <v>2990383947</v>
      </c>
      <c r="R13" s="74">
        <f t="shared" ca="1" si="27"/>
        <v>2117031630</v>
      </c>
      <c r="S13" s="230">
        <f t="shared" ca="1" si="10"/>
        <v>0.41253626286159939</v>
      </c>
      <c r="T13" s="212">
        <f>SUM(T33,T36,T40,T46,T49,T53)</f>
        <v>351483397</v>
      </c>
      <c r="U13" s="212">
        <f t="shared" ref="U13" si="28">SUM(U33,U36,U40,U46,U49,U53)</f>
        <v>1003123640</v>
      </c>
      <c r="V13" s="212">
        <f>SUM(V33,V36,V40,V46,V49,V53)</f>
        <v>852115210</v>
      </c>
      <c r="W13" s="212">
        <f>SUM(W33,W36,W40,W46,W49,W53)</f>
        <v>783661700</v>
      </c>
      <c r="X13" s="275">
        <f>SUM(X33,X36,X40,X46,X49,X53)</f>
        <v>909835453</v>
      </c>
      <c r="Z13" s="94">
        <f>SUM(Z33,Z36,Z40,Z46,Z49,Z53)</f>
        <v>175855500</v>
      </c>
      <c r="AA13" s="95">
        <f t="shared" ref="AA13:AD13" si="29">SUM(AA33,AA36,AA40,AA46,AA49,AA53)</f>
        <v>670205630</v>
      </c>
      <c r="AB13" s="95">
        <f t="shared" si="29"/>
        <v>663389200</v>
      </c>
      <c r="AC13" s="95">
        <f t="shared" si="29"/>
        <v>607775100</v>
      </c>
      <c r="AD13" s="106">
        <f t="shared" si="29"/>
        <v>598029240</v>
      </c>
      <c r="AE13" s="148">
        <f t="shared" si="16"/>
        <v>175627897</v>
      </c>
      <c r="AF13" s="149">
        <f t="shared" si="16"/>
        <v>332918010</v>
      </c>
      <c r="AG13" s="149">
        <f t="shared" si="16"/>
        <v>188726010</v>
      </c>
      <c r="AH13" s="149">
        <f t="shared" si="17"/>
        <v>175886600</v>
      </c>
      <c r="AI13" s="150">
        <f t="shared" si="17"/>
        <v>311806213</v>
      </c>
      <c r="AJ13" s="135">
        <f t="shared" si="18"/>
        <v>0.99870573851827205</v>
      </c>
      <c r="AK13" s="116">
        <f t="shared" si="18"/>
        <v>0.49674009751305737</v>
      </c>
      <c r="AL13" s="116">
        <f t="shared" si="18"/>
        <v>0.28448761300304559</v>
      </c>
      <c r="AM13" s="116">
        <f t="shared" si="19"/>
        <v>0.28939421835478285</v>
      </c>
      <c r="AN13" s="250">
        <f t="shared" si="19"/>
        <v>0.52138957787415219</v>
      </c>
      <c r="AU13" s="259">
        <f ca="1">SUM(AU33,AU36,AU40,AU46,AU49,AU53)</f>
        <v>0</v>
      </c>
    </row>
    <row r="14" spans="1:47" ht="12.75" thickBot="1" x14ac:dyDescent="0.35">
      <c r="E14" s="299"/>
      <c r="F14" s="10"/>
      <c r="G14" s="11" t="s">
        <v>60</v>
      </c>
      <c r="H14" s="76">
        <f>SUM(H8,H12:H13)</f>
        <v>22400000000</v>
      </c>
      <c r="I14" s="76">
        <f t="shared" si="5"/>
        <v>23230279120</v>
      </c>
      <c r="J14" s="128">
        <f t="shared" si="6"/>
        <v>1.0370660321428571</v>
      </c>
      <c r="K14" s="76">
        <f>SUM(K8,K12:K13)</f>
        <v>20097902865</v>
      </c>
      <c r="L14" s="117">
        <f t="shared" si="7"/>
        <v>0.15585587591106109</v>
      </c>
      <c r="M14" s="76">
        <v>23218797360</v>
      </c>
      <c r="N14" s="152">
        <f t="shared" si="1"/>
        <v>-11481760</v>
      </c>
      <c r="O14" s="76">
        <v>5274811403</v>
      </c>
      <c r="P14" s="152">
        <f t="shared" si="8"/>
        <v>11481760</v>
      </c>
      <c r="Q14" s="76">
        <f t="shared" ref="Q14" ca="1" si="30">SUM(Q8,Q13,Q12)</f>
        <v>17519848097</v>
      </c>
      <c r="R14" s="76">
        <f t="shared" ref="R14" ca="1" si="31">SUM(R8,R13,R12)</f>
        <v>15323108460</v>
      </c>
      <c r="S14" s="232">
        <f t="shared" ca="1" si="10"/>
        <v>0.14336122743857427</v>
      </c>
      <c r="T14" s="213">
        <f t="shared" ref="T14" si="32">SUM(T8,T13,T12)</f>
        <v>2408539793</v>
      </c>
      <c r="U14" s="213">
        <f t="shared" ref="U14" si="33">SUM(U8,U13,U12)</f>
        <v>5189773168</v>
      </c>
      <c r="V14" s="213">
        <f>SUM(V8,V13,V12)</f>
        <v>4635241973</v>
      </c>
      <c r="W14" s="213">
        <f>SUM(W8,W13,W12)</f>
        <v>5286293163</v>
      </c>
      <c r="X14" s="277">
        <f>SUM(X8,X13,X12)</f>
        <v>5710431023</v>
      </c>
      <c r="Z14" s="96">
        <f>SUM(Z8,Z13)</f>
        <v>1318640922</v>
      </c>
      <c r="AA14" s="97">
        <f t="shared" ref="AA14" si="34">SUM(AA8,AA13)</f>
        <v>4737048642</v>
      </c>
      <c r="AB14" s="97">
        <f t="shared" ref="AB14" si="35">SUM(AB8,AB13)</f>
        <v>4409867135</v>
      </c>
      <c r="AC14" s="97">
        <f t="shared" ref="AC14" si="36">SUM(AC8,AC13)</f>
        <v>5020708808</v>
      </c>
      <c r="AD14" s="107">
        <f t="shared" ref="AD14" si="37">SUM(AD8,AD13)</f>
        <v>4739822750</v>
      </c>
      <c r="AE14" s="151">
        <f t="shared" si="16"/>
        <v>1089898871</v>
      </c>
      <c r="AF14" s="152">
        <f t="shared" si="16"/>
        <v>452724526</v>
      </c>
      <c r="AG14" s="152">
        <f t="shared" si="16"/>
        <v>225374838</v>
      </c>
      <c r="AH14" s="152">
        <f t="shared" si="17"/>
        <v>265584355</v>
      </c>
      <c r="AI14" s="153">
        <f t="shared" si="17"/>
        <v>970608273</v>
      </c>
      <c r="AJ14" s="137">
        <f t="shared" si="18"/>
        <v>0.82653196394582995</v>
      </c>
      <c r="AK14" s="117">
        <f t="shared" si="18"/>
        <v>9.557101060479245E-2</v>
      </c>
      <c r="AL14" s="117">
        <f t="shared" si="18"/>
        <v>5.1106945198247988E-2</v>
      </c>
      <c r="AM14" s="117">
        <f t="shared" si="19"/>
        <v>5.2897781001921107E-2</v>
      </c>
      <c r="AN14" s="138">
        <f t="shared" si="19"/>
        <v>0.204777335397194</v>
      </c>
      <c r="AU14" s="261">
        <f t="shared" ref="AU14" ca="1" si="38">SUM(AU8,AU13,AU12)</f>
        <v>0</v>
      </c>
    </row>
    <row r="15" spans="1:47" ht="15.6" customHeight="1" thickBot="1" x14ac:dyDescent="0.35">
      <c r="E15" s="188"/>
      <c r="F15" s="7"/>
      <c r="G15" s="2"/>
      <c r="H15" s="77"/>
      <c r="I15" s="77"/>
      <c r="J15" s="77"/>
      <c r="K15" s="184"/>
      <c r="L15" s="77"/>
      <c r="M15" s="77"/>
      <c r="N15" s="168"/>
      <c r="O15" s="77"/>
      <c r="P15" s="233">
        <f t="shared" si="8"/>
        <v>0</v>
      </c>
      <c r="Q15" s="77"/>
      <c r="R15" s="77"/>
      <c r="S15" s="118"/>
      <c r="T15" s="77"/>
      <c r="U15" s="77"/>
      <c r="V15" s="77"/>
      <c r="W15" s="77"/>
      <c r="X15" s="27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U15" s="262"/>
    </row>
    <row r="16" spans="1:47" x14ac:dyDescent="0.3">
      <c r="C16" s="185">
        <f>H16/K16-1</f>
        <v>6.4241919720609442E-2</v>
      </c>
      <c r="E16" s="297" t="s">
        <v>61</v>
      </c>
      <c r="F16" s="12"/>
      <c r="G16" s="26" t="s">
        <v>52</v>
      </c>
      <c r="H16" s="75">
        <f>SUM(H17:H19)</f>
        <v>33000000000</v>
      </c>
      <c r="I16" s="75">
        <f>SUM(T16,U16,V16,W16,X16)</f>
        <v>33662946220</v>
      </c>
      <c r="J16" s="126">
        <f>IFERROR(I16/$H16,"")</f>
        <v>1.0200892793939393</v>
      </c>
      <c r="K16" s="75">
        <f>SUM(K17:K19)</f>
        <v>31007987365</v>
      </c>
      <c r="L16" s="115">
        <f t="shared" ref="L16:L18" si="39">IFERROR(I16/K16-1,"")</f>
        <v>8.562177298861906E-2</v>
      </c>
      <c r="M16" s="75">
        <v>33534987360</v>
      </c>
      <c r="N16" s="167">
        <f>IFERROR(M16-I16,"")</f>
        <v>-127958860</v>
      </c>
      <c r="O16" s="75">
        <v>7686811403</v>
      </c>
      <c r="P16" s="167">
        <f t="shared" si="8"/>
        <v>127958860</v>
      </c>
      <c r="Q16" s="75">
        <f ca="1">SUM(Q17:Q19)</f>
        <v>25901904597</v>
      </c>
      <c r="R16" s="75">
        <f ca="1">SUM(R17:R19)</f>
        <v>23809938360</v>
      </c>
      <c r="S16" s="229">
        <f t="shared" ref="S16:S19" ca="1" si="40">IFERROR(Q16/R16-1,"")</f>
        <v>8.7861052194676992E-2</v>
      </c>
      <c r="T16" s="211">
        <f>SUM(T17:T19)</f>
        <v>3080371793</v>
      </c>
      <c r="U16" s="211">
        <f t="shared" ref="U16" si="41">SUM(U17:U19)</f>
        <v>7723410468</v>
      </c>
      <c r="V16" s="211">
        <f>SUM(V17:V19)</f>
        <v>7259542073</v>
      </c>
      <c r="W16" s="211">
        <f>SUM(W17:W19)</f>
        <v>7814770263</v>
      </c>
      <c r="X16" s="274">
        <f>SUM(X17:X19)</f>
        <v>7784851623</v>
      </c>
      <c r="Z16" s="92">
        <f>SUM(Z17:Z19)</f>
        <v>2007969322</v>
      </c>
      <c r="AA16" s="93">
        <f>SUM(AA17:AA19)</f>
        <v>7740086118</v>
      </c>
      <c r="AB16" s="93">
        <f>SUM(AB17:AB19)</f>
        <v>6993007565</v>
      </c>
      <c r="AC16" s="93">
        <f>SUM(AC17:AC19)</f>
        <v>7212765468</v>
      </c>
      <c r="AD16" s="105">
        <f>SUM(AD17:AD19)</f>
        <v>7166784270</v>
      </c>
      <c r="AE16" s="145">
        <f t="shared" ref="AE16:AG19" si="42">IFERROR(T16-Z16,"")</f>
        <v>1072402471</v>
      </c>
      <c r="AF16" s="146">
        <f t="shared" si="42"/>
        <v>-16675650</v>
      </c>
      <c r="AG16" s="146">
        <f t="shared" si="42"/>
        <v>266534508</v>
      </c>
      <c r="AH16" s="146">
        <f t="shared" ref="AH16:AI19" si="43">IFERROR(W16-AC16,"")</f>
        <v>602004795</v>
      </c>
      <c r="AI16" s="147">
        <f t="shared" si="43"/>
        <v>618067353</v>
      </c>
      <c r="AJ16" s="132">
        <f t="shared" ref="AJ16:AL19" si="44">IFERROR(T16/Z16-1,"")</f>
        <v>0.53407313510738996</v>
      </c>
      <c r="AK16" s="133">
        <f t="shared" si="44"/>
        <v>-2.154452772976212E-3</v>
      </c>
      <c r="AL16" s="133">
        <f t="shared" si="44"/>
        <v>3.8114431526430126E-2</v>
      </c>
      <c r="AM16" s="133">
        <f t="shared" ref="AM16:AN19" si="45">IFERROR(W16/AC16-1,"")</f>
        <v>8.3463797300888487E-2</v>
      </c>
      <c r="AN16" s="134">
        <f t="shared" si="45"/>
        <v>8.6240541045335517E-2</v>
      </c>
      <c r="AP16" s="7">
        <f>SUM(AP17:AP19)</f>
        <v>3571878354</v>
      </c>
      <c r="AQ16" s="206">
        <f>AP16-O16</f>
        <v>-4114933049</v>
      </c>
      <c r="AU16" s="258">
        <f ca="1">SUM(AU17:AU19)</f>
        <v>0</v>
      </c>
    </row>
    <row r="17" spans="1:47" x14ac:dyDescent="0.3">
      <c r="A17" s="1" t="s">
        <v>62</v>
      </c>
      <c r="C17" s="185">
        <f t="shared" ref="C17:C19" si="46">H17/K17-1</f>
        <v>1.3989901105945224E-2</v>
      </c>
      <c r="E17" s="298"/>
      <c r="F17" s="8"/>
      <c r="G17" s="9" t="s">
        <v>63</v>
      </c>
      <c r="H17" s="74">
        <f>SUM(H31,H44,H11,H12)</f>
        <v>19890000000</v>
      </c>
      <c r="I17" s="74">
        <f>SUM(T17,U17,V17,W17,X17)</f>
        <v>20174598680</v>
      </c>
      <c r="J17" s="127">
        <f>IFERROR(I17/$H17,"")</f>
        <v>1.014308631473102</v>
      </c>
      <c r="K17" s="74">
        <f>SUMIFS(전년!$BD:$BD,전년!$A:$A,$A17)</f>
        <v>19615579976</v>
      </c>
      <c r="L17" s="116">
        <f t="shared" si="39"/>
        <v>2.8498708918317517E-2</v>
      </c>
      <c r="M17" s="74">
        <v>19757203980</v>
      </c>
      <c r="N17" s="149">
        <f>IFERROR(M17-I17,"")</f>
        <v>-417394700</v>
      </c>
      <c r="O17" s="74">
        <v>4167085950</v>
      </c>
      <c r="P17" s="149">
        <f t="shared" si="8"/>
        <v>417394700</v>
      </c>
      <c r="Q17" s="74">
        <f ca="1">SUM(Q31,Q44,Q11,Q12)</f>
        <v>15528192510</v>
      </c>
      <c r="R17" s="74">
        <f ca="1">SUM(R31,R44,R11,R12)</f>
        <v>15287054926</v>
      </c>
      <c r="S17" s="230">
        <f t="shared" ca="1" si="40"/>
        <v>1.5773972499429911E-2</v>
      </c>
      <c r="T17" s="212">
        <f>SUM(T31,T44,T11,T12)</f>
        <v>1698857060</v>
      </c>
      <c r="U17" s="212">
        <f t="shared" ref="U17" si="47">SUM(U31,U44,U11,U12)</f>
        <v>4825488500</v>
      </c>
      <c r="V17" s="212">
        <f>SUM(V31,V44,V11,V12)</f>
        <v>4395556300</v>
      </c>
      <c r="W17" s="212">
        <f>SUM(W31,W44,W11,W12)</f>
        <v>4584480650</v>
      </c>
      <c r="X17" s="275">
        <f>SUM(X31,X44,X11,X12)</f>
        <v>4670216170</v>
      </c>
      <c r="Z17" s="94">
        <f>SUMIFS(전년!AW:AW,전년!$A:$A,$A17)</f>
        <v>1319151530</v>
      </c>
      <c r="AA17" s="95">
        <f>SUMIFS(전년!AX:AX,전년!$A:$A,$A17)</f>
        <v>5178967396</v>
      </c>
      <c r="AB17" s="95">
        <f>SUMIFS(전년!AY:AY,전년!$A:$A,$A17)</f>
        <v>4536747490</v>
      </c>
      <c r="AC17" s="95">
        <f>SUMIFS(전년!AZ:AZ,전년!$A:$A,$A17)</f>
        <v>4217167410</v>
      </c>
      <c r="AD17" s="106">
        <f>SUMIFS(전년!BA:BA,전년!$A:$A,$A17)</f>
        <v>4262820360</v>
      </c>
      <c r="AE17" s="148">
        <f t="shared" si="42"/>
        <v>379705530</v>
      </c>
      <c r="AF17" s="149">
        <f t="shared" si="42"/>
        <v>-353478896</v>
      </c>
      <c r="AG17" s="149">
        <f t="shared" si="42"/>
        <v>-141191190</v>
      </c>
      <c r="AH17" s="149">
        <f t="shared" si="43"/>
        <v>367313240</v>
      </c>
      <c r="AI17" s="150">
        <f t="shared" si="43"/>
        <v>407395810</v>
      </c>
      <c r="AJ17" s="135">
        <f t="shared" si="44"/>
        <v>0.28784072289253992</v>
      </c>
      <c r="AK17" s="116">
        <f t="shared" si="44"/>
        <v>-6.8252774920539383E-2</v>
      </c>
      <c r="AL17" s="116">
        <f t="shared" si="44"/>
        <v>-3.1121676996838987E-2</v>
      </c>
      <c r="AM17" s="116">
        <f t="shared" si="45"/>
        <v>8.7099515928394267E-2</v>
      </c>
      <c r="AN17" s="136">
        <f t="shared" si="45"/>
        <v>9.5569546824628482E-2</v>
      </c>
      <c r="AP17" s="7">
        <v>1397469000</v>
      </c>
      <c r="AQ17" s="206">
        <f>AP17-O17</f>
        <v>-2769616950</v>
      </c>
      <c r="AU17" s="259">
        <f ca="1">SUM(AU31,AU44,AU11,AU12)</f>
        <v>0</v>
      </c>
    </row>
    <row r="18" spans="1:47" x14ac:dyDescent="0.3">
      <c r="A18" s="1" t="s">
        <v>64</v>
      </c>
      <c r="C18" s="185">
        <f t="shared" si="46"/>
        <v>0.18078629863734519</v>
      </c>
      <c r="E18" s="298"/>
      <c r="F18" s="8"/>
      <c r="G18" s="9" t="s">
        <v>65</v>
      </c>
      <c r="H18" s="74">
        <f>SUM(H34,H38,H47,H51)</f>
        <v>9661000000</v>
      </c>
      <c r="I18" s="74">
        <f>SUM(T18,U18,V18,W18,X18)</f>
        <v>9802184746</v>
      </c>
      <c r="J18" s="127">
        <f t="shared" ref="J18" si="48">IFERROR(I18/$H18,"")</f>
        <v>1.0146138853120794</v>
      </c>
      <c r="K18" s="74">
        <f>SUMIFS(전년!$BD:$BD,전년!$A:$A,$A18)</f>
        <v>8181836130</v>
      </c>
      <c r="L18" s="116">
        <f t="shared" si="39"/>
        <v>0.19804217418370618</v>
      </c>
      <c r="M18" s="74">
        <v>10057603273</v>
      </c>
      <c r="N18" s="149">
        <f>IFERROR(M18-I18,"")</f>
        <v>255418527</v>
      </c>
      <c r="O18" s="74">
        <v>2419725453</v>
      </c>
      <c r="P18" s="149">
        <f t="shared" si="8"/>
        <v>-255418527</v>
      </c>
      <c r="Q18" s="74">
        <f ca="1">SUM(Q34,Q38,Q47,Q51)</f>
        <v>7717549293</v>
      </c>
      <c r="R18" s="74">
        <f ca="1">SUM(R34,R38,R47,R51)</f>
        <v>6363903035</v>
      </c>
      <c r="S18" s="230">
        <f t="shared" ca="1" si="40"/>
        <v>0.21270692695272975</v>
      </c>
      <c r="T18" s="212">
        <f>SUM(T34,T38,T47,T51)</f>
        <v>1217351263</v>
      </c>
      <c r="U18" s="212">
        <f t="shared" ref="U18" si="49">SUM(U34,U38,U47,U51)</f>
        <v>2232042230</v>
      </c>
      <c r="V18" s="212">
        <f>SUM(V34,V38,V47,V51)</f>
        <v>2103848874</v>
      </c>
      <c r="W18" s="212">
        <f>SUM(W34,W38,W47,W51)</f>
        <v>2164306926</v>
      </c>
      <c r="X18" s="275">
        <f>SUM(X34,X38,X47,X51)</f>
        <v>2084635453</v>
      </c>
      <c r="Z18" s="94">
        <f>SUMIFS(전년!AW:AW,전년!$A:$A,$A18)</f>
        <v>643419942</v>
      </c>
      <c r="AA18" s="95">
        <f>SUMIFS(전년!AX:AX,전년!$A:$A,$A18)</f>
        <v>1979991852</v>
      </c>
      <c r="AB18" s="95">
        <f>SUMIFS(전년!AY:AY,전년!$A:$A,$A18)</f>
        <v>1829224711</v>
      </c>
      <c r="AC18" s="95">
        <f>SUMIFS(전년!AZ:AZ,전년!$A:$A,$A18)</f>
        <v>2128953262</v>
      </c>
      <c r="AD18" s="106">
        <f>SUMIFS(전년!BA:BA,전년!$A:$A,$A18)</f>
        <v>1849244200</v>
      </c>
      <c r="AE18" s="148">
        <f t="shared" si="42"/>
        <v>573931321</v>
      </c>
      <c r="AF18" s="149">
        <f t="shared" si="42"/>
        <v>252050378</v>
      </c>
      <c r="AG18" s="149">
        <f t="shared" si="42"/>
        <v>274624163</v>
      </c>
      <c r="AH18" s="149">
        <f t="shared" si="43"/>
        <v>35353664</v>
      </c>
      <c r="AI18" s="150">
        <f t="shared" si="43"/>
        <v>235391253</v>
      </c>
      <c r="AJ18" s="135">
        <f t="shared" si="44"/>
        <v>0.89200113881456278</v>
      </c>
      <c r="AK18" s="116">
        <f t="shared" si="44"/>
        <v>0.12729869456048659</v>
      </c>
      <c r="AL18" s="116">
        <f t="shared" si="44"/>
        <v>0.15013145260314609</v>
      </c>
      <c r="AM18" s="116">
        <f t="shared" si="45"/>
        <v>1.6606125005669492E-2</v>
      </c>
      <c r="AN18" s="136">
        <f t="shared" si="45"/>
        <v>0.12729051847235762</v>
      </c>
      <c r="AP18" s="7">
        <v>1563971002</v>
      </c>
      <c r="AQ18" s="206">
        <f>AP18-O18</f>
        <v>-855754451</v>
      </c>
      <c r="AU18" s="259">
        <f ca="1">SUM(AU34,AU38,AU47,AU51)</f>
        <v>0</v>
      </c>
    </row>
    <row r="19" spans="1:47" ht="12.75" thickBot="1" x14ac:dyDescent="0.35">
      <c r="A19" s="1" t="s">
        <v>66</v>
      </c>
      <c r="C19" s="185">
        <f t="shared" si="46"/>
        <v>7.4263650224746458E-2</v>
      </c>
      <c r="E19" s="299"/>
      <c r="F19" s="10"/>
      <c r="G19" s="11" t="s">
        <v>67</v>
      </c>
      <c r="H19" s="76">
        <f>SUM(H41,H54)</f>
        <v>3449000000</v>
      </c>
      <c r="I19" s="76">
        <f>SUM(T19,U19,V19,W19,X19)</f>
        <v>3686162794</v>
      </c>
      <c r="J19" s="128">
        <f>IFERROR(I19/$H19,"")</f>
        <v>1.0687627700782836</v>
      </c>
      <c r="K19" s="76">
        <f>SUMIFS(전년!$BD:$BD,전년!$A:$A,$A19)</f>
        <v>3210571259</v>
      </c>
      <c r="L19" s="117">
        <f>IFERROR(I19/K19-1,"")</f>
        <v>0.14813299460860829</v>
      </c>
      <c r="M19" s="76">
        <v>3720180107</v>
      </c>
      <c r="N19" s="152">
        <f>IFERROR(M19-I19,"")</f>
        <v>34017313</v>
      </c>
      <c r="O19" s="76">
        <v>1100000000</v>
      </c>
      <c r="P19" s="152">
        <f t="shared" si="8"/>
        <v>-34017313</v>
      </c>
      <c r="Q19" s="76">
        <f>SUM(Q41,Q54)</f>
        <v>2656162794</v>
      </c>
      <c r="R19" s="76">
        <f>SUM(R41,R54)</f>
        <v>2158980399</v>
      </c>
      <c r="S19" s="232">
        <f t="shared" si="40"/>
        <v>0.23028573822638032</v>
      </c>
      <c r="T19" s="213">
        <f>T41+T54</f>
        <v>164163470</v>
      </c>
      <c r="U19" s="213">
        <f t="shared" ref="U19" si="50">U41+U54</f>
        <v>665879738</v>
      </c>
      <c r="V19" s="213">
        <f>V41+V54</f>
        <v>760136899</v>
      </c>
      <c r="W19" s="213">
        <f>W41+W54</f>
        <v>1065982687</v>
      </c>
      <c r="X19" s="277">
        <f>X41+X54</f>
        <v>1030000000</v>
      </c>
      <c r="Z19" s="96">
        <f>SUMIFS(전년!AW:AW,전년!$A:$A,$A19)</f>
        <v>45397850</v>
      </c>
      <c r="AA19" s="97">
        <f>SUMIFS(전년!AX:AX,전년!$A:$A,$A19)</f>
        <v>581126870</v>
      </c>
      <c r="AB19" s="97">
        <f>SUMIFS(전년!AY:AY,전년!$A:$A,$A19)</f>
        <v>627035364</v>
      </c>
      <c r="AC19" s="97">
        <f>SUMIFS(전년!AZ:AZ,전년!$A:$A,$A19)</f>
        <v>866644796</v>
      </c>
      <c r="AD19" s="107">
        <f>SUMIFS(전년!BA:BA,전년!$A:$A,$A19)</f>
        <v>1054719710</v>
      </c>
      <c r="AE19" s="151">
        <f t="shared" si="42"/>
        <v>118765620</v>
      </c>
      <c r="AF19" s="152">
        <f t="shared" si="42"/>
        <v>84752868</v>
      </c>
      <c r="AG19" s="152">
        <f t="shared" si="42"/>
        <v>133101535</v>
      </c>
      <c r="AH19" s="152">
        <f t="shared" si="43"/>
        <v>199337891</v>
      </c>
      <c r="AI19" s="153">
        <f t="shared" si="43"/>
        <v>-24719710</v>
      </c>
      <c r="AJ19" s="137">
        <f t="shared" si="44"/>
        <v>2.6161067098992574</v>
      </c>
      <c r="AK19" s="117">
        <f t="shared" si="44"/>
        <v>0.14584228053333681</v>
      </c>
      <c r="AL19" s="117">
        <f t="shared" si="44"/>
        <v>0.21227117741958801</v>
      </c>
      <c r="AM19" s="117">
        <f t="shared" si="45"/>
        <v>0.23001106326380105</v>
      </c>
      <c r="AN19" s="138">
        <f t="shared" si="45"/>
        <v>-2.3437231489681798E-2</v>
      </c>
      <c r="AP19" s="7">
        <v>610438352</v>
      </c>
      <c r="AQ19" s="206">
        <f>AP19-O19</f>
        <v>-489561648</v>
      </c>
      <c r="AU19" s="261">
        <f>AU41+AU54</f>
        <v>0</v>
      </c>
    </row>
    <row r="20" spans="1:47" ht="12" customHeight="1" collapsed="1" thickBot="1" x14ac:dyDescent="0.35">
      <c r="E20" s="189"/>
      <c r="F20" s="44"/>
      <c r="G20" s="45"/>
      <c r="H20" s="78"/>
      <c r="I20" s="78"/>
      <c r="J20" s="78"/>
      <c r="K20" s="78"/>
      <c r="L20" s="78"/>
      <c r="M20" s="78"/>
      <c r="N20" s="169"/>
      <c r="O20" s="78"/>
      <c r="P20" s="169">
        <f t="shared" si="8"/>
        <v>0</v>
      </c>
      <c r="Q20" s="78"/>
      <c r="R20" s="78"/>
      <c r="S20" s="119"/>
      <c r="T20" s="78"/>
      <c r="U20" s="78"/>
      <c r="V20" s="78"/>
      <c r="W20" s="78"/>
      <c r="X20" s="27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U20" s="263"/>
    </row>
    <row r="21" spans="1:47" x14ac:dyDescent="0.3">
      <c r="C21" s="185"/>
      <c r="E21" s="317" t="s">
        <v>68</v>
      </c>
      <c r="F21" s="12"/>
      <c r="G21" s="26" t="s">
        <v>52</v>
      </c>
      <c r="H21" s="75">
        <f>SUM(H22:H27)</f>
        <v>33000000000</v>
      </c>
      <c r="I21" s="75">
        <f>SUM(I22:I27)</f>
        <v>33662946220</v>
      </c>
      <c r="J21" s="126">
        <f t="shared" ref="J21:J24" si="51">IFERROR(I21/$H21,"")</f>
        <v>1.0200892793939393</v>
      </c>
      <c r="K21" s="75">
        <f>SUM(K22:K27)</f>
        <v>31007987365</v>
      </c>
      <c r="L21" s="115">
        <f t="shared" ref="L21:L24" si="52">IFERROR(I21/K21-1,"")</f>
        <v>8.562177298861906E-2</v>
      </c>
      <c r="M21" s="75">
        <v>33534987360</v>
      </c>
      <c r="N21" s="167">
        <f t="shared" ref="N21:N24" si="53">IFERROR(M21-I21,"")</f>
        <v>-127958860</v>
      </c>
      <c r="O21" s="75">
        <v>7686811403</v>
      </c>
      <c r="P21" s="167">
        <f t="shared" si="8"/>
        <v>127958860</v>
      </c>
      <c r="Q21" s="75">
        <f ca="1">SUM(Q22:Q27)</f>
        <v>25901904597</v>
      </c>
      <c r="R21" s="75">
        <f ca="1">SUM(R22:R27)</f>
        <v>23809938360</v>
      </c>
      <c r="S21" s="229">
        <f t="shared" ref="S21:S24" ca="1" si="54">IFERROR(Q21/R21-1,"")</f>
        <v>8.7861052194676992E-2</v>
      </c>
      <c r="T21" s="211">
        <f>SUM(T22:T27)</f>
        <v>3080371793</v>
      </c>
      <c r="U21" s="211">
        <f t="shared" ref="U21" si="55">SUM(U22:U27)</f>
        <v>7723410468</v>
      </c>
      <c r="V21" s="211">
        <f>SUM(V22:V27)</f>
        <v>7259542073</v>
      </c>
      <c r="W21" s="211">
        <f>SUM(W22:W27)</f>
        <v>7814770263</v>
      </c>
      <c r="X21" s="274">
        <f>SUM(X22:X27)</f>
        <v>7784851623</v>
      </c>
      <c r="Z21" s="219">
        <f>SUM(Z22:Z27)</f>
        <v>2007969322</v>
      </c>
      <c r="AA21" s="220">
        <f>SUM(AA22:AA27)</f>
        <v>7740086118</v>
      </c>
      <c r="AB21" s="220">
        <f>SUM(AB22:AB27)</f>
        <v>6993007565</v>
      </c>
      <c r="AC21" s="220">
        <f>SUM(AC22:AC27)</f>
        <v>7212765468</v>
      </c>
      <c r="AD21" s="221">
        <f>SUM(AD22:AD27)</f>
        <v>7166784270</v>
      </c>
      <c r="AE21" s="145">
        <f t="shared" ref="AE21:AG27" si="56">IFERROR(T21-Z21,"")</f>
        <v>1072402471</v>
      </c>
      <c r="AF21" s="146">
        <f t="shared" si="56"/>
        <v>-16675650</v>
      </c>
      <c r="AG21" s="146">
        <f t="shared" si="56"/>
        <v>266534508</v>
      </c>
      <c r="AH21" s="146">
        <f t="shared" ref="AH21:AI27" si="57">IFERROR(W21-AC21,"")</f>
        <v>602004795</v>
      </c>
      <c r="AI21" s="147">
        <f t="shared" si="57"/>
        <v>618067353</v>
      </c>
      <c r="AJ21" s="132">
        <f t="shared" ref="AJ21:AL27" si="58">IFERROR(T21/Z21-1,"")</f>
        <v>0.53407313510738996</v>
      </c>
      <c r="AK21" s="133">
        <f t="shared" si="58"/>
        <v>-2.154452772976212E-3</v>
      </c>
      <c r="AL21" s="133">
        <f t="shared" si="58"/>
        <v>3.8114431526430126E-2</v>
      </c>
      <c r="AM21" s="133">
        <f t="shared" ref="AM21:AN27" si="59">IFERROR(W21/AC21-1,"")</f>
        <v>8.3463797300888487E-2</v>
      </c>
      <c r="AN21" s="134">
        <f t="shared" si="59"/>
        <v>8.6240541045335517E-2</v>
      </c>
      <c r="AQ21" s="206"/>
      <c r="AU21" s="258">
        <f ca="1">SUM(AU22:AU27)</f>
        <v>0</v>
      </c>
    </row>
    <row r="22" spans="1:47" x14ac:dyDescent="0.3">
      <c r="C22" s="185"/>
      <c r="E22" s="289"/>
      <c r="F22" s="8"/>
      <c r="G22" s="9" t="s">
        <v>69</v>
      </c>
      <c r="H22" s="74">
        <f>SUM(H31,H44)</f>
        <v>9040000000</v>
      </c>
      <c r="I22" s="74">
        <f t="shared" ref="I22" si="60">SUM(I31,I44)</f>
        <v>9468121580</v>
      </c>
      <c r="J22" s="127">
        <f t="shared" si="51"/>
        <v>1.047358581858407</v>
      </c>
      <c r="K22" s="74">
        <f>SUM(K31,K44)</f>
        <v>8424280990</v>
      </c>
      <c r="L22" s="116">
        <f t="shared" si="52"/>
        <v>0.12390856753699042</v>
      </c>
      <c r="M22" s="74">
        <v>9167203980</v>
      </c>
      <c r="N22" s="149">
        <f t="shared" si="53"/>
        <v>-300917600</v>
      </c>
      <c r="O22" s="74">
        <v>1710000000</v>
      </c>
      <c r="P22" s="149">
        <f t="shared" si="8"/>
        <v>300917600</v>
      </c>
      <c r="Q22" s="74">
        <f t="shared" ref="Q22:R22" ca="1" si="61">SUM(Q31,Q44)</f>
        <v>6951931580</v>
      </c>
      <c r="R22" s="74">
        <f t="shared" ca="1" si="61"/>
        <v>6583071460</v>
      </c>
      <c r="S22" s="230">
        <f t="shared" ca="1" si="54"/>
        <v>5.6031614154770315E-2</v>
      </c>
      <c r="T22" s="212">
        <f t="shared" ref="T22" si="62">SUM(T31,T44)</f>
        <v>1027025060</v>
      </c>
      <c r="U22" s="212">
        <f t="shared" ref="U22" si="63">SUM(U31,U44)</f>
        <v>2214911820</v>
      </c>
      <c r="V22" s="212">
        <f>SUM(V31,V44)</f>
        <v>1675267100</v>
      </c>
      <c r="W22" s="212">
        <f>SUM(W31,W44)</f>
        <v>2010917600</v>
      </c>
      <c r="X22" s="275">
        <f>SUM(X31,X44)</f>
        <v>2540000000</v>
      </c>
      <c r="Z22" s="222">
        <f t="shared" ref="Z22:AD22" si="64">SUM(Z31,Z44)</f>
        <v>629823130</v>
      </c>
      <c r="AA22" s="74">
        <f t="shared" si="64"/>
        <v>2175929920</v>
      </c>
      <c r="AB22" s="74">
        <f t="shared" si="64"/>
        <v>1953607060</v>
      </c>
      <c r="AC22" s="74">
        <f t="shared" si="64"/>
        <v>2025110750</v>
      </c>
      <c r="AD22" s="212">
        <f t="shared" si="64"/>
        <v>1835858840</v>
      </c>
      <c r="AE22" s="148">
        <f t="shared" si="56"/>
        <v>397201930</v>
      </c>
      <c r="AF22" s="149">
        <f t="shared" si="56"/>
        <v>38981900</v>
      </c>
      <c r="AG22" s="149">
        <f t="shared" si="56"/>
        <v>-278339960</v>
      </c>
      <c r="AH22" s="149">
        <f t="shared" si="57"/>
        <v>-14193150</v>
      </c>
      <c r="AI22" s="150">
        <f t="shared" si="57"/>
        <v>704141160</v>
      </c>
      <c r="AJ22" s="135">
        <f t="shared" si="58"/>
        <v>0.63065630822418361</v>
      </c>
      <c r="AK22" s="116">
        <f t="shared" si="58"/>
        <v>1.7915053073032761E-2</v>
      </c>
      <c r="AL22" s="116">
        <f t="shared" si="58"/>
        <v>-0.1424748946187776</v>
      </c>
      <c r="AM22" s="116">
        <f t="shared" si="59"/>
        <v>-7.0085796542238565E-3</v>
      </c>
      <c r="AN22" s="136">
        <f t="shared" si="59"/>
        <v>0.38354863928427085</v>
      </c>
      <c r="AQ22" s="206"/>
      <c r="AU22" s="259">
        <f t="shared" ref="AU22" ca="1" si="65">SUM(AU31,AU44)</f>
        <v>0</v>
      </c>
    </row>
    <row r="23" spans="1:47" x14ac:dyDescent="0.3">
      <c r="C23" s="185"/>
      <c r="E23" s="289"/>
      <c r="F23" s="8"/>
      <c r="G23" s="9" t="s">
        <v>70</v>
      </c>
      <c r="H23" s="74">
        <f>SUM(H35,H36,H48,H49)</f>
        <v>5910000000</v>
      </c>
      <c r="I23" s="74">
        <f>SUM(I35,I36,I48,I49)</f>
        <v>6131445246</v>
      </c>
      <c r="J23" s="127">
        <f t="shared" si="51"/>
        <v>1.0374695847715736</v>
      </c>
      <c r="K23" s="74">
        <f>SUM(K35,K36,K48,K49)</f>
        <v>5413851820</v>
      </c>
      <c r="L23" s="116">
        <f t="shared" si="52"/>
        <v>0.13254766658907191</v>
      </c>
      <c r="M23" s="74">
        <v>6345818173</v>
      </c>
      <c r="N23" s="149">
        <f t="shared" si="53"/>
        <v>214372927</v>
      </c>
      <c r="O23" s="74">
        <v>1487834453</v>
      </c>
      <c r="P23" s="149">
        <f t="shared" si="8"/>
        <v>-214372927</v>
      </c>
      <c r="Q23" s="74">
        <f ca="1">SUM(Q35,Q36,Q48,Q49)</f>
        <v>4892610793</v>
      </c>
      <c r="R23" s="74">
        <f ca="1">SUM(R35,R36,R48,R49)</f>
        <v>4179532840</v>
      </c>
      <c r="S23" s="230">
        <f t="shared" ca="1" si="54"/>
        <v>0.17061187943674594</v>
      </c>
      <c r="T23" s="212">
        <f>SUM(T35,T36,T48,T49)</f>
        <v>818353513</v>
      </c>
      <c r="U23" s="212">
        <f t="shared" ref="U23" si="66">SUM(U35,U36,U48,U49)</f>
        <v>1447608590</v>
      </c>
      <c r="V23" s="212">
        <f>SUM(V35,V36,V48,V49)</f>
        <v>1353187164</v>
      </c>
      <c r="W23" s="212">
        <f>SUM(W35,W36,W48,W49)</f>
        <v>1273461526</v>
      </c>
      <c r="X23" s="275">
        <f>SUM(X35,X36,X48,X49)</f>
        <v>1238834453</v>
      </c>
      <c r="Z23" s="222">
        <f>SUM(Z35,Z36,Z48,Z49)</f>
        <v>397125058</v>
      </c>
      <c r="AA23" s="74">
        <f>SUM(AA35,AA36,AA48,AA49)</f>
        <v>1320832712</v>
      </c>
      <c r="AB23" s="74">
        <f>SUM(AB35,AB36,AB48,AB49)</f>
        <v>1160610011</v>
      </c>
      <c r="AC23" s="74">
        <f>SUM(AC35,AC36,AC48,AC49)</f>
        <v>1479131844</v>
      </c>
      <c r="AD23" s="212">
        <f>SUM(AD35,AD36,AD48,AD49)</f>
        <v>1261381432</v>
      </c>
      <c r="AE23" s="148">
        <f t="shared" si="56"/>
        <v>421228455</v>
      </c>
      <c r="AF23" s="149">
        <f t="shared" si="56"/>
        <v>126775878</v>
      </c>
      <c r="AG23" s="149">
        <f t="shared" si="56"/>
        <v>192577153</v>
      </c>
      <c r="AH23" s="149">
        <f t="shared" si="57"/>
        <v>-205670318</v>
      </c>
      <c r="AI23" s="150">
        <f t="shared" si="57"/>
        <v>-22546979</v>
      </c>
      <c r="AJ23" s="135">
        <f t="shared" si="58"/>
        <v>1.0606947270499361</v>
      </c>
      <c r="AK23" s="116">
        <f t="shared" si="58"/>
        <v>9.5981782437865704E-2</v>
      </c>
      <c r="AL23" s="116">
        <f t="shared" si="58"/>
        <v>0.16592753050102726</v>
      </c>
      <c r="AM23" s="116">
        <f t="shared" si="59"/>
        <v>-0.13904799550782976</v>
      </c>
      <c r="AN23" s="136">
        <f t="shared" si="59"/>
        <v>-1.7874830267836095E-2</v>
      </c>
      <c r="AQ23" s="206"/>
      <c r="AU23" s="259">
        <f ca="1">SUM(AU35,AU36,AU48,AU49)</f>
        <v>0</v>
      </c>
    </row>
    <row r="24" spans="1:47" x14ac:dyDescent="0.3">
      <c r="C24" s="185"/>
      <c r="E24" s="289"/>
      <c r="F24" s="8"/>
      <c r="G24" s="223" t="s">
        <v>71</v>
      </c>
      <c r="H24" s="79">
        <f>SUM(H38,H51)</f>
        <v>3401000000</v>
      </c>
      <c r="I24" s="79">
        <f t="shared" ref="I24" si="67">SUM(I38,I51)</f>
        <v>3377798500</v>
      </c>
      <c r="J24" s="130">
        <f t="shared" si="51"/>
        <v>0.99317803587180242</v>
      </c>
      <c r="K24" s="79">
        <f>SUM(K38,K51)</f>
        <v>2562172310</v>
      </c>
      <c r="L24" s="121">
        <f t="shared" si="52"/>
        <v>0.31833385553994997</v>
      </c>
      <c r="M24" s="79">
        <v>3421411100</v>
      </c>
      <c r="N24" s="158">
        <f t="shared" si="53"/>
        <v>43612600</v>
      </c>
      <c r="O24" s="79">
        <v>871891000</v>
      </c>
      <c r="P24" s="158">
        <f t="shared" si="8"/>
        <v>-43612600</v>
      </c>
      <c r="Q24" s="79">
        <f t="shared" ref="Q24:R24" ca="1" si="68">SUM(Q38,Q51)</f>
        <v>2586997500</v>
      </c>
      <c r="R24" s="79">
        <f t="shared" ca="1" si="68"/>
        <v>2018770195</v>
      </c>
      <c r="S24" s="231">
        <f t="shared" ca="1" si="54"/>
        <v>0.28147201024037316</v>
      </c>
      <c r="T24" s="214">
        <f t="shared" ref="T24" si="69">SUM(T38,T51)</f>
        <v>357161750</v>
      </c>
      <c r="U24" s="214">
        <f t="shared" ref="U24" si="70">SUM(U38,U51)</f>
        <v>712129640</v>
      </c>
      <c r="V24" s="214">
        <f>SUM(V38,V51)</f>
        <v>689427710</v>
      </c>
      <c r="W24" s="214">
        <f>SUM(W38,W51)</f>
        <v>828278400</v>
      </c>
      <c r="X24" s="280">
        <f>SUM(X38,X51)</f>
        <v>790801000</v>
      </c>
      <c r="Z24" s="222">
        <f t="shared" ref="Z24:AD24" si="71">SUM(Z38,Z51)</f>
        <v>212346884</v>
      </c>
      <c r="AA24" s="74">
        <f t="shared" si="71"/>
        <v>605555140</v>
      </c>
      <c r="AB24" s="74">
        <f t="shared" si="71"/>
        <v>622318700</v>
      </c>
      <c r="AC24" s="74">
        <f t="shared" si="71"/>
        <v>606801418</v>
      </c>
      <c r="AD24" s="212">
        <f t="shared" si="71"/>
        <v>551322768</v>
      </c>
      <c r="AE24" s="148">
        <f t="shared" si="56"/>
        <v>144814866</v>
      </c>
      <c r="AF24" s="149">
        <f t="shared" si="56"/>
        <v>106574500</v>
      </c>
      <c r="AG24" s="149">
        <f t="shared" si="56"/>
        <v>67109010</v>
      </c>
      <c r="AH24" s="149">
        <f t="shared" si="57"/>
        <v>221476982</v>
      </c>
      <c r="AI24" s="150">
        <f t="shared" si="57"/>
        <v>239478232</v>
      </c>
      <c r="AJ24" s="135">
        <f t="shared" si="58"/>
        <v>0.68197311527302662</v>
      </c>
      <c r="AK24" s="116">
        <f t="shared" si="58"/>
        <v>0.17599470793031324</v>
      </c>
      <c r="AL24" s="116">
        <f t="shared" si="58"/>
        <v>0.10783704555238338</v>
      </c>
      <c r="AM24" s="116">
        <f t="shared" si="59"/>
        <v>0.36499087746034231</v>
      </c>
      <c r="AN24" s="136">
        <f t="shared" si="59"/>
        <v>0.43437029250350134</v>
      </c>
      <c r="AQ24" s="206"/>
      <c r="AU24" s="264">
        <f t="shared" ref="AU24" ca="1" si="72">SUM(AU38,AU51)</f>
        <v>0</v>
      </c>
    </row>
    <row r="25" spans="1:47" x14ac:dyDescent="0.3">
      <c r="C25" s="185"/>
      <c r="E25" s="289"/>
      <c r="F25" s="8"/>
      <c r="G25" s="223" t="s">
        <v>72</v>
      </c>
      <c r="H25" s="79">
        <f>SUM(H11,H12)</f>
        <v>10850000000</v>
      </c>
      <c r="I25" s="79">
        <f>SUM(I11,I12)</f>
        <v>10706477100</v>
      </c>
      <c r="J25" s="130">
        <f>IFERROR(I25/$H25,"")</f>
        <v>0.98677208294930874</v>
      </c>
      <c r="K25" s="79">
        <f>SUM(K11,K12)</f>
        <v>11191298986</v>
      </c>
      <c r="L25" s="121">
        <f>IFERROR(I25/K25-1,"")</f>
        <v>-4.3321323700358461E-2</v>
      </c>
      <c r="M25" s="79">
        <v>10590000000</v>
      </c>
      <c r="N25" s="158">
        <f>IFERROR(M25-I25,"")</f>
        <v>-116477100</v>
      </c>
      <c r="O25" s="79">
        <v>2457085950</v>
      </c>
      <c r="P25" s="158">
        <f t="shared" si="8"/>
        <v>116477100</v>
      </c>
      <c r="Q25" s="79">
        <f ca="1">SUM(Q11,Q12)</f>
        <v>8576260930</v>
      </c>
      <c r="R25" s="79">
        <f ca="1">SUM(R11,R12)</f>
        <v>8703983466</v>
      </c>
      <c r="S25" s="231">
        <f ca="1">IFERROR(Q25/R25-1,"")</f>
        <v>-1.4674032470180731E-2</v>
      </c>
      <c r="T25" s="214">
        <f>SUM(T11,T12)</f>
        <v>671832000</v>
      </c>
      <c r="U25" s="214">
        <f t="shared" ref="U25" si="73">SUM(U11,U12)</f>
        <v>2610576680</v>
      </c>
      <c r="V25" s="214">
        <f>SUM(V11,V12)</f>
        <v>2720289200</v>
      </c>
      <c r="W25" s="214">
        <f>SUM(W11,W12)</f>
        <v>2573563050</v>
      </c>
      <c r="X25" s="280">
        <f>SUM(X11,X12)</f>
        <v>2130216170</v>
      </c>
      <c r="Z25" s="254">
        <f>SUM(Z11,Z12)</f>
        <v>689328400</v>
      </c>
      <c r="AA25" s="79">
        <f>SUM(AA11,AA12)</f>
        <v>3003037476</v>
      </c>
      <c r="AB25" s="79">
        <f>SUM(AB11,AB12)</f>
        <v>2583140430</v>
      </c>
      <c r="AC25" s="79">
        <f>SUM(AC11,AC12)</f>
        <v>2192056660</v>
      </c>
      <c r="AD25" s="214">
        <f>SUM(AD11,AD12)</f>
        <v>2426961520</v>
      </c>
      <c r="AE25" s="157">
        <f t="shared" si="56"/>
        <v>-17496400</v>
      </c>
      <c r="AF25" s="158">
        <f t="shared" si="56"/>
        <v>-392460796</v>
      </c>
      <c r="AG25" s="158">
        <f t="shared" si="56"/>
        <v>137148770</v>
      </c>
      <c r="AH25" s="158">
        <f t="shared" si="57"/>
        <v>381506390</v>
      </c>
      <c r="AI25" s="159">
        <f t="shared" si="57"/>
        <v>-296745350</v>
      </c>
      <c r="AJ25" s="141">
        <f t="shared" si="58"/>
        <v>-2.5381806407511975E-2</v>
      </c>
      <c r="AK25" s="121">
        <f t="shared" si="58"/>
        <v>-0.13068794483469182</v>
      </c>
      <c r="AL25" s="121">
        <f t="shared" si="58"/>
        <v>5.3093811086375897E-2</v>
      </c>
      <c r="AM25" s="121">
        <f t="shared" si="59"/>
        <v>0.17404038725896798</v>
      </c>
      <c r="AN25" s="142">
        <f t="shared" si="59"/>
        <v>-0.12227031518818643</v>
      </c>
      <c r="AQ25" s="206"/>
      <c r="AU25" s="264">
        <f ca="1">SUM(AU11,AU12)</f>
        <v>0</v>
      </c>
    </row>
    <row r="26" spans="1:47" x14ac:dyDescent="0.3">
      <c r="C26" s="185"/>
      <c r="E26" s="289"/>
      <c r="F26" s="8"/>
      <c r="G26" s="223" t="s">
        <v>67</v>
      </c>
      <c r="H26" s="79">
        <f>SUM(H41,H54)</f>
        <v>3449000000</v>
      </c>
      <c r="I26" s="79">
        <f>SUM(I41,I54)</f>
        <v>3686162794</v>
      </c>
      <c r="J26" s="130">
        <f>IFERROR(I26/$H26,"")</f>
        <v>1.0687627700782836</v>
      </c>
      <c r="K26" s="79">
        <f>SUM(K41,K54)</f>
        <v>3210571259</v>
      </c>
      <c r="L26" s="121">
        <f>IFERROR(I26/K26-1,"")</f>
        <v>0.14813299460860829</v>
      </c>
      <c r="M26" s="79">
        <v>3720180107</v>
      </c>
      <c r="N26" s="158">
        <f>IFERROR(M26-I26,"")</f>
        <v>34017313</v>
      </c>
      <c r="O26" s="79">
        <v>1100000000</v>
      </c>
      <c r="P26" s="158">
        <f t="shared" si="8"/>
        <v>-34017313</v>
      </c>
      <c r="Q26" s="79">
        <f>SUM(Q41,Q54)</f>
        <v>2656162794</v>
      </c>
      <c r="R26" s="79">
        <f>SUM(R41,R54)</f>
        <v>2158980399</v>
      </c>
      <c r="S26" s="231">
        <f>IFERROR(Q26/R26-1,"")</f>
        <v>0.23028573822638032</v>
      </c>
      <c r="T26" s="214">
        <f>SUM(T41,T54)</f>
        <v>164163470</v>
      </c>
      <c r="U26" s="214">
        <f t="shared" ref="U26" si="74">SUM(U41,U54)</f>
        <v>665879738</v>
      </c>
      <c r="V26" s="214">
        <f>SUM(V41,V54)</f>
        <v>760136899</v>
      </c>
      <c r="W26" s="214">
        <f>SUM(W41,W54)</f>
        <v>1065982687</v>
      </c>
      <c r="X26" s="280">
        <f>SUM(X41,X54)</f>
        <v>1030000000</v>
      </c>
      <c r="Z26" s="254">
        <f>SUM(Z41,Z54)</f>
        <v>45397850</v>
      </c>
      <c r="AA26" s="79">
        <f>SUM(AA41,AA54)</f>
        <v>581126870</v>
      </c>
      <c r="AB26" s="79">
        <f>SUM(AB41,AB54)</f>
        <v>627035364</v>
      </c>
      <c r="AC26" s="79">
        <f>SUM(AC41,AC54)</f>
        <v>866644796</v>
      </c>
      <c r="AD26" s="214">
        <f>SUM(AD41,AD54)</f>
        <v>1054719710</v>
      </c>
      <c r="AE26" s="157">
        <f t="shared" si="56"/>
        <v>118765620</v>
      </c>
      <c r="AF26" s="158">
        <f t="shared" si="56"/>
        <v>84752868</v>
      </c>
      <c r="AG26" s="158">
        <f t="shared" si="56"/>
        <v>133101535</v>
      </c>
      <c r="AH26" s="158">
        <f t="shared" si="57"/>
        <v>199337891</v>
      </c>
      <c r="AI26" s="159">
        <f t="shared" si="57"/>
        <v>-24719710</v>
      </c>
      <c r="AJ26" s="141">
        <f t="shared" si="58"/>
        <v>2.6161067098992574</v>
      </c>
      <c r="AK26" s="121">
        <f t="shared" si="58"/>
        <v>0.14584228053333681</v>
      </c>
      <c r="AL26" s="121">
        <f t="shared" si="58"/>
        <v>0.21227117741958801</v>
      </c>
      <c r="AM26" s="121">
        <f t="shared" si="59"/>
        <v>0.23001106326380105</v>
      </c>
      <c r="AN26" s="142">
        <f t="shared" si="59"/>
        <v>-2.3437231489681798E-2</v>
      </c>
      <c r="AQ26" s="206"/>
      <c r="AU26" s="264">
        <f>SUM(AU41,AU54)</f>
        <v>0</v>
      </c>
    </row>
    <row r="27" spans="1:47" ht="12.75" thickBot="1" x14ac:dyDescent="0.35">
      <c r="C27" s="185"/>
      <c r="E27" s="290"/>
      <c r="F27" s="8"/>
      <c r="G27" s="223" t="s">
        <v>73</v>
      </c>
      <c r="H27" s="79">
        <f>SUM(H37,H50)</f>
        <v>350000000</v>
      </c>
      <c r="I27" s="79">
        <f>SUM(I37,I50)</f>
        <v>292941000</v>
      </c>
      <c r="J27" s="130">
        <f>IFERROR(I27/$H27,"")</f>
        <v>0.83697428571428567</v>
      </c>
      <c r="K27" s="79">
        <f>SUM(K37,K50)</f>
        <v>205812000</v>
      </c>
      <c r="L27" s="121">
        <f>IFERROR(I27/K27-1,"")</f>
        <v>0.42334266223543815</v>
      </c>
      <c r="M27" s="79">
        <v>290374000</v>
      </c>
      <c r="N27" s="158"/>
      <c r="O27" s="79">
        <v>60000000</v>
      </c>
      <c r="P27" s="158">
        <f t="shared" si="8"/>
        <v>2567000</v>
      </c>
      <c r="Q27" s="79">
        <f>SUM(Q37,Q50)</f>
        <v>237941000</v>
      </c>
      <c r="R27" s="79">
        <f>SUM(R37,R50)</f>
        <v>165600000</v>
      </c>
      <c r="S27" s="231">
        <f>IFERROR(Q27/R27-1,"")</f>
        <v>0.43684178743961355</v>
      </c>
      <c r="T27" s="214">
        <f>SUM(T37,T50)</f>
        <v>41836000</v>
      </c>
      <c r="U27" s="214">
        <f t="shared" ref="U27" si="75">SUM(U37,U50)</f>
        <v>72304000</v>
      </c>
      <c r="V27" s="214">
        <f>SUM(V37,V50)</f>
        <v>61234000</v>
      </c>
      <c r="W27" s="214">
        <f>SUM(W37,W50)</f>
        <v>62567000</v>
      </c>
      <c r="X27" s="280">
        <f>SUM(X37,X50)</f>
        <v>55000000</v>
      </c>
      <c r="Z27" s="254">
        <f>SUM(Z37,Z50)</f>
        <v>33948000</v>
      </c>
      <c r="AA27" s="79">
        <f>SUM(AA37,AA50)</f>
        <v>53604000</v>
      </c>
      <c r="AB27" s="79">
        <f>SUM(AB37,AB50)</f>
        <v>46296000</v>
      </c>
      <c r="AC27" s="79">
        <f>SUM(AC37,AC50)</f>
        <v>43020000</v>
      </c>
      <c r="AD27" s="214">
        <f>SUM(AD37,AD50)</f>
        <v>36540000</v>
      </c>
      <c r="AE27" s="157">
        <f t="shared" si="56"/>
        <v>7888000</v>
      </c>
      <c r="AF27" s="158">
        <f t="shared" si="56"/>
        <v>18700000</v>
      </c>
      <c r="AG27" s="158">
        <f t="shared" si="56"/>
        <v>14938000</v>
      </c>
      <c r="AH27" s="158">
        <f t="shared" si="57"/>
        <v>19547000</v>
      </c>
      <c r="AI27" s="159">
        <f t="shared" si="57"/>
        <v>18460000</v>
      </c>
      <c r="AJ27" s="141">
        <f t="shared" si="58"/>
        <v>0.23235536703193116</v>
      </c>
      <c r="AK27" s="121">
        <f t="shared" si="58"/>
        <v>0.34885456309230656</v>
      </c>
      <c r="AL27" s="121">
        <f t="shared" si="58"/>
        <v>0.32266286504233621</v>
      </c>
      <c r="AM27" s="121">
        <f t="shared" si="59"/>
        <v>0.45437006043700601</v>
      </c>
      <c r="AN27" s="142">
        <f t="shared" si="59"/>
        <v>0.50519978106185004</v>
      </c>
      <c r="AQ27" s="206"/>
      <c r="AU27" s="264">
        <f>SUM(AU37,AU50)</f>
        <v>0</v>
      </c>
    </row>
    <row r="28" spans="1:47" ht="6" customHeight="1" collapsed="1" x14ac:dyDescent="0.3">
      <c r="E28" s="189"/>
      <c r="F28" s="44"/>
      <c r="G28" s="45"/>
      <c r="H28" s="78"/>
      <c r="I28" s="78"/>
      <c r="J28" s="78"/>
      <c r="K28" s="78"/>
      <c r="L28" s="78"/>
      <c r="M28" s="78"/>
      <c r="N28" s="169"/>
      <c r="O28" s="78"/>
      <c r="P28" s="169">
        <f t="shared" si="8"/>
        <v>0</v>
      </c>
      <c r="Q28" s="78"/>
      <c r="R28" s="78"/>
      <c r="S28" s="119"/>
      <c r="T28" s="78"/>
      <c r="U28" s="78"/>
      <c r="V28" s="78"/>
      <c r="W28" s="78"/>
      <c r="X28" s="27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U28" s="263"/>
    </row>
    <row r="29" spans="1:47" ht="15.6" customHeight="1" thickBot="1" x14ac:dyDescent="0.25">
      <c r="E29" s="186" t="s">
        <v>74</v>
      </c>
      <c r="F29" s="7"/>
      <c r="G29" s="2"/>
      <c r="H29" s="77"/>
      <c r="I29" s="77"/>
      <c r="J29" s="77"/>
      <c r="K29" s="77"/>
      <c r="L29" s="77"/>
      <c r="M29" s="77"/>
      <c r="N29" s="168"/>
      <c r="O29" s="77"/>
      <c r="P29" s="168">
        <f t="shared" si="8"/>
        <v>0</v>
      </c>
      <c r="Q29" s="77"/>
      <c r="R29" s="77"/>
      <c r="S29" s="118"/>
      <c r="T29" s="77"/>
      <c r="U29" s="77"/>
      <c r="V29" s="77"/>
      <c r="W29" s="77"/>
      <c r="X29" s="27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U29" s="262"/>
    </row>
    <row r="30" spans="1:47" ht="14.25" customHeight="1" x14ac:dyDescent="0.3">
      <c r="E30" s="288" t="s">
        <v>75</v>
      </c>
      <c r="F30" s="12"/>
      <c r="G30" s="26" t="s">
        <v>52</v>
      </c>
      <c r="H30" s="75">
        <f>SUM(H31,H34,,H41,H38)</f>
        <v>15876350000</v>
      </c>
      <c r="I30" s="75">
        <f t="shared" ref="I30:I41" si="76">SUM(T30,U30,V30,W30,X30)</f>
        <v>16485909430</v>
      </c>
      <c r="J30" s="126">
        <f t="shared" ref="J30:J41" si="77">IFERROR(I30/$H30,"")</f>
        <v>1.0383941793926186</v>
      </c>
      <c r="K30" s="75">
        <f>SUM(K31,K34,K38,K41)</f>
        <v>16064043254</v>
      </c>
      <c r="L30" s="115">
        <f t="shared" ref="L30:L41" si="78">IFERROR(I30/K30-1,"")</f>
        <v>2.6261518929548089E-2</v>
      </c>
      <c r="M30" s="75">
        <v>16614683058</v>
      </c>
      <c r="N30" s="167">
        <f t="shared" ref="N30:N41" si="79">IFERROR(M30-I30,"")</f>
        <v>128773628</v>
      </c>
      <c r="O30" s="75">
        <v>4221534453</v>
      </c>
      <c r="P30" s="167">
        <f t="shared" si="8"/>
        <v>-128773628</v>
      </c>
      <c r="Q30" s="75">
        <f ca="1">SUM(Q31,Q34,,Q41,Q38)</f>
        <v>12460184977</v>
      </c>
      <c r="R30" s="75">
        <f ca="1">SUM(R31,R34,,R41,R38)</f>
        <v>12023022611</v>
      </c>
      <c r="S30" s="229">
        <f t="shared" ref="S30:S41" ca="1" si="80">IFERROR(Q30/R30-1,"")</f>
        <v>3.6360437815365687E-2</v>
      </c>
      <c r="T30" s="211">
        <f>SUM(T31,T34,,T41,T38)</f>
        <v>1493165425</v>
      </c>
      <c r="U30" s="211">
        <f t="shared" ref="U30" si="81">SUM(U31,U34,,U41,U38)</f>
        <v>3362694684</v>
      </c>
      <c r="V30" s="211">
        <f>SUM(V31,V34,,V41,V38)</f>
        <v>3487754043</v>
      </c>
      <c r="W30" s="211">
        <f>SUM(W31,W34,,W41,W38)</f>
        <v>4092760825</v>
      </c>
      <c r="X30" s="274">
        <f>SUM(X31,X34,,X41,X38)</f>
        <v>4049534453</v>
      </c>
      <c r="Z30" s="92">
        <f>SUM(Z31,Z34,,Z41,Z38)</f>
        <v>959381762.43863153</v>
      </c>
      <c r="AA30" s="93">
        <f>SUM(AA31,AA34,,AA41,AA38)</f>
        <v>3172293774.7280335</v>
      </c>
      <c r="AB30" s="93">
        <f>SUM(AB31,AB34,,AB41,AB38)</f>
        <v>3048008140.3649678</v>
      </c>
      <c r="AC30" s="93">
        <f>SUM(AC31,AC34,,AC41,AC38)</f>
        <v>3686321247.4614959</v>
      </c>
      <c r="AD30" s="105">
        <f>SUM(AD31,AD34,,AD41,AD38)</f>
        <v>3728641531.5552168</v>
      </c>
      <c r="AE30" s="145">
        <f t="shared" ref="AE30:AE41" si="82">IFERROR(T30-Z30,"")</f>
        <v>533783662.56136847</v>
      </c>
      <c r="AF30" s="146">
        <f t="shared" ref="AF30:AF41" si="83">IFERROR(U30-AA30,"")</f>
        <v>190400909.27196646</v>
      </c>
      <c r="AG30" s="146">
        <f t="shared" ref="AG30:AG41" si="84">IFERROR(V30-AB30,"")</f>
        <v>439745902.63503218</v>
      </c>
      <c r="AH30" s="146">
        <f t="shared" ref="AH30:AH41" si="85">IFERROR(W30-AC30,"")</f>
        <v>406439577.53850412</v>
      </c>
      <c r="AI30" s="147">
        <f t="shared" ref="AI30:AI41" si="86">IFERROR(X30-AD30,"")</f>
        <v>320892921.44478321</v>
      </c>
      <c r="AJ30" s="132">
        <f t="shared" ref="AJ30:AJ41" si="87">IFERROR(T30/Z30-1,"")</f>
        <v>0.55638295771284563</v>
      </c>
      <c r="AK30" s="133">
        <f t="shared" ref="AK30:AK41" si="88">IFERROR(U30/AA30-1,"")</f>
        <v>6.0019948590130046E-2</v>
      </c>
      <c r="AL30" s="133">
        <f t="shared" ref="AL30:AL41" si="89">IFERROR(V30/AB30-1,"")</f>
        <v>0.14427320478953098</v>
      </c>
      <c r="AM30" s="133">
        <f t="shared" ref="AM30:AM41" si="90">IFERROR(W30/AC30-1,"")</f>
        <v>0.1102561470513157</v>
      </c>
      <c r="AN30" s="134">
        <f t="shared" ref="AN30:AN41" si="91">IFERROR(X30/AD30-1,"")</f>
        <v>8.606161754330377E-2</v>
      </c>
      <c r="AU30" s="258">
        <f ca="1">SUM(AU31,AU34,,AU41,AU38)</f>
        <v>0</v>
      </c>
    </row>
    <row r="31" spans="1:47" ht="14.25" customHeight="1" x14ac:dyDescent="0.3">
      <c r="A31" s="1" t="s">
        <v>56</v>
      </c>
      <c r="C31" s="1" t="s">
        <v>76</v>
      </c>
      <c r="E31" s="289"/>
      <c r="F31" s="8"/>
      <c r="G31" s="251" t="s">
        <v>77</v>
      </c>
      <c r="H31" s="180">
        <f>SUM(H32:H33)</f>
        <v>5200000000</v>
      </c>
      <c r="I31" s="74">
        <f t="shared" si="76"/>
        <v>5131108938</v>
      </c>
      <c r="J31" s="127">
        <f t="shared" si="77"/>
        <v>0.98675171884615387</v>
      </c>
      <c r="K31" s="79">
        <f>SUM(K32:K33)</f>
        <v>6081814767</v>
      </c>
      <c r="L31" s="116">
        <f t="shared" si="78"/>
        <v>-0.15631943185092401</v>
      </c>
      <c r="M31" s="74">
        <v>5160022768</v>
      </c>
      <c r="N31" s="149">
        <f t="shared" si="79"/>
        <v>28913830</v>
      </c>
      <c r="O31" s="74">
        <v>1190000000</v>
      </c>
      <c r="P31" s="149">
        <f t="shared" si="8"/>
        <v>-28913830</v>
      </c>
      <c r="Q31" s="74">
        <f t="shared" ref="Q31:R31" ca="1" si="92">SUM(Q32:Q33)</f>
        <v>3914918938</v>
      </c>
      <c r="R31" s="74">
        <f t="shared" ca="1" si="92"/>
        <v>4686626737</v>
      </c>
      <c r="S31" s="230">
        <f t="shared" ca="1" si="80"/>
        <v>-0.16466167294858758</v>
      </c>
      <c r="T31" s="214">
        <f>SUM(T32:T33)</f>
        <v>571375582</v>
      </c>
      <c r="U31" s="214">
        <f t="shared" ref="U31" si="93">SUM(U32:U33)</f>
        <v>1052868856</v>
      </c>
      <c r="V31" s="214">
        <f>SUM(V32:V33)-23810000</f>
        <v>1105778330</v>
      </c>
      <c r="W31" s="214">
        <f>SUM(W32:W33)</f>
        <v>1161086170</v>
      </c>
      <c r="X31" s="280">
        <f>SUM(X32:X33)</f>
        <v>1240000000</v>
      </c>
      <c r="Z31" s="94">
        <f>SUM(Z32:Z33)</f>
        <v>399628334.64033985</v>
      </c>
      <c r="AA31" s="95">
        <f>SUM(AA32:AA33)</f>
        <v>1164353577.9643772</v>
      </c>
      <c r="AB31" s="95">
        <f t="shared" ref="AB31" si="94">SUM(AB32:AB33)</f>
        <v>1110390423.3663116</v>
      </c>
      <c r="AC31" s="95">
        <f t="shared" ref="AC31" si="95">SUM(AC32:AC33)</f>
        <v>1319109317.920788</v>
      </c>
      <c r="AD31" s="106">
        <f t="shared" ref="AD31" si="96">SUM(AD32:AD33)</f>
        <v>1246522175.4301996</v>
      </c>
      <c r="AE31" s="148">
        <f t="shared" si="82"/>
        <v>171747247.35966015</v>
      </c>
      <c r="AF31" s="149">
        <f t="shared" si="83"/>
        <v>-111484721.96437716</v>
      </c>
      <c r="AG31" s="149">
        <f t="shared" si="84"/>
        <v>-4612093.3663115501</v>
      </c>
      <c r="AH31" s="149">
        <f t="shared" si="85"/>
        <v>-158023147.92078805</v>
      </c>
      <c r="AI31" s="150">
        <f t="shared" si="86"/>
        <v>-6522175.4301996231</v>
      </c>
      <c r="AJ31" s="135">
        <f t="shared" si="87"/>
        <v>0.42976744257693933</v>
      </c>
      <c r="AK31" s="116">
        <f t="shared" si="88"/>
        <v>-9.5748167974271436E-2</v>
      </c>
      <c r="AL31" s="116">
        <f t="shared" si="89"/>
        <v>-4.1535781192432175E-3</v>
      </c>
      <c r="AM31" s="116">
        <f t="shared" si="90"/>
        <v>-0.11979533900182582</v>
      </c>
      <c r="AN31" s="136">
        <f t="shared" si="91"/>
        <v>-5.2322979556690408E-3</v>
      </c>
      <c r="AU31" s="264">
        <f ca="1">SUM(AU32:AU33)</f>
        <v>0</v>
      </c>
    </row>
    <row r="32" spans="1:47" ht="14.25" customHeight="1" outlineLevel="1" x14ac:dyDescent="0.3">
      <c r="A32" s="1" t="str">
        <f>A31</f>
        <v>파트너채널팀</v>
      </c>
      <c r="B32" s="1" t="s">
        <v>53</v>
      </c>
      <c r="C32" s="1" t="s">
        <v>76</v>
      </c>
      <c r="E32" s="289"/>
      <c r="F32" s="8"/>
      <c r="G32" s="90" t="s">
        <v>53</v>
      </c>
      <c r="H32" s="124">
        <v>5000000000</v>
      </c>
      <c r="I32" s="91">
        <f t="shared" si="76"/>
        <v>4905921638</v>
      </c>
      <c r="J32" s="129">
        <f t="shared" si="77"/>
        <v>0.98118432759999996</v>
      </c>
      <c r="K32" s="91">
        <f>SUMIFS('단체(전년마감)'!$AF:$AF,'단체(전년마감)'!$B:$B,요약!$A32,'단체(전년마감)'!$C:$C,요약!$B32,'단체(전년마감)'!$D:$D,요약!$C32)</f>
        <v>5926623467</v>
      </c>
      <c r="L32" s="120">
        <f t="shared" si="78"/>
        <v>-0.17222316124575221</v>
      </c>
      <c r="M32" s="91">
        <v>4970500368</v>
      </c>
      <c r="N32" s="155">
        <f t="shared" si="79"/>
        <v>64578730</v>
      </c>
      <c r="O32" s="91">
        <v>1150000000</v>
      </c>
      <c r="P32" s="155">
        <f t="shared" si="8"/>
        <v>-64578730</v>
      </c>
      <c r="Q32" s="91">
        <f>SUMIFS('단체(당년)'!$AF:$AF,'단체(당년)'!$B:$B,요약!$A32,'단체(당년)'!$C:$C,요약!$B32,'단체(당년)'!$D:$D,요약!$C32)</f>
        <v>3705921638</v>
      </c>
      <c r="R32" s="91">
        <f>SUMIFS('단체(전년-동일자)'!$AF:$AF,'단체(전년-동일자)'!$B:$B,요약!$A32,'단체(전년-동일자)'!$C:$C,요약!$B32,'단체(전년-동일자)'!$D:$D,요약!$C32)</f>
        <v>4568233837</v>
      </c>
      <c r="S32" s="238">
        <f t="shared" si="80"/>
        <v>-0.18876271000310441</v>
      </c>
      <c r="T32" s="241">
        <f>SUMIFS('단체(당년)'!$AF:$AF,'단체(당년)'!$B:$B,$A32,'단체(당년)'!$C:$C,$B32,'단체(당년)'!$D:$D,$C32,'단체(당년)'!$A:$A,T$1)</f>
        <v>545556982</v>
      </c>
      <c r="U32" s="241">
        <f>SUMIFS('단체(당년)'!$AF:$AF,'단체(당년)'!$B:$B,$A32,'단체(당년)'!$C:$C,$B32,'단체(당년)'!$D:$D,$C32,'단체(당년)'!$A:$A,U$1)</f>
        <v>1000331756</v>
      </c>
      <c r="V32" s="241">
        <f>SUMIFS('단체(당년)'!$AF:$AF,'단체(당년)'!$B:$B,$A32,'단체(당년)'!$C:$C,$B32,'단체(당년)'!$D:$D,$C32,'단체(당년)'!$A:$A,V$1)</f>
        <v>1074611630</v>
      </c>
      <c r="W32" s="241">
        <f>SUMIFS('단체(당년)'!$AF:$AF,'단체(당년)'!$B:$B,$A32,'단체(당년)'!$C:$C,$B32,'단체(당년)'!$D:$D,$C32,'단체(당년)'!$A:$A,W$1)</f>
        <v>1085421270</v>
      </c>
      <c r="X32" s="276">
        <v>1200000000</v>
      </c>
      <c r="Z32" s="224">
        <v>389449434.64033985</v>
      </c>
      <c r="AA32" s="225">
        <v>1126698877.9643772</v>
      </c>
      <c r="AB32" s="225">
        <v>1071294523.3663114</v>
      </c>
      <c r="AC32" s="225">
        <v>1283703417.920788</v>
      </c>
      <c r="AD32" s="226">
        <v>1211869775.4301996</v>
      </c>
      <c r="AE32" s="154">
        <f t="shared" si="82"/>
        <v>156107547.35966015</v>
      </c>
      <c r="AF32" s="155">
        <f t="shared" si="83"/>
        <v>-126367121.96437716</v>
      </c>
      <c r="AG32" s="155">
        <f t="shared" si="84"/>
        <v>3317106.6336885691</v>
      </c>
      <c r="AH32" s="155">
        <f t="shared" si="85"/>
        <v>-198282147.92078805</v>
      </c>
      <c r="AI32" s="156">
        <f t="shared" si="86"/>
        <v>-11869775.430199623</v>
      </c>
      <c r="AJ32" s="139">
        <f t="shared" si="87"/>
        <v>0.40084163301925679</v>
      </c>
      <c r="AK32" s="120">
        <f t="shared" si="88"/>
        <v>-0.11215696086667493</v>
      </c>
      <c r="AL32" s="120">
        <f t="shared" si="89"/>
        <v>3.0963535809604981E-3</v>
      </c>
      <c r="AM32" s="249">
        <f t="shared" si="90"/>
        <v>-0.15446102670813577</v>
      </c>
      <c r="AN32" s="250">
        <f t="shared" si="91"/>
        <v>-9.7945964746798397E-3</v>
      </c>
      <c r="AU32" s="260">
        <f>SUMIFS('단체(당년)'!$AF:$AF,'단체(당년)'!$B:$B,$A32,'단체(당년)'!$C:$C,$B32,'단체(당년)'!$D:$D,$C32,'단체(당년)'!$A:$A,AU$1)</f>
        <v>0</v>
      </c>
    </row>
    <row r="33" spans="1:47" ht="14.25" customHeight="1" outlineLevel="1" x14ac:dyDescent="0.3">
      <c r="A33" s="1" t="str">
        <f>A32</f>
        <v>파트너채널팀</v>
      </c>
      <c r="B33" s="1" t="s">
        <v>59</v>
      </c>
      <c r="C33" s="1" t="s">
        <v>76</v>
      </c>
      <c r="E33" s="289"/>
      <c r="F33" s="8"/>
      <c r="G33" s="90" t="s">
        <v>59</v>
      </c>
      <c r="H33" s="124">
        <v>200000000</v>
      </c>
      <c r="I33" s="91">
        <f t="shared" si="76"/>
        <v>248997300</v>
      </c>
      <c r="J33" s="129">
        <f t="shared" si="77"/>
        <v>1.2449865</v>
      </c>
      <c r="K33" s="91">
        <f>SUMIFS('RF(전년)'!$BG:$BG,'RF(전년)'!$B:$B,요약!$A33,'RF(전년)'!$D:$D,요약!$E$30,'RF(전년)'!$C:$C,요약!$C33)</f>
        <v>155191300</v>
      </c>
      <c r="L33" s="120">
        <f t="shared" si="78"/>
        <v>0.60445398678920781</v>
      </c>
      <c r="M33" s="91">
        <v>213332400</v>
      </c>
      <c r="N33" s="155">
        <f t="shared" si="79"/>
        <v>-35664900</v>
      </c>
      <c r="O33" s="91">
        <v>40000000</v>
      </c>
      <c r="P33" s="155">
        <f t="shared" si="8"/>
        <v>35664900</v>
      </c>
      <c r="Q33" s="91">
        <f ca="1">SUMIFS('RF(당년)'!$BF:$BF,'RF(당년)'!$B:$B,요약!$A33,'RF(당년)'!$C:$C,요약!$C33,'RF(당년)'!$D:$D,요약!$E$30)</f>
        <v>208997300</v>
      </c>
      <c r="R33" s="91">
        <f ca="1">SUMIFS('RF(전년)'!$BF:$BF,'RF(전년)'!$B:$B,요약!$A33,'RF(전년)'!$C:$C,요약!$C33,'RF(전년)'!$D:$D,요약!$E$30)</f>
        <v>118392900</v>
      </c>
      <c r="S33" s="238">
        <f t="shared" ca="1" si="80"/>
        <v>0.7652857561559856</v>
      </c>
      <c r="T33" s="241">
        <f>SUMIFS('RF(당년)'!AZ:AZ,'RF(당년)'!$B:$B,요약!$A33,'RF(당년)'!$C:$C,요약!$C33,'RF(당년)'!$D:$D,요약!$E$30)</f>
        <v>25818600</v>
      </c>
      <c r="U33" s="241">
        <f>SUMIFS('RF(당년)'!BA:BA,'RF(당년)'!$B:$B,요약!$A33,'RF(당년)'!$C:$C,요약!$C33,'RF(당년)'!$D:$D,요약!$E$30)</f>
        <v>52537100</v>
      </c>
      <c r="V33" s="241">
        <f>SUMIFS('RF(당년)'!BB:BB,'RF(당년)'!$B:$B,요약!$A33,'RF(당년)'!$C:$C,요약!$C33,'RF(당년)'!$D:$D,요약!$E$30)</f>
        <v>54976700</v>
      </c>
      <c r="W33" s="241">
        <f>SUMIFS('RF(당년)'!BC:BC,'RF(당년)'!$B:$B,요약!$A33,'RF(당년)'!$C:$C,요약!$C33,'RF(당년)'!$D:$D,요약!$E$30)</f>
        <v>75664900</v>
      </c>
      <c r="X33" s="276">
        <v>40000000</v>
      </c>
      <c r="Z33" s="103">
        <f>SUMIFS('RF(전년)'!AZ:AZ,'RF(전년)'!$B:$B,요약!$A33,'RF(전년)'!$C:$C,요약!$C33,'RF(전년)'!$D:$D,요약!$E$30)</f>
        <v>10178900</v>
      </c>
      <c r="AA33" s="104">
        <f>SUMIFS('RF(전년)'!BA:BA,'RF(전년)'!$B:$B,요약!$A33,'RF(전년)'!$C:$C,요약!$C33,'RF(전년)'!$D:$D,요약!$E$30)</f>
        <v>37654700</v>
      </c>
      <c r="AB33" s="104">
        <f>SUMIFS('RF(전년)'!BB:BB,'RF(전년)'!$B:$B,요약!$A33,'RF(전년)'!$C:$C,요약!$C33,'RF(전년)'!$D:$D,요약!$E$30)</f>
        <v>39095900</v>
      </c>
      <c r="AC33" s="104">
        <f>SUMIFS('RF(전년)'!BC:BC,'RF(전년)'!$B:$B,요약!$A33,'RF(전년)'!$C:$C,요약!$C33,'RF(전년)'!$D:$D,요약!$E$30)</f>
        <v>35405900</v>
      </c>
      <c r="AD33" s="108">
        <f>SUMIFS('RF(전년)'!BD:BD,'RF(전년)'!$B:$B,요약!$A33,'RF(전년)'!$C:$C,요약!$C33,'RF(전년)'!$D:$D,요약!$E$30)</f>
        <v>34652400</v>
      </c>
      <c r="AE33" s="154">
        <f t="shared" si="82"/>
        <v>15639700</v>
      </c>
      <c r="AF33" s="155">
        <f t="shared" si="83"/>
        <v>14882400</v>
      </c>
      <c r="AG33" s="155">
        <f t="shared" si="84"/>
        <v>15880800</v>
      </c>
      <c r="AH33" s="155">
        <f t="shared" si="85"/>
        <v>40259000</v>
      </c>
      <c r="AI33" s="156">
        <f t="shared" si="86"/>
        <v>5347600</v>
      </c>
      <c r="AJ33" s="139">
        <f t="shared" si="87"/>
        <v>1.5364823310966802</v>
      </c>
      <c r="AK33" s="120">
        <f t="shared" si="88"/>
        <v>0.39523352994446914</v>
      </c>
      <c r="AL33" s="120">
        <f t="shared" si="89"/>
        <v>0.40620116175864984</v>
      </c>
      <c r="AM33" s="120">
        <f t="shared" si="90"/>
        <v>1.1370703752764371</v>
      </c>
      <c r="AN33" s="140">
        <f t="shared" si="91"/>
        <v>0.15432120141750638</v>
      </c>
      <c r="AU33" s="260">
        <f ca="1">SUMIFS('RF(당년)'!CA:CA,'RF(당년)'!$B:$B,요약!$A33,'RF(당년)'!$C:$C,요약!$C33,'RF(당년)'!$D:$D,요약!$E$30)</f>
        <v>0</v>
      </c>
    </row>
    <row r="34" spans="1:47" ht="14.25" customHeight="1" x14ac:dyDescent="0.3">
      <c r="A34" s="1" t="s">
        <v>78</v>
      </c>
      <c r="C34" s="1" t="s">
        <v>79</v>
      </c>
      <c r="E34" s="289"/>
      <c r="F34" s="8"/>
      <c r="G34" s="251" t="s">
        <v>79</v>
      </c>
      <c r="H34" s="180">
        <f>SUM(H35:H37)</f>
        <v>4200000000</v>
      </c>
      <c r="I34" s="74">
        <f t="shared" si="76"/>
        <v>4547248698</v>
      </c>
      <c r="J34" s="127">
        <f t="shared" si="77"/>
        <v>1.0826782614285715</v>
      </c>
      <c r="K34" s="79">
        <f>SUM(K35:K37)</f>
        <v>4553466318</v>
      </c>
      <c r="L34" s="116">
        <f t="shared" si="78"/>
        <v>-1.3654696369272967E-3</v>
      </c>
      <c r="M34" s="74">
        <v>4716069583</v>
      </c>
      <c r="N34" s="149">
        <f t="shared" si="79"/>
        <v>168820885</v>
      </c>
      <c r="O34" s="74">
        <v>1206234453</v>
      </c>
      <c r="P34" s="149">
        <f t="shared" si="8"/>
        <v>-168820885</v>
      </c>
      <c r="Q34" s="79">
        <f ca="1">SUM(Q35:Q37)</f>
        <v>3431014245</v>
      </c>
      <c r="R34" s="79">
        <f ca="1">SUM(R35:R37)</f>
        <v>3452503880</v>
      </c>
      <c r="S34" s="230">
        <f t="shared" ca="1" si="80"/>
        <v>-6.2243623025269867E-3</v>
      </c>
      <c r="T34" s="214">
        <f>SUM(T35:T37)</f>
        <v>477745673</v>
      </c>
      <c r="U34" s="214">
        <f t="shared" ref="U34" si="97">SUM(U35:U37)</f>
        <v>957916790</v>
      </c>
      <c r="V34" s="214">
        <f t="shared" ref="V34:W34" si="98">SUM(V35:V37)</f>
        <v>957938214</v>
      </c>
      <c r="W34" s="214">
        <f t="shared" si="98"/>
        <v>1037413568</v>
      </c>
      <c r="X34" s="280">
        <f>SUM(X35:X37)</f>
        <v>1116234453</v>
      </c>
      <c r="Z34" s="94">
        <f>SUM(Z35:Z37)</f>
        <v>302008693.79829168</v>
      </c>
      <c r="AA34" s="95">
        <f>SUM(AA35:AA37)</f>
        <v>902785786.76365638</v>
      </c>
      <c r="AB34" s="95">
        <f>SUM(AB35:AB37)</f>
        <v>825252952.99865627</v>
      </c>
      <c r="AC34" s="95">
        <f>SUM(AC35:AC37)</f>
        <v>962579215.54070795</v>
      </c>
      <c r="AD34" s="106">
        <f>SUM(AD35:AD37)</f>
        <v>932678878.1250174</v>
      </c>
      <c r="AE34" s="148">
        <f t="shared" si="82"/>
        <v>175736979.20170832</v>
      </c>
      <c r="AF34" s="149">
        <f t="shared" si="83"/>
        <v>55131003.236343622</v>
      </c>
      <c r="AG34" s="149">
        <f t="shared" si="84"/>
        <v>132685261.00134373</v>
      </c>
      <c r="AH34" s="149">
        <f t="shared" si="85"/>
        <v>74834352.459292054</v>
      </c>
      <c r="AI34" s="150">
        <f t="shared" si="86"/>
        <v>183555574.8749826</v>
      </c>
      <c r="AJ34" s="135">
        <f t="shared" si="87"/>
        <v>0.58189377594236125</v>
      </c>
      <c r="AK34" s="116">
        <f t="shared" si="88"/>
        <v>6.1067646439117551E-2</v>
      </c>
      <c r="AL34" s="116">
        <f t="shared" si="89"/>
        <v>0.16078132228332631</v>
      </c>
      <c r="AM34" s="116">
        <f t="shared" si="90"/>
        <v>7.77435781399618E-2</v>
      </c>
      <c r="AN34" s="136">
        <f t="shared" si="91"/>
        <v>0.19680468720808597</v>
      </c>
      <c r="AU34" s="264">
        <f ca="1">SUM(AU35:AU37)</f>
        <v>0</v>
      </c>
    </row>
    <row r="35" spans="1:47" ht="14.25" customHeight="1" outlineLevel="1" x14ac:dyDescent="0.3">
      <c r="A35" s="1" t="str">
        <f>A34</f>
        <v>리테일채널팀</v>
      </c>
      <c r="B35" s="1" t="s">
        <v>53</v>
      </c>
      <c r="C35" s="1" t="s">
        <v>79</v>
      </c>
      <c r="E35" s="289"/>
      <c r="F35" s="8"/>
      <c r="G35" s="90" t="s">
        <v>53</v>
      </c>
      <c r="H35" s="124">
        <v>3600000000</v>
      </c>
      <c r="I35" s="91">
        <f t="shared" si="76"/>
        <v>3974684838</v>
      </c>
      <c r="J35" s="129">
        <f t="shared" si="77"/>
        <v>1.1040791216666668</v>
      </c>
      <c r="K35" s="91">
        <f>SUMIFS('단체(전년마감)'!$AF:$AF,'단체(전년마감)'!$B:$B,요약!$A35,'단체(전년마감)'!$C:$C,요약!$B35,'단체(전년마감)'!$D:$D,요약!$C35)</f>
        <v>4175519018</v>
      </c>
      <c r="L35" s="120">
        <f t="shared" si="78"/>
        <v>-4.8098015871616329E-2</v>
      </c>
      <c r="M35" s="91">
        <v>4141311170</v>
      </c>
      <c r="N35" s="155">
        <f t="shared" si="79"/>
        <v>166626332</v>
      </c>
      <c r="O35" s="91">
        <v>1085000000</v>
      </c>
      <c r="P35" s="155">
        <f t="shared" si="8"/>
        <v>-166626332</v>
      </c>
      <c r="Q35" s="91">
        <f>SUMIFS('단체(당년)'!$AF:$AF,'단체(당년)'!$B:$B,요약!$A35,'단체(당년)'!$C:$C,요약!$B35,'단체(당년)'!$D:$D,요약!$C35)</f>
        <v>2974684838</v>
      </c>
      <c r="R35" s="91">
        <f>SUMIFS('단체(전년-동일자)'!$AF:$AF,'단체(전년-동일자)'!$B:$B,요약!$A35,'단체(전년-동일자)'!$C:$C,요약!$B35,'단체(전년-동일자)'!$D:$D,요약!$C35)</f>
        <v>3156316380</v>
      </c>
      <c r="S35" s="238">
        <f t="shared" si="80"/>
        <v>-5.7545416914130731E-2</v>
      </c>
      <c r="T35" s="241">
        <f>SUMIFS('단체(당년)'!$AF:$AF,'단체(당년)'!$B:$B,$A35,'단체(당년)'!$C:$C,$B35,'단체(당년)'!$D:$D,$C35,'단체(당년)'!$A:$A,T$1)</f>
        <v>419630566</v>
      </c>
      <c r="U35" s="241">
        <f>SUMIFS('단체(당년)'!$AF:$AF,'단체(당년)'!$B:$B,$A35,'단체(당년)'!$C:$C,$B35,'단체(당년)'!$D:$D,$C35,'단체(당년)'!$A:$A,U$1)</f>
        <v>817240790</v>
      </c>
      <c r="V35" s="241">
        <f>SUMIFS('단체(당년)'!$AF:$AF,'단체(당년)'!$B:$B,$A35,'단체(당년)'!$C:$C,$B35,'단체(당년)'!$D:$D,$C35,'단체(당년)'!$A:$A,V$1)</f>
        <v>819439814</v>
      </c>
      <c r="W35" s="241">
        <f>SUMIFS('단체(당년)'!$AF:$AF,'단체(당년)'!$B:$B,$A35,'단체(당년)'!$C:$C,$B35,'단체(당년)'!$D:$D,$C35,'단체(당년)'!$A:$A,W$1)</f>
        <v>918373668</v>
      </c>
      <c r="X35" s="276">
        <v>1000000000</v>
      </c>
      <c r="Z35" s="224">
        <v>252322393.79829168</v>
      </c>
      <c r="AA35" s="225">
        <v>807980486.76365638</v>
      </c>
      <c r="AB35" s="225">
        <v>741734952.99865627</v>
      </c>
      <c r="AC35" s="225">
        <v>880050415.54070795</v>
      </c>
      <c r="AD35" s="226">
        <v>854266978.1250174</v>
      </c>
      <c r="AE35" s="154">
        <f t="shared" si="82"/>
        <v>167308172.20170832</v>
      </c>
      <c r="AF35" s="155">
        <f t="shared" si="83"/>
        <v>9260303.2363436222</v>
      </c>
      <c r="AG35" s="155">
        <f t="shared" si="84"/>
        <v>77704861.001343727</v>
      </c>
      <c r="AH35" s="155">
        <f t="shared" si="85"/>
        <v>38323252.459292054</v>
      </c>
      <c r="AI35" s="156">
        <f t="shared" si="86"/>
        <v>145733021.8749826</v>
      </c>
      <c r="AJ35" s="139">
        <f t="shared" si="87"/>
        <v>0.6630730221093879</v>
      </c>
      <c r="AK35" s="120">
        <f t="shared" si="88"/>
        <v>1.1461048116935935E-2</v>
      </c>
      <c r="AL35" s="120">
        <f t="shared" si="89"/>
        <v>0.10476095360910476</v>
      </c>
      <c r="AM35" s="120">
        <f t="shared" si="90"/>
        <v>4.3546655717156879E-2</v>
      </c>
      <c r="AN35" s="140">
        <f t="shared" si="91"/>
        <v>0.17059423529965279</v>
      </c>
      <c r="AU35" s="260">
        <f>SUMIFS('단체(당년)'!$AF:$AF,'단체(당년)'!$B:$B,$A35,'단체(당년)'!$C:$C,$B35,'단체(당년)'!$D:$D,$C35,'단체(당년)'!$A:$A,AU$1)</f>
        <v>0</v>
      </c>
    </row>
    <row r="36" spans="1:47" ht="14.25" customHeight="1" outlineLevel="1" x14ac:dyDescent="0.3">
      <c r="A36" s="1" t="str">
        <f>A35</f>
        <v>리테일채널팀</v>
      </c>
      <c r="B36" s="1" t="s">
        <v>59</v>
      </c>
      <c r="C36" s="1" t="s">
        <v>79</v>
      </c>
      <c r="E36" s="289"/>
      <c r="F36" s="8"/>
      <c r="G36" s="90" t="s">
        <v>59</v>
      </c>
      <c r="H36" s="124">
        <v>250000000</v>
      </c>
      <c r="I36" s="91">
        <f t="shared" si="76"/>
        <v>279622860</v>
      </c>
      <c r="J36" s="129">
        <f>IFERROR(I36/$H36,"")</f>
        <v>1.1184914399999999</v>
      </c>
      <c r="K36" s="91">
        <f>SUMIFS('RF(전년)'!$BG:$BG,'RF(전년)'!$B:$B,요약!$A36,'RF(전년)'!$D:$D,요약!$E$30,'RF(전년)'!$C:$C,요약!$C36)</f>
        <v>172135300</v>
      </c>
      <c r="L36" s="120">
        <f>IFERROR(I36/K36-1,"")</f>
        <v>0.62443647526103008</v>
      </c>
      <c r="M36" s="91">
        <v>284384413.00000006</v>
      </c>
      <c r="N36" s="155">
        <f t="shared" si="79"/>
        <v>4761553.0000000596</v>
      </c>
      <c r="O36" s="91">
        <v>61234453.00000003</v>
      </c>
      <c r="P36" s="155">
        <f t="shared" si="8"/>
        <v>-4761553.0000000298</v>
      </c>
      <c r="Q36" s="91">
        <f ca="1">SUMIFS('RF(당년)'!$BF:$BF,'RF(당년)'!$B:$B,요약!$A36,'RF(당년)'!$C:$C,요약!$C36,'RF(당년)'!$D:$D,요약!$E$30)</f>
        <v>218388407</v>
      </c>
      <c r="R36" s="91">
        <f ca="1">SUMIFS('RF(전년)'!$BF:$BF,'RF(전년)'!$B:$B,요약!$A36,'RF(전년)'!$C:$C,요약!$C36,'RF(전년)'!$D:$D,요약!$E$30)</f>
        <v>130587500</v>
      </c>
      <c r="S36" s="238">
        <f t="shared" ca="1" si="80"/>
        <v>0.6723530736096488</v>
      </c>
      <c r="T36" s="242">
        <f>SUMIFS('RF(당년)'!AZ:AZ,'RF(당년)'!$B:$B,요약!$A36,'RF(당년)'!$C:$C,요약!$C36,'RF(당년)'!$D:$D,요약!$E$30)</f>
        <v>16279107</v>
      </c>
      <c r="U36" s="242">
        <f>SUMIFS('RF(당년)'!BA:BA,'RF(당년)'!$B:$B,요약!$A36,'RF(당년)'!$C:$C,요약!$C36,'RF(당년)'!$D:$D,요약!$E$30)</f>
        <v>68372000</v>
      </c>
      <c r="V36" s="242">
        <f>SUMIFS('RF(당년)'!BB:BB,'RF(당년)'!$B:$B,요약!$A36,'RF(당년)'!$C:$C,요약!$C36,'RF(당년)'!$D:$D,요약!$E$30)</f>
        <v>77264400</v>
      </c>
      <c r="W36" s="242">
        <f>SUMIFS('RF(당년)'!BC:BC,'RF(당년)'!$B:$B,요약!$A36,'RF(당년)'!$C:$C,요약!$C36,'RF(당년)'!$D:$D,요약!$E$30)</f>
        <v>56472900</v>
      </c>
      <c r="X36" s="281">
        <v>61234453.00000003</v>
      </c>
      <c r="Z36" s="103">
        <f>SUMIFS('RF(전년)'!AZ:AZ,'RF(전년)'!$B:$B,요약!$A36,'RF(전년)'!$C:$C,요약!$C36,'RF(전년)'!$D:$D,요약!$E$30)</f>
        <v>15738300</v>
      </c>
      <c r="AA36" s="104">
        <f>SUMIFS('RF(전년)'!BA:BA,'RF(전년)'!$B:$B,요약!$A36,'RF(전년)'!$C:$C,요약!$C36,'RF(전년)'!$D:$D,요약!$E$30)</f>
        <v>41201300</v>
      </c>
      <c r="AB36" s="104">
        <f>SUMIFS('RF(전년)'!BB:BB,'RF(전년)'!$B:$B,요약!$A36,'RF(전년)'!$C:$C,요약!$C36,'RF(전년)'!$D:$D,요약!$E$30)</f>
        <v>37222000</v>
      </c>
      <c r="AC36" s="104">
        <f>SUMIFS('RF(전년)'!BC:BC,'RF(전년)'!$B:$B,요약!$A36,'RF(전년)'!$C:$C,요약!$C36,'RF(전년)'!$D:$D,요약!$E$30)</f>
        <v>39508800</v>
      </c>
      <c r="AD36" s="108">
        <f>SUMIFS('RF(전년)'!BD:BD,'RF(전년)'!$B:$B,요약!$A36,'RF(전년)'!$C:$C,요약!$C36,'RF(전년)'!$D:$D,요약!$E$30)</f>
        <v>41871900</v>
      </c>
      <c r="AE36" s="154">
        <f t="shared" si="82"/>
        <v>540807</v>
      </c>
      <c r="AF36" s="155">
        <f t="shared" si="83"/>
        <v>27170700</v>
      </c>
      <c r="AG36" s="155">
        <f t="shared" si="84"/>
        <v>40042400</v>
      </c>
      <c r="AH36" s="155">
        <f t="shared" si="85"/>
        <v>16964100</v>
      </c>
      <c r="AI36" s="156">
        <f t="shared" si="86"/>
        <v>19362553.00000003</v>
      </c>
      <c r="AJ36" s="139">
        <f t="shared" si="87"/>
        <v>3.4362478793770634E-2</v>
      </c>
      <c r="AK36" s="120">
        <f t="shared" si="88"/>
        <v>0.65946220143539169</v>
      </c>
      <c r="AL36" s="120">
        <f t="shared" si="89"/>
        <v>1.0757723926710012</v>
      </c>
      <c r="AM36" s="120">
        <f t="shared" si="90"/>
        <v>0.42937522779735149</v>
      </c>
      <c r="AN36" s="140">
        <f t="shared" si="91"/>
        <v>0.46242355852015393</v>
      </c>
      <c r="AU36" s="265">
        <f ca="1">SUMIFS('RF(당년)'!CA:CA,'RF(당년)'!$B:$B,요약!$A36,'RF(당년)'!$C:$C,요약!$C36,'RF(당년)'!$D:$D,요약!$E$30)</f>
        <v>0</v>
      </c>
    </row>
    <row r="37" spans="1:47" ht="14.25" customHeight="1" outlineLevel="1" x14ac:dyDescent="0.3">
      <c r="A37" s="1" t="str">
        <f>A36</f>
        <v>리테일채널팀</v>
      </c>
      <c r="B37" s="1" t="s">
        <v>53</v>
      </c>
      <c r="C37" s="1" t="s">
        <v>73</v>
      </c>
      <c r="E37" s="289"/>
      <c r="F37" s="41"/>
      <c r="G37" s="110" t="s">
        <v>73</v>
      </c>
      <c r="H37" s="124">
        <v>350000000</v>
      </c>
      <c r="I37" s="111">
        <f t="shared" si="76"/>
        <v>292941000</v>
      </c>
      <c r="J37" s="131">
        <f>IFERROR(I37/$H37,"")</f>
        <v>0.83697428571428567</v>
      </c>
      <c r="K37" s="111">
        <f>SUMIFS('단체(전년마감)'!$AF:$AF,'단체(전년마감)'!$B:$B,요약!$A37,'단체(전년마감)'!$C:$C,요약!$B37,'단체(전년마감)'!$D:$D,요약!$C37)</f>
        <v>205812000</v>
      </c>
      <c r="L37" s="122">
        <f>IFERROR(I37/K37-1,"")</f>
        <v>0.42334266223543815</v>
      </c>
      <c r="M37" s="111">
        <v>290374000</v>
      </c>
      <c r="N37" s="161"/>
      <c r="O37" s="111">
        <v>60000000</v>
      </c>
      <c r="P37" s="161">
        <f t="shared" si="8"/>
        <v>2567000</v>
      </c>
      <c r="Q37" s="111">
        <f>SUMIFS('단체(당년)'!$AF:$AF,'단체(당년)'!$B:$B,요약!$A37,'단체(당년)'!$C:$C,요약!$B37,'단체(당년)'!$D:$D,요약!$C37)</f>
        <v>237941000</v>
      </c>
      <c r="R37" s="111">
        <f>SUMIFS('단체(전년-동일자)'!$AF:$AF,'단체(전년-동일자)'!$B:$B,요약!$A37,'단체(전년-동일자)'!$C:$C,요약!$B37,'단체(전년-동일자)'!$D:$D,요약!$C37)</f>
        <v>165600000</v>
      </c>
      <c r="S37" s="239">
        <f>IFERROR(Q37/R37-1,"")</f>
        <v>0.43684178743961355</v>
      </c>
      <c r="T37" s="256">
        <f>SUMIFS('단체(당년)'!$AF:$AF,'단체(당년)'!$B:$B,$A37,'단체(당년)'!$C:$C,$B37,'단체(당년)'!$D:$D,$C37,'단체(당년)'!$A:$A,T$1)</f>
        <v>41836000</v>
      </c>
      <c r="U37" s="256">
        <f>SUMIFS('단체(당년)'!$AF:$AF,'단체(당년)'!$B:$B,$A37,'단체(당년)'!$C:$C,$B37,'단체(당년)'!$D:$D,$C37,'단체(당년)'!$A:$A,U$1)</f>
        <v>72304000</v>
      </c>
      <c r="V37" s="256">
        <f>SUMIFS('단체(당년)'!$AF:$AF,'단체(당년)'!$B:$B,$A37,'단체(당년)'!$C:$C,$B37,'단체(당년)'!$D:$D,$C37,'단체(당년)'!$A:$A,V$1)</f>
        <v>61234000</v>
      </c>
      <c r="W37" s="256">
        <f>SUMIFS('단체(당년)'!$AF:$AF,'단체(당년)'!$B:$B,$A37,'단체(당년)'!$C:$C,$B37,'단체(당년)'!$D:$D,$C37,'단체(당년)'!$A:$A,W$1)</f>
        <v>62567000</v>
      </c>
      <c r="X37" s="282">
        <v>55000000</v>
      </c>
      <c r="Z37" s="112">
        <f>SUMIFS('단체(전년)'!$AF:$AF,'단체(전년)'!$B:$B,$A37,'단체(전년)'!$C:$C,$B37,'단체(전년)'!$D:$D,$C37,'단체(전년)'!$A:$A,T$1)</f>
        <v>33948000</v>
      </c>
      <c r="AA37" s="113">
        <f>SUMIFS('단체(전년)'!$AF:$AF,'단체(전년)'!$B:$B,$A37,'단체(전년)'!$C:$C,$B37,'단체(전년)'!$D:$D,$C37,'단체(전년)'!$A:$A,U$1)</f>
        <v>53604000</v>
      </c>
      <c r="AB37" s="113">
        <f>SUMIFS('단체(전년)'!$AF:$AF,'단체(전년)'!$B:$B,$A37,'단체(전년)'!$C:$C,$B37,'단체(전년)'!$D:$D,$C37,'단체(전년)'!$A:$A,V$1)</f>
        <v>46296000</v>
      </c>
      <c r="AC37" s="113">
        <f>SUMIFS('단체(전년)'!$AF:$AF,'단체(전년)'!$B:$B,$A37,'단체(전년)'!$C:$C,$B37,'단체(전년)'!$D:$D,$C37,'단체(전년)'!$A:$A,W$1)</f>
        <v>43020000</v>
      </c>
      <c r="AD37" s="114">
        <f>SUMIFS('단체(전년)'!$AF:$AF,'단체(전년)'!$B:$B,$A37,'단체(전년)'!$C:$C,$B37,'단체(전년)'!$D:$D,$C37,'단체(전년)'!$A:$A,X$1)</f>
        <v>36540000</v>
      </c>
      <c r="AE37" s="160">
        <f t="shared" si="82"/>
        <v>7888000</v>
      </c>
      <c r="AF37" s="161">
        <f t="shared" si="83"/>
        <v>18700000</v>
      </c>
      <c r="AG37" s="161">
        <f t="shared" si="84"/>
        <v>14938000</v>
      </c>
      <c r="AH37" s="161">
        <f t="shared" si="85"/>
        <v>19547000</v>
      </c>
      <c r="AI37" s="162">
        <f t="shared" si="86"/>
        <v>18460000</v>
      </c>
      <c r="AJ37" s="143">
        <f t="shared" si="87"/>
        <v>0.23235536703193116</v>
      </c>
      <c r="AK37" s="122">
        <f t="shared" si="88"/>
        <v>0.34885456309230656</v>
      </c>
      <c r="AL37" s="122">
        <f t="shared" si="89"/>
        <v>0.32266286504233621</v>
      </c>
      <c r="AM37" s="122">
        <f t="shared" si="90"/>
        <v>0.45437006043700601</v>
      </c>
      <c r="AN37" s="144">
        <f t="shared" si="91"/>
        <v>0.50519978106185004</v>
      </c>
      <c r="AU37" s="266">
        <f>SUMIFS('단체(당년)'!$AF:$AF,'단체(당년)'!$B:$B,$A37,'단체(당년)'!$C:$C,$B37,'단체(당년)'!$D:$D,$C37,'단체(당년)'!$A:$A,AU$1)</f>
        <v>0</v>
      </c>
    </row>
    <row r="38" spans="1:47" ht="14.25" customHeight="1" x14ac:dyDescent="0.3">
      <c r="A38" s="1" t="s">
        <v>78</v>
      </c>
      <c r="C38" s="1" t="s">
        <v>71</v>
      </c>
      <c r="E38" s="289"/>
      <c r="F38" s="41"/>
      <c r="G38" s="252" t="s">
        <v>71</v>
      </c>
      <c r="H38" s="180">
        <f>SUM(H39:H40)</f>
        <v>3027350000</v>
      </c>
      <c r="I38" s="79">
        <f t="shared" si="76"/>
        <v>3121389000</v>
      </c>
      <c r="J38" s="130">
        <f t="shared" si="77"/>
        <v>1.0310631410309345</v>
      </c>
      <c r="K38" s="79">
        <f>SUM(K39:K40)</f>
        <v>2218190910</v>
      </c>
      <c r="L38" s="121">
        <f t="shared" si="78"/>
        <v>0.4071777978749358</v>
      </c>
      <c r="M38" s="79">
        <v>3018410600</v>
      </c>
      <c r="N38" s="158">
        <f t="shared" si="79"/>
        <v>-102978400</v>
      </c>
      <c r="O38" s="79">
        <v>725300000</v>
      </c>
      <c r="P38" s="158">
        <f t="shared" si="8"/>
        <v>102978400</v>
      </c>
      <c r="Q38" s="79">
        <f t="shared" ref="Q38:R38" ca="1" si="99">SUM(Q39:Q40)</f>
        <v>2458089000</v>
      </c>
      <c r="R38" s="79">
        <f t="shared" ca="1" si="99"/>
        <v>1724911595</v>
      </c>
      <c r="S38" s="231">
        <f t="shared" ca="1" si="80"/>
        <v>0.42505216332550644</v>
      </c>
      <c r="T38" s="214">
        <f>SUM(T39:T40)</f>
        <v>279880700</v>
      </c>
      <c r="U38" s="214">
        <f t="shared" ref="U38" si="100">SUM(U39:U40)</f>
        <v>686029300</v>
      </c>
      <c r="V38" s="214">
        <f t="shared" ref="V38:W38" si="101">SUM(V39:V40)</f>
        <v>663900600</v>
      </c>
      <c r="W38" s="214">
        <f t="shared" si="101"/>
        <v>828278400</v>
      </c>
      <c r="X38" s="280">
        <f>SUM(X39:X40)</f>
        <v>663300000</v>
      </c>
      <c r="Z38" s="100">
        <f t="shared" ref="Z38:AD38" si="102">SUM(Z39:Z40)</f>
        <v>212346884</v>
      </c>
      <c r="AA38" s="101">
        <f t="shared" si="102"/>
        <v>524027540</v>
      </c>
      <c r="AB38" s="101">
        <f t="shared" si="102"/>
        <v>485329400</v>
      </c>
      <c r="AC38" s="101">
        <f t="shared" si="102"/>
        <v>537987918</v>
      </c>
      <c r="AD38" s="109">
        <f t="shared" si="102"/>
        <v>494720768</v>
      </c>
      <c r="AE38" s="157">
        <f t="shared" si="82"/>
        <v>67533816</v>
      </c>
      <c r="AF38" s="158">
        <f t="shared" si="83"/>
        <v>162001760</v>
      </c>
      <c r="AG38" s="158">
        <f t="shared" si="84"/>
        <v>178571200</v>
      </c>
      <c r="AH38" s="158">
        <f t="shared" si="85"/>
        <v>290290482</v>
      </c>
      <c r="AI38" s="159">
        <f t="shared" si="86"/>
        <v>168579232</v>
      </c>
      <c r="AJ38" s="141">
        <f t="shared" si="87"/>
        <v>0.31803535200450606</v>
      </c>
      <c r="AK38" s="121">
        <f t="shared" si="88"/>
        <v>0.30914741618350816</v>
      </c>
      <c r="AL38" s="121">
        <f t="shared" si="89"/>
        <v>0.36793814675146397</v>
      </c>
      <c r="AM38" s="121">
        <f t="shared" si="90"/>
        <v>0.53958550422316365</v>
      </c>
      <c r="AN38" s="142">
        <f t="shared" si="91"/>
        <v>0.34075632741579187</v>
      </c>
      <c r="AU38" s="264">
        <f ca="1">SUM(AU39:AU40)</f>
        <v>0</v>
      </c>
    </row>
    <row r="39" spans="1:47" ht="14.25" customHeight="1" outlineLevel="1" x14ac:dyDescent="0.3">
      <c r="A39" s="1" t="str">
        <f>A38</f>
        <v>리테일채널팀</v>
      </c>
      <c r="B39" s="1" t="s">
        <v>53</v>
      </c>
      <c r="C39" s="1" t="s">
        <v>71</v>
      </c>
      <c r="E39" s="289"/>
      <c r="F39" s="8"/>
      <c r="G39" s="90" t="s">
        <v>53</v>
      </c>
      <c r="H39" s="124">
        <v>910000000</v>
      </c>
      <c r="I39" s="91">
        <f t="shared" si="76"/>
        <v>912758800</v>
      </c>
      <c r="J39" s="129">
        <f t="shared" si="77"/>
        <v>1.0030316483516484</v>
      </c>
      <c r="K39" s="91">
        <f>SUMIFS('단체(전년마감)'!$AF:$AF,'단체(전년마감)'!$B:$B,요약!$A39,'단체(전년마감)'!$C:$C,요약!$B39,'단체(전년마감)'!$D:$D,요약!$C39)</f>
        <v>968881910</v>
      </c>
      <c r="L39" s="120">
        <f t="shared" si="78"/>
        <v>-5.7925645448370533E-2</v>
      </c>
      <c r="M39" s="91">
        <v>907511900</v>
      </c>
      <c r="N39" s="155">
        <f t="shared" si="79"/>
        <v>-5246900</v>
      </c>
      <c r="O39" s="91">
        <v>237300000</v>
      </c>
      <c r="P39" s="155">
        <f t="shared" si="8"/>
        <v>5246900</v>
      </c>
      <c r="Q39" s="91">
        <f>SUMIFS('단체(당년)'!$AF:$AF,'단체(당년)'!$B:$B,요약!$A39,'단체(당년)'!$C:$C,요약!$B39,'단체(당년)'!$D:$D,요약!$C39)</f>
        <v>704458800</v>
      </c>
      <c r="R39" s="91">
        <f>SUMIFS('단체(전년-동일자)'!$AF:$AF,'단체(전년-동일자)'!$B:$B,요약!$A39,'단체(전년-동일자)'!$C:$C,요약!$B39,'단체(전년-동일자)'!$D:$D,요약!$C39)</f>
        <v>745504195</v>
      </c>
      <c r="S39" s="238">
        <f t="shared" si="80"/>
        <v>-5.5057228752415033E-2</v>
      </c>
      <c r="T39" s="242">
        <f>SUMIFS('단체(당년)'!$AF:$AF,'단체(당년)'!$B:$B,$A39,'단체(당년)'!$C:$C,$B39,'단체(당년)'!$D:$D,$C39,'단체(당년)'!$A:$A,T$1)</f>
        <v>97123900</v>
      </c>
      <c r="U39" s="242">
        <f>SUMIFS('단체(당년)'!$AF:$AF,'단체(당년)'!$B:$B,$A39,'단체(당년)'!$C:$C,$B39,'단체(당년)'!$D:$D,$C39,'단체(당년)'!$A:$A,U$1)</f>
        <v>197467500</v>
      </c>
      <c r="V39" s="242">
        <f>SUMIFS('단체(당년)'!$AF:$AF,'단체(당년)'!$B:$B,$A39,'단체(당년)'!$C:$C,$B39,'단체(당년)'!$D:$D,$C39,'단체(당년)'!$A:$A,V$1)</f>
        <v>167320500</v>
      </c>
      <c r="W39" s="242">
        <f>SUMIFS('단체(당년)'!$AF:$AF,'단체(당년)'!$B:$B,$A39,'단체(당년)'!$C:$C,$B39,'단체(당년)'!$D:$D,$C39,'단체(당년)'!$A:$A,W$1)</f>
        <v>242546900</v>
      </c>
      <c r="X39" s="281">
        <v>208300000</v>
      </c>
      <c r="Z39" s="103">
        <f>SUMIFS('단체(전년)'!$AF:$AF,'단체(전년)'!$B:$B,$A39,'단체(전년)'!$C:$C,$B39,'단체(전년)'!$D:$D,$C39,'단체(전년)'!$A:$A,T$1)</f>
        <v>89886984</v>
      </c>
      <c r="AA39" s="104">
        <f>SUMIFS('단체(전년)'!$AF:$AF,'단체(전년)'!$B:$B,$A39,'단체(전년)'!$C:$C,$B39,'단체(전년)'!$D:$D,$C39,'단체(전년)'!$A:$A,U$1)</f>
        <v>229991640</v>
      </c>
      <c r="AB39" s="104">
        <f>SUMIFS('단체(전년)'!$AF:$AF,'단체(전년)'!$B:$B,$A39,'단체(전년)'!$C:$C,$B39,'단체(전년)'!$D:$D,$C39,'단체(전년)'!$A:$A,V$1)</f>
        <v>199416000</v>
      </c>
      <c r="AC39" s="104">
        <f>SUMIFS('단체(전년)'!$AF:$AF,'단체(전년)'!$B:$B,$A39,'단체(전년)'!$C:$C,$B39,'단체(전년)'!$D:$D,$C39,'단체(전년)'!$A:$A,W$1)</f>
        <v>260709918</v>
      </c>
      <c r="AD39" s="108">
        <f>SUMIFS('단체(전년)'!$AF:$AF,'단체(전년)'!$B:$B,$A39,'단체(전년)'!$C:$C,$B39,'단체(전년)'!$D:$D,$C39,'단체(전년)'!$A:$A,X$1)</f>
        <v>225219068</v>
      </c>
      <c r="AE39" s="154">
        <f t="shared" si="82"/>
        <v>7236916</v>
      </c>
      <c r="AF39" s="155">
        <f t="shared" si="83"/>
        <v>-32524140</v>
      </c>
      <c r="AG39" s="155">
        <f t="shared" si="84"/>
        <v>-32095500</v>
      </c>
      <c r="AH39" s="155">
        <f t="shared" si="85"/>
        <v>-18163018</v>
      </c>
      <c r="AI39" s="156">
        <f t="shared" si="86"/>
        <v>-16919068</v>
      </c>
      <c r="AJ39" s="139">
        <f t="shared" si="87"/>
        <v>8.0511278473866632E-2</v>
      </c>
      <c r="AK39" s="120">
        <f t="shared" si="88"/>
        <v>-0.14141444445545936</v>
      </c>
      <c r="AL39" s="120">
        <f t="shared" si="89"/>
        <v>-0.16094746660247927</v>
      </c>
      <c r="AM39" s="120">
        <f t="shared" si="90"/>
        <v>-6.9667537542626223E-2</v>
      </c>
      <c r="AN39" s="140">
        <f t="shared" si="91"/>
        <v>-7.5122715630809744E-2</v>
      </c>
      <c r="AU39" s="265">
        <f>SUMIFS('단체(당년)'!$AF:$AF,'단체(당년)'!$B:$B,$A39,'단체(당년)'!$C:$C,$B39,'단체(당년)'!$D:$D,$C39,'단체(당년)'!$A:$A,AU$1)</f>
        <v>0</v>
      </c>
    </row>
    <row r="40" spans="1:47" ht="14.25" customHeight="1" outlineLevel="1" x14ac:dyDescent="0.3">
      <c r="A40" s="1" t="str">
        <f>A39</f>
        <v>리테일채널팀</v>
      </c>
      <c r="B40" s="1" t="s">
        <v>59</v>
      </c>
      <c r="C40" s="1" t="s">
        <v>71</v>
      </c>
      <c r="E40" s="289"/>
      <c r="F40" s="41"/>
      <c r="G40" s="110" t="s">
        <v>59</v>
      </c>
      <c r="H40" s="125">
        <v>2117350000</v>
      </c>
      <c r="I40" s="111">
        <f t="shared" si="76"/>
        <v>2208630200</v>
      </c>
      <c r="J40" s="131">
        <f t="shared" si="77"/>
        <v>1.0431105863461403</v>
      </c>
      <c r="K40" s="91">
        <f>SUMIFS('RF(전년)'!$BG:$BG,'RF(전년)'!$B:$B,요약!$A40,'RF(전년)'!$D:$D,요약!$E$30,'RF(전년)'!$C:$C,요약!$C40)</f>
        <v>1249309000</v>
      </c>
      <c r="L40" s="122">
        <f t="shared" si="78"/>
        <v>0.76788144486272003</v>
      </c>
      <c r="M40" s="111">
        <v>2110898700</v>
      </c>
      <c r="N40" s="161">
        <f t="shared" si="79"/>
        <v>-97731500</v>
      </c>
      <c r="O40" s="111">
        <v>488000000</v>
      </c>
      <c r="P40" s="161">
        <f t="shared" si="8"/>
        <v>97731500</v>
      </c>
      <c r="Q40" s="91">
        <f ca="1">SUMIFS('RF(당년)'!$BF:$BF,'RF(당년)'!$B:$B,요약!$A40,'RF(당년)'!$C:$C,요약!$C40,'RF(당년)'!$D:$D,요약!$E$30)</f>
        <v>1753630200</v>
      </c>
      <c r="R40" s="111">
        <f ca="1">SUMIFS('RF(전년)'!$BF:$BF,'RF(전년)'!$B:$B,요약!$A40,'RF(전년)'!$C:$C,요약!$C40,'RF(전년)'!$D:$D,요약!$E$30)</f>
        <v>979407400</v>
      </c>
      <c r="S40" s="239">
        <f t="shared" ca="1" si="80"/>
        <v>0.79050127658827174</v>
      </c>
      <c r="T40" s="242">
        <f>SUMIFS('RF(당년)'!AZ:AZ,'RF(당년)'!$B:$B,요약!$A40,'RF(당년)'!$C:$C,요약!$C40,'RF(당년)'!$D:$D,요약!$E$30)</f>
        <v>182756800</v>
      </c>
      <c r="U40" s="242">
        <f>SUMIFS('RF(당년)'!BA:BA,'RF(당년)'!$B:$B,요약!$A40,'RF(당년)'!$C:$C,요약!$C40,'RF(당년)'!$D:$D,요약!$E$30)</f>
        <v>488561800</v>
      </c>
      <c r="V40" s="242">
        <f>SUMIFS('RF(당년)'!BB:BB,'RF(당년)'!$B:$B,요약!$A40,'RF(당년)'!$C:$C,요약!$C40,'RF(당년)'!$D:$D,요약!$E$30)</f>
        <v>496580100</v>
      </c>
      <c r="W40" s="242">
        <f>SUMIFS('RF(당년)'!BC:BC,'RF(당년)'!$B:$B,요약!$A40,'RF(당년)'!$C:$C,요약!$C40,'RF(당년)'!$D:$D,요약!$E$30)</f>
        <v>585731500</v>
      </c>
      <c r="X40" s="281">
        <v>455000000</v>
      </c>
      <c r="Z40" s="112">
        <f>SUMIFS('RF(전년)'!AZ:AZ,'RF(전년)'!$B:$B,요약!$A40,'RF(전년)'!$C:$C,요약!$C40,'RF(전년)'!$D:$D,요약!$E$30)</f>
        <v>122459900</v>
      </c>
      <c r="AA40" s="113">
        <f>SUMIFS('RF(전년)'!BA:BA,'RF(전년)'!$B:$B,요약!$A40,'RF(전년)'!$C:$C,요약!$C40,'RF(전년)'!$D:$D,요약!$E$30)</f>
        <v>294035900</v>
      </c>
      <c r="AB40" s="113">
        <f>SUMIFS('RF(전년)'!BB:BB,'RF(전년)'!$B:$B,요약!$A40,'RF(전년)'!$C:$C,요약!$C40,'RF(전년)'!$D:$D,요약!$E$30)</f>
        <v>285913400</v>
      </c>
      <c r="AC40" s="113">
        <f>SUMIFS('RF(전년)'!BC:BC,'RF(전년)'!$B:$B,요약!$A40,'RF(전년)'!$C:$C,요약!$C40,'RF(전년)'!$D:$D,요약!$E$30)</f>
        <v>277278000</v>
      </c>
      <c r="AD40" s="114">
        <f>SUMIFS('RF(전년)'!BD:BD,'RF(전년)'!$B:$B,요약!$A40,'RF(전년)'!$C:$C,요약!$C40,'RF(전년)'!$D:$D,요약!$E$30)</f>
        <v>269501700</v>
      </c>
      <c r="AE40" s="160">
        <f t="shared" si="82"/>
        <v>60296900</v>
      </c>
      <c r="AF40" s="161">
        <f t="shared" si="83"/>
        <v>194525900</v>
      </c>
      <c r="AG40" s="161">
        <f t="shared" si="84"/>
        <v>210666700</v>
      </c>
      <c r="AH40" s="161">
        <f t="shared" si="85"/>
        <v>308453500</v>
      </c>
      <c r="AI40" s="162">
        <f t="shared" si="86"/>
        <v>185498300</v>
      </c>
      <c r="AJ40" s="143">
        <f t="shared" si="87"/>
        <v>0.49238077117489065</v>
      </c>
      <c r="AK40" s="122">
        <f t="shared" si="88"/>
        <v>0.66157193730425434</v>
      </c>
      <c r="AL40" s="122">
        <f t="shared" si="89"/>
        <v>0.73681996016975759</v>
      </c>
      <c r="AM40" s="122">
        <f t="shared" si="90"/>
        <v>1.1124340914172781</v>
      </c>
      <c r="AN40" s="144">
        <f t="shared" si="91"/>
        <v>0.68830103854632463</v>
      </c>
      <c r="AU40" s="265">
        <f ca="1">SUMIFS('RF(당년)'!CA:CA,'RF(당년)'!$B:$B,요약!$A40,'RF(당년)'!$C:$C,요약!$C40,'RF(당년)'!$D:$D,요약!$E$30)</f>
        <v>0</v>
      </c>
    </row>
    <row r="41" spans="1:47" ht="14.25" customHeight="1" thickBot="1" x14ac:dyDescent="0.35">
      <c r="A41" s="1" t="s">
        <v>66</v>
      </c>
      <c r="B41" s="1" t="s">
        <v>76</v>
      </c>
      <c r="C41" s="1" t="s">
        <v>76</v>
      </c>
      <c r="E41" s="290"/>
      <c r="F41" s="10"/>
      <c r="G41" s="11" t="s">
        <v>67</v>
      </c>
      <c r="H41" s="216">
        <v>3449000000</v>
      </c>
      <c r="I41" s="76">
        <f t="shared" si="76"/>
        <v>3686162794</v>
      </c>
      <c r="J41" s="128">
        <f t="shared" si="77"/>
        <v>1.0687627700782836</v>
      </c>
      <c r="K41" s="76">
        <f>SUMIFS('단체(전년마감)'!$AF:$AF,'단체(전년마감)'!$B:$B,요약!$A41,'단체(전년마감)'!$C:$C,요약!$B41,'단체(전년마감)'!$D:$D,요약!$C41)</f>
        <v>3210571259</v>
      </c>
      <c r="L41" s="117">
        <f t="shared" si="78"/>
        <v>0.14813299460860829</v>
      </c>
      <c r="M41" s="76">
        <v>3720180107</v>
      </c>
      <c r="N41" s="152">
        <f t="shared" si="79"/>
        <v>34017313</v>
      </c>
      <c r="O41" s="76">
        <v>1100000000</v>
      </c>
      <c r="P41" s="152">
        <f t="shared" si="8"/>
        <v>-34017313</v>
      </c>
      <c r="Q41" s="76">
        <f>SUMIFS('단체(당년)'!$AF:$AF,'단체(당년)'!$B:$B,요약!$A41,'단체(당년)'!$C:$C,요약!$B41,'단체(당년)'!$D:$D,요약!$C41)</f>
        <v>2656162794</v>
      </c>
      <c r="R41" s="76">
        <f>SUMIFS('단체(전년-동일자)'!$AF:$AF,'단체(전년-동일자)'!$B:$B,요약!$A41,'단체(전년-동일자)'!$C:$C,요약!$B41,'단체(전년-동일자)'!$D:$D,요약!$C41)</f>
        <v>2158980399</v>
      </c>
      <c r="S41" s="232">
        <f t="shared" si="80"/>
        <v>0.23028573822638032</v>
      </c>
      <c r="T41" s="243">
        <f>SUMIFS('단체(당년)'!$AF:$AF,'단체(당년)'!$B:$B,$A41,'단체(당년)'!$C:$C,$B41,'단체(당년)'!$D:$D,$C41,'단체(당년)'!$A:$A,T$1)</f>
        <v>164163470</v>
      </c>
      <c r="U41" s="243">
        <f>SUMIFS('단체(당년)'!$AF:$AF,'단체(당년)'!$B:$B,$A41,'단체(당년)'!$C:$C,$B41,'단체(당년)'!$D:$D,$C41,'단체(당년)'!$A:$A,U$1)</f>
        <v>665879738</v>
      </c>
      <c r="V41" s="243">
        <f>SUMIFS('단체(당년)'!$AF:$AF,'단체(당년)'!$B:$B,$A41,'단체(당년)'!$C:$C,$B41,'단체(당년)'!$D:$D,$C41,'단체(당년)'!$A:$A,V$1)</f>
        <v>760136899</v>
      </c>
      <c r="W41" s="243">
        <f>SUMIFS('단체(당년)'!$AF:$AF,'단체(당년)'!$B:$B,$A41,'단체(당년)'!$C:$C,$B41,'단체(당년)'!$D:$D,$C41,'단체(당년)'!$A:$A,W$1)</f>
        <v>1065982687</v>
      </c>
      <c r="X41" s="283">
        <v>1030000000</v>
      </c>
      <c r="Z41" s="96">
        <f>SUMIFS('단체(전년)'!$AF:$AF,'단체(전년)'!$B:$B,$A41,'단체(전년)'!$C:$C,$B41,'단체(전년)'!$D:$D,$C41,'단체(전년)'!$A:$A,T$1)</f>
        <v>45397850</v>
      </c>
      <c r="AA41" s="97">
        <f>SUMIFS('단체(전년)'!$AF:$AF,'단체(전년)'!$B:$B,$A41,'단체(전년)'!$C:$C,$B41,'단체(전년)'!$D:$D,$C41,'단체(전년)'!$A:$A,U$1)</f>
        <v>581126870</v>
      </c>
      <c r="AB41" s="97">
        <f>SUMIFS('단체(전년)'!$AF:$AF,'단체(전년)'!$B:$B,$A41,'단체(전년)'!$C:$C,$B41,'단체(전년)'!$D:$D,$C41,'단체(전년)'!$A:$A,V$1)</f>
        <v>627035364</v>
      </c>
      <c r="AC41" s="97">
        <f>SUMIFS('단체(전년)'!$AF:$AF,'단체(전년)'!$B:$B,$A41,'단체(전년)'!$C:$C,$B41,'단체(전년)'!$D:$D,$C41,'단체(전년)'!$A:$A,W$1)</f>
        <v>866644796</v>
      </c>
      <c r="AD41" s="107">
        <f>SUMIFS('단체(전년)'!$AF:$AF,'단체(전년)'!$B:$B,$A41,'단체(전년)'!$C:$C,$B41,'단체(전년)'!$D:$D,$C41,'단체(전년)'!$A:$A,X$1)</f>
        <v>1054719710</v>
      </c>
      <c r="AE41" s="151">
        <f t="shared" si="82"/>
        <v>118765620</v>
      </c>
      <c r="AF41" s="152">
        <f t="shared" si="83"/>
        <v>84752868</v>
      </c>
      <c r="AG41" s="152">
        <f t="shared" si="84"/>
        <v>133101535</v>
      </c>
      <c r="AH41" s="152">
        <f t="shared" si="85"/>
        <v>199337891</v>
      </c>
      <c r="AI41" s="153">
        <f t="shared" si="86"/>
        <v>-24719710</v>
      </c>
      <c r="AJ41" s="137">
        <f t="shared" si="87"/>
        <v>2.6161067098992574</v>
      </c>
      <c r="AK41" s="117">
        <f t="shared" si="88"/>
        <v>0.14584228053333681</v>
      </c>
      <c r="AL41" s="117">
        <f t="shared" si="89"/>
        <v>0.21227117741958801</v>
      </c>
      <c r="AM41" s="117">
        <f t="shared" si="90"/>
        <v>0.23001106326380105</v>
      </c>
      <c r="AN41" s="138">
        <f t="shared" si="91"/>
        <v>-2.3437231489681798E-2</v>
      </c>
      <c r="AU41" s="267">
        <f>SUMIFS('단체(당년)'!$AF:$AF,'단체(당년)'!$B:$B,$A41,'단체(당년)'!$C:$C,$B41,'단체(당년)'!$D:$D,$C41,'단체(당년)'!$A:$A,AU$1)</f>
        <v>0</v>
      </c>
    </row>
    <row r="42" spans="1:47" ht="14.25" customHeight="1" thickBot="1" x14ac:dyDescent="0.35">
      <c r="E42" s="247"/>
      <c r="F42" s="43"/>
      <c r="G42" s="42"/>
      <c r="H42" s="80"/>
      <c r="I42" s="183">
        <f>I43/I8</f>
        <v>0.33912680489241154</v>
      </c>
      <c r="J42" s="80"/>
      <c r="K42" s="183">
        <f>K43/K8</f>
        <v>0.2192474076255293</v>
      </c>
      <c r="L42" s="80"/>
      <c r="M42" s="80">
        <v>0.33281807193649166</v>
      </c>
      <c r="N42" s="170"/>
      <c r="O42" s="80"/>
      <c r="P42" s="170">
        <f t="shared" si="8"/>
        <v>0</v>
      </c>
      <c r="Q42" s="80"/>
      <c r="R42" s="80"/>
      <c r="S42" s="123"/>
      <c r="T42" s="80"/>
      <c r="U42" s="80"/>
      <c r="V42" s="80"/>
      <c r="W42" s="80"/>
      <c r="X42" s="284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  <c r="AN42" s="102"/>
      <c r="AU42" s="268"/>
    </row>
    <row r="43" spans="1:47" ht="14.25" customHeight="1" x14ac:dyDescent="0.3">
      <c r="E43" s="288" t="s">
        <v>80</v>
      </c>
      <c r="F43" s="12"/>
      <c r="G43" s="26" t="s">
        <v>52</v>
      </c>
      <c r="H43" s="75">
        <f>SUM(H44,H47,,H54,H51)</f>
        <v>6273650000</v>
      </c>
      <c r="I43" s="75">
        <f t="shared" ref="I43:I54" si="103">SUM(T43,U43,V43,W43,X43)</f>
        <v>6470559690</v>
      </c>
      <c r="J43" s="126">
        <f t="shared" ref="J43:J54" si="104">IFERROR(I43/$H43,"")</f>
        <v>1.0313867828138326</v>
      </c>
      <c r="K43" s="75">
        <f>SUM(K44,K47,K51,K54)</f>
        <v>3752645125</v>
      </c>
      <c r="L43" s="115">
        <f t="shared" ref="L43:L54" si="105">IFERROR(I43/K43-1,"")</f>
        <v>0.72426634399648959</v>
      </c>
      <c r="M43" s="75">
        <v>6330304302</v>
      </c>
      <c r="N43" s="167">
        <f t="shared" ref="N43:N54" si="106">IFERROR(M43-I43,"")</f>
        <v>-140255388</v>
      </c>
      <c r="O43" s="75">
        <v>1008191000</v>
      </c>
      <c r="P43" s="167">
        <f t="shared" si="8"/>
        <v>140255388</v>
      </c>
      <c r="Q43" s="75">
        <f ca="1">SUM(Q44,Q47,,Q54,Q51)</f>
        <v>4865458690</v>
      </c>
      <c r="R43" s="75">
        <f ca="1">SUM(R44,R47,,R54,R51)</f>
        <v>3082932283</v>
      </c>
      <c r="S43" s="229">
        <f t="shared" ref="S43:S54" ca="1" si="107">IFERROR(Q43/R43-1,"")</f>
        <v>0.57819187817691042</v>
      </c>
      <c r="T43" s="211">
        <f>SUM(T44,T47,,T54,T51)</f>
        <v>915374368</v>
      </c>
      <c r="U43" s="211">
        <f t="shared" ref="U43" si="108">SUM(U44,U47,,U54,U51)</f>
        <v>1750139104</v>
      </c>
      <c r="V43" s="211">
        <f>SUM(V44,V47,,V54,V51)</f>
        <v>1051498830</v>
      </c>
      <c r="W43" s="211">
        <f>SUM(W44,W47,,W54,W51)</f>
        <v>1148446388</v>
      </c>
      <c r="X43" s="274">
        <f>SUM(X44,X47,,X54,X51)</f>
        <v>1605101000</v>
      </c>
      <c r="Z43" s="92">
        <f>SUM(Z44,Z47,,Z54,Z51)</f>
        <v>359259159.56136847</v>
      </c>
      <c r="AA43" s="93">
        <f>SUM(AA44,AA47,,AA54,AA51)</f>
        <v>1564754867.2719665</v>
      </c>
      <c r="AB43" s="93">
        <f>SUM(AB44,AB47,,AB54,AB51)</f>
        <v>1361858994.6350322</v>
      </c>
      <c r="AC43" s="93">
        <f>SUM(AC44,AC47,,AC54,AC51)</f>
        <v>1334387560.5385041</v>
      </c>
      <c r="AD43" s="105">
        <f>SUM(AD44,AD47,,AD54,AD51)</f>
        <v>1011181218.444783</v>
      </c>
      <c r="AE43" s="145">
        <f t="shared" ref="AE43:AE54" si="109">IFERROR(T43-Z43,"")</f>
        <v>556115208.43863153</v>
      </c>
      <c r="AF43" s="146">
        <f t="shared" ref="AF43:AF54" si="110">IFERROR(U43-AA43,"")</f>
        <v>185384236.72803354</v>
      </c>
      <c r="AG43" s="146">
        <f t="shared" ref="AG43:AG54" si="111">IFERROR(V43-AB43,"")</f>
        <v>-310360164.63503218</v>
      </c>
      <c r="AH43" s="146">
        <f t="shared" ref="AH43:AH54" si="112">IFERROR(W43-AC43,"")</f>
        <v>-185941172.53850412</v>
      </c>
      <c r="AI43" s="147">
        <f t="shared" ref="AI43:AI54" si="113">IFERROR(X43-AD43,"")</f>
        <v>593919781.55521703</v>
      </c>
      <c r="AJ43" s="132">
        <f t="shared" ref="AJ43:AJ54" si="114">IFERROR(T43/Z43-1,"")</f>
        <v>1.5479499788331386</v>
      </c>
      <c r="AK43" s="133">
        <f t="shared" ref="AK43:AK54" si="115">IFERROR(U43/AA43-1,"")</f>
        <v>0.11847493853860769</v>
      </c>
      <c r="AL43" s="133">
        <f t="shared" ref="AL43:AL54" si="116">IFERROR(V43/AB43-1,"")</f>
        <v>-0.22789449264400996</v>
      </c>
      <c r="AM43" s="133">
        <f t="shared" ref="AM43:AM54" si="117">IFERROR(W43/AC43-1,"")</f>
        <v>-0.13934570288070269</v>
      </c>
      <c r="AN43" s="134">
        <f t="shared" ref="AN43:AN54" si="118">IFERROR(X43/AD43-1,"")</f>
        <v>0.58735246533621099</v>
      </c>
      <c r="AU43" s="258">
        <f ca="1">SUM(AU44,AU47,,AU54,AU51)</f>
        <v>0</v>
      </c>
    </row>
    <row r="44" spans="1:47" ht="14.25" customHeight="1" x14ac:dyDescent="0.3">
      <c r="A44" s="1" t="s">
        <v>56</v>
      </c>
      <c r="C44" s="1" t="s">
        <v>76</v>
      </c>
      <c r="E44" s="289"/>
      <c r="F44" s="8"/>
      <c r="G44" s="179" t="s">
        <v>77</v>
      </c>
      <c r="H44" s="180">
        <f>SUM(H45:H46)</f>
        <v>3840000000</v>
      </c>
      <c r="I44" s="74">
        <f t="shared" si="103"/>
        <v>4337012642</v>
      </c>
      <c r="J44" s="127">
        <f t="shared" si="104"/>
        <v>1.1294303755208333</v>
      </c>
      <c r="K44" s="79">
        <f>SUM(K45:K46)</f>
        <v>2342466223</v>
      </c>
      <c r="L44" s="116">
        <f t="shared" si="105"/>
        <v>0.85147286198457173</v>
      </c>
      <c r="M44" s="74">
        <v>4007181212</v>
      </c>
      <c r="N44" s="149">
        <f t="shared" si="106"/>
        <v>-329831430</v>
      </c>
      <c r="O44" s="74">
        <v>520000000</v>
      </c>
      <c r="P44" s="149">
        <f t="shared" si="8"/>
        <v>329831430</v>
      </c>
      <c r="Q44" s="74">
        <f t="shared" ref="Q44" ca="1" si="119">SUM(Q45:Q46)</f>
        <v>3037012642</v>
      </c>
      <c r="R44" s="74">
        <f t="shared" ref="R44" ca="1" si="120">SUM(R45:R46)</f>
        <v>1896444723</v>
      </c>
      <c r="S44" s="230">
        <f t="shared" ca="1" si="107"/>
        <v>0.60142428891664568</v>
      </c>
      <c r="T44" s="214">
        <f>SUM(T45:T46)</f>
        <v>455649478</v>
      </c>
      <c r="U44" s="214">
        <f t="shared" ref="U44" si="121">SUM(U45:U46)</f>
        <v>1162042964</v>
      </c>
      <c r="V44" s="214">
        <f>SUM(V45:V46)</f>
        <v>569488770</v>
      </c>
      <c r="W44" s="214">
        <f>SUM(W45:W46)</f>
        <v>849831430</v>
      </c>
      <c r="X44" s="280">
        <f>SUM(X45:X46)</f>
        <v>1300000000</v>
      </c>
      <c r="Z44" s="94">
        <f>SUM(Z45:Z46)</f>
        <v>230194795.35966015</v>
      </c>
      <c r="AA44" s="95">
        <f>SUM(AA45:AA46)</f>
        <v>1011576342.0356228</v>
      </c>
      <c r="AB44" s="95">
        <f t="shared" ref="AB44" si="122">SUM(AB45:AB46)</f>
        <v>843216636.63368857</v>
      </c>
      <c r="AC44" s="95">
        <f t="shared" ref="AC44" si="123">SUM(AC45:AC46)</f>
        <v>706001432.07921195</v>
      </c>
      <c r="AD44" s="106">
        <f t="shared" ref="AD44" si="124">SUM(AD45:AD46)</f>
        <v>589336664.56980038</v>
      </c>
      <c r="AE44" s="148">
        <f t="shared" si="109"/>
        <v>225454682.64033985</v>
      </c>
      <c r="AF44" s="149">
        <f t="shared" si="110"/>
        <v>150466621.96437716</v>
      </c>
      <c r="AG44" s="149">
        <f t="shared" si="111"/>
        <v>-273727866.63368857</v>
      </c>
      <c r="AH44" s="149">
        <f t="shared" si="112"/>
        <v>143829997.92078805</v>
      </c>
      <c r="AI44" s="150">
        <f t="shared" si="113"/>
        <v>710663335.43019962</v>
      </c>
      <c r="AJ44" s="135">
        <f t="shared" si="114"/>
        <v>0.97940825416180988</v>
      </c>
      <c r="AK44" s="116">
        <f t="shared" si="115"/>
        <v>0.14874470241325444</v>
      </c>
      <c r="AL44" s="116">
        <f t="shared" si="116"/>
        <v>-0.32462341792314731</v>
      </c>
      <c r="AM44" s="116">
        <f t="shared" si="117"/>
        <v>0.20372479627583906</v>
      </c>
      <c r="AN44" s="136">
        <f t="shared" si="118"/>
        <v>1.2058698841501139</v>
      </c>
      <c r="AU44" s="264">
        <f ca="1">SUM(AU45:AU46)</f>
        <v>0</v>
      </c>
    </row>
    <row r="45" spans="1:47" ht="14.25" customHeight="1" outlineLevel="1" x14ac:dyDescent="0.3">
      <c r="A45" s="1" t="str">
        <f>A44</f>
        <v>파트너채널팀</v>
      </c>
      <c r="B45" s="1" t="s">
        <v>53</v>
      </c>
      <c r="C45" s="1" t="s">
        <v>76</v>
      </c>
      <c r="E45" s="289"/>
      <c r="F45" s="8"/>
      <c r="G45" s="90" t="s">
        <v>53</v>
      </c>
      <c r="H45" s="124">
        <v>3240000000</v>
      </c>
      <c r="I45" s="91">
        <f t="shared" si="103"/>
        <v>3724541742</v>
      </c>
      <c r="J45" s="129">
        <f t="shared" si="104"/>
        <v>1.1495499203703703</v>
      </c>
      <c r="K45" s="91">
        <f>SUMIFS('단체(전년마감)'!$Y:$Y,'단체(전년마감)'!$B:$B,요약!$A45,'단체(전년마감)'!$C:$C,요약!$B45,'단체(전년마감)'!$D:$D,요약!$C45)</f>
        <v>1800217993</v>
      </c>
      <c r="L45" s="120">
        <f t="shared" si="105"/>
        <v>1.0689392931759238</v>
      </c>
      <c r="M45" s="91">
        <v>3384229112</v>
      </c>
      <c r="N45" s="155">
        <f t="shared" si="106"/>
        <v>-340312630</v>
      </c>
      <c r="O45" s="91">
        <v>500000000</v>
      </c>
      <c r="P45" s="155">
        <f t="shared" si="8"/>
        <v>340312630</v>
      </c>
      <c r="Q45" s="91">
        <f>SUMIFS('단체(당년)'!$Y:$Y,'단체(당년)'!$B:$B,요약!$A45,'단체(당년)'!$C:$C,요약!$B45,'단체(당년)'!$D:$D,요약!$C45)</f>
        <v>2574541742</v>
      </c>
      <c r="R45" s="91">
        <f>SUMIFS('단체(전년-동일자)'!$Y:$Y,'단체(전년-동일자)'!$B:$B,요약!$A45,'단체(전년-동일자)'!$C:$C,요약!$B45,'단체(전년-동일자)'!$D:$D,요약!$C45)</f>
        <v>1499537893</v>
      </c>
      <c r="S45" s="238">
        <f t="shared" si="107"/>
        <v>0.71689008595129922</v>
      </c>
      <c r="T45" s="241">
        <f>SUMIFS('단체(당년)'!$Y:$Y,'단체(당년)'!$B:$B,$A45,'단체(당년)'!$C:$C,$B45,'단체(당년)'!$D:$D,$C45,'단체(당년)'!$A:$A,T$1)</f>
        <v>455649478</v>
      </c>
      <c r="U45" s="241">
        <f>SUMIFS('단체(당년)'!$Y:$Y,'단체(당년)'!$B:$B,$A45,'단체(당년)'!$C:$C,$B45,'단체(당년)'!$D:$D,$C45,'단체(당년)'!$A:$A,U$1)</f>
        <v>854338564</v>
      </c>
      <c r="V45" s="241">
        <f>SUMIFS('단체(당년)'!$Y:$Y,'단체(당년)'!$B:$B,$A45,'단체(당년)'!$C:$C,$B45,'단체(당년)'!$D:$D,$C45,'단체(당년)'!$A:$A,V$1)</f>
        <v>424241070</v>
      </c>
      <c r="W45" s="241">
        <f>SUMIFS('단체(당년)'!$Y:$Y,'단체(당년)'!$B:$B,$A45,'단체(당년)'!$C:$C,$B45,'단체(당년)'!$D:$D,$C45,'단체(당년)'!$A:$A,W$1)</f>
        <v>840312630</v>
      </c>
      <c r="X45" s="276">
        <v>1150000000</v>
      </c>
      <c r="Z45" s="224">
        <v>230194795.35966015</v>
      </c>
      <c r="AA45" s="225">
        <v>858014212.03562284</v>
      </c>
      <c r="AB45" s="225">
        <v>720732836.63368857</v>
      </c>
      <c r="AC45" s="225">
        <v>585140532.07921195</v>
      </c>
      <c r="AD45" s="226">
        <v>443995264.56980038</v>
      </c>
      <c r="AE45" s="154">
        <f t="shared" si="109"/>
        <v>225454682.64033985</v>
      </c>
      <c r="AF45" s="155">
        <f t="shared" si="110"/>
        <v>-3675648.0356228352</v>
      </c>
      <c r="AG45" s="155">
        <f t="shared" si="111"/>
        <v>-296491766.63368857</v>
      </c>
      <c r="AH45" s="155">
        <f t="shared" si="112"/>
        <v>255172097.92078805</v>
      </c>
      <c r="AI45" s="156">
        <f t="shared" si="113"/>
        <v>706004735.43019962</v>
      </c>
      <c r="AJ45" s="139">
        <f t="shared" si="114"/>
        <v>0.97940825416180988</v>
      </c>
      <c r="AK45" s="120">
        <f t="shared" si="115"/>
        <v>-4.2839011103352753E-3</v>
      </c>
      <c r="AL45" s="120">
        <f t="shared" si="116"/>
        <v>-0.41137541064245986</v>
      </c>
      <c r="AM45" s="120">
        <f t="shared" si="117"/>
        <v>0.43608686107262318</v>
      </c>
      <c r="AN45" s="140">
        <f t="shared" si="118"/>
        <v>1.5901177146883936</v>
      </c>
      <c r="AU45" s="260">
        <f>SUMIFS('단체(당년)'!$Y:$Y,'단체(당년)'!$B:$B,$A45,'단체(당년)'!$C:$C,$B45,'단체(당년)'!$D:$D,$C45,'단체(당년)'!$A:$A,AU$1)</f>
        <v>0</v>
      </c>
    </row>
    <row r="46" spans="1:47" ht="14.25" customHeight="1" outlineLevel="1" x14ac:dyDescent="0.3">
      <c r="A46" s="1" t="str">
        <f>A45</f>
        <v>파트너채널팀</v>
      </c>
      <c r="B46" s="1" t="s">
        <v>59</v>
      </c>
      <c r="C46" s="1" t="s">
        <v>76</v>
      </c>
      <c r="E46" s="289"/>
      <c r="F46" s="8"/>
      <c r="G46" s="90" t="s">
        <v>59</v>
      </c>
      <c r="H46" s="124">
        <v>600000000</v>
      </c>
      <c r="I46" s="91">
        <f t="shared" si="103"/>
        <v>612470900</v>
      </c>
      <c r="J46" s="129">
        <f t="shared" si="104"/>
        <v>1.0207848333333334</v>
      </c>
      <c r="K46" s="91">
        <f>SUMIFS('RF(전년)'!$BG:$BG,'RF(전년)'!$B:$B,요약!$A46,'RF(전년)'!$D:$D,요약!$E$43,'RF(전년)'!$C:$C,요약!$C46)</f>
        <v>542248230</v>
      </c>
      <c r="L46" s="120">
        <f t="shared" si="105"/>
        <v>0.12950281091742788</v>
      </c>
      <c r="M46" s="91">
        <v>622952100</v>
      </c>
      <c r="N46" s="155">
        <f t="shared" si="106"/>
        <v>10481200</v>
      </c>
      <c r="O46" s="91">
        <v>20000000</v>
      </c>
      <c r="P46" s="155">
        <f t="shared" si="8"/>
        <v>-10481200</v>
      </c>
      <c r="Q46" s="91">
        <f ca="1">SUMIFS('RF(당년)'!$BF:$BF,'RF(당년)'!$B:$B,요약!$A46,'RF(당년)'!$C:$C,요약!$C46,'RF(당년)'!$D:$D,요약!$E$43)</f>
        <v>462470900</v>
      </c>
      <c r="R46" s="91">
        <f ca="1">SUMIFS('RF(전년)'!$BF:$BF,'RF(전년)'!$B:$B,요약!$A46,'RF(전년)'!$C:$C,요약!$C46,'RF(전년)'!$D:$D,요약!$E$43)</f>
        <v>396906830</v>
      </c>
      <c r="S46" s="238">
        <f t="shared" ca="1" si="107"/>
        <v>0.16518755799692331</v>
      </c>
      <c r="T46" s="241">
        <f>SUMIFS('RF(당년)'!AZ:AZ,'RF(당년)'!$B:$B,요약!$A46,'RF(당년)'!$C:$C,요약!$C46,'RF(당년)'!$D:$D,요약!$E$43)</f>
        <v>0</v>
      </c>
      <c r="U46" s="241">
        <f>SUMIFS('RF(당년)'!BA:BA,'RF(당년)'!$B:$B,요약!$A46,'RF(당년)'!$C:$C,요약!$C46,'RF(당년)'!$D:$D,요약!$E$43)</f>
        <v>307704400</v>
      </c>
      <c r="V46" s="241">
        <f>SUMIFS('RF(당년)'!BB:BB,'RF(당년)'!$B:$B,요약!$A46,'RF(당년)'!$C:$C,요약!$C46,'RF(당년)'!$D:$D,요약!$E$43)</f>
        <v>145247700</v>
      </c>
      <c r="W46" s="241">
        <f>SUMIFS('RF(당년)'!BC:BC,'RF(당년)'!$B:$B,요약!$A46,'RF(당년)'!$C:$C,요약!$C46,'RF(당년)'!$D:$D,요약!$E$43)</f>
        <v>9518800</v>
      </c>
      <c r="X46" s="276">
        <v>150000000</v>
      </c>
      <c r="Z46" s="103">
        <f>SUMIFS('RF(전년)'!AZ:AZ,'RF(전년)'!$B:$B,요약!$A46,'RF(전년)'!$C:$C,요약!$C46,'RF(전년)'!$D:$D,요약!$E$43)</f>
        <v>0</v>
      </c>
      <c r="AA46" s="104">
        <f>SUMIFS('RF(전년)'!BA:BA,'RF(전년)'!$B:$B,요약!$A46,'RF(전년)'!$C:$C,요약!$C46,'RF(전년)'!$D:$D,요약!$E$43)</f>
        <v>153562130</v>
      </c>
      <c r="AB46" s="104">
        <f>SUMIFS('RF(전년)'!BB:BB,'RF(전년)'!$B:$B,요약!$A46,'RF(전년)'!$C:$C,요약!$C46,'RF(전년)'!$D:$D,요약!$E$43)</f>
        <v>122483800</v>
      </c>
      <c r="AC46" s="104">
        <f>SUMIFS('RF(전년)'!BC:BC,'RF(전년)'!$B:$B,요약!$A46,'RF(전년)'!$C:$C,요약!$C46,'RF(전년)'!$D:$D,요약!$E$43)</f>
        <v>120860900</v>
      </c>
      <c r="AD46" s="108">
        <f>SUMIFS('RF(전년)'!BD:BD,'RF(전년)'!$B:$B,요약!$A46,'RF(전년)'!$C:$C,요약!$C46,'RF(전년)'!$D:$D,요약!$E$43)</f>
        <v>145341400</v>
      </c>
      <c r="AE46" s="154">
        <f t="shared" si="109"/>
        <v>0</v>
      </c>
      <c r="AF46" s="155">
        <f t="shared" si="110"/>
        <v>154142270</v>
      </c>
      <c r="AG46" s="155">
        <f t="shared" si="111"/>
        <v>22763900</v>
      </c>
      <c r="AH46" s="155">
        <f t="shared" si="112"/>
        <v>-111342100</v>
      </c>
      <c r="AI46" s="156">
        <f t="shared" si="113"/>
        <v>4658600</v>
      </c>
      <c r="AJ46" s="139" t="str">
        <f t="shared" si="114"/>
        <v/>
      </c>
      <c r="AK46" s="120">
        <f t="shared" si="115"/>
        <v>1.0037778845604706</v>
      </c>
      <c r="AL46" s="120">
        <f t="shared" si="116"/>
        <v>0.18585233312487048</v>
      </c>
      <c r="AM46" s="120">
        <f t="shared" si="117"/>
        <v>-0.92124169189539384</v>
      </c>
      <c r="AN46" s="140">
        <f t="shared" si="118"/>
        <v>3.205280807808375E-2</v>
      </c>
      <c r="AU46" s="260">
        <f ca="1">SUMIFS('RF(당년)'!CA:CA,'RF(당년)'!$B:$B,요약!$A46,'RF(당년)'!$C:$C,요약!$C46,'RF(당년)'!$D:$D,요약!$E$43)</f>
        <v>0</v>
      </c>
    </row>
    <row r="47" spans="1:47" ht="14.25" customHeight="1" x14ac:dyDescent="0.3">
      <c r="A47" s="1" t="s">
        <v>78</v>
      </c>
      <c r="C47" s="1" t="s">
        <v>70</v>
      </c>
      <c r="E47" s="289"/>
      <c r="F47" s="8"/>
      <c r="G47" s="179" t="s">
        <v>79</v>
      </c>
      <c r="H47" s="180">
        <f>SUM(H48:H50)</f>
        <v>2060000000</v>
      </c>
      <c r="I47" s="74">
        <f t="shared" si="103"/>
        <v>1877137548</v>
      </c>
      <c r="J47" s="127">
        <f t="shared" si="104"/>
        <v>0.91123181941747577</v>
      </c>
      <c r="K47" s="79">
        <f>SUM(K48:K50)</f>
        <v>1066197502</v>
      </c>
      <c r="L47" s="116">
        <f t="shared" si="105"/>
        <v>0.76059083282301665</v>
      </c>
      <c r="M47" s="74">
        <v>1920122590</v>
      </c>
      <c r="N47" s="149">
        <f t="shared" si="106"/>
        <v>42985042</v>
      </c>
      <c r="O47" s="74">
        <v>341600000</v>
      </c>
      <c r="P47" s="149">
        <f t="shared" si="8"/>
        <v>-42985042</v>
      </c>
      <c r="Q47" s="79">
        <f ca="1">SUM(Q48:Q50)</f>
        <v>1699537548</v>
      </c>
      <c r="R47" s="79">
        <f ca="1">SUM(R48:R50)</f>
        <v>892628960</v>
      </c>
      <c r="S47" s="230">
        <f t="shared" ca="1" si="107"/>
        <v>0.90396864112497544</v>
      </c>
      <c r="T47" s="214">
        <f>SUM(T48:T50)</f>
        <v>382443840</v>
      </c>
      <c r="U47" s="214">
        <f t="shared" ref="U47:V47" si="125">SUM(U48:U50)</f>
        <v>561995800</v>
      </c>
      <c r="V47" s="214">
        <f t="shared" si="125"/>
        <v>456482950</v>
      </c>
      <c r="W47" s="214">
        <f t="shared" ref="W47" si="126">SUM(W48:W50)</f>
        <v>298614958</v>
      </c>
      <c r="X47" s="280">
        <f>SUM(X48:X50)</f>
        <v>177600000</v>
      </c>
      <c r="Z47" s="94">
        <f>SUM(Z48:Z50)</f>
        <v>129064364.20170833</v>
      </c>
      <c r="AA47" s="95">
        <f>SUM(AA48:AA50)</f>
        <v>471650925.23634362</v>
      </c>
      <c r="AB47" s="95">
        <f>SUM(AB48:AB50)</f>
        <v>381653058.00134367</v>
      </c>
      <c r="AC47" s="95">
        <f>SUM(AC48:AC50)</f>
        <v>559572628.45929205</v>
      </c>
      <c r="AD47" s="106">
        <f>SUM(AD48:AD50)</f>
        <v>365242553.8749826</v>
      </c>
      <c r="AE47" s="148">
        <f t="shared" si="109"/>
        <v>253379475.79829168</v>
      </c>
      <c r="AF47" s="149">
        <f t="shared" si="110"/>
        <v>90344874.763656378</v>
      </c>
      <c r="AG47" s="149">
        <f t="shared" si="111"/>
        <v>74829891.998656332</v>
      </c>
      <c r="AH47" s="149">
        <f t="shared" si="112"/>
        <v>-260957670.45929205</v>
      </c>
      <c r="AI47" s="150">
        <f t="shared" si="113"/>
        <v>-187642553.8749826</v>
      </c>
      <c r="AJ47" s="135">
        <f t="shared" si="114"/>
        <v>1.9632024483713986</v>
      </c>
      <c r="AK47" s="116">
        <f t="shared" si="115"/>
        <v>0.19155029690312753</v>
      </c>
      <c r="AL47" s="116">
        <f t="shared" si="116"/>
        <v>0.19606784337201066</v>
      </c>
      <c r="AM47" s="116">
        <f t="shared" si="117"/>
        <v>-0.4663517427180166</v>
      </c>
      <c r="AN47" s="136">
        <f t="shared" si="118"/>
        <v>-0.51374778728332404</v>
      </c>
      <c r="AU47" s="264">
        <f ca="1">SUM(AU48:AU50)</f>
        <v>0</v>
      </c>
    </row>
    <row r="48" spans="1:47" ht="14.25" customHeight="1" outlineLevel="1" x14ac:dyDescent="0.3">
      <c r="A48" s="1" t="str">
        <f>A47</f>
        <v>리테일채널팀</v>
      </c>
      <c r="B48" s="1" t="s">
        <v>53</v>
      </c>
      <c r="C48" s="1" t="s">
        <v>70</v>
      </c>
      <c r="E48" s="289"/>
      <c r="F48" s="8"/>
      <c r="G48" s="90" t="s">
        <v>53</v>
      </c>
      <c r="H48" s="124">
        <v>1700000000</v>
      </c>
      <c r="I48" s="91">
        <f t="shared" si="103"/>
        <v>1583048908</v>
      </c>
      <c r="J48" s="129">
        <f t="shared" si="104"/>
        <v>0.93120524000000005</v>
      </c>
      <c r="K48" s="91">
        <f>SUMIFS('단체(전년마감)'!$Y:$Y,'단체(전년마감)'!$B:$B,요약!$A48,'단체(전년마감)'!$C:$C,요약!$B48,'단체(전년마감)'!$D:$D,요약!$C48)</f>
        <v>828403982</v>
      </c>
      <c r="L48" s="120">
        <f t="shared" si="105"/>
        <v>0.9109624559964995</v>
      </c>
      <c r="M48" s="91">
        <v>1606207550</v>
      </c>
      <c r="N48" s="155">
        <f t="shared" si="106"/>
        <v>23158642</v>
      </c>
      <c r="O48" s="91">
        <v>265500000</v>
      </c>
      <c r="P48" s="155">
        <f t="shared" si="8"/>
        <v>-23158642</v>
      </c>
      <c r="Q48" s="91">
        <f>SUMIFS('단체(당년)'!$Y:$Y,'단체(당년)'!$B:$B,요약!$A48,'단체(당년)'!$C:$C,요약!$B48,'단체(당년)'!$D:$D,요약!$C48)</f>
        <v>1481548908</v>
      </c>
      <c r="R48" s="91">
        <f>SUMIFS('단체(전년-동일자)'!$Y:$Y,'단체(전년-동일자)'!$B:$B,요약!$A48,'단체(전년-동일자)'!$C:$C,요약!$B48,'단체(전년-동일자)'!$D:$D,요약!$C48)</f>
        <v>694750560</v>
      </c>
      <c r="S48" s="238">
        <f t="shared" si="107"/>
        <v>1.1324904120984085</v>
      </c>
      <c r="T48" s="242">
        <f>SUMIFS('단체(당년)'!$Y:$Y,'단체(당년)'!$B:$B,$A48,'단체(당년)'!$C:$C,$B48,'단체(당년)'!$D:$D,$C48,'단체(당년)'!$A:$A,T$1)</f>
        <v>333096000</v>
      </c>
      <c r="U48" s="242">
        <f>SUMIFS('단체(당년)'!$Y:$Y,'단체(당년)'!$B:$B,$A48,'단체(당년)'!$C:$C,$B48,'단체(당년)'!$D:$D,$C48,'단체(당년)'!$A:$A,U$1)</f>
        <v>502147800</v>
      </c>
      <c r="V48" s="242">
        <f>SUMIFS('단체(당년)'!$Y:$Y,'단체(당년)'!$B:$B,$A48,'단체(당년)'!$C:$C,$B48,'단체(당년)'!$D:$D,$C48,'단체(당년)'!$A:$A,V$1)</f>
        <v>403963750</v>
      </c>
      <c r="W48" s="242">
        <f>SUMIFS('단체(당년)'!$Y:$Y,'단체(당년)'!$B:$B,$A48,'단체(당년)'!$C:$C,$B48,'단체(당년)'!$D:$D,$C48,'단체(당년)'!$A:$A,W$1)</f>
        <v>242341358</v>
      </c>
      <c r="X48" s="281">
        <v>101500000</v>
      </c>
      <c r="Z48" s="224">
        <v>101585964.20170833</v>
      </c>
      <c r="AA48" s="225">
        <v>409426925.23634362</v>
      </c>
      <c r="AB48" s="225">
        <v>339968258.00134367</v>
      </c>
      <c r="AC48" s="225">
        <v>493664628.45929205</v>
      </c>
      <c r="AD48" s="226">
        <v>315182713.8749826</v>
      </c>
      <c r="AE48" s="154">
        <f t="shared" si="109"/>
        <v>231510035.79829168</v>
      </c>
      <c r="AF48" s="155">
        <f t="shared" si="110"/>
        <v>92720874.763656378</v>
      </c>
      <c r="AG48" s="155">
        <f t="shared" si="111"/>
        <v>63995491.998656332</v>
      </c>
      <c r="AH48" s="155">
        <f t="shared" si="112"/>
        <v>-251323270.45929205</v>
      </c>
      <c r="AI48" s="156">
        <f t="shared" si="113"/>
        <v>-213682713.8749826</v>
      </c>
      <c r="AJ48" s="139">
        <f t="shared" si="114"/>
        <v>2.2789569171052713</v>
      </c>
      <c r="AK48" s="120">
        <f t="shared" si="115"/>
        <v>0.22646501499659011</v>
      </c>
      <c r="AL48" s="120">
        <f t="shared" si="116"/>
        <v>0.18823960911787063</v>
      </c>
      <c r="AM48" s="120">
        <f t="shared" si="117"/>
        <v>-0.50909718049612374</v>
      </c>
      <c r="AN48" s="140">
        <f t="shared" si="118"/>
        <v>-0.67796457251059761</v>
      </c>
      <c r="AU48" s="265">
        <f>SUMIFS('단체(당년)'!$Y:$Y,'단체(당년)'!$B:$B,$A48,'단체(당년)'!$C:$C,$B48,'단체(당년)'!$D:$D,$C48,'단체(당년)'!$A:$A,AU$1)</f>
        <v>0</v>
      </c>
    </row>
    <row r="49" spans="1:47" ht="14.25" customHeight="1" outlineLevel="1" x14ac:dyDescent="0.3">
      <c r="A49" s="1" t="str">
        <f>A48</f>
        <v>리테일채널팀</v>
      </c>
      <c r="B49" s="1" t="s">
        <v>59</v>
      </c>
      <c r="C49" s="1" t="s">
        <v>70</v>
      </c>
      <c r="E49" s="289"/>
      <c r="F49" s="8"/>
      <c r="G49" s="90" t="s">
        <v>59</v>
      </c>
      <c r="H49" s="124">
        <v>360000000</v>
      </c>
      <c r="I49" s="91">
        <f t="shared" si="103"/>
        <v>294088640</v>
      </c>
      <c r="J49" s="129">
        <f t="shared" si="104"/>
        <v>0.81691288888888891</v>
      </c>
      <c r="K49" s="91">
        <f>SUMIFS('RF(전년)'!$BG:$BG,'RF(전년)'!$B:$B,요약!$A49,'RF(전년)'!$D:$D,요약!$E$43,'RF(전년)'!$C:$C,요약!$C49)</f>
        <v>237793520</v>
      </c>
      <c r="L49" s="120">
        <f t="shared" si="105"/>
        <v>0.23673950408741162</v>
      </c>
      <c r="M49" s="91">
        <v>313915040</v>
      </c>
      <c r="N49" s="155">
        <f t="shared" si="106"/>
        <v>19826400</v>
      </c>
      <c r="O49" s="91">
        <v>76100000</v>
      </c>
      <c r="P49" s="155">
        <f t="shared" si="8"/>
        <v>-19826400</v>
      </c>
      <c r="Q49" s="91">
        <f ca="1">SUMIFS('RF(당년)'!$BF:$BF,'RF(당년)'!$B:$B,요약!$A49,'RF(당년)'!$C:$C,요약!$C49,'RF(당년)'!$D:$D,요약!$E$43)</f>
        <v>217988640</v>
      </c>
      <c r="R49" s="91">
        <f ca="1">SUMIFS('RF(전년)'!$BF:$BF,'RF(전년)'!$B:$B,요약!$A49,'RF(전년)'!$C:$C,요약!$C49,'RF(전년)'!$D:$D,요약!$E$43)</f>
        <v>197878400</v>
      </c>
      <c r="S49" s="238">
        <f t="shared" ca="1" si="107"/>
        <v>0.10162928343871802</v>
      </c>
      <c r="T49" s="242">
        <f>SUMIFS('RF(당년)'!AZ:AZ,'RF(당년)'!$B:$B,요약!$A49,'RF(당년)'!$C:$C,요약!$C49,'RF(당년)'!$D:$D,요약!$E$43)</f>
        <v>49347840</v>
      </c>
      <c r="U49" s="242">
        <f>SUMIFS('RF(당년)'!BA:BA,'RF(당년)'!$B:$B,요약!$A49,'RF(당년)'!$C:$C,요약!$C49,'RF(당년)'!$D:$D,요약!$E$43)</f>
        <v>59848000</v>
      </c>
      <c r="V49" s="242">
        <f>SUMIFS('RF(당년)'!BB:BB,'RF(당년)'!$B:$B,요약!$A49,'RF(당년)'!$C:$C,요약!$C49,'RF(당년)'!$D:$D,요약!$E$43)</f>
        <v>52519200</v>
      </c>
      <c r="W49" s="242">
        <f>SUMIFS('RF(당년)'!BC:BC,'RF(당년)'!$B:$B,요약!$A49,'RF(당년)'!$C:$C,요약!$C49,'RF(당년)'!$D:$D,요약!$E$43)</f>
        <v>56273600</v>
      </c>
      <c r="X49" s="281">
        <v>76100000</v>
      </c>
      <c r="Z49" s="103">
        <f>SUMIFS('RF(전년)'!AZ:AZ,'RF(전년)'!$B:$B,요약!$A49,'RF(전년)'!$C:$C,요약!$C49,'RF(전년)'!$D:$D,요약!$E$43)</f>
        <v>27478400</v>
      </c>
      <c r="AA49" s="104">
        <f>SUMIFS('RF(전년)'!BA:BA,'RF(전년)'!$B:$B,요약!$A49,'RF(전년)'!$C:$C,요약!$C49,'RF(전년)'!$D:$D,요약!$E$43)</f>
        <v>62224000</v>
      </c>
      <c r="AB49" s="104">
        <f>SUMIFS('RF(전년)'!BB:BB,'RF(전년)'!$B:$B,요약!$A49,'RF(전년)'!$C:$C,요약!$C49,'RF(전년)'!$D:$D,요약!$E$43)</f>
        <v>41684800</v>
      </c>
      <c r="AC49" s="104">
        <f>SUMIFS('RF(전년)'!BC:BC,'RF(전년)'!$B:$B,요약!$A49,'RF(전년)'!$C:$C,요약!$C49,'RF(전년)'!$D:$D,요약!$E$43)</f>
        <v>65908000</v>
      </c>
      <c r="AD49" s="108">
        <f>SUMIFS('RF(전년)'!BD:BD,'RF(전년)'!$B:$B,요약!$A49,'RF(전년)'!$C:$C,요약!$C49,'RF(전년)'!$D:$D,요약!$E$43)</f>
        <v>50059840</v>
      </c>
      <c r="AE49" s="154">
        <f t="shared" si="109"/>
        <v>21869440</v>
      </c>
      <c r="AF49" s="155">
        <f t="shared" si="110"/>
        <v>-2376000</v>
      </c>
      <c r="AG49" s="155">
        <f t="shared" si="111"/>
        <v>10834400</v>
      </c>
      <c r="AH49" s="155">
        <f t="shared" si="112"/>
        <v>-9634400</v>
      </c>
      <c r="AI49" s="156">
        <f t="shared" si="113"/>
        <v>26040160</v>
      </c>
      <c r="AJ49" s="139">
        <f t="shared" si="114"/>
        <v>0.79587748922790258</v>
      </c>
      <c r="AK49" s="120">
        <f t="shared" si="115"/>
        <v>-3.8184623296477205E-2</v>
      </c>
      <c r="AL49" s="120">
        <f t="shared" si="116"/>
        <v>0.25991248608605533</v>
      </c>
      <c r="AM49" s="120">
        <f t="shared" si="117"/>
        <v>-0.14617952297141468</v>
      </c>
      <c r="AN49" s="140">
        <f t="shared" si="118"/>
        <v>0.52018064780071205</v>
      </c>
      <c r="AU49" s="265">
        <f ca="1">SUMIFS('RF(당년)'!CA:CA,'RF(당년)'!$B:$B,요약!$A49,'RF(당년)'!$C:$C,요약!$C49,'RF(당년)'!$D:$D,요약!$E$43)</f>
        <v>0</v>
      </c>
    </row>
    <row r="50" spans="1:47" ht="14.25" customHeight="1" outlineLevel="1" x14ac:dyDescent="0.3">
      <c r="A50" s="1" t="str">
        <f>A49</f>
        <v>리테일채널팀</v>
      </c>
      <c r="B50" s="1" t="s">
        <v>53</v>
      </c>
      <c r="C50" s="1" t="s">
        <v>73</v>
      </c>
      <c r="E50" s="289"/>
      <c r="F50" s="41"/>
      <c r="G50" s="110" t="s">
        <v>81</v>
      </c>
      <c r="H50" s="74">
        <v>0</v>
      </c>
      <c r="I50" s="111">
        <f t="shared" si="103"/>
        <v>0</v>
      </c>
      <c r="J50" s="131" t="str">
        <f>IFERROR(I50/$H50,"")</f>
        <v/>
      </c>
      <c r="K50" s="111">
        <f>SUMIFS('단체(전년마감)'!$Y:$Y,'단체(전년마감)'!$B:$B,요약!$A50,'단체(전년마감)'!$C:$C,요약!$B50,'단체(전년마감)'!$D:$D,요약!$C50)</f>
        <v>0</v>
      </c>
      <c r="L50" s="122" t="str">
        <f>IFERROR(I50/K50-1,"")</f>
        <v/>
      </c>
      <c r="M50" s="111">
        <v>0</v>
      </c>
      <c r="N50" s="161"/>
      <c r="O50" s="111"/>
      <c r="P50" s="161">
        <f t="shared" si="8"/>
        <v>0</v>
      </c>
      <c r="Q50" s="111">
        <f>SUMIFS('단체(당년)'!$Y:$Y,'단체(당년)'!$B:$B,요약!$A50,'단체(당년)'!$C:$C,요약!$B50,'단체(당년)'!$D:$D,요약!$C50)</f>
        <v>0</v>
      </c>
      <c r="R50" s="111">
        <f>SUMIFS('단체(전년-동일자)'!$Y:$Y,'단체(전년-동일자)'!$B:$B,요약!$A50,'단체(전년-동일자)'!$C:$C,요약!$B50,'단체(전년-동일자)'!$D:$D,요약!$C50)</f>
        <v>0</v>
      </c>
      <c r="S50" s="239" t="str">
        <f>IFERROR(Q50/R50-1,"")</f>
        <v/>
      </c>
      <c r="T50" s="255">
        <f>SUMIFS('단체(당년)'!$Y:$Y,'단체(당년)'!$B:$B,$A50,'단체(당년)'!$C:$C,$B50,'단체(당년)'!$D:$D,$C50,'단체(당년)'!$A:$A,T$1)</f>
        <v>0</v>
      </c>
      <c r="U50" s="255">
        <f>SUMIFS('단체(당년)'!$Y:$Y,'단체(당년)'!$B:$B,$A50,'단체(당년)'!$C:$C,$B50,'단체(당년)'!$D:$D,$C50,'단체(당년)'!$A:$A,U$1)</f>
        <v>0</v>
      </c>
      <c r="V50" s="255">
        <f>SUMIFS('단체(당년)'!$Y:$Y,'단체(당년)'!$B:$B,$A50,'단체(당년)'!$C:$C,$B50,'단체(당년)'!$D:$D,$C50,'단체(당년)'!$A:$A,V$1)</f>
        <v>0</v>
      </c>
      <c r="W50" s="255">
        <f>SUMIFS('단체(당년)'!$Y:$Y,'단체(당년)'!$B:$B,$A50,'단체(당년)'!$C:$C,$B50,'단체(당년)'!$D:$D,$C50,'단체(당년)'!$A:$A,W$1)</f>
        <v>0</v>
      </c>
      <c r="X50" s="285"/>
      <c r="Z50" s="112">
        <f>SUMIFS('단체(전년)'!$Y:$Y,'단체(전년)'!$B:$B,$A50,'단체(전년)'!$C:$C,$B50,'단체(전년)'!$D:$D,$C50,'단체(전년)'!$A:$A,T$1)</f>
        <v>0</v>
      </c>
      <c r="AA50" s="113">
        <f>SUMIFS('단체(전년)'!$Y:$Y,'단체(전년)'!$B:$B,$A50,'단체(전년)'!$C:$C,$B50,'단체(전년)'!$D:$D,$C50,'단체(전년)'!$A:$A,U$1)</f>
        <v>0</v>
      </c>
      <c r="AB50" s="113">
        <f>SUMIFS('단체(전년)'!$Y:$Y,'단체(전년)'!$B:$B,$A50,'단체(전년)'!$C:$C,$B50,'단체(전년)'!$D:$D,$C50,'단체(전년)'!$A:$A,V$1)</f>
        <v>0</v>
      </c>
      <c r="AC50" s="113">
        <f>SUMIFS('단체(전년)'!$Y:$Y,'단체(전년)'!$B:$B,$A50,'단체(전년)'!$C:$C,$B50,'단체(전년)'!$D:$D,$C50,'단체(전년)'!$A:$A,W$1)</f>
        <v>0</v>
      </c>
      <c r="AD50" s="114">
        <f>SUMIFS('단체(전년)'!$Y:$Y,'단체(전년)'!$B:$B,$A50,'단체(전년)'!$C:$C,$B50,'단체(전년)'!$D:$D,$C50,'단체(전년)'!$A:$A,X$1)</f>
        <v>0</v>
      </c>
      <c r="AE50" s="160">
        <f t="shared" si="109"/>
        <v>0</v>
      </c>
      <c r="AF50" s="161">
        <f t="shared" si="110"/>
        <v>0</v>
      </c>
      <c r="AG50" s="161">
        <f t="shared" si="111"/>
        <v>0</v>
      </c>
      <c r="AH50" s="161">
        <f t="shared" si="112"/>
        <v>0</v>
      </c>
      <c r="AI50" s="162">
        <f t="shared" si="113"/>
        <v>0</v>
      </c>
      <c r="AJ50" s="143" t="str">
        <f t="shared" si="114"/>
        <v/>
      </c>
      <c r="AK50" s="122" t="str">
        <f t="shared" si="115"/>
        <v/>
      </c>
      <c r="AL50" s="122" t="str">
        <f t="shared" si="116"/>
        <v/>
      </c>
      <c r="AM50" s="122" t="str">
        <f t="shared" si="117"/>
        <v/>
      </c>
      <c r="AN50" s="144" t="str">
        <f t="shared" si="118"/>
        <v/>
      </c>
      <c r="AU50" s="269">
        <f>SUMIFS('단체(당년)'!$Y:$Y,'단체(당년)'!$B:$B,$A50,'단체(당년)'!$C:$C,$B50,'단체(당년)'!$D:$D,$C50,'단체(당년)'!$A:$A,AU$1)</f>
        <v>0</v>
      </c>
    </row>
    <row r="51" spans="1:47" ht="14.25" customHeight="1" x14ac:dyDescent="0.3">
      <c r="A51" s="1" t="s">
        <v>78</v>
      </c>
      <c r="C51" s="1" t="s">
        <v>71</v>
      </c>
      <c r="E51" s="289"/>
      <c r="F51" s="41"/>
      <c r="G51" s="181" t="s">
        <v>71</v>
      </c>
      <c r="H51" s="180">
        <f>SUM(H52:H53)</f>
        <v>373650000</v>
      </c>
      <c r="I51" s="79">
        <f t="shared" si="103"/>
        <v>256409500</v>
      </c>
      <c r="J51" s="130">
        <f t="shared" si="104"/>
        <v>0.6862290913956911</v>
      </c>
      <c r="K51" s="79">
        <f>SUM(K52:K53)</f>
        <v>343981400</v>
      </c>
      <c r="L51" s="121">
        <f t="shared" si="105"/>
        <v>-0.25458324200087568</v>
      </c>
      <c r="M51" s="79">
        <v>403000500</v>
      </c>
      <c r="N51" s="158">
        <f t="shared" si="106"/>
        <v>146591000</v>
      </c>
      <c r="O51" s="79">
        <v>146591000</v>
      </c>
      <c r="P51" s="158">
        <f t="shared" si="8"/>
        <v>-146591000</v>
      </c>
      <c r="Q51" s="79">
        <f t="shared" ref="Q51" ca="1" si="127">SUM(Q52:Q53)</f>
        <v>128908500</v>
      </c>
      <c r="R51" s="79">
        <f t="shared" ref="R51" ca="1" si="128">SUM(R52:R53)</f>
        <v>293858600</v>
      </c>
      <c r="S51" s="231">
        <f t="shared" ca="1" si="107"/>
        <v>-0.56132473237128333</v>
      </c>
      <c r="T51" s="214">
        <f>SUM(T52:T53)</f>
        <v>77281050</v>
      </c>
      <c r="U51" s="214">
        <f t="shared" ref="U51:V51" si="129">SUM(U52:U53)</f>
        <v>26100340</v>
      </c>
      <c r="V51" s="214">
        <f t="shared" si="129"/>
        <v>25527110</v>
      </c>
      <c r="W51" s="214">
        <f t="shared" ref="W51" si="130">SUM(W52:W53)</f>
        <v>0</v>
      </c>
      <c r="X51" s="280">
        <f>SUM(X52:X53)</f>
        <v>127501000</v>
      </c>
      <c r="Z51" s="100">
        <f t="shared" ref="Z51:AD51" si="131">SUM(Z52:Z53)</f>
        <v>0</v>
      </c>
      <c r="AA51" s="101">
        <f t="shared" si="131"/>
        <v>81527600</v>
      </c>
      <c r="AB51" s="101">
        <f t="shared" si="131"/>
        <v>136989300</v>
      </c>
      <c r="AC51" s="101">
        <f t="shared" si="131"/>
        <v>68813500</v>
      </c>
      <c r="AD51" s="109">
        <f t="shared" si="131"/>
        <v>56602000</v>
      </c>
      <c r="AE51" s="157">
        <f t="shared" si="109"/>
        <v>77281050</v>
      </c>
      <c r="AF51" s="158">
        <f t="shared" si="110"/>
        <v>-55427260</v>
      </c>
      <c r="AG51" s="158">
        <f t="shared" si="111"/>
        <v>-111462190</v>
      </c>
      <c r="AH51" s="158">
        <f t="shared" si="112"/>
        <v>-68813500</v>
      </c>
      <c r="AI51" s="159">
        <f t="shared" si="113"/>
        <v>70899000</v>
      </c>
      <c r="AJ51" s="141" t="str">
        <f t="shared" si="114"/>
        <v/>
      </c>
      <c r="AK51" s="121">
        <f t="shared" si="115"/>
        <v>-0.6798588453480785</v>
      </c>
      <c r="AL51" s="121">
        <f t="shared" si="116"/>
        <v>-0.81365617606630591</v>
      </c>
      <c r="AM51" s="121">
        <f t="shared" si="117"/>
        <v>-1</v>
      </c>
      <c r="AN51" s="142">
        <f t="shared" si="118"/>
        <v>1.2525882477650967</v>
      </c>
      <c r="AU51" s="264">
        <f ca="1">SUM(AU52:AU53)</f>
        <v>0</v>
      </c>
    </row>
    <row r="52" spans="1:47" ht="14.25" customHeight="1" outlineLevel="1" x14ac:dyDescent="0.3">
      <c r="A52" s="1" t="str">
        <f>A51</f>
        <v>리테일채널팀</v>
      </c>
      <c r="B52" s="1" t="s">
        <v>53</v>
      </c>
      <c r="C52" s="1" t="s">
        <v>71</v>
      </c>
      <c r="E52" s="289"/>
      <c r="F52" s="8"/>
      <c r="G52" s="90" t="s">
        <v>53</v>
      </c>
      <c r="H52" s="74">
        <v>0</v>
      </c>
      <c r="I52" s="91">
        <f t="shared" si="103"/>
        <v>0</v>
      </c>
      <c r="J52" s="129" t="str">
        <f t="shared" si="104"/>
        <v/>
      </c>
      <c r="K52" s="91">
        <f>SUMIFS('단체(전년마감)'!$Y:$Y,'단체(전년마감)'!$B:$B,요약!$A52,'단체(전년마감)'!$C:$C,요약!$B52,'단체(전년마감)'!$D:$D,요약!$C52)</f>
        <v>0</v>
      </c>
      <c r="L52" s="120" t="str">
        <f t="shared" si="105"/>
        <v/>
      </c>
      <c r="M52" s="91">
        <v>0</v>
      </c>
      <c r="N52" s="155">
        <f t="shared" si="106"/>
        <v>0</v>
      </c>
      <c r="O52" s="91">
        <v>0</v>
      </c>
      <c r="P52" s="155">
        <f t="shared" si="8"/>
        <v>0</v>
      </c>
      <c r="Q52" s="91">
        <f>SUMIFS('단체(당년)'!$Y:$Y,'단체(당년)'!$B:$B,요약!$A52,'단체(당년)'!$C:$C,요약!$B52,'단체(당년)'!$D:$D,요약!$C52)</f>
        <v>0</v>
      </c>
      <c r="R52" s="91">
        <f>SUMIFS('단체(전년-동일자)'!$Y:$Y,'단체(전년-동일자)'!$B:$B,요약!$A52,'단체(전년-동일자)'!$C:$C,요약!$B52,'단체(전년-동일자)'!$D:$D,요약!$C52)</f>
        <v>0</v>
      </c>
      <c r="S52" s="238" t="str">
        <f t="shared" si="107"/>
        <v/>
      </c>
      <c r="T52" s="241">
        <f>SUMIFS('단체(당년)'!$Y:$Y,'단체(당년)'!$B:$B,$A52,'단체(당년)'!$C:$C,$B52,'단체(당년)'!$D:$D,$C52,'단체(당년)'!$A:$A,T$1)</f>
        <v>0</v>
      </c>
      <c r="U52" s="241">
        <f>SUMIFS('단체(당년)'!$Y:$Y,'단체(당년)'!$B:$B,$A52,'단체(당년)'!$C:$C,$B52,'단체(당년)'!$D:$D,$C52,'단체(당년)'!$A:$A,U$1)</f>
        <v>0</v>
      </c>
      <c r="V52" s="241">
        <f>SUMIFS('단체(당년)'!$Y:$Y,'단체(당년)'!$B:$B,$A52,'단체(당년)'!$C:$C,$B52,'단체(당년)'!$D:$D,$C52,'단체(당년)'!$A:$A,V$1)</f>
        <v>0</v>
      </c>
      <c r="W52" s="241">
        <f>SUMIFS('단체(당년)'!$Y:$Y,'단체(당년)'!$B:$B,$A52,'단체(당년)'!$C:$C,$B52,'단체(당년)'!$D:$D,$C52,'단체(당년)'!$A:$A,W$1)</f>
        <v>0</v>
      </c>
      <c r="X52" s="276">
        <v>0</v>
      </c>
      <c r="Z52" s="103">
        <f>SUMIFS('단체(전년)'!$Y:$Y,'단체(전년)'!$B:$B,$A52,'단체(전년)'!$C:$C,$B52,'단체(전년)'!$D:$D,$C52,'단체(전년)'!$A:$A,T$1)</f>
        <v>0</v>
      </c>
      <c r="AA52" s="104">
        <f>SUMIFS('단체(전년)'!$Y:$Y,'단체(전년)'!$B:$B,$A52,'단체(전년)'!$C:$C,$B52,'단체(전년)'!$D:$D,$C52,'단체(전년)'!$A:$A,U$1)</f>
        <v>0</v>
      </c>
      <c r="AB52" s="104">
        <f>SUMIFS('단체(전년)'!$Y:$Y,'단체(전년)'!$B:$B,$A52,'단체(전년)'!$C:$C,$B52,'단체(전년)'!$D:$D,$C52,'단체(전년)'!$A:$A,V$1)</f>
        <v>0</v>
      </c>
      <c r="AC52" s="104">
        <f>SUMIFS('단체(전년)'!$Y:$Y,'단체(전년)'!$B:$B,$A52,'단체(전년)'!$C:$C,$B52,'단체(전년)'!$D:$D,$C52,'단체(전년)'!$A:$A,W$1)</f>
        <v>0</v>
      </c>
      <c r="AD52" s="108">
        <f>SUMIFS('단체(전년)'!$Y:$Y,'단체(전년)'!$B:$B,$A52,'단체(전년)'!$C:$C,$B52,'단체(전년)'!$D:$D,$C52,'단체(전년)'!$A:$A,X$1)</f>
        <v>0</v>
      </c>
      <c r="AE52" s="154">
        <f t="shared" si="109"/>
        <v>0</v>
      </c>
      <c r="AF52" s="155">
        <f t="shared" si="110"/>
        <v>0</v>
      </c>
      <c r="AG52" s="155">
        <f t="shared" si="111"/>
        <v>0</v>
      </c>
      <c r="AH52" s="155">
        <f t="shared" si="112"/>
        <v>0</v>
      </c>
      <c r="AI52" s="156">
        <f t="shared" si="113"/>
        <v>0</v>
      </c>
      <c r="AJ52" s="139" t="str">
        <f t="shared" si="114"/>
        <v/>
      </c>
      <c r="AK52" s="120" t="str">
        <f t="shared" si="115"/>
        <v/>
      </c>
      <c r="AL52" s="120" t="str">
        <f t="shared" si="116"/>
        <v/>
      </c>
      <c r="AM52" s="120" t="str">
        <f t="shared" si="117"/>
        <v/>
      </c>
      <c r="AN52" s="140" t="str">
        <f t="shared" si="118"/>
        <v/>
      </c>
      <c r="AU52" s="260">
        <f>SUMIFS('단체(당년)'!$Y:$Y,'단체(당년)'!$B:$B,$A52,'단체(당년)'!$C:$C,$B52,'단체(당년)'!$D:$D,$C52,'단체(당년)'!$A:$A,AU$1)</f>
        <v>0</v>
      </c>
    </row>
    <row r="53" spans="1:47" ht="14.25" customHeight="1" outlineLevel="1" x14ac:dyDescent="0.3">
      <c r="A53" s="1" t="str">
        <f>A52</f>
        <v>리테일채널팀</v>
      </c>
      <c r="B53" s="1" t="s">
        <v>59</v>
      </c>
      <c r="C53" s="1" t="s">
        <v>71</v>
      </c>
      <c r="E53" s="289"/>
      <c r="F53" s="41"/>
      <c r="G53" s="110" t="s">
        <v>59</v>
      </c>
      <c r="H53" s="125">
        <v>373650000</v>
      </c>
      <c r="I53" s="111">
        <f t="shared" si="103"/>
        <v>256409500</v>
      </c>
      <c r="J53" s="131">
        <f t="shared" si="104"/>
        <v>0.6862290913956911</v>
      </c>
      <c r="K53" s="111">
        <f>SUMIFS('RF(전년)'!$BG:$BG,'RF(전년)'!$B:$B,요약!$A53,'RF(전년)'!$D:$D,요약!$E$43,'RF(전년)'!$C:$C,요약!$C53)</f>
        <v>343981400</v>
      </c>
      <c r="L53" s="122">
        <f t="shared" si="105"/>
        <v>-0.25458324200087568</v>
      </c>
      <c r="M53" s="111">
        <v>403000500</v>
      </c>
      <c r="N53" s="161">
        <f t="shared" si="106"/>
        <v>146591000</v>
      </c>
      <c r="O53" s="111">
        <v>146591000</v>
      </c>
      <c r="P53" s="161">
        <f t="shared" si="8"/>
        <v>-146591000</v>
      </c>
      <c r="Q53" s="91">
        <f ca="1">SUMIFS('RF(당년)'!$BF:$BF,'RF(당년)'!$B:$B,요약!$A53,'RF(당년)'!$C:$C,요약!$C53,'RF(당년)'!$D:$D,요약!$E$43)</f>
        <v>128908500</v>
      </c>
      <c r="R53" s="91">
        <f ca="1">SUMIFS('RF(전년)'!$BF:$BF,'RF(전년)'!$B:$B,요약!$A53,'RF(전년)'!$C:$C,요약!$C53,'RF(전년)'!$D:$D,요약!$E$43)</f>
        <v>293858600</v>
      </c>
      <c r="S53" s="239">
        <f t="shared" ca="1" si="107"/>
        <v>-0.56132473237128333</v>
      </c>
      <c r="T53" s="241">
        <f>SUMIFS('RF(당년)'!AZ:AZ,'RF(당년)'!$B:$B,요약!$A53,'RF(당년)'!$C:$C,요약!$C53,'RF(당년)'!$D:$D,요약!$E$43)</f>
        <v>77281050</v>
      </c>
      <c r="U53" s="241">
        <f>SUMIFS('RF(당년)'!BA:BA,'RF(당년)'!$B:$B,요약!$A53,'RF(당년)'!$C:$C,요약!$C53,'RF(당년)'!$D:$D,요약!$E$43)</f>
        <v>26100340</v>
      </c>
      <c r="V53" s="241">
        <f>SUMIFS('RF(당년)'!BB:BB,'RF(당년)'!$B:$B,요약!$A53,'RF(당년)'!$C:$C,요약!$C53,'RF(당년)'!$D:$D,요약!$E$43)</f>
        <v>25527110</v>
      </c>
      <c r="W53" s="241">
        <f>SUMIFS('RF(당년)'!BC:BC,'RF(당년)'!$B:$B,요약!$A53,'RF(당년)'!$C:$C,요약!$C53,'RF(당년)'!$D:$D,요약!$E$43)</f>
        <v>0</v>
      </c>
      <c r="X53" s="276">
        <v>127501000</v>
      </c>
      <c r="Z53" s="112">
        <f>SUMIFS('RF(전년)'!AZ:AZ,'RF(전년)'!$B:$B,요약!$A53,'RF(전년)'!$C:$C,요약!$C53,'RF(전년)'!$D:$D,요약!$E$43)</f>
        <v>0</v>
      </c>
      <c r="AA53" s="113">
        <f>SUMIFS('RF(전년)'!BA:BA,'RF(전년)'!$B:$B,요약!$A53,'RF(전년)'!$C:$C,요약!$C53,'RF(전년)'!$D:$D,요약!$E$43)</f>
        <v>81527600</v>
      </c>
      <c r="AB53" s="113">
        <f>SUMIFS('RF(전년)'!BB:BB,'RF(전년)'!$B:$B,요약!$A53,'RF(전년)'!$C:$C,요약!$C53,'RF(전년)'!$D:$D,요약!$E$43)</f>
        <v>136989300</v>
      </c>
      <c r="AC53" s="113">
        <f>SUMIFS('RF(전년)'!BC:BC,'RF(전년)'!$B:$B,요약!$A53,'RF(전년)'!$C:$C,요약!$C53,'RF(전년)'!$D:$D,요약!$E$43)</f>
        <v>68813500</v>
      </c>
      <c r="AD53" s="114">
        <f>SUMIFS('RF(전년)'!BD:BD,'RF(전년)'!$B:$B,요약!$A53,'RF(전년)'!$C:$C,요약!$C53,'RF(전년)'!$D:$D,요약!$E$43)</f>
        <v>56602000</v>
      </c>
      <c r="AE53" s="160">
        <f t="shared" si="109"/>
        <v>77281050</v>
      </c>
      <c r="AF53" s="161">
        <f t="shared" si="110"/>
        <v>-55427260</v>
      </c>
      <c r="AG53" s="161">
        <f t="shared" si="111"/>
        <v>-111462190</v>
      </c>
      <c r="AH53" s="161">
        <f t="shared" si="112"/>
        <v>-68813500</v>
      </c>
      <c r="AI53" s="162">
        <f t="shared" si="113"/>
        <v>70899000</v>
      </c>
      <c r="AJ53" s="143" t="str">
        <f t="shared" si="114"/>
        <v/>
      </c>
      <c r="AK53" s="122">
        <f t="shared" si="115"/>
        <v>-0.6798588453480785</v>
      </c>
      <c r="AL53" s="122">
        <f t="shared" si="116"/>
        <v>-0.81365617606630591</v>
      </c>
      <c r="AM53" s="122">
        <f t="shared" si="117"/>
        <v>-1</v>
      </c>
      <c r="AN53" s="144">
        <f t="shared" si="118"/>
        <v>1.2525882477650967</v>
      </c>
      <c r="AU53" s="260">
        <f ca="1">SUMIFS('RF(당년)'!CA:CA,'RF(당년)'!$B:$B,요약!$A53,'RF(당년)'!$C:$C,요약!$C53,'RF(당년)'!$D:$D,요약!$E$43)</f>
        <v>0</v>
      </c>
    </row>
    <row r="54" spans="1:47" ht="14.25" customHeight="1" thickBot="1" x14ac:dyDescent="0.35">
      <c r="A54" s="1" t="s">
        <v>66</v>
      </c>
      <c r="B54" s="1" t="s">
        <v>76</v>
      </c>
      <c r="C54" s="1" t="s">
        <v>76</v>
      </c>
      <c r="E54" s="290"/>
      <c r="F54" s="10"/>
      <c r="G54" s="11" t="s">
        <v>67</v>
      </c>
      <c r="H54" s="76">
        <v>0</v>
      </c>
      <c r="I54" s="76">
        <f t="shared" si="103"/>
        <v>0</v>
      </c>
      <c r="J54" s="128" t="str">
        <f t="shared" si="104"/>
        <v/>
      </c>
      <c r="K54" s="76">
        <v>0</v>
      </c>
      <c r="L54" s="117" t="str">
        <f t="shared" si="105"/>
        <v/>
      </c>
      <c r="M54" s="76">
        <v>0</v>
      </c>
      <c r="N54" s="152">
        <f t="shared" si="106"/>
        <v>0</v>
      </c>
      <c r="O54" s="76">
        <v>0</v>
      </c>
      <c r="P54" s="152">
        <f t="shared" si="8"/>
        <v>0</v>
      </c>
      <c r="Q54" s="76">
        <f>SUMIFS('단체(당년)'!$Y:$Y,'단체(당년)'!$B:$B,요약!$A54,'단체(당년)'!$C:$C,요약!$B54,'단체(당년)'!$D:$D,요약!$C54)</f>
        <v>0</v>
      </c>
      <c r="R54" s="76">
        <f>SUMIFS('단체(전년-동일자)'!$Y:$Y,'단체(전년-동일자)'!$B:$B,요약!$A54,'단체(전년-동일자)'!$C:$C,요약!$B54,'단체(전년-동일자)'!$D:$D,요약!$C54)</f>
        <v>0</v>
      </c>
      <c r="S54" s="232" t="str">
        <f t="shared" si="107"/>
        <v/>
      </c>
      <c r="T54" s="213">
        <v>0</v>
      </c>
      <c r="U54" s="213">
        <v>0</v>
      </c>
      <c r="V54" s="213">
        <v>0</v>
      </c>
      <c r="W54" s="213">
        <v>0</v>
      </c>
      <c r="X54" s="286">
        <v>0</v>
      </c>
      <c r="Z54" s="96">
        <f>SUMIFS('단체(당년)'!$AF:$AF,'단체(당년)'!$B:$B,$A54,'단체(당년)'!$C:$C,$B54,'단체(당년)'!$D:$D,$C54,'단체(당년)'!$A:$A,Z$1)</f>
        <v>0</v>
      </c>
      <c r="AA54" s="97">
        <f>SUMIFS('단체(당년)'!$AF:$AF,'단체(당년)'!$B:$B,$A54,'단체(당년)'!$C:$C,$B54,'단체(당년)'!$D:$D,$C54,'단체(당년)'!$A:$A,AA$1)</f>
        <v>0</v>
      </c>
      <c r="AB54" s="97">
        <f>SUMIFS('단체(당년)'!$AF:$AF,'단체(당년)'!$B:$B,$A54,'단체(당년)'!$C:$C,$B54,'단체(당년)'!$D:$D,$C54,'단체(당년)'!$A:$A,AB$1)</f>
        <v>0</v>
      </c>
      <c r="AC54" s="97">
        <f>SUMIFS('단체(당년)'!$AF:$AF,'단체(당년)'!$B:$B,$A54,'단체(당년)'!$C:$C,$B54,'단체(당년)'!$D:$D,$C54,'단체(당년)'!$A:$A,AC$1)</f>
        <v>0</v>
      </c>
      <c r="AD54" s="107">
        <f>SUMIFS('단체(당년)'!$AF:$AF,'단체(당년)'!$B:$B,$A54,'단체(당년)'!$C:$C,$B54,'단체(당년)'!$D:$D,$C54,'단체(당년)'!$A:$A,AD$1)</f>
        <v>0</v>
      </c>
      <c r="AE54" s="151">
        <f t="shared" si="109"/>
        <v>0</v>
      </c>
      <c r="AF54" s="152">
        <f t="shared" si="110"/>
        <v>0</v>
      </c>
      <c r="AG54" s="152">
        <f t="shared" si="111"/>
        <v>0</v>
      </c>
      <c r="AH54" s="152">
        <f t="shared" si="112"/>
        <v>0</v>
      </c>
      <c r="AI54" s="153">
        <f t="shared" si="113"/>
        <v>0</v>
      </c>
      <c r="AJ54" s="137" t="str">
        <f t="shared" si="114"/>
        <v/>
      </c>
      <c r="AK54" s="117" t="str">
        <f t="shared" si="115"/>
        <v/>
      </c>
      <c r="AL54" s="117" t="str">
        <f t="shared" si="116"/>
        <v/>
      </c>
      <c r="AM54" s="117" t="str">
        <f t="shared" si="117"/>
        <v/>
      </c>
      <c r="AN54" s="138" t="str">
        <f t="shared" si="118"/>
        <v/>
      </c>
      <c r="AU54" s="261">
        <v>0</v>
      </c>
    </row>
    <row r="55" spans="1:47" s="7" customFormat="1" x14ac:dyDescent="0.3">
      <c r="A55" s="1"/>
      <c r="B55" s="1"/>
      <c r="C55" s="1"/>
      <c r="E55" s="190"/>
      <c r="G55" s="2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U55" s="271"/>
    </row>
    <row r="56" spans="1:47" s="7" customFormat="1" x14ac:dyDescent="0.3">
      <c r="A56" s="2"/>
      <c r="B56" s="2"/>
      <c r="C56" s="2"/>
      <c r="E56" s="190"/>
      <c r="G56" s="2"/>
      <c r="I56" s="178">
        <f>I44+I31</f>
        <v>9468121580</v>
      </c>
      <c r="J56" s="178"/>
      <c r="K56" s="178">
        <f>K44+K31</f>
        <v>8424280990</v>
      </c>
      <c r="L56" s="120">
        <f t="shared" ref="L56:L58" si="132">IFERROR(I56/K56-1,"")</f>
        <v>0.12390856753699042</v>
      </c>
      <c r="T56" s="178">
        <f t="shared" ref="T56" si="133">T47+T51</f>
        <v>459724890</v>
      </c>
      <c r="U56" s="178">
        <f>U47+U51</f>
        <v>588096140</v>
      </c>
      <c r="V56" s="178">
        <f>V47+V51</f>
        <v>482010060</v>
      </c>
      <c r="W56" s="178">
        <f>W47+W51</f>
        <v>298614958</v>
      </c>
      <c r="X56" s="178">
        <f>X47+X51</f>
        <v>305101000</v>
      </c>
      <c r="Z56" s="228"/>
      <c r="AA56" s="7" t="s">
        <v>82</v>
      </c>
      <c r="AU56" s="271"/>
    </row>
    <row r="57" spans="1:47" s="7" customFormat="1" x14ac:dyDescent="0.3">
      <c r="A57" s="2"/>
      <c r="B57" s="2"/>
      <c r="C57" s="2"/>
      <c r="E57" s="190"/>
      <c r="G57" s="2"/>
      <c r="H57" s="7">
        <v>400000000</v>
      </c>
      <c r="I57" s="178">
        <f>I34+I47</f>
        <v>6424386246</v>
      </c>
      <c r="J57" s="178"/>
      <c r="K57" s="178">
        <f>K34+K47</f>
        <v>5619663820</v>
      </c>
      <c r="L57" s="120">
        <f t="shared" si="132"/>
        <v>0.14319760963921868</v>
      </c>
      <c r="W57" s="215">
        <v>115350000</v>
      </c>
      <c r="X57" s="215">
        <v>122000000</v>
      </c>
      <c r="AA57" s="7" t="s">
        <v>83</v>
      </c>
      <c r="AU57" s="271"/>
    </row>
    <row r="58" spans="1:47" s="7" customFormat="1" x14ac:dyDescent="0.3">
      <c r="A58" s="2"/>
      <c r="B58" s="2"/>
      <c r="C58" s="2"/>
      <c r="E58" s="190"/>
      <c r="G58" s="2"/>
      <c r="H58" s="2"/>
      <c r="I58" s="178">
        <f>I51+I38</f>
        <v>3377798500</v>
      </c>
      <c r="J58" s="182"/>
      <c r="K58" s="178">
        <f>K51+K38</f>
        <v>2562172310</v>
      </c>
      <c r="L58" s="120">
        <f t="shared" si="132"/>
        <v>0.31833385553994997</v>
      </c>
      <c r="U58" s="182"/>
      <c r="V58" s="217"/>
      <c r="W58" s="182"/>
      <c r="X58" s="218"/>
      <c r="Z58" s="227"/>
      <c r="AA58" s="227"/>
      <c r="AB58" s="227"/>
      <c r="AC58" s="227"/>
      <c r="AU58" s="271"/>
    </row>
    <row r="59" spans="1:47" s="7" customFormat="1" x14ac:dyDescent="0.3">
      <c r="A59" s="2"/>
      <c r="B59" s="2"/>
      <c r="C59" s="2"/>
      <c r="E59" s="190"/>
      <c r="G59" s="2"/>
      <c r="H59" s="178"/>
      <c r="Z59" s="218"/>
      <c r="AA59" s="218"/>
      <c r="AB59" s="218"/>
      <c r="AC59" s="218"/>
      <c r="AD59" s="218"/>
      <c r="AU59" s="271"/>
    </row>
    <row r="60" spans="1:47" s="7" customFormat="1" x14ac:dyDescent="0.3">
      <c r="A60" s="2"/>
      <c r="B60" s="2"/>
      <c r="C60" s="2"/>
      <c r="E60" s="190"/>
      <c r="G60" s="2"/>
      <c r="H60" s="178"/>
      <c r="Z60" s="218"/>
      <c r="AA60" s="218"/>
      <c r="AB60" s="218"/>
      <c r="AC60" s="218"/>
      <c r="AD60" s="218"/>
      <c r="AU60" s="271"/>
    </row>
    <row r="61" spans="1:47" s="7" customFormat="1" x14ac:dyDescent="0.3">
      <c r="A61" s="2"/>
      <c r="B61" s="2"/>
      <c r="C61" s="2"/>
      <c r="E61" s="190"/>
      <c r="G61" s="2" t="s">
        <v>69</v>
      </c>
      <c r="H61" s="7">
        <v>7060000000</v>
      </c>
      <c r="K61" s="178">
        <f>K47+K51</f>
        <v>1410178902</v>
      </c>
      <c r="Z61" s="217"/>
      <c r="AA61" s="217"/>
      <c r="AB61" s="217"/>
      <c r="AC61" s="217"/>
      <c r="AD61" s="217"/>
      <c r="AU61" s="271"/>
    </row>
    <row r="62" spans="1:47" s="7" customFormat="1" x14ac:dyDescent="0.3">
      <c r="A62" s="2"/>
      <c r="B62" s="2"/>
      <c r="C62" s="2"/>
      <c r="E62" s="190"/>
      <c r="G62" s="2" t="s">
        <v>70</v>
      </c>
      <c r="H62" s="7">
        <v>4800000000</v>
      </c>
      <c r="Z62" s="182"/>
      <c r="AA62" s="182"/>
      <c r="AB62" s="182"/>
      <c r="AC62" s="182"/>
      <c r="AD62" s="182"/>
      <c r="AU62" s="271"/>
    </row>
    <row r="63" spans="1:47" s="7" customFormat="1" x14ac:dyDescent="0.3">
      <c r="A63" s="2"/>
      <c r="B63" s="2"/>
      <c r="C63" s="2"/>
      <c r="E63" s="190"/>
      <c r="G63" s="2" t="s">
        <v>84</v>
      </c>
      <c r="H63" s="7">
        <v>570000000</v>
      </c>
      <c r="J63" s="227">
        <f>SUM(Z33:AD33)</f>
        <v>156987800</v>
      </c>
      <c r="AU63" s="271"/>
    </row>
    <row r="64" spans="1:47" s="7" customFormat="1" x14ac:dyDescent="0.3">
      <c r="A64" s="2"/>
      <c r="B64" s="2"/>
      <c r="C64" s="2"/>
      <c r="E64" s="190"/>
      <c r="G64" s="2" t="s">
        <v>85</v>
      </c>
      <c r="H64" s="7">
        <v>570000000</v>
      </c>
      <c r="I64" s="240">
        <v>0.55000000000000004</v>
      </c>
      <c r="J64" s="227">
        <f>SUM(Z46:AD46)</f>
        <v>542248230</v>
      </c>
      <c r="AU64" s="271"/>
    </row>
    <row r="65" spans="1:47" s="7" customFormat="1" x14ac:dyDescent="0.3">
      <c r="A65" s="2"/>
      <c r="B65" s="2"/>
      <c r="C65" s="2"/>
      <c r="E65" s="190"/>
      <c r="G65" s="2"/>
      <c r="AU65" s="271"/>
    </row>
    <row r="66" spans="1:47" s="7" customFormat="1" x14ac:dyDescent="0.3">
      <c r="A66" s="2"/>
      <c r="B66" s="2"/>
      <c r="C66" s="2"/>
      <c r="E66" s="190"/>
      <c r="G66" s="2"/>
      <c r="T66" s="178"/>
      <c r="Z66" s="178"/>
      <c r="AU66" s="271"/>
    </row>
    <row r="67" spans="1:47" s="7" customFormat="1" x14ac:dyDescent="0.3">
      <c r="A67" s="2"/>
      <c r="B67" s="2"/>
      <c r="C67" s="2"/>
      <c r="E67" s="190"/>
      <c r="G67" s="2"/>
      <c r="AU67" s="271"/>
    </row>
    <row r="68" spans="1:47" s="7" customFormat="1" x14ac:dyDescent="0.3">
      <c r="A68" s="2"/>
      <c r="B68" s="2"/>
      <c r="C68" s="2"/>
      <c r="E68" s="190"/>
      <c r="G68" s="2"/>
      <c r="AU68" s="271"/>
    </row>
    <row r="69" spans="1:47" s="7" customFormat="1" x14ac:dyDescent="0.3">
      <c r="A69" s="2"/>
      <c r="B69" s="2"/>
      <c r="C69" s="2"/>
      <c r="E69" s="190"/>
      <c r="G69" s="2"/>
      <c r="T69" s="178"/>
      <c r="Z69" s="178"/>
      <c r="AU69" s="271"/>
    </row>
    <row r="70" spans="1:47" s="7" customFormat="1" x14ac:dyDescent="0.3">
      <c r="A70" s="2"/>
      <c r="B70" s="2"/>
      <c r="C70" s="2"/>
      <c r="E70" s="190"/>
      <c r="G70" s="2"/>
      <c r="Z70" s="178"/>
      <c r="AU70" s="271"/>
    </row>
    <row r="71" spans="1:47" s="7" customFormat="1" x14ac:dyDescent="0.3">
      <c r="A71" s="2"/>
      <c r="B71" s="2"/>
      <c r="C71" s="2"/>
      <c r="E71" s="190"/>
      <c r="G71" s="2"/>
      <c r="AU71" s="271"/>
    </row>
    <row r="72" spans="1:47" s="7" customFormat="1" x14ac:dyDescent="0.3">
      <c r="A72" s="2"/>
      <c r="B72" s="2"/>
      <c r="C72" s="2"/>
      <c r="E72" s="190"/>
      <c r="G72" s="2"/>
      <c r="AU72" s="271"/>
    </row>
    <row r="73" spans="1:47" s="7" customFormat="1" x14ac:dyDescent="0.3">
      <c r="A73" s="2"/>
      <c r="B73" s="2"/>
      <c r="C73" s="2"/>
      <c r="E73" s="190"/>
      <c r="G73" s="2"/>
      <c r="AU73" s="271"/>
    </row>
    <row r="74" spans="1:47" s="7" customFormat="1" x14ac:dyDescent="0.3">
      <c r="A74" s="2"/>
      <c r="B74" s="2"/>
      <c r="C74" s="2"/>
      <c r="E74" s="190"/>
      <c r="G74" s="2"/>
      <c r="AU74" s="271"/>
    </row>
    <row r="75" spans="1:47" s="7" customFormat="1" x14ac:dyDescent="0.3">
      <c r="A75" s="2"/>
      <c r="B75" s="2"/>
      <c r="C75" s="2"/>
      <c r="E75" s="190"/>
      <c r="G75" s="2"/>
      <c r="AU75" s="271"/>
    </row>
    <row r="76" spans="1:47" s="7" customFormat="1" x14ac:dyDescent="0.3">
      <c r="A76" s="2"/>
      <c r="B76" s="2"/>
      <c r="C76" s="2"/>
      <c r="E76" s="190"/>
      <c r="G76" s="2"/>
      <c r="AU76" s="271"/>
    </row>
    <row r="77" spans="1:47" s="7" customFormat="1" x14ac:dyDescent="0.3">
      <c r="A77" s="2"/>
      <c r="B77" s="2"/>
      <c r="C77" s="2"/>
      <c r="E77" s="190"/>
      <c r="G77" s="2"/>
      <c r="AU77" s="271"/>
    </row>
    <row r="78" spans="1:47" s="7" customFormat="1" x14ac:dyDescent="0.3">
      <c r="A78" s="2"/>
      <c r="B78" s="2"/>
      <c r="C78" s="2"/>
      <c r="E78" s="190"/>
      <c r="G78" s="2"/>
      <c r="AU78" s="271"/>
    </row>
    <row r="79" spans="1:47" s="7" customFormat="1" x14ac:dyDescent="0.3">
      <c r="A79" s="2"/>
      <c r="B79" s="2"/>
      <c r="C79" s="2"/>
      <c r="E79" s="190"/>
      <c r="G79" s="2"/>
      <c r="AU79" s="271"/>
    </row>
    <row r="80" spans="1:47" s="7" customFormat="1" x14ac:dyDescent="0.3">
      <c r="A80" s="2"/>
      <c r="B80" s="2"/>
      <c r="C80" s="2"/>
      <c r="E80" s="190"/>
      <c r="G80" s="2"/>
      <c r="AU80" s="271"/>
    </row>
    <row r="81" spans="1:47" s="7" customFormat="1" x14ac:dyDescent="0.3">
      <c r="A81" s="2"/>
      <c r="B81" s="2"/>
      <c r="C81" s="2"/>
      <c r="E81" s="190"/>
      <c r="G81" s="2"/>
      <c r="AU81" s="271"/>
    </row>
    <row r="82" spans="1:47" s="7" customFormat="1" x14ac:dyDescent="0.3">
      <c r="A82" s="2"/>
      <c r="B82" s="2"/>
      <c r="C82" s="2"/>
      <c r="E82" s="190"/>
      <c r="G82" s="2"/>
      <c r="AU82" s="271"/>
    </row>
    <row r="83" spans="1:47" s="7" customFormat="1" x14ac:dyDescent="0.3">
      <c r="A83" s="2"/>
      <c r="B83" s="2"/>
      <c r="C83" s="2"/>
      <c r="E83" s="190"/>
      <c r="G83" s="2"/>
      <c r="AU83" s="271"/>
    </row>
    <row r="84" spans="1:47" s="7" customFormat="1" x14ac:dyDescent="0.3">
      <c r="A84" s="2"/>
      <c r="B84" s="2"/>
      <c r="C84" s="2"/>
      <c r="E84" s="190"/>
      <c r="G84" s="2"/>
      <c r="AU84" s="271"/>
    </row>
    <row r="85" spans="1:47" s="7" customFormat="1" x14ac:dyDescent="0.3">
      <c r="A85" s="2"/>
      <c r="B85" s="2"/>
      <c r="C85" s="2"/>
      <c r="E85" s="190"/>
      <c r="G85" s="2"/>
      <c r="AU85" s="271"/>
    </row>
    <row r="86" spans="1:47" s="7" customFormat="1" x14ac:dyDescent="0.3">
      <c r="A86" s="2"/>
      <c r="B86" s="2"/>
      <c r="C86" s="2"/>
      <c r="E86" s="190"/>
      <c r="G86" s="2"/>
      <c r="AU86" s="271"/>
    </row>
    <row r="87" spans="1:47" s="7" customFormat="1" x14ac:dyDescent="0.3">
      <c r="A87" s="2"/>
      <c r="B87" s="2"/>
      <c r="C87" s="2"/>
      <c r="E87" s="190"/>
      <c r="G87" s="2"/>
      <c r="AU87" s="271"/>
    </row>
    <row r="88" spans="1:47" s="7" customFormat="1" x14ac:dyDescent="0.3">
      <c r="A88" s="2"/>
      <c r="B88" s="2"/>
      <c r="C88" s="2"/>
      <c r="E88" s="190"/>
      <c r="G88" s="2"/>
      <c r="AU88" s="271"/>
    </row>
    <row r="89" spans="1:47" s="7" customFormat="1" x14ac:dyDescent="0.3">
      <c r="A89" s="2"/>
      <c r="B89" s="2"/>
      <c r="C89" s="2"/>
      <c r="E89" s="190"/>
      <c r="G89" s="2"/>
      <c r="AU89" s="271"/>
    </row>
    <row r="90" spans="1:47" s="7" customFormat="1" x14ac:dyDescent="0.3">
      <c r="A90" s="2"/>
      <c r="B90" s="2"/>
      <c r="C90" s="2"/>
      <c r="E90" s="190"/>
      <c r="G90" s="2"/>
      <c r="AU90" s="271"/>
    </row>
    <row r="91" spans="1:47" s="7" customFormat="1" x14ac:dyDescent="0.3">
      <c r="A91" s="2"/>
      <c r="B91" s="2"/>
      <c r="C91" s="2"/>
      <c r="E91" s="190"/>
      <c r="G91" s="2"/>
      <c r="AU91" s="271"/>
    </row>
    <row r="92" spans="1:47" s="7" customFormat="1" x14ac:dyDescent="0.3">
      <c r="A92" s="2"/>
      <c r="B92" s="2"/>
      <c r="C92" s="2"/>
      <c r="E92" s="190"/>
      <c r="G92" s="2"/>
      <c r="AU92" s="271"/>
    </row>
    <row r="93" spans="1:47" s="7" customFormat="1" x14ac:dyDescent="0.3">
      <c r="A93" s="2"/>
      <c r="B93" s="2"/>
      <c r="C93" s="2"/>
      <c r="E93" s="190"/>
      <c r="G93" s="2"/>
      <c r="AU93" s="271"/>
    </row>
    <row r="94" spans="1:47" s="7" customFormat="1" x14ac:dyDescent="0.3">
      <c r="A94" s="2"/>
      <c r="B94" s="2"/>
      <c r="C94" s="2"/>
      <c r="E94" s="190"/>
      <c r="G94" s="2"/>
      <c r="AU94" s="271"/>
    </row>
    <row r="95" spans="1:47" s="7" customFormat="1" x14ac:dyDescent="0.3">
      <c r="A95" s="2"/>
      <c r="B95" s="2"/>
      <c r="C95" s="2"/>
      <c r="E95" s="190"/>
      <c r="G95" s="2"/>
      <c r="AU95" s="271"/>
    </row>
    <row r="96" spans="1:47" s="7" customFormat="1" x14ac:dyDescent="0.3">
      <c r="A96" s="2"/>
      <c r="B96" s="2"/>
      <c r="C96" s="2"/>
      <c r="E96" s="190"/>
      <c r="G96" s="2"/>
      <c r="AU96" s="271"/>
    </row>
    <row r="97" spans="1:47" s="7" customFormat="1" x14ac:dyDescent="0.3">
      <c r="A97" s="2"/>
      <c r="B97" s="2"/>
      <c r="C97" s="2"/>
      <c r="E97" s="190"/>
      <c r="G97" s="2"/>
      <c r="AU97" s="271"/>
    </row>
    <row r="98" spans="1:47" s="7" customFormat="1" x14ac:dyDescent="0.3">
      <c r="A98" s="2"/>
      <c r="B98" s="2"/>
      <c r="C98" s="2"/>
      <c r="E98" s="190"/>
      <c r="G98" s="2"/>
      <c r="AU98" s="271"/>
    </row>
    <row r="99" spans="1:47" s="7" customFormat="1" x14ac:dyDescent="0.3">
      <c r="A99" s="2"/>
      <c r="B99" s="2"/>
      <c r="C99" s="2"/>
      <c r="E99" s="190"/>
      <c r="G99" s="2"/>
      <c r="AU99" s="271"/>
    </row>
    <row r="100" spans="1:47" s="7" customFormat="1" x14ac:dyDescent="0.3">
      <c r="A100" s="2"/>
      <c r="B100" s="2"/>
      <c r="C100" s="2"/>
      <c r="E100" s="190"/>
      <c r="G100" s="2"/>
      <c r="AU100" s="271"/>
    </row>
    <row r="101" spans="1:47" s="7" customFormat="1" x14ac:dyDescent="0.3">
      <c r="A101" s="2"/>
      <c r="B101" s="2"/>
      <c r="C101" s="2"/>
      <c r="E101" s="190"/>
      <c r="G101" s="2"/>
      <c r="AU101" s="271"/>
    </row>
    <row r="102" spans="1:47" s="7" customFormat="1" x14ac:dyDescent="0.3">
      <c r="A102" s="2"/>
      <c r="B102" s="2"/>
      <c r="C102" s="2"/>
      <c r="E102" s="190"/>
      <c r="G102" s="2"/>
      <c r="AU102" s="271"/>
    </row>
    <row r="103" spans="1:47" s="7" customFormat="1" x14ac:dyDescent="0.3">
      <c r="A103" s="2"/>
      <c r="B103" s="2"/>
      <c r="C103" s="2"/>
      <c r="E103" s="190"/>
      <c r="G103" s="2"/>
      <c r="AU103" s="271"/>
    </row>
    <row r="104" spans="1:47" s="7" customFormat="1" x14ac:dyDescent="0.3">
      <c r="A104" s="2"/>
      <c r="B104" s="2"/>
      <c r="C104" s="2"/>
      <c r="E104" s="190"/>
      <c r="G104" s="2"/>
      <c r="AU104" s="271"/>
    </row>
    <row r="105" spans="1:47" s="7" customFormat="1" x14ac:dyDescent="0.3">
      <c r="A105" s="2"/>
      <c r="B105" s="2"/>
      <c r="C105" s="2"/>
      <c r="E105" s="190"/>
      <c r="G105" s="2"/>
      <c r="AU105" s="271"/>
    </row>
    <row r="106" spans="1:47" s="7" customFormat="1" x14ac:dyDescent="0.3">
      <c r="A106" s="2"/>
      <c r="B106" s="2"/>
      <c r="C106" s="2"/>
      <c r="E106" s="190"/>
      <c r="G106" s="2"/>
      <c r="AU106" s="271"/>
    </row>
    <row r="107" spans="1:47" s="7" customFormat="1" x14ac:dyDescent="0.3">
      <c r="A107" s="2"/>
      <c r="B107" s="2"/>
      <c r="C107" s="2"/>
      <c r="E107" s="190"/>
      <c r="G107" s="2"/>
      <c r="AU107" s="271"/>
    </row>
    <row r="108" spans="1:47" s="7" customFormat="1" x14ac:dyDescent="0.3">
      <c r="A108" s="2"/>
      <c r="B108" s="2"/>
      <c r="C108" s="2"/>
      <c r="E108" s="190"/>
      <c r="G108" s="2"/>
      <c r="AU108" s="271"/>
    </row>
    <row r="109" spans="1:47" s="7" customFormat="1" x14ac:dyDescent="0.3">
      <c r="A109" s="2"/>
      <c r="B109" s="2"/>
      <c r="C109" s="2"/>
      <c r="E109" s="190"/>
      <c r="G109" s="2"/>
      <c r="AU109" s="271"/>
    </row>
    <row r="110" spans="1:47" s="7" customFormat="1" x14ac:dyDescent="0.3">
      <c r="A110" s="2"/>
      <c r="B110" s="2"/>
      <c r="C110" s="2"/>
      <c r="E110" s="190"/>
      <c r="G110" s="2"/>
      <c r="AU110" s="271"/>
    </row>
    <row r="111" spans="1:47" s="7" customFormat="1" x14ac:dyDescent="0.3">
      <c r="A111" s="2"/>
      <c r="B111" s="2"/>
      <c r="C111" s="2"/>
      <c r="E111" s="190"/>
      <c r="G111" s="2"/>
      <c r="AU111" s="271"/>
    </row>
    <row r="112" spans="1:47" s="7" customFormat="1" x14ac:dyDescent="0.3">
      <c r="A112" s="2"/>
      <c r="B112" s="2"/>
      <c r="C112" s="2"/>
      <c r="E112" s="190"/>
      <c r="G112" s="2"/>
      <c r="AU112" s="271"/>
    </row>
    <row r="113" spans="1:47" s="7" customFormat="1" x14ac:dyDescent="0.3">
      <c r="A113" s="2"/>
      <c r="B113" s="2"/>
      <c r="C113" s="2"/>
      <c r="E113" s="190"/>
      <c r="G113" s="2"/>
      <c r="AU113" s="271"/>
    </row>
    <row r="114" spans="1:47" s="7" customFormat="1" x14ac:dyDescent="0.3">
      <c r="A114" s="2"/>
      <c r="B114" s="2"/>
      <c r="C114" s="2"/>
      <c r="E114" s="190"/>
      <c r="G114" s="2"/>
      <c r="AU114" s="271"/>
    </row>
    <row r="115" spans="1:47" s="7" customFormat="1" x14ac:dyDescent="0.3">
      <c r="A115" s="2"/>
      <c r="B115" s="2"/>
      <c r="C115" s="2"/>
      <c r="E115" s="190"/>
      <c r="G115" s="2"/>
      <c r="AU115" s="271"/>
    </row>
    <row r="116" spans="1:47" s="7" customFormat="1" x14ac:dyDescent="0.3">
      <c r="A116" s="2"/>
      <c r="B116" s="2"/>
      <c r="C116" s="2"/>
      <c r="E116" s="190"/>
      <c r="G116" s="2"/>
      <c r="AU116" s="271"/>
    </row>
    <row r="117" spans="1:47" s="7" customFormat="1" x14ac:dyDescent="0.3">
      <c r="A117" s="2"/>
      <c r="B117" s="2"/>
      <c r="C117" s="2"/>
      <c r="E117" s="190"/>
      <c r="G117" s="2"/>
      <c r="AU117" s="271"/>
    </row>
    <row r="118" spans="1:47" s="7" customFormat="1" x14ac:dyDescent="0.3">
      <c r="A118" s="2"/>
      <c r="B118" s="2"/>
      <c r="C118" s="2"/>
      <c r="E118" s="190"/>
      <c r="G118" s="2"/>
      <c r="AU118" s="271"/>
    </row>
    <row r="119" spans="1:47" s="7" customFormat="1" x14ac:dyDescent="0.3">
      <c r="A119" s="2"/>
      <c r="B119" s="2"/>
      <c r="C119" s="2"/>
      <c r="E119" s="190"/>
      <c r="G119" s="2"/>
      <c r="AU119" s="271"/>
    </row>
    <row r="120" spans="1:47" s="7" customFormat="1" x14ac:dyDescent="0.3">
      <c r="A120" s="2"/>
      <c r="B120" s="2"/>
      <c r="C120" s="2"/>
      <c r="E120" s="190"/>
      <c r="G120" s="2"/>
      <c r="AU120" s="271"/>
    </row>
    <row r="121" spans="1:47" s="7" customFormat="1" x14ac:dyDescent="0.3">
      <c r="A121" s="2"/>
      <c r="B121" s="2"/>
      <c r="C121" s="2"/>
      <c r="E121" s="190"/>
      <c r="G121" s="2"/>
      <c r="AU121" s="271"/>
    </row>
    <row r="122" spans="1:47" s="7" customFormat="1" x14ac:dyDescent="0.3">
      <c r="A122" s="2"/>
      <c r="B122" s="2"/>
      <c r="C122" s="2"/>
      <c r="E122" s="190"/>
      <c r="G122" s="2"/>
      <c r="AU122" s="271"/>
    </row>
    <row r="123" spans="1:47" s="7" customFormat="1" x14ac:dyDescent="0.3">
      <c r="A123" s="2"/>
      <c r="B123" s="2"/>
      <c r="C123" s="2"/>
      <c r="E123" s="190"/>
      <c r="G123" s="2"/>
      <c r="AU123" s="271"/>
    </row>
    <row r="124" spans="1:47" s="7" customFormat="1" x14ac:dyDescent="0.3">
      <c r="A124" s="2"/>
      <c r="B124" s="2"/>
      <c r="C124" s="2"/>
      <c r="E124" s="190"/>
      <c r="G124" s="2"/>
      <c r="AU124" s="271"/>
    </row>
    <row r="125" spans="1:47" s="7" customFormat="1" x14ac:dyDescent="0.3">
      <c r="A125" s="2"/>
      <c r="B125" s="2"/>
      <c r="C125" s="2"/>
      <c r="E125" s="190"/>
      <c r="G125" s="2"/>
      <c r="AU125" s="271"/>
    </row>
    <row r="126" spans="1:47" s="7" customFormat="1" x14ac:dyDescent="0.3">
      <c r="A126" s="2"/>
      <c r="B126" s="2"/>
      <c r="C126" s="2"/>
      <c r="E126" s="190"/>
      <c r="G126" s="2"/>
      <c r="AU126" s="271"/>
    </row>
    <row r="127" spans="1:47" s="7" customFormat="1" x14ac:dyDescent="0.3">
      <c r="A127" s="2"/>
      <c r="B127" s="2"/>
      <c r="C127" s="2"/>
      <c r="E127" s="190"/>
      <c r="G127" s="2"/>
      <c r="AU127" s="271"/>
    </row>
    <row r="128" spans="1:47" s="7" customFormat="1" x14ac:dyDescent="0.3">
      <c r="A128" s="2"/>
      <c r="B128" s="2"/>
      <c r="C128" s="2"/>
      <c r="E128" s="190"/>
      <c r="G128" s="2"/>
      <c r="AU128" s="271"/>
    </row>
    <row r="129" spans="1:47" s="7" customFormat="1" x14ac:dyDescent="0.3">
      <c r="A129" s="2"/>
      <c r="B129" s="2"/>
      <c r="C129" s="2"/>
      <c r="E129" s="190"/>
      <c r="G129" s="2"/>
      <c r="AU129" s="271"/>
    </row>
    <row r="130" spans="1:47" s="7" customFormat="1" x14ac:dyDescent="0.3">
      <c r="A130" s="2"/>
      <c r="B130" s="2"/>
      <c r="C130" s="2"/>
      <c r="E130" s="190"/>
      <c r="G130" s="2"/>
      <c r="AU130" s="271"/>
    </row>
    <row r="131" spans="1:47" s="7" customFormat="1" x14ac:dyDescent="0.3">
      <c r="A131" s="2"/>
      <c r="B131" s="2"/>
      <c r="C131" s="2"/>
      <c r="E131" s="190"/>
      <c r="G131" s="2"/>
      <c r="AU131" s="271"/>
    </row>
    <row r="132" spans="1:47" s="7" customFormat="1" x14ac:dyDescent="0.3">
      <c r="A132" s="2"/>
      <c r="B132" s="2"/>
      <c r="C132" s="2"/>
      <c r="E132" s="190"/>
      <c r="G132" s="2"/>
      <c r="AU132" s="271"/>
    </row>
    <row r="133" spans="1:47" s="7" customFormat="1" x14ac:dyDescent="0.3">
      <c r="A133" s="2"/>
      <c r="B133" s="2"/>
      <c r="C133" s="2"/>
      <c r="E133" s="190"/>
      <c r="G133" s="2"/>
      <c r="AU133" s="271"/>
    </row>
    <row r="134" spans="1:47" s="7" customFormat="1" x14ac:dyDescent="0.3">
      <c r="A134" s="2"/>
      <c r="B134" s="2"/>
      <c r="C134" s="2"/>
      <c r="E134" s="190"/>
      <c r="G134" s="2"/>
      <c r="AU134" s="271"/>
    </row>
    <row r="135" spans="1:47" s="7" customFormat="1" x14ac:dyDescent="0.3">
      <c r="A135" s="2"/>
      <c r="B135" s="2"/>
      <c r="C135" s="2"/>
      <c r="E135" s="190"/>
      <c r="G135" s="2"/>
      <c r="AU135" s="271"/>
    </row>
    <row r="136" spans="1:47" s="7" customFormat="1" x14ac:dyDescent="0.3">
      <c r="A136" s="2"/>
      <c r="B136" s="2"/>
      <c r="C136" s="2"/>
      <c r="E136" s="190"/>
      <c r="G136" s="2"/>
      <c r="AU136" s="271"/>
    </row>
    <row r="137" spans="1:47" s="7" customFormat="1" x14ac:dyDescent="0.3">
      <c r="A137" s="2"/>
      <c r="B137" s="2"/>
      <c r="C137" s="2"/>
      <c r="E137" s="190"/>
      <c r="G137" s="2"/>
      <c r="AU137" s="271"/>
    </row>
    <row r="138" spans="1:47" s="7" customFormat="1" x14ac:dyDescent="0.3">
      <c r="A138" s="2"/>
      <c r="B138" s="2"/>
      <c r="C138" s="2"/>
      <c r="E138" s="190"/>
      <c r="G138" s="2"/>
      <c r="AU138" s="271"/>
    </row>
    <row r="139" spans="1:47" s="7" customFormat="1" x14ac:dyDescent="0.3">
      <c r="A139" s="2"/>
      <c r="B139" s="2"/>
      <c r="C139" s="2"/>
      <c r="E139" s="190"/>
      <c r="G139" s="2"/>
      <c r="AU139" s="271"/>
    </row>
    <row r="140" spans="1:47" s="7" customFormat="1" x14ac:dyDescent="0.3">
      <c r="A140" s="2"/>
      <c r="B140" s="2"/>
      <c r="C140" s="2"/>
      <c r="E140" s="190"/>
      <c r="G140" s="2"/>
      <c r="AU140" s="271"/>
    </row>
    <row r="141" spans="1:47" s="7" customFormat="1" x14ac:dyDescent="0.3">
      <c r="A141" s="2"/>
      <c r="B141" s="2"/>
      <c r="C141" s="2"/>
      <c r="E141" s="190"/>
      <c r="G141" s="2"/>
      <c r="AU141" s="271"/>
    </row>
    <row r="142" spans="1:47" s="7" customFormat="1" x14ac:dyDescent="0.3">
      <c r="A142" s="2"/>
      <c r="B142" s="2"/>
      <c r="C142" s="2"/>
      <c r="E142" s="190"/>
      <c r="G142" s="2"/>
      <c r="AU142" s="271"/>
    </row>
    <row r="143" spans="1:47" s="7" customFormat="1" x14ac:dyDescent="0.3">
      <c r="A143" s="2"/>
      <c r="B143" s="2"/>
      <c r="C143" s="2"/>
      <c r="E143" s="190"/>
      <c r="G143" s="2"/>
      <c r="AU143" s="271"/>
    </row>
    <row r="144" spans="1:47" s="7" customFormat="1" x14ac:dyDescent="0.3">
      <c r="A144" s="2"/>
      <c r="B144" s="2"/>
      <c r="C144" s="2"/>
      <c r="E144" s="190"/>
      <c r="G144" s="2"/>
      <c r="AU144" s="271"/>
    </row>
    <row r="145" spans="1:47" s="7" customFormat="1" x14ac:dyDescent="0.3">
      <c r="A145" s="2"/>
      <c r="B145" s="2"/>
      <c r="C145" s="2"/>
      <c r="E145" s="190"/>
      <c r="G145" s="2"/>
      <c r="AU145" s="271"/>
    </row>
    <row r="146" spans="1:47" s="7" customFormat="1" x14ac:dyDescent="0.3">
      <c r="A146" s="2"/>
      <c r="B146" s="2"/>
      <c r="C146" s="2"/>
      <c r="E146" s="190"/>
      <c r="G146" s="2"/>
      <c r="AU146" s="271"/>
    </row>
    <row r="147" spans="1:47" s="7" customFormat="1" x14ac:dyDescent="0.3">
      <c r="A147" s="2"/>
      <c r="B147" s="2"/>
      <c r="C147" s="2"/>
      <c r="E147" s="190"/>
      <c r="G147" s="2"/>
      <c r="AU147" s="271"/>
    </row>
    <row r="148" spans="1:47" s="7" customFormat="1" x14ac:dyDescent="0.3">
      <c r="A148" s="2"/>
      <c r="B148" s="2"/>
      <c r="C148" s="2"/>
      <c r="E148" s="190"/>
      <c r="G148" s="2"/>
      <c r="AU148" s="271"/>
    </row>
    <row r="149" spans="1:47" s="7" customFormat="1" x14ac:dyDescent="0.3">
      <c r="A149" s="2"/>
      <c r="B149" s="2"/>
      <c r="C149" s="2"/>
      <c r="E149" s="190"/>
      <c r="G149" s="2"/>
      <c r="AU149" s="271"/>
    </row>
    <row r="150" spans="1:47" s="7" customFormat="1" x14ac:dyDescent="0.3">
      <c r="A150" s="2"/>
      <c r="B150" s="2"/>
      <c r="C150" s="2"/>
      <c r="E150" s="190"/>
      <c r="G150" s="2"/>
      <c r="AU150" s="271"/>
    </row>
    <row r="151" spans="1:47" s="7" customFormat="1" x14ac:dyDescent="0.3">
      <c r="A151" s="2"/>
      <c r="B151" s="2"/>
      <c r="C151" s="2"/>
      <c r="E151" s="190"/>
      <c r="G151" s="2"/>
      <c r="AU151" s="271"/>
    </row>
    <row r="152" spans="1:47" s="7" customFormat="1" x14ac:dyDescent="0.3">
      <c r="A152" s="2"/>
      <c r="B152" s="2"/>
      <c r="C152" s="2"/>
      <c r="E152" s="190"/>
      <c r="G152" s="2"/>
      <c r="AU152" s="271"/>
    </row>
    <row r="153" spans="1:47" s="7" customFormat="1" x14ac:dyDescent="0.3">
      <c r="A153" s="2"/>
      <c r="B153" s="2"/>
      <c r="C153" s="2"/>
      <c r="E153" s="190"/>
      <c r="G153" s="2"/>
      <c r="AU153" s="271"/>
    </row>
    <row r="154" spans="1:47" s="7" customFormat="1" x14ac:dyDescent="0.3">
      <c r="A154" s="2"/>
      <c r="B154" s="2"/>
      <c r="C154" s="2"/>
      <c r="E154" s="190"/>
      <c r="G154" s="2"/>
      <c r="AU154" s="271"/>
    </row>
    <row r="155" spans="1:47" s="7" customFormat="1" x14ac:dyDescent="0.3">
      <c r="A155" s="2"/>
      <c r="B155" s="2"/>
      <c r="C155" s="2"/>
      <c r="E155" s="190"/>
      <c r="G155" s="2"/>
      <c r="AU155" s="271"/>
    </row>
    <row r="156" spans="1:47" s="7" customFormat="1" x14ac:dyDescent="0.3">
      <c r="A156" s="2"/>
      <c r="B156" s="2"/>
      <c r="C156" s="2"/>
      <c r="E156" s="190"/>
      <c r="G156" s="2"/>
      <c r="AU156" s="271"/>
    </row>
    <row r="157" spans="1:47" s="7" customFormat="1" x14ac:dyDescent="0.3">
      <c r="A157" s="2"/>
      <c r="B157" s="2"/>
      <c r="C157" s="2"/>
      <c r="E157" s="190"/>
      <c r="G157" s="2"/>
      <c r="AU157" s="271"/>
    </row>
    <row r="158" spans="1:47" s="7" customFormat="1" x14ac:dyDescent="0.3">
      <c r="A158" s="2"/>
      <c r="B158" s="2"/>
      <c r="C158" s="2"/>
      <c r="E158" s="190"/>
      <c r="G158" s="2"/>
      <c r="AU158" s="271"/>
    </row>
    <row r="159" spans="1:47" s="7" customFormat="1" x14ac:dyDescent="0.3">
      <c r="A159" s="2"/>
      <c r="B159" s="2"/>
      <c r="C159" s="2"/>
      <c r="E159" s="190"/>
      <c r="G159" s="2"/>
      <c r="AU159" s="271"/>
    </row>
    <row r="160" spans="1:47" s="7" customFormat="1" x14ac:dyDescent="0.3">
      <c r="A160" s="2"/>
      <c r="B160" s="2"/>
      <c r="C160" s="2"/>
      <c r="E160" s="190"/>
      <c r="G160" s="2"/>
      <c r="AU160" s="271"/>
    </row>
    <row r="161" spans="1:47" s="7" customFormat="1" x14ac:dyDescent="0.3">
      <c r="A161" s="2"/>
      <c r="B161" s="2"/>
      <c r="C161" s="2"/>
      <c r="E161" s="190"/>
      <c r="G161" s="2"/>
      <c r="AU161" s="271"/>
    </row>
    <row r="162" spans="1:47" s="7" customFormat="1" x14ac:dyDescent="0.3">
      <c r="A162" s="2"/>
      <c r="B162" s="2"/>
      <c r="C162" s="2"/>
      <c r="E162" s="190"/>
      <c r="G162" s="2"/>
      <c r="AU162" s="271"/>
    </row>
    <row r="163" spans="1:47" s="7" customFormat="1" x14ac:dyDescent="0.3">
      <c r="A163" s="2"/>
      <c r="B163" s="2"/>
      <c r="C163" s="2"/>
      <c r="E163" s="190"/>
      <c r="G163" s="2"/>
      <c r="AU163" s="271"/>
    </row>
    <row r="164" spans="1:47" s="7" customFormat="1" x14ac:dyDescent="0.3">
      <c r="A164" s="2"/>
      <c r="B164" s="2"/>
      <c r="C164" s="2"/>
      <c r="E164" s="190"/>
      <c r="G164" s="2"/>
      <c r="AU164" s="271"/>
    </row>
    <row r="165" spans="1:47" s="7" customFormat="1" x14ac:dyDescent="0.3">
      <c r="A165" s="2"/>
      <c r="B165" s="2"/>
      <c r="C165" s="2"/>
      <c r="E165" s="190"/>
      <c r="G165" s="2"/>
      <c r="AU165" s="271"/>
    </row>
    <row r="166" spans="1:47" s="7" customFormat="1" x14ac:dyDescent="0.3">
      <c r="A166" s="2"/>
      <c r="B166" s="2"/>
      <c r="C166" s="2"/>
      <c r="E166" s="190"/>
      <c r="G166" s="2"/>
      <c r="AU166" s="271"/>
    </row>
    <row r="167" spans="1:47" s="7" customFormat="1" x14ac:dyDescent="0.3">
      <c r="A167" s="2"/>
      <c r="B167" s="2"/>
      <c r="C167" s="2"/>
      <c r="E167" s="190"/>
      <c r="G167" s="2"/>
      <c r="AU167" s="271"/>
    </row>
    <row r="168" spans="1:47" s="7" customFormat="1" x14ac:dyDescent="0.3">
      <c r="A168" s="2"/>
      <c r="B168" s="2"/>
      <c r="C168" s="2"/>
      <c r="E168" s="190"/>
      <c r="G168" s="2"/>
      <c r="AU168" s="271"/>
    </row>
    <row r="169" spans="1:47" s="7" customFormat="1" x14ac:dyDescent="0.3">
      <c r="A169" s="2"/>
      <c r="B169" s="2"/>
      <c r="C169" s="2"/>
      <c r="E169" s="190"/>
      <c r="G169" s="2"/>
      <c r="AU169" s="271"/>
    </row>
    <row r="170" spans="1:47" s="7" customFormat="1" x14ac:dyDescent="0.3">
      <c r="A170" s="2"/>
      <c r="B170" s="2"/>
      <c r="C170" s="2"/>
      <c r="E170" s="190"/>
      <c r="G170" s="2"/>
      <c r="AU170" s="271"/>
    </row>
    <row r="171" spans="1:47" s="7" customFormat="1" x14ac:dyDescent="0.3">
      <c r="A171" s="2"/>
      <c r="B171" s="2"/>
      <c r="C171" s="2"/>
      <c r="E171" s="190"/>
      <c r="G171" s="2"/>
      <c r="AU171" s="271"/>
    </row>
    <row r="172" spans="1:47" s="7" customFormat="1" x14ac:dyDescent="0.3">
      <c r="A172" s="2"/>
      <c r="B172" s="2"/>
      <c r="C172" s="2"/>
      <c r="E172" s="190"/>
      <c r="G172" s="2"/>
      <c r="AU172" s="271"/>
    </row>
    <row r="173" spans="1:47" s="7" customFormat="1" x14ac:dyDescent="0.3">
      <c r="A173" s="2"/>
      <c r="B173" s="2"/>
      <c r="C173" s="2"/>
      <c r="E173" s="190"/>
      <c r="G173" s="2"/>
      <c r="AU173" s="271"/>
    </row>
    <row r="174" spans="1:47" s="7" customFormat="1" x14ac:dyDescent="0.3">
      <c r="A174" s="2"/>
      <c r="B174" s="2"/>
      <c r="C174" s="2"/>
      <c r="E174" s="190"/>
      <c r="G174" s="2"/>
      <c r="AU174" s="271"/>
    </row>
    <row r="175" spans="1:47" s="7" customFormat="1" x14ac:dyDescent="0.3">
      <c r="A175" s="2"/>
      <c r="B175" s="2"/>
      <c r="C175" s="2"/>
      <c r="E175" s="190"/>
      <c r="G175" s="2"/>
      <c r="AU175" s="271"/>
    </row>
    <row r="176" spans="1:47" s="7" customFormat="1" x14ac:dyDescent="0.3">
      <c r="A176" s="2"/>
      <c r="B176" s="2"/>
      <c r="C176" s="2"/>
      <c r="E176" s="190"/>
      <c r="G176" s="2"/>
      <c r="AU176" s="271"/>
    </row>
    <row r="177" spans="1:47" s="7" customFormat="1" x14ac:dyDescent="0.3">
      <c r="A177" s="2"/>
      <c r="B177" s="2"/>
      <c r="C177" s="2"/>
      <c r="E177" s="190"/>
      <c r="G177" s="2"/>
      <c r="AU177" s="271"/>
    </row>
    <row r="178" spans="1:47" s="7" customFormat="1" x14ac:dyDescent="0.3">
      <c r="A178" s="2"/>
      <c r="B178" s="2"/>
      <c r="C178" s="2"/>
      <c r="E178" s="190"/>
      <c r="G178" s="2"/>
      <c r="AU178" s="271"/>
    </row>
    <row r="179" spans="1:47" s="7" customFormat="1" x14ac:dyDescent="0.3">
      <c r="A179" s="2"/>
      <c r="B179" s="2"/>
      <c r="C179" s="2"/>
      <c r="E179" s="190"/>
      <c r="G179" s="2"/>
      <c r="AU179" s="271"/>
    </row>
    <row r="180" spans="1:47" s="7" customFormat="1" x14ac:dyDescent="0.3">
      <c r="A180" s="2"/>
      <c r="B180" s="2"/>
      <c r="C180" s="2"/>
      <c r="E180" s="190"/>
      <c r="G180" s="2"/>
      <c r="AU180" s="271"/>
    </row>
    <row r="181" spans="1:47" s="7" customFormat="1" x14ac:dyDescent="0.3">
      <c r="A181" s="2"/>
      <c r="B181" s="2"/>
      <c r="C181" s="2"/>
      <c r="E181" s="190"/>
      <c r="G181" s="2"/>
      <c r="AU181" s="271"/>
    </row>
    <row r="182" spans="1:47" s="7" customFormat="1" x14ac:dyDescent="0.3">
      <c r="A182" s="2"/>
      <c r="B182" s="2"/>
      <c r="C182" s="2"/>
      <c r="E182" s="190"/>
      <c r="G182" s="2"/>
      <c r="AU182" s="271"/>
    </row>
    <row r="183" spans="1:47" s="7" customFormat="1" x14ac:dyDescent="0.3">
      <c r="A183" s="2"/>
      <c r="B183" s="2"/>
      <c r="C183" s="2"/>
      <c r="E183" s="190"/>
      <c r="G183" s="2"/>
      <c r="AU183" s="271"/>
    </row>
    <row r="184" spans="1:47" s="7" customFormat="1" x14ac:dyDescent="0.3">
      <c r="A184" s="2"/>
      <c r="B184" s="2"/>
      <c r="C184" s="2"/>
      <c r="E184" s="190"/>
      <c r="G184" s="2"/>
      <c r="AU184" s="271"/>
    </row>
    <row r="185" spans="1:47" s="7" customFormat="1" x14ac:dyDescent="0.3">
      <c r="A185" s="2"/>
      <c r="B185" s="2"/>
      <c r="C185" s="2"/>
      <c r="E185" s="190"/>
      <c r="G185" s="2"/>
      <c r="AU185" s="271"/>
    </row>
    <row r="186" spans="1:47" s="7" customFormat="1" x14ac:dyDescent="0.3">
      <c r="A186" s="2"/>
      <c r="B186" s="2"/>
      <c r="C186" s="2"/>
      <c r="E186" s="190"/>
      <c r="G186" s="2"/>
      <c r="AU186" s="271"/>
    </row>
    <row r="187" spans="1:47" s="7" customFormat="1" x14ac:dyDescent="0.3">
      <c r="A187" s="2"/>
      <c r="B187" s="2"/>
      <c r="C187" s="2"/>
      <c r="E187" s="190"/>
      <c r="G187" s="2"/>
      <c r="AU187" s="271"/>
    </row>
    <row r="188" spans="1:47" s="7" customFormat="1" x14ac:dyDescent="0.3">
      <c r="A188" s="2"/>
      <c r="B188" s="2"/>
      <c r="C188" s="2"/>
      <c r="E188" s="190"/>
      <c r="G188" s="2"/>
      <c r="AU188" s="271"/>
    </row>
    <row r="189" spans="1:47" s="7" customFormat="1" x14ac:dyDescent="0.3">
      <c r="A189" s="2"/>
      <c r="B189" s="2"/>
      <c r="C189" s="2"/>
      <c r="E189" s="190"/>
      <c r="G189" s="2"/>
      <c r="AU189" s="271"/>
    </row>
    <row r="190" spans="1:47" s="7" customFormat="1" x14ac:dyDescent="0.3">
      <c r="A190" s="2"/>
      <c r="B190" s="2"/>
      <c r="C190" s="2"/>
      <c r="E190" s="190"/>
      <c r="G190" s="2"/>
      <c r="AU190" s="271"/>
    </row>
    <row r="191" spans="1:47" s="7" customFormat="1" x14ac:dyDescent="0.3">
      <c r="A191" s="2"/>
      <c r="B191" s="2"/>
      <c r="C191" s="2"/>
      <c r="E191" s="190"/>
      <c r="G191" s="2"/>
      <c r="AU191" s="271"/>
    </row>
    <row r="192" spans="1:47" s="7" customFormat="1" x14ac:dyDescent="0.3">
      <c r="A192" s="2"/>
      <c r="B192" s="2"/>
      <c r="C192" s="2"/>
      <c r="E192" s="190"/>
      <c r="G192" s="2"/>
      <c r="AU192" s="271"/>
    </row>
    <row r="193" spans="1:47" s="7" customFormat="1" x14ac:dyDescent="0.3">
      <c r="A193" s="2"/>
      <c r="B193" s="2"/>
      <c r="C193" s="2"/>
      <c r="E193" s="190"/>
      <c r="G193" s="2"/>
      <c r="AU193" s="271"/>
    </row>
    <row r="194" spans="1:47" s="7" customFormat="1" x14ac:dyDescent="0.3">
      <c r="A194" s="2"/>
      <c r="B194" s="2"/>
      <c r="C194" s="2"/>
      <c r="E194" s="190"/>
      <c r="G194" s="2"/>
      <c r="AU194" s="271"/>
    </row>
    <row r="195" spans="1:47" s="7" customFormat="1" x14ac:dyDescent="0.3">
      <c r="A195" s="2"/>
      <c r="B195" s="2"/>
      <c r="C195" s="2"/>
      <c r="E195" s="190"/>
      <c r="G195" s="2"/>
      <c r="AU195" s="271"/>
    </row>
    <row r="196" spans="1:47" s="7" customFormat="1" x14ac:dyDescent="0.3">
      <c r="A196" s="2"/>
      <c r="B196" s="2"/>
      <c r="C196" s="2"/>
      <c r="E196" s="190"/>
      <c r="G196" s="2"/>
      <c r="AU196" s="271"/>
    </row>
    <row r="197" spans="1:47" s="7" customFormat="1" x14ac:dyDescent="0.3">
      <c r="A197" s="2"/>
      <c r="B197" s="2"/>
      <c r="C197" s="2"/>
      <c r="E197" s="190"/>
      <c r="G197" s="2"/>
      <c r="AU197" s="271"/>
    </row>
    <row r="198" spans="1:47" s="7" customFormat="1" x14ac:dyDescent="0.3">
      <c r="A198" s="2"/>
      <c r="B198" s="2"/>
      <c r="C198" s="2"/>
      <c r="E198" s="190"/>
      <c r="G198" s="2"/>
      <c r="AU198" s="271"/>
    </row>
    <row r="199" spans="1:47" s="7" customFormat="1" x14ac:dyDescent="0.3">
      <c r="A199" s="2"/>
      <c r="B199" s="2"/>
      <c r="C199" s="2"/>
      <c r="E199" s="190"/>
      <c r="G199" s="2"/>
      <c r="AU199" s="271"/>
    </row>
    <row r="200" spans="1:47" s="7" customFormat="1" x14ac:dyDescent="0.3">
      <c r="A200" s="2"/>
      <c r="B200" s="2"/>
      <c r="C200" s="2"/>
      <c r="E200" s="190"/>
      <c r="G200" s="2"/>
      <c r="AU200" s="271"/>
    </row>
    <row r="201" spans="1:47" s="7" customFormat="1" x14ac:dyDescent="0.3">
      <c r="A201" s="2"/>
      <c r="B201" s="2"/>
      <c r="C201" s="2"/>
      <c r="E201" s="190"/>
      <c r="G201" s="2"/>
      <c r="AU201" s="271"/>
    </row>
    <row r="202" spans="1:47" s="7" customFormat="1" x14ac:dyDescent="0.3">
      <c r="A202" s="2"/>
      <c r="B202" s="2"/>
      <c r="C202" s="2"/>
      <c r="E202" s="190"/>
      <c r="G202" s="2"/>
      <c r="AU202" s="271"/>
    </row>
    <row r="203" spans="1:47" s="7" customFormat="1" x14ac:dyDescent="0.3">
      <c r="A203" s="2"/>
      <c r="B203" s="2"/>
      <c r="C203" s="2"/>
      <c r="E203" s="190"/>
      <c r="G203" s="2"/>
      <c r="AU203" s="271"/>
    </row>
    <row r="204" spans="1:47" s="7" customFormat="1" x14ac:dyDescent="0.3">
      <c r="A204" s="2"/>
      <c r="B204" s="2"/>
      <c r="C204" s="2"/>
      <c r="E204" s="190"/>
      <c r="G204" s="2"/>
      <c r="AU204" s="271"/>
    </row>
    <row r="205" spans="1:47" s="7" customFormat="1" x14ac:dyDescent="0.3">
      <c r="A205" s="2"/>
      <c r="B205" s="2"/>
      <c r="C205" s="2"/>
      <c r="E205" s="190"/>
      <c r="G205" s="2"/>
      <c r="AU205" s="271"/>
    </row>
    <row r="206" spans="1:47" s="7" customFormat="1" x14ac:dyDescent="0.3">
      <c r="A206" s="2"/>
      <c r="B206" s="2"/>
      <c r="C206" s="2"/>
      <c r="E206" s="190"/>
      <c r="G206" s="2"/>
      <c r="AU206" s="271"/>
    </row>
    <row r="207" spans="1:47" s="7" customFormat="1" x14ac:dyDescent="0.3">
      <c r="A207" s="2"/>
      <c r="B207" s="2"/>
      <c r="C207" s="2"/>
      <c r="E207" s="190"/>
      <c r="G207" s="2"/>
      <c r="AU207" s="271"/>
    </row>
    <row r="208" spans="1:47" s="7" customFormat="1" x14ac:dyDescent="0.3">
      <c r="A208" s="2"/>
      <c r="B208" s="2"/>
      <c r="C208" s="2"/>
      <c r="E208" s="190"/>
      <c r="G208" s="2"/>
      <c r="AU208" s="271"/>
    </row>
    <row r="209" spans="1:47" s="7" customFormat="1" x14ac:dyDescent="0.3">
      <c r="A209" s="2"/>
      <c r="B209" s="2"/>
      <c r="C209" s="2"/>
      <c r="E209" s="190"/>
      <c r="G209" s="2"/>
      <c r="AU209" s="271"/>
    </row>
    <row r="210" spans="1:47" s="7" customFormat="1" x14ac:dyDescent="0.3">
      <c r="A210" s="2"/>
      <c r="B210" s="2"/>
      <c r="C210" s="2"/>
      <c r="E210" s="190"/>
      <c r="G210" s="2"/>
      <c r="AU210" s="271"/>
    </row>
    <row r="211" spans="1:47" s="7" customFormat="1" x14ac:dyDescent="0.3">
      <c r="A211" s="2"/>
      <c r="B211" s="2"/>
      <c r="C211" s="2"/>
      <c r="E211" s="190"/>
      <c r="G211" s="2"/>
      <c r="AU211" s="271"/>
    </row>
    <row r="212" spans="1:47" s="7" customFormat="1" x14ac:dyDescent="0.3">
      <c r="A212" s="2"/>
      <c r="B212" s="2"/>
      <c r="C212" s="2"/>
      <c r="E212" s="190"/>
      <c r="G212" s="2"/>
      <c r="AU212" s="271"/>
    </row>
    <row r="213" spans="1:47" s="7" customFormat="1" x14ac:dyDescent="0.3">
      <c r="A213" s="2"/>
      <c r="B213" s="2"/>
      <c r="C213" s="2"/>
      <c r="E213" s="190"/>
      <c r="G213" s="2"/>
      <c r="AU213" s="271"/>
    </row>
    <row r="214" spans="1:47" s="7" customFormat="1" x14ac:dyDescent="0.3">
      <c r="A214" s="2"/>
      <c r="B214" s="2"/>
      <c r="C214" s="2"/>
      <c r="E214" s="190"/>
      <c r="G214" s="2"/>
      <c r="AU214" s="271"/>
    </row>
    <row r="215" spans="1:47" s="7" customFormat="1" x14ac:dyDescent="0.3">
      <c r="A215" s="2"/>
      <c r="B215" s="2"/>
      <c r="C215" s="2"/>
      <c r="E215" s="190"/>
      <c r="G215" s="2"/>
      <c r="AU215" s="271"/>
    </row>
    <row r="216" spans="1:47" s="7" customFormat="1" x14ac:dyDescent="0.3">
      <c r="A216" s="2"/>
      <c r="B216" s="2"/>
      <c r="C216" s="2"/>
      <c r="E216" s="190"/>
      <c r="G216" s="2"/>
      <c r="AU216" s="271"/>
    </row>
    <row r="217" spans="1:47" s="7" customFormat="1" x14ac:dyDescent="0.3">
      <c r="A217" s="2"/>
      <c r="B217" s="2"/>
      <c r="C217" s="2"/>
      <c r="E217" s="190"/>
      <c r="G217" s="2"/>
      <c r="AU217" s="271"/>
    </row>
    <row r="218" spans="1:47" s="7" customFormat="1" x14ac:dyDescent="0.3">
      <c r="A218" s="2"/>
      <c r="B218" s="2"/>
      <c r="C218" s="2"/>
      <c r="E218" s="190"/>
      <c r="G218" s="2"/>
      <c r="AU218" s="271"/>
    </row>
    <row r="219" spans="1:47" s="7" customFormat="1" x14ac:dyDescent="0.3">
      <c r="A219" s="2"/>
      <c r="B219" s="2"/>
      <c r="C219" s="2"/>
      <c r="E219" s="190"/>
      <c r="G219" s="2"/>
      <c r="AU219" s="271"/>
    </row>
    <row r="220" spans="1:47" s="7" customFormat="1" x14ac:dyDescent="0.3">
      <c r="A220" s="2"/>
      <c r="B220" s="2"/>
      <c r="C220" s="2"/>
      <c r="E220" s="190"/>
      <c r="G220" s="2"/>
      <c r="AU220" s="271"/>
    </row>
    <row r="221" spans="1:47" s="7" customFormat="1" x14ac:dyDescent="0.3">
      <c r="A221" s="2"/>
      <c r="B221" s="2"/>
      <c r="C221" s="2"/>
      <c r="E221" s="190"/>
      <c r="G221" s="2"/>
      <c r="AU221" s="271"/>
    </row>
    <row r="222" spans="1:47" s="7" customFormat="1" x14ac:dyDescent="0.3">
      <c r="A222" s="2"/>
      <c r="B222" s="2"/>
      <c r="C222" s="2"/>
      <c r="E222" s="190"/>
      <c r="G222" s="2"/>
      <c r="AU222" s="271"/>
    </row>
    <row r="223" spans="1:47" s="7" customFormat="1" x14ac:dyDescent="0.3">
      <c r="A223" s="2"/>
      <c r="B223" s="2"/>
      <c r="C223" s="2"/>
      <c r="E223" s="190"/>
      <c r="G223" s="2"/>
      <c r="AU223" s="271"/>
    </row>
    <row r="224" spans="1:47" s="7" customFormat="1" x14ac:dyDescent="0.3">
      <c r="A224" s="2"/>
      <c r="B224" s="2"/>
      <c r="C224" s="2"/>
      <c r="E224" s="190"/>
      <c r="G224" s="2"/>
      <c r="AU224" s="271"/>
    </row>
    <row r="225" spans="1:47" s="7" customFormat="1" x14ac:dyDescent="0.3">
      <c r="A225" s="2"/>
      <c r="B225" s="2"/>
      <c r="C225" s="2"/>
      <c r="E225" s="190"/>
      <c r="G225" s="2"/>
      <c r="AU225" s="271"/>
    </row>
    <row r="226" spans="1:47" s="7" customFormat="1" x14ac:dyDescent="0.3">
      <c r="A226" s="2"/>
      <c r="B226" s="2"/>
      <c r="C226" s="2"/>
      <c r="E226" s="190"/>
      <c r="G226" s="2"/>
      <c r="AU226" s="271"/>
    </row>
    <row r="227" spans="1:47" s="7" customFormat="1" x14ac:dyDescent="0.3">
      <c r="A227" s="2"/>
      <c r="B227" s="2"/>
      <c r="C227" s="2"/>
      <c r="E227" s="190"/>
      <c r="G227" s="2"/>
      <c r="AU227" s="271"/>
    </row>
    <row r="228" spans="1:47" s="7" customFormat="1" x14ac:dyDescent="0.3">
      <c r="A228" s="2"/>
      <c r="B228" s="2"/>
      <c r="C228" s="2"/>
      <c r="E228" s="190"/>
      <c r="G228" s="2"/>
      <c r="AU228" s="271"/>
    </row>
    <row r="229" spans="1:47" s="7" customFormat="1" x14ac:dyDescent="0.3">
      <c r="A229" s="2"/>
      <c r="B229" s="2"/>
      <c r="C229" s="2"/>
      <c r="E229" s="190"/>
      <c r="G229" s="2"/>
      <c r="AU229" s="271"/>
    </row>
    <row r="230" spans="1:47" s="7" customFormat="1" x14ac:dyDescent="0.3">
      <c r="A230" s="2"/>
      <c r="B230" s="2"/>
      <c r="C230" s="2"/>
      <c r="E230" s="190"/>
      <c r="G230" s="2"/>
      <c r="AU230" s="271"/>
    </row>
    <row r="231" spans="1:47" s="7" customFormat="1" x14ac:dyDescent="0.3">
      <c r="A231" s="2"/>
      <c r="B231" s="2"/>
      <c r="C231" s="2"/>
      <c r="E231" s="190"/>
      <c r="G231" s="2"/>
      <c r="AU231" s="271"/>
    </row>
    <row r="232" spans="1:47" s="7" customFormat="1" x14ac:dyDescent="0.3">
      <c r="A232" s="2"/>
      <c r="B232" s="2"/>
      <c r="C232" s="2"/>
      <c r="E232" s="190"/>
      <c r="G232" s="2"/>
      <c r="AU232" s="271"/>
    </row>
    <row r="233" spans="1:47" s="7" customFormat="1" x14ac:dyDescent="0.3">
      <c r="A233" s="2"/>
      <c r="B233" s="2"/>
      <c r="C233" s="2"/>
      <c r="E233" s="190"/>
      <c r="G233" s="2"/>
      <c r="AU233" s="271"/>
    </row>
    <row r="234" spans="1:47" s="7" customFormat="1" x14ac:dyDescent="0.3">
      <c r="A234" s="2"/>
      <c r="B234" s="2"/>
      <c r="C234" s="2"/>
      <c r="E234" s="190"/>
      <c r="G234" s="2"/>
      <c r="AU234" s="271"/>
    </row>
    <row r="235" spans="1:47" s="7" customFormat="1" x14ac:dyDescent="0.3">
      <c r="A235" s="2"/>
      <c r="B235" s="2"/>
      <c r="C235" s="2"/>
      <c r="E235" s="190"/>
      <c r="G235" s="2"/>
      <c r="AU235" s="271"/>
    </row>
    <row r="236" spans="1:47" s="7" customFormat="1" x14ac:dyDescent="0.3">
      <c r="A236" s="2"/>
      <c r="B236" s="2"/>
      <c r="C236" s="2"/>
      <c r="E236" s="190"/>
      <c r="G236" s="2"/>
      <c r="AU236" s="271"/>
    </row>
    <row r="237" spans="1:47" s="7" customFormat="1" x14ac:dyDescent="0.3">
      <c r="A237" s="2"/>
      <c r="B237" s="2"/>
      <c r="C237" s="2"/>
      <c r="E237" s="190"/>
      <c r="G237" s="2"/>
      <c r="AU237" s="271"/>
    </row>
    <row r="238" spans="1:47" s="7" customFormat="1" x14ac:dyDescent="0.3">
      <c r="A238" s="2"/>
      <c r="B238" s="2"/>
      <c r="C238" s="2"/>
      <c r="E238" s="190"/>
      <c r="G238" s="2"/>
      <c r="AU238" s="271"/>
    </row>
    <row r="239" spans="1:47" s="7" customFormat="1" x14ac:dyDescent="0.3">
      <c r="A239" s="2"/>
      <c r="B239" s="2"/>
      <c r="C239" s="2"/>
      <c r="E239" s="190"/>
      <c r="G239" s="2"/>
      <c r="AU239" s="271"/>
    </row>
    <row r="240" spans="1:47" s="7" customFormat="1" x14ac:dyDescent="0.3">
      <c r="A240" s="2"/>
      <c r="B240" s="2"/>
      <c r="C240" s="2"/>
      <c r="E240" s="190"/>
      <c r="G240" s="2"/>
      <c r="AU240" s="271"/>
    </row>
    <row r="241" spans="1:47" s="7" customFormat="1" x14ac:dyDescent="0.3">
      <c r="A241" s="2"/>
      <c r="B241" s="2"/>
      <c r="C241" s="2"/>
      <c r="E241" s="190"/>
      <c r="G241" s="2"/>
      <c r="AU241" s="271"/>
    </row>
    <row r="242" spans="1:47" s="7" customFormat="1" x14ac:dyDescent="0.3">
      <c r="A242" s="2"/>
      <c r="B242" s="2"/>
      <c r="C242" s="2"/>
      <c r="E242" s="190"/>
      <c r="G242" s="2"/>
      <c r="AU242" s="271"/>
    </row>
    <row r="243" spans="1:47" s="7" customFormat="1" x14ac:dyDescent="0.3">
      <c r="A243" s="2"/>
      <c r="B243" s="2"/>
      <c r="C243" s="2"/>
      <c r="E243" s="190"/>
      <c r="G243" s="2"/>
      <c r="AU243" s="271"/>
    </row>
    <row r="244" spans="1:47" s="7" customFormat="1" x14ac:dyDescent="0.3">
      <c r="A244" s="2"/>
      <c r="B244" s="2"/>
      <c r="C244" s="2"/>
      <c r="E244" s="190"/>
      <c r="G244" s="2"/>
      <c r="AU244" s="271"/>
    </row>
    <row r="245" spans="1:47" s="7" customFormat="1" x14ac:dyDescent="0.3">
      <c r="A245" s="2"/>
      <c r="B245" s="2"/>
      <c r="C245" s="2"/>
      <c r="E245" s="190"/>
      <c r="G245" s="2"/>
      <c r="AU245" s="271"/>
    </row>
    <row r="246" spans="1:47" s="7" customFormat="1" x14ac:dyDescent="0.3">
      <c r="A246" s="2"/>
      <c r="B246" s="2"/>
      <c r="C246" s="2"/>
      <c r="E246" s="190"/>
      <c r="G246" s="2"/>
      <c r="AU246" s="271"/>
    </row>
    <row r="247" spans="1:47" s="7" customFormat="1" x14ac:dyDescent="0.3">
      <c r="A247" s="2"/>
      <c r="B247" s="2"/>
      <c r="C247" s="2"/>
      <c r="E247" s="190"/>
      <c r="G247" s="2"/>
      <c r="AU247" s="271"/>
    </row>
    <row r="248" spans="1:47" s="7" customFormat="1" x14ac:dyDescent="0.3">
      <c r="A248" s="2"/>
      <c r="B248" s="2"/>
      <c r="C248" s="2"/>
      <c r="E248" s="190"/>
      <c r="G248" s="2"/>
      <c r="AU248" s="271"/>
    </row>
    <row r="249" spans="1:47" s="7" customFormat="1" x14ac:dyDescent="0.3">
      <c r="A249" s="2"/>
      <c r="B249" s="2"/>
      <c r="C249" s="2"/>
      <c r="E249" s="190"/>
      <c r="G249" s="2"/>
      <c r="AU249" s="271"/>
    </row>
    <row r="250" spans="1:47" s="7" customFormat="1" x14ac:dyDescent="0.3">
      <c r="A250" s="2"/>
      <c r="B250" s="2"/>
      <c r="C250" s="2"/>
      <c r="E250" s="190"/>
      <c r="G250" s="2"/>
      <c r="AU250" s="271"/>
    </row>
    <row r="251" spans="1:47" s="7" customFormat="1" x14ac:dyDescent="0.3">
      <c r="A251" s="2"/>
      <c r="B251" s="2"/>
      <c r="C251" s="2"/>
      <c r="E251" s="190"/>
      <c r="G251" s="2"/>
      <c r="AU251" s="271"/>
    </row>
    <row r="252" spans="1:47" s="7" customFormat="1" x14ac:dyDescent="0.3">
      <c r="A252" s="2"/>
      <c r="B252" s="2"/>
      <c r="C252" s="2"/>
      <c r="E252" s="190"/>
      <c r="G252" s="2"/>
      <c r="AU252" s="271"/>
    </row>
  </sheetData>
  <mergeCells count="15">
    <mergeCell ref="E43:E54"/>
    <mergeCell ref="M5:P5"/>
    <mergeCell ref="Z5:AD5"/>
    <mergeCell ref="AE5:AI5"/>
    <mergeCell ref="AJ5:AN5"/>
    <mergeCell ref="E16:E19"/>
    <mergeCell ref="E7:E14"/>
    <mergeCell ref="E4:G6"/>
    <mergeCell ref="Z4:AN4"/>
    <mergeCell ref="H5:H6"/>
    <mergeCell ref="Q5:Q6"/>
    <mergeCell ref="R5:R6"/>
    <mergeCell ref="S5:S6"/>
    <mergeCell ref="E30:E41"/>
    <mergeCell ref="E21:E27"/>
  </mergeCells>
  <phoneticPr fontId="3" type="noConversion"/>
  <conditionalFormatting sqref="J7:J14">
    <cfRule type="dataBar" priority="1">
      <dataBar>
        <cfvo type="min"/>
        <cfvo type="percent" val="100"/>
        <color rgb="FFFF555A"/>
      </dataBar>
      <extLst>
        <ext xmlns:x14="http://schemas.microsoft.com/office/spreadsheetml/2009/9/main" uri="{B025F937-C7B1-47D3-B67F-A62EFF666E3E}">
          <x14:id>{74EC4DF9-1936-481E-9355-B5528A857344}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EC4DF9-1936-481E-9355-B5528A857344}">
            <x14:dataBar minLength="0" maxLength="100" border="1" negativeBarBorderColorSameAsPositive="0">
              <x14:cfvo type="autoMin"/>
              <x14:cfvo type="percent">
                <xm:f>100</xm:f>
              </x14:cfvo>
              <x14:borderColor rgb="FFFF555A"/>
              <x14:negativeFillColor rgb="FFFF0000"/>
              <x14:negativeBorderColor rgb="FFFF0000"/>
              <x14:axisColor rgb="FF000000"/>
            </x14:dataBar>
          </x14:cfRule>
          <xm:sqref>J7:J14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1281-6EC9-4968-B134-CAE097E98C58}">
  <sheetPr>
    <tabColor rgb="FF00B050"/>
    <pageSetUpPr fitToPage="1"/>
  </sheetPr>
  <dimension ref="A1:AL62"/>
  <sheetViews>
    <sheetView zoomScale="85" zoomScaleNormal="85" workbookViewId="0">
      <pane xSplit="4" ySplit="6" topLeftCell="E7" activePane="bottomRight" state="frozen"/>
      <selection pane="topRight" activeCell="C1" sqref="C1"/>
      <selection pane="bottomLeft" activeCell="A5" sqref="A5"/>
      <selection pane="bottomRight" activeCell="L7" sqref="L7:M37"/>
    </sheetView>
  </sheetViews>
  <sheetFormatPr defaultRowHeight="16.5" outlineLevelRow="1" outlineLevelCol="1" x14ac:dyDescent="0.3"/>
  <cols>
    <col min="1" max="1" width="9" outlineLevel="1"/>
    <col min="5" max="5" width="11" customWidth="1"/>
    <col min="10" max="11" width="10.125" bestFit="1" customWidth="1"/>
    <col min="15" max="15" width="9.875" bestFit="1" customWidth="1"/>
    <col min="25" max="25" width="4.75" style="27" customWidth="1"/>
    <col min="26" max="27" width="10.875" bestFit="1" customWidth="1"/>
    <col min="28" max="29" width="9.875" bestFit="1" customWidth="1"/>
    <col min="31" max="31" width="4.25" style="27" customWidth="1"/>
    <col min="34" max="34" width="9.875" bestFit="1" customWidth="1"/>
  </cols>
  <sheetData>
    <row r="1" spans="1:38" s="27" customFormat="1" outlineLevel="1" x14ac:dyDescent="0.3">
      <c r="C1" s="28"/>
      <c r="D1" s="28"/>
      <c r="E1" s="28" t="s">
        <v>62</v>
      </c>
      <c r="F1" s="28" t="str">
        <f>E1</f>
        <v>파트너채널팀</v>
      </c>
      <c r="G1" s="28" t="str">
        <f t="shared" ref="G1:I1" si="0">F1</f>
        <v>파트너채널팀</v>
      </c>
      <c r="H1" s="28" t="str">
        <f t="shared" si="0"/>
        <v>파트너채널팀</v>
      </c>
      <c r="I1" s="28" t="str">
        <f t="shared" si="0"/>
        <v>파트너채널팀</v>
      </c>
      <c r="J1" s="28" t="s">
        <v>64</v>
      </c>
      <c r="K1" s="28" t="str">
        <f>J1</f>
        <v>리테일채널팀</v>
      </c>
      <c r="L1" s="28" t="str">
        <f t="shared" ref="L1:N1" si="1">K1</f>
        <v>리테일채널팀</v>
      </c>
      <c r="M1" s="28" t="str">
        <f t="shared" si="1"/>
        <v>리테일채널팀</v>
      </c>
      <c r="N1" s="28" t="str">
        <f t="shared" si="1"/>
        <v>리테일채널팀</v>
      </c>
      <c r="O1" s="28" t="s">
        <v>66</v>
      </c>
      <c r="P1" s="28" t="str">
        <f>O1</f>
        <v>E-biz</v>
      </c>
      <c r="Q1" s="28" t="str">
        <f t="shared" ref="Q1:S1" si="2">P1</f>
        <v>E-biz</v>
      </c>
      <c r="R1" s="28" t="str">
        <f t="shared" si="2"/>
        <v>E-biz</v>
      </c>
      <c r="S1" s="28" t="str">
        <f t="shared" si="2"/>
        <v>E-biz</v>
      </c>
      <c r="T1" s="28"/>
      <c r="U1" s="28"/>
      <c r="V1" s="28"/>
      <c r="W1" s="28"/>
      <c r="X1" s="28"/>
      <c r="Z1" s="28" t="s">
        <v>62</v>
      </c>
      <c r="AA1" s="28" t="str">
        <f t="shared" ref="AA1:AD1" si="3">Z1</f>
        <v>파트너채널팀</v>
      </c>
      <c r="AB1" s="28" t="str">
        <f t="shared" si="3"/>
        <v>파트너채널팀</v>
      </c>
      <c r="AC1" s="28" t="str">
        <f t="shared" si="3"/>
        <v>파트너채널팀</v>
      </c>
      <c r="AD1" s="28" t="str">
        <f t="shared" si="3"/>
        <v>파트너채널팀</v>
      </c>
      <c r="AF1" s="28"/>
      <c r="AG1" s="28"/>
      <c r="AH1" s="28"/>
      <c r="AI1" s="28"/>
      <c r="AJ1" s="28"/>
    </row>
    <row r="2" spans="1:38" s="27" customFormat="1" outlineLevel="1" x14ac:dyDescent="0.3">
      <c r="C2" s="28"/>
      <c r="D2" s="28"/>
      <c r="E2" s="28"/>
      <c r="F2" s="28"/>
      <c r="G2" s="28" t="s">
        <v>53</v>
      </c>
      <c r="H2" s="28" t="s">
        <v>53</v>
      </c>
      <c r="I2" s="28"/>
      <c r="J2" s="28"/>
      <c r="K2" s="28"/>
      <c r="L2" s="28" t="s">
        <v>53</v>
      </c>
      <c r="M2" s="28" t="s">
        <v>53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Z2" s="28"/>
      <c r="AA2" s="28"/>
      <c r="AB2" s="28" t="s">
        <v>57</v>
      </c>
      <c r="AC2" s="28" t="s">
        <v>57</v>
      </c>
      <c r="AD2" s="28"/>
      <c r="AF2" s="28"/>
      <c r="AG2" s="28"/>
      <c r="AH2" s="28"/>
      <c r="AI2" s="28"/>
      <c r="AJ2" s="28"/>
    </row>
    <row r="3" spans="1:38" s="27" customFormat="1" outlineLevel="1" x14ac:dyDescent="0.3">
      <c r="C3" s="28"/>
      <c r="D3" s="28"/>
      <c r="E3" s="28"/>
      <c r="F3" s="28"/>
      <c r="G3" s="28" t="s">
        <v>59</v>
      </c>
      <c r="H3" s="28" t="s">
        <v>59</v>
      </c>
      <c r="I3" s="28"/>
      <c r="J3" s="28"/>
      <c r="K3" s="28"/>
      <c r="L3" s="28" t="s">
        <v>59</v>
      </c>
      <c r="M3" s="28" t="s">
        <v>59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Z3" s="28"/>
      <c r="AA3" s="28"/>
      <c r="AB3" s="28" t="s">
        <v>58</v>
      </c>
      <c r="AC3" s="28" t="s">
        <v>58</v>
      </c>
      <c r="AD3" s="28"/>
      <c r="AF3" s="28"/>
      <c r="AG3" s="28"/>
      <c r="AH3" s="28"/>
      <c r="AI3" s="28"/>
      <c r="AJ3" s="28"/>
    </row>
    <row r="4" spans="1:38" s="27" customFormat="1" ht="17.25" thickBot="1" x14ac:dyDescent="0.35"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Z4" s="28"/>
      <c r="AA4" s="28"/>
      <c r="AB4" s="28"/>
      <c r="AC4" s="28"/>
      <c r="AD4" s="28"/>
      <c r="AF4" s="28"/>
      <c r="AG4" s="28"/>
      <c r="AH4" s="28"/>
      <c r="AI4" s="28"/>
      <c r="AJ4" s="28"/>
    </row>
    <row r="5" spans="1:38" x14ac:dyDescent="0.3">
      <c r="C5" s="13"/>
      <c r="D5" s="14"/>
      <c r="E5" s="319" t="s">
        <v>86</v>
      </c>
      <c r="F5" s="320"/>
      <c r="G5" s="320"/>
      <c r="H5" s="321"/>
      <c r="I5" s="323"/>
      <c r="J5" s="319" t="s">
        <v>64</v>
      </c>
      <c r="K5" s="320"/>
      <c r="L5" s="320"/>
      <c r="M5" s="321"/>
      <c r="N5" s="322"/>
      <c r="O5" s="319" t="s">
        <v>67</v>
      </c>
      <c r="P5" s="320"/>
      <c r="Q5" s="320"/>
      <c r="R5" s="321"/>
      <c r="S5" s="322"/>
      <c r="T5" s="320" t="s">
        <v>74</v>
      </c>
      <c r="U5" s="320"/>
      <c r="V5" s="320"/>
      <c r="W5" s="321"/>
      <c r="X5" s="322"/>
      <c r="Z5" s="319" t="s">
        <v>72</v>
      </c>
      <c r="AA5" s="320"/>
      <c r="AB5" s="320"/>
      <c r="AC5" s="321"/>
      <c r="AD5" s="322"/>
      <c r="AF5" s="319" t="s">
        <v>7</v>
      </c>
      <c r="AG5" s="320"/>
      <c r="AH5" s="320"/>
      <c r="AI5" s="321"/>
      <c r="AJ5" s="322"/>
    </row>
    <row r="6" spans="1:38" ht="17.25" thickBot="1" x14ac:dyDescent="0.35">
      <c r="C6" s="15" t="s">
        <v>87</v>
      </c>
      <c r="D6" s="16" t="s">
        <v>88</v>
      </c>
      <c r="E6" s="15" t="s">
        <v>89</v>
      </c>
      <c r="F6" s="19" t="s">
        <v>90</v>
      </c>
      <c r="G6" s="19" t="s">
        <v>91</v>
      </c>
      <c r="H6" s="17" t="s">
        <v>92</v>
      </c>
      <c r="I6" s="16" t="s">
        <v>93</v>
      </c>
      <c r="J6" s="15" t="s">
        <v>89</v>
      </c>
      <c r="K6" s="19" t="s">
        <v>90</v>
      </c>
      <c r="L6" s="19" t="s">
        <v>91</v>
      </c>
      <c r="M6" s="17" t="s">
        <v>92</v>
      </c>
      <c r="N6" s="16" t="s">
        <v>93</v>
      </c>
      <c r="O6" s="15" t="s">
        <v>89</v>
      </c>
      <c r="P6" s="19" t="s">
        <v>90</v>
      </c>
      <c r="Q6" s="19" t="s">
        <v>91</v>
      </c>
      <c r="R6" s="17" t="s">
        <v>92</v>
      </c>
      <c r="S6" s="18" t="s">
        <v>93</v>
      </c>
      <c r="T6" s="15" t="s">
        <v>89</v>
      </c>
      <c r="U6" s="19" t="s">
        <v>90</v>
      </c>
      <c r="V6" s="19" t="s">
        <v>91</v>
      </c>
      <c r="W6" s="17" t="s">
        <v>92</v>
      </c>
      <c r="X6" s="18" t="s">
        <v>93</v>
      </c>
      <c r="Z6" s="15" t="s">
        <v>89</v>
      </c>
      <c r="AA6" s="19" t="s">
        <v>90</v>
      </c>
      <c r="AB6" s="19" t="s">
        <v>91</v>
      </c>
      <c r="AC6" s="17" t="s">
        <v>92</v>
      </c>
      <c r="AD6" s="18" t="s">
        <v>93</v>
      </c>
      <c r="AF6" s="15" t="s">
        <v>89</v>
      </c>
      <c r="AG6" s="19" t="s">
        <v>90</v>
      </c>
      <c r="AH6" s="19" t="s">
        <v>91</v>
      </c>
      <c r="AI6" s="17" t="s">
        <v>92</v>
      </c>
      <c r="AJ6" s="18" t="s">
        <v>93</v>
      </c>
    </row>
    <row r="7" spans="1:38" x14ac:dyDescent="0.3">
      <c r="A7" s="166" t="s">
        <v>94</v>
      </c>
      <c r="B7" s="205"/>
      <c r="C7" s="171" t="s">
        <v>95</v>
      </c>
      <c r="D7" s="172">
        <v>45962</v>
      </c>
      <c r="E7" s="173">
        <f ca="1">ROUND(E$40*H8/SUM(H$8:H$37,H$47),-6)</f>
        <v>685000000</v>
      </c>
      <c r="F7" s="174"/>
      <c r="G7" s="174">
        <f ca="1">SUMIFS(INDIRECT("당년!"&amp;$A7),당년!$A:$A,G$1,당년!$B:$B,G$2)+SUMIFS(INDIRECT("당년!"&amp;$A7),당년!$A:$A,G$1,당년!$B:$B,G$3)</f>
        <v>427008030</v>
      </c>
      <c r="H7" s="174">
        <f ca="1">SUMIFS(INDIRECT("전년!"&amp;$A7),전년!$A:$A,H$1,전년!$B:$B,H$2)+SUMIFS(INDIRECT("전년!"&amp;$A7),전년!$A:$A,H$1,전년!$B:$B,H$3)</f>
        <v>244553000</v>
      </c>
      <c r="I7" s="175">
        <f ca="1">IFERROR(G7/H7-1,"")</f>
        <v>0.74607561551074819</v>
      </c>
      <c r="J7" s="173">
        <f ca="1">ROUND(J$40*M8/SUM(M$8:M$37,M$47),-6)</f>
        <v>372000000</v>
      </c>
      <c r="K7" s="174"/>
      <c r="L7" s="174">
        <f ca="1">SUMIFS(INDIRECT("당년!"&amp;$A7),당년!$A:$A,L$1,당년!$B:$B,L$2)+SUMIFS(INDIRECT("당년!"&amp;$A7),당년!$A:$A,L$1,당년!$B:$B,L$3)</f>
        <v>681123906</v>
      </c>
      <c r="M7" s="174">
        <f ca="1">SUMIFS(INDIRECT("전년!"&amp;$A7),전년!$A:$A,M$1,전년!$B:$B,M$2)+SUMIFS(INDIRECT("전년!"&amp;$A7),전년!$A:$A,M$1,전년!$B:$B,M$3)</f>
        <v>197096425</v>
      </c>
      <c r="N7" s="176">
        <f ca="1">IFERROR(L7/M7-1,"")</f>
        <v>2.4557902610359372</v>
      </c>
      <c r="O7" s="173">
        <f ca="1">ROUND(O$40*R8/SUM(R$8:R$37,R$47),-6)</f>
        <v>24000000</v>
      </c>
      <c r="P7" s="174">
        <v>153523110</v>
      </c>
      <c r="Q7" s="174">
        <f ca="1">SUMIFS(INDIRECT("당년!"&amp;$A7),당년!$A:$A,Q$1)</f>
        <v>35260440</v>
      </c>
      <c r="R7" s="174">
        <f ca="1">SUMIFS(INDIRECT("전년!"&amp;$A7),전년!$A:$A,R$1)</f>
        <v>73314309</v>
      </c>
      <c r="S7" s="176">
        <f ca="1">IFERROR(Q7/R7-1,"")</f>
        <v>-0.51905104909329502</v>
      </c>
      <c r="T7" s="174">
        <f t="shared" ref="T7:T37" ca="1" si="4">SUM(E7,J7,O7)</f>
        <v>1081000000</v>
      </c>
      <c r="U7" s="174">
        <f t="shared" ref="U7:U37" si="5">SUM(F7,K7,P7)</f>
        <v>153523110</v>
      </c>
      <c r="V7" s="174">
        <f t="shared" ref="V7:W37" ca="1" si="6">SUM(G7,L7,Q7)</f>
        <v>1143392376</v>
      </c>
      <c r="W7" s="174">
        <f t="shared" ca="1" si="6"/>
        <v>514963734</v>
      </c>
      <c r="X7" s="176">
        <f ca="1">IFERROR(V7/W7-1,"")</f>
        <v>1.2203357256221854</v>
      </c>
      <c r="Z7" s="173">
        <f ca="1">ROUND(Z$40*AC8/SUM(AC$8:AC$37,AC$47),-6)</f>
        <v>451000000</v>
      </c>
      <c r="AA7" s="174">
        <v>263654100</v>
      </c>
      <c r="AB7" s="174">
        <f ca="1">SUMIFS(INDIRECT("당년!"&amp;$A7),당년!$A:$A,AB$1,당년!$B:$B,AB$2)+SUMIFS(INDIRECT("당년!"&amp;$A7),당년!$A:$A,AB$1,당년!$B:$B,AB$3)</f>
        <v>478121600</v>
      </c>
      <c r="AC7" s="174">
        <f ca="1">SUMIFS(INDIRECT("전년!"&amp;$A7),전년!$A:$A,AC$1,전년!$B:$B,AC$2)+SUMIFS(INDIRECT("전년!"&amp;$A7),전년!$A:$A,AC$1,전년!$B:$B,AC$3)</f>
        <v>405294400</v>
      </c>
      <c r="AD7" s="176">
        <f ca="1">IFERROR(AB7/AC7-1,"")</f>
        <v>0.17968962808269739</v>
      </c>
      <c r="AF7" s="173">
        <f ca="1">SUM(T7,Z7)</f>
        <v>1532000000</v>
      </c>
      <c r="AG7" s="174">
        <f t="shared" ref="AG7:AG37" si="7">SUM(U7,AA7)</f>
        <v>417177210</v>
      </c>
      <c r="AH7" s="174">
        <f t="shared" ref="AH7:AH37" ca="1" si="8">SUM(V7,AB7)</f>
        <v>1621513976</v>
      </c>
      <c r="AI7" s="174">
        <f t="shared" ref="AI7:AI37" ca="1" si="9">SUM(W7,AC7)</f>
        <v>920258134</v>
      </c>
      <c r="AJ7" s="176">
        <f ca="1">IFERROR(AH7/AI7-1,"")</f>
        <v>0.76202080274141859</v>
      </c>
      <c r="AL7" s="207"/>
    </row>
    <row r="8" spans="1:38" x14ac:dyDescent="0.3">
      <c r="A8" s="166" t="s">
        <v>96</v>
      </c>
      <c r="B8" s="205"/>
      <c r="C8" s="171" t="s">
        <v>97</v>
      </c>
      <c r="D8" s="172">
        <f t="shared" ref="D8:D37" si="10">D7+1</f>
        <v>45963</v>
      </c>
      <c r="E8" s="173">
        <f t="shared" ref="E8:E36" ca="1" si="11">ROUND(E$40*H9/SUM(H$8:H$37,H$47),-6)</f>
        <v>768000000</v>
      </c>
      <c r="F8" s="174"/>
      <c r="G8" s="174">
        <f ca="1">SUMIFS(INDIRECT("당년!"&amp;$A8),당년!$A:$A,G$1,당년!$B:$B,G$2)+SUMIFS(INDIRECT("당년!"&amp;$A8),당년!$A:$A,G$1,당년!$B:$B,G$3)</f>
        <v>600017030</v>
      </c>
      <c r="H8" s="174">
        <f ca="1">SUMIFS(INDIRECT("전년!"&amp;$A8),전년!$A:$A,H$1,전년!$B:$B,H$2)+SUMIFS(INDIRECT("전년!"&amp;$A8),전년!$A:$A,H$1,전년!$B:$B,H$3)</f>
        <v>296917110</v>
      </c>
      <c r="I8" s="175">
        <f t="shared" ref="I8:I38" ca="1" si="12">IFERROR(G8/H8-1,"")</f>
        <v>1.0208233536962554</v>
      </c>
      <c r="J8" s="173">
        <f t="shared" ref="J8:J36" ca="1" si="13">ROUND(J$40*M9/SUM(M$8:M$37,M$47),-6)</f>
        <v>366000000</v>
      </c>
      <c r="K8" s="174"/>
      <c r="L8" s="174">
        <f ca="1">SUMIFS(INDIRECT("당년!"&amp;$A8),당년!$A:$A,L$1,당년!$B:$B,L$2)+SUMIFS(INDIRECT("당년!"&amp;$A8),당년!$A:$A,L$1,당년!$B:$B,L$3)</f>
        <v>536227357</v>
      </c>
      <c r="M8" s="174">
        <f ca="1">SUMIFS(INDIRECT("전년!"&amp;$A8),전년!$A:$A,M$1,전년!$B:$B,M$2)+SUMIFS(INDIRECT("전년!"&amp;$A8),전년!$A:$A,M$1,전년!$B:$B,M$3)</f>
        <v>324298464</v>
      </c>
      <c r="N8" s="176">
        <f t="shared" ref="N8:N38" ca="1" si="14">IFERROR(L8/M8-1,"")</f>
        <v>0.65349952752165974</v>
      </c>
      <c r="O8" s="173">
        <f t="shared" ref="O8:O36" ca="1" si="15">ROUND(O$40*R9/SUM(R$8:R$37,R$47),-6)</f>
        <v>25000000</v>
      </c>
      <c r="P8" s="174">
        <v>62882530</v>
      </c>
      <c r="Q8" s="174">
        <f ca="1">SUMIFS(INDIRECT("당년!"&amp;$A8),당년!$A:$A,Q$1)</f>
        <v>128903030</v>
      </c>
      <c r="R8" s="174">
        <f ca="1">SUMIFS(INDIRECT("전년!"&amp;$A8),전년!$A:$A,R$1)</f>
        <v>21968950</v>
      </c>
      <c r="S8" s="176">
        <f t="shared" ref="S8:S38" ca="1" si="16">IFERROR(Q8/R8-1,"")</f>
        <v>4.867509826368579</v>
      </c>
      <c r="T8" s="174">
        <f t="shared" ca="1" si="4"/>
        <v>1159000000</v>
      </c>
      <c r="U8" s="174">
        <f t="shared" si="5"/>
        <v>62882530</v>
      </c>
      <c r="V8" s="174">
        <f t="shared" ca="1" si="6"/>
        <v>1265147417</v>
      </c>
      <c r="W8" s="174">
        <f t="shared" ca="1" si="6"/>
        <v>643184524</v>
      </c>
      <c r="X8" s="176">
        <f t="shared" ref="X8:X38" ca="1" si="17">IFERROR(V8/W8-1,"")</f>
        <v>0.96700537682713272</v>
      </c>
      <c r="Z8" s="173">
        <f t="shared" ref="Z8:Z35" ca="1" si="18">ROUND(Z$40*AC9/SUM(AC$8:AC$37,AC$47),-6)</f>
        <v>236000000</v>
      </c>
      <c r="AA8" s="174">
        <v>300748000</v>
      </c>
      <c r="AB8" s="174">
        <f ca="1">SUMIFS(INDIRECT("당년!"&amp;$A8),당년!$A:$A,AB$1,당년!$B:$B,AB$2)+SUMIFS(INDIRECT("당년!"&amp;$A8),당년!$A:$A,AB$1,당년!$B:$B,AB$3)</f>
        <v>193710400</v>
      </c>
      <c r="AC8" s="174">
        <f ca="1">SUMIFS(INDIRECT("전년!"&amp;$A8),전년!$A:$A,AC$1,전년!$B:$B,AC$2)+SUMIFS(INDIRECT("전년!"&amp;$A8),전년!$A:$A,AC$1,전년!$B:$B,AC$3)</f>
        <v>452768700</v>
      </c>
      <c r="AD8" s="176">
        <f t="shared" ref="AD8:AD38" ca="1" si="19">IFERROR(AB8/AC8-1,"")</f>
        <v>-0.57216477199064331</v>
      </c>
      <c r="AF8" s="173">
        <f t="shared" ref="AF8:AF37" ca="1" si="20">SUM(T8,Z8)</f>
        <v>1395000000</v>
      </c>
      <c r="AG8" s="174">
        <f t="shared" si="7"/>
        <v>363630530</v>
      </c>
      <c r="AH8" s="174">
        <f t="shared" ca="1" si="8"/>
        <v>1458857817</v>
      </c>
      <c r="AI8" s="174">
        <f t="shared" ca="1" si="9"/>
        <v>1095953224</v>
      </c>
      <c r="AJ8" s="176">
        <f t="shared" ref="AJ8:AJ38" ca="1" si="21">IFERROR(AH8/AI8-1,"")</f>
        <v>0.33113146168362384</v>
      </c>
      <c r="AL8" s="207"/>
    </row>
    <row r="9" spans="1:38" x14ac:dyDescent="0.3">
      <c r="A9" s="166" t="s">
        <v>98</v>
      </c>
      <c r="B9" s="205"/>
      <c r="C9" s="287" t="s">
        <v>99</v>
      </c>
      <c r="D9" s="172">
        <f t="shared" si="10"/>
        <v>45964</v>
      </c>
      <c r="E9" s="173">
        <f t="shared" ca="1" si="11"/>
        <v>418000000</v>
      </c>
      <c r="F9" s="174"/>
      <c r="G9" s="174">
        <f ca="1">SUMIFS(INDIRECT("당년!"&amp;$A9),당년!$A:$A,G$1,당년!$B:$B,G$2)+SUMIFS(INDIRECT("당년!"&amp;$A9),당년!$A:$A,G$1,당년!$B:$B,G$3)</f>
        <v>99801900</v>
      </c>
      <c r="H9" s="174">
        <f ca="1">SUMIFS(INDIRECT("전년!"&amp;$A9),전년!$A:$A,H$1,전년!$B:$B,H$2)+SUMIFS(INDIRECT("전년!"&amp;$A9),전년!$A:$A,H$1,전년!$B:$B,H$3)</f>
        <v>332906020</v>
      </c>
      <c r="I9" s="175">
        <f t="shared" ca="1" si="12"/>
        <v>-0.7002099871909796</v>
      </c>
      <c r="J9" s="173">
        <f t="shared" ca="1" si="13"/>
        <v>330000000</v>
      </c>
      <c r="K9" s="174"/>
      <c r="L9" s="174">
        <f ca="1">SUMIFS(INDIRECT("당년!"&amp;$A9),당년!$A:$A,L$1,당년!$B:$B,L$2)+SUMIFS(INDIRECT("당년!"&amp;$A9),당년!$A:$A,L$1,당년!$B:$B,L$3)</f>
        <v>344575766</v>
      </c>
      <c r="M9" s="174">
        <f ca="1">SUMIFS(INDIRECT("전년!"&amp;$A9),전년!$A:$A,M$1,전년!$B:$B,M$2)+SUMIFS(INDIRECT("전년!"&amp;$A9),전년!$A:$A,M$1,전년!$B:$B,M$3)</f>
        <v>319121478</v>
      </c>
      <c r="N9" s="176">
        <f t="shared" ca="1" si="14"/>
        <v>7.9763631578567695E-2</v>
      </c>
      <c r="O9" s="173">
        <f t="shared" ca="1" si="15"/>
        <v>182000000</v>
      </c>
      <c r="P9" s="174">
        <v>60717900</v>
      </c>
      <c r="Q9" s="174">
        <f ca="1">SUMIFS(INDIRECT("당년!"&amp;$A9),당년!$A:$A,Q$1)</f>
        <v>167168931</v>
      </c>
      <c r="R9" s="174">
        <f ca="1">SUMIFS(INDIRECT("전년!"&amp;$A9),전년!$A:$A,R$1)</f>
        <v>23428900</v>
      </c>
      <c r="S9" s="176">
        <f t="shared" ca="1" si="16"/>
        <v>6.1351591837431547</v>
      </c>
      <c r="T9" s="174">
        <f t="shared" ca="1" si="4"/>
        <v>930000000</v>
      </c>
      <c r="U9" s="174">
        <f t="shared" si="5"/>
        <v>60717900</v>
      </c>
      <c r="V9" s="174">
        <f t="shared" ca="1" si="6"/>
        <v>611546597</v>
      </c>
      <c r="W9" s="174">
        <f t="shared" ca="1" si="6"/>
        <v>675456398</v>
      </c>
      <c r="X9" s="176">
        <f t="shared" ca="1" si="17"/>
        <v>-9.4617211694543735E-2</v>
      </c>
      <c r="Z9" s="173">
        <f t="shared" ca="1" si="18"/>
        <v>450000000</v>
      </c>
      <c r="AA9" s="174">
        <v>268628700</v>
      </c>
      <c r="AB9" s="174">
        <f ca="1">SUMIFS(INDIRECT("당년!"&amp;$A9),당년!$A:$A,AB$1,당년!$B:$B,AB$2)+SUMIFS(INDIRECT("당년!"&amp;$A9),당년!$A:$A,AB$1,당년!$B:$B,AB$3)</f>
        <v>105866000</v>
      </c>
      <c r="AC9" s="174">
        <f ca="1">SUMIFS(INDIRECT("전년!"&amp;$A9),전년!$A:$A,AC$1,전년!$B:$B,AC$2)+SUMIFS(INDIRECT("전년!"&amp;$A9),전년!$A:$A,AC$1,전년!$B:$B,AC$3)</f>
        <v>236559700</v>
      </c>
      <c r="AD9" s="176">
        <f t="shared" ca="1" si="19"/>
        <v>-0.55247660527131204</v>
      </c>
      <c r="AF9" s="173">
        <f t="shared" ca="1" si="20"/>
        <v>1380000000</v>
      </c>
      <c r="AG9" s="174">
        <f t="shared" si="7"/>
        <v>329346600</v>
      </c>
      <c r="AH9" s="174">
        <f t="shared" ca="1" si="8"/>
        <v>717412597</v>
      </c>
      <c r="AI9" s="174">
        <f t="shared" ca="1" si="9"/>
        <v>912016098</v>
      </c>
      <c r="AJ9" s="176">
        <f t="shared" ca="1" si="21"/>
        <v>-0.21337726540875157</v>
      </c>
      <c r="AL9" s="207"/>
    </row>
    <row r="10" spans="1:38" x14ac:dyDescent="0.3">
      <c r="A10" s="166" t="s">
        <v>100</v>
      </c>
      <c r="B10" s="205"/>
      <c r="C10" s="287" t="s">
        <v>101</v>
      </c>
      <c r="D10" s="172">
        <f t="shared" si="10"/>
        <v>45965</v>
      </c>
      <c r="E10" s="173">
        <f t="shared" ca="1" si="11"/>
        <v>607000000</v>
      </c>
      <c r="F10" s="174"/>
      <c r="G10" s="174">
        <f ca="1">SUMIFS(INDIRECT("당년!"&amp;$A10),당년!$A:$A,G$1,당년!$B:$B,G$2)+SUMIFS(INDIRECT("당년!"&amp;$A10),당년!$A:$A,G$1,당년!$B:$B,G$3)</f>
        <v>180435000</v>
      </c>
      <c r="H10" s="174">
        <f ca="1">SUMIFS(INDIRECT("전년!"&amp;$A10),전년!$A:$A,H$1,전년!$B:$B,H$2)+SUMIFS(INDIRECT("전년!"&amp;$A10),전년!$A:$A,H$1,전년!$B:$B,H$3)</f>
        <v>181309700</v>
      </c>
      <c r="I10" s="175">
        <f t="shared" ca="1" si="12"/>
        <v>-4.8243419960432021E-3</v>
      </c>
      <c r="J10" s="173">
        <f t="shared" ca="1" si="13"/>
        <v>318000000</v>
      </c>
      <c r="K10" s="174"/>
      <c r="L10" s="174">
        <f ca="1">SUMIFS(INDIRECT("당년!"&amp;$A10),당년!$A:$A,L$1,당년!$B:$B,L$2)+SUMIFS(INDIRECT("당년!"&amp;$A10),당년!$A:$A,L$1,당년!$B:$B,L$3)</f>
        <v>416354896</v>
      </c>
      <c r="M10" s="174">
        <f ca="1">SUMIFS(INDIRECT("전년!"&amp;$A10),전년!$A:$A,M$1,전년!$B:$B,M$2)+SUMIFS(INDIRECT("전년!"&amp;$A10),전년!$A:$A,M$1,전년!$B:$B,M$3)</f>
        <v>288292087</v>
      </c>
      <c r="N10" s="176">
        <f t="shared" ca="1" si="14"/>
        <v>0.44421201543419397</v>
      </c>
      <c r="O10" s="173">
        <f t="shared" ca="1" si="15"/>
        <v>103000000</v>
      </c>
      <c r="P10" s="174">
        <v>57724500</v>
      </c>
      <c r="Q10" s="174">
        <f ca="1">SUMIFS(INDIRECT("당년!"&amp;$A10),당년!$A:$A,Q$1)</f>
        <v>114329499</v>
      </c>
      <c r="R10" s="174">
        <f ca="1">SUMIFS(INDIRECT("전년!"&amp;$A10),전년!$A:$A,R$1)</f>
        <v>167421990</v>
      </c>
      <c r="S10" s="176">
        <f t="shared" ca="1" si="16"/>
        <v>-0.31711778721540695</v>
      </c>
      <c r="T10" s="174">
        <f t="shared" ca="1" si="4"/>
        <v>1028000000</v>
      </c>
      <c r="U10" s="174">
        <f t="shared" si="5"/>
        <v>57724500</v>
      </c>
      <c r="V10" s="174">
        <f t="shared" ca="1" si="6"/>
        <v>711119395</v>
      </c>
      <c r="W10" s="174">
        <f t="shared" ca="1" si="6"/>
        <v>637023777</v>
      </c>
      <c r="X10" s="176">
        <f t="shared" ca="1" si="17"/>
        <v>0.11631530984439209</v>
      </c>
      <c r="Z10" s="173">
        <f t="shared" ca="1" si="18"/>
        <v>457000000</v>
      </c>
      <c r="AA10" s="174">
        <v>654929230</v>
      </c>
      <c r="AB10" s="174">
        <f ca="1">SUMIFS(INDIRECT("당년!"&amp;$A10),당년!$A:$A,AB$1,당년!$B:$B,AB$2)+SUMIFS(INDIRECT("당년!"&amp;$A10),당년!$A:$A,AB$1,당년!$B:$B,AB$3)</f>
        <v>123082600</v>
      </c>
      <c r="AC10" s="174">
        <f ca="1">SUMIFS(INDIRECT("전년!"&amp;$A10),전년!$A:$A,AC$1,전년!$B:$B,AC$2)+SUMIFS(INDIRECT("전년!"&amp;$A10),전년!$A:$A,AC$1,전년!$B:$B,AC$3)</f>
        <v>452319100</v>
      </c>
      <c r="AD10" s="176">
        <f t="shared" ca="1" si="19"/>
        <v>-0.72788546846684121</v>
      </c>
      <c r="AF10" s="173">
        <f t="shared" ca="1" si="20"/>
        <v>1485000000</v>
      </c>
      <c r="AG10" s="174">
        <f t="shared" si="7"/>
        <v>712653730</v>
      </c>
      <c r="AH10" s="174">
        <f t="shared" ca="1" si="8"/>
        <v>834201995</v>
      </c>
      <c r="AI10" s="174">
        <f t="shared" ca="1" si="9"/>
        <v>1089342877</v>
      </c>
      <c r="AJ10" s="176">
        <f t="shared" ca="1" si="21"/>
        <v>-0.23421540397147156</v>
      </c>
      <c r="AL10" s="207"/>
    </row>
    <row r="11" spans="1:38" x14ac:dyDescent="0.3">
      <c r="A11" s="166" t="s">
        <v>102</v>
      </c>
      <c r="B11" s="205"/>
      <c r="C11" s="287" t="s">
        <v>103</v>
      </c>
      <c r="D11" s="172">
        <f t="shared" si="10"/>
        <v>45966</v>
      </c>
      <c r="E11" s="173">
        <f t="shared" ca="1" si="11"/>
        <v>697000000</v>
      </c>
      <c r="F11" s="174"/>
      <c r="G11" s="174">
        <f ca="1">SUMIFS(INDIRECT("당년!"&amp;$A11),당년!$A:$A,G$1,당년!$B:$B,G$2)+SUMIFS(INDIRECT("당년!"&amp;$A11),당년!$A:$A,G$1,당년!$B:$B,G$3)</f>
        <v>342298600</v>
      </c>
      <c r="H11" s="174">
        <f ca="1">SUMIFS(INDIRECT("전년!"&amp;$A11),전년!$A:$A,H$1,전년!$B:$B,H$2)+SUMIFS(INDIRECT("전년!"&amp;$A11),전년!$A:$A,H$1,전년!$B:$B,H$3)</f>
        <v>262932650</v>
      </c>
      <c r="I11" s="175">
        <f t="shared" ca="1" si="12"/>
        <v>0.30184897159025326</v>
      </c>
      <c r="J11" s="173">
        <f t="shared" ca="1" si="13"/>
        <v>271000000</v>
      </c>
      <c r="K11" s="174"/>
      <c r="L11" s="174">
        <f ca="1">SUMIFS(INDIRECT("당년!"&amp;$A11),당년!$A:$A,L$1,당년!$B:$B,L$2)+SUMIFS(INDIRECT("당년!"&amp;$A11),당년!$A:$A,L$1,당년!$B:$B,L$3)</f>
        <v>305906338</v>
      </c>
      <c r="M11" s="174">
        <f ca="1">SUMIFS(INDIRECT("전년!"&amp;$A11),전년!$A:$A,M$1,전년!$B:$B,M$2)+SUMIFS(INDIRECT("전년!"&amp;$A11),전년!$A:$A,M$1,전년!$B:$B,M$3)</f>
        <v>277635976</v>
      </c>
      <c r="N11" s="176">
        <f t="shared" ca="1" si="14"/>
        <v>0.10182528362246535</v>
      </c>
      <c r="O11" s="173">
        <f t="shared" ca="1" si="15"/>
        <v>103000000</v>
      </c>
      <c r="P11" s="174">
        <v>61200000</v>
      </c>
      <c r="Q11" s="174">
        <f ca="1">SUMIFS(INDIRECT("당년!"&amp;$A11),당년!$A:$A,Q$1)</f>
        <v>100489022</v>
      </c>
      <c r="R11" s="174">
        <f ca="1">SUMIFS(INDIRECT("전년!"&amp;$A11),전년!$A:$A,R$1)</f>
        <v>95159390</v>
      </c>
      <c r="S11" s="176">
        <f t="shared" ca="1" si="16"/>
        <v>5.6007420812596687E-2</v>
      </c>
      <c r="T11" s="174">
        <f t="shared" ca="1" si="4"/>
        <v>1071000000</v>
      </c>
      <c r="U11" s="174">
        <f t="shared" si="5"/>
        <v>61200000</v>
      </c>
      <c r="V11" s="174">
        <f t="shared" ca="1" si="6"/>
        <v>748693960</v>
      </c>
      <c r="W11" s="174">
        <f t="shared" ca="1" si="6"/>
        <v>635728016</v>
      </c>
      <c r="X11" s="176">
        <f t="shared" ca="1" si="17"/>
        <v>0.17769539985162464</v>
      </c>
      <c r="Z11" s="173">
        <f t="shared" ca="1" si="18"/>
        <v>655000000</v>
      </c>
      <c r="AA11" s="174">
        <v>465541700</v>
      </c>
      <c r="AB11" s="174">
        <f ca="1">SUMIFS(INDIRECT("당년!"&amp;$A11),당년!$A:$A,AB$1,당년!$B:$B,AB$2)+SUMIFS(INDIRECT("당년!"&amp;$A11),당년!$A:$A,AB$1,당년!$B:$B,AB$3)</f>
        <v>501848200</v>
      </c>
      <c r="AC11" s="174">
        <f ca="1">SUMIFS(INDIRECT("전년!"&amp;$A11),전년!$A:$A,AC$1,전년!$B:$B,AC$2)+SUMIFS(INDIRECT("전년!"&amp;$A11),전년!$A:$A,AC$1,전년!$B:$B,AC$3)</f>
        <v>459351900</v>
      </c>
      <c r="AD11" s="176">
        <f t="shared" ca="1" si="19"/>
        <v>9.2513604493635437E-2</v>
      </c>
      <c r="AF11" s="173">
        <f t="shared" ca="1" si="20"/>
        <v>1726000000</v>
      </c>
      <c r="AG11" s="174">
        <f t="shared" si="7"/>
        <v>526741700</v>
      </c>
      <c r="AH11" s="174">
        <f t="shared" ca="1" si="8"/>
        <v>1250542160</v>
      </c>
      <c r="AI11" s="174">
        <f t="shared" ca="1" si="9"/>
        <v>1095079916</v>
      </c>
      <c r="AJ11" s="176">
        <f t="shared" ca="1" si="21"/>
        <v>0.14196429112484976</v>
      </c>
      <c r="AL11" s="207"/>
    </row>
    <row r="12" spans="1:38" x14ac:dyDescent="0.3">
      <c r="A12" s="166" t="s">
        <v>104</v>
      </c>
      <c r="B12" s="205"/>
      <c r="C12" s="287" t="s">
        <v>105</v>
      </c>
      <c r="D12" s="172">
        <f t="shared" si="10"/>
        <v>45967</v>
      </c>
      <c r="E12" s="173">
        <f t="shared" ca="1" si="11"/>
        <v>690000000</v>
      </c>
      <c r="F12" s="174"/>
      <c r="G12" s="174">
        <f ca="1">SUMIFS(INDIRECT("당년!"&amp;$A12),당년!$A:$A,G$1,당년!$B:$B,G$2)+SUMIFS(INDIRECT("당년!"&amp;$A12),당년!$A:$A,G$1,당년!$B:$B,G$3)</f>
        <v>119090000</v>
      </c>
      <c r="H12" s="174">
        <f ca="1">SUMIFS(INDIRECT("전년!"&amp;$A12),전년!$A:$A,H$1,전년!$B:$B,H$2)+SUMIFS(INDIRECT("전년!"&amp;$A12),전년!$A:$A,H$1,전년!$B:$B,H$3)</f>
        <v>302036600</v>
      </c>
      <c r="I12" s="175">
        <f t="shared" ca="1" si="12"/>
        <v>-0.60571003646577926</v>
      </c>
      <c r="J12" s="173">
        <f t="shared" ca="1" si="13"/>
        <v>292000000</v>
      </c>
      <c r="K12" s="174"/>
      <c r="L12" s="174">
        <f ca="1">SUMIFS(INDIRECT("당년!"&amp;$A12),당년!$A:$A,L$1,당년!$B:$B,L$2)+SUMIFS(INDIRECT("당년!"&amp;$A12),당년!$A:$A,L$1,당년!$B:$B,L$3)</f>
        <v>226188937</v>
      </c>
      <c r="M12" s="174">
        <f ca="1">SUMIFS(INDIRECT("전년!"&amp;$A12),전년!$A:$A,M$1,전년!$B:$B,M$2)+SUMIFS(INDIRECT("전년!"&amp;$A12),전년!$A:$A,M$1,전년!$B:$B,M$3)</f>
        <v>236904273</v>
      </c>
      <c r="N12" s="176">
        <f t="shared" ca="1" si="14"/>
        <v>-4.5230657363449112E-2</v>
      </c>
      <c r="O12" s="173">
        <f t="shared" ca="1" si="15"/>
        <v>102000000</v>
      </c>
      <c r="P12" s="174">
        <v>19000000</v>
      </c>
      <c r="Q12" s="174">
        <f ca="1">SUMIFS(INDIRECT("당년!"&amp;$A12),당년!$A:$A,Q$1)</f>
        <v>84554136</v>
      </c>
      <c r="R12" s="174">
        <f ca="1">SUMIFS(INDIRECT("전년!"&amp;$A12),전년!$A:$A,R$1)</f>
        <v>95110170</v>
      </c>
      <c r="S12" s="176">
        <f t="shared" ca="1" si="16"/>
        <v>-0.11098743699017677</v>
      </c>
      <c r="T12" s="174">
        <f t="shared" ca="1" si="4"/>
        <v>1084000000</v>
      </c>
      <c r="U12" s="174">
        <f t="shared" si="5"/>
        <v>19000000</v>
      </c>
      <c r="V12" s="174">
        <f t="shared" ca="1" si="6"/>
        <v>429833073</v>
      </c>
      <c r="W12" s="174">
        <f t="shared" ca="1" si="6"/>
        <v>634051043</v>
      </c>
      <c r="X12" s="176">
        <f t="shared" ca="1" si="17"/>
        <v>-0.32208443193113712</v>
      </c>
      <c r="Z12" s="173">
        <f t="shared" ca="1" si="18"/>
        <v>551000000</v>
      </c>
      <c r="AA12" s="174">
        <v>138612100</v>
      </c>
      <c r="AB12" s="174">
        <f ca="1">SUMIFS(INDIRECT("당년!"&amp;$A12),당년!$A:$A,AB$1,당년!$B:$B,AB$2)+SUMIFS(INDIRECT("당년!"&amp;$A12),당년!$A:$A,AB$1,당년!$B:$B,AB$3)</f>
        <v>801495380</v>
      </c>
      <c r="AC12" s="174">
        <f ca="1">SUMIFS(INDIRECT("전년!"&amp;$A12),전년!$A:$A,AC$1,전년!$B:$B,AC$2)+SUMIFS(INDIRECT("전년!"&amp;$A12),전년!$A:$A,AC$1,전년!$B:$B,AC$3)</f>
        <v>657848260</v>
      </c>
      <c r="AD12" s="176">
        <f t="shared" ca="1" si="19"/>
        <v>0.2183590483312976</v>
      </c>
      <c r="AF12" s="173">
        <f t="shared" ca="1" si="20"/>
        <v>1635000000</v>
      </c>
      <c r="AG12" s="174">
        <f t="shared" si="7"/>
        <v>157612100</v>
      </c>
      <c r="AH12" s="174">
        <f t="shared" ca="1" si="8"/>
        <v>1231328453</v>
      </c>
      <c r="AI12" s="174">
        <f t="shared" ca="1" si="9"/>
        <v>1291899303</v>
      </c>
      <c r="AJ12" s="176">
        <f t="shared" ca="1" si="21"/>
        <v>-4.6885117020610378E-2</v>
      </c>
      <c r="AL12" s="207"/>
    </row>
    <row r="13" spans="1:38" x14ac:dyDescent="0.3">
      <c r="A13" s="166" t="s">
        <v>106</v>
      </c>
      <c r="B13" s="205"/>
      <c r="C13" s="287" t="s">
        <v>107</v>
      </c>
      <c r="D13" s="172">
        <f t="shared" si="10"/>
        <v>45968</v>
      </c>
      <c r="E13" s="173">
        <f t="shared" ca="1" si="11"/>
        <v>729000000</v>
      </c>
      <c r="F13" s="174"/>
      <c r="G13" s="174">
        <f ca="1">SUMIFS(INDIRECT("당년!"&amp;$A13),당년!$A:$A,G$1,당년!$B:$B,G$2)+SUMIFS(INDIRECT("당년!"&amp;$A13),당년!$A:$A,G$1,당년!$B:$B,G$3)</f>
        <v>512635400</v>
      </c>
      <c r="H13" s="174">
        <f ca="1">SUMIFS(INDIRECT("전년!"&amp;$A13),전년!$A:$A,H$1,전년!$B:$B,H$2)+SUMIFS(INDIRECT("전년!"&amp;$A13),전년!$A:$A,H$1,전년!$B:$B,H$3)</f>
        <v>299002430</v>
      </c>
      <c r="I13" s="175">
        <f t="shared" ca="1" si="12"/>
        <v>0.71448573177147767</v>
      </c>
      <c r="J13" s="173">
        <f t="shared" ca="1" si="13"/>
        <v>231000000</v>
      </c>
      <c r="K13" s="174"/>
      <c r="L13" s="174">
        <f ca="1">SUMIFS(INDIRECT("당년!"&amp;$A13),당년!$A:$A,L$1,당년!$B:$B,L$2)+SUMIFS(INDIRECT("당년!"&amp;$A13),당년!$A:$A,L$1,당년!$B:$B,L$3)</f>
        <v>296455741</v>
      </c>
      <c r="M13" s="174">
        <f ca="1">SUMIFS(INDIRECT("전년!"&amp;$A13),전년!$A:$A,M$1,전년!$B:$B,M$2)+SUMIFS(INDIRECT("전년!"&amp;$A13),전년!$A:$A,M$1,전년!$B:$B,M$3)</f>
        <v>255163290</v>
      </c>
      <c r="N13" s="176">
        <f t="shared" ca="1" si="14"/>
        <v>0.16182755364221868</v>
      </c>
      <c r="O13" s="173">
        <f t="shared" ca="1" si="15"/>
        <v>86000000</v>
      </c>
      <c r="P13" s="174">
        <v>19000000</v>
      </c>
      <c r="Q13" s="174">
        <f ca="1">SUMIFS(INDIRECT("당년!"&amp;$A13),당년!$A:$A,Q$1)</f>
        <v>74983580</v>
      </c>
      <c r="R13" s="174">
        <f ca="1">SUMIFS(INDIRECT("전년!"&amp;$A13),전년!$A:$A,R$1)</f>
        <v>93810923</v>
      </c>
      <c r="S13" s="176">
        <f t="shared" ca="1" si="16"/>
        <v>-0.20069457156924042</v>
      </c>
      <c r="T13" s="174">
        <f t="shared" ca="1" si="4"/>
        <v>1046000000</v>
      </c>
      <c r="U13" s="174">
        <f t="shared" si="5"/>
        <v>19000000</v>
      </c>
      <c r="V13" s="174">
        <f t="shared" ca="1" si="6"/>
        <v>884074721</v>
      </c>
      <c r="W13" s="174">
        <f t="shared" ca="1" si="6"/>
        <v>647976643</v>
      </c>
      <c r="X13" s="176">
        <f t="shared" ca="1" si="17"/>
        <v>0.36436201914148314</v>
      </c>
      <c r="Z13" s="173">
        <f t="shared" ca="1" si="18"/>
        <v>458000000</v>
      </c>
      <c r="AA13" s="174">
        <v>103603400</v>
      </c>
      <c r="AB13" s="174">
        <f ca="1">SUMIFS(INDIRECT("당년!"&amp;$A13),당년!$A:$A,AB$1,당년!$B:$B,AB$2)+SUMIFS(INDIRECT("당년!"&amp;$A13),당년!$A:$A,AB$1,당년!$B:$B,AB$3)</f>
        <v>625923100</v>
      </c>
      <c r="AC13" s="174">
        <f ca="1">SUMIFS(INDIRECT("전년!"&amp;$A13),전년!$A:$A,AC$1,전년!$B:$B,AC$2)+SUMIFS(INDIRECT("전년!"&amp;$A13),전년!$A:$A,AC$1,전년!$B:$B,AC$3)</f>
        <v>553206316</v>
      </c>
      <c r="AD13" s="176">
        <f t="shared" ca="1" si="19"/>
        <v>0.13144604805994287</v>
      </c>
      <c r="AF13" s="173">
        <f t="shared" ca="1" si="20"/>
        <v>1504000000</v>
      </c>
      <c r="AG13" s="174">
        <f t="shared" si="7"/>
        <v>122603400</v>
      </c>
      <c r="AH13" s="174">
        <f t="shared" ca="1" si="8"/>
        <v>1509997821</v>
      </c>
      <c r="AI13" s="174">
        <f t="shared" ca="1" si="9"/>
        <v>1201182959</v>
      </c>
      <c r="AJ13" s="176">
        <f t="shared" ca="1" si="21"/>
        <v>0.25709227698092918</v>
      </c>
      <c r="AL13" s="207"/>
    </row>
    <row r="14" spans="1:38" x14ac:dyDescent="0.3">
      <c r="A14" s="166" t="s">
        <v>108</v>
      </c>
      <c r="B14" s="205"/>
      <c r="C14" s="171" t="s">
        <v>95</v>
      </c>
      <c r="D14" s="172">
        <f t="shared" si="10"/>
        <v>45969</v>
      </c>
      <c r="E14" s="173">
        <f t="shared" ca="1" si="11"/>
        <v>931000000</v>
      </c>
      <c r="F14" s="174"/>
      <c r="G14" s="174">
        <f ca="1">SUMIFS(INDIRECT("당년!"&amp;$A14),당년!$A:$A,G$1,당년!$B:$B,G$2)+SUMIFS(INDIRECT("당년!"&amp;$A14),당년!$A:$A,G$1,당년!$B:$B,G$3)</f>
        <v>489369810</v>
      </c>
      <c r="H14" s="174">
        <f ca="1">SUMIFS(INDIRECT("전년!"&amp;$A14),전년!$A:$A,H$1,전년!$B:$B,H$2)+SUMIFS(INDIRECT("전년!"&amp;$A14),전년!$A:$A,H$1,전년!$B:$B,H$3)</f>
        <v>315804700</v>
      </c>
      <c r="I14" s="175">
        <f t="shared" ca="1" si="12"/>
        <v>0.54959634862939022</v>
      </c>
      <c r="J14" s="173">
        <f t="shared" ca="1" si="13"/>
        <v>397000000</v>
      </c>
      <c r="K14" s="174"/>
      <c r="L14" s="174">
        <f ca="1">SUMIFS(INDIRECT("당년!"&amp;$A14),당년!$A:$A,L$1,당년!$B:$B,L$2)+SUMIFS(INDIRECT("당년!"&amp;$A14),당년!$A:$A,L$1,당년!$B:$B,L$3)</f>
        <v>323625322</v>
      </c>
      <c r="M14" s="174">
        <f ca="1">SUMIFS(INDIRECT("전년!"&amp;$A14),전년!$A:$A,M$1,전년!$B:$B,M$2)+SUMIFS(INDIRECT("전년!"&amp;$A14),전년!$A:$A,M$1,전년!$B:$B,M$3)</f>
        <v>201738204</v>
      </c>
      <c r="N14" s="176">
        <f t="shared" ca="1" si="14"/>
        <v>0.60418460947535757</v>
      </c>
      <c r="O14" s="173">
        <f t="shared" ca="1" si="15"/>
        <v>28000000</v>
      </c>
      <c r="P14" s="174">
        <v>155500000</v>
      </c>
      <c r="Q14" s="174">
        <f ca="1">SUMIFS(INDIRECT("당년!"&amp;$A14),당년!$A:$A,Q$1)</f>
        <v>22254380</v>
      </c>
      <c r="R14" s="174">
        <f ca="1">SUMIFS(INDIRECT("전년!"&amp;$A14),전년!$A:$A,R$1)</f>
        <v>79406297</v>
      </c>
      <c r="S14" s="176">
        <f t="shared" ca="1" si="16"/>
        <v>-0.71974036265662911</v>
      </c>
      <c r="T14" s="174">
        <f t="shared" ca="1" si="4"/>
        <v>1356000000</v>
      </c>
      <c r="U14" s="174">
        <f t="shared" si="5"/>
        <v>155500000</v>
      </c>
      <c r="V14" s="174">
        <f t="shared" ca="1" si="6"/>
        <v>835249512</v>
      </c>
      <c r="W14" s="174">
        <f t="shared" ca="1" si="6"/>
        <v>596949201</v>
      </c>
      <c r="X14" s="176">
        <f t="shared" ca="1" si="17"/>
        <v>0.39919696785053582</v>
      </c>
      <c r="Z14" s="173">
        <f t="shared" ca="1" si="18"/>
        <v>281000000</v>
      </c>
      <c r="AA14" s="174">
        <v>226250000</v>
      </c>
      <c r="AB14" s="174">
        <f ca="1">SUMIFS(INDIRECT("당년!"&amp;$A14),당년!$A:$A,AB$1,당년!$B:$B,AB$2)+SUMIFS(INDIRECT("당년!"&amp;$A14),당년!$A:$A,AB$1,당년!$B:$B,AB$3)</f>
        <v>265165700</v>
      </c>
      <c r="AC14" s="174">
        <f ca="1">SUMIFS(INDIRECT("전년!"&amp;$A14),전년!$A:$A,AC$1,전년!$B:$B,AC$2)+SUMIFS(INDIRECT("전년!"&amp;$A14),전년!$A:$A,AC$1,전년!$B:$B,AC$3)</f>
        <v>460357700</v>
      </c>
      <c r="AD14" s="176">
        <f t="shared" ca="1" si="19"/>
        <v>-0.42400072812945233</v>
      </c>
      <c r="AF14" s="173">
        <f t="shared" ca="1" si="20"/>
        <v>1637000000</v>
      </c>
      <c r="AG14" s="174">
        <f t="shared" si="7"/>
        <v>381750000</v>
      </c>
      <c r="AH14" s="174">
        <f t="shared" ca="1" si="8"/>
        <v>1100415212</v>
      </c>
      <c r="AI14" s="174">
        <f t="shared" ca="1" si="9"/>
        <v>1057306901</v>
      </c>
      <c r="AJ14" s="176">
        <f t="shared" ca="1" si="21"/>
        <v>4.077180519603929E-2</v>
      </c>
      <c r="AL14" s="207"/>
    </row>
    <row r="15" spans="1:38" x14ac:dyDescent="0.3">
      <c r="A15" s="166" t="s">
        <v>109</v>
      </c>
      <c r="B15" s="205"/>
      <c r="C15" s="171" t="s">
        <v>97</v>
      </c>
      <c r="D15" s="172">
        <f t="shared" si="10"/>
        <v>45970</v>
      </c>
      <c r="E15" s="173">
        <f t="shared" ca="1" si="11"/>
        <v>949000000</v>
      </c>
      <c r="F15" s="174"/>
      <c r="G15" s="174">
        <f ca="1">SUMIFS(INDIRECT("당년!"&amp;$A15),당년!$A:$A,G$1,당년!$B:$B,G$2)+SUMIFS(INDIRECT("당년!"&amp;$A15),당년!$A:$A,G$1,당년!$B:$B,G$3)</f>
        <v>471281110</v>
      </c>
      <c r="H15" s="174">
        <f ca="1">SUMIFS(INDIRECT("전년!"&amp;$A15),전년!$A:$A,H$1,전년!$B:$B,H$2)+SUMIFS(INDIRECT("전년!"&amp;$A15),전년!$A:$A,H$1,전년!$B:$B,H$3)</f>
        <v>403408830</v>
      </c>
      <c r="I15" s="175">
        <f t="shared" ca="1" si="12"/>
        <v>0.16824688740700089</v>
      </c>
      <c r="J15" s="173">
        <f t="shared" ca="1" si="13"/>
        <v>428000000</v>
      </c>
      <c r="K15" s="174"/>
      <c r="L15" s="174">
        <f ca="1">SUMIFS(INDIRECT("당년!"&amp;$A15),당년!$A:$A,L$1,당년!$B:$B,L$2)+SUMIFS(INDIRECT("당년!"&amp;$A15),당년!$A:$A,L$1,당년!$B:$B,L$3)</f>
        <v>318935230</v>
      </c>
      <c r="M15" s="174">
        <f ca="1">SUMIFS(INDIRECT("전년!"&amp;$A15),전년!$A:$A,M$1,전년!$B:$B,M$2)+SUMIFS(INDIRECT("전년!"&amp;$A15),전년!$A:$A,M$1,전년!$B:$B,M$3)</f>
        <v>346538729</v>
      </c>
      <c r="N15" s="176">
        <f t="shared" ca="1" si="14"/>
        <v>-7.9654874592675062E-2</v>
      </c>
      <c r="O15" s="173">
        <f t="shared" ca="1" si="15"/>
        <v>27000000</v>
      </c>
      <c r="P15" s="174">
        <v>80100000</v>
      </c>
      <c r="Q15" s="174">
        <f ca="1">SUMIFS(INDIRECT("당년!"&amp;$A15),당년!$A:$A,Q$1)</f>
        <v>102131190</v>
      </c>
      <c r="R15" s="174">
        <f ca="1">SUMIFS(INDIRECT("전년!"&amp;$A15),전년!$A:$A,R$1)</f>
        <v>25778800</v>
      </c>
      <c r="S15" s="176">
        <f t="shared" ca="1" si="16"/>
        <v>2.9618287119648703</v>
      </c>
      <c r="T15" s="174">
        <f t="shared" ca="1" si="4"/>
        <v>1404000000</v>
      </c>
      <c r="U15" s="174">
        <f t="shared" si="5"/>
        <v>80100000</v>
      </c>
      <c r="V15" s="174">
        <f t="shared" ca="1" si="6"/>
        <v>892347530</v>
      </c>
      <c r="W15" s="174">
        <f t="shared" ca="1" si="6"/>
        <v>775726359</v>
      </c>
      <c r="X15" s="176">
        <f t="shared" ca="1" si="17"/>
        <v>0.15033802789728323</v>
      </c>
      <c r="Z15" s="173">
        <f t="shared" ca="1" si="18"/>
        <v>138000000</v>
      </c>
      <c r="AA15" s="174">
        <v>321250000</v>
      </c>
      <c r="AB15" s="174">
        <f ca="1">SUMIFS(INDIRECT("당년!"&amp;$A15),당년!$A:$A,AB$1,당년!$B:$B,AB$2)+SUMIFS(INDIRECT("당년!"&amp;$A15),당년!$A:$A,AB$1,당년!$B:$B,AB$3)</f>
        <v>187195700</v>
      </c>
      <c r="AC15" s="174">
        <f ca="1">SUMIFS(INDIRECT("전년!"&amp;$A15),전년!$A:$A,AC$1,전년!$B:$B,AC$2)+SUMIFS(INDIRECT("전년!"&amp;$A15),전년!$A:$A,AC$1,전년!$B:$B,AC$3)</f>
        <v>281788900</v>
      </c>
      <c r="AD15" s="176">
        <f t="shared" ca="1" si="19"/>
        <v>-0.33568816940624702</v>
      </c>
      <c r="AF15" s="173">
        <f t="shared" ca="1" si="20"/>
        <v>1542000000</v>
      </c>
      <c r="AG15" s="174">
        <f t="shared" si="7"/>
        <v>401350000</v>
      </c>
      <c r="AH15" s="174">
        <f t="shared" ca="1" si="8"/>
        <v>1079543230</v>
      </c>
      <c r="AI15" s="174">
        <f t="shared" ca="1" si="9"/>
        <v>1057515259</v>
      </c>
      <c r="AJ15" s="176">
        <f t="shared" ca="1" si="21"/>
        <v>2.0829932062474299E-2</v>
      </c>
      <c r="AL15" s="207"/>
    </row>
    <row r="16" spans="1:38" x14ac:dyDescent="0.3">
      <c r="A16" s="166" t="s">
        <v>110</v>
      </c>
      <c r="B16" s="205"/>
      <c r="C16" s="287" t="s">
        <v>99</v>
      </c>
      <c r="D16" s="172">
        <f t="shared" si="10"/>
        <v>45971</v>
      </c>
      <c r="E16" s="173">
        <f t="shared" ca="1" si="11"/>
        <v>544000000</v>
      </c>
      <c r="F16" s="174"/>
      <c r="G16" s="174">
        <f ca="1">SUMIFS(INDIRECT("당년!"&amp;$A16),당년!$A:$A,G$1,당년!$B:$B,G$2)+SUMIFS(INDIRECT("당년!"&amp;$A16),당년!$A:$A,G$1,당년!$B:$B,G$3)</f>
        <v>77144100</v>
      </c>
      <c r="H16" s="174">
        <f ca="1">SUMIFS(INDIRECT("전년!"&amp;$A16),전년!$A:$A,H$1,전년!$B:$B,H$2)+SUMIFS(INDIRECT("전년!"&amp;$A16),전년!$A:$A,H$1,전년!$B:$B,H$3)</f>
        <v>411435010</v>
      </c>
      <c r="I16" s="175">
        <f t="shared" ca="1" si="12"/>
        <v>-0.81249991341281336</v>
      </c>
      <c r="J16" s="173">
        <f t="shared" ca="1" si="13"/>
        <v>342000000</v>
      </c>
      <c r="K16" s="174"/>
      <c r="L16" s="174">
        <f ca="1">SUMIFS(INDIRECT("당년!"&amp;$A16),당년!$A:$A,L$1,당년!$B:$B,L$2)+SUMIFS(INDIRECT("당년!"&amp;$A16),당년!$A:$A,L$1,당년!$B:$B,L$3)</f>
        <v>205898885</v>
      </c>
      <c r="M16" s="174">
        <f ca="1">SUMIFS(INDIRECT("전년!"&amp;$A16),전년!$A:$A,M$1,전년!$B:$B,M$2)+SUMIFS(INDIRECT("전년!"&amp;$A16),전년!$A:$A,M$1,전년!$B:$B,M$3)</f>
        <v>373719293</v>
      </c>
      <c r="N16" s="176">
        <f t="shared" ca="1" si="14"/>
        <v>-0.44905470802118852</v>
      </c>
      <c r="O16" s="173">
        <f t="shared" ca="1" si="15"/>
        <v>208000000</v>
      </c>
      <c r="P16" s="174">
        <v>64500000</v>
      </c>
      <c r="Q16" s="174">
        <f ca="1">SUMIFS(INDIRECT("당년!"&amp;$A16),당년!$A:$A,Q$1)</f>
        <v>142601078</v>
      </c>
      <c r="R16" s="174">
        <f ca="1">SUMIFS(INDIRECT("전년!"&amp;$A16),전년!$A:$A,R$1)</f>
        <v>24439300</v>
      </c>
      <c r="S16" s="176">
        <f t="shared" ca="1" si="16"/>
        <v>4.8349084466412702</v>
      </c>
      <c r="T16" s="174">
        <f t="shared" ca="1" si="4"/>
        <v>1094000000</v>
      </c>
      <c r="U16" s="174">
        <f t="shared" si="5"/>
        <v>64500000</v>
      </c>
      <c r="V16" s="174">
        <f t="shared" ca="1" si="6"/>
        <v>425644063</v>
      </c>
      <c r="W16" s="174">
        <f t="shared" ca="1" si="6"/>
        <v>809593603</v>
      </c>
      <c r="X16" s="176">
        <f t="shared" ca="1" si="17"/>
        <v>-0.47424972057245862</v>
      </c>
      <c r="Z16" s="173">
        <f t="shared" ca="1" si="18"/>
        <v>422000000</v>
      </c>
      <c r="AA16" s="174">
        <v>321250000</v>
      </c>
      <c r="AB16" s="174">
        <f ca="1">SUMIFS(INDIRECT("당년!"&amp;$A16),당년!$A:$A,AB$1,당년!$B:$B,AB$2)+SUMIFS(INDIRECT("당년!"&amp;$A16),당년!$A:$A,AB$1,당년!$B:$B,AB$3)</f>
        <v>236220600</v>
      </c>
      <c r="AC16" s="174">
        <f ca="1">SUMIFS(INDIRECT("전년!"&amp;$A16),전년!$A:$A,AC$1,전년!$B:$B,AC$2)+SUMIFS(INDIRECT("전년!"&amp;$A16),전년!$A:$A,AC$1,전년!$B:$B,AC$3)</f>
        <v>138165300</v>
      </c>
      <c r="AD16" s="176">
        <f t="shared" ca="1" si="19"/>
        <v>0.70969556031796688</v>
      </c>
      <c r="AF16" s="173">
        <f t="shared" ca="1" si="20"/>
        <v>1516000000</v>
      </c>
      <c r="AG16" s="174">
        <f t="shared" si="7"/>
        <v>385750000</v>
      </c>
      <c r="AH16" s="174">
        <f t="shared" ca="1" si="8"/>
        <v>661864663</v>
      </c>
      <c r="AI16" s="174">
        <f t="shared" ca="1" si="9"/>
        <v>947758903</v>
      </c>
      <c r="AJ16" s="176">
        <f t="shared" ca="1" si="21"/>
        <v>-0.30165291942396033</v>
      </c>
      <c r="AL16" s="207"/>
    </row>
    <row r="17" spans="1:38" x14ac:dyDescent="0.3">
      <c r="A17" s="166" t="s">
        <v>111</v>
      </c>
      <c r="B17" s="205"/>
      <c r="C17" s="287" t="s">
        <v>101</v>
      </c>
      <c r="D17" s="172">
        <f t="shared" si="10"/>
        <v>45972</v>
      </c>
      <c r="E17" s="173">
        <f t="shared" ca="1" si="11"/>
        <v>462000000</v>
      </c>
      <c r="F17" s="174"/>
      <c r="G17" s="174">
        <f ca="1">SUMIFS(INDIRECT("당년!"&amp;$A17),당년!$A:$A,G$1,당년!$B:$B,G$2)+SUMIFS(INDIRECT("당년!"&amp;$A17),당년!$A:$A,G$1,당년!$B:$B,G$3)</f>
        <v>161812100</v>
      </c>
      <c r="H17" s="174">
        <f ca="1">SUMIFS(INDIRECT("전년!"&amp;$A17),전년!$A:$A,H$1,전년!$B:$B,H$2)+SUMIFS(INDIRECT("전년!"&amp;$A17),전년!$A:$A,H$1,전년!$B:$B,H$3)</f>
        <v>235973100</v>
      </c>
      <c r="I17" s="175">
        <f t="shared" ca="1" si="12"/>
        <v>-0.31427734771463356</v>
      </c>
      <c r="J17" s="173">
        <f t="shared" ca="1" si="13"/>
        <v>253000000</v>
      </c>
      <c r="K17" s="174"/>
      <c r="L17" s="174">
        <f ca="1">SUMIFS(INDIRECT("당년!"&amp;$A17),당년!$A:$A,L$1,당년!$B:$B,L$2)+SUMIFS(INDIRECT("당년!"&amp;$A17),당년!$A:$A,L$1,당년!$B:$B,L$3)</f>
        <v>311994912</v>
      </c>
      <c r="M17" s="174">
        <f ca="1">SUMIFS(INDIRECT("전년!"&amp;$A17),전년!$A:$A,M$1,전년!$B:$B,M$2)+SUMIFS(INDIRECT("전년!"&amp;$A17),전년!$A:$A,M$1,전년!$B:$B,M$3)</f>
        <v>298057047</v>
      </c>
      <c r="N17" s="176">
        <f t="shared" ca="1" si="14"/>
        <v>4.6762407197840972E-2</v>
      </c>
      <c r="O17" s="173">
        <f t="shared" ca="1" si="15"/>
        <v>117000000</v>
      </c>
      <c r="P17" s="174">
        <v>65000000</v>
      </c>
      <c r="Q17" s="174">
        <f ca="1">SUMIFS(INDIRECT("당년!"&amp;$A17),당년!$A:$A,Q$1)</f>
        <v>125739855</v>
      </c>
      <c r="R17" s="174">
        <f ca="1">SUMIFS(INDIRECT("전년!"&amp;$A17),전년!$A:$A,R$1)</f>
        <v>191431867</v>
      </c>
      <c r="S17" s="176">
        <f t="shared" ca="1" si="16"/>
        <v>-0.34316131911308168</v>
      </c>
      <c r="T17" s="174">
        <f t="shared" ca="1" si="4"/>
        <v>832000000</v>
      </c>
      <c r="U17" s="174">
        <f t="shared" si="5"/>
        <v>65000000</v>
      </c>
      <c r="V17" s="174">
        <f t="shared" ca="1" si="6"/>
        <v>599546867</v>
      </c>
      <c r="W17" s="174">
        <f t="shared" ca="1" si="6"/>
        <v>725462014</v>
      </c>
      <c r="X17" s="176">
        <f t="shared" ca="1" si="17"/>
        <v>-0.17356545838387616</v>
      </c>
      <c r="Z17" s="173">
        <f t="shared" ca="1" si="18"/>
        <v>414000000</v>
      </c>
      <c r="AA17" s="174">
        <v>388231600</v>
      </c>
      <c r="AB17" s="174">
        <f ca="1">SUMIFS(INDIRECT("당년!"&amp;$A17),당년!$A:$A,AB$1,당년!$B:$B,AB$2)+SUMIFS(INDIRECT("당년!"&amp;$A17),당년!$A:$A,AB$1,당년!$B:$B,AB$3)</f>
        <v>518795800</v>
      </c>
      <c r="AC17" s="174">
        <f ca="1">SUMIFS(INDIRECT("전년!"&amp;$A17),전년!$A:$A,AC$1,전년!$B:$B,AC$2)+SUMIFS(INDIRECT("전년!"&amp;$A17),전년!$A:$A,AC$1,전년!$B:$B,AC$3)</f>
        <v>423838500</v>
      </c>
      <c r="AD17" s="176">
        <f t="shared" ca="1" si="19"/>
        <v>0.22404123268650666</v>
      </c>
      <c r="AF17" s="173">
        <f t="shared" ca="1" si="20"/>
        <v>1246000000</v>
      </c>
      <c r="AG17" s="174">
        <f t="shared" si="7"/>
        <v>453231600</v>
      </c>
      <c r="AH17" s="174">
        <f t="shared" ca="1" si="8"/>
        <v>1118342667</v>
      </c>
      <c r="AI17" s="174">
        <f t="shared" ca="1" si="9"/>
        <v>1149300514</v>
      </c>
      <c r="AJ17" s="176">
        <f t="shared" ca="1" si="21"/>
        <v>-2.693625089599494E-2</v>
      </c>
      <c r="AL17" s="207"/>
    </row>
    <row r="18" spans="1:38" x14ac:dyDescent="0.3">
      <c r="A18" s="166" t="s">
        <v>112</v>
      </c>
      <c r="B18" s="205"/>
      <c r="C18" s="287" t="s">
        <v>103</v>
      </c>
      <c r="D18" s="172">
        <f t="shared" si="10"/>
        <v>45973</v>
      </c>
      <c r="E18" s="173">
        <f t="shared" ca="1" si="11"/>
        <v>630000000</v>
      </c>
      <c r="F18" s="174"/>
      <c r="G18" s="174">
        <f ca="1">SUMIFS(INDIRECT("당년!"&amp;$A18),당년!$A:$A,G$1,당년!$B:$B,G$2)+SUMIFS(INDIRECT("당년!"&amp;$A18),당년!$A:$A,G$1,당년!$B:$B,G$3)</f>
        <v>169915500</v>
      </c>
      <c r="H18" s="174">
        <f ca="1">SUMIFS(INDIRECT("전년!"&amp;$A18),전년!$A:$A,H$1,전년!$B:$B,H$2)+SUMIFS(INDIRECT("전년!"&amp;$A18),전년!$A:$A,H$1,전년!$B:$B,H$3)</f>
        <v>200228910</v>
      </c>
      <c r="I18" s="175">
        <f ca="1">IFERROR(G18/H18-1,"")</f>
        <v>-0.15139377225796213</v>
      </c>
      <c r="J18" s="173">
        <f t="shared" ca="1" si="13"/>
        <v>271000000</v>
      </c>
      <c r="K18" s="174"/>
      <c r="L18" s="174">
        <f ca="1">SUMIFS(INDIRECT("당년!"&amp;$A18),당년!$A:$A,L$1,당년!$B:$B,L$2)+SUMIFS(INDIRECT("당년!"&amp;$A18),당년!$A:$A,L$1,당년!$B:$B,L$3)</f>
        <v>246546840</v>
      </c>
      <c r="M18" s="174">
        <f ca="1">SUMIFS(INDIRECT("전년!"&amp;$A18),전년!$A:$A,M$1,전년!$B:$B,M$2)+SUMIFS(INDIRECT("전년!"&amp;$A18),전년!$A:$A,M$1,전년!$B:$B,M$3)</f>
        <v>220537293</v>
      </c>
      <c r="N18" s="176">
        <f t="shared" ca="1" si="14"/>
        <v>0.11793718262425568</v>
      </c>
      <c r="O18" s="173">
        <f t="shared" ca="1" si="15"/>
        <v>94000000</v>
      </c>
      <c r="P18" s="174">
        <v>59500000</v>
      </c>
      <c r="Q18" s="174">
        <f ca="1">SUMIFS(INDIRECT("당년!"&amp;$A18),당년!$A:$A,Q$1)</f>
        <v>139804726</v>
      </c>
      <c r="R18" s="174">
        <f ca="1">SUMIFS(INDIRECT("전년!"&amp;$A18),전년!$A:$A,R$1)</f>
        <v>107762274</v>
      </c>
      <c r="S18" s="176">
        <f t="shared" ca="1" si="16"/>
        <v>0.29734387379390315</v>
      </c>
      <c r="T18" s="174">
        <f t="shared" ca="1" si="4"/>
        <v>995000000</v>
      </c>
      <c r="U18" s="174">
        <f t="shared" si="5"/>
        <v>59500000</v>
      </c>
      <c r="V18" s="174">
        <f t="shared" ca="1" si="6"/>
        <v>556267066</v>
      </c>
      <c r="W18" s="174">
        <f t="shared" ca="1" si="6"/>
        <v>528528477</v>
      </c>
      <c r="X18" s="176">
        <f t="shared" ca="1" si="17"/>
        <v>5.2482676349717261E-2</v>
      </c>
      <c r="Z18" s="173">
        <f t="shared" ca="1" si="18"/>
        <v>491000000</v>
      </c>
      <c r="AA18" s="174">
        <v>570000000</v>
      </c>
      <c r="AB18" s="174">
        <f ca="1">SUMIFS(INDIRECT("당년!"&amp;$A18),당년!$A:$A,AB$1,당년!$B:$B,AB$2)+SUMIFS(INDIRECT("당년!"&amp;$A18),당년!$A:$A,AB$1,당년!$B:$B,AB$3)</f>
        <v>544913750</v>
      </c>
      <c r="AC18" s="174">
        <f ca="1">SUMIFS(INDIRECT("전년!"&amp;$A18),전년!$A:$A,AC$1,전년!$B:$B,AC$2)+SUMIFS(INDIRECT("전년!"&amp;$A18),전년!$A:$A,AC$1,전년!$B:$B,AC$3)</f>
        <v>415616300</v>
      </c>
      <c r="AD18" s="176">
        <f t="shared" ca="1" si="19"/>
        <v>0.31109812103134549</v>
      </c>
      <c r="AF18" s="173">
        <f t="shared" ca="1" si="20"/>
        <v>1486000000</v>
      </c>
      <c r="AG18" s="174">
        <f t="shared" si="7"/>
        <v>629500000</v>
      </c>
      <c r="AH18" s="174">
        <f t="shared" ca="1" si="8"/>
        <v>1101180816</v>
      </c>
      <c r="AI18" s="174">
        <f t="shared" ca="1" si="9"/>
        <v>944144777</v>
      </c>
      <c r="AJ18" s="176">
        <f t="shared" ca="1" si="21"/>
        <v>0.16632622752940351</v>
      </c>
      <c r="AL18" s="207"/>
    </row>
    <row r="19" spans="1:38" x14ac:dyDescent="0.3">
      <c r="A19" s="166" t="s">
        <v>113</v>
      </c>
      <c r="B19" s="205"/>
      <c r="C19" s="287" t="s">
        <v>105</v>
      </c>
      <c r="D19" s="172">
        <f t="shared" si="10"/>
        <v>45974</v>
      </c>
      <c r="E19" s="173">
        <f t="shared" ca="1" si="11"/>
        <v>531000000</v>
      </c>
      <c r="F19" s="174"/>
      <c r="G19" s="174">
        <f ca="1">SUMIFS(INDIRECT("당년!"&amp;$A19),당년!$A:$A,G$1,당년!$B:$B,G$2)+SUMIFS(INDIRECT("당년!"&amp;$A19),당년!$A:$A,G$1,당년!$B:$B,G$3)</f>
        <v>136757700</v>
      </c>
      <c r="H19" s="174">
        <f ca="1">SUMIFS(INDIRECT("전년!"&amp;$A19),전년!$A:$A,H$1,전년!$B:$B,H$2)+SUMIFS(INDIRECT("전년!"&amp;$A19),전년!$A:$A,H$1,전년!$B:$B,H$3)</f>
        <v>272976800</v>
      </c>
      <c r="I19" s="175">
        <f t="shared" ca="1" si="12"/>
        <v>-0.49901346927650991</v>
      </c>
      <c r="J19" s="173">
        <f t="shared" ca="1" si="13"/>
        <v>226000000</v>
      </c>
      <c r="K19" s="174"/>
      <c r="L19" s="174">
        <f ca="1">SUMIFS(INDIRECT("당년!"&amp;$A19),당년!$A:$A,L$1,당년!$B:$B,L$2)+SUMIFS(INDIRECT("당년!"&amp;$A19),당년!$A:$A,L$1,당년!$B:$B,L$3)</f>
        <v>280309658</v>
      </c>
      <c r="M19" s="174">
        <f ca="1">SUMIFS(INDIRECT("전년!"&amp;$A19),전년!$A:$A,M$1,전년!$B:$B,M$2)+SUMIFS(INDIRECT("전년!"&amp;$A19),전년!$A:$A,M$1,전년!$B:$B,M$3)</f>
        <v>236709740</v>
      </c>
      <c r="N19" s="176">
        <f t="shared" ca="1" si="14"/>
        <v>0.18419148278393616</v>
      </c>
      <c r="O19" s="173">
        <f t="shared" ca="1" si="15"/>
        <v>96000000</v>
      </c>
      <c r="P19" s="174">
        <v>19000000</v>
      </c>
      <c r="Q19" s="174">
        <f ca="1">SUMIFS(INDIRECT("당년!"&amp;$A19),당년!$A:$A,Q$1)</f>
        <v>104709549</v>
      </c>
      <c r="R19" s="174">
        <f ca="1">SUMIFS(INDIRECT("전년!"&amp;$A19),전년!$A:$A,R$1)</f>
        <v>86411778</v>
      </c>
      <c r="S19" s="176">
        <f t="shared" ca="1" si="16"/>
        <v>0.21175089118059809</v>
      </c>
      <c r="T19" s="174">
        <f t="shared" ca="1" si="4"/>
        <v>853000000</v>
      </c>
      <c r="U19" s="174">
        <f t="shared" si="5"/>
        <v>19000000</v>
      </c>
      <c r="V19" s="174">
        <f t="shared" ca="1" si="6"/>
        <v>521776907</v>
      </c>
      <c r="W19" s="174">
        <f t="shared" ca="1" si="6"/>
        <v>596098318</v>
      </c>
      <c r="X19" s="176">
        <f t="shared" ca="1" si="17"/>
        <v>-0.12467978646435307</v>
      </c>
      <c r="Z19" s="173">
        <f t="shared" ca="1" si="18"/>
        <v>499000000</v>
      </c>
      <c r="AA19" s="174">
        <v>475000000</v>
      </c>
      <c r="AB19" s="174">
        <f ca="1">SUMIFS(INDIRECT("당년!"&amp;$A19),당년!$A:$A,AB$1,당년!$B:$B,AB$2)+SUMIFS(INDIRECT("당년!"&amp;$A19),당년!$A:$A,AB$1,당년!$B:$B,AB$3)</f>
        <v>629690050</v>
      </c>
      <c r="AC19" s="174">
        <f ca="1">SUMIFS(INDIRECT("전년!"&amp;$A19),전년!$A:$A,AC$1,전년!$B:$B,AC$2)+SUMIFS(INDIRECT("전년!"&amp;$A19),전년!$A:$A,AC$1,전년!$B:$B,AC$3)</f>
        <v>493379700</v>
      </c>
      <c r="AD19" s="176">
        <f t="shared" ca="1" si="19"/>
        <v>0.27627879704008906</v>
      </c>
      <c r="AF19" s="173">
        <f t="shared" ca="1" si="20"/>
        <v>1352000000</v>
      </c>
      <c r="AG19" s="174">
        <f t="shared" si="7"/>
        <v>494000000</v>
      </c>
      <c r="AH19" s="174">
        <f t="shared" ca="1" si="8"/>
        <v>1151466957</v>
      </c>
      <c r="AI19" s="174">
        <f t="shared" ca="1" si="9"/>
        <v>1089478018</v>
      </c>
      <c r="AJ19" s="176">
        <f t="shared" ca="1" si="21"/>
        <v>5.6897833619255378E-2</v>
      </c>
      <c r="AL19" s="207"/>
    </row>
    <row r="20" spans="1:38" x14ac:dyDescent="0.3">
      <c r="A20" s="166" t="s">
        <v>114</v>
      </c>
      <c r="B20" s="205"/>
      <c r="C20" s="287" t="s">
        <v>107</v>
      </c>
      <c r="D20" s="172">
        <f t="shared" si="10"/>
        <v>45975</v>
      </c>
      <c r="E20" s="173">
        <f t="shared" ca="1" si="11"/>
        <v>670000000</v>
      </c>
      <c r="F20" s="174"/>
      <c r="G20" s="174">
        <f ca="1">SUMIFS(INDIRECT("당년!"&amp;$A20),당년!$A:$A,G$1,당년!$B:$B,G$2)+SUMIFS(INDIRECT("당년!"&amp;$A20),당년!$A:$A,G$1,당년!$B:$B,G$3)</f>
        <v>365630900</v>
      </c>
      <c r="H20" s="174">
        <f ca="1">SUMIFS(INDIRECT("전년!"&amp;$A20),전년!$A:$A,H$1,전년!$B:$B,H$2)+SUMIFS(INDIRECT("전년!"&amp;$A20),전년!$A:$A,H$1,전년!$B:$B,H$3)</f>
        <v>230091320</v>
      </c>
      <c r="I20" s="175">
        <f t="shared" ca="1" si="12"/>
        <v>0.58906863587900671</v>
      </c>
      <c r="J20" s="173">
        <f t="shared" ca="1" si="13"/>
        <v>218000000</v>
      </c>
      <c r="K20" s="174"/>
      <c r="L20" s="174">
        <f ca="1">SUMIFS(INDIRECT("당년!"&amp;$A20),당년!$A:$A,L$1,당년!$B:$B,L$2)+SUMIFS(INDIRECT("당년!"&amp;$A20),당년!$A:$A,L$1,당년!$B:$B,L$3)</f>
        <v>258761935</v>
      </c>
      <c r="M20" s="174">
        <f ca="1">SUMIFS(INDIRECT("전년!"&amp;$A20),전년!$A:$A,M$1,전년!$B:$B,M$2)+SUMIFS(INDIRECT("전년!"&amp;$A20),전년!$A:$A,M$1,전년!$B:$B,M$3)</f>
        <v>197144211</v>
      </c>
      <c r="N20" s="176">
        <f t="shared" ca="1" si="14"/>
        <v>0.31255152605013592</v>
      </c>
      <c r="O20" s="173">
        <f t="shared" ca="1" si="15"/>
        <v>106000000</v>
      </c>
      <c r="P20" s="174">
        <v>20000000</v>
      </c>
      <c r="Q20" s="174">
        <f ca="1">SUMIFS(INDIRECT("당년!"&amp;$A20),당년!$A:$A,Q$1)</f>
        <v>87880391</v>
      </c>
      <c r="R20" s="174">
        <f ca="1">SUMIFS(INDIRECT("전년!"&amp;$A20),전년!$A:$A,R$1)</f>
        <v>88675380</v>
      </c>
      <c r="S20" s="176">
        <f t="shared" ca="1" si="16"/>
        <v>-8.9651603410101366E-3</v>
      </c>
      <c r="T20" s="174">
        <f t="shared" ca="1" si="4"/>
        <v>994000000</v>
      </c>
      <c r="U20" s="174">
        <f t="shared" si="5"/>
        <v>20000000</v>
      </c>
      <c r="V20" s="174">
        <f t="shared" ca="1" si="6"/>
        <v>712273226</v>
      </c>
      <c r="W20" s="174">
        <f t="shared" ca="1" si="6"/>
        <v>515910911</v>
      </c>
      <c r="X20" s="176">
        <f t="shared" ca="1" si="17"/>
        <v>0.38061283607936724</v>
      </c>
      <c r="Z20" s="173">
        <f t="shared" ca="1" si="18"/>
        <v>328000000</v>
      </c>
      <c r="AA20" s="174">
        <v>285000000</v>
      </c>
      <c r="AB20" s="174">
        <f ca="1">SUMIFS(INDIRECT("당년!"&amp;$A20),당년!$A:$A,AB$1,당년!$B:$B,AB$2)+SUMIFS(INDIRECT("당년!"&amp;$A20),당년!$A:$A,AB$1,당년!$B:$B,AB$3)</f>
        <v>387535800</v>
      </c>
      <c r="AC20" s="174">
        <f ca="1">SUMIFS(INDIRECT("전년!"&amp;$A20),전년!$A:$A,AC$1,전년!$B:$B,AC$2)+SUMIFS(INDIRECT("전년!"&amp;$A20),전년!$A:$A,AC$1,전년!$B:$B,AC$3)</f>
        <v>500728530</v>
      </c>
      <c r="AD20" s="176">
        <f t="shared" ca="1" si="19"/>
        <v>-0.22605608272410604</v>
      </c>
      <c r="AF20" s="173">
        <f t="shared" ca="1" si="20"/>
        <v>1322000000</v>
      </c>
      <c r="AG20" s="174">
        <f t="shared" si="7"/>
        <v>305000000</v>
      </c>
      <c r="AH20" s="174">
        <f t="shared" ca="1" si="8"/>
        <v>1099809026</v>
      </c>
      <c r="AI20" s="174">
        <f t="shared" ca="1" si="9"/>
        <v>1016639441</v>
      </c>
      <c r="AJ20" s="176">
        <f t="shared" ca="1" si="21"/>
        <v>8.1808339954027032E-2</v>
      </c>
      <c r="AL20" s="207"/>
    </row>
    <row r="21" spans="1:38" x14ac:dyDescent="0.3">
      <c r="A21" s="166" t="s">
        <v>115</v>
      </c>
      <c r="B21" s="205"/>
      <c r="C21" s="171" t="s">
        <v>95</v>
      </c>
      <c r="D21" s="172">
        <f t="shared" si="10"/>
        <v>45976</v>
      </c>
      <c r="E21" s="173">
        <f t="shared" ca="1" si="11"/>
        <v>802000000</v>
      </c>
      <c r="F21" s="174"/>
      <c r="G21" s="174">
        <f ca="1">SUMIFS(INDIRECT("당년!"&amp;$A21),당년!$A:$A,G$1,당년!$B:$B,G$2)+SUMIFS(INDIRECT("당년!"&amp;$A21),당년!$A:$A,G$1,당년!$B:$B,G$3)</f>
        <v>342382500</v>
      </c>
      <c r="H21" s="174">
        <f ca="1">SUMIFS(INDIRECT("전년!"&amp;$A21),전년!$A:$A,H$1,전년!$B:$B,H$2)+SUMIFS(INDIRECT("전년!"&amp;$A21),전년!$A:$A,H$1,전년!$B:$B,H$3)</f>
        <v>290254310</v>
      </c>
      <c r="I21" s="175">
        <f t="shared" ca="1" si="12"/>
        <v>0.17959488698031745</v>
      </c>
      <c r="J21" s="173">
        <f t="shared" ca="1" si="13"/>
        <v>364000000</v>
      </c>
      <c r="K21" s="174"/>
      <c r="L21" s="174">
        <f ca="1">SUMIFS(INDIRECT("당년!"&amp;$A21),당년!$A:$A,L$1,당년!$B:$B,L$2)+SUMIFS(INDIRECT("당년!"&amp;$A21),당년!$A:$A,L$1,당년!$B:$B,L$3)</f>
        <v>391206308</v>
      </c>
      <c r="M21" s="174">
        <f ca="1">SUMIFS(INDIRECT("전년!"&amp;$A21),전년!$A:$A,M$1,전년!$B:$B,M$2)+SUMIFS(INDIRECT("전년!"&amp;$A21),전년!$A:$A,M$1,전년!$B:$B,M$3)</f>
        <v>190490260</v>
      </c>
      <c r="N21" s="176">
        <f t="shared" ca="1" si="14"/>
        <v>1.0536814218217772</v>
      </c>
      <c r="O21" s="173">
        <f t="shared" ca="1" si="15"/>
        <v>21000000</v>
      </c>
      <c r="P21" s="174">
        <v>134300000</v>
      </c>
      <c r="Q21" s="174">
        <f ca="1">SUMIFS(INDIRECT("당년!"&amp;$A21),당년!$A:$A,Q$1)</f>
        <v>27583550</v>
      </c>
      <c r="R21" s="174">
        <f ca="1">SUMIFS(INDIRECT("전년!"&amp;$A21),전년!$A:$A,R$1)</f>
        <v>97900985</v>
      </c>
      <c r="S21" s="176">
        <f t="shared" ca="1" si="16"/>
        <v>-0.71825053649868797</v>
      </c>
      <c r="T21" s="174">
        <f t="shared" ca="1" si="4"/>
        <v>1187000000</v>
      </c>
      <c r="U21" s="174">
        <f t="shared" ref="U21:U27" si="22">SUM(F21,K21,P21)</f>
        <v>134300000</v>
      </c>
      <c r="V21" s="174">
        <f t="shared" ca="1" si="6"/>
        <v>761172358</v>
      </c>
      <c r="W21" s="174">
        <f t="shared" ca="1" si="6"/>
        <v>578645555</v>
      </c>
      <c r="X21" s="176">
        <f t="shared" ca="1" si="17"/>
        <v>0.3154380110981756</v>
      </c>
      <c r="Z21" s="173">
        <f t="shared" ca="1" si="18"/>
        <v>278000000</v>
      </c>
      <c r="AA21" s="174">
        <v>177500000</v>
      </c>
      <c r="AB21" s="174">
        <f ca="1">SUMIFS(INDIRECT("당년!"&amp;$A21),당년!$A:$A,AB$1,당년!$B:$B,AB$2)+SUMIFS(INDIRECT("당년!"&amp;$A21),당년!$A:$A,AB$1,당년!$B:$B,AB$3)</f>
        <v>250755500</v>
      </c>
      <c r="AC21" s="174">
        <f ca="1">SUMIFS(INDIRECT("전년!"&amp;$A21),전년!$A:$A,AC$1,전년!$B:$B,AC$2)+SUMIFS(INDIRECT("전년!"&amp;$A21),전년!$A:$A,AC$1,전년!$B:$B,AC$3)</f>
        <v>328923100</v>
      </c>
      <c r="AD21" s="176">
        <f t="shared" ca="1" si="19"/>
        <v>-0.23764703664777576</v>
      </c>
      <c r="AF21" s="173">
        <f t="shared" ca="1" si="20"/>
        <v>1465000000</v>
      </c>
      <c r="AG21" s="174">
        <f t="shared" si="7"/>
        <v>311800000</v>
      </c>
      <c r="AH21" s="174">
        <f t="shared" ca="1" si="8"/>
        <v>1011927858</v>
      </c>
      <c r="AI21" s="174">
        <f t="shared" ca="1" si="9"/>
        <v>907568655</v>
      </c>
      <c r="AJ21" s="176">
        <f t="shared" ca="1" si="21"/>
        <v>0.11498766779247127</v>
      </c>
      <c r="AL21" s="207"/>
    </row>
    <row r="22" spans="1:38" x14ac:dyDescent="0.3">
      <c r="A22" s="166" t="s">
        <v>116</v>
      </c>
      <c r="B22" s="205"/>
      <c r="C22" s="171" t="s">
        <v>97</v>
      </c>
      <c r="D22" s="172">
        <f t="shared" si="10"/>
        <v>45977</v>
      </c>
      <c r="E22" s="173">
        <f t="shared" ca="1" si="11"/>
        <v>869000000</v>
      </c>
      <c r="F22" s="174"/>
      <c r="G22" s="174">
        <f ca="1">SUMIFS(INDIRECT("당년!"&amp;$A22),당년!$A:$A,G$1,당년!$B:$B,G$2)+SUMIFS(INDIRECT("당년!"&amp;$A22),당년!$A:$A,G$1,당년!$B:$B,G$3)</f>
        <v>445434300</v>
      </c>
      <c r="H22" s="174">
        <f ca="1">SUMIFS(INDIRECT("전년!"&amp;$A22),전년!$A:$A,H$1,전년!$B:$B,H$2)+SUMIFS(INDIRECT("전년!"&amp;$A22),전년!$A:$A,H$1,전년!$B:$B,H$3)</f>
        <v>347400520</v>
      </c>
      <c r="I22" s="175">
        <f t="shared" ca="1" si="12"/>
        <v>0.28219238128946955</v>
      </c>
      <c r="J22" s="173">
        <f t="shared" ca="1" si="13"/>
        <v>422000000</v>
      </c>
      <c r="K22" s="174"/>
      <c r="L22" s="174">
        <f ca="1">SUMIFS(INDIRECT("당년!"&amp;$A22),당년!$A:$A,L$1,당년!$B:$B,L$2)+SUMIFS(INDIRECT("당년!"&amp;$A22),당년!$A:$A,L$1,당년!$B:$B,L$3)</f>
        <v>409130336</v>
      </c>
      <c r="M22" s="174">
        <f ca="1">SUMIFS(INDIRECT("전년!"&amp;$A22),전년!$A:$A,M$1,전년!$B:$B,M$2)+SUMIFS(INDIRECT("전년!"&amp;$A22),전년!$A:$A,M$1,전년!$B:$B,M$3)</f>
        <v>317695638</v>
      </c>
      <c r="N22" s="176">
        <f t="shared" ca="1" si="14"/>
        <v>0.2878059597406244</v>
      </c>
      <c r="O22" s="173">
        <f t="shared" ca="1" si="15"/>
        <v>38000000</v>
      </c>
      <c r="P22" s="174">
        <v>108600000</v>
      </c>
      <c r="Q22" s="174">
        <f ca="1">SUMIFS(INDIRECT("당년!"&amp;$A22),당년!$A:$A,Q$1)</f>
        <v>132394750</v>
      </c>
      <c r="R22" s="174">
        <f ca="1">SUMIFS(INDIRECT("전년!"&amp;$A22),전년!$A:$A,R$1)</f>
        <v>19579410</v>
      </c>
      <c r="S22" s="176">
        <f t="shared" ca="1" si="16"/>
        <v>5.7619376681932701</v>
      </c>
      <c r="T22" s="174">
        <f t="shared" ca="1" si="4"/>
        <v>1329000000</v>
      </c>
      <c r="U22" s="174">
        <f t="shared" si="22"/>
        <v>108600000</v>
      </c>
      <c r="V22" s="174">
        <f t="shared" ca="1" si="6"/>
        <v>986959386</v>
      </c>
      <c r="W22" s="174">
        <f t="shared" ca="1" si="6"/>
        <v>684675568</v>
      </c>
      <c r="X22" s="176">
        <f t="shared" ca="1" si="17"/>
        <v>0.44149934965986692</v>
      </c>
      <c r="Z22" s="173">
        <f t="shared" ca="1" si="18"/>
        <v>141000000</v>
      </c>
      <c r="AA22" s="174">
        <v>287500000</v>
      </c>
      <c r="AB22" s="174">
        <f ca="1">SUMIFS(INDIRECT("당년!"&amp;$A22),당년!$A:$A,AB$1,당년!$B:$B,AB$2)+SUMIFS(INDIRECT("당년!"&amp;$A22),당년!$A:$A,AB$1,당년!$B:$B,AB$3)</f>
        <v>152377700</v>
      </c>
      <c r="AC22" s="174">
        <f ca="1">SUMIFS(INDIRECT("전년!"&amp;$A22),전년!$A:$A,AC$1,전년!$B:$B,AC$2)+SUMIFS(INDIRECT("전년!"&amp;$A22),전년!$A:$A,AC$1,전년!$B:$B,AC$3)</f>
        <v>278818900</v>
      </c>
      <c r="AD22" s="176">
        <f t="shared" ca="1" si="19"/>
        <v>-0.45348862648837651</v>
      </c>
      <c r="AF22" s="173">
        <f t="shared" ca="1" si="20"/>
        <v>1470000000</v>
      </c>
      <c r="AG22" s="174">
        <f t="shared" si="7"/>
        <v>396100000</v>
      </c>
      <c r="AH22" s="174">
        <f t="shared" ca="1" si="8"/>
        <v>1139337086</v>
      </c>
      <c r="AI22" s="174">
        <f t="shared" ca="1" si="9"/>
        <v>963494468</v>
      </c>
      <c r="AJ22" s="176">
        <f t="shared" ca="1" si="21"/>
        <v>0.18250506239543873</v>
      </c>
      <c r="AL22" s="207"/>
    </row>
    <row r="23" spans="1:38" x14ac:dyDescent="0.3">
      <c r="A23" s="166" t="s">
        <v>117</v>
      </c>
      <c r="B23" s="205"/>
      <c r="C23" s="287" t="s">
        <v>99</v>
      </c>
      <c r="D23" s="172">
        <f t="shared" si="10"/>
        <v>45978</v>
      </c>
      <c r="E23" s="173">
        <f t="shared" ca="1" si="11"/>
        <v>730000000</v>
      </c>
      <c r="F23" s="174"/>
      <c r="G23" s="174">
        <f ca="1">SUMIFS(INDIRECT("당년!"&amp;$A23),당년!$A:$A,G$1,당년!$B:$B,G$2)+SUMIFS(INDIRECT("당년!"&amp;$A23),당년!$A:$A,G$1,당년!$B:$B,G$3)</f>
        <v>106978500</v>
      </c>
      <c r="H23" s="174">
        <f ca="1">SUMIFS(INDIRECT("전년!"&amp;$A23),전년!$A:$A,H$1,전년!$B:$B,H$2)+SUMIFS(INDIRECT("전년!"&amp;$A23),전년!$A:$A,H$1,전년!$B:$B,H$3)</f>
        <v>376682100</v>
      </c>
      <c r="I23" s="175">
        <f t="shared" ca="1" si="12"/>
        <v>-0.71599791973125348</v>
      </c>
      <c r="J23" s="173">
        <f t="shared" ca="1" si="13"/>
        <v>297000000</v>
      </c>
      <c r="K23" s="174"/>
      <c r="L23" s="174">
        <f ca="1">SUMIFS(INDIRECT("당년!"&amp;$A23),당년!$A:$A,L$1,당년!$B:$B,L$2)+SUMIFS(INDIRECT("당년!"&amp;$A23),당년!$A:$A,L$1,당년!$B:$B,L$3)</f>
        <v>219846100</v>
      </c>
      <c r="M23" s="174">
        <f ca="1">SUMIFS(INDIRECT("전년!"&amp;$A23),전년!$A:$A,M$1,전년!$B:$B,M$2)+SUMIFS(INDIRECT("전년!"&amp;$A23),전년!$A:$A,M$1,전년!$B:$B,M$3)</f>
        <v>368590522</v>
      </c>
      <c r="N23" s="176">
        <f t="shared" ca="1" si="14"/>
        <v>-0.40354923179495106</v>
      </c>
      <c r="O23" s="173">
        <f t="shared" ca="1" si="15"/>
        <v>225000000</v>
      </c>
      <c r="P23" s="174">
        <v>115000000</v>
      </c>
      <c r="Q23" s="174">
        <f ca="1">SUMIFS(INDIRECT("당년!"&amp;$A23),당년!$A:$A,Q$1)</f>
        <v>214293876</v>
      </c>
      <c r="R23" s="174">
        <f ca="1">SUMIFS(INDIRECT("전년!"&amp;$A23),전년!$A:$A,R$1)</f>
        <v>35273670</v>
      </c>
      <c r="S23" s="176">
        <f t="shared" ca="1" si="16"/>
        <v>5.0751794752289738</v>
      </c>
      <c r="T23" s="174">
        <f t="shared" ca="1" si="4"/>
        <v>1252000000</v>
      </c>
      <c r="U23" s="174">
        <f t="shared" si="22"/>
        <v>115000000</v>
      </c>
      <c r="V23" s="174">
        <f t="shared" ca="1" si="6"/>
        <v>541118476</v>
      </c>
      <c r="W23" s="174">
        <f t="shared" ca="1" si="6"/>
        <v>780546292</v>
      </c>
      <c r="X23" s="176">
        <f t="shared" ca="1" si="17"/>
        <v>-0.30674390289717757</v>
      </c>
      <c r="Z23" s="173">
        <f t="shared" ca="1" si="18"/>
        <v>274000000</v>
      </c>
      <c r="AA23" s="174">
        <v>287500000</v>
      </c>
      <c r="AB23" s="174">
        <f ca="1">SUMIFS(INDIRECT("당년!"&amp;$A23),당년!$A:$A,AB$1,당년!$B:$B,AB$2)+SUMIFS(INDIRECT("당년!"&amp;$A23),당년!$A:$A,AB$1,당년!$B:$B,AB$3)</f>
        <v>418091300</v>
      </c>
      <c r="AC23" s="174">
        <f ca="1">SUMIFS(INDIRECT("전년!"&amp;$A23),전년!$A:$A,AC$1,전년!$B:$B,AC$2)+SUMIFS(INDIRECT("전년!"&amp;$A23),전년!$A:$A,AC$1,전년!$B:$B,AC$3)</f>
        <v>141835400</v>
      </c>
      <c r="AD23" s="176">
        <f t="shared" ca="1" si="19"/>
        <v>1.9477217958281221</v>
      </c>
      <c r="AF23" s="173">
        <f t="shared" ca="1" si="20"/>
        <v>1526000000</v>
      </c>
      <c r="AG23" s="174">
        <f t="shared" si="7"/>
        <v>402500000</v>
      </c>
      <c r="AH23" s="174">
        <f t="shared" ca="1" si="8"/>
        <v>959209776</v>
      </c>
      <c r="AI23" s="174">
        <f t="shared" ca="1" si="9"/>
        <v>922381692</v>
      </c>
      <c r="AJ23" s="176">
        <f t="shared" ca="1" si="21"/>
        <v>3.992716282144082E-2</v>
      </c>
      <c r="AL23" s="207"/>
    </row>
    <row r="24" spans="1:38" x14ac:dyDescent="0.3">
      <c r="A24" s="166" t="s">
        <v>118</v>
      </c>
      <c r="B24" s="205"/>
      <c r="C24" s="287" t="s">
        <v>101</v>
      </c>
      <c r="D24" s="172">
        <f t="shared" si="10"/>
        <v>45979</v>
      </c>
      <c r="E24" s="173">
        <f t="shared" ca="1" si="11"/>
        <v>514000000</v>
      </c>
      <c r="F24" s="174"/>
      <c r="G24" s="174">
        <f ca="1">SUMIFS(INDIRECT("당년!"&amp;$A24),당년!$A:$A,G$1,당년!$B:$B,G$2)+SUMIFS(INDIRECT("당년!"&amp;$A24),당년!$A:$A,G$1,당년!$B:$B,G$3)</f>
        <v>130418600</v>
      </c>
      <c r="H24" s="174">
        <f ca="1">SUMIFS(INDIRECT("전년!"&amp;$A24),전년!$A:$A,H$1,전년!$B:$B,H$2)+SUMIFS(INDIRECT("전년!"&amp;$A24),전년!$A:$A,H$1,전년!$B:$B,H$3)</f>
        <v>316564100</v>
      </c>
      <c r="I24" s="175">
        <f t="shared" ca="1" si="12"/>
        <v>-0.5880183507858282</v>
      </c>
      <c r="J24" s="173">
        <f t="shared" ca="1" si="13"/>
        <v>295000000</v>
      </c>
      <c r="K24" s="174"/>
      <c r="L24" s="174">
        <f ca="1">SUMIFS(INDIRECT("당년!"&amp;$A24),당년!$A:$A,L$1,당년!$B:$B,L$2)+SUMIFS(INDIRECT("당년!"&amp;$A24),당년!$A:$A,L$1,당년!$B:$B,L$3)</f>
        <v>252503409</v>
      </c>
      <c r="M24" s="174">
        <f ca="1">SUMIFS(INDIRECT("전년!"&amp;$A24),전년!$A:$A,M$1,전년!$B:$B,M$2)+SUMIFS(INDIRECT("전년!"&amp;$A24),전년!$A:$A,M$1,전년!$B:$B,M$3)</f>
        <v>258970661</v>
      </c>
      <c r="N24" s="176">
        <f t="shared" ca="1" si="14"/>
        <v>-2.497291382362421E-2</v>
      </c>
      <c r="O24" s="173">
        <f t="shared" ca="1" si="15"/>
        <v>156000000</v>
      </c>
      <c r="P24" s="174">
        <v>93000000</v>
      </c>
      <c r="Q24" s="174">
        <f ca="1">SUMIFS(INDIRECT("당년!"&amp;$A24),당년!$A:$A,Q$1)</f>
        <v>165419376</v>
      </c>
      <c r="R24" s="174">
        <f ca="1">SUMIFS(INDIRECT("전년!"&amp;$A24),전년!$A:$A,R$1)</f>
        <v>207458499</v>
      </c>
      <c r="S24" s="176">
        <f t="shared" ca="1" si="16"/>
        <v>-0.20263871185147253</v>
      </c>
      <c r="T24" s="174">
        <f t="shared" ca="1" si="4"/>
        <v>965000000</v>
      </c>
      <c r="U24" s="174">
        <f t="shared" si="22"/>
        <v>93000000</v>
      </c>
      <c r="V24" s="174">
        <f t="shared" ca="1" si="6"/>
        <v>548341385</v>
      </c>
      <c r="W24" s="174">
        <f ca="1">SUM(H24,M24,R24)</f>
        <v>782993260</v>
      </c>
      <c r="X24" s="176">
        <f t="shared" ca="1" si="17"/>
        <v>-0.29968568950389174</v>
      </c>
      <c r="Z24" s="173">
        <f t="shared" ca="1" si="18"/>
        <v>234000000</v>
      </c>
      <c r="AA24" s="174">
        <v>332265600</v>
      </c>
      <c r="AB24" s="174">
        <f ca="1">SUMIFS(INDIRECT("당년!"&amp;$A24),당년!$A:$A,AB$1,당년!$B:$B,AB$2)+SUMIFS(INDIRECT("당년!"&amp;$A24),당년!$A:$A,AB$1,당년!$B:$B,AB$3)</f>
        <v>441395700</v>
      </c>
      <c r="AC24" s="174">
        <f ca="1">SUMIFS(INDIRECT("전년!"&amp;$A24),전년!$A:$A,AC$1,전년!$B:$B,AC$2)+SUMIFS(INDIRECT("전년!"&amp;$A24),전년!$A:$A,AC$1,전년!$B:$B,AC$3)</f>
        <v>274781400</v>
      </c>
      <c r="AD24" s="176">
        <f t="shared" ca="1" si="19"/>
        <v>0.60635217667571384</v>
      </c>
      <c r="AF24" s="173">
        <f t="shared" ca="1" si="20"/>
        <v>1199000000</v>
      </c>
      <c r="AG24" s="174">
        <f t="shared" si="7"/>
        <v>425265600</v>
      </c>
      <c r="AH24" s="174">
        <f t="shared" ca="1" si="8"/>
        <v>989737085</v>
      </c>
      <c r="AI24" s="174">
        <f t="shared" ca="1" si="9"/>
        <v>1057774660</v>
      </c>
      <c r="AJ24" s="176">
        <f t="shared" ca="1" si="21"/>
        <v>-6.4321426455801078E-2</v>
      </c>
      <c r="AL24" s="207"/>
    </row>
    <row r="25" spans="1:38" x14ac:dyDescent="0.3">
      <c r="A25" s="166" t="s">
        <v>119</v>
      </c>
      <c r="B25" s="205"/>
      <c r="C25" s="287" t="s">
        <v>103</v>
      </c>
      <c r="D25" s="172">
        <f t="shared" si="10"/>
        <v>45980</v>
      </c>
      <c r="E25" s="173">
        <f t="shared" ca="1" si="11"/>
        <v>534000000</v>
      </c>
      <c r="F25" s="174"/>
      <c r="G25" s="174">
        <f ca="1">SUMIFS(INDIRECT("당년!"&amp;$A25),당년!$A:$A,G$1,당년!$B:$B,G$2)+SUMIFS(INDIRECT("당년!"&amp;$A25),당년!$A:$A,G$1,당년!$B:$B,G$3)</f>
        <v>139041400</v>
      </c>
      <c r="H25" s="174">
        <f ca="1">SUMIFS(INDIRECT("전년!"&amp;$A25),전년!$A:$A,H$1,전년!$B:$B,H$2)+SUMIFS(INDIRECT("전년!"&amp;$A25),전년!$A:$A,H$1,전년!$B:$B,H$3)</f>
        <v>222588200</v>
      </c>
      <c r="I25" s="175">
        <f t="shared" ca="1" si="12"/>
        <v>-0.37534244852152987</v>
      </c>
      <c r="J25" s="173">
        <f t="shared" ca="1" si="13"/>
        <v>274000000</v>
      </c>
      <c r="K25" s="174"/>
      <c r="L25" s="174">
        <f ca="1">SUMIFS(INDIRECT("당년!"&amp;$A25),당년!$A:$A,L$1,당년!$B:$B,L$2)+SUMIFS(INDIRECT("당년!"&amp;$A25),당년!$A:$A,L$1,당년!$B:$B,L$3)</f>
        <v>281909265</v>
      </c>
      <c r="M25" s="174">
        <f ca="1">SUMIFS(INDIRECT("전년!"&amp;$A25),전년!$A:$A,M$1,전년!$B:$B,M$2)+SUMIFS(INDIRECT("전년!"&amp;$A25),전년!$A:$A,M$1,전년!$B:$B,M$3)</f>
        <v>257123463</v>
      </c>
      <c r="N25" s="176">
        <f t="shared" ca="1" si="14"/>
        <v>9.6396500384719808E-2</v>
      </c>
      <c r="O25" s="173">
        <f t="shared" ca="1" si="15"/>
        <v>175000000</v>
      </c>
      <c r="P25" s="174">
        <v>86500000</v>
      </c>
      <c r="Q25" s="174">
        <f ca="1">SUMIFS(INDIRECT("당년!"&amp;$A25),당년!$A:$A,Q$1)</f>
        <v>180762850</v>
      </c>
      <c r="R25" s="174">
        <f ca="1">SUMIFS(INDIRECT("전년!"&amp;$A25),전년!$A:$A,R$1)</f>
        <v>143754048</v>
      </c>
      <c r="S25" s="176">
        <f t="shared" ca="1" si="16"/>
        <v>0.25744528599292038</v>
      </c>
      <c r="T25" s="174">
        <f t="shared" ca="1" si="4"/>
        <v>983000000</v>
      </c>
      <c r="U25" s="174">
        <f t="shared" si="22"/>
        <v>86500000</v>
      </c>
      <c r="V25" s="174">
        <f t="shared" ca="1" si="6"/>
        <v>601713515</v>
      </c>
      <c r="W25" s="174">
        <f t="shared" ca="1" si="6"/>
        <v>623465711</v>
      </c>
      <c r="X25" s="176">
        <f t="shared" ca="1" si="17"/>
        <v>-3.4889161691203263E-2</v>
      </c>
      <c r="Z25" s="173">
        <f t="shared" ca="1" si="18"/>
        <v>454000000</v>
      </c>
      <c r="AA25" s="174">
        <v>475000000</v>
      </c>
      <c r="AB25" s="174">
        <f ca="1">SUMIFS(INDIRECT("당년!"&amp;$A25),당년!$A:$A,AB$1,당년!$B:$B,AB$2)+SUMIFS(INDIRECT("당년!"&amp;$A25),당년!$A:$A,AB$1,당년!$B:$B,AB$3)</f>
        <v>517832600</v>
      </c>
      <c r="AC25" s="174">
        <f ca="1">SUMIFS(INDIRECT("전년!"&amp;$A25),전년!$A:$A,AC$1,전년!$B:$B,AC$2)+SUMIFS(INDIRECT("전년!"&amp;$A25),전년!$A:$A,AC$1,전년!$B:$B,AC$3)</f>
        <v>234963000</v>
      </c>
      <c r="AD25" s="176">
        <f t="shared" ca="1" si="19"/>
        <v>1.2038899741661453</v>
      </c>
      <c r="AF25" s="173">
        <f t="shared" ca="1" si="20"/>
        <v>1437000000</v>
      </c>
      <c r="AG25" s="174">
        <f t="shared" si="7"/>
        <v>561500000</v>
      </c>
      <c r="AH25" s="174">
        <f t="shared" ca="1" si="8"/>
        <v>1119546115</v>
      </c>
      <c r="AI25" s="174">
        <f t="shared" ca="1" si="9"/>
        <v>858428711</v>
      </c>
      <c r="AJ25" s="176">
        <f t="shared" ca="1" si="21"/>
        <v>0.30418065082634449</v>
      </c>
      <c r="AL25" s="207"/>
    </row>
    <row r="26" spans="1:38" x14ac:dyDescent="0.3">
      <c r="A26" s="166" t="s">
        <v>120</v>
      </c>
      <c r="B26" s="205"/>
      <c r="C26" s="287" t="s">
        <v>105</v>
      </c>
      <c r="D26" s="172">
        <f t="shared" si="10"/>
        <v>45981</v>
      </c>
      <c r="E26" s="173">
        <f t="shared" ca="1" si="11"/>
        <v>453000000</v>
      </c>
      <c r="F26" s="174"/>
      <c r="G26" s="174">
        <f ca="1">SUMIFS(INDIRECT("당년!"&amp;$A26),당년!$A:$A,G$1,당년!$B:$B,G$2)+SUMIFS(INDIRECT("당년!"&amp;$A26),당년!$A:$A,G$1,당년!$B:$B,G$3)</f>
        <v>174607700</v>
      </c>
      <c r="H26" s="174">
        <f ca="1">SUMIFS(INDIRECT("전년!"&amp;$A26),전년!$A:$A,H$1,전년!$B:$B,H$2)+SUMIFS(INDIRECT("전년!"&amp;$A26),전년!$A:$A,H$1,전년!$B:$B,H$3)</f>
        <v>231602830</v>
      </c>
      <c r="I26" s="175">
        <f t="shared" ca="1" si="12"/>
        <v>-0.24608995494571462</v>
      </c>
      <c r="J26" s="173">
        <f t="shared" ca="1" si="13"/>
        <v>336000000</v>
      </c>
      <c r="K26" s="174"/>
      <c r="L26" s="174">
        <f ca="1">SUMIFS(INDIRECT("당년!"&amp;$A26),당년!$A:$A,L$1,당년!$B:$B,L$2)+SUMIFS(INDIRECT("당년!"&amp;$A26),당년!$A:$A,L$1,당년!$B:$B,L$3)</f>
        <v>328119800</v>
      </c>
      <c r="M26" s="174">
        <f ca="1">SUMIFS(INDIRECT("전년!"&amp;$A26),전년!$A:$A,M$1,전년!$B:$B,M$2)+SUMIFS(INDIRECT("전년!"&amp;$A26),전년!$A:$A,M$1,전년!$B:$B,M$3)</f>
        <v>239122748</v>
      </c>
      <c r="N26" s="176">
        <f t="shared" ca="1" si="14"/>
        <v>0.37218145385314827</v>
      </c>
      <c r="O26" s="173">
        <f t="shared" ca="1" si="15"/>
        <v>163000000</v>
      </c>
      <c r="P26" s="174">
        <v>20000000</v>
      </c>
      <c r="Q26" s="174">
        <f ca="1">SUMIFS(INDIRECT("당년!"&amp;$A26),당년!$A:$A,Q$1)</f>
        <v>143560533</v>
      </c>
      <c r="R26" s="174">
        <f ca="1">SUMIFS(INDIRECT("전년!"&amp;$A26),전년!$A:$A,R$1)</f>
        <v>161394021</v>
      </c>
      <c r="S26" s="176">
        <f ca="1">IFERROR(Q26/R26-1,"")</f>
        <v>-0.11049658400914364</v>
      </c>
      <c r="T26" s="174">
        <f t="shared" ca="1" si="4"/>
        <v>952000000</v>
      </c>
      <c r="U26" s="174">
        <f t="shared" si="22"/>
        <v>20000000</v>
      </c>
      <c r="V26" s="174">
        <f t="shared" ca="1" si="6"/>
        <v>646288033</v>
      </c>
      <c r="W26" s="174">
        <f t="shared" ca="1" si="6"/>
        <v>632119599</v>
      </c>
      <c r="X26" s="176">
        <f t="shared" ca="1" si="17"/>
        <v>2.2414166595078111E-2</v>
      </c>
      <c r="Z26" s="173">
        <f t="shared" ca="1" si="18"/>
        <v>315000000</v>
      </c>
      <c r="AA26" s="174">
        <v>475000000</v>
      </c>
      <c r="AB26" s="174">
        <f ca="1">SUMIFS(INDIRECT("당년!"&amp;$A26),당년!$A:$A,AB$1,당년!$B:$B,AB$2)+SUMIFS(INDIRECT("당년!"&amp;$A26),당년!$A:$A,AB$1,당년!$B:$B,AB$3)</f>
        <v>594302550</v>
      </c>
      <c r="AC26" s="174">
        <f ca="1">SUMIFS(INDIRECT("전년!"&amp;$A26),전년!$A:$A,AC$1,전년!$B:$B,AC$2)+SUMIFS(INDIRECT("전년!"&amp;$A26),전년!$A:$A,AC$1,전년!$B:$B,AC$3)</f>
        <v>455658400</v>
      </c>
      <c r="AD26" s="176">
        <f t="shared" ca="1" si="19"/>
        <v>0.30427212578545682</v>
      </c>
      <c r="AF26" s="173">
        <f t="shared" ca="1" si="20"/>
        <v>1267000000</v>
      </c>
      <c r="AG26" s="174">
        <f t="shared" si="7"/>
        <v>495000000</v>
      </c>
      <c r="AH26" s="174">
        <f t="shared" ca="1" si="8"/>
        <v>1240590583</v>
      </c>
      <c r="AI26" s="174">
        <f t="shared" ca="1" si="9"/>
        <v>1087777999</v>
      </c>
      <c r="AJ26" s="176">
        <f t="shared" ca="1" si="21"/>
        <v>0.14048140718095192</v>
      </c>
      <c r="AL26" s="207"/>
    </row>
    <row r="27" spans="1:38" x14ac:dyDescent="0.3">
      <c r="A27" s="166" t="s">
        <v>121</v>
      </c>
      <c r="B27" s="205"/>
      <c r="C27" s="287" t="s">
        <v>107</v>
      </c>
      <c r="D27" s="172">
        <f t="shared" si="10"/>
        <v>45982</v>
      </c>
      <c r="E27" s="173">
        <f t="shared" ca="1" si="11"/>
        <v>572000000</v>
      </c>
      <c r="F27" s="174"/>
      <c r="G27" s="174">
        <f ca="1">SUMIFS(INDIRECT("당년!"&amp;$A27),당년!$A:$A,G$1,당년!$B:$B,G$2)+SUMIFS(INDIRECT("당년!"&amp;$A27),당년!$A:$A,G$1,당년!$B:$B,G$3)</f>
        <v>411150200</v>
      </c>
      <c r="H27" s="174">
        <f ca="1">SUMIFS(INDIRECT("전년!"&amp;$A27),전년!$A:$A,H$1,전년!$B:$B,H$2)+SUMIFS(INDIRECT("전년!"&amp;$A27),전년!$A:$A,H$1,전년!$B:$B,H$3)</f>
        <v>196497100</v>
      </c>
      <c r="I27" s="175">
        <f t="shared" ca="1" si="12"/>
        <v>1.0923983102040693</v>
      </c>
      <c r="J27" s="173">
        <f t="shared" ca="1" si="13"/>
        <v>326000000</v>
      </c>
      <c r="K27" s="174"/>
      <c r="L27" s="174">
        <f ca="1">SUMIFS(INDIRECT("당년!"&amp;$A27),당년!$A:$A,L$1,당년!$B:$B,L$2)+SUMIFS(INDIRECT("당년!"&amp;$A27),당년!$A:$A,L$1,당년!$B:$B,L$3)</f>
        <v>252486792</v>
      </c>
      <c r="M27" s="174">
        <f ca="1">SUMIFS(INDIRECT("전년!"&amp;$A27),전년!$A:$A,M$1,전년!$B:$B,M$2)+SUMIFS(INDIRECT("전년!"&amp;$A27),전년!$A:$A,M$1,전년!$B:$B,M$3)</f>
        <v>293469506</v>
      </c>
      <c r="N27" s="176">
        <f t="shared" ca="1" si="14"/>
        <v>-0.13964896918455305</v>
      </c>
      <c r="O27" s="173">
        <f t="shared" ca="1" si="15"/>
        <v>155000000</v>
      </c>
      <c r="P27" s="174">
        <v>22000000</v>
      </c>
      <c r="Q27" s="174">
        <f ca="1">SUMIFS(INDIRECT("당년!"&amp;$A27),당년!$A:$A,Q$1)</f>
        <v>200102052</v>
      </c>
      <c r="R27" s="174">
        <f ca="1">SUMIFS(INDIRECT("전년!"&amp;$A27),전년!$A:$A,R$1)</f>
        <v>149880415</v>
      </c>
      <c r="S27" s="176">
        <f t="shared" ca="1" si="16"/>
        <v>0.33507804872304359</v>
      </c>
      <c r="T27" s="174">
        <f t="shared" ca="1" si="4"/>
        <v>1053000000</v>
      </c>
      <c r="U27" s="174">
        <f t="shared" si="22"/>
        <v>22000000</v>
      </c>
      <c r="V27" s="174">
        <f t="shared" ca="1" si="6"/>
        <v>863739044</v>
      </c>
      <c r="W27" s="174">
        <f t="shared" ca="1" si="6"/>
        <v>639847021</v>
      </c>
      <c r="X27" s="176">
        <f t="shared" ca="1" si="17"/>
        <v>0.34991492599291174</v>
      </c>
      <c r="Z27" s="173">
        <f t="shared" ca="1" si="18"/>
        <v>434000000</v>
      </c>
      <c r="AA27" s="174">
        <v>570000000</v>
      </c>
      <c r="AB27" s="174">
        <f ca="1">SUMIFS(INDIRECT("당년!"&amp;$A27),당년!$A:$A,AB$1,당년!$B:$B,AB$2)+SUMIFS(INDIRECT("당년!"&amp;$A27),당년!$A:$A,AB$1,당년!$B:$B,AB$3)</f>
        <v>264219200</v>
      </c>
      <c r="AC27" s="174">
        <f ca="1">SUMIFS(INDIRECT("전년!"&amp;$A27),전년!$A:$A,AC$1,전년!$B:$B,AC$2)+SUMIFS(INDIRECT("전년!"&amp;$A27),전년!$A:$A,AC$1,전년!$B:$B,AC$3)</f>
        <v>316010960</v>
      </c>
      <c r="AD27" s="176">
        <f t="shared" ca="1" si="19"/>
        <v>-0.16389229031803199</v>
      </c>
      <c r="AF27" s="173">
        <f t="shared" ca="1" si="20"/>
        <v>1487000000</v>
      </c>
      <c r="AG27" s="174">
        <f t="shared" si="7"/>
        <v>592000000</v>
      </c>
      <c r="AH27" s="174">
        <f t="shared" ca="1" si="8"/>
        <v>1127958244</v>
      </c>
      <c r="AI27" s="174">
        <f t="shared" ca="1" si="9"/>
        <v>955857981</v>
      </c>
      <c r="AJ27" s="176">
        <f t="shared" ca="1" si="21"/>
        <v>0.18004794270792401</v>
      </c>
      <c r="AL27" s="207"/>
    </row>
    <row r="28" spans="1:38" x14ac:dyDescent="0.3">
      <c r="A28" s="166" t="s">
        <v>122</v>
      </c>
      <c r="B28" s="205"/>
      <c r="C28" s="171" t="s">
        <v>95</v>
      </c>
      <c r="D28" s="172">
        <f t="shared" si="10"/>
        <v>45983</v>
      </c>
      <c r="E28" s="173">
        <f t="shared" ca="1" si="11"/>
        <v>840000000</v>
      </c>
      <c r="F28" s="174"/>
      <c r="G28" s="174">
        <f ca="1">SUMIFS(INDIRECT("당년!"&amp;$A28),당년!$A:$A,G$1,당년!$B:$B,G$2)+SUMIFS(INDIRECT("당년!"&amp;$A28),당년!$A:$A,G$1,당년!$B:$B,G$3)</f>
        <v>562280900</v>
      </c>
      <c r="H28" s="174">
        <f ca="1">SUMIFS(INDIRECT("전년!"&amp;$A28),전년!$A:$A,H$1,전년!$B:$B,H$2)+SUMIFS(INDIRECT("전년!"&amp;$A28),전년!$A:$A,H$1,전년!$B:$B,H$3)</f>
        <v>247754510</v>
      </c>
      <c r="I28" s="175">
        <f t="shared" ca="1" si="12"/>
        <v>1.2695082321609403</v>
      </c>
      <c r="J28" s="173">
        <f t="shared" ca="1" si="13"/>
        <v>436000000</v>
      </c>
      <c r="K28" s="174"/>
      <c r="L28" s="174">
        <f ca="1">SUMIFS(INDIRECT("당년!"&amp;$A28),당년!$A:$A,L$1,당년!$B:$B,L$2)+SUMIFS(INDIRECT("당년!"&amp;$A28),당년!$A:$A,L$1,당년!$B:$B,L$3)</f>
        <v>402417408</v>
      </c>
      <c r="M28" s="174">
        <f ca="1">SUMIFS(INDIRECT("전년!"&amp;$A28),전년!$A:$A,M$1,전년!$B:$B,M$2)+SUMIFS(INDIRECT("전년!"&amp;$A28),전년!$A:$A,M$1,전년!$B:$B,M$3)</f>
        <v>284843888</v>
      </c>
      <c r="N28" s="176">
        <f t="shared" ca="1" si="14"/>
        <v>0.41276476327271583</v>
      </c>
      <c r="O28" s="173">
        <f t="shared" ca="1" si="15"/>
        <v>29000000</v>
      </c>
      <c r="P28" s="174">
        <v>191500000</v>
      </c>
      <c r="Q28" s="174">
        <f ca="1">SUMIFS(INDIRECT("당년!"&amp;$A28),당년!$A:$A,Q$1)</f>
        <v>32424670</v>
      </c>
      <c r="R28" s="174">
        <f ca="1">SUMIFS(INDIRECT("전년!"&amp;$A28),전년!$A:$A,R$1)</f>
        <v>142843133</v>
      </c>
      <c r="S28" s="176">
        <f t="shared" ca="1" si="16"/>
        <v>-0.77300504883213395</v>
      </c>
      <c r="T28" s="174">
        <f t="shared" ca="1" si="4"/>
        <v>1305000000</v>
      </c>
      <c r="U28" s="174">
        <f t="shared" si="5"/>
        <v>191500000</v>
      </c>
      <c r="V28" s="174">
        <f t="shared" ca="1" si="6"/>
        <v>997122978</v>
      </c>
      <c r="W28" s="174">
        <f t="shared" ca="1" si="6"/>
        <v>675441531</v>
      </c>
      <c r="X28" s="176">
        <f t="shared" ca="1" si="17"/>
        <v>0.47625357967512949</v>
      </c>
      <c r="Z28" s="173">
        <f t="shared" ca="1" si="18"/>
        <v>305000000</v>
      </c>
      <c r="AA28" s="174">
        <v>153750000</v>
      </c>
      <c r="AB28" s="174">
        <f ca="1">SUMIFS(INDIRECT("당년!"&amp;$A28),당년!$A:$A,AB$1,당년!$B:$B,AB$2)+SUMIFS(INDIRECT("당년!"&amp;$A28),당년!$A:$A,AB$1,당년!$B:$B,AB$3)</f>
        <v>185325300</v>
      </c>
      <c r="AC28" s="174">
        <f ca="1">SUMIFS(INDIRECT("전년!"&amp;$A28),전년!$A:$A,AC$1,전년!$B:$B,AC$2)+SUMIFS(INDIRECT("전년!"&amp;$A28),전년!$A:$A,AC$1,전년!$B:$B,AC$3)</f>
        <v>435470700</v>
      </c>
      <c r="AD28" s="176">
        <f t="shared" ca="1" si="19"/>
        <v>-0.5744253287304979</v>
      </c>
      <c r="AF28" s="173">
        <f t="shared" ca="1" si="20"/>
        <v>1610000000</v>
      </c>
      <c r="AG28" s="174">
        <f t="shared" si="7"/>
        <v>345250000</v>
      </c>
      <c r="AH28" s="174">
        <f t="shared" ca="1" si="8"/>
        <v>1182448278</v>
      </c>
      <c r="AI28" s="174">
        <f t="shared" ca="1" si="9"/>
        <v>1110912231</v>
      </c>
      <c r="AJ28" s="176">
        <f t="shared" ca="1" si="21"/>
        <v>6.4393968311615479E-2</v>
      </c>
      <c r="AL28" s="207"/>
    </row>
    <row r="29" spans="1:38" x14ac:dyDescent="0.3">
      <c r="A29" s="166" t="s">
        <v>123</v>
      </c>
      <c r="B29" s="205"/>
      <c r="C29" s="171" t="s">
        <v>97</v>
      </c>
      <c r="D29" s="172">
        <f t="shared" si="10"/>
        <v>45984</v>
      </c>
      <c r="E29" s="173">
        <f t="shared" ca="1" si="11"/>
        <v>1029000000</v>
      </c>
      <c r="F29" s="174"/>
      <c r="G29" s="174">
        <f ca="1">SUMIFS(INDIRECT("당년!"&amp;$A29),당년!$A:$A,G$1,당년!$B:$B,G$2)+SUMIFS(INDIRECT("당년!"&amp;$A29),당년!$A:$A,G$1,당년!$B:$B,G$3)</f>
        <v>486440300</v>
      </c>
      <c r="H29" s="174">
        <f ca="1">SUMIFS(INDIRECT("전년!"&amp;$A29),전년!$A:$A,H$1,전년!$B:$B,H$2)+SUMIFS(INDIRECT("전년!"&amp;$A29),전년!$A:$A,H$1,전년!$B:$B,H$3)</f>
        <v>364151610</v>
      </c>
      <c r="I29" s="175">
        <f t="shared" ca="1" si="12"/>
        <v>0.33581806764495692</v>
      </c>
      <c r="J29" s="173">
        <f t="shared" ca="1" si="13"/>
        <v>475000000</v>
      </c>
      <c r="K29" s="174"/>
      <c r="L29" s="174">
        <f ca="1">SUMIFS(INDIRECT("당년!"&amp;$A29),당년!$A:$A,L$1,당년!$B:$B,L$2)+SUMIFS(INDIRECT("당년!"&amp;$A29),당년!$A:$A,L$1,당년!$B:$B,L$3)</f>
        <v>427024152</v>
      </c>
      <c r="M29" s="174">
        <f ca="1">SUMIFS(INDIRECT("전년!"&amp;$A29),전년!$A:$A,M$1,전년!$B:$B,M$2)+SUMIFS(INDIRECT("전년!"&amp;$A29),전년!$A:$A,M$1,전년!$B:$B,M$3)</f>
        <v>380639839</v>
      </c>
      <c r="N29" s="176">
        <f t="shared" ca="1" si="14"/>
        <v>0.12185879733939253</v>
      </c>
      <c r="O29" s="173">
        <f t="shared" ca="1" si="15"/>
        <v>38000000</v>
      </c>
      <c r="P29" s="174">
        <v>72600000</v>
      </c>
      <c r="Q29" s="174">
        <f ca="1">SUMIFS(INDIRECT("당년!"&amp;$A29),당년!$A:$A,Q$1)</f>
        <v>129419330</v>
      </c>
      <c r="R29" s="174">
        <f ca="1">SUMIFS(INDIRECT("전년!"&amp;$A29),전년!$A:$A,R$1)</f>
        <v>26775890</v>
      </c>
      <c r="S29" s="176">
        <f t="shared" ca="1" si="16"/>
        <v>3.8334277590772894</v>
      </c>
      <c r="T29" s="174">
        <f t="shared" ca="1" si="4"/>
        <v>1542000000</v>
      </c>
      <c r="U29" s="174">
        <f t="shared" si="5"/>
        <v>72600000</v>
      </c>
      <c r="V29" s="174">
        <f t="shared" ca="1" si="6"/>
        <v>1042883782</v>
      </c>
      <c r="W29" s="174">
        <f t="shared" ca="1" si="6"/>
        <v>771567339</v>
      </c>
      <c r="X29" s="176">
        <f t="shared" ca="1" si="17"/>
        <v>0.35164324523073165</v>
      </c>
      <c r="Z29" s="173">
        <f t="shared" ca="1" si="18"/>
        <v>168000000</v>
      </c>
      <c r="AA29" s="174">
        <v>343750000</v>
      </c>
      <c r="AB29" s="174">
        <f ca="1">SUMIFS(INDIRECT("당년!"&amp;$A29),당년!$A:$A,AB$1,당년!$B:$B,AB$2)+SUMIFS(INDIRECT("당년!"&amp;$A29),당년!$A:$A,AB$1,당년!$B:$B,AB$3)</f>
        <v>152396400</v>
      </c>
      <c r="AC29" s="174">
        <f ca="1">SUMIFS(INDIRECT("전년!"&amp;$A29),전년!$A:$A,AC$1,전년!$B:$B,AC$2)+SUMIFS(INDIRECT("전년!"&amp;$A29),전년!$A:$A,AC$1,전년!$B:$B,AC$3)</f>
        <v>306298300</v>
      </c>
      <c r="AD29" s="176">
        <f t="shared" ca="1" si="19"/>
        <v>-0.50245757158952564</v>
      </c>
      <c r="AF29" s="173">
        <f t="shared" ca="1" si="20"/>
        <v>1710000000</v>
      </c>
      <c r="AG29" s="174">
        <f t="shared" si="7"/>
        <v>416350000</v>
      </c>
      <c r="AH29" s="174">
        <f t="shared" ca="1" si="8"/>
        <v>1195280182</v>
      </c>
      <c r="AI29" s="174">
        <f t="shared" ca="1" si="9"/>
        <v>1077865639</v>
      </c>
      <c r="AJ29" s="176">
        <f t="shared" ca="1" si="21"/>
        <v>0.10893244830490412</v>
      </c>
      <c r="AL29" s="207"/>
    </row>
    <row r="30" spans="1:38" x14ac:dyDescent="0.3">
      <c r="A30" s="166" t="s">
        <v>124</v>
      </c>
      <c r="B30" s="205"/>
      <c r="C30" s="287" t="s">
        <v>99</v>
      </c>
      <c r="D30" s="172">
        <f t="shared" si="10"/>
        <v>45985</v>
      </c>
      <c r="E30" s="173">
        <f t="shared" ca="1" si="11"/>
        <v>358000000</v>
      </c>
      <c r="F30" s="174"/>
      <c r="G30" s="174">
        <f ca="1">SUMIFS(INDIRECT("당년!"&amp;$A30),당년!$A:$A,G$1,당년!$B:$B,G$2)+SUMIFS(INDIRECT("당년!"&amp;$A30),당년!$A:$A,G$1,당년!$B:$B,G$3)</f>
        <v>0</v>
      </c>
      <c r="H30" s="174">
        <f ca="1">SUMIFS(INDIRECT("전년!"&amp;$A30),전년!$A:$A,H$1,전년!$B:$B,H$2)+SUMIFS(INDIRECT("전년!"&amp;$A30),전년!$A:$A,H$1,전년!$B:$B,H$3)</f>
        <v>445952400</v>
      </c>
      <c r="I30" s="175">
        <f t="shared" ca="1" si="12"/>
        <v>-1</v>
      </c>
      <c r="J30" s="173">
        <f t="shared" ca="1" si="13"/>
        <v>238000000</v>
      </c>
      <c r="K30" s="174"/>
      <c r="L30" s="174">
        <f ca="1">SUMIFS(INDIRECT("당년!"&amp;$A30),당년!$A:$A,L$1,당년!$B:$B,L$2)+SUMIFS(INDIRECT("당년!"&amp;$A30),당년!$A:$A,L$1,당년!$B:$B,L$3)</f>
        <v>0</v>
      </c>
      <c r="M30" s="174">
        <f ca="1">SUMIFS(INDIRECT("전년!"&amp;$A30),전년!$A:$A,M$1,전년!$B:$B,M$2)+SUMIFS(INDIRECT("전년!"&amp;$A30),전년!$A:$A,M$1,전년!$B:$B,M$3)</f>
        <v>414783157</v>
      </c>
      <c r="N30" s="176">
        <f t="shared" ca="1" si="14"/>
        <v>-1</v>
      </c>
      <c r="O30" s="173">
        <f t="shared" ca="1" si="15"/>
        <v>256000000</v>
      </c>
      <c r="P30" s="174">
        <v>68500000</v>
      </c>
      <c r="Q30" s="174">
        <f ca="1">SUMIFS(INDIRECT("당년!"&amp;$A30),당년!$A:$A,Q$1)</f>
        <v>0</v>
      </c>
      <c r="R30" s="174">
        <f ca="1">SUMIFS(INDIRECT("전년!"&amp;$A30),전년!$A:$A,R$1)</f>
        <v>34538790</v>
      </c>
      <c r="S30" s="176">
        <f t="shared" ca="1" si="16"/>
        <v>-1</v>
      </c>
      <c r="T30" s="174">
        <f t="shared" ca="1" si="4"/>
        <v>852000000</v>
      </c>
      <c r="U30" s="174">
        <f t="shared" si="5"/>
        <v>68500000</v>
      </c>
      <c r="V30" s="174">
        <f t="shared" ca="1" si="6"/>
        <v>0</v>
      </c>
      <c r="W30" s="174">
        <f t="shared" ca="1" si="6"/>
        <v>895274347</v>
      </c>
      <c r="X30" s="176">
        <f t="shared" ca="1" si="17"/>
        <v>-1</v>
      </c>
      <c r="Z30" s="173">
        <f t="shared" ca="1" si="18"/>
        <v>275000000</v>
      </c>
      <c r="AA30" s="174">
        <v>343750000</v>
      </c>
      <c r="AB30" s="174">
        <f ca="1">SUMIFS(INDIRECT("당년!"&amp;$A30),당년!$A:$A,AB$1,당년!$B:$B,AB$2)+SUMIFS(INDIRECT("당년!"&amp;$A30),당년!$A:$A,AB$1,당년!$B:$B,AB$3)</f>
        <v>0</v>
      </c>
      <c r="AC30" s="174">
        <f ca="1">SUMIFS(INDIRECT("전년!"&amp;$A30),전년!$A:$A,AC$1,전년!$B:$B,AC$2)+SUMIFS(INDIRECT("전년!"&amp;$A30),전년!$A:$A,AC$1,전년!$B:$B,AC$3)</f>
        <v>168873900</v>
      </c>
      <c r="AD30" s="176">
        <f t="shared" ca="1" si="19"/>
        <v>-1</v>
      </c>
      <c r="AF30" s="173">
        <f t="shared" ca="1" si="20"/>
        <v>1127000000</v>
      </c>
      <c r="AG30" s="174">
        <f t="shared" si="7"/>
        <v>412250000</v>
      </c>
      <c r="AH30" s="174">
        <f t="shared" ca="1" si="8"/>
        <v>0</v>
      </c>
      <c r="AI30" s="174">
        <f t="shared" ca="1" si="9"/>
        <v>1064148247</v>
      </c>
      <c r="AJ30" s="176">
        <f t="shared" ca="1" si="21"/>
        <v>-1</v>
      </c>
      <c r="AL30" s="207"/>
    </row>
    <row r="31" spans="1:38" x14ac:dyDescent="0.3">
      <c r="A31" s="166" t="s">
        <v>125</v>
      </c>
      <c r="B31" s="205"/>
      <c r="C31" s="287" t="s">
        <v>101</v>
      </c>
      <c r="D31" s="172">
        <f t="shared" si="10"/>
        <v>45986</v>
      </c>
      <c r="E31" s="173">
        <f t="shared" ca="1" si="11"/>
        <v>679000000</v>
      </c>
      <c r="F31" s="174"/>
      <c r="G31" s="174">
        <f ca="1">SUMIFS(INDIRECT("당년!"&amp;$A31),당년!$A:$A,G$1,당년!$B:$B,G$2)+SUMIFS(INDIRECT("당년!"&amp;$A31),당년!$A:$A,G$1,당년!$B:$B,G$3)</f>
        <v>0</v>
      </c>
      <c r="H31" s="174">
        <f ca="1">SUMIFS(INDIRECT("전년!"&amp;$A31),전년!$A:$A,H$1,전년!$B:$B,H$2)+SUMIFS(INDIRECT("전년!"&amp;$A31),전년!$A:$A,H$1,전년!$B:$B,H$3)</f>
        <v>155172500</v>
      </c>
      <c r="I31" s="175">
        <f t="shared" ca="1" si="12"/>
        <v>-1</v>
      </c>
      <c r="J31" s="173">
        <f t="shared" ca="1" si="13"/>
        <v>229000000</v>
      </c>
      <c r="K31" s="174"/>
      <c r="L31" s="174">
        <f ca="1">SUMIFS(INDIRECT("당년!"&amp;$A31),당년!$A:$A,L$1,당년!$B:$B,L$2)+SUMIFS(INDIRECT("당년!"&amp;$A31),당년!$A:$A,L$1,당년!$B:$B,L$3)</f>
        <v>0</v>
      </c>
      <c r="M31" s="174">
        <f ca="1">SUMIFS(INDIRECT("전년!"&amp;$A31),전년!$A:$A,M$1,전년!$B:$B,M$2)+SUMIFS(INDIRECT("전년!"&amp;$A31),전년!$A:$A,M$1,전년!$B:$B,M$3)</f>
        <v>207709797</v>
      </c>
      <c r="N31" s="176">
        <f t="shared" ca="1" si="14"/>
        <v>-1</v>
      </c>
      <c r="O31" s="173">
        <f t="shared" ca="1" si="15"/>
        <v>211000000</v>
      </c>
      <c r="P31" s="174">
        <v>66500000</v>
      </c>
      <c r="Q31" s="174">
        <f ca="1">SUMIFS(INDIRECT("당년!"&amp;$A31),당년!$A:$A,Q$1)</f>
        <v>0</v>
      </c>
      <c r="R31" s="174">
        <f ca="1">SUMIFS(INDIRECT("전년!"&amp;$A31),전년!$A:$A,R$1)</f>
        <v>235253340</v>
      </c>
      <c r="S31" s="176">
        <f t="shared" ca="1" si="16"/>
        <v>-1</v>
      </c>
      <c r="T31" s="174">
        <f t="shared" ca="1" si="4"/>
        <v>1119000000</v>
      </c>
      <c r="U31" s="174">
        <f t="shared" si="5"/>
        <v>66500000</v>
      </c>
      <c r="V31" s="174">
        <f t="shared" ca="1" si="6"/>
        <v>0</v>
      </c>
      <c r="W31" s="174">
        <f t="shared" ca="1" si="6"/>
        <v>598135637</v>
      </c>
      <c r="X31" s="176">
        <f t="shared" ca="1" si="17"/>
        <v>-1</v>
      </c>
      <c r="Z31" s="173">
        <f t="shared" ca="1" si="18"/>
        <v>257000000</v>
      </c>
      <c r="AA31" s="174">
        <v>365750000</v>
      </c>
      <c r="AB31" s="174">
        <f ca="1">SUMIFS(INDIRECT("당년!"&amp;$A31),당년!$A:$A,AB$1,당년!$B:$B,AB$2)+SUMIFS(INDIRECT("당년!"&amp;$A31),당년!$A:$A,AB$1,당년!$B:$B,AB$3)</f>
        <v>0</v>
      </c>
      <c r="AC31" s="174">
        <f ca="1">SUMIFS(INDIRECT("전년!"&amp;$A31),전년!$A:$A,AC$1,전년!$B:$B,AC$2)+SUMIFS(INDIRECT("전년!"&amp;$A31),전년!$A:$A,AC$1,전년!$B:$B,AC$3)</f>
        <v>275682000</v>
      </c>
      <c r="AD31" s="176">
        <f t="shared" ca="1" si="19"/>
        <v>-1</v>
      </c>
      <c r="AF31" s="173">
        <f t="shared" ca="1" si="20"/>
        <v>1376000000</v>
      </c>
      <c r="AG31" s="174">
        <f t="shared" si="7"/>
        <v>432250000</v>
      </c>
      <c r="AH31" s="174">
        <f t="shared" ca="1" si="8"/>
        <v>0</v>
      </c>
      <c r="AI31" s="174">
        <f t="shared" ca="1" si="9"/>
        <v>873817637</v>
      </c>
      <c r="AJ31" s="176">
        <f t="shared" ca="1" si="21"/>
        <v>-1</v>
      </c>
      <c r="AL31" s="207"/>
    </row>
    <row r="32" spans="1:38" x14ac:dyDescent="0.3">
      <c r="A32" s="166" t="s">
        <v>126</v>
      </c>
      <c r="B32" s="205"/>
      <c r="C32" s="287" t="s">
        <v>103</v>
      </c>
      <c r="D32" s="172">
        <f t="shared" si="10"/>
        <v>45987</v>
      </c>
      <c r="E32" s="173">
        <f t="shared" ca="1" si="11"/>
        <v>459000000</v>
      </c>
      <c r="F32" s="174"/>
      <c r="G32" s="174">
        <f ca="1">SUMIFS(INDIRECT("당년!"&amp;$A32),당년!$A:$A,G$1,당년!$B:$B,G$2)+SUMIFS(INDIRECT("당년!"&amp;$A32),당년!$A:$A,G$1,당년!$B:$B,G$3)</f>
        <v>0</v>
      </c>
      <c r="H32" s="174">
        <f ca="1">SUMIFS(INDIRECT("전년!"&amp;$A32),전년!$A:$A,H$1,전년!$B:$B,H$2)+SUMIFS(INDIRECT("전년!"&amp;$A32),전년!$A:$A,H$1,전년!$B:$B,H$3)</f>
        <v>294485500</v>
      </c>
      <c r="I32" s="175">
        <f t="shared" ca="1" si="12"/>
        <v>-1</v>
      </c>
      <c r="J32" s="173">
        <f t="shared" ca="1" si="13"/>
        <v>235000000</v>
      </c>
      <c r="K32" s="174"/>
      <c r="L32" s="174">
        <f ca="1">SUMIFS(INDIRECT("당년!"&amp;$A32),당년!$A:$A,L$1,당년!$B:$B,L$2)+SUMIFS(INDIRECT("당년!"&amp;$A32),당년!$A:$A,L$1,당년!$B:$B,L$3)</f>
        <v>0</v>
      </c>
      <c r="M32" s="174">
        <f ca="1">SUMIFS(INDIRECT("전년!"&amp;$A32),전년!$A:$A,M$1,전년!$B:$B,M$2)+SUMIFS(INDIRECT("전년!"&amp;$A32),전년!$A:$A,M$1,전년!$B:$B,M$3)</f>
        <v>199421781</v>
      </c>
      <c r="N32" s="176">
        <f t="shared" ca="1" si="14"/>
        <v>-1</v>
      </c>
      <c r="O32" s="173">
        <f t="shared" ca="1" si="15"/>
        <v>264000000</v>
      </c>
      <c r="P32" s="174">
        <v>64000000</v>
      </c>
      <c r="Q32" s="174">
        <f ca="1">SUMIFS(INDIRECT("당년!"&amp;$A32),당년!$A:$A,Q$1)</f>
        <v>0</v>
      </c>
      <c r="R32" s="174">
        <f ca="1">SUMIFS(INDIRECT("전년!"&amp;$A32),전년!$A:$A,R$1)</f>
        <v>194004728</v>
      </c>
      <c r="S32" s="176">
        <f t="shared" ca="1" si="16"/>
        <v>-1</v>
      </c>
      <c r="T32" s="174">
        <f t="shared" ca="1" si="4"/>
        <v>958000000</v>
      </c>
      <c r="U32" s="174">
        <f t="shared" si="5"/>
        <v>64000000</v>
      </c>
      <c r="V32" s="174">
        <f t="shared" ca="1" si="6"/>
        <v>0</v>
      </c>
      <c r="W32" s="174">
        <f t="shared" ca="1" si="6"/>
        <v>687912009</v>
      </c>
      <c r="X32" s="176">
        <f t="shared" ca="1" si="17"/>
        <v>-1</v>
      </c>
      <c r="Z32" s="173">
        <f t="shared" ca="1" si="18"/>
        <v>500000000</v>
      </c>
      <c r="AA32" s="174">
        <v>515000000.00000012</v>
      </c>
      <c r="AB32" s="174">
        <f ca="1">SUMIFS(INDIRECT("당년!"&amp;$A32),당년!$A:$A,AB$1,당년!$B:$B,AB$2)+SUMIFS(INDIRECT("당년!"&amp;$A32),당년!$A:$A,AB$1,당년!$B:$B,AB$3)</f>
        <v>0</v>
      </c>
      <c r="AC32" s="174">
        <f ca="1">SUMIFS(INDIRECT("전년!"&amp;$A32),전년!$A:$A,AC$1,전년!$B:$B,AC$2)+SUMIFS(INDIRECT("전년!"&amp;$A32),전년!$A:$A,AC$1,전년!$B:$B,AC$3)</f>
        <v>258052800</v>
      </c>
      <c r="AD32" s="176">
        <f t="shared" ca="1" si="19"/>
        <v>-1</v>
      </c>
      <c r="AF32" s="173">
        <f t="shared" ca="1" si="20"/>
        <v>1458000000</v>
      </c>
      <c r="AG32" s="174">
        <f t="shared" si="7"/>
        <v>579000000.00000012</v>
      </c>
      <c r="AH32" s="174">
        <f t="shared" ca="1" si="8"/>
        <v>0</v>
      </c>
      <c r="AI32" s="174">
        <f t="shared" ca="1" si="9"/>
        <v>945964809</v>
      </c>
      <c r="AJ32" s="176">
        <f t="shared" ca="1" si="21"/>
        <v>-1</v>
      </c>
      <c r="AL32" s="207"/>
    </row>
    <row r="33" spans="1:38" x14ac:dyDescent="0.3">
      <c r="A33" s="166" t="s">
        <v>127</v>
      </c>
      <c r="B33" s="205"/>
      <c r="C33" s="287" t="s">
        <v>105</v>
      </c>
      <c r="D33" s="172">
        <f t="shared" si="10"/>
        <v>45988</v>
      </c>
      <c r="E33" s="173">
        <f t="shared" ca="1" si="11"/>
        <v>429000000</v>
      </c>
      <c r="F33" s="174"/>
      <c r="G33" s="174">
        <f ca="1">SUMIFS(INDIRECT("당년!"&amp;$A33),당년!$A:$A,G$1,당년!$B:$B,G$2)+SUMIFS(INDIRECT("당년!"&amp;$A33),당년!$A:$A,G$1,당년!$B:$B,G$3)</f>
        <v>0</v>
      </c>
      <c r="H33" s="174">
        <f ca="1">SUMIFS(INDIRECT("전년!"&amp;$A33),전년!$A:$A,H$1,전년!$B:$B,H$2)+SUMIFS(INDIRECT("전년!"&amp;$A33),전년!$A:$A,H$1,전년!$B:$B,H$3)</f>
        <v>198791030</v>
      </c>
      <c r="I33" s="175">
        <f t="shared" ca="1" si="12"/>
        <v>-1</v>
      </c>
      <c r="J33" s="173">
        <f t="shared" ca="1" si="13"/>
        <v>334000000</v>
      </c>
      <c r="K33" s="174"/>
      <c r="L33" s="174">
        <f ca="1">SUMIFS(INDIRECT("당년!"&amp;$A33),당년!$A:$A,L$1,당년!$B:$B,L$2)+SUMIFS(INDIRECT("당년!"&amp;$A33),당년!$A:$A,L$1,당년!$B:$B,L$3)</f>
        <v>0</v>
      </c>
      <c r="M33" s="174">
        <f ca="1">SUMIFS(INDIRECT("전년!"&amp;$A33),전년!$A:$A,M$1,전년!$B:$B,M$2)+SUMIFS(INDIRECT("전년!"&amp;$A33),전년!$A:$A,M$1,전년!$B:$B,M$3)</f>
        <v>205257202</v>
      </c>
      <c r="N33" s="176">
        <f t="shared" ca="1" si="14"/>
        <v>-1</v>
      </c>
      <c r="O33" s="173">
        <f t="shared" ca="1" si="15"/>
        <v>182000000</v>
      </c>
      <c r="P33" s="174">
        <v>20000000</v>
      </c>
      <c r="Q33" s="174">
        <f ca="1">SUMIFS(INDIRECT("당년!"&amp;$A33),당년!$A:$A,Q$1)</f>
        <v>0</v>
      </c>
      <c r="R33" s="174">
        <f ca="1">SUMIFS(INDIRECT("전년!"&amp;$A33),전년!$A:$A,R$1)</f>
        <v>243112160</v>
      </c>
      <c r="S33" s="176">
        <f t="shared" ca="1" si="16"/>
        <v>-1</v>
      </c>
      <c r="T33" s="174">
        <f t="shared" ca="1" si="4"/>
        <v>945000000</v>
      </c>
      <c r="U33" s="174">
        <f t="shared" si="5"/>
        <v>20000000</v>
      </c>
      <c r="V33" s="174">
        <f t="shared" ca="1" si="6"/>
        <v>0</v>
      </c>
      <c r="W33" s="174">
        <f t="shared" ca="1" si="6"/>
        <v>647160392</v>
      </c>
      <c r="X33" s="176">
        <f t="shared" ca="1" si="17"/>
        <v>-1</v>
      </c>
      <c r="Z33" s="173">
        <f t="shared" ca="1" si="18"/>
        <v>401000000</v>
      </c>
      <c r="AA33" s="174">
        <v>380000000</v>
      </c>
      <c r="AB33" s="174">
        <f ca="1">SUMIFS(INDIRECT("당년!"&amp;$A33),당년!$A:$A,AB$1,당년!$B:$B,AB$2)+SUMIFS(INDIRECT("당년!"&amp;$A33),당년!$A:$A,AB$1,당년!$B:$B,AB$3)</f>
        <v>0</v>
      </c>
      <c r="AC33" s="253">
        <f ca="1">SUMIFS(INDIRECT("전년!"&amp;$A33),전년!$A:$A,AC$1,전년!$B:$B,AC$2)+SUMIFS(INDIRECT("전년!"&amp;$A33),전년!$A:$A,AC$1,전년!$B:$B,AC$3)</f>
        <v>502506350</v>
      </c>
      <c r="AD33" s="176">
        <f t="shared" ca="1" si="19"/>
        <v>-1</v>
      </c>
      <c r="AF33" s="173">
        <f t="shared" ca="1" si="20"/>
        <v>1346000000</v>
      </c>
      <c r="AG33" s="174">
        <f t="shared" si="7"/>
        <v>400000000</v>
      </c>
      <c r="AH33" s="174">
        <f t="shared" ca="1" si="8"/>
        <v>0</v>
      </c>
      <c r="AI33" s="174">
        <f t="shared" ca="1" si="9"/>
        <v>1149666742</v>
      </c>
      <c r="AJ33" s="176">
        <f t="shared" ca="1" si="21"/>
        <v>-1</v>
      </c>
      <c r="AL33" s="207"/>
    </row>
    <row r="34" spans="1:38" x14ac:dyDescent="0.3">
      <c r="A34" s="166" t="s">
        <v>128</v>
      </c>
      <c r="B34" s="205"/>
      <c r="C34" s="287" t="s">
        <v>107</v>
      </c>
      <c r="D34" s="172">
        <f t="shared" si="10"/>
        <v>45989</v>
      </c>
      <c r="E34" s="173">
        <f t="shared" ca="1" si="11"/>
        <v>434000000</v>
      </c>
      <c r="F34" s="174"/>
      <c r="G34" s="174">
        <f ca="1">SUMIFS(INDIRECT("당년!"&amp;$A34),당년!$A:$A,G$1,당년!$B:$B,G$2)+SUMIFS(INDIRECT("당년!"&amp;$A34),당년!$A:$A,G$1,당년!$B:$B,G$3)</f>
        <v>0</v>
      </c>
      <c r="H34" s="174">
        <f ca="1">SUMIFS(INDIRECT("전년!"&amp;$A34),전년!$A:$A,H$1,전년!$B:$B,H$2)+SUMIFS(INDIRECT("전년!"&amp;$A34),전년!$A:$A,H$1,전년!$B:$B,H$3)</f>
        <v>186038700</v>
      </c>
      <c r="I34" s="175">
        <f t="shared" ca="1" si="12"/>
        <v>-1</v>
      </c>
      <c r="J34" s="173">
        <f t="shared" ca="1" si="13"/>
        <v>214000000</v>
      </c>
      <c r="K34" s="174"/>
      <c r="L34" s="174">
        <f ca="1">SUMIFS(INDIRECT("당년!"&amp;$A34),당년!$A:$A,L$1,당년!$B:$B,L$2)+SUMIFS(INDIRECT("당년!"&amp;$A34),당년!$A:$A,L$1,당년!$B:$B,L$3)</f>
        <v>0</v>
      </c>
      <c r="M34" s="253">
        <f ca="1">SUMIFS(INDIRECT("전년!"&amp;$A34),전년!$A:$A,M$1,전년!$B:$B,M$2)+SUMIFS(INDIRECT("전년!"&amp;$A34),전년!$A:$A,M$1,전년!$B:$B,M$3)</f>
        <v>291799325</v>
      </c>
      <c r="N34" s="176">
        <f t="shared" ca="1" si="14"/>
        <v>-1</v>
      </c>
      <c r="O34" s="173">
        <f t="shared" ca="1" si="15"/>
        <v>142000000</v>
      </c>
      <c r="P34" s="174">
        <v>22000000</v>
      </c>
      <c r="Q34" s="174">
        <f ca="1">SUMIFS(INDIRECT("당년!"&amp;$A34),당년!$A:$A,Q$1)</f>
        <v>0</v>
      </c>
      <c r="R34" s="174">
        <f ca="1">SUMIFS(INDIRECT("전년!"&amp;$A34),전년!$A:$A,R$1)</f>
        <v>167643902</v>
      </c>
      <c r="S34" s="176">
        <f t="shared" ca="1" si="16"/>
        <v>-1</v>
      </c>
      <c r="T34" s="174">
        <f t="shared" ca="1" si="4"/>
        <v>790000000</v>
      </c>
      <c r="U34" s="174">
        <f t="shared" si="5"/>
        <v>22000000</v>
      </c>
      <c r="V34" s="174">
        <f t="shared" ca="1" si="6"/>
        <v>0</v>
      </c>
      <c r="W34" s="174">
        <f t="shared" ca="1" si="6"/>
        <v>645481927</v>
      </c>
      <c r="X34" s="176">
        <f t="shared" ca="1" si="17"/>
        <v>-1</v>
      </c>
      <c r="Z34" s="173">
        <f t="shared" ca="1" si="18"/>
        <v>373000000</v>
      </c>
      <c r="AA34" s="174">
        <v>285000000</v>
      </c>
      <c r="AB34" s="174">
        <f ca="1">SUMIFS(INDIRECT("당년!"&amp;$A34),당년!$A:$A,AB$1,당년!$B:$B,AB$2)+SUMIFS(INDIRECT("당년!"&amp;$A34),당년!$A:$A,AB$1,당년!$B:$B,AB$3)</f>
        <v>0</v>
      </c>
      <c r="AC34" s="253">
        <f ca="1">SUMIFS(INDIRECT("전년!"&amp;$A34),전년!$A:$A,AC$1,전년!$B:$B,AC$2)+SUMIFS(INDIRECT("전년!"&amp;$A34),전년!$A:$A,AC$1,전년!$B:$B,AC$3)</f>
        <v>402434370</v>
      </c>
      <c r="AD34" s="176">
        <f t="shared" ca="1" si="19"/>
        <v>-1</v>
      </c>
      <c r="AF34" s="173">
        <f t="shared" ca="1" si="20"/>
        <v>1163000000</v>
      </c>
      <c r="AG34" s="174">
        <f t="shared" si="7"/>
        <v>307000000</v>
      </c>
      <c r="AH34" s="174">
        <f t="shared" ca="1" si="8"/>
        <v>0</v>
      </c>
      <c r="AI34" s="174">
        <f t="shared" ca="1" si="9"/>
        <v>1047916297</v>
      </c>
      <c r="AJ34" s="176">
        <f t="shared" ca="1" si="21"/>
        <v>-1</v>
      </c>
      <c r="AL34" s="207"/>
    </row>
    <row r="35" spans="1:38" x14ac:dyDescent="0.3">
      <c r="A35" s="166" t="s">
        <v>129</v>
      </c>
      <c r="B35" s="205"/>
      <c r="C35" s="171" t="s">
        <v>95</v>
      </c>
      <c r="D35" s="172">
        <f t="shared" si="10"/>
        <v>45990</v>
      </c>
      <c r="E35" s="173">
        <f t="shared" ca="1" si="11"/>
        <v>860000000</v>
      </c>
      <c r="F35" s="174"/>
      <c r="G35" s="174">
        <f ca="1">SUMIFS(INDIRECT("당년!"&amp;$A35),당년!$A:$A,G$1,당년!$B:$B,G$2)+SUMIFS(INDIRECT("당년!"&amp;$A35),당년!$A:$A,G$1,당년!$B:$B,G$3)</f>
        <v>0</v>
      </c>
      <c r="H35" s="174">
        <f ca="1">SUMIFS(INDIRECT("전년!"&amp;$A35),전년!$A:$A,H$1,전년!$B:$B,H$2)+SUMIFS(INDIRECT("전년!"&amp;$A35),전년!$A:$A,H$1,전년!$B:$B,H$3)</f>
        <v>188088500</v>
      </c>
      <c r="I35" s="175">
        <f t="shared" ca="1" si="12"/>
        <v>-1</v>
      </c>
      <c r="J35" s="173">
        <f t="shared" ca="1" si="13"/>
        <v>358000000</v>
      </c>
      <c r="K35" s="174"/>
      <c r="L35" s="174">
        <f ca="1">SUMIFS(INDIRECT("당년!"&amp;$A35),당년!$A:$A,L$1,당년!$B:$B,L$2)+SUMIFS(INDIRECT("당년!"&amp;$A35),당년!$A:$A,L$1,당년!$B:$B,L$3)</f>
        <v>0</v>
      </c>
      <c r="M35" s="253">
        <f ca="1">SUMIFS(INDIRECT("전년!"&amp;$A35),전년!$A:$A,M$1,전년!$B:$B,M$2)+SUMIFS(INDIRECT("전년!"&amp;$A35),전년!$A:$A,M$1,전년!$B:$B,M$3)</f>
        <v>186727354</v>
      </c>
      <c r="N35" s="176">
        <f t="shared" ca="1" si="14"/>
        <v>-1</v>
      </c>
      <c r="O35" s="173">
        <f t="shared" ca="1" si="15"/>
        <v>50000000</v>
      </c>
      <c r="P35" s="174">
        <v>142000000</v>
      </c>
      <c r="Q35" s="174">
        <f ca="1">SUMIFS(INDIRECT("당년!"&amp;$A35),당년!$A:$A,Q$1)</f>
        <v>0</v>
      </c>
      <c r="R35" s="174">
        <f ca="1">SUMIFS(INDIRECT("전년!"&amp;$A35),전년!$A:$A,R$1)</f>
        <v>130808980</v>
      </c>
      <c r="S35" s="176">
        <f t="shared" ca="1" si="16"/>
        <v>-1</v>
      </c>
      <c r="T35" s="174">
        <f t="shared" ca="1" si="4"/>
        <v>1268000000</v>
      </c>
      <c r="U35" s="174">
        <f t="shared" si="5"/>
        <v>142000000</v>
      </c>
      <c r="V35" s="174">
        <f t="shared" ca="1" si="6"/>
        <v>0</v>
      </c>
      <c r="W35" s="174">
        <f t="shared" ca="1" si="6"/>
        <v>505624834</v>
      </c>
      <c r="X35" s="176">
        <f t="shared" ca="1" si="17"/>
        <v>-1</v>
      </c>
      <c r="Z35" s="173">
        <f t="shared" ca="1" si="18"/>
        <v>503000000</v>
      </c>
      <c r="AA35" s="174">
        <v>95000000</v>
      </c>
      <c r="AB35" s="174">
        <f ca="1">SUMIFS(INDIRECT("당년!"&amp;$A35),당년!$A:$A,AB$1,당년!$B:$B,AB$2)+SUMIFS(INDIRECT("당년!"&amp;$A35),당년!$A:$A,AB$1,당년!$B:$B,AB$3)</f>
        <v>0</v>
      </c>
      <c r="AC35" s="253">
        <f ca="1">SUMIFS(INDIRECT("전년!"&amp;$A35),전년!$A:$A,AC$1,전년!$B:$B,AC$2)+SUMIFS(INDIRECT("전년!"&amp;$A35),전년!$A:$A,AC$1,전년!$B:$B,AC$3)</f>
        <v>374398000</v>
      </c>
      <c r="AD35" s="176">
        <f t="shared" ca="1" si="19"/>
        <v>-1</v>
      </c>
      <c r="AF35" s="173">
        <f t="shared" ca="1" si="20"/>
        <v>1771000000</v>
      </c>
      <c r="AG35" s="174">
        <f t="shared" si="7"/>
        <v>237000000</v>
      </c>
      <c r="AH35" s="174">
        <f t="shared" ca="1" si="8"/>
        <v>0</v>
      </c>
      <c r="AI35" s="174">
        <f t="shared" ca="1" si="9"/>
        <v>880022834</v>
      </c>
      <c r="AJ35" s="176">
        <f t="shared" ca="1" si="21"/>
        <v>-1</v>
      </c>
      <c r="AL35" s="207"/>
    </row>
    <row r="36" spans="1:38" x14ac:dyDescent="0.3">
      <c r="A36" s="166" t="s">
        <v>130</v>
      </c>
      <c r="B36" s="205"/>
      <c r="C36" s="171" t="s">
        <v>97</v>
      </c>
      <c r="D36" s="172">
        <f t="shared" si="10"/>
        <v>45991</v>
      </c>
      <c r="E36" s="173">
        <f t="shared" ca="1" si="11"/>
        <v>1017000000</v>
      </c>
      <c r="F36" s="174"/>
      <c r="G36" s="174">
        <f ca="1">SUMIFS(INDIRECT("당년!"&amp;$A36),당년!$A:$A,G$1,당년!$B:$B,G$2)+SUMIFS(INDIRECT("당년!"&amp;$A36),당년!$A:$A,G$1,당년!$B:$B,G$3)</f>
        <v>0</v>
      </c>
      <c r="H36" s="174">
        <f ca="1">SUMIFS(INDIRECT("전년!"&amp;$A36),전년!$A:$A,H$1,전년!$B:$B,H$2)+SUMIFS(INDIRECT("전년!"&amp;$A36),전년!$A:$A,H$1,전년!$B:$B,H$3)</f>
        <v>372680900</v>
      </c>
      <c r="I36" s="175">
        <f t="shared" ca="1" si="12"/>
        <v>-1</v>
      </c>
      <c r="J36" s="173">
        <f t="shared" ca="1" si="13"/>
        <v>511000000</v>
      </c>
      <c r="K36" s="174"/>
      <c r="L36" s="174">
        <f ca="1">SUMIFS(INDIRECT("당년!"&amp;$A36),당년!$A:$A,L$1,당년!$B:$B,L$2)+SUMIFS(INDIRECT("당년!"&amp;$A36),당년!$A:$A,L$1,당년!$B:$B,L$3)</f>
        <v>0</v>
      </c>
      <c r="M36" s="253">
        <f ca="1">SUMIFS(INDIRECT("전년!"&amp;$A36),전년!$A:$A,M$1,전년!$B:$B,M$2)+SUMIFS(INDIRECT("전년!"&amp;$A36),전년!$A:$A,M$1,전년!$B:$B,M$3)</f>
        <v>312234479</v>
      </c>
      <c r="N36" s="176">
        <f t="shared" ca="1" si="14"/>
        <v>-1</v>
      </c>
      <c r="O36" s="173">
        <f t="shared" ca="1" si="15"/>
        <v>41000000</v>
      </c>
      <c r="P36" s="174">
        <v>66500000</v>
      </c>
      <c r="Q36" s="174">
        <f ca="1">SUMIFS(INDIRECT("당년!"&amp;$A36),당년!$A:$A,Q$1)</f>
        <v>0</v>
      </c>
      <c r="R36" s="174">
        <f ca="1">SUMIFS(INDIRECT("전년!"&amp;$A36),전년!$A:$A,R$1)</f>
        <v>46228960</v>
      </c>
      <c r="S36" s="176">
        <f t="shared" ca="1" si="16"/>
        <v>-1</v>
      </c>
      <c r="T36" s="174">
        <f t="shared" ca="1" si="4"/>
        <v>1569000000</v>
      </c>
      <c r="U36" s="174">
        <f t="shared" si="5"/>
        <v>66500000</v>
      </c>
      <c r="V36" s="174">
        <f t="shared" ca="1" si="6"/>
        <v>0</v>
      </c>
      <c r="W36" s="174">
        <f t="shared" ca="1" si="6"/>
        <v>731144339</v>
      </c>
      <c r="X36" s="176">
        <f t="shared" ca="1" si="17"/>
        <v>-1</v>
      </c>
      <c r="Z36" s="173">
        <f ca="1">ROUND(Z$40*AC37/SUM(AC$8:AC$37,AC$47),-6)</f>
        <v>108000000</v>
      </c>
      <c r="AA36" s="174">
        <v>95000000</v>
      </c>
      <c r="AB36" s="174">
        <f ca="1">SUMIFS(INDIRECT("당년!"&amp;$A36),당년!$A:$A,AB$1,당년!$B:$B,AB$2)+SUMIFS(INDIRECT("당년!"&amp;$A36),당년!$A:$A,AB$1,당년!$B:$B,AB$3)</f>
        <v>0</v>
      </c>
      <c r="AC36" s="253">
        <f ca="1">SUMIFS(INDIRECT("전년!"&amp;$A36),전년!$A:$A,AC$1,전년!$B:$B,AC$2)+SUMIFS(INDIRECT("전년!"&amp;$A36),전년!$A:$A,AC$1,전년!$B:$B,AC$3)</f>
        <v>505368100</v>
      </c>
      <c r="AD36" s="176">
        <f t="shared" ca="1" si="19"/>
        <v>-1</v>
      </c>
      <c r="AF36" s="173">
        <f t="shared" ca="1" si="20"/>
        <v>1677000000</v>
      </c>
      <c r="AG36" s="174">
        <f t="shared" si="7"/>
        <v>161500000</v>
      </c>
      <c r="AH36" s="174">
        <f t="shared" ca="1" si="8"/>
        <v>0</v>
      </c>
      <c r="AI36" s="174">
        <f t="shared" ca="1" si="9"/>
        <v>1236512439</v>
      </c>
      <c r="AJ36" s="176">
        <f t="shared" ca="1" si="21"/>
        <v>-1</v>
      </c>
      <c r="AL36" s="207"/>
    </row>
    <row r="37" spans="1:38" ht="17.25" outlineLevel="1" thickBot="1" x14ac:dyDescent="0.35">
      <c r="A37" s="166" t="s">
        <v>131</v>
      </c>
      <c r="C37" s="177" t="s">
        <v>132</v>
      </c>
      <c r="D37" s="172">
        <f t="shared" si="10"/>
        <v>45992</v>
      </c>
      <c r="E37" s="173">
        <f ca="1">E40-SUM(E7:E36)</f>
        <v>0</v>
      </c>
      <c r="F37" s="174"/>
      <c r="G37" s="174">
        <f ca="1">SUMIFS(INDIRECT("당년!"&amp;$A37),당년!$A:$A,G$1,당년!$B:$B,G$2)+SUMIFS(INDIRECT("당년!"&amp;$A37),당년!$A:$A,G$1,당년!$B:$B,G$3)</f>
        <v>0</v>
      </c>
      <c r="H37" s="174">
        <f ca="1">SUMIFS(INDIRECT("전년!"&amp;$A37),전년!$A:$A,H$1,전년!$B:$B,H$2)+SUMIFS(INDIRECT("전년!"&amp;$A37),전년!$A:$A,H$1,전년!$B:$B,H$3)</f>
        <v>440601710</v>
      </c>
      <c r="I37" s="175">
        <f t="shared" ca="1" si="12"/>
        <v>-1</v>
      </c>
      <c r="J37" s="173">
        <f ca="1">J40-SUM(J7:J36)</f>
        <v>2000000</v>
      </c>
      <c r="K37" s="174"/>
      <c r="L37" s="174">
        <f ca="1">SUMIFS(INDIRECT("당년!"&amp;$A37),당년!$A:$A,L$1,당년!$B:$B,L$2)+SUMIFS(INDIRECT("당년!"&amp;$A37),당년!$A:$A,L$1,당년!$B:$B,L$3)</f>
        <v>0</v>
      </c>
      <c r="M37" s="253">
        <f ca="1">SUMIFS(INDIRECT("전년!"&amp;$A37),전년!$A:$A,M$1,전년!$B:$B,M$2)+SUMIFS(INDIRECT("전년!"&amp;$A37),전년!$A:$A,M$1,전년!$B:$B,M$3)</f>
        <v>446094262</v>
      </c>
      <c r="N37" s="176">
        <f t="shared" ca="1" si="14"/>
        <v>-1</v>
      </c>
      <c r="O37" s="173">
        <f ca="1">O40-SUM(O7:O36)</f>
        <v>2000000</v>
      </c>
      <c r="P37" s="174"/>
      <c r="Q37" s="174">
        <f ca="1">SUMIFS(INDIRECT("당년!"&amp;$A37),당년!$A:$A,Q$1)</f>
        <v>0</v>
      </c>
      <c r="R37" s="174">
        <f ca="1">SUMIFS(INDIRECT("전년!"&amp;$A37),전년!$A:$A,R$1)</f>
        <v>37667640</v>
      </c>
      <c r="S37" s="176">
        <f t="shared" ca="1" si="16"/>
        <v>-1</v>
      </c>
      <c r="T37" s="174">
        <f t="shared" ca="1" si="4"/>
        <v>4000000</v>
      </c>
      <c r="U37" s="174">
        <f t="shared" si="5"/>
        <v>0</v>
      </c>
      <c r="V37" s="174">
        <f t="shared" ca="1" si="6"/>
        <v>0</v>
      </c>
      <c r="W37" s="174">
        <f t="shared" ca="1" si="6"/>
        <v>924363612</v>
      </c>
      <c r="X37" s="176">
        <f t="shared" ca="1" si="17"/>
        <v>-1</v>
      </c>
      <c r="Z37" s="173">
        <f ca="1">Z40-SUM(Z7:Z36)</f>
        <v>-1000000</v>
      </c>
      <c r="AA37" s="174"/>
      <c r="AB37" s="174">
        <f ca="1">SUMIFS(INDIRECT("당년!"&amp;$A37),당년!$A:$A,AB$1,당년!$B:$B,AB$2)+SUMIFS(INDIRECT("당년!"&amp;$A37),당년!$A:$A,AB$1,당년!$B:$B,AB$3)</f>
        <v>0</v>
      </c>
      <c r="AC37" s="253">
        <f ca="1">SUMIFS(INDIRECT("전년!"&amp;$A37),전년!$A:$A,AC$1,전년!$B:$B,AC$2)+SUMIFS(INDIRECT("전년!"&amp;$A37),전년!$A:$A,AC$1,전년!$B:$B,AC$3)</f>
        <v>108519900</v>
      </c>
      <c r="AD37" s="176">
        <f t="shared" ca="1" si="19"/>
        <v>-1</v>
      </c>
      <c r="AF37" s="173">
        <f t="shared" ca="1" si="20"/>
        <v>3000000</v>
      </c>
      <c r="AG37" s="174">
        <f t="shared" si="7"/>
        <v>0</v>
      </c>
      <c r="AH37" s="174">
        <f t="shared" ca="1" si="8"/>
        <v>0</v>
      </c>
      <c r="AI37" s="174">
        <f t="shared" ca="1" si="9"/>
        <v>1032883512</v>
      </c>
      <c r="AJ37" s="176">
        <f t="shared" ca="1" si="21"/>
        <v>-1</v>
      </c>
    </row>
    <row r="38" spans="1:38" ht="17.25" thickBot="1" x14ac:dyDescent="0.35">
      <c r="A38" s="166" t="s">
        <v>133</v>
      </c>
      <c r="C38" s="20"/>
      <c r="D38" s="21" t="s">
        <v>134</v>
      </c>
      <c r="E38" s="22">
        <f ca="1">SUM(E7:E36)</f>
        <v>19890000000</v>
      </c>
      <c r="F38" s="23">
        <f ca="1">SUM(G7:G9,F10:F36)</f>
        <v>1126826960</v>
      </c>
      <c r="G38" s="23">
        <f ca="1">SUM(G7:G36)</f>
        <v>6951931580</v>
      </c>
      <c r="H38" s="23">
        <f ca="1">SUM(H7:H36)</f>
        <v>8424280990</v>
      </c>
      <c r="I38" s="25">
        <f t="shared" ca="1" si="12"/>
        <v>-0.17477448956744734</v>
      </c>
      <c r="J38" s="22">
        <f ca="1">SUM(J7:J36)</f>
        <v>9659000000</v>
      </c>
      <c r="K38" s="23">
        <f ca="1">SUM(L7:L9,K10:K36)</f>
        <v>1561927029</v>
      </c>
      <c r="L38" s="23">
        <f ca="1">SUM(L7:L36)</f>
        <v>7717549293</v>
      </c>
      <c r="M38" s="23">
        <f ca="1">SUM(M7:M36)</f>
        <v>8181836130</v>
      </c>
      <c r="N38" s="24">
        <f t="shared" ca="1" si="14"/>
        <v>-5.6746044484760394E-2</v>
      </c>
      <c r="O38" s="22">
        <f ca="1">SUM(O7:O36)</f>
        <v>3447000000</v>
      </c>
      <c r="P38" s="23">
        <f ca="1">SUM(Q7:Q9,P10:P36)</f>
        <v>2244856901</v>
      </c>
      <c r="Q38" s="23">
        <f ca="1">SUM(Q7:Q36)</f>
        <v>2656770794</v>
      </c>
      <c r="R38" s="23">
        <f ca="1">SUM(R7:R36)</f>
        <v>3210571259</v>
      </c>
      <c r="S38" s="24">
        <f t="shared" ca="1" si="16"/>
        <v>-0.17249281212730128</v>
      </c>
      <c r="T38" s="23">
        <f ca="1">SUM(T7:T36)</f>
        <v>32996000000</v>
      </c>
      <c r="U38" s="23">
        <f ca="1">SUM(V7:V9,U10:U36)</f>
        <v>4933610890</v>
      </c>
      <c r="V38" s="23">
        <f ca="1">SUM(V7:V36)</f>
        <v>17326251667</v>
      </c>
      <c r="W38" s="23">
        <f ca="1">SUM(W7:W36)</f>
        <v>19816688379</v>
      </c>
      <c r="X38" s="24">
        <f t="shared" ca="1" si="17"/>
        <v>-0.12567370815797596</v>
      </c>
      <c r="Z38" s="22">
        <f ca="1">SUM(Z7:Z36)</f>
        <v>10851000000</v>
      </c>
      <c r="AA38" s="23">
        <f>SUM(AA7:AA36)</f>
        <v>9964464430</v>
      </c>
      <c r="AB38" s="23">
        <f ca="1">SUM(AB7:AB36)</f>
        <v>8576260930</v>
      </c>
      <c r="AC38" s="23">
        <f ca="1">SUM(AC7:AC36)</f>
        <v>11191298986</v>
      </c>
      <c r="AD38" s="24">
        <f t="shared" ca="1" si="19"/>
        <v>-0.23366707111223983</v>
      </c>
      <c r="AF38" s="22">
        <f ca="1">SUM(AF7:AF36)</f>
        <v>43847000000</v>
      </c>
      <c r="AG38" s="23">
        <f ca="1">SUM(AH7:AH9,AG10:AG36)</f>
        <v>14842742520</v>
      </c>
      <c r="AH38" s="23">
        <f ca="1">SUM(AH7:AH36)</f>
        <v>25902512597</v>
      </c>
      <c r="AI38" s="23">
        <f ca="1">SUM(AI7:AI36)</f>
        <v>31007987365</v>
      </c>
      <c r="AJ38" s="24">
        <f t="shared" ca="1" si="21"/>
        <v>-0.16465031115701367</v>
      </c>
    </row>
    <row r="39" spans="1:38" x14ac:dyDescent="0.3">
      <c r="A39" s="166"/>
      <c r="E39" s="163"/>
      <c r="F39" s="163"/>
      <c r="G39" s="163"/>
      <c r="H39" s="163"/>
      <c r="I39" s="205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4"/>
      <c r="Z39" s="163"/>
      <c r="AA39" s="163"/>
      <c r="AB39" s="163"/>
      <c r="AC39" s="163"/>
      <c r="AD39" s="163"/>
      <c r="AE39" s="164"/>
      <c r="AF39" s="163"/>
      <c r="AG39" s="163"/>
      <c r="AH39" s="163"/>
      <c r="AI39" s="163"/>
      <c r="AJ39" s="163"/>
    </row>
    <row r="40" spans="1:38" x14ac:dyDescent="0.3">
      <c r="A40" s="166"/>
      <c r="E40" s="163">
        <f>요약!H17</f>
        <v>19890000000</v>
      </c>
      <c r="F40" s="163"/>
      <c r="G40" s="163"/>
      <c r="H40" s="163"/>
      <c r="I40" s="163"/>
      <c r="J40" s="163">
        <f>요약!H18</f>
        <v>9661000000</v>
      </c>
      <c r="K40" s="163"/>
      <c r="L40" s="163"/>
      <c r="M40" s="163"/>
      <c r="N40" s="163"/>
      <c r="O40" s="163">
        <f>요약!H19</f>
        <v>3449000000</v>
      </c>
      <c r="P40" s="163"/>
      <c r="Q40" s="163"/>
      <c r="R40" s="163"/>
      <c r="S40" s="163"/>
      <c r="T40" s="163"/>
      <c r="U40" s="163"/>
      <c r="V40" s="163"/>
      <c r="W40" s="163"/>
      <c r="X40" s="163"/>
      <c r="Y40" s="164"/>
      <c r="Z40" s="163">
        <f>요약!H25</f>
        <v>10850000000</v>
      </c>
      <c r="AA40" s="163"/>
      <c r="AB40" s="163"/>
      <c r="AC40" s="163"/>
      <c r="AD40" s="163"/>
      <c r="AE40" s="164"/>
      <c r="AF40" s="163"/>
      <c r="AG40" s="163"/>
      <c r="AH40" s="163"/>
      <c r="AI40" s="163"/>
      <c r="AJ40" s="163"/>
    </row>
    <row r="41" spans="1:38" x14ac:dyDescent="0.3">
      <c r="A41" s="166"/>
      <c r="F41" s="163"/>
      <c r="AE41" s="164"/>
      <c r="AF41" s="163"/>
      <c r="AG41" s="163"/>
      <c r="AH41" s="163"/>
      <c r="AI41" s="163"/>
      <c r="AJ41" s="163"/>
    </row>
    <row r="42" spans="1:38" ht="26.25" x14ac:dyDescent="0.3">
      <c r="E42" s="318"/>
      <c r="F42" s="318"/>
      <c r="G42" s="318"/>
      <c r="H42" s="318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  <c r="AE42" s="164"/>
      <c r="AF42" s="163"/>
      <c r="AG42" s="163"/>
      <c r="AH42" s="163"/>
      <c r="AI42" s="163"/>
      <c r="AJ42" s="163"/>
    </row>
    <row r="43" spans="1:38" x14ac:dyDescent="0.3">
      <c r="E43" s="163"/>
      <c r="F43" s="163"/>
      <c r="G43" s="163"/>
      <c r="H43" s="163"/>
      <c r="I43" s="163"/>
      <c r="K43" s="163"/>
      <c r="M43" s="163"/>
      <c r="N43" s="163"/>
      <c r="O43" s="163"/>
      <c r="P43" s="163"/>
      <c r="Q43" s="163"/>
      <c r="R43" s="163"/>
      <c r="S43" s="163"/>
      <c r="T43" s="163"/>
      <c r="U43" s="163"/>
      <c r="V43" s="163"/>
      <c r="W43" s="163"/>
      <c r="X43" s="163"/>
      <c r="Y43" s="164"/>
      <c r="Z43" s="163"/>
      <c r="AA43" s="163"/>
      <c r="AB43" s="163"/>
      <c r="AC43" s="163"/>
      <c r="AD43" s="163"/>
      <c r="AE43" s="164"/>
      <c r="AF43" s="163"/>
      <c r="AG43" s="163"/>
      <c r="AH43" s="163"/>
      <c r="AI43" s="163"/>
      <c r="AJ43" s="163"/>
    </row>
    <row r="44" spans="1:38" x14ac:dyDescent="0.3">
      <c r="E44" s="163"/>
      <c r="F44" s="163"/>
      <c r="G44" s="163"/>
      <c r="H44" s="163"/>
      <c r="I44" s="163"/>
      <c r="K44" s="163">
        <v>1569500000</v>
      </c>
      <c r="L44" s="163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4"/>
      <c r="Z44" s="163"/>
      <c r="AA44" s="163"/>
      <c r="AB44" s="163"/>
      <c r="AC44" s="163"/>
      <c r="AD44" s="163"/>
      <c r="AE44" s="164"/>
      <c r="AF44" s="163"/>
      <c r="AG44" s="163"/>
      <c r="AH44" s="163"/>
      <c r="AI44" s="163"/>
      <c r="AJ44" s="163"/>
    </row>
    <row r="45" spans="1:38" x14ac:dyDescent="0.3">
      <c r="K45" s="163">
        <v>1652000000</v>
      </c>
      <c r="AE45" s="164"/>
      <c r="AF45" s="163"/>
      <c r="AG45" s="163"/>
      <c r="AH45" s="163"/>
      <c r="AI45" s="163"/>
      <c r="AJ45" s="163"/>
    </row>
    <row r="46" spans="1:38" x14ac:dyDescent="0.3">
      <c r="E46" s="163"/>
      <c r="F46" s="163"/>
      <c r="G46" s="163"/>
      <c r="H46" s="163"/>
      <c r="I46" s="163"/>
      <c r="K46" s="163">
        <v>1671500000</v>
      </c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4"/>
      <c r="Z46" s="163"/>
      <c r="AA46" s="163"/>
      <c r="AB46" s="163"/>
      <c r="AC46" s="205"/>
      <c r="AD46" s="163"/>
      <c r="AE46" s="164"/>
      <c r="AF46" s="163"/>
      <c r="AG46" s="163"/>
      <c r="AH46" s="163"/>
      <c r="AI46" s="163"/>
      <c r="AJ46" s="163"/>
    </row>
    <row r="47" spans="1:38" x14ac:dyDescent="0.3">
      <c r="A47" t="s">
        <v>133</v>
      </c>
      <c r="E47" s="163"/>
      <c r="F47" s="209" t="s">
        <v>135</v>
      </c>
      <c r="G47" s="163"/>
      <c r="H47" s="174">
        <f ca="1">SUMIFS(INDIRECT("전년!"&amp;$A47),전년!$A:$A,H$1)</f>
        <v>0</v>
      </c>
      <c r="I47" s="163"/>
      <c r="K47" s="163">
        <v>1660000000</v>
      </c>
      <c r="L47" s="163"/>
      <c r="M47" s="174">
        <f ca="1">SUMIFS(INDIRECT("전년!"&amp;$A47),전년!$A:$A,M$1)</f>
        <v>0</v>
      </c>
      <c r="N47" s="163"/>
      <c r="O47" s="163"/>
      <c r="P47" s="163"/>
      <c r="Q47" s="163"/>
      <c r="R47" s="174">
        <f ca="1">SUMIFS(INDIRECT("전년!"&amp;$A47),전년!$A:$A,R$1)</f>
        <v>0</v>
      </c>
      <c r="S47" s="163"/>
      <c r="T47" s="163"/>
      <c r="U47" s="163"/>
      <c r="V47" s="163"/>
      <c r="W47" s="163"/>
      <c r="X47" s="163"/>
      <c r="Y47" s="164"/>
      <c r="Z47" s="163"/>
      <c r="AA47" s="163"/>
      <c r="AB47" s="163"/>
      <c r="AC47" s="174">
        <f ca="1">SUMIFS(INDIRECT("전년!"&amp;$A47),전년!$A:$A,AC$1)</f>
        <v>0</v>
      </c>
      <c r="AD47" s="163"/>
      <c r="AE47" s="164"/>
      <c r="AF47" s="163"/>
      <c r="AG47" s="163"/>
      <c r="AH47" s="163"/>
      <c r="AI47" s="163"/>
      <c r="AJ47" s="163"/>
    </row>
    <row r="48" spans="1:38" x14ac:dyDescent="0.3">
      <c r="E48" s="163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4"/>
      <c r="Z48" s="163"/>
      <c r="AA48" s="163"/>
      <c r="AB48" s="163"/>
      <c r="AC48" s="205"/>
      <c r="AD48" s="163"/>
      <c r="AE48" s="164"/>
      <c r="AF48" s="163"/>
      <c r="AG48" s="163"/>
      <c r="AH48" s="163"/>
      <c r="AI48" s="163"/>
      <c r="AJ48" s="163"/>
    </row>
    <row r="49" spans="5:36" x14ac:dyDescent="0.3">
      <c r="E49" s="163"/>
      <c r="F49" s="163"/>
      <c r="G49" s="163"/>
      <c r="H49" s="163"/>
      <c r="I49" s="163"/>
      <c r="J49" s="165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4"/>
      <c r="Z49" s="163"/>
      <c r="AA49" s="163"/>
      <c r="AB49" s="163"/>
      <c r="AC49" s="205"/>
      <c r="AD49" s="163"/>
      <c r="AE49" s="164"/>
      <c r="AF49" s="163"/>
      <c r="AG49" s="163"/>
      <c r="AH49" s="163"/>
      <c r="AI49" s="163"/>
      <c r="AJ49" s="163"/>
    </row>
    <row r="50" spans="5:36" x14ac:dyDescent="0.3">
      <c r="E50" s="163"/>
      <c r="F50" s="163"/>
      <c r="G50" s="163"/>
      <c r="H50" s="163"/>
      <c r="I50" s="163"/>
      <c r="J50" s="165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4"/>
      <c r="Z50" s="163"/>
      <c r="AA50" s="163"/>
      <c r="AB50" s="163"/>
      <c r="AC50" s="205"/>
      <c r="AD50" s="163"/>
      <c r="AE50" s="164"/>
      <c r="AF50" s="163"/>
      <c r="AG50" s="163"/>
      <c r="AH50" s="163"/>
      <c r="AI50" s="163"/>
      <c r="AJ50" s="163"/>
    </row>
    <row r="51" spans="5:36" x14ac:dyDescent="0.3">
      <c r="E51" s="163"/>
      <c r="F51" s="163"/>
      <c r="G51" s="163"/>
      <c r="H51" s="163"/>
      <c r="I51" s="163"/>
      <c r="J51" s="165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4"/>
      <c r="Z51" s="163"/>
      <c r="AA51" s="163"/>
      <c r="AB51" s="163"/>
      <c r="AC51" s="205"/>
      <c r="AD51" s="163"/>
      <c r="AE51" s="164"/>
      <c r="AF51" s="163"/>
      <c r="AG51" s="163"/>
      <c r="AH51" s="163"/>
      <c r="AI51" s="163"/>
      <c r="AJ51" s="163"/>
    </row>
    <row r="52" spans="5:36" x14ac:dyDescent="0.3">
      <c r="E52" s="163"/>
      <c r="F52" s="163"/>
      <c r="G52" s="163"/>
      <c r="H52" s="163"/>
      <c r="I52" s="163"/>
      <c r="J52" s="165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4"/>
      <c r="Z52" s="163"/>
      <c r="AA52" s="163"/>
      <c r="AB52" s="163"/>
      <c r="AC52" s="205"/>
      <c r="AD52" s="163"/>
      <c r="AE52" s="164"/>
      <c r="AF52" s="163"/>
      <c r="AG52" s="163"/>
      <c r="AH52" s="163"/>
      <c r="AI52" s="163"/>
      <c r="AJ52" s="163"/>
    </row>
    <row r="53" spans="5:36" x14ac:dyDescent="0.3">
      <c r="E53" s="163"/>
      <c r="F53" s="163"/>
      <c r="G53" s="163"/>
      <c r="H53" s="163"/>
      <c r="I53" s="163"/>
      <c r="J53" s="165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4"/>
      <c r="Z53" s="163"/>
      <c r="AA53" s="163"/>
      <c r="AB53" s="163"/>
      <c r="AC53" s="205"/>
      <c r="AD53" s="163"/>
      <c r="AE53" s="164"/>
      <c r="AF53" s="163"/>
      <c r="AG53" s="163"/>
      <c r="AH53" s="163"/>
      <c r="AI53" s="163"/>
      <c r="AJ53" s="163"/>
    </row>
    <row r="54" spans="5:36" x14ac:dyDescent="0.3">
      <c r="E54" s="163"/>
      <c r="F54" s="163"/>
      <c r="G54" s="163"/>
      <c r="H54" s="163"/>
      <c r="I54" s="163"/>
      <c r="J54" s="165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4"/>
      <c r="Z54" s="163"/>
      <c r="AA54" s="163"/>
      <c r="AB54" s="163"/>
      <c r="AC54" s="205"/>
      <c r="AD54" s="163"/>
      <c r="AE54" s="164"/>
      <c r="AF54" s="163"/>
      <c r="AG54" s="163"/>
      <c r="AH54" s="163"/>
      <c r="AI54" s="163"/>
      <c r="AJ54" s="163"/>
    </row>
    <row r="55" spans="5:36" x14ac:dyDescent="0.3">
      <c r="E55" s="163"/>
      <c r="F55" s="163"/>
      <c r="G55" s="163"/>
      <c r="H55" s="163"/>
      <c r="I55" s="163"/>
      <c r="J55" s="165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4"/>
      <c r="Z55" s="163"/>
      <c r="AA55" s="163"/>
      <c r="AB55" s="163"/>
      <c r="AC55" s="205"/>
      <c r="AD55" s="163"/>
      <c r="AE55" s="164"/>
      <c r="AF55" s="163"/>
      <c r="AG55" s="163"/>
      <c r="AH55" s="163"/>
      <c r="AI55" s="163"/>
      <c r="AJ55" s="163"/>
    </row>
    <row r="56" spans="5:36" x14ac:dyDescent="0.3">
      <c r="E56" s="163"/>
      <c r="F56" s="163"/>
      <c r="G56" s="163"/>
      <c r="H56" s="163"/>
      <c r="I56" s="163"/>
      <c r="J56" s="165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4"/>
      <c r="Z56" s="163"/>
      <c r="AA56" s="163"/>
      <c r="AB56" s="163"/>
      <c r="AC56" s="205"/>
      <c r="AD56" s="163"/>
      <c r="AE56" s="164"/>
      <c r="AF56" s="163"/>
      <c r="AG56" s="163"/>
      <c r="AH56" s="163"/>
      <c r="AI56" s="163"/>
      <c r="AJ56" s="163"/>
    </row>
    <row r="57" spans="5:36" x14ac:dyDescent="0.3">
      <c r="E57" s="163"/>
      <c r="F57" s="163"/>
      <c r="G57" s="163"/>
      <c r="H57" s="163"/>
      <c r="I57" s="163"/>
      <c r="J57" s="165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4"/>
      <c r="Z57" s="163"/>
      <c r="AA57" s="163"/>
      <c r="AB57" s="163"/>
      <c r="AC57" s="205"/>
      <c r="AD57" s="163"/>
      <c r="AE57" s="164"/>
      <c r="AF57" s="163"/>
      <c r="AG57" s="163"/>
      <c r="AH57" s="163"/>
      <c r="AI57" s="163"/>
      <c r="AJ57" s="163"/>
    </row>
    <row r="58" spans="5:36" x14ac:dyDescent="0.3"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4"/>
      <c r="Z58" s="163"/>
      <c r="AA58" s="163"/>
      <c r="AB58" s="163"/>
      <c r="AC58" s="205"/>
      <c r="AD58" s="163"/>
      <c r="AE58" s="164"/>
      <c r="AF58" s="163"/>
      <c r="AG58" s="163"/>
      <c r="AH58" s="163"/>
      <c r="AI58" s="163"/>
      <c r="AJ58" s="163"/>
    </row>
    <row r="59" spans="5:36" x14ac:dyDescent="0.3">
      <c r="AA59" s="163"/>
      <c r="AB59" s="163"/>
      <c r="AC59" s="205"/>
    </row>
    <row r="60" spans="5:36" x14ac:dyDescent="0.3">
      <c r="AA60" s="163"/>
      <c r="AB60" s="163"/>
      <c r="AC60" s="205"/>
    </row>
    <row r="61" spans="5:36" x14ac:dyDescent="0.3">
      <c r="AA61" s="163"/>
      <c r="AB61" s="163"/>
      <c r="AC61" s="205"/>
    </row>
    <row r="62" spans="5:36" x14ac:dyDescent="0.3">
      <c r="AB62" s="163"/>
    </row>
  </sheetData>
  <mergeCells count="7">
    <mergeCell ref="E42:AD42"/>
    <mergeCell ref="AF5:AJ5"/>
    <mergeCell ref="E5:I5"/>
    <mergeCell ref="J5:N5"/>
    <mergeCell ref="O5:S5"/>
    <mergeCell ref="T5:X5"/>
    <mergeCell ref="Z5:AD5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25" fitToHeight="500" orientation="landscape" r:id="rId1"/>
  <colBreaks count="2" manualBreakCount="2">
    <brk id="8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E399-D133-48D0-AC9A-21A6E4C304E9}">
  <dimension ref="A1:BG1945"/>
  <sheetViews>
    <sheetView zoomScale="70" zoomScaleNormal="70" workbookViewId="0">
      <pane xSplit="8" ySplit="2" topLeftCell="I577" activePane="bottomRight" state="frozen"/>
      <selection pane="topRight" activeCell="A827" sqref="A827:A1017"/>
      <selection pane="bottomLeft" activeCell="A827" sqref="A827:A1017"/>
      <selection pane="bottomRight" activeCell="A767" sqref="A577:A767"/>
    </sheetView>
  </sheetViews>
  <sheetFormatPr defaultRowHeight="16.5" x14ac:dyDescent="0.3"/>
  <cols>
    <col min="1" max="1" width="9" style="46"/>
    <col min="2" max="2" width="11.75" style="46" bestFit="1" customWidth="1"/>
    <col min="3" max="4" width="9" style="46"/>
    <col min="5" max="5" width="20.75" style="46" bestFit="1" customWidth="1"/>
    <col min="6" max="7" width="9" style="36" bestFit="1" customWidth="1"/>
    <col min="8" max="8" width="20.375" style="36" bestFit="1" customWidth="1"/>
    <col min="9" max="9" width="9" style="36" bestFit="1" customWidth="1"/>
    <col min="10" max="10" width="9.875" style="36" bestFit="1" customWidth="1"/>
    <col min="11" max="13" width="9" style="36" bestFit="1" customWidth="1"/>
    <col min="14" max="15" width="11.625" style="36" bestFit="1" customWidth="1"/>
    <col min="16" max="20" width="9.5" style="36" bestFit="1" customWidth="1"/>
    <col min="21" max="21" width="10.25" style="36" bestFit="1" customWidth="1"/>
    <col min="22" max="24" width="9.5" style="36" bestFit="1" customWidth="1"/>
    <col min="25" max="25" width="13.125" style="48" bestFit="1" customWidth="1"/>
    <col min="26" max="28" width="9.5" style="36" bestFit="1" customWidth="1"/>
    <col min="29" max="29" width="11.75" style="36" bestFit="1" customWidth="1"/>
    <col min="30" max="30" width="9.25" style="36" bestFit="1" customWidth="1"/>
    <col min="31" max="31" width="9" style="36"/>
    <col min="32" max="32" width="13.125" style="48" bestFit="1" customWidth="1"/>
    <col min="33" max="33" width="9" style="36"/>
    <col min="34" max="59" width="9" style="46"/>
  </cols>
  <sheetData>
    <row r="1" spans="1:32" x14ac:dyDescent="0.3">
      <c r="Y1" s="47">
        <f>SUBTOTAL(9,Y$2:Y$2000)</f>
        <v>10655196690</v>
      </c>
      <c r="AC1" s="47">
        <f>SUBTOTAL(9,AC$2:AC$2000)</f>
        <v>25901904597</v>
      </c>
    </row>
    <row r="2" spans="1:32" x14ac:dyDescent="0.3">
      <c r="A2" s="46" t="s">
        <v>136</v>
      </c>
      <c r="B2" s="46" t="s">
        <v>137</v>
      </c>
      <c r="C2" s="46" t="s">
        <v>138</v>
      </c>
      <c r="D2" s="46" t="s">
        <v>139</v>
      </c>
      <c r="E2" s="46" t="s">
        <v>140</v>
      </c>
      <c r="F2" s="49" t="s">
        <v>141</v>
      </c>
      <c r="G2" s="50" t="s">
        <v>142</v>
      </c>
      <c r="H2" s="50" t="s">
        <v>143</v>
      </c>
      <c r="I2" s="50" t="s">
        <v>144</v>
      </c>
      <c r="J2" s="50" t="s">
        <v>145</v>
      </c>
      <c r="K2" s="50" t="s">
        <v>146</v>
      </c>
      <c r="L2" s="50" t="s">
        <v>147</v>
      </c>
      <c r="M2" s="50" t="s">
        <v>148</v>
      </c>
      <c r="N2" s="50" t="s">
        <v>149</v>
      </c>
      <c r="O2" s="50" t="s">
        <v>150</v>
      </c>
      <c r="P2" s="50" t="s">
        <v>151</v>
      </c>
      <c r="Q2" s="50" t="s">
        <v>152</v>
      </c>
      <c r="R2" s="50" t="s">
        <v>153</v>
      </c>
      <c r="S2" s="50" t="s">
        <v>154</v>
      </c>
      <c r="T2" s="50" t="s">
        <v>155</v>
      </c>
      <c r="U2" s="50" t="s">
        <v>156</v>
      </c>
      <c r="V2" s="50" t="s">
        <v>157</v>
      </c>
      <c r="W2" s="50" t="s">
        <v>158</v>
      </c>
      <c r="X2" s="50" t="s">
        <v>159</v>
      </c>
      <c r="Y2" s="50" t="s">
        <v>160</v>
      </c>
      <c r="Z2" s="50" t="s">
        <v>161</v>
      </c>
      <c r="AA2" s="50" t="s">
        <v>162</v>
      </c>
      <c r="AB2" s="50" t="s">
        <v>163</v>
      </c>
      <c r="AC2" s="50" t="s">
        <v>164</v>
      </c>
      <c r="AD2" s="51" t="s">
        <v>165</v>
      </c>
      <c r="AF2" s="52" t="s">
        <v>166</v>
      </c>
    </row>
    <row r="3" spans="1:32" x14ac:dyDescent="0.3">
      <c r="A3" s="46" t="s">
        <v>0</v>
      </c>
      <c r="B3" s="46" t="str">
        <f>IFERROR(VLOOKUP($H3,매장구분!$B:$Z,2,0),"")</f>
        <v>리테일채널팀</v>
      </c>
      <c r="C3" s="46" t="str">
        <f>IFERROR(VLOOKUP($H3,매장구분!$B:$Z,3,0),"")</f>
        <v>국내</v>
      </c>
      <c r="D3" s="46" t="str">
        <f>IFERROR(VLOOKUP($H3,매장구분!$B:$Z,5,0),"")</f>
        <v>상설(위탁)</v>
      </c>
      <c r="E3" s="46" t="str">
        <f>IFERROR(VLOOKUP($H3,매장구분!$B:$Z,9,0),"")</f>
        <v>LF스퀘어광양(상-위)</v>
      </c>
      <c r="F3" s="53"/>
      <c r="G3" s="54" t="s">
        <v>167</v>
      </c>
      <c r="H3" s="55" t="s">
        <v>168</v>
      </c>
      <c r="I3" s="55" t="s">
        <v>169</v>
      </c>
      <c r="J3" s="55" t="s">
        <v>79</v>
      </c>
      <c r="K3" s="55" t="s">
        <v>170</v>
      </c>
      <c r="L3" s="55" t="s">
        <v>171</v>
      </c>
      <c r="M3" s="55" t="s">
        <v>77</v>
      </c>
      <c r="N3" s="55" t="s">
        <v>172</v>
      </c>
      <c r="O3" s="55">
        <v>1116000</v>
      </c>
      <c r="P3" s="55">
        <v>31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6">
        <v>0</v>
      </c>
      <c r="Z3" s="55">
        <v>0</v>
      </c>
      <c r="AA3" s="55">
        <v>0</v>
      </c>
      <c r="AB3" s="55">
        <v>0</v>
      </c>
      <c r="AC3" s="55">
        <v>1116000</v>
      </c>
      <c r="AD3" s="57">
        <v>31</v>
      </c>
      <c r="AF3" s="47">
        <f t="shared" ref="AF3:AF66" si="0">IFERROR(AC3-Y3,"")</f>
        <v>1116000</v>
      </c>
    </row>
    <row r="4" spans="1:32" x14ac:dyDescent="0.3">
      <c r="A4" s="46" t="s">
        <v>0</v>
      </c>
      <c r="B4" s="46" t="str">
        <f>IFERROR(VLOOKUP($H4,매장구분!$B:$Z,2,0),"")</f>
        <v>파트너채널팀</v>
      </c>
      <c r="C4" s="46" t="str">
        <f>IFERROR(VLOOKUP($H4,매장구분!$B:$Z,3,0),"")</f>
        <v>면세</v>
      </c>
      <c r="D4" s="46" t="str">
        <f>IFERROR(VLOOKUP($H4,매장구분!$B:$Z,5,0),"")</f>
        <v>면세</v>
      </c>
      <c r="E4" s="46" t="str">
        <f>IFERROR(VLOOKUP($H4,매장구분!$B:$Z,9,0),"")</f>
        <v>신세계면세명동</v>
      </c>
      <c r="F4" s="58"/>
      <c r="G4" s="59" t="s">
        <v>173</v>
      </c>
      <c r="H4" s="60" t="s">
        <v>174</v>
      </c>
      <c r="I4" s="60" t="s">
        <v>169</v>
      </c>
      <c r="J4" s="60" t="s">
        <v>175</v>
      </c>
      <c r="K4" s="60" t="s">
        <v>170</v>
      </c>
      <c r="L4" s="60" t="s">
        <v>171</v>
      </c>
      <c r="M4" s="60" t="s">
        <v>176</v>
      </c>
      <c r="N4" s="60" t="s">
        <v>177</v>
      </c>
      <c r="O4" s="60">
        <v>37460300</v>
      </c>
      <c r="P4" s="60">
        <v>576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1">
        <v>0</v>
      </c>
      <c r="Z4" s="60">
        <v>0</v>
      </c>
      <c r="AA4" s="60">
        <v>0</v>
      </c>
      <c r="AB4" s="60">
        <v>0</v>
      </c>
      <c r="AC4" s="60">
        <v>37460300</v>
      </c>
      <c r="AD4" s="62">
        <v>576</v>
      </c>
      <c r="AF4" s="47">
        <f t="shared" si="0"/>
        <v>37460300</v>
      </c>
    </row>
    <row r="5" spans="1:32" x14ac:dyDescent="0.3">
      <c r="A5" s="46" t="s">
        <v>0</v>
      </c>
      <c r="B5" s="46" t="str">
        <f>IFERROR(VLOOKUP($H5,매장구분!$B:$Z,2,0),"")</f>
        <v>E-biz</v>
      </c>
      <c r="C5" s="46" t="str">
        <f>IFERROR(VLOOKUP($H5,매장구분!$B:$Z,3,0),"")</f>
        <v>국내</v>
      </c>
      <c r="D5" s="46" t="str">
        <f>IFERROR(VLOOKUP($H5,매장구분!$B:$Z,5,0),"")</f>
        <v>온(자사몰)</v>
      </c>
      <c r="E5" s="46" t="str">
        <f>IFERROR(VLOOKUP($H5,매장구분!$B:$Z,9,0),"")</f>
        <v>온라인쇼핑몰</v>
      </c>
      <c r="F5" s="53"/>
      <c r="G5" s="54" t="s">
        <v>178</v>
      </c>
      <c r="H5" s="55" t="s">
        <v>179</v>
      </c>
      <c r="I5" s="55" t="s">
        <v>169</v>
      </c>
      <c r="J5" s="55" t="s">
        <v>180</v>
      </c>
      <c r="K5" s="55" t="s">
        <v>170</v>
      </c>
      <c r="L5" s="55" t="s">
        <v>181</v>
      </c>
      <c r="M5" s="55" t="s">
        <v>181</v>
      </c>
      <c r="N5" s="55" t="s">
        <v>182</v>
      </c>
      <c r="O5" s="55">
        <v>73737670</v>
      </c>
      <c r="P5" s="55">
        <v>840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6">
        <v>0</v>
      </c>
      <c r="Z5" s="55">
        <v>0</v>
      </c>
      <c r="AA5" s="55">
        <v>0</v>
      </c>
      <c r="AB5" s="55">
        <v>0</v>
      </c>
      <c r="AC5" s="55">
        <v>73737670</v>
      </c>
      <c r="AD5" s="57">
        <v>840</v>
      </c>
      <c r="AF5" s="47">
        <f t="shared" si="0"/>
        <v>73737670</v>
      </c>
    </row>
    <row r="6" spans="1:32" x14ac:dyDescent="0.3">
      <c r="A6" s="46" t="s">
        <v>0</v>
      </c>
      <c r="B6" s="46" t="str">
        <f>IFERROR(VLOOKUP($H6,매장구분!$B:$Z,2,0),"")</f>
        <v>E-biz</v>
      </c>
      <c r="C6" s="46" t="str">
        <f>IFERROR(VLOOKUP($H6,매장구분!$B:$Z,3,0),"")</f>
        <v>국내</v>
      </c>
      <c r="D6" s="46" t="str">
        <f>IFERROR(VLOOKUP($H6,매장구분!$B:$Z,5,0),"")</f>
        <v>온(제휴몰)</v>
      </c>
      <c r="E6" s="46" t="str">
        <f>IFERROR(VLOOKUP($H6,매장구분!$B:$Z,9,0),"")</f>
        <v>무신사(제휴몰)</v>
      </c>
      <c r="F6" s="58"/>
      <c r="G6" s="59" t="s">
        <v>183</v>
      </c>
      <c r="H6" s="60" t="s">
        <v>184</v>
      </c>
      <c r="I6" s="60" t="s">
        <v>169</v>
      </c>
      <c r="J6" s="60" t="s">
        <v>180</v>
      </c>
      <c r="K6" s="60" t="s">
        <v>170</v>
      </c>
      <c r="L6" s="60" t="s">
        <v>181</v>
      </c>
      <c r="M6" s="60" t="s">
        <v>181</v>
      </c>
      <c r="N6" s="60" t="s">
        <v>185</v>
      </c>
      <c r="O6" s="60">
        <v>42542400</v>
      </c>
      <c r="P6" s="60">
        <v>614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1">
        <v>0</v>
      </c>
      <c r="Z6" s="60">
        <v>0</v>
      </c>
      <c r="AA6" s="60">
        <v>0</v>
      </c>
      <c r="AB6" s="60">
        <v>0</v>
      </c>
      <c r="AC6" s="60">
        <v>42542400</v>
      </c>
      <c r="AD6" s="62">
        <v>614</v>
      </c>
      <c r="AF6" s="47">
        <f t="shared" si="0"/>
        <v>42542400</v>
      </c>
    </row>
    <row r="7" spans="1:32" x14ac:dyDescent="0.3">
      <c r="A7" s="46" t="s">
        <v>0</v>
      </c>
      <c r="B7" s="46" t="str">
        <f>IFERROR(VLOOKUP($H7,매장구분!$B:$Z,2,0),"")</f>
        <v>리테일채널팀</v>
      </c>
      <c r="C7" s="46" t="str">
        <f>IFERROR(VLOOKUP($H7,매장구분!$B:$Z,3,0),"")</f>
        <v>국내</v>
      </c>
      <c r="D7" s="46" t="str">
        <f>IFERROR(VLOOKUP($H7,매장구분!$B:$Z,5,0),"")</f>
        <v>직영점</v>
      </c>
      <c r="E7" s="46" t="str">
        <f>IFERROR(VLOOKUP($H7,매장구분!$B:$Z,9,0),"")</f>
        <v>타임스퀘어영등포(직)</v>
      </c>
      <c r="F7" s="53"/>
      <c r="G7" s="54" t="s">
        <v>186</v>
      </c>
      <c r="H7" s="55" t="s">
        <v>187</v>
      </c>
      <c r="I7" s="55" t="s">
        <v>169</v>
      </c>
      <c r="J7" s="55" t="s">
        <v>180</v>
      </c>
      <c r="K7" s="55" t="s">
        <v>170</v>
      </c>
      <c r="L7" s="55" t="s">
        <v>171</v>
      </c>
      <c r="M7" s="55" t="s">
        <v>188</v>
      </c>
      <c r="N7" s="55" t="s">
        <v>189</v>
      </c>
      <c r="O7" s="55">
        <v>13727900</v>
      </c>
      <c r="P7" s="55">
        <v>130</v>
      </c>
      <c r="Q7" s="55">
        <v>0</v>
      </c>
      <c r="R7" s="55">
        <v>0</v>
      </c>
      <c r="S7" s="55">
        <v>0</v>
      </c>
      <c r="T7" s="55">
        <v>0</v>
      </c>
      <c r="U7" s="55">
        <v>1863000</v>
      </c>
      <c r="V7" s="55">
        <v>7</v>
      </c>
      <c r="W7" s="55">
        <v>0</v>
      </c>
      <c r="X7" s="55">
        <v>0</v>
      </c>
      <c r="Y7" s="56">
        <v>0</v>
      </c>
      <c r="Z7" s="55">
        <v>0</v>
      </c>
      <c r="AA7" s="55">
        <v>0</v>
      </c>
      <c r="AB7" s="55">
        <v>0</v>
      </c>
      <c r="AC7" s="55">
        <v>15590900</v>
      </c>
      <c r="AD7" s="57">
        <v>137</v>
      </c>
      <c r="AF7" s="47">
        <f t="shared" si="0"/>
        <v>15590900</v>
      </c>
    </row>
    <row r="8" spans="1:32" x14ac:dyDescent="0.3">
      <c r="A8" s="46" t="s">
        <v>0</v>
      </c>
      <c r="B8" s="46" t="str">
        <f>IFERROR(VLOOKUP($H8,매장구분!$B:$Z,2,0),"")</f>
        <v>파트너채널팀</v>
      </c>
      <c r="C8" s="46" t="str">
        <f>IFERROR(VLOOKUP($H8,매장구분!$B:$Z,3,0),"")</f>
        <v>국내</v>
      </c>
      <c r="D8" s="46" t="str">
        <f>IFERROR(VLOOKUP($H8,매장구분!$B:$Z,5,0),"")</f>
        <v>백화점</v>
      </c>
      <c r="E8" s="46" t="str">
        <f>IFERROR(VLOOKUP($H8,매장구분!$B:$Z,9,0),"")</f>
        <v>롯데김포</v>
      </c>
      <c r="F8" s="58"/>
      <c r="G8" s="59" t="s">
        <v>190</v>
      </c>
      <c r="H8" s="60" t="s">
        <v>191</v>
      </c>
      <c r="I8" s="60" t="s">
        <v>169</v>
      </c>
      <c r="J8" s="60" t="s">
        <v>175</v>
      </c>
      <c r="K8" s="60" t="s">
        <v>170</v>
      </c>
      <c r="L8" s="60" t="s">
        <v>171</v>
      </c>
      <c r="M8" s="60" t="s">
        <v>77</v>
      </c>
      <c r="N8" s="60" t="s">
        <v>172</v>
      </c>
      <c r="O8" s="60">
        <v>9885700</v>
      </c>
      <c r="P8" s="60">
        <v>108</v>
      </c>
      <c r="Q8" s="60">
        <v>0</v>
      </c>
      <c r="R8" s="60">
        <v>0</v>
      </c>
      <c r="S8" s="60">
        <v>0</v>
      </c>
      <c r="T8" s="60">
        <v>0</v>
      </c>
      <c r="U8" s="60">
        <v>855000</v>
      </c>
      <c r="V8" s="60">
        <v>5</v>
      </c>
      <c r="W8" s="60">
        <v>0</v>
      </c>
      <c r="X8" s="60">
        <v>0</v>
      </c>
      <c r="Y8" s="61">
        <v>4699000</v>
      </c>
      <c r="Z8" s="60">
        <v>90</v>
      </c>
      <c r="AA8" s="60">
        <v>0</v>
      </c>
      <c r="AB8" s="60">
        <v>0</v>
      </c>
      <c r="AC8" s="60">
        <v>15439700</v>
      </c>
      <c r="AD8" s="62">
        <v>203</v>
      </c>
      <c r="AF8" s="47">
        <f t="shared" si="0"/>
        <v>10740700</v>
      </c>
    </row>
    <row r="9" spans="1:32" x14ac:dyDescent="0.3">
      <c r="A9" s="46" t="s">
        <v>0</v>
      </c>
      <c r="B9" s="46" t="str">
        <f>IFERROR(VLOOKUP($H9,매장구분!$B:$Z,2,0),"")</f>
        <v>파트너채널팀</v>
      </c>
      <c r="C9" s="46" t="str">
        <f>IFERROR(VLOOKUP($H9,매장구분!$B:$Z,3,0),"")</f>
        <v>국내</v>
      </c>
      <c r="D9" s="46" t="str">
        <f>IFERROR(VLOOKUP($H9,매장구분!$B:$Z,5,0),"")</f>
        <v>백화점</v>
      </c>
      <c r="E9" s="46" t="str">
        <f>IFERROR(VLOOKUP($H9,매장구분!$B:$Z,9,0),"")</f>
        <v>신세계대구</v>
      </c>
      <c r="F9" s="53"/>
      <c r="G9" s="54" t="s">
        <v>192</v>
      </c>
      <c r="H9" s="55" t="s">
        <v>193</v>
      </c>
      <c r="I9" s="55" t="s">
        <v>169</v>
      </c>
      <c r="J9" s="55" t="s">
        <v>175</v>
      </c>
      <c r="K9" s="55" t="s">
        <v>170</v>
      </c>
      <c r="L9" s="55" t="s">
        <v>171</v>
      </c>
      <c r="M9" s="55" t="s">
        <v>77</v>
      </c>
      <c r="N9" s="55" t="s">
        <v>172</v>
      </c>
      <c r="O9" s="55">
        <v>17284800</v>
      </c>
      <c r="P9" s="55">
        <v>182</v>
      </c>
      <c r="Q9" s="55">
        <v>0</v>
      </c>
      <c r="R9" s="55">
        <v>0</v>
      </c>
      <c r="S9" s="55">
        <v>0</v>
      </c>
      <c r="T9" s="55">
        <v>0</v>
      </c>
      <c r="U9" s="55">
        <v>950000</v>
      </c>
      <c r="V9" s="55">
        <v>4</v>
      </c>
      <c r="W9" s="55">
        <v>0</v>
      </c>
      <c r="X9" s="55">
        <v>0</v>
      </c>
      <c r="Y9" s="56">
        <v>86000</v>
      </c>
      <c r="Z9" s="55">
        <v>2</v>
      </c>
      <c r="AA9" s="55">
        <v>0</v>
      </c>
      <c r="AB9" s="55">
        <v>0</v>
      </c>
      <c r="AC9" s="55">
        <v>18320800</v>
      </c>
      <c r="AD9" s="57">
        <v>188</v>
      </c>
      <c r="AF9" s="47">
        <f t="shared" si="0"/>
        <v>18234800</v>
      </c>
    </row>
    <row r="10" spans="1:32" x14ac:dyDescent="0.3">
      <c r="A10" s="46" t="s">
        <v>0</v>
      </c>
      <c r="B10" s="46" t="str">
        <f>IFERROR(VLOOKUP($H10,매장구분!$B:$Z,2,0),"")</f>
        <v>리테일채널팀</v>
      </c>
      <c r="C10" s="46" t="str">
        <f>IFERROR(VLOOKUP($H10,매장구분!$B:$Z,3,0),"")</f>
        <v>국내</v>
      </c>
      <c r="D10" s="46" t="str">
        <f>IFERROR(VLOOKUP($H10,매장구분!$B:$Z,5,0),"")</f>
        <v>대리점</v>
      </c>
      <c r="E10" s="46" t="str">
        <f>IFERROR(VLOOKUP($H10,매장구분!$B:$Z,9,0),"")</f>
        <v>아산(대-위)</v>
      </c>
      <c r="F10" s="58"/>
      <c r="G10" s="59" t="s">
        <v>194</v>
      </c>
      <c r="H10" s="60" t="s">
        <v>195</v>
      </c>
      <c r="I10" s="60" t="s">
        <v>169</v>
      </c>
      <c r="J10" s="60" t="s">
        <v>79</v>
      </c>
      <c r="K10" s="60" t="s">
        <v>170</v>
      </c>
      <c r="L10" s="60" t="s">
        <v>171</v>
      </c>
      <c r="M10" s="60" t="s">
        <v>196</v>
      </c>
      <c r="N10" s="60" t="s">
        <v>197</v>
      </c>
      <c r="O10" s="60">
        <v>5007000</v>
      </c>
      <c r="P10" s="60">
        <v>38</v>
      </c>
      <c r="Q10" s="60">
        <v>0</v>
      </c>
      <c r="R10" s="60">
        <v>0</v>
      </c>
      <c r="S10" s="60">
        <v>0</v>
      </c>
      <c r="T10" s="60">
        <v>0</v>
      </c>
      <c r="U10" s="60">
        <v>1791000</v>
      </c>
      <c r="V10" s="60">
        <v>9</v>
      </c>
      <c r="W10" s="60">
        <v>0</v>
      </c>
      <c r="X10" s="60">
        <v>0</v>
      </c>
      <c r="Y10" s="61">
        <v>0</v>
      </c>
      <c r="Z10" s="60">
        <v>0</v>
      </c>
      <c r="AA10" s="60">
        <v>0</v>
      </c>
      <c r="AB10" s="60">
        <v>0</v>
      </c>
      <c r="AC10" s="60">
        <v>6798000</v>
      </c>
      <c r="AD10" s="62">
        <v>47</v>
      </c>
      <c r="AF10" s="47">
        <f t="shared" si="0"/>
        <v>6798000</v>
      </c>
    </row>
    <row r="11" spans="1:32" x14ac:dyDescent="0.3">
      <c r="A11" s="46" t="s">
        <v>0</v>
      </c>
      <c r="B11" s="46" t="str">
        <f>IFERROR(VLOOKUP($H11,매장구분!$B:$Z,2,0),"")</f>
        <v>리테일채널팀</v>
      </c>
      <c r="C11" s="46" t="str">
        <f>IFERROR(VLOOKUP($H11,매장구분!$B:$Z,3,0),"")</f>
        <v>국내</v>
      </c>
      <c r="D11" s="46" t="str">
        <f>IFERROR(VLOOKUP($H11,매장구분!$B:$Z,5,0),"")</f>
        <v>대리점</v>
      </c>
      <c r="E11" s="46" t="str">
        <f>IFERROR(VLOOKUP($H11,매장구분!$B:$Z,9,0),"")</f>
        <v>여수(대-위)</v>
      </c>
      <c r="F11" s="53"/>
      <c r="G11" s="54" t="s">
        <v>198</v>
      </c>
      <c r="H11" s="55" t="s">
        <v>199</v>
      </c>
      <c r="I11" s="55" t="s">
        <v>169</v>
      </c>
      <c r="J11" s="55" t="s">
        <v>79</v>
      </c>
      <c r="K11" s="55" t="s">
        <v>170</v>
      </c>
      <c r="L11" s="55" t="s">
        <v>171</v>
      </c>
      <c r="M11" s="55" t="s">
        <v>196</v>
      </c>
      <c r="N11" s="55" t="s">
        <v>197</v>
      </c>
      <c r="O11" s="55">
        <v>5185052</v>
      </c>
      <c r="P11" s="55">
        <v>53</v>
      </c>
      <c r="Q11" s="55">
        <v>0</v>
      </c>
      <c r="R11" s="55">
        <v>0</v>
      </c>
      <c r="S11" s="55">
        <v>0</v>
      </c>
      <c r="T11" s="55">
        <v>0</v>
      </c>
      <c r="U11" s="55">
        <v>596000</v>
      </c>
      <c r="V11" s="55">
        <v>4</v>
      </c>
      <c r="W11" s="55">
        <v>0</v>
      </c>
      <c r="X11" s="55">
        <v>0</v>
      </c>
      <c r="Y11" s="56">
        <v>0</v>
      </c>
      <c r="Z11" s="55">
        <v>0</v>
      </c>
      <c r="AA11" s="55">
        <v>0</v>
      </c>
      <c r="AB11" s="55">
        <v>0</v>
      </c>
      <c r="AC11" s="55">
        <v>5781052</v>
      </c>
      <c r="AD11" s="57">
        <v>57</v>
      </c>
      <c r="AF11" s="47">
        <f t="shared" si="0"/>
        <v>5781052</v>
      </c>
    </row>
    <row r="12" spans="1:32" x14ac:dyDescent="0.3">
      <c r="A12" s="46" t="s">
        <v>0</v>
      </c>
      <c r="B12" s="46" t="str">
        <f>IFERROR(VLOOKUP($H12,매장구분!$B:$Z,2,0),"")</f>
        <v>파트너채널팀</v>
      </c>
      <c r="C12" s="46" t="str">
        <f>IFERROR(VLOOKUP($H12,매장구분!$B:$Z,3,0),"")</f>
        <v>국내</v>
      </c>
      <c r="D12" s="46" t="str">
        <f>IFERROR(VLOOKUP($H12,매장구분!$B:$Z,5,0),"")</f>
        <v>백화점</v>
      </c>
      <c r="E12" s="46" t="str">
        <f>IFERROR(VLOOKUP($H12,매장구분!$B:$Z,9,0),"")</f>
        <v>롯데안산</v>
      </c>
      <c r="F12" s="58"/>
      <c r="G12" s="59" t="s">
        <v>200</v>
      </c>
      <c r="H12" s="60" t="s">
        <v>201</v>
      </c>
      <c r="I12" s="60" t="s">
        <v>169</v>
      </c>
      <c r="J12" s="60" t="s">
        <v>175</v>
      </c>
      <c r="K12" s="60" t="s">
        <v>170</v>
      </c>
      <c r="L12" s="60" t="s">
        <v>171</v>
      </c>
      <c r="M12" s="60" t="s">
        <v>77</v>
      </c>
      <c r="N12" s="60" t="s">
        <v>172</v>
      </c>
      <c r="O12" s="60">
        <v>5914100</v>
      </c>
      <c r="P12" s="60">
        <v>55</v>
      </c>
      <c r="Q12" s="60">
        <v>0</v>
      </c>
      <c r="R12" s="60">
        <v>0</v>
      </c>
      <c r="S12" s="60">
        <v>0</v>
      </c>
      <c r="T12" s="60">
        <v>0</v>
      </c>
      <c r="U12" s="60">
        <v>725000</v>
      </c>
      <c r="V12" s="60">
        <v>5</v>
      </c>
      <c r="W12" s="60">
        <v>0</v>
      </c>
      <c r="X12" s="60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6639100</v>
      </c>
      <c r="AD12" s="62">
        <v>60</v>
      </c>
      <c r="AF12" s="47">
        <f t="shared" si="0"/>
        <v>6639100</v>
      </c>
    </row>
    <row r="13" spans="1:32" x14ac:dyDescent="0.3">
      <c r="A13" s="46" t="s">
        <v>0</v>
      </c>
      <c r="B13" s="46" t="str">
        <f>IFERROR(VLOOKUP($H13,매장구분!$B:$Z,2,0),"")</f>
        <v>파트너채널팀</v>
      </c>
      <c r="C13" s="46" t="str">
        <f>IFERROR(VLOOKUP($H13,매장구분!$B:$Z,3,0),"")</f>
        <v>국내</v>
      </c>
      <c r="D13" s="46" t="str">
        <f>IFERROR(VLOOKUP($H13,매장구분!$B:$Z,5,0),"")</f>
        <v>백화점</v>
      </c>
      <c r="E13" s="46" t="str">
        <f>IFERROR(VLOOKUP($H13,매장구분!$B:$Z,9,0),"")</f>
        <v>롯데영등포</v>
      </c>
      <c r="F13" s="53"/>
      <c r="G13" s="54" t="s">
        <v>202</v>
      </c>
      <c r="H13" s="55" t="s">
        <v>203</v>
      </c>
      <c r="I13" s="55" t="s">
        <v>169</v>
      </c>
      <c r="J13" s="55" t="s">
        <v>175</v>
      </c>
      <c r="K13" s="55" t="s">
        <v>170</v>
      </c>
      <c r="L13" s="55" t="s">
        <v>171</v>
      </c>
      <c r="M13" s="55" t="s">
        <v>77</v>
      </c>
      <c r="N13" s="55" t="s">
        <v>172</v>
      </c>
      <c r="O13" s="55">
        <v>6273000</v>
      </c>
      <c r="P13" s="55">
        <v>63</v>
      </c>
      <c r="Q13" s="55">
        <v>199000</v>
      </c>
      <c r="R13" s="55">
        <v>1</v>
      </c>
      <c r="S13" s="55">
        <v>0</v>
      </c>
      <c r="T13" s="55">
        <v>0</v>
      </c>
      <c r="U13" s="55">
        <v>249000</v>
      </c>
      <c r="V13" s="55">
        <v>1</v>
      </c>
      <c r="W13" s="55">
        <v>0</v>
      </c>
      <c r="X13" s="55">
        <v>0</v>
      </c>
      <c r="Y13" s="56">
        <v>2397000</v>
      </c>
      <c r="Z13" s="55">
        <v>60</v>
      </c>
      <c r="AA13" s="55">
        <v>0</v>
      </c>
      <c r="AB13" s="55">
        <v>0</v>
      </c>
      <c r="AC13" s="55">
        <v>9118000</v>
      </c>
      <c r="AD13" s="57">
        <v>125</v>
      </c>
      <c r="AF13" s="47">
        <f t="shared" si="0"/>
        <v>6721000</v>
      </c>
    </row>
    <row r="14" spans="1:32" x14ac:dyDescent="0.3">
      <c r="A14" s="46" t="s">
        <v>0</v>
      </c>
      <c r="B14" s="46" t="str">
        <f>IFERROR(VLOOKUP($H14,매장구분!$B:$Z,2,0),"")</f>
        <v>리테일채널팀</v>
      </c>
      <c r="C14" s="46" t="str">
        <f>IFERROR(VLOOKUP($H14,매장구분!$B:$Z,3,0),"")</f>
        <v>국내</v>
      </c>
      <c r="D14" s="46" t="str">
        <f>IFERROR(VLOOKUP($H14,매장구분!$B:$Z,5,0),"")</f>
        <v>직영점</v>
      </c>
      <c r="E14" s="46" t="str">
        <f>IFERROR(VLOOKUP($H14,매장구분!$B:$Z,9,0),"")</f>
        <v>동성로</v>
      </c>
      <c r="F14" s="58"/>
      <c r="G14" s="59" t="s">
        <v>204</v>
      </c>
      <c r="H14" s="60" t="s">
        <v>205</v>
      </c>
      <c r="I14" s="60" t="s">
        <v>169</v>
      </c>
      <c r="J14" s="60" t="s">
        <v>180</v>
      </c>
      <c r="K14" s="60" t="s">
        <v>170</v>
      </c>
      <c r="L14" s="60" t="s">
        <v>171</v>
      </c>
      <c r="M14" s="60" t="s">
        <v>196</v>
      </c>
      <c r="N14" s="60" t="s">
        <v>206</v>
      </c>
      <c r="O14" s="60">
        <v>6981800</v>
      </c>
      <c r="P14" s="60">
        <v>98</v>
      </c>
      <c r="Q14" s="60">
        <v>0</v>
      </c>
      <c r="R14" s="60">
        <v>0</v>
      </c>
      <c r="S14" s="60">
        <v>0</v>
      </c>
      <c r="T14" s="60">
        <v>0</v>
      </c>
      <c r="U14" s="60">
        <v>1353000</v>
      </c>
      <c r="V14" s="60">
        <v>7</v>
      </c>
      <c r="W14" s="60">
        <v>0</v>
      </c>
      <c r="X14" s="60">
        <v>0</v>
      </c>
      <c r="Y14" s="61">
        <v>0</v>
      </c>
      <c r="Z14" s="60">
        <v>0</v>
      </c>
      <c r="AA14" s="60">
        <v>0</v>
      </c>
      <c r="AB14" s="60">
        <v>0</v>
      </c>
      <c r="AC14" s="60">
        <v>8334800</v>
      </c>
      <c r="AD14" s="62">
        <v>105</v>
      </c>
      <c r="AF14" s="47">
        <f t="shared" si="0"/>
        <v>8334800</v>
      </c>
    </row>
    <row r="15" spans="1:32" x14ac:dyDescent="0.3">
      <c r="A15" s="46" t="s">
        <v>0</v>
      </c>
      <c r="B15" s="46" t="str">
        <f>IFERROR(VLOOKUP($H15,매장구분!$B:$Z,2,0),"")</f>
        <v>E-biz</v>
      </c>
      <c r="C15" s="46" t="str">
        <f>IFERROR(VLOOKUP($H15,매장구분!$B:$Z,3,0),"")</f>
        <v>국내</v>
      </c>
      <c r="D15" s="46" t="str">
        <f>IFERROR(VLOOKUP($H15,매장구분!$B:$Z,5,0),"")</f>
        <v>온(제휴몰)</v>
      </c>
      <c r="E15" s="46" t="str">
        <f>IFERROR(VLOOKUP($H15,매장구분!$B:$Z,9,0),"")</f>
        <v>네이버스토어(제휴몰)</v>
      </c>
      <c r="F15" s="53"/>
      <c r="G15" s="54" t="s">
        <v>207</v>
      </c>
      <c r="H15" s="55" t="s">
        <v>208</v>
      </c>
      <c r="I15" s="55" t="s">
        <v>169</v>
      </c>
      <c r="J15" s="55" t="s">
        <v>180</v>
      </c>
      <c r="K15" s="55" t="s">
        <v>170</v>
      </c>
      <c r="L15" s="55" t="s">
        <v>181</v>
      </c>
      <c r="M15" s="55" t="s">
        <v>181</v>
      </c>
      <c r="N15" s="55" t="s">
        <v>185</v>
      </c>
      <c r="O15" s="55">
        <v>9259600</v>
      </c>
      <c r="P15" s="55">
        <v>93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6">
        <v>0</v>
      </c>
      <c r="Z15" s="55">
        <v>0</v>
      </c>
      <c r="AA15" s="55">
        <v>0</v>
      </c>
      <c r="AB15" s="55">
        <v>0</v>
      </c>
      <c r="AC15" s="55">
        <v>9259600</v>
      </c>
      <c r="AD15" s="57">
        <v>93</v>
      </c>
      <c r="AF15" s="47">
        <f t="shared" si="0"/>
        <v>9259600</v>
      </c>
    </row>
    <row r="16" spans="1:32" x14ac:dyDescent="0.3">
      <c r="A16" s="46" t="s">
        <v>0</v>
      </c>
      <c r="B16" s="46" t="str">
        <f>IFERROR(VLOOKUP($H16,매장구분!$B:$Z,2,0),"")</f>
        <v>E-biz</v>
      </c>
      <c r="C16" s="46" t="str">
        <f>IFERROR(VLOOKUP($H16,매장구분!$B:$Z,3,0),"")</f>
        <v>국내</v>
      </c>
      <c r="D16" s="46" t="str">
        <f>IFERROR(VLOOKUP($H16,매장구분!$B:$Z,5,0),"")</f>
        <v>온(제휴몰)</v>
      </c>
      <c r="E16" s="46" t="str">
        <f>IFERROR(VLOOKUP($H16,매장구분!$B:$Z,9,0),"")</f>
        <v>카카오선물하기(제휴몰)</v>
      </c>
      <c r="F16" s="58"/>
      <c r="G16" s="59" t="s">
        <v>209</v>
      </c>
      <c r="H16" s="60" t="s">
        <v>210</v>
      </c>
      <c r="I16" s="60" t="s">
        <v>169</v>
      </c>
      <c r="J16" s="60" t="s">
        <v>180</v>
      </c>
      <c r="K16" s="60" t="s">
        <v>170</v>
      </c>
      <c r="L16" s="60" t="s">
        <v>181</v>
      </c>
      <c r="M16" s="60" t="s">
        <v>181</v>
      </c>
      <c r="N16" s="60" t="s">
        <v>185</v>
      </c>
      <c r="O16" s="60">
        <v>9481000</v>
      </c>
      <c r="P16" s="60">
        <v>234</v>
      </c>
      <c r="Q16" s="60">
        <v>0</v>
      </c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1">
        <v>0</v>
      </c>
      <c r="Z16" s="60">
        <v>0</v>
      </c>
      <c r="AA16" s="60">
        <v>0</v>
      </c>
      <c r="AB16" s="60">
        <v>0</v>
      </c>
      <c r="AC16" s="60">
        <v>9481000</v>
      </c>
      <c r="AD16" s="62">
        <v>234</v>
      </c>
      <c r="AF16" s="47">
        <f t="shared" si="0"/>
        <v>9481000</v>
      </c>
    </row>
    <row r="17" spans="1:32" x14ac:dyDescent="0.3">
      <c r="A17" s="46" t="s">
        <v>0</v>
      </c>
      <c r="B17" s="46" t="str">
        <f>IFERROR(VLOOKUP($H17,매장구분!$B:$Z,2,0),"")</f>
        <v>리테일채널팀</v>
      </c>
      <c r="C17" s="46" t="str">
        <f>IFERROR(VLOOKUP($H17,매장구분!$B:$Z,3,0),"")</f>
        <v>국내</v>
      </c>
      <c r="D17" s="46" t="str">
        <f>IFERROR(VLOOKUP($H17,매장구분!$B:$Z,5,0),"")</f>
        <v>대리점</v>
      </c>
      <c r="E17" s="46" t="str">
        <f>IFERROR(VLOOKUP($H17,매장구분!$B:$Z,9,0),"")</f>
        <v>보령(대-위)</v>
      </c>
      <c r="F17" s="53"/>
      <c r="G17" s="54" t="s">
        <v>211</v>
      </c>
      <c r="H17" s="55" t="s">
        <v>212</v>
      </c>
      <c r="I17" s="55" t="s">
        <v>169</v>
      </c>
      <c r="J17" s="55" t="s">
        <v>79</v>
      </c>
      <c r="K17" s="55" t="s">
        <v>170</v>
      </c>
      <c r="L17" s="55" t="s">
        <v>171</v>
      </c>
      <c r="M17" s="55" t="s">
        <v>196</v>
      </c>
      <c r="N17" s="55" t="s">
        <v>197</v>
      </c>
      <c r="O17" s="55">
        <v>2707900</v>
      </c>
      <c r="P17" s="55">
        <v>26</v>
      </c>
      <c r="Q17" s="55">
        <v>0</v>
      </c>
      <c r="R17" s="55">
        <v>0</v>
      </c>
      <c r="S17" s="55">
        <v>0</v>
      </c>
      <c r="T17" s="55">
        <v>0</v>
      </c>
      <c r="U17" s="55">
        <v>0</v>
      </c>
      <c r="V17" s="55">
        <v>0</v>
      </c>
      <c r="W17" s="55">
        <v>0</v>
      </c>
      <c r="X17" s="55">
        <v>0</v>
      </c>
      <c r="Y17" s="56">
        <v>0</v>
      </c>
      <c r="Z17" s="55">
        <v>0</v>
      </c>
      <c r="AA17" s="55">
        <v>0</v>
      </c>
      <c r="AB17" s="55">
        <v>0</v>
      </c>
      <c r="AC17" s="55">
        <v>2707900</v>
      </c>
      <c r="AD17" s="57">
        <v>26</v>
      </c>
      <c r="AF17" s="47">
        <f t="shared" si="0"/>
        <v>2707900</v>
      </c>
    </row>
    <row r="18" spans="1:32" x14ac:dyDescent="0.3">
      <c r="A18" s="46" t="s">
        <v>0</v>
      </c>
      <c r="B18" s="46" t="str">
        <f>IFERROR(VLOOKUP($H18,매장구분!$B:$Z,2,0),"")</f>
        <v>파트너채널팀</v>
      </c>
      <c r="C18" s="46" t="str">
        <f>IFERROR(VLOOKUP($H18,매장구분!$B:$Z,3,0),"")</f>
        <v>면세</v>
      </c>
      <c r="D18" s="46" t="str">
        <f>IFERROR(VLOOKUP($H18,매장구분!$B:$Z,5,0),"")</f>
        <v>면세</v>
      </c>
      <c r="E18" s="46" t="str">
        <f>IFERROR(VLOOKUP($H18,매장구분!$B:$Z,9,0),"")</f>
        <v>롯데면세월드</v>
      </c>
      <c r="F18" s="58"/>
      <c r="G18" s="59" t="s">
        <v>213</v>
      </c>
      <c r="H18" s="60" t="s">
        <v>214</v>
      </c>
      <c r="I18" s="60" t="s">
        <v>169</v>
      </c>
      <c r="J18" s="60" t="s">
        <v>175</v>
      </c>
      <c r="K18" s="60" t="s">
        <v>170</v>
      </c>
      <c r="L18" s="60" t="s">
        <v>171</v>
      </c>
      <c r="M18" s="60" t="s">
        <v>176</v>
      </c>
      <c r="N18" s="60" t="s">
        <v>177</v>
      </c>
      <c r="O18" s="60">
        <v>844900</v>
      </c>
      <c r="P18" s="60">
        <v>19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1">
        <v>3862000</v>
      </c>
      <c r="Z18" s="60">
        <v>58</v>
      </c>
      <c r="AA18" s="60">
        <v>0</v>
      </c>
      <c r="AB18" s="60">
        <v>0</v>
      </c>
      <c r="AC18" s="60">
        <v>4706900</v>
      </c>
      <c r="AD18" s="62">
        <v>77</v>
      </c>
      <c r="AF18" s="47">
        <f t="shared" si="0"/>
        <v>844900</v>
      </c>
    </row>
    <row r="19" spans="1:32" x14ac:dyDescent="0.3">
      <c r="A19" s="46" t="s">
        <v>0</v>
      </c>
      <c r="B19" s="46" t="str">
        <f>IFERROR(VLOOKUP($H19,매장구분!$B:$Z,2,0),"")</f>
        <v>리테일채널팀</v>
      </c>
      <c r="C19" s="46" t="str">
        <f>IFERROR(VLOOKUP($H19,매장구분!$B:$Z,3,0),"")</f>
        <v>국내</v>
      </c>
      <c r="D19" s="46" t="str">
        <f>IFERROR(VLOOKUP($H19,매장구분!$B:$Z,5,0),"")</f>
        <v>대리점</v>
      </c>
      <c r="E19" s="46" t="str">
        <f>IFERROR(VLOOKUP($H19,매장구분!$B:$Z,9,0),"")</f>
        <v>인천(대-위)</v>
      </c>
      <c r="F19" s="53"/>
      <c r="G19" s="54" t="s">
        <v>215</v>
      </c>
      <c r="H19" s="55" t="s">
        <v>216</v>
      </c>
      <c r="I19" s="55" t="s">
        <v>169</v>
      </c>
      <c r="J19" s="55" t="s">
        <v>79</v>
      </c>
      <c r="K19" s="55" t="s">
        <v>170</v>
      </c>
      <c r="L19" s="55" t="s">
        <v>171</v>
      </c>
      <c r="M19" s="55" t="s">
        <v>196</v>
      </c>
      <c r="N19" s="55" t="s">
        <v>197</v>
      </c>
      <c r="O19" s="55">
        <v>2850000</v>
      </c>
      <c r="P19" s="55">
        <v>33</v>
      </c>
      <c r="Q19" s="55">
        <v>0</v>
      </c>
      <c r="R19" s="55">
        <v>0</v>
      </c>
      <c r="S19" s="55">
        <v>0</v>
      </c>
      <c r="T19" s="55">
        <v>0</v>
      </c>
      <c r="U19" s="55">
        <v>89000</v>
      </c>
      <c r="V19" s="55">
        <v>1</v>
      </c>
      <c r="W19" s="55">
        <v>0</v>
      </c>
      <c r="X19" s="55">
        <v>0</v>
      </c>
      <c r="Y19" s="56">
        <v>0</v>
      </c>
      <c r="Z19" s="55">
        <v>0</v>
      </c>
      <c r="AA19" s="55">
        <v>0</v>
      </c>
      <c r="AB19" s="55">
        <v>0</v>
      </c>
      <c r="AC19" s="55">
        <v>2939000</v>
      </c>
      <c r="AD19" s="57">
        <v>34</v>
      </c>
      <c r="AF19" s="47">
        <f t="shared" si="0"/>
        <v>2939000</v>
      </c>
    </row>
    <row r="20" spans="1:32" x14ac:dyDescent="0.3">
      <c r="A20" s="46" t="s">
        <v>0</v>
      </c>
      <c r="B20" s="46" t="str">
        <f>IFERROR(VLOOKUP($H20,매장구분!$B:$Z,2,0),"")</f>
        <v>리테일채널팀</v>
      </c>
      <c r="C20" s="46" t="str">
        <f>IFERROR(VLOOKUP($H20,매장구분!$B:$Z,3,0),"")</f>
        <v>국내</v>
      </c>
      <c r="D20" s="46" t="str">
        <f>IFERROR(VLOOKUP($H20,매장구분!$B:$Z,5,0),"")</f>
        <v>상설(위탁)</v>
      </c>
      <c r="E20" s="46" t="str">
        <f>IFERROR(VLOOKUP($H20,매장구분!$B:$Z,9,0),"")</f>
        <v>롯데아울렛파주(상-위)</v>
      </c>
      <c r="F20" s="58"/>
      <c r="G20" s="59" t="s">
        <v>217</v>
      </c>
      <c r="H20" s="60" t="s">
        <v>218</v>
      </c>
      <c r="I20" s="60" t="s">
        <v>169</v>
      </c>
      <c r="J20" s="60" t="s">
        <v>79</v>
      </c>
      <c r="K20" s="60" t="s">
        <v>170</v>
      </c>
      <c r="L20" s="60" t="s">
        <v>171</v>
      </c>
      <c r="M20" s="60" t="s">
        <v>219</v>
      </c>
      <c r="N20" s="60" t="s">
        <v>219</v>
      </c>
      <c r="O20" s="60">
        <v>3981000</v>
      </c>
      <c r="P20" s="60">
        <v>102</v>
      </c>
      <c r="Q20" s="60">
        <v>0</v>
      </c>
      <c r="R20" s="60">
        <v>0</v>
      </c>
      <c r="S20" s="60">
        <v>0</v>
      </c>
      <c r="T20" s="60">
        <v>0</v>
      </c>
      <c r="U20" s="60">
        <v>0</v>
      </c>
      <c r="V20" s="60">
        <v>0</v>
      </c>
      <c r="W20" s="60">
        <v>0</v>
      </c>
      <c r="X20" s="60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3981000</v>
      </c>
      <c r="AD20" s="62">
        <v>102</v>
      </c>
      <c r="AF20" s="47">
        <f t="shared" si="0"/>
        <v>3981000</v>
      </c>
    </row>
    <row r="21" spans="1:32" x14ac:dyDescent="0.3">
      <c r="A21" s="46" t="s">
        <v>0</v>
      </c>
      <c r="B21" s="46" t="str">
        <f>IFERROR(VLOOKUP($H21,매장구분!$B:$Z,2,0),"")</f>
        <v>리테일채널팀</v>
      </c>
      <c r="C21" s="46" t="str">
        <f>IFERROR(VLOOKUP($H21,매장구분!$B:$Z,3,0),"")</f>
        <v>국내</v>
      </c>
      <c r="D21" s="46" t="str">
        <f>IFERROR(VLOOKUP($H21,매장구분!$B:$Z,5,0),"")</f>
        <v>상설(위탁)</v>
      </c>
      <c r="E21" s="46" t="str">
        <f>IFERROR(VLOOKUP($H21,매장구분!$B:$Z,9,0),"")</f>
        <v>롯데아울렛봉무(상-위)</v>
      </c>
      <c r="F21" s="53"/>
      <c r="G21" s="54" t="s">
        <v>220</v>
      </c>
      <c r="H21" s="55" t="s">
        <v>221</v>
      </c>
      <c r="I21" s="55" t="s">
        <v>169</v>
      </c>
      <c r="J21" s="55" t="s">
        <v>79</v>
      </c>
      <c r="K21" s="55" t="s">
        <v>170</v>
      </c>
      <c r="L21" s="55" t="s">
        <v>171</v>
      </c>
      <c r="M21" s="55" t="s">
        <v>219</v>
      </c>
      <c r="N21" s="55" t="s">
        <v>219</v>
      </c>
      <c r="O21" s="55">
        <v>2766000</v>
      </c>
      <c r="P21" s="55">
        <v>76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6">
        <v>0</v>
      </c>
      <c r="Z21" s="55">
        <v>0</v>
      </c>
      <c r="AA21" s="55">
        <v>0</v>
      </c>
      <c r="AB21" s="55">
        <v>0</v>
      </c>
      <c r="AC21" s="55">
        <v>2766000</v>
      </c>
      <c r="AD21" s="57">
        <v>76</v>
      </c>
      <c r="AF21" s="47">
        <f t="shared" si="0"/>
        <v>2766000</v>
      </c>
    </row>
    <row r="22" spans="1:32" x14ac:dyDescent="0.3">
      <c r="A22" s="46" t="s">
        <v>0</v>
      </c>
      <c r="B22" s="46" t="str">
        <f>IFERROR(VLOOKUP($H22,매장구분!$B:$Z,2,0),"")</f>
        <v>리테일채널팀</v>
      </c>
      <c r="C22" s="46" t="str">
        <f>IFERROR(VLOOKUP($H22,매장구분!$B:$Z,3,0),"")</f>
        <v>국내</v>
      </c>
      <c r="D22" s="46" t="str">
        <f>IFERROR(VLOOKUP($H22,매장구분!$B:$Z,5,0),"")</f>
        <v>대리점</v>
      </c>
      <c r="E22" s="46" t="str">
        <f>IFERROR(VLOOKUP($H22,매장구분!$B:$Z,9,0),"")</f>
        <v>남양주삼패(대-위)</v>
      </c>
      <c r="F22" s="58"/>
      <c r="G22" s="59" t="s">
        <v>222</v>
      </c>
      <c r="H22" s="60" t="s">
        <v>223</v>
      </c>
      <c r="I22" s="60" t="s">
        <v>169</v>
      </c>
      <c r="J22" s="60" t="s">
        <v>79</v>
      </c>
      <c r="K22" s="60" t="s">
        <v>170</v>
      </c>
      <c r="L22" s="60" t="s">
        <v>171</v>
      </c>
      <c r="M22" s="60" t="s">
        <v>196</v>
      </c>
      <c r="N22" s="60" t="s">
        <v>197</v>
      </c>
      <c r="O22" s="60">
        <v>5008449</v>
      </c>
      <c r="P22" s="60">
        <v>37</v>
      </c>
      <c r="Q22" s="60">
        <v>0</v>
      </c>
      <c r="R22" s="60">
        <v>0</v>
      </c>
      <c r="S22" s="60">
        <v>0</v>
      </c>
      <c r="T22" s="60">
        <v>0</v>
      </c>
      <c r="U22" s="60">
        <v>159000</v>
      </c>
      <c r="V22" s="60">
        <v>1</v>
      </c>
      <c r="W22" s="60">
        <v>0</v>
      </c>
      <c r="X22" s="60">
        <v>0</v>
      </c>
      <c r="Y22" s="61">
        <v>55648000</v>
      </c>
      <c r="Z22" s="60">
        <v>302</v>
      </c>
      <c r="AA22" s="60">
        <v>0</v>
      </c>
      <c r="AB22" s="60">
        <v>0</v>
      </c>
      <c r="AC22" s="60">
        <v>60815449</v>
      </c>
      <c r="AD22" s="62">
        <v>340</v>
      </c>
      <c r="AF22" s="47">
        <f t="shared" si="0"/>
        <v>5167449</v>
      </c>
    </row>
    <row r="23" spans="1:32" x14ac:dyDescent="0.3">
      <c r="A23" s="46" t="s">
        <v>0</v>
      </c>
      <c r="B23" s="46" t="str">
        <f>IFERROR(VLOOKUP($H23,매장구분!$B:$Z,2,0),"")</f>
        <v>리테일채널팀</v>
      </c>
      <c r="C23" s="46" t="str">
        <f>IFERROR(VLOOKUP($H23,매장구분!$B:$Z,3,0),"")</f>
        <v>국내</v>
      </c>
      <c r="D23" s="46" t="str">
        <f>IFERROR(VLOOKUP($H23,매장구분!$B:$Z,5,0),"")</f>
        <v>대리점</v>
      </c>
      <c r="E23" s="46" t="str">
        <f>IFERROR(VLOOKUP($H23,매장구분!$B:$Z,9,0),"")</f>
        <v>원주(대-위)</v>
      </c>
      <c r="F23" s="53"/>
      <c r="G23" s="54" t="s">
        <v>224</v>
      </c>
      <c r="H23" s="55" t="s">
        <v>225</v>
      </c>
      <c r="I23" s="55" t="s">
        <v>169</v>
      </c>
      <c r="J23" s="55" t="s">
        <v>79</v>
      </c>
      <c r="K23" s="55" t="s">
        <v>170</v>
      </c>
      <c r="L23" s="55" t="s">
        <v>171</v>
      </c>
      <c r="M23" s="55" t="s">
        <v>196</v>
      </c>
      <c r="N23" s="55" t="s">
        <v>197</v>
      </c>
      <c r="O23" s="55">
        <v>7841900</v>
      </c>
      <c r="P23" s="55">
        <v>79</v>
      </c>
      <c r="Q23" s="55">
        <v>0</v>
      </c>
      <c r="R23" s="55">
        <v>0</v>
      </c>
      <c r="S23" s="55">
        <v>0</v>
      </c>
      <c r="T23" s="55">
        <v>0</v>
      </c>
      <c r="U23" s="55">
        <v>1691000</v>
      </c>
      <c r="V23" s="55">
        <v>9</v>
      </c>
      <c r="W23" s="55">
        <v>0</v>
      </c>
      <c r="X23" s="55">
        <v>0</v>
      </c>
      <c r="Y23" s="56">
        <v>0</v>
      </c>
      <c r="Z23" s="55">
        <v>0</v>
      </c>
      <c r="AA23" s="55">
        <v>0</v>
      </c>
      <c r="AB23" s="55">
        <v>0</v>
      </c>
      <c r="AC23" s="55">
        <v>9532900</v>
      </c>
      <c r="AD23" s="57">
        <v>88</v>
      </c>
      <c r="AF23" s="47">
        <f t="shared" si="0"/>
        <v>9532900</v>
      </c>
    </row>
    <row r="24" spans="1:32" x14ac:dyDescent="0.3">
      <c r="A24" s="46" t="s">
        <v>0</v>
      </c>
      <c r="B24" s="46" t="str">
        <f>IFERROR(VLOOKUP($H24,매장구분!$B:$Z,2,0),"")</f>
        <v>리테일채널팀</v>
      </c>
      <c r="C24" s="46" t="str">
        <f>IFERROR(VLOOKUP($H24,매장구분!$B:$Z,3,0),"")</f>
        <v>국내</v>
      </c>
      <c r="D24" s="46" t="str">
        <f>IFERROR(VLOOKUP($H24,매장구분!$B:$Z,5,0),"")</f>
        <v>대리점</v>
      </c>
      <c r="E24" s="46" t="str">
        <f>IFERROR(VLOOKUP($H24,매장구분!$B:$Z,9,0),"")</f>
        <v>오산(대-위)</v>
      </c>
      <c r="F24" s="58"/>
      <c r="G24" s="59" t="s">
        <v>226</v>
      </c>
      <c r="H24" s="60" t="s">
        <v>227</v>
      </c>
      <c r="I24" s="60" t="s">
        <v>169</v>
      </c>
      <c r="J24" s="60" t="s">
        <v>79</v>
      </c>
      <c r="K24" s="60" t="s">
        <v>170</v>
      </c>
      <c r="L24" s="60" t="s">
        <v>171</v>
      </c>
      <c r="M24" s="60" t="s">
        <v>196</v>
      </c>
      <c r="N24" s="60" t="s">
        <v>197</v>
      </c>
      <c r="O24" s="60">
        <v>6501632</v>
      </c>
      <c r="P24" s="60">
        <v>46</v>
      </c>
      <c r="Q24" s="60">
        <v>0</v>
      </c>
      <c r="R24" s="60">
        <v>0</v>
      </c>
      <c r="S24" s="60">
        <v>0</v>
      </c>
      <c r="T24" s="60">
        <v>0</v>
      </c>
      <c r="U24" s="60">
        <v>965958</v>
      </c>
      <c r="V24" s="60">
        <v>5</v>
      </c>
      <c r="W24" s="60">
        <v>0</v>
      </c>
      <c r="X24" s="60">
        <v>0</v>
      </c>
      <c r="Y24" s="61">
        <v>0</v>
      </c>
      <c r="Z24" s="60">
        <v>0</v>
      </c>
      <c r="AA24" s="60">
        <v>0</v>
      </c>
      <c r="AB24" s="60">
        <v>0</v>
      </c>
      <c r="AC24" s="60">
        <v>7467590</v>
      </c>
      <c r="AD24" s="62">
        <v>51</v>
      </c>
      <c r="AF24" s="47">
        <f t="shared" si="0"/>
        <v>7467590</v>
      </c>
    </row>
    <row r="25" spans="1:32" x14ac:dyDescent="0.3">
      <c r="A25" s="46" t="s">
        <v>0</v>
      </c>
      <c r="B25" s="46" t="str">
        <f>IFERROR(VLOOKUP($H25,매장구분!$B:$Z,2,0),"")</f>
        <v>리테일채널팀</v>
      </c>
      <c r="C25" s="46" t="str">
        <f>IFERROR(VLOOKUP($H25,매장구분!$B:$Z,3,0),"")</f>
        <v>국내</v>
      </c>
      <c r="D25" s="46" t="str">
        <f>IFERROR(VLOOKUP($H25,매장구분!$B:$Z,5,0),"")</f>
        <v>대리점</v>
      </c>
      <c r="E25" s="46" t="str">
        <f>IFERROR(VLOOKUP($H25,매장구분!$B:$Z,9,0),"")</f>
        <v>성남신흥(대-위)</v>
      </c>
      <c r="F25" s="53"/>
      <c r="G25" s="54" t="s">
        <v>228</v>
      </c>
      <c r="H25" s="55" t="s">
        <v>229</v>
      </c>
      <c r="I25" s="55" t="s">
        <v>169</v>
      </c>
      <c r="J25" s="55" t="s">
        <v>79</v>
      </c>
      <c r="K25" s="55" t="s">
        <v>170</v>
      </c>
      <c r="L25" s="55" t="s">
        <v>171</v>
      </c>
      <c r="M25" s="55" t="s">
        <v>196</v>
      </c>
      <c r="N25" s="55" t="s">
        <v>197</v>
      </c>
      <c r="O25" s="55">
        <v>15694796</v>
      </c>
      <c r="P25" s="55">
        <v>131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6">
        <v>80570000</v>
      </c>
      <c r="Z25" s="55">
        <v>2195</v>
      </c>
      <c r="AA25" s="55">
        <v>0</v>
      </c>
      <c r="AB25" s="55">
        <v>0</v>
      </c>
      <c r="AC25" s="55">
        <v>96264796</v>
      </c>
      <c r="AD25" s="57">
        <v>2326</v>
      </c>
      <c r="AF25" s="47">
        <f t="shared" si="0"/>
        <v>15694796</v>
      </c>
    </row>
    <row r="26" spans="1:32" x14ac:dyDescent="0.3">
      <c r="A26" s="46" t="s">
        <v>0</v>
      </c>
      <c r="B26" s="46" t="str">
        <f>IFERROR(VLOOKUP($H26,매장구분!$B:$Z,2,0),"")</f>
        <v>리테일채널팀</v>
      </c>
      <c r="C26" s="46" t="str">
        <f>IFERROR(VLOOKUP($H26,매장구분!$B:$Z,3,0),"")</f>
        <v>국내</v>
      </c>
      <c r="D26" s="46" t="str">
        <f>IFERROR(VLOOKUP($H26,매장구분!$B:$Z,5,0),"")</f>
        <v>대리점</v>
      </c>
      <c r="E26" s="46" t="str">
        <f>IFERROR(VLOOKUP($H26,매장구분!$B:$Z,9,0),"")</f>
        <v>강릉(대-위)</v>
      </c>
      <c r="F26" s="58"/>
      <c r="G26" s="59" t="s">
        <v>230</v>
      </c>
      <c r="H26" s="60" t="s">
        <v>231</v>
      </c>
      <c r="I26" s="60" t="s">
        <v>169</v>
      </c>
      <c r="J26" s="60" t="s">
        <v>79</v>
      </c>
      <c r="K26" s="60" t="s">
        <v>170</v>
      </c>
      <c r="L26" s="60" t="s">
        <v>171</v>
      </c>
      <c r="M26" s="60" t="s">
        <v>196</v>
      </c>
      <c r="N26" s="60" t="s">
        <v>197</v>
      </c>
      <c r="O26" s="60">
        <v>4770000</v>
      </c>
      <c r="P26" s="60">
        <v>36</v>
      </c>
      <c r="Q26" s="60">
        <v>0</v>
      </c>
      <c r="R26" s="60">
        <v>0</v>
      </c>
      <c r="S26" s="60">
        <v>0</v>
      </c>
      <c r="T26" s="60">
        <v>0</v>
      </c>
      <c r="U26" s="60">
        <v>378000</v>
      </c>
      <c r="V26" s="60">
        <v>2</v>
      </c>
      <c r="W26" s="60">
        <v>0</v>
      </c>
      <c r="X26" s="60">
        <v>0</v>
      </c>
      <c r="Y26" s="61">
        <v>0</v>
      </c>
      <c r="Z26" s="60">
        <v>0</v>
      </c>
      <c r="AA26" s="60">
        <v>0</v>
      </c>
      <c r="AB26" s="60">
        <v>0</v>
      </c>
      <c r="AC26" s="60">
        <v>5148000</v>
      </c>
      <c r="AD26" s="62">
        <v>38</v>
      </c>
      <c r="AF26" s="47">
        <f t="shared" si="0"/>
        <v>5148000</v>
      </c>
    </row>
    <row r="27" spans="1:32" x14ac:dyDescent="0.3">
      <c r="A27" s="46" t="s">
        <v>0</v>
      </c>
      <c r="B27" s="46" t="str">
        <f>IFERROR(VLOOKUP($H27,매장구분!$B:$Z,2,0),"")</f>
        <v>파트너채널팀</v>
      </c>
      <c r="C27" s="46" t="str">
        <f>IFERROR(VLOOKUP($H27,매장구분!$B:$Z,3,0),"")</f>
        <v>국내</v>
      </c>
      <c r="D27" s="46" t="str">
        <f>IFERROR(VLOOKUP($H27,매장구분!$B:$Z,5,0),"")</f>
        <v>백화점</v>
      </c>
      <c r="E27" s="46" t="str">
        <f>IFERROR(VLOOKUP($H27,매장구분!$B:$Z,9,0),"")</f>
        <v>롯데구리</v>
      </c>
      <c r="F27" s="53"/>
      <c r="G27" s="54" t="s">
        <v>232</v>
      </c>
      <c r="H27" s="55" t="s">
        <v>233</v>
      </c>
      <c r="I27" s="55" t="s">
        <v>169</v>
      </c>
      <c r="J27" s="55" t="s">
        <v>175</v>
      </c>
      <c r="K27" s="55" t="s">
        <v>170</v>
      </c>
      <c r="L27" s="55" t="s">
        <v>171</v>
      </c>
      <c r="M27" s="55" t="s">
        <v>77</v>
      </c>
      <c r="N27" s="55" t="s">
        <v>172</v>
      </c>
      <c r="O27" s="55">
        <v>3668070</v>
      </c>
      <c r="P27" s="55">
        <v>44</v>
      </c>
      <c r="Q27" s="55">
        <v>0</v>
      </c>
      <c r="R27" s="55">
        <v>0</v>
      </c>
      <c r="S27" s="55">
        <v>0</v>
      </c>
      <c r="T27" s="55">
        <v>0</v>
      </c>
      <c r="U27" s="55">
        <v>712250</v>
      </c>
      <c r="V27" s="55">
        <v>5</v>
      </c>
      <c r="W27" s="55">
        <v>0</v>
      </c>
      <c r="X27" s="55">
        <v>0</v>
      </c>
      <c r="Y27" s="56">
        <v>0</v>
      </c>
      <c r="Z27" s="55">
        <v>0</v>
      </c>
      <c r="AA27" s="55">
        <v>0</v>
      </c>
      <c r="AB27" s="55">
        <v>0</v>
      </c>
      <c r="AC27" s="55">
        <v>4380320</v>
      </c>
      <c r="AD27" s="57">
        <v>49</v>
      </c>
      <c r="AF27" s="47">
        <f t="shared" si="0"/>
        <v>4380320</v>
      </c>
    </row>
    <row r="28" spans="1:32" x14ac:dyDescent="0.3">
      <c r="A28" s="46" t="s">
        <v>0</v>
      </c>
      <c r="B28" s="46" t="str">
        <f>IFERROR(VLOOKUP($H28,매장구분!$B:$Z,2,0),"")</f>
        <v>파트너채널팀</v>
      </c>
      <c r="C28" s="46" t="str">
        <f>IFERROR(VLOOKUP($H28,매장구분!$B:$Z,3,0),"")</f>
        <v>국내</v>
      </c>
      <c r="D28" s="46" t="str">
        <f>IFERROR(VLOOKUP($H28,매장구분!$B:$Z,5,0),"")</f>
        <v>백화점</v>
      </c>
      <c r="E28" s="46" t="str">
        <f>IFERROR(VLOOKUP($H28,매장구분!$B:$Z,9,0),"")</f>
        <v>신세계강남</v>
      </c>
      <c r="F28" s="58"/>
      <c r="G28" s="59" t="s">
        <v>234</v>
      </c>
      <c r="H28" s="60" t="s">
        <v>235</v>
      </c>
      <c r="I28" s="60" t="s">
        <v>169</v>
      </c>
      <c r="J28" s="60" t="s">
        <v>175</v>
      </c>
      <c r="K28" s="60" t="s">
        <v>170</v>
      </c>
      <c r="L28" s="60" t="s">
        <v>171</v>
      </c>
      <c r="M28" s="60" t="s">
        <v>77</v>
      </c>
      <c r="N28" s="60" t="s">
        <v>172</v>
      </c>
      <c r="O28" s="60">
        <v>23117600</v>
      </c>
      <c r="P28" s="60">
        <v>203</v>
      </c>
      <c r="Q28" s="60">
        <v>6042600</v>
      </c>
      <c r="R28" s="60">
        <v>71</v>
      </c>
      <c r="S28" s="60">
        <v>0</v>
      </c>
      <c r="T28" s="60">
        <v>0</v>
      </c>
      <c r="U28" s="60">
        <v>2914000</v>
      </c>
      <c r="V28" s="60">
        <v>16</v>
      </c>
      <c r="W28" s="60">
        <v>0</v>
      </c>
      <c r="X28" s="60">
        <v>0</v>
      </c>
      <c r="Y28" s="61">
        <v>11529000</v>
      </c>
      <c r="Z28" s="60">
        <v>23</v>
      </c>
      <c r="AA28" s="60">
        <v>0</v>
      </c>
      <c r="AB28" s="60">
        <v>0</v>
      </c>
      <c r="AC28" s="60">
        <v>43603200</v>
      </c>
      <c r="AD28" s="62">
        <v>313</v>
      </c>
      <c r="AF28" s="47">
        <f t="shared" si="0"/>
        <v>32074200</v>
      </c>
    </row>
    <row r="29" spans="1:32" x14ac:dyDescent="0.3">
      <c r="A29" s="46" t="s">
        <v>0</v>
      </c>
      <c r="B29" s="46" t="str">
        <f>IFERROR(VLOOKUP($H29,매장구분!$B:$Z,2,0),"")</f>
        <v>파트너채널팀</v>
      </c>
      <c r="C29" s="46" t="str">
        <f>IFERROR(VLOOKUP($H29,매장구분!$B:$Z,3,0),"")</f>
        <v>국내</v>
      </c>
      <c r="D29" s="46" t="str">
        <f>IFERROR(VLOOKUP($H29,매장구분!$B:$Z,5,0),"")</f>
        <v>백화점</v>
      </c>
      <c r="E29" s="46" t="str">
        <f>IFERROR(VLOOKUP($H29,매장구분!$B:$Z,9,0),"")</f>
        <v>모다아울렛대전</v>
      </c>
      <c r="F29" s="53"/>
      <c r="G29" s="54" t="s">
        <v>236</v>
      </c>
      <c r="H29" s="55" t="s">
        <v>237</v>
      </c>
      <c r="I29" s="55" t="s">
        <v>169</v>
      </c>
      <c r="J29" s="55" t="s">
        <v>175</v>
      </c>
      <c r="K29" s="55" t="s">
        <v>170</v>
      </c>
      <c r="L29" s="55" t="s">
        <v>171</v>
      </c>
      <c r="M29" s="55" t="s">
        <v>77</v>
      </c>
      <c r="N29" s="55" t="s">
        <v>238</v>
      </c>
      <c r="O29" s="55">
        <v>8272480</v>
      </c>
      <c r="P29" s="55">
        <v>66</v>
      </c>
      <c r="Q29" s="55">
        <v>0</v>
      </c>
      <c r="R29" s="55">
        <v>0</v>
      </c>
      <c r="S29" s="55">
        <v>0</v>
      </c>
      <c r="T29" s="55">
        <v>0</v>
      </c>
      <c r="U29" s="55">
        <v>1062320</v>
      </c>
      <c r="V29" s="55">
        <v>6</v>
      </c>
      <c r="W29" s="55">
        <v>0</v>
      </c>
      <c r="X29" s="55">
        <v>0</v>
      </c>
      <c r="Y29" s="56">
        <v>0</v>
      </c>
      <c r="Z29" s="55">
        <v>0</v>
      </c>
      <c r="AA29" s="55">
        <v>0</v>
      </c>
      <c r="AB29" s="55">
        <v>0</v>
      </c>
      <c r="AC29" s="55">
        <v>9334800</v>
      </c>
      <c r="AD29" s="57">
        <v>72</v>
      </c>
      <c r="AF29" s="47">
        <f t="shared" si="0"/>
        <v>9334800</v>
      </c>
    </row>
    <row r="30" spans="1:32" x14ac:dyDescent="0.3">
      <c r="A30" s="46" t="s">
        <v>0</v>
      </c>
      <c r="B30" s="46" t="str">
        <f>IFERROR(VLOOKUP($H30,매장구분!$B:$Z,2,0),"")</f>
        <v>파트너채널팀</v>
      </c>
      <c r="C30" s="46" t="str">
        <f>IFERROR(VLOOKUP($H30,매장구분!$B:$Z,3,0),"")</f>
        <v>국내</v>
      </c>
      <c r="D30" s="46" t="str">
        <f>IFERROR(VLOOKUP($H30,매장구분!$B:$Z,5,0),"")</f>
        <v>백화점</v>
      </c>
      <c r="E30" s="46" t="str">
        <f>IFERROR(VLOOKUP($H30,매장구분!$B:$Z,9,0),"")</f>
        <v>롯데동래</v>
      </c>
      <c r="F30" s="58"/>
      <c r="G30" s="59" t="s">
        <v>239</v>
      </c>
      <c r="H30" s="60" t="s">
        <v>240</v>
      </c>
      <c r="I30" s="60" t="s">
        <v>169</v>
      </c>
      <c r="J30" s="60" t="s">
        <v>175</v>
      </c>
      <c r="K30" s="60" t="s">
        <v>170</v>
      </c>
      <c r="L30" s="60" t="s">
        <v>171</v>
      </c>
      <c r="M30" s="60" t="s">
        <v>77</v>
      </c>
      <c r="N30" s="60" t="s">
        <v>172</v>
      </c>
      <c r="O30" s="60">
        <v>5811010</v>
      </c>
      <c r="P30" s="60">
        <v>50</v>
      </c>
      <c r="Q30" s="60">
        <v>0</v>
      </c>
      <c r="R30" s="60">
        <v>0</v>
      </c>
      <c r="S30" s="60">
        <v>0</v>
      </c>
      <c r="T30" s="60">
        <v>0</v>
      </c>
      <c r="U30" s="60">
        <v>238000</v>
      </c>
      <c r="V30" s="60">
        <v>2</v>
      </c>
      <c r="W30" s="60">
        <v>0</v>
      </c>
      <c r="X30" s="60">
        <v>0</v>
      </c>
      <c r="Y30" s="61">
        <v>1720000</v>
      </c>
      <c r="Z30" s="60">
        <v>40</v>
      </c>
      <c r="AA30" s="60">
        <v>0</v>
      </c>
      <c r="AB30" s="60">
        <v>0</v>
      </c>
      <c r="AC30" s="60">
        <v>7769010</v>
      </c>
      <c r="AD30" s="62">
        <v>92</v>
      </c>
      <c r="AF30" s="47">
        <f t="shared" si="0"/>
        <v>6049010</v>
      </c>
    </row>
    <row r="31" spans="1:32" x14ac:dyDescent="0.3">
      <c r="A31" s="46" t="s">
        <v>0</v>
      </c>
      <c r="B31" s="46" t="str">
        <f>IFERROR(VLOOKUP($H31,매장구분!$B:$Z,2,0),"")</f>
        <v>리테일채널팀</v>
      </c>
      <c r="C31" s="46" t="str">
        <f>IFERROR(VLOOKUP($H31,매장구분!$B:$Z,3,0),"")</f>
        <v>국내</v>
      </c>
      <c r="D31" s="46" t="str">
        <f>IFERROR(VLOOKUP($H31,매장구분!$B:$Z,5,0),"")</f>
        <v>대리점</v>
      </c>
      <c r="E31" s="46" t="str">
        <f>IFERROR(VLOOKUP($H31,매장구분!$B:$Z,9,0),"")</f>
        <v>울산무거(대-위)</v>
      </c>
      <c r="F31" s="53"/>
      <c r="G31" s="54" t="s">
        <v>241</v>
      </c>
      <c r="H31" s="55" t="s">
        <v>242</v>
      </c>
      <c r="I31" s="55" t="s">
        <v>169</v>
      </c>
      <c r="J31" s="55" t="s">
        <v>79</v>
      </c>
      <c r="K31" s="55" t="s">
        <v>170</v>
      </c>
      <c r="L31" s="55" t="s">
        <v>171</v>
      </c>
      <c r="M31" s="55" t="s">
        <v>196</v>
      </c>
      <c r="N31" s="55" t="s">
        <v>197</v>
      </c>
      <c r="O31" s="55">
        <v>1852982</v>
      </c>
      <c r="P31" s="55">
        <v>22</v>
      </c>
      <c r="Q31" s="55">
        <v>0</v>
      </c>
      <c r="R31" s="55">
        <v>0</v>
      </c>
      <c r="S31" s="55">
        <v>0</v>
      </c>
      <c r="T31" s="55">
        <v>0</v>
      </c>
      <c r="U31" s="55">
        <v>1420718</v>
      </c>
      <c r="V31" s="55">
        <v>15</v>
      </c>
      <c r="W31" s="55">
        <v>0</v>
      </c>
      <c r="X31" s="55">
        <v>0</v>
      </c>
      <c r="Y31" s="56">
        <v>0</v>
      </c>
      <c r="Z31" s="55">
        <v>0</v>
      </c>
      <c r="AA31" s="55">
        <v>0</v>
      </c>
      <c r="AB31" s="55">
        <v>0</v>
      </c>
      <c r="AC31" s="55">
        <v>3273700</v>
      </c>
      <c r="AD31" s="57">
        <v>37</v>
      </c>
      <c r="AF31" s="47">
        <f t="shared" si="0"/>
        <v>3273700</v>
      </c>
    </row>
    <row r="32" spans="1:32" x14ac:dyDescent="0.3">
      <c r="A32" s="46" t="s">
        <v>0</v>
      </c>
      <c r="B32" s="46" t="str">
        <f>IFERROR(VLOOKUP($H32,매장구분!$B:$Z,2,0),"")</f>
        <v>파트너채널팀</v>
      </c>
      <c r="C32" s="46" t="str">
        <f>IFERROR(VLOOKUP($H32,매장구분!$B:$Z,3,0),"")</f>
        <v>국내</v>
      </c>
      <c r="D32" s="46" t="str">
        <f>IFERROR(VLOOKUP($H32,매장구분!$B:$Z,5,0),"")</f>
        <v>백화점</v>
      </c>
      <c r="E32" s="46" t="str">
        <f>IFERROR(VLOOKUP($H32,매장구분!$B:$Z,9,0),"")</f>
        <v>신세계하남</v>
      </c>
      <c r="F32" s="58"/>
      <c r="G32" s="59" t="s">
        <v>243</v>
      </c>
      <c r="H32" s="60" t="s">
        <v>244</v>
      </c>
      <c r="I32" s="60" t="s">
        <v>169</v>
      </c>
      <c r="J32" s="60" t="s">
        <v>175</v>
      </c>
      <c r="K32" s="60" t="s">
        <v>170</v>
      </c>
      <c r="L32" s="60" t="s">
        <v>171</v>
      </c>
      <c r="M32" s="60" t="s">
        <v>77</v>
      </c>
      <c r="N32" s="60" t="s">
        <v>172</v>
      </c>
      <c r="O32" s="60">
        <v>10338000</v>
      </c>
      <c r="P32" s="60">
        <v>105</v>
      </c>
      <c r="Q32" s="60">
        <v>0</v>
      </c>
      <c r="R32" s="60">
        <v>0</v>
      </c>
      <c r="S32" s="60">
        <v>0</v>
      </c>
      <c r="T32" s="60">
        <v>0</v>
      </c>
      <c r="U32" s="60">
        <v>925000</v>
      </c>
      <c r="V32" s="60">
        <v>5</v>
      </c>
      <c r="W32" s="60">
        <v>0</v>
      </c>
      <c r="X32" s="60">
        <v>0</v>
      </c>
      <c r="Y32" s="61">
        <v>0</v>
      </c>
      <c r="Z32" s="60">
        <v>0</v>
      </c>
      <c r="AA32" s="60">
        <v>0</v>
      </c>
      <c r="AB32" s="60">
        <v>0</v>
      </c>
      <c r="AC32" s="60">
        <v>11263000</v>
      </c>
      <c r="AD32" s="62">
        <v>110</v>
      </c>
      <c r="AF32" s="47">
        <f t="shared" si="0"/>
        <v>11263000</v>
      </c>
    </row>
    <row r="33" spans="1:32" x14ac:dyDescent="0.3">
      <c r="A33" s="46" t="s">
        <v>0</v>
      </c>
      <c r="B33" s="46" t="str">
        <f>IFERROR(VLOOKUP($H33,매장구분!$B:$Z,2,0),"")</f>
        <v>파트너채널팀</v>
      </c>
      <c r="C33" s="46" t="str">
        <f>IFERROR(VLOOKUP($H33,매장구분!$B:$Z,3,0),"")</f>
        <v>국내</v>
      </c>
      <c r="D33" s="46" t="str">
        <f>IFERROR(VLOOKUP($H33,매장구분!$B:$Z,5,0),"")</f>
        <v>백화점</v>
      </c>
      <c r="E33" s="46" t="str">
        <f>IFERROR(VLOOKUP($H33,매장구분!$B:$Z,9,0),"")</f>
        <v>롯데인천</v>
      </c>
      <c r="F33" s="53"/>
      <c r="G33" s="54" t="s">
        <v>245</v>
      </c>
      <c r="H33" s="55" t="s">
        <v>246</v>
      </c>
      <c r="I33" s="55" t="s">
        <v>169</v>
      </c>
      <c r="J33" s="55" t="s">
        <v>175</v>
      </c>
      <c r="K33" s="55" t="s">
        <v>170</v>
      </c>
      <c r="L33" s="55" t="s">
        <v>171</v>
      </c>
      <c r="M33" s="55" t="s">
        <v>77</v>
      </c>
      <c r="N33" s="55" t="s">
        <v>172</v>
      </c>
      <c r="O33" s="55">
        <v>9771120</v>
      </c>
      <c r="P33" s="55">
        <v>102</v>
      </c>
      <c r="Q33" s="55">
        <v>0</v>
      </c>
      <c r="R33" s="55">
        <v>0</v>
      </c>
      <c r="S33" s="55">
        <v>0</v>
      </c>
      <c r="T33" s="55">
        <v>0</v>
      </c>
      <c r="U33" s="55">
        <v>1227280</v>
      </c>
      <c r="V33" s="55">
        <v>9</v>
      </c>
      <c r="W33" s="55">
        <v>0</v>
      </c>
      <c r="X33" s="55">
        <v>0</v>
      </c>
      <c r="Y33" s="56">
        <v>30595500</v>
      </c>
      <c r="Z33" s="55">
        <v>668</v>
      </c>
      <c r="AA33" s="55">
        <v>0</v>
      </c>
      <c r="AB33" s="55">
        <v>0</v>
      </c>
      <c r="AC33" s="55">
        <v>41593900</v>
      </c>
      <c r="AD33" s="57">
        <v>779</v>
      </c>
      <c r="AF33" s="47">
        <f t="shared" si="0"/>
        <v>10998400</v>
      </c>
    </row>
    <row r="34" spans="1:32" x14ac:dyDescent="0.3">
      <c r="A34" s="46" t="s">
        <v>0</v>
      </c>
      <c r="B34" s="46" t="str">
        <f>IFERROR(VLOOKUP($H34,매장구분!$B:$Z,2,0),"")</f>
        <v>파트너채널팀</v>
      </c>
      <c r="C34" s="46" t="str">
        <f>IFERROR(VLOOKUP($H34,매장구분!$B:$Z,3,0),"")</f>
        <v>국내</v>
      </c>
      <c r="D34" s="46" t="str">
        <f>IFERROR(VLOOKUP($H34,매장구분!$B:$Z,5,0),"")</f>
        <v>백화점</v>
      </c>
      <c r="E34" s="46" t="str">
        <f>IFERROR(VLOOKUP($H34,매장구분!$B:$Z,9,0),"")</f>
        <v>롯데잠실</v>
      </c>
      <c r="F34" s="58"/>
      <c r="G34" s="59" t="s">
        <v>247</v>
      </c>
      <c r="H34" s="60" t="s">
        <v>248</v>
      </c>
      <c r="I34" s="60" t="s">
        <v>169</v>
      </c>
      <c r="J34" s="60" t="s">
        <v>175</v>
      </c>
      <c r="K34" s="60" t="s">
        <v>170</v>
      </c>
      <c r="L34" s="60" t="s">
        <v>171</v>
      </c>
      <c r="M34" s="60" t="s">
        <v>77</v>
      </c>
      <c r="N34" s="60" t="s">
        <v>172</v>
      </c>
      <c r="O34" s="60">
        <v>4951300</v>
      </c>
      <c r="P34" s="60">
        <v>59</v>
      </c>
      <c r="Q34" s="60">
        <v>1385500</v>
      </c>
      <c r="R34" s="60">
        <v>15</v>
      </c>
      <c r="S34" s="60">
        <v>0</v>
      </c>
      <c r="T34" s="60">
        <v>0</v>
      </c>
      <c r="U34" s="60">
        <v>3037000</v>
      </c>
      <c r="V34" s="60">
        <v>17</v>
      </c>
      <c r="W34" s="60">
        <v>0</v>
      </c>
      <c r="X34" s="60">
        <v>0</v>
      </c>
      <c r="Y34" s="61">
        <v>29546000</v>
      </c>
      <c r="Z34" s="60">
        <v>230</v>
      </c>
      <c r="AA34" s="60">
        <v>0</v>
      </c>
      <c r="AB34" s="60">
        <v>0</v>
      </c>
      <c r="AC34" s="60">
        <v>38919800</v>
      </c>
      <c r="AD34" s="62">
        <v>321</v>
      </c>
      <c r="AF34" s="47">
        <f t="shared" si="0"/>
        <v>9373800</v>
      </c>
    </row>
    <row r="35" spans="1:32" x14ac:dyDescent="0.3">
      <c r="A35" s="46" t="s">
        <v>0</v>
      </c>
      <c r="B35" s="46" t="str">
        <f>IFERROR(VLOOKUP($H35,매장구분!$B:$Z,2,0),"")</f>
        <v>파트너채널팀</v>
      </c>
      <c r="C35" s="46" t="str">
        <f>IFERROR(VLOOKUP($H35,매장구분!$B:$Z,3,0),"")</f>
        <v>국내</v>
      </c>
      <c r="D35" s="46" t="str">
        <f>IFERROR(VLOOKUP($H35,매장구분!$B:$Z,5,0),"")</f>
        <v>백화점</v>
      </c>
      <c r="E35" s="46" t="str">
        <f>IFERROR(VLOOKUP($H35,매장구분!$B:$Z,9,0),"")</f>
        <v>롯데포항</v>
      </c>
      <c r="F35" s="53"/>
      <c r="G35" s="54" t="s">
        <v>249</v>
      </c>
      <c r="H35" s="55" t="s">
        <v>250</v>
      </c>
      <c r="I35" s="55" t="s">
        <v>169</v>
      </c>
      <c r="J35" s="55" t="s">
        <v>175</v>
      </c>
      <c r="K35" s="55" t="s">
        <v>170</v>
      </c>
      <c r="L35" s="55" t="s">
        <v>171</v>
      </c>
      <c r="M35" s="55" t="s">
        <v>77</v>
      </c>
      <c r="N35" s="55" t="s">
        <v>172</v>
      </c>
      <c r="O35" s="55">
        <v>8722810</v>
      </c>
      <c r="P35" s="55">
        <v>66</v>
      </c>
      <c r="Q35" s="55">
        <v>0</v>
      </c>
      <c r="R35" s="55">
        <v>0</v>
      </c>
      <c r="S35" s="55">
        <v>0</v>
      </c>
      <c r="T35" s="55">
        <v>0</v>
      </c>
      <c r="U35" s="55">
        <v>629100</v>
      </c>
      <c r="V35" s="55">
        <v>3</v>
      </c>
      <c r="W35" s="55">
        <v>0</v>
      </c>
      <c r="X35" s="55">
        <v>0</v>
      </c>
      <c r="Y35" s="56">
        <v>0</v>
      </c>
      <c r="Z35" s="55">
        <v>0</v>
      </c>
      <c r="AA35" s="55">
        <v>0</v>
      </c>
      <c r="AB35" s="55">
        <v>0</v>
      </c>
      <c r="AC35" s="55">
        <v>9351910</v>
      </c>
      <c r="AD35" s="57">
        <v>69</v>
      </c>
      <c r="AF35" s="47">
        <f t="shared" si="0"/>
        <v>9351910</v>
      </c>
    </row>
    <row r="36" spans="1:32" x14ac:dyDescent="0.3">
      <c r="A36" s="46" t="s">
        <v>0</v>
      </c>
      <c r="B36" s="46" t="str">
        <f>IFERROR(VLOOKUP($H36,매장구분!$B:$Z,2,0),"")</f>
        <v>파트너채널팀</v>
      </c>
      <c r="C36" s="46" t="str">
        <f>IFERROR(VLOOKUP($H36,매장구분!$B:$Z,3,0),"")</f>
        <v>국내</v>
      </c>
      <c r="D36" s="46" t="str">
        <f>IFERROR(VLOOKUP($H36,매장구분!$B:$Z,5,0),"")</f>
        <v>백화점</v>
      </c>
      <c r="E36" s="46" t="str">
        <f>IFERROR(VLOOKUP($H36,매장구분!$B:$Z,9,0),"")</f>
        <v>AK평택</v>
      </c>
      <c r="F36" s="58"/>
      <c r="G36" s="59" t="s">
        <v>251</v>
      </c>
      <c r="H36" s="60" t="s">
        <v>252</v>
      </c>
      <c r="I36" s="60" t="s">
        <v>169</v>
      </c>
      <c r="J36" s="60" t="s">
        <v>175</v>
      </c>
      <c r="K36" s="60" t="s">
        <v>170</v>
      </c>
      <c r="L36" s="60" t="s">
        <v>171</v>
      </c>
      <c r="M36" s="60" t="s">
        <v>77</v>
      </c>
      <c r="N36" s="60" t="s">
        <v>172</v>
      </c>
      <c r="O36" s="60">
        <v>8840000</v>
      </c>
      <c r="P36" s="60">
        <v>106</v>
      </c>
      <c r="Q36" s="60">
        <v>0</v>
      </c>
      <c r="R36" s="60">
        <v>0</v>
      </c>
      <c r="S36" s="60">
        <v>0</v>
      </c>
      <c r="T36" s="60">
        <v>0</v>
      </c>
      <c r="U36" s="60">
        <v>279000</v>
      </c>
      <c r="V36" s="60">
        <v>1</v>
      </c>
      <c r="W36" s="60">
        <v>0</v>
      </c>
      <c r="X36" s="60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9119000</v>
      </c>
      <c r="AD36" s="62">
        <v>107</v>
      </c>
      <c r="AF36" s="47">
        <f t="shared" si="0"/>
        <v>9119000</v>
      </c>
    </row>
    <row r="37" spans="1:32" x14ac:dyDescent="0.3">
      <c r="A37" s="46" t="s">
        <v>0</v>
      </c>
      <c r="B37" s="46" t="str">
        <f>IFERROR(VLOOKUP($H37,매장구분!$B:$Z,2,0),"")</f>
        <v>E-biz</v>
      </c>
      <c r="C37" s="46" t="str">
        <f>IFERROR(VLOOKUP($H37,매장구분!$B:$Z,3,0),"")</f>
        <v>국내</v>
      </c>
      <c r="D37" s="46" t="str">
        <f>IFERROR(VLOOKUP($H37,매장구분!$B:$Z,5,0),"")</f>
        <v>온(제휴몰)</v>
      </c>
      <c r="E37" s="46" t="str">
        <f>IFERROR(VLOOKUP($H37,매장구분!$B:$Z,9,0),"")</f>
        <v>롯데ON(제휴몰)</v>
      </c>
      <c r="F37" s="53"/>
      <c r="G37" s="54" t="s">
        <v>253</v>
      </c>
      <c r="H37" s="55" t="s">
        <v>254</v>
      </c>
      <c r="I37" s="55" t="s">
        <v>169</v>
      </c>
      <c r="J37" s="55" t="s">
        <v>180</v>
      </c>
      <c r="K37" s="55" t="s">
        <v>170</v>
      </c>
      <c r="L37" s="55" t="s">
        <v>181</v>
      </c>
      <c r="M37" s="55" t="s">
        <v>181</v>
      </c>
      <c r="N37" s="55" t="s">
        <v>185</v>
      </c>
      <c r="O37" s="55">
        <v>5801400</v>
      </c>
      <c r="P37" s="55">
        <v>84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6">
        <v>0</v>
      </c>
      <c r="Z37" s="55">
        <v>0</v>
      </c>
      <c r="AA37" s="55">
        <v>0</v>
      </c>
      <c r="AB37" s="55">
        <v>0</v>
      </c>
      <c r="AC37" s="55">
        <v>5801400</v>
      </c>
      <c r="AD37" s="57">
        <v>84</v>
      </c>
      <c r="AF37" s="47">
        <f t="shared" si="0"/>
        <v>5801400</v>
      </c>
    </row>
    <row r="38" spans="1:32" x14ac:dyDescent="0.3">
      <c r="A38" s="46" t="s">
        <v>0</v>
      </c>
      <c r="B38" s="46" t="str">
        <f>IFERROR(VLOOKUP($H38,매장구분!$B:$Z,2,0),"")</f>
        <v>파트너채널팀</v>
      </c>
      <c r="C38" s="46" t="str">
        <f>IFERROR(VLOOKUP($H38,매장구분!$B:$Z,3,0),"")</f>
        <v>국내</v>
      </c>
      <c r="D38" s="46" t="str">
        <f>IFERROR(VLOOKUP($H38,매장구분!$B:$Z,5,0),"")</f>
        <v>백화점</v>
      </c>
      <c r="E38" s="46" t="str">
        <f>IFERROR(VLOOKUP($H38,매장구분!$B:$Z,9,0),"")</f>
        <v>롯데청량리</v>
      </c>
      <c r="F38" s="58"/>
      <c r="G38" s="59" t="s">
        <v>255</v>
      </c>
      <c r="H38" s="60" t="s">
        <v>256</v>
      </c>
      <c r="I38" s="60" t="s">
        <v>169</v>
      </c>
      <c r="J38" s="60" t="s">
        <v>175</v>
      </c>
      <c r="K38" s="60" t="s">
        <v>170</v>
      </c>
      <c r="L38" s="60" t="s">
        <v>171</v>
      </c>
      <c r="M38" s="60" t="s">
        <v>77</v>
      </c>
      <c r="N38" s="60" t="s">
        <v>172</v>
      </c>
      <c r="O38" s="60">
        <v>4894000</v>
      </c>
      <c r="P38" s="60">
        <v>53</v>
      </c>
      <c r="Q38" s="60">
        <v>0</v>
      </c>
      <c r="R38" s="60">
        <v>0</v>
      </c>
      <c r="S38" s="60">
        <v>0</v>
      </c>
      <c r="T38" s="60">
        <v>0</v>
      </c>
      <c r="U38" s="60">
        <v>308000</v>
      </c>
      <c r="V38" s="60">
        <v>2</v>
      </c>
      <c r="W38" s="60">
        <v>0</v>
      </c>
      <c r="X38" s="60">
        <v>0</v>
      </c>
      <c r="Y38" s="61">
        <v>0</v>
      </c>
      <c r="Z38" s="60">
        <v>0</v>
      </c>
      <c r="AA38" s="60">
        <v>0</v>
      </c>
      <c r="AB38" s="60">
        <v>0</v>
      </c>
      <c r="AC38" s="60">
        <v>5202000</v>
      </c>
      <c r="AD38" s="62">
        <v>55</v>
      </c>
      <c r="AF38" s="47">
        <f t="shared" si="0"/>
        <v>5202000</v>
      </c>
    </row>
    <row r="39" spans="1:32" x14ac:dyDescent="0.3">
      <c r="A39" s="46" t="s">
        <v>0</v>
      </c>
      <c r="B39" s="46" t="str">
        <f>IFERROR(VLOOKUP($H39,매장구분!$B:$Z,2,0),"")</f>
        <v>파트너채널팀</v>
      </c>
      <c r="C39" s="46" t="str">
        <f>IFERROR(VLOOKUP($H39,매장구분!$B:$Z,3,0),"")</f>
        <v>국내</v>
      </c>
      <c r="D39" s="46" t="str">
        <f>IFERROR(VLOOKUP($H39,매장구분!$B:$Z,5,0),"")</f>
        <v>백화점</v>
      </c>
      <c r="E39" s="46" t="str">
        <f>IFERROR(VLOOKUP($H39,매장구분!$B:$Z,9,0),"")</f>
        <v>현대판교</v>
      </c>
      <c r="F39" s="53"/>
      <c r="G39" s="54" t="s">
        <v>257</v>
      </c>
      <c r="H39" s="55" t="s">
        <v>258</v>
      </c>
      <c r="I39" s="55" t="s">
        <v>169</v>
      </c>
      <c r="J39" s="55" t="s">
        <v>175</v>
      </c>
      <c r="K39" s="55" t="s">
        <v>170</v>
      </c>
      <c r="L39" s="55" t="s">
        <v>171</v>
      </c>
      <c r="M39" s="55" t="s">
        <v>77</v>
      </c>
      <c r="N39" s="55" t="s">
        <v>172</v>
      </c>
      <c r="O39" s="55">
        <v>12754900</v>
      </c>
      <c r="P39" s="55">
        <v>114</v>
      </c>
      <c r="Q39" s="55">
        <v>320900</v>
      </c>
      <c r="R39" s="55">
        <v>5</v>
      </c>
      <c r="S39" s="55">
        <v>0</v>
      </c>
      <c r="T39" s="55">
        <v>0</v>
      </c>
      <c r="U39" s="55">
        <v>854000</v>
      </c>
      <c r="V39" s="55">
        <v>6</v>
      </c>
      <c r="W39" s="55">
        <v>0</v>
      </c>
      <c r="X39" s="55">
        <v>0</v>
      </c>
      <c r="Y39" s="56">
        <v>23824500</v>
      </c>
      <c r="Z39" s="55">
        <v>281</v>
      </c>
      <c r="AA39" s="55">
        <v>0</v>
      </c>
      <c r="AB39" s="55">
        <v>0</v>
      </c>
      <c r="AC39" s="55">
        <v>37754300</v>
      </c>
      <c r="AD39" s="57">
        <v>406</v>
      </c>
      <c r="AF39" s="47">
        <f t="shared" si="0"/>
        <v>13929800</v>
      </c>
    </row>
    <row r="40" spans="1:32" x14ac:dyDescent="0.3">
      <c r="A40" s="46" t="s">
        <v>0</v>
      </c>
      <c r="B40" s="46" t="str">
        <f>IFERROR(VLOOKUP($H40,매장구분!$B:$Z,2,0),"")</f>
        <v>파트너채널팀</v>
      </c>
      <c r="C40" s="46" t="str">
        <f>IFERROR(VLOOKUP($H40,매장구분!$B:$Z,3,0),"")</f>
        <v>국내</v>
      </c>
      <c r="D40" s="46" t="str">
        <f>IFERROR(VLOOKUP($H40,매장구분!$B:$Z,5,0),"")</f>
        <v>백화점</v>
      </c>
      <c r="E40" s="46" t="str">
        <f>IFERROR(VLOOKUP($H40,매장구분!$B:$Z,9,0),"")</f>
        <v>갤러리아센터시티</v>
      </c>
      <c r="F40" s="58"/>
      <c r="G40" s="59" t="s">
        <v>259</v>
      </c>
      <c r="H40" s="60" t="s">
        <v>260</v>
      </c>
      <c r="I40" s="60" t="s">
        <v>169</v>
      </c>
      <c r="J40" s="60" t="s">
        <v>175</v>
      </c>
      <c r="K40" s="60" t="s">
        <v>170</v>
      </c>
      <c r="L40" s="60" t="s">
        <v>171</v>
      </c>
      <c r="M40" s="60" t="s">
        <v>77</v>
      </c>
      <c r="N40" s="60" t="s">
        <v>172</v>
      </c>
      <c r="O40" s="60">
        <v>5626900</v>
      </c>
      <c r="P40" s="60">
        <v>44</v>
      </c>
      <c r="Q40" s="60">
        <v>33000</v>
      </c>
      <c r="R40" s="60">
        <v>1</v>
      </c>
      <c r="S40" s="60">
        <v>0</v>
      </c>
      <c r="T40" s="60">
        <v>0</v>
      </c>
      <c r="U40" s="60">
        <v>547000</v>
      </c>
      <c r="V40" s="60">
        <v>3</v>
      </c>
      <c r="W40" s="60">
        <v>0</v>
      </c>
      <c r="X40" s="60">
        <v>0</v>
      </c>
      <c r="Y40" s="61">
        <v>0</v>
      </c>
      <c r="Z40" s="60">
        <v>0</v>
      </c>
      <c r="AA40" s="60">
        <v>0</v>
      </c>
      <c r="AB40" s="60">
        <v>0</v>
      </c>
      <c r="AC40" s="60">
        <v>6206900</v>
      </c>
      <c r="AD40" s="62">
        <v>48</v>
      </c>
      <c r="AF40" s="47">
        <f t="shared" si="0"/>
        <v>6206900</v>
      </c>
    </row>
    <row r="41" spans="1:32" x14ac:dyDescent="0.3">
      <c r="A41" s="46" t="s">
        <v>0</v>
      </c>
      <c r="B41" s="46" t="str">
        <f>IFERROR(VLOOKUP($H41,매장구분!$B:$Z,2,0),"")</f>
        <v>파트너채널팀</v>
      </c>
      <c r="C41" s="46" t="str">
        <f>IFERROR(VLOOKUP($H41,매장구분!$B:$Z,3,0),"")</f>
        <v>국내</v>
      </c>
      <c r="D41" s="46" t="str">
        <f>IFERROR(VLOOKUP($H41,매장구분!$B:$Z,5,0),"")</f>
        <v>백화점</v>
      </c>
      <c r="E41" s="46" t="str">
        <f>IFERROR(VLOOKUP($H41,매장구분!$B:$Z,9,0),"")</f>
        <v>갤러리아광교</v>
      </c>
      <c r="F41" s="53"/>
      <c r="G41" s="54" t="s">
        <v>261</v>
      </c>
      <c r="H41" s="55" t="s">
        <v>262</v>
      </c>
      <c r="I41" s="55" t="s">
        <v>169</v>
      </c>
      <c r="J41" s="55" t="s">
        <v>175</v>
      </c>
      <c r="K41" s="55" t="s">
        <v>170</v>
      </c>
      <c r="L41" s="55" t="s">
        <v>171</v>
      </c>
      <c r="M41" s="55" t="s">
        <v>77</v>
      </c>
      <c r="N41" s="55" t="s">
        <v>172</v>
      </c>
      <c r="O41" s="55">
        <v>2690000</v>
      </c>
      <c r="P41" s="55">
        <v>25</v>
      </c>
      <c r="Q41" s="55">
        <v>469200</v>
      </c>
      <c r="R41" s="55">
        <v>7</v>
      </c>
      <c r="S41" s="55">
        <v>0</v>
      </c>
      <c r="T41" s="55">
        <v>0</v>
      </c>
      <c r="U41" s="55">
        <v>159000</v>
      </c>
      <c r="V41" s="55">
        <v>1</v>
      </c>
      <c r="W41" s="55">
        <v>0</v>
      </c>
      <c r="X41" s="55">
        <v>0</v>
      </c>
      <c r="Y41" s="56">
        <v>0</v>
      </c>
      <c r="Z41" s="55">
        <v>0</v>
      </c>
      <c r="AA41" s="55">
        <v>0</v>
      </c>
      <c r="AB41" s="55">
        <v>0</v>
      </c>
      <c r="AC41" s="55">
        <v>3318200</v>
      </c>
      <c r="AD41" s="57">
        <v>33</v>
      </c>
      <c r="AF41" s="47">
        <f t="shared" si="0"/>
        <v>3318200</v>
      </c>
    </row>
    <row r="42" spans="1:32" x14ac:dyDescent="0.3">
      <c r="A42" s="46" t="s">
        <v>0</v>
      </c>
      <c r="B42" s="46" t="str">
        <f>IFERROR(VLOOKUP($H42,매장구분!$B:$Z,2,0),"")</f>
        <v>파트너채널팀</v>
      </c>
      <c r="C42" s="46" t="str">
        <f>IFERROR(VLOOKUP($H42,매장구분!$B:$Z,3,0),"")</f>
        <v>국내</v>
      </c>
      <c r="D42" s="46" t="str">
        <f>IFERROR(VLOOKUP($H42,매장구분!$B:$Z,5,0),"")</f>
        <v>백화점</v>
      </c>
      <c r="E42" s="46" t="str">
        <f>IFERROR(VLOOKUP($H42,매장구분!$B:$Z,9,0),"")</f>
        <v>신세계대전</v>
      </c>
      <c r="F42" s="58"/>
      <c r="G42" s="59" t="s">
        <v>263</v>
      </c>
      <c r="H42" s="60" t="s">
        <v>264</v>
      </c>
      <c r="I42" s="60" t="s">
        <v>169</v>
      </c>
      <c r="J42" s="60" t="s">
        <v>175</v>
      </c>
      <c r="K42" s="60" t="s">
        <v>170</v>
      </c>
      <c r="L42" s="60" t="s">
        <v>171</v>
      </c>
      <c r="M42" s="60" t="s">
        <v>77</v>
      </c>
      <c r="N42" s="60" t="s">
        <v>172</v>
      </c>
      <c r="O42" s="60">
        <v>7251500</v>
      </c>
      <c r="P42" s="60">
        <v>84</v>
      </c>
      <c r="Q42" s="60">
        <v>0</v>
      </c>
      <c r="R42" s="60">
        <v>0</v>
      </c>
      <c r="S42" s="60">
        <v>0</v>
      </c>
      <c r="T42" s="60">
        <v>0</v>
      </c>
      <c r="U42" s="60">
        <v>1769000</v>
      </c>
      <c r="V42" s="60">
        <v>11</v>
      </c>
      <c r="W42" s="60">
        <v>0</v>
      </c>
      <c r="X42" s="60">
        <v>0</v>
      </c>
      <c r="Y42" s="61">
        <v>0</v>
      </c>
      <c r="Z42" s="60">
        <v>0</v>
      </c>
      <c r="AA42" s="60">
        <v>0</v>
      </c>
      <c r="AB42" s="60">
        <v>0</v>
      </c>
      <c r="AC42" s="60">
        <v>9020500</v>
      </c>
      <c r="AD42" s="62">
        <v>95</v>
      </c>
      <c r="AF42" s="47">
        <f t="shared" si="0"/>
        <v>9020500</v>
      </c>
    </row>
    <row r="43" spans="1:32" x14ac:dyDescent="0.3">
      <c r="A43" s="46" t="s">
        <v>0</v>
      </c>
      <c r="B43" s="46" t="str">
        <f>IFERROR(VLOOKUP($H43,매장구분!$B:$Z,2,0),"")</f>
        <v>리테일채널팀</v>
      </c>
      <c r="C43" s="46" t="str">
        <f>IFERROR(VLOOKUP($H43,매장구분!$B:$Z,3,0),"")</f>
        <v>국내</v>
      </c>
      <c r="D43" s="46" t="str">
        <f>IFERROR(VLOOKUP($H43,매장구분!$B:$Z,5,0),"")</f>
        <v>대리점</v>
      </c>
      <c r="E43" s="46" t="str">
        <f>IFERROR(VLOOKUP($H43,매장구분!$B:$Z,9,0),"")</f>
        <v>청주(대-위)</v>
      </c>
      <c r="F43" s="53"/>
      <c r="G43" s="54" t="s">
        <v>265</v>
      </c>
      <c r="H43" s="55" t="s">
        <v>266</v>
      </c>
      <c r="I43" s="55" t="s">
        <v>169</v>
      </c>
      <c r="J43" s="55" t="s">
        <v>79</v>
      </c>
      <c r="K43" s="55" t="s">
        <v>170</v>
      </c>
      <c r="L43" s="55" t="s">
        <v>171</v>
      </c>
      <c r="M43" s="55" t="s">
        <v>196</v>
      </c>
      <c r="N43" s="55" t="s">
        <v>197</v>
      </c>
      <c r="O43" s="55">
        <v>18073800</v>
      </c>
      <c r="P43" s="55">
        <v>106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6">
        <v>57617000</v>
      </c>
      <c r="Z43" s="55">
        <v>529</v>
      </c>
      <c r="AA43" s="55">
        <v>0</v>
      </c>
      <c r="AB43" s="55">
        <v>0</v>
      </c>
      <c r="AC43" s="55">
        <v>75690800</v>
      </c>
      <c r="AD43" s="57">
        <v>635</v>
      </c>
      <c r="AF43" s="47">
        <f t="shared" si="0"/>
        <v>18073800</v>
      </c>
    </row>
    <row r="44" spans="1:32" x14ac:dyDescent="0.3">
      <c r="A44" s="46" t="s">
        <v>0</v>
      </c>
      <c r="B44" s="46" t="str">
        <f>IFERROR(VLOOKUP($H44,매장구분!$B:$Z,2,0),"")</f>
        <v>파트너채널팀</v>
      </c>
      <c r="C44" s="46" t="str">
        <f>IFERROR(VLOOKUP($H44,매장구분!$B:$Z,3,0),"")</f>
        <v>국내</v>
      </c>
      <c r="D44" s="46" t="str">
        <f>IFERROR(VLOOKUP($H44,매장구분!$B:$Z,5,0),"")</f>
        <v>백화점</v>
      </c>
      <c r="E44" s="46" t="str">
        <f>IFERROR(VLOOKUP($H44,매장구분!$B:$Z,9,0),"")</f>
        <v>모다아울렛천안</v>
      </c>
      <c r="F44" s="58"/>
      <c r="G44" s="59" t="s">
        <v>267</v>
      </c>
      <c r="H44" s="60" t="s">
        <v>268</v>
      </c>
      <c r="I44" s="60" t="s">
        <v>169</v>
      </c>
      <c r="J44" s="60" t="s">
        <v>175</v>
      </c>
      <c r="K44" s="60" t="s">
        <v>170</v>
      </c>
      <c r="L44" s="60" t="s">
        <v>171</v>
      </c>
      <c r="M44" s="60" t="s">
        <v>77</v>
      </c>
      <c r="N44" s="60" t="s">
        <v>238</v>
      </c>
      <c r="O44" s="60">
        <v>4155100</v>
      </c>
      <c r="P44" s="60">
        <v>56</v>
      </c>
      <c r="Q44" s="60">
        <v>0</v>
      </c>
      <c r="R44" s="60">
        <v>0</v>
      </c>
      <c r="S44" s="60">
        <v>0</v>
      </c>
      <c r="T44" s="60">
        <v>0</v>
      </c>
      <c r="U44" s="60">
        <v>2542300</v>
      </c>
      <c r="V44" s="60">
        <v>19</v>
      </c>
      <c r="W44" s="60">
        <v>0</v>
      </c>
      <c r="X44" s="60">
        <v>0</v>
      </c>
      <c r="Y44" s="61">
        <v>0</v>
      </c>
      <c r="Z44" s="60">
        <v>0</v>
      </c>
      <c r="AA44" s="60">
        <v>0</v>
      </c>
      <c r="AB44" s="60">
        <v>0</v>
      </c>
      <c r="AC44" s="60">
        <v>6697400</v>
      </c>
      <c r="AD44" s="62">
        <v>75</v>
      </c>
      <c r="AF44" s="47">
        <f t="shared" si="0"/>
        <v>6697400</v>
      </c>
    </row>
    <row r="45" spans="1:32" x14ac:dyDescent="0.3">
      <c r="A45" s="46" t="s">
        <v>0</v>
      </c>
      <c r="B45" s="46" t="str">
        <f>IFERROR(VLOOKUP($H45,매장구분!$B:$Z,2,0),"")</f>
        <v>파트너채널팀</v>
      </c>
      <c r="C45" s="46" t="str">
        <f>IFERROR(VLOOKUP($H45,매장구분!$B:$Z,3,0),"")</f>
        <v>RF</v>
      </c>
      <c r="D45" s="46" t="str">
        <f>IFERROR(VLOOKUP($H45,매장구분!$B:$Z,5,0),"")</f>
        <v>백화점</v>
      </c>
      <c r="E45" s="46" t="str">
        <f>IFERROR(VLOOKUP($H45,매장구분!$B:$Z,9,0),"")</f>
        <v>롯데본점</v>
      </c>
      <c r="F45" s="53"/>
      <c r="G45" s="54" t="s">
        <v>269</v>
      </c>
      <c r="H45" s="55" t="s">
        <v>270</v>
      </c>
      <c r="I45" s="55" t="s">
        <v>169</v>
      </c>
      <c r="J45" s="55" t="s">
        <v>175</v>
      </c>
      <c r="K45" s="55" t="s">
        <v>170</v>
      </c>
      <c r="L45" s="55" t="s">
        <v>171</v>
      </c>
      <c r="M45" s="55" t="s">
        <v>77</v>
      </c>
      <c r="N45" s="55" t="s">
        <v>172</v>
      </c>
      <c r="O45" s="55">
        <v>17600200</v>
      </c>
      <c r="P45" s="55">
        <v>238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  <c r="X45" s="55">
        <v>0</v>
      </c>
      <c r="Y45" s="56">
        <v>0</v>
      </c>
      <c r="Z45" s="55">
        <v>0</v>
      </c>
      <c r="AA45" s="55">
        <v>0</v>
      </c>
      <c r="AB45" s="55">
        <v>0</v>
      </c>
      <c r="AC45" s="55">
        <v>17600200</v>
      </c>
      <c r="AD45" s="57">
        <v>238</v>
      </c>
      <c r="AF45" s="47">
        <f t="shared" si="0"/>
        <v>17600200</v>
      </c>
    </row>
    <row r="46" spans="1:32" x14ac:dyDescent="0.3">
      <c r="A46" s="46" t="s">
        <v>0</v>
      </c>
      <c r="B46" s="46" t="str">
        <f>IFERROR(VLOOKUP($H46,매장구분!$B:$Z,2,0),"")</f>
        <v>파트너채널팀</v>
      </c>
      <c r="C46" s="46" t="str">
        <f>IFERROR(VLOOKUP($H46,매장구분!$B:$Z,3,0),"")</f>
        <v>국내</v>
      </c>
      <c r="D46" s="46" t="str">
        <f>IFERROR(VLOOKUP($H46,매장구분!$B:$Z,5,0),"")</f>
        <v>백화점</v>
      </c>
      <c r="E46" s="46" t="str">
        <f>IFERROR(VLOOKUP($H46,매장구분!$B:$Z,9,0),"")</f>
        <v>신세계천안아산</v>
      </c>
      <c r="F46" s="58"/>
      <c r="G46" s="59" t="s">
        <v>271</v>
      </c>
      <c r="H46" s="60" t="s">
        <v>272</v>
      </c>
      <c r="I46" s="60" t="s">
        <v>169</v>
      </c>
      <c r="J46" s="60" t="s">
        <v>175</v>
      </c>
      <c r="K46" s="60" t="s">
        <v>170</v>
      </c>
      <c r="L46" s="60" t="s">
        <v>171</v>
      </c>
      <c r="M46" s="60" t="s">
        <v>77</v>
      </c>
      <c r="N46" s="60" t="s">
        <v>172</v>
      </c>
      <c r="O46" s="60">
        <v>6836900</v>
      </c>
      <c r="P46" s="60">
        <v>83</v>
      </c>
      <c r="Q46" s="60">
        <v>0</v>
      </c>
      <c r="R46" s="60">
        <v>0</v>
      </c>
      <c r="S46" s="60">
        <v>0</v>
      </c>
      <c r="T46" s="60">
        <v>0</v>
      </c>
      <c r="U46" s="60">
        <v>477000</v>
      </c>
      <c r="V46" s="60">
        <v>3</v>
      </c>
      <c r="W46" s="60">
        <v>0</v>
      </c>
      <c r="X46" s="60">
        <v>0</v>
      </c>
      <c r="Y46" s="61">
        <v>0</v>
      </c>
      <c r="Z46" s="60">
        <v>0</v>
      </c>
      <c r="AA46" s="60">
        <v>0</v>
      </c>
      <c r="AB46" s="60">
        <v>0</v>
      </c>
      <c r="AC46" s="60">
        <v>7313900</v>
      </c>
      <c r="AD46" s="62">
        <v>86</v>
      </c>
      <c r="AF46" s="47">
        <f t="shared" si="0"/>
        <v>7313900</v>
      </c>
    </row>
    <row r="47" spans="1:32" x14ac:dyDescent="0.3">
      <c r="A47" s="46" t="s">
        <v>0</v>
      </c>
      <c r="B47" s="46" t="str">
        <f>IFERROR(VLOOKUP($H47,매장구분!$B:$Z,2,0),"")</f>
        <v>리테일채널팀</v>
      </c>
      <c r="C47" s="46" t="str">
        <f>IFERROR(VLOOKUP($H47,매장구분!$B:$Z,3,0),"")</f>
        <v>국내</v>
      </c>
      <c r="D47" s="46" t="str">
        <f>IFERROR(VLOOKUP($H47,매장구분!$B:$Z,5,0),"")</f>
        <v>대리점</v>
      </c>
      <c r="E47" s="46" t="str">
        <f>IFERROR(VLOOKUP($H47,매장구분!$B:$Z,9,0),"")</f>
        <v>화성봉담(대-위)</v>
      </c>
      <c r="F47" s="53"/>
      <c r="G47" s="54" t="s">
        <v>273</v>
      </c>
      <c r="H47" s="55" t="s">
        <v>274</v>
      </c>
      <c r="I47" s="55" t="s">
        <v>169</v>
      </c>
      <c r="J47" s="55" t="s">
        <v>79</v>
      </c>
      <c r="K47" s="55" t="s">
        <v>170</v>
      </c>
      <c r="L47" s="55" t="s">
        <v>171</v>
      </c>
      <c r="M47" s="55" t="s">
        <v>196</v>
      </c>
      <c r="N47" s="55" t="s">
        <v>197</v>
      </c>
      <c r="O47" s="55">
        <v>6098782</v>
      </c>
      <c r="P47" s="55">
        <v>47</v>
      </c>
      <c r="Q47" s="55">
        <v>0</v>
      </c>
      <c r="R47" s="55">
        <v>0</v>
      </c>
      <c r="S47" s="55">
        <v>0</v>
      </c>
      <c r="T47" s="55">
        <v>0</v>
      </c>
      <c r="U47" s="55">
        <v>1971000</v>
      </c>
      <c r="V47" s="55">
        <v>9</v>
      </c>
      <c r="W47" s="55">
        <v>0</v>
      </c>
      <c r="X47" s="55">
        <v>0</v>
      </c>
      <c r="Y47" s="56">
        <v>0</v>
      </c>
      <c r="Z47" s="55">
        <v>0</v>
      </c>
      <c r="AA47" s="55">
        <v>0</v>
      </c>
      <c r="AB47" s="55">
        <v>0</v>
      </c>
      <c r="AC47" s="55">
        <v>8069782</v>
      </c>
      <c r="AD47" s="57">
        <v>56</v>
      </c>
      <c r="AF47" s="47">
        <f t="shared" si="0"/>
        <v>8069782</v>
      </c>
    </row>
    <row r="48" spans="1:32" x14ac:dyDescent="0.3">
      <c r="A48" s="46" t="s">
        <v>0</v>
      </c>
      <c r="B48" s="46" t="str">
        <f>IFERROR(VLOOKUP($H48,매장구분!$B:$Z,2,0),"")</f>
        <v>파트너채널팀</v>
      </c>
      <c r="C48" s="46" t="str">
        <f>IFERROR(VLOOKUP($H48,매장구분!$B:$Z,3,0),"")</f>
        <v>국내</v>
      </c>
      <c r="D48" s="46" t="str">
        <f>IFERROR(VLOOKUP($H48,매장구분!$B:$Z,5,0),"")</f>
        <v>백화점</v>
      </c>
      <c r="E48" s="46" t="str">
        <f>IFERROR(VLOOKUP($H48,매장구분!$B:$Z,9,0),"")</f>
        <v>롯데강남</v>
      </c>
      <c r="F48" s="58"/>
      <c r="G48" s="59" t="s">
        <v>275</v>
      </c>
      <c r="H48" s="60" t="s">
        <v>276</v>
      </c>
      <c r="I48" s="60" t="s">
        <v>169</v>
      </c>
      <c r="J48" s="60" t="s">
        <v>175</v>
      </c>
      <c r="K48" s="60" t="s">
        <v>170</v>
      </c>
      <c r="L48" s="60" t="s">
        <v>171</v>
      </c>
      <c r="M48" s="60" t="s">
        <v>77</v>
      </c>
      <c r="N48" s="60" t="s">
        <v>172</v>
      </c>
      <c r="O48" s="60">
        <v>1553000</v>
      </c>
      <c r="P48" s="60">
        <v>12</v>
      </c>
      <c r="Q48" s="60">
        <v>0</v>
      </c>
      <c r="R48" s="60">
        <v>0</v>
      </c>
      <c r="S48" s="60">
        <v>0</v>
      </c>
      <c r="T48" s="60">
        <v>0</v>
      </c>
      <c r="U48" s="60">
        <v>0</v>
      </c>
      <c r="V48" s="60">
        <v>0</v>
      </c>
      <c r="W48" s="60">
        <v>0</v>
      </c>
      <c r="X48" s="60">
        <v>0</v>
      </c>
      <c r="Y48" s="61">
        <v>0</v>
      </c>
      <c r="Z48" s="60">
        <v>0</v>
      </c>
      <c r="AA48" s="60">
        <v>0</v>
      </c>
      <c r="AB48" s="60">
        <v>0</v>
      </c>
      <c r="AC48" s="60">
        <v>1553000</v>
      </c>
      <c r="AD48" s="62">
        <v>12</v>
      </c>
      <c r="AF48" s="47">
        <f t="shared" si="0"/>
        <v>1553000</v>
      </c>
    </row>
    <row r="49" spans="1:32" x14ac:dyDescent="0.3">
      <c r="A49" s="46" t="s">
        <v>0</v>
      </c>
      <c r="B49" s="46" t="str">
        <f>IFERROR(VLOOKUP($H49,매장구분!$B:$Z,2,0),"")</f>
        <v>리테일채널팀</v>
      </c>
      <c r="C49" s="46" t="str">
        <f>IFERROR(VLOOKUP($H49,매장구분!$B:$Z,3,0),"")</f>
        <v>국내</v>
      </c>
      <c r="D49" s="46" t="str">
        <f>IFERROR(VLOOKUP($H49,매장구분!$B:$Z,5,0),"")</f>
        <v>상설(위탁)</v>
      </c>
      <c r="E49" s="46" t="str">
        <f>IFERROR(VLOOKUP($H49,매장구분!$B:$Z,9,0),"")</f>
        <v>신세계아울렛기장(상-위)</v>
      </c>
      <c r="F49" s="53"/>
      <c r="G49" s="54" t="s">
        <v>277</v>
      </c>
      <c r="H49" s="55" t="s">
        <v>278</v>
      </c>
      <c r="I49" s="55" t="s">
        <v>169</v>
      </c>
      <c r="J49" s="55" t="s">
        <v>79</v>
      </c>
      <c r="K49" s="55" t="s">
        <v>170</v>
      </c>
      <c r="L49" s="55" t="s">
        <v>171</v>
      </c>
      <c r="M49" s="55" t="s">
        <v>219</v>
      </c>
      <c r="N49" s="55" t="s">
        <v>219</v>
      </c>
      <c r="O49" s="55">
        <v>1548000</v>
      </c>
      <c r="P49" s="55">
        <v>43</v>
      </c>
      <c r="Q49" s="55">
        <v>0</v>
      </c>
      <c r="R49" s="55">
        <v>0</v>
      </c>
      <c r="S49" s="55">
        <v>0</v>
      </c>
      <c r="T49" s="55">
        <v>0</v>
      </c>
      <c r="U49" s="55">
        <v>0</v>
      </c>
      <c r="V49" s="55">
        <v>0</v>
      </c>
      <c r="W49" s="55">
        <v>0</v>
      </c>
      <c r="X49" s="55">
        <v>0</v>
      </c>
      <c r="Y49" s="56">
        <v>0</v>
      </c>
      <c r="Z49" s="55">
        <v>0</v>
      </c>
      <c r="AA49" s="55">
        <v>0</v>
      </c>
      <c r="AB49" s="55">
        <v>0</v>
      </c>
      <c r="AC49" s="55">
        <v>1548000</v>
      </c>
      <c r="AD49" s="57">
        <v>43</v>
      </c>
      <c r="AF49" s="47">
        <f t="shared" si="0"/>
        <v>1548000</v>
      </c>
    </row>
    <row r="50" spans="1:32" x14ac:dyDescent="0.3">
      <c r="A50" s="46" t="s">
        <v>0</v>
      </c>
      <c r="B50" s="46" t="str">
        <f>IFERROR(VLOOKUP($H50,매장구분!$B:$Z,2,0),"")</f>
        <v>E-biz</v>
      </c>
      <c r="C50" s="46" t="str">
        <f>IFERROR(VLOOKUP($H50,매장구분!$B:$Z,3,0),"")</f>
        <v>국내</v>
      </c>
      <c r="D50" s="46" t="str">
        <f>IFERROR(VLOOKUP($H50,매장구분!$B:$Z,5,0),"")</f>
        <v>온(제휴몰)</v>
      </c>
      <c r="E50" s="46" t="str">
        <f>IFERROR(VLOOKUP($H50,매장구분!$B:$Z,9,0),"")</f>
        <v>CJ온스타일(제휴몰)</v>
      </c>
      <c r="F50" s="58"/>
      <c r="G50" s="59" t="s">
        <v>279</v>
      </c>
      <c r="H50" s="60" t="s">
        <v>280</v>
      </c>
      <c r="I50" s="60" t="s">
        <v>169</v>
      </c>
      <c r="J50" s="60" t="s">
        <v>180</v>
      </c>
      <c r="K50" s="60" t="s">
        <v>170</v>
      </c>
      <c r="L50" s="60" t="s">
        <v>181</v>
      </c>
      <c r="M50" s="60" t="s">
        <v>181</v>
      </c>
      <c r="N50" s="60" t="s">
        <v>185</v>
      </c>
      <c r="O50" s="60">
        <v>1205300</v>
      </c>
      <c r="P50" s="60">
        <v>18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1">
        <v>0</v>
      </c>
      <c r="Z50" s="60">
        <v>0</v>
      </c>
      <c r="AA50" s="60">
        <v>0</v>
      </c>
      <c r="AB50" s="60">
        <v>0</v>
      </c>
      <c r="AC50" s="60">
        <v>1205300</v>
      </c>
      <c r="AD50" s="62">
        <v>18</v>
      </c>
      <c r="AF50" s="47">
        <f t="shared" si="0"/>
        <v>1205300</v>
      </c>
    </row>
    <row r="51" spans="1:32" x14ac:dyDescent="0.3">
      <c r="A51" s="46" t="s">
        <v>0</v>
      </c>
      <c r="B51" s="46" t="str">
        <f>IFERROR(VLOOKUP($H51,매장구분!$B:$Z,2,0),"")</f>
        <v>리테일채널팀</v>
      </c>
      <c r="C51" s="46" t="str">
        <f>IFERROR(VLOOKUP($H51,매장구분!$B:$Z,3,0),"")</f>
        <v>국내</v>
      </c>
      <c r="D51" s="46" t="str">
        <f>IFERROR(VLOOKUP($H51,매장구분!$B:$Z,5,0),"")</f>
        <v>상설(위탁)</v>
      </c>
      <c r="E51" s="46" t="str">
        <f>IFERROR(VLOOKUP($H51,매장구분!$B:$Z,9,0),"")</f>
        <v>롯데아울렛부여(상-위)</v>
      </c>
      <c r="F51" s="53"/>
      <c r="G51" s="54" t="s">
        <v>281</v>
      </c>
      <c r="H51" s="55" t="s">
        <v>282</v>
      </c>
      <c r="I51" s="55" t="s">
        <v>169</v>
      </c>
      <c r="J51" s="55" t="s">
        <v>79</v>
      </c>
      <c r="K51" s="55" t="s">
        <v>170</v>
      </c>
      <c r="L51" s="55" t="s">
        <v>171</v>
      </c>
      <c r="M51" s="55" t="s">
        <v>219</v>
      </c>
      <c r="N51" s="55" t="s">
        <v>219</v>
      </c>
      <c r="O51" s="55">
        <v>1893000</v>
      </c>
      <c r="P51" s="55">
        <v>52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6">
        <v>0</v>
      </c>
      <c r="Z51" s="55">
        <v>0</v>
      </c>
      <c r="AA51" s="55">
        <v>0</v>
      </c>
      <c r="AB51" s="55">
        <v>0</v>
      </c>
      <c r="AC51" s="55">
        <v>1893000</v>
      </c>
      <c r="AD51" s="57">
        <v>52</v>
      </c>
      <c r="AF51" s="47">
        <f t="shared" si="0"/>
        <v>1893000</v>
      </c>
    </row>
    <row r="52" spans="1:32" x14ac:dyDescent="0.3">
      <c r="A52" s="46" t="s">
        <v>0</v>
      </c>
      <c r="B52" s="46" t="str">
        <f>IFERROR(VLOOKUP($H52,매장구분!$B:$Z,2,0),"")</f>
        <v>리테일채널팀</v>
      </c>
      <c r="C52" s="46" t="str">
        <f>IFERROR(VLOOKUP($H52,매장구분!$B:$Z,3,0),"")</f>
        <v>국내</v>
      </c>
      <c r="D52" s="46" t="str">
        <f>IFERROR(VLOOKUP($H52,매장구분!$B:$Z,5,0),"")</f>
        <v>상설(위탁)</v>
      </c>
      <c r="E52" s="46" t="str">
        <f>IFERROR(VLOOKUP($H52,매장구분!$B:$Z,9,0),"")</f>
        <v>LF스퀘어양주(상-위)</v>
      </c>
      <c r="F52" s="58"/>
      <c r="G52" s="59" t="s">
        <v>283</v>
      </c>
      <c r="H52" s="60" t="s">
        <v>284</v>
      </c>
      <c r="I52" s="60" t="s">
        <v>169</v>
      </c>
      <c r="J52" s="60" t="s">
        <v>79</v>
      </c>
      <c r="K52" s="60" t="s">
        <v>170</v>
      </c>
      <c r="L52" s="60" t="s">
        <v>171</v>
      </c>
      <c r="M52" s="60" t="s">
        <v>77</v>
      </c>
      <c r="N52" s="60" t="s">
        <v>172</v>
      </c>
      <c r="O52" s="60">
        <v>1020000</v>
      </c>
      <c r="P52" s="60">
        <v>28</v>
      </c>
      <c r="Q52" s="60">
        <v>0</v>
      </c>
      <c r="R52" s="60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0</v>
      </c>
      <c r="Y52" s="61">
        <v>0</v>
      </c>
      <c r="Z52" s="60">
        <v>0</v>
      </c>
      <c r="AA52" s="60">
        <v>0</v>
      </c>
      <c r="AB52" s="60">
        <v>0</v>
      </c>
      <c r="AC52" s="60">
        <v>1020000</v>
      </c>
      <c r="AD52" s="62">
        <v>28</v>
      </c>
      <c r="AF52" s="47">
        <f t="shared" si="0"/>
        <v>1020000</v>
      </c>
    </row>
    <row r="53" spans="1:32" x14ac:dyDescent="0.3">
      <c r="A53" s="46" t="s">
        <v>0</v>
      </c>
      <c r="B53" s="46" t="str">
        <f>IFERROR(VLOOKUP($H53,매장구분!$B:$Z,2,0),"")</f>
        <v>리테일채널팀</v>
      </c>
      <c r="C53" s="46" t="str">
        <f>IFERROR(VLOOKUP($H53,매장구분!$B:$Z,3,0),"")</f>
        <v>국내</v>
      </c>
      <c r="D53" s="46" t="str">
        <f>IFERROR(VLOOKUP($H53,매장구분!$B:$Z,5,0),"")</f>
        <v>상설(위탁)</v>
      </c>
      <c r="E53" s="46" t="str">
        <f>IFERROR(VLOOKUP($H53,매장구분!$B:$Z,9,0),"")</f>
        <v>현대아울렛가산(상-위)</v>
      </c>
      <c r="F53" s="53"/>
      <c r="G53" s="54" t="s">
        <v>285</v>
      </c>
      <c r="H53" s="55" t="s">
        <v>286</v>
      </c>
      <c r="I53" s="55" t="s">
        <v>169</v>
      </c>
      <c r="J53" s="55" t="s">
        <v>79</v>
      </c>
      <c r="K53" s="55" t="s">
        <v>170</v>
      </c>
      <c r="L53" s="55" t="s">
        <v>171</v>
      </c>
      <c r="M53" s="55" t="s">
        <v>219</v>
      </c>
      <c r="N53" s="55" t="s">
        <v>219</v>
      </c>
      <c r="O53" s="55">
        <v>255000</v>
      </c>
      <c r="P53" s="55">
        <v>7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6">
        <v>0</v>
      </c>
      <c r="Z53" s="55">
        <v>0</v>
      </c>
      <c r="AA53" s="55">
        <v>0</v>
      </c>
      <c r="AB53" s="55">
        <v>0</v>
      </c>
      <c r="AC53" s="55">
        <v>255000</v>
      </c>
      <c r="AD53" s="57">
        <v>7</v>
      </c>
      <c r="AF53" s="47">
        <f t="shared" si="0"/>
        <v>255000</v>
      </c>
    </row>
    <row r="54" spans="1:32" x14ac:dyDescent="0.3">
      <c r="A54" s="46" t="s">
        <v>0</v>
      </c>
      <c r="B54" s="46" t="str">
        <f>IFERROR(VLOOKUP($H54,매장구분!$B:$Z,2,0),"")</f>
        <v>리테일채널팀</v>
      </c>
      <c r="C54" s="46" t="str">
        <f>IFERROR(VLOOKUP($H54,매장구분!$B:$Z,3,0),"")</f>
        <v>국내</v>
      </c>
      <c r="D54" s="46" t="str">
        <f>IFERROR(VLOOKUP($H54,매장구분!$B:$Z,5,0),"")</f>
        <v>상설(위탁)</v>
      </c>
      <c r="E54" s="46" t="str">
        <f>IFERROR(VLOOKUP($H54,매장구분!$B:$Z,9,0),"")</f>
        <v>현대아울렛대전(상-위)</v>
      </c>
      <c r="F54" s="58"/>
      <c r="G54" s="59" t="s">
        <v>287</v>
      </c>
      <c r="H54" s="60" t="s">
        <v>288</v>
      </c>
      <c r="I54" s="60" t="s">
        <v>169</v>
      </c>
      <c r="J54" s="60" t="s">
        <v>79</v>
      </c>
      <c r="K54" s="60" t="s">
        <v>170</v>
      </c>
      <c r="L54" s="60" t="s">
        <v>171</v>
      </c>
      <c r="M54" s="60" t="s">
        <v>219</v>
      </c>
      <c r="N54" s="60" t="s">
        <v>219</v>
      </c>
      <c r="O54" s="60">
        <v>72000</v>
      </c>
      <c r="P54" s="60">
        <v>2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1">
        <v>0</v>
      </c>
      <c r="Z54" s="60">
        <v>0</v>
      </c>
      <c r="AA54" s="60">
        <v>0</v>
      </c>
      <c r="AB54" s="60">
        <v>0</v>
      </c>
      <c r="AC54" s="60">
        <v>72000</v>
      </c>
      <c r="AD54" s="62">
        <v>2</v>
      </c>
      <c r="AF54" s="47">
        <f t="shared" si="0"/>
        <v>72000</v>
      </c>
    </row>
    <row r="55" spans="1:32" x14ac:dyDescent="0.3">
      <c r="A55" s="46" t="s">
        <v>0</v>
      </c>
      <c r="B55" s="46" t="str">
        <f>IFERROR(VLOOKUP($H55,매장구분!$B:$Z,2,0),"")</f>
        <v>리테일채널팀</v>
      </c>
      <c r="C55" s="46" t="str">
        <f>IFERROR(VLOOKUP($H55,매장구분!$B:$Z,3,0),"")</f>
        <v>국내</v>
      </c>
      <c r="D55" s="46" t="str">
        <f>IFERROR(VLOOKUP($H55,매장구분!$B:$Z,5,0),"")</f>
        <v>대리점</v>
      </c>
      <c r="E55" s="46" t="str">
        <f>IFERROR(VLOOKUP($H55,매장구분!$B:$Z,9,0),"")</f>
        <v>포천(대-위)</v>
      </c>
      <c r="F55" s="53"/>
      <c r="G55" s="54" t="s">
        <v>289</v>
      </c>
      <c r="H55" s="55" t="s">
        <v>290</v>
      </c>
      <c r="I55" s="55" t="s">
        <v>169</v>
      </c>
      <c r="J55" s="55" t="s">
        <v>79</v>
      </c>
      <c r="K55" s="55" t="s">
        <v>170</v>
      </c>
      <c r="L55" s="55" t="s">
        <v>171</v>
      </c>
      <c r="M55" s="55" t="s">
        <v>196</v>
      </c>
      <c r="N55" s="55" t="s">
        <v>197</v>
      </c>
      <c r="O55" s="55">
        <v>3251000</v>
      </c>
      <c r="P55" s="55">
        <v>30</v>
      </c>
      <c r="Q55" s="55">
        <v>0</v>
      </c>
      <c r="R55" s="55">
        <v>0</v>
      </c>
      <c r="S55" s="55">
        <v>0</v>
      </c>
      <c r="T55" s="55">
        <v>0</v>
      </c>
      <c r="U55" s="55">
        <v>495000</v>
      </c>
      <c r="V55" s="55">
        <v>5</v>
      </c>
      <c r="W55" s="55">
        <v>0</v>
      </c>
      <c r="X55" s="55">
        <v>0</v>
      </c>
      <c r="Y55" s="56">
        <v>11041000</v>
      </c>
      <c r="Z55" s="55">
        <v>29</v>
      </c>
      <c r="AA55" s="55">
        <v>0</v>
      </c>
      <c r="AB55" s="55">
        <v>0</v>
      </c>
      <c r="AC55" s="55">
        <v>14787000</v>
      </c>
      <c r="AD55" s="57">
        <v>64</v>
      </c>
      <c r="AF55" s="47">
        <f t="shared" si="0"/>
        <v>3746000</v>
      </c>
    </row>
    <row r="56" spans="1:32" x14ac:dyDescent="0.3">
      <c r="A56" s="46" t="s">
        <v>0</v>
      </c>
      <c r="B56" s="46" t="str">
        <f>IFERROR(VLOOKUP($H56,매장구분!$B:$Z,2,0),"")</f>
        <v>리테일채널팀</v>
      </c>
      <c r="C56" s="46" t="str">
        <f>IFERROR(VLOOKUP($H56,매장구분!$B:$Z,3,0),"")</f>
        <v>국내</v>
      </c>
      <c r="D56" s="46" t="str">
        <f>IFERROR(VLOOKUP($H56,매장구분!$B:$Z,5,0),"")</f>
        <v>대리점</v>
      </c>
      <c r="E56" s="46" t="str">
        <f>IFERROR(VLOOKUP($H56,매장구분!$B:$Z,9,0),"")</f>
        <v>안산시화(대-위)</v>
      </c>
      <c r="F56" s="58"/>
      <c r="G56" s="59" t="s">
        <v>291</v>
      </c>
      <c r="H56" s="60" t="s">
        <v>292</v>
      </c>
      <c r="I56" s="60" t="s">
        <v>169</v>
      </c>
      <c r="J56" s="60" t="s">
        <v>79</v>
      </c>
      <c r="K56" s="60" t="s">
        <v>170</v>
      </c>
      <c r="L56" s="60" t="s">
        <v>171</v>
      </c>
      <c r="M56" s="60" t="s">
        <v>196</v>
      </c>
      <c r="N56" s="60" t="s">
        <v>197</v>
      </c>
      <c r="O56" s="60">
        <v>11334349</v>
      </c>
      <c r="P56" s="60">
        <v>90</v>
      </c>
      <c r="Q56" s="60">
        <v>0</v>
      </c>
      <c r="R56" s="60">
        <v>0</v>
      </c>
      <c r="S56" s="60">
        <v>0</v>
      </c>
      <c r="T56" s="60">
        <v>0</v>
      </c>
      <c r="U56" s="60">
        <v>209000</v>
      </c>
      <c r="V56" s="60">
        <v>1</v>
      </c>
      <c r="W56" s="60">
        <v>0</v>
      </c>
      <c r="X56" s="60">
        <v>0</v>
      </c>
      <c r="Y56" s="61">
        <v>0</v>
      </c>
      <c r="Z56" s="60">
        <v>0</v>
      </c>
      <c r="AA56" s="60">
        <v>0</v>
      </c>
      <c r="AB56" s="60">
        <v>0</v>
      </c>
      <c r="AC56" s="60">
        <v>11543349</v>
      </c>
      <c r="AD56" s="62">
        <v>91</v>
      </c>
      <c r="AF56" s="47">
        <f t="shared" si="0"/>
        <v>11543349</v>
      </c>
    </row>
    <row r="57" spans="1:32" x14ac:dyDescent="0.3">
      <c r="A57" s="46" t="s">
        <v>0</v>
      </c>
      <c r="B57" s="46" t="str">
        <f>IFERROR(VLOOKUP($H57,매장구분!$B:$Z,2,0),"")</f>
        <v>리테일채널팀</v>
      </c>
      <c r="C57" s="46" t="str">
        <f>IFERROR(VLOOKUP($H57,매장구분!$B:$Z,3,0),"")</f>
        <v>국내</v>
      </c>
      <c r="D57" s="46" t="str">
        <f>IFERROR(VLOOKUP($H57,매장구분!$B:$Z,5,0),"")</f>
        <v>대리점</v>
      </c>
      <c r="E57" s="46" t="str">
        <f>IFERROR(VLOOKUP($H57,매장구분!$B:$Z,9,0),"")</f>
        <v>전주중앙(대-위)</v>
      </c>
      <c r="F57" s="53"/>
      <c r="G57" s="54" t="s">
        <v>293</v>
      </c>
      <c r="H57" s="55" t="s">
        <v>294</v>
      </c>
      <c r="I57" s="55" t="s">
        <v>169</v>
      </c>
      <c r="J57" s="55" t="s">
        <v>79</v>
      </c>
      <c r="K57" s="55" t="s">
        <v>170</v>
      </c>
      <c r="L57" s="55" t="s">
        <v>171</v>
      </c>
      <c r="M57" s="55" t="s">
        <v>196</v>
      </c>
      <c r="N57" s="55" t="s">
        <v>197</v>
      </c>
      <c r="O57" s="55">
        <v>8027800</v>
      </c>
      <c r="P57" s="55">
        <v>81</v>
      </c>
      <c r="Q57" s="55">
        <v>0</v>
      </c>
      <c r="R57" s="55">
        <v>0</v>
      </c>
      <c r="S57" s="55">
        <v>0</v>
      </c>
      <c r="T57" s="55">
        <v>0</v>
      </c>
      <c r="U57" s="55">
        <v>442200</v>
      </c>
      <c r="V57" s="55">
        <v>3</v>
      </c>
      <c r="W57" s="55">
        <v>0</v>
      </c>
      <c r="X57" s="55">
        <v>0</v>
      </c>
      <c r="Y57" s="56">
        <v>0</v>
      </c>
      <c r="Z57" s="55">
        <v>0</v>
      </c>
      <c r="AA57" s="55">
        <v>0</v>
      </c>
      <c r="AB57" s="55">
        <v>0</v>
      </c>
      <c r="AC57" s="55">
        <v>8470000</v>
      </c>
      <c r="AD57" s="57">
        <v>84</v>
      </c>
      <c r="AF57" s="47">
        <f t="shared" si="0"/>
        <v>8470000</v>
      </c>
    </row>
    <row r="58" spans="1:32" x14ac:dyDescent="0.3">
      <c r="A58" s="46" t="s">
        <v>0</v>
      </c>
      <c r="B58" s="46" t="str">
        <f>IFERROR(VLOOKUP($H58,매장구분!$B:$Z,2,0),"")</f>
        <v>리테일채널팀</v>
      </c>
      <c r="C58" s="46" t="str">
        <f>IFERROR(VLOOKUP($H58,매장구분!$B:$Z,3,0),"")</f>
        <v>국내</v>
      </c>
      <c r="D58" s="46" t="str">
        <f>IFERROR(VLOOKUP($H58,매장구분!$B:$Z,5,0),"")</f>
        <v>대리점</v>
      </c>
      <c r="E58" s="46" t="str">
        <f>IFERROR(VLOOKUP($H58,매장구분!$B:$Z,9,0),"")</f>
        <v>안산한대(대-위)</v>
      </c>
      <c r="F58" s="58"/>
      <c r="G58" s="59" t="s">
        <v>295</v>
      </c>
      <c r="H58" s="60" t="s">
        <v>296</v>
      </c>
      <c r="I58" s="60" t="s">
        <v>169</v>
      </c>
      <c r="J58" s="60" t="s">
        <v>79</v>
      </c>
      <c r="K58" s="60" t="s">
        <v>170</v>
      </c>
      <c r="L58" s="60" t="s">
        <v>171</v>
      </c>
      <c r="M58" s="60" t="s">
        <v>196</v>
      </c>
      <c r="N58" s="60" t="s">
        <v>197</v>
      </c>
      <c r="O58" s="60">
        <v>10474900</v>
      </c>
      <c r="P58" s="60">
        <v>88</v>
      </c>
      <c r="Q58" s="60">
        <v>0</v>
      </c>
      <c r="R58" s="60">
        <v>0</v>
      </c>
      <c r="S58" s="60">
        <v>0</v>
      </c>
      <c r="T58" s="60">
        <v>0</v>
      </c>
      <c r="U58" s="60">
        <v>506000</v>
      </c>
      <c r="V58" s="60">
        <v>4</v>
      </c>
      <c r="W58" s="60">
        <v>0</v>
      </c>
      <c r="X58" s="60">
        <v>0</v>
      </c>
      <c r="Y58" s="61">
        <v>0</v>
      </c>
      <c r="Z58" s="60">
        <v>0</v>
      </c>
      <c r="AA58" s="60">
        <v>0</v>
      </c>
      <c r="AB58" s="60">
        <v>0</v>
      </c>
      <c r="AC58" s="60">
        <v>10980900</v>
      </c>
      <c r="AD58" s="62">
        <v>92</v>
      </c>
      <c r="AF58" s="47">
        <f t="shared" si="0"/>
        <v>10980900</v>
      </c>
    </row>
    <row r="59" spans="1:32" x14ac:dyDescent="0.3">
      <c r="A59" s="46" t="s">
        <v>0</v>
      </c>
      <c r="B59" s="46" t="str">
        <f>IFERROR(VLOOKUP($H59,매장구분!$B:$Z,2,0),"")</f>
        <v>파트너채널팀</v>
      </c>
      <c r="C59" s="46" t="str">
        <f>IFERROR(VLOOKUP($H59,매장구분!$B:$Z,3,0),"")</f>
        <v>국내</v>
      </c>
      <c r="D59" s="46" t="str">
        <f>IFERROR(VLOOKUP($H59,매장구분!$B:$Z,5,0),"")</f>
        <v>백화점</v>
      </c>
      <c r="E59" s="46" t="str">
        <f>IFERROR(VLOOKUP($H59,매장구분!$B:$Z,9,0),"")</f>
        <v>현대신촌</v>
      </c>
      <c r="F59" s="53"/>
      <c r="G59" s="54" t="s">
        <v>297</v>
      </c>
      <c r="H59" s="55" t="s">
        <v>298</v>
      </c>
      <c r="I59" s="55" t="s">
        <v>169</v>
      </c>
      <c r="J59" s="55" t="s">
        <v>175</v>
      </c>
      <c r="K59" s="55" t="s">
        <v>170</v>
      </c>
      <c r="L59" s="55" t="s">
        <v>171</v>
      </c>
      <c r="M59" s="55" t="s">
        <v>77</v>
      </c>
      <c r="N59" s="55" t="s">
        <v>172</v>
      </c>
      <c r="O59" s="55">
        <v>3326900</v>
      </c>
      <c r="P59" s="55">
        <v>41</v>
      </c>
      <c r="Q59" s="55">
        <v>963000</v>
      </c>
      <c r="R59" s="55">
        <v>20</v>
      </c>
      <c r="S59" s="55">
        <v>0</v>
      </c>
      <c r="T59" s="55">
        <v>0</v>
      </c>
      <c r="U59" s="55">
        <v>351000</v>
      </c>
      <c r="V59" s="55">
        <v>3</v>
      </c>
      <c r="W59" s="55">
        <v>0</v>
      </c>
      <c r="X59" s="55">
        <v>0</v>
      </c>
      <c r="Y59" s="56">
        <v>25522200</v>
      </c>
      <c r="Z59" s="55">
        <v>237</v>
      </c>
      <c r="AA59" s="55">
        <v>0</v>
      </c>
      <c r="AB59" s="55">
        <v>0</v>
      </c>
      <c r="AC59" s="55">
        <v>30163100</v>
      </c>
      <c r="AD59" s="57">
        <v>301</v>
      </c>
      <c r="AF59" s="47">
        <f t="shared" si="0"/>
        <v>4640900</v>
      </c>
    </row>
    <row r="60" spans="1:32" x14ac:dyDescent="0.3">
      <c r="A60" s="46" t="s">
        <v>0</v>
      </c>
      <c r="B60" s="46" t="str">
        <f>IFERROR(VLOOKUP($H60,매장구분!$B:$Z,2,0),"")</f>
        <v>파트너채널팀</v>
      </c>
      <c r="C60" s="46" t="str">
        <f>IFERROR(VLOOKUP($H60,매장구분!$B:$Z,3,0),"")</f>
        <v>면세</v>
      </c>
      <c r="D60" s="46" t="str">
        <f>IFERROR(VLOOKUP($H60,매장구분!$B:$Z,5,0),"")</f>
        <v>면세</v>
      </c>
      <c r="E60" s="46" t="str">
        <f>IFERROR(VLOOKUP($H60,매장구분!$B:$Z,9,0),"")</f>
        <v>신라면세장충</v>
      </c>
      <c r="F60" s="58"/>
      <c r="G60" s="59" t="s">
        <v>299</v>
      </c>
      <c r="H60" s="60" t="s">
        <v>300</v>
      </c>
      <c r="I60" s="60" t="s">
        <v>169</v>
      </c>
      <c r="J60" s="60" t="s">
        <v>175</v>
      </c>
      <c r="K60" s="60" t="s">
        <v>170</v>
      </c>
      <c r="L60" s="60" t="s">
        <v>171</v>
      </c>
      <c r="M60" s="60" t="s">
        <v>176</v>
      </c>
      <c r="N60" s="60" t="s">
        <v>177</v>
      </c>
      <c r="O60" s="60">
        <v>89264300</v>
      </c>
      <c r="P60" s="60">
        <v>1845</v>
      </c>
      <c r="Q60" s="60">
        <v>0</v>
      </c>
      <c r="R60" s="60">
        <v>0</v>
      </c>
      <c r="S60" s="60">
        <v>0</v>
      </c>
      <c r="T60" s="60">
        <v>0</v>
      </c>
      <c r="U60" s="60">
        <v>0</v>
      </c>
      <c r="V60" s="60">
        <v>0</v>
      </c>
      <c r="W60" s="60">
        <v>0</v>
      </c>
      <c r="X60" s="60">
        <v>0</v>
      </c>
      <c r="Y60" s="61">
        <v>146591100</v>
      </c>
      <c r="Z60" s="60">
        <v>3501</v>
      </c>
      <c r="AA60" s="60">
        <v>0</v>
      </c>
      <c r="AB60" s="60">
        <v>0</v>
      </c>
      <c r="AC60" s="60">
        <v>235855400</v>
      </c>
      <c r="AD60" s="62">
        <v>5346</v>
      </c>
      <c r="AF60" s="47">
        <f t="shared" si="0"/>
        <v>89264300</v>
      </c>
    </row>
    <row r="61" spans="1:32" x14ac:dyDescent="0.3">
      <c r="A61" s="46" t="s">
        <v>0</v>
      </c>
      <c r="B61" s="46" t="str">
        <f>IFERROR(VLOOKUP($H61,매장구분!$B:$Z,2,0),"")</f>
        <v>파트너채널팀</v>
      </c>
      <c r="C61" s="46" t="str">
        <f>IFERROR(VLOOKUP($H61,매장구분!$B:$Z,3,0),"")</f>
        <v>국내</v>
      </c>
      <c r="D61" s="46" t="str">
        <f>IFERROR(VLOOKUP($H61,매장구분!$B:$Z,5,0),"")</f>
        <v>백화점</v>
      </c>
      <c r="E61" s="46" t="str">
        <f>IFERROR(VLOOKUP($H61,매장구분!$B:$Z,9,0),"")</f>
        <v>신세계센텀</v>
      </c>
      <c r="F61" s="53"/>
      <c r="G61" s="54" t="s">
        <v>301</v>
      </c>
      <c r="H61" s="55" t="s">
        <v>302</v>
      </c>
      <c r="I61" s="55" t="s">
        <v>169</v>
      </c>
      <c r="J61" s="55" t="s">
        <v>175</v>
      </c>
      <c r="K61" s="55" t="s">
        <v>170</v>
      </c>
      <c r="L61" s="55" t="s">
        <v>171</v>
      </c>
      <c r="M61" s="55" t="s">
        <v>77</v>
      </c>
      <c r="N61" s="55" t="s">
        <v>172</v>
      </c>
      <c r="O61" s="55">
        <v>12730000</v>
      </c>
      <c r="P61" s="55">
        <v>204</v>
      </c>
      <c r="Q61" s="55">
        <v>0</v>
      </c>
      <c r="R61" s="55">
        <v>0</v>
      </c>
      <c r="S61" s="55">
        <v>0</v>
      </c>
      <c r="T61" s="55">
        <v>0</v>
      </c>
      <c r="U61" s="55">
        <v>1108000</v>
      </c>
      <c r="V61" s="55">
        <v>6</v>
      </c>
      <c r="W61" s="55">
        <v>0</v>
      </c>
      <c r="X61" s="55">
        <v>0</v>
      </c>
      <c r="Y61" s="56">
        <v>0</v>
      </c>
      <c r="Z61" s="55">
        <v>0</v>
      </c>
      <c r="AA61" s="55">
        <v>0</v>
      </c>
      <c r="AB61" s="55">
        <v>0</v>
      </c>
      <c r="AC61" s="55">
        <v>13838000</v>
      </c>
      <c r="AD61" s="57">
        <v>210</v>
      </c>
      <c r="AF61" s="47">
        <f t="shared" si="0"/>
        <v>13838000</v>
      </c>
    </row>
    <row r="62" spans="1:32" x14ac:dyDescent="0.3">
      <c r="A62" s="46" t="s">
        <v>0</v>
      </c>
      <c r="B62" s="46" t="str">
        <f>IFERROR(VLOOKUP($H62,매장구분!$B:$Z,2,0),"")</f>
        <v>파트너채널팀</v>
      </c>
      <c r="C62" s="46" t="str">
        <f>IFERROR(VLOOKUP($H62,매장구분!$B:$Z,3,0),"")</f>
        <v>국내</v>
      </c>
      <c r="D62" s="46" t="str">
        <f>IFERROR(VLOOKUP($H62,매장구분!$B:$Z,5,0),"")</f>
        <v>백화점</v>
      </c>
      <c r="E62" s="46" t="str">
        <f>IFERROR(VLOOKUP($H62,매장구분!$B:$Z,9,0),"")</f>
        <v>갤러리아대전</v>
      </c>
      <c r="F62" s="58"/>
      <c r="G62" s="59" t="s">
        <v>303</v>
      </c>
      <c r="H62" s="60" t="s">
        <v>304</v>
      </c>
      <c r="I62" s="60" t="s">
        <v>169</v>
      </c>
      <c r="J62" s="60" t="s">
        <v>175</v>
      </c>
      <c r="K62" s="60" t="s">
        <v>170</v>
      </c>
      <c r="L62" s="60" t="s">
        <v>171</v>
      </c>
      <c r="M62" s="60" t="s">
        <v>77</v>
      </c>
      <c r="N62" s="60" t="s">
        <v>172</v>
      </c>
      <c r="O62" s="60">
        <v>6744300</v>
      </c>
      <c r="P62" s="60">
        <v>83</v>
      </c>
      <c r="Q62" s="60">
        <v>0</v>
      </c>
      <c r="R62" s="60">
        <v>0</v>
      </c>
      <c r="S62" s="60">
        <v>0</v>
      </c>
      <c r="T62" s="60">
        <v>0</v>
      </c>
      <c r="U62" s="60">
        <v>2461000</v>
      </c>
      <c r="V62" s="60">
        <v>9</v>
      </c>
      <c r="W62" s="60">
        <v>0</v>
      </c>
      <c r="X62" s="60">
        <v>0</v>
      </c>
      <c r="Y62" s="61">
        <v>81122000</v>
      </c>
      <c r="Z62" s="60">
        <v>484</v>
      </c>
      <c r="AA62" s="60">
        <v>0</v>
      </c>
      <c r="AB62" s="60">
        <v>0</v>
      </c>
      <c r="AC62" s="60">
        <v>90327300</v>
      </c>
      <c r="AD62" s="62">
        <v>576</v>
      </c>
      <c r="AF62" s="47">
        <f t="shared" si="0"/>
        <v>9205300</v>
      </c>
    </row>
    <row r="63" spans="1:32" x14ac:dyDescent="0.3">
      <c r="A63" s="46" t="s">
        <v>0</v>
      </c>
      <c r="B63" s="46" t="str">
        <f>IFERROR(VLOOKUP($H63,매장구분!$B:$Z,2,0),"")</f>
        <v>파트너채널팀</v>
      </c>
      <c r="C63" s="46" t="str">
        <f>IFERROR(VLOOKUP($H63,매장구분!$B:$Z,3,0),"")</f>
        <v>국내</v>
      </c>
      <c r="D63" s="46" t="str">
        <f>IFERROR(VLOOKUP($H63,매장구분!$B:$Z,5,0),"")</f>
        <v>백화점</v>
      </c>
      <c r="E63" s="46" t="str">
        <f>IFERROR(VLOOKUP($H63,매장구분!$B:$Z,9,0),"")</f>
        <v>현대천호</v>
      </c>
      <c r="F63" s="53"/>
      <c r="G63" s="54" t="s">
        <v>305</v>
      </c>
      <c r="H63" s="55" t="s">
        <v>306</v>
      </c>
      <c r="I63" s="55" t="s">
        <v>169</v>
      </c>
      <c r="J63" s="55" t="s">
        <v>175</v>
      </c>
      <c r="K63" s="55" t="s">
        <v>170</v>
      </c>
      <c r="L63" s="55" t="s">
        <v>171</v>
      </c>
      <c r="M63" s="55" t="s">
        <v>77</v>
      </c>
      <c r="N63" s="55" t="s">
        <v>172</v>
      </c>
      <c r="O63" s="55">
        <v>4080350</v>
      </c>
      <c r="P63" s="55">
        <v>56</v>
      </c>
      <c r="Q63" s="55">
        <v>940000</v>
      </c>
      <c r="R63" s="55">
        <v>12</v>
      </c>
      <c r="S63" s="55">
        <v>0</v>
      </c>
      <c r="T63" s="55">
        <v>0</v>
      </c>
      <c r="U63" s="55">
        <v>1183650</v>
      </c>
      <c r="V63" s="55">
        <v>6</v>
      </c>
      <c r="W63" s="55">
        <v>0</v>
      </c>
      <c r="X63" s="55">
        <v>0</v>
      </c>
      <c r="Y63" s="56">
        <v>0</v>
      </c>
      <c r="Z63" s="55">
        <v>0</v>
      </c>
      <c r="AA63" s="55">
        <v>0</v>
      </c>
      <c r="AB63" s="55">
        <v>0</v>
      </c>
      <c r="AC63" s="55">
        <v>6204000</v>
      </c>
      <c r="AD63" s="57">
        <v>74</v>
      </c>
      <c r="AF63" s="47">
        <f t="shared" si="0"/>
        <v>6204000</v>
      </c>
    </row>
    <row r="64" spans="1:32" x14ac:dyDescent="0.3">
      <c r="A64" s="46" t="s">
        <v>0</v>
      </c>
      <c r="B64" s="46" t="str">
        <f>IFERROR(VLOOKUP($H64,매장구분!$B:$Z,2,0),"")</f>
        <v>리테일채널팀</v>
      </c>
      <c r="C64" s="46" t="str">
        <f>IFERROR(VLOOKUP($H64,매장구분!$B:$Z,3,0),"")</f>
        <v>국내</v>
      </c>
      <c r="D64" s="46" t="str">
        <f>IFERROR(VLOOKUP($H64,매장구분!$B:$Z,5,0),"")</f>
        <v>대리점</v>
      </c>
      <c r="E64" s="46" t="str">
        <f>IFERROR(VLOOKUP($H64,매장구분!$B:$Z,9,0),"")</f>
        <v>안산중앙(대-위)</v>
      </c>
      <c r="F64" s="58"/>
      <c r="G64" s="59" t="s">
        <v>307</v>
      </c>
      <c r="H64" s="60" t="s">
        <v>308</v>
      </c>
      <c r="I64" s="60" t="s">
        <v>169</v>
      </c>
      <c r="J64" s="60" t="s">
        <v>79</v>
      </c>
      <c r="K64" s="60" t="s">
        <v>170</v>
      </c>
      <c r="L64" s="60" t="s">
        <v>171</v>
      </c>
      <c r="M64" s="60" t="s">
        <v>196</v>
      </c>
      <c r="N64" s="60" t="s">
        <v>197</v>
      </c>
      <c r="O64" s="60">
        <v>4391000</v>
      </c>
      <c r="P64" s="60">
        <v>39</v>
      </c>
      <c r="Q64" s="60">
        <v>0</v>
      </c>
      <c r="R64" s="60">
        <v>0</v>
      </c>
      <c r="S64" s="60">
        <v>0</v>
      </c>
      <c r="T64" s="60">
        <v>0</v>
      </c>
      <c r="U64" s="60">
        <v>424129</v>
      </c>
      <c r="V64" s="60">
        <v>2</v>
      </c>
      <c r="W64" s="60">
        <v>0</v>
      </c>
      <c r="X64" s="60">
        <v>0</v>
      </c>
      <c r="Y64" s="61">
        <v>0</v>
      </c>
      <c r="Z64" s="60">
        <v>0</v>
      </c>
      <c r="AA64" s="60">
        <v>0</v>
      </c>
      <c r="AB64" s="60">
        <v>0</v>
      </c>
      <c r="AC64" s="60">
        <v>4815129</v>
      </c>
      <c r="AD64" s="62">
        <v>41</v>
      </c>
      <c r="AF64" s="47">
        <f t="shared" si="0"/>
        <v>4815129</v>
      </c>
    </row>
    <row r="65" spans="1:32" x14ac:dyDescent="0.3">
      <c r="A65" s="46" t="s">
        <v>0</v>
      </c>
      <c r="B65" s="46" t="str">
        <f>IFERROR(VLOOKUP($H65,매장구분!$B:$Z,2,0),"")</f>
        <v>리테일채널팀</v>
      </c>
      <c r="C65" s="46" t="str">
        <f>IFERROR(VLOOKUP($H65,매장구분!$B:$Z,3,0),"")</f>
        <v>국내</v>
      </c>
      <c r="D65" s="46" t="str">
        <f>IFERROR(VLOOKUP($H65,매장구분!$B:$Z,5,0),"")</f>
        <v>대리점</v>
      </c>
      <c r="E65" s="46" t="str">
        <f>IFERROR(VLOOKUP($H65,매장구분!$B:$Z,9,0),"")</f>
        <v>안성(대-위)</v>
      </c>
      <c r="F65" s="53"/>
      <c r="G65" s="54" t="s">
        <v>309</v>
      </c>
      <c r="H65" s="55" t="s">
        <v>310</v>
      </c>
      <c r="I65" s="55" t="s">
        <v>169</v>
      </c>
      <c r="J65" s="55" t="s">
        <v>79</v>
      </c>
      <c r="K65" s="55" t="s">
        <v>170</v>
      </c>
      <c r="L65" s="55" t="s">
        <v>171</v>
      </c>
      <c r="M65" s="55" t="s">
        <v>196</v>
      </c>
      <c r="N65" s="55" t="s">
        <v>197</v>
      </c>
      <c r="O65" s="55">
        <v>3983010</v>
      </c>
      <c r="P65" s="55">
        <v>30</v>
      </c>
      <c r="Q65" s="55">
        <v>0</v>
      </c>
      <c r="R65" s="55">
        <v>0</v>
      </c>
      <c r="S65" s="55">
        <v>0</v>
      </c>
      <c r="T65" s="55">
        <v>0</v>
      </c>
      <c r="U65" s="55">
        <v>150990</v>
      </c>
      <c r="V65" s="55">
        <v>1</v>
      </c>
      <c r="W65" s="55">
        <v>0</v>
      </c>
      <c r="X65" s="55">
        <v>0</v>
      </c>
      <c r="Y65" s="56">
        <v>0</v>
      </c>
      <c r="Z65" s="55">
        <v>0</v>
      </c>
      <c r="AA65" s="55">
        <v>0</v>
      </c>
      <c r="AB65" s="55">
        <v>0</v>
      </c>
      <c r="AC65" s="55">
        <v>4134000</v>
      </c>
      <c r="AD65" s="57">
        <v>31</v>
      </c>
      <c r="AF65" s="47">
        <f t="shared" si="0"/>
        <v>4134000</v>
      </c>
    </row>
    <row r="66" spans="1:32" x14ac:dyDescent="0.3">
      <c r="A66" s="46" t="s">
        <v>0</v>
      </c>
      <c r="B66" s="46" t="str">
        <f>IFERROR(VLOOKUP($H66,매장구분!$B:$Z,2,0),"")</f>
        <v>리테일채널팀</v>
      </c>
      <c r="C66" s="46" t="str">
        <f>IFERROR(VLOOKUP($H66,매장구분!$B:$Z,3,0),"")</f>
        <v>국내</v>
      </c>
      <c r="D66" s="46" t="str">
        <f>IFERROR(VLOOKUP($H66,매장구분!$B:$Z,5,0),"")</f>
        <v>대리점</v>
      </c>
      <c r="E66" s="46" t="str">
        <f>IFERROR(VLOOKUP($H66,매장구분!$B:$Z,9,0),"")</f>
        <v>제천(대-위)</v>
      </c>
      <c r="F66" s="58"/>
      <c r="G66" s="59" t="s">
        <v>311</v>
      </c>
      <c r="H66" s="60" t="s">
        <v>312</v>
      </c>
      <c r="I66" s="60" t="s">
        <v>169</v>
      </c>
      <c r="J66" s="60" t="s">
        <v>79</v>
      </c>
      <c r="K66" s="60" t="s">
        <v>170</v>
      </c>
      <c r="L66" s="60" t="s">
        <v>171</v>
      </c>
      <c r="M66" s="60" t="s">
        <v>196</v>
      </c>
      <c r="N66" s="60" t="s">
        <v>197</v>
      </c>
      <c r="O66" s="60">
        <v>3100600</v>
      </c>
      <c r="P66" s="60">
        <v>31</v>
      </c>
      <c r="Q66" s="60">
        <v>0</v>
      </c>
      <c r="R66" s="60">
        <v>0</v>
      </c>
      <c r="S66" s="60">
        <v>0</v>
      </c>
      <c r="T66" s="60">
        <v>0</v>
      </c>
      <c r="U66" s="60">
        <v>747000</v>
      </c>
      <c r="V66" s="60">
        <v>3</v>
      </c>
      <c r="W66" s="60">
        <v>0</v>
      </c>
      <c r="X66" s="60">
        <v>0</v>
      </c>
      <c r="Y66" s="61">
        <v>0</v>
      </c>
      <c r="Z66" s="60">
        <v>0</v>
      </c>
      <c r="AA66" s="60">
        <v>0</v>
      </c>
      <c r="AB66" s="60">
        <v>0</v>
      </c>
      <c r="AC66" s="60">
        <v>3847600</v>
      </c>
      <c r="AD66" s="62">
        <v>34</v>
      </c>
      <c r="AF66" s="47">
        <f t="shared" si="0"/>
        <v>3847600</v>
      </c>
    </row>
    <row r="67" spans="1:32" x14ac:dyDescent="0.3">
      <c r="A67" s="46" t="s">
        <v>0</v>
      </c>
      <c r="B67" s="46" t="str">
        <f>IFERROR(VLOOKUP($H67,매장구분!$B:$Z,2,0),"")</f>
        <v>리테일채널팀</v>
      </c>
      <c r="C67" s="46" t="str">
        <f>IFERROR(VLOOKUP($H67,매장구분!$B:$Z,3,0),"")</f>
        <v>국내</v>
      </c>
      <c r="D67" s="46" t="str">
        <f>IFERROR(VLOOKUP($H67,매장구분!$B:$Z,5,0),"")</f>
        <v>대리점</v>
      </c>
      <c r="E67" s="46" t="str">
        <f>IFERROR(VLOOKUP($H67,매장구분!$B:$Z,9,0),"")</f>
        <v>서귀포(대-위)</v>
      </c>
      <c r="F67" s="53"/>
      <c r="G67" s="54" t="s">
        <v>313</v>
      </c>
      <c r="H67" s="55" t="s">
        <v>314</v>
      </c>
      <c r="I67" s="55" t="s">
        <v>169</v>
      </c>
      <c r="J67" s="55" t="s">
        <v>79</v>
      </c>
      <c r="K67" s="55" t="s">
        <v>170</v>
      </c>
      <c r="L67" s="55" t="s">
        <v>171</v>
      </c>
      <c r="M67" s="55" t="s">
        <v>196</v>
      </c>
      <c r="N67" s="55" t="s">
        <v>197</v>
      </c>
      <c r="O67" s="55">
        <v>2900554</v>
      </c>
      <c r="P67" s="55">
        <v>40</v>
      </c>
      <c r="Q67" s="55">
        <v>0</v>
      </c>
      <c r="R67" s="55">
        <v>0</v>
      </c>
      <c r="S67" s="55">
        <v>0</v>
      </c>
      <c r="T67" s="55">
        <v>0</v>
      </c>
      <c r="U67" s="55">
        <v>1450446</v>
      </c>
      <c r="V67" s="55">
        <v>9</v>
      </c>
      <c r="W67" s="55">
        <v>0</v>
      </c>
      <c r="X67" s="55">
        <v>0</v>
      </c>
      <c r="Y67" s="56">
        <v>0</v>
      </c>
      <c r="Z67" s="55">
        <v>0</v>
      </c>
      <c r="AA67" s="55">
        <v>0</v>
      </c>
      <c r="AB67" s="55">
        <v>0</v>
      </c>
      <c r="AC67" s="55">
        <v>4351000</v>
      </c>
      <c r="AD67" s="57">
        <v>49</v>
      </c>
      <c r="AF67" s="47">
        <f t="shared" ref="AF67:AF130" si="1">IFERROR(AC67-Y67,"")</f>
        <v>4351000</v>
      </c>
    </row>
    <row r="68" spans="1:32" x14ac:dyDescent="0.3">
      <c r="A68" s="46" t="s">
        <v>0</v>
      </c>
      <c r="B68" s="46" t="str">
        <f>IFERROR(VLOOKUP($H68,매장구분!$B:$Z,2,0),"")</f>
        <v>리테일채널팀</v>
      </c>
      <c r="C68" s="46" t="str">
        <f>IFERROR(VLOOKUP($H68,매장구분!$B:$Z,3,0),"")</f>
        <v>국내</v>
      </c>
      <c r="D68" s="46" t="str">
        <f>IFERROR(VLOOKUP($H68,매장구분!$B:$Z,5,0),"")</f>
        <v>대리점</v>
      </c>
      <c r="E68" s="46" t="str">
        <f>IFERROR(VLOOKUP($H68,매장구분!$B:$Z,9,0),"")</f>
        <v>아이즈빌부평(대-위)</v>
      </c>
      <c r="F68" s="58"/>
      <c r="G68" s="59" t="s">
        <v>315</v>
      </c>
      <c r="H68" s="60" t="s">
        <v>316</v>
      </c>
      <c r="I68" s="60" t="s">
        <v>169</v>
      </c>
      <c r="J68" s="60" t="s">
        <v>79</v>
      </c>
      <c r="K68" s="60" t="s">
        <v>170</v>
      </c>
      <c r="L68" s="60" t="s">
        <v>171</v>
      </c>
      <c r="M68" s="60" t="s">
        <v>188</v>
      </c>
      <c r="N68" s="60" t="s">
        <v>317</v>
      </c>
      <c r="O68" s="60">
        <v>4136000</v>
      </c>
      <c r="P68" s="60">
        <v>46</v>
      </c>
      <c r="Q68" s="60">
        <v>0</v>
      </c>
      <c r="R68" s="60">
        <v>0</v>
      </c>
      <c r="S68" s="60">
        <v>0</v>
      </c>
      <c r="T68" s="60">
        <v>0</v>
      </c>
      <c r="U68" s="60">
        <v>-50000</v>
      </c>
      <c r="V68" s="60">
        <v>0</v>
      </c>
      <c r="W68" s="60">
        <v>0</v>
      </c>
      <c r="X68" s="60">
        <v>0</v>
      </c>
      <c r="Y68" s="61">
        <v>0</v>
      </c>
      <c r="Z68" s="60">
        <v>0</v>
      </c>
      <c r="AA68" s="60">
        <v>0</v>
      </c>
      <c r="AB68" s="60">
        <v>0</v>
      </c>
      <c r="AC68" s="60">
        <v>4086000</v>
      </c>
      <c r="AD68" s="62">
        <v>46</v>
      </c>
      <c r="AF68" s="47">
        <f t="shared" si="1"/>
        <v>4086000</v>
      </c>
    </row>
    <row r="69" spans="1:32" x14ac:dyDescent="0.3">
      <c r="A69" s="46" t="s">
        <v>0</v>
      </c>
      <c r="B69" s="46" t="str">
        <f>IFERROR(VLOOKUP($H69,매장구분!$B:$Z,2,0),"")</f>
        <v>리테일채널팀</v>
      </c>
      <c r="C69" s="46" t="str">
        <f>IFERROR(VLOOKUP($H69,매장구분!$B:$Z,3,0),"")</f>
        <v>국내</v>
      </c>
      <c r="D69" s="46" t="str">
        <f>IFERROR(VLOOKUP($H69,매장구분!$B:$Z,5,0),"")</f>
        <v>대리점</v>
      </c>
      <c r="E69" s="46" t="str">
        <f>IFERROR(VLOOKUP($H69,매장구분!$B:$Z,9,0),"")</f>
        <v>정읍(대-위)</v>
      </c>
      <c r="F69" s="53"/>
      <c r="G69" s="54" t="s">
        <v>318</v>
      </c>
      <c r="H69" s="55" t="s">
        <v>319</v>
      </c>
      <c r="I69" s="55" t="s">
        <v>169</v>
      </c>
      <c r="J69" s="55" t="s">
        <v>79</v>
      </c>
      <c r="K69" s="55" t="s">
        <v>170</v>
      </c>
      <c r="L69" s="55" t="s">
        <v>171</v>
      </c>
      <c r="M69" s="55" t="s">
        <v>196</v>
      </c>
      <c r="N69" s="55" t="s">
        <v>197</v>
      </c>
      <c r="O69" s="55">
        <v>3478213</v>
      </c>
      <c r="P69" s="55">
        <v>33</v>
      </c>
      <c r="Q69" s="55">
        <v>0</v>
      </c>
      <c r="R69" s="55">
        <v>0</v>
      </c>
      <c r="S69" s="55">
        <v>0</v>
      </c>
      <c r="T69" s="55">
        <v>0</v>
      </c>
      <c r="U69" s="55">
        <v>150082</v>
      </c>
      <c r="V69" s="55">
        <v>1</v>
      </c>
      <c r="W69" s="55">
        <v>0</v>
      </c>
      <c r="X69" s="55">
        <v>0</v>
      </c>
      <c r="Y69" s="56">
        <v>0</v>
      </c>
      <c r="Z69" s="55">
        <v>0</v>
      </c>
      <c r="AA69" s="55">
        <v>0</v>
      </c>
      <c r="AB69" s="55">
        <v>0</v>
      </c>
      <c r="AC69" s="55">
        <v>3628295</v>
      </c>
      <c r="AD69" s="57">
        <v>34</v>
      </c>
      <c r="AF69" s="47">
        <f t="shared" si="1"/>
        <v>3628295</v>
      </c>
    </row>
    <row r="70" spans="1:32" x14ac:dyDescent="0.3">
      <c r="A70" s="46" t="s">
        <v>0</v>
      </c>
      <c r="B70" s="46" t="str">
        <f>IFERROR(VLOOKUP($H70,매장구분!$B:$Z,2,0),"")</f>
        <v>리테일채널팀</v>
      </c>
      <c r="C70" s="46" t="str">
        <f>IFERROR(VLOOKUP($H70,매장구분!$B:$Z,3,0),"")</f>
        <v>국내</v>
      </c>
      <c r="D70" s="46" t="str">
        <f>IFERROR(VLOOKUP($H70,매장구분!$B:$Z,5,0),"")</f>
        <v>대리점</v>
      </c>
      <c r="E70" s="46" t="str">
        <f>IFERROR(VLOOKUP($H70,매장구분!$B:$Z,9,0),"")</f>
        <v>춘천(대-위)</v>
      </c>
      <c r="F70" s="58"/>
      <c r="G70" s="59" t="s">
        <v>320</v>
      </c>
      <c r="H70" s="60" t="s">
        <v>321</v>
      </c>
      <c r="I70" s="60" t="s">
        <v>169</v>
      </c>
      <c r="J70" s="60" t="s">
        <v>79</v>
      </c>
      <c r="K70" s="60" t="s">
        <v>170</v>
      </c>
      <c r="L70" s="60" t="s">
        <v>171</v>
      </c>
      <c r="M70" s="60" t="s">
        <v>196</v>
      </c>
      <c r="N70" s="60" t="s">
        <v>197</v>
      </c>
      <c r="O70" s="60">
        <v>8912848</v>
      </c>
      <c r="P70" s="60">
        <v>86</v>
      </c>
      <c r="Q70" s="60">
        <v>0</v>
      </c>
      <c r="R70" s="60">
        <v>0</v>
      </c>
      <c r="S70" s="60">
        <v>0</v>
      </c>
      <c r="T70" s="60">
        <v>0</v>
      </c>
      <c r="U70" s="60">
        <v>603452</v>
      </c>
      <c r="V70" s="60">
        <v>3</v>
      </c>
      <c r="W70" s="60">
        <v>0</v>
      </c>
      <c r="X70" s="60">
        <v>0</v>
      </c>
      <c r="Y70" s="61">
        <v>0</v>
      </c>
      <c r="Z70" s="60">
        <v>0</v>
      </c>
      <c r="AA70" s="60">
        <v>0</v>
      </c>
      <c r="AB70" s="60">
        <v>0</v>
      </c>
      <c r="AC70" s="60">
        <v>9516300</v>
      </c>
      <c r="AD70" s="62">
        <v>89</v>
      </c>
      <c r="AF70" s="47">
        <f t="shared" si="1"/>
        <v>9516300</v>
      </c>
    </row>
    <row r="71" spans="1:32" x14ac:dyDescent="0.3">
      <c r="A71" s="46" t="s">
        <v>0</v>
      </c>
      <c r="B71" s="46" t="str">
        <f>IFERROR(VLOOKUP($H71,매장구분!$B:$Z,2,0),"")</f>
        <v>리테일채널팀</v>
      </c>
      <c r="C71" s="46" t="str">
        <f>IFERROR(VLOOKUP($H71,매장구분!$B:$Z,3,0),"")</f>
        <v>국내</v>
      </c>
      <c r="D71" s="46" t="str">
        <f>IFERROR(VLOOKUP($H71,매장구분!$B:$Z,5,0),"")</f>
        <v>대리점</v>
      </c>
      <c r="E71" s="46" t="str">
        <f>IFERROR(VLOOKUP($H71,매장구분!$B:$Z,9,0),"")</f>
        <v>충주(대-위)</v>
      </c>
      <c r="F71" s="53"/>
      <c r="G71" s="54" t="s">
        <v>322</v>
      </c>
      <c r="H71" s="55" t="s">
        <v>323</v>
      </c>
      <c r="I71" s="55" t="s">
        <v>169</v>
      </c>
      <c r="J71" s="55" t="s">
        <v>79</v>
      </c>
      <c r="K71" s="55" t="s">
        <v>170</v>
      </c>
      <c r="L71" s="55" t="s">
        <v>171</v>
      </c>
      <c r="M71" s="55" t="s">
        <v>196</v>
      </c>
      <c r="N71" s="55" t="s">
        <v>197</v>
      </c>
      <c r="O71" s="55">
        <v>3371000</v>
      </c>
      <c r="P71" s="55">
        <v>33</v>
      </c>
      <c r="Q71" s="55">
        <v>0</v>
      </c>
      <c r="R71" s="55">
        <v>0</v>
      </c>
      <c r="S71" s="55">
        <v>0</v>
      </c>
      <c r="T71" s="55">
        <v>0</v>
      </c>
      <c r="U71" s="55">
        <v>0</v>
      </c>
      <c r="V71" s="55">
        <v>0</v>
      </c>
      <c r="W71" s="55">
        <v>0</v>
      </c>
      <c r="X71" s="55">
        <v>0</v>
      </c>
      <c r="Y71" s="56">
        <v>387000</v>
      </c>
      <c r="Z71" s="55">
        <v>3</v>
      </c>
      <c r="AA71" s="55">
        <v>0</v>
      </c>
      <c r="AB71" s="55">
        <v>0</v>
      </c>
      <c r="AC71" s="55">
        <v>3758000</v>
      </c>
      <c r="AD71" s="57">
        <v>36</v>
      </c>
      <c r="AF71" s="47">
        <f t="shared" si="1"/>
        <v>3371000</v>
      </c>
    </row>
    <row r="72" spans="1:32" x14ac:dyDescent="0.3">
      <c r="A72" s="46" t="s">
        <v>0</v>
      </c>
      <c r="B72" s="46" t="str">
        <f>IFERROR(VLOOKUP($H72,매장구분!$B:$Z,2,0),"")</f>
        <v>리테일채널팀</v>
      </c>
      <c r="C72" s="46" t="str">
        <f>IFERROR(VLOOKUP($H72,매장구분!$B:$Z,3,0),"")</f>
        <v>국내</v>
      </c>
      <c r="D72" s="46" t="str">
        <f>IFERROR(VLOOKUP($H72,매장구분!$B:$Z,5,0),"")</f>
        <v>대리점</v>
      </c>
      <c r="E72" s="46" t="str">
        <f>IFERROR(VLOOKUP($H72,매장구분!$B:$Z,9,0),"")</f>
        <v>나주(대-위)</v>
      </c>
      <c r="F72" s="58"/>
      <c r="G72" s="59" t="s">
        <v>324</v>
      </c>
      <c r="H72" s="60" t="s">
        <v>325</v>
      </c>
      <c r="I72" s="60" t="s">
        <v>169</v>
      </c>
      <c r="J72" s="60" t="s">
        <v>79</v>
      </c>
      <c r="K72" s="60" t="s">
        <v>170</v>
      </c>
      <c r="L72" s="60" t="s">
        <v>171</v>
      </c>
      <c r="M72" s="60" t="s">
        <v>196</v>
      </c>
      <c r="N72" s="60" t="s">
        <v>197</v>
      </c>
      <c r="O72" s="60">
        <v>8921025</v>
      </c>
      <c r="P72" s="60">
        <v>65</v>
      </c>
      <c r="Q72" s="60">
        <v>0</v>
      </c>
      <c r="R72" s="60">
        <v>0</v>
      </c>
      <c r="S72" s="60">
        <v>0</v>
      </c>
      <c r="T72" s="60">
        <v>0</v>
      </c>
      <c r="U72" s="60">
        <v>875000</v>
      </c>
      <c r="V72" s="60">
        <v>5</v>
      </c>
      <c r="W72" s="60">
        <v>0</v>
      </c>
      <c r="X72" s="60">
        <v>0</v>
      </c>
      <c r="Y72" s="61">
        <v>0</v>
      </c>
      <c r="Z72" s="60">
        <v>0</v>
      </c>
      <c r="AA72" s="60">
        <v>0</v>
      </c>
      <c r="AB72" s="60">
        <v>0</v>
      </c>
      <c r="AC72" s="60">
        <v>9796025</v>
      </c>
      <c r="AD72" s="62">
        <v>70</v>
      </c>
      <c r="AF72" s="47">
        <f t="shared" si="1"/>
        <v>9796025</v>
      </c>
    </row>
    <row r="73" spans="1:32" x14ac:dyDescent="0.3">
      <c r="A73" s="46" t="s">
        <v>0</v>
      </c>
      <c r="B73" s="46" t="str">
        <f>IFERROR(VLOOKUP($H73,매장구분!$B:$Z,2,0),"")</f>
        <v>리테일채널팀</v>
      </c>
      <c r="C73" s="46" t="str">
        <f>IFERROR(VLOOKUP($H73,매장구분!$B:$Z,3,0),"")</f>
        <v>RF</v>
      </c>
      <c r="D73" s="46" t="str">
        <f>IFERROR(VLOOKUP($H73,매장구분!$B:$Z,5,0),"")</f>
        <v>대리점</v>
      </c>
      <c r="E73" s="46" t="str">
        <f>IFERROR(VLOOKUP($H73,매장구분!$B:$Z,9,0),"")</f>
        <v>부산광복(대-위)</v>
      </c>
      <c r="F73" s="53"/>
      <c r="G73" s="54" t="s">
        <v>326</v>
      </c>
      <c r="H73" s="55" t="s">
        <v>327</v>
      </c>
      <c r="I73" s="55" t="s">
        <v>169</v>
      </c>
      <c r="J73" s="55" t="s">
        <v>79</v>
      </c>
      <c r="K73" s="55" t="s">
        <v>170</v>
      </c>
      <c r="L73" s="55" t="s">
        <v>171</v>
      </c>
      <c r="M73" s="55" t="s">
        <v>196</v>
      </c>
      <c r="N73" s="55" t="s">
        <v>197</v>
      </c>
      <c r="O73" s="55">
        <v>4241000</v>
      </c>
      <c r="P73" s="55">
        <v>65</v>
      </c>
      <c r="Q73" s="55">
        <v>0</v>
      </c>
      <c r="R73" s="55">
        <v>0</v>
      </c>
      <c r="S73" s="55">
        <v>0</v>
      </c>
      <c r="T73" s="55">
        <v>0</v>
      </c>
      <c r="U73" s="55">
        <v>663000</v>
      </c>
      <c r="V73" s="55">
        <v>7</v>
      </c>
      <c r="W73" s="55">
        <v>0</v>
      </c>
      <c r="X73" s="55">
        <v>0</v>
      </c>
      <c r="Y73" s="56">
        <v>15727200</v>
      </c>
      <c r="Z73" s="55">
        <v>322</v>
      </c>
      <c r="AA73" s="55">
        <v>0</v>
      </c>
      <c r="AB73" s="55">
        <v>0</v>
      </c>
      <c r="AC73" s="55">
        <v>20631200</v>
      </c>
      <c r="AD73" s="57">
        <v>394</v>
      </c>
      <c r="AF73" s="47">
        <f t="shared" si="1"/>
        <v>4904000</v>
      </c>
    </row>
    <row r="74" spans="1:32" x14ac:dyDescent="0.3">
      <c r="A74" s="46" t="s">
        <v>0</v>
      </c>
      <c r="B74" s="46" t="str">
        <f>IFERROR(VLOOKUP($H74,매장구분!$B:$Z,2,0),"")</f>
        <v>파트너채널팀</v>
      </c>
      <c r="C74" s="46" t="str">
        <f>IFERROR(VLOOKUP($H74,매장구분!$B:$Z,3,0),"")</f>
        <v>국내</v>
      </c>
      <c r="D74" s="46" t="str">
        <f>IFERROR(VLOOKUP($H74,매장구분!$B:$Z,5,0),"")</f>
        <v>백화점</v>
      </c>
      <c r="E74" s="46" t="str">
        <f>IFERROR(VLOOKUP($H74,매장구분!$B:$Z,9,0),"")</f>
        <v>에버세이브청주</v>
      </c>
      <c r="F74" s="58"/>
      <c r="G74" s="59" t="s">
        <v>328</v>
      </c>
      <c r="H74" s="60" t="s">
        <v>329</v>
      </c>
      <c r="I74" s="60" t="s">
        <v>169</v>
      </c>
      <c r="J74" s="60" t="s">
        <v>175</v>
      </c>
      <c r="K74" s="60" t="s">
        <v>170</v>
      </c>
      <c r="L74" s="60" t="s">
        <v>171</v>
      </c>
      <c r="M74" s="60" t="s">
        <v>77</v>
      </c>
      <c r="N74" s="60" t="s">
        <v>238</v>
      </c>
      <c r="O74" s="60">
        <v>6716200</v>
      </c>
      <c r="P74" s="60">
        <v>70</v>
      </c>
      <c r="Q74" s="60">
        <v>0</v>
      </c>
      <c r="R74" s="60">
        <v>0</v>
      </c>
      <c r="S74" s="60">
        <v>0</v>
      </c>
      <c r="T74" s="60">
        <v>0</v>
      </c>
      <c r="U74" s="60">
        <v>119000</v>
      </c>
      <c r="V74" s="60">
        <v>1</v>
      </c>
      <c r="W74" s="60">
        <v>0</v>
      </c>
      <c r="X74" s="60">
        <v>0</v>
      </c>
      <c r="Y74" s="61">
        <v>0</v>
      </c>
      <c r="Z74" s="60">
        <v>0</v>
      </c>
      <c r="AA74" s="60">
        <v>0</v>
      </c>
      <c r="AB74" s="60">
        <v>0</v>
      </c>
      <c r="AC74" s="60">
        <v>6835200</v>
      </c>
      <c r="AD74" s="62">
        <v>71</v>
      </c>
      <c r="AF74" s="47">
        <f t="shared" si="1"/>
        <v>6835200</v>
      </c>
    </row>
    <row r="75" spans="1:32" x14ac:dyDescent="0.3">
      <c r="A75" s="46" t="s">
        <v>0</v>
      </c>
      <c r="B75" s="46" t="str">
        <f>IFERROR(VLOOKUP($H75,매장구분!$B:$Z,2,0),"")</f>
        <v>리테일채널팀</v>
      </c>
      <c r="C75" s="46" t="str">
        <f>IFERROR(VLOOKUP($H75,매장구분!$B:$Z,3,0),"")</f>
        <v>국내</v>
      </c>
      <c r="D75" s="46" t="str">
        <f>IFERROR(VLOOKUP($H75,매장구분!$B:$Z,5,0),"")</f>
        <v>대리점</v>
      </c>
      <c r="E75" s="46" t="str">
        <f>IFERROR(VLOOKUP($H75,매장구분!$B:$Z,9,0),"")</f>
        <v>시흥(대-위)</v>
      </c>
      <c r="F75" s="53"/>
      <c r="G75" s="54" t="s">
        <v>330</v>
      </c>
      <c r="H75" s="55" t="s">
        <v>331</v>
      </c>
      <c r="I75" s="55" t="s">
        <v>169</v>
      </c>
      <c r="J75" s="55" t="s">
        <v>79</v>
      </c>
      <c r="K75" s="55" t="s">
        <v>170</v>
      </c>
      <c r="L75" s="55" t="s">
        <v>171</v>
      </c>
      <c r="M75" s="55" t="s">
        <v>196</v>
      </c>
      <c r="N75" s="55" t="s">
        <v>197</v>
      </c>
      <c r="O75" s="55">
        <v>3401094</v>
      </c>
      <c r="P75" s="55">
        <v>32</v>
      </c>
      <c r="Q75" s="55">
        <v>0</v>
      </c>
      <c r="R75" s="55">
        <v>0</v>
      </c>
      <c r="S75" s="55">
        <v>0</v>
      </c>
      <c r="T75" s="55">
        <v>0</v>
      </c>
      <c r="U75" s="55">
        <v>398000</v>
      </c>
      <c r="V75" s="55">
        <v>2</v>
      </c>
      <c r="W75" s="55">
        <v>0</v>
      </c>
      <c r="X75" s="55">
        <v>0</v>
      </c>
      <c r="Y75" s="56">
        <v>0</v>
      </c>
      <c r="Z75" s="55">
        <v>0</v>
      </c>
      <c r="AA75" s="55">
        <v>0</v>
      </c>
      <c r="AB75" s="55">
        <v>0</v>
      </c>
      <c r="AC75" s="55">
        <v>3799094</v>
      </c>
      <c r="AD75" s="57">
        <v>34</v>
      </c>
      <c r="AF75" s="47">
        <f t="shared" si="1"/>
        <v>3799094</v>
      </c>
    </row>
    <row r="76" spans="1:32" x14ac:dyDescent="0.3">
      <c r="A76" s="46" t="s">
        <v>0</v>
      </c>
      <c r="B76" s="46" t="str">
        <f>IFERROR(VLOOKUP($H76,매장구분!$B:$Z,2,0),"")</f>
        <v>리테일채널팀</v>
      </c>
      <c r="C76" s="46" t="str">
        <f>IFERROR(VLOOKUP($H76,매장구분!$B:$Z,3,0),"")</f>
        <v>RF</v>
      </c>
      <c r="D76" s="46" t="str">
        <f>IFERROR(VLOOKUP($H76,매장구분!$B:$Z,5,0),"")</f>
        <v>직영점</v>
      </c>
      <c r="E76" s="46" t="str">
        <f>IFERROR(VLOOKUP($H76,매장구분!$B:$Z,9,0),"")</f>
        <v>성수(직)</v>
      </c>
      <c r="F76" s="58"/>
      <c r="G76" s="59" t="s">
        <v>332</v>
      </c>
      <c r="H76" s="60" t="s">
        <v>333</v>
      </c>
      <c r="I76" s="60" t="s">
        <v>169</v>
      </c>
      <c r="J76" s="60" t="s">
        <v>180</v>
      </c>
      <c r="K76" s="60" t="s">
        <v>170</v>
      </c>
      <c r="L76" s="60" t="s">
        <v>171</v>
      </c>
      <c r="M76" s="60" t="s">
        <v>196</v>
      </c>
      <c r="N76" s="60" t="s">
        <v>206</v>
      </c>
      <c r="O76" s="60">
        <v>61757300</v>
      </c>
      <c r="P76" s="60">
        <v>721</v>
      </c>
      <c r="Q76" s="60">
        <v>0</v>
      </c>
      <c r="R76" s="60">
        <v>0</v>
      </c>
      <c r="S76" s="60">
        <v>0</v>
      </c>
      <c r="T76" s="60">
        <v>0</v>
      </c>
      <c r="U76" s="60">
        <v>0</v>
      </c>
      <c r="V76" s="60">
        <v>0</v>
      </c>
      <c r="W76" s="60">
        <v>0</v>
      </c>
      <c r="X76" s="60">
        <v>0</v>
      </c>
      <c r="Y76" s="61">
        <v>0</v>
      </c>
      <c r="Z76" s="60">
        <v>0</v>
      </c>
      <c r="AA76" s="60">
        <v>0</v>
      </c>
      <c r="AB76" s="60">
        <v>0</v>
      </c>
      <c r="AC76" s="60">
        <v>61757300</v>
      </c>
      <c r="AD76" s="62">
        <v>721</v>
      </c>
      <c r="AF76" s="47">
        <f t="shared" si="1"/>
        <v>61757300</v>
      </c>
    </row>
    <row r="77" spans="1:32" x14ac:dyDescent="0.3">
      <c r="A77" s="46" t="s">
        <v>0</v>
      </c>
      <c r="B77" s="46" t="str">
        <f>IFERROR(VLOOKUP($H77,매장구분!$B:$Z,2,0),"")</f>
        <v>파트너채널팀</v>
      </c>
      <c r="C77" s="46" t="str">
        <f>IFERROR(VLOOKUP($H77,매장구분!$B:$Z,3,0),"")</f>
        <v>면세</v>
      </c>
      <c r="D77" s="46" t="str">
        <f>IFERROR(VLOOKUP($H77,매장구분!$B:$Z,5,0),"")</f>
        <v>면세</v>
      </c>
      <c r="E77" s="46" t="str">
        <f>IFERROR(VLOOKUP($H77,매장구분!$B:$Z,9,0),"")</f>
        <v>신라면세제주</v>
      </c>
      <c r="F77" s="53"/>
      <c r="G77" s="54" t="s">
        <v>334</v>
      </c>
      <c r="H77" s="55" t="s">
        <v>335</v>
      </c>
      <c r="I77" s="55" t="s">
        <v>169</v>
      </c>
      <c r="J77" s="55" t="s">
        <v>175</v>
      </c>
      <c r="K77" s="55" t="s">
        <v>170</v>
      </c>
      <c r="L77" s="55" t="s">
        <v>171</v>
      </c>
      <c r="M77" s="55" t="s">
        <v>176</v>
      </c>
      <c r="N77" s="55" t="s">
        <v>177</v>
      </c>
      <c r="O77" s="55">
        <v>28841000</v>
      </c>
      <c r="P77" s="55">
        <v>601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55">
        <v>0</v>
      </c>
      <c r="X77" s="55">
        <v>0</v>
      </c>
      <c r="Y77" s="56">
        <v>0</v>
      </c>
      <c r="Z77" s="55">
        <v>0</v>
      </c>
      <c r="AA77" s="55">
        <v>0</v>
      </c>
      <c r="AB77" s="55">
        <v>0</v>
      </c>
      <c r="AC77" s="55">
        <v>28841000</v>
      </c>
      <c r="AD77" s="57">
        <v>601</v>
      </c>
      <c r="AF77" s="47">
        <f t="shared" si="1"/>
        <v>28841000</v>
      </c>
    </row>
    <row r="78" spans="1:32" x14ac:dyDescent="0.3">
      <c r="A78" s="46" t="s">
        <v>0</v>
      </c>
      <c r="B78" s="46" t="str">
        <f>IFERROR(VLOOKUP($H78,매장구분!$B:$Z,2,0),"")</f>
        <v>리테일채널팀</v>
      </c>
      <c r="C78" s="46" t="str">
        <f>IFERROR(VLOOKUP($H78,매장구분!$B:$Z,3,0),"")</f>
        <v>국내</v>
      </c>
      <c r="D78" s="46" t="str">
        <f>IFERROR(VLOOKUP($H78,매장구분!$B:$Z,5,0),"")</f>
        <v>대리점</v>
      </c>
      <c r="E78" s="46" t="str">
        <f>IFERROR(VLOOKUP($H78,매장구분!$B:$Z,9,0),"")</f>
        <v>서산(대-위)</v>
      </c>
      <c r="F78" s="58"/>
      <c r="G78" s="59" t="s">
        <v>336</v>
      </c>
      <c r="H78" s="60" t="s">
        <v>337</v>
      </c>
      <c r="I78" s="60" t="s">
        <v>169</v>
      </c>
      <c r="J78" s="60" t="s">
        <v>79</v>
      </c>
      <c r="K78" s="60" t="s">
        <v>170</v>
      </c>
      <c r="L78" s="60" t="s">
        <v>171</v>
      </c>
      <c r="M78" s="60" t="s">
        <v>196</v>
      </c>
      <c r="N78" s="60" t="s">
        <v>197</v>
      </c>
      <c r="O78" s="60">
        <v>8595000</v>
      </c>
      <c r="P78" s="60">
        <v>76</v>
      </c>
      <c r="Q78" s="60">
        <v>0</v>
      </c>
      <c r="R78" s="60">
        <v>0</v>
      </c>
      <c r="S78" s="60">
        <v>0</v>
      </c>
      <c r="T78" s="60">
        <v>0</v>
      </c>
      <c r="U78" s="60">
        <v>139000</v>
      </c>
      <c r="V78" s="60">
        <v>1</v>
      </c>
      <c r="W78" s="60">
        <v>0</v>
      </c>
      <c r="X78" s="60">
        <v>0</v>
      </c>
      <c r="Y78" s="61">
        <v>0</v>
      </c>
      <c r="Z78" s="60">
        <v>0</v>
      </c>
      <c r="AA78" s="60">
        <v>0</v>
      </c>
      <c r="AB78" s="60">
        <v>0</v>
      </c>
      <c r="AC78" s="60">
        <v>8734000</v>
      </c>
      <c r="AD78" s="62">
        <v>77</v>
      </c>
      <c r="AF78" s="47">
        <f t="shared" si="1"/>
        <v>8734000</v>
      </c>
    </row>
    <row r="79" spans="1:32" x14ac:dyDescent="0.3">
      <c r="A79" s="46" t="s">
        <v>0</v>
      </c>
      <c r="B79" s="46" t="str">
        <f>IFERROR(VLOOKUP($H79,매장구분!$B:$Z,2,0),"")</f>
        <v>리테일채널팀</v>
      </c>
      <c r="C79" s="46" t="str">
        <f>IFERROR(VLOOKUP($H79,매장구분!$B:$Z,3,0),"")</f>
        <v>국내</v>
      </c>
      <c r="D79" s="46" t="str">
        <f>IFERROR(VLOOKUP($H79,매장구분!$B:$Z,5,0),"")</f>
        <v>대리점</v>
      </c>
      <c r="E79" s="46" t="str">
        <f>IFERROR(VLOOKUP($H79,매장구분!$B:$Z,9,0),"")</f>
        <v>포항(대-위)</v>
      </c>
      <c r="F79" s="53"/>
      <c r="G79" s="54" t="s">
        <v>338</v>
      </c>
      <c r="H79" s="55" t="s">
        <v>339</v>
      </c>
      <c r="I79" s="55" t="s">
        <v>169</v>
      </c>
      <c r="J79" s="55" t="s">
        <v>79</v>
      </c>
      <c r="K79" s="55" t="s">
        <v>170</v>
      </c>
      <c r="L79" s="55" t="s">
        <v>171</v>
      </c>
      <c r="M79" s="55" t="s">
        <v>196</v>
      </c>
      <c r="N79" s="55" t="s">
        <v>197</v>
      </c>
      <c r="O79" s="55">
        <v>10369010</v>
      </c>
      <c r="P79" s="55">
        <v>93</v>
      </c>
      <c r="Q79" s="55">
        <v>0</v>
      </c>
      <c r="R79" s="55">
        <v>0</v>
      </c>
      <c r="S79" s="55">
        <v>0</v>
      </c>
      <c r="T79" s="55">
        <v>0</v>
      </c>
      <c r="U79" s="55">
        <v>625500</v>
      </c>
      <c r="V79" s="55">
        <v>5</v>
      </c>
      <c r="W79" s="55">
        <v>0</v>
      </c>
      <c r="X79" s="55">
        <v>0</v>
      </c>
      <c r="Y79" s="56">
        <v>0</v>
      </c>
      <c r="Z79" s="55">
        <v>0</v>
      </c>
      <c r="AA79" s="55">
        <v>0</v>
      </c>
      <c r="AB79" s="55">
        <v>0</v>
      </c>
      <c r="AC79" s="55">
        <v>10994510</v>
      </c>
      <c r="AD79" s="57">
        <v>98</v>
      </c>
      <c r="AF79" s="47">
        <f t="shared" si="1"/>
        <v>10994510</v>
      </c>
    </row>
    <row r="80" spans="1:32" x14ac:dyDescent="0.3">
      <c r="A80" s="46" t="s">
        <v>0</v>
      </c>
      <c r="B80" s="46" t="str">
        <f>IFERROR(VLOOKUP($H80,매장구분!$B:$Z,2,0),"")</f>
        <v>리테일채널팀</v>
      </c>
      <c r="C80" s="46" t="str">
        <f>IFERROR(VLOOKUP($H80,매장구분!$B:$Z,3,0),"")</f>
        <v>RF</v>
      </c>
      <c r="D80" s="46" t="str">
        <f>IFERROR(VLOOKUP($H80,매장구분!$B:$Z,5,0),"")</f>
        <v>대리점</v>
      </c>
      <c r="E80" s="46" t="str">
        <f>IFERROR(VLOOKUP($H80,매장구분!$B:$Z,9,0),"")</f>
        <v>신제주(대-위)</v>
      </c>
      <c r="F80" s="58"/>
      <c r="G80" s="59" t="s">
        <v>340</v>
      </c>
      <c r="H80" s="60" t="s">
        <v>341</v>
      </c>
      <c r="I80" s="60" t="s">
        <v>169</v>
      </c>
      <c r="J80" s="60" t="s">
        <v>79</v>
      </c>
      <c r="K80" s="60" t="s">
        <v>170</v>
      </c>
      <c r="L80" s="60" t="s">
        <v>171</v>
      </c>
      <c r="M80" s="60" t="s">
        <v>196</v>
      </c>
      <c r="N80" s="60" t="s">
        <v>197</v>
      </c>
      <c r="O80" s="60">
        <v>8076180</v>
      </c>
      <c r="P80" s="60">
        <v>84</v>
      </c>
      <c r="Q80" s="60">
        <v>0</v>
      </c>
      <c r="R80" s="60">
        <v>0</v>
      </c>
      <c r="S80" s="60">
        <v>0</v>
      </c>
      <c r="T80" s="60">
        <v>0</v>
      </c>
      <c r="U80" s="60">
        <v>124927</v>
      </c>
      <c r="V80" s="60">
        <v>1</v>
      </c>
      <c r="W80" s="60">
        <v>0</v>
      </c>
      <c r="X80" s="60">
        <v>0</v>
      </c>
      <c r="Y80" s="61">
        <v>6285600</v>
      </c>
      <c r="Z80" s="60">
        <v>75</v>
      </c>
      <c r="AA80" s="60">
        <v>0</v>
      </c>
      <c r="AB80" s="60">
        <v>0</v>
      </c>
      <c r="AC80" s="60">
        <v>14486707</v>
      </c>
      <c r="AD80" s="62">
        <v>160</v>
      </c>
      <c r="AF80" s="47">
        <f t="shared" si="1"/>
        <v>8201107</v>
      </c>
    </row>
    <row r="81" spans="1:32" x14ac:dyDescent="0.3">
      <c r="A81" s="46" t="s">
        <v>0</v>
      </c>
      <c r="B81" s="46" t="str">
        <f>IFERROR(VLOOKUP($H81,매장구분!$B:$Z,2,0),"")</f>
        <v>E-biz</v>
      </c>
      <c r="C81" s="46" t="str">
        <f>IFERROR(VLOOKUP($H81,매장구분!$B:$Z,3,0),"")</f>
        <v>국내</v>
      </c>
      <c r="D81" s="46" t="str">
        <f>IFERROR(VLOOKUP($H81,매장구분!$B:$Z,5,0),"")</f>
        <v>온(제휴몰)</v>
      </c>
      <c r="E81" s="46" t="str">
        <f>IFERROR(VLOOKUP($H81,매장구분!$B:$Z,9,0),"")</f>
        <v>SSF샵(제휴몰)</v>
      </c>
      <c r="F81" s="53"/>
      <c r="G81" s="54" t="s">
        <v>342</v>
      </c>
      <c r="H81" s="55" t="s">
        <v>343</v>
      </c>
      <c r="I81" s="55" t="s">
        <v>169</v>
      </c>
      <c r="J81" s="55" t="s">
        <v>180</v>
      </c>
      <c r="K81" s="55" t="s">
        <v>170</v>
      </c>
      <c r="L81" s="55" t="s">
        <v>181</v>
      </c>
      <c r="M81" s="55" t="s">
        <v>181</v>
      </c>
      <c r="N81" s="55" t="s">
        <v>185</v>
      </c>
      <c r="O81" s="55">
        <v>4931400</v>
      </c>
      <c r="P81" s="55">
        <v>48</v>
      </c>
      <c r="Q81" s="55">
        <v>0</v>
      </c>
      <c r="R81" s="55">
        <v>0</v>
      </c>
      <c r="S81" s="55">
        <v>0</v>
      </c>
      <c r="T81" s="55">
        <v>0</v>
      </c>
      <c r="U81" s="55">
        <v>0</v>
      </c>
      <c r="V81" s="55">
        <v>0</v>
      </c>
      <c r="W81" s="55">
        <v>0</v>
      </c>
      <c r="X81" s="55">
        <v>0</v>
      </c>
      <c r="Y81" s="56">
        <v>0</v>
      </c>
      <c r="Z81" s="55">
        <v>0</v>
      </c>
      <c r="AA81" s="55">
        <v>0</v>
      </c>
      <c r="AB81" s="55">
        <v>0</v>
      </c>
      <c r="AC81" s="55">
        <v>4931400</v>
      </c>
      <c r="AD81" s="57">
        <v>48</v>
      </c>
      <c r="AF81" s="47">
        <f t="shared" si="1"/>
        <v>4931400</v>
      </c>
    </row>
    <row r="82" spans="1:32" x14ac:dyDescent="0.3">
      <c r="A82" s="46" t="s">
        <v>0</v>
      </c>
      <c r="B82" s="46" t="str">
        <f>IFERROR(VLOOKUP($H82,매장구분!$B:$Z,2,0),"")</f>
        <v>파트너채널팀</v>
      </c>
      <c r="C82" s="46" t="str">
        <f>IFERROR(VLOOKUP($H82,매장구분!$B:$Z,3,0),"")</f>
        <v>국내</v>
      </c>
      <c r="D82" s="46" t="str">
        <f>IFERROR(VLOOKUP($H82,매장구분!$B:$Z,5,0),"")</f>
        <v>백화점</v>
      </c>
      <c r="E82" s="46" t="str">
        <f>IFERROR(VLOOKUP($H82,매장구분!$B:$Z,9,0),"")</f>
        <v>현대울산</v>
      </c>
      <c r="F82" s="58"/>
      <c r="G82" s="59" t="s">
        <v>344</v>
      </c>
      <c r="H82" s="60" t="s">
        <v>345</v>
      </c>
      <c r="I82" s="60" t="s">
        <v>169</v>
      </c>
      <c r="J82" s="60" t="s">
        <v>175</v>
      </c>
      <c r="K82" s="60" t="s">
        <v>170</v>
      </c>
      <c r="L82" s="60" t="s">
        <v>171</v>
      </c>
      <c r="M82" s="60" t="s">
        <v>77</v>
      </c>
      <c r="N82" s="60" t="s">
        <v>172</v>
      </c>
      <c r="O82" s="60">
        <v>9781859</v>
      </c>
      <c r="P82" s="60">
        <v>101</v>
      </c>
      <c r="Q82" s="60">
        <v>0</v>
      </c>
      <c r="R82" s="60">
        <v>0</v>
      </c>
      <c r="S82" s="60">
        <v>0</v>
      </c>
      <c r="T82" s="60">
        <v>0</v>
      </c>
      <c r="U82" s="60">
        <v>3097685</v>
      </c>
      <c r="V82" s="60">
        <v>20</v>
      </c>
      <c r="W82" s="60">
        <v>0</v>
      </c>
      <c r="X82" s="60">
        <v>0</v>
      </c>
      <c r="Y82" s="61">
        <v>4863856</v>
      </c>
      <c r="Z82" s="60">
        <v>83</v>
      </c>
      <c r="AA82" s="60">
        <v>0</v>
      </c>
      <c r="AB82" s="60">
        <v>0</v>
      </c>
      <c r="AC82" s="60">
        <v>17743400</v>
      </c>
      <c r="AD82" s="62">
        <v>204</v>
      </c>
      <c r="AF82" s="47">
        <f t="shared" si="1"/>
        <v>12879544</v>
      </c>
    </row>
    <row r="83" spans="1:32" x14ac:dyDescent="0.3">
      <c r="A83" s="46" t="s">
        <v>0</v>
      </c>
      <c r="B83" s="46" t="str">
        <f>IFERROR(VLOOKUP($H83,매장구분!$B:$Z,2,0),"")</f>
        <v>리테일채널팀</v>
      </c>
      <c r="C83" s="46" t="str">
        <f>IFERROR(VLOOKUP($H83,매장구분!$B:$Z,3,0),"")</f>
        <v>국내</v>
      </c>
      <c r="D83" s="46" t="str">
        <f>IFERROR(VLOOKUP($H83,매장구분!$B:$Z,5,0),"")</f>
        <v>대리점</v>
      </c>
      <c r="E83" s="46" t="str">
        <f>IFERROR(VLOOKUP($H83,매장구분!$B:$Z,9,0),"")</f>
        <v>세정광주(대-위)</v>
      </c>
      <c r="F83" s="53"/>
      <c r="G83" s="54" t="s">
        <v>346</v>
      </c>
      <c r="H83" s="55" t="s">
        <v>347</v>
      </c>
      <c r="I83" s="55" t="s">
        <v>169</v>
      </c>
      <c r="J83" s="55" t="s">
        <v>79</v>
      </c>
      <c r="K83" s="55" t="s">
        <v>170</v>
      </c>
      <c r="L83" s="55" t="s">
        <v>171</v>
      </c>
      <c r="M83" s="55" t="s">
        <v>196</v>
      </c>
      <c r="N83" s="55" t="s">
        <v>197</v>
      </c>
      <c r="O83" s="55">
        <v>7139900</v>
      </c>
      <c r="P83" s="55">
        <v>65</v>
      </c>
      <c r="Q83" s="55">
        <v>0</v>
      </c>
      <c r="R83" s="55">
        <v>0</v>
      </c>
      <c r="S83" s="55">
        <v>0</v>
      </c>
      <c r="T83" s="55">
        <v>0</v>
      </c>
      <c r="U83" s="55">
        <v>477000</v>
      </c>
      <c r="V83" s="55">
        <v>3</v>
      </c>
      <c r="W83" s="55">
        <v>0</v>
      </c>
      <c r="X83" s="55">
        <v>0</v>
      </c>
      <c r="Y83" s="56">
        <v>0</v>
      </c>
      <c r="Z83" s="55">
        <v>0</v>
      </c>
      <c r="AA83" s="55">
        <v>0</v>
      </c>
      <c r="AB83" s="55">
        <v>0</v>
      </c>
      <c r="AC83" s="55">
        <v>7616900</v>
      </c>
      <c r="AD83" s="57">
        <v>68</v>
      </c>
      <c r="AF83" s="47">
        <f t="shared" si="1"/>
        <v>7616900</v>
      </c>
    </row>
    <row r="84" spans="1:32" x14ac:dyDescent="0.3">
      <c r="A84" s="46" t="s">
        <v>0</v>
      </c>
      <c r="B84" s="46" t="str">
        <f>IFERROR(VLOOKUP($H84,매장구분!$B:$Z,2,0),"")</f>
        <v>파트너채널팀</v>
      </c>
      <c r="C84" s="46" t="str">
        <f>IFERROR(VLOOKUP($H84,매장구분!$B:$Z,3,0),"")</f>
        <v>국내</v>
      </c>
      <c r="D84" s="46" t="str">
        <f>IFERROR(VLOOKUP($H84,매장구분!$B:$Z,5,0),"")</f>
        <v>백화점</v>
      </c>
      <c r="E84" s="46" t="str">
        <f>IFERROR(VLOOKUP($H84,매장구분!$B:$Z,9,0),"")</f>
        <v>롯데상인</v>
      </c>
      <c r="F84" s="58"/>
      <c r="G84" s="59" t="s">
        <v>348</v>
      </c>
      <c r="H84" s="60" t="s">
        <v>349</v>
      </c>
      <c r="I84" s="60" t="s">
        <v>169</v>
      </c>
      <c r="J84" s="60" t="s">
        <v>175</v>
      </c>
      <c r="K84" s="60" t="s">
        <v>170</v>
      </c>
      <c r="L84" s="60" t="s">
        <v>171</v>
      </c>
      <c r="M84" s="60" t="s">
        <v>77</v>
      </c>
      <c r="N84" s="60" t="s">
        <v>172</v>
      </c>
      <c r="O84" s="60">
        <v>2181000</v>
      </c>
      <c r="P84" s="60">
        <v>28</v>
      </c>
      <c r="Q84" s="60">
        <v>0</v>
      </c>
      <c r="R84" s="60">
        <v>0</v>
      </c>
      <c r="S84" s="60">
        <v>0</v>
      </c>
      <c r="T84" s="60">
        <v>0</v>
      </c>
      <c r="U84" s="60">
        <v>3048000</v>
      </c>
      <c r="V84" s="60">
        <v>18</v>
      </c>
      <c r="W84" s="60">
        <v>0</v>
      </c>
      <c r="X84" s="60">
        <v>0</v>
      </c>
      <c r="Y84" s="61">
        <v>0</v>
      </c>
      <c r="Z84" s="60">
        <v>0</v>
      </c>
      <c r="AA84" s="60">
        <v>0</v>
      </c>
      <c r="AB84" s="60">
        <v>0</v>
      </c>
      <c r="AC84" s="60">
        <v>5229000</v>
      </c>
      <c r="AD84" s="62">
        <v>46</v>
      </c>
      <c r="AF84" s="47">
        <f t="shared" si="1"/>
        <v>5229000</v>
      </c>
    </row>
    <row r="85" spans="1:32" x14ac:dyDescent="0.3">
      <c r="A85" s="46" t="s">
        <v>0</v>
      </c>
      <c r="B85" s="46" t="str">
        <f>IFERROR(VLOOKUP($H85,매장구분!$B:$Z,2,0),"")</f>
        <v>파트너채널팀</v>
      </c>
      <c r="C85" s="46" t="str">
        <f>IFERROR(VLOOKUP($H85,매장구분!$B:$Z,3,0),"")</f>
        <v>국내</v>
      </c>
      <c r="D85" s="46" t="str">
        <f>IFERROR(VLOOKUP($H85,매장구분!$B:$Z,5,0),"")</f>
        <v>백화점</v>
      </c>
      <c r="E85" s="46" t="str">
        <f>IFERROR(VLOOKUP($H85,매장구분!$B:$Z,9,0),"")</f>
        <v>롯데미아</v>
      </c>
      <c r="F85" s="53"/>
      <c r="G85" s="54" t="s">
        <v>350</v>
      </c>
      <c r="H85" s="55" t="s">
        <v>351</v>
      </c>
      <c r="I85" s="55" t="s">
        <v>169</v>
      </c>
      <c r="J85" s="55" t="s">
        <v>175</v>
      </c>
      <c r="K85" s="55" t="s">
        <v>170</v>
      </c>
      <c r="L85" s="55" t="s">
        <v>171</v>
      </c>
      <c r="M85" s="55" t="s">
        <v>77</v>
      </c>
      <c r="N85" s="55" t="s">
        <v>172</v>
      </c>
      <c r="O85" s="55">
        <v>3786000</v>
      </c>
      <c r="P85" s="55">
        <v>38</v>
      </c>
      <c r="Q85" s="55">
        <v>0</v>
      </c>
      <c r="R85" s="55">
        <v>0</v>
      </c>
      <c r="S85" s="55">
        <v>0</v>
      </c>
      <c r="T85" s="55">
        <v>0</v>
      </c>
      <c r="U85" s="55">
        <v>269000</v>
      </c>
      <c r="V85" s="55">
        <v>1</v>
      </c>
      <c r="W85" s="55">
        <v>0</v>
      </c>
      <c r="X85" s="55">
        <v>0</v>
      </c>
      <c r="Y85" s="56">
        <v>0</v>
      </c>
      <c r="Z85" s="55">
        <v>0</v>
      </c>
      <c r="AA85" s="55">
        <v>0</v>
      </c>
      <c r="AB85" s="55">
        <v>0</v>
      </c>
      <c r="AC85" s="55">
        <v>4055000</v>
      </c>
      <c r="AD85" s="57">
        <v>39</v>
      </c>
      <c r="AF85" s="47">
        <f t="shared" si="1"/>
        <v>4055000</v>
      </c>
    </row>
    <row r="86" spans="1:32" x14ac:dyDescent="0.3">
      <c r="A86" s="46" t="s">
        <v>0</v>
      </c>
      <c r="B86" s="46" t="str">
        <f>IFERROR(VLOOKUP($H86,매장구분!$B:$Z,2,0),"")</f>
        <v>파트너채널팀</v>
      </c>
      <c r="C86" s="46" t="str">
        <f>IFERROR(VLOOKUP($H86,매장구분!$B:$Z,3,0),"")</f>
        <v>국내</v>
      </c>
      <c r="D86" s="46" t="str">
        <f>IFERROR(VLOOKUP($H86,매장구분!$B:$Z,5,0),"")</f>
        <v>백화점</v>
      </c>
      <c r="E86" s="46" t="str">
        <f>IFERROR(VLOOKUP($H86,매장구분!$B:$Z,9,0),"")</f>
        <v>롯데아울렛의왕(직)</v>
      </c>
      <c r="F86" s="58"/>
      <c r="G86" s="59" t="s">
        <v>352</v>
      </c>
      <c r="H86" s="60" t="s">
        <v>353</v>
      </c>
      <c r="I86" s="60" t="s">
        <v>169</v>
      </c>
      <c r="J86" s="60" t="s">
        <v>180</v>
      </c>
      <c r="K86" s="60" t="s">
        <v>170</v>
      </c>
      <c r="L86" s="60" t="s">
        <v>171</v>
      </c>
      <c r="M86" s="60" t="s">
        <v>219</v>
      </c>
      <c r="N86" s="60" t="s">
        <v>219</v>
      </c>
      <c r="O86" s="60">
        <v>9308800</v>
      </c>
      <c r="P86" s="60">
        <v>102</v>
      </c>
      <c r="Q86" s="60">
        <v>0</v>
      </c>
      <c r="R86" s="60">
        <v>0</v>
      </c>
      <c r="S86" s="60">
        <v>0</v>
      </c>
      <c r="T86" s="60">
        <v>0</v>
      </c>
      <c r="U86" s="60">
        <v>1104000</v>
      </c>
      <c r="V86" s="60">
        <v>6</v>
      </c>
      <c r="W86" s="60">
        <v>0</v>
      </c>
      <c r="X86" s="60">
        <v>0</v>
      </c>
      <c r="Y86" s="61">
        <v>0</v>
      </c>
      <c r="Z86" s="60">
        <v>0</v>
      </c>
      <c r="AA86" s="60">
        <v>0</v>
      </c>
      <c r="AB86" s="60">
        <v>0</v>
      </c>
      <c r="AC86" s="60">
        <v>10412800</v>
      </c>
      <c r="AD86" s="62">
        <v>108</v>
      </c>
      <c r="AF86" s="47">
        <f t="shared" si="1"/>
        <v>10412800</v>
      </c>
    </row>
    <row r="87" spans="1:32" x14ac:dyDescent="0.3">
      <c r="A87" s="46" t="s">
        <v>0</v>
      </c>
      <c r="B87" s="46" t="str">
        <f>IFERROR(VLOOKUP($H87,매장구분!$B:$Z,2,0),"")</f>
        <v>파트너채널팀</v>
      </c>
      <c r="C87" s="46" t="str">
        <f>IFERROR(VLOOKUP($H87,매장구분!$B:$Z,3,0),"")</f>
        <v>국내</v>
      </c>
      <c r="D87" s="46" t="str">
        <f>IFERROR(VLOOKUP($H87,매장구분!$B:$Z,5,0),"")</f>
        <v>백화점</v>
      </c>
      <c r="E87" s="46" t="str">
        <f>IFERROR(VLOOKUP($H87,매장구분!$B:$Z,9,0),"")</f>
        <v>롯데건대</v>
      </c>
      <c r="F87" s="53"/>
      <c r="G87" s="54" t="s">
        <v>354</v>
      </c>
      <c r="H87" s="55" t="s">
        <v>355</v>
      </c>
      <c r="I87" s="55" t="s">
        <v>169</v>
      </c>
      <c r="J87" s="55" t="s">
        <v>175</v>
      </c>
      <c r="K87" s="55" t="s">
        <v>170</v>
      </c>
      <c r="L87" s="55" t="s">
        <v>171</v>
      </c>
      <c r="M87" s="55" t="s">
        <v>77</v>
      </c>
      <c r="N87" s="55" t="s">
        <v>172</v>
      </c>
      <c r="O87" s="55">
        <v>3831000</v>
      </c>
      <c r="P87" s="55">
        <v>37</v>
      </c>
      <c r="Q87" s="55">
        <v>0</v>
      </c>
      <c r="R87" s="55">
        <v>0</v>
      </c>
      <c r="S87" s="55">
        <v>0</v>
      </c>
      <c r="T87" s="55">
        <v>0</v>
      </c>
      <c r="U87" s="55">
        <v>458000</v>
      </c>
      <c r="V87" s="55">
        <v>2</v>
      </c>
      <c r="W87" s="55">
        <v>0</v>
      </c>
      <c r="X87" s="55">
        <v>0</v>
      </c>
      <c r="Y87" s="56">
        <v>0</v>
      </c>
      <c r="Z87" s="55">
        <v>0</v>
      </c>
      <c r="AA87" s="55">
        <v>0</v>
      </c>
      <c r="AB87" s="55">
        <v>0</v>
      </c>
      <c r="AC87" s="55">
        <v>4289000</v>
      </c>
      <c r="AD87" s="57">
        <v>39</v>
      </c>
      <c r="AF87" s="47">
        <f t="shared" si="1"/>
        <v>4289000</v>
      </c>
    </row>
    <row r="88" spans="1:32" x14ac:dyDescent="0.3">
      <c r="A88" s="46" t="s">
        <v>0</v>
      </c>
      <c r="B88" s="46" t="str">
        <f>IFERROR(VLOOKUP($H88,매장구분!$B:$Z,2,0),"")</f>
        <v>파트너채널팀</v>
      </c>
      <c r="C88" s="46" t="str">
        <f>IFERROR(VLOOKUP($H88,매장구분!$B:$Z,3,0),"")</f>
        <v>국내</v>
      </c>
      <c r="D88" s="46" t="str">
        <f>IFERROR(VLOOKUP($H88,매장구분!$B:$Z,5,0),"")</f>
        <v>백화점</v>
      </c>
      <c r="E88" s="46" t="str">
        <f>IFERROR(VLOOKUP($H88,매장구분!$B:$Z,9,0),"")</f>
        <v>신세계경기</v>
      </c>
      <c r="F88" s="58"/>
      <c r="G88" s="59" t="s">
        <v>356</v>
      </c>
      <c r="H88" s="60" t="s">
        <v>357</v>
      </c>
      <c r="I88" s="60" t="s">
        <v>169</v>
      </c>
      <c r="J88" s="60" t="s">
        <v>175</v>
      </c>
      <c r="K88" s="60" t="s">
        <v>170</v>
      </c>
      <c r="L88" s="60" t="s">
        <v>171</v>
      </c>
      <c r="M88" s="60" t="s">
        <v>77</v>
      </c>
      <c r="N88" s="60" t="s">
        <v>172</v>
      </c>
      <c r="O88" s="60">
        <v>4706000</v>
      </c>
      <c r="P88" s="60">
        <v>53</v>
      </c>
      <c r="Q88" s="60">
        <v>0</v>
      </c>
      <c r="R88" s="60">
        <v>0</v>
      </c>
      <c r="S88" s="60">
        <v>0</v>
      </c>
      <c r="T88" s="60">
        <v>0</v>
      </c>
      <c r="U88" s="60">
        <v>1113000</v>
      </c>
      <c r="V88" s="60">
        <v>7</v>
      </c>
      <c r="W88" s="60">
        <v>0</v>
      </c>
      <c r="X88" s="60">
        <v>0</v>
      </c>
      <c r="Y88" s="61">
        <v>0</v>
      </c>
      <c r="Z88" s="60">
        <v>0</v>
      </c>
      <c r="AA88" s="60">
        <v>0</v>
      </c>
      <c r="AB88" s="60">
        <v>0</v>
      </c>
      <c r="AC88" s="60">
        <v>5819000</v>
      </c>
      <c r="AD88" s="62">
        <v>60</v>
      </c>
      <c r="AF88" s="47">
        <f t="shared" si="1"/>
        <v>5819000</v>
      </c>
    </row>
    <row r="89" spans="1:32" x14ac:dyDescent="0.3">
      <c r="A89" s="46" t="s">
        <v>0</v>
      </c>
      <c r="B89" s="46" t="str">
        <f>IFERROR(VLOOKUP($H89,매장구분!$B:$Z,2,0),"")</f>
        <v>파트너채널팀</v>
      </c>
      <c r="C89" s="46" t="str">
        <f>IFERROR(VLOOKUP($H89,매장구분!$B:$Z,3,0),"")</f>
        <v>국내</v>
      </c>
      <c r="D89" s="46" t="str">
        <f>IFERROR(VLOOKUP($H89,매장구분!$B:$Z,5,0),"")</f>
        <v>백화점</v>
      </c>
      <c r="E89" s="46" t="str">
        <f>IFERROR(VLOOKUP($H89,매장구분!$B:$Z,9,0),"")</f>
        <v>현대충청</v>
      </c>
      <c r="F89" s="53"/>
      <c r="G89" s="54" t="s">
        <v>358</v>
      </c>
      <c r="H89" s="55" t="s">
        <v>359</v>
      </c>
      <c r="I89" s="55" t="s">
        <v>169</v>
      </c>
      <c r="J89" s="55" t="s">
        <v>175</v>
      </c>
      <c r="K89" s="55" t="s">
        <v>170</v>
      </c>
      <c r="L89" s="55" t="s">
        <v>171</v>
      </c>
      <c r="M89" s="55" t="s">
        <v>77</v>
      </c>
      <c r="N89" s="55" t="s">
        <v>172</v>
      </c>
      <c r="O89" s="55">
        <v>6481900</v>
      </c>
      <c r="P89" s="55">
        <v>71</v>
      </c>
      <c r="Q89" s="55">
        <v>0</v>
      </c>
      <c r="R89" s="55">
        <v>0</v>
      </c>
      <c r="S89" s="55">
        <v>0</v>
      </c>
      <c r="T89" s="55">
        <v>0</v>
      </c>
      <c r="U89" s="55">
        <v>0</v>
      </c>
      <c r="V89" s="55">
        <v>0</v>
      </c>
      <c r="W89" s="55">
        <v>0</v>
      </c>
      <c r="X89" s="55">
        <v>0</v>
      </c>
      <c r="Y89" s="56">
        <v>7568000</v>
      </c>
      <c r="Z89" s="55">
        <v>176</v>
      </c>
      <c r="AA89" s="55">
        <v>0</v>
      </c>
      <c r="AB89" s="55">
        <v>0</v>
      </c>
      <c r="AC89" s="55">
        <v>14049900</v>
      </c>
      <c r="AD89" s="57">
        <v>247</v>
      </c>
      <c r="AF89" s="47">
        <f t="shared" si="1"/>
        <v>6481900</v>
      </c>
    </row>
    <row r="90" spans="1:32" x14ac:dyDescent="0.3">
      <c r="A90" s="46" t="s">
        <v>0</v>
      </c>
      <c r="B90" s="46" t="str">
        <f>IFERROR(VLOOKUP($H90,매장구분!$B:$Z,2,0),"")</f>
        <v>리테일채널팀</v>
      </c>
      <c r="C90" s="46" t="str">
        <f>IFERROR(VLOOKUP($H90,매장구분!$B:$Z,3,0),"")</f>
        <v>국내</v>
      </c>
      <c r="D90" s="46" t="str">
        <f>IFERROR(VLOOKUP($H90,매장구분!$B:$Z,5,0),"")</f>
        <v>직영점</v>
      </c>
      <c r="E90" s="46" t="str">
        <f>IFERROR(VLOOKUP($H90,매장구분!$B:$Z,9,0),"")</f>
        <v>타임스트림신림(직)</v>
      </c>
      <c r="F90" s="58"/>
      <c r="G90" s="59" t="s">
        <v>360</v>
      </c>
      <c r="H90" s="60" t="s">
        <v>361</v>
      </c>
      <c r="I90" s="60" t="s">
        <v>169</v>
      </c>
      <c r="J90" s="60" t="s">
        <v>180</v>
      </c>
      <c r="K90" s="60" t="s">
        <v>170</v>
      </c>
      <c r="L90" s="60" t="s">
        <v>171</v>
      </c>
      <c r="M90" s="60" t="s">
        <v>188</v>
      </c>
      <c r="N90" s="60" t="s">
        <v>317</v>
      </c>
      <c r="O90" s="60">
        <v>3474000</v>
      </c>
      <c r="P90" s="60">
        <v>28</v>
      </c>
      <c r="Q90" s="60">
        <v>0</v>
      </c>
      <c r="R90" s="60">
        <v>0</v>
      </c>
      <c r="S90" s="60">
        <v>0</v>
      </c>
      <c r="T90" s="60">
        <v>0</v>
      </c>
      <c r="U90" s="60">
        <v>598000</v>
      </c>
      <c r="V90" s="60">
        <v>2</v>
      </c>
      <c r="W90" s="60">
        <v>0</v>
      </c>
      <c r="X90" s="60">
        <v>0</v>
      </c>
      <c r="Y90" s="61">
        <v>0</v>
      </c>
      <c r="Z90" s="60">
        <v>0</v>
      </c>
      <c r="AA90" s="60">
        <v>0</v>
      </c>
      <c r="AB90" s="60">
        <v>0</v>
      </c>
      <c r="AC90" s="60">
        <v>4072000</v>
      </c>
      <c r="AD90" s="62">
        <v>30</v>
      </c>
      <c r="AF90" s="47">
        <f t="shared" si="1"/>
        <v>4072000</v>
      </c>
    </row>
    <row r="91" spans="1:32" x14ac:dyDescent="0.3">
      <c r="A91" s="46" t="s">
        <v>0</v>
      </c>
      <c r="B91" s="46" t="str">
        <f>IFERROR(VLOOKUP($H91,매장구분!$B:$Z,2,0),"")</f>
        <v>리테일채널팀</v>
      </c>
      <c r="C91" s="46" t="str">
        <f>IFERROR(VLOOKUP($H91,매장구분!$B:$Z,3,0),"")</f>
        <v>국내</v>
      </c>
      <c r="D91" s="46" t="str">
        <f>IFERROR(VLOOKUP($H91,매장구분!$B:$Z,5,0),"")</f>
        <v>대리점</v>
      </c>
      <c r="E91" s="46" t="str">
        <f>IFERROR(VLOOKUP($H91,매장구분!$B:$Z,9,0),"")</f>
        <v>경기광주(대-위)</v>
      </c>
      <c r="F91" s="53"/>
      <c r="G91" s="54" t="s">
        <v>362</v>
      </c>
      <c r="H91" s="55" t="s">
        <v>363</v>
      </c>
      <c r="I91" s="55" t="s">
        <v>169</v>
      </c>
      <c r="J91" s="55" t="s">
        <v>79</v>
      </c>
      <c r="K91" s="55" t="s">
        <v>170</v>
      </c>
      <c r="L91" s="55" t="s">
        <v>171</v>
      </c>
      <c r="M91" s="55" t="s">
        <v>196</v>
      </c>
      <c r="N91" s="55" t="s">
        <v>197</v>
      </c>
      <c r="O91" s="55">
        <v>4359100</v>
      </c>
      <c r="P91" s="55">
        <v>45</v>
      </c>
      <c r="Q91" s="55">
        <v>0</v>
      </c>
      <c r="R91" s="55">
        <v>0</v>
      </c>
      <c r="S91" s="55">
        <v>0</v>
      </c>
      <c r="T91" s="55">
        <v>0</v>
      </c>
      <c r="U91" s="55">
        <v>198000</v>
      </c>
      <c r="V91" s="55">
        <v>2</v>
      </c>
      <c r="W91" s="55">
        <v>0</v>
      </c>
      <c r="X91" s="55">
        <v>0</v>
      </c>
      <c r="Y91" s="56">
        <v>0</v>
      </c>
      <c r="Z91" s="55">
        <v>0</v>
      </c>
      <c r="AA91" s="55">
        <v>0</v>
      </c>
      <c r="AB91" s="55">
        <v>0</v>
      </c>
      <c r="AC91" s="55">
        <v>4557100</v>
      </c>
      <c r="AD91" s="57">
        <v>47</v>
      </c>
      <c r="AF91" s="47">
        <f t="shared" si="1"/>
        <v>4557100</v>
      </c>
    </row>
    <row r="92" spans="1:32" x14ac:dyDescent="0.3">
      <c r="A92" s="46" t="s">
        <v>0</v>
      </c>
      <c r="B92" s="46" t="str">
        <f>IFERROR(VLOOKUP($H92,매장구분!$B:$Z,2,0),"")</f>
        <v>리테일채널팀</v>
      </c>
      <c r="C92" s="46" t="str">
        <f>IFERROR(VLOOKUP($H92,매장구분!$B:$Z,3,0),"")</f>
        <v>국내</v>
      </c>
      <c r="D92" s="46" t="str">
        <f>IFERROR(VLOOKUP($H92,매장구분!$B:$Z,5,0),"")</f>
        <v>대리점</v>
      </c>
      <c r="E92" s="46" t="str">
        <f>IFERROR(VLOOKUP($H92,매장구분!$B:$Z,9,0),"")</f>
        <v>대구칠곡(대-위)</v>
      </c>
      <c r="F92" s="58"/>
      <c r="G92" s="59" t="s">
        <v>364</v>
      </c>
      <c r="H92" s="60" t="s">
        <v>365</v>
      </c>
      <c r="I92" s="60" t="s">
        <v>169</v>
      </c>
      <c r="J92" s="60" t="s">
        <v>79</v>
      </c>
      <c r="K92" s="60" t="s">
        <v>170</v>
      </c>
      <c r="L92" s="60" t="s">
        <v>171</v>
      </c>
      <c r="M92" s="60" t="s">
        <v>196</v>
      </c>
      <c r="N92" s="60" t="s">
        <v>197</v>
      </c>
      <c r="O92" s="60">
        <v>2071000</v>
      </c>
      <c r="P92" s="60">
        <v>17</v>
      </c>
      <c r="Q92" s="60">
        <v>0</v>
      </c>
      <c r="R92" s="60">
        <v>0</v>
      </c>
      <c r="S92" s="60">
        <v>0</v>
      </c>
      <c r="T92" s="60">
        <v>0</v>
      </c>
      <c r="U92" s="60">
        <v>139000</v>
      </c>
      <c r="V92" s="60">
        <v>1</v>
      </c>
      <c r="W92" s="60">
        <v>0</v>
      </c>
      <c r="X92" s="60">
        <v>0</v>
      </c>
      <c r="Y92" s="61">
        <v>0</v>
      </c>
      <c r="Z92" s="60">
        <v>0</v>
      </c>
      <c r="AA92" s="60">
        <v>0</v>
      </c>
      <c r="AB92" s="60">
        <v>0</v>
      </c>
      <c r="AC92" s="60">
        <v>2210000</v>
      </c>
      <c r="AD92" s="62">
        <v>18</v>
      </c>
      <c r="AF92" s="47">
        <f t="shared" si="1"/>
        <v>2210000</v>
      </c>
    </row>
    <row r="93" spans="1:32" x14ac:dyDescent="0.3">
      <c r="A93" s="46" t="s">
        <v>0</v>
      </c>
      <c r="B93" s="46" t="str">
        <f>IFERROR(VLOOKUP($H93,매장구분!$B:$Z,2,0),"")</f>
        <v>리테일채널팀</v>
      </c>
      <c r="C93" s="46" t="str">
        <f>IFERROR(VLOOKUP($H93,매장구분!$B:$Z,3,0),"")</f>
        <v>국내</v>
      </c>
      <c r="D93" s="46" t="str">
        <f>IFERROR(VLOOKUP($H93,매장구분!$B:$Z,5,0),"")</f>
        <v>상설(위탁)</v>
      </c>
      <c r="E93" s="46" t="str">
        <f>IFERROR(VLOOKUP($H93,매장구분!$B:$Z,9,0),"")</f>
        <v>롯데아울렛동부산(상-위)</v>
      </c>
      <c r="F93" s="53"/>
      <c r="G93" s="54" t="s">
        <v>366</v>
      </c>
      <c r="H93" s="55" t="s">
        <v>367</v>
      </c>
      <c r="I93" s="55" t="s">
        <v>169</v>
      </c>
      <c r="J93" s="55" t="s">
        <v>79</v>
      </c>
      <c r="K93" s="55" t="s">
        <v>170</v>
      </c>
      <c r="L93" s="55" t="s">
        <v>171</v>
      </c>
      <c r="M93" s="55" t="s">
        <v>219</v>
      </c>
      <c r="N93" s="55" t="s">
        <v>219</v>
      </c>
      <c r="O93" s="55">
        <v>4187000</v>
      </c>
      <c r="P93" s="55">
        <v>104</v>
      </c>
      <c r="Q93" s="55">
        <v>0</v>
      </c>
      <c r="R93" s="55">
        <v>0</v>
      </c>
      <c r="S93" s="55">
        <v>0</v>
      </c>
      <c r="T93" s="55">
        <v>0</v>
      </c>
      <c r="U93" s="55">
        <v>0</v>
      </c>
      <c r="V93" s="55">
        <v>0</v>
      </c>
      <c r="W93" s="55">
        <v>0</v>
      </c>
      <c r="X93" s="55">
        <v>0</v>
      </c>
      <c r="Y93" s="56">
        <v>0</v>
      </c>
      <c r="Z93" s="55">
        <v>0</v>
      </c>
      <c r="AA93" s="55">
        <v>0</v>
      </c>
      <c r="AB93" s="55">
        <v>0</v>
      </c>
      <c r="AC93" s="55">
        <v>4187000</v>
      </c>
      <c r="AD93" s="57">
        <v>104</v>
      </c>
      <c r="AF93" s="47">
        <f t="shared" si="1"/>
        <v>4187000</v>
      </c>
    </row>
    <row r="94" spans="1:32" x14ac:dyDescent="0.3">
      <c r="A94" s="46" t="s">
        <v>0</v>
      </c>
      <c r="B94" s="46" t="str">
        <f>IFERROR(VLOOKUP($H94,매장구분!$B:$Z,2,0),"")</f>
        <v>리테일채널팀</v>
      </c>
      <c r="C94" s="46" t="str">
        <f>IFERROR(VLOOKUP($H94,매장구분!$B:$Z,3,0),"")</f>
        <v>국내</v>
      </c>
      <c r="D94" s="46" t="str">
        <f>IFERROR(VLOOKUP($H94,매장구분!$B:$Z,5,0),"")</f>
        <v>상설(위탁)</v>
      </c>
      <c r="E94" s="46" t="str">
        <f>IFERROR(VLOOKUP($H94,매장구분!$B:$Z,9,0),"")</f>
        <v>롯데아울렛율하(상-위)</v>
      </c>
      <c r="F94" s="58"/>
      <c r="G94" s="59" t="s">
        <v>368</v>
      </c>
      <c r="H94" s="60" t="s">
        <v>369</v>
      </c>
      <c r="I94" s="60" t="s">
        <v>169</v>
      </c>
      <c r="J94" s="60" t="s">
        <v>79</v>
      </c>
      <c r="K94" s="60" t="s">
        <v>170</v>
      </c>
      <c r="L94" s="60" t="s">
        <v>171</v>
      </c>
      <c r="M94" s="60" t="s">
        <v>219</v>
      </c>
      <c r="N94" s="60" t="s">
        <v>219</v>
      </c>
      <c r="O94" s="60">
        <v>399000</v>
      </c>
      <c r="P94" s="60">
        <v>11</v>
      </c>
      <c r="Q94" s="60">
        <v>0</v>
      </c>
      <c r="R94" s="60">
        <v>0</v>
      </c>
      <c r="S94" s="60">
        <v>0</v>
      </c>
      <c r="T94" s="60">
        <v>0</v>
      </c>
      <c r="U94" s="60">
        <v>0</v>
      </c>
      <c r="V94" s="60">
        <v>0</v>
      </c>
      <c r="W94" s="60">
        <v>0</v>
      </c>
      <c r="X94" s="60">
        <v>0</v>
      </c>
      <c r="Y94" s="61">
        <v>0</v>
      </c>
      <c r="Z94" s="60">
        <v>0</v>
      </c>
      <c r="AA94" s="60">
        <v>0</v>
      </c>
      <c r="AB94" s="60">
        <v>0</v>
      </c>
      <c r="AC94" s="60">
        <v>399000</v>
      </c>
      <c r="AD94" s="62">
        <v>11</v>
      </c>
      <c r="AF94" s="47">
        <f t="shared" si="1"/>
        <v>399000</v>
      </c>
    </row>
    <row r="95" spans="1:32" x14ac:dyDescent="0.3">
      <c r="A95" s="46" t="s">
        <v>0</v>
      </c>
      <c r="B95" s="46" t="str">
        <f>IFERROR(VLOOKUP($H95,매장구분!$B:$Z,2,0),"")</f>
        <v>리테일채널팀</v>
      </c>
      <c r="C95" s="46" t="str">
        <f>IFERROR(VLOOKUP($H95,매장구분!$B:$Z,3,0),"")</f>
        <v>국내</v>
      </c>
      <c r="D95" s="46" t="str">
        <f>IFERROR(VLOOKUP($H95,매장구분!$B:$Z,5,0),"")</f>
        <v>상설(위탁)</v>
      </c>
      <c r="E95" s="46" t="str">
        <f>IFERROR(VLOOKUP($H95,매장구분!$B:$Z,9,0),"")</f>
        <v>롯데아울렛김해(상-위)</v>
      </c>
      <c r="F95" s="53"/>
      <c r="G95" s="54" t="s">
        <v>370</v>
      </c>
      <c r="H95" s="55" t="s">
        <v>371</v>
      </c>
      <c r="I95" s="55" t="s">
        <v>169</v>
      </c>
      <c r="J95" s="55" t="s">
        <v>79</v>
      </c>
      <c r="K95" s="55" t="s">
        <v>170</v>
      </c>
      <c r="L95" s="55" t="s">
        <v>171</v>
      </c>
      <c r="M95" s="55" t="s">
        <v>219</v>
      </c>
      <c r="N95" s="55" t="s">
        <v>219</v>
      </c>
      <c r="O95" s="55">
        <v>4905000</v>
      </c>
      <c r="P95" s="55">
        <v>114</v>
      </c>
      <c r="Q95" s="55">
        <v>0</v>
      </c>
      <c r="R95" s="55">
        <v>0</v>
      </c>
      <c r="S95" s="55">
        <v>0</v>
      </c>
      <c r="T95" s="55">
        <v>0</v>
      </c>
      <c r="U95" s="55">
        <v>0</v>
      </c>
      <c r="V95" s="55">
        <v>0</v>
      </c>
      <c r="W95" s="55">
        <v>0</v>
      </c>
      <c r="X95" s="55">
        <v>0</v>
      </c>
      <c r="Y95" s="56">
        <v>0</v>
      </c>
      <c r="Z95" s="55">
        <v>0</v>
      </c>
      <c r="AA95" s="55">
        <v>0</v>
      </c>
      <c r="AB95" s="55">
        <v>0</v>
      </c>
      <c r="AC95" s="55">
        <v>4905000</v>
      </c>
      <c r="AD95" s="57">
        <v>114</v>
      </c>
      <c r="AF95" s="47">
        <f t="shared" si="1"/>
        <v>4905000</v>
      </c>
    </row>
    <row r="96" spans="1:32" x14ac:dyDescent="0.3">
      <c r="A96" s="46" t="s">
        <v>0</v>
      </c>
      <c r="B96" s="46" t="str">
        <f>IFERROR(VLOOKUP($H96,매장구분!$B:$Z,2,0),"")</f>
        <v>리테일채널팀</v>
      </c>
      <c r="C96" s="46" t="str">
        <f>IFERROR(VLOOKUP($H96,매장구분!$B:$Z,3,0),"")</f>
        <v>국내</v>
      </c>
      <c r="D96" s="46" t="str">
        <f>IFERROR(VLOOKUP($H96,매장구분!$B:$Z,5,0),"")</f>
        <v>상설(위탁)</v>
      </c>
      <c r="E96" s="46" t="str">
        <f>IFERROR(VLOOKUP($H96,매장구분!$B:$Z,9,0),"")</f>
        <v>현대아울렛가든5(상-위)</v>
      </c>
      <c r="F96" s="58"/>
      <c r="G96" s="59" t="s">
        <v>372</v>
      </c>
      <c r="H96" s="60" t="s">
        <v>373</v>
      </c>
      <c r="I96" s="60" t="s">
        <v>169</v>
      </c>
      <c r="J96" s="60" t="s">
        <v>79</v>
      </c>
      <c r="K96" s="60" t="s">
        <v>170</v>
      </c>
      <c r="L96" s="60" t="s">
        <v>171</v>
      </c>
      <c r="M96" s="60" t="s">
        <v>219</v>
      </c>
      <c r="N96" s="60" t="s">
        <v>219</v>
      </c>
      <c r="O96" s="60">
        <v>108000</v>
      </c>
      <c r="P96" s="60">
        <v>3</v>
      </c>
      <c r="Q96" s="60">
        <v>0</v>
      </c>
      <c r="R96" s="60">
        <v>0</v>
      </c>
      <c r="S96" s="60">
        <v>0</v>
      </c>
      <c r="T96" s="60">
        <v>0</v>
      </c>
      <c r="U96" s="60">
        <v>0</v>
      </c>
      <c r="V96" s="60">
        <v>0</v>
      </c>
      <c r="W96" s="60">
        <v>0</v>
      </c>
      <c r="X96" s="60">
        <v>0</v>
      </c>
      <c r="Y96" s="61">
        <v>0</v>
      </c>
      <c r="Z96" s="60">
        <v>0</v>
      </c>
      <c r="AA96" s="60">
        <v>0</v>
      </c>
      <c r="AB96" s="60">
        <v>0</v>
      </c>
      <c r="AC96" s="60">
        <v>108000</v>
      </c>
      <c r="AD96" s="62">
        <v>3</v>
      </c>
      <c r="AF96" s="47">
        <f t="shared" si="1"/>
        <v>108000</v>
      </c>
    </row>
    <row r="97" spans="1:32" x14ac:dyDescent="0.3">
      <c r="A97" s="46" t="s">
        <v>0</v>
      </c>
      <c r="B97" s="46" t="str">
        <f>IFERROR(VLOOKUP($H97,매장구분!$B:$Z,2,0),"")</f>
        <v>리테일채널팀</v>
      </c>
      <c r="C97" s="46" t="str">
        <f>IFERROR(VLOOKUP($H97,매장구분!$B:$Z,3,0),"")</f>
        <v>국내</v>
      </c>
      <c r="D97" s="46" t="str">
        <f>IFERROR(VLOOKUP($H97,매장구분!$B:$Z,5,0),"")</f>
        <v>상설(위탁)</v>
      </c>
      <c r="E97" s="46" t="str">
        <f>IFERROR(VLOOKUP($H97,매장구분!$B:$Z,9,0),"")</f>
        <v>모다경주(상-위)</v>
      </c>
      <c r="F97" s="53"/>
      <c r="G97" s="54" t="s">
        <v>374</v>
      </c>
      <c r="H97" s="55" t="s">
        <v>375</v>
      </c>
      <c r="I97" s="55" t="s">
        <v>169</v>
      </c>
      <c r="J97" s="55" t="s">
        <v>79</v>
      </c>
      <c r="K97" s="55" t="s">
        <v>170</v>
      </c>
      <c r="L97" s="55" t="s">
        <v>171</v>
      </c>
      <c r="M97" s="55" t="s">
        <v>77</v>
      </c>
      <c r="N97" s="55" t="s">
        <v>238</v>
      </c>
      <c r="O97" s="55">
        <v>252000</v>
      </c>
      <c r="P97" s="55">
        <v>7</v>
      </c>
      <c r="Q97" s="55">
        <v>0</v>
      </c>
      <c r="R97" s="55">
        <v>0</v>
      </c>
      <c r="S97" s="55">
        <v>0</v>
      </c>
      <c r="T97" s="55">
        <v>0</v>
      </c>
      <c r="U97" s="55">
        <v>0</v>
      </c>
      <c r="V97" s="55">
        <v>0</v>
      </c>
      <c r="W97" s="55">
        <v>0</v>
      </c>
      <c r="X97" s="55">
        <v>0</v>
      </c>
      <c r="Y97" s="56">
        <v>0</v>
      </c>
      <c r="Z97" s="55">
        <v>0</v>
      </c>
      <c r="AA97" s="55">
        <v>0</v>
      </c>
      <c r="AB97" s="55">
        <v>0</v>
      </c>
      <c r="AC97" s="55">
        <v>252000</v>
      </c>
      <c r="AD97" s="57">
        <v>7</v>
      </c>
      <c r="AF97" s="47">
        <f t="shared" si="1"/>
        <v>252000</v>
      </c>
    </row>
    <row r="98" spans="1:32" x14ac:dyDescent="0.3">
      <c r="A98" s="46" t="s">
        <v>0</v>
      </c>
      <c r="B98" s="46" t="str">
        <f>IFERROR(VLOOKUP($H98,매장구분!$B:$Z,2,0),"")</f>
        <v>리테일채널팀</v>
      </c>
      <c r="C98" s="46" t="str">
        <f>IFERROR(VLOOKUP($H98,매장구분!$B:$Z,3,0),"")</f>
        <v>국내</v>
      </c>
      <c r="D98" s="46" t="str">
        <f>IFERROR(VLOOKUP($H98,매장구분!$B:$Z,5,0),"")</f>
        <v>상설(위탁)</v>
      </c>
      <c r="E98" s="46" t="str">
        <f>IFERROR(VLOOKUP($H98,매장구분!$B:$Z,9,0),"")</f>
        <v>NC강서(상-위)</v>
      </c>
      <c r="F98" s="58"/>
      <c r="G98" s="59" t="s">
        <v>376</v>
      </c>
      <c r="H98" s="60" t="s">
        <v>377</v>
      </c>
      <c r="I98" s="60" t="s">
        <v>169</v>
      </c>
      <c r="J98" s="60" t="s">
        <v>79</v>
      </c>
      <c r="K98" s="60" t="s">
        <v>170</v>
      </c>
      <c r="L98" s="60" t="s">
        <v>171</v>
      </c>
      <c r="M98" s="60" t="s">
        <v>77</v>
      </c>
      <c r="N98" s="60" t="s">
        <v>238</v>
      </c>
      <c r="O98" s="60">
        <v>504000</v>
      </c>
      <c r="P98" s="60">
        <v>14</v>
      </c>
      <c r="Q98" s="60">
        <v>0</v>
      </c>
      <c r="R98" s="60">
        <v>0</v>
      </c>
      <c r="S98" s="60">
        <v>0</v>
      </c>
      <c r="T98" s="60">
        <v>0</v>
      </c>
      <c r="U98" s="60">
        <v>0</v>
      </c>
      <c r="V98" s="60">
        <v>0</v>
      </c>
      <c r="W98" s="60">
        <v>0</v>
      </c>
      <c r="X98" s="60">
        <v>0</v>
      </c>
      <c r="Y98" s="61">
        <v>0</v>
      </c>
      <c r="Z98" s="60">
        <v>0</v>
      </c>
      <c r="AA98" s="60">
        <v>0</v>
      </c>
      <c r="AB98" s="60">
        <v>0</v>
      </c>
      <c r="AC98" s="60">
        <v>504000</v>
      </c>
      <c r="AD98" s="62">
        <v>14</v>
      </c>
      <c r="AF98" s="47">
        <f t="shared" si="1"/>
        <v>504000</v>
      </c>
    </row>
    <row r="99" spans="1:32" x14ac:dyDescent="0.3">
      <c r="A99" s="46" t="s">
        <v>0</v>
      </c>
      <c r="B99" s="46" t="str">
        <f>IFERROR(VLOOKUP($H99,매장구분!$B:$Z,2,0),"")</f>
        <v>리테일채널팀</v>
      </c>
      <c r="C99" s="46" t="str">
        <f>IFERROR(VLOOKUP($H99,매장구분!$B:$Z,3,0),"")</f>
        <v>국내</v>
      </c>
      <c r="D99" s="46" t="str">
        <f>IFERROR(VLOOKUP($H99,매장구분!$B:$Z,5,0),"")</f>
        <v>상설(위탁)</v>
      </c>
      <c r="E99" s="46" t="str">
        <f>IFERROR(VLOOKUP($H99,매장구분!$B:$Z,9,0),"")</f>
        <v>NC송파(상-위)</v>
      </c>
      <c r="F99" s="53"/>
      <c r="G99" s="54" t="s">
        <v>378</v>
      </c>
      <c r="H99" s="55" t="s">
        <v>379</v>
      </c>
      <c r="I99" s="55" t="s">
        <v>169</v>
      </c>
      <c r="J99" s="55" t="s">
        <v>79</v>
      </c>
      <c r="K99" s="55" t="s">
        <v>170</v>
      </c>
      <c r="L99" s="55" t="s">
        <v>171</v>
      </c>
      <c r="M99" s="55" t="s">
        <v>77</v>
      </c>
      <c r="N99" s="55" t="s">
        <v>238</v>
      </c>
      <c r="O99" s="55">
        <v>579000</v>
      </c>
      <c r="P99" s="55">
        <v>16</v>
      </c>
      <c r="Q99" s="55">
        <v>0</v>
      </c>
      <c r="R99" s="55">
        <v>0</v>
      </c>
      <c r="S99" s="55">
        <v>0</v>
      </c>
      <c r="T99" s="55">
        <v>0</v>
      </c>
      <c r="U99" s="55">
        <v>0</v>
      </c>
      <c r="V99" s="55">
        <v>0</v>
      </c>
      <c r="W99" s="55">
        <v>0</v>
      </c>
      <c r="X99" s="55">
        <v>0</v>
      </c>
      <c r="Y99" s="56">
        <v>0</v>
      </c>
      <c r="Z99" s="55">
        <v>0</v>
      </c>
      <c r="AA99" s="55">
        <v>0</v>
      </c>
      <c r="AB99" s="55">
        <v>0</v>
      </c>
      <c r="AC99" s="55">
        <v>579000</v>
      </c>
      <c r="AD99" s="57">
        <v>16</v>
      </c>
      <c r="AF99" s="47">
        <f t="shared" si="1"/>
        <v>579000</v>
      </c>
    </row>
    <row r="100" spans="1:32" x14ac:dyDescent="0.3">
      <c r="A100" s="46" t="s">
        <v>0</v>
      </c>
      <c r="B100" s="46" t="str">
        <f>IFERROR(VLOOKUP($H100,매장구분!$B:$Z,2,0),"")</f>
        <v>리테일채널팀</v>
      </c>
      <c r="C100" s="46" t="str">
        <f>IFERROR(VLOOKUP($H100,매장구분!$B:$Z,3,0),"")</f>
        <v>국내</v>
      </c>
      <c r="D100" s="46" t="str">
        <f>IFERROR(VLOOKUP($H100,매장구분!$B:$Z,5,0),"")</f>
        <v>상설(위탁)</v>
      </c>
      <c r="E100" s="46" t="str">
        <f>IFERROR(VLOOKUP($H100,매장구분!$B:$Z,9,0),"")</f>
        <v>신세계아울렛여주(상-위)</v>
      </c>
      <c r="F100" s="58"/>
      <c r="G100" s="59" t="s">
        <v>380</v>
      </c>
      <c r="H100" s="60" t="s">
        <v>381</v>
      </c>
      <c r="I100" s="60" t="s">
        <v>169</v>
      </c>
      <c r="J100" s="60" t="s">
        <v>79</v>
      </c>
      <c r="K100" s="60" t="s">
        <v>170</v>
      </c>
      <c r="L100" s="60" t="s">
        <v>171</v>
      </c>
      <c r="M100" s="60" t="s">
        <v>219</v>
      </c>
      <c r="N100" s="60" t="s">
        <v>219</v>
      </c>
      <c r="O100" s="60">
        <v>1875000</v>
      </c>
      <c r="P100" s="60">
        <v>52</v>
      </c>
      <c r="Q100" s="60">
        <v>0</v>
      </c>
      <c r="R100" s="60">
        <v>0</v>
      </c>
      <c r="S100" s="60">
        <v>0</v>
      </c>
      <c r="T100" s="60">
        <v>0</v>
      </c>
      <c r="U100" s="60">
        <v>0</v>
      </c>
      <c r="V100" s="60">
        <v>0</v>
      </c>
      <c r="W100" s="60">
        <v>0</v>
      </c>
      <c r="X100" s="60">
        <v>0</v>
      </c>
      <c r="Y100" s="61">
        <v>0</v>
      </c>
      <c r="Z100" s="60">
        <v>0</v>
      </c>
      <c r="AA100" s="60">
        <v>0</v>
      </c>
      <c r="AB100" s="60">
        <v>0</v>
      </c>
      <c r="AC100" s="60">
        <v>1875000</v>
      </c>
      <c r="AD100" s="62">
        <v>52</v>
      </c>
      <c r="AF100" s="47">
        <f t="shared" si="1"/>
        <v>1875000</v>
      </c>
    </row>
    <row r="101" spans="1:32" x14ac:dyDescent="0.3">
      <c r="A101" s="46" t="s">
        <v>0</v>
      </c>
      <c r="B101" s="46" t="str">
        <f>IFERROR(VLOOKUP($H101,매장구분!$B:$Z,2,0),"")</f>
        <v>리테일채널팀</v>
      </c>
      <c r="C101" s="46" t="str">
        <f>IFERROR(VLOOKUP($H101,매장구분!$B:$Z,3,0),"")</f>
        <v>국내</v>
      </c>
      <c r="D101" s="46" t="str">
        <f>IFERROR(VLOOKUP($H101,매장구분!$B:$Z,5,0),"")</f>
        <v>상설(위탁)</v>
      </c>
      <c r="E101" s="46" t="str">
        <f>IFERROR(VLOOKUP($H101,매장구분!$B:$Z,9,0),"")</f>
        <v>롯데아울렛기흥(상-위)</v>
      </c>
      <c r="F101" s="53"/>
      <c r="G101" s="54" t="s">
        <v>382</v>
      </c>
      <c r="H101" s="55" t="s">
        <v>383</v>
      </c>
      <c r="I101" s="55" t="s">
        <v>169</v>
      </c>
      <c r="J101" s="55" t="s">
        <v>79</v>
      </c>
      <c r="K101" s="55" t="s">
        <v>170</v>
      </c>
      <c r="L101" s="55" t="s">
        <v>171</v>
      </c>
      <c r="M101" s="55" t="s">
        <v>219</v>
      </c>
      <c r="N101" s="55" t="s">
        <v>219</v>
      </c>
      <c r="O101" s="55">
        <v>1291000</v>
      </c>
      <c r="P101" s="55">
        <v>33</v>
      </c>
      <c r="Q101" s="55">
        <v>0</v>
      </c>
      <c r="R101" s="55">
        <v>0</v>
      </c>
      <c r="S101" s="55">
        <v>0</v>
      </c>
      <c r="T101" s="55">
        <v>0</v>
      </c>
      <c r="U101" s="55">
        <v>0</v>
      </c>
      <c r="V101" s="55">
        <v>0</v>
      </c>
      <c r="W101" s="55">
        <v>0</v>
      </c>
      <c r="X101" s="55">
        <v>0</v>
      </c>
      <c r="Y101" s="56">
        <v>0</v>
      </c>
      <c r="Z101" s="55">
        <v>0</v>
      </c>
      <c r="AA101" s="55">
        <v>0</v>
      </c>
      <c r="AB101" s="55">
        <v>0</v>
      </c>
      <c r="AC101" s="55">
        <v>1291000</v>
      </c>
      <c r="AD101" s="57">
        <v>33</v>
      </c>
      <c r="AF101" s="47">
        <f t="shared" si="1"/>
        <v>1291000</v>
      </c>
    </row>
    <row r="102" spans="1:32" x14ac:dyDescent="0.3">
      <c r="A102" s="46" t="s">
        <v>0</v>
      </c>
      <c r="B102" s="46" t="str">
        <f>IFERROR(VLOOKUP($H102,매장구분!$B:$Z,2,0),"")</f>
        <v>파트너채널팀</v>
      </c>
      <c r="C102" s="46" t="str">
        <f>IFERROR(VLOOKUP($H102,매장구분!$B:$Z,3,0),"")</f>
        <v>면세</v>
      </c>
      <c r="D102" s="46" t="str">
        <f>IFERROR(VLOOKUP($H102,매장구분!$B:$Z,5,0),"")</f>
        <v>면세</v>
      </c>
      <c r="E102" s="46" t="str">
        <f>IFERROR(VLOOKUP($H102,매장구분!$B:$Z,9,0),"")</f>
        <v>롯데면세소공</v>
      </c>
      <c r="F102" s="58"/>
      <c r="G102" s="59" t="s">
        <v>384</v>
      </c>
      <c r="H102" s="60" t="s">
        <v>385</v>
      </c>
      <c r="I102" s="60" t="s">
        <v>169</v>
      </c>
      <c r="J102" s="60" t="s">
        <v>175</v>
      </c>
      <c r="K102" s="60" t="s">
        <v>170</v>
      </c>
      <c r="L102" s="60" t="s">
        <v>171</v>
      </c>
      <c r="M102" s="60" t="s">
        <v>176</v>
      </c>
      <c r="N102" s="60" t="s">
        <v>177</v>
      </c>
      <c r="O102" s="60">
        <v>37683900</v>
      </c>
      <c r="P102" s="60">
        <v>602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1">
        <v>0</v>
      </c>
      <c r="Z102" s="60">
        <v>0</v>
      </c>
      <c r="AA102" s="60">
        <v>0</v>
      </c>
      <c r="AB102" s="60">
        <v>0</v>
      </c>
      <c r="AC102" s="60">
        <v>37683900</v>
      </c>
      <c r="AD102" s="62">
        <v>602</v>
      </c>
      <c r="AF102" s="47">
        <f t="shared" si="1"/>
        <v>37683900</v>
      </c>
    </row>
    <row r="103" spans="1:32" x14ac:dyDescent="0.3">
      <c r="A103" s="46" t="s">
        <v>0</v>
      </c>
      <c r="B103" s="46" t="str">
        <f>IFERROR(VLOOKUP($H103,매장구분!$B:$Z,2,0),"")</f>
        <v>리테일채널팀</v>
      </c>
      <c r="C103" s="46" t="str">
        <f>IFERROR(VLOOKUP($H103,매장구분!$B:$Z,3,0),"")</f>
        <v>RF</v>
      </c>
      <c r="D103" s="46" t="str">
        <f>IFERROR(VLOOKUP($H103,매장구분!$B:$Z,5,0),"")</f>
        <v>직영점</v>
      </c>
      <c r="E103" s="46" t="str">
        <f>IFERROR(VLOOKUP($H103,매장구분!$B:$Z,9,0),"")</f>
        <v>홍대(직)</v>
      </c>
      <c r="F103" s="53"/>
      <c r="G103" s="54" t="s">
        <v>386</v>
      </c>
      <c r="H103" s="55" t="s">
        <v>387</v>
      </c>
      <c r="I103" s="55" t="s">
        <v>169</v>
      </c>
      <c r="J103" s="55" t="s">
        <v>180</v>
      </c>
      <c r="K103" s="55" t="s">
        <v>170</v>
      </c>
      <c r="L103" s="55" t="s">
        <v>171</v>
      </c>
      <c r="M103" s="55" t="s">
        <v>196</v>
      </c>
      <c r="N103" s="55" t="s">
        <v>206</v>
      </c>
      <c r="O103" s="55">
        <v>10579100</v>
      </c>
      <c r="P103" s="55">
        <v>152</v>
      </c>
      <c r="Q103" s="55">
        <v>0</v>
      </c>
      <c r="R103" s="55">
        <v>0</v>
      </c>
      <c r="S103" s="55">
        <v>0</v>
      </c>
      <c r="T103" s="55">
        <v>0</v>
      </c>
      <c r="U103" s="55">
        <v>0</v>
      </c>
      <c r="V103" s="55">
        <v>0</v>
      </c>
      <c r="W103" s="55">
        <v>0</v>
      </c>
      <c r="X103" s="55">
        <v>0</v>
      </c>
      <c r="Y103" s="56">
        <v>0</v>
      </c>
      <c r="Z103" s="55">
        <v>0</v>
      </c>
      <c r="AA103" s="55">
        <v>0</v>
      </c>
      <c r="AB103" s="55">
        <v>0</v>
      </c>
      <c r="AC103" s="55">
        <v>10579100</v>
      </c>
      <c r="AD103" s="57">
        <v>152</v>
      </c>
      <c r="AF103" s="47">
        <f t="shared" si="1"/>
        <v>10579100</v>
      </c>
    </row>
    <row r="104" spans="1:32" x14ac:dyDescent="0.3">
      <c r="A104" s="46" t="s">
        <v>0</v>
      </c>
      <c r="B104" s="46" t="str">
        <f>IFERROR(VLOOKUP($H104,매장구분!$B:$Z,2,0),"")</f>
        <v>리테일채널팀</v>
      </c>
      <c r="C104" s="46" t="str">
        <f>IFERROR(VLOOKUP($H104,매장구분!$B:$Z,3,0),"")</f>
        <v>국내</v>
      </c>
      <c r="D104" s="46" t="str">
        <f>IFERROR(VLOOKUP($H104,매장구분!$B:$Z,5,0),"")</f>
        <v>대리점</v>
      </c>
      <c r="E104" s="46" t="str">
        <f>IFERROR(VLOOKUP($H104,매장구분!$B:$Z,9,0),"")</f>
        <v>상주(대-위)</v>
      </c>
      <c r="F104" s="58"/>
      <c r="G104" s="59" t="s">
        <v>388</v>
      </c>
      <c r="H104" s="60" t="s">
        <v>389</v>
      </c>
      <c r="I104" s="60" t="s">
        <v>169</v>
      </c>
      <c r="J104" s="60" t="s">
        <v>79</v>
      </c>
      <c r="K104" s="60" t="s">
        <v>170</v>
      </c>
      <c r="L104" s="60" t="s">
        <v>171</v>
      </c>
      <c r="M104" s="60" t="s">
        <v>196</v>
      </c>
      <c r="N104" s="60" t="s">
        <v>197</v>
      </c>
      <c r="O104" s="60">
        <v>3073057</v>
      </c>
      <c r="P104" s="60">
        <v>36</v>
      </c>
      <c r="Q104" s="60">
        <v>0</v>
      </c>
      <c r="R104" s="60">
        <v>0</v>
      </c>
      <c r="S104" s="60">
        <v>0</v>
      </c>
      <c r="T104" s="60">
        <v>0</v>
      </c>
      <c r="U104" s="60">
        <v>328000</v>
      </c>
      <c r="V104" s="60">
        <v>2</v>
      </c>
      <c r="W104" s="60">
        <v>0</v>
      </c>
      <c r="X104" s="60">
        <v>0</v>
      </c>
      <c r="Y104" s="61">
        <v>0</v>
      </c>
      <c r="Z104" s="60">
        <v>0</v>
      </c>
      <c r="AA104" s="60">
        <v>0</v>
      </c>
      <c r="AB104" s="60">
        <v>0</v>
      </c>
      <c r="AC104" s="60">
        <v>3401057</v>
      </c>
      <c r="AD104" s="62">
        <v>38</v>
      </c>
      <c r="AF104" s="47">
        <f t="shared" si="1"/>
        <v>3401057</v>
      </c>
    </row>
    <row r="105" spans="1:32" x14ac:dyDescent="0.3">
      <c r="A105" s="46" t="s">
        <v>0</v>
      </c>
      <c r="B105" s="46" t="str">
        <f>IFERROR(VLOOKUP($H105,매장구분!$B:$Z,2,0),"")</f>
        <v>리테일채널팀</v>
      </c>
      <c r="C105" s="46" t="str">
        <f>IFERROR(VLOOKUP($H105,매장구분!$B:$Z,3,0),"")</f>
        <v>국내</v>
      </c>
      <c r="D105" s="46" t="str">
        <f>IFERROR(VLOOKUP($H105,매장구분!$B:$Z,5,0),"")</f>
        <v>대리점</v>
      </c>
      <c r="E105" s="46" t="str">
        <f>IFERROR(VLOOKUP($H105,매장구분!$B:$Z,9,0),"")</f>
        <v>순천연향(대-위)</v>
      </c>
      <c r="F105" s="53"/>
      <c r="G105" s="54" t="s">
        <v>390</v>
      </c>
      <c r="H105" s="55" t="s">
        <v>391</v>
      </c>
      <c r="I105" s="55" t="s">
        <v>169</v>
      </c>
      <c r="J105" s="55" t="s">
        <v>79</v>
      </c>
      <c r="K105" s="55" t="s">
        <v>170</v>
      </c>
      <c r="L105" s="55" t="s">
        <v>171</v>
      </c>
      <c r="M105" s="55" t="s">
        <v>196</v>
      </c>
      <c r="N105" s="55" t="s">
        <v>197</v>
      </c>
      <c r="O105" s="55">
        <v>12029712</v>
      </c>
      <c r="P105" s="55">
        <v>110</v>
      </c>
      <c r="Q105" s="55">
        <v>0</v>
      </c>
      <c r="R105" s="55">
        <v>0</v>
      </c>
      <c r="S105" s="55">
        <v>0</v>
      </c>
      <c r="T105" s="55">
        <v>0</v>
      </c>
      <c r="U105" s="55">
        <v>1829000</v>
      </c>
      <c r="V105" s="55">
        <v>9</v>
      </c>
      <c r="W105" s="55">
        <v>0</v>
      </c>
      <c r="X105" s="55">
        <v>0</v>
      </c>
      <c r="Y105" s="56">
        <v>0</v>
      </c>
      <c r="Z105" s="55">
        <v>0</v>
      </c>
      <c r="AA105" s="55">
        <v>0</v>
      </c>
      <c r="AB105" s="55">
        <v>0</v>
      </c>
      <c r="AC105" s="55">
        <v>13858712</v>
      </c>
      <c r="AD105" s="57">
        <v>119</v>
      </c>
      <c r="AF105" s="47">
        <f t="shared" si="1"/>
        <v>13858712</v>
      </c>
    </row>
    <row r="106" spans="1:32" x14ac:dyDescent="0.3">
      <c r="A106" s="46" t="s">
        <v>0</v>
      </c>
      <c r="B106" s="46" t="str">
        <f>IFERROR(VLOOKUP($H106,매장구분!$B:$Z,2,0),"")</f>
        <v>리테일채널팀</v>
      </c>
      <c r="C106" s="46" t="str">
        <f>IFERROR(VLOOKUP($H106,매장구분!$B:$Z,3,0),"")</f>
        <v>국내</v>
      </c>
      <c r="D106" s="46" t="str">
        <f>IFERROR(VLOOKUP($H106,매장구분!$B:$Z,5,0),"")</f>
        <v>대리점</v>
      </c>
      <c r="E106" s="46" t="str">
        <f>IFERROR(VLOOKUP($H106,매장구분!$B:$Z,9,0),"")</f>
        <v>영주(대-위)</v>
      </c>
      <c r="F106" s="58"/>
      <c r="G106" s="59" t="s">
        <v>392</v>
      </c>
      <c r="H106" s="60" t="s">
        <v>393</v>
      </c>
      <c r="I106" s="60" t="s">
        <v>169</v>
      </c>
      <c r="J106" s="60" t="s">
        <v>79</v>
      </c>
      <c r="K106" s="60" t="s">
        <v>170</v>
      </c>
      <c r="L106" s="60" t="s">
        <v>171</v>
      </c>
      <c r="M106" s="60" t="s">
        <v>196</v>
      </c>
      <c r="N106" s="60" t="s">
        <v>197</v>
      </c>
      <c r="O106" s="60">
        <v>3749000</v>
      </c>
      <c r="P106" s="60">
        <v>38</v>
      </c>
      <c r="Q106" s="60">
        <v>0</v>
      </c>
      <c r="R106" s="60">
        <v>0</v>
      </c>
      <c r="S106" s="60">
        <v>0</v>
      </c>
      <c r="T106" s="60">
        <v>0</v>
      </c>
      <c r="U106" s="60">
        <v>109500</v>
      </c>
      <c r="V106" s="60">
        <v>1</v>
      </c>
      <c r="W106" s="60">
        <v>0</v>
      </c>
      <c r="X106" s="60">
        <v>0</v>
      </c>
      <c r="Y106" s="61">
        <v>0</v>
      </c>
      <c r="Z106" s="60">
        <v>0</v>
      </c>
      <c r="AA106" s="60">
        <v>0</v>
      </c>
      <c r="AB106" s="60">
        <v>0</v>
      </c>
      <c r="AC106" s="60">
        <v>3858500</v>
      </c>
      <c r="AD106" s="62">
        <v>39</v>
      </c>
      <c r="AF106" s="47">
        <f t="shared" si="1"/>
        <v>3858500</v>
      </c>
    </row>
    <row r="107" spans="1:32" x14ac:dyDescent="0.3">
      <c r="A107" s="46" t="s">
        <v>0</v>
      </c>
      <c r="B107" s="46" t="str">
        <f>IFERROR(VLOOKUP($H107,매장구분!$B:$Z,2,0),"")</f>
        <v>리테일채널팀</v>
      </c>
      <c r="C107" s="46" t="str">
        <f>IFERROR(VLOOKUP($H107,매장구분!$B:$Z,3,0),"")</f>
        <v>국내</v>
      </c>
      <c r="D107" s="46" t="str">
        <f>IFERROR(VLOOKUP($H107,매장구분!$B:$Z,5,0),"")</f>
        <v>직영점</v>
      </c>
      <c r="E107" s="46" t="str">
        <f>IFERROR(VLOOKUP($H107,매장구분!$B:$Z,9,0),"")</f>
        <v>스타필드하남(직)</v>
      </c>
      <c r="F107" s="53"/>
      <c r="G107" s="54" t="s">
        <v>394</v>
      </c>
      <c r="H107" s="55" t="s">
        <v>395</v>
      </c>
      <c r="I107" s="55" t="s">
        <v>169</v>
      </c>
      <c r="J107" s="55" t="s">
        <v>180</v>
      </c>
      <c r="K107" s="55" t="s">
        <v>170</v>
      </c>
      <c r="L107" s="55" t="s">
        <v>171</v>
      </c>
      <c r="M107" s="55" t="s">
        <v>188</v>
      </c>
      <c r="N107" s="55" t="s">
        <v>189</v>
      </c>
      <c r="O107" s="55">
        <v>14386800</v>
      </c>
      <c r="P107" s="55">
        <v>178</v>
      </c>
      <c r="Q107" s="55">
        <v>658000</v>
      </c>
      <c r="R107" s="55">
        <v>2</v>
      </c>
      <c r="S107" s="55">
        <v>0</v>
      </c>
      <c r="T107" s="55">
        <v>0</v>
      </c>
      <c r="U107" s="55">
        <v>239000</v>
      </c>
      <c r="V107" s="55">
        <v>1</v>
      </c>
      <c r="W107" s="55">
        <v>0</v>
      </c>
      <c r="X107" s="55">
        <v>0</v>
      </c>
      <c r="Y107" s="56">
        <v>0</v>
      </c>
      <c r="Z107" s="55">
        <v>0</v>
      </c>
      <c r="AA107" s="55">
        <v>0</v>
      </c>
      <c r="AB107" s="55">
        <v>0</v>
      </c>
      <c r="AC107" s="55">
        <v>15283800</v>
      </c>
      <c r="AD107" s="57">
        <v>181</v>
      </c>
      <c r="AF107" s="47">
        <f t="shared" si="1"/>
        <v>15283800</v>
      </c>
    </row>
    <row r="108" spans="1:32" x14ac:dyDescent="0.3">
      <c r="A108" s="46" t="s">
        <v>0</v>
      </c>
      <c r="B108" s="46" t="str">
        <f>IFERROR(VLOOKUP($H108,매장구분!$B:$Z,2,0),"")</f>
        <v>파트너채널팀</v>
      </c>
      <c r="C108" s="46" t="str">
        <f>IFERROR(VLOOKUP($H108,매장구분!$B:$Z,3,0),"")</f>
        <v>국내</v>
      </c>
      <c r="D108" s="46" t="str">
        <f>IFERROR(VLOOKUP($H108,매장구분!$B:$Z,5,0),"")</f>
        <v>백화점</v>
      </c>
      <c r="E108" s="46" t="str">
        <f>IFERROR(VLOOKUP($H108,매장구분!$B:$Z,9,0),"")</f>
        <v>AK원주</v>
      </c>
      <c r="F108" s="58"/>
      <c r="G108" s="59" t="s">
        <v>396</v>
      </c>
      <c r="H108" s="60" t="s">
        <v>397</v>
      </c>
      <c r="I108" s="60" t="s">
        <v>169</v>
      </c>
      <c r="J108" s="60" t="s">
        <v>175</v>
      </c>
      <c r="K108" s="60" t="s">
        <v>170</v>
      </c>
      <c r="L108" s="60" t="s">
        <v>171</v>
      </c>
      <c r="M108" s="60" t="s">
        <v>77</v>
      </c>
      <c r="N108" s="60" t="s">
        <v>172</v>
      </c>
      <c r="O108" s="60">
        <v>17517678</v>
      </c>
      <c r="P108" s="60">
        <v>136</v>
      </c>
      <c r="Q108" s="60">
        <v>0</v>
      </c>
      <c r="R108" s="60">
        <v>0</v>
      </c>
      <c r="S108" s="60">
        <v>0</v>
      </c>
      <c r="T108" s="60">
        <v>0</v>
      </c>
      <c r="U108" s="60">
        <v>0</v>
      </c>
      <c r="V108" s="60">
        <v>0</v>
      </c>
      <c r="W108" s="60">
        <v>0</v>
      </c>
      <c r="X108" s="60">
        <v>0</v>
      </c>
      <c r="Y108" s="61">
        <v>14214122</v>
      </c>
      <c r="Z108" s="60">
        <v>178</v>
      </c>
      <c r="AA108" s="60">
        <v>0</v>
      </c>
      <c r="AB108" s="60">
        <v>0</v>
      </c>
      <c r="AC108" s="60">
        <v>31731800</v>
      </c>
      <c r="AD108" s="62">
        <v>314</v>
      </c>
      <c r="AF108" s="47">
        <f t="shared" si="1"/>
        <v>17517678</v>
      </c>
    </row>
    <row r="109" spans="1:32" x14ac:dyDescent="0.3">
      <c r="A109" s="46" t="s">
        <v>0</v>
      </c>
      <c r="B109" s="46" t="str">
        <f>IFERROR(VLOOKUP($H109,매장구분!$B:$Z,2,0),"")</f>
        <v>리테일채널팀</v>
      </c>
      <c r="C109" s="46" t="str">
        <f>IFERROR(VLOOKUP($H109,매장구분!$B:$Z,3,0),"")</f>
        <v>RF</v>
      </c>
      <c r="D109" s="46" t="str">
        <f>IFERROR(VLOOKUP($H109,매장구분!$B:$Z,5,0),"")</f>
        <v>직영점</v>
      </c>
      <c r="E109" s="46" t="str">
        <f>IFERROR(VLOOKUP($H109,매장구분!$B:$Z,9,0),"")</f>
        <v>가로수길(직)</v>
      </c>
      <c r="F109" s="53"/>
      <c r="G109" s="54" t="s">
        <v>398</v>
      </c>
      <c r="H109" s="55" t="s">
        <v>399</v>
      </c>
      <c r="I109" s="55" t="s">
        <v>169</v>
      </c>
      <c r="J109" s="55" t="s">
        <v>180</v>
      </c>
      <c r="K109" s="55" t="s">
        <v>170</v>
      </c>
      <c r="L109" s="55" t="s">
        <v>171</v>
      </c>
      <c r="M109" s="55" t="s">
        <v>196</v>
      </c>
      <c r="N109" s="55" t="s">
        <v>206</v>
      </c>
      <c r="O109" s="55">
        <v>84676150</v>
      </c>
      <c r="P109" s="55">
        <v>1116</v>
      </c>
      <c r="Q109" s="55">
        <v>0</v>
      </c>
      <c r="R109" s="55">
        <v>0</v>
      </c>
      <c r="S109" s="55">
        <v>0</v>
      </c>
      <c r="T109" s="55">
        <v>0</v>
      </c>
      <c r="U109" s="55">
        <v>68600</v>
      </c>
      <c r="V109" s="55">
        <v>2</v>
      </c>
      <c r="W109" s="55">
        <v>0</v>
      </c>
      <c r="X109" s="55">
        <v>0</v>
      </c>
      <c r="Y109" s="56">
        <v>0</v>
      </c>
      <c r="Z109" s="55">
        <v>0</v>
      </c>
      <c r="AA109" s="55">
        <v>0</v>
      </c>
      <c r="AB109" s="55">
        <v>0</v>
      </c>
      <c r="AC109" s="55">
        <v>84744750</v>
      </c>
      <c r="AD109" s="57">
        <v>1118</v>
      </c>
      <c r="AF109" s="47">
        <f t="shared" si="1"/>
        <v>84744750</v>
      </c>
    </row>
    <row r="110" spans="1:32" x14ac:dyDescent="0.3">
      <c r="A110" s="46" t="s">
        <v>0</v>
      </c>
      <c r="B110" s="46" t="str">
        <f>IFERROR(VLOOKUP($H110,매장구분!$B:$Z,2,0),"")</f>
        <v>리테일채널팀</v>
      </c>
      <c r="C110" s="46" t="str">
        <f>IFERROR(VLOOKUP($H110,매장구분!$B:$Z,3,0),"")</f>
        <v>국내</v>
      </c>
      <c r="D110" s="46" t="str">
        <f>IFERROR(VLOOKUP($H110,매장구분!$B:$Z,5,0),"")</f>
        <v>대리점</v>
      </c>
      <c r="E110" s="46" t="str">
        <f>IFERROR(VLOOKUP($H110,매장구분!$B:$Z,9,0),"")</f>
        <v>김포장기(대-위)</v>
      </c>
      <c r="F110" s="58"/>
      <c r="G110" s="59" t="s">
        <v>400</v>
      </c>
      <c r="H110" s="60" t="s">
        <v>401</v>
      </c>
      <c r="I110" s="60" t="s">
        <v>169</v>
      </c>
      <c r="J110" s="60" t="s">
        <v>79</v>
      </c>
      <c r="K110" s="60" t="s">
        <v>170</v>
      </c>
      <c r="L110" s="60" t="s">
        <v>171</v>
      </c>
      <c r="M110" s="60" t="s">
        <v>196</v>
      </c>
      <c r="N110" s="60" t="s">
        <v>197</v>
      </c>
      <c r="O110" s="60">
        <v>9194800</v>
      </c>
      <c r="P110" s="60">
        <v>85</v>
      </c>
      <c r="Q110" s="60">
        <v>0</v>
      </c>
      <c r="R110" s="60">
        <v>0</v>
      </c>
      <c r="S110" s="60">
        <v>0</v>
      </c>
      <c r="T110" s="60">
        <v>0</v>
      </c>
      <c r="U110" s="60">
        <v>925000</v>
      </c>
      <c r="V110" s="60">
        <v>5</v>
      </c>
      <c r="W110" s="60">
        <v>0</v>
      </c>
      <c r="X110" s="60">
        <v>0</v>
      </c>
      <c r="Y110" s="61">
        <v>0</v>
      </c>
      <c r="Z110" s="60">
        <v>0</v>
      </c>
      <c r="AA110" s="60">
        <v>0</v>
      </c>
      <c r="AB110" s="60">
        <v>0</v>
      </c>
      <c r="AC110" s="60">
        <v>10119800</v>
      </c>
      <c r="AD110" s="62">
        <v>90</v>
      </c>
      <c r="AF110" s="47">
        <f t="shared" si="1"/>
        <v>10119800</v>
      </c>
    </row>
    <row r="111" spans="1:32" x14ac:dyDescent="0.3">
      <c r="A111" s="46" t="s">
        <v>0</v>
      </c>
      <c r="B111" s="46" t="str">
        <f>IFERROR(VLOOKUP($H111,매장구분!$B:$Z,2,0),"")</f>
        <v>파트너채널팀</v>
      </c>
      <c r="C111" s="46" t="str">
        <f>IFERROR(VLOOKUP($H111,매장구분!$B:$Z,3,0),"")</f>
        <v>국내</v>
      </c>
      <c r="D111" s="46" t="str">
        <f>IFERROR(VLOOKUP($H111,매장구분!$B:$Z,5,0),"")</f>
        <v>백화점</v>
      </c>
      <c r="E111" s="46" t="str">
        <f>IFERROR(VLOOKUP($H111,매장구분!$B:$Z,9,0),"")</f>
        <v>롯데수원</v>
      </c>
      <c r="F111" s="53"/>
      <c r="G111" s="54" t="s">
        <v>402</v>
      </c>
      <c r="H111" s="55" t="s">
        <v>403</v>
      </c>
      <c r="I111" s="55" t="s">
        <v>169</v>
      </c>
      <c r="J111" s="55" t="s">
        <v>175</v>
      </c>
      <c r="K111" s="55" t="s">
        <v>170</v>
      </c>
      <c r="L111" s="55" t="s">
        <v>171</v>
      </c>
      <c r="M111" s="55" t="s">
        <v>77</v>
      </c>
      <c r="N111" s="55" t="s">
        <v>172</v>
      </c>
      <c r="O111" s="55">
        <v>18769400</v>
      </c>
      <c r="P111" s="55">
        <v>178</v>
      </c>
      <c r="Q111" s="55">
        <v>-1641100</v>
      </c>
      <c r="R111" s="55">
        <v>-2</v>
      </c>
      <c r="S111" s="55">
        <v>0</v>
      </c>
      <c r="T111" s="55">
        <v>0</v>
      </c>
      <c r="U111" s="55">
        <v>-4164100</v>
      </c>
      <c r="V111" s="55">
        <v>-32</v>
      </c>
      <c r="W111" s="55">
        <v>0</v>
      </c>
      <c r="X111" s="55">
        <v>0</v>
      </c>
      <c r="Y111" s="56">
        <v>0</v>
      </c>
      <c r="Z111" s="55">
        <v>0</v>
      </c>
      <c r="AA111" s="55">
        <v>3916100</v>
      </c>
      <c r="AB111" s="55">
        <v>30</v>
      </c>
      <c r="AC111" s="55">
        <v>16880300</v>
      </c>
      <c r="AD111" s="57">
        <v>174</v>
      </c>
      <c r="AF111" s="47">
        <f t="shared" si="1"/>
        <v>16880300</v>
      </c>
    </row>
    <row r="112" spans="1:32" x14ac:dyDescent="0.3">
      <c r="A112" s="46" t="s">
        <v>0</v>
      </c>
      <c r="B112" s="46" t="str">
        <f>IFERROR(VLOOKUP($H112,매장구분!$B:$Z,2,0),"")</f>
        <v>파트너채널팀</v>
      </c>
      <c r="C112" s="46" t="str">
        <f>IFERROR(VLOOKUP($H112,매장구분!$B:$Z,3,0),"")</f>
        <v>국내</v>
      </c>
      <c r="D112" s="46" t="str">
        <f>IFERROR(VLOOKUP($H112,매장구분!$B:$Z,5,0),"")</f>
        <v>백화점</v>
      </c>
      <c r="E112" s="46" t="str">
        <f>IFERROR(VLOOKUP($H112,매장구분!$B:$Z,9,0),"")</f>
        <v>롯데광주</v>
      </c>
      <c r="F112" s="58"/>
      <c r="G112" s="59" t="s">
        <v>404</v>
      </c>
      <c r="H112" s="60" t="s">
        <v>405</v>
      </c>
      <c r="I112" s="60" t="s">
        <v>169</v>
      </c>
      <c r="J112" s="60" t="s">
        <v>175</v>
      </c>
      <c r="K112" s="60" t="s">
        <v>170</v>
      </c>
      <c r="L112" s="60" t="s">
        <v>171</v>
      </c>
      <c r="M112" s="60" t="s">
        <v>77</v>
      </c>
      <c r="N112" s="60" t="s">
        <v>172</v>
      </c>
      <c r="O112" s="60">
        <v>6531810</v>
      </c>
      <c r="P112" s="60">
        <v>67</v>
      </c>
      <c r="Q112" s="60">
        <v>0</v>
      </c>
      <c r="R112" s="60">
        <v>0</v>
      </c>
      <c r="S112" s="60">
        <v>0</v>
      </c>
      <c r="T112" s="60">
        <v>0</v>
      </c>
      <c r="U112" s="60">
        <v>1132500</v>
      </c>
      <c r="V112" s="60">
        <v>10</v>
      </c>
      <c r="W112" s="60">
        <v>0</v>
      </c>
      <c r="X112" s="60">
        <v>0</v>
      </c>
      <c r="Y112" s="61">
        <v>0</v>
      </c>
      <c r="Z112" s="60">
        <v>0</v>
      </c>
      <c r="AA112" s="60">
        <v>0</v>
      </c>
      <c r="AB112" s="60">
        <v>0</v>
      </c>
      <c r="AC112" s="60">
        <v>7664310</v>
      </c>
      <c r="AD112" s="62">
        <v>77</v>
      </c>
      <c r="AF112" s="47">
        <f t="shared" si="1"/>
        <v>7664310</v>
      </c>
    </row>
    <row r="113" spans="1:32" x14ac:dyDescent="0.3">
      <c r="A113" s="46" t="s">
        <v>0</v>
      </c>
      <c r="B113" s="46" t="str">
        <f>IFERROR(VLOOKUP($H113,매장구분!$B:$Z,2,0),"")</f>
        <v>파트너채널팀</v>
      </c>
      <c r="C113" s="46" t="str">
        <f>IFERROR(VLOOKUP($H113,매장구분!$B:$Z,3,0),"")</f>
        <v>국내</v>
      </c>
      <c r="D113" s="46" t="str">
        <f>IFERROR(VLOOKUP($H113,매장구분!$B:$Z,5,0),"")</f>
        <v>백화점</v>
      </c>
      <c r="E113" s="46" t="str">
        <f>IFERROR(VLOOKUP($H113,매장구분!$B:$Z,9,0),"")</f>
        <v>롯데동탄</v>
      </c>
      <c r="F113" s="53"/>
      <c r="G113" s="54" t="s">
        <v>406</v>
      </c>
      <c r="H113" s="55" t="s">
        <v>407</v>
      </c>
      <c r="I113" s="55" t="s">
        <v>169</v>
      </c>
      <c r="J113" s="55" t="s">
        <v>175</v>
      </c>
      <c r="K113" s="55" t="s">
        <v>170</v>
      </c>
      <c r="L113" s="55" t="s">
        <v>171</v>
      </c>
      <c r="M113" s="55" t="s">
        <v>77</v>
      </c>
      <c r="N113" s="55" t="s">
        <v>172</v>
      </c>
      <c r="O113" s="55">
        <v>5903960</v>
      </c>
      <c r="P113" s="55">
        <v>85</v>
      </c>
      <c r="Q113" s="55">
        <v>256000</v>
      </c>
      <c r="R113" s="55">
        <v>7</v>
      </c>
      <c r="S113" s="55">
        <v>0</v>
      </c>
      <c r="T113" s="55">
        <v>0</v>
      </c>
      <c r="U113" s="55">
        <v>1142440</v>
      </c>
      <c r="V113" s="55">
        <v>9</v>
      </c>
      <c r="W113" s="55">
        <v>0</v>
      </c>
      <c r="X113" s="55">
        <v>0</v>
      </c>
      <c r="Y113" s="56">
        <v>2214000</v>
      </c>
      <c r="Z113" s="55">
        <v>40</v>
      </c>
      <c r="AA113" s="55">
        <v>0</v>
      </c>
      <c r="AB113" s="55">
        <v>0</v>
      </c>
      <c r="AC113" s="55">
        <v>9516400</v>
      </c>
      <c r="AD113" s="57">
        <v>141</v>
      </c>
      <c r="AF113" s="47">
        <f t="shared" si="1"/>
        <v>7302400</v>
      </c>
    </row>
    <row r="114" spans="1:32" x14ac:dyDescent="0.3">
      <c r="A114" s="46" t="s">
        <v>0</v>
      </c>
      <c r="B114" s="46" t="str">
        <f>IFERROR(VLOOKUP($H114,매장구분!$B:$Z,2,0),"")</f>
        <v>리테일채널팀</v>
      </c>
      <c r="C114" s="46" t="str">
        <f>IFERROR(VLOOKUP($H114,매장구분!$B:$Z,3,0),"")</f>
        <v>국내</v>
      </c>
      <c r="D114" s="46" t="str">
        <f>IFERROR(VLOOKUP($H114,매장구분!$B:$Z,5,0),"")</f>
        <v>직영점</v>
      </c>
      <c r="E114" s="46" t="str">
        <f>IFERROR(VLOOKUP($H114,매장구분!$B:$Z,9,0),"")</f>
        <v>타임테라스동탄(직)</v>
      </c>
      <c r="F114" s="58"/>
      <c r="G114" s="59" t="s">
        <v>408</v>
      </c>
      <c r="H114" s="60" t="s">
        <v>409</v>
      </c>
      <c r="I114" s="60" t="s">
        <v>169</v>
      </c>
      <c r="J114" s="60" t="s">
        <v>180</v>
      </c>
      <c r="K114" s="60" t="s">
        <v>170</v>
      </c>
      <c r="L114" s="60" t="s">
        <v>171</v>
      </c>
      <c r="M114" s="60" t="s">
        <v>188</v>
      </c>
      <c r="N114" s="60" t="s">
        <v>317</v>
      </c>
      <c r="O114" s="60">
        <v>4994300</v>
      </c>
      <c r="P114" s="60">
        <v>52</v>
      </c>
      <c r="Q114" s="60">
        <v>0</v>
      </c>
      <c r="R114" s="60">
        <v>0</v>
      </c>
      <c r="S114" s="60">
        <v>0</v>
      </c>
      <c r="T114" s="60">
        <v>0</v>
      </c>
      <c r="U114" s="60">
        <v>0</v>
      </c>
      <c r="V114" s="60">
        <v>0</v>
      </c>
      <c r="W114" s="60">
        <v>0</v>
      </c>
      <c r="X114" s="60">
        <v>0</v>
      </c>
      <c r="Y114" s="61">
        <v>0</v>
      </c>
      <c r="Z114" s="60">
        <v>0</v>
      </c>
      <c r="AA114" s="60">
        <v>0</v>
      </c>
      <c r="AB114" s="60">
        <v>0</v>
      </c>
      <c r="AC114" s="60">
        <v>4994300</v>
      </c>
      <c r="AD114" s="62">
        <v>52</v>
      </c>
      <c r="AF114" s="47">
        <f t="shared" si="1"/>
        <v>4994300</v>
      </c>
    </row>
    <row r="115" spans="1:32" x14ac:dyDescent="0.3">
      <c r="A115" s="46" t="s">
        <v>0</v>
      </c>
      <c r="B115" s="46" t="str">
        <f>IFERROR(VLOOKUP($H115,매장구분!$B:$Z,2,0),"")</f>
        <v>리테일채널팀</v>
      </c>
      <c r="C115" s="46" t="str">
        <f>IFERROR(VLOOKUP($H115,매장구분!$B:$Z,3,0),"")</f>
        <v>국내</v>
      </c>
      <c r="D115" s="46" t="str">
        <f>IFERROR(VLOOKUP($H115,매장구분!$B:$Z,5,0),"")</f>
        <v>대리점</v>
      </c>
      <c r="E115" s="46" t="str">
        <f>IFERROR(VLOOKUP($H115,매장구분!$B:$Z,9,0),"")</f>
        <v>남원(대-위)</v>
      </c>
      <c r="F115" s="53"/>
      <c r="G115" s="54" t="s">
        <v>410</v>
      </c>
      <c r="H115" s="55" t="s">
        <v>411</v>
      </c>
      <c r="I115" s="55" t="s">
        <v>169</v>
      </c>
      <c r="J115" s="55" t="s">
        <v>79</v>
      </c>
      <c r="K115" s="55" t="s">
        <v>170</v>
      </c>
      <c r="L115" s="55" t="s">
        <v>171</v>
      </c>
      <c r="M115" s="55" t="s">
        <v>196</v>
      </c>
      <c r="N115" s="55" t="s">
        <v>197</v>
      </c>
      <c r="O115" s="55">
        <v>5888634</v>
      </c>
      <c r="P115" s="55">
        <v>53</v>
      </c>
      <c r="Q115" s="55">
        <v>0</v>
      </c>
      <c r="R115" s="55">
        <v>0</v>
      </c>
      <c r="S115" s="55">
        <v>0</v>
      </c>
      <c r="T115" s="55">
        <v>0</v>
      </c>
      <c r="U115" s="55">
        <v>274266</v>
      </c>
      <c r="V115" s="55">
        <v>2</v>
      </c>
      <c r="W115" s="55">
        <v>0</v>
      </c>
      <c r="X115" s="55">
        <v>0</v>
      </c>
      <c r="Y115" s="56">
        <v>0</v>
      </c>
      <c r="Z115" s="55">
        <v>0</v>
      </c>
      <c r="AA115" s="55">
        <v>0</v>
      </c>
      <c r="AB115" s="55">
        <v>0</v>
      </c>
      <c r="AC115" s="55">
        <v>6162900</v>
      </c>
      <c r="AD115" s="57">
        <v>55</v>
      </c>
      <c r="AF115" s="47">
        <f t="shared" si="1"/>
        <v>6162900</v>
      </c>
    </row>
    <row r="116" spans="1:32" x14ac:dyDescent="0.3">
      <c r="A116" s="46" t="s">
        <v>0</v>
      </c>
      <c r="B116" s="46" t="str">
        <f>IFERROR(VLOOKUP($H116,매장구분!$B:$Z,2,0),"")</f>
        <v>파트너채널팀</v>
      </c>
      <c r="C116" s="46" t="str">
        <f>IFERROR(VLOOKUP($H116,매장구분!$B:$Z,3,0),"")</f>
        <v>국내</v>
      </c>
      <c r="D116" s="46" t="str">
        <f>IFERROR(VLOOKUP($H116,매장구분!$B:$Z,5,0),"")</f>
        <v>백화점</v>
      </c>
      <c r="E116" s="46" t="str">
        <f>IFERROR(VLOOKUP($H116,매장구분!$B:$Z,9,0),"")</f>
        <v>롯데평촌</v>
      </c>
      <c r="F116" s="58"/>
      <c r="G116" s="59" t="s">
        <v>412</v>
      </c>
      <c r="H116" s="60" t="s">
        <v>413</v>
      </c>
      <c r="I116" s="60" t="s">
        <v>169</v>
      </c>
      <c r="J116" s="60" t="s">
        <v>175</v>
      </c>
      <c r="K116" s="60" t="s">
        <v>170</v>
      </c>
      <c r="L116" s="60" t="s">
        <v>171</v>
      </c>
      <c r="M116" s="60" t="s">
        <v>77</v>
      </c>
      <c r="N116" s="60" t="s">
        <v>172</v>
      </c>
      <c r="O116" s="60">
        <v>8666364</v>
      </c>
      <c r="P116" s="60">
        <v>78</v>
      </c>
      <c r="Q116" s="60">
        <v>0</v>
      </c>
      <c r="R116" s="60">
        <v>0</v>
      </c>
      <c r="S116" s="60">
        <v>0</v>
      </c>
      <c r="T116" s="60">
        <v>0</v>
      </c>
      <c r="U116" s="60">
        <v>1999636</v>
      </c>
      <c r="V116" s="60">
        <v>10</v>
      </c>
      <c r="W116" s="60">
        <v>0</v>
      </c>
      <c r="X116" s="60">
        <v>0</v>
      </c>
      <c r="Y116" s="61">
        <v>11995300</v>
      </c>
      <c r="Z116" s="60">
        <v>69</v>
      </c>
      <c r="AA116" s="60">
        <v>0</v>
      </c>
      <c r="AB116" s="60">
        <v>0</v>
      </c>
      <c r="AC116" s="60">
        <v>22661300</v>
      </c>
      <c r="AD116" s="62">
        <v>157</v>
      </c>
      <c r="AF116" s="47">
        <f t="shared" si="1"/>
        <v>10666000</v>
      </c>
    </row>
    <row r="117" spans="1:32" x14ac:dyDescent="0.3">
      <c r="A117" s="46" t="s">
        <v>0</v>
      </c>
      <c r="B117" s="46" t="str">
        <f>IFERROR(VLOOKUP($H117,매장구분!$B:$Z,2,0),"")</f>
        <v>파트너채널팀</v>
      </c>
      <c r="C117" s="46" t="str">
        <f>IFERROR(VLOOKUP($H117,매장구분!$B:$Z,3,0),"")</f>
        <v>국내</v>
      </c>
      <c r="D117" s="46" t="str">
        <f>IFERROR(VLOOKUP($H117,매장구분!$B:$Z,5,0),"")</f>
        <v>백화점</v>
      </c>
      <c r="E117" s="46" t="str">
        <f>IFERROR(VLOOKUP($H117,매장구분!$B:$Z,9,0),"")</f>
        <v>엔터식스안양</v>
      </c>
      <c r="F117" s="53"/>
      <c r="G117" s="54" t="s">
        <v>414</v>
      </c>
      <c r="H117" s="55" t="s">
        <v>415</v>
      </c>
      <c r="I117" s="55" t="s">
        <v>169</v>
      </c>
      <c r="J117" s="55" t="s">
        <v>175</v>
      </c>
      <c r="K117" s="55" t="s">
        <v>170</v>
      </c>
      <c r="L117" s="55" t="s">
        <v>171</v>
      </c>
      <c r="M117" s="55" t="s">
        <v>188</v>
      </c>
      <c r="N117" s="55" t="s">
        <v>317</v>
      </c>
      <c r="O117" s="55">
        <v>7663400</v>
      </c>
      <c r="P117" s="55">
        <v>100</v>
      </c>
      <c r="Q117" s="55">
        <v>0</v>
      </c>
      <c r="R117" s="55">
        <v>0</v>
      </c>
      <c r="S117" s="55">
        <v>0</v>
      </c>
      <c r="T117" s="55">
        <v>0</v>
      </c>
      <c r="U117" s="55">
        <v>607000</v>
      </c>
      <c r="V117" s="55">
        <v>3</v>
      </c>
      <c r="W117" s="55">
        <v>0</v>
      </c>
      <c r="X117" s="55">
        <v>0</v>
      </c>
      <c r="Y117" s="56">
        <v>0</v>
      </c>
      <c r="Z117" s="55">
        <v>0</v>
      </c>
      <c r="AA117" s="55">
        <v>0</v>
      </c>
      <c r="AB117" s="55">
        <v>0</v>
      </c>
      <c r="AC117" s="55">
        <v>8270400</v>
      </c>
      <c r="AD117" s="57">
        <v>103</v>
      </c>
      <c r="AF117" s="47">
        <f t="shared" si="1"/>
        <v>8270400</v>
      </c>
    </row>
    <row r="118" spans="1:32" x14ac:dyDescent="0.3">
      <c r="A118" s="46" t="s">
        <v>0</v>
      </c>
      <c r="B118" s="46" t="str">
        <f>IFERROR(VLOOKUP($H118,매장구분!$B:$Z,2,0),"")</f>
        <v>파트너채널팀</v>
      </c>
      <c r="C118" s="46" t="str">
        <f>IFERROR(VLOOKUP($H118,매장구분!$B:$Z,3,0),"")</f>
        <v>국내</v>
      </c>
      <c r="D118" s="46" t="str">
        <f>IFERROR(VLOOKUP($H118,매장구분!$B:$Z,5,0),"")</f>
        <v>백화점</v>
      </c>
      <c r="E118" s="46" t="str">
        <f>IFERROR(VLOOKUP($H118,매장구분!$B:$Z,9,0),"")</f>
        <v>신세계영등포</v>
      </c>
      <c r="F118" s="58"/>
      <c r="G118" s="59" t="s">
        <v>416</v>
      </c>
      <c r="H118" s="60" t="s">
        <v>417</v>
      </c>
      <c r="I118" s="60" t="s">
        <v>169</v>
      </c>
      <c r="J118" s="60" t="s">
        <v>175</v>
      </c>
      <c r="K118" s="60" t="s">
        <v>170</v>
      </c>
      <c r="L118" s="60" t="s">
        <v>171</v>
      </c>
      <c r="M118" s="60" t="s">
        <v>77</v>
      </c>
      <c r="N118" s="60" t="s">
        <v>172</v>
      </c>
      <c r="O118" s="60">
        <v>5145900</v>
      </c>
      <c r="P118" s="60">
        <v>56</v>
      </c>
      <c r="Q118" s="60">
        <v>0</v>
      </c>
      <c r="R118" s="60">
        <v>0</v>
      </c>
      <c r="S118" s="60">
        <v>0</v>
      </c>
      <c r="T118" s="60">
        <v>0</v>
      </c>
      <c r="U118" s="60">
        <v>537000</v>
      </c>
      <c r="V118" s="60">
        <v>3</v>
      </c>
      <c r="W118" s="60">
        <v>0</v>
      </c>
      <c r="X118" s="60">
        <v>0</v>
      </c>
      <c r="Y118" s="61">
        <v>3636000</v>
      </c>
      <c r="Z118" s="60">
        <v>31</v>
      </c>
      <c r="AA118" s="60">
        <v>0</v>
      </c>
      <c r="AB118" s="60">
        <v>0</v>
      </c>
      <c r="AC118" s="60">
        <v>9318900</v>
      </c>
      <c r="AD118" s="62">
        <v>90</v>
      </c>
      <c r="AF118" s="47">
        <f t="shared" si="1"/>
        <v>5682900</v>
      </c>
    </row>
    <row r="119" spans="1:32" x14ac:dyDescent="0.3">
      <c r="A119" s="46" t="s">
        <v>0</v>
      </c>
      <c r="B119" s="46" t="str">
        <f>IFERROR(VLOOKUP($H119,매장구분!$B:$Z,2,0),"")</f>
        <v>리테일채널팀</v>
      </c>
      <c r="C119" s="46" t="str">
        <f>IFERROR(VLOOKUP($H119,매장구분!$B:$Z,3,0),"")</f>
        <v>국내</v>
      </c>
      <c r="D119" s="46" t="str">
        <f>IFERROR(VLOOKUP($H119,매장구분!$B:$Z,5,0),"")</f>
        <v>대리점</v>
      </c>
      <c r="E119" s="46" t="str">
        <f>IFERROR(VLOOKUP($H119,매장구분!$B:$Z,9,0),"")</f>
        <v>홍성(대-위)</v>
      </c>
      <c r="F119" s="53"/>
      <c r="G119" s="54" t="s">
        <v>418</v>
      </c>
      <c r="H119" s="55" t="s">
        <v>419</v>
      </c>
      <c r="I119" s="55" t="s">
        <v>169</v>
      </c>
      <c r="J119" s="55" t="s">
        <v>79</v>
      </c>
      <c r="K119" s="55" t="s">
        <v>170</v>
      </c>
      <c r="L119" s="55" t="s">
        <v>171</v>
      </c>
      <c r="M119" s="55" t="s">
        <v>196</v>
      </c>
      <c r="N119" s="55" t="s">
        <v>197</v>
      </c>
      <c r="O119" s="55">
        <v>2613000</v>
      </c>
      <c r="P119" s="55">
        <v>22</v>
      </c>
      <c r="Q119" s="55">
        <v>0</v>
      </c>
      <c r="R119" s="55">
        <v>0</v>
      </c>
      <c r="S119" s="55">
        <v>0</v>
      </c>
      <c r="T119" s="55">
        <v>0</v>
      </c>
      <c r="U119" s="55">
        <v>60000</v>
      </c>
      <c r="V119" s="55">
        <v>0</v>
      </c>
      <c r="W119" s="55">
        <v>0</v>
      </c>
      <c r="X119" s="55">
        <v>0</v>
      </c>
      <c r="Y119" s="56">
        <v>0</v>
      </c>
      <c r="Z119" s="55">
        <v>0</v>
      </c>
      <c r="AA119" s="55">
        <v>0</v>
      </c>
      <c r="AB119" s="55">
        <v>0</v>
      </c>
      <c r="AC119" s="55">
        <v>2673000</v>
      </c>
      <c r="AD119" s="57">
        <v>22</v>
      </c>
      <c r="AF119" s="47">
        <f t="shared" si="1"/>
        <v>2673000</v>
      </c>
    </row>
    <row r="120" spans="1:32" x14ac:dyDescent="0.3">
      <c r="A120" s="46" t="s">
        <v>0</v>
      </c>
      <c r="B120" s="46" t="str">
        <f>IFERROR(VLOOKUP($H120,매장구분!$B:$Z,2,0),"")</f>
        <v>리테일채널팀</v>
      </c>
      <c r="C120" s="46" t="str">
        <f>IFERROR(VLOOKUP($H120,매장구분!$B:$Z,3,0),"")</f>
        <v>국내</v>
      </c>
      <c r="D120" s="46" t="str">
        <f>IFERROR(VLOOKUP($H120,매장구분!$B:$Z,5,0),"")</f>
        <v>대리점</v>
      </c>
      <c r="E120" s="46" t="str">
        <f>IFERROR(VLOOKUP($H120,매장구분!$B:$Z,9,0),"")</f>
        <v>광명(대-위)</v>
      </c>
      <c r="F120" s="58"/>
      <c r="G120" s="59" t="s">
        <v>420</v>
      </c>
      <c r="H120" s="60" t="s">
        <v>421</v>
      </c>
      <c r="I120" s="60" t="s">
        <v>169</v>
      </c>
      <c r="J120" s="60" t="s">
        <v>79</v>
      </c>
      <c r="K120" s="60" t="s">
        <v>170</v>
      </c>
      <c r="L120" s="60" t="s">
        <v>171</v>
      </c>
      <c r="M120" s="60" t="s">
        <v>196</v>
      </c>
      <c r="N120" s="60" t="s">
        <v>197</v>
      </c>
      <c r="O120" s="60">
        <v>2709300</v>
      </c>
      <c r="P120" s="60">
        <v>23</v>
      </c>
      <c r="Q120" s="60">
        <v>0</v>
      </c>
      <c r="R120" s="60">
        <v>0</v>
      </c>
      <c r="S120" s="60">
        <v>0</v>
      </c>
      <c r="T120" s="60">
        <v>0</v>
      </c>
      <c r="U120" s="60">
        <v>318000</v>
      </c>
      <c r="V120" s="60">
        <v>2</v>
      </c>
      <c r="W120" s="60">
        <v>0</v>
      </c>
      <c r="X120" s="60">
        <v>0</v>
      </c>
      <c r="Y120" s="61">
        <v>85621000</v>
      </c>
      <c r="Z120" s="60">
        <v>1596</v>
      </c>
      <c r="AA120" s="60">
        <v>0</v>
      </c>
      <c r="AB120" s="60">
        <v>0</v>
      </c>
      <c r="AC120" s="60">
        <v>88648300</v>
      </c>
      <c r="AD120" s="62">
        <v>1621</v>
      </c>
      <c r="AF120" s="47">
        <f t="shared" si="1"/>
        <v>3027300</v>
      </c>
    </row>
    <row r="121" spans="1:32" x14ac:dyDescent="0.3">
      <c r="A121" s="46" t="s">
        <v>0</v>
      </c>
      <c r="B121" s="46" t="str">
        <f>IFERROR(VLOOKUP($H121,매장구분!$B:$Z,2,0),"")</f>
        <v>파트너채널팀</v>
      </c>
      <c r="C121" s="46" t="str">
        <f>IFERROR(VLOOKUP($H121,매장구분!$B:$Z,3,0),"")</f>
        <v>국내</v>
      </c>
      <c r="D121" s="46" t="str">
        <f>IFERROR(VLOOKUP($H121,매장구분!$B:$Z,5,0),"")</f>
        <v>백화점</v>
      </c>
      <c r="E121" s="46" t="str">
        <f>IFERROR(VLOOKUP($H121,매장구분!$B:$Z,9,0),"")</f>
        <v>더현대서울</v>
      </c>
      <c r="F121" s="53"/>
      <c r="G121" s="54" t="s">
        <v>422</v>
      </c>
      <c r="H121" s="55" t="s">
        <v>423</v>
      </c>
      <c r="I121" s="55" t="s">
        <v>169</v>
      </c>
      <c r="J121" s="55" t="s">
        <v>175</v>
      </c>
      <c r="K121" s="55" t="s">
        <v>170</v>
      </c>
      <c r="L121" s="55" t="s">
        <v>171</v>
      </c>
      <c r="M121" s="55" t="s">
        <v>188</v>
      </c>
      <c r="N121" s="55" t="s">
        <v>189</v>
      </c>
      <c r="O121" s="55">
        <v>18163000</v>
      </c>
      <c r="P121" s="55">
        <v>168</v>
      </c>
      <c r="Q121" s="55">
        <v>0</v>
      </c>
      <c r="R121" s="55">
        <v>0</v>
      </c>
      <c r="S121" s="55">
        <v>0</v>
      </c>
      <c r="T121" s="55">
        <v>0</v>
      </c>
      <c r="U121" s="55">
        <v>1025000</v>
      </c>
      <c r="V121" s="55">
        <v>5</v>
      </c>
      <c r="W121" s="55">
        <v>0</v>
      </c>
      <c r="X121" s="55">
        <v>0</v>
      </c>
      <c r="Y121" s="56">
        <v>0</v>
      </c>
      <c r="Z121" s="55">
        <v>0</v>
      </c>
      <c r="AA121" s="55">
        <v>0</v>
      </c>
      <c r="AB121" s="55">
        <v>0</v>
      </c>
      <c r="AC121" s="55">
        <v>19188000</v>
      </c>
      <c r="AD121" s="57">
        <v>173</v>
      </c>
      <c r="AF121" s="47">
        <f t="shared" si="1"/>
        <v>19188000</v>
      </c>
    </row>
    <row r="122" spans="1:32" x14ac:dyDescent="0.3">
      <c r="A122" s="46" t="s">
        <v>0</v>
      </c>
      <c r="B122" s="46" t="str">
        <f>IFERROR(VLOOKUP($H122,매장구분!$B:$Z,2,0),"")</f>
        <v>리테일채널팀</v>
      </c>
      <c r="C122" s="46" t="str">
        <f>IFERROR(VLOOKUP($H122,매장구분!$B:$Z,3,0),"")</f>
        <v>국내</v>
      </c>
      <c r="D122" s="46" t="str">
        <f>IFERROR(VLOOKUP($H122,매장구분!$B:$Z,5,0),"")</f>
        <v>대리점</v>
      </c>
      <c r="E122" s="46" t="str">
        <f>IFERROR(VLOOKUP($H122,매장구분!$B:$Z,9,0),"")</f>
        <v>안동(대-위)</v>
      </c>
      <c r="F122" s="58"/>
      <c r="G122" s="59" t="s">
        <v>424</v>
      </c>
      <c r="H122" s="60" t="s">
        <v>425</v>
      </c>
      <c r="I122" s="60" t="s">
        <v>169</v>
      </c>
      <c r="J122" s="60" t="s">
        <v>79</v>
      </c>
      <c r="K122" s="60" t="s">
        <v>170</v>
      </c>
      <c r="L122" s="60" t="s">
        <v>171</v>
      </c>
      <c r="M122" s="60" t="s">
        <v>196</v>
      </c>
      <c r="N122" s="60" t="s">
        <v>197</v>
      </c>
      <c r="O122" s="60">
        <v>5123000</v>
      </c>
      <c r="P122" s="60">
        <v>46</v>
      </c>
      <c r="Q122" s="60">
        <v>0</v>
      </c>
      <c r="R122" s="60">
        <v>0</v>
      </c>
      <c r="S122" s="60">
        <v>0</v>
      </c>
      <c r="T122" s="60">
        <v>0</v>
      </c>
      <c r="U122" s="60">
        <v>368000</v>
      </c>
      <c r="V122" s="60">
        <v>2</v>
      </c>
      <c r="W122" s="60">
        <v>0</v>
      </c>
      <c r="X122" s="60">
        <v>0</v>
      </c>
      <c r="Y122" s="61">
        <v>0</v>
      </c>
      <c r="Z122" s="60">
        <v>0</v>
      </c>
      <c r="AA122" s="60">
        <v>0</v>
      </c>
      <c r="AB122" s="60">
        <v>0</v>
      </c>
      <c r="AC122" s="60">
        <v>5491000</v>
      </c>
      <c r="AD122" s="62">
        <v>48</v>
      </c>
      <c r="AF122" s="47">
        <f t="shared" si="1"/>
        <v>5491000</v>
      </c>
    </row>
    <row r="123" spans="1:32" x14ac:dyDescent="0.3">
      <c r="A123" s="46" t="s">
        <v>0</v>
      </c>
      <c r="B123" s="46" t="str">
        <f>IFERROR(VLOOKUP($H123,매장구분!$B:$Z,2,0),"")</f>
        <v>파트너채널팀</v>
      </c>
      <c r="C123" s="46" t="str">
        <f>IFERROR(VLOOKUP($H123,매장구분!$B:$Z,3,0),"")</f>
        <v>국내</v>
      </c>
      <c r="D123" s="46" t="str">
        <f>IFERROR(VLOOKUP($H123,매장구분!$B:$Z,5,0),"")</f>
        <v>백화점</v>
      </c>
      <c r="E123" s="46" t="str">
        <f>IFERROR(VLOOKUP($H123,매장구분!$B:$Z,9,0),"")</f>
        <v>신세계마산</v>
      </c>
      <c r="F123" s="53"/>
      <c r="G123" s="54" t="s">
        <v>426</v>
      </c>
      <c r="H123" s="55" t="s">
        <v>427</v>
      </c>
      <c r="I123" s="55" t="s">
        <v>169</v>
      </c>
      <c r="J123" s="55" t="s">
        <v>175</v>
      </c>
      <c r="K123" s="55" t="s">
        <v>170</v>
      </c>
      <c r="L123" s="55" t="s">
        <v>171</v>
      </c>
      <c r="M123" s="55" t="s">
        <v>77</v>
      </c>
      <c r="N123" s="55" t="s">
        <v>172</v>
      </c>
      <c r="O123" s="55">
        <v>5179900</v>
      </c>
      <c r="P123" s="55">
        <v>45</v>
      </c>
      <c r="Q123" s="55">
        <v>0</v>
      </c>
      <c r="R123" s="55">
        <v>0</v>
      </c>
      <c r="S123" s="55">
        <v>0</v>
      </c>
      <c r="T123" s="55">
        <v>0</v>
      </c>
      <c r="U123" s="55">
        <v>825000</v>
      </c>
      <c r="V123" s="55">
        <v>5</v>
      </c>
      <c r="W123" s="55">
        <v>0</v>
      </c>
      <c r="X123" s="55">
        <v>0</v>
      </c>
      <c r="Y123" s="56">
        <v>6062000</v>
      </c>
      <c r="Z123" s="55">
        <v>62</v>
      </c>
      <c r="AA123" s="55">
        <v>0</v>
      </c>
      <c r="AB123" s="55">
        <v>0</v>
      </c>
      <c r="AC123" s="55">
        <v>12066900</v>
      </c>
      <c r="AD123" s="57">
        <v>112</v>
      </c>
      <c r="AF123" s="47">
        <f t="shared" si="1"/>
        <v>6004900</v>
      </c>
    </row>
    <row r="124" spans="1:32" x14ac:dyDescent="0.3">
      <c r="A124" s="46" t="s">
        <v>0</v>
      </c>
      <c r="B124" s="46" t="str">
        <f>IFERROR(VLOOKUP($H124,매장구분!$B:$Z,2,0),"")</f>
        <v>리테일채널팀</v>
      </c>
      <c r="C124" s="46" t="str">
        <f>IFERROR(VLOOKUP($H124,매장구분!$B:$Z,3,0),"")</f>
        <v>국내</v>
      </c>
      <c r="D124" s="46" t="str">
        <f>IFERROR(VLOOKUP($H124,매장구분!$B:$Z,5,0),"")</f>
        <v>대리점</v>
      </c>
      <c r="E124" s="46" t="str">
        <f>IFERROR(VLOOKUP($H124,매장구분!$B:$Z,9,0),"")</f>
        <v>전주송천(대-위)</v>
      </c>
      <c r="F124" s="58"/>
      <c r="G124" s="59" t="s">
        <v>428</v>
      </c>
      <c r="H124" s="60" t="s">
        <v>429</v>
      </c>
      <c r="I124" s="60" t="s">
        <v>169</v>
      </c>
      <c r="J124" s="60" t="s">
        <v>79</v>
      </c>
      <c r="K124" s="60" t="s">
        <v>170</v>
      </c>
      <c r="L124" s="60" t="s">
        <v>171</v>
      </c>
      <c r="M124" s="60" t="s">
        <v>196</v>
      </c>
      <c r="N124" s="60" t="s">
        <v>197</v>
      </c>
      <c r="O124" s="60">
        <v>1632000</v>
      </c>
      <c r="P124" s="60">
        <v>21</v>
      </c>
      <c r="Q124" s="60">
        <v>0</v>
      </c>
      <c r="R124" s="60">
        <v>0</v>
      </c>
      <c r="S124" s="60">
        <v>0</v>
      </c>
      <c r="T124" s="60">
        <v>0</v>
      </c>
      <c r="U124" s="60">
        <v>151000</v>
      </c>
      <c r="V124" s="60">
        <v>-1</v>
      </c>
      <c r="W124" s="60">
        <v>0</v>
      </c>
      <c r="X124" s="60">
        <v>0</v>
      </c>
      <c r="Y124" s="61">
        <v>0</v>
      </c>
      <c r="Z124" s="60">
        <v>0</v>
      </c>
      <c r="AA124" s="60">
        <v>0</v>
      </c>
      <c r="AB124" s="60">
        <v>0</v>
      </c>
      <c r="AC124" s="60">
        <v>1783000</v>
      </c>
      <c r="AD124" s="62">
        <v>20</v>
      </c>
      <c r="AF124" s="47">
        <f t="shared" si="1"/>
        <v>1783000</v>
      </c>
    </row>
    <row r="125" spans="1:32" x14ac:dyDescent="0.3">
      <c r="A125" s="46" t="s">
        <v>0</v>
      </c>
      <c r="B125" s="46" t="str">
        <f>IFERROR(VLOOKUP($H125,매장구분!$B:$Z,2,0),"")</f>
        <v>리테일채널팀</v>
      </c>
      <c r="C125" s="46" t="str">
        <f>IFERROR(VLOOKUP($H125,매장구분!$B:$Z,3,0),"")</f>
        <v>국내</v>
      </c>
      <c r="D125" s="46" t="str">
        <f>IFERROR(VLOOKUP($H125,매장구분!$B:$Z,5,0),"")</f>
        <v>상설(위탁)</v>
      </c>
      <c r="E125" s="46" t="str">
        <f>IFERROR(VLOOKUP($H125,매장구분!$B:$Z,9,0),"")</f>
        <v>롯데아울렛수완(상-위)</v>
      </c>
      <c r="F125" s="53"/>
      <c r="G125" s="54" t="s">
        <v>430</v>
      </c>
      <c r="H125" s="55" t="s">
        <v>431</v>
      </c>
      <c r="I125" s="55" t="s">
        <v>169</v>
      </c>
      <c r="J125" s="55" t="s">
        <v>79</v>
      </c>
      <c r="K125" s="55" t="s">
        <v>170</v>
      </c>
      <c r="L125" s="55" t="s">
        <v>171</v>
      </c>
      <c r="M125" s="55" t="s">
        <v>219</v>
      </c>
      <c r="N125" s="55" t="s">
        <v>219</v>
      </c>
      <c r="O125" s="55">
        <v>1416000</v>
      </c>
      <c r="P125" s="55">
        <v>39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  <c r="V125" s="55">
        <v>0</v>
      </c>
      <c r="W125" s="55">
        <v>0</v>
      </c>
      <c r="X125" s="55">
        <v>0</v>
      </c>
      <c r="Y125" s="56">
        <v>0</v>
      </c>
      <c r="Z125" s="55">
        <v>0</v>
      </c>
      <c r="AA125" s="55">
        <v>0</v>
      </c>
      <c r="AB125" s="55">
        <v>0</v>
      </c>
      <c r="AC125" s="55">
        <v>1416000</v>
      </c>
      <c r="AD125" s="57">
        <v>39</v>
      </c>
      <c r="AF125" s="47">
        <f t="shared" si="1"/>
        <v>1416000</v>
      </c>
    </row>
    <row r="126" spans="1:32" x14ac:dyDescent="0.3">
      <c r="A126" s="46" t="s">
        <v>0</v>
      </c>
      <c r="B126" s="46" t="str">
        <f>IFERROR(VLOOKUP($H126,매장구분!$B:$Z,2,0),"")</f>
        <v>리테일채널팀</v>
      </c>
      <c r="C126" s="46" t="str">
        <f>IFERROR(VLOOKUP($H126,매장구분!$B:$Z,3,0),"")</f>
        <v>국내</v>
      </c>
      <c r="D126" s="46" t="str">
        <f>IFERROR(VLOOKUP($H126,매장구분!$B:$Z,5,0),"")</f>
        <v>상설(위탁)</v>
      </c>
      <c r="E126" s="46" t="str">
        <f>IFERROR(VLOOKUP($H126,매장구분!$B:$Z,9,0),"")</f>
        <v>신세계아울렛파주(상-위)</v>
      </c>
      <c r="F126" s="58"/>
      <c r="G126" s="59" t="s">
        <v>432</v>
      </c>
      <c r="H126" s="60" t="s">
        <v>433</v>
      </c>
      <c r="I126" s="60" t="s">
        <v>169</v>
      </c>
      <c r="J126" s="60" t="s">
        <v>79</v>
      </c>
      <c r="K126" s="60" t="s">
        <v>170</v>
      </c>
      <c r="L126" s="60" t="s">
        <v>171</v>
      </c>
      <c r="M126" s="60" t="s">
        <v>219</v>
      </c>
      <c r="N126" s="60" t="s">
        <v>219</v>
      </c>
      <c r="O126" s="60">
        <v>2431000</v>
      </c>
      <c r="P126" s="60">
        <v>64</v>
      </c>
      <c r="Q126" s="60">
        <v>0</v>
      </c>
      <c r="R126" s="60">
        <v>0</v>
      </c>
      <c r="S126" s="60">
        <v>0</v>
      </c>
      <c r="T126" s="60">
        <v>0</v>
      </c>
      <c r="U126" s="60">
        <v>0</v>
      </c>
      <c r="V126" s="60">
        <v>0</v>
      </c>
      <c r="W126" s="60">
        <v>0</v>
      </c>
      <c r="X126" s="60">
        <v>0</v>
      </c>
      <c r="Y126" s="61">
        <v>0</v>
      </c>
      <c r="Z126" s="60">
        <v>0</v>
      </c>
      <c r="AA126" s="60">
        <v>0</v>
      </c>
      <c r="AB126" s="60">
        <v>0</v>
      </c>
      <c r="AC126" s="60">
        <v>2431000</v>
      </c>
      <c r="AD126" s="62">
        <v>64</v>
      </c>
      <c r="AF126" s="47">
        <f t="shared" si="1"/>
        <v>2431000</v>
      </c>
    </row>
    <row r="127" spans="1:32" x14ac:dyDescent="0.3">
      <c r="A127" s="46" t="s">
        <v>0</v>
      </c>
      <c r="B127" s="46" t="str">
        <f>IFERROR(VLOOKUP($H127,매장구분!$B:$Z,2,0),"")</f>
        <v>리테일채널팀</v>
      </c>
      <c r="C127" s="46" t="str">
        <f>IFERROR(VLOOKUP($H127,매장구분!$B:$Z,3,0),"")</f>
        <v>국내</v>
      </c>
      <c r="D127" s="46" t="str">
        <f>IFERROR(VLOOKUP($H127,매장구분!$B:$Z,5,0),"")</f>
        <v>상설(위탁)</v>
      </c>
      <c r="E127" s="46" t="str">
        <f>IFERROR(VLOOKUP($H127,매장구분!$B:$Z,9,0),"")</f>
        <v>콜렉티드(상-위)</v>
      </c>
      <c r="F127" s="53"/>
      <c r="G127" s="54" t="s">
        <v>434</v>
      </c>
      <c r="H127" s="55" t="s">
        <v>435</v>
      </c>
      <c r="I127" s="55" t="s">
        <v>169</v>
      </c>
      <c r="J127" s="55" t="s">
        <v>79</v>
      </c>
      <c r="K127" s="55" t="s">
        <v>170</v>
      </c>
      <c r="L127" s="55" t="s">
        <v>171</v>
      </c>
      <c r="M127" s="55" t="s">
        <v>219</v>
      </c>
      <c r="N127" s="55" t="s">
        <v>219</v>
      </c>
      <c r="O127" s="55">
        <v>108000</v>
      </c>
      <c r="P127" s="55">
        <v>3</v>
      </c>
      <c r="Q127" s="55">
        <v>0</v>
      </c>
      <c r="R127" s="55">
        <v>0</v>
      </c>
      <c r="S127" s="55">
        <v>0</v>
      </c>
      <c r="T127" s="55">
        <v>0</v>
      </c>
      <c r="U127" s="55">
        <v>0</v>
      </c>
      <c r="V127" s="55">
        <v>0</v>
      </c>
      <c r="W127" s="55">
        <v>0</v>
      </c>
      <c r="X127" s="55">
        <v>0</v>
      </c>
      <c r="Y127" s="56">
        <v>0</v>
      </c>
      <c r="Z127" s="55">
        <v>0</v>
      </c>
      <c r="AA127" s="55">
        <v>0</v>
      </c>
      <c r="AB127" s="55">
        <v>0</v>
      </c>
      <c r="AC127" s="55">
        <v>108000</v>
      </c>
      <c r="AD127" s="57">
        <v>3</v>
      </c>
      <c r="AF127" s="47">
        <f t="shared" si="1"/>
        <v>108000</v>
      </c>
    </row>
    <row r="128" spans="1:32" x14ac:dyDescent="0.3">
      <c r="A128" s="46" t="s">
        <v>0</v>
      </c>
      <c r="B128" s="46" t="str">
        <f>IFERROR(VLOOKUP($H128,매장구분!$B:$Z,2,0),"")</f>
        <v>리테일채널팀</v>
      </c>
      <c r="C128" s="46" t="str">
        <f>IFERROR(VLOOKUP($H128,매장구분!$B:$Z,3,0),"")</f>
        <v>RF</v>
      </c>
      <c r="D128" s="46" t="str">
        <f>IFERROR(VLOOKUP($H128,매장구분!$B:$Z,5,0),"")</f>
        <v>직영점</v>
      </c>
      <c r="E128" s="46" t="str">
        <f>IFERROR(VLOOKUP($H128,매장구분!$B:$Z,9,0),"")</f>
        <v>한남(직)</v>
      </c>
      <c r="F128" s="58"/>
      <c r="G128" s="59" t="s">
        <v>436</v>
      </c>
      <c r="H128" s="60" t="s">
        <v>437</v>
      </c>
      <c r="I128" s="60" t="s">
        <v>169</v>
      </c>
      <c r="J128" s="60" t="s">
        <v>180</v>
      </c>
      <c r="K128" s="60" t="s">
        <v>170</v>
      </c>
      <c r="L128" s="60" t="s">
        <v>171</v>
      </c>
      <c r="M128" s="60" t="s">
        <v>196</v>
      </c>
      <c r="N128" s="60" t="s">
        <v>206</v>
      </c>
      <c r="O128" s="60">
        <v>14507800</v>
      </c>
      <c r="P128" s="60">
        <v>160</v>
      </c>
      <c r="Q128" s="60">
        <v>0</v>
      </c>
      <c r="R128" s="60">
        <v>0</v>
      </c>
      <c r="S128" s="60">
        <v>0</v>
      </c>
      <c r="T128" s="60">
        <v>0</v>
      </c>
      <c r="U128" s="60">
        <v>0</v>
      </c>
      <c r="V128" s="60">
        <v>0</v>
      </c>
      <c r="W128" s="60">
        <v>0</v>
      </c>
      <c r="X128" s="60">
        <v>0</v>
      </c>
      <c r="Y128" s="61">
        <v>0</v>
      </c>
      <c r="Z128" s="60">
        <v>0</v>
      </c>
      <c r="AA128" s="60">
        <v>0</v>
      </c>
      <c r="AB128" s="60">
        <v>0</v>
      </c>
      <c r="AC128" s="60">
        <v>14507800</v>
      </c>
      <c r="AD128" s="62">
        <v>160</v>
      </c>
      <c r="AF128" s="47">
        <f t="shared" si="1"/>
        <v>14507800</v>
      </c>
    </row>
    <row r="129" spans="1:32" x14ac:dyDescent="0.3">
      <c r="A129" s="46" t="s">
        <v>0</v>
      </c>
      <c r="B129" s="46" t="str">
        <f>IFERROR(VLOOKUP($H129,매장구분!$B:$Z,2,0),"")</f>
        <v>파트너채널팀</v>
      </c>
      <c r="C129" s="46" t="str">
        <f>IFERROR(VLOOKUP($H129,매장구분!$B:$Z,3,0),"")</f>
        <v>국내</v>
      </c>
      <c r="D129" s="46" t="str">
        <f>IFERROR(VLOOKUP($H129,매장구분!$B:$Z,5,0),"")</f>
        <v>백화점</v>
      </c>
      <c r="E129" s="46" t="str">
        <f>IFERROR(VLOOKUP($H129,매장구분!$B:$Z,9,0),"")</f>
        <v>신세계의정부</v>
      </c>
      <c r="F129" s="53"/>
      <c r="G129" s="54" t="s">
        <v>438</v>
      </c>
      <c r="H129" s="55" t="s">
        <v>439</v>
      </c>
      <c r="I129" s="55" t="s">
        <v>169</v>
      </c>
      <c r="J129" s="55" t="s">
        <v>175</v>
      </c>
      <c r="K129" s="55" t="s">
        <v>170</v>
      </c>
      <c r="L129" s="55" t="s">
        <v>171</v>
      </c>
      <c r="M129" s="55" t="s">
        <v>77</v>
      </c>
      <c r="N129" s="55" t="s">
        <v>172</v>
      </c>
      <c r="O129" s="55">
        <v>6632620</v>
      </c>
      <c r="P129" s="55">
        <v>74</v>
      </c>
      <c r="Q129" s="55">
        <v>0</v>
      </c>
      <c r="R129" s="55">
        <v>0</v>
      </c>
      <c r="S129" s="55">
        <v>0</v>
      </c>
      <c r="T129" s="55">
        <v>0</v>
      </c>
      <c r="U129" s="55">
        <v>497280</v>
      </c>
      <c r="V129" s="55">
        <v>2</v>
      </c>
      <c r="W129" s="55">
        <v>0</v>
      </c>
      <c r="X129" s="55">
        <v>0</v>
      </c>
      <c r="Y129" s="56">
        <v>0</v>
      </c>
      <c r="Z129" s="55">
        <v>0</v>
      </c>
      <c r="AA129" s="55">
        <v>0</v>
      </c>
      <c r="AB129" s="55">
        <v>0</v>
      </c>
      <c r="AC129" s="55">
        <v>7129900</v>
      </c>
      <c r="AD129" s="57">
        <v>76</v>
      </c>
      <c r="AF129" s="47">
        <f t="shared" si="1"/>
        <v>7129900</v>
      </c>
    </row>
    <row r="130" spans="1:32" x14ac:dyDescent="0.3">
      <c r="A130" s="46" t="s">
        <v>0</v>
      </c>
      <c r="B130" s="46" t="str">
        <f>IFERROR(VLOOKUP($H130,매장구분!$B:$Z,2,0),"")</f>
        <v>리테일채널팀</v>
      </c>
      <c r="C130" s="46" t="str">
        <f>IFERROR(VLOOKUP($H130,매장구분!$B:$Z,3,0),"")</f>
        <v>국내</v>
      </c>
      <c r="D130" s="46" t="str">
        <f>IFERROR(VLOOKUP($H130,매장구분!$B:$Z,5,0),"")</f>
        <v>대리점</v>
      </c>
      <c r="E130" s="46" t="str">
        <f>IFERROR(VLOOKUP($H130,매장구분!$B:$Z,9,0),"")</f>
        <v>퍼스트빌리지(대-위)</v>
      </c>
      <c r="F130" s="58"/>
      <c r="G130" s="59" t="s">
        <v>440</v>
      </c>
      <c r="H130" s="60" t="s">
        <v>441</v>
      </c>
      <c r="I130" s="60" t="s">
        <v>169</v>
      </c>
      <c r="J130" s="60" t="s">
        <v>79</v>
      </c>
      <c r="K130" s="60" t="s">
        <v>170</v>
      </c>
      <c r="L130" s="60" t="s">
        <v>171</v>
      </c>
      <c r="M130" s="60" t="s">
        <v>196</v>
      </c>
      <c r="N130" s="60" t="s">
        <v>197</v>
      </c>
      <c r="O130" s="60">
        <v>20298200</v>
      </c>
      <c r="P130" s="60">
        <v>162</v>
      </c>
      <c r="Q130" s="60">
        <v>0</v>
      </c>
      <c r="R130" s="60">
        <v>0</v>
      </c>
      <c r="S130" s="60">
        <v>0</v>
      </c>
      <c r="T130" s="60">
        <v>0</v>
      </c>
      <c r="U130" s="60">
        <v>1534000</v>
      </c>
      <c r="V130" s="60">
        <v>6</v>
      </c>
      <c r="W130" s="60">
        <v>0</v>
      </c>
      <c r="X130" s="60">
        <v>0</v>
      </c>
      <c r="Y130" s="61">
        <v>0</v>
      </c>
      <c r="Z130" s="60">
        <v>0</v>
      </c>
      <c r="AA130" s="60">
        <v>0</v>
      </c>
      <c r="AB130" s="60">
        <v>0</v>
      </c>
      <c r="AC130" s="60">
        <v>21832200</v>
      </c>
      <c r="AD130" s="62">
        <v>168</v>
      </c>
      <c r="AF130" s="47">
        <f t="shared" si="1"/>
        <v>21832200</v>
      </c>
    </row>
    <row r="131" spans="1:32" x14ac:dyDescent="0.3">
      <c r="A131" s="46" t="s">
        <v>0</v>
      </c>
      <c r="B131" s="46" t="str">
        <f>IFERROR(VLOOKUP($H131,매장구분!$B:$Z,2,0),"")</f>
        <v>파트너채널팀</v>
      </c>
      <c r="C131" s="46" t="str">
        <f>IFERROR(VLOOKUP($H131,매장구분!$B:$Z,3,0),"")</f>
        <v>국내</v>
      </c>
      <c r="D131" s="46" t="str">
        <f>IFERROR(VLOOKUP($H131,매장구분!$B:$Z,5,0),"")</f>
        <v>백화점</v>
      </c>
      <c r="E131" s="46" t="str">
        <f>IFERROR(VLOOKUP($H131,매장구분!$B:$Z,9,0),"")</f>
        <v>현대킨텍스</v>
      </c>
      <c r="F131" s="53"/>
      <c r="G131" s="54" t="s">
        <v>442</v>
      </c>
      <c r="H131" s="55" t="s">
        <v>443</v>
      </c>
      <c r="I131" s="55" t="s">
        <v>169</v>
      </c>
      <c r="J131" s="55" t="s">
        <v>175</v>
      </c>
      <c r="K131" s="55" t="s">
        <v>170</v>
      </c>
      <c r="L131" s="55" t="s">
        <v>171</v>
      </c>
      <c r="M131" s="55" t="s">
        <v>77</v>
      </c>
      <c r="N131" s="55" t="s">
        <v>172</v>
      </c>
      <c r="O131" s="55">
        <v>4111000</v>
      </c>
      <c r="P131" s="55">
        <v>42</v>
      </c>
      <c r="Q131" s="55">
        <v>78000</v>
      </c>
      <c r="R131" s="55">
        <v>2</v>
      </c>
      <c r="S131" s="55">
        <v>0</v>
      </c>
      <c r="T131" s="55">
        <v>0</v>
      </c>
      <c r="U131" s="55">
        <v>736000</v>
      </c>
      <c r="V131" s="55">
        <v>4</v>
      </c>
      <c r="W131" s="55">
        <v>0</v>
      </c>
      <c r="X131" s="55">
        <v>0</v>
      </c>
      <c r="Y131" s="56">
        <v>15609000</v>
      </c>
      <c r="Z131" s="55">
        <v>180</v>
      </c>
      <c r="AA131" s="55">
        <v>0</v>
      </c>
      <c r="AB131" s="55">
        <v>0</v>
      </c>
      <c r="AC131" s="55">
        <v>20534000</v>
      </c>
      <c r="AD131" s="57">
        <v>228</v>
      </c>
      <c r="AF131" s="47">
        <f t="shared" ref="AF131:AF194" si="2">IFERROR(AC131-Y131,"")</f>
        <v>4925000</v>
      </c>
    </row>
    <row r="132" spans="1:32" x14ac:dyDescent="0.3">
      <c r="A132" s="46" t="s">
        <v>0</v>
      </c>
      <c r="B132" s="46" t="str">
        <f>IFERROR(VLOOKUP($H132,매장구분!$B:$Z,2,0),"")</f>
        <v>파트너채널팀</v>
      </c>
      <c r="C132" s="46" t="str">
        <f>IFERROR(VLOOKUP($H132,매장구분!$B:$Z,3,0),"")</f>
        <v>국내</v>
      </c>
      <c r="D132" s="46" t="str">
        <f>IFERROR(VLOOKUP($H132,매장구분!$B:$Z,5,0),"")</f>
        <v>백화점</v>
      </c>
      <c r="E132" s="46" t="str">
        <f>IFERROR(VLOOKUP($H132,매장구분!$B:$Z,9,0),"")</f>
        <v>엔터식스왕십리</v>
      </c>
      <c r="F132" s="58"/>
      <c r="G132" s="59" t="s">
        <v>444</v>
      </c>
      <c r="H132" s="60" t="s">
        <v>445</v>
      </c>
      <c r="I132" s="60" t="s">
        <v>169</v>
      </c>
      <c r="J132" s="60" t="s">
        <v>175</v>
      </c>
      <c r="K132" s="60" t="s">
        <v>170</v>
      </c>
      <c r="L132" s="60" t="s">
        <v>171</v>
      </c>
      <c r="M132" s="60" t="s">
        <v>77</v>
      </c>
      <c r="N132" s="60" t="s">
        <v>238</v>
      </c>
      <c r="O132" s="60">
        <v>2063000</v>
      </c>
      <c r="P132" s="60">
        <v>31</v>
      </c>
      <c r="Q132" s="60">
        <v>0</v>
      </c>
      <c r="R132" s="60">
        <v>0</v>
      </c>
      <c r="S132" s="60">
        <v>0</v>
      </c>
      <c r="T132" s="60">
        <v>0</v>
      </c>
      <c r="U132" s="60">
        <v>2642000</v>
      </c>
      <c r="V132" s="60">
        <v>16</v>
      </c>
      <c r="W132" s="60">
        <v>0</v>
      </c>
      <c r="X132" s="60">
        <v>0</v>
      </c>
      <c r="Y132" s="61">
        <v>0</v>
      </c>
      <c r="Z132" s="60">
        <v>0</v>
      </c>
      <c r="AA132" s="60">
        <v>0</v>
      </c>
      <c r="AB132" s="60">
        <v>0</v>
      </c>
      <c r="AC132" s="60">
        <v>4705000</v>
      </c>
      <c r="AD132" s="62">
        <v>47</v>
      </c>
      <c r="AF132" s="47">
        <f t="shared" si="2"/>
        <v>4705000</v>
      </c>
    </row>
    <row r="133" spans="1:32" x14ac:dyDescent="0.3">
      <c r="A133" s="46" t="s">
        <v>0</v>
      </c>
      <c r="B133" s="46" t="str">
        <f>IFERROR(VLOOKUP($H133,매장구분!$B:$Z,2,0),"")</f>
        <v>파트너채널팀</v>
      </c>
      <c r="C133" s="46" t="str">
        <f>IFERROR(VLOOKUP($H133,매장구분!$B:$Z,3,0),"")</f>
        <v>국내</v>
      </c>
      <c r="D133" s="46" t="str">
        <f>IFERROR(VLOOKUP($H133,매장구분!$B:$Z,5,0),"")</f>
        <v>백화점</v>
      </c>
      <c r="E133" s="46" t="str">
        <f>IFERROR(VLOOKUP($H133,매장구분!$B:$Z,9,0),"")</f>
        <v>롯데전주</v>
      </c>
      <c r="F133" s="53"/>
      <c r="G133" s="54" t="s">
        <v>446</v>
      </c>
      <c r="H133" s="55" t="s">
        <v>447</v>
      </c>
      <c r="I133" s="55" t="s">
        <v>169</v>
      </c>
      <c r="J133" s="55" t="s">
        <v>175</v>
      </c>
      <c r="K133" s="55" t="s">
        <v>170</v>
      </c>
      <c r="L133" s="55" t="s">
        <v>171</v>
      </c>
      <c r="M133" s="55" t="s">
        <v>77</v>
      </c>
      <c r="N133" s="55" t="s">
        <v>172</v>
      </c>
      <c r="O133" s="55">
        <v>9242684</v>
      </c>
      <c r="P133" s="55">
        <v>85</v>
      </c>
      <c r="Q133" s="55">
        <v>0</v>
      </c>
      <c r="R133" s="55">
        <v>0</v>
      </c>
      <c r="S133" s="55">
        <v>0</v>
      </c>
      <c r="T133" s="55">
        <v>0</v>
      </c>
      <c r="U133" s="55">
        <v>505316</v>
      </c>
      <c r="V133" s="55">
        <v>3</v>
      </c>
      <c r="W133" s="55">
        <v>0</v>
      </c>
      <c r="X133" s="55">
        <v>0</v>
      </c>
      <c r="Y133" s="56">
        <v>0</v>
      </c>
      <c r="Z133" s="55">
        <v>0</v>
      </c>
      <c r="AA133" s="55">
        <v>0</v>
      </c>
      <c r="AB133" s="55">
        <v>0</v>
      </c>
      <c r="AC133" s="55">
        <v>9748000</v>
      </c>
      <c r="AD133" s="57">
        <v>88</v>
      </c>
      <c r="AF133" s="47">
        <f t="shared" si="2"/>
        <v>9748000</v>
      </c>
    </row>
    <row r="134" spans="1:32" x14ac:dyDescent="0.3">
      <c r="A134" s="46" t="s">
        <v>0</v>
      </c>
      <c r="B134" s="46" t="str">
        <f>IFERROR(VLOOKUP($H134,매장구분!$B:$Z,2,0),"")</f>
        <v>파트너채널팀</v>
      </c>
      <c r="C134" s="46" t="str">
        <f>IFERROR(VLOOKUP($H134,매장구분!$B:$Z,3,0),"")</f>
        <v>국내</v>
      </c>
      <c r="D134" s="46" t="str">
        <f>IFERROR(VLOOKUP($H134,매장구분!$B:$Z,5,0),"")</f>
        <v>백화점</v>
      </c>
      <c r="E134" s="46" t="str">
        <f>IFERROR(VLOOKUP($H134,매장구분!$B:$Z,9,0),"")</f>
        <v>롯데광복</v>
      </c>
      <c r="F134" s="58"/>
      <c r="G134" s="59" t="s">
        <v>448</v>
      </c>
      <c r="H134" s="60" t="s">
        <v>449</v>
      </c>
      <c r="I134" s="60" t="s">
        <v>169</v>
      </c>
      <c r="J134" s="60" t="s">
        <v>175</v>
      </c>
      <c r="K134" s="60" t="s">
        <v>170</v>
      </c>
      <c r="L134" s="60" t="s">
        <v>171</v>
      </c>
      <c r="M134" s="60" t="s">
        <v>77</v>
      </c>
      <c r="N134" s="60" t="s">
        <v>172</v>
      </c>
      <c r="O134" s="60">
        <v>4159410</v>
      </c>
      <c r="P134" s="60">
        <v>50</v>
      </c>
      <c r="Q134" s="60">
        <v>43000</v>
      </c>
      <c r="R134" s="60">
        <v>1</v>
      </c>
      <c r="S134" s="60">
        <v>0</v>
      </c>
      <c r="T134" s="60">
        <v>0</v>
      </c>
      <c r="U134" s="60">
        <v>378000</v>
      </c>
      <c r="V134" s="60">
        <v>2</v>
      </c>
      <c r="W134" s="60">
        <v>0</v>
      </c>
      <c r="X134" s="60">
        <v>0</v>
      </c>
      <c r="Y134" s="61">
        <v>2099000</v>
      </c>
      <c r="Z134" s="60">
        <v>33</v>
      </c>
      <c r="AA134" s="60">
        <v>0</v>
      </c>
      <c r="AB134" s="60">
        <v>0</v>
      </c>
      <c r="AC134" s="60">
        <v>6679410</v>
      </c>
      <c r="AD134" s="62">
        <v>86</v>
      </c>
      <c r="AF134" s="47">
        <f t="shared" si="2"/>
        <v>4580410</v>
      </c>
    </row>
    <row r="135" spans="1:32" x14ac:dyDescent="0.3">
      <c r="A135" s="46" t="s">
        <v>0</v>
      </c>
      <c r="B135" s="46" t="str">
        <f>IFERROR(VLOOKUP($H135,매장구분!$B:$Z,2,0),"")</f>
        <v>파트너채널팀</v>
      </c>
      <c r="C135" s="46" t="str">
        <f>IFERROR(VLOOKUP($H135,매장구분!$B:$Z,3,0),"")</f>
        <v>RF</v>
      </c>
      <c r="D135" s="46" t="str">
        <f>IFERROR(VLOOKUP($H135,매장구분!$B:$Z,5,0),"")</f>
        <v>백화점</v>
      </c>
      <c r="E135" s="46" t="str">
        <f>IFERROR(VLOOKUP($H135,매장구분!$B:$Z,9,0),"")</f>
        <v>신세계본점</v>
      </c>
      <c r="F135" s="53"/>
      <c r="G135" s="54" t="s">
        <v>450</v>
      </c>
      <c r="H135" s="55" t="s">
        <v>451</v>
      </c>
      <c r="I135" s="55" t="s">
        <v>169</v>
      </c>
      <c r="J135" s="55" t="s">
        <v>175</v>
      </c>
      <c r="K135" s="55" t="s">
        <v>170</v>
      </c>
      <c r="L135" s="55" t="s">
        <v>171</v>
      </c>
      <c r="M135" s="55" t="s">
        <v>77</v>
      </c>
      <c r="N135" s="55" t="s">
        <v>172</v>
      </c>
      <c r="O135" s="55">
        <v>6792140</v>
      </c>
      <c r="P135" s="55">
        <v>64</v>
      </c>
      <c r="Q135" s="55">
        <v>0</v>
      </c>
      <c r="R135" s="55">
        <v>0</v>
      </c>
      <c r="S135" s="55">
        <v>0</v>
      </c>
      <c r="T135" s="55">
        <v>0</v>
      </c>
      <c r="U135" s="55">
        <v>1426260</v>
      </c>
      <c r="V135" s="55">
        <v>8</v>
      </c>
      <c r="W135" s="55">
        <v>0</v>
      </c>
      <c r="X135" s="55">
        <v>0</v>
      </c>
      <c r="Y135" s="56">
        <v>0</v>
      </c>
      <c r="Z135" s="55">
        <v>0</v>
      </c>
      <c r="AA135" s="55">
        <v>0</v>
      </c>
      <c r="AB135" s="55">
        <v>0</v>
      </c>
      <c r="AC135" s="55">
        <v>8218400</v>
      </c>
      <c r="AD135" s="57">
        <v>72</v>
      </c>
      <c r="AF135" s="47">
        <f t="shared" si="2"/>
        <v>8218400</v>
      </c>
    </row>
    <row r="136" spans="1:32" x14ac:dyDescent="0.3">
      <c r="A136" s="46" t="s">
        <v>0</v>
      </c>
      <c r="B136" s="46" t="str">
        <f>IFERROR(VLOOKUP($H136,매장구분!$B:$Z,2,0),"")</f>
        <v>파트너채널팀</v>
      </c>
      <c r="C136" s="46" t="str">
        <f>IFERROR(VLOOKUP($H136,매장구분!$B:$Z,3,0),"")</f>
        <v>국내</v>
      </c>
      <c r="D136" s="46" t="str">
        <f>IFERROR(VLOOKUP($H136,매장구분!$B:$Z,5,0),"")</f>
        <v>백화점</v>
      </c>
      <c r="E136" s="46" t="str">
        <f>IFERROR(VLOOKUP($H136,매장구분!$B:$Z,9,0),"")</f>
        <v>롯데부산</v>
      </c>
      <c r="F136" s="58"/>
      <c r="G136" s="59" t="s">
        <v>452</v>
      </c>
      <c r="H136" s="60" t="s">
        <v>453</v>
      </c>
      <c r="I136" s="60" t="s">
        <v>169</v>
      </c>
      <c r="J136" s="60" t="s">
        <v>175</v>
      </c>
      <c r="K136" s="60" t="s">
        <v>170</v>
      </c>
      <c r="L136" s="60" t="s">
        <v>171</v>
      </c>
      <c r="M136" s="60" t="s">
        <v>77</v>
      </c>
      <c r="N136" s="60" t="s">
        <v>172</v>
      </c>
      <c r="O136" s="60">
        <v>11062400</v>
      </c>
      <c r="P136" s="60">
        <v>111</v>
      </c>
      <c r="Q136" s="60">
        <v>183800</v>
      </c>
      <c r="R136" s="60">
        <v>2</v>
      </c>
      <c r="S136" s="60">
        <v>0</v>
      </c>
      <c r="T136" s="60">
        <v>0</v>
      </c>
      <c r="U136" s="60">
        <v>656000</v>
      </c>
      <c r="V136" s="60">
        <v>4</v>
      </c>
      <c r="W136" s="60">
        <v>0</v>
      </c>
      <c r="X136" s="60">
        <v>0</v>
      </c>
      <c r="Y136" s="61">
        <v>56247000</v>
      </c>
      <c r="Z136" s="60">
        <v>603</v>
      </c>
      <c r="AA136" s="60">
        <v>0</v>
      </c>
      <c r="AB136" s="60">
        <v>0</v>
      </c>
      <c r="AC136" s="60">
        <v>68149200</v>
      </c>
      <c r="AD136" s="62">
        <v>720</v>
      </c>
      <c r="AF136" s="47">
        <f t="shared" si="2"/>
        <v>11902200</v>
      </c>
    </row>
    <row r="137" spans="1:32" x14ac:dyDescent="0.3">
      <c r="A137" s="46" t="s">
        <v>0</v>
      </c>
      <c r="B137" s="46" t="str">
        <f>IFERROR(VLOOKUP($H137,매장구분!$B:$Z,2,0),"")</f>
        <v>파트너채널팀</v>
      </c>
      <c r="C137" s="46" t="str">
        <f>IFERROR(VLOOKUP($H137,매장구분!$B:$Z,3,0),"")</f>
        <v>국내</v>
      </c>
      <c r="D137" s="46" t="str">
        <f>IFERROR(VLOOKUP($H137,매장구분!$B:$Z,5,0),"")</f>
        <v>백화점</v>
      </c>
      <c r="E137" s="46" t="str">
        <f>IFERROR(VLOOKUP($H137,매장구분!$B:$Z,9,0),"")</f>
        <v>신세계김해</v>
      </c>
      <c r="F137" s="53"/>
      <c r="G137" s="54" t="s">
        <v>454</v>
      </c>
      <c r="H137" s="55" t="s">
        <v>455</v>
      </c>
      <c r="I137" s="55" t="s">
        <v>169</v>
      </c>
      <c r="J137" s="55" t="s">
        <v>175</v>
      </c>
      <c r="K137" s="55" t="s">
        <v>170</v>
      </c>
      <c r="L137" s="55" t="s">
        <v>171</v>
      </c>
      <c r="M137" s="55" t="s">
        <v>77</v>
      </c>
      <c r="N137" s="55" t="s">
        <v>172</v>
      </c>
      <c r="O137" s="55">
        <v>5582600</v>
      </c>
      <c r="P137" s="55">
        <v>60</v>
      </c>
      <c r="Q137" s="55">
        <v>0</v>
      </c>
      <c r="R137" s="55">
        <v>0</v>
      </c>
      <c r="S137" s="55">
        <v>0</v>
      </c>
      <c r="T137" s="55">
        <v>0</v>
      </c>
      <c r="U137" s="55">
        <v>1411000</v>
      </c>
      <c r="V137" s="55">
        <v>9</v>
      </c>
      <c r="W137" s="55">
        <v>0</v>
      </c>
      <c r="X137" s="55">
        <v>0</v>
      </c>
      <c r="Y137" s="56">
        <v>0</v>
      </c>
      <c r="Z137" s="55">
        <v>0</v>
      </c>
      <c r="AA137" s="55">
        <v>0</v>
      </c>
      <c r="AB137" s="55">
        <v>0</v>
      </c>
      <c r="AC137" s="55">
        <v>6993600</v>
      </c>
      <c r="AD137" s="57">
        <v>69</v>
      </c>
      <c r="AF137" s="47">
        <f t="shared" si="2"/>
        <v>6993600</v>
      </c>
    </row>
    <row r="138" spans="1:32" x14ac:dyDescent="0.3">
      <c r="A138" s="46" t="s">
        <v>0</v>
      </c>
      <c r="B138" s="46" t="str">
        <f>IFERROR(VLOOKUP($H138,매장구분!$B:$Z,2,0),"")</f>
        <v>리테일채널팀</v>
      </c>
      <c r="C138" s="46" t="str">
        <f>IFERROR(VLOOKUP($H138,매장구분!$B:$Z,3,0),"")</f>
        <v>국내</v>
      </c>
      <c r="D138" s="46" t="str">
        <f>IFERROR(VLOOKUP($H138,매장구분!$B:$Z,5,0),"")</f>
        <v>대리점</v>
      </c>
      <c r="E138" s="46" t="str">
        <f>IFERROR(VLOOKUP($H138,매장구분!$B:$Z,9,0),"")</f>
        <v>대전은행(대-위)</v>
      </c>
      <c r="F138" s="58"/>
      <c r="G138" s="59" t="s">
        <v>456</v>
      </c>
      <c r="H138" s="60" t="s">
        <v>457</v>
      </c>
      <c r="I138" s="60" t="s">
        <v>169</v>
      </c>
      <c r="J138" s="60" t="s">
        <v>79</v>
      </c>
      <c r="K138" s="60" t="s">
        <v>170</v>
      </c>
      <c r="L138" s="60" t="s">
        <v>171</v>
      </c>
      <c r="M138" s="60" t="s">
        <v>196</v>
      </c>
      <c r="N138" s="60" t="s">
        <v>197</v>
      </c>
      <c r="O138" s="60">
        <v>5213800</v>
      </c>
      <c r="P138" s="60">
        <v>67</v>
      </c>
      <c r="Q138" s="60">
        <v>0</v>
      </c>
      <c r="R138" s="60">
        <v>0</v>
      </c>
      <c r="S138" s="60">
        <v>0</v>
      </c>
      <c r="T138" s="60">
        <v>0</v>
      </c>
      <c r="U138" s="60">
        <v>0</v>
      </c>
      <c r="V138" s="60">
        <v>0</v>
      </c>
      <c r="W138" s="60">
        <v>0</v>
      </c>
      <c r="X138" s="60">
        <v>0</v>
      </c>
      <c r="Y138" s="61">
        <v>42212000</v>
      </c>
      <c r="Z138" s="60">
        <v>1247</v>
      </c>
      <c r="AA138" s="60">
        <v>0</v>
      </c>
      <c r="AB138" s="60">
        <v>0</v>
      </c>
      <c r="AC138" s="60">
        <v>47425800</v>
      </c>
      <c r="AD138" s="62">
        <v>1314</v>
      </c>
      <c r="AF138" s="47">
        <f t="shared" si="2"/>
        <v>5213800</v>
      </c>
    </row>
    <row r="139" spans="1:32" x14ac:dyDescent="0.3">
      <c r="A139" s="46" t="s">
        <v>0</v>
      </c>
      <c r="B139" s="46" t="str">
        <f>IFERROR(VLOOKUP($H139,매장구분!$B:$Z,2,0),"")</f>
        <v>리테일채널팀</v>
      </c>
      <c r="C139" s="46" t="str">
        <f>IFERROR(VLOOKUP($H139,매장구분!$B:$Z,3,0),"")</f>
        <v>국내</v>
      </c>
      <c r="D139" s="46" t="str">
        <f>IFERROR(VLOOKUP($H139,매장구분!$B:$Z,5,0),"")</f>
        <v>대리점</v>
      </c>
      <c r="E139" s="46" t="str">
        <f>IFERROR(VLOOKUP($H139,매장구분!$B:$Z,9,0),"")</f>
        <v>구미(대-위)</v>
      </c>
      <c r="F139" s="53"/>
      <c r="G139" s="54" t="s">
        <v>458</v>
      </c>
      <c r="H139" s="55" t="s">
        <v>459</v>
      </c>
      <c r="I139" s="55" t="s">
        <v>169</v>
      </c>
      <c r="J139" s="55" t="s">
        <v>79</v>
      </c>
      <c r="K139" s="55" t="s">
        <v>170</v>
      </c>
      <c r="L139" s="55" t="s">
        <v>171</v>
      </c>
      <c r="M139" s="55" t="s">
        <v>196</v>
      </c>
      <c r="N139" s="55" t="s">
        <v>197</v>
      </c>
      <c r="O139" s="55">
        <v>10872800</v>
      </c>
      <c r="P139" s="55">
        <v>106</v>
      </c>
      <c r="Q139" s="55">
        <v>0</v>
      </c>
      <c r="R139" s="55">
        <v>0</v>
      </c>
      <c r="S139" s="55">
        <v>0</v>
      </c>
      <c r="T139" s="55">
        <v>0</v>
      </c>
      <c r="U139" s="55">
        <v>1382000</v>
      </c>
      <c r="V139" s="55">
        <v>8</v>
      </c>
      <c r="W139" s="55">
        <v>0</v>
      </c>
      <c r="X139" s="55">
        <v>0</v>
      </c>
      <c r="Y139" s="56">
        <v>0</v>
      </c>
      <c r="Z139" s="55">
        <v>0</v>
      </c>
      <c r="AA139" s="55">
        <v>0</v>
      </c>
      <c r="AB139" s="55">
        <v>0</v>
      </c>
      <c r="AC139" s="55">
        <v>12254800</v>
      </c>
      <c r="AD139" s="57">
        <v>114</v>
      </c>
      <c r="AF139" s="47">
        <f t="shared" si="2"/>
        <v>12254800</v>
      </c>
    </row>
    <row r="140" spans="1:32" x14ac:dyDescent="0.3">
      <c r="A140" s="46" t="s">
        <v>0</v>
      </c>
      <c r="B140" s="46" t="str">
        <f>IFERROR(VLOOKUP($H140,매장구분!$B:$Z,2,0),"")</f>
        <v>파트너채널팀</v>
      </c>
      <c r="C140" s="46" t="str">
        <f>IFERROR(VLOOKUP($H140,매장구분!$B:$Z,3,0),"")</f>
        <v>국내</v>
      </c>
      <c r="D140" s="46" t="str">
        <f>IFERROR(VLOOKUP($H140,매장구분!$B:$Z,5,0),"")</f>
        <v>백화점</v>
      </c>
      <c r="E140" s="46" t="str">
        <f>IFERROR(VLOOKUP($H140,매장구분!$B:$Z,9,0),"")</f>
        <v>롯데울산</v>
      </c>
      <c r="F140" s="58"/>
      <c r="G140" s="59" t="s">
        <v>460</v>
      </c>
      <c r="H140" s="60" t="s">
        <v>461</v>
      </c>
      <c r="I140" s="60" t="s">
        <v>169</v>
      </c>
      <c r="J140" s="60" t="s">
        <v>175</v>
      </c>
      <c r="K140" s="60" t="s">
        <v>170</v>
      </c>
      <c r="L140" s="60" t="s">
        <v>171</v>
      </c>
      <c r="M140" s="60" t="s">
        <v>77</v>
      </c>
      <c r="N140" s="60" t="s">
        <v>172</v>
      </c>
      <c r="O140" s="60">
        <v>14692100</v>
      </c>
      <c r="P140" s="60">
        <v>134</v>
      </c>
      <c r="Q140" s="60">
        <v>0</v>
      </c>
      <c r="R140" s="60">
        <v>0</v>
      </c>
      <c r="S140" s="60">
        <v>0</v>
      </c>
      <c r="T140" s="60">
        <v>0</v>
      </c>
      <c r="U140" s="60">
        <v>754000</v>
      </c>
      <c r="V140" s="60">
        <v>6</v>
      </c>
      <c r="W140" s="60">
        <v>0</v>
      </c>
      <c r="X140" s="60">
        <v>0</v>
      </c>
      <c r="Y140" s="61">
        <v>23593000</v>
      </c>
      <c r="Z140" s="60">
        <v>55</v>
      </c>
      <c r="AA140" s="60">
        <v>0</v>
      </c>
      <c r="AB140" s="60">
        <v>0</v>
      </c>
      <c r="AC140" s="60">
        <v>39039100</v>
      </c>
      <c r="AD140" s="62">
        <v>195</v>
      </c>
      <c r="AF140" s="47">
        <f t="shared" si="2"/>
        <v>15446100</v>
      </c>
    </row>
    <row r="141" spans="1:32" x14ac:dyDescent="0.3">
      <c r="A141" s="46" t="s">
        <v>0</v>
      </c>
      <c r="B141" s="46" t="str">
        <f>IFERROR(VLOOKUP($H141,매장구분!$B:$Z,2,0),"")</f>
        <v>리테일채널팀</v>
      </c>
      <c r="C141" s="46" t="str">
        <f>IFERROR(VLOOKUP($H141,매장구분!$B:$Z,3,0),"")</f>
        <v>국내</v>
      </c>
      <c r="D141" s="46" t="str">
        <f>IFERROR(VLOOKUP($H141,매장구분!$B:$Z,5,0),"")</f>
        <v>대리점</v>
      </c>
      <c r="E141" s="46" t="str">
        <f>IFERROR(VLOOKUP($H141,매장구분!$B:$Z,9,0),"")</f>
        <v>당진(대-위)</v>
      </c>
      <c r="F141" s="53"/>
      <c r="G141" s="54" t="s">
        <v>462</v>
      </c>
      <c r="H141" s="55" t="s">
        <v>463</v>
      </c>
      <c r="I141" s="55" t="s">
        <v>169</v>
      </c>
      <c r="J141" s="55" t="s">
        <v>79</v>
      </c>
      <c r="K141" s="55" t="s">
        <v>170</v>
      </c>
      <c r="L141" s="55" t="s">
        <v>171</v>
      </c>
      <c r="M141" s="55" t="s">
        <v>196</v>
      </c>
      <c r="N141" s="55" t="s">
        <v>197</v>
      </c>
      <c r="O141" s="55">
        <v>2167000</v>
      </c>
      <c r="P141" s="55">
        <v>23</v>
      </c>
      <c r="Q141" s="55">
        <v>0</v>
      </c>
      <c r="R141" s="55">
        <v>0</v>
      </c>
      <c r="S141" s="55">
        <v>0</v>
      </c>
      <c r="T141" s="55">
        <v>0</v>
      </c>
      <c r="U141" s="55">
        <v>278000</v>
      </c>
      <c r="V141" s="55">
        <v>2</v>
      </c>
      <c r="W141" s="55">
        <v>0</v>
      </c>
      <c r="X141" s="55">
        <v>0</v>
      </c>
      <c r="Y141" s="56">
        <v>0</v>
      </c>
      <c r="Z141" s="55">
        <v>0</v>
      </c>
      <c r="AA141" s="55">
        <v>0</v>
      </c>
      <c r="AB141" s="55">
        <v>0</v>
      </c>
      <c r="AC141" s="55">
        <v>2445000</v>
      </c>
      <c r="AD141" s="57">
        <v>25</v>
      </c>
      <c r="AF141" s="47">
        <f t="shared" si="2"/>
        <v>2445000</v>
      </c>
    </row>
    <row r="142" spans="1:32" x14ac:dyDescent="0.3">
      <c r="A142" s="46" t="s">
        <v>0</v>
      </c>
      <c r="B142" s="46" t="str">
        <f>IFERROR(VLOOKUP($H142,매장구분!$B:$Z,2,0),"")</f>
        <v>파트너채널팀</v>
      </c>
      <c r="C142" s="46" t="str">
        <f>IFERROR(VLOOKUP($H142,매장구분!$B:$Z,3,0),"")</f>
        <v>면세</v>
      </c>
      <c r="D142" s="46" t="str">
        <f>IFERROR(VLOOKUP($H142,매장구분!$B:$Z,5,0),"")</f>
        <v>면세</v>
      </c>
      <c r="E142" s="46" t="str">
        <f>IFERROR(VLOOKUP($H142,매장구분!$B:$Z,9,0),"")</f>
        <v>롯데면세제주</v>
      </c>
      <c r="F142" s="58"/>
      <c r="G142" s="59" t="s">
        <v>464</v>
      </c>
      <c r="H142" s="60" t="s">
        <v>465</v>
      </c>
      <c r="I142" s="60" t="s">
        <v>169</v>
      </c>
      <c r="J142" s="60" t="s">
        <v>175</v>
      </c>
      <c r="K142" s="60" t="s">
        <v>170</v>
      </c>
      <c r="L142" s="60" t="s">
        <v>171</v>
      </c>
      <c r="M142" s="60" t="s">
        <v>176</v>
      </c>
      <c r="N142" s="60" t="s">
        <v>177</v>
      </c>
      <c r="O142" s="60">
        <v>21257500</v>
      </c>
      <c r="P142" s="60">
        <v>334</v>
      </c>
      <c r="Q142" s="60">
        <v>0</v>
      </c>
      <c r="R142" s="60">
        <v>0</v>
      </c>
      <c r="S142" s="60">
        <v>0</v>
      </c>
      <c r="T142" s="60">
        <v>0</v>
      </c>
      <c r="U142" s="60">
        <v>0</v>
      </c>
      <c r="V142" s="60">
        <v>0</v>
      </c>
      <c r="W142" s="60">
        <v>0</v>
      </c>
      <c r="X142" s="60">
        <v>0</v>
      </c>
      <c r="Y142" s="61">
        <v>0</v>
      </c>
      <c r="Z142" s="60">
        <v>0</v>
      </c>
      <c r="AA142" s="60">
        <v>0</v>
      </c>
      <c r="AB142" s="60">
        <v>0</v>
      </c>
      <c r="AC142" s="60">
        <v>21257500</v>
      </c>
      <c r="AD142" s="62">
        <v>334</v>
      </c>
      <c r="AF142" s="47">
        <f t="shared" si="2"/>
        <v>21257500</v>
      </c>
    </row>
    <row r="143" spans="1:32" x14ac:dyDescent="0.3">
      <c r="A143" s="46" t="s">
        <v>0</v>
      </c>
      <c r="B143" s="46" t="str">
        <f>IFERROR(VLOOKUP($H143,매장구분!$B:$Z,2,0),"")</f>
        <v>파트너채널팀</v>
      </c>
      <c r="C143" s="46" t="str">
        <f>IFERROR(VLOOKUP($H143,매장구분!$B:$Z,3,0),"")</f>
        <v>면세</v>
      </c>
      <c r="D143" s="46" t="str">
        <f>IFERROR(VLOOKUP($H143,매장구분!$B:$Z,5,0),"")</f>
        <v>면세</v>
      </c>
      <c r="E143" s="46" t="str">
        <f>IFERROR(VLOOKUP($H143,매장구분!$B:$Z,9,0),"")</f>
        <v>현대면세무역</v>
      </c>
      <c r="F143" s="53"/>
      <c r="G143" s="54" t="s">
        <v>466</v>
      </c>
      <c r="H143" s="55" t="s">
        <v>467</v>
      </c>
      <c r="I143" s="55" t="s">
        <v>169</v>
      </c>
      <c r="J143" s="55" t="s">
        <v>175</v>
      </c>
      <c r="K143" s="55" t="s">
        <v>170</v>
      </c>
      <c r="L143" s="55" t="s">
        <v>171</v>
      </c>
      <c r="M143" s="55" t="s">
        <v>176</v>
      </c>
      <c r="N143" s="55" t="s">
        <v>177</v>
      </c>
      <c r="O143" s="55">
        <v>33968200</v>
      </c>
      <c r="P143" s="55">
        <v>558</v>
      </c>
      <c r="Q143" s="55">
        <v>0</v>
      </c>
      <c r="R143" s="55">
        <v>0</v>
      </c>
      <c r="S143" s="55">
        <v>0</v>
      </c>
      <c r="T143" s="55">
        <v>0</v>
      </c>
      <c r="U143" s="55">
        <v>0</v>
      </c>
      <c r="V143" s="55">
        <v>0</v>
      </c>
      <c r="W143" s="55">
        <v>0</v>
      </c>
      <c r="X143" s="55">
        <v>0</v>
      </c>
      <c r="Y143" s="56">
        <v>85215000</v>
      </c>
      <c r="Z143" s="55">
        <v>2310</v>
      </c>
      <c r="AA143" s="55">
        <v>0</v>
      </c>
      <c r="AB143" s="55">
        <v>0</v>
      </c>
      <c r="AC143" s="55">
        <v>119183200</v>
      </c>
      <c r="AD143" s="57">
        <v>2868</v>
      </c>
      <c r="AF143" s="47">
        <f t="shared" si="2"/>
        <v>33968200</v>
      </c>
    </row>
    <row r="144" spans="1:32" x14ac:dyDescent="0.3">
      <c r="A144" s="46" t="s">
        <v>0</v>
      </c>
      <c r="B144" s="46" t="str">
        <f>IFERROR(VLOOKUP($H144,매장구분!$B:$Z,2,0),"")</f>
        <v>리테일채널팀</v>
      </c>
      <c r="C144" s="46" t="str">
        <f>IFERROR(VLOOKUP($H144,매장구분!$B:$Z,3,0),"")</f>
        <v>국내</v>
      </c>
      <c r="D144" s="46" t="str">
        <f>IFERROR(VLOOKUP($H144,매장구분!$B:$Z,5,0),"")</f>
        <v>직영점</v>
      </c>
      <c r="E144" s="46" t="str">
        <f>IFERROR(VLOOKUP($H144,매장구분!$B:$Z,9,0),"")</f>
        <v>스타필드수원(직)</v>
      </c>
      <c r="F144" s="58"/>
      <c r="G144" s="59" t="s">
        <v>468</v>
      </c>
      <c r="H144" s="60" t="s">
        <v>469</v>
      </c>
      <c r="I144" s="60" t="s">
        <v>169</v>
      </c>
      <c r="J144" s="60" t="s">
        <v>180</v>
      </c>
      <c r="K144" s="60" t="s">
        <v>170</v>
      </c>
      <c r="L144" s="60" t="s">
        <v>171</v>
      </c>
      <c r="M144" s="60" t="s">
        <v>188</v>
      </c>
      <c r="N144" s="60" t="s">
        <v>189</v>
      </c>
      <c r="O144" s="60">
        <v>7459230</v>
      </c>
      <c r="P144" s="60">
        <v>116</v>
      </c>
      <c r="Q144" s="60">
        <v>0</v>
      </c>
      <c r="R144" s="60">
        <v>0</v>
      </c>
      <c r="S144" s="60">
        <v>0</v>
      </c>
      <c r="T144" s="60">
        <v>0</v>
      </c>
      <c r="U144" s="60">
        <v>377570</v>
      </c>
      <c r="V144" s="60">
        <v>3</v>
      </c>
      <c r="W144" s="60">
        <v>0</v>
      </c>
      <c r="X144" s="60">
        <v>0</v>
      </c>
      <c r="Y144" s="61">
        <v>0</v>
      </c>
      <c r="Z144" s="60">
        <v>0</v>
      </c>
      <c r="AA144" s="60">
        <v>0</v>
      </c>
      <c r="AB144" s="60">
        <v>0</v>
      </c>
      <c r="AC144" s="60">
        <v>7836800</v>
      </c>
      <c r="AD144" s="62">
        <v>119</v>
      </c>
      <c r="AF144" s="47">
        <f t="shared" si="2"/>
        <v>7836800</v>
      </c>
    </row>
    <row r="145" spans="1:32" x14ac:dyDescent="0.3">
      <c r="A145" s="46" t="s">
        <v>0</v>
      </c>
      <c r="B145" s="46" t="str">
        <f>IFERROR(VLOOKUP($H145,매장구분!$B:$Z,2,0),"")</f>
        <v>파트너채널팀</v>
      </c>
      <c r="C145" s="46" t="str">
        <f>IFERROR(VLOOKUP($H145,매장구분!$B:$Z,3,0),"")</f>
        <v>국내</v>
      </c>
      <c r="D145" s="46" t="str">
        <f>IFERROR(VLOOKUP($H145,매장구분!$B:$Z,5,0),"")</f>
        <v>백화점</v>
      </c>
      <c r="E145" s="46" t="str">
        <f>IFERROR(VLOOKUP($H145,매장구분!$B:$Z,9,0),"")</f>
        <v>롯데분당</v>
      </c>
      <c r="F145" s="53"/>
      <c r="G145" s="54" t="s">
        <v>470</v>
      </c>
      <c r="H145" s="55" t="s">
        <v>471</v>
      </c>
      <c r="I145" s="55" t="s">
        <v>169</v>
      </c>
      <c r="J145" s="55" t="s">
        <v>175</v>
      </c>
      <c r="K145" s="55" t="s">
        <v>170</v>
      </c>
      <c r="L145" s="55" t="s">
        <v>171</v>
      </c>
      <c r="M145" s="55" t="s">
        <v>77</v>
      </c>
      <c r="N145" s="55" t="s">
        <v>172</v>
      </c>
      <c r="O145" s="55">
        <v>1658000</v>
      </c>
      <c r="P145" s="55">
        <v>14</v>
      </c>
      <c r="Q145" s="55">
        <v>274000</v>
      </c>
      <c r="R145" s="55">
        <v>5</v>
      </c>
      <c r="S145" s="55">
        <v>0</v>
      </c>
      <c r="T145" s="55">
        <v>0</v>
      </c>
      <c r="U145" s="55">
        <v>-30000</v>
      </c>
      <c r="V145" s="55">
        <v>0</v>
      </c>
      <c r="W145" s="55">
        <v>0</v>
      </c>
      <c r="X145" s="55">
        <v>0</v>
      </c>
      <c r="Y145" s="56">
        <v>0</v>
      </c>
      <c r="Z145" s="55">
        <v>0</v>
      </c>
      <c r="AA145" s="55">
        <v>0</v>
      </c>
      <c r="AB145" s="55">
        <v>0</v>
      </c>
      <c r="AC145" s="55">
        <v>1902000</v>
      </c>
      <c r="AD145" s="57">
        <v>19</v>
      </c>
      <c r="AF145" s="47">
        <f t="shared" si="2"/>
        <v>1902000</v>
      </c>
    </row>
    <row r="146" spans="1:32" x14ac:dyDescent="0.3">
      <c r="A146" s="46" t="s">
        <v>0</v>
      </c>
      <c r="B146" s="46" t="str">
        <f>IFERROR(VLOOKUP($H146,매장구분!$B:$Z,2,0),"")</f>
        <v>파트너채널팀</v>
      </c>
      <c r="C146" s="46" t="str">
        <f>IFERROR(VLOOKUP($H146,매장구분!$B:$Z,3,0),"")</f>
        <v>국내</v>
      </c>
      <c r="D146" s="46" t="str">
        <f>IFERROR(VLOOKUP($H146,매장구분!$B:$Z,5,0),"")</f>
        <v>백화점</v>
      </c>
      <c r="E146" s="46" t="str">
        <f>IFERROR(VLOOKUP($H146,매장구분!$B:$Z,9,0),"")</f>
        <v>롯데노원</v>
      </c>
      <c r="F146" s="58"/>
      <c r="G146" s="59" t="s">
        <v>472</v>
      </c>
      <c r="H146" s="60" t="s">
        <v>473</v>
      </c>
      <c r="I146" s="60" t="s">
        <v>169</v>
      </c>
      <c r="J146" s="60" t="s">
        <v>175</v>
      </c>
      <c r="K146" s="60" t="s">
        <v>170</v>
      </c>
      <c r="L146" s="60" t="s">
        <v>171</v>
      </c>
      <c r="M146" s="60" t="s">
        <v>77</v>
      </c>
      <c r="N146" s="60" t="s">
        <v>172</v>
      </c>
      <c r="O146" s="60">
        <v>5042350</v>
      </c>
      <c r="P146" s="60">
        <v>71</v>
      </c>
      <c r="Q146" s="60">
        <v>0</v>
      </c>
      <c r="R146" s="60">
        <v>0</v>
      </c>
      <c r="S146" s="60">
        <v>0</v>
      </c>
      <c r="T146" s="60">
        <v>0</v>
      </c>
      <c r="U146" s="60">
        <v>3104650</v>
      </c>
      <c r="V146" s="60">
        <v>15</v>
      </c>
      <c r="W146" s="60">
        <v>0</v>
      </c>
      <c r="X146" s="60">
        <v>0</v>
      </c>
      <c r="Y146" s="61">
        <v>0</v>
      </c>
      <c r="Z146" s="60">
        <v>0</v>
      </c>
      <c r="AA146" s="60">
        <v>0</v>
      </c>
      <c r="AB146" s="60">
        <v>0</v>
      </c>
      <c r="AC146" s="60">
        <v>8147000</v>
      </c>
      <c r="AD146" s="62">
        <v>86</v>
      </c>
      <c r="AF146" s="47">
        <f t="shared" si="2"/>
        <v>8147000</v>
      </c>
    </row>
    <row r="147" spans="1:32" x14ac:dyDescent="0.3">
      <c r="A147" s="46" t="s">
        <v>0</v>
      </c>
      <c r="B147" s="46" t="str">
        <f>IFERROR(VLOOKUP($H147,매장구분!$B:$Z,2,0),"")</f>
        <v>리테일채널팀</v>
      </c>
      <c r="C147" s="46" t="str">
        <f>IFERROR(VLOOKUP($H147,매장구분!$B:$Z,3,0),"")</f>
        <v>국내</v>
      </c>
      <c r="D147" s="46" t="str">
        <f>IFERROR(VLOOKUP($H147,매장구분!$B:$Z,5,0),"")</f>
        <v>대리점</v>
      </c>
      <c r="E147" s="46" t="str">
        <f>IFERROR(VLOOKUP($H147,매장구분!$B:$Z,9,0),"")</f>
        <v>제주(대-위)</v>
      </c>
      <c r="F147" s="53"/>
      <c r="G147" s="54" t="s">
        <v>474</v>
      </c>
      <c r="H147" s="55" t="s">
        <v>475</v>
      </c>
      <c r="I147" s="55" t="s">
        <v>169</v>
      </c>
      <c r="J147" s="55" t="s">
        <v>79</v>
      </c>
      <c r="K147" s="55" t="s">
        <v>170</v>
      </c>
      <c r="L147" s="55" t="s">
        <v>171</v>
      </c>
      <c r="M147" s="55" t="s">
        <v>196</v>
      </c>
      <c r="N147" s="55" t="s">
        <v>197</v>
      </c>
      <c r="O147" s="55">
        <v>5218800</v>
      </c>
      <c r="P147" s="55">
        <v>77</v>
      </c>
      <c r="Q147" s="55">
        <v>0</v>
      </c>
      <c r="R147" s="55">
        <v>0</v>
      </c>
      <c r="S147" s="55">
        <v>0</v>
      </c>
      <c r="T147" s="55">
        <v>0</v>
      </c>
      <c r="U147" s="55">
        <v>288000</v>
      </c>
      <c r="V147" s="55">
        <v>2</v>
      </c>
      <c r="W147" s="55">
        <v>0</v>
      </c>
      <c r="X147" s="55">
        <v>0</v>
      </c>
      <c r="Y147" s="56">
        <v>0</v>
      </c>
      <c r="Z147" s="55">
        <v>0</v>
      </c>
      <c r="AA147" s="55">
        <v>0</v>
      </c>
      <c r="AB147" s="55">
        <v>0</v>
      </c>
      <c r="AC147" s="55">
        <v>5506800</v>
      </c>
      <c r="AD147" s="57">
        <v>79</v>
      </c>
      <c r="AF147" s="47">
        <f t="shared" si="2"/>
        <v>5506800</v>
      </c>
    </row>
    <row r="148" spans="1:32" x14ac:dyDescent="0.3">
      <c r="A148" s="46" t="s">
        <v>0</v>
      </c>
      <c r="B148" s="46" t="str">
        <f>IFERROR(VLOOKUP($H148,매장구분!$B:$Z,2,0),"")</f>
        <v>파트너채널팀</v>
      </c>
      <c r="C148" s="46" t="str">
        <f>IFERROR(VLOOKUP($H148,매장구분!$B:$Z,3,0),"")</f>
        <v>국내</v>
      </c>
      <c r="D148" s="46" t="str">
        <f>IFERROR(VLOOKUP($H148,매장구분!$B:$Z,5,0),"")</f>
        <v>백화점</v>
      </c>
      <c r="E148" s="46" t="str">
        <f>IFERROR(VLOOKUP($H148,매장구분!$B:$Z,9,0),"")</f>
        <v>롯데대전</v>
      </c>
      <c r="F148" s="58"/>
      <c r="G148" s="59" t="s">
        <v>476</v>
      </c>
      <c r="H148" s="60" t="s">
        <v>477</v>
      </c>
      <c r="I148" s="60" t="s">
        <v>169</v>
      </c>
      <c r="J148" s="60" t="s">
        <v>175</v>
      </c>
      <c r="K148" s="60" t="s">
        <v>170</v>
      </c>
      <c r="L148" s="60" t="s">
        <v>171</v>
      </c>
      <c r="M148" s="60" t="s">
        <v>77</v>
      </c>
      <c r="N148" s="60" t="s">
        <v>172</v>
      </c>
      <c r="O148" s="60">
        <v>4308300</v>
      </c>
      <c r="P148" s="60">
        <v>45</v>
      </c>
      <c r="Q148" s="60">
        <v>0</v>
      </c>
      <c r="R148" s="60">
        <v>0</v>
      </c>
      <c r="S148" s="60">
        <v>0</v>
      </c>
      <c r="T148" s="60">
        <v>0</v>
      </c>
      <c r="U148" s="60">
        <v>1341000</v>
      </c>
      <c r="V148" s="60">
        <v>9</v>
      </c>
      <c r="W148" s="60">
        <v>0</v>
      </c>
      <c r="X148" s="60">
        <v>0</v>
      </c>
      <c r="Y148" s="61">
        <v>0</v>
      </c>
      <c r="Z148" s="60">
        <v>0</v>
      </c>
      <c r="AA148" s="60">
        <v>0</v>
      </c>
      <c r="AB148" s="60">
        <v>0</v>
      </c>
      <c r="AC148" s="60">
        <v>5649300</v>
      </c>
      <c r="AD148" s="62">
        <v>54</v>
      </c>
      <c r="AF148" s="47">
        <f t="shared" si="2"/>
        <v>5649300</v>
      </c>
    </row>
    <row r="149" spans="1:32" x14ac:dyDescent="0.3">
      <c r="A149" s="46" t="s">
        <v>0</v>
      </c>
      <c r="B149" s="46" t="str">
        <f>IFERROR(VLOOKUP($H149,매장구분!$B:$Z,2,0),"")</f>
        <v>리테일채널팀</v>
      </c>
      <c r="C149" s="46" t="str">
        <f>IFERROR(VLOOKUP($H149,매장구분!$B:$Z,3,0),"")</f>
        <v>국내</v>
      </c>
      <c r="D149" s="46" t="str">
        <f>IFERROR(VLOOKUP($H149,매장구분!$B:$Z,5,0),"")</f>
        <v>상설(위탁)</v>
      </c>
      <c r="E149" s="46" t="str">
        <f>IFERROR(VLOOKUP($H149,매장구분!$B:$Z,9,0),"")</f>
        <v>롯데아울렛청주(상-위)</v>
      </c>
      <c r="F149" s="53"/>
      <c r="G149" s="54" t="s">
        <v>478</v>
      </c>
      <c r="H149" s="55" t="s">
        <v>479</v>
      </c>
      <c r="I149" s="55" t="s">
        <v>169</v>
      </c>
      <c r="J149" s="55" t="s">
        <v>79</v>
      </c>
      <c r="K149" s="55" t="s">
        <v>170</v>
      </c>
      <c r="L149" s="55" t="s">
        <v>171</v>
      </c>
      <c r="M149" s="55" t="s">
        <v>219</v>
      </c>
      <c r="N149" s="55" t="s">
        <v>219</v>
      </c>
      <c r="O149" s="55">
        <v>264000</v>
      </c>
      <c r="P149" s="55">
        <v>7</v>
      </c>
      <c r="Q149" s="55">
        <v>0</v>
      </c>
      <c r="R149" s="55">
        <v>0</v>
      </c>
      <c r="S149" s="55">
        <v>0</v>
      </c>
      <c r="T149" s="55">
        <v>0</v>
      </c>
      <c r="U149" s="55">
        <v>0</v>
      </c>
      <c r="V149" s="55">
        <v>0</v>
      </c>
      <c r="W149" s="55">
        <v>0</v>
      </c>
      <c r="X149" s="55">
        <v>0</v>
      </c>
      <c r="Y149" s="56">
        <v>0</v>
      </c>
      <c r="Z149" s="55">
        <v>0</v>
      </c>
      <c r="AA149" s="55">
        <v>0</v>
      </c>
      <c r="AB149" s="55">
        <v>0</v>
      </c>
      <c r="AC149" s="55">
        <v>264000</v>
      </c>
      <c r="AD149" s="57">
        <v>7</v>
      </c>
      <c r="AF149" s="47">
        <f t="shared" si="2"/>
        <v>264000</v>
      </c>
    </row>
    <row r="150" spans="1:32" x14ac:dyDescent="0.3">
      <c r="A150" s="46" t="s">
        <v>0</v>
      </c>
      <c r="B150" s="46" t="str">
        <f>IFERROR(VLOOKUP($H150,매장구분!$B:$Z,2,0),"")</f>
        <v>파트너채널팀</v>
      </c>
      <c r="C150" s="46" t="str">
        <f>IFERROR(VLOOKUP($H150,매장구분!$B:$Z,3,0),"")</f>
        <v>국내</v>
      </c>
      <c r="D150" s="46" t="str">
        <f>IFERROR(VLOOKUP($H150,매장구분!$B:$Z,5,0),"")</f>
        <v>백화점</v>
      </c>
      <c r="E150" s="46" t="str">
        <f>IFERROR(VLOOKUP($H150,매장구분!$B:$Z,9,0),"")</f>
        <v>현대울산동구</v>
      </c>
      <c r="F150" s="58"/>
      <c r="G150" s="59" t="s">
        <v>480</v>
      </c>
      <c r="H150" s="60" t="s">
        <v>481</v>
      </c>
      <c r="I150" s="60" t="s">
        <v>169</v>
      </c>
      <c r="J150" s="60" t="s">
        <v>175</v>
      </c>
      <c r="K150" s="60" t="s">
        <v>170</v>
      </c>
      <c r="L150" s="60" t="s">
        <v>171</v>
      </c>
      <c r="M150" s="60" t="s">
        <v>77</v>
      </c>
      <c r="N150" s="60" t="s">
        <v>172</v>
      </c>
      <c r="O150" s="60">
        <v>1739000</v>
      </c>
      <c r="P150" s="60">
        <v>18</v>
      </c>
      <c r="Q150" s="60">
        <v>89000</v>
      </c>
      <c r="R150" s="60">
        <v>1</v>
      </c>
      <c r="S150" s="60">
        <v>0</v>
      </c>
      <c r="T150" s="60">
        <v>0</v>
      </c>
      <c r="U150" s="60">
        <v>0</v>
      </c>
      <c r="V150" s="60">
        <v>0</v>
      </c>
      <c r="W150" s="60">
        <v>0</v>
      </c>
      <c r="X150" s="60">
        <v>0</v>
      </c>
      <c r="Y150" s="61">
        <v>3022000</v>
      </c>
      <c r="Z150" s="60">
        <v>42</v>
      </c>
      <c r="AA150" s="60">
        <v>0</v>
      </c>
      <c r="AB150" s="60">
        <v>0</v>
      </c>
      <c r="AC150" s="60">
        <v>4850000</v>
      </c>
      <c r="AD150" s="62">
        <v>61</v>
      </c>
      <c r="AF150" s="47">
        <f t="shared" si="2"/>
        <v>1828000</v>
      </c>
    </row>
    <row r="151" spans="1:32" x14ac:dyDescent="0.3">
      <c r="A151" s="46" t="s">
        <v>0</v>
      </c>
      <c r="B151" s="46" t="str">
        <f>IFERROR(VLOOKUP($H151,매장구분!$B:$Z,2,0),"")</f>
        <v>리테일채널팀</v>
      </c>
      <c r="C151" s="46" t="str">
        <f>IFERROR(VLOOKUP($H151,매장구분!$B:$Z,3,0),"")</f>
        <v>국내</v>
      </c>
      <c r="D151" s="46" t="str">
        <f>IFERROR(VLOOKUP($H151,매장구분!$B:$Z,5,0),"")</f>
        <v>직영점</v>
      </c>
      <c r="E151" s="46" t="str">
        <f>IFERROR(VLOOKUP($H151,매장구분!$B:$Z,9,0),"")</f>
        <v>강남사옥(직)</v>
      </c>
      <c r="F151" s="53"/>
      <c r="G151" s="54" t="s">
        <v>482</v>
      </c>
      <c r="H151" s="55" t="s">
        <v>483</v>
      </c>
      <c r="I151" s="55" t="s">
        <v>169</v>
      </c>
      <c r="J151" s="55" t="s">
        <v>180</v>
      </c>
      <c r="K151" s="55" t="s">
        <v>170</v>
      </c>
      <c r="L151" s="55" t="s">
        <v>171</v>
      </c>
      <c r="M151" s="55" t="s">
        <v>196</v>
      </c>
      <c r="N151" s="55" t="s">
        <v>206</v>
      </c>
      <c r="O151" s="55">
        <v>4606500</v>
      </c>
      <c r="P151" s="55">
        <v>50</v>
      </c>
      <c r="Q151" s="55">
        <v>0</v>
      </c>
      <c r="R151" s="55">
        <v>0</v>
      </c>
      <c r="S151" s="55">
        <v>0</v>
      </c>
      <c r="T151" s="55">
        <v>0</v>
      </c>
      <c r="U151" s="55">
        <v>387000</v>
      </c>
      <c r="V151" s="55">
        <v>3</v>
      </c>
      <c r="W151" s="55">
        <v>0</v>
      </c>
      <c r="X151" s="55">
        <v>0</v>
      </c>
      <c r="Y151" s="56">
        <v>0</v>
      </c>
      <c r="Z151" s="55">
        <v>0</v>
      </c>
      <c r="AA151" s="55">
        <v>0</v>
      </c>
      <c r="AB151" s="55">
        <v>0</v>
      </c>
      <c r="AC151" s="55">
        <v>4993500</v>
      </c>
      <c r="AD151" s="57">
        <v>53</v>
      </c>
      <c r="AF151" s="47">
        <f t="shared" si="2"/>
        <v>4993500</v>
      </c>
    </row>
    <row r="152" spans="1:32" x14ac:dyDescent="0.3">
      <c r="A152" s="46" t="s">
        <v>0</v>
      </c>
      <c r="B152" s="46" t="str">
        <f>IFERROR(VLOOKUP($H152,매장구분!$B:$Z,2,0),"")</f>
        <v>리테일채널팀</v>
      </c>
      <c r="C152" s="46" t="str">
        <f>IFERROR(VLOOKUP($H152,매장구분!$B:$Z,3,0),"")</f>
        <v>RF</v>
      </c>
      <c r="D152" s="46" t="str">
        <f>IFERROR(VLOOKUP($H152,매장구분!$B:$Z,5,0),"")</f>
        <v>대리점</v>
      </c>
      <c r="E152" s="46" t="str">
        <f>IFERROR(VLOOKUP($H152,매장구분!$B:$Z,9,0),"")</f>
        <v>두타(대-위)</v>
      </c>
      <c r="F152" s="58"/>
      <c r="G152" s="59" t="s">
        <v>484</v>
      </c>
      <c r="H152" s="60" t="s">
        <v>485</v>
      </c>
      <c r="I152" s="60" t="s">
        <v>169</v>
      </c>
      <c r="J152" s="60" t="s">
        <v>79</v>
      </c>
      <c r="K152" s="60" t="s">
        <v>170</v>
      </c>
      <c r="L152" s="60" t="s">
        <v>171</v>
      </c>
      <c r="M152" s="60" t="s">
        <v>196</v>
      </c>
      <c r="N152" s="60" t="s">
        <v>197</v>
      </c>
      <c r="O152" s="60">
        <v>3174000</v>
      </c>
      <c r="P152" s="60">
        <v>34</v>
      </c>
      <c r="Q152" s="60">
        <v>0</v>
      </c>
      <c r="R152" s="60">
        <v>0</v>
      </c>
      <c r="S152" s="60">
        <v>0</v>
      </c>
      <c r="T152" s="60">
        <v>0</v>
      </c>
      <c r="U152" s="60">
        <v>0</v>
      </c>
      <c r="V152" s="60">
        <v>0</v>
      </c>
      <c r="W152" s="60">
        <v>0</v>
      </c>
      <c r="X152" s="60">
        <v>0</v>
      </c>
      <c r="Y152" s="61">
        <v>27335040</v>
      </c>
      <c r="Z152" s="60">
        <v>113</v>
      </c>
      <c r="AA152" s="60">
        <v>0</v>
      </c>
      <c r="AB152" s="60">
        <v>0</v>
      </c>
      <c r="AC152" s="60">
        <v>30509040</v>
      </c>
      <c r="AD152" s="62">
        <v>147</v>
      </c>
      <c r="AF152" s="47">
        <f t="shared" si="2"/>
        <v>3174000</v>
      </c>
    </row>
    <row r="153" spans="1:32" x14ac:dyDescent="0.3">
      <c r="A153" s="46" t="s">
        <v>0</v>
      </c>
      <c r="B153" s="46" t="str">
        <f>IFERROR(VLOOKUP($H153,매장구분!$B:$Z,2,0),"")</f>
        <v>리테일채널팀</v>
      </c>
      <c r="C153" s="46" t="str">
        <f>IFERROR(VLOOKUP($H153,매장구분!$B:$Z,3,0),"")</f>
        <v>국내</v>
      </c>
      <c r="D153" s="46" t="str">
        <f>IFERROR(VLOOKUP($H153,매장구분!$B:$Z,5,0),"")</f>
        <v>대리점</v>
      </c>
      <c r="E153" s="46" t="str">
        <f>IFERROR(VLOOKUP($H153,매장구분!$B:$Z,9,0),"")</f>
        <v>목포하당(대-위)</v>
      </c>
      <c r="F153" s="53"/>
      <c r="G153" s="54" t="s">
        <v>486</v>
      </c>
      <c r="H153" s="55" t="s">
        <v>487</v>
      </c>
      <c r="I153" s="55" t="s">
        <v>169</v>
      </c>
      <c r="J153" s="55" t="s">
        <v>79</v>
      </c>
      <c r="K153" s="55" t="s">
        <v>170</v>
      </c>
      <c r="L153" s="55" t="s">
        <v>171</v>
      </c>
      <c r="M153" s="55" t="s">
        <v>196</v>
      </c>
      <c r="N153" s="55" t="s">
        <v>197</v>
      </c>
      <c r="O153" s="55">
        <v>16815584</v>
      </c>
      <c r="P153" s="55">
        <v>119</v>
      </c>
      <c r="Q153" s="55">
        <v>0</v>
      </c>
      <c r="R153" s="55">
        <v>0</v>
      </c>
      <c r="S153" s="55">
        <v>0</v>
      </c>
      <c r="T153" s="55">
        <v>0</v>
      </c>
      <c r="U153" s="55">
        <v>607000</v>
      </c>
      <c r="V153" s="55">
        <v>3</v>
      </c>
      <c r="W153" s="55">
        <v>0</v>
      </c>
      <c r="X153" s="55">
        <v>0</v>
      </c>
      <c r="Y153" s="56">
        <v>0</v>
      </c>
      <c r="Z153" s="55">
        <v>0</v>
      </c>
      <c r="AA153" s="55">
        <v>0</v>
      </c>
      <c r="AB153" s="55">
        <v>0</v>
      </c>
      <c r="AC153" s="55">
        <v>17422584</v>
      </c>
      <c r="AD153" s="57">
        <v>122</v>
      </c>
      <c r="AF153" s="47">
        <f t="shared" si="2"/>
        <v>17422584</v>
      </c>
    </row>
    <row r="154" spans="1:32" x14ac:dyDescent="0.3">
      <c r="A154" s="46" t="s">
        <v>0</v>
      </c>
      <c r="B154" s="46" t="str">
        <f>IFERROR(VLOOKUP($H154,매장구분!$B:$Z,2,0),"")</f>
        <v>리테일채널팀</v>
      </c>
      <c r="C154" s="46" t="str">
        <f>IFERROR(VLOOKUP($H154,매장구분!$B:$Z,3,0),"")</f>
        <v>국내</v>
      </c>
      <c r="D154" s="46" t="str">
        <f>IFERROR(VLOOKUP($H154,매장구분!$B:$Z,5,0),"")</f>
        <v>대리점</v>
      </c>
      <c r="E154" s="46" t="str">
        <f>IFERROR(VLOOKUP($H154,매장구분!$B:$Z,9,0),"")</f>
        <v>속초(대-위)</v>
      </c>
      <c r="F154" s="58"/>
      <c r="G154" s="59" t="s">
        <v>488</v>
      </c>
      <c r="H154" s="60" t="s">
        <v>489</v>
      </c>
      <c r="I154" s="60" t="s">
        <v>169</v>
      </c>
      <c r="J154" s="60" t="s">
        <v>79</v>
      </c>
      <c r="K154" s="60" t="s">
        <v>170</v>
      </c>
      <c r="L154" s="60" t="s">
        <v>171</v>
      </c>
      <c r="M154" s="60" t="s">
        <v>196</v>
      </c>
      <c r="N154" s="60" t="s">
        <v>197</v>
      </c>
      <c r="O154" s="60">
        <v>5363000</v>
      </c>
      <c r="P154" s="60">
        <v>54</v>
      </c>
      <c r="Q154" s="60">
        <v>0</v>
      </c>
      <c r="R154" s="60">
        <v>0</v>
      </c>
      <c r="S154" s="60">
        <v>0</v>
      </c>
      <c r="T154" s="60">
        <v>0</v>
      </c>
      <c r="U154" s="60">
        <v>1293000</v>
      </c>
      <c r="V154" s="60">
        <v>7</v>
      </c>
      <c r="W154" s="60">
        <v>0</v>
      </c>
      <c r="X154" s="60">
        <v>0</v>
      </c>
      <c r="Y154" s="61">
        <v>0</v>
      </c>
      <c r="Z154" s="60">
        <v>0</v>
      </c>
      <c r="AA154" s="60">
        <v>0</v>
      </c>
      <c r="AB154" s="60">
        <v>0</v>
      </c>
      <c r="AC154" s="60">
        <v>6656000</v>
      </c>
      <c r="AD154" s="62">
        <v>61</v>
      </c>
      <c r="AF154" s="47">
        <f t="shared" si="2"/>
        <v>6656000</v>
      </c>
    </row>
    <row r="155" spans="1:32" x14ac:dyDescent="0.3">
      <c r="A155" s="46" t="s">
        <v>0</v>
      </c>
      <c r="B155" s="46" t="str">
        <f>IFERROR(VLOOKUP($H155,매장구분!$B:$Z,2,0),"")</f>
        <v>리테일채널팀</v>
      </c>
      <c r="C155" s="46" t="str">
        <f>IFERROR(VLOOKUP($H155,매장구분!$B:$Z,3,0),"")</f>
        <v>국내</v>
      </c>
      <c r="D155" s="46" t="str">
        <f>IFERROR(VLOOKUP($H155,매장구분!$B:$Z,5,0),"")</f>
        <v>대리점</v>
      </c>
      <c r="E155" s="46" t="str">
        <f>IFERROR(VLOOKUP($H155,매장구분!$B:$Z,9,0),"")</f>
        <v>익산(대-위)</v>
      </c>
      <c r="F155" s="53"/>
      <c r="G155" s="54" t="s">
        <v>490</v>
      </c>
      <c r="H155" s="55" t="s">
        <v>491</v>
      </c>
      <c r="I155" s="55" t="s">
        <v>169</v>
      </c>
      <c r="J155" s="55" t="s">
        <v>79</v>
      </c>
      <c r="K155" s="55" t="s">
        <v>170</v>
      </c>
      <c r="L155" s="55" t="s">
        <v>171</v>
      </c>
      <c r="M155" s="55" t="s">
        <v>196</v>
      </c>
      <c r="N155" s="55" t="s">
        <v>197</v>
      </c>
      <c r="O155" s="55">
        <v>6962457</v>
      </c>
      <c r="P155" s="55">
        <v>68</v>
      </c>
      <c r="Q155" s="55">
        <v>0</v>
      </c>
      <c r="R155" s="55">
        <v>0</v>
      </c>
      <c r="S155" s="55">
        <v>0</v>
      </c>
      <c r="T155" s="55">
        <v>0</v>
      </c>
      <c r="U155" s="55">
        <v>497443</v>
      </c>
      <c r="V155" s="55">
        <v>4</v>
      </c>
      <c r="W155" s="55">
        <v>0</v>
      </c>
      <c r="X155" s="55">
        <v>0</v>
      </c>
      <c r="Y155" s="56">
        <v>0</v>
      </c>
      <c r="Z155" s="55">
        <v>0</v>
      </c>
      <c r="AA155" s="55">
        <v>0</v>
      </c>
      <c r="AB155" s="55">
        <v>0</v>
      </c>
      <c r="AC155" s="55">
        <v>7459900</v>
      </c>
      <c r="AD155" s="57">
        <v>72</v>
      </c>
      <c r="AF155" s="47">
        <f t="shared" si="2"/>
        <v>7459900</v>
      </c>
    </row>
    <row r="156" spans="1:32" x14ac:dyDescent="0.3">
      <c r="A156" s="46" t="s">
        <v>0</v>
      </c>
      <c r="B156" s="46" t="str">
        <f>IFERROR(VLOOKUP($H156,매장구분!$B:$Z,2,0),"")</f>
        <v>리테일채널팀</v>
      </c>
      <c r="C156" s="46" t="str">
        <f>IFERROR(VLOOKUP($H156,매장구분!$B:$Z,3,0),"")</f>
        <v>국내</v>
      </c>
      <c r="D156" s="46" t="str">
        <f>IFERROR(VLOOKUP($H156,매장구분!$B:$Z,5,0),"")</f>
        <v>대리점</v>
      </c>
      <c r="E156" s="46" t="str">
        <f>IFERROR(VLOOKUP($H156,매장구분!$B:$Z,9,0),"")</f>
        <v>대구성서(대-위)</v>
      </c>
      <c r="F156" s="58"/>
      <c r="G156" s="59" t="s">
        <v>492</v>
      </c>
      <c r="H156" s="60" t="s">
        <v>493</v>
      </c>
      <c r="I156" s="60" t="s">
        <v>169</v>
      </c>
      <c r="J156" s="60" t="s">
        <v>79</v>
      </c>
      <c r="K156" s="60" t="s">
        <v>170</v>
      </c>
      <c r="L156" s="60" t="s">
        <v>171</v>
      </c>
      <c r="M156" s="60" t="s">
        <v>196</v>
      </c>
      <c r="N156" s="60" t="s">
        <v>197</v>
      </c>
      <c r="O156" s="60">
        <v>14083200</v>
      </c>
      <c r="P156" s="60">
        <v>112</v>
      </c>
      <c r="Q156" s="60">
        <v>0</v>
      </c>
      <c r="R156" s="60">
        <v>0</v>
      </c>
      <c r="S156" s="60">
        <v>0</v>
      </c>
      <c r="T156" s="60">
        <v>0</v>
      </c>
      <c r="U156" s="60">
        <v>449000</v>
      </c>
      <c r="V156" s="60">
        <v>1</v>
      </c>
      <c r="W156" s="60">
        <v>0</v>
      </c>
      <c r="X156" s="60">
        <v>0</v>
      </c>
      <c r="Y156" s="61">
        <v>0</v>
      </c>
      <c r="Z156" s="60">
        <v>0</v>
      </c>
      <c r="AA156" s="60">
        <v>0</v>
      </c>
      <c r="AB156" s="60">
        <v>0</v>
      </c>
      <c r="AC156" s="60">
        <v>14532200</v>
      </c>
      <c r="AD156" s="62">
        <v>113</v>
      </c>
      <c r="AF156" s="47">
        <f t="shared" si="2"/>
        <v>14532200</v>
      </c>
    </row>
    <row r="157" spans="1:32" x14ac:dyDescent="0.3">
      <c r="A157" s="46" t="s">
        <v>0</v>
      </c>
      <c r="B157" s="46" t="str">
        <f>IFERROR(VLOOKUP($H157,매장구분!$B:$Z,2,0),"")</f>
        <v>파트너채널팀</v>
      </c>
      <c r="C157" s="46" t="str">
        <f>IFERROR(VLOOKUP($H157,매장구분!$B:$Z,3,0),"")</f>
        <v>국내</v>
      </c>
      <c r="D157" s="46" t="str">
        <f>IFERROR(VLOOKUP($H157,매장구분!$B:$Z,5,0),"")</f>
        <v>백화점</v>
      </c>
      <c r="E157" s="46" t="str">
        <f>IFERROR(VLOOKUP($H157,매장구분!$B:$Z,9,0),"")</f>
        <v>현대중동</v>
      </c>
      <c r="F157" s="53"/>
      <c r="G157" s="54" t="s">
        <v>494</v>
      </c>
      <c r="H157" s="55" t="s">
        <v>495</v>
      </c>
      <c r="I157" s="55" t="s">
        <v>169</v>
      </c>
      <c r="J157" s="55" t="s">
        <v>175</v>
      </c>
      <c r="K157" s="55" t="s">
        <v>170</v>
      </c>
      <c r="L157" s="55" t="s">
        <v>171</v>
      </c>
      <c r="M157" s="55" t="s">
        <v>77</v>
      </c>
      <c r="N157" s="55" t="s">
        <v>172</v>
      </c>
      <c r="O157" s="55">
        <v>4812940</v>
      </c>
      <c r="P157" s="55">
        <v>60</v>
      </c>
      <c r="Q157" s="55">
        <v>0</v>
      </c>
      <c r="R157" s="55">
        <v>0</v>
      </c>
      <c r="S157" s="55">
        <v>0</v>
      </c>
      <c r="T157" s="55">
        <v>0</v>
      </c>
      <c r="U157" s="55">
        <v>2611060</v>
      </c>
      <c r="V157" s="55">
        <v>12</v>
      </c>
      <c r="W157" s="55">
        <v>0</v>
      </c>
      <c r="X157" s="55">
        <v>0</v>
      </c>
      <c r="Y157" s="56">
        <v>247000</v>
      </c>
      <c r="Z157" s="55">
        <v>5</v>
      </c>
      <c r="AA157" s="55">
        <v>0</v>
      </c>
      <c r="AB157" s="55">
        <v>0</v>
      </c>
      <c r="AC157" s="55">
        <v>7671000</v>
      </c>
      <c r="AD157" s="57">
        <v>77</v>
      </c>
      <c r="AF157" s="47">
        <f t="shared" si="2"/>
        <v>7424000</v>
      </c>
    </row>
    <row r="158" spans="1:32" x14ac:dyDescent="0.3">
      <c r="A158" s="46" t="s">
        <v>0</v>
      </c>
      <c r="B158" s="46" t="str">
        <f>IFERROR(VLOOKUP($H158,매장구분!$B:$Z,2,0),"")</f>
        <v>파트너채널팀</v>
      </c>
      <c r="C158" s="46" t="str">
        <f>IFERROR(VLOOKUP($H158,매장구분!$B:$Z,3,0),"")</f>
        <v>국내</v>
      </c>
      <c r="D158" s="46" t="str">
        <f>IFERROR(VLOOKUP($H158,매장구분!$B:$Z,5,0),"")</f>
        <v>백화점</v>
      </c>
      <c r="E158" s="46" t="str">
        <f>IFERROR(VLOOKUP($H158,매장구분!$B:$Z,9,0),"")</f>
        <v>아이파크용산</v>
      </c>
      <c r="F158" s="58"/>
      <c r="G158" s="59" t="s">
        <v>496</v>
      </c>
      <c r="H158" s="60" t="s">
        <v>497</v>
      </c>
      <c r="I158" s="60" t="s">
        <v>169</v>
      </c>
      <c r="J158" s="60" t="s">
        <v>175</v>
      </c>
      <c r="K158" s="60" t="s">
        <v>170</v>
      </c>
      <c r="L158" s="60" t="s">
        <v>171</v>
      </c>
      <c r="M158" s="60" t="s">
        <v>188</v>
      </c>
      <c r="N158" s="60" t="s">
        <v>317</v>
      </c>
      <c r="O158" s="60">
        <v>2719600</v>
      </c>
      <c r="P158" s="60">
        <v>25</v>
      </c>
      <c r="Q158" s="60">
        <v>0</v>
      </c>
      <c r="R158" s="60">
        <v>0</v>
      </c>
      <c r="S158" s="60">
        <v>0</v>
      </c>
      <c r="T158" s="60">
        <v>0</v>
      </c>
      <c r="U158" s="60">
        <v>697000</v>
      </c>
      <c r="V158" s="60">
        <v>3</v>
      </c>
      <c r="W158" s="60">
        <v>0</v>
      </c>
      <c r="X158" s="60">
        <v>0</v>
      </c>
      <c r="Y158" s="61">
        <v>34310000</v>
      </c>
      <c r="Z158" s="60">
        <v>404</v>
      </c>
      <c r="AA158" s="60">
        <v>0</v>
      </c>
      <c r="AB158" s="60">
        <v>0</v>
      </c>
      <c r="AC158" s="60">
        <v>37726600</v>
      </c>
      <c r="AD158" s="62">
        <v>432</v>
      </c>
      <c r="AF158" s="47">
        <f t="shared" si="2"/>
        <v>3416600</v>
      </c>
    </row>
    <row r="159" spans="1:32" x14ac:dyDescent="0.3">
      <c r="A159" s="46" t="s">
        <v>0</v>
      </c>
      <c r="B159" s="46" t="str">
        <f>IFERROR(VLOOKUP($H159,매장구분!$B:$Z,2,0),"")</f>
        <v>E-biz</v>
      </c>
      <c r="C159" s="46" t="str">
        <f>IFERROR(VLOOKUP($H159,매장구분!$B:$Z,3,0),"")</f>
        <v>국내</v>
      </c>
      <c r="D159" s="46" t="str">
        <f>IFERROR(VLOOKUP($H159,매장구분!$B:$Z,5,0),"")</f>
        <v>온(제휴몰)</v>
      </c>
      <c r="E159" s="46" t="str">
        <f>IFERROR(VLOOKUP($H159,매장구분!$B:$Z,9,0),"")</f>
        <v>SSG닷컴(제휴몰)</v>
      </c>
      <c r="F159" s="53"/>
      <c r="G159" s="54" t="s">
        <v>498</v>
      </c>
      <c r="H159" s="55" t="s">
        <v>499</v>
      </c>
      <c r="I159" s="55" t="s">
        <v>169</v>
      </c>
      <c r="J159" s="55" t="s">
        <v>180</v>
      </c>
      <c r="K159" s="55" t="s">
        <v>170</v>
      </c>
      <c r="L159" s="55" t="s">
        <v>181</v>
      </c>
      <c r="M159" s="55" t="s">
        <v>181</v>
      </c>
      <c r="N159" s="55" t="s">
        <v>185</v>
      </c>
      <c r="O159" s="55">
        <v>8406900</v>
      </c>
      <c r="P159" s="55">
        <v>64</v>
      </c>
      <c r="Q159" s="55">
        <v>0</v>
      </c>
      <c r="R159" s="55">
        <v>0</v>
      </c>
      <c r="S159" s="55">
        <v>0</v>
      </c>
      <c r="T159" s="55">
        <v>0</v>
      </c>
      <c r="U159" s="55">
        <v>0</v>
      </c>
      <c r="V159" s="55">
        <v>0</v>
      </c>
      <c r="W159" s="55">
        <v>0</v>
      </c>
      <c r="X159" s="55">
        <v>0</v>
      </c>
      <c r="Y159" s="56">
        <v>0</v>
      </c>
      <c r="Z159" s="55">
        <v>0</v>
      </c>
      <c r="AA159" s="55">
        <v>0</v>
      </c>
      <c r="AB159" s="55">
        <v>0</v>
      </c>
      <c r="AC159" s="55">
        <v>8406900</v>
      </c>
      <c r="AD159" s="57">
        <v>64</v>
      </c>
      <c r="AF159" s="47">
        <f t="shared" si="2"/>
        <v>8406900</v>
      </c>
    </row>
    <row r="160" spans="1:32" x14ac:dyDescent="0.3">
      <c r="A160" s="46" t="s">
        <v>0</v>
      </c>
      <c r="B160" s="46" t="str">
        <f>IFERROR(VLOOKUP($H160,매장구분!$B:$Z,2,0),"")</f>
        <v>리테일채널팀</v>
      </c>
      <c r="C160" s="46" t="str">
        <f>IFERROR(VLOOKUP($H160,매장구분!$B:$Z,3,0),"")</f>
        <v>국내</v>
      </c>
      <c r="D160" s="46" t="str">
        <f>IFERROR(VLOOKUP($H160,매장구분!$B:$Z,5,0),"")</f>
        <v>대리점</v>
      </c>
      <c r="E160" s="46" t="str">
        <f>IFERROR(VLOOKUP($H160,매장구분!$B:$Z,9,0),"")</f>
        <v>여천(대-위)</v>
      </c>
      <c r="F160" s="58"/>
      <c r="G160" s="59" t="s">
        <v>500</v>
      </c>
      <c r="H160" s="60" t="s">
        <v>501</v>
      </c>
      <c r="I160" s="60" t="s">
        <v>169</v>
      </c>
      <c r="J160" s="60" t="s">
        <v>79</v>
      </c>
      <c r="K160" s="60" t="s">
        <v>170</v>
      </c>
      <c r="L160" s="60" t="s">
        <v>171</v>
      </c>
      <c r="M160" s="60" t="s">
        <v>196</v>
      </c>
      <c r="N160" s="60" t="s">
        <v>197</v>
      </c>
      <c r="O160" s="60">
        <v>3986000</v>
      </c>
      <c r="P160" s="60">
        <v>41</v>
      </c>
      <c r="Q160" s="60">
        <v>0</v>
      </c>
      <c r="R160" s="60">
        <v>0</v>
      </c>
      <c r="S160" s="60">
        <v>0</v>
      </c>
      <c r="T160" s="60">
        <v>0</v>
      </c>
      <c r="U160" s="60">
        <v>520200</v>
      </c>
      <c r="V160" s="60">
        <v>2</v>
      </c>
      <c r="W160" s="60">
        <v>0</v>
      </c>
      <c r="X160" s="60">
        <v>0</v>
      </c>
      <c r="Y160" s="61">
        <v>0</v>
      </c>
      <c r="Z160" s="60">
        <v>0</v>
      </c>
      <c r="AA160" s="60">
        <v>0</v>
      </c>
      <c r="AB160" s="60">
        <v>0</v>
      </c>
      <c r="AC160" s="60">
        <v>4506200</v>
      </c>
      <c r="AD160" s="62">
        <v>43</v>
      </c>
      <c r="AF160" s="47">
        <f t="shared" si="2"/>
        <v>4506200</v>
      </c>
    </row>
    <row r="161" spans="1:32" x14ac:dyDescent="0.3">
      <c r="A161" s="46" t="s">
        <v>0</v>
      </c>
      <c r="B161" s="46" t="str">
        <f>IFERROR(VLOOKUP($H161,매장구분!$B:$Z,2,0),"")</f>
        <v>리테일채널팀</v>
      </c>
      <c r="C161" s="46" t="str">
        <f>IFERROR(VLOOKUP($H161,매장구분!$B:$Z,3,0),"")</f>
        <v>국내</v>
      </c>
      <c r="D161" s="46" t="str">
        <f>IFERROR(VLOOKUP($H161,매장구분!$B:$Z,5,0),"")</f>
        <v>대리점</v>
      </c>
      <c r="E161" s="46" t="str">
        <f>IFERROR(VLOOKUP($H161,매장구분!$B:$Z,9,0),"")</f>
        <v>거제(대-위)</v>
      </c>
      <c r="F161" s="53"/>
      <c r="G161" s="54" t="s">
        <v>502</v>
      </c>
      <c r="H161" s="55" t="s">
        <v>503</v>
      </c>
      <c r="I161" s="55" t="s">
        <v>169</v>
      </c>
      <c r="J161" s="55" t="s">
        <v>79</v>
      </c>
      <c r="K161" s="55" t="s">
        <v>170</v>
      </c>
      <c r="L161" s="55" t="s">
        <v>171</v>
      </c>
      <c r="M161" s="55" t="s">
        <v>196</v>
      </c>
      <c r="N161" s="55" t="s">
        <v>197</v>
      </c>
      <c r="O161" s="55">
        <v>5601300</v>
      </c>
      <c r="P161" s="55">
        <v>52</v>
      </c>
      <c r="Q161" s="55">
        <v>0</v>
      </c>
      <c r="R161" s="55">
        <v>0</v>
      </c>
      <c r="S161" s="55">
        <v>0</v>
      </c>
      <c r="T161" s="55">
        <v>0</v>
      </c>
      <c r="U161" s="55">
        <v>0</v>
      </c>
      <c r="V161" s="55">
        <v>0</v>
      </c>
      <c r="W161" s="55">
        <v>0</v>
      </c>
      <c r="X161" s="55">
        <v>0</v>
      </c>
      <c r="Y161" s="56">
        <v>0</v>
      </c>
      <c r="Z161" s="55">
        <v>0</v>
      </c>
      <c r="AA161" s="55">
        <v>0</v>
      </c>
      <c r="AB161" s="55">
        <v>0</v>
      </c>
      <c r="AC161" s="55">
        <v>5601300</v>
      </c>
      <c r="AD161" s="57">
        <v>52</v>
      </c>
      <c r="AF161" s="47">
        <f t="shared" si="2"/>
        <v>5601300</v>
      </c>
    </row>
    <row r="162" spans="1:32" x14ac:dyDescent="0.3">
      <c r="A162" s="46" t="s">
        <v>0</v>
      </c>
      <c r="B162" s="46" t="str">
        <f>IFERROR(VLOOKUP($H162,매장구분!$B:$Z,2,0),"")</f>
        <v>파트너채널팀</v>
      </c>
      <c r="C162" s="46" t="str">
        <f>IFERROR(VLOOKUP($H162,매장구분!$B:$Z,3,0),"")</f>
        <v>국내</v>
      </c>
      <c r="D162" s="46" t="str">
        <f>IFERROR(VLOOKUP($H162,매장구분!$B:$Z,5,0),"")</f>
        <v>백화점</v>
      </c>
      <c r="E162" s="46" t="str">
        <f>IFERROR(VLOOKUP($H162,매장구분!$B:$Z,9,0),"")</f>
        <v>신세계광주</v>
      </c>
      <c r="F162" s="58"/>
      <c r="G162" s="59" t="s">
        <v>504</v>
      </c>
      <c r="H162" s="60" t="s">
        <v>505</v>
      </c>
      <c r="I162" s="60" t="s">
        <v>169</v>
      </c>
      <c r="J162" s="60" t="s">
        <v>175</v>
      </c>
      <c r="K162" s="60" t="s">
        <v>170</v>
      </c>
      <c r="L162" s="60" t="s">
        <v>171</v>
      </c>
      <c r="M162" s="60" t="s">
        <v>77</v>
      </c>
      <c r="N162" s="60" t="s">
        <v>172</v>
      </c>
      <c r="O162" s="60">
        <v>7591258</v>
      </c>
      <c r="P162" s="60">
        <v>93</v>
      </c>
      <c r="Q162" s="60">
        <v>0</v>
      </c>
      <c r="R162" s="60">
        <v>0</v>
      </c>
      <c r="S162" s="60">
        <v>0</v>
      </c>
      <c r="T162" s="60">
        <v>0</v>
      </c>
      <c r="U162" s="60">
        <v>2025742</v>
      </c>
      <c r="V162" s="60">
        <v>11</v>
      </c>
      <c r="W162" s="60">
        <v>0</v>
      </c>
      <c r="X162" s="60">
        <v>0</v>
      </c>
      <c r="Y162" s="61">
        <v>0</v>
      </c>
      <c r="Z162" s="60">
        <v>0</v>
      </c>
      <c r="AA162" s="60">
        <v>0</v>
      </c>
      <c r="AB162" s="60">
        <v>0</v>
      </c>
      <c r="AC162" s="60">
        <v>9617000</v>
      </c>
      <c r="AD162" s="62">
        <v>104</v>
      </c>
      <c r="AF162" s="47">
        <f t="shared" si="2"/>
        <v>9617000</v>
      </c>
    </row>
    <row r="163" spans="1:32" x14ac:dyDescent="0.3">
      <c r="A163" s="46" t="s">
        <v>0</v>
      </c>
      <c r="B163" s="46" t="str">
        <f>IFERROR(VLOOKUP($H163,매장구분!$B:$Z,2,0),"")</f>
        <v>리테일채널팀</v>
      </c>
      <c r="C163" s="46" t="str">
        <f>IFERROR(VLOOKUP($H163,매장구분!$B:$Z,3,0),"")</f>
        <v>국내</v>
      </c>
      <c r="D163" s="46" t="str">
        <f>IFERROR(VLOOKUP($H163,매장구분!$B:$Z,5,0),"")</f>
        <v>대리점</v>
      </c>
      <c r="E163" s="46" t="str">
        <f>IFERROR(VLOOKUP($H163,매장구분!$B:$Z,9,0),"")</f>
        <v>통영(대-위)</v>
      </c>
      <c r="F163" s="53"/>
      <c r="G163" s="54" t="s">
        <v>506</v>
      </c>
      <c r="H163" s="55" t="s">
        <v>507</v>
      </c>
      <c r="I163" s="55" t="s">
        <v>169</v>
      </c>
      <c r="J163" s="55" t="s">
        <v>79</v>
      </c>
      <c r="K163" s="55" t="s">
        <v>170</v>
      </c>
      <c r="L163" s="55" t="s">
        <v>171</v>
      </c>
      <c r="M163" s="55" t="s">
        <v>196</v>
      </c>
      <c r="N163" s="55" t="s">
        <v>197</v>
      </c>
      <c r="O163" s="55">
        <v>3170700</v>
      </c>
      <c r="P163" s="55">
        <v>42</v>
      </c>
      <c r="Q163" s="55">
        <v>0</v>
      </c>
      <c r="R163" s="55">
        <v>0</v>
      </c>
      <c r="S163" s="55">
        <v>0</v>
      </c>
      <c r="T163" s="55">
        <v>0</v>
      </c>
      <c r="U163" s="55">
        <v>1076000</v>
      </c>
      <c r="V163" s="55">
        <v>4</v>
      </c>
      <c r="W163" s="55">
        <v>0</v>
      </c>
      <c r="X163" s="55">
        <v>0</v>
      </c>
      <c r="Y163" s="56">
        <v>0</v>
      </c>
      <c r="Z163" s="55">
        <v>0</v>
      </c>
      <c r="AA163" s="55">
        <v>0</v>
      </c>
      <c r="AB163" s="55">
        <v>0</v>
      </c>
      <c r="AC163" s="55">
        <v>4246700</v>
      </c>
      <c r="AD163" s="57">
        <v>46</v>
      </c>
      <c r="AF163" s="47">
        <f t="shared" si="2"/>
        <v>4246700</v>
      </c>
    </row>
    <row r="164" spans="1:32" x14ac:dyDescent="0.3">
      <c r="A164" s="46" t="s">
        <v>0</v>
      </c>
      <c r="B164" s="46" t="str">
        <f>IFERROR(VLOOKUP($H164,매장구분!$B:$Z,2,0),"")</f>
        <v>파트너채널팀</v>
      </c>
      <c r="C164" s="46" t="str">
        <f>IFERROR(VLOOKUP($H164,매장구분!$B:$Z,3,0),"")</f>
        <v>국내</v>
      </c>
      <c r="D164" s="46" t="str">
        <f>IFERROR(VLOOKUP($H164,매장구분!$B:$Z,5,0),"")</f>
        <v>백화점</v>
      </c>
      <c r="E164" s="46" t="str">
        <f>IFERROR(VLOOKUP($H164,매장구분!$B:$Z,9,0),"")</f>
        <v>롯데일산</v>
      </c>
      <c r="F164" s="58"/>
      <c r="G164" s="59" t="s">
        <v>508</v>
      </c>
      <c r="H164" s="60" t="s">
        <v>509</v>
      </c>
      <c r="I164" s="60" t="s">
        <v>169</v>
      </c>
      <c r="J164" s="60" t="s">
        <v>175</v>
      </c>
      <c r="K164" s="60" t="s">
        <v>170</v>
      </c>
      <c r="L164" s="60" t="s">
        <v>171</v>
      </c>
      <c r="M164" s="60" t="s">
        <v>77</v>
      </c>
      <c r="N164" s="60" t="s">
        <v>172</v>
      </c>
      <c r="O164" s="60">
        <v>7041700</v>
      </c>
      <c r="P164" s="60">
        <v>74</v>
      </c>
      <c r="Q164" s="60">
        <v>0</v>
      </c>
      <c r="R164" s="60">
        <v>0</v>
      </c>
      <c r="S164" s="60">
        <v>0</v>
      </c>
      <c r="T164" s="60">
        <v>0</v>
      </c>
      <c r="U164" s="60">
        <v>652000</v>
      </c>
      <c r="V164" s="60">
        <v>5</v>
      </c>
      <c r="W164" s="60">
        <v>0</v>
      </c>
      <c r="X164" s="60">
        <v>0</v>
      </c>
      <c r="Y164" s="61">
        <v>5001000</v>
      </c>
      <c r="Z164" s="60">
        <v>112</v>
      </c>
      <c r="AA164" s="60">
        <v>0</v>
      </c>
      <c r="AB164" s="60">
        <v>0</v>
      </c>
      <c r="AC164" s="60">
        <v>12694700</v>
      </c>
      <c r="AD164" s="62">
        <v>191</v>
      </c>
      <c r="AF164" s="47">
        <f t="shared" si="2"/>
        <v>7693700</v>
      </c>
    </row>
    <row r="165" spans="1:32" x14ac:dyDescent="0.3">
      <c r="A165" s="46" t="s">
        <v>0</v>
      </c>
      <c r="B165" s="46" t="str">
        <f>IFERROR(VLOOKUP($H165,매장구분!$B:$Z,2,0),"")</f>
        <v>파트너채널팀</v>
      </c>
      <c r="C165" s="46" t="str">
        <f>IFERROR(VLOOKUP($H165,매장구분!$B:$Z,3,0),"")</f>
        <v>국내</v>
      </c>
      <c r="D165" s="46" t="str">
        <f>IFERROR(VLOOKUP($H165,매장구분!$B:$Z,5,0),"")</f>
        <v>백화점</v>
      </c>
      <c r="E165" s="46" t="str">
        <f>IFERROR(VLOOKUP($H165,매장구분!$B:$Z,9,0),"")</f>
        <v>롯데중동</v>
      </c>
      <c r="F165" s="53"/>
      <c r="G165" s="54" t="s">
        <v>510</v>
      </c>
      <c r="H165" s="55" t="s">
        <v>511</v>
      </c>
      <c r="I165" s="55" t="s">
        <v>169</v>
      </c>
      <c r="J165" s="55" t="s">
        <v>175</v>
      </c>
      <c r="K165" s="55" t="s">
        <v>170</v>
      </c>
      <c r="L165" s="55" t="s">
        <v>171</v>
      </c>
      <c r="M165" s="55" t="s">
        <v>77</v>
      </c>
      <c r="N165" s="55" t="s">
        <v>172</v>
      </c>
      <c r="O165" s="55">
        <v>4626600</v>
      </c>
      <c r="P165" s="55">
        <v>42</v>
      </c>
      <c r="Q165" s="55">
        <v>0</v>
      </c>
      <c r="R165" s="55">
        <v>0</v>
      </c>
      <c r="S165" s="55">
        <v>0</v>
      </c>
      <c r="T165" s="55">
        <v>0</v>
      </c>
      <c r="U165" s="55">
        <v>0</v>
      </c>
      <c r="V165" s="55">
        <v>0</v>
      </c>
      <c r="W165" s="55">
        <v>0</v>
      </c>
      <c r="X165" s="55">
        <v>0</v>
      </c>
      <c r="Y165" s="56">
        <v>0</v>
      </c>
      <c r="Z165" s="55">
        <v>0</v>
      </c>
      <c r="AA165" s="55">
        <v>0</v>
      </c>
      <c r="AB165" s="55">
        <v>0</v>
      </c>
      <c r="AC165" s="55">
        <v>4626600</v>
      </c>
      <c r="AD165" s="57">
        <v>42</v>
      </c>
      <c r="AF165" s="47">
        <f t="shared" si="2"/>
        <v>4626600</v>
      </c>
    </row>
    <row r="166" spans="1:32" x14ac:dyDescent="0.3">
      <c r="A166" s="46" t="s">
        <v>0</v>
      </c>
      <c r="B166" s="46" t="str">
        <f>IFERROR(VLOOKUP($H166,매장구분!$B:$Z,2,0),"")</f>
        <v>파트너채널팀</v>
      </c>
      <c r="C166" s="46" t="str">
        <f>IFERROR(VLOOKUP($H166,매장구분!$B:$Z,3,0),"")</f>
        <v>국내</v>
      </c>
      <c r="D166" s="46" t="str">
        <f>IFERROR(VLOOKUP($H166,매장구분!$B:$Z,5,0),"")</f>
        <v>백화점</v>
      </c>
      <c r="E166" s="46" t="str">
        <f>IFERROR(VLOOKUP($H166,매장구분!$B:$Z,9,0),"")</f>
        <v>현대미아</v>
      </c>
      <c r="F166" s="58"/>
      <c r="G166" s="59" t="s">
        <v>512</v>
      </c>
      <c r="H166" s="60" t="s">
        <v>513</v>
      </c>
      <c r="I166" s="60" t="s">
        <v>169</v>
      </c>
      <c r="J166" s="60" t="s">
        <v>175</v>
      </c>
      <c r="K166" s="60" t="s">
        <v>170</v>
      </c>
      <c r="L166" s="60" t="s">
        <v>171</v>
      </c>
      <c r="M166" s="60" t="s">
        <v>77</v>
      </c>
      <c r="N166" s="60" t="s">
        <v>172</v>
      </c>
      <c r="O166" s="60">
        <v>3068000</v>
      </c>
      <c r="P166" s="60">
        <v>31</v>
      </c>
      <c r="Q166" s="60">
        <v>1192000</v>
      </c>
      <c r="R166" s="60">
        <v>22</v>
      </c>
      <c r="S166" s="60">
        <v>0</v>
      </c>
      <c r="T166" s="60">
        <v>0</v>
      </c>
      <c r="U166" s="60">
        <v>427000</v>
      </c>
      <c r="V166" s="60">
        <v>3</v>
      </c>
      <c r="W166" s="60">
        <v>0</v>
      </c>
      <c r="X166" s="60">
        <v>0</v>
      </c>
      <c r="Y166" s="61">
        <v>32408000</v>
      </c>
      <c r="Z166" s="60">
        <v>256</v>
      </c>
      <c r="AA166" s="60">
        <v>0</v>
      </c>
      <c r="AB166" s="60">
        <v>0</v>
      </c>
      <c r="AC166" s="60">
        <v>37095000</v>
      </c>
      <c r="AD166" s="62">
        <v>312</v>
      </c>
      <c r="AF166" s="47">
        <f t="shared" si="2"/>
        <v>4687000</v>
      </c>
    </row>
    <row r="167" spans="1:32" x14ac:dyDescent="0.3">
      <c r="A167" s="46" t="s">
        <v>0</v>
      </c>
      <c r="B167" s="46" t="str">
        <f>IFERROR(VLOOKUP($H167,매장구분!$B:$Z,2,0),"")</f>
        <v>리테일채널팀</v>
      </c>
      <c r="C167" s="46" t="str">
        <f>IFERROR(VLOOKUP($H167,매장구분!$B:$Z,3,0),"")</f>
        <v>국내</v>
      </c>
      <c r="D167" s="46" t="str">
        <f>IFERROR(VLOOKUP($H167,매장구분!$B:$Z,5,0),"")</f>
        <v>대리점</v>
      </c>
      <c r="E167" s="46" t="str">
        <f>IFERROR(VLOOKUP($H167,매장구분!$B:$Z,9,0),"")</f>
        <v>해남(대-위)</v>
      </c>
      <c r="F167" s="53"/>
      <c r="G167" s="54" t="s">
        <v>514</v>
      </c>
      <c r="H167" s="55" t="s">
        <v>515</v>
      </c>
      <c r="I167" s="55" t="s">
        <v>169</v>
      </c>
      <c r="J167" s="55" t="s">
        <v>79</v>
      </c>
      <c r="K167" s="55" t="s">
        <v>170</v>
      </c>
      <c r="L167" s="55" t="s">
        <v>171</v>
      </c>
      <c r="M167" s="55" t="s">
        <v>196</v>
      </c>
      <c r="N167" s="55" t="s">
        <v>197</v>
      </c>
      <c r="O167" s="55">
        <v>3889000</v>
      </c>
      <c r="P167" s="55">
        <v>34</v>
      </c>
      <c r="Q167" s="55">
        <v>0</v>
      </c>
      <c r="R167" s="55">
        <v>0</v>
      </c>
      <c r="S167" s="55">
        <v>0</v>
      </c>
      <c r="T167" s="55">
        <v>0</v>
      </c>
      <c r="U167" s="55">
        <v>318000</v>
      </c>
      <c r="V167" s="55">
        <v>2</v>
      </c>
      <c r="W167" s="55">
        <v>0</v>
      </c>
      <c r="X167" s="55">
        <v>0</v>
      </c>
      <c r="Y167" s="56">
        <v>0</v>
      </c>
      <c r="Z167" s="55">
        <v>0</v>
      </c>
      <c r="AA167" s="55">
        <v>0</v>
      </c>
      <c r="AB167" s="55">
        <v>0</v>
      </c>
      <c r="AC167" s="55">
        <v>4207000</v>
      </c>
      <c r="AD167" s="57">
        <v>36</v>
      </c>
      <c r="AF167" s="47">
        <f t="shared" si="2"/>
        <v>4207000</v>
      </c>
    </row>
    <row r="168" spans="1:32" x14ac:dyDescent="0.3">
      <c r="A168" s="46" t="s">
        <v>0</v>
      </c>
      <c r="B168" s="46" t="str">
        <f>IFERROR(VLOOKUP($H168,매장구분!$B:$Z,2,0),"")</f>
        <v>파트너채널팀</v>
      </c>
      <c r="C168" s="46" t="str">
        <f>IFERROR(VLOOKUP($H168,매장구분!$B:$Z,3,0),"")</f>
        <v>국내</v>
      </c>
      <c r="D168" s="46" t="str">
        <f>IFERROR(VLOOKUP($H168,매장구분!$B:$Z,5,0),"")</f>
        <v>백화점</v>
      </c>
      <c r="E168" s="46" t="str">
        <f>IFERROR(VLOOKUP($H168,매장구분!$B:$Z,9,0),"")</f>
        <v>갤러리아진주</v>
      </c>
      <c r="F168" s="58"/>
      <c r="G168" s="59" t="s">
        <v>516</v>
      </c>
      <c r="H168" s="60" t="s">
        <v>517</v>
      </c>
      <c r="I168" s="60" t="s">
        <v>169</v>
      </c>
      <c r="J168" s="60" t="s">
        <v>175</v>
      </c>
      <c r="K168" s="60" t="s">
        <v>170</v>
      </c>
      <c r="L168" s="60" t="s">
        <v>171</v>
      </c>
      <c r="M168" s="60" t="s">
        <v>77</v>
      </c>
      <c r="N168" s="60" t="s">
        <v>172</v>
      </c>
      <c r="O168" s="60">
        <v>3392000</v>
      </c>
      <c r="P168" s="60">
        <v>32</v>
      </c>
      <c r="Q168" s="60">
        <v>49000</v>
      </c>
      <c r="R168" s="60">
        <v>1</v>
      </c>
      <c r="S168" s="60">
        <v>0</v>
      </c>
      <c r="T168" s="60">
        <v>0</v>
      </c>
      <c r="U168" s="60">
        <v>358000</v>
      </c>
      <c r="V168" s="60">
        <v>2</v>
      </c>
      <c r="W168" s="60">
        <v>0</v>
      </c>
      <c r="X168" s="60">
        <v>0</v>
      </c>
      <c r="Y168" s="61">
        <v>0</v>
      </c>
      <c r="Z168" s="60">
        <v>0</v>
      </c>
      <c r="AA168" s="60">
        <v>0</v>
      </c>
      <c r="AB168" s="60">
        <v>0</v>
      </c>
      <c r="AC168" s="60">
        <v>3799000</v>
      </c>
      <c r="AD168" s="62">
        <v>35</v>
      </c>
      <c r="AF168" s="47">
        <f t="shared" si="2"/>
        <v>3799000</v>
      </c>
    </row>
    <row r="169" spans="1:32" x14ac:dyDescent="0.3">
      <c r="A169" s="46" t="s">
        <v>0</v>
      </c>
      <c r="B169" s="46" t="str">
        <f>IFERROR(VLOOKUP($H169,매장구분!$B:$Z,2,0),"")</f>
        <v>E-biz</v>
      </c>
      <c r="C169" s="46" t="str">
        <f>IFERROR(VLOOKUP($H169,매장구분!$B:$Z,3,0),"")</f>
        <v>국내</v>
      </c>
      <c r="D169" s="46" t="str">
        <f>IFERROR(VLOOKUP($H169,매장구분!$B:$Z,5,0),"")</f>
        <v>온(제휴몰)</v>
      </c>
      <c r="E169" s="46" t="str">
        <f>IFERROR(VLOOKUP($H169,매장구분!$B:$Z,9,0),"")</f>
        <v>29CM(제휴몰)</v>
      </c>
      <c r="F169" s="53"/>
      <c r="G169" s="54" t="s">
        <v>518</v>
      </c>
      <c r="H169" s="55" t="s">
        <v>519</v>
      </c>
      <c r="I169" s="55" t="s">
        <v>169</v>
      </c>
      <c r="J169" s="55" t="s">
        <v>180</v>
      </c>
      <c r="K169" s="55" t="s">
        <v>170</v>
      </c>
      <c r="L169" s="55" t="s">
        <v>181</v>
      </c>
      <c r="M169" s="55" t="s">
        <v>181</v>
      </c>
      <c r="N169" s="55" t="s">
        <v>185</v>
      </c>
      <c r="O169" s="55">
        <v>6449000</v>
      </c>
      <c r="P169" s="55">
        <v>77</v>
      </c>
      <c r="Q169" s="55">
        <v>0</v>
      </c>
      <c r="R169" s="55">
        <v>0</v>
      </c>
      <c r="S169" s="55">
        <v>0</v>
      </c>
      <c r="T169" s="55">
        <v>0</v>
      </c>
      <c r="U169" s="55">
        <v>0</v>
      </c>
      <c r="V169" s="55">
        <v>0</v>
      </c>
      <c r="W169" s="55">
        <v>0</v>
      </c>
      <c r="X169" s="55">
        <v>0</v>
      </c>
      <c r="Y169" s="56">
        <v>0</v>
      </c>
      <c r="Z169" s="55">
        <v>0</v>
      </c>
      <c r="AA169" s="55">
        <v>0</v>
      </c>
      <c r="AB169" s="55">
        <v>0</v>
      </c>
      <c r="AC169" s="55">
        <v>6449000</v>
      </c>
      <c r="AD169" s="57">
        <v>77</v>
      </c>
      <c r="AF169" s="47">
        <f t="shared" si="2"/>
        <v>6449000</v>
      </c>
    </row>
    <row r="170" spans="1:32" x14ac:dyDescent="0.3">
      <c r="A170" s="46" t="s">
        <v>0</v>
      </c>
      <c r="B170" s="46" t="str">
        <f>IFERROR(VLOOKUP($H170,매장구분!$B:$Z,2,0),"")</f>
        <v>리테일채널팀</v>
      </c>
      <c r="C170" s="46" t="str">
        <f>IFERROR(VLOOKUP($H170,매장구분!$B:$Z,3,0),"")</f>
        <v>국내</v>
      </c>
      <c r="D170" s="46" t="str">
        <f>IFERROR(VLOOKUP($H170,매장구분!$B:$Z,5,0),"")</f>
        <v>상설(위탁)</v>
      </c>
      <c r="E170" s="46" t="str">
        <f>IFERROR(VLOOKUP($H170,매장구분!$B:$Z,9,0),"")</f>
        <v>현대아울렛대구(상-위)</v>
      </c>
      <c r="F170" s="58"/>
      <c r="G170" s="59" t="s">
        <v>520</v>
      </c>
      <c r="H170" s="60" t="s">
        <v>521</v>
      </c>
      <c r="I170" s="60" t="s">
        <v>169</v>
      </c>
      <c r="J170" s="60" t="s">
        <v>79</v>
      </c>
      <c r="K170" s="60" t="s">
        <v>170</v>
      </c>
      <c r="L170" s="60" t="s">
        <v>171</v>
      </c>
      <c r="M170" s="60" t="s">
        <v>219</v>
      </c>
      <c r="N170" s="60" t="s">
        <v>219</v>
      </c>
      <c r="O170" s="60">
        <v>540000</v>
      </c>
      <c r="P170" s="60">
        <v>15</v>
      </c>
      <c r="Q170" s="60">
        <v>0</v>
      </c>
      <c r="R170" s="60">
        <v>0</v>
      </c>
      <c r="S170" s="60">
        <v>0</v>
      </c>
      <c r="T170" s="60">
        <v>0</v>
      </c>
      <c r="U170" s="60">
        <v>0</v>
      </c>
      <c r="V170" s="60">
        <v>0</v>
      </c>
      <c r="W170" s="60">
        <v>0</v>
      </c>
      <c r="X170" s="60">
        <v>0</v>
      </c>
      <c r="Y170" s="61">
        <v>0</v>
      </c>
      <c r="Z170" s="60">
        <v>0</v>
      </c>
      <c r="AA170" s="60">
        <v>0</v>
      </c>
      <c r="AB170" s="60">
        <v>0</v>
      </c>
      <c r="AC170" s="60">
        <v>540000</v>
      </c>
      <c r="AD170" s="62">
        <v>15</v>
      </c>
      <c r="AF170" s="47">
        <f t="shared" si="2"/>
        <v>540000</v>
      </c>
    </row>
    <row r="171" spans="1:32" x14ac:dyDescent="0.3">
      <c r="A171" s="46" t="s">
        <v>0</v>
      </c>
      <c r="B171" s="46" t="str">
        <f>IFERROR(VLOOKUP($H171,매장구분!$B:$Z,2,0),"")</f>
        <v>리테일채널팀</v>
      </c>
      <c r="C171" s="46" t="str">
        <f>IFERROR(VLOOKUP($H171,매장구분!$B:$Z,3,0),"")</f>
        <v>국내</v>
      </c>
      <c r="D171" s="46" t="str">
        <f>IFERROR(VLOOKUP($H171,매장구분!$B:$Z,5,0),"")</f>
        <v>상설(위탁)</v>
      </c>
      <c r="E171" s="46" t="str">
        <f>IFERROR(VLOOKUP($H171,매장구분!$B:$Z,9,0),"")</f>
        <v>현대아울렛김포(상-위)</v>
      </c>
      <c r="F171" s="53"/>
      <c r="G171" s="54" t="s">
        <v>522</v>
      </c>
      <c r="H171" s="55" t="s">
        <v>523</v>
      </c>
      <c r="I171" s="55" t="s">
        <v>169</v>
      </c>
      <c r="J171" s="55" t="s">
        <v>79</v>
      </c>
      <c r="K171" s="55" t="s">
        <v>170</v>
      </c>
      <c r="L171" s="55" t="s">
        <v>171</v>
      </c>
      <c r="M171" s="55" t="s">
        <v>219</v>
      </c>
      <c r="N171" s="55" t="s">
        <v>219</v>
      </c>
      <c r="O171" s="55">
        <v>2629000</v>
      </c>
      <c r="P171" s="55">
        <v>69</v>
      </c>
      <c r="Q171" s="55">
        <v>0</v>
      </c>
      <c r="R171" s="55">
        <v>0</v>
      </c>
      <c r="S171" s="55">
        <v>0</v>
      </c>
      <c r="T171" s="55">
        <v>0</v>
      </c>
      <c r="U171" s="55">
        <v>0</v>
      </c>
      <c r="V171" s="55">
        <v>0</v>
      </c>
      <c r="W171" s="55">
        <v>0</v>
      </c>
      <c r="X171" s="55">
        <v>0</v>
      </c>
      <c r="Y171" s="56">
        <v>0</v>
      </c>
      <c r="Z171" s="55">
        <v>0</v>
      </c>
      <c r="AA171" s="55">
        <v>0</v>
      </c>
      <c r="AB171" s="55">
        <v>0</v>
      </c>
      <c r="AC171" s="55">
        <v>2629000</v>
      </c>
      <c r="AD171" s="57">
        <v>69</v>
      </c>
      <c r="AF171" s="47">
        <f t="shared" si="2"/>
        <v>2629000</v>
      </c>
    </row>
    <row r="172" spans="1:32" x14ac:dyDescent="0.3">
      <c r="A172" s="46" t="s">
        <v>0</v>
      </c>
      <c r="B172" s="46" t="str">
        <f>IFERROR(VLOOKUP($H172,매장구분!$B:$Z,2,0),"")</f>
        <v>리테일채널팀</v>
      </c>
      <c r="C172" s="46" t="str">
        <f>IFERROR(VLOOKUP($H172,매장구분!$B:$Z,3,0),"")</f>
        <v>국내</v>
      </c>
      <c r="D172" s="46" t="str">
        <f>IFERROR(VLOOKUP($H172,매장구분!$B:$Z,5,0),"")</f>
        <v>상설(위탁)</v>
      </c>
      <c r="E172" s="46" t="str">
        <f>IFERROR(VLOOKUP($H172,매장구분!$B:$Z,9,0),"")</f>
        <v>신세계아울렛시흥(상-위)</v>
      </c>
      <c r="F172" s="58"/>
      <c r="G172" s="59" t="s">
        <v>524</v>
      </c>
      <c r="H172" s="60" t="s">
        <v>525</v>
      </c>
      <c r="I172" s="60" t="s">
        <v>169</v>
      </c>
      <c r="J172" s="60" t="s">
        <v>79</v>
      </c>
      <c r="K172" s="60" t="s">
        <v>170</v>
      </c>
      <c r="L172" s="60" t="s">
        <v>171</v>
      </c>
      <c r="M172" s="60" t="s">
        <v>219</v>
      </c>
      <c r="N172" s="60" t="s">
        <v>219</v>
      </c>
      <c r="O172" s="60">
        <v>2685000</v>
      </c>
      <c r="P172" s="60">
        <v>66</v>
      </c>
      <c r="Q172" s="60">
        <v>0</v>
      </c>
      <c r="R172" s="60">
        <v>0</v>
      </c>
      <c r="S172" s="60">
        <v>0</v>
      </c>
      <c r="T172" s="60">
        <v>0</v>
      </c>
      <c r="U172" s="60">
        <v>0</v>
      </c>
      <c r="V172" s="60">
        <v>0</v>
      </c>
      <c r="W172" s="60">
        <v>0</v>
      </c>
      <c r="X172" s="60">
        <v>0</v>
      </c>
      <c r="Y172" s="61">
        <v>0</v>
      </c>
      <c r="Z172" s="60">
        <v>0</v>
      </c>
      <c r="AA172" s="60">
        <v>0</v>
      </c>
      <c r="AB172" s="60">
        <v>0</v>
      </c>
      <c r="AC172" s="60">
        <v>2685000</v>
      </c>
      <c r="AD172" s="62">
        <v>66</v>
      </c>
      <c r="AF172" s="47">
        <f t="shared" si="2"/>
        <v>2685000</v>
      </c>
    </row>
    <row r="173" spans="1:32" x14ac:dyDescent="0.3">
      <c r="A173" s="46" t="s">
        <v>0</v>
      </c>
      <c r="B173" s="46" t="str">
        <f>IFERROR(VLOOKUP($H173,매장구분!$B:$Z,2,0),"")</f>
        <v>리테일채널팀</v>
      </c>
      <c r="C173" s="46" t="str">
        <f>IFERROR(VLOOKUP($H173,매장구분!$B:$Z,3,0),"")</f>
        <v>국내</v>
      </c>
      <c r="D173" s="46" t="str">
        <f>IFERROR(VLOOKUP($H173,매장구분!$B:$Z,5,0),"")</f>
        <v>상설(위탁)</v>
      </c>
      <c r="E173" s="46" t="str">
        <f>IFERROR(VLOOKUP($H173,매장구분!$B:$Z,9,0),"")</f>
        <v>현대아울렛동대문(상-위)</v>
      </c>
      <c r="F173" s="53"/>
      <c r="G173" s="54" t="s">
        <v>526</v>
      </c>
      <c r="H173" s="55" t="s">
        <v>527</v>
      </c>
      <c r="I173" s="55" t="s">
        <v>169</v>
      </c>
      <c r="J173" s="55" t="s">
        <v>79</v>
      </c>
      <c r="K173" s="55" t="s">
        <v>170</v>
      </c>
      <c r="L173" s="55" t="s">
        <v>171</v>
      </c>
      <c r="M173" s="55" t="s">
        <v>219</v>
      </c>
      <c r="N173" s="55" t="s">
        <v>219</v>
      </c>
      <c r="O173" s="55">
        <v>291000</v>
      </c>
      <c r="P173" s="55">
        <v>8</v>
      </c>
      <c r="Q173" s="55">
        <v>0</v>
      </c>
      <c r="R173" s="55">
        <v>0</v>
      </c>
      <c r="S173" s="55">
        <v>0</v>
      </c>
      <c r="T173" s="55">
        <v>0</v>
      </c>
      <c r="U173" s="55">
        <v>0</v>
      </c>
      <c r="V173" s="55">
        <v>0</v>
      </c>
      <c r="W173" s="55">
        <v>0</v>
      </c>
      <c r="X173" s="55">
        <v>0</v>
      </c>
      <c r="Y173" s="56">
        <v>0</v>
      </c>
      <c r="Z173" s="55">
        <v>0</v>
      </c>
      <c r="AA173" s="55">
        <v>0</v>
      </c>
      <c r="AB173" s="55">
        <v>0</v>
      </c>
      <c r="AC173" s="55">
        <v>291000</v>
      </c>
      <c r="AD173" s="57">
        <v>8</v>
      </c>
      <c r="AF173" s="47">
        <f t="shared" si="2"/>
        <v>291000</v>
      </c>
    </row>
    <row r="174" spans="1:32" x14ac:dyDescent="0.3">
      <c r="A174" s="46" t="s">
        <v>0</v>
      </c>
      <c r="B174" s="46" t="str">
        <f>IFERROR(VLOOKUP($H174,매장구분!$B:$Z,2,0),"")</f>
        <v>리테일채널팀</v>
      </c>
      <c r="C174" s="46" t="str">
        <f>IFERROR(VLOOKUP($H174,매장구분!$B:$Z,3,0),"")</f>
        <v>국내</v>
      </c>
      <c r="D174" s="46" t="str">
        <f>IFERROR(VLOOKUP($H174,매장구분!$B:$Z,5,0),"")</f>
        <v>상설(위탁)</v>
      </c>
      <c r="E174" s="46" t="str">
        <f>IFERROR(VLOOKUP($H174,매장구분!$B:$Z,9,0),"")</f>
        <v>롯데아울렛진주(상-위)</v>
      </c>
      <c r="F174" s="58"/>
      <c r="G174" s="59" t="s">
        <v>528</v>
      </c>
      <c r="H174" s="60" t="s">
        <v>529</v>
      </c>
      <c r="I174" s="60" t="s">
        <v>169</v>
      </c>
      <c r="J174" s="60" t="s">
        <v>79</v>
      </c>
      <c r="K174" s="60" t="s">
        <v>170</v>
      </c>
      <c r="L174" s="60" t="s">
        <v>171</v>
      </c>
      <c r="M174" s="60" t="s">
        <v>219</v>
      </c>
      <c r="N174" s="60" t="s">
        <v>219</v>
      </c>
      <c r="O174" s="60">
        <v>936000</v>
      </c>
      <c r="P174" s="60">
        <v>26</v>
      </c>
      <c r="Q174" s="60">
        <v>0</v>
      </c>
      <c r="R174" s="60">
        <v>0</v>
      </c>
      <c r="S174" s="60">
        <v>0</v>
      </c>
      <c r="T174" s="60">
        <v>0</v>
      </c>
      <c r="U174" s="60">
        <v>0</v>
      </c>
      <c r="V174" s="60">
        <v>0</v>
      </c>
      <c r="W174" s="60">
        <v>0</v>
      </c>
      <c r="X174" s="60">
        <v>0</v>
      </c>
      <c r="Y174" s="61">
        <v>0</v>
      </c>
      <c r="Z174" s="60">
        <v>0</v>
      </c>
      <c r="AA174" s="60">
        <v>0</v>
      </c>
      <c r="AB174" s="60">
        <v>0</v>
      </c>
      <c r="AC174" s="60">
        <v>936000</v>
      </c>
      <c r="AD174" s="62">
        <v>26</v>
      </c>
      <c r="AF174" s="47">
        <f t="shared" si="2"/>
        <v>936000</v>
      </c>
    </row>
    <row r="175" spans="1:32" x14ac:dyDescent="0.3">
      <c r="A175" s="46" t="s">
        <v>0</v>
      </c>
      <c r="B175" s="46" t="str">
        <f>IFERROR(VLOOKUP($H175,매장구분!$B:$Z,2,0),"")</f>
        <v>리테일채널팀</v>
      </c>
      <c r="C175" s="46" t="str">
        <f>IFERROR(VLOOKUP($H175,매장구분!$B:$Z,3,0),"")</f>
        <v>국내</v>
      </c>
      <c r="D175" s="46" t="str">
        <f>IFERROR(VLOOKUP($H175,매장구분!$B:$Z,5,0),"")</f>
        <v>대리점</v>
      </c>
      <c r="E175" s="46" t="str">
        <f>IFERROR(VLOOKUP($H175,매장구분!$B:$Z,9,0),"")</f>
        <v>부천(대-위)</v>
      </c>
      <c r="F175" s="53"/>
      <c r="G175" s="54" t="s">
        <v>530</v>
      </c>
      <c r="H175" s="55" t="s">
        <v>531</v>
      </c>
      <c r="I175" s="55" t="s">
        <v>169</v>
      </c>
      <c r="J175" s="55" t="s">
        <v>79</v>
      </c>
      <c r="K175" s="55" t="s">
        <v>170</v>
      </c>
      <c r="L175" s="55" t="s">
        <v>171</v>
      </c>
      <c r="M175" s="55" t="s">
        <v>196</v>
      </c>
      <c r="N175" s="55" t="s">
        <v>197</v>
      </c>
      <c r="O175" s="55">
        <v>4696000</v>
      </c>
      <c r="P175" s="55">
        <v>43</v>
      </c>
      <c r="Q175" s="55">
        <v>0</v>
      </c>
      <c r="R175" s="55">
        <v>0</v>
      </c>
      <c r="S175" s="55">
        <v>0</v>
      </c>
      <c r="T175" s="55">
        <v>0</v>
      </c>
      <c r="U175" s="55">
        <v>597000</v>
      </c>
      <c r="V175" s="55">
        <v>3</v>
      </c>
      <c r="W175" s="55">
        <v>0</v>
      </c>
      <c r="X175" s="55">
        <v>0</v>
      </c>
      <c r="Y175" s="56">
        <v>0</v>
      </c>
      <c r="Z175" s="55">
        <v>0</v>
      </c>
      <c r="AA175" s="55">
        <v>0</v>
      </c>
      <c r="AB175" s="55">
        <v>0</v>
      </c>
      <c r="AC175" s="55">
        <v>5293000</v>
      </c>
      <c r="AD175" s="57">
        <v>46</v>
      </c>
      <c r="AF175" s="47">
        <f t="shared" si="2"/>
        <v>5293000</v>
      </c>
    </row>
    <row r="176" spans="1:32" x14ac:dyDescent="0.3">
      <c r="A176" s="46" t="s">
        <v>0</v>
      </c>
      <c r="B176" s="46" t="str">
        <f>IFERROR(VLOOKUP($H176,매장구분!$B:$Z,2,0),"")</f>
        <v>리테일채널팀</v>
      </c>
      <c r="C176" s="46" t="str">
        <f>IFERROR(VLOOKUP($H176,매장구분!$B:$Z,3,0),"")</f>
        <v>국내</v>
      </c>
      <c r="D176" s="46" t="str">
        <f>IFERROR(VLOOKUP($H176,매장구분!$B:$Z,5,0),"")</f>
        <v>대리점</v>
      </c>
      <c r="E176" s="46" t="str">
        <f>IFERROR(VLOOKUP($H176,매장구분!$B:$Z,9,0),"")</f>
        <v>스퀘어원인천(대-위)</v>
      </c>
      <c r="F176" s="58"/>
      <c r="G176" s="59" t="s">
        <v>532</v>
      </c>
      <c r="H176" s="60" t="s">
        <v>533</v>
      </c>
      <c r="I176" s="60" t="s">
        <v>169</v>
      </c>
      <c r="J176" s="60" t="s">
        <v>79</v>
      </c>
      <c r="K176" s="60" t="s">
        <v>170</v>
      </c>
      <c r="L176" s="60" t="s">
        <v>171</v>
      </c>
      <c r="M176" s="60" t="s">
        <v>188</v>
      </c>
      <c r="N176" s="60" t="s">
        <v>317</v>
      </c>
      <c r="O176" s="60">
        <v>10208732</v>
      </c>
      <c r="P176" s="60">
        <v>113</v>
      </c>
      <c r="Q176" s="60">
        <v>0</v>
      </c>
      <c r="R176" s="60">
        <v>0</v>
      </c>
      <c r="S176" s="60">
        <v>0</v>
      </c>
      <c r="T176" s="60">
        <v>0</v>
      </c>
      <c r="U176" s="60">
        <v>408000</v>
      </c>
      <c r="V176" s="60">
        <v>2</v>
      </c>
      <c r="W176" s="60">
        <v>0</v>
      </c>
      <c r="X176" s="60">
        <v>0</v>
      </c>
      <c r="Y176" s="61">
        <v>0</v>
      </c>
      <c r="Z176" s="60">
        <v>0</v>
      </c>
      <c r="AA176" s="60">
        <v>0</v>
      </c>
      <c r="AB176" s="60">
        <v>0</v>
      </c>
      <c r="AC176" s="60">
        <v>10616732</v>
      </c>
      <c r="AD176" s="62">
        <v>115</v>
      </c>
      <c r="AF176" s="47">
        <f t="shared" si="2"/>
        <v>10616732</v>
      </c>
    </row>
    <row r="177" spans="1:32" x14ac:dyDescent="0.3">
      <c r="A177" s="46" t="s">
        <v>0</v>
      </c>
      <c r="B177" s="46" t="str">
        <f>IFERROR(VLOOKUP($H177,매장구분!$B:$Z,2,0),"")</f>
        <v>리테일채널팀</v>
      </c>
      <c r="C177" s="46" t="str">
        <f>IFERROR(VLOOKUP($H177,매장구분!$B:$Z,3,0),"")</f>
        <v>국내</v>
      </c>
      <c r="D177" s="46" t="str">
        <f>IFERROR(VLOOKUP($H177,매장구분!$B:$Z,5,0),"")</f>
        <v>대리점</v>
      </c>
      <c r="E177" s="46" t="str">
        <f>IFERROR(VLOOKUP($H177,매장구분!$B:$Z,9,0),"")</f>
        <v>동해(대-위)</v>
      </c>
      <c r="F177" s="53"/>
      <c r="G177" s="54" t="s">
        <v>534</v>
      </c>
      <c r="H177" s="55" t="s">
        <v>535</v>
      </c>
      <c r="I177" s="55" t="s">
        <v>169</v>
      </c>
      <c r="J177" s="55" t="s">
        <v>79</v>
      </c>
      <c r="K177" s="55" t="s">
        <v>170</v>
      </c>
      <c r="L177" s="55" t="s">
        <v>171</v>
      </c>
      <c r="M177" s="55" t="s">
        <v>196</v>
      </c>
      <c r="N177" s="55" t="s">
        <v>197</v>
      </c>
      <c r="O177" s="55">
        <v>5922015</v>
      </c>
      <c r="P177" s="55">
        <v>69</v>
      </c>
      <c r="Q177" s="55">
        <v>0</v>
      </c>
      <c r="R177" s="55">
        <v>0</v>
      </c>
      <c r="S177" s="55">
        <v>0</v>
      </c>
      <c r="T177" s="55">
        <v>0</v>
      </c>
      <c r="U177" s="55">
        <v>2461585</v>
      </c>
      <c r="V177" s="55">
        <v>13</v>
      </c>
      <c r="W177" s="55">
        <v>0</v>
      </c>
      <c r="X177" s="55">
        <v>0</v>
      </c>
      <c r="Y177" s="56">
        <v>0</v>
      </c>
      <c r="Z177" s="55">
        <v>0</v>
      </c>
      <c r="AA177" s="55">
        <v>0</v>
      </c>
      <c r="AB177" s="55">
        <v>0</v>
      </c>
      <c r="AC177" s="55">
        <v>8383600</v>
      </c>
      <c r="AD177" s="57">
        <v>82</v>
      </c>
      <c r="AF177" s="47">
        <f t="shared" si="2"/>
        <v>8383600</v>
      </c>
    </row>
    <row r="178" spans="1:32" x14ac:dyDescent="0.3">
      <c r="A178" s="46" t="s">
        <v>0</v>
      </c>
      <c r="B178" s="46" t="str">
        <f>IFERROR(VLOOKUP($H178,매장구분!$B:$Z,2,0),"")</f>
        <v>파트너채널팀</v>
      </c>
      <c r="C178" s="46" t="str">
        <f>IFERROR(VLOOKUP($H178,매장구분!$B:$Z,3,0),"")</f>
        <v>국내</v>
      </c>
      <c r="D178" s="46" t="str">
        <f>IFERROR(VLOOKUP($H178,매장구분!$B:$Z,5,0),"")</f>
        <v>백화점</v>
      </c>
      <c r="E178" s="46" t="str">
        <f>IFERROR(VLOOKUP($H178,매장구분!$B:$Z,9,0),"")</f>
        <v>롯데대구</v>
      </c>
      <c r="F178" s="58"/>
      <c r="G178" s="59" t="s">
        <v>536</v>
      </c>
      <c r="H178" s="60" t="s">
        <v>537</v>
      </c>
      <c r="I178" s="60" t="s">
        <v>169</v>
      </c>
      <c r="J178" s="60" t="s">
        <v>175</v>
      </c>
      <c r="K178" s="60" t="s">
        <v>170</v>
      </c>
      <c r="L178" s="60" t="s">
        <v>171</v>
      </c>
      <c r="M178" s="60" t="s">
        <v>77</v>
      </c>
      <c r="N178" s="60" t="s">
        <v>172</v>
      </c>
      <c r="O178" s="60">
        <v>3826900</v>
      </c>
      <c r="P178" s="60">
        <v>37</v>
      </c>
      <c r="Q178" s="60">
        <v>0</v>
      </c>
      <c r="R178" s="60">
        <v>0</v>
      </c>
      <c r="S178" s="60">
        <v>0</v>
      </c>
      <c r="T178" s="60">
        <v>0</v>
      </c>
      <c r="U178" s="60">
        <v>269000</v>
      </c>
      <c r="V178" s="60">
        <v>1</v>
      </c>
      <c r="W178" s="60">
        <v>0</v>
      </c>
      <c r="X178" s="60">
        <v>0</v>
      </c>
      <c r="Y178" s="61">
        <v>0</v>
      </c>
      <c r="Z178" s="60">
        <v>0</v>
      </c>
      <c r="AA178" s="60">
        <v>0</v>
      </c>
      <c r="AB178" s="60">
        <v>0</v>
      </c>
      <c r="AC178" s="60">
        <v>4095900</v>
      </c>
      <c r="AD178" s="62">
        <v>38</v>
      </c>
      <c r="AF178" s="47">
        <f t="shared" si="2"/>
        <v>4095900</v>
      </c>
    </row>
    <row r="179" spans="1:32" x14ac:dyDescent="0.3">
      <c r="A179" s="46" t="s">
        <v>0</v>
      </c>
      <c r="B179" s="46" t="str">
        <f>IFERROR(VLOOKUP($H179,매장구분!$B:$Z,2,0),"")</f>
        <v>리테일채널팀</v>
      </c>
      <c r="C179" s="46" t="str">
        <f>IFERROR(VLOOKUP($H179,매장구분!$B:$Z,3,0),"")</f>
        <v>RF</v>
      </c>
      <c r="D179" s="46" t="str">
        <f>IFERROR(VLOOKUP($H179,매장구분!$B:$Z,5,0),"")</f>
        <v>직영점</v>
      </c>
      <c r="E179" s="46" t="str">
        <f>IFERROR(VLOOKUP($H179,매장구분!$B:$Z,9,0),"")</f>
        <v>명동중앙(직)</v>
      </c>
      <c r="F179" s="53"/>
      <c r="G179" s="54" t="s">
        <v>538</v>
      </c>
      <c r="H179" s="55" t="s">
        <v>539</v>
      </c>
      <c r="I179" s="55" t="s">
        <v>169</v>
      </c>
      <c r="J179" s="55" t="s">
        <v>180</v>
      </c>
      <c r="K179" s="55" t="s">
        <v>170</v>
      </c>
      <c r="L179" s="55" t="s">
        <v>171</v>
      </c>
      <c r="M179" s="55" t="s">
        <v>196</v>
      </c>
      <c r="N179" s="55" t="s">
        <v>206</v>
      </c>
      <c r="O179" s="55">
        <v>88448900</v>
      </c>
      <c r="P179" s="55">
        <v>1195</v>
      </c>
      <c r="Q179" s="55">
        <v>0</v>
      </c>
      <c r="R179" s="55">
        <v>0</v>
      </c>
      <c r="S179" s="55">
        <v>0</v>
      </c>
      <c r="T179" s="55">
        <v>0</v>
      </c>
      <c r="U179" s="55">
        <v>0</v>
      </c>
      <c r="V179" s="55">
        <v>0</v>
      </c>
      <c r="W179" s="55">
        <v>0</v>
      </c>
      <c r="X179" s="55">
        <v>0</v>
      </c>
      <c r="Y179" s="56">
        <v>0</v>
      </c>
      <c r="Z179" s="55">
        <v>0</v>
      </c>
      <c r="AA179" s="55">
        <v>0</v>
      </c>
      <c r="AB179" s="55">
        <v>0</v>
      </c>
      <c r="AC179" s="55">
        <v>88448900</v>
      </c>
      <c r="AD179" s="57">
        <v>1195</v>
      </c>
      <c r="AF179" s="47">
        <f t="shared" si="2"/>
        <v>88448900</v>
      </c>
    </row>
    <row r="180" spans="1:32" x14ac:dyDescent="0.3">
      <c r="A180" s="46" t="s">
        <v>0</v>
      </c>
      <c r="B180" s="46" t="str">
        <f>IFERROR(VLOOKUP($H180,매장구분!$B:$Z,2,0),"")</f>
        <v>파트너채널팀</v>
      </c>
      <c r="C180" s="46" t="str">
        <f>IFERROR(VLOOKUP($H180,매장구분!$B:$Z,3,0),"")</f>
        <v>국내</v>
      </c>
      <c r="D180" s="46" t="str">
        <f>IFERROR(VLOOKUP($H180,매장구분!$B:$Z,5,0),"")</f>
        <v>백화점</v>
      </c>
      <c r="E180" s="46" t="str">
        <f>IFERROR(VLOOKUP($H180,매장구분!$B:$Z,9,0),"")</f>
        <v>현대대구</v>
      </c>
      <c r="F180" s="58"/>
      <c r="G180" s="59" t="s">
        <v>540</v>
      </c>
      <c r="H180" s="60" t="s">
        <v>541</v>
      </c>
      <c r="I180" s="60" t="s">
        <v>169</v>
      </c>
      <c r="J180" s="60" t="s">
        <v>175</v>
      </c>
      <c r="K180" s="60" t="s">
        <v>170</v>
      </c>
      <c r="L180" s="60" t="s">
        <v>171</v>
      </c>
      <c r="M180" s="60" t="s">
        <v>77</v>
      </c>
      <c r="N180" s="60" t="s">
        <v>172</v>
      </c>
      <c r="O180" s="60">
        <v>7153900</v>
      </c>
      <c r="P180" s="60">
        <v>98</v>
      </c>
      <c r="Q180" s="60">
        <v>447000</v>
      </c>
      <c r="R180" s="60">
        <v>3</v>
      </c>
      <c r="S180" s="60">
        <v>0</v>
      </c>
      <c r="T180" s="60">
        <v>0</v>
      </c>
      <c r="U180" s="60">
        <v>2237000</v>
      </c>
      <c r="V180" s="60">
        <v>13</v>
      </c>
      <c r="W180" s="60">
        <v>0</v>
      </c>
      <c r="X180" s="60">
        <v>0</v>
      </c>
      <c r="Y180" s="61">
        <v>21483000</v>
      </c>
      <c r="Z180" s="60">
        <v>217</v>
      </c>
      <c r="AA180" s="60">
        <v>0</v>
      </c>
      <c r="AB180" s="60">
        <v>0</v>
      </c>
      <c r="AC180" s="60">
        <v>31320900</v>
      </c>
      <c r="AD180" s="62">
        <v>331</v>
      </c>
      <c r="AF180" s="47">
        <f t="shared" si="2"/>
        <v>9837900</v>
      </c>
    </row>
    <row r="181" spans="1:32" x14ac:dyDescent="0.3">
      <c r="A181" s="46" t="s">
        <v>0</v>
      </c>
      <c r="B181" s="46" t="str">
        <f>IFERROR(VLOOKUP($H181,매장구분!$B:$Z,2,0),"")</f>
        <v>파트너채널팀</v>
      </c>
      <c r="C181" s="46" t="str">
        <f>IFERROR(VLOOKUP($H181,매장구분!$B:$Z,3,0),"")</f>
        <v>면세</v>
      </c>
      <c r="D181" s="46" t="str">
        <f>IFERROR(VLOOKUP($H181,매장구분!$B:$Z,5,0),"")</f>
        <v>면세</v>
      </c>
      <c r="E181" s="46" t="str">
        <f>IFERROR(VLOOKUP($H181,매장구분!$B:$Z,9,0),"")</f>
        <v>신라면세용산</v>
      </c>
      <c r="F181" s="53"/>
      <c r="G181" s="54" t="s">
        <v>542</v>
      </c>
      <c r="H181" s="55" t="s">
        <v>543</v>
      </c>
      <c r="I181" s="55" t="s">
        <v>169</v>
      </c>
      <c r="J181" s="55" t="s">
        <v>175</v>
      </c>
      <c r="K181" s="55" t="s">
        <v>170</v>
      </c>
      <c r="L181" s="55" t="s">
        <v>171</v>
      </c>
      <c r="M181" s="55" t="s">
        <v>176</v>
      </c>
      <c r="N181" s="55" t="s">
        <v>177</v>
      </c>
      <c r="O181" s="55">
        <v>0</v>
      </c>
      <c r="P181" s="55">
        <v>0</v>
      </c>
      <c r="Q181" s="55">
        <v>0</v>
      </c>
      <c r="R181" s="55">
        <v>0</v>
      </c>
      <c r="S181" s="55">
        <v>0</v>
      </c>
      <c r="T181" s="55">
        <v>0</v>
      </c>
      <c r="U181" s="55">
        <v>0</v>
      </c>
      <c r="V181" s="55">
        <v>0</v>
      </c>
      <c r="W181" s="55">
        <v>0</v>
      </c>
      <c r="X181" s="55">
        <v>0</v>
      </c>
      <c r="Y181" s="56">
        <v>186843800</v>
      </c>
      <c r="Z181" s="55">
        <v>3625</v>
      </c>
      <c r="AA181" s="55">
        <v>0</v>
      </c>
      <c r="AB181" s="55">
        <v>0</v>
      </c>
      <c r="AC181" s="55">
        <v>186843800</v>
      </c>
      <c r="AD181" s="57">
        <v>3625</v>
      </c>
      <c r="AF181" s="47">
        <f t="shared" si="2"/>
        <v>0</v>
      </c>
    </row>
    <row r="182" spans="1:32" x14ac:dyDescent="0.3">
      <c r="A182" s="46" t="s">
        <v>0</v>
      </c>
      <c r="B182" s="46" t="str">
        <f>IFERROR(VLOOKUP($H182,매장구분!$B:$Z,2,0),"")</f>
        <v>리테일채널팀</v>
      </c>
      <c r="C182" s="46" t="str">
        <f>IFERROR(VLOOKUP($H182,매장구분!$B:$Z,3,0),"")</f>
        <v>국내</v>
      </c>
      <c r="D182" s="46" t="str">
        <f>IFERROR(VLOOKUP($H182,매장구분!$B:$Z,5,0),"")</f>
        <v>직영점</v>
      </c>
      <c r="E182" s="46" t="str">
        <f>IFERROR(VLOOKUP($H182,매장구분!$B:$Z,9,0),"")</f>
        <v>충장로</v>
      </c>
      <c r="F182" s="58"/>
      <c r="G182" s="59" t="s">
        <v>544</v>
      </c>
      <c r="H182" s="60" t="s">
        <v>545</v>
      </c>
      <c r="I182" s="60" t="s">
        <v>169</v>
      </c>
      <c r="J182" s="60" t="s">
        <v>180</v>
      </c>
      <c r="K182" s="60" t="s">
        <v>170</v>
      </c>
      <c r="L182" s="60" t="s">
        <v>171</v>
      </c>
      <c r="M182" s="60" t="s">
        <v>196</v>
      </c>
      <c r="N182" s="60" t="s">
        <v>206</v>
      </c>
      <c r="O182" s="60">
        <v>19749922</v>
      </c>
      <c r="P182" s="60">
        <v>160</v>
      </c>
      <c r="Q182" s="60">
        <v>0</v>
      </c>
      <c r="R182" s="60">
        <v>0</v>
      </c>
      <c r="S182" s="60">
        <v>0</v>
      </c>
      <c r="T182" s="60">
        <v>0</v>
      </c>
      <c r="U182" s="60">
        <v>819878</v>
      </c>
      <c r="V182" s="60">
        <v>5</v>
      </c>
      <c r="W182" s="60">
        <v>0</v>
      </c>
      <c r="X182" s="60">
        <v>0</v>
      </c>
      <c r="Y182" s="61">
        <v>0</v>
      </c>
      <c r="Z182" s="60">
        <v>0</v>
      </c>
      <c r="AA182" s="60">
        <v>0</v>
      </c>
      <c r="AB182" s="60">
        <v>0</v>
      </c>
      <c r="AC182" s="60">
        <v>20569800</v>
      </c>
      <c r="AD182" s="62">
        <v>165</v>
      </c>
      <c r="AF182" s="47">
        <f t="shared" si="2"/>
        <v>20569800</v>
      </c>
    </row>
    <row r="183" spans="1:32" x14ac:dyDescent="0.3">
      <c r="A183" s="46" t="s">
        <v>0</v>
      </c>
      <c r="B183" s="46" t="str">
        <f>IFERROR(VLOOKUP($H183,매장구분!$B:$Z,2,0),"")</f>
        <v>리테일채널팀</v>
      </c>
      <c r="C183" s="46" t="str">
        <f>IFERROR(VLOOKUP($H183,매장구분!$B:$Z,3,0),"")</f>
        <v>국내</v>
      </c>
      <c r="D183" s="46" t="str">
        <f>IFERROR(VLOOKUP($H183,매장구분!$B:$Z,5,0),"")</f>
        <v>대리점</v>
      </c>
      <c r="E183" s="46" t="str">
        <f>IFERROR(VLOOKUP($H183,매장구분!$B:$Z,9,0),"")</f>
        <v>마산합성(대-위)</v>
      </c>
      <c r="F183" s="53"/>
      <c r="G183" s="54" t="s">
        <v>546</v>
      </c>
      <c r="H183" s="55" t="s">
        <v>547</v>
      </c>
      <c r="I183" s="55" t="s">
        <v>169</v>
      </c>
      <c r="J183" s="55" t="s">
        <v>79</v>
      </c>
      <c r="K183" s="55" t="s">
        <v>170</v>
      </c>
      <c r="L183" s="55" t="s">
        <v>171</v>
      </c>
      <c r="M183" s="55" t="s">
        <v>196</v>
      </c>
      <c r="N183" s="55" t="s">
        <v>197</v>
      </c>
      <c r="O183" s="55">
        <v>8699210</v>
      </c>
      <c r="P183" s="55">
        <v>63</v>
      </c>
      <c r="Q183" s="55">
        <v>0</v>
      </c>
      <c r="R183" s="55">
        <v>0</v>
      </c>
      <c r="S183" s="55">
        <v>0</v>
      </c>
      <c r="T183" s="55">
        <v>0</v>
      </c>
      <c r="U183" s="55">
        <v>152100</v>
      </c>
      <c r="V183" s="55">
        <v>1</v>
      </c>
      <c r="W183" s="55">
        <v>0</v>
      </c>
      <c r="X183" s="55">
        <v>0</v>
      </c>
      <c r="Y183" s="56">
        <v>0</v>
      </c>
      <c r="Z183" s="55">
        <v>0</v>
      </c>
      <c r="AA183" s="55">
        <v>0</v>
      </c>
      <c r="AB183" s="55">
        <v>0</v>
      </c>
      <c r="AC183" s="55">
        <v>8851310</v>
      </c>
      <c r="AD183" s="57">
        <v>64</v>
      </c>
      <c r="AF183" s="47">
        <f t="shared" si="2"/>
        <v>8851310</v>
      </c>
    </row>
    <row r="184" spans="1:32" x14ac:dyDescent="0.3">
      <c r="A184" s="46" t="s">
        <v>0</v>
      </c>
      <c r="B184" s="46" t="str">
        <f>IFERROR(VLOOKUP($H184,매장구분!$B:$Z,2,0),"")</f>
        <v>파트너채널팀</v>
      </c>
      <c r="C184" s="46" t="str">
        <f>IFERROR(VLOOKUP($H184,매장구분!$B:$Z,3,0),"")</f>
        <v>국내</v>
      </c>
      <c r="D184" s="46" t="str">
        <f>IFERROR(VLOOKUP($H184,매장구분!$B:$Z,5,0),"")</f>
        <v>백화점</v>
      </c>
      <c r="E184" s="46" t="str">
        <f>IFERROR(VLOOKUP($H184,매장구분!$B:$Z,9,0),"")</f>
        <v>롯데창원</v>
      </c>
      <c r="F184" s="58"/>
      <c r="G184" s="59" t="s">
        <v>548</v>
      </c>
      <c r="H184" s="60" t="s">
        <v>549</v>
      </c>
      <c r="I184" s="60" t="s">
        <v>169</v>
      </c>
      <c r="J184" s="60" t="s">
        <v>175</v>
      </c>
      <c r="K184" s="60" t="s">
        <v>170</v>
      </c>
      <c r="L184" s="60" t="s">
        <v>171</v>
      </c>
      <c r="M184" s="60" t="s">
        <v>77</v>
      </c>
      <c r="N184" s="60" t="s">
        <v>172</v>
      </c>
      <c r="O184" s="60">
        <v>11430800</v>
      </c>
      <c r="P184" s="60">
        <v>104</v>
      </c>
      <c r="Q184" s="60">
        <v>0</v>
      </c>
      <c r="R184" s="60">
        <v>0</v>
      </c>
      <c r="S184" s="60">
        <v>0</v>
      </c>
      <c r="T184" s="60">
        <v>0</v>
      </c>
      <c r="U184" s="60">
        <v>677000</v>
      </c>
      <c r="V184" s="60">
        <v>3</v>
      </c>
      <c r="W184" s="60">
        <v>0</v>
      </c>
      <c r="X184" s="60">
        <v>0</v>
      </c>
      <c r="Y184" s="61">
        <v>0</v>
      </c>
      <c r="Z184" s="60">
        <v>0</v>
      </c>
      <c r="AA184" s="60">
        <v>0</v>
      </c>
      <c r="AB184" s="60">
        <v>0</v>
      </c>
      <c r="AC184" s="60">
        <v>12107800</v>
      </c>
      <c r="AD184" s="62">
        <v>107</v>
      </c>
      <c r="AF184" s="47">
        <f t="shared" si="2"/>
        <v>12107800</v>
      </c>
    </row>
    <row r="185" spans="1:32" x14ac:dyDescent="0.3">
      <c r="A185" s="46" t="s">
        <v>0</v>
      </c>
      <c r="B185" s="46" t="str">
        <f>IFERROR(VLOOKUP($H185,매장구분!$B:$Z,2,0),"")</f>
        <v>E-biz</v>
      </c>
      <c r="C185" s="46" t="str">
        <f>IFERROR(VLOOKUP($H185,매장구분!$B:$Z,3,0),"")</f>
        <v>국내</v>
      </c>
      <c r="D185" s="46" t="str">
        <f>IFERROR(VLOOKUP($H185,매장구분!$B:$Z,5,0),"")</f>
        <v>온(제휴몰)</v>
      </c>
      <c r="E185" s="46" t="str">
        <f>IFERROR(VLOOKUP($H185,매장구분!$B:$Z,9,0),"")</f>
        <v>GS SHOP(제휴몰)</v>
      </c>
      <c r="F185" s="53"/>
      <c r="G185" s="54" t="s">
        <v>550</v>
      </c>
      <c r="H185" s="55" t="s">
        <v>551</v>
      </c>
      <c r="I185" s="55" t="s">
        <v>169</v>
      </c>
      <c r="J185" s="55" t="s">
        <v>180</v>
      </c>
      <c r="K185" s="55" t="s">
        <v>170</v>
      </c>
      <c r="L185" s="55" t="s">
        <v>181</v>
      </c>
      <c r="M185" s="55" t="s">
        <v>181</v>
      </c>
      <c r="N185" s="55" t="s">
        <v>185</v>
      </c>
      <c r="O185" s="55">
        <v>2348800</v>
      </c>
      <c r="P185" s="55">
        <v>35</v>
      </c>
      <c r="Q185" s="55">
        <v>0</v>
      </c>
      <c r="R185" s="55">
        <v>0</v>
      </c>
      <c r="S185" s="55">
        <v>0</v>
      </c>
      <c r="T185" s="55">
        <v>0</v>
      </c>
      <c r="U185" s="55">
        <v>0</v>
      </c>
      <c r="V185" s="55">
        <v>0</v>
      </c>
      <c r="W185" s="55">
        <v>0</v>
      </c>
      <c r="X185" s="55">
        <v>0</v>
      </c>
      <c r="Y185" s="56">
        <v>0</v>
      </c>
      <c r="Z185" s="55">
        <v>0</v>
      </c>
      <c r="AA185" s="55">
        <v>0</v>
      </c>
      <c r="AB185" s="55">
        <v>0</v>
      </c>
      <c r="AC185" s="55">
        <v>2348800</v>
      </c>
      <c r="AD185" s="57">
        <v>35</v>
      </c>
      <c r="AF185" s="47">
        <f t="shared" si="2"/>
        <v>2348800</v>
      </c>
    </row>
    <row r="186" spans="1:32" x14ac:dyDescent="0.3">
      <c r="A186" s="46" t="s">
        <v>0</v>
      </c>
      <c r="B186" s="46" t="str">
        <f>IFERROR(VLOOKUP($H186,매장구분!$B:$Z,2,0),"")</f>
        <v>파트너채널팀</v>
      </c>
      <c r="C186" s="46" t="str">
        <f>IFERROR(VLOOKUP($H186,매장구분!$B:$Z,3,0),"")</f>
        <v>국내</v>
      </c>
      <c r="D186" s="46" t="str">
        <f>IFERROR(VLOOKUP($H186,매장구분!$B:$Z,5,0),"")</f>
        <v>백화점</v>
      </c>
      <c r="E186" s="46" t="str">
        <f>IFERROR(VLOOKUP($H186,매장구분!$B:$Z,9,0),"")</f>
        <v>AK수원</v>
      </c>
      <c r="F186" s="58"/>
      <c r="G186" s="59" t="s">
        <v>552</v>
      </c>
      <c r="H186" s="60" t="s">
        <v>553</v>
      </c>
      <c r="I186" s="60" t="s">
        <v>169</v>
      </c>
      <c r="J186" s="60" t="s">
        <v>175</v>
      </c>
      <c r="K186" s="60" t="s">
        <v>170</v>
      </c>
      <c r="L186" s="60" t="s">
        <v>171</v>
      </c>
      <c r="M186" s="60" t="s">
        <v>77</v>
      </c>
      <c r="N186" s="60" t="s">
        <v>172</v>
      </c>
      <c r="O186" s="60">
        <v>8268700</v>
      </c>
      <c r="P186" s="60">
        <v>83</v>
      </c>
      <c r="Q186" s="60">
        <v>0</v>
      </c>
      <c r="R186" s="60">
        <v>0</v>
      </c>
      <c r="S186" s="60">
        <v>0</v>
      </c>
      <c r="T186" s="60">
        <v>0</v>
      </c>
      <c r="U186" s="60">
        <v>438000</v>
      </c>
      <c r="V186" s="60">
        <v>2</v>
      </c>
      <c r="W186" s="60">
        <v>0</v>
      </c>
      <c r="X186" s="60">
        <v>0</v>
      </c>
      <c r="Y186" s="61">
        <v>36000</v>
      </c>
      <c r="Z186" s="60">
        <v>1</v>
      </c>
      <c r="AA186" s="60">
        <v>0</v>
      </c>
      <c r="AB186" s="60">
        <v>0</v>
      </c>
      <c r="AC186" s="60">
        <v>8742700</v>
      </c>
      <c r="AD186" s="62">
        <v>86</v>
      </c>
      <c r="AF186" s="47">
        <f t="shared" si="2"/>
        <v>8706700</v>
      </c>
    </row>
    <row r="187" spans="1:32" x14ac:dyDescent="0.3">
      <c r="A187" s="46" t="s">
        <v>0</v>
      </c>
      <c r="B187" s="46" t="str">
        <f>IFERROR(VLOOKUP($H187,매장구분!$B:$Z,2,0),"")</f>
        <v>리테일채널팀</v>
      </c>
      <c r="C187" s="46" t="str">
        <f>IFERROR(VLOOKUP($H187,매장구분!$B:$Z,3,0),"")</f>
        <v>국내</v>
      </c>
      <c r="D187" s="46" t="str">
        <f>IFERROR(VLOOKUP($H187,매장구분!$B:$Z,5,0),"")</f>
        <v>직영점</v>
      </c>
      <c r="E187" s="46" t="str">
        <f>IFERROR(VLOOKUP($H187,매장구분!$B:$Z,9,0),"")</f>
        <v>스타필드안성(직)</v>
      </c>
      <c r="F187" s="53"/>
      <c r="G187" s="54" t="s">
        <v>554</v>
      </c>
      <c r="H187" s="55" t="s">
        <v>555</v>
      </c>
      <c r="I187" s="55" t="s">
        <v>169</v>
      </c>
      <c r="J187" s="55" t="s">
        <v>180</v>
      </c>
      <c r="K187" s="55" t="s">
        <v>170</v>
      </c>
      <c r="L187" s="55" t="s">
        <v>171</v>
      </c>
      <c r="M187" s="55" t="s">
        <v>188</v>
      </c>
      <c r="N187" s="55" t="s">
        <v>189</v>
      </c>
      <c r="O187" s="55">
        <v>13441210</v>
      </c>
      <c r="P187" s="55">
        <v>130</v>
      </c>
      <c r="Q187" s="55">
        <v>0</v>
      </c>
      <c r="R187" s="55">
        <v>0</v>
      </c>
      <c r="S187" s="55">
        <v>0</v>
      </c>
      <c r="T187" s="55">
        <v>0</v>
      </c>
      <c r="U187" s="55">
        <v>2006790</v>
      </c>
      <c r="V187" s="55">
        <v>12</v>
      </c>
      <c r="W187" s="55">
        <v>0</v>
      </c>
      <c r="X187" s="55">
        <v>0</v>
      </c>
      <c r="Y187" s="56">
        <v>0</v>
      </c>
      <c r="Z187" s="55">
        <v>0</v>
      </c>
      <c r="AA187" s="55">
        <v>0</v>
      </c>
      <c r="AB187" s="55">
        <v>0</v>
      </c>
      <c r="AC187" s="55">
        <v>15448000</v>
      </c>
      <c r="AD187" s="57">
        <v>142</v>
      </c>
      <c r="AF187" s="47">
        <f t="shared" si="2"/>
        <v>15448000</v>
      </c>
    </row>
    <row r="188" spans="1:32" x14ac:dyDescent="0.3">
      <c r="A188" s="46" t="s">
        <v>0</v>
      </c>
      <c r="B188" s="46" t="str">
        <f>IFERROR(VLOOKUP($H188,매장구분!$B:$Z,2,0),"")</f>
        <v>리테일채널팀</v>
      </c>
      <c r="C188" s="46" t="str">
        <f>IFERROR(VLOOKUP($H188,매장구분!$B:$Z,3,0),"")</f>
        <v>국내</v>
      </c>
      <c r="D188" s="46" t="str">
        <f>IFERROR(VLOOKUP($H188,매장구분!$B:$Z,5,0),"")</f>
        <v>대리점</v>
      </c>
      <c r="E188" s="46" t="str">
        <f>IFERROR(VLOOKUP($H188,매장구분!$B:$Z,9,0),"")</f>
        <v>경산(대-위)</v>
      </c>
      <c r="F188" s="58"/>
      <c r="G188" s="59" t="s">
        <v>556</v>
      </c>
      <c r="H188" s="60" t="s">
        <v>557</v>
      </c>
      <c r="I188" s="60" t="s">
        <v>169</v>
      </c>
      <c r="J188" s="60" t="s">
        <v>79</v>
      </c>
      <c r="K188" s="60" t="s">
        <v>170</v>
      </c>
      <c r="L188" s="60" t="s">
        <v>171</v>
      </c>
      <c r="M188" s="60" t="s">
        <v>196</v>
      </c>
      <c r="N188" s="60" t="s">
        <v>197</v>
      </c>
      <c r="O188" s="60">
        <v>10145000</v>
      </c>
      <c r="P188" s="60">
        <v>79</v>
      </c>
      <c r="Q188" s="60">
        <v>0</v>
      </c>
      <c r="R188" s="60">
        <v>0</v>
      </c>
      <c r="S188" s="60">
        <v>0</v>
      </c>
      <c r="T188" s="60">
        <v>0</v>
      </c>
      <c r="U188" s="60">
        <v>1034000</v>
      </c>
      <c r="V188" s="60">
        <v>6</v>
      </c>
      <c r="W188" s="60">
        <v>0</v>
      </c>
      <c r="X188" s="60">
        <v>0</v>
      </c>
      <c r="Y188" s="61">
        <v>0</v>
      </c>
      <c r="Z188" s="60">
        <v>0</v>
      </c>
      <c r="AA188" s="60">
        <v>0</v>
      </c>
      <c r="AB188" s="60">
        <v>0</v>
      </c>
      <c r="AC188" s="60">
        <v>11179000</v>
      </c>
      <c r="AD188" s="62">
        <v>85</v>
      </c>
      <c r="AF188" s="47">
        <f t="shared" si="2"/>
        <v>11179000</v>
      </c>
    </row>
    <row r="189" spans="1:32" x14ac:dyDescent="0.3">
      <c r="A189" s="46" t="s">
        <v>0</v>
      </c>
      <c r="B189" s="46" t="str">
        <f>IFERROR(VLOOKUP($H189,매장구분!$B:$Z,2,0),"")</f>
        <v>리테일채널팀</v>
      </c>
      <c r="C189" s="46" t="str">
        <f>IFERROR(VLOOKUP($H189,매장구분!$B:$Z,3,0),"")</f>
        <v>국내</v>
      </c>
      <c r="D189" s="46" t="str">
        <f>IFERROR(VLOOKUP($H189,매장구분!$B:$Z,5,0),"")</f>
        <v>대리점</v>
      </c>
      <c r="E189" s="46" t="str">
        <f>IFERROR(VLOOKUP($H189,매장구분!$B:$Z,9,0),"")</f>
        <v>구미인동(대-위)</v>
      </c>
      <c r="F189" s="53"/>
      <c r="G189" s="54" t="s">
        <v>558</v>
      </c>
      <c r="H189" s="55" t="s">
        <v>559</v>
      </c>
      <c r="I189" s="55" t="s">
        <v>169</v>
      </c>
      <c r="J189" s="55" t="s">
        <v>79</v>
      </c>
      <c r="K189" s="55" t="s">
        <v>170</v>
      </c>
      <c r="L189" s="55" t="s">
        <v>171</v>
      </c>
      <c r="M189" s="55" t="s">
        <v>196</v>
      </c>
      <c r="N189" s="55" t="s">
        <v>197</v>
      </c>
      <c r="O189" s="55">
        <v>2047000</v>
      </c>
      <c r="P189" s="55">
        <v>19</v>
      </c>
      <c r="Q189" s="55">
        <v>0</v>
      </c>
      <c r="R189" s="55">
        <v>0</v>
      </c>
      <c r="S189" s="55">
        <v>0</v>
      </c>
      <c r="T189" s="55">
        <v>0</v>
      </c>
      <c r="U189" s="55">
        <v>149000</v>
      </c>
      <c r="V189" s="55">
        <v>1</v>
      </c>
      <c r="W189" s="55">
        <v>0</v>
      </c>
      <c r="X189" s="55">
        <v>0</v>
      </c>
      <c r="Y189" s="56">
        <v>0</v>
      </c>
      <c r="Z189" s="55">
        <v>0</v>
      </c>
      <c r="AA189" s="55">
        <v>0</v>
      </c>
      <c r="AB189" s="55">
        <v>0</v>
      </c>
      <c r="AC189" s="55">
        <v>2196000</v>
      </c>
      <c r="AD189" s="57">
        <v>20</v>
      </c>
      <c r="AF189" s="47">
        <f t="shared" si="2"/>
        <v>2196000</v>
      </c>
    </row>
    <row r="190" spans="1:32" x14ac:dyDescent="0.3">
      <c r="A190" s="46" t="s">
        <v>0</v>
      </c>
      <c r="B190" s="46" t="str">
        <f>IFERROR(VLOOKUP($H190,매장구분!$B:$Z,2,0),"")</f>
        <v>리테일채널팀</v>
      </c>
      <c r="C190" s="46" t="str">
        <f>IFERROR(VLOOKUP($H190,매장구분!$B:$Z,3,0),"")</f>
        <v>국내</v>
      </c>
      <c r="D190" s="46" t="str">
        <f>IFERROR(VLOOKUP($H190,매장구분!$B:$Z,5,0),"")</f>
        <v>상설(위탁)</v>
      </c>
      <c r="E190" s="46" t="str">
        <f>IFERROR(VLOOKUP($H190,매장구분!$B:$Z,9,0),"")</f>
        <v>롯데아울렛이천(상-위)</v>
      </c>
      <c r="F190" s="58"/>
      <c r="G190" s="59" t="s">
        <v>560</v>
      </c>
      <c r="H190" s="60" t="s">
        <v>561</v>
      </c>
      <c r="I190" s="60" t="s">
        <v>169</v>
      </c>
      <c r="J190" s="60" t="s">
        <v>79</v>
      </c>
      <c r="K190" s="60" t="s">
        <v>170</v>
      </c>
      <c r="L190" s="60" t="s">
        <v>171</v>
      </c>
      <c r="M190" s="60" t="s">
        <v>219</v>
      </c>
      <c r="N190" s="60" t="s">
        <v>219</v>
      </c>
      <c r="O190" s="60">
        <v>2151000</v>
      </c>
      <c r="P190" s="60">
        <v>59</v>
      </c>
      <c r="Q190" s="60">
        <v>0</v>
      </c>
      <c r="R190" s="60">
        <v>0</v>
      </c>
      <c r="S190" s="60">
        <v>0</v>
      </c>
      <c r="T190" s="60">
        <v>0</v>
      </c>
      <c r="U190" s="60">
        <v>0</v>
      </c>
      <c r="V190" s="60">
        <v>0</v>
      </c>
      <c r="W190" s="60">
        <v>0</v>
      </c>
      <c r="X190" s="60">
        <v>0</v>
      </c>
      <c r="Y190" s="61">
        <v>0</v>
      </c>
      <c r="Z190" s="60">
        <v>0</v>
      </c>
      <c r="AA190" s="60">
        <v>0</v>
      </c>
      <c r="AB190" s="60">
        <v>0</v>
      </c>
      <c r="AC190" s="60">
        <v>2151000</v>
      </c>
      <c r="AD190" s="62">
        <v>59</v>
      </c>
      <c r="AF190" s="47">
        <f t="shared" si="2"/>
        <v>2151000</v>
      </c>
    </row>
    <row r="191" spans="1:32" x14ac:dyDescent="0.3">
      <c r="A191" s="46" t="s">
        <v>0</v>
      </c>
      <c r="B191" s="46" t="str">
        <f>IFERROR(VLOOKUP($H191,매장구분!$B:$Z,2,0),"")</f>
        <v>리테일채널팀</v>
      </c>
      <c r="C191" s="46" t="str">
        <f>IFERROR(VLOOKUP($H191,매장구분!$B:$Z,3,0),"")</f>
        <v>국내</v>
      </c>
      <c r="D191" s="46" t="str">
        <f>IFERROR(VLOOKUP($H191,매장구분!$B:$Z,5,0),"")</f>
        <v>상설(위탁)</v>
      </c>
      <c r="E191" s="46" t="str">
        <f>IFERROR(VLOOKUP($H191,매장구분!$B:$Z,9,0),"")</f>
        <v>롯데아울렛군산(상-위)</v>
      </c>
      <c r="F191" s="53"/>
      <c r="G191" s="54" t="s">
        <v>562</v>
      </c>
      <c r="H191" s="55" t="s">
        <v>563</v>
      </c>
      <c r="I191" s="55" t="s">
        <v>169</v>
      </c>
      <c r="J191" s="55" t="s">
        <v>79</v>
      </c>
      <c r="K191" s="55" t="s">
        <v>170</v>
      </c>
      <c r="L191" s="55" t="s">
        <v>171</v>
      </c>
      <c r="M191" s="55" t="s">
        <v>219</v>
      </c>
      <c r="N191" s="55" t="s">
        <v>219</v>
      </c>
      <c r="O191" s="55">
        <v>324000</v>
      </c>
      <c r="P191" s="55">
        <v>9</v>
      </c>
      <c r="Q191" s="55">
        <v>0</v>
      </c>
      <c r="R191" s="55">
        <v>0</v>
      </c>
      <c r="S191" s="55">
        <v>0</v>
      </c>
      <c r="T191" s="55">
        <v>0</v>
      </c>
      <c r="U191" s="55">
        <v>0</v>
      </c>
      <c r="V191" s="55">
        <v>0</v>
      </c>
      <c r="W191" s="55">
        <v>0</v>
      </c>
      <c r="X191" s="55">
        <v>0</v>
      </c>
      <c r="Y191" s="56">
        <v>0</v>
      </c>
      <c r="Z191" s="55">
        <v>0</v>
      </c>
      <c r="AA191" s="55">
        <v>0</v>
      </c>
      <c r="AB191" s="55">
        <v>0</v>
      </c>
      <c r="AC191" s="55">
        <v>324000</v>
      </c>
      <c r="AD191" s="57">
        <v>9</v>
      </c>
      <c r="AF191" s="47">
        <f t="shared" si="2"/>
        <v>324000</v>
      </c>
    </row>
    <row r="192" spans="1:32" x14ac:dyDescent="0.3">
      <c r="A192" s="46" t="s">
        <v>0</v>
      </c>
      <c r="B192" s="46" t="str">
        <f>IFERROR(VLOOKUP($H192,매장구분!$B:$Z,2,0),"")</f>
        <v>리테일채널팀</v>
      </c>
      <c r="C192" s="46" t="str">
        <f>IFERROR(VLOOKUP($H192,매장구분!$B:$Z,3,0),"")</f>
        <v>국내</v>
      </c>
      <c r="D192" s="46" t="str">
        <f>IFERROR(VLOOKUP($H192,매장구분!$B:$Z,5,0),"")</f>
        <v>상설(위탁)</v>
      </c>
      <c r="E192" s="46" t="str">
        <f>IFERROR(VLOOKUP($H192,매장구분!$B:$Z,9,0),"")</f>
        <v>마리오(상-위)</v>
      </c>
      <c r="F192" s="58"/>
      <c r="G192" s="59" t="s">
        <v>564</v>
      </c>
      <c r="H192" s="60" t="s">
        <v>565</v>
      </c>
      <c r="I192" s="60" t="s">
        <v>169</v>
      </c>
      <c r="J192" s="60" t="s">
        <v>79</v>
      </c>
      <c r="K192" s="60" t="s">
        <v>170</v>
      </c>
      <c r="L192" s="60" t="s">
        <v>171</v>
      </c>
      <c r="M192" s="60" t="s">
        <v>77</v>
      </c>
      <c r="N192" s="60" t="s">
        <v>238</v>
      </c>
      <c r="O192" s="60">
        <v>1310000</v>
      </c>
      <c r="P192" s="60">
        <v>32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0">
        <v>0</v>
      </c>
      <c r="W192" s="60">
        <v>0</v>
      </c>
      <c r="X192" s="60">
        <v>0</v>
      </c>
      <c r="Y192" s="61">
        <v>0</v>
      </c>
      <c r="Z192" s="60">
        <v>0</v>
      </c>
      <c r="AA192" s="60">
        <v>0</v>
      </c>
      <c r="AB192" s="60">
        <v>0</v>
      </c>
      <c r="AC192" s="60">
        <v>1310000</v>
      </c>
      <c r="AD192" s="62">
        <v>32</v>
      </c>
      <c r="AF192" s="47">
        <f t="shared" si="2"/>
        <v>1310000</v>
      </c>
    </row>
    <row r="193" spans="1:32" x14ac:dyDescent="0.3">
      <c r="A193" s="46" t="s">
        <v>1</v>
      </c>
      <c r="B193" s="46" t="str">
        <f>IFERROR(VLOOKUP($H193,매장구분!$B:$Z,2,0),"")</f>
        <v>E-biz</v>
      </c>
      <c r="C193" s="46" t="str">
        <f>IFERROR(VLOOKUP($H193,매장구분!$B:$Z,3,0),"")</f>
        <v>국내</v>
      </c>
      <c r="D193" s="46" t="str">
        <f>IFERROR(VLOOKUP($H193,매장구분!$B:$Z,5,0),"")</f>
        <v>온(제휴몰)</v>
      </c>
      <c r="E193" s="46" t="str">
        <f>IFERROR(VLOOKUP($H193,매장구분!$B:$Z,9,0),"")</f>
        <v>네이버스토어(제휴몰)</v>
      </c>
      <c r="F193" s="53"/>
      <c r="G193" s="54" t="s">
        <v>207</v>
      </c>
      <c r="H193" s="55" t="s">
        <v>208</v>
      </c>
      <c r="I193" s="55" t="s">
        <v>169</v>
      </c>
      <c r="J193" s="55" t="s">
        <v>180</v>
      </c>
      <c r="K193" s="55" t="s">
        <v>170</v>
      </c>
      <c r="L193" s="55" t="s">
        <v>181</v>
      </c>
      <c r="M193" s="55" t="s">
        <v>181</v>
      </c>
      <c r="N193" s="55" t="s">
        <v>185</v>
      </c>
      <c r="O193" s="55">
        <v>70534200</v>
      </c>
      <c r="P193" s="55">
        <v>1043</v>
      </c>
      <c r="Q193" s="55">
        <v>0</v>
      </c>
      <c r="R193" s="55">
        <v>0</v>
      </c>
      <c r="S193" s="55">
        <v>0</v>
      </c>
      <c r="T193" s="55">
        <v>0</v>
      </c>
      <c r="U193" s="55">
        <v>0</v>
      </c>
      <c r="V193" s="55">
        <v>0</v>
      </c>
      <c r="W193" s="55">
        <v>0</v>
      </c>
      <c r="X193" s="55">
        <v>0</v>
      </c>
      <c r="Y193" s="56">
        <v>0</v>
      </c>
      <c r="Z193" s="55">
        <v>0</v>
      </c>
      <c r="AA193" s="55">
        <v>0</v>
      </c>
      <c r="AB193" s="55">
        <v>0</v>
      </c>
      <c r="AC193" s="55">
        <v>70534200</v>
      </c>
      <c r="AD193" s="57">
        <v>1043</v>
      </c>
      <c r="AF193" s="47">
        <f t="shared" si="2"/>
        <v>70534200</v>
      </c>
    </row>
    <row r="194" spans="1:32" x14ac:dyDescent="0.3">
      <c r="A194" s="46" t="s">
        <v>1</v>
      </c>
      <c r="B194" s="46" t="str">
        <f>IFERROR(VLOOKUP($H194,매장구분!$B:$Z,2,0),"")</f>
        <v>E-biz</v>
      </c>
      <c r="C194" s="46" t="str">
        <f>IFERROR(VLOOKUP($H194,매장구분!$B:$Z,3,0),"")</f>
        <v>국내</v>
      </c>
      <c r="D194" s="46" t="str">
        <f>IFERROR(VLOOKUP($H194,매장구분!$B:$Z,5,0),"")</f>
        <v>온(제휴몰)</v>
      </c>
      <c r="E194" s="46" t="str">
        <f>IFERROR(VLOOKUP($H194,매장구분!$B:$Z,9,0),"")</f>
        <v>무신사(제휴몰)</v>
      </c>
      <c r="F194" s="58"/>
      <c r="G194" s="59" t="s">
        <v>183</v>
      </c>
      <c r="H194" s="60" t="s">
        <v>184</v>
      </c>
      <c r="I194" s="60" t="s">
        <v>169</v>
      </c>
      <c r="J194" s="60" t="s">
        <v>180</v>
      </c>
      <c r="K194" s="60" t="s">
        <v>170</v>
      </c>
      <c r="L194" s="60" t="s">
        <v>181</v>
      </c>
      <c r="M194" s="60" t="s">
        <v>181</v>
      </c>
      <c r="N194" s="60" t="s">
        <v>185</v>
      </c>
      <c r="O194" s="60">
        <v>216053900</v>
      </c>
      <c r="P194" s="60">
        <v>2853</v>
      </c>
      <c r="Q194" s="60">
        <v>0</v>
      </c>
      <c r="R194" s="60">
        <v>0</v>
      </c>
      <c r="S194" s="60">
        <v>0</v>
      </c>
      <c r="T194" s="60">
        <v>0</v>
      </c>
      <c r="U194" s="60">
        <v>0</v>
      </c>
      <c r="V194" s="60">
        <v>0</v>
      </c>
      <c r="W194" s="60">
        <v>0</v>
      </c>
      <c r="X194" s="60">
        <v>0</v>
      </c>
      <c r="Y194" s="61">
        <v>0</v>
      </c>
      <c r="Z194" s="60">
        <v>0</v>
      </c>
      <c r="AA194" s="60">
        <v>0</v>
      </c>
      <c r="AB194" s="60">
        <v>0</v>
      </c>
      <c r="AC194" s="60">
        <v>216053900</v>
      </c>
      <c r="AD194" s="62">
        <v>2853</v>
      </c>
      <c r="AF194" s="47">
        <f t="shared" si="2"/>
        <v>216053900</v>
      </c>
    </row>
    <row r="195" spans="1:32" x14ac:dyDescent="0.3">
      <c r="A195" s="46" t="s">
        <v>1</v>
      </c>
      <c r="B195" s="46" t="str">
        <f>IFERROR(VLOOKUP($H195,매장구분!$B:$Z,2,0),"")</f>
        <v>파트너채널팀</v>
      </c>
      <c r="C195" s="46" t="str">
        <f>IFERROR(VLOOKUP($H195,매장구분!$B:$Z,3,0),"")</f>
        <v>도매</v>
      </c>
      <c r="D195" s="46" t="str">
        <f>IFERROR(VLOOKUP($H195,매장구분!$B:$Z,5,0),"")</f>
        <v>도매</v>
      </c>
      <c r="E195" s="46" t="str">
        <f>IFERROR(VLOOKUP($H195,매장구분!$B:$Z,9,0),"")</f>
        <v>온라인완주</v>
      </c>
      <c r="F195" s="53"/>
      <c r="G195" s="54" t="s">
        <v>566</v>
      </c>
      <c r="H195" s="55" t="s">
        <v>567</v>
      </c>
      <c r="I195" s="55" t="s">
        <v>169</v>
      </c>
      <c r="J195" s="55" t="s">
        <v>180</v>
      </c>
      <c r="K195" s="55" t="s">
        <v>170</v>
      </c>
      <c r="L195" s="55" t="s">
        <v>568</v>
      </c>
      <c r="M195" s="55" t="s">
        <v>181</v>
      </c>
      <c r="N195" s="55" t="s">
        <v>568</v>
      </c>
      <c r="O195" s="55">
        <v>76939380</v>
      </c>
      <c r="P195" s="55">
        <v>1964</v>
      </c>
      <c r="Q195" s="55">
        <v>0</v>
      </c>
      <c r="R195" s="55">
        <v>0</v>
      </c>
      <c r="S195" s="55">
        <v>0</v>
      </c>
      <c r="T195" s="55">
        <v>0</v>
      </c>
      <c r="U195" s="55">
        <v>0</v>
      </c>
      <c r="V195" s="55">
        <v>0</v>
      </c>
      <c r="W195" s="55">
        <v>0</v>
      </c>
      <c r="X195" s="55">
        <v>0</v>
      </c>
      <c r="Y195" s="56">
        <v>0</v>
      </c>
      <c r="Z195" s="55">
        <v>0</v>
      </c>
      <c r="AA195" s="55">
        <v>0</v>
      </c>
      <c r="AB195" s="55">
        <v>0</v>
      </c>
      <c r="AC195" s="55">
        <v>76939380</v>
      </c>
      <c r="AD195" s="57">
        <v>1964</v>
      </c>
      <c r="AF195" s="47">
        <f t="shared" ref="AF195:AF258" si="3">IFERROR(AC195-Y195,"")</f>
        <v>76939380</v>
      </c>
    </row>
    <row r="196" spans="1:32" x14ac:dyDescent="0.3">
      <c r="A196" s="46" t="s">
        <v>1</v>
      </c>
      <c r="B196" s="46" t="str">
        <f>IFERROR(VLOOKUP($H196,매장구분!$B:$Z,2,0),"")</f>
        <v>E-biz</v>
      </c>
      <c r="C196" s="46" t="str">
        <f>IFERROR(VLOOKUP($H196,매장구분!$B:$Z,3,0),"")</f>
        <v>국내</v>
      </c>
      <c r="D196" s="46" t="str">
        <f>IFERROR(VLOOKUP($H196,매장구분!$B:$Z,5,0),"")</f>
        <v>온(자사몰)</v>
      </c>
      <c r="E196" s="46" t="str">
        <f>IFERROR(VLOOKUP($H196,매장구분!$B:$Z,9,0),"")</f>
        <v>온라인쇼핑몰</v>
      </c>
      <c r="F196" s="58"/>
      <c r="G196" s="59" t="s">
        <v>178</v>
      </c>
      <c r="H196" s="60" t="s">
        <v>179</v>
      </c>
      <c r="I196" s="60" t="s">
        <v>169</v>
      </c>
      <c r="J196" s="60" t="s">
        <v>180</v>
      </c>
      <c r="K196" s="60" t="s">
        <v>170</v>
      </c>
      <c r="L196" s="60" t="s">
        <v>181</v>
      </c>
      <c r="M196" s="60" t="s">
        <v>181</v>
      </c>
      <c r="N196" s="60" t="s">
        <v>182</v>
      </c>
      <c r="O196" s="60">
        <v>172246580</v>
      </c>
      <c r="P196" s="60">
        <v>1764</v>
      </c>
      <c r="Q196" s="60">
        <v>0</v>
      </c>
      <c r="R196" s="60">
        <v>0</v>
      </c>
      <c r="S196" s="60">
        <v>0</v>
      </c>
      <c r="T196" s="60">
        <v>0</v>
      </c>
      <c r="U196" s="60">
        <v>0</v>
      </c>
      <c r="V196" s="60">
        <v>0</v>
      </c>
      <c r="W196" s="60">
        <v>0</v>
      </c>
      <c r="X196" s="60">
        <v>0</v>
      </c>
      <c r="Y196" s="61">
        <v>0</v>
      </c>
      <c r="Z196" s="60">
        <v>0</v>
      </c>
      <c r="AA196" s="60">
        <v>0</v>
      </c>
      <c r="AB196" s="60">
        <v>0</v>
      </c>
      <c r="AC196" s="60">
        <v>172246580</v>
      </c>
      <c r="AD196" s="62">
        <v>1764</v>
      </c>
      <c r="AF196" s="47">
        <f t="shared" si="3"/>
        <v>172246580</v>
      </c>
    </row>
    <row r="197" spans="1:32" x14ac:dyDescent="0.3">
      <c r="A197" s="46" t="s">
        <v>1</v>
      </c>
      <c r="B197" s="46" t="str">
        <f>IFERROR(VLOOKUP($H197,매장구분!$B:$Z,2,0),"")</f>
        <v>파트너채널팀</v>
      </c>
      <c r="C197" s="46" t="str">
        <f>IFERROR(VLOOKUP($H197,매장구분!$B:$Z,3,0),"")</f>
        <v>국내</v>
      </c>
      <c r="D197" s="46" t="str">
        <f>IFERROR(VLOOKUP($H197,매장구분!$B:$Z,5,0),"")</f>
        <v>백화점</v>
      </c>
      <c r="E197" s="46" t="str">
        <f>IFERROR(VLOOKUP($H197,매장구분!$B:$Z,9,0),"")</f>
        <v>롯데안산</v>
      </c>
      <c r="F197" s="53"/>
      <c r="G197" s="54" t="s">
        <v>200</v>
      </c>
      <c r="H197" s="55" t="s">
        <v>201</v>
      </c>
      <c r="I197" s="55" t="s">
        <v>169</v>
      </c>
      <c r="J197" s="55" t="s">
        <v>175</v>
      </c>
      <c r="K197" s="55" t="s">
        <v>170</v>
      </c>
      <c r="L197" s="55" t="s">
        <v>171</v>
      </c>
      <c r="M197" s="55" t="s">
        <v>77</v>
      </c>
      <c r="N197" s="55" t="s">
        <v>172</v>
      </c>
      <c r="O197" s="55">
        <v>11159000</v>
      </c>
      <c r="P197" s="55">
        <v>111</v>
      </c>
      <c r="Q197" s="55">
        <v>0</v>
      </c>
      <c r="R197" s="55">
        <v>0</v>
      </c>
      <c r="S197" s="55">
        <v>0</v>
      </c>
      <c r="T197" s="55">
        <v>0</v>
      </c>
      <c r="U197" s="55">
        <v>1080000</v>
      </c>
      <c r="V197" s="55">
        <v>7</v>
      </c>
      <c r="W197" s="55">
        <v>0</v>
      </c>
      <c r="X197" s="55">
        <v>0</v>
      </c>
      <c r="Y197" s="56">
        <v>19460000</v>
      </c>
      <c r="Z197" s="55">
        <v>140</v>
      </c>
      <c r="AA197" s="55">
        <v>0</v>
      </c>
      <c r="AB197" s="55">
        <v>0</v>
      </c>
      <c r="AC197" s="55">
        <v>31699000</v>
      </c>
      <c r="AD197" s="57">
        <v>258</v>
      </c>
      <c r="AF197" s="47">
        <f t="shared" si="3"/>
        <v>12239000</v>
      </c>
    </row>
    <row r="198" spans="1:32" x14ac:dyDescent="0.3">
      <c r="A198" s="46" t="s">
        <v>1</v>
      </c>
      <c r="B198" s="46" t="str">
        <f>IFERROR(VLOOKUP($H198,매장구분!$B:$Z,2,0),"")</f>
        <v>리테일채널팀</v>
      </c>
      <c r="C198" s="46" t="str">
        <f>IFERROR(VLOOKUP($H198,매장구분!$B:$Z,3,0),"")</f>
        <v>국내</v>
      </c>
      <c r="D198" s="46" t="str">
        <f>IFERROR(VLOOKUP($H198,매장구분!$B:$Z,5,0),"")</f>
        <v>직영점</v>
      </c>
      <c r="E198" s="46" t="str">
        <f>IFERROR(VLOOKUP($H198,매장구분!$B:$Z,9,0),"")</f>
        <v>타임스퀘어영등포(직)</v>
      </c>
      <c r="F198" s="58"/>
      <c r="G198" s="59" t="s">
        <v>186</v>
      </c>
      <c r="H198" s="60" t="s">
        <v>187</v>
      </c>
      <c r="I198" s="60" t="s">
        <v>169</v>
      </c>
      <c r="J198" s="60" t="s">
        <v>180</v>
      </c>
      <c r="K198" s="60" t="s">
        <v>170</v>
      </c>
      <c r="L198" s="60" t="s">
        <v>171</v>
      </c>
      <c r="M198" s="60" t="s">
        <v>188</v>
      </c>
      <c r="N198" s="60" t="s">
        <v>189</v>
      </c>
      <c r="O198" s="60">
        <v>23735200</v>
      </c>
      <c r="P198" s="60">
        <v>254</v>
      </c>
      <c r="Q198" s="60">
        <v>0</v>
      </c>
      <c r="R198" s="60">
        <v>0</v>
      </c>
      <c r="S198" s="60">
        <v>0</v>
      </c>
      <c r="T198" s="60">
        <v>0</v>
      </c>
      <c r="U198" s="60">
        <v>1183000</v>
      </c>
      <c r="V198" s="60">
        <v>7</v>
      </c>
      <c r="W198" s="60">
        <v>0</v>
      </c>
      <c r="X198" s="60">
        <v>0</v>
      </c>
      <c r="Y198" s="61">
        <v>0</v>
      </c>
      <c r="Z198" s="60">
        <v>0</v>
      </c>
      <c r="AA198" s="60">
        <v>0</v>
      </c>
      <c r="AB198" s="60">
        <v>0</v>
      </c>
      <c r="AC198" s="60">
        <v>24918200</v>
      </c>
      <c r="AD198" s="62">
        <v>261</v>
      </c>
      <c r="AF198" s="47">
        <f t="shared" si="3"/>
        <v>24918200</v>
      </c>
    </row>
    <row r="199" spans="1:32" x14ac:dyDescent="0.3">
      <c r="A199" s="46" t="s">
        <v>1</v>
      </c>
      <c r="B199" s="46" t="str">
        <f>IFERROR(VLOOKUP($H199,매장구분!$B:$Z,2,0),"")</f>
        <v>파트너채널팀</v>
      </c>
      <c r="C199" s="46" t="str">
        <f>IFERROR(VLOOKUP($H199,매장구분!$B:$Z,3,0),"")</f>
        <v>면세</v>
      </c>
      <c r="D199" s="46" t="str">
        <f>IFERROR(VLOOKUP($H199,매장구분!$B:$Z,5,0),"")</f>
        <v>면세</v>
      </c>
      <c r="E199" s="46" t="str">
        <f>IFERROR(VLOOKUP($H199,매장구분!$B:$Z,9,0),"")</f>
        <v>신세계면세명동</v>
      </c>
      <c r="F199" s="53"/>
      <c r="G199" s="54" t="s">
        <v>173</v>
      </c>
      <c r="H199" s="55" t="s">
        <v>174</v>
      </c>
      <c r="I199" s="55" t="s">
        <v>169</v>
      </c>
      <c r="J199" s="55" t="s">
        <v>175</v>
      </c>
      <c r="K199" s="55" t="s">
        <v>170</v>
      </c>
      <c r="L199" s="55" t="s">
        <v>171</v>
      </c>
      <c r="M199" s="55" t="s">
        <v>176</v>
      </c>
      <c r="N199" s="55" t="s">
        <v>177</v>
      </c>
      <c r="O199" s="55">
        <v>197088100</v>
      </c>
      <c r="P199" s="55">
        <v>2892</v>
      </c>
      <c r="Q199" s="55">
        <v>0</v>
      </c>
      <c r="R199" s="55">
        <v>0</v>
      </c>
      <c r="S199" s="55">
        <v>0</v>
      </c>
      <c r="T199" s="55">
        <v>0</v>
      </c>
      <c r="U199" s="55">
        <v>0</v>
      </c>
      <c r="V199" s="55">
        <v>0</v>
      </c>
      <c r="W199" s="55">
        <v>0</v>
      </c>
      <c r="X199" s="55">
        <v>0</v>
      </c>
      <c r="Y199" s="56">
        <v>79344000</v>
      </c>
      <c r="Z199" s="55">
        <v>1781</v>
      </c>
      <c r="AA199" s="55">
        <v>0</v>
      </c>
      <c r="AB199" s="55">
        <v>0</v>
      </c>
      <c r="AC199" s="55">
        <v>276432100</v>
      </c>
      <c r="AD199" s="57">
        <v>4673</v>
      </c>
      <c r="AF199" s="47">
        <f t="shared" si="3"/>
        <v>197088100</v>
      </c>
    </row>
    <row r="200" spans="1:32" x14ac:dyDescent="0.3">
      <c r="A200" s="46" t="s">
        <v>1</v>
      </c>
      <c r="B200" s="46" t="str">
        <f>IFERROR(VLOOKUP($H200,매장구분!$B:$Z,2,0),"")</f>
        <v>리테일채널팀</v>
      </c>
      <c r="C200" s="46" t="str">
        <f>IFERROR(VLOOKUP($H200,매장구분!$B:$Z,3,0),"")</f>
        <v>국내</v>
      </c>
      <c r="D200" s="46" t="str">
        <f>IFERROR(VLOOKUP($H200,매장구분!$B:$Z,5,0),"")</f>
        <v>대리점</v>
      </c>
      <c r="E200" s="46" t="str">
        <f>IFERROR(VLOOKUP($H200,매장구분!$B:$Z,9,0),"")</f>
        <v>인천(대-위)</v>
      </c>
      <c r="F200" s="58"/>
      <c r="G200" s="59" t="s">
        <v>215</v>
      </c>
      <c r="H200" s="60" t="s">
        <v>216</v>
      </c>
      <c r="I200" s="60" t="s">
        <v>169</v>
      </c>
      <c r="J200" s="60" t="s">
        <v>79</v>
      </c>
      <c r="K200" s="60" t="s">
        <v>170</v>
      </c>
      <c r="L200" s="60" t="s">
        <v>171</v>
      </c>
      <c r="M200" s="60" t="s">
        <v>196</v>
      </c>
      <c r="N200" s="60" t="s">
        <v>197</v>
      </c>
      <c r="O200" s="60">
        <v>5567500</v>
      </c>
      <c r="P200" s="60">
        <v>55</v>
      </c>
      <c r="Q200" s="60">
        <v>0</v>
      </c>
      <c r="R200" s="60">
        <v>0</v>
      </c>
      <c r="S200" s="60">
        <v>0</v>
      </c>
      <c r="T200" s="60">
        <v>0</v>
      </c>
      <c r="U200" s="60">
        <v>599000</v>
      </c>
      <c r="V200" s="60">
        <v>11</v>
      </c>
      <c r="W200" s="60">
        <v>0</v>
      </c>
      <c r="X200" s="60">
        <v>0</v>
      </c>
      <c r="Y200" s="61">
        <v>0</v>
      </c>
      <c r="Z200" s="60">
        <v>0</v>
      </c>
      <c r="AA200" s="60">
        <v>0</v>
      </c>
      <c r="AB200" s="60">
        <v>0</v>
      </c>
      <c r="AC200" s="60">
        <v>6166500</v>
      </c>
      <c r="AD200" s="62">
        <v>66</v>
      </c>
      <c r="AF200" s="47">
        <f t="shared" si="3"/>
        <v>6166500</v>
      </c>
    </row>
    <row r="201" spans="1:32" x14ac:dyDescent="0.3">
      <c r="A201" s="46" t="s">
        <v>1</v>
      </c>
      <c r="B201" s="46" t="str">
        <f>IFERROR(VLOOKUP($H201,매장구분!$B:$Z,2,0),"")</f>
        <v>파트너채널팀</v>
      </c>
      <c r="C201" s="46" t="str">
        <f>IFERROR(VLOOKUP($H201,매장구분!$B:$Z,3,0),"")</f>
        <v>국내</v>
      </c>
      <c r="D201" s="46" t="str">
        <f>IFERROR(VLOOKUP($H201,매장구분!$B:$Z,5,0),"")</f>
        <v>백화점</v>
      </c>
      <c r="E201" s="46" t="str">
        <f>IFERROR(VLOOKUP($H201,매장구분!$B:$Z,9,0),"")</f>
        <v>신세계대구</v>
      </c>
      <c r="F201" s="53"/>
      <c r="G201" s="54" t="s">
        <v>192</v>
      </c>
      <c r="H201" s="55" t="s">
        <v>193</v>
      </c>
      <c r="I201" s="55" t="s">
        <v>169</v>
      </c>
      <c r="J201" s="55" t="s">
        <v>175</v>
      </c>
      <c r="K201" s="55" t="s">
        <v>170</v>
      </c>
      <c r="L201" s="55" t="s">
        <v>171</v>
      </c>
      <c r="M201" s="55" t="s">
        <v>77</v>
      </c>
      <c r="N201" s="55" t="s">
        <v>172</v>
      </c>
      <c r="O201" s="55">
        <v>25320900</v>
      </c>
      <c r="P201" s="55">
        <v>274</v>
      </c>
      <c r="Q201" s="55">
        <v>0</v>
      </c>
      <c r="R201" s="55">
        <v>0</v>
      </c>
      <c r="S201" s="55">
        <v>0</v>
      </c>
      <c r="T201" s="55">
        <v>0</v>
      </c>
      <c r="U201" s="55">
        <v>1222000</v>
      </c>
      <c r="V201" s="55">
        <v>8</v>
      </c>
      <c r="W201" s="55">
        <v>0</v>
      </c>
      <c r="X201" s="55">
        <v>0</v>
      </c>
      <c r="Y201" s="56">
        <v>1892000</v>
      </c>
      <c r="Z201" s="55">
        <v>44</v>
      </c>
      <c r="AA201" s="55">
        <v>0</v>
      </c>
      <c r="AB201" s="55">
        <v>0</v>
      </c>
      <c r="AC201" s="55">
        <v>28434900</v>
      </c>
      <c r="AD201" s="57">
        <v>326</v>
      </c>
      <c r="AF201" s="47">
        <f t="shared" si="3"/>
        <v>26542900</v>
      </c>
    </row>
    <row r="202" spans="1:32" x14ac:dyDescent="0.3">
      <c r="A202" s="46" t="s">
        <v>1</v>
      </c>
      <c r="B202" s="46" t="str">
        <f>IFERROR(VLOOKUP($H202,매장구분!$B:$Z,2,0),"")</f>
        <v>파트너채널팀</v>
      </c>
      <c r="C202" s="46" t="str">
        <f>IFERROR(VLOOKUP($H202,매장구분!$B:$Z,3,0),"")</f>
        <v>국내</v>
      </c>
      <c r="D202" s="46" t="str">
        <f>IFERROR(VLOOKUP($H202,매장구분!$B:$Z,5,0),"")</f>
        <v>백화점</v>
      </c>
      <c r="E202" s="46" t="str">
        <f>IFERROR(VLOOKUP($H202,매장구분!$B:$Z,9,0),"")</f>
        <v>롯데김포</v>
      </c>
      <c r="F202" s="53"/>
      <c r="G202" s="54" t="s">
        <v>190</v>
      </c>
      <c r="H202" s="55" t="s">
        <v>191</v>
      </c>
      <c r="I202" s="55" t="s">
        <v>169</v>
      </c>
      <c r="J202" s="55" t="s">
        <v>175</v>
      </c>
      <c r="K202" s="55" t="s">
        <v>170</v>
      </c>
      <c r="L202" s="55" t="s">
        <v>171</v>
      </c>
      <c r="M202" s="55" t="s">
        <v>77</v>
      </c>
      <c r="N202" s="55" t="s">
        <v>172</v>
      </c>
      <c r="O202" s="55">
        <v>14582600</v>
      </c>
      <c r="P202" s="55">
        <v>186</v>
      </c>
      <c r="Q202" s="55">
        <v>0</v>
      </c>
      <c r="R202" s="55">
        <v>0</v>
      </c>
      <c r="S202" s="55">
        <v>0</v>
      </c>
      <c r="T202" s="55">
        <v>0</v>
      </c>
      <c r="U202" s="55">
        <v>1153000</v>
      </c>
      <c r="V202" s="55">
        <v>7</v>
      </c>
      <c r="W202" s="55">
        <v>0</v>
      </c>
      <c r="X202" s="55">
        <v>0</v>
      </c>
      <c r="Y202" s="63">
        <v>0</v>
      </c>
      <c r="Z202" s="55">
        <v>0</v>
      </c>
      <c r="AA202" s="55">
        <v>0</v>
      </c>
      <c r="AB202" s="55">
        <v>0</v>
      </c>
      <c r="AC202" s="55">
        <v>15735600</v>
      </c>
      <c r="AD202" s="57">
        <v>193</v>
      </c>
      <c r="AF202" s="47">
        <f t="shared" si="3"/>
        <v>15735600</v>
      </c>
    </row>
    <row r="203" spans="1:32" x14ac:dyDescent="0.3">
      <c r="A203" s="46" t="s">
        <v>1</v>
      </c>
      <c r="B203" s="46" t="str">
        <f>IFERROR(VLOOKUP($H203,매장구분!$B:$Z,2,0),"")</f>
        <v>리테일채널팀</v>
      </c>
      <c r="C203" s="46" t="str">
        <f>IFERROR(VLOOKUP($H203,매장구분!$B:$Z,3,0),"")</f>
        <v>국내</v>
      </c>
      <c r="D203" s="46" t="str">
        <f>IFERROR(VLOOKUP($H203,매장구분!$B:$Z,5,0),"")</f>
        <v>직영점</v>
      </c>
      <c r="E203" s="46" t="str">
        <f>IFERROR(VLOOKUP($H203,매장구분!$B:$Z,9,0),"")</f>
        <v>동성로</v>
      </c>
      <c r="F203" s="58"/>
      <c r="G203" s="59" t="s">
        <v>204</v>
      </c>
      <c r="H203" s="60" t="s">
        <v>205</v>
      </c>
      <c r="I203" s="60" t="s">
        <v>169</v>
      </c>
      <c r="J203" s="60" t="s">
        <v>180</v>
      </c>
      <c r="K203" s="60" t="s">
        <v>170</v>
      </c>
      <c r="L203" s="60" t="s">
        <v>171</v>
      </c>
      <c r="M203" s="60" t="s">
        <v>196</v>
      </c>
      <c r="N203" s="60" t="s">
        <v>206</v>
      </c>
      <c r="O203" s="60">
        <v>11031000</v>
      </c>
      <c r="P203" s="60">
        <v>142</v>
      </c>
      <c r="Q203" s="60">
        <v>0</v>
      </c>
      <c r="R203" s="60">
        <v>0</v>
      </c>
      <c r="S203" s="60">
        <v>0</v>
      </c>
      <c r="T203" s="60">
        <v>0</v>
      </c>
      <c r="U203" s="60">
        <v>1372000</v>
      </c>
      <c r="V203" s="60">
        <v>8</v>
      </c>
      <c r="W203" s="60">
        <v>0</v>
      </c>
      <c r="X203" s="60">
        <v>0</v>
      </c>
      <c r="Y203" s="64">
        <v>0</v>
      </c>
      <c r="Z203" s="60">
        <v>0</v>
      </c>
      <c r="AA203" s="60">
        <v>0</v>
      </c>
      <c r="AB203" s="60">
        <v>0</v>
      </c>
      <c r="AC203" s="60">
        <v>12403000</v>
      </c>
      <c r="AD203" s="62">
        <v>150</v>
      </c>
      <c r="AF203" s="47">
        <f t="shared" si="3"/>
        <v>12403000</v>
      </c>
    </row>
    <row r="204" spans="1:32" x14ac:dyDescent="0.3">
      <c r="A204" s="46" t="s">
        <v>1</v>
      </c>
      <c r="B204" s="46" t="str">
        <f>IFERROR(VLOOKUP($H204,매장구분!$B:$Z,2,0),"")</f>
        <v>E-biz</v>
      </c>
      <c r="C204" s="46" t="str">
        <f>IFERROR(VLOOKUP($H204,매장구분!$B:$Z,3,0),"")</f>
        <v>국내</v>
      </c>
      <c r="D204" s="46" t="str">
        <f>IFERROR(VLOOKUP($H204,매장구분!$B:$Z,5,0),"")</f>
        <v>온(제휴몰)</v>
      </c>
      <c r="E204" s="46" t="str">
        <f>IFERROR(VLOOKUP($H204,매장구분!$B:$Z,9,0),"")</f>
        <v>MLB 쇼피파이 글로벌</v>
      </c>
      <c r="F204" s="53"/>
      <c r="G204" s="54" t="s">
        <v>569</v>
      </c>
      <c r="H204" s="55" t="s">
        <v>570</v>
      </c>
      <c r="I204" s="55" t="s">
        <v>169</v>
      </c>
      <c r="J204" s="55" t="s">
        <v>180</v>
      </c>
      <c r="K204" s="55" t="s">
        <v>170</v>
      </c>
      <c r="L204" s="55" t="s">
        <v>181</v>
      </c>
      <c r="M204" s="55" t="s">
        <v>181</v>
      </c>
      <c r="N204" s="55" t="s">
        <v>182</v>
      </c>
      <c r="O204" s="55">
        <v>1865858</v>
      </c>
      <c r="P204" s="55">
        <v>25</v>
      </c>
      <c r="Q204" s="55">
        <v>0</v>
      </c>
      <c r="R204" s="55">
        <v>0</v>
      </c>
      <c r="S204" s="55">
        <v>0</v>
      </c>
      <c r="T204" s="55">
        <v>0</v>
      </c>
      <c r="U204" s="55">
        <v>0</v>
      </c>
      <c r="V204" s="55">
        <v>0</v>
      </c>
      <c r="W204" s="55">
        <v>0</v>
      </c>
      <c r="X204" s="55">
        <v>0</v>
      </c>
      <c r="Y204" s="63">
        <v>0</v>
      </c>
      <c r="Z204" s="55">
        <v>0</v>
      </c>
      <c r="AA204" s="55">
        <v>0</v>
      </c>
      <c r="AB204" s="55">
        <v>0</v>
      </c>
      <c r="AC204" s="55">
        <v>1865858</v>
      </c>
      <c r="AD204" s="57">
        <v>25</v>
      </c>
      <c r="AF204" s="47">
        <f t="shared" si="3"/>
        <v>1865858</v>
      </c>
    </row>
    <row r="205" spans="1:32" x14ac:dyDescent="0.3">
      <c r="A205" s="46" t="s">
        <v>1</v>
      </c>
      <c r="B205" s="46" t="str">
        <f>IFERROR(VLOOKUP($H205,매장구분!$B:$Z,2,0),"")</f>
        <v>파트너채널팀</v>
      </c>
      <c r="C205" s="46" t="str">
        <f>IFERROR(VLOOKUP($H205,매장구분!$B:$Z,3,0),"")</f>
        <v>국내</v>
      </c>
      <c r="D205" s="46" t="str">
        <f>IFERROR(VLOOKUP($H205,매장구분!$B:$Z,5,0),"")</f>
        <v>백화점</v>
      </c>
      <c r="E205" s="46" t="str">
        <f>IFERROR(VLOOKUP($H205,매장구분!$B:$Z,9,0),"")</f>
        <v>롯데영등포</v>
      </c>
      <c r="F205" s="58"/>
      <c r="G205" s="59" t="s">
        <v>202</v>
      </c>
      <c r="H205" s="60" t="s">
        <v>203</v>
      </c>
      <c r="I205" s="60" t="s">
        <v>169</v>
      </c>
      <c r="J205" s="60" t="s">
        <v>175</v>
      </c>
      <c r="K205" s="60" t="s">
        <v>170</v>
      </c>
      <c r="L205" s="60" t="s">
        <v>171</v>
      </c>
      <c r="M205" s="60" t="s">
        <v>77</v>
      </c>
      <c r="N205" s="60" t="s">
        <v>172</v>
      </c>
      <c r="O205" s="60">
        <v>18861090</v>
      </c>
      <c r="P205" s="60">
        <v>140</v>
      </c>
      <c r="Q205" s="60">
        <v>1885600</v>
      </c>
      <c r="R205" s="60">
        <v>28</v>
      </c>
      <c r="S205" s="60">
        <v>0</v>
      </c>
      <c r="T205" s="60">
        <v>0</v>
      </c>
      <c r="U205" s="60">
        <v>3013210</v>
      </c>
      <c r="V205" s="60">
        <v>8</v>
      </c>
      <c r="W205" s="60">
        <v>0</v>
      </c>
      <c r="X205" s="60">
        <v>0</v>
      </c>
      <c r="Y205" s="64">
        <v>0</v>
      </c>
      <c r="Z205" s="60">
        <v>0</v>
      </c>
      <c r="AA205" s="60">
        <v>0</v>
      </c>
      <c r="AB205" s="60">
        <v>0</v>
      </c>
      <c r="AC205" s="60">
        <v>23759900</v>
      </c>
      <c r="AD205" s="62">
        <v>176</v>
      </c>
      <c r="AF205" s="47">
        <f t="shared" si="3"/>
        <v>23759900</v>
      </c>
    </row>
    <row r="206" spans="1:32" x14ac:dyDescent="0.3">
      <c r="A206" s="46" t="s">
        <v>1</v>
      </c>
      <c r="B206" s="46" t="str">
        <f>IFERROR(VLOOKUP($H206,매장구분!$B:$Z,2,0),"")</f>
        <v>파트너채널팀</v>
      </c>
      <c r="C206" s="46" t="str">
        <f>IFERROR(VLOOKUP($H206,매장구분!$B:$Z,3,0),"")</f>
        <v>면세</v>
      </c>
      <c r="D206" s="46" t="str">
        <f>IFERROR(VLOOKUP($H206,매장구분!$B:$Z,5,0),"")</f>
        <v>면세</v>
      </c>
      <c r="E206" s="46" t="str">
        <f>IFERROR(VLOOKUP($H206,매장구분!$B:$Z,9,0),"")</f>
        <v>롯데면세월드</v>
      </c>
      <c r="F206" s="53"/>
      <c r="G206" s="54" t="s">
        <v>213</v>
      </c>
      <c r="H206" s="55" t="s">
        <v>214</v>
      </c>
      <c r="I206" s="55" t="s">
        <v>169</v>
      </c>
      <c r="J206" s="55" t="s">
        <v>175</v>
      </c>
      <c r="K206" s="55" t="s">
        <v>170</v>
      </c>
      <c r="L206" s="55" t="s">
        <v>171</v>
      </c>
      <c r="M206" s="55" t="s">
        <v>176</v>
      </c>
      <c r="N206" s="55" t="s">
        <v>177</v>
      </c>
      <c r="O206" s="55">
        <v>4841000</v>
      </c>
      <c r="P206" s="55">
        <v>47</v>
      </c>
      <c r="Q206" s="55">
        <v>0</v>
      </c>
      <c r="R206" s="55">
        <v>0</v>
      </c>
      <c r="S206" s="55">
        <v>0</v>
      </c>
      <c r="T206" s="55">
        <v>0</v>
      </c>
      <c r="U206" s="55">
        <v>0</v>
      </c>
      <c r="V206" s="55">
        <v>0</v>
      </c>
      <c r="W206" s="55">
        <v>0</v>
      </c>
      <c r="X206" s="55">
        <v>0</v>
      </c>
      <c r="Y206" s="63">
        <v>103213300</v>
      </c>
      <c r="Z206" s="55">
        <v>1785</v>
      </c>
      <c r="AA206" s="55">
        <v>0</v>
      </c>
      <c r="AB206" s="55">
        <v>0</v>
      </c>
      <c r="AC206" s="55">
        <v>108054300</v>
      </c>
      <c r="AD206" s="57">
        <v>1832</v>
      </c>
      <c r="AF206" s="47">
        <f t="shared" si="3"/>
        <v>4841000</v>
      </c>
    </row>
    <row r="207" spans="1:32" x14ac:dyDescent="0.3">
      <c r="A207" s="46" t="s">
        <v>1</v>
      </c>
      <c r="B207" s="46" t="str">
        <f>IFERROR(VLOOKUP($H207,매장구분!$B:$Z,2,0),"")</f>
        <v>E-biz</v>
      </c>
      <c r="C207" s="46" t="str">
        <f>IFERROR(VLOOKUP($H207,매장구분!$B:$Z,3,0),"")</f>
        <v>국내</v>
      </c>
      <c r="D207" s="46" t="str">
        <f>IFERROR(VLOOKUP($H207,매장구분!$B:$Z,5,0),"")</f>
        <v>온(제휴몰)</v>
      </c>
      <c r="E207" s="46" t="str">
        <f>IFERROR(VLOOKUP($H207,매장구분!$B:$Z,9,0),"")</f>
        <v>카카오선물하기(제휴몰)</v>
      </c>
      <c r="F207" s="58"/>
      <c r="G207" s="59" t="s">
        <v>209</v>
      </c>
      <c r="H207" s="60" t="s">
        <v>210</v>
      </c>
      <c r="I207" s="60" t="s">
        <v>169</v>
      </c>
      <c r="J207" s="60" t="s">
        <v>180</v>
      </c>
      <c r="K207" s="60" t="s">
        <v>170</v>
      </c>
      <c r="L207" s="60" t="s">
        <v>181</v>
      </c>
      <c r="M207" s="60" t="s">
        <v>181</v>
      </c>
      <c r="N207" s="60" t="s">
        <v>185</v>
      </c>
      <c r="O207" s="60">
        <v>37425400</v>
      </c>
      <c r="P207" s="60">
        <v>977</v>
      </c>
      <c r="Q207" s="60">
        <v>0</v>
      </c>
      <c r="R207" s="60">
        <v>0</v>
      </c>
      <c r="S207" s="60">
        <v>0</v>
      </c>
      <c r="T207" s="60">
        <v>0</v>
      </c>
      <c r="U207" s="60">
        <v>0</v>
      </c>
      <c r="V207" s="60">
        <v>0</v>
      </c>
      <c r="W207" s="60">
        <v>0</v>
      </c>
      <c r="X207" s="60">
        <v>0</v>
      </c>
      <c r="Y207" s="64">
        <v>0</v>
      </c>
      <c r="Z207" s="60">
        <v>0</v>
      </c>
      <c r="AA207" s="60">
        <v>0</v>
      </c>
      <c r="AB207" s="60">
        <v>0</v>
      </c>
      <c r="AC207" s="60">
        <v>37425400</v>
      </c>
      <c r="AD207" s="62">
        <v>977</v>
      </c>
      <c r="AF207" s="47">
        <f t="shared" si="3"/>
        <v>37425400</v>
      </c>
    </row>
    <row r="208" spans="1:32" x14ac:dyDescent="0.3">
      <c r="A208" s="46" t="s">
        <v>1</v>
      </c>
      <c r="B208" s="46" t="str">
        <f>IFERROR(VLOOKUP($H208,매장구분!$B:$Z,2,0),"")</f>
        <v>리테일채널팀</v>
      </c>
      <c r="C208" s="46" t="str">
        <f>IFERROR(VLOOKUP($H208,매장구분!$B:$Z,3,0),"")</f>
        <v>국내</v>
      </c>
      <c r="D208" s="46" t="str">
        <f>IFERROR(VLOOKUP($H208,매장구분!$B:$Z,5,0),"")</f>
        <v>대리점</v>
      </c>
      <c r="E208" s="46" t="str">
        <f>IFERROR(VLOOKUP($H208,매장구분!$B:$Z,9,0),"")</f>
        <v>여수(대-위)</v>
      </c>
      <c r="F208" s="53"/>
      <c r="G208" s="54" t="s">
        <v>198</v>
      </c>
      <c r="H208" s="55" t="s">
        <v>199</v>
      </c>
      <c r="I208" s="55" t="s">
        <v>169</v>
      </c>
      <c r="J208" s="55" t="s">
        <v>79</v>
      </c>
      <c r="K208" s="55" t="s">
        <v>170</v>
      </c>
      <c r="L208" s="55" t="s">
        <v>171</v>
      </c>
      <c r="M208" s="55" t="s">
        <v>196</v>
      </c>
      <c r="N208" s="55" t="s">
        <v>197</v>
      </c>
      <c r="O208" s="55">
        <v>11688100</v>
      </c>
      <c r="P208" s="55">
        <v>109</v>
      </c>
      <c r="Q208" s="55">
        <v>0</v>
      </c>
      <c r="R208" s="55">
        <v>0</v>
      </c>
      <c r="S208" s="55">
        <v>0</v>
      </c>
      <c r="T208" s="55">
        <v>0</v>
      </c>
      <c r="U208" s="55">
        <v>574000</v>
      </c>
      <c r="V208" s="55">
        <v>5</v>
      </c>
      <c r="W208" s="55">
        <v>0</v>
      </c>
      <c r="X208" s="55">
        <v>0</v>
      </c>
      <c r="Y208" s="63">
        <v>0</v>
      </c>
      <c r="Z208" s="55">
        <v>0</v>
      </c>
      <c r="AA208" s="55">
        <v>0</v>
      </c>
      <c r="AB208" s="55">
        <v>0</v>
      </c>
      <c r="AC208" s="55">
        <v>12262100</v>
      </c>
      <c r="AD208" s="57">
        <v>114</v>
      </c>
      <c r="AF208" s="47">
        <f t="shared" si="3"/>
        <v>12262100</v>
      </c>
    </row>
    <row r="209" spans="1:32" x14ac:dyDescent="0.3">
      <c r="A209" s="46" t="s">
        <v>1</v>
      </c>
      <c r="B209" s="46" t="str">
        <f>IFERROR(VLOOKUP($H209,매장구분!$B:$Z,2,0),"")</f>
        <v>리테일채널팀</v>
      </c>
      <c r="C209" s="46" t="str">
        <f>IFERROR(VLOOKUP($H209,매장구분!$B:$Z,3,0),"")</f>
        <v>국내</v>
      </c>
      <c r="D209" s="46" t="str">
        <f>IFERROR(VLOOKUP($H209,매장구분!$B:$Z,5,0),"")</f>
        <v>대리점</v>
      </c>
      <c r="E209" s="46" t="str">
        <f>IFERROR(VLOOKUP($H209,매장구분!$B:$Z,9,0),"")</f>
        <v>보령(대-위)</v>
      </c>
      <c r="F209" s="58"/>
      <c r="G209" s="59" t="s">
        <v>211</v>
      </c>
      <c r="H209" s="60" t="s">
        <v>212</v>
      </c>
      <c r="I209" s="60" t="s">
        <v>169</v>
      </c>
      <c r="J209" s="60" t="s">
        <v>79</v>
      </c>
      <c r="K209" s="60" t="s">
        <v>170</v>
      </c>
      <c r="L209" s="60" t="s">
        <v>171</v>
      </c>
      <c r="M209" s="60" t="s">
        <v>196</v>
      </c>
      <c r="N209" s="60" t="s">
        <v>197</v>
      </c>
      <c r="O209" s="60">
        <v>7085178</v>
      </c>
      <c r="P209" s="60">
        <v>74</v>
      </c>
      <c r="Q209" s="60">
        <v>0</v>
      </c>
      <c r="R209" s="60">
        <v>0</v>
      </c>
      <c r="S209" s="60">
        <v>0</v>
      </c>
      <c r="T209" s="60">
        <v>0</v>
      </c>
      <c r="U209" s="60">
        <v>1398422</v>
      </c>
      <c r="V209" s="60">
        <v>9</v>
      </c>
      <c r="W209" s="60">
        <v>0</v>
      </c>
      <c r="X209" s="60">
        <v>0</v>
      </c>
      <c r="Y209" s="64">
        <v>0</v>
      </c>
      <c r="Z209" s="60">
        <v>0</v>
      </c>
      <c r="AA209" s="60">
        <v>0</v>
      </c>
      <c r="AB209" s="60">
        <v>0</v>
      </c>
      <c r="AC209" s="60">
        <v>8483600</v>
      </c>
      <c r="AD209" s="62">
        <v>83</v>
      </c>
      <c r="AF209" s="47">
        <f t="shared" si="3"/>
        <v>8483600</v>
      </c>
    </row>
    <row r="210" spans="1:32" x14ac:dyDescent="0.3">
      <c r="A210" s="46" t="s">
        <v>1</v>
      </c>
      <c r="B210" s="46" t="str">
        <f>IFERROR(VLOOKUP($H210,매장구분!$B:$Z,2,0),"")</f>
        <v>리테일채널팀</v>
      </c>
      <c r="C210" s="46" t="str">
        <f>IFERROR(VLOOKUP($H210,매장구분!$B:$Z,3,0),"")</f>
        <v>국내</v>
      </c>
      <c r="D210" s="46" t="str">
        <f>IFERROR(VLOOKUP($H210,매장구분!$B:$Z,5,0),"")</f>
        <v>대리점</v>
      </c>
      <c r="E210" s="46" t="str">
        <f>IFERROR(VLOOKUP($H210,매장구분!$B:$Z,9,0),"")</f>
        <v>아산(대-위)</v>
      </c>
      <c r="F210" s="53"/>
      <c r="G210" s="54" t="s">
        <v>194</v>
      </c>
      <c r="H210" s="55" t="s">
        <v>195</v>
      </c>
      <c r="I210" s="55" t="s">
        <v>169</v>
      </c>
      <c r="J210" s="55" t="s">
        <v>79</v>
      </c>
      <c r="K210" s="55" t="s">
        <v>170</v>
      </c>
      <c r="L210" s="55" t="s">
        <v>171</v>
      </c>
      <c r="M210" s="55" t="s">
        <v>196</v>
      </c>
      <c r="N210" s="55" t="s">
        <v>197</v>
      </c>
      <c r="O210" s="55">
        <v>12771232</v>
      </c>
      <c r="P210" s="55">
        <v>109</v>
      </c>
      <c r="Q210" s="55">
        <v>0</v>
      </c>
      <c r="R210" s="55">
        <v>0</v>
      </c>
      <c r="S210" s="55">
        <v>0</v>
      </c>
      <c r="T210" s="55">
        <v>0</v>
      </c>
      <c r="U210" s="55">
        <v>1939568</v>
      </c>
      <c r="V210" s="55">
        <v>15</v>
      </c>
      <c r="W210" s="55">
        <v>0</v>
      </c>
      <c r="X210" s="55">
        <v>0</v>
      </c>
      <c r="Y210" s="63">
        <v>0</v>
      </c>
      <c r="Z210" s="55">
        <v>0</v>
      </c>
      <c r="AA210" s="55">
        <v>0</v>
      </c>
      <c r="AB210" s="55">
        <v>0</v>
      </c>
      <c r="AC210" s="55">
        <v>14710800</v>
      </c>
      <c r="AD210" s="57">
        <v>124</v>
      </c>
      <c r="AF210" s="47">
        <f t="shared" si="3"/>
        <v>14710800</v>
      </c>
    </row>
    <row r="211" spans="1:32" x14ac:dyDescent="0.3">
      <c r="A211" s="46" t="s">
        <v>1</v>
      </c>
      <c r="B211" s="46" t="str">
        <f>IFERROR(VLOOKUP($H211,매장구분!$B:$Z,2,0),"")</f>
        <v>리테일채널팀</v>
      </c>
      <c r="C211" s="46" t="str">
        <f>IFERROR(VLOOKUP($H211,매장구분!$B:$Z,3,0),"")</f>
        <v>국내</v>
      </c>
      <c r="D211" s="46" t="str">
        <f>IFERROR(VLOOKUP($H211,매장구분!$B:$Z,5,0),"")</f>
        <v>상설(위탁)</v>
      </c>
      <c r="E211" s="46" t="str">
        <f>IFERROR(VLOOKUP($H211,매장구분!$B:$Z,9,0),"")</f>
        <v>롯데아울렛파주(상-위)</v>
      </c>
      <c r="F211" s="58"/>
      <c r="G211" s="59" t="s">
        <v>217</v>
      </c>
      <c r="H211" s="60" t="s">
        <v>218</v>
      </c>
      <c r="I211" s="60" t="s">
        <v>169</v>
      </c>
      <c r="J211" s="60" t="s">
        <v>79</v>
      </c>
      <c r="K211" s="60" t="s">
        <v>170</v>
      </c>
      <c r="L211" s="60" t="s">
        <v>171</v>
      </c>
      <c r="M211" s="60" t="s">
        <v>219</v>
      </c>
      <c r="N211" s="60" t="s">
        <v>219</v>
      </c>
      <c r="O211" s="60">
        <v>4576000</v>
      </c>
      <c r="P211" s="60">
        <v>93</v>
      </c>
      <c r="Q211" s="60">
        <v>0</v>
      </c>
      <c r="R211" s="60">
        <v>0</v>
      </c>
      <c r="S211" s="60">
        <v>0</v>
      </c>
      <c r="T211" s="60">
        <v>0</v>
      </c>
      <c r="U211" s="60">
        <v>0</v>
      </c>
      <c r="V211" s="60">
        <v>0</v>
      </c>
      <c r="W211" s="60">
        <v>0</v>
      </c>
      <c r="X211" s="60">
        <v>0</v>
      </c>
      <c r="Y211" s="64">
        <v>0</v>
      </c>
      <c r="Z211" s="60">
        <v>0</v>
      </c>
      <c r="AA211" s="60">
        <v>0</v>
      </c>
      <c r="AB211" s="60">
        <v>0</v>
      </c>
      <c r="AC211" s="60">
        <v>4576000</v>
      </c>
      <c r="AD211" s="62">
        <v>93</v>
      </c>
      <c r="AF211" s="47">
        <f t="shared" si="3"/>
        <v>4576000</v>
      </c>
    </row>
    <row r="212" spans="1:32" x14ac:dyDescent="0.3">
      <c r="A212" s="46" t="s">
        <v>1</v>
      </c>
      <c r="B212" s="46" t="str">
        <f>IFERROR(VLOOKUP($H212,매장구분!$B:$Z,2,0),"")</f>
        <v>리테일채널팀</v>
      </c>
      <c r="C212" s="46" t="str">
        <f>IFERROR(VLOOKUP($H212,매장구분!$B:$Z,3,0),"")</f>
        <v>국내</v>
      </c>
      <c r="D212" s="46" t="str">
        <f>IFERROR(VLOOKUP($H212,매장구분!$B:$Z,5,0),"")</f>
        <v>상설(위탁)</v>
      </c>
      <c r="E212" s="46" t="str">
        <f>IFERROR(VLOOKUP($H212,매장구분!$B:$Z,9,0),"")</f>
        <v>롯데아울렛봉무(상-위)</v>
      </c>
      <c r="F212" s="53"/>
      <c r="G212" s="54" t="s">
        <v>220</v>
      </c>
      <c r="H212" s="55" t="s">
        <v>221</v>
      </c>
      <c r="I212" s="55" t="s">
        <v>169</v>
      </c>
      <c r="J212" s="55" t="s">
        <v>79</v>
      </c>
      <c r="K212" s="55" t="s">
        <v>170</v>
      </c>
      <c r="L212" s="55" t="s">
        <v>171</v>
      </c>
      <c r="M212" s="55" t="s">
        <v>219</v>
      </c>
      <c r="N212" s="55" t="s">
        <v>219</v>
      </c>
      <c r="O212" s="55">
        <v>3519000</v>
      </c>
      <c r="P212" s="55">
        <v>97</v>
      </c>
      <c r="Q212" s="55">
        <v>0</v>
      </c>
      <c r="R212" s="55">
        <v>0</v>
      </c>
      <c r="S212" s="55">
        <v>0</v>
      </c>
      <c r="T212" s="55">
        <v>0</v>
      </c>
      <c r="U212" s="55">
        <v>0</v>
      </c>
      <c r="V212" s="55">
        <v>0</v>
      </c>
      <c r="W212" s="55">
        <v>0</v>
      </c>
      <c r="X212" s="55">
        <v>0</v>
      </c>
      <c r="Y212" s="63">
        <v>0</v>
      </c>
      <c r="Z212" s="55">
        <v>0</v>
      </c>
      <c r="AA212" s="55">
        <v>0</v>
      </c>
      <c r="AB212" s="55">
        <v>0</v>
      </c>
      <c r="AC212" s="55">
        <v>3519000</v>
      </c>
      <c r="AD212" s="57">
        <v>97</v>
      </c>
      <c r="AF212" s="47">
        <f t="shared" si="3"/>
        <v>3519000</v>
      </c>
    </row>
    <row r="213" spans="1:32" x14ac:dyDescent="0.3">
      <c r="A213" s="46" t="s">
        <v>1</v>
      </c>
      <c r="B213" s="46" t="str">
        <f>IFERROR(VLOOKUP($H213,매장구분!$B:$Z,2,0),"")</f>
        <v>리테일채널팀</v>
      </c>
      <c r="C213" s="46" t="str">
        <f>IFERROR(VLOOKUP($H213,매장구분!$B:$Z,3,0),"")</f>
        <v>국내</v>
      </c>
      <c r="D213" s="46" t="str">
        <f>IFERROR(VLOOKUP($H213,매장구분!$B:$Z,5,0),"")</f>
        <v>상설(위탁)</v>
      </c>
      <c r="E213" s="46" t="str">
        <f>IFERROR(VLOOKUP($H213,매장구분!$B:$Z,9,0),"")</f>
        <v>LF스퀘어광양(상-위)</v>
      </c>
      <c r="F213" s="58"/>
      <c r="G213" s="59" t="s">
        <v>167</v>
      </c>
      <c r="H213" s="60" t="s">
        <v>168</v>
      </c>
      <c r="I213" s="60" t="s">
        <v>169</v>
      </c>
      <c r="J213" s="60" t="s">
        <v>79</v>
      </c>
      <c r="K213" s="60" t="s">
        <v>170</v>
      </c>
      <c r="L213" s="60" t="s">
        <v>171</v>
      </c>
      <c r="M213" s="60" t="s">
        <v>77</v>
      </c>
      <c r="N213" s="60" t="s">
        <v>172</v>
      </c>
      <c r="O213" s="60">
        <v>1662000</v>
      </c>
      <c r="P213" s="60">
        <v>46</v>
      </c>
      <c r="Q213" s="60">
        <v>0</v>
      </c>
      <c r="R213" s="60">
        <v>0</v>
      </c>
      <c r="S213" s="60">
        <v>0</v>
      </c>
      <c r="T213" s="60">
        <v>0</v>
      </c>
      <c r="U213" s="60">
        <v>0</v>
      </c>
      <c r="V213" s="60">
        <v>0</v>
      </c>
      <c r="W213" s="60">
        <v>0</v>
      </c>
      <c r="X213" s="60">
        <v>0</v>
      </c>
      <c r="Y213" s="64">
        <v>0</v>
      </c>
      <c r="Z213" s="60">
        <v>0</v>
      </c>
      <c r="AA213" s="60">
        <v>0</v>
      </c>
      <c r="AB213" s="60">
        <v>0</v>
      </c>
      <c r="AC213" s="60">
        <v>1662000</v>
      </c>
      <c r="AD213" s="62">
        <v>46</v>
      </c>
      <c r="AF213" s="47">
        <f t="shared" si="3"/>
        <v>1662000</v>
      </c>
    </row>
    <row r="214" spans="1:32" x14ac:dyDescent="0.3">
      <c r="A214" s="46" t="s">
        <v>1</v>
      </c>
      <c r="B214" s="46" t="str">
        <f>IFERROR(VLOOKUP($H214,매장구분!$B:$Z,2,0),"")</f>
        <v>리테일채널팀</v>
      </c>
      <c r="C214" s="46" t="str">
        <f>IFERROR(VLOOKUP($H214,매장구분!$B:$Z,3,0),"")</f>
        <v>국내</v>
      </c>
      <c r="D214" s="46" t="str">
        <f>IFERROR(VLOOKUP($H214,매장구분!$B:$Z,5,0),"")</f>
        <v>대리점</v>
      </c>
      <c r="E214" s="46" t="str">
        <f>IFERROR(VLOOKUP($H214,매장구분!$B:$Z,9,0),"")</f>
        <v>원주(대-위)</v>
      </c>
      <c r="F214" s="53"/>
      <c r="G214" s="54" t="s">
        <v>224</v>
      </c>
      <c r="H214" s="55" t="s">
        <v>225</v>
      </c>
      <c r="I214" s="55" t="s">
        <v>169</v>
      </c>
      <c r="J214" s="55" t="s">
        <v>79</v>
      </c>
      <c r="K214" s="55" t="s">
        <v>170</v>
      </c>
      <c r="L214" s="55" t="s">
        <v>171</v>
      </c>
      <c r="M214" s="55" t="s">
        <v>196</v>
      </c>
      <c r="N214" s="55" t="s">
        <v>197</v>
      </c>
      <c r="O214" s="55">
        <v>20244600</v>
      </c>
      <c r="P214" s="55">
        <v>158</v>
      </c>
      <c r="Q214" s="55">
        <v>0</v>
      </c>
      <c r="R214" s="55">
        <v>0</v>
      </c>
      <c r="S214" s="55">
        <v>0</v>
      </c>
      <c r="T214" s="55">
        <v>0</v>
      </c>
      <c r="U214" s="55">
        <v>1890000</v>
      </c>
      <c r="V214" s="55">
        <v>10</v>
      </c>
      <c r="W214" s="55">
        <v>0</v>
      </c>
      <c r="X214" s="55">
        <v>0</v>
      </c>
      <c r="Y214" s="63">
        <v>0</v>
      </c>
      <c r="Z214" s="55">
        <v>0</v>
      </c>
      <c r="AA214" s="55">
        <v>0</v>
      </c>
      <c r="AB214" s="55">
        <v>0</v>
      </c>
      <c r="AC214" s="55">
        <v>22134600</v>
      </c>
      <c r="AD214" s="57">
        <v>168</v>
      </c>
      <c r="AF214" s="47">
        <f t="shared" si="3"/>
        <v>22134600</v>
      </c>
    </row>
    <row r="215" spans="1:32" x14ac:dyDescent="0.3">
      <c r="A215" s="46" t="s">
        <v>1</v>
      </c>
      <c r="B215" s="46" t="str">
        <f>IFERROR(VLOOKUP($H215,매장구분!$B:$Z,2,0),"")</f>
        <v>파트너채널팀</v>
      </c>
      <c r="C215" s="46" t="str">
        <f>IFERROR(VLOOKUP($H215,매장구분!$B:$Z,3,0),"")</f>
        <v>국내</v>
      </c>
      <c r="D215" s="46" t="str">
        <f>IFERROR(VLOOKUP($H215,매장구분!$B:$Z,5,0),"")</f>
        <v>백화점</v>
      </c>
      <c r="E215" s="46" t="str">
        <f>IFERROR(VLOOKUP($H215,매장구분!$B:$Z,9,0),"")</f>
        <v>롯데동래</v>
      </c>
      <c r="F215" s="58"/>
      <c r="G215" s="59" t="s">
        <v>239</v>
      </c>
      <c r="H215" s="60" t="s">
        <v>240</v>
      </c>
      <c r="I215" s="60" t="s">
        <v>169</v>
      </c>
      <c r="J215" s="60" t="s">
        <v>175</v>
      </c>
      <c r="K215" s="60" t="s">
        <v>170</v>
      </c>
      <c r="L215" s="60" t="s">
        <v>171</v>
      </c>
      <c r="M215" s="60" t="s">
        <v>77</v>
      </c>
      <c r="N215" s="60" t="s">
        <v>172</v>
      </c>
      <c r="O215" s="60">
        <v>6531900</v>
      </c>
      <c r="P215" s="60">
        <v>71</v>
      </c>
      <c r="Q215" s="60">
        <v>0</v>
      </c>
      <c r="R215" s="60">
        <v>0</v>
      </c>
      <c r="S215" s="60">
        <v>0</v>
      </c>
      <c r="T215" s="60">
        <v>0</v>
      </c>
      <c r="U215" s="60">
        <v>843000</v>
      </c>
      <c r="V215" s="60">
        <v>7</v>
      </c>
      <c r="W215" s="60">
        <v>0</v>
      </c>
      <c r="X215" s="60">
        <v>0</v>
      </c>
      <c r="Y215" s="64">
        <v>7545000</v>
      </c>
      <c r="Z215" s="60">
        <v>81</v>
      </c>
      <c r="AA215" s="60">
        <v>0</v>
      </c>
      <c r="AB215" s="60">
        <v>0</v>
      </c>
      <c r="AC215" s="60">
        <v>14919900</v>
      </c>
      <c r="AD215" s="62">
        <v>159</v>
      </c>
      <c r="AF215" s="47">
        <f t="shared" si="3"/>
        <v>7374900</v>
      </c>
    </row>
    <row r="216" spans="1:32" x14ac:dyDescent="0.3">
      <c r="A216" s="46" t="s">
        <v>1</v>
      </c>
      <c r="B216" s="46" t="str">
        <f>IFERROR(VLOOKUP($H216,매장구분!$B:$Z,2,0),"")</f>
        <v>E-biz</v>
      </c>
      <c r="C216" s="46" t="str">
        <f>IFERROR(VLOOKUP($H216,매장구분!$B:$Z,3,0),"")</f>
        <v>국내</v>
      </c>
      <c r="D216" s="46" t="str">
        <f>IFERROR(VLOOKUP($H216,매장구분!$B:$Z,5,0),"")</f>
        <v>온(제휴몰)</v>
      </c>
      <c r="E216" s="46" t="str">
        <f>IFERROR(VLOOKUP($H216,매장구분!$B:$Z,9,0),"")</f>
        <v>롯데ON(제휴몰)</v>
      </c>
      <c r="F216" s="53"/>
      <c r="G216" s="54" t="s">
        <v>253</v>
      </c>
      <c r="H216" s="55" t="s">
        <v>254</v>
      </c>
      <c r="I216" s="55" t="s">
        <v>169</v>
      </c>
      <c r="J216" s="55" t="s">
        <v>180</v>
      </c>
      <c r="K216" s="55" t="s">
        <v>170</v>
      </c>
      <c r="L216" s="55" t="s">
        <v>181</v>
      </c>
      <c r="M216" s="55" t="s">
        <v>181</v>
      </c>
      <c r="N216" s="55" t="s">
        <v>185</v>
      </c>
      <c r="O216" s="55">
        <v>28709800</v>
      </c>
      <c r="P216" s="55">
        <v>385</v>
      </c>
      <c r="Q216" s="55">
        <v>0</v>
      </c>
      <c r="R216" s="55">
        <v>0</v>
      </c>
      <c r="S216" s="55">
        <v>0</v>
      </c>
      <c r="T216" s="55">
        <v>0</v>
      </c>
      <c r="U216" s="55">
        <v>0</v>
      </c>
      <c r="V216" s="55">
        <v>0</v>
      </c>
      <c r="W216" s="55">
        <v>0</v>
      </c>
      <c r="X216" s="55">
        <v>0</v>
      </c>
      <c r="Y216" s="63">
        <v>0</v>
      </c>
      <c r="Z216" s="55">
        <v>0</v>
      </c>
      <c r="AA216" s="55">
        <v>0</v>
      </c>
      <c r="AB216" s="55">
        <v>0</v>
      </c>
      <c r="AC216" s="55">
        <v>28709800</v>
      </c>
      <c r="AD216" s="57">
        <v>385</v>
      </c>
      <c r="AF216" s="47">
        <f t="shared" si="3"/>
        <v>28709800</v>
      </c>
    </row>
    <row r="217" spans="1:32" x14ac:dyDescent="0.3">
      <c r="A217" s="46" t="s">
        <v>1</v>
      </c>
      <c r="B217" s="46" t="str">
        <f>IFERROR(VLOOKUP($H217,매장구분!$B:$Z,2,0),"")</f>
        <v>파트너채널팀</v>
      </c>
      <c r="C217" s="46" t="str">
        <f>IFERROR(VLOOKUP($H217,매장구분!$B:$Z,3,0),"")</f>
        <v>국내</v>
      </c>
      <c r="D217" s="46" t="str">
        <f>IFERROR(VLOOKUP($H217,매장구분!$B:$Z,5,0),"")</f>
        <v>백화점</v>
      </c>
      <c r="E217" s="46" t="str">
        <f>IFERROR(VLOOKUP($H217,매장구분!$B:$Z,9,0),"")</f>
        <v>AK평택</v>
      </c>
      <c r="F217" s="58"/>
      <c r="G217" s="59" t="s">
        <v>251</v>
      </c>
      <c r="H217" s="60" t="s">
        <v>252</v>
      </c>
      <c r="I217" s="60" t="s">
        <v>169</v>
      </c>
      <c r="J217" s="60" t="s">
        <v>175</v>
      </c>
      <c r="K217" s="60" t="s">
        <v>170</v>
      </c>
      <c r="L217" s="60" t="s">
        <v>171</v>
      </c>
      <c r="M217" s="60" t="s">
        <v>77</v>
      </c>
      <c r="N217" s="60" t="s">
        <v>172</v>
      </c>
      <c r="O217" s="60">
        <v>24692100</v>
      </c>
      <c r="P217" s="60">
        <v>187</v>
      </c>
      <c r="Q217" s="60">
        <v>0</v>
      </c>
      <c r="R217" s="60">
        <v>0</v>
      </c>
      <c r="S217" s="60">
        <v>0</v>
      </c>
      <c r="T217" s="60">
        <v>0</v>
      </c>
      <c r="U217" s="60">
        <v>327000</v>
      </c>
      <c r="V217" s="60">
        <v>3</v>
      </c>
      <c r="W217" s="60">
        <v>0</v>
      </c>
      <c r="X217" s="60">
        <v>0</v>
      </c>
      <c r="Y217" s="64">
        <v>0</v>
      </c>
      <c r="Z217" s="60">
        <v>0</v>
      </c>
      <c r="AA217" s="60">
        <v>0</v>
      </c>
      <c r="AB217" s="60">
        <v>0</v>
      </c>
      <c r="AC217" s="60">
        <v>25019100</v>
      </c>
      <c r="AD217" s="62">
        <v>190</v>
      </c>
      <c r="AF217" s="47">
        <f t="shared" si="3"/>
        <v>25019100</v>
      </c>
    </row>
    <row r="218" spans="1:32" x14ac:dyDescent="0.3">
      <c r="A218" s="46" t="s">
        <v>1</v>
      </c>
      <c r="B218" s="46" t="str">
        <f>IFERROR(VLOOKUP($H218,매장구분!$B:$Z,2,0),"")</f>
        <v>리테일채널팀</v>
      </c>
      <c r="C218" s="46" t="str">
        <f>IFERROR(VLOOKUP($H218,매장구분!$B:$Z,3,0),"")</f>
        <v>국내</v>
      </c>
      <c r="D218" s="46" t="str">
        <f>IFERROR(VLOOKUP($H218,매장구분!$B:$Z,5,0),"")</f>
        <v>대리점</v>
      </c>
      <c r="E218" s="46" t="str">
        <f>IFERROR(VLOOKUP($H218,매장구분!$B:$Z,9,0),"")</f>
        <v>성남신흥(대-위)</v>
      </c>
      <c r="F218" s="53"/>
      <c r="G218" s="54" t="s">
        <v>228</v>
      </c>
      <c r="H218" s="55" t="s">
        <v>229</v>
      </c>
      <c r="I218" s="55" t="s">
        <v>169</v>
      </c>
      <c r="J218" s="55" t="s">
        <v>79</v>
      </c>
      <c r="K218" s="55" t="s">
        <v>170</v>
      </c>
      <c r="L218" s="55" t="s">
        <v>171</v>
      </c>
      <c r="M218" s="55" t="s">
        <v>196</v>
      </c>
      <c r="N218" s="55" t="s">
        <v>197</v>
      </c>
      <c r="O218" s="55">
        <v>15121800</v>
      </c>
      <c r="P218" s="55">
        <v>148</v>
      </c>
      <c r="Q218" s="55">
        <v>0</v>
      </c>
      <c r="R218" s="55">
        <v>0</v>
      </c>
      <c r="S218" s="55">
        <v>0</v>
      </c>
      <c r="T218" s="55">
        <v>0</v>
      </c>
      <c r="U218" s="55">
        <v>577000</v>
      </c>
      <c r="V218" s="55">
        <v>3</v>
      </c>
      <c r="W218" s="55">
        <v>0</v>
      </c>
      <c r="X218" s="55">
        <v>0</v>
      </c>
      <c r="Y218" s="63">
        <v>128142000</v>
      </c>
      <c r="Z218" s="55">
        <v>2718</v>
      </c>
      <c r="AA218" s="55">
        <v>0</v>
      </c>
      <c r="AB218" s="55">
        <v>0</v>
      </c>
      <c r="AC218" s="55">
        <v>143840800</v>
      </c>
      <c r="AD218" s="57">
        <v>2869</v>
      </c>
      <c r="AF218" s="47">
        <f t="shared" si="3"/>
        <v>15698800</v>
      </c>
    </row>
    <row r="219" spans="1:32" x14ac:dyDescent="0.3">
      <c r="A219" s="46" t="s">
        <v>1</v>
      </c>
      <c r="B219" s="46" t="str">
        <f>IFERROR(VLOOKUP($H219,매장구분!$B:$Z,2,0),"")</f>
        <v>리테일채널팀</v>
      </c>
      <c r="C219" s="46" t="str">
        <f>IFERROR(VLOOKUP($H219,매장구분!$B:$Z,3,0),"")</f>
        <v>국내</v>
      </c>
      <c r="D219" s="46" t="str">
        <f>IFERROR(VLOOKUP($H219,매장구분!$B:$Z,5,0),"")</f>
        <v>대리점</v>
      </c>
      <c r="E219" s="46" t="str">
        <f>IFERROR(VLOOKUP($H219,매장구분!$B:$Z,9,0),"")</f>
        <v>청주(대-위)</v>
      </c>
      <c r="F219" s="58"/>
      <c r="G219" s="59" t="s">
        <v>265</v>
      </c>
      <c r="H219" s="60" t="s">
        <v>266</v>
      </c>
      <c r="I219" s="60" t="s">
        <v>169</v>
      </c>
      <c r="J219" s="60" t="s">
        <v>79</v>
      </c>
      <c r="K219" s="60" t="s">
        <v>170</v>
      </c>
      <c r="L219" s="60" t="s">
        <v>171</v>
      </c>
      <c r="M219" s="60" t="s">
        <v>196</v>
      </c>
      <c r="N219" s="60" t="s">
        <v>197</v>
      </c>
      <c r="O219" s="60">
        <v>17094000</v>
      </c>
      <c r="P219" s="60">
        <v>154</v>
      </c>
      <c r="Q219" s="60">
        <v>0</v>
      </c>
      <c r="R219" s="60">
        <v>0</v>
      </c>
      <c r="S219" s="60">
        <v>0</v>
      </c>
      <c r="T219" s="60">
        <v>0</v>
      </c>
      <c r="U219" s="60">
        <v>0</v>
      </c>
      <c r="V219" s="60">
        <v>0</v>
      </c>
      <c r="W219" s="60">
        <v>0</v>
      </c>
      <c r="X219" s="60">
        <v>0</v>
      </c>
      <c r="Y219" s="64">
        <v>20450000</v>
      </c>
      <c r="Z219" s="60">
        <v>260</v>
      </c>
      <c r="AA219" s="60">
        <v>0</v>
      </c>
      <c r="AB219" s="60">
        <v>0</v>
      </c>
      <c r="AC219" s="60">
        <v>37544000</v>
      </c>
      <c r="AD219" s="62">
        <v>414</v>
      </c>
      <c r="AF219" s="47">
        <f t="shared" si="3"/>
        <v>17094000</v>
      </c>
    </row>
    <row r="220" spans="1:32" x14ac:dyDescent="0.3">
      <c r="A220" s="46" t="s">
        <v>1</v>
      </c>
      <c r="B220" s="46" t="str">
        <f>IFERROR(VLOOKUP($H220,매장구분!$B:$Z,2,0),"")</f>
        <v>리테일채널팀</v>
      </c>
      <c r="C220" s="46" t="str">
        <f>IFERROR(VLOOKUP($H220,매장구분!$B:$Z,3,0),"")</f>
        <v>국내</v>
      </c>
      <c r="D220" s="46" t="str">
        <f>IFERROR(VLOOKUP($H220,매장구분!$B:$Z,5,0),"")</f>
        <v>대리점</v>
      </c>
      <c r="E220" s="46" t="str">
        <f>IFERROR(VLOOKUP($H220,매장구분!$B:$Z,9,0),"")</f>
        <v>울산무거(대-위)</v>
      </c>
      <c r="F220" s="53"/>
      <c r="G220" s="54" t="s">
        <v>241</v>
      </c>
      <c r="H220" s="55" t="s">
        <v>242</v>
      </c>
      <c r="I220" s="55" t="s">
        <v>169</v>
      </c>
      <c r="J220" s="55" t="s">
        <v>79</v>
      </c>
      <c r="K220" s="55" t="s">
        <v>170</v>
      </c>
      <c r="L220" s="55" t="s">
        <v>171</v>
      </c>
      <c r="M220" s="55" t="s">
        <v>196</v>
      </c>
      <c r="N220" s="55" t="s">
        <v>197</v>
      </c>
      <c r="O220" s="55">
        <v>7499600</v>
      </c>
      <c r="P220" s="55">
        <v>79</v>
      </c>
      <c r="Q220" s="55">
        <v>0</v>
      </c>
      <c r="R220" s="55">
        <v>0</v>
      </c>
      <c r="S220" s="55">
        <v>0</v>
      </c>
      <c r="T220" s="55">
        <v>0</v>
      </c>
      <c r="U220" s="55">
        <v>6406900</v>
      </c>
      <c r="V220" s="55">
        <v>50</v>
      </c>
      <c r="W220" s="55">
        <v>0</v>
      </c>
      <c r="X220" s="55">
        <v>0</v>
      </c>
      <c r="Y220" s="63">
        <v>0</v>
      </c>
      <c r="Z220" s="55">
        <v>0</v>
      </c>
      <c r="AA220" s="55">
        <v>0</v>
      </c>
      <c r="AB220" s="55">
        <v>0</v>
      </c>
      <c r="AC220" s="55">
        <v>13906500</v>
      </c>
      <c r="AD220" s="57">
        <v>129</v>
      </c>
      <c r="AF220" s="47">
        <f t="shared" si="3"/>
        <v>13906500</v>
      </c>
    </row>
    <row r="221" spans="1:32" x14ac:dyDescent="0.3">
      <c r="A221" s="46" t="s">
        <v>1</v>
      </c>
      <c r="B221" s="46" t="str">
        <f>IFERROR(VLOOKUP($H221,매장구분!$B:$Z,2,0),"")</f>
        <v>파트너채널팀</v>
      </c>
      <c r="C221" s="46" t="str">
        <f>IFERROR(VLOOKUP($H221,매장구분!$B:$Z,3,0),"")</f>
        <v>국내</v>
      </c>
      <c r="D221" s="46" t="str">
        <f>IFERROR(VLOOKUP($H221,매장구분!$B:$Z,5,0),"")</f>
        <v>백화점</v>
      </c>
      <c r="E221" s="46" t="str">
        <f>IFERROR(VLOOKUP($H221,매장구분!$B:$Z,9,0),"")</f>
        <v>현대판교</v>
      </c>
      <c r="F221" s="58"/>
      <c r="G221" s="59" t="s">
        <v>257</v>
      </c>
      <c r="H221" s="60" t="s">
        <v>258</v>
      </c>
      <c r="I221" s="60" t="s">
        <v>169</v>
      </c>
      <c r="J221" s="60" t="s">
        <v>175</v>
      </c>
      <c r="K221" s="60" t="s">
        <v>170</v>
      </c>
      <c r="L221" s="60" t="s">
        <v>171</v>
      </c>
      <c r="M221" s="60" t="s">
        <v>77</v>
      </c>
      <c r="N221" s="60" t="s">
        <v>172</v>
      </c>
      <c r="O221" s="60">
        <v>13767509</v>
      </c>
      <c r="P221" s="60">
        <v>147</v>
      </c>
      <c r="Q221" s="60">
        <v>1686000</v>
      </c>
      <c r="R221" s="60">
        <v>19</v>
      </c>
      <c r="S221" s="60">
        <v>0</v>
      </c>
      <c r="T221" s="60">
        <v>0</v>
      </c>
      <c r="U221" s="60">
        <v>413700</v>
      </c>
      <c r="V221" s="60">
        <v>3</v>
      </c>
      <c r="W221" s="60">
        <v>0</v>
      </c>
      <c r="X221" s="60">
        <v>0</v>
      </c>
      <c r="Y221" s="64">
        <v>141851191</v>
      </c>
      <c r="Z221" s="60">
        <v>1017</v>
      </c>
      <c r="AA221" s="60">
        <v>0</v>
      </c>
      <c r="AB221" s="60">
        <v>0</v>
      </c>
      <c r="AC221" s="60">
        <v>157718400</v>
      </c>
      <c r="AD221" s="62">
        <v>1186</v>
      </c>
      <c r="AF221" s="47">
        <f t="shared" si="3"/>
        <v>15867209</v>
      </c>
    </row>
    <row r="222" spans="1:32" x14ac:dyDescent="0.3">
      <c r="A222" s="46" t="s">
        <v>1</v>
      </c>
      <c r="B222" s="46" t="str">
        <f>IFERROR(VLOOKUP($H222,매장구분!$B:$Z,2,0),"")</f>
        <v>파트너채널팀</v>
      </c>
      <c r="C222" s="46" t="str">
        <f>IFERROR(VLOOKUP($H222,매장구분!$B:$Z,3,0),"")</f>
        <v>국내</v>
      </c>
      <c r="D222" s="46" t="str">
        <f>IFERROR(VLOOKUP($H222,매장구분!$B:$Z,5,0),"")</f>
        <v>백화점</v>
      </c>
      <c r="E222" s="46" t="str">
        <f>IFERROR(VLOOKUP($H222,매장구분!$B:$Z,9,0),"")</f>
        <v>모다아울렛천안</v>
      </c>
      <c r="F222" s="53"/>
      <c r="G222" s="54" t="s">
        <v>267</v>
      </c>
      <c r="H222" s="55" t="s">
        <v>268</v>
      </c>
      <c r="I222" s="55" t="s">
        <v>169</v>
      </c>
      <c r="J222" s="55" t="s">
        <v>175</v>
      </c>
      <c r="K222" s="55" t="s">
        <v>170</v>
      </c>
      <c r="L222" s="55" t="s">
        <v>171</v>
      </c>
      <c r="M222" s="55" t="s">
        <v>77</v>
      </c>
      <c r="N222" s="55" t="s">
        <v>238</v>
      </c>
      <c r="O222" s="55">
        <v>11597500</v>
      </c>
      <c r="P222" s="55">
        <v>124</v>
      </c>
      <c r="Q222" s="55">
        <v>0</v>
      </c>
      <c r="R222" s="55">
        <v>0</v>
      </c>
      <c r="S222" s="55">
        <v>0</v>
      </c>
      <c r="T222" s="55">
        <v>0</v>
      </c>
      <c r="U222" s="55">
        <v>3380300</v>
      </c>
      <c r="V222" s="55">
        <v>21</v>
      </c>
      <c r="W222" s="55">
        <v>0</v>
      </c>
      <c r="X222" s="55">
        <v>0</v>
      </c>
      <c r="Y222" s="63">
        <v>0</v>
      </c>
      <c r="Z222" s="55">
        <v>0</v>
      </c>
      <c r="AA222" s="55">
        <v>0</v>
      </c>
      <c r="AB222" s="55">
        <v>0</v>
      </c>
      <c r="AC222" s="55">
        <v>14977800</v>
      </c>
      <c r="AD222" s="57">
        <v>145</v>
      </c>
      <c r="AF222" s="47">
        <f t="shared" si="3"/>
        <v>14977800</v>
      </c>
    </row>
    <row r="223" spans="1:32" x14ac:dyDescent="0.3">
      <c r="A223" s="46" t="s">
        <v>1</v>
      </c>
      <c r="B223" s="46" t="str">
        <f>IFERROR(VLOOKUP($H223,매장구분!$B:$Z,2,0),"")</f>
        <v>리테일채널팀</v>
      </c>
      <c r="C223" s="46" t="str">
        <f>IFERROR(VLOOKUP($H223,매장구분!$B:$Z,3,0),"")</f>
        <v>국내</v>
      </c>
      <c r="D223" s="46" t="str">
        <f>IFERROR(VLOOKUP($H223,매장구분!$B:$Z,5,0),"")</f>
        <v>대리점</v>
      </c>
      <c r="E223" s="46" t="str">
        <f>IFERROR(VLOOKUP($H223,매장구분!$B:$Z,9,0),"")</f>
        <v>화성봉담(대-위)</v>
      </c>
      <c r="F223" s="58"/>
      <c r="G223" s="59" t="s">
        <v>273</v>
      </c>
      <c r="H223" s="60" t="s">
        <v>274</v>
      </c>
      <c r="I223" s="60" t="s">
        <v>169</v>
      </c>
      <c r="J223" s="60" t="s">
        <v>79</v>
      </c>
      <c r="K223" s="60" t="s">
        <v>170</v>
      </c>
      <c r="L223" s="60" t="s">
        <v>171</v>
      </c>
      <c r="M223" s="60" t="s">
        <v>196</v>
      </c>
      <c r="N223" s="60" t="s">
        <v>197</v>
      </c>
      <c r="O223" s="60">
        <v>9705000</v>
      </c>
      <c r="P223" s="60">
        <v>74</v>
      </c>
      <c r="Q223" s="60">
        <v>0</v>
      </c>
      <c r="R223" s="60">
        <v>0</v>
      </c>
      <c r="S223" s="60">
        <v>0</v>
      </c>
      <c r="T223" s="60">
        <v>0</v>
      </c>
      <c r="U223" s="60">
        <v>628000</v>
      </c>
      <c r="V223" s="60">
        <v>2</v>
      </c>
      <c r="W223" s="60">
        <v>0</v>
      </c>
      <c r="X223" s="60">
        <v>0</v>
      </c>
      <c r="Y223" s="64">
        <v>36900000</v>
      </c>
      <c r="Z223" s="60">
        <v>430</v>
      </c>
      <c r="AA223" s="60">
        <v>0</v>
      </c>
      <c r="AB223" s="60">
        <v>0</v>
      </c>
      <c r="AC223" s="60">
        <v>47233000</v>
      </c>
      <c r="AD223" s="62">
        <v>506</v>
      </c>
      <c r="AF223" s="47">
        <f t="shared" si="3"/>
        <v>10333000</v>
      </c>
    </row>
    <row r="224" spans="1:32" x14ac:dyDescent="0.3">
      <c r="A224" s="46" t="s">
        <v>1</v>
      </c>
      <c r="B224" s="46" t="str">
        <f>IFERROR(VLOOKUP($H224,매장구분!$B:$Z,2,0),"")</f>
        <v>리테일채널팀</v>
      </c>
      <c r="C224" s="46" t="str">
        <f>IFERROR(VLOOKUP($H224,매장구분!$B:$Z,3,0),"")</f>
        <v>국내</v>
      </c>
      <c r="D224" s="46" t="str">
        <f>IFERROR(VLOOKUP($H224,매장구분!$B:$Z,5,0),"")</f>
        <v>대리점</v>
      </c>
      <c r="E224" s="46" t="str">
        <f>IFERROR(VLOOKUP($H224,매장구분!$B:$Z,9,0),"")</f>
        <v>오산(대-위)</v>
      </c>
      <c r="F224" s="53"/>
      <c r="G224" s="54" t="s">
        <v>226</v>
      </c>
      <c r="H224" s="55" t="s">
        <v>227</v>
      </c>
      <c r="I224" s="55" t="s">
        <v>169</v>
      </c>
      <c r="J224" s="55" t="s">
        <v>79</v>
      </c>
      <c r="K224" s="55" t="s">
        <v>170</v>
      </c>
      <c r="L224" s="55" t="s">
        <v>171</v>
      </c>
      <c r="M224" s="55" t="s">
        <v>196</v>
      </c>
      <c r="N224" s="55" t="s">
        <v>197</v>
      </c>
      <c r="O224" s="55">
        <v>11592057</v>
      </c>
      <c r="P224" s="55">
        <v>104</v>
      </c>
      <c r="Q224" s="55">
        <v>0</v>
      </c>
      <c r="R224" s="55">
        <v>0</v>
      </c>
      <c r="S224" s="55">
        <v>0</v>
      </c>
      <c r="T224" s="55">
        <v>0</v>
      </c>
      <c r="U224" s="55">
        <v>1312443</v>
      </c>
      <c r="V224" s="55">
        <v>7</v>
      </c>
      <c r="W224" s="55">
        <v>0</v>
      </c>
      <c r="X224" s="55">
        <v>0</v>
      </c>
      <c r="Y224" s="63">
        <v>0</v>
      </c>
      <c r="Z224" s="55">
        <v>0</v>
      </c>
      <c r="AA224" s="55">
        <v>0</v>
      </c>
      <c r="AB224" s="55">
        <v>0</v>
      </c>
      <c r="AC224" s="55">
        <v>12904500</v>
      </c>
      <c r="AD224" s="57">
        <v>111</v>
      </c>
      <c r="AF224" s="47">
        <f t="shared" si="3"/>
        <v>12904500</v>
      </c>
    </row>
    <row r="225" spans="1:32" x14ac:dyDescent="0.3">
      <c r="A225" s="46" t="s">
        <v>1</v>
      </c>
      <c r="B225" s="46" t="str">
        <f>IFERROR(VLOOKUP($H225,매장구분!$B:$Z,2,0),"")</f>
        <v>파트너채널팀</v>
      </c>
      <c r="C225" s="46" t="str">
        <f>IFERROR(VLOOKUP($H225,매장구분!$B:$Z,3,0),"")</f>
        <v>국내</v>
      </c>
      <c r="D225" s="46" t="str">
        <f>IFERROR(VLOOKUP($H225,매장구분!$B:$Z,5,0),"")</f>
        <v>백화점</v>
      </c>
      <c r="E225" s="46" t="str">
        <f>IFERROR(VLOOKUP($H225,매장구분!$B:$Z,9,0),"")</f>
        <v>신세계하남</v>
      </c>
      <c r="F225" s="58"/>
      <c r="G225" s="59" t="s">
        <v>243</v>
      </c>
      <c r="H225" s="60" t="s">
        <v>244</v>
      </c>
      <c r="I225" s="60" t="s">
        <v>169</v>
      </c>
      <c r="J225" s="60" t="s">
        <v>175</v>
      </c>
      <c r="K225" s="60" t="s">
        <v>170</v>
      </c>
      <c r="L225" s="60" t="s">
        <v>171</v>
      </c>
      <c r="M225" s="60" t="s">
        <v>77</v>
      </c>
      <c r="N225" s="60" t="s">
        <v>172</v>
      </c>
      <c r="O225" s="60">
        <v>13687000</v>
      </c>
      <c r="P225" s="60">
        <v>127</v>
      </c>
      <c r="Q225" s="60">
        <v>0</v>
      </c>
      <c r="R225" s="60">
        <v>0</v>
      </c>
      <c r="S225" s="60">
        <v>0</v>
      </c>
      <c r="T225" s="60">
        <v>0</v>
      </c>
      <c r="U225" s="60">
        <v>2138000</v>
      </c>
      <c r="V225" s="60">
        <v>12</v>
      </c>
      <c r="W225" s="60">
        <v>0</v>
      </c>
      <c r="X225" s="60">
        <v>0</v>
      </c>
      <c r="Y225" s="64">
        <v>0</v>
      </c>
      <c r="Z225" s="60">
        <v>0</v>
      </c>
      <c r="AA225" s="60">
        <v>0</v>
      </c>
      <c r="AB225" s="60">
        <v>0</v>
      </c>
      <c r="AC225" s="60">
        <v>15825000</v>
      </c>
      <c r="AD225" s="62">
        <v>139</v>
      </c>
      <c r="AF225" s="47">
        <f t="shared" si="3"/>
        <v>15825000</v>
      </c>
    </row>
    <row r="226" spans="1:32" x14ac:dyDescent="0.3">
      <c r="A226" s="46" t="s">
        <v>1</v>
      </c>
      <c r="B226" s="46" t="str">
        <f>IFERROR(VLOOKUP($H226,매장구분!$B:$Z,2,0),"")</f>
        <v>파트너채널팀</v>
      </c>
      <c r="C226" s="46" t="str">
        <f>IFERROR(VLOOKUP($H226,매장구분!$B:$Z,3,0),"")</f>
        <v>국내</v>
      </c>
      <c r="D226" s="46" t="str">
        <f>IFERROR(VLOOKUP($H226,매장구분!$B:$Z,5,0),"")</f>
        <v>백화점</v>
      </c>
      <c r="E226" s="46" t="str">
        <f>IFERROR(VLOOKUP($H226,매장구분!$B:$Z,9,0),"")</f>
        <v>모다아울렛대전</v>
      </c>
      <c r="F226" s="53"/>
      <c r="G226" s="54" t="s">
        <v>236</v>
      </c>
      <c r="H226" s="55" t="s">
        <v>237</v>
      </c>
      <c r="I226" s="55" t="s">
        <v>169</v>
      </c>
      <c r="J226" s="55" t="s">
        <v>175</v>
      </c>
      <c r="K226" s="55" t="s">
        <v>170</v>
      </c>
      <c r="L226" s="55" t="s">
        <v>171</v>
      </c>
      <c r="M226" s="55" t="s">
        <v>77</v>
      </c>
      <c r="N226" s="55" t="s">
        <v>238</v>
      </c>
      <c r="O226" s="55">
        <v>9609300</v>
      </c>
      <c r="P226" s="55">
        <v>109</v>
      </c>
      <c r="Q226" s="55">
        <v>0</v>
      </c>
      <c r="R226" s="55">
        <v>0</v>
      </c>
      <c r="S226" s="55">
        <v>0</v>
      </c>
      <c r="T226" s="55">
        <v>0</v>
      </c>
      <c r="U226" s="55">
        <v>825000</v>
      </c>
      <c r="V226" s="55">
        <v>5</v>
      </c>
      <c r="W226" s="55">
        <v>0</v>
      </c>
      <c r="X226" s="55">
        <v>0</v>
      </c>
      <c r="Y226" s="63">
        <v>0</v>
      </c>
      <c r="Z226" s="55">
        <v>0</v>
      </c>
      <c r="AA226" s="55">
        <v>0</v>
      </c>
      <c r="AB226" s="55">
        <v>0</v>
      </c>
      <c r="AC226" s="55">
        <v>10434300</v>
      </c>
      <c r="AD226" s="57">
        <v>114</v>
      </c>
      <c r="AF226" s="47">
        <f t="shared" si="3"/>
        <v>10434300</v>
      </c>
    </row>
    <row r="227" spans="1:32" x14ac:dyDescent="0.3">
      <c r="A227" s="46" t="s">
        <v>1</v>
      </c>
      <c r="B227" s="46" t="str">
        <f>IFERROR(VLOOKUP($H227,매장구분!$B:$Z,2,0),"")</f>
        <v>파트너채널팀</v>
      </c>
      <c r="C227" s="46" t="str">
        <f>IFERROR(VLOOKUP($H227,매장구분!$B:$Z,3,0),"")</f>
        <v>국내</v>
      </c>
      <c r="D227" s="46" t="str">
        <f>IFERROR(VLOOKUP($H227,매장구분!$B:$Z,5,0),"")</f>
        <v>백화점</v>
      </c>
      <c r="E227" s="46" t="str">
        <f>IFERROR(VLOOKUP($H227,매장구분!$B:$Z,9,0),"")</f>
        <v>롯데포항</v>
      </c>
      <c r="F227" s="58"/>
      <c r="G227" s="59" t="s">
        <v>249</v>
      </c>
      <c r="H227" s="60" t="s">
        <v>250</v>
      </c>
      <c r="I227" s="60" t="s">
        <v>169</v>
      </c>
      <c r="J227" s="60" t="s">
        <v>175</v>
      </c>
      <c r="K227" s="60" t="s">
        <v>170</v>
      </c>
      <c r="L227" s="60" t="s">
        <v>171</v>
      </c>
      <c r="M227" s="60" t="s">
        <v>77</v>
      </c>
      <c r="N227" s="60" t="s">
        <v>172</v>
      </c>
      <c r="O227" s="60">
        <v>8489680</v>
      </c>
      <c r="P227" s="60">
        <v>69</v>
      </c>
      <c r="Q227" s="60">
        <v>0</v>
      </c>
      <c r="R227" s="60">
        <v>0</v>
      </c>
      <c r="S227" s="60">
        <v>0</v>
      </c>
      <c r="T227" s="60">
        <v>0</v>
      </c>
      <c r="U227" s="60">
        <v>2249420</v>
      </c>
      <c r="V227" s="60">
        <v>11</v>
      </c>
      <c r="W227" s="60">
        <v>0</v>
      </c>
      <c r="X227" s="60">
        <v>0</v>
      </c>
      <c r="Y227" s="64">
        <v>0</v>
      </c>
      <c r="Z227" s="60">
        <v>0</v>
      </c>
      <c r="AA227" s="60">
        <v>0</v>
      </c>
      <c r="AB227" s="60">
        <v>0</v>
      </c>
      <c r="AC227" s="60">
        <v>10739100</v>
      </c>
      <c r="AD227" s="62">
        <v>80</v>
      </c>
      <c r="AF227" s="47">
        <f t="shared" si="3"/>
        <v>10739100</v>
      </c>
    </row>
    <row r="228" spans="1:32" x14ac:dyDescent="0.3">
      <c r="A228" s="46" t="s">
        <v>1</v>
      </c>
      <c r="B228" s="46" t="str">
        <f>IFERROR(VLOOKUP($H228,매장구분!$B:$Z,2,0),"")</f>
        <v>파트너채널팀</v>
      </c>
      <c r="C228" s="46" t="str">
        <f>IFERROR(VLOOKUP($H228,매장구분!$B:$Z,3,0),"")</f>
        <v>국내</v>
      </c>
      <c r="D228" s="46" t="str">
        <f>IFERROR(VLOOKUP($H228,매장구분!$B:$Z,5,0),"")</f>
        <v>백화점</v>
      </c>
      <c r="E228" s="46" t="str">
        <f>IFERROR(VLOOKUP($H228,매장구분!$B:$Z,9,0),"")</f>
        <v>신세계대전</v>
      </c>
      <c r="F228" s="53"/>
      <c r="G228" s="54" t="s">
        <v>263</v>
      </c>
      <c r="H228" s="55" t="s">
        <v>264</v>
      </c>
      <c r="I228" s="55" t="s">
        <v>169</v>
      </c>
      <c r="J228" s="55" t="s">
        <v>175</v>
      </c>
      <c r="K228" s="55" t="s">
        <v>170</v>
      </c>
      <c r="L228" s="55" t="s">
        <v>171</v>
      </c>
      <c r="M228" s="55" t="s">
        <v>77</v>
      </c>
      <c r="N228" s="55" t="s">
        <v>172</v>
      </c>
      <c r="O228" s="55">
        <v>11333000</v>
      </c>
      <c r="P228" s="55">
        <v>124</v>
      </c>
      <c r="Q228" s="55">
        <v>0</v>
      </c>
      <c r="R228" s="55">
        <v>0</v>
      </c>
      <c r="S228" s="55">
        <v>0</v>
      </c>
      <c r="T228" s="55">
        <v>0</v>
      </c>
      <c r="U228" s="55">
        <v>2448000</v>
      </c>
      <c r="V228" s="55">
        <v>12</v>
      </c>
      <c r="W228" s="55">
        <v>0</v>
      </c>
      <c r="X228" s="55">
        <v>0</v>
      </c>
      <c r="Y228" s="63">
        <v>0</v>
      </c>
      <c r="Z228" s="55">
        <v>0</v>
      </c>
      <c r="AA228" s="55">
        <v>0</v>
      </c>
      <c r="AB228" s="55">
        <v>0</v>
      </c>
      <c r="AC228" s="55">
        <v>13781000</v>
      </c>
      <c r="AD228" s="57">
        <v>136</v>
      </c>
      <c r="AF228" s="47">
        <f t="shared" si="3"/>
        <v>13781000</v>
      </c>
    </row>
    <row r="229" spans="1:32" x14ac:dyDescent="0.3">
      <c r="A229" s="46" t="s">
        <v>1</v>
      </c>
      <c r="B229" s="46" t="str">
        <f>IFERROR(VLOOKUP($H229,매장구분!$B:$Z,2,0),"")</f>
        <v>파트너채널팀</v>
      </c>
      <c r="C229" s="46" t="str">
        <f>IFERROR(VLOOKUP($H229,매장구분!$B:$Z,3,0),"")</f>
        <v>국내</v>
      </c>
      <c r="D229" s="46" t="str">
        <f>IFERROR(VLOOKUP($H229,매장구분!$B:$Z,5,0),"")</f>
        <v>백화점</v>
      </c>
      <c r="E229" s="46" t="str">
        <f>IFERROR(VLOOKUP($H229,매장구분!$B:$Z,9,0),"")</f>
        <v>롯데잠실</v>
      </c>
      <c r="F229" s="58"/>
      <c r="G229" s="59" t="s">
        <v>247</v>
      </c>
      <c r="H229" s="60" t="s">
        <v>248</v>
      </c>
      <c r="I229" s="60" t="s">
        <v>169</v>
      </c>
      <c r="J229" s="60" t="s">
        <v>175</v>
      </c>
      <c r="K229" s="60" t="s">
        <v>170</v>
      </c>
      <c r="L229" s="60" t="s">
        <v>171</v>
      </c>
      <c r="M229" s="60" t="s">
        <v>77</v>
      </c>
      <c r="N229" s="60" t="s">
        <v>172</v>
      </c>
      <c r="O229" s="60">
        <v>14245000</v>
      </c>
      <c r="P229" s="60">
        <v>130</v>
      </c>
      <c r="Q229" s="60">
        <v>2497900</v>
      </c>
      <c r="R229" s="60">
        <v>26</v>
      </c>
      <c r="S229" s="60">
        <v>0</v>
      </c>
      <c r="T229" s="60">
        <v>0</v>
      </c>
      <c r="U229" s="60">
        <v>4933600</v>
      </c>
      <c r="V229" s="60">
        <v>34</v>
      </c>
      <c r="W229" s="60">
        <v>0</v>
      </c>
      <c r="X229" s="60">
        <v>0</v>
      </c>
      <c r="Y229" s="64">
        <v>85668000</v>
      </c>
      <c r="Z229" s="60">
        <v>712</v>
      </c>
      <c r="AA229" s="60">
        <v>0</v>
      </c>
      <c r="AB229" s="60">
        <v>0</v>
      </c>
      <c r="AC229" s="60">
        <v>107344500</v>
      </c>
      <c r="AD229" s="62">
        <v>902</v>
      </c>
      <c r="AF229" s="47">
        <f t="shared" si="3"/>
        <v>21676500</v>
      </c>
    </row>
    <row r="230" spans="1:32" x14ac:dyDescent="0.3">
      <c r="A230" s="46" t="s">
        <v>1</v>
      </c>
      <c r="B230" s="46" t="str">
        <f>IFERROR(VLOOKUP($H230,매장구분!$B:$Z,2,0),"")</f>
        <v>파트너채널팀</v>
      </c>
      <c r="C230" s="46" t="str">
        <f>IFERROR(VLOOKUP($H230,매장구분!$B:$Z,3,0),"")</f>
        <v>국내</v>
      </c>
      <c r="D230" s="46" t="str">
        <f>IFERROR(VLOOKUP($H230,매장구분!$B:$Z,5,0),"")</f>
        <v>백화점</v>
      </c>
      <c r="E230" s="46" t="str">
        <f>IFERROR(VLOOKUP($H230,매장구분!$B:$Z,9,0),"")</f>
        <v>롯데청량리</v>
      </c>
      <c r="F230" s="53"/>
      <c r="G230" s="54" t="s">
        <v>255</v>
      </c>
      <c r="H230" s="55" t="s">
        <v>256</v>
      </c>
      <c r="I230" s="55" t="s">
        <v>169</v>
      </c>
      <c r="J230" s="55" t="s">
        <v>175</v>
      </c>
      <c r="K230" s="55" t="s">
        <v>170</v>
      </c>
      <c r="L230" s="55" t="s">
        <v>171</v>
      </c>
      <c r="M230" s="55" t="s">
        <v>77</v>
      </c>
      <c r="N230" s="55" t="s">
        <v>172</v>
      </c>
      <c r="O230" s="55">
        <v>8783990</v>
      </c>
      <c r="P230" s="55">
        <v>118</v>
      </c>
      <c r="Q230" s="55">
        <v>0</v>
      </c>
      <c r="R230" s="55">
        <v>0</v>
      </c>
      <c r="S230" s="55">
        <v>0</v>
      </c>
      <c r="T230" s="55">
        <v>0</v>
      </c>
      <c r="U230" s="55">
        <v>3474810</v>
      </c>
      <c r="V230" s="55">
        <v>33</v>
      </c>
      <c r="W230" s="55">
        <v>0</v>
      </c>
      <c r="X230" s="55">
        <v>0</v>
      </c>
      <c r="Y230" s="63">
        <v>5046000</v>
      </c>
      <c r="Z230" s="55">
        <v>53</v>
      </c>
      <c r="AA230" s="55">
        <v>0</v>
      </c>
      <c r="AB230" s="55">
        <v>0</v>
      </c>
      <c r="AC230" s="55">
        <v>17304800</v>
      </c>
      <c r="AD230" s="57">
        <v>204</v>
      </c>
      <c r="AF230" s="47">
        <f t="shared" si="3"/>
        <v>12258800</v>
      </c>
    </row>
    <row r="231" spans="1:32" x14ac:dyDescent="0.3">
      <c r="A231" s="46" t="s">
        <v>1</v>
      </c>
      <c r="B231" s="46" t="str">
        <f>IFERROR(VLOOKUP($H231,매장구분!$B:$Z,2,0),"")</f>
        <v>리테일채널팀</v>
      </c>
      <c r="C231" s="46" t="str">
        <f>IFERROR(VLOOKUP($H231,매장구분!$B:$Z,3,0),"")</f>
        <v>국내</v>
      </c>
      <c r="D231" s="46" t="str">
        <f>IFERROR(VLOOKUP($H231,매장구분!$B:$Z,5,0),"")</f>
        <v>대리점</v>
      </c>
      <c r="E231" s="46" t="str">
        <f>IFERROR(VLOOKUP($H231,매장구분!$B:$Z,9,0),"")</f>
        <v>남양주삼패(대-위)</v>
      </c>
      <c r="F231" s="58"/>
      <c r="G231" s="59" t="s">
        <v>222</v>
      </c>
      <c r="H231" s="60" t="s">
        <v>223</v>
      </c>
      <c r="I231" s="60" t="s">
        <v>169</v>
      </c>
      <c r="J231" s="60" t="s">
        <v>79</v>
      </c>
      <c r="K231" s="60" t="s">
        <v>170</v>
      </c>
      <c r="L231" s="60" t="s">
        <v>171</v>
      </c>
      <c r="M231" s="60" t="s">
        <v>196</v>
      </c>
      <c r="N231" s="60" t="s">
        <v>197</v>
      </c>
      <c r="O231" s="60">
        <v>14030900</v>
      </c>
      <c r="P231" s="60">
        <v>148</v>
      </c>
      <c r="Q231" s="60">
        <v>0</v>
      </c>
      <c r="R231" s="60">
        <v>0</v>
      </c>
      <c r="S231" s="60">
        <v>0</v>
      </c>
      <c r="T231" s="60">
        <v>0</v>
      </c>
      <c r="U231" s="60">
        <v>129000</v>
      </c>
      <c r="V231" s="60">
        <v>1</v>
      </c>
      <c r="W231" s="60">
        <v>0</v>
      </c>
      <c r="X231" s="60">
        <v>0</v>
      </c>
      <c r="Y231" s="64">
        <v>125390000</v>
      </c>
      <c r="Z231" s="60">
        <v>900</v>
      </c>
      <c r="AA231" s="60">
        <v>0</v>
      </c>
      <c r="AB231" s="60">
        <v>0</v>
      </c>
      <c r="AC231" s="60">
        <v>139549900</v>
      </c>
      <c r="AD231" s="62">
        <v>1049</v>
      </c>
      <c r="AF231" s="47">
        <f t="shared" si="3"/>
        <v>14159900</v>
      </c>
    </row>
    <row r="232" spans="1:32" x14ac:dyDescent="0.3">
      <c r="A232" s="46" t="s">
        <v>1</v>
      </c>
      <c r="B232" s="46" t="str">
        <f>IFERROR(VLOOKUP($H232,매장구분!$B:$Z,2,0),"")</f>
        <v>파트너채널팀</v>
      </c>
      <c r="C232" s="46" t="str">
        <f>IFERROR(VLOOKUP($H232,매장구분!$B:$Z,3,0),"")</f>
        <v>국내</v>
      </c>
      <c r="D232" s="46" t="str">
        <f>IFERROR(VLOOKUP($H232,매장구분!$B:$Z,5,0),"")</f>
        <v>백화점</v>
      </c>
      <c r="E232" s="46" t="str">
        <f>IFERROR(VLOOKUP($H232,매장구분!$B:$Z,9,0),"")</f>
        <v>갤러리아광교</v>
      </c>
      <c r="F232" s="53"/>
      <c r="G232" s="54" t="s">
        <v>261</v>
      </c>
      <c r="H232" s="55" t="s">
        <v>262</v>
      </c>
      <c r="I232" s="55" t="s">
        <v>169</v>
      </c>
      <c r="J232" s="55" t="s">
        <v>175</v>
      </c>
      <c r="K232" s="55" t="s">
        <v>170</v>
      </c>
      <c r="L232" s="55" t="s">
        <v>171</v>
      </c>
      <c r="M232" s="55" t="s">
        <v>77</v>
      </c>
      <c r="N232" s="55" t="s">
        <v>172</v>
      </c>
      <c r="O232" s="55">
        <v>2990000</v>
      </c>
      <c r="P232" s="55">
        <v>39</v>
      </c>
      <c r="Q232" s="55">
        <v>3609100</v>
      </c>
      <c r="R232" s="55">
        <v>47</v>
      </c>
      <c r="S232" s="55">
        <v>0</v>
      </c>
      <c r="T232" s="55">
        <v>0</v>
      </c>
      <c r="U232" s="55">
        <v>468000</v>
      </c>
      <c r="V232" s="55">
        <v>2</v>
      </c>
      <c r="W232" s="55">
        <v>0</v>
      </c>
      <c r="X232" s="55">
        <v>0</v>
      </c>
      <c r="Y232" s="63">
        <v>11769800</v>
      </c>
      <c r="Z232" s="55">
        <v>86</v>
      </c>
      <c r="AA232" s="55">
        <v>0</v>
      </c>
      <c r="AB232" s="55">
        <v>0</v>
      </c>
      <c r="AC232" s="55">
        <v>18836900</v>
      </c>
      <c r="AD232" s="57">
        <v>174</v>
      </c>
      <c r="AF232" s="47">
        <f t="shared" si="3"/>
        <v>7067100</v>
      </c>
    </row>
    <row r="233" spans="1:32" x14ac:dyDescent="0.3">
      <c r="A233" s="46" t="s">
        <v>1</v>
      </c>
      <c r="B233" s="46" t="str">
        <f>IFERROR(VLOOKUP($H233,매장구분!$B:$Z,2,0),"")</f>
        <v>파트너채널팀</v>
      </c>
      <c r="C233" s="46" t="str">
        <f>IFERROR(VLOOKUP($H233,매장구분!$B:$Z,3,0),"")</f>
        <v>국내</v>
      </c>
      <c r="D233" s="46" t="str">
        <f>IFERROR(VLOOKUP($H233,매장구분!$B:$Z,5,0),"")</f>
        <v>백화점</v>
      </c>
      <c r="E233" s="46" t="str">
        <f>IFERROR(VLOOKUP($H233,매장구분!$B:$Z,9,0),"")</f>
        <v>신세계천안아산</v>
      </c>
      <c r="F233" s="58"/>
      <c r="G233" s="59" t="s">
        <v>271</v>
      </c>
      <c r="H233" s="60" t="s">
        <v>272</v>
      </c>
      <c r="I233" s="60" t="s">
        <v>169</v>
      </c>
      <c r="J233" s="60" t="s">
        <v>175</v>
      </c>
      <c r="K233" s="60" t="s">
        <v>170</v>
      </c>
      <c r="L233" s="60" t="s">
        <v>171</v>
      </c>
      <c r="M233" s="60" t="s">
        <v>77</v>
      </c>
      <c r="N233" s="60" t="s">
        <v>172</v>
      </c>
      <c r="O233" s="60">
        <v>18772000</v>
      </c>
      <c r="P233" s="60">
        <v>220</v>
      </c>
      <c r="Q233" s="60">
        <v>0</v>
      </c>
      <c r="R233" s="60">
        <v>0</v>
      </c>
      <c r="S233" s="60">
        <v>0</v>
      </c>
      <c r="T233" s="60">
        <v>0</v>
      </c>
      <c r="U233" s="60">
        <v>4193000</v>
      </c>
      <c r="V233" s="60">
        <v>22</v>
      </c>
      <c r="W233" s="60">
        <v>0</v>
      </c>
      <c r="X233" s="60">
        <v>0</v>
      </c>
      <c r="Y233" s="64">
        <v>0</v>
      </c>
      <c r="Z233" s="60">
        <v>0</v>
      </c>
      <c r="AA233" s="60">
        <v>0</v>
      </c>
      <c r="AB233" s="60">
        <v>0</v>
      </c>
      <c r="AC233" s="60">
        <v>22965000</v>
      </c>
      <c r="AD233" s="62">
        <v>242</v>
      </c>
      <c r="AF233" s="47">
        <f t="shared" si="3"/>
        <v>22965000</v>
      </c>
    </row>
    <row r="234" spans="1:32" x14ac:dyDescent="0.3">
      <c r="A234" s="46" t="s">
        <v>1</v>
      </c>
      <c r="B234" s="46" t="str">
        <f>IFERROR(VLOOKUP($H234,매장구분!$B:$Z,2,0),"")</f>
        <v>리테일채널팀</v>
      </c>
      <c r="C234" s="46" t="str">
        <f>IFERROR(VLOOKUP($H234,매장구분!$B:$Z,3,0),"")</f>
        <v>국내</v>
      </c>
      <c r="D234" s="46" t="str">
        <f>IFERROR(VLOOKUP($H234,매장구분!$B:$Z,5,0),"")</f>
        <v>대리점</v>
      </c>
      <c r="E234" s="46" t="str">
        <f>IFERROR(VLOOKUP($H234,매장구분!$B:$Z,9,0),"")</f>
        <v>강릉(대-위)</v>
      </c>
      <c r="F234" s="53"/>
      <c r="G234" s="54" t="s">
        <v>230</v>
      </c>
      <c r="H234" s="55" t="s">
        <v>231</v>
      </c>
      <c r="I234" s="55" t="s">
        <v>169</v>
      </c>
      <c r="J234" s="55" t="s">
        <v>79</v>
      </c>
      <c r="K234" s="55" t="s">
        <v>170</v>
      </c>
      <c r="L234" s="55" t="s">
        <v>171</v>
      </c>
      <c r="M234" s="55" t="s">
        <v>196</v>
      </c>
      <c r="N234" s="55" t="s">
        <v>197</v>
      </c>
      <c r="O234" s="55">
        <v>14635500</v>
      </c>
      <c r="P234" s="55">
        <v>139</v>
      </c>
      <c r="Q234" s="55">
        <v>0</v>
      </c>
      <c r="R234" s="55">
        <v>0</v>
      </c>
      <c r="S234" s="55">
        <v>0</v>
      </c>
      <c r="T234" s="55">
        <v>0</v>
      </c>
      <c r="U234" s="55">
        <v>1122000</v>
      </c>
      <c r="V234" s="55">
        <v>8</v>
      </c>
      <c r="W234" s="55">
        <v>0</v>
      </c>
      <c r="X234" s="55">
        <v>0</v>
      </c>
      <c r="Y234" s="63">
        <v>0</v>
      </c>
      <c r="Z234" s="55">
        <v>0</v>
      </c>
      <c r="AA234" s="55">
        <v>0</v>
      </c>
      <c r="AB234" s="55">
        <v>0</v>
      </c>
      <c r="AC234" s="55">
        <v>15757500</v>
      </c>
      <c r="AD234" s="57">
        <v>147</v>
      </c>
      <c r="AF234" s="47">
        <f t="shared" si="3"/>
        <v>15757500</v>
      </c>
    </row>
    <row r="235" spans="1:32" x14ac:dyDescent="0.3">
      <c r="A235" s="46" t="s">
        <v>1</v>
      </c>
      <c r="B235" s="46" t="str">
        <f>IFERROR(VLOOKUP($H235,매장구분!$B:$Z,2,0),"")</f>
        <v>파트너채널팀</v>
      </c>
      <c r="C235" s="46" t="str">
        <f>IFERROR(VLOOKUP($H235,매장구분!$B:$Z,3,0),"")</f>
        <v>국내</v>
      </c>
      <c r="D235" s="46" t="str">
        <f>IFERROR(VLOOKUP($H235,매장구분!$B:$Z,5,0),"")</f>
        <v>백화점</v>
      </c>
      <c r="E235" s="46" t="str">
        <f>IFERROR(VLOOKUP($H235,매장구분!$B:$Z,9,0),"")</f>
        <v>신세계강남</v>
      </c>
      <c r="F235" s="58"/>
      <c r="G235" s="59" t="s">
        <v>234</v>
      </c>
      <c r="H235" s="60" t="s">
        <v>235</v>
      </c>
      <c r="I235" s="60" t="s">
        <v>169</v>
      </c>
      <c r="J235" s="60" t="s">
        <v>175</v>
      </c>
      <c r="K235" s="60" t="s">
        <v>170</v>
      </c>
      <c r="L235" s="60" t="s">
        <v>171</v>
      </c>
      <c r="M235" s="60" t="s">
        <v>77</v>
      </c>
      <c r="N235" s="60" t="s">
        <v>172</v>
      </c>
      <c r="O235" s="60">
        <v>19483800</v>
      </c>
      <c r="P235" s="60">
        <v>208</v>
      </c>
      <c r="Q235" s="60">
        <v>27228100</v>
      </c>
      <c r="R235" s="60">
        <v>261</v>
      </c>
      <c r="S235" s="60">
        <v>0</v>
      </c>
      <c r="T235" s="60">
        <v>0</v>
      </c>
      <c r="U235" s="60">
        <v>2545000</v>
      </c>
      <c r="V235" s="60">
        <v>15</v>
      </c>
      <c r="W235" s="60">
        <v>0</v>
      </c>
      <c r="X235" s="60">
        <v>0</v>
      </c>
      <c r="Y235" s="64">
        <v>0</v>
      </c>
      <c r="Z235" s="60">
        <v>0</v>
      </c>
      <c r="AA235" s="60">
        <v>0</v>
      </c>
      <c r="AB235" s="60">
        <v>0</v>
      </c>
      <c r="AC235" s="60">
        <v>49256900</v>
      </c>
      <c r="AD235" s="62">
        <v>484</v>
      </c>
      <c r="AF235" s="47">
        <f t="shared" si="3"/>
        <v>49256900</v>
      </c>
    </row>
    <row r="236" spans="1:32" x14ac:dyDescent="0.3">
      <c r="A236" s="46" t="s">
        <v>1</v>
      </c>
      <c r="B236" s="46" t="str">
        <f>IFERROR(VLOOKUP($H236,매장구분!$B:$Z,2,0),"")</f>
        <v>파트너채널팀</v>
      </c>
      <c r="C236" s="46" t="str">
        <f>IFERROR(VLOOKUP($H236,매장구분!$B:$Z,3,0),"")</f>
        <v>RF</v>
      </c>
      <c r="D236" s="46" t="str">
        <f>IFERROR(VLOOKUP($H236,매장구분!$B:$Z,5,0),"")</f>
        <v>백화점</v>
      </c>
      <c r="E236" s="46" t="str">
        <f>IFERROR(VLOOKUP($H236,매장구분!$B:$Z,9,0),"")</f>
        <v>롯데본점</v>
      </c>
      <c r="F236" s="53"/>
      <c r="G236" s="54" t="s">
        <v>269</v>
      </c>
      <c r="H236" s="55" t="s">
        <v>270</v>
      </c>
      <c r="I236" s="55" t="s">
        <v>169</v>
      </c>
      <c r="J236" s="55" t="s">
        <v>175</v>
      </c>
      <c r="K236" s="55" t="s">
        <v>170</v>
      </c>
      <c r="L236" s="55" t="s">
        <v>171</v>
      </c>
      <c r="M236" s="55" t="s">
        <v>77</v>
      </c>
      <c r="N236" s="55" t="s">
        <v>172</v>
      </c>
      <c r="O236" s="55">
        <v>33993000</v>
      </c>
      <c r="P236" s="55">
        <v>387</v>
      </c>
      <c r="Q236" s="55">
        <v>314000</v>
      </c>
      <c r="R236" s="55">
        <v>8</v>
      </c>
      <c r="S236" s="55">
        <v>0</v>
      </c>
      <c r="T236" s="55">
        <v>0</v>
      </c>
      <c r="U236" s="55">
        <v>0</v>
      </c>
      <c r="V236" s="55">
        <v>0</v>
      </c>
      <c r="W236" s="55">
        <v>0</v>
      </c>
      <c r="X236" s="55">
        <v>0</v>
      </c>
      <c r="Y236" s="63">
        <v>161380000</v>
      </c>
      <c r="Z236" s="55">
        <v>595</v>
      </c>
      <c r="AA236" s="55">
        <v>0</v>
      </c>
      <c r="AB236" s="55">
        <v>0</v>
      </c>
      <c r="AC236" s="55">
        <v>195687000</v>
      </c>
      <c r="AD236" s="57">
        <v>990</v>
      </c>
      <c r="AF236" s="47">
        <f t="shared" si="3"/>
        <v>34307000</v>
      </c>
    </row>
    <row r="237" spans="1:32" x14ac:dyDescent="0.3">
      <c r="A237" s="46" t="s">
        <v>1</v>
      </c>
      <c r="B237" s="46" t="str">
        <f>IFERROR(VLOOKUP($H237,매장구분!$B:$Z,2,0),"")</f>
        <v>파트너채널팀</v>
      </c>
      <c r="C237" s="46" t="str">
        <f>IFERROR(VLOOKUP($H237,매장구분!$B:$Z,3,0),"")</f>
        <v>국내</v>
      </c>
      <c r="D237" s="46" t="str">
        <f>IFERROR(VLOOKUP($H237,매장구분!$B:$Z,5,0),"")</f>
        <v>백화점</v>
      </c>
      <c r="E237" s="46" t="str">
        <f>IFERROR(VLOOKUP($H237,매장구분!$B:$Z,9,0),"")</f>
        <v>갤러리아센터시티</v>
      </c>
      <c r="F237" s="58"/>
      <c r="G237" s="59" t="s">
        <v>259</v>
      </c>
      <c r="H237" s="60" t="s">
        <v>260</v>
      </c>
      <c r="I237" s="60" t="s">
        <v>169</v>
      </c>
      <c r="J237" s="60" t="s">
        <v>175</v>
      </c>
      <c r="K237" s="60" t="s">
        <v>170</v>
      </c>
      <c r="L237" s="60" t="s">
        <v>171</v>
      </c>
      <c r="M237" s="60" t="s">
        <v>77</v>
      </c>
      <c r="N237" s="60" t="s">
        <v>172</v>
      </c>
      <c r="O237" s="60">
        <v>6067598</v>
      </c>
      <c r="P237" s="60">
        <v>50</v>
      </c>
      <c r="Q237" s="60">
        <v>513000</v>
      </c>
      <c r="R237" s="60">
        <v>8</v>
      </c>
      <c r="S237" s="60">
        <v>0</v>
      </c>
      <c r="T237" s="60">
        <v>0</v>
      </c>
      <c r="U237" s="60">
        <v>996302</v>
      </c>
      <c r="V237" s="60">
        <v>9</v>
      </c>
      <c r="W237" s="60">
        <v>0</v>
      </c>
      <c r="X237" s="60">
        <v>0</v>
      </c>
      <c r="Y237" s="64">
        <v>16292000</v>
      </c>
      <c r="Z237" s="60">
        <v>61</v>
      </c>
      <c r="AA237" s="60">
        <v>0</v>
      </c>
      <c r="AB237" s="60">
        <v>0</v>
      </c>
      <c r="AC237" s="60">
        <v>23868900</v>
      </c>
      <c r="AD237" s="62">
        <v>128</v>
      </c>
      <c r="AF237" s="47">
        <f t="shared" si="3"/>
        <v>7576900</v>
      </c>
    </row>
    <row r="238" spans="1:32" x14ac:dyDescent="0.3">
      <c r="A238" s="46" t="s">
        <v>1</v>
      </c>
      <c r="B238" s="46" t="str">
        <f>IFERROR(VLOOKUP($H238,매장구분!$B:$Z,2,0),"")</f>
        <v>파트너채널팀</v>
      </c>
      <c r="C238" s="46" t="str">
        <f>IFERROR(VLOOKUP($H238,매장구분!$B:$Z,3,0),"")</f>
        <v>국내</v>
      </c>
      <c r="D238" s="46" t="str">
        <f>IFERROR(VLOOKUP($H238,매장구분!$B:$Z,5,0),"")</f>
        <v>백화점</v>
      </c>
      <c r="E238" s="46" t="str">
        <f>IFERROR(VLOOKUP($H238,매장구분!$B:$Z,9,0),"")</f>
        <v>롯데인천</v>
      </c>
      <c r="F238" s="53"/>
      <c r="G238" s="54" t="s">
        <v>245</v>
      </c>
      <c r="H238" s="55" t="s">
        <v>246</v>
      </c>
      <c r="I238" s="55" t="s">
        <v>169</v>
      </c>
      <c r="J238" s="55" t="s">
        <v>175</v>
      </c>
      <c r="K238" s="55" t="s">
        <v>170</v>
      </c>
      <c r="L238" s="55" t="s">
        <v>171</v>
      </c>
      <c r="M238" s="55" t="s">
        <v>77</v>
      </c>
      <c r="N238" s="55" t="s">
        <v>172</v>
      </c>
      <c r="O238" s="55">
        <v>19761062</v>
      </c>
      <c r="P238" s="55">
        <v>174</v>
      </c>
      <c r="Q238" s="55">
        <v>0</v>
      </c>
      <c r="R238" s="55">
        <v>0</v>
      </c>
      <c r="S238" s="55">
        <v>0</v>
      </c>
      <c r="T238" s="55">
        <v>0</v>
      </c>
      <c r="U238" s="55">
        <v>3446338</v>
      </c>
      <c r="V238" s="55">
        <v>19</v>
      </c>
      <c r="W238" s="55">
        <v>0</v>
      </c>
      <c r="X238" s="55">
        <v>0</v>
      </c>
      <c r="Y238" s="63">
        <v>20000000</v>
      </c>
      <c r="Z238" s="55">
        <v>140</v>
      </c>
      <c r="AA238" s="55">
        <v>0</v>
      </c>
      <c r="AB238" s="55">
        <v>0</v>
      </c>
      <c r="AC238" s="55">
        <v>43207400</v>
      </c>
      <c r="AD238" s="57">
        <v>333</v>
      </c>
      <c r="AF238" s="47">
        <f t="shared" si="3"/>
        <v>23207400</v>
      </c>
    </row>
    <row r="239" spans="1:32" x14ac:dyDescent="0.3">
      <c r="A239" s="46" t="s">
        <v>1</v>
      </c>
      <c r="B239" s="46" t="str">
        <f>IFERROR(VLOOKUP($H239,매장구분!$B:$Z,2,0),"")</f>
        <v>파트너채널팀</v>
      </c>
      <c r="C239" s="46" t="str">
        <f>IFERROR(VLOOKUP($H239,매장구분!$B:$Z,3,0),"")</f>
        <v>국내</v>
      </c>
      <c r="D239" s="46" t="str">
        <f>IFERROR(VLOOKUP($H239,매장구분!$B:$Z,5,0),"")</f>
        <v>백화점</v>
      </c>
      <c r="E239" s="46" t="str">
        <f>IFERROR(VLOOKUP($H239,매장구분!$B:$Z,9,0),"")</f>
        <v>롯데구리</v>
      </c>
      <c r="F239" s="58"/>
      <c r="G239" s="59" t="s">
        <v>232</v>
      </c>
      <c r="H239" s="60" t="s">
        <v>233</v>
      </c>
      <c r="I239" s="60" t="s">
        <v>169</v>
      </c>
      <c r="J239" s="60" t="s">
        <v>175</v>
      </c>
      <c r="K239" s="60" t="s">
        <v>170</v>
      </c>
      <c r="L239" s="60" t="s">
        <v>171</v>
      </c>
      <c r="M239" s="60" t="s">
        <v>77</v>
      </c>
      <c r="N239" s="60" t="s">
        <v>172</v>
      </c>
      <c r="O239" s="60">
        <v>10090090</v>
      </c>
      <c r="P239" s="60">
        <v>100</v>
      </c>
      <c r="Q239" s="60">
        <v>2743500</v>
      </c>
      <c r="R239" s="60">
        <v>34</v>
      </c>
      <c r="S239" s="60">
        <v>0</v>
      </c>
      <c r="T239" s="60">
        <v>0</v>
      </c>
      <c r="U239" s="60">
        <v>1862710</v>
      </c>
      <c r="V239" s="60">
        <v>9</v>
      </c>
      <c r="W239" s="60">
        <v>0</v>
      </c>
      <c r="X239" s="60">
        <v>0</v>
      </c>
      <c r="Y239" s="64">
        <v>1155000</v>
      </c>
      <c r="Z239" s="60">
        <v>9</v>
      </c>
      <c r="AA239" s="60">
        <v>0</v>
      </c>
      <c r="AB239" s="60">
        <v>0</v>
      </c>
      <c r="AC239" s="60">
        <v>15851300</v>
      </c>
      <c r="AD239" s="62">
        <v>152</v>
      </c>
      <c r="AF239" s="47">
        <f t="shared" si="3"/>
        <v>14696300</v>
      </c>
    </row>
    <row r="240" spans="1:32" x14ac:dyDescent="0.3">
      <c r="A240" s="46" t="s">
        <v>1</v>
      </c>
      <c r="B240" s="46" t="str">
        <f>IFERROR(VLOOKUP($H240,매장구분!$B:$Z,2,0),"")</f>
        <v>파트너채널팀</v>
      </c>
      <c r="C240" s="46" t="str">
        <f>IFERROR(VLOOKUP($H240,매장구분!$B:$Z,3,0),"")</f>
        <v>국내</v>
      </c>
      <c r="D240" s="46" t="str">
        <f>IFERROR(VLOOKUP($H240,매장구분!$B:$Z,5,0),"")</f>
        <v>백화점</v>
      </c>
      <c r="E240" s="46" t="str">
        <f>IFERROR(VLOOKUP($H240,매장구분!$B:$Z,9,0),"")</f>
        <v>롯데강남</v>
      </c>
      <c r="F240" s="53"/>
      <c r="G240" s="54" t="s">
        <v>275</v>
      </c>
      <c r="H240" s="55" t="s">
        <v>276</v>
      </c>
      <c r="I240" s="55" t="s">
        <v>169</v>
      </c>
      <c r="J240" s="55" t="s">
        <v>175</v>
      </c>
      <c r="K240" s="55" t="s">
        <v>170</v>
      </c>
      <c r="L240" s="55" t="s">
        <v>171</v>
      </c>
      <c r="M240" s="55" t="s">
        <v>77</v>
      </c>
      <c r="N240" s="55" t="s">
        <v>172</v>
      </c>
      <c r="O240" s="55">
        <v>4060900</v>
      </c>
      <c r="P240" s="55">
        <v>50</v>
      </c>
      <c r="Q240" s="55">
        <v>0</v>
      </c>
      <c r="R240" s="55">
        <v>0</v>
      </c>
      <c r="S240" s="55">
        <v>0</v>
      </c>
      <c r="T240" s="55">
        <v>0</v>
      </c>
      <c r="U240" s="55">
        <v>1763000</v>
      </c>
      <c r="V240" s="55">
        <v>7</v>
      </c>
      <c r="W240" s="55">
        <v>0</v>
      </c>
      <c r="X240" s="55">
        <v>0</v>
      </c>
      <c r="Y240" s="63">
        <v>49425000</v>
      </c>
      <c r="Z240" s="55">
        <v>261</v>
      </c>
      <c r="AA240" s="55">
        <v>0</v>
      </c>
      <c r="AB240" s="55">
        <v>0</v>
      </c>
      <c r="AC240" s="55">
        <v>55248900</v>
      </c>
      <c r="AD240" s="57">
        <v>318</v>
      </c>
      <c r="AF240" s="47">
        <f t="shared" si="3"/>
        <v>5823900</v>
      </c>
    </row>
    <row r="241" spans="1:32" x14ac:dyDescent="0.3">
      <c r="A241" s="46" t="s">
        <v>1</v>
      </c>
      <c r="B241" s="46" t="str">
        <f>IFERROR(VLOOKUP($H241,매장구분!$B:$Z,2,0),"")</f>
        <v>E-biz</v>
      </c>
      <c r="C241" s="46" t="str">
        <f>IFERROR(VLOOKUP($H241,매장구분!$B:$Z,3,0),"")</f>
        <v>국내</v>
      </c>
      <c r="D241" s="46" t="str">
        <f>IFERROR(VLOOKUP($H241,매장구분!$B:$Z,5,0),"")</f>
        <v>온(제휴몰)</v>
      </c>
      <c r="E241" s="46" t="str">
        <f>IFERROR(VLOOKUP($H241,매장구분!$B:$Z,9,0),"")</f>
        <v>CJ온스타일(제휴몰)</v>
      </c>
      <c r="F241" s="58"/>
      <c r="G241" s="59" t="s">
        <v>279</v>
      </c>
      <c r="H241" s="60" t="s">
        <v>280</v>
      </c>
      <c r="I241" s="60" t="s">
        <v>169</v>
      </c>
      <c r="J241" s="60" t="s">
        <v>180</v>
      </c>
      <c r="K241" s="60" t="s">
        <v>170</v>
      </c>
      <c r="L241" s="60" t="s">
        <v>181</v>
      </c>
      <c r="M241" s="60" t="s">
        <v>181</v>
      </c>
      <c r="N241" s="60" t="s">
        <v>185</v>
      </c>
      <c r="O241" s="60">
        <v>3821800</v>
      </c>
      <c r="P241" s="60">
        <v>44</v>
      </c>
      <c r="Q241" s="60">
        <v>0</v>
      </c>
      <c r="R241" s="60">
        <v>0</v>
      </c>
      <c r="S241" s="60">
        <v>0</v>
      </c>
      <c r="T241" s="60">
        <v>0</v>
      </c>
      <c r="U241" s="60">
        <v>0</v>
      </c>
      <c r="V241" s="60">
        <v>0</v>
      </c>
      <c r="W241" s="60">
        <v>0</v>
      </c>
      <c r="X241" s="60">
        <v>0</v>
      </c>
      <c r="Y241" s="64">
        <v>0</v>
      </c>
      <c r="Z241" s="60">
        <v>0</v>
      </c>
      <c r="AA241" s="60">
        <v>0</v>
      </c>
      <c r="AB241" s="60">
        <v>0</v>
      </c>
      <c r="AC241" s="60">
        <v>3821800</v>
      </c>
      <c r="AD241" s="62">
        <v>44</v>
      </c>
      <c r="AF241" s="47">
        <f t="shared" si="3"/>
        <v>3821800</v>
      </c>
    </row>
    <row r="242" spans="1:32" x14ac:dyDescent="0.3">
      <c r="A242" s="46" t="s">
        <v>1</v>
      </c>
      <c r="B242" s="46" t="str">
        <f>IFERROR(VLOOKUP($H242,매장구분!$B:$Z,2,0),"")</f>
        <v>리테일채널팀</v>
      </c>
      <c r="C242" s="46" t="str">
        <f>IFERROR(VLOOKUP($H242,매장구분!$B:$Z,3,0),"")</f>
        <v>국내</v>
      </c>
      <c r="D242" s="46" t="str">
        <f>IFERROR(VLOOKUP($H242,매장구분!$B:$Z,5,0),"")</f>
        <v>상설(위탁)</v>
      </c>
      <c r="E242" s="46" t="str">
        <f>IFERROR(VLOOKUP($H242,매장구분!$B:$Z,9,0),"")</f>
        <v>롯데아울렛부여(상-위)</v>
      </c>
      <c r="F242" s="53"/>
      <c r="G242" s="54" t="s">
        <v>281</v>
      </c>
      <c r="H242" s="55" t="s">
        <v>282</v>
      </c>
      <c r="I242" s="55" t="s">
        <v>169</v>
      </c>
      <c r="J242" s="55" t="s">
        <v>79</v>
      </c>
      <c r="K242" s="55" t="s">
        <v>170</v>
      </c>
      <c r="L242" s="55" t="s">
        <v>171</v>
      </c>
      <c r="M242" s="55" t="s">
        <v>219</v>
      </c>
      <c r="N242" s="55" t="s">
        <v>219</v>
      </c>
      <c r="O242" s="55">
        <v>3255000</v>
      </c>
      <c r="P242" s="55">
        <v>89</v>
      </c>
      <c r="Q242" s="55">
        <v>0</v>
      </c>
      <c r="R242" s="55">
        <v>0</v>
      </c>
      <c r="S242" s="55">
        <v>0</v>
      </c>
      <c r="T242" s="55">
        <v>0</v>
      </c>
      <c r="U242" s="55">
        <v>0</v>
      </c>
      <c r="V242" s="55">
        <v>0</v>
      </c>
      <c r="W242" s="55">
        <v>0</v>
      </c>
      <c r="X242" s="55">
        <v>0</v>
      </c>
      <c r="Y242" s="63">
        <v>0</v>
      </c>
      <c r="Z242" s="55">
        <v>0</v>
      </c>
      <c r="AA242" s="55">
        <v>0</v>
      </c>
      <c r="AB242" s="55">
        <v>0</v>
      </c>
      <c r="AC242" s="55">
        <v>3255000</v>
      </c>
      <c r="AD242" s="57">
        <v>89</v>
      </c>
      <c r="AF242" s="47">
        <f t="shared" si="3"/>
        <v>3255000</v>
      </c>
    </row>
    <row r="243" spans="1:32" x14ac:dyDescent="0.3">
      <c r="A243" s="46" t="s">
        <v>1</v>
      </c>
      <c r="B243" s="46" t="str">
        <f>IFERROR(VLOOKUP($H243,매장구분!$B:$Z,2,0),"")</f>
        <v>리테일채널팀</v>
      </c>
      <c r="C243" s="46" t="str">
        <f>IFERROR(VLOOKUP($H243,매장구분!$B:$Z,3,0),"")</f>
        <v>국내</v>
      </c>
      <c r="D243" s="46" t="str">
        <f>IFERROR(VLOOKUP($H243,매장구분!$B:$Z,5,0),"")</f>
        <v>상설(위탁)</v>
      </c>
      <c r="E243" s="46" t="str">
        <f>IFERROR(VLOOKUP($H243,매장구분!$B:$Z,9,0),"")</f>
        <v>신세계아울렛기장(상-위)</v>
      </c>
      <c r="F243" s="58"/>
      <c r="G243" s="59" t="s">
        <v>277</v>
      </c>
      <c r="H243" s="60" t="s">
        <v>278</v>
      </c>
      <c r="I243" s="60" t="s">
        <v>169</v>
      </c>
      <c r="J243" s="60" t="s">
        <v>79</v>
      </c>
      <c r="K243" s="60" t="s">
        <v>170</v>
      </c>
      <c r="L243" s="60" t="s">
        <v>171</v>
      </c>
      <c r="M243" s="60" t="s">
        <v>219</v>
      </c>
      <c r="N243" s="60" t="s">
        <v>219</v>
      </c>
      <c r="O243" s="60">
        <v>1835000</v>
      </c>
      <c r="P243" s="60">
        <v>47</v>
      </c>
      <c r="Q243" s="60">
        <v>0</v>
      </c>
      <c r="R243" s="60">
        <v>0</v>
      </c>
      <c r="S243" s="60">
        <v>0</v>
      </c>
      <c r="T243" s="60">
        <v>0</v>
      </c>
      <c r="U243" s="60">
        <v>0</v>
      </c>
      <c r="V243" s="60">
        <v>0</v>
      </c>
      <c r="W243" s="60">
        <v>0</v>
      </c>
      <c r="X243" s="60">
        <v>0</v>
      </c>
      <c r="Y243" s="64">
        <v>0</v>
      </c>
      <c r="Z243" s="60">
        <v>0</v>
      </c>
      <c r="AA243" s="60">
        <v>0</v>
      </c>
      <c r="AB243" s="60">
        <v>0</v>
      </c>
      <c r="AC243" s="60">
        <v>1835000</v>
      </c>
      <c r="AD243" s="62">
        <v>47</v>
      </c>
      <c r="AF243" s="47">
        <f t="shared" si="3"/>
        <v>1835000</v>
      </c>
    </row>
    <row r="244" spans="1:32" x14ac:dyDescent="0.3">
      <c r="A244" s="46" t="s">
        <v>1</v>
      </c>
      <c r="B244" s="46" t="str">
        <f>IFERROR(VLOOKUP($H244,매장구분!$B:$Z,2,0),"")</f>
        <v>리테일채널팀</v>
      </c>
      <c r="C244" s="46" t="str">
        <f>IFERROR(VLOOKUP($H244,매장구분!$B:$Z,3,0),"")</f>
        <v>국내</v>
      </c>
      <c r="D244" s="46" t="str">
        <f>IFERROR(VLOOKUP($H244,매장구분!$B:$Z,5,0),"")</f>
        <v>상설(위탁)</v>
      </c>
      <c r="E244" s="46" t="str">
        <f>IFERROR(VLOOKUP($H244,매장구분!$B:$Z,9,0),"")</f>
        <v>LF스퀘어양주(상-위)</v>
      </c>
      <c r="F244" s="53"/>
      <c r="G244" s="54" t="s">
        <v>283</v>
      </c>
      <c r="H244" s="55" t="s">
        <v>284</v>
      </c>
      <c r="I244" s="55" t="s">
        <v>169</v>
      </c>
      <c r="J244" s="55" t="s">
        <v>79</v>
      </c>
      <c r="K244" s="55" t="s">
        <v>170</v>
      </c>
      <c r="L244" s="55" t="s">
        <v>171</v>
      </c>
      <c r="M244" s="55" t="s">
        <v>77</v>
      </c>
      <c r="N244" s="55" t="s">
        <v>172</v>
      </c>
      <c r="O244" s="55">
        <v>1419000</v>
      </c>
      <c r="P244" s="55">
        <v>39</v>
      </c>
      <c r="Q244" s="55">
        <v>0</v>
      </c>
      <c r="R244" s="55">
        <v>0</v>
      </c>
      <c r="S244" s="55">
        <v>0</v>
      </c>
      <c r="T244" s="55">
        <v>0</v>
      </c>
      <c r="U244" s="55">
        <v>0</v>
      </c>
      <c r="V244" s="55">
        <v>0</v>
      </c>
      <c r="W244" s="55">
        <v>0</v>
      </c>
      <c r="X244" s="55">
        <v>0</v>
      </c>
      <c r="Y244" s="63">
        <v>0</v>
      </c>
      <c r="Z244" s="55">
        <v>0</v>
      </c>
      <c r="AA244" s="55">
        <v>0</v>
      </c>
      <c r="AB244" s="55">
        <v>0</v>
      </c>
      <c r="AC244" s="55">
        <v>1419000</v>
      </c>
      <c r="AD244" s="57">
        <v>39</v>
      </c>
      <c r="AF244" s="47">
        <f t="shared" si="3"/>
        <v>1419000</v>
      </c>
    </row>
    <row r="245" spans="1:32" x14ac:dyDescent="0.3">
      <c r="A245" s="46" t="s">
        <v>1</v>
      </c>
      <c r="B245" s="46" t="str">
        <f>IFERROR(VLOOKUP($H245,매장구분!$B:$Z,2,0),"")</f>
        <v>리테일채널팀</v>
      </c>
      <c r="C245" s="46" t="str">
        <f>IFERROR(VLOOKUP($H245,매장구분!$B:$Z,3,0),"")</f>
        <v>국내</v>
      </c>
      <c r="D245" s="46" t="str">
        <f>IFERROR(VLOOKUP($H245,매장구분!$B:$Z,5,0),"")</f>
        <v>상설(위탁)</v>
      </c>
      <c r="E245" s="46" t="str">
        <f>IFERROR(VLOOKUP($H245,매장구분!$B:$Z,9,0),"")</f>
        <v>현대아울렛가산(상-위)</v>
      </c>
      <c r="F245" s="58"/>
      <c r="G245" s="59" t="s">
        <v>285</v>
      </c>
      <c r="H245" s="60" t="s">
        <v>286</v>
      </c>
      <c r="I245" s="60" t="s">
        <v>169</v>
      </c>
      <c r="J245" s="60" t="s">
        <v>79</v>
      </c>
      <c r="K245" s="60" t="s">
        <v>170</v>
      </c>
      <c r="L245" s="60" t="s">
        <v>171</v>
      </c>
      <c r="M245" s="60" t="s">
        <v>219</v>
      </c>
      <c r="N245" s="60" t="s">
        <v>219</v>
      </c>
      <c r="O245" s="60">
        <v>990000</v>
      </c>
      <c r="P245" s="60">
        <v>27</v>
      </c>
      <c r="Q245" s="60">
        <v>0</v>
      </c>
      <c r="R245" s="60">
        <v>0</v>
      </c>
      <c r="S245" s="60">
        <v>0</v>
      </c>
      <c r="T245" s="60">
        <v>0</v>
      </c>
      <c r="U245" s="60">
        <v>0</v>
      </c>
      <c r="V245" s="60">
        <v>0</v>
      </c>
      <c r="W245" s="60">
        <v>0</v>
      </c>
      <c r="X245" s="60">
        <v>0</v>
      </c>
      <c r="Y245" s="64">
        <v>0</v>
      </c>
      <c r="Z245" s="60">
        <v>0</v>
      </c>
      <c r="AA245" s="60">
        <v>0</v>
      </c>
      <c r="AB245" s="60">
        <v>0</v>
      </c>
      <c r="AC245" s="60">
        <v>990000</v>
      </c>
      <c r="AD245" s="62">
        <v>27</v>
      </c>
      <c r="AF245" s="47">
        <f t="shared" si="3"/>
        <v>990000</v>
      </c>
    </row>
    <row r="246" spans="1:32" x14ac:dyDescent="0.3">
      <c r="A246" s="46" t="s">
        <v>1</v>
      </c>
      <c r="B246" s="46" t="str">
        <f>IFERROR(VLOOKUP($H246,매장구분!$B:$Z,2,0),"")</f>
        <v>리테일채널팀</v>
      </c>
      <c r="C246" s="46" t="str">
        <f>IFERROR(VLOOKUP($H246,매장구분!$B:$Z,3,0),"")</f>
        <v>국내</v>
      </c>
      <c r="D246" s="46" t="str">
        <f>IFERROR(VLOOKUP($H246,매장구분!$B:$Z,5,0),"")</f>
        <v>대리점</v>
      </c>
      <c r="E246" s="46" t="str">
        <f>IFERROR(VLOOKUP($H246,매장구분!$B:$Z,9,0),"")</f>
        <v>정읍(대-위)</v>
      </c>
      <c r="F246" s="53"/>
      <c r="G246" s="54" t="s">
        <v>318</v>
      </c>
      <c r="H246" s="55" t="s">
        <v>319</v>
      </c>
      <c r="I246" s="55" t="s">
        <v>169</v>
      </c>
      <c r="J246" s="55" t="s">
        <v>79</v>
      </c>
      <c r="K246" s="55" t="s">
        <v>170</v>
      </c>
      <c r="L246" s="55" t="s">
        <v>171</v>
      </c>
      <c r="M246" s="55" t="s">
        <v>196</v>
      </c>
      <c r="N246" s="55" t="s">
        <v>197</v>
      </c>
      <c r="O246" s="55">
        <v>8447647</v>
      </c>
      <c r="P246" s="55">
        <v>90</v>
      </c>
      <c r="Q246" s="55">
        <v>0</v>
      </c>
      <c r="R246" s="55">
        <v>0</v>
      </c>
      <c r="S246" s="55">
        <v>0</v>
      </c>
      <c r="T246" s="55">
        <v>0</v>
      </c>
      <c r="U246" s="55">
        <v>630053</v>
      </c>
      <c r="V246" s="55">
        <v>4</v>
      </c>
      <c r="W246" s="55">
        <v>0</v>
      </c>
      <c r="X246" s="55">
        <v>0</v>
      </c>
      <c r="Y246" s="63">
        <v>0</v>
      </c>
      <c r="Z246" s="55">
        <v>0</v>
      </c>
      <c r="AA246" s="55">
        <v>0</v>
      </c>
      <c r="AB246" s="55">
        <v>0</v>
      </c>
      <c r="AC246" s="55">
        <v>9077700</v>
      </c>
      <c r="AD246" s="57">
        <v>94</v>
      </c>
      <c r="AF246" s="47">
        <f t="shared" si="3"/>
        <v>9077700</v>
      </c>
    </row>
    <row r="247" spans="1:32" x14ac:dyDescent="0.3">
      <c r="A247" s="46" t="s">
        <v>1</v>
      </c>
      <c r="B247" s="46" t="str">
        <f>IFERROR(VLOOKUP($H247,매장구분!$B:$Z,2,0),"")</f>
        <v>파트너채널팀</v>
      </c>
      <c r="C247" s="46" t="str">
        <f>IFERROR(VLOOKUP($H247,매장구분!$B:$Z,3,0),"")</f>
        <v>국내</v>
      </c>
      <c r="D247" s="46" t="str">
        <f>IFERROR(VLOOKUP($H247,매장구분!$B:$Z,5,0),"")</f>
        <v>백화점</v>
      </c>
      <c r="E247" s="46" t="str">
        <f>IFERROR(VLOOKUP($H247,매장구분!$B:$Z,9,0),"")</f>
        <v>갤러리아대전</v>
      </c>
      <c r="F247" s="58"/>
      <c r="G247" s="59" t="s">
        <v>303</v>
      </c>
      <c r="H247" s="60" t="s">
        <v>304</v>
      </c>
      <c r="I247" s="60" t="s">
        <v>169</v>
      </c>
      <c r="J247" s="60" t="s">
        <v>175</v>
      </c>
      <c r="K247" s="60" t="s">
        <v>170</v>
      </c>
      <c r="L247" s="60" t="s">
        <v>171</v>
      </c>
      <c r="M247" s="60" t="s">
        <v>77</v>
      </c>
      <c r="N247" s="60" t="s">
        <v>172</v>
      </c>
      <c r="O247" s="60">
        <v>14436900</v>
      </c>
      <c r="P247" s="60">
        <v>178</v>
      </c>
      <c r="Q247" s="60">
        <v>0</v>
      </c>
      <c r="R247" s="60">
        <v>0</v>
      </c>
      <c r="S247" s="60">
        <v>0</v>
      </c>
      <c r="T247" s="60">
        <v>0</v>
      </c>
      <c r="U247" s="60">
        <v>-1416000</v>
      </c>
      <c r="V247" s="60">
        <v>-4</v>
      </c>
      <c r="W247" s="60">
        <v>0</v>
      </c>
      <c r="X247" s="60">
        <v>0</v>
      </c>
      <c r="Y247" s="64">
        <v>13996000</v>
      </c>
      <c r="Z247" s="60">
        <v>65</v>
      </c>
      <c r="AA247" s="60">
        <v>0</v>
      </c>
      <c r="AB247" s="60">
        <v>0</v>
      </c>
      <c r="AC247" s="60">
        <v>27016900</v>
      </c>
      <c r="AD247" s="62">
        <v>239</v>
      </c>
      <c r="AF247" s="47">
        <f t="shared" si="3"/>
        <v>13020900</v>
      </c>
    </row>
    <row r="248" spans="1:32" x14ac:dyDescent="0.3">
      <c r="A248" s="46" t="s">
        <v>1</v>
      </c>
      <c r="B248" s="46" t="str">
        <f>IFERROR(VLOOKUP($H248,매장구분!$B:$Z,2,0),"")</f>
        <v>리테일채널팀</v>
      </c>
      <c r="C248" s="46" t="str">
        <f>IFERROR(VLOOKUP($H248,매장구분!$B:$Z,3,0),"")</f>
        <v>국내</v>
      </c>
      <c r="D248" s="46" t="str">
        <f>IFERROR(VLOOKUP($H248,매장구분!$B:$Z,5,0),"")</f>
        <v>대리점</v>
      </c>
      <c r="E248" s="46" t="str">
        <f>IFERROR(VLOOKUP($H248,매장구분!$B:$Z,9,0),"")</f>
        <v>아이즈빌부평(대-위)</v>
      </c>
      <c r="F248" s="53"/>
      <c r="G248" s="54" t="s">
        <v>315</v>
      </c>
      <c r="H248" s="55" t="s">
        <v>316</v>
      </c>
      <c r="I248" s="55" t="s">
        <v>169</v>
      </c>
      <c r="J248" s="55" t="s">
        <v>79</v>
      </c>
      <c r="K248" s="55" t="s">
        <v>170</v>
      </c>
      <c r="L248" s="55" t="s">
        <v>171</v>
      </c>
      <c r="M248" s="55" t="s">
        <v>188</v>
      </c>
      <c r="N248" s="55" t="s">
        <v>317</v>
      </c>
      <c r="O248" s="55">
        <v>28143800</v>
      </c>
      <c r="P248" s="55">
        <v>294</v>
      </c>
      <c r="Q248" s="55">
        <v>0</v>
      </c>
      <c r="R248" s="55">
        <v>0</v>
      </c>
      <c r="S248" s="55">
        <v>0</v>
      </c>
      <c r="T248" s="55">
        <v>0</v>
      </c>
      <c r="U248" s="55">
        <v>0</v>
      </c>
      <c r="V248" s="55">
        <v>0</v>
      </c>
      <c r="W248" s="55">
        <v>0</v>
      </c>
      <c r="X248" s="55">
        <v>0</v>
      </c>
      <c r="Y248" s="63">
        <v>44336000</v>
      </c>
      <c r="Z248" s="55">
        <v>484</v>
      </c>
      <c r="AA248" s="55">
        <v>0</v>
      </c>
      <c r="AB248" s="55">
        <v>0</v>
      </c>
      <c r="AC248" s="55">
        <v>72479800</v>
      </c>
      <c r="AD248" s="57">
        <v>778</v>
      </c>
      <c r="AF248" s="47">
        <f t="shared" si="3"/>
        <v>28143800</v>
      </c>
    </row>
    <row r="249" spans="1:32" x14ac:dyDescent="0.3">
      <c r="A249" s="46" t="s">
        <v>1</v>
      </c>
      <c r="B249" s="46" t="str">
        <f>IFERROR(VLOOKUP($H249,매장구분!$B:$Z,2,0),"")</f>
        <v>리테일채널팀</v>
      </c>
      <c r="C249" s="46" t="str">
        <f>IFERROR(VLOOKUP($H249,매장구분!$B:$Z,3,0),"")</f>
        <v>국내</v>
      </c>
      <c r="D249" s="46" t="str">
        <f>IFERROR(VLOOKUP($H249,매장구분!$B:$Z,5,0),"")</f>
        <v>대리점</v>
      </c>
      <c r="E249" s="46" t="str">
        <f>IFERROR(VLOOKUP($H249,매장구분!$B:$Z,9,0),"")</f>
        <v>서귀포(대-위)</v>
      </c>
      <c r="F249" s="58"/>
      <c r="G249" s="59" t="s">
        <v>313</v>
      </c>
      <c r="H249" s="60" t="s">
        <v>314</v>
      </c>
      <c r="I249" s="60" t="s">
        <v>169</v>
      </c>
      <c r="J249" s="60" t="s">
        <v>79</v>
      </c>
      <c r="K249" s="60" t="s">
        <v>170</v>
      </c>
      <c r="L249" s="60" t="s">
        <v>171</v>
      </c>
      <c r="M249" s="60" t="s">
        <v>196</v>
      </c>
      <c r="N249" s="60" t="s">
        <v>197</v>
      </c>
      <c r="O249" s="60">
        <v>9046833</v>
      </c>
      <c r="P249" s="60">
        <v>111</v>
      </c>
      <c r="Q249" s="60">
        <v>0</v>
      </c>
      <c r="R249" s="60">
        <v>0</v>
      </c>
      <c r="S249" s="60">
        <v>0</v>
      </c>
      <c r="T249" s="60">
        <v>0</v>
      </c>
      <c r="U249" s="60">
        <v>2647300</v>
      </c>
      <c r="V249" s="60">
        <v>14</v>
      </c>
      <c r="W249" s="60">
        <v>0</v>
      </c>
      <c r="X249" s="60">
        <v>0</v>
      </c>
      <c r="Y249" s="64">
        <v>0</v>
      </c>
      <c r="Z249" s="60">
        <v>0</v>
      </c>
      <c r="AA249" s="60">
        <v>0</v>
      </c>
      <c r="AB249" s="60">
        <v>0</v>
      </c>
      <c r="AC249" s="60">
        <v>11694133</v>
      </c>
      <c r="AD249" s="62">
        <v>125</v>
      </c>
      <c r="AF249" s="47">
        <f t="shared" si="3"/>
        <v>11694133</v>
      </c>
    </row>
    <row r="250" spans="1:32" x14ac:dyDescent="0.3">
      <c r="A250" s="46" t="s">
        <v>1</v>
      </c>
      <c r="B250" s="46" t="str">
        <f>IFERROR(VLOOKUP($H250,매장구분!$B:$Z,2,0),"")</f>
        <v>파트너채널팀</v>
      </c>
      <c r="C250" s="46" t="str">
        <f>IFERROR(VLOOKUP($H250,매장구분!$B:$Z,3,0),"")</f>
        <v>면세</v>
      </c>
      <c r="D250" s="46" t="str">
        <f>IFERROR(VLOOKUP($H250,매장구분!$B:$Z,5,0),"")</f>
        <v>면세</v>
      </c>
      <c r="E250" s="46" t="str">
        <f>IFERROR(VLOOKUP($H250,매장구분!$B:$Z,9,0),"")</f>
        <v>신라면세장충</v>
      </c>
      <c r="F250" s="53"/>
      <c r="G250" s="54" t="s">
        <v>299</v>
      </c>
      <c r="H250" s="55" t="s">
        <v>300</v>
      </c>
      <c r="I250" s="55" t="s">
        <v>169</v>
      </c>
      <c r="J250" s="55" t="s">
        <v>175</v>
      </c>
      <c r="K250" s="55" t="s">
        <v>170</v>
      </c>
      <c r="L250" s="55" t="s">
        <v>171</v>
      </c>
      <c r="M250" s="55" t="s">
        <v>176</v>
      </c>
      <c r="N250" s="55" t="s">
        <v>177</v>
      </c>
      <c r="O250" s="55">
        <v>153542200</v>
      </c>
      <c r="P250" s="55">
        <v>3177</v>
      </c>
      <c r="Q250" s="55">
        <v>0</v>
      </c>
      <c r="R250" s="55">
        <v>0</v>
      </c>
      <c r="S250" s="55">
        <v>0</v>
      </c>
      <c r="T250" s="55">
        <v>0</v>
      </c>
      <c r="U250" s="55">
        <v>0</v>
      </c>
      <c r="V250" s="55">
        <v>0</v>
      </c>
      <c r="W250" s="55">
        <v>0</v>
      </c>
      <c r="X250" s="55">
        <v>0</v>
      </c>
      <c r="Y250" s="63">
        <v>348775600</v>
      </c>
      <c r="Z250" s="55">
        <v>3882</v>
      </c>
      <c r="AA250" s="55">
        <v>0</v>
      </c>
      <c r="AB250" s="55">
        <v>0</v>
      </c>
      <c r="AC250" s="55">
        <v>502317800</v>
      </c>
      <c r="AD250" s="57">
        <v>7059</v>
      </c>
      <c r="AF250" s="47">
        <f t="shared" si="3"/>
        <v>153542200</v>
      </c>
    </row>
    <row r="251" spans="1:32" x14ac:dyDescent="0.3">
      <c r="A251" s="46" t="s">
        <v>1</v>
      </c>
      <c r="B251" s="46" t="str">
        <f>IFERROR(VLOOKUP($H251,매장구분!$B:$Z,2,0),"")</f>
        <v>리테일채널팀</v>
      </c>
      <c r="C251" s="46" t="str">
        <f>IFERROR(VLOOKUP($H251,매장구분!$B:$Z,3,0),"")</f>
        <v>국내</v>
      </c>
      <c r="D251" s="46" t="str">
        <f>IFERROR(VLOOKUP($H251,매장구분!$B:$Z,5,0),"")</f>
        <v>대리점</v>
      </c>
      <c r="E251" s="46" t="str">
        <f>IFERROR(VLOOKUP($H251,매장구분!$B:$Z,9,0),"")</f>
        <v>안성(대-위)</v>
      </c>
      <c r="F251" s="58"/>
      <c r="G251" s="59" t="s">
        <v>309</v>
      </c>
      <c r="H251" s="60" t="s">
        <v>310</v>
      </c>
      <c r="I251" s="60" t="s">
        <v>169</v>
      </c>
      <c r="J251" s="60" t="s">
        <v>79</v>
      </c>
      <c r="K251" s="60" t="s">
        <v>170</v>
      </c>
      <c r="L251" s="60" t="s">
        <v>171</v>
      </c>
      <c r="M251" s="60" t="s">
        <v>196</v>
      </c>
      <c r="N251" s="60" t="s">
        <v>197</v>
      </c>
      <c r="O251" s="60">
        <v>7694000</v>
      </c>
      <c r="P251" s="60">
        <v>74</v>
      </c>
      <c r="Q251" s="60">
        <v>0</v>
      </c>
      <c r="R251" s="60">
        <v>0</v>
      </c>
      <c r="S251" s="60">
        <v>0</v>
      </c>
      <c r="T251" s="60">
        <v>0</v>
      </c>
      <c r="U251" s="60">
        <v>159000</v>
      </c>
      <c r="V251" s="60">
        <v>1</v>
      </c>
      <c r="W251" s="60">
        <v>0</v>
      </c>
      <c r="X251" s="60">
        <v>0</v>
      </c>
      <c r="Y251" s="64">
        <v>1570800</v>
      </c>
      <c r="Z251" s="60">
        <v>13</v>
      </c>
      <c r="AA251" s="60">
        <v>0</v>
      </c>
      <c r="AB251" s="60">
        <v>0</v>
      </c>
      <c r="AC251" s="60">
        <v>9423800</v>
      </c>
      <c r="AD251" s="62">
        <v>88</v>
      </c>
      <c r="AF251" s="47">
        <f t="shared" si="3"/>
        <v>7853000</v>
      </c>
    </row>
    <row r="252" spans="1:32" x14ac:dyDescent="0.3">
      <c r="A252" s="46" t="s">
        <v>1</v>
      </c>
      <c r="B252" s="46" t="str">
        <f>IFERROR(VLOOKUP($H252,매장구분!$B:$Z,2,0),"")</f>
        <v>리테일채널팀</v>
      </c>
      <c r="C252" s="46" t="str">
        <f>IFERROR(VLOOKUP($H252,매장구분!$B:$Z,3,0),"")</f>
        <v>국내</v>
      </c>
      <c r="D252" s="46" t="str">
        <f>IFERROR(VLOOKUP($H252,매장구분!$B:$Z,5,0),"")</f>
        <v>대리점</v>
      </c>
      <c r="E252" s="46" t="str">
        <f>IFERROR(VLOOKUP($H252,매장구분!$B:$Z,9,0),"")</f>
        <v>안산중앙(대-위)</v>
      </c>
      <c r="F252" s="53"/>
      <c r="G252" s="54" t="s">
        <v>307</v>
      </c>
      <c r="H252" s="55" t="s">
        <v>308</v>
      </c>
      <c r="I252" s="55" t="s">
        <v>169</v>
      </c>
      <c r="J252" s="55" t="s">
        <v>79</v>
      </c>
      <c r="K252" s="55" t="s">
        <v>170</v>
      </c>
      <c r="L252" s="55" t="s">
        <v>171</v>
      </c>
      <c r="M252" s="55" t="s">
        <v>196</v>
      </c>
      <c r="N252" s="55" t="s">
        <v>197</v>
      </c>
      <c r="O252" s="55">
        <v>11128800</v>
      </c>
      <c r="P252" s="55">
        <v>94</v>
      </c>
      <c r="Q252" s="55">
        <v>0</v>
      </c>
      <c r="R252" s="55">
        <v>0</v>
      </c>
      <c r="S252" s="55">
        <v>0</v>
      </c>
      <c r="T252" s="55">
        <v>0</v>
      </c>
      <c r="U252" s="55">
        <v>627000</v>
      </c>
      <c r="V252" s="55">
        <v>3</v>
      </c>
      <c r="W252" s="55">
        <v>0</v>
      </c>
      <c r="X252" s="55">
        <v>0</v>
      </c>
      <c r="Y252" s="63">
        <v>0</v>
      </c>
      <c r="Z252" s="55">
        <v>0</v>
      </c>
      <c r="AA252" s="55">
        <v>0</v>
      </c>
      <c r="AB252" s="55">
        <v>0</v>
      </c>
      <c r="AC252" s="55">
        <v>11755800</v>
      </c>
      <c r="AD252" s="57">
        <v>97</v>
      </c>
      <c r="AF252" s="47">
        <f t="shared" si="3"/>
        <v>11755800</v>
      </c>
    </row>
    <row r="253" spans="1:32" x14ac:dyDescent="0.3">
      <c r="A253" s="46" t="s">
        <v>1</v>
      </c>
      <c r="B253" s="46" t="str">
        <f>IFERROR(VLOOKUP($H253,매장구분!$B:$Z,2,0),"")</f>
        <v>리테일채널팀</v>
      </c>
      <c r="C253" s="46" t="str">
        <f>IFERROR(VLOOKUP($H253,매장구분!$B:$Z,3,0),"")</f>
        <v>국내</v>
      </c>
      <c r="D253" s="46" t="str">
        <f>IFERROR(VLOOKUP($H253,매장구분!$B:$Z,5,0),"")</f>
        <v>대리점</v>
      </c>
      <c r="E253" s="46" t="str">
        <f>IFERROR(VLOOKUP($H253,매장구분!$B:$Z,9,0),"")</f>
        <v>안산시화(대-위)</v>
      </c>
      <c r="F253" s="58"/>
      <c r="G253" s="59" t="s">
        <v>291</v>
      </c>
      <c r="H253" s="60" t="s">
        <v>292</v>
      </c>
      <c r="I253" s="60" t="s">
        <v>169</v>
      </c>
      <c r="J253" s="60" t="s">
        <v>79</v>
      </c>
      <c r="K253" s="60" t="s">
        <v>170</v>
      </c>
      <c r="L253" s="60" t="s">
        <v>171</v>
      </c>
      <c r="M253" s="60" t="s">
        <v>196</v>
      </c>
      <c r="N253" s="60" t="s">
        <v>197</v>
      </c>
      <c r="O253" s="60">
        <v>16074155</v>
      </c>
      <c r="P253" s="60">
        <v>140</v>
      </c>
      <c r="Q253" s="60">
        <v>0</v>
      </c>
      <c r="R253" s="60">
        <v>0</v>
      </c>
      <c r="S253" s="60">
        <v>0</v>
      </c>
      <c r="T253" s="60">
        <v>0</v>
      </c>
      <c r="U253" s="60">
        <v>815541</v>
      </c>
      <c r="V253" s="60">
        <v>5</v>
      </c>
      <c r="W253" s="60">
        <v>0</v>
      </c>
      <c r="X253" s="60">
        <v>0</v>
      </c>
      <c r="Y253" s="64">
        <v>0</v>
      </c>
      <c r="Z253" s="60">
        <v>0</v>
      </c>
      <c r="AA253" s="60">
        <v>0</v>
      </c>
      <c r="AB253" s="60">
        <v>0</v>
      </c>
      <c r="AC253" s="60">
        <v>16889696</v>
      </c>
      <c r="AD253" s="62">
        <v>145</v>
      </c>
      <c r="AF253" s="47">
        <f t="shared" si="3"/>
        <v>16889696</v>
      </c>
    </row>
    <row r="254" spans="1:32" x14ac:dyDescent="0.3">
      <c r="A254" s="46" t="s">
        <v>1</v>
      </c>
      <c r="B254" s="46" t="str">
        <f>IFERROR(VLOOKUP($H254,매장구분!$B:$Z,2,0),"")</f>
        <v>리테일채널팀</v>
      </c>
      <c r="C254" s="46" t="str">
        <f>IFERROR(VLOOKUP($H254,매장구분!$B:$Z,3,0),"")</f>
        <v>국내</v>
      </c>
      <c r="D254" s="46" t="str">
        <f>IFERROR(VLOOKUP($H254,매장구분!$B:$Z,5,0),"")</f>
        <v>대리점</v>
      </c>
      <c r="E254" s="46" t="str">
        <f>IFERROR(VLOOKUP($H254,매장구분!$B:$Z,9,0),"")</f>
        <v>전주중앙(대-위)</v>
      </c>
      <c r="F254" s="53"/>
      <c r="G254" s="54" t="s">
        <v>293</v>
      </c>
      <c r="H254" s="55" t="s">
        <v>294</v>
      </c>
      <c r="I254" s="55" t="s">
        <v>169</v>
      </c>
      <c r="J254" s="55" t="s">
        <v>79</v>
      </c>
      <c r="K254" s="55" t="s">
        <v>170</v>
      </c>
      <c r="L254" s="55" t="s">
        <v>171</v>
      </c>
      <c r="M254" s="55" t="s">
        <v>196</v>
      </c>
      <c r="N254" s="55" t="s">
        <v>197</v>
      </c>
      <c r="O254" s="55">
        <v>13682310</v>
      </c>
      <c r="P254" s="55">
        <v>122</v>
      </c>
      <c r="Q254" s="55">
        <v>0</v>
      </c>
      <c r="R254" s="55">
        <v>0</v>
      </c>
      <c r="S254" s="55">
        <v>0</v>
      </c>
      <c r="T254" s="55">
        <v>0</v>
      </c>
      <c r="U254" s="55">
        <v>758400</v>
      </c>
      <c r="V254" s="55">
        <v>5</v>
      </c>
      <c r="W254" s="55">
        <v>0</v>
      </c>
      <c r="X254" s="55">
        <v>0</v>
      </c>
      <c r="Y254" s="63">
        <v>0</v>
      </c>
      <c r="Z254" s="55">
        <v>0</v>
      </c>
      <c r="AA254" s="55">
        <v>0</v>
      </c>
      <c r="AB254" s="55">
        <v>0</v>
      </c>
      <c r="AC254" s="55">
        <v>14440710</v>
      </c>
      <c r="AD254" s="57">
        <v>127</v>
      </c>
      <c r="AF254" s="47">
        <f t="shared" si="3"/>
        <v>14440710</v>
      </c>
    </row>
    <row r="255" spans="1:32" x14ac:dyDescent="0.3">
      <c r="A255" s="46" t="s">
        <v>1</v>
      </c>
      <c r="B255" s="46" t="str">
        <f>IFERROR(VLOOKUP($H255,매장구분!$B:$Z,2,0),"")</f>
        <v>파트너채널팀</v>
      </c>
      <c r="C255" s="46" t="str">
        <f>IFERROR(VLOOKUP($H255,매장구분!$B:$Z,3,0),"")</f>
        <v>국내</v>
      </c>
      <c r="D255" s="46" t="str">
        <f>IFERROR(VLOOKUP($H255,매장구분!$B:$Z,5,0),"")</f>
        <v>백화점</v>
      </c>
      <c r="E255" s="46" t="str">
        <f>IFERROR(VLOOKUP($H255,매장구분!$B:$Z,9,0),"")</f>
        <v>신세계센텀</v>
      </c>
      <c r="F255" s="58"/>
      <c r="G255" s="59" t="s">
        <v>301</v>
      </c>
      <c r="H255" s="60" t="s">
        <v>302</v>
      </c>
      <c r="I255" s="60" t="s">
        <v>169</v>
      </c>
      <c r="J255" s="60" t="s">
        <v>175</v>
      </c>
      <c r="K255" s="60" t="s">
        <v>170</v>
      </c>
      <c r="L255" s="60" t="s">
        <v>171</v>
      </c>
      <c r="M255" s="60" t="s">
        <v>77</v>
      </c>
      <c r="N255" s="60" t="s">
        <v>172</v>
      </c>
      <c r="O255" s="60">
        <v>18503800</v>
      </c>
      <c r="P255" s="60">
        <v>287</v>
      </c>
      <c r="Q255" s="60">
        <v>0</v>
      </c>
      <c r="R255" s="60">
        <v>0</v>
      </c>
      <c r="S255" s="60">
        <v>0</v>
      </c>
      <c r="T255" s="60">
        <v>0</v>
      </c>
      <c r="U255" s="60">
        <v>1000000</v>
      </c>
      <c r="V255" s="60">
        <v>7</v>
      </c>
      <c r="W255" s="60">
        <v>0</v>
      </c>
      <c r="X255" s="60">
        <v>0</v>
      </c>
      <c r="Y255" s="64">
        <v>0</v>
      </c>
      <c r="Z255" s="60">
        <v>0</v>
      </c>
      <c r="AA255" s="60">
        <v>0</v>
      </c>
      <c r="AB255" s="60">
        <v>0</v>
      </c>
      <c r="AC255" s="60">
        <v>19503800</v>
      </c>
      <c r="AD255" s="62">
        <v>294</v>
      </c>
      <c r="AF255" s="47">
        <f t="shared" si="3"/>
        <v>19503800</v>
      </c>
    </row>
    <row r="256" spans="1:32" x14ac:dyDescent="0.3">
      <c r="A256" s="46" t="s">
        <v>1</v>
      </c>
      <c r="B256" s="46" t="str">
        <f>IFERROR(VLOOKUP($H256,매장구분!$B:$Z,2,0),"")</f>
        <v>리테일채널팀</v>
      </c>
      <c r="C256" s="46" t="str">
        <f>IFERROR(VLOOKUP($H256,매장구분!$B:$Z,3,0),"")</f>
        <v>RF</v>
      </c>
      <c r="D256" s="46" t="str">
        <f>IFERROR(VLOOKUP($H256,매장구분!$B:$Z,5,0),"")</f>
        <v>대리점</v>
      </c>
      <c r="E256" s="46" t="str">
        <f>IFERROR(VLOOKUP($H256,매장구분!$B:$Z,9,0),"")</f>
        <v>부산광복(대-위)</v>
      </c>
      <c r="F256" s="53"/>
      <c r="G256" s="54" t="s">
        <v>326</v>
      </c>
      <c r="H256" s="55" t="s">
        <v>327</v>
      </c>
      <c r="I256" s="55" t="s">
        <v>169</v>
      </c>
      <c r="J256" s="55" t="s">
        <v>79</v>
      </c>
      <c r="K256" s="55" t="s">
        <v>170</v>
      </c>
      <c r="L256" s="55" t="s">
        <v>171</v>
      </c>
      <c r="M256" s="55" t="s">
        <v>196</v>
      </c>
      <c r="N256" s="55" t="s">
        <v>197</v>
      </c>
      <c r="O256" s="55">
        <v>37982100</v>
      </c>
      <c r="P256" s="55">
        <v>445</v>
      </c>
      <c r="Q256" s="55">
        <v>0</v>
      </c>
      <c r="R256" s="55">
        <v>0</v>
      </c>
      <c r="S256" s="55">
        <v>0</v>
      </c>
      <c r="T256" s="55">
        <v>0</v>
      </c>
      <c r="U256" s="55">
        <v>1190300</v>
      </c>
      <c r="V256" s="55">
        <v>9</v>
      </c>
      <c r="W256" s="55">
        <v>0</v>
      </c>
      <c r="X256" s="55">
        <v>0</v>
      </c>
      <c r="Y256" s="63">
        <v>41104000</v>
      </c>
      <c r="Z256" s="55">
        <v>680</v>
      </c>
      <c r="AA256" s="55">
        <v>0</v>
      </c>
      <c r="AB256" s="55">
        <v>0</v>
      </c>
      <c r="AC256" s="55">
        <v>80276400</v>
      </c>
      <c r="AD256" s="57">
        <v>1134</v>
      </c>
      <c r="AF256" s="47">
        <f t="shared" si="3"/>
        <v>39172400</v>
      </c>
    </row>
    <row r="257" spans="1:32" x14ac:dyDescent="0.3">
      <c r="A257" s="46" t="s">
        <v>1</v>
      </c>
      <c r="B257" s="46" t="str">
        <f>IFERROR(VLOOKUP($H257,매장구분!$B:$Z,2,0),"")</f>
        <v>리테일채널팀</v>
      </c>
      <c r="C257" s="46" t="str">
        <f>IFERROR(VLOOKUP($H257,매장구분!$B:$Z,3,0),"")</f>
        <v>국내</v>
      </c>
      <c r="D257" s="46" t="str">
        <f>IFERROR(VLOOKUP($H257,매장구분!$B:$Z,5,0),"")</f>
        <v>대리점</v>
      </c>
      <c r="E257" s="46" t="str">
        <f>IFERROR(VLOOKUP($H257,매장구분!$B:$Z,9,0),"")</f>
        <v>포천(대-위)</v>
      </c>
      <c r="F257" s="58"/>
      <c r="G257" s="59" t="s">
        <v>289</v>
      </c>
      <c r="H257" s="60" t="s">
        <v>290</v>
      </c>
      <c r="I257" s="60" t="s">
        <v>169</v>
      </c>
      <c r="J257" s="60" t="s">
        <v>79</v>
      </c>
      <c r="K257" s="60" t="s">
        <v>170</v>
      </c>
      <c r="L257" s="60" t="s">
        <v>171</v>
      </c>
      <c r="M257" s="60" t="s">
        <v>196</v>
      </c>
      <c r="N257" s="60" t="s">
        <v>197</v>
      </c>
      <c r="O257" s="60">
        <v>4213300</v>
      </c>
      <c r="P257" s="60">
        <v>45</v>
      </c>
      <c r="Q257" s="60">
        <v>0</v>
      </c>
      <c r="R257" s="60">
        <v>0</v>
      </c>
      <c r="S257" s="60">
        <v>0</v>
      </c>
      <c r="T257" s="60">
        <v>0</v>
      </c>
      <c r="U257" s="60">
        <v>1787000</v>
      </c>
      <c r="V257" s="60">
        <v>13</v>
      </c>
      <c r="W257" s="60">
        <v>0</v>
      </c>
      <c r="X257" s="60">
        <v>0</v>
      </c>
      <c r="Y257" s="64">
        <v>14740000</v>
      </c>
      <c r="Z257" s="60">
        <v>60</v>
      </c>
      <c r="AA257" s="60">
        <v>0</v>
      </c>
      <c r="AB257" s="60">
        <v>0</v>
      </c>
      <c r="AC257" s="60">
        <v>20740300</v>
      </c>
      <c r="AD257" s="62">
        <v>118</v>
      </c>
      <c r="AF257" s="47">
        <f t="shared" si="3"/>
        <v>6000300</v>
      </c>
    </row>
    <row r="258" spans="1:32" x14ac:dyDescent="0.3">
      <c r="A258" s="46" t="s">
        <v>1</v>
      </c>
      <c r="B258" s="46" t="str">
        <f>IFERROR(VLOOKUP($H258,매장구분!$B:$Z,2,0),"")</f>
        <v>리테일채널팀</v>
      </c>
      <c r="C258" s="46" t="str">
        <f>IFERROR(VLOOKUP($H258,매장구분!$B:$Z,3,0),"")</f>
        <v>국내</v>
      </c>
      <c r="D258" s="46" t="str">
        <f>IFERROR(VLOOKUP($H258,매장구분!$B:$Z,5,0),"")</f>
        <v>대리점</v>
      </c>
      <c r="E258" s="46" t="str">
        <f>IFERROR(VLOOKUP($H258,매장구분!$B:$Z,9,0),"")</f>
        <v>안산한대(대-위)</v>
      </c>
      <c r="F258" s="53"/>
      <c r="G258" s="54" t="s">
        <v>295</v>
      </c>
      <c r="H258" s="55" t="s">
        <v>296</v>
      </c>
      <c r="I258" s="55" t="s">
        <v>169</v>
      </c>
      <c r="J258" s="55" t="s">
        <v>79</v>
      </c>
      <c r="K258" s="55" t="s">
        <v>170</v>
      </c>
      <c r="L258" s="55" t="s">
        <v>171</v>
      </c>
      <c r="M258" s="55" t="s">
        <v>196</v>
      </c>
      <c r="N258" s="55" t="s">
        <v>197</v>
      </c>
      <c r="O258" s="55">
        <v>18829700</v>
      </c>
      <c r="P258" s="55">
        <v>208</v>
      </c>
      <c r="Q258" s="55">
        <v>0</v>
      </c>
      <c r="R258" s="55">
        <v>0</v>
      </c>
      <c r="S258" s="55">
        <v>0</v>
      </c>
      <c r="T258" s="55">
        <v>0</v>
      </c>
      <c r="U258" s="55">
        <v>1561000</v>
      </c>
      <c r="V258" s="55">
        <v>9</v>
      </c>
      <c r="W258" s="55">
        <v>0</v>
      </c>
      <c r="X258" s="55">
        <v>0</v>
      </c>
      <c r="Y258" s="63">
        <v>0</v>
      </c>
      <c r="Z258" s="55">
        <v>0</v>
      </c>
      <c r="AA258" s="55">
        <v>0</v>
      </c>
      <c r="AB258" s="55">
        <v>0</v>
      </c>
      <c r="AC258" s="55">
        <v>20390700</v>
      </c>
      <c r="AD258" s="57">
        <v>217</v>
      </c>
      <c r="AF258" s="47">
        <f t="shared" si="3"/>
        <v>20390700</v>
      </c>
    </row>
    <row r="259" spans="1:32" x14ac:dyDescent="0.3">
      <c r="A259" s="46" t="s">
        <v>1</v>
      </c>
      <c r="B259" s="46" t="str">
        <f>IFERROR(VLOOKUP($H259,매장구분!$B:$Z,2,0),"")</f>
        <v>파트너채널팀</v>
      </c>
      <c r="C259" s="46" t="str">
        <f>IFERROR(VLOOKUP($H259,매장구분!$B:$Z,3,0),"")</f>
        <v>국내</v>
      </c>
      <c r="D259" s="46" t="str">
        <f>IFERROR(VLOOKUP($H259,매장구분!$B:$Z,5,0),"")</f>
        <v>백화점</v>
      </c>
      <c r="E259" s="46" t="str">
        <f>IFERROR(VLOOKUP($H259,매장구분!$B:$Z,9,0),"")</f>
        <v>현대천호</v>
      </c>
      <c r="F259" s="58"/>
      <c r="G259" s="59" t="s">
        <v>305</v>
      </c>
      <c r="H259" s="60" t="s">
        <v>306</v>
      </c>
      <c r="I259" s="60" t="s">
        <v>169</v>
      </c>
      <c r="J259" s="60" t="s">
        <v>175</v>
      </c>
      <c r="K259" s="60" t="s">
        <v>170</v>
      </c>
      <c r="L259" s="60" t="s">
        <v>171</v>
      </c>
      <c r="M259" s="60" t="s">
        <v>77</v>
      </c>
      <c r="N259" s="60" t="s">
        <v>172</v>
      </c>
      <c r="O259" s="60">
        <v>4371700</v>
      </c>
      <c r="P259" s="60">
        <v>67</v>
      </c>
      <c r="Q259" s="60">
        <v>3940500</v>
      </c>
      <c r="R259" s="60">
        <v>42</v>
      </c>
      <c r="S259" s="60">
        <v>0</v>
      </c>
      <c r="T259" s="60">
        <v>0</v>
      </c>
      <c r="U259" s="60">
        <v>1906000</v>
      </c>
      <c r="V259" s="60">
        <v>14</v>
      </c>
      <c r="W259" s="60">
        <v>0</v>
      </c>
      <c r="X259" s="60">
        <v>0</v>
      </c>
      <c r="Y259" s="64">
        <v>0</v>
      </c>
      <c r="Z259" s="60">
        <v>0</v>
      </c>
      <c r="AA259" s="60">
        <v>0</v>
      </c>
      <c r="AB259" s="60">
        <v>0</v>
      </c>
      <c r="AC259" s="60">
        <v>10218200</v>
      </c>
      <c r="AD259" s="62">
        <v>123</v>
      </c>
      <c r="AF259" s="47">
        <f t="shared" ref="AF259:AF322" si="4">IFERROR(AC259-Y259,"")</f>
        <v>10218200</v>
      </c>
    </row>
    <row r="260" spans="1:32" x14ac:dyDescent="0.3">
      <c r="A260" s="46" t="s">
        <v>1</v>
      </c>
      <c r="B260" s="46" t="str">
        <f>IFERROR(VLOOKUP($H260,매장구분!$B:$Z,2,0),"")</f>
        <v>리테일채널팀</v>
      </c>
      <c r="C260" s="46" t="str">
        <f>IFERROR(VLOOKUP($H260,매장구분!$B:$Z,3,0),"")</f>
        <v>국내</v>
      </c>
      <c r="D260" s="46" t="str">
        <f>IFERROR(VLOOKUP($H260,매장구분!$B:$Z,5,0),"")</f>
        <v>대리점</v>
      </c>
      <c r="E260" s="46" t="str">
        <f>IFERROR(VLOOKUP($H260,매장구분!$B:$Z,9,0),"")</f>
        <v>춘천(대-위)</v>
      </c>
      <c r="F260" s="53"/>
      <c r="G260" s="54" t="s">
        <v>320</v>
      </c>
      <c r="H260" s="55" t="s">
        <v>321</v>
      </c>
      <c r="I260" s="55" t="s">
        <v>169</v>
      </c>
      <c r="J260" s="55" t="s">
        <v>79</v>
      </c>
      <c r="K260" s="55" t="s">
        <v>170</v>
      </c>
      <c r="L260" s="55" t="s">
        <v>171</v>
      </c>
      <c r="M260" s="55" t="s">
        <v>196</v>
      </c>
      <c r="N260" s="55" t="s">
        <v>197</v>
      </c>
      <c r="O260" s="55">
        <v>17725200</v>
      </c>
      <c r="P260" s="55">
        <v>186</v>
      </c>
      <c r="Q260" s="55">
        <v>0</v>
      </c>
      <c r="R260" s="55">
        <v>0</v>
      </c>
      <c r="S260" s="55">
        <v>0</v>
      </c>
      <c r="T260" s="55">
        <v>0</v>
      </c>
      <c r="U260" s="55">
        <v>456000</v>
      </c>
      <c r="V260" s="55">
        <v>4</v>
      </c>
      <c r="W260" s="55">
        <v>0</v>
      </c>
      <c r="X260" s="55">
        <v>0</v>
      </c>
      <c r="Y260" s="63">
        <v>0</v>
      </c>
      <c r="Z260" s="55">
        <v>0</v>
      </c>
      <c r="AA260" s="55">
        <v>0</v>
      </c>
      <c r="AB260" s="55">
        <v>0</v>
      </c>
      <c r="AC260" s="55">
        <v>18181200</v>
      </c>
      <c r="AD260" s="57">
        <v>190</v>
      </c>
      <c r="AF260" s="47">
        <f t="shared" si="4"/>
        <v>18181200</v>
      </c>
    </row>
    <row r="261" spans="1:32" x14ac:dyDescent="0.3">
      <c r="A261" s="46" t="s">
        <v>1</v>
      </c>
      <c r="B261" s="46" t="str">
        <f>IFERROR(VLOOKUP($H261,매장구분!$B:$Z,2,0),"")</f>
        <v>파트너채널팀</v>
      </c>
      <c r="C261" s="46" t="str">
        <f>IFERROR(VLOOKUP($H261,매장구분!$B:$Z,3,0),"")</f>
        <v>국내</v>
      </c>
      <c r="D261" s="46" t="str">
        <f>IFERROR(VLOOKUP($H261,매장구분!$B:$Z,5,0),"")</f>
        <v>백화점</v>
      </c>
      <c r="E261" s="46" t="str">
        <f>IFERROR(VLOOKUP($H261,매장구분!$B:$Z,9,0),"")</f>
        <v>현대신촌</v>
      </c>
      <c r="F261" s="58"/>
      <c r="G261" s="59" t="s">
        <v>297</v>
      </c>
      <c r="H261" s="60" t="s">
        <v>298</v>
      </c>
      <c r="I261" s="60" t="s">
        <v>169</v>
      </c>
      <c r="J261" s="60" t="s">
        <v>175</v>
      </c>
      <c r="K261" s="60" t="s">
        <v>170</v>
      </c>
      <c r="L261" s="60" t="s">
        <v>171</v>
      </c>
      <c r="M261" s="60" t="s">
        <v>77</v>
      </c>
      <c r="N261" s="60" t="s">
        <v>172</v>
      </c>
      <c r="O261" s="60">
        <v>7244300</v>
      </c>
      <c r="P261" s="60">
        <v>95</v>
      </c>
      <c r="Q261" s="60">
        <v>2197500</v>
      </c>
      <c r="R261" s="60">
        <v>29</v>
      </c>
      <c r="S261" s="60">
        <v>0</v>
      </c>
      <c r="T261" s="60">
        <v>0</v>
      </c>
      <c r="U261" s="60">
        <v>785000</v>
      </c>
      <c r="V261" s="60">
        <v>5</v>
      </c>
      <c r="W261" s="60">
        <v>0</v>
      </c>
      <c r="X261" s="60">
        <v>0</v>
      </c>
      <c r="Y261" s="64">
        <v>4839000</v>
      </c>
      <c r="Z261" s="60">
        <v>47</v>
      </c>
      <c r="AA261" s="60">
        <v>0</v>
      </c>
      <c r="AB261" s="60">
        <v>0</v>
      </c>
      <c r="AC261" s="60">
        <v>15065800</v>
      </c>
      <c r="AD261" s="62">
        <v>176</v>
      </c>
      <c r="AF261" s="47">
        <f t="shared" si="4"/>
        <v>10226800</v>
      </c>
    </row>
    <row r="262" spans="1:32" x14ac:dyDescent="0.3">
      <c r="A262" s="46" t="s">
        <v>1</v>
      </c>
      <c r="B262" s="46" t="str">
        <f>IFERROR(VLOOKUP($H262,매장구분!$B:$Z,2,0),"")</f>
        <v>리테일채널팀</v>
      </c>
      <c r="C262" s="46" t="str">
        <f>IFERROR(VLOOKUP($H262,매장구분!$B:$Z,3,0),"")</f>
        <v>국내</v>
      </c>
      <c r="D262" s="46" t="str">
        <f>IFERROR(VLOOKUP($H262,매장구분!$B:$Z,5,0),"")</f>
        <v>대리점</v>
      </c>
      <c r="E262" s="46" t="str">
        <f>IFERROR(VLOOKUP($H262,매장구분!$B:$Z,9,0),"")</f>
        <v>제천(대-위)</v>
      </c>
      <c r="F262" s="53"/>
      <c r="G262" s="54" t="s">
        <v>311</v>
      </c>
      <c r="H262" s="55" t="s">
        <v>312</v>
      </c>
      <c r="I262" s="55" t="s">
        <v>169</v>
      </c>
      <c r="J262" s="55" t="s">
        <v>79</v>
      </c>
      <c r="K262" s="55" t="s">
        <v>170</v>
      </c>
      <c r="L262" s="55" t="s">
        <v>171</v>
      </c>
      <c r="M262" s="55" t="s">
        <v>196</v>
      </c>
      <c r="N262" s="55" t="s">
        <v>197</v>
      </c>
      <c r="O262" s="55">
        <v>9247100</v>
      </c>
      <c r="P262" s="55">
        <v>73</v>
      </c>
      <c r="Q262" s="55">
        <v>0</v>
      </c>
      <c r="R262" s="55">
        <v>0</v>
      </c>
      <c r="S262" s="55">
        <v>0</v>
      </c>
      <c r="T262" s="55">
        <v>0</v>
      </c>
      <c r="U262" s="55">
        <v>0</v>
      </c>
      <c r="V262" s="55">
        <v>0</v>
      </c>
      <c r="W262" s="55">
        <v>0</v>
      </c>
      <c r="X262" s="55">
        <v>0</v>
      </c>
      <c r="Y262" s="63">
        <v>0</v>
      </c>
      <c r="Z262" s="55">
        <v>0</v>
      </c>
      <c r="AA262" s="55">
        <v>0</v>
      </c>
      <c r="AB262" s="55">
        <v>0</v>
      </c>
      <c r="AC262" s="55">
        <v>9247100</v>
      </c>
      <c r="AD262" s="57">
        <v>73</v>
      </c>
      <c r="AF262" s="47">
        <f t="shared" si="4"/>
        <v>9247100</v>
      </c>
    </row>
    <row r="263" spans="1:32" x14ac:dyDescent="0.3">
      <c r="A263" s="46" t="s">
        <v>1</v>
      </c>
      <c r="B263" s="46" t="str">
        <f>IFERROR(VLOOKUP($H263,매장구분!$B:$Z,2,0),"")</f>
        <v>리테일채널팀</v>
      </c>
      <c r="C263" s="46" t="str">
        <f>IFERROR(VLOOKUP($H263,매장구분!$B:$Z,3,0),"")</f>
        <v>국내</v>
      </c>
      <c r="D263" s="46" t="str">
        <f>IFERROR(VLOOKUP($H263,매장구분!$B:$Z,5,0),"")</f>
        <v>대리점</v>
      </c>
      <c r="E263" s="46" t="str">
        <f>IFERROR(VLOOKUP($H263,매장구분!$B:$Z,9,0),"")</f>
        <v>나주(대-위)</v>
      </c>
      <c r="F263" s="58"/>
      <c r="G263" s="59" t="s">
        <v>324</v>
      </c>
      <c r="H263" s="60" t="s">
        <v>325</v>
      </c>
      <c r="I263" s="60" t="s">
        <v>169</v>
      </c>
      <c r="J263" s="60" t="s">
        <v>79</v>
      </c>
      <c r="K263" s="60" t="s">
        <v>170</v>
      </c>
      <c r="L263" s="60" t="s">
        <v>171</v>
      </c>
      <c r="M263" s="60" t="s">
        <v>196</v>
      </c>
      <c r="N263" s="60" t="s">
        <v>197</v>
      </c>
      <c r="O263" s="60">
        <v>10968454</v>
      </c>
      <c r="P263" s="60">
        <v>98</v>
      </c>
      <c r="Q263" s="60">
        <v>0</v>
      </c>
      <c r="R263" s="60">
        <v>0</v>
      </c>
      <c r="S263" s="60">
        <v>0</v>
      </c>
      <c r="T263" s="60">
        <v>0</v>
      </c>
      <c r="U263" s="60">
        <v>1473146</v>
      </c>
      <c r="V263" s="60">
        <v>10</v>
      </c>
      <c r="W263" s="60">
        <v>0</v>
      </c>
      <c r="X263" s="60">
        <v>0</v>
      </c>
      <c r="Y263" s="64">
        <v>0</v>
      </c>
      <c r="Z263" s="60">
        <v>0</v>
      </c>
      <c r="AA263" s="60">
        <v>0</v>
      </c>
      <c r="AB263" s="60">
        <v>0</v>
      </c>
      <c r="AC263" s="60">
        <v>12441600</v>
      </c>
      <c r="AD263" s="62">
        <v>108</v>
      </c>
      <c r="AF263" s="47">
        <f t="shared" si="4"/>
        <v>12441600</v>
      </c>
    </row>
    <row r="264" spans="1:32" x14ac:dyDescent="0.3">
      <c r="A264" s="46" t="s">
        <v>1</v>
      </c>
      <c r="B264" s="46" t="str">
        <f>IFERROR(VLOOKUP($H264,매장구분!$B:$Z,2,0),"")</f>
        <v>리테일채널팀</v>
      </c>
      <c r="C264" s="46" t="str">
        <f>IFERROR(VLOOKUP($H264,매장구분!$B:$Z,3,0),"")</f>
        <v>국내</v>
      </c>
      <c r="D264" s="46" t="str">
        <f>IFERROR(VLOOKUP($H264,매장구분!$B:$Z,5,0),"")</f>
        <v>대리점</v>
      </c>
      <c r="E264" s="46" t="str">
        <f>IFERROR(VLOOKUP($H264,매장구분!$B:$Z,9,0),"")</f>
        <v>시흥(대-위)</v>
      </c>
      <c r="F264" s="53"/>
      <c r="G264" s="54" t="s">
        <v>330</v>
      </c>
      <c r="H264" s="55" t="s">
        <v>331</v>
      </c>
      <c r="I264" s="55" t="s">
        <v>169</v>
      </c>
      <c r="J264" s="55" t="s">
        <v>79</v>
      </c>
      <c r="K264" s="55" t="s">
        <v>170</v>
      </c>
      <c r="L264" s="55" t="s">
        <v>171</v>
      </c>
      <c r="M264" s="55" t="s">
        <v>196</v>
      </c>
      <c r="N264" s="55" t="s">
        <v>197</v>
      </c>
      <c r="O264" s="55">
        <v>7652300</v>
      </c>
      <c r="P264" s="55">
        <v>62</v>
      </c>
      <c r="Q264" s="55">
        <v>0</v>
      </c>
      <c r="R264" s="55">
        <v>0</v>
      </c>
      <c r="S264" s="55">
        <v>0</v>
      </c>
      <c r="T264" s="55">
        <v>0</v>
      </c>
      <c r="U264" s="55">
        <v>0</v>
      </c>
      <c r="V264" s="55">
        <v>0</v>
      </c>
      <c r="W264" s="55">
        <v>0</v>
      </c>
      <c r="X264" s="55">
        <v>0</v>
      </c>
      <c r="Y264" s="63">
        <v>0</v>
      </c>
      <c r="Z264" s="55">
        <v>0</v>
      </c>
      <c r="AA264" s="55">
        <v>0</v>
      </c>
      <c r="AB264" s="55">
        <v>0</v>
      </c>
      <c r="AC264" s="55">
        <v>7652300</v>
      </c>
      <c r="AD264" s="57">
        <v>62</v>
      </c>
      <c r="AF264" s="47">
        <f t="shared" si="4"/>
        <v>7652300</v>
      </c>
    </row>
    <row r="265" spans="1:32" x14ac:dyDescent="0.3">
      <c r="A265" s="46" t="s">
        <v>1</v>
      </c>
      <c r="B265" s="46" t="str">
        <f>IFERROR(VLOOKUP($H265,매장구분!$B:$Z,2,0),"")</f>
        <v>리테일채널팀</v>
      </c>
      <c r="C265" s="46" t="str">
        <f>IFERROR(VLOOKUP($H265,매장구분!$B:$Z,3,0),"")</f>
        <v>국내</v>
      </c>
      <c r="D265" s="46" t="str">
        <f>IFERROR(VLOOKUP($H265,매장구분!$B:$Z,5,0),"")</f>
        <v>대리점</v>
      </c>
      <c r="E265" s="46" t="str">
        <f>IFERROR(VLOOKUP($H265,매장구분!$B:$Z,9,0),"")</f>
        <v>충주(대-위)</v>
      </c>
      <c r="F265" s="58"/>
      <c r="G265" s="59" t="s">
        <v>322</v>
      </c>
      <c r="H265" s="60" t="s">
        <v>323</v>
      </c>
      <c r="I265" s="60" t="s">
        <v>169</v>
      </c>
      <c r="J265" s="60" t="s">
        <v>79</v>
      </c>
      <c r="K265" s="60" t="s">
        <v>170</v>
      </c>
      <c r="L265" s="60" t="s">
        <v>171</v>
      </c>
      <c r="M265" s="60" t="s">
        <v>196</v>
      </c>
      <c r="N265" s="60" t="s">
        <v>197</v>
      </c>
      <c r="O265" s="60">
        <v>5639600</v>
      </c>
      <c r="P265" s="60">
        <v>66</v>
      </c>
      <c r="Q265" s="60">
        <v>0</v>
      </c>
      <c r="R265" s="60">
        <v>0</v>
      </c>
      <c r="S265" s="60">
        <v>0</v>
      </c>
      <c r="T265" s="60">
        <v>0</v>
      </c>
      <c r="U265" s="60">
        <v>0</v>
      </c>
      <c r="V265" s="60">
        <v>0</v>
      </c>
      <c r="W265" s="60">
        <v>0</v>
      </c>
      <c r="X265" s="60">
        <v>0</v>
      </c>
      <c r="Y265" s="64">
        <v>5219000</v>
      </c>
      <c r="Z265" s="60">
        <v>29</v>
      </c>
      <c r="AA265" s="60">
        <v>0</v>
      </c>
      <c r="AB265" s="60">
        <v>0</v>
      </c>
      <c r="AC265" s="60">
        <v>10858600</v>
      </c>
      <c r="AD265" s="62">
        <v>95</v>
      </c>
      <c r="AF265" s="47">
        <f t="shared" si="4"/>
        <v>5639600</v>
      </c>
    </row>
    <row r="266" spans="1:32" x14ac:dyDescent="0.3">
      <c r="A266" s="46" t="s">
        <v>1</v>
      </c>
      <c r="B266" s="46" t="str">
        <f>IFERROR(VLOOKUP($H266,매장구분!$B:$Z,2,0),"")</f>
        <v>파트너채널팀</v>
      </c>
      <c r="C266" s="46" t="str">
        <f>IFERROR(VLOOKUP($H266,매장구분!$B:$Z,3,0),"")</f>
        <v>국내</v>
      </c>
      <c r="D266" s="46" t="str">
        <f>IFERROR(VLOOKUP($H266,매장구분!$B:$Z,5,0),"")</f>
        <v>백화점</v>
      </c>
      <c r="E266" s="46" t="str">
        <f>IFERROR(VLOOKUP($H266,매장구분!$B:$Z,9,0),"")</f>
        <v>에버세이브청주</v>
      </c>
      <c r="F266" s="53"/>
      <c r="G266" s="54" t="s">
        <v>328</v>
      </c>
      <c r="H266" s="55" t="s">
        <v>329</v>
      </c>
      <c r="I266" s="55" t="s">
        <v>169</v>
      </c>
      <c r="J266" s="55" t="s">
        <v>175</v>
      </c>
      <c r="K266" s="55" t="s">
        <v>170</v>
      </c>
      <c r="L266" s="55" t="s">
        <v>171</v>
      </c>
      <c r="M266" s="55" t="s">
        <v>77</v>
      </c>
      <c r="N266" s="55" t="s">
        <v>238</v>
      </c>
      <c r="O266" s="55">
        <v>12608500</v>
      </c>
      <c r="P266" s="55">
        <v>117</v>
      </c>
      <c r="Q266" s="55">
        <v>0</v>
      </c>
      <c r="R266" s="55">
        <v>0</v>
      </c>
      <c r="S266" s="55">
        <v>0</v>
      </c>
      <c r="T266" s="55">
        <v>0</v>
      </c>
      <c r="U266" s="55">
        <v>1894100</v>
      </c>
      <c r="V266" s="55">
        <v>12</v>
      </c>
      <c r="W266" s="55">
        <v>0</v>
      </c>
      <c r="X266" s="55">
        <v>0</v>
      </c>
      <c r="Y266" s="63">
        <v>0</v>
      </c>
      <c r="Z266" s="55">
        <v>0</v>
      </c>
      <c r="AA266" s="55">
        <v>0</v>
      </c>
      <c r="AB266" s="55">
        <v>0</v>
      </c>
      <c r="AC266" s="55">
        <v>14502600</v>
      </c>
      <c r="AD266" s="57">
        <v>129</v>
      </c>
      <c r="AF266" s="47">
        <f t="shared" si="4"/>
        <v>14502600</v>
      </c>
    </row>
    <row r="267" spans="1:32" x14ac:dyDescent="0.3">
      <c r="A267" s="46" t="s">
        <v>1</v>
      </c>
      <c r="B267" s="46" t="str">
        <f>IFERROR(VLOOKUP($H267,매장구분!$B:$Z,2,0),"")</f>
        <v>리테일채널팀</v>
      </c>
      <c r="C267" s="46" t="str">
        <f>IFERROR(VLOOKUP($H267,매장구분!$B:$Z,3,0),"")</f>
        <v>국내</v>
      </c>
      <c r="D267" s="46" t="str">
        <f>IFERROR(VLOOKUP($H267,매장구분!$B:$Z,5,0),"")</f>
        <v>상설(위탁)</v>
      </c>
      <c r="E267" s="46" t="str">
        <f>IFERROR(VLOOKUP($H267,매장구분!$B:$Z,9,0),"")</f>
        <v>현대아울렛대전(상-위)</v>
      </c>
      <c r="F267" s="58"/>
      <c r="G267" s="59" t="s">
        <v>287</v>
      </c>
      <c r="H267" s="60" t="s">
        <v>288</v>
      </c>
      <c r="I267" s="60" t="s">
        <v>169</v>
      </c>
      <c r="J267" s="60" t="s">
        <v>79</v>
      </c>
      <c r="K267" s="60" t="s">
        <v>170</v>
      </c>
      <c r="L267" s="60" t="s">
        <v>171</v>
      </c>
      <c r="M267" s="60" t="s">
        <v>219</v>
      </c>
      <c r="N267" s="60" t="s">
        <v>219</v>
      </c>
      <c r="O267" s="60">
        <v>1870000</v>
      </c>
      <c r="P267" s="60">
        <v>49</v>
      </c>
      <c r="Q267" s="60">
        <v>0</v>
      </c>
      <c r="R267" s="60">
        <v>0</v>
      </c>
      <c r="S267" s="60">
        <v>0</v>
      </c>
      <c r="T267" s="60">
        <v>0</v>
      </c>
      <c r="U267" s="60">
        <v>0</v>
      </c>
      <c r="V267" s="60">
        <v>0</v>
      </c>
      <c r="W267" s="60">
        <v>0</v>
      </c>
      <c r="X267" s="60">
        <v>0</v>
      </c>
      <c r="Y267" s="64">
        <v>0</v>
      </c>
      <c r="Z267" s="60">
        <v>0</v>
      </c>
      <c r="AA267" s="60">
        <v>0</v>
      </c>
      <c r="AB267" s="60">
        <v>0</v>
      </c>
      <c r="AC267" s="60">
        <v>1870000</v>
      </c>
      <c r="AD267" s="62">
        <v>49</v>
      </c>
      <c r="AF267" s="47">
        <f t="shared" si="4"/>
        <v>1870000</v>
      </c>
    </row>
    <row r="268" spans="1:32" x14ac:dyDescent="0.3">
      <c r="A268" s="46" t="s">
        <v>1</v>
      </c>
      <c r="B268" s="46" t="str">
        <f>IFERROR(VLOOKUP($H268,매장구분!$B:$Z,2,0),"")</f>
        <v>리테일채널팀</v>
      </c>
      <c r="C268" s="46" t="str">
        <f>IFERROR(VLOOKUP($H268,매장구분!$B:$Z,3,0),"")</f>
        <v>국내</v>
      </c>
      <c r="D268" s="46" t="str">
        <f>IFERROR(VLOOKUP($H268,매장구분!$B:$Z,5,0),"")</f>
        <v>상설(위탁)</v>
      </c>
      <c r="E268" s="46" t="str">
        <f>IFERROR(VLOOKUP($H268,매장구분!$B:$Z,9,0),"")</f>
        <v>NC송파(상-위)</v>
      </c>
      <c r="F268" s="53"/>
      <c r="G268" s="54" t="s">
        <v>378</v>
      </c>
      <c r="H268" s="55" t="s">
        <v>379</v>
      </c>
      <c r="I268" s="55" t="s">
        <v>169</v>
      </c>
      <c r="J268" s="55" t="s">
        <v>79</v>
      </c>
      <c r="K268" s="55" t="s">
        <v>170</v>
      </c>
      <c r="L268" s="55" t="s">
        <v>171</v>
      </c>
      <c r="M268" s="55" t="s">
        <v>77</v>
      </c>
      <c r="N268" s="55" t="s">
        <v>238</v>
      </c>
      <c r="O268" s="55">
        <v>684000</v>
      </c>
      <c r="P268" s="55">
        <v>19</v>
      </c>
      <c r="Q268" s="55">
        <v>0</v>
      </c>
      <c r="R268" s="55">
        <v>0</v>
      </c>
      <c r="S268" s="55">
        <v>0</v>
      </c>
      <c r="T268" s="55">
        <v>0</v>
      </c>
      <c r="U268" s="55">
        <v>0</v>
      </c>
      <c r="V268" s="55">
        <v>0</v>
      </c>
      <c r="W268" s="55">
        <v>0</v>
      </c>
      <c r="X268" s="55">
        <v>0</v>
      </c>
      <c r="Y268" s="63">
        <v>0</v>
      </c>
      <c r="Z268" s="55">
        <v>0</v>
      </c>
      <c r="AA268" s="55">
        <v>0</v>
      </c>
      <c r="AB268" s="55">
        <v>0</v>
      </c>
      <c r="AC268" s="55">
        <v>684000</v>
      </c>
      <c r="AD268" s="57">
        <v>19</v>
      </c>
      <c r="AF268" s="47">
        <f t="shared" si="4"/>
        <v>684000</v>
      </c>
    </row>
    <row r="269" spans="1:32" x14ac:dyDescent="0.3">
      <c r="A269" s="46" t="s">
        <v>1</v>
      </c>
      <c r="B269" s="46" t="str">
        <f>IFERROR(VLOOKUP($H269,매장구분!$B:$Z,2,0),"")</f>
        <v>리테일채널팀</v>
      </c>
      <c r="C269" s="46" t="str">
        <f>IFERROR(VLOOKUP($H269,매장구분!$B:$Z,3,0),"")</f>
        <v>국내</v>
      </c>
      <c r="D269" s="46" t="str">
        <f>IFERROR(VLOOKUP($H269,매장구분!$B:$Z,5,0),"")</f>
        <v>대리점</v>
      </c>
      <c r="E269" s="46" t="str">
        <f>IFERROR(VLOOKUP($H269,매장구분!$B:$Z,9,0),"")</f>
        <v>대구칠곡(대-위)</v>
      </c>
      <c r="F269" s="58"/>
      <c r="G269" s="59" t="s">
        <v>364</v>
      </c>
      <c r="H269" s="60" t="s">
        <v>365</v>
      </c>
      <c r="I269" s="60" t="s">
        <v>169</v>
      </c>
      <c r="J269" s="60" t="s">
        <v>79</v>
      </c>
      <c r="K269" s="60" t="s">
        <v>170</v>
      </c>
      <c r="L269" s="60" t="s">
        <v>171</v>
      </c>
      <c r="M269" s="60" t="s">
        <v>196</v>
      </c>
      <c r="N269" s="60" t="s">
        <v>197</v>
      </c>
      <c r="O269" s="60">
        <v>3769100</v>
      </c>
      <c r="P269" s="60">
        <v>53</v>
      </c>
      <c r="Q269" s="60">
        <v>0</v>
      </c>
      <c r="R269" s="60">
        <v>0</v>
      </c>
      <c r="S269" s="60">
        <v>0</v>
      </c>
      <c r="T269" s="60">
        <v>0</v>
      </c>
      <c r="U269" s="60">
        <v>439000</v>
      </c>
      <c r="V269" s="60">
        <v>1</v>
      </c>
      <c r="W269" s="60">
        <v>0</v>
      </c>
      <c r="X269" s="60">
        <v>0</v>
      </c>
      <c r="Y269" s="64">
        <v>0</v>
      </c>
      <c r="Z269" s="60">
        <v>0</v>
      </c>
      <c r="AA269" s="60">
        <v>0</v>
      </c>
      <c r="AB269" s="60">
        <v>0</v>
      </c>
      <c r="AC269" s="60">
        <v>4208100</v>
      </c>
      <c r="AD269" s="62">
        <v>54</v>
      </c>
      <c r="AF269" s="47">
        <f t="shared" si="4"/>
        <v>4208100</v>
      </c>
    </row>
    <row r="270" spans="1:32" x14ac:dyDescent="0.3">
      <c r="A270" s="46" t="s">
        <v>1</v>
      </c>
      <c r="B270" s="46" t="str">
        <f>IFERROR(VLOOKUP($H270,매장구분!$B:$Z,2,0),"")</f>
        <v>파트너채널팀</v>
      </c>
      <c r="C270" s="46" t="str">
        <f>IFERROR(VLOOKUP($H270,매장구분!$B:$Z,3,0),"")</f>
        <v>국내</v>
      </c>
      <c r="D270" s="46" t="str">
        <f>IFERROR(VLOOKUP($H270,매장구분!$B:$Z,5,0),"")</f>
        <v>백화점</v>
      </c>
      <c r="E270" s="46" t="str">
        <f>IFERROR(VLOOKUP($H270,매장구분!$B:$Z,9,0),"")</f>
        <v>현대울산</v>
      </c>
      <c r="F270" s="53"/>
      <c r="G270" s="54" t="s">
        <v>344</v>
      </c>
      <c r="H270" s="55" t="s">
        <v>345</v>
      </c>
      <c r="I270" s="55" t="s">
        <v>169</v>
      </c>
      <c r="J270" s="55" t="s">
        <v>175</v>
      </c>
      <c r="K270" s="55" t="s">
        <v>170</v>
      </c>
      <c r="L270" s="55" t="s">
        <v>171</v>
      </c>
      <c r="M270" s="55" t="s">
        <v>77</v>
      </c>
      <c r="N270" s="55" t="s">
        <v>172</v>
      </c>
      <c r="O270" s="55">
        <v>27246940</v>
      </c>
      <c r="P270" s="55">
        <v>251</v>
      </c>
      <c r="Q270" s="55">
        <v>0</v>
      </c>
      <c r="R270" s="55">
        <v>0</v>
      </c>
      <c r="S270" s="55">
        <v>0</v>
      </c>
      <c r="T270" s="55">
        <v>0</v>
      </c>
      <c r="U270" s="55">
        <v>5088760</v>
      </c>
      <c r="V270" s="55">
        <v>26</v>
      </c>
      <c r="W270" s="55">
        <v>0</v>
      </c>
      <c r="X270" s="55">
        <v>0</v>
      </c>
      <c r="Y270" s="63">
        <v>921000</v>
      </c>
      <c r="Z270" s="55">
        <v>9</v>
      </c>
      <c r="AA270" s="55">
        <v>0</v>
      </c>
      <c r="AB270" s="55">
        <v>0</v>
      </c>
      <c r="AC270" s="55">
        <v>33256700</v>
      </c>
      <c r="AD270" s="57">
        <v>286</v>
      </c>
      <c r="AF270" s="47">
        <f t="shared" si="4"/>
        <v>32335700</v>
      </c>
    </row>
    <row r="271" spans="1:32" x14ac:dyDescent="0.3">
      <c r="A271" s="46" t="s">
        <v>1</v>
      </c>
      <c r="B271" s="46" t="str">
        <f>IFERROR(VLOOKUP($H271,매장구분!$B:$Z,2,0),"")</f>
        <v>파트너채널팀</v>
      </c>
      <c r="C271" s="46" t="str">
        <f>IFERROR(VLOOKUP($H271,매장구분!$B:$Z,3,0),"")</f>
        <v>국내</v>
      </c>
      <c r="D271" s="46" t="str">
        <f>IFERROR(VLOOKUP($H271,매장구분!$B:$Z,5,0),"")</f>
        <v>백화점</v>
      </c>
      <c r="E271" s="46" t="str">
        <f>IFERROR(VLOOKUP($H271,매장구분!$B:$Z,9,0),"")</f>
        <v>롯데상인</v>
      </c>
      <c r="F271" s="58"/>
      <c r="G271" s="59" t="s">
        <v>348</v>
      </c>
      <c r="H271" s="60" t="s">
        <v>349</v>
      </c>
      <c r="I271" s="60" t="s">
        <v>169</v>
      </c>
      <c r="J271" s="60" t="s">
        <v>175</v>
      </c>
      <c r="K271" s="60" t="s">
        <v>170</v>
      </c>
      <c r="L271" s="60" t="s">
        <v>171</v>
      </c>
      <c r="M271" s="60" t="s">
        <v>77</v>
      </c>
      <c r="N271" s="60" t="s">
        <v>172</v>
      </c>
      <c r="O271" s="60">
        <v>3902700</v>
      </c>
      <c r="P271" s="60">
        <v>52</v>
      </c>
      <c r="Q271" s="60">
        <v>495000</v>
      </c>
      <c r="R271" s="60">
        <v>6</v>
      </c>
      <c r="S271" s="60">
        <v>0</v>
      </c>
      <c r="T271" s="60">
        <v>0</v>
      </c>
      <c r="U271" s="60">
        <v>4032500</v>
      </c>
      <c r="V271" s="60">
        <v>28</v>
      </c>
      <c r="W271" s="60">
        <v>0</v>
      </c>
      <c r="X271" s="60">
        <v>0</v>
      </c>
      <c r="Y271" s="64">
        <v>5000000</v>
      </c>
      <c r="Z271" s="60">
        <v>44</v>
      </c>
      <c r="AA271" s="60">
        <v>0</v>
      </c>
      <c r="AB271" s="60">
        <v>0</v>
      </c>
      <c r="AC271" s="60">
        <v>13430200</v>
      </c>
      <c r="AD271" s="62">
        <v>130</v>
      </c>
      <c r="AF271" s="47">
        <f t="shared" si="4"/>
        <v>8430200</v>
      </c>
    </row>
    <row r="272" spans="1:32" x14ac:dyDescent="0.3">
      <c r="A272" s="46" t="s">
        <v>1</v>
      </c>
      <c r="B272" s="46" t="str">
        <f>IFERROR(VLOOKUP($H272,매장구분!$B:$Z,2,0),"")</f>
        <v>파트너채널팀</v>
      </c>
      <c r="C272" s="46" t="str">
        <f>IFERROR(VLOOKUP($H272,매장구분!$B:$Z,3,0),"")</f>
        <v>국내</v>
      </c>
      <c r="D272" s="46" t="str">
        <f>IFERROR(VLOOKUP($H272,매장구분!$B:$Z,5,0),"")</f>
        <v>백화점</v>
      </c>
      <c r="E272" s="46" t="str">
        <f>IFERROR(VLOOKUP($H272,매장구분!$B:$Z,9,0),"")</f>
        <v>롯데건대</v>
      </c>
      <c r="F272" s="53"/>
      <c r="G272" s="54" t="s">
        <v>354</v>
      </c>
      <c r="H272" s="55" t="s">
        <v>355</v>
      </c>
      <c r="I272" s="55" t="s">
        <v>169</v>
      </c>
      <c r="J272" s="55" t="s">
        <v>175</v>
      </c>
      <c r="K272" s="55" t="s">
        <v>170</v>
      </c>
      <c r="L272" s="55" t="s">
        <v>171</v>
      </c>
      <c r="M272" s="55" t="s">
        <v>77</v>
      </c>
      <c r="N272" s="55" t="s">
        <v>172</v>
      </c>
      <c r="O272" s="55">
        <v>6609610</v>
      </c>
      <c r="P272" s="55">
        <v>78</v>
      </c>
      <c r="Q272" s="55">
        <v>0</v>
      </c>
      <c r="R272" s="55">
        <v>0</v>
      </c>
      <c r="S272" s="55">
        <v>0</v>
      </c>
      <c r="T272" s="55">
        <v>0</v>
      </c>
      <c r="U272" s="55">
        <v>2669390</v>
      </c>
      <c r="V272" s="55">
        <v>12</v>
      </c>
      <c r="W272" s="55">
        <v>0</v>
      </c>
      <c r="X272" s="55">
        <v>0</v>
      </c>
      <c r="Y272" s="63">
        <v>32632000</v>
      </c>
      <c r="Z272" s="55">
        <v>98</v>
      </c>
      <c r="AA272" s="55">
        <v>0</v>
      </c>
      <c r="AB272" s="55">
        <v>0</v>
      </c>
      <c r="AC272" s="55">
        <v>41911000</v>
      </c>
      <c r="AD272" s="57">
        <v>188</v>
      </c>
      <c r="AF272" s="47">
        <f t="shared" si="4"/>
        <v>9279000</v>
      </c>
    </row>
    <row r="273" spans="1:32" x14ac:dyDescent="0.3">
      <c r="A273" s="46" t="s">
        <v>1</v>
      </c>
      <c r="B273" s="46" t="str">
        <f>IFERROR(VLOOKUP($H273,매장구분!$B:$Z,2,0),"")</f>
        <v>리테일채널팀</v>
      </c>
      <c r="C273" s="46" t="str">
        <f>IFERROR(VLOOKUP($H273,매장구분!$B:$Z,3,0),"")</f>
        <v>RF</v>
      </c>
      <c r="D273" s="46" t="str">
        <f>IFERROR(VLOOKUP($H273,매장구분!$B:$Z,5,0),"")</f>
        <v>직영점</v>
      </c>
      <c r="E273" s="46" t="str">
        <f>IFERROR(VLOOKUP($H273,매장구분!$B:$Z,9,0),"")</f>
        <v>성수(직)</v>
      </c>
      <c r="F273" s="58"/>
      <c r="G273" s="59" t="s">
        <v>332</v>
      </c>
      <c r="H273" s="60" t="s">
        <v>333</v>
      </c>
      <c r="I273" s="60" t="s">
        <v>169</v>
      </c>
      <c r="J273" s="60" t="s">
        <v>180</v>
      </c>
      <c r="K273" s="60" t="s">
        <v>170</v>
      </c>
      <c r="L273" s="60" t="s">
        <v>171</v>
      </c>
      <c r="M273" s="60" t="s">
        <v>196</v>
      </c>
      <c r="N273" s="60" t="s">
        <v>206</v>
      </c>
      <c r="O273" s="60">
        <v>149470100</v>
      </c>
      <c r="P273" s="60">
        <v>1820</v>
      </c>
      <c r="Q273" s="60">
        <v>0</v>
      </c>
      <c r="R273" s="60">
        <v>0</v>
      </c>
      <c r="S273" s="60">
        <v>0</v>
      </c>
      <c r="T273" s="60">
        <v>0</v>
      </c>
      <c r="U273" s="60">
        <v>0</v>
      </c>
      <c r="V273" s="60">
        <v>0</v>
      </c>
      <c r="W273" s="60">
        <v>0</v>
      </c>
      <c r="X273" s="60">
        <v>0</v>
      </c>
      <c r="Y273" s="64">
        <v>0</v>
      </c>
      <c r="Z273" s="60">
        <v>0</v>
      </c>
      <c r="AA273" s="60">
        <v>0</v>
      </c>
      <c r="AB273" s="60">
        <v>0</v>
      </c>
      <c r="AC273" s="60">
        <v>149470100</v>
      </c>
      <c r="AD273" s="62">
        <v>1820</v>
      </c>
      <c r="AF273" s="47">
        <f t="shared" si="4"/>
        <v>149470100</v>
      </c>
    </row>
    <row r="274" spans="1:32" x14ac:dyDescent="0.3">
      <c r="A274" s="46" t="s">
        <v>1</v>
      </c>
      <c r="B274" s="46" t="str">
        <f>IFERROR(VLOOKUP($H274,매장구분!$B:$Z,2,0),"")</f>
        <v>리테일채널팀</v>
      </c>
      <c r="C274" s="46" t="str">
        <f>IFERROR(VLOOKUP($H274,매장구분!$B:$Z,3,0),"")</f>
        <v>국내</v>
      </c>
      <c r="D274" s="46" t="str">
        <f>IFERROR(VLOOKUP($H274,매장구분!$B:$Z,5,0),"")</f>
        <v>대리점</v>
      </c>
      <c r="E274" s="46" t="str">
        <f>IFERROR(VLOOKUP($H274,매장구분!$B:$Z,9,0),"")</f>
        <v>경기광주(대-위)</v>
      </c>
      <c r="F274" s="53"/>
      <c r="G274" s="54" t="s">
        <v>362</v>
      </c>
      <c r="H274" s="55" t="s">
        <v>363</v>
      </c>
      <c r="I274" s="55" t="s">
        <v>169</v>
      </c>
      <c r="J274" s="55" t="s">
        <v>79</v>
      </c>
      <c r="K274" s="55" t="s">
        <v>170</v>
      </c>
      <c r="L274" s="55" t="s">
        <v>171</v>
      </c>
      <c r="M274" s="55" t="s">
        <v>196</v>
      </c>
      <c r="N274" s="55" t="s">
        <v>197</v>
      </c>
      <c r="O274" s="55">
        <v>10535600</v>
      </c>
      <c r="P274" s="55">
        <v>84</v>
      </c>
      <c r="Q274" s="55">
        <v>0</v>
      </c>
      <c r="R274" s="55">
        <v>0</v>
      </c>
      <c r="S274" s="55">
        <v>0</v>
      </c>
      <c r="T274" s="55">
        <v>0</v>
      </c>
      <c r="U274" s="55">
        <v>139000</v>
      </c>
      <c r="V274" s="55">
        <v>1</v>
      </c>
      <c r="W274" s="55">
        <v>0</v>
      </c>
      <c r="X274" s="55">
        <v>0</v>
      </c>
      <c r="Y274" s="63">
        <v>0</v>
      </c>
      <c r="Z274" s="55">
        <v>0</v>
      </c>
      <c r="AA274" s="55">
        <v>0</v>
      </c>
      <c r="AB274" s="55">
        <v>0</v>
      </c>
      <c r="AC274" s="55">
        <v>10674600</v>
      </c>
      <c r="AD274" s="57">
        <v>85</v>
      </c>
      <c r="AF274" s="47">
        <f t="shared" si="4"/>
        <v>10674600</v>
      </c>
    </row>
    <row r="275" spans="1:32" x14ac:dyDescent="0.3">
      <c r="A275" s="46" t="s">
        <v>1</v>
      </c>
      <c r="B275" s="46" t="str">
        <f>IFERROR(VLOOKUP($H275,매장구분!$B:$Z,2,0),"")</f>
        <v>리테일채널팀</v>
      </c>
      <c r="C275" s="46" t="str">
        <f>IFERROR(VLOOKUP($H275,매장구분!$B:$Z,3,0),"")</f>
        <v>국내</v>
      </c>
      <c r="D275" s="46" t="str">
        <f>IFERROR(VLOOKUP($H275,매장구분!$B:$Z,5,0),"")</f>
        <v>대리점</v>
      </c>
      <c r="E275" s="46" t="str">
        <f>IFERROR(VLOOKUP($H275,매장구분!$B:$Z,9,0),"")</f>
        <v>세정광주(대-위)</v>
      </c>
      <c r="F275" s="58"/>
      <c r="G275" s="59" t="s">
        <v>346</v>
      </c>
      <c r="H275" s="60" t="s">
        <v>347</v>
      </c>
      <c r="I275" s="60" t="s">
        <v>169</v>
      </c>
      <c r="J275" s="60" t="s">
        <v>79</v>
      </c>
      <c r="K275" s="60" t="s">
        <v>170</v>
      </c>
      <c r="L275" s="60" t="s">
        <v>171</v>
      </c>
      <c r="M275" s="60" t="s">
        <v>196</v>
      </c>
      <c r="N275" s="60" t="s">
        <v>197</v>
      </c>
      <c r="O275" s="60">
        <v>10004225</v>
      </c>
      <c r="P275" s="60">
        <v>100</v>
      </c>
      <c r="Q275" s="60">
        <v>0</v>
      </c>
      <c r="R275" s="60">
        <v>0</v>
      </c>
      <c r="S275" s="60">
        <v>0</v>
      </c>
      <c r="T275" s="60">
        <v>0</v>
      </c>
      <c r="U275" s="60">
        <v>3041875</v>
      </c>
      <c r="V275" s="60">
        <v>16</v>
      </c>
      <c r="W275" s="60">
        <v>0</v>
      </c>
      <c r="X275" s="60">
        <v>0</v>
      </c>
      <c r="Y275" s="64">
        <v>0</v>
      </c>
      <c r="Z275" s="60">
        <v>0</v>
      </c>
      <c r="AA275" s="60">
        <v>0</v>
      </c>
      <c r="AB275" s="60">
        <v>0</v>
      </c>
      <c r="AC275" s="60">
        <v>13046100</v>
      </c>
      <c r="AD275" s="62">
        <v>116</v>
      </c>
      <c r="AF275" s="47">
        <f t="shared" si="4"/>
        <v>13046100</v>
      </c>
    </row>
    <row r="276" spans="1:32" x14ac:dyDescent="0.3">
      <c r="A276" s="46" t="s">
        <v>1</v>
      </c>
      <c r="B276" s="46" t="str">
        <f>IFERROR(VLOOKUP($H276,매장구분!$B:$Z,2,0),"")</f>
        <v>파트너채널팀</v>
      </c>
      <c r="C276" s="46" t="str">
        <f>IFERROR(VLOOKUP($H276,매장구분!$B:$Z,3,0),"")</f>
        <v>국내</v>
      </c>
      <c r="D276" s="46" t="str">
        <f>IFERROR(VLOOKUP($H276,매장구분!$B:$Z,5,0),"")</f>
        <v>백화점</v>
      </c>
      <c r="E276" s="46" t="str">
        <f>IFERROR(VLOOKUP($H276,매장구분!$B:$Z,9,0),"")</f>
        <v>현대충청</v>
      </c>
      <c r="F276" s="53"/>
      <c r="G276" s="54" t="s">
        <v>358</v>
      </c>
      <c r="H276" s="55" t="s">
        <v>359</v>
      </c>
      <c r="I276" s="55" t="s">
        <v>169</v>
      </c>
      <c r="J276" s="55" t="s">
        <v>175</v>
      </c>
      <c r="K276" s="55" t="s">
        <v>170</v>
      </c>
      <c r="L276" s="55" t="s">
        <v>171</v>
      </c>
      <c r="M276" s="55" t="s">
        <v>77</v>
      </c>
      <c r="N276" s="55" t="s">
        <v>172</v>
      </c>
      <c r="O276" s="55">
        <v>12944700</v>
      </c>
      <c r="P276" s="55">
        <v>147</v>
      </c>
      <c r="Q276" s="55">
        <v>34500</v>
      </c>
      <c r="R276" s="55">
        <v>1</v>
      </c>
      <c r="S276" s="55">
        <v>0</v>
      </c>
      <c r="T276" s="55">
        <v>0</v>
      </c>
      <c r="U276" s="55">
        <v>0</v>
      </c>
      <c r="V276" s="55">
        <v>0</v>
      </c>
      <c r="W276" s="55">
        <v>0</v>
      </c>
      <c r="X276" s="55">
        <v>0</v>
      </c>
      <c r="Y276" s="63">
        <v>48056000</v>
      </c>
      <c r="Z276" s="55">
        <v>144</v>
      </c>
      <c r="AA276" s="55">
        <v>0</v>
      </c>
      <c r="AB276" s="55">
        <v>0</v>
      </c>
      <c r="AC276" s="55">
        <v>61035200</v>
      </c>
      <c r="AD276" s="57">
        <v>292</v>
      </c>
      <c r="AF276" s="47">
        <f t="shared" si="4"/>
        <v>12979200</v>
      </c>
    </row>
    <row r="277" spans="1:32" x14ac:dyDescent="0.3">
      <c r="A277" s="46" t="s">
        <v>1</v>
      </c>
      <c r="B277" s="46" t="str">
        <f>IFERROR(VLOOKUP($H277,매장구분!$B:$Z,2,0),"")</f>
        <v>리테일채널팀</v>
      </c>
      <c r="C277" s="46" t="str">
        <f>IFERROR(VLOOKUP($H277,매장구분!$B:$Z,3,0),"")</f>
        <v>국내</v>
      </c>
      <c r="D277" s="46" t="str">
        <f>IFERROR(VLOOKUP($H277,매장구분!$B:$Z,5,0),"")</f>
        <v>대리점</v>
      </c>
      <c r="E277" s="46" t="str">
        <f>IFERROR(VLOOKUP($H277,매장구분!$B:$Z,9,0),"")</f>
        <v>서산(대-위)</v>
      </c>
      <c r="F277" s="58"/>
      <c r="G277" s="59" t="s">
        <v>336</v>
      </c>
      <c r="H277" s="60" t="s">
        <v>337</v>
      </c>
      <c r="I277" s="60" t="s">
        <v>169</v>
      </c>
      <c r="J277" s="60" t="s">
        <v>79</v>
      </c>
      <c r="K277" s="60" t="s">
        <v>170</v>
      </c>
      <c r="L277" s="60" t="s">
        <v>171</v>
      </c>
      <c r="M277" s="60" t="s">
        <v>196</v>
      </c>
      <c r="N277" s="60" t="s">
        <v>197</v>
      </c>
      <c r="O277" s="60">
        <v>9701600</v>
      </c>
      <c r="P277" s="60">
        <v>103</v>
      </c>
      <c r="Q277" s="60">
        <v>0</v>
      </c>
      <c r="R277" s="60">
        <v>0</v>
      </c>
      <c r="S277" s="60">
        <v>0</v>
      </c>
      <c r="T277" s="60">
        <v>0</v>
      </c>
      <c r="U277" s="60">
        <v>934000</v>
      </c>
      <c r="V277" s="60">
        <v>6</v>
      </c>
      <c r="W277" s="60">
        <v>0</v>
      </c>
      <c r="X277" s="60">
        <v>0</v>
      </c>
      <c r="Y277" s="64">
        <v>0</v>
      </c>
      <c r="Z277" s="60">
        <v>0</v>
      </c>
      <c r="AA277" s="60">
        <v>0</v>
      </c>
      <c r="AB277" s="60">
        <v>0</v>
      </c>
      <c r="AC277" s="60">
        <v>10635600</v>
      </c>
      <c r="AD277" s="62">
        <v>109</v>
      </c>
      <c r="AF277" s="47">
        <f t="shared" si="4"/>
        <v>10635600</v>
      </c>
    </row>
    <row r="278" spans="1:32" x14ac:dyDescent="0.3">
      <c r="A278" s="46" t="s">
        <v>1</v>
      </c>
      <c r="B278" s="46" t="str">
        <f>IFERROR(VLOOKUP($H278,매장구분!$B:$Z,2,0),"")</f>
        <v>리테일채널팀</v>
      </c>
      <c r="C278" s="46" t="str">
        <f>IFERROR(VLOOKUP($H278,매장구분!$B:$Z,3,0),"")</f>
        <v>국내</v>
      </c>
      <c r="D278" s="46" t="str">
        <f>IFERROR(VLOOKUP($H278,매장구분!$B:$Z,5,0),"")</f>
        <v>대리점</v>
      </c>
      <c r="E278" s="46" t="str">
        <f>IFERROR(VLOOKUP($H278,매장구분!$B:$Z,9,0),"")</f>
        <v>포항(대-위)</v>
      </c>
      <c r="F278" s="53"/>
      <c r="G278" s="54" t="s">
        <v>338</v>
      </c>
      <c r="H278" s="55" t="s">
        <v>339</v>
      </c>
      <c r="I278" s="55" t="s">
        <v>169</v>
      </c>
      <c r="J278" s="55" t="s">
        <v>79</v>
      </c>
      <c r="K278" s="55" t="s">
        <v>170</v>
      </c>
      <c r="L278" s="55" t="s">
        <v>171</v>
      </c>
      <c r="M278" s="55" t="s">
        <v>196</v>
      </c>
      <c r="N278" s="55" t="s">
        <v>197</v>
      </c>
      <c r="O278" s="55">
        <v>24342060</v>
      </c>
      <c r="P278" s="55">
        <v>220</v>
      </c>
      <c r="Q278" s="55">
        <v>0</v>
      </c>
      <c r="R278" s="55">
        <v>0</v>
      </c>
      <c r="S278" s="55">
        <v>0</v>
      </c>
      <c r="T278" s="55">
        <v>0</v>
      </c>
      <c r="U278" s="55">
        <v>2564040</v>
      </c>
      <c r="V278" s="55">
        <v>22</v>
      </c>
      <c r="W278" s="55">
        <v>0</v>
      </c>
      <c r="X278" s="55">
        <v>0</v>
      </c>
      <c r="Y278" s="63">
        <v>0</v>
      </c>
      <c r="Z278" s="55">
        <v>0</v>
      </c>
      <c r="AA278" s="55">
        <v>0</v>
      </c>
      <c r="AB278" s="55">
        <v>0</v>
      </c>
      <c r="AC278" s="55">
        <v>26906100</v>
      </c>
      <c r="AD278" s="57">
        <v>242</v>
      </c>
      <c r="AF278" s="47">
        <f t="shared" si="4"/>
        <v>26906100</v>
      </c>
    </row>
    <row r="279" spans="1:32" x14ac:dyDescent="0.3">
      <c r="A279" s="46" t="s">
        <v>1</v>
      </c>
      <c r="B279" s="46" t="str">
        <f>IFERROR(VLOOKUP($H279,매장구분!$B:$Z,2,0),"")</f>
        <v>파트너채널팀</v>
      </c>
      <c r="C279" s="46" t="str">
        <f>IFERROR(VLOOKUP($H279,매장구분!$B:$Z,3,0),"")</f>
        <v>국내</v>
      </c>
      <c r="D279" s="46" t="str">
        <f>IFERROR(VLOOKUP($H279,매장구분!$B:$Z,5,0),"")</f>
        <v>백화점</v>
      </c>
      <c r="E279" s="46" t="str">
        <f>IFERROR(VLOOKUP($H279,매장구분!$B:$Z,9,0),"")</f>
        <v>신세계경기</v>
      </c>
      <c r="F279" s="58"/>
      <c r="G279" s="59" t="s">
        <v>356</v>
      </c>
      <c r="H279" s="60" t="s">
        <v>357</v>
      </c>
      <c r="I279" s="60" t="s">
        <v>169</v>
      </c>
      <c r="J279" s="60" t="s">
        <v>175</v>
      </c>
      <c r="K279" s="60" t="s">
        <v>170</v>
      </c>
      <c r="L279" s="60" t="s">
        <v>171</v>
      </c>
      <c r="M279" s="60" t="s">
        <v>77</v>
      </c>
      <c r="N279" s="60" t="s">
        <v>172</v>
      </c>
      <c r="O279" s="60">
        <v>10722000</v>
      </c>
      <c r="P279" s="60">
        <v>135</v>
      </c>
      <c r="Q279" s="60">
        <v>0</v>
      </c>
      <c r="R279" s="60">
        <v>0</v>
      </c>
      <c r="S279" s="60">
        <v>0</v>
      </c>
      <c r="T279" s="60">
        <v>0</v>
      </c>
      <c r="U279" s="60">
        <v>2598000</v>
      </c>
      <c r="V279" s="60">
        <v>12</v>
      </c>
      <c r="W279" s="60">
        <v>0</v>
      </c>
      <c r="X279" s="60">
        <v>0</v>
      </c>
      <c r="Y279" s="64">
        <v>2053000</v>
      </c>
      <c r="Z279" s="60">
        <v>15</v>
      </c>
      <c r="AA279" s="60">
        <v>0</v>
      </c>
      <c r="AB279" s="60">
        <v>0</v>
      </c>
      <c r="AC279" s="60">
        <v>15373000</v>
      </c>
      <c r="AD279" s="62">
        <v>162</v>
      </c>
      <c r="AF279" s="47">
        <f t="shared" si="4"/>
        <v>13320000</v>
      </c>
    </row>
    <row r="280" spans="1:32" x14ac:dyDescent="0.3">
      <c r="A280" s="46" t="s">
        <v>1</v>
      </c>
      <c r="B280" s="46" t="str">
        <f>IFERROR(VLOOKUP($H280,매장구분!$B:$Z,2,0),"")</f>
        <v>파트너채널팀</v>
      </c>
      <c r="C280" s="46" t="str">
        <f>IFERROR(VLOOKUP($H280,매장구분!$B:$Z,3,0),"")</f>
        <v>국내</v>
      </c>
      <c r="D280" s="46" t="str">
        <f>IFERROR(VLOOKUP($H280,매장구분!$B:$Z,5,0),"")</f>
        <v>백화점</v>
      </c>
      <c r="E280" s="46" t="str">
        <f>IFERROR(VLOOKUP($H280,매장구분!$B:$Z,9,0),"")</f>
        <v>롯데미아</v>
      </c>
      <c r="F280" s="53"/>
      <c r="G280" s="54" t="s">
        <v>350</v>
      </c>
      <c r="H280" s="55" t="s">
        <v>351</v>
      </c>
      <c r="I280" s="55" t="s">
        <v>169</v>
      </c>
      <c r="J280" s="55" t="s">
        <v>175</v>
      </c>
      <c r="K280" s="55" t="s">
        <v>170</v>
      </c>
      <c r="L280" s="55" t="s">
        <v>171</v>
      </c>
      <c r="M280" s="55" t="s">
        <v>77</v>
      </c>
      <c r="N280" s="55" t="s">
        <v>172</v>
      </c>
      <c r="O280" s="55">
        <v>8830800</v>
      </c>
      <c r="P280" s="55">
        <v>84</v>
      </c>
      <c r="Q280" s="55">
        <v>0</v>
      </c>
      <c r="R280" s="55">
        <v>0</v>
      </c>
      <c r="S280" s="55">
        <v>0</v>
      </c>
      <c r="T280" s="55">
        <v>0</v>
      </c>
      <c r="U280" s="55">
        <v>129000</v>
      </c>
      <c r="V280" s="55">
        <v>1</v>
      </c>
      <c r="W280" s="55">
        <v>0</v>
      </c>
      <c r="X280" s="55">
        <v>0</v>
      </c>
      <c r="Y280" s="63">
        <v>0</v>
      </c>
      <c r="Z280" s="55">
        <v>0</v>
      </c>
      <c r="AA280" s="55">
        <v>0</v>
      </c>
      <c r="AB280" s="55">
        <v>0</v>
      </c>
      <c r="AC280" s="55">
        <v>8959800</v>
      </c>
      <c r="AD280" s="57">
        <v>85</v>
      </c>
      <c r="AF280" s="47">
        <f t="shared" si="4"/>
        <v>8959800</v>
      </c>
    </row>
    <row r="281" spans="1:32" x14ac:dyDescent="0.3">
      <c r="A281" s="46" t="s">
        <v>1</v>
      </c>
      <c r="B281" s="46" t="str">
        <f>IFERROR(VLOOKUP($H281,매장구분!$B:$Z,2,0),"")</f>
        <v>파트너채널팀</v>
      </c>
      <c r="C281" s="46" t="str">
        <f>IFERROR(VLOOKUP($H281,매장구분!$B:$Z,3,0),"")</f>
        <v>면세</v>
      </c>
      <c r="D281" s="46" t="str">
        <f>IFERROR(VLOOKUP($H281,매장구분!$B:$Z,5,0),"")</f>
        <v>면세</v>
      </c>
      <c r="E281" s="46" t="str">
        <f>IFERROR(VLOOKUP($H281,매장구분!$B:$Z,9,0),"")</f>
        <v>신라면세제주</v>
      </c>
      <c r="F281" s="58"/>
      <c r="G281" s="59" t="s">
        <v>334</v>
      </c>
      <c r="H281" s="60" t="s">
        <v>335</v>
      </c>
      <c r="I281" s="60" t="s">
        <v>169</v>
      </c>
      <c r="J281" s="60" t="s">
        <v>175</v>
      </c>
      <c r="K281" s="60" t="s">
        <v>170</v>
      </c>
      <c r="L281" s="60" t="s">
        <v>171</v>
      </c>
      <c r="M281" s="60" t="s">
        <v>176</v>
      </c>
      <c r="N281" s="60" t="s">
        <v>177</v>
      </c>
      <c r="O281" s="60">
        <v>106463900</v>
      </c>
      <c r="P281" s="60">
        <v>2194</v>
      </c>
      <c r="Q281" s="60">
        <v>0</v>
      </c>
      <c r="R281" s="60">
        <v>0</v>
      </c>
      <c r="S281" s="60">
        <v>0</v>
      </c>
      <c r="T281" s="60">
        <v>0</v>
      </c>
      <c r="U281" s="60">
        <v>0</v>
      </c>
      <c r="V281" s="60">
        <v>0</v>
      </c>
      <c r="W281" s="60">
        <v>0</v>
      </c>
      <c r="X281" s="60">
        <v>0</v>
      </c>
      <c r="Y281" s="64">
        <v>0</v>
      </c>
      <c r="Z281" s="60">
        <v>0</v>
      </c>
      <c r="AA281" s="60">
        <v>0</v>
      </c>
      <c r="AB281" s="60">
        <v>0</v>
      </c>
      <c r="AC281" s="60">
        <v>106463900</v>
      </c>
      <c r="AD281" s="62">
        <v>2194</v>
      </c>
      <c r="AF281" s="47">
        <f t="shared" si="4"/>
        <v>106463900</v>
      </c>
    </row>
    <row r="282" spans="1:32" x14ac:dyDescent="0.3">
      <c r="A282" s="46" t="s">
        <v>1</v>
      </c>
      <c r="B282" s="46" t="str">
        <f>IFERROR(VLOOKUP($H282,매장구분!$B:$Z,2,0),"")</f>
        <v>파트너채널팀</v>
      </c>
      <c r="C282" s="46" t="str">
        <f>IFERROR(VLOOKUP($H282,매장구분!$B:$Z,3,0),"")</f>
        <v>국내</v>
      </c>
      <c r="D282" s="46" t="str">
        <f>IFERROR(VLOOKUP($H282,매장구분!$B:$Z,5,0),"")</f>
        <v>백화점</v>
      </c>
      <c r="E282" s="46" t="str">
        <f>IFERROR(VLOOKUP($H282,매장구분!$B:$Z,9,0),"")</f>
        <v>롯데아울렛의왕(직)</v>
      </c>
      <c r="F282" s="53"/>
      <c r="G282" s="54" t="s">
        <v>352</v>
      </c>
      <c r="H282" s="55" t="s">
        <v>353</v>
      </c>
      <c r="I282" s="55" t="s">
        <v>169</v>
      </c>
      <c r="J282" s="55" t="s">
        <v>180</v>
      </c>
      <c r="K282" s="55" t="s">
        <v>170</v>
      </c>
      <c r="L282" s="55" t="s">
        <v>171</v>
      </c>
      <c r="M282" s="55" t="s">
        <v>219</v>
      </c>
      <c r="N282" s="55" t="s">
        <v>219</v>
      </c>
      <c r="O282" s="55">
        <v>9978800</v>
      </c>
      <c r="P282" s="55">
        <v>146</v>
      </c>
      <c r="Q282" s="55">
        <v>0</v>
      </c>
      <c r="R282" s="55">
        <v>0</v>
      </c>
      <c r="S282" s="55">
        <v>0</v>
      </c>
      <c r="T282" s="55">
        <v>0</v>
      </c>
      <c r="U282" s="55">
        <v>1303000</v>
      </c>
      <c r="V282" s="55">
        <v>7</v>
      </c>
      <c r="W282" s="55">
        <v>0</v>
      </c>
      <c r="X282" s="55">
        <v>0</v>
      </c>
      <c r="Y282" s="63">
        <v>0</v>
      </c>
      <c r="Z282" s="55">
        <v>0</v>
      </c>
      <c r="AA282" s="55">
        <v>0</v>
      </c>
      <c r="AB282" s="55">
        <v>0</v>
      </c>
      <c r="AC282" s="55">
        <v>11281800</v>
      </c>
      <c r="AD282" s="57">
        <v>153</v>
      </c>
      <c r="AF282" s="47">
        <f t="shared" si="4"/>
        <v>11281800</v>
      </c>
    </row>
    <row r="283" spans="1:32" x14ac:dyDescent="0.3">
      <c r="A283" s="46" t="s">
        <v>1</v>
      </c>
      <c r="B283" s="46" t="str">
        <f>IFERROR(VLOOKUP($H283,매장구분!$B:$Z,2,0),"")</f>
        <v>리테일채널팀</v>
      </c>
      <c r="C283" s="46" t="str">
        <f>IFERROR(VLOOKUP($H283,매장구분!$B:$Z,3,0),"")</f>
        <v>RF</v>
      </c>
      <c r="D283" s="46" t="str">
        <f>IFERROR(VLOOKUP($H283,매장구분!$B:$Z,5,0),"")</f>
        <v>대리점</v>
      </c>
      <c r="E283" s="46" t="str">
        <f>IFERROR(VLOOKUP($H283,매장구분!$B:$Z,9,0),"")</f>
        <v>신제주(대-위)</v>
      </c>
      <c r="F283" s="58"/>
      <c r="G283" s="59" t="s">
        <v>340</v>
      </c>
      <c r="H283" s="60" t="s">
        <v>341</v>
      </c>
      <c r="I283" s="60" t="s">
        <v>169</v>
      </c>
      <c r="J283" s="60" t="s">
        <v>79</v>
      </c>
      <c r="K283" s="60" t="s">
        <v>170</v>
      </c>
      <c r="L283" s="60" t="s">
        <v>171</v>
      </c>
      <c r="M283" s="60" t="s">
        <v>196</v>
      </c>
      <c r="N283" s="60" t="s">
        <v>197</v>
      </c>
      <c r="O283" s="60">
        <v>19919300</v>
      </c>
      <c r="P283" s="60">
        <v>198</v>
      </c>
      <c r="Q283" s="60">
        <v>0</v>
      </c>
      <c r="R283" s="60">
        <v>0</v>
      </c>
      <c r="S283" s="60">
        <v>0</v>
      </c>
      <c r="T283" s="60">
        <v>0</v>
      </c>
      <c r="U283" s="60">
        <v>0</v>
      </c>
      <c r="V283" s="60">
        <v>0</v>
      </c>
      <c r="W283" s="60">
        <v>0</v>
      </c>
      <c r="X283" s="60">
        <v>0</v>
      </c>
      <c r="Y283" s="64">
        <v>12618400</v>
      </c>
      <c r="Z283" s="60">
        <v>213</v>
      </c>
      <c r="AA283" s="60">
        <v>0</v>
      </c>
      <c r="AB283" s="60">
        <v>0</v>
      </c>
      <c r="AC283" s="60">
        <v>32537700</v>
      </c>
      <c r="AD283" s="62">
        <v>411</v>
      </c>
      <c r="AF283" s="47">
        <f t="shared" si="4"/>
        <v>19919300</v>
      </c>
    </row>
    <row r="284" spans="1:32" x14ac:dyDescent="0.3">
      <c r="A284" s="46" t="s">
        <v>1</v>
      </c>
      <c r="B284" s="46" t="str">
        <f>IFERROR(VLOOKUP($H284,매장구분!$B:$Z,2,0),"")</f>
        <v>리테일채널팀</v>
      </c>
      <c r="C284" s="46" t="str">
        <f>IFERROR(VLOOKUP($H284,매장구분!$B:$Z,3,0),"")</f>
        <v>국내</v>
      </c>
      <c r="D284" s="46" t="str">
        <f>IFERROR(VLOOKUP($H284,매장구분!$B:$Z,5,0),"")</f>
        <v>상설(위탁)</v>
      </c>
      <c r="E284" s="46" t="str">
        <f>IFERROR(VLOOKUP($H284,매장구분!$B:$Z,9,0),"")</f>
        <v>롯데아울렛동부산(상-위)</v>
      </c>
      <c r="F284" s="53"/>
      <c r="G284" s="54" t="s">
        <v>366</v>
      </c>
      <c r="H284" s="55" t="s">
        <v>367</v>
      </c>
      <c r="I284" s="55" t="s">
        <v>169</v>
      </c>
      <c r="J284" s="55" t="s">
        <v>79</v>
      </c>
      <c r="K284" s="55" t="s">
        <v>170</v>
      </c>
      <c r="L284" s="55" t="s">
        <v>171</v>
      </c>
      <c r="M284" s="55" t="s">
        <v>219</v>
      </c>
      <c r="N284" s="55" t="s">
        <v>219</v>
      </c>
      <c r="O284" s="55">
        <v>7911000</v>
      </c>
      <c r="P284" s="55">
        <v>200</v>
      </c>
      <c r="Q284" s="55">
        <v>36000</v>
      </c>
      <c r="R284" s="55">
        <v>1</v>
      </c>
      <c r="S284" s="55">
        <v>0</v>
      </c>
      <c r="T284" s="55">
        <v>0</v>
      </c>
      <c r="U284" s="55">
        <v>0</v>
      </c>
      <c r="V284" s="55">
        <v>0</v>
      </c>
      <c r="W284" s="55">
        <v>0</v>
      </c>
      <c r="X284" s="55">
        <v>0</v>
      </c>
      <c r="Y284" s="63">
        <v>0</v>
      </c>
      <c r="Z284" s="55">
        <v>0</v>
      </c>
      <c r="AA284" s="55">
        <v>0</v>
      </c>
      <c r="AB284" s="55">
        <v>0</v>
      </c>
      <c r="AC284" s="55">
        <v>7947000</v>
      </c>
      <c r="AD284" s="57">
        <v>201</v>
      </c>
      <c r="AF284" s="47">
        <f t="shared" si="4"/>
        <v>7947000</v>
      </c>
    </row>
    <row r="285" spans="1:32" x14ac:dyDescent="0.3">
      <c r="A285" s="46" t="s">
        <v>1</v>
      </c>
      <c r="B285" s="46" t="str">
        <f>IFERROR(VLOOKUP($H285,매장구분!$B:$Z,2,0),"")</f>
        <v>E-biz</v>
      </c>
      <c r="C285" s="46" t="str">
        <f>IFERROR(VLOOKUP($H285,매장구분!$B:$Z,3,0),"")</f>
        <v>국내</v>
      </c>
      <c r="D285" s="46" t="str">
        <f>IFERROR(VLOOKUP($H285,매장구분!$B:$Z,5,0),"")</f>
        <v>온(제휴몰)</v>
      </c>
      <c r="E285" s="46" t="str">
        <f>IFERROR(VLOOKUP($H285,매장구분!$B:$Z,9,0),"")</f>
        <v>SSF샵(제휴몰)</v>
      </c>
      <c r="F285" s="58"/>
      <c r="G285" s="59" t="s">
        <v>342</v>
      </c>
      <c r="H285" s="60" t="s">
        <v>343</v>
      </c>
      <c r="I285" s="60" t="s">
        <v>169</v>
      </c>
      <c r="J285" s="60" t="s">
        <v>180</v>
      </c>
      <c r="K285" s="60" t="s">
        <v>170</v>
      </c>
      <c r="L285" s="60" t="s">
        <v>181</v>
      </c>
      <c r="M285" s="60" t="s">
        <v>181</v>
      </c>
      <c r="N285" s="60" t="s">
        <v>185</v>
      </c>
      <c r="O285" s="60">
        <v>12737200</v>
      </c>
      <c r="P285" s="60">
        <v>132</v>
      </c>
      <c r="Q285" s="60">
        <v>0</v>
      </c>
      <c r="R285" s="60">
        <v>0</v>
      </c>
      <c r="S285" s="60">
        <v>0</v>
      </c>
      <c r="T285" s="60">
        <v>0</v>
      </c>
      <c r="U285" s="60">
        <v>0</v>
      </c>
      <c r="V285" s="60">
        <v>0</v>
      </c>
      <c r="W285" s="60">
        <v>0</v>
      </c>
      <c r="X285" s="60">
        <v>0</v>
      </c>
      <c r="Y285" s="64">
        <v>0</v>
      </c>
      <c r="Z285" s="60">
        <v>0</v>
      </c>
      <c r="AA285" s="60">
        <v>0</v>
      </c>
      <c r="AB285" s="60">
        <v>0</v>
      </c>
      <c r="AC285" s="60">
        <v>12737200</v>
      </c>
      <c r="AD285" s="62">
        <v>132</v>
      </c>
      <c r="AF285" s="47">
        <f t="shared" si="4"/>
        <v>12737200</v>
      </c>
    </row>
    <row r="286" spans="1:32" x14ac:dyDescent="0.3">
      <c r="A286" s="46" t="s">
        <v>1</v>
      </c>
      <c r="B286" s="46" t="str">
        <f>IFERROR(VLOOKUP($H286,매장구분!$B:$Z,2,0),"")</f>
        <v>리테일채널팀</v>
      </c>
      <c r="C286" s="46" t="str">
        <f>IFERROR(VLOOKUP($H286,매장구분!$B:$Z,3,0),"")</f>
        <v>국내</v>
      </c>
      <c r="D286" s="46" t="str">
        <f>IFERROR(VLOOKUP($H286,매장구분!$B:$Z,5,0),"")</f>
        <v>직영점</v>
      </c>
      <c r="E286" s="46" t="str">
        <f>IFERROR(VLOOKUP($H286,매장구분!$B:$Z,9,0),"")</f>
        <v>타임스트림신림(직)</v>
      </c>
      <c r="F286" s="53"/>
      <c r="G286" s="54" t="s">
        <v>360</v>
      </c>
      <c r="H286" s="55" t="s">
        <v>361</v>
      </c>
      <c r="I286" s="55" t="s">
        <v>169</v>
      </c>
      <c r="J286" s="55" t="s">
        <v>180</v>
      </c>
      <c r="K286" s="55" t="s">
        <v>170</v>
      </c>
      <c r="L286" s="55" t="s">
        <v>171</v>
      </c>
      <c r="M286" s="55" t="s">
        <v>188</v>
      </c>
      <c r="N286" s="55" t="s">
        <v>317</v>
      </c>
      <c r="O286" s="55">
        <v>11408500</v>
      </c>
      <c r="P286" s="55">
        <v>139</v>
      </c>
      <c r="Q286" s="55">
        <v>0</v>
      </c>
      <c r="R286" s="55">
        <v>0</v>
      </c>
      <c r="S286" s="55">
        <v>0</v>
      </c>
      <c r="T286" s="55">
        <v>0</v>
      </c>
      <c r="U286" s="55">
        <v>0</v>
      </c>
      <c r="V286" s="55">
        <v>0</v>
      </c>
      <c r="W286" s="55">
        <v>0</v>
      </c>
      <c r="X286" s="55">
        <v>0</v>
      </c>
      <c r="Y286" s="63">
        <v>0</v>
      </c>
      <c r="Z286" s="55">
        <v>0</v>
      </c>
      <c r="AA286" s="55">
        <v>0</v>
      </c>
      <c r="AB286" s="55">
        <v>0</v>
      </c>
      <c r="AC286" s="55">
        <v>11408500</v>
      </c>
      <c r="AD286" s="57">
        <v>139</v>
      </c>
      <c r="AF286" s="47">
        <f t="shared" si="4"/>
        <v>11408500</v>
      </c>
    </row>
    <row r="287" spans="1:32" x14ac:dyDescent="0.3">
      <c r="A287" s="46" t="s">
        <v>1</v>
      </c>
      <c r="B287" s="46" t="str">
        <f>IFERROR(VLOOKUP($H287,매장구분!$B:$Z,2,0),"")</f>
        <v>리테일채널팀</v>
      </c>
      <c r="C287" s="46" t="str">
        <f>IFERROR(VLOOKUP($H287,매장구분!$B:$Z,3,0),"")</f>
        <v>국내</v>
      </c>
      <c r="D287" s="46" t="str">
        <f>IFERROR(VLOOKUP($H287,매장구분!$B:$Z,5,0),"")</f>
        <v>상설(위탁)</v>
      </c>
      <c r="E287" s="46" t="str">
        <f>IFERROR(VLOOKUP($H287,매장구분!$B:$Z,9,0),"")</f>
        <v>롯데아울렛율하(상-위)</v>
      </c>
      <c r="F287" s="58"/>
      <c r="G287" s="59" t="s">
        <v>368</v>
      </c>
      <c r="H287" s="60" t="s">
        <v>369</v>
      </c>
      <c r="I287" s="60" t="s">
        <v>169</v>
      </c>
      <c r="J287" s="60" t="s">
        <v>79</v>
      </c>
      <c r="K287" s="60" t="s">
        <v>170</v>
      </c>
      <c r="L287" s="60" t="s">
        <v>171</v>
      </c>
      <c r="M287" s="60" t="s">
        <v>219</v>
      </c>
      <c r="N287" s="60" t="s">
        <v>219</v>
      </c>
      <c r="O287" s="60">
        <v>909000</v>
      </c>
      <c r="P287" s="60">
        <v>25</v>
      </c>
      <c r="Q287" s="60">
        <v>0</v>
      </c>
      <c r="R287" s="60">
        <v>0</v>
      </c>
      <c r="S287" s="60">
        <v>0</v>
      </c>
      <c r="T287" s="60">
        <v>0</v>
      </c>
      <c r="U287" s="60">
        <v>0</v>
      </c>
      <c r="V287" s="60">
        <v>0</v>
      </c>
      <c r="W287" s="60">
        <v>0</v>
      </c>
      <c r="X287" s="60">
        <v>0</v>
      </c>
      <c r="Y287" s="64">
        <v>0</v>
      </c>
      <c r="Z287" s="60">
        <v>0</v>
      </c>
      <c r="AA287" s="60">
        <v>0</v>
      </c>
      <c r="AB287" s="60">
        <v>0</v>
      </c>
      <c r="AC287" s="60">
        <v>909000</v>
      </c>
      <c r="AD287" s="62">
        <v>25</v>
      </c>
      <c r="AF287" s="47">
        <f t="shared" si="4"/>
        <v>909000</v>
      </c>
    </row>
    <row r="288" spans="1:32" x14ac:dyDescent="0.3">
      <c r="A288" s="46" t="s">
        <v>1</v>
      </c>
      <c r="B288" s="46" t="str">
        <f>IFERROR(VLOOKUP($H288,매장구분!$B:$Z,2,0),"")</f>
        <v>리테일채널팀</v>
      </c>
      <c r="C288" s="46" t="str">
        <f>IFERROR(VLOOKUP($H288,매장구분!$B:$Z,3,0),"")</f>
        <v>국내</v>
      </c>
      <c r="D288" s="46" t="str">
        <f>IFERROR(VLOOKUP($H288,매장구분!$B:$Z,5,0),"")</f>
        <v>상설(위탁)</v>
      </c>
      <c r="E288" s="46" t="str">
        <f>IFERROR(VLOOKUP($H288,매장구분!$B:$Z,9,0),"")</f>
        <v>신세계아울렛여주(상-위)</v>
      </c>
      <c r="F288" s="53"/>
      <c r="G288" s="54" t="s">
        <v>380</v>
      </c>
      <c r="H288" s="55" t="s">
        <v>381</v>
      </c>
      <c r="I288" s="55" t="s">
        <v>169</v>
      </c>
      <c r="J288" s="55" t="s">
        <v>79</v>
      </c>
      <c r="K288" s="55" t="s">
        <v>170</v>
      </c>
      <c r="L288" s="55" t="s">
        <v>171</v>
      </c>
      <c r="M288" s="55" t="s">
        <v>219</v>
      </c>
      <c r="N288" s="55" t="s">
        <v>219</v>
      </c>
      <c r="O288" s="55">
        <v>3893000</v>
      </c>
      <c r="P288" s="55">
        <v>102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63">
        <v>0</v>
      </c>
      <c r="Z288" s="55">
        <v>0</v>
      </c>
      <c r="AA288" s="55">
        <v>0</v>
      </c>
      <c r="AB288" s="55">
        <v>0</v>
      </c>
      <c r="AC288" s="55">
        <v>3893000</v>
      </c>
      <c r="AD288" s="57">
        <v>102</v>
      </c>
      <c r="AF288" s="47">
        <f t="shared" si="4"/>
        <v>3893000</v>
      </c>
    </row>
    <row r="289" spans="1:32" x14ac:dyDescent="0.3">
      <c r="A289" s="46" t="s">
        <v>1</v>
      </c>
      <c r="B289" s="46" t="str">
        <f>IFERROR(VLOOKUP($H289,매장구분!$B:$Z,2,0),"")</f>
        <v>리테일채널팀</v>
      </c>
      <c r="C289" s="46" t="str">
        <f>IFERROR(VLOOKUP($H289,매장구분!$B:$Z,3,0),"")</f>
        <v>국내</v>
      </c>
      <c r="D289" s="46" t="str">
        <f>IFERROR(VLOOKUP($H289,매장구분!$B:$Z,5,0),"")</f>
        <v>상설(위탁)</v>
      </c>
      <c r="E289" s="46" t="str">
        <f>IFERROR(VLOOKUP($H289,매장구분!$B:$Z,9,0),"")</f>
        <v>모다경주(상-위)</v>
      </c>
      <c r="F289" s="58"/>
      <c r="G289" s="59" t="s">
        <v>374</v>
      </c>
      <c r="H289" s="60" t="s">
        <v>375</v>
      </c>
      <c r="I289" s="60" t="s">
        <v>169</v>
      </c>
      <c r="J289" s="60" t="s">
        <v>79</v>
      </c>
      <c r="K289" s="60" t="s">
        <v>170</v>
      </c>
      <c r="L289" s="60" t="s">
        <v>171</v>
      </c>
      <c r="M289" s="60" t="s">
        <v>77</v>
      </c>
      <c r="N289" s="60" t="s">
        <v>238</v>
      </c>
      <c r="O289" s="60">
        <v>399000</v>
      </c>
      <c r="P289" s="60">
        <v>11</v>
      </c>
      <c r="Q289" s="60">
        <v>0</v>
      </c>
      <c r="R289" s="60">
        <v>0</v>
      </c>
      <c r="S289" s="60">
        <v>0</v>
      </c>
      <c r="T289" s="60">
        <v>0</v>
      </c>
      <c r="U289" s="60">
        <v>0</v>
      </c>
      <c r="V289" s="60">
        <v>0</v>
      </c>
      <c r="W289" s="60">
        <v>0</v>
      </c>
      <c r="X289" s="60">
        <v>0</v>
      </c>
      <c r="Y289" s="64">
        <v>0</v>
      </c>
      <c r="Z289" s="60">
        <v>0</v>
      </c>
      <c r="AA289" s="60">
        <v>0</v>
      </c>
      <c r="AB289" s="60">
        <v>0</v>
      </c>
      <c r="AC289" s="60">
        <v>399000</v>
      </c>
      <c r="AD289" s="62">
        <v>11</v>
      </c>
      <c r="AF289" s="47">
        <f t="shared" si="4"/>
        <v>399000</v>
      </c>
    </row>
    <row r="290" spans="1:32" x14ac:dyDescent="0.3">
      <c r="A290" s="46" t="s">
        <v>1</v>
      </c>
      <c r="B290" s="46" t="str">
        <f>IFERROR(VLOOKUP($H290,매장구분!$B:$Z,2,0),"")</f>
        <v>리테일채널팀</v>
      </c>
      <c r="C290" s="46" t="str">
        <f>IFERROR(VLOOKUP($H290,매장구분!$B:$Z,3,0),"")</f>
        <v>국내</v>
      </c>
      <c r="D290" s="46" t="str">
        <f>IFERROR(VLOOKUP($H290,매장구분!$B:$Z,5,0),"")</f>
        <v>상설(위탁)</v>
      </c>
      <c r="E290" s="46" t="str">
        <f>IFERROR(VLOOKUP($H290,매장구분!$B:$Z,9,0),"")</f>
        <v>롯데아울렛기흥(상-위)</v>
      </c>
      <c r="F290" s="53"/>
      <c r="G290" s="54" t="s">
        <v>382</v>
      </c>
      <c r="H290" s="55" t="s">
        <v>383</v>
      </c>
      <c r="I290" s="55" t="s">
        <v>169</v>
      </c>
      <c r="J290" s="55" t="s">
        <v>79</v>
      </c>
      <c r="K290" s="55" t="s">
        <v>170</v>
      </c>
      <c r="L290" s="55" t="s">
        <v>171</v>
      </c>
      <c r="M290" s="55" t="s">
        <v>219</v>
      </c>
      <c r="N290" s="55" t="s">
        <v>219</v>
      </c>
      <c r="O290" s="55">
        <v>3863000</v>
      </c>
      <c r="P290" s="55">
        <v>86</v>
      </c>
      <c r="Q290" s="55">
        <v>0</v>
      </c>
      <c r="R290" s="55">
        <v>0</v>
      </c>
      <c r="S290" s="55">
        <v>0</v>
      </c>
      <c r="T290" s="55">
        <v>0</v>
      </c>
      <c r="U290" s="55">
        <v>0</v>
      </c>
      <c r="V290" s="55">
        <v>0</v>
      </c>
      <c r="W290" s="55">
        <v>0</v>
      </c>
      <c r="X290" s="55">
        <v>0</v>
      </c>
      <c r="Y290" s="63">
        <v>0</v>
      </c>
      <c r="Z290" s="55">
        <v>0</v>
      </c>
      <c r="AA290" s="55">
        <v>0</v>
      </c>
      <c r="AB290" s="55">
        <v>0</v>
      </c>
      <c r="AC290" s="55">
        <v>3863000</v>
      </c>
      <c r="AD290" s="57">
        <v>86</v>
      </c>
      <c r="AF290" s="47">
        <f t="shared" si="4"/>
        <v>3863000</v>
      </c>
    </row>
    <row r="291" spans="1:32" x14ac:dyDescent="0.3">
      <c r="A291" s="46" t="s">
        <v>1</v>
      </c>
      <c r="B291" s="46" t="str">
        <f>IFERROR(VLOOKUP($H291,매장구분!$B:$Z,2,0),"")</f>
        <v>리테일채널팀</v>
      </c>
      <c r="C291" s="46" t="str">
        <f>IFERROR(VLOOKUP($H291,매장구분!$B:$Z,3,0),"")</f>
        <v>국내</v>
      </c>
      <c r="D291" s="46" t="str">
        <f>IFERROR(VLOOKUP($H291,매장구분!$B:$Z,5,0),"")</f>
        <v>상설(위탁)</v>
      </c>
      <c r="E291" s="46" t="str">
        <f>IFERROR(VLOOKUP($H291,매장구분!$B:$Z,9,0),"")</f>
        <v>롯데아울렛김해(상-위)</v>
      </c>
      <c r="F291" s="58"/>
      <c r="G291" s="59" t="s">
        <v>370</v>
      </c>
      <c r="H291" s="60" t="s">
        <v>371</v>
      </c>
      <c r="I291" s="60" t="s">
        <v>169</v>
      </c>
      <c r="J291" s="60" t="s">
        <v>79</v>
      </c>
      <c r="K291" s="60" t="s">
        <v>170</v>
      </c>
      <c r="L291" s="60" t="s">
        <v>171</v>
      </c>
      <c r="M291" s="60" t="s">
        <v>219</v>
      </c>
      <c r="N291" s="60" t="s">
        <v>219</v>
      </c>
      <c r="O291" s="60">
        <v>6879000</v>
      </c>
      <c r="P291" s="60">
        <v>175</v>
      </c>
      <c r="Q291" s="60">
        <v>0</v>
      </c>
      <c r="R291" s="60">
        <v>0</v>
      </c>
      <c r="S291" s="60">
        <v>0</v>
      </c>
      <c r="T291" s="60">
        <v>0</v>
      </c>
      <c r="U291" s="60">
        <v>0</v>
      </c>
      <c r="V291" s="60">
        <v>0</v>
      </c>
      <c r="W291" s="60">
        <v>0</v>
      </c>
      <c r="X291" s="60">
        <v>0</v>
      </c>
      <c r="Y291" s="64">
        <v>0</v>
      </c>
      <c r="Z291" s="60">
        <v>0</v>
      </c>
      <c r="AA291" s="60">
        <v>0</v>
      </c>
      <c r="AB291" s="60">
        <v>0</v>
      </c>
      <c r="AC291" s="60">
        <v>6879000</v>
      </c>
      <c r="AD291" s="62">
        <v>175</v>
      </c>
      <c r="AF291" s="47">
        <f t="shared" si="4"/>
        <v>6879000</v>
      </c>
    </row>
    <row r="292" spans="1:32" x14ac:dyDescent="0.3">
      <c r="A292" s="46" t="s">
        <v>1</v>
      </c>
      <c r="B292" s="46" t="str">
        <f>IFERROR(VLOOKUP($H292,매장구분!$B:$Z,2,0),"")</f>
        <v>리테일채널팀</v>
      </c>
      <c r="C292" s="46" t="str">
        <f>IFERROR(VLOOKUP($H292,매장구분!$B:$Z,3,0),"")</f>
        <v>국내</v>
      </c>
      <c r="D292" s="46" t="str">
        <f>IFERROR(VLOOKUP($H292,매장구분!$B:$Z,5,0),"")</f>
        <v>상설(위탁)</v>
      </c>
      <c r="E292" s="46" t="str">
        <f>IFERROR(VLOOKUP($H292,매장구분!$B:$Z,9,0),"")</f>
        <v>NC강서(상-위)</v>
      </c>
      <c r="F292" s="53"/>
      <c r="G292" s="54" t="s">
        <v>376</v>
      </c>
      <c r="H292" s="55" t="s">
        <v>377</v>
      </c>
      <c r="I292" s="55" t="s">
        <v>169</v>
      </c>
      <c r="J292" s="55" t="s">
        <v>79</v>
      </c>
      <c r="K292" s="55" t="s">
        <v>170</v>
      </c>
      <c r="L292" s="55" t="s">
        <v>171</v>
      </c>
      <c r="M292" s="55" t="s">
        <v>77</v>
      </c>
      <c r="N292" s="55" t="s">
        <v>238</v>
      </c>
      <c r="O292" s="55">
        <v>1014000</v>
      </c>
      <c r="P292" s="55">
        <v>28</v>
      </c>
      <c r="Q292" s="55">
        <v>0</v>
      </c>
      <c r="R292" s="55">
        <v>0</v>
      </c>
      <c r="S292" s="55">
        <v>0</v>
      </c>
      <c r="T292" s="55">
        <v>0</v>
      </c>
      <c r="U292" s="55">
        <v>0</v>
      </c>
      <c r="V292" s="55">
        <v>0</v>
      </c>
      <c r="W292" s="55">
        <v>0</v>
      </c>
      <c r="X292" s="55">
        <v>0</v>
      </c>
      <c r="Y292" s="63">
        <v>0</v>
      </c>
      <c r="Z292" s="55">
        <v>0</v>
      </c>
      <c r="AA292" s="55">
        <v>0</v>
      </c>
      <c r="AB292" s="55">
        <v>0</v>
      </c>
      <c r="AC292" s="55">
        <v>1014000</v>
      </c>
      <c r="AD292" s="57">
        <v>28</v>
      </c>
      <c r="AF292" s="47">
        <f t="shared" si="4"/>
        <v>1014000</v>
      </c>
    </row>
    <row r="293" spans="1:32" x14ac:dyDescent="0.3">
      <c r="A293" s="46" t="s">
        <v>1</v>
      </c>
      <c r="B293" s="46" t="str">
        <f>IFERROR(VLOOKUP($H293,매장구분!$B:$Z,2,0),"")</f>
        <v>리테일채널팀</v>
      </c>
      <c r="C293" s="46" t="str">
        <f>IFERROR(VLOOKUP($H293,매장구분!$B:$Z,3,0),"")</f>
        <v>국내</v>
      </c>
      <c r="D293" s="46" t="str">
        <f>IFERROR(VLOOKUP($H293,매장구분!$B:$Z,5,0),"")</f>
        <v>상설(위탁)</v>
      </c>
      <c r="E293" s="46" t="str">
        <f>IFERROR(VLOOKUP($H293,매장구분!$B:$Z,9,0),"")</f>
        <v>현대아울렛가든5(상-위)</v>
      </c>
      <c r="F293" s="58"/>
      <c r="G293" s="59" t="s">
        <v>372</v>
      </c>
      <c r="H293" s="60" t="s">
        <v>373</v>
      </c>
      <c r="I293" s="60" t="s">
        <v>169</v>
      </c>
      <c r="J293" s="60" t="s">
        <v>79</v>
      </c>
      <c r="K293" s="60" t="s">
        <v>170</v>
      </c>
      <c r="L293" s="60" t="s">
        <v>171</v>
      </c>
      <c r="M293" s="60" t="s">
        <v>219</v>
      </c>
      <c r="N293" s="60" t="s">
        <v>219</v>
      </c>
      <c r="O293" s="60">
        <v>684000</v>
      </c>
      <c r="P293" s="60">
        <v>19</v>
      </c>
      <c r="Q293" s="60">
        <v>0</v>
      </c>
      <c r="R293" s="60">
        <v>0</v>
      </c>
      <c r="S293" s="60">
        <v>0</v>
      </c>
      <c r="T293" s="60">
        <v>0</v>
      </c>
      <c r="U293" s="60">
        <v>0</v>
      </c>
      <c r="V293" s="60">
        <v>0</v>
      </c>
      <c r="W293" s="60">
        <v>0</v>
      </c>
      <c r="X293" s="60">
        <v>0</v>
      </c>
      <c r="Y293" s="64">
        <v>0</v>
      </c>
      <c r="Z293" s="60">
        <v>0</v>
      </c>
      <c r="AA293" s="60">
        <v>0</v>
      </c>
      <c r="AB293" s="60">
        <v>0</v>
      </c>
      <c r="AC293" s="60">
        <v>684000</v>
      </c>
      <c r="AD293" s="62">
        <v>19</v>
      </c>
      <c r="AF293" s="47">
        <f t="shared" si="4"/>
        <v>684000</v>
      </c>
    </row>
    <row r="294" spans="1:32" x14ac:dyDescent="0.3">
      <c r="A294" s="46" t="s">
        <v>1</v>
      </c>
      <c r="B294" s="46" t="str">
        <f>IFERROR(VLOOKUP($H294,매장구분!$B:$Z,2,0),"")</f>
        <v>파트너채널팀</v>
      </c>
      <c r="C294" s="46" t="str">
        <f>IFERROR(VLOOKUP($H294,매장구분!$B:$Z,3,0),"")</f>
        <v>국내</v>
      </c>
      <c r="D294" s="46" t="str">
        <f>IFERROR(VLOOKUP($H294,매장구분!$B:$Z,5,0),"")</f>
        <v>백화점</v>
      </c>
      <c r="E294" s="46" t="str">
        <f>IFERROR(VLOOKUP($H294,매장구분!$B:$Z,9,0),"")</f>
        <v>롯데동탄</v>
      </c>
      <c r="F294" s="53"/>
      <c r="G294" s="54" t="s">
        <v>406</v>
      </c>
      <c r="H294" s="55" t="s">
        <v>407</v>
      </c>
      <c r="I294" s="55" t="s">
        <v>169</v>
      </c>
      <c r="J294" s="55" t="s">
        <v>175</v>
      </c>
      <c r="K294" s="55" t="s">
        <v>170</v>
      </c>
      <c r="L294" s="55" t="s">
        <v>171</v>
      </c>
      <c r="M294" s="55" t="s">
        <v>77</v>
      </c>
      <c r="N294" s="55" t="s">
        <v>172</v>
      </c>
      <c r="O294" s="55">
        <v>9409380</v>
      </c>
      <c r="P294" s="55">
        <v>121</v>
      </c>
      <c r="Q294" s="55">
        <v>3071300</v>
      </c>
      <c r="R294" s="55">
        <v>41</v>
      </c>
      <c r="S294" s="55">
        <v>0</v>
      </c>
      <c r="T294" s="55">
        <v>0</v>
      </c>
      <c r="U294" s="55">
        <v>1811520</v>
      </c>
      <c r="V294" s="55">
        <v>9</v>
      </c>
      <c r="W294" s="55">
        <v>0</v>
      </c>
      <c r="X294" s="55">
        <v>0</v>
      </c>
      <c r="Y294" s="63">
        <v>2916500</v>
      </c>
      <c r="Z294" s="55">
        <v>98</v>
      </c>
      <c r="AA294" s="55">
        <v>0</v>
      </c>
      <c r="AB294" s="55">
        <v>0</v>
      </c>
      <c r="AC294" s="55">
        <v>17208700</v>
      </c>
      <c r="AD294" s="57">
        <v>269</v>
      </c>
      <c r="AF294" s="47">
        <f t="shared" si="4"/>
        <v>14292200</v>
      </c>
    </row>
    <row r="295" spans="1:32" x14ac:dyDescent="0.3">
      <c r="A295" s="46" t="s">
        <v>1</v>
      </c>
      <c r="B295" s="46" t="str">
        <f>IFERROR(VLOOKUP($H295,매장구분!$B:$Z,2,0),"")</f>
        <v>리테일채널팀</v>
      </c>
      <c r="C295" s="46" t="str">
        <f>IFERROR(VLOOKUP($H295,매장구분!$B:$Z,3,0),"")</f>
        <v>국내</v>
      </c>
      <c r="D295" s="46" t="str">
        <f>IFERROR(VLOOKUP($H295,매장구분!$B:$Z,5,0),"")</f>
        <v>대리점</v>
      </c>
      <c r="E295" s="46" t="str">
        <f>IFERROR(VLOOKUP($H295,매장구분!$B:$Z,9,0),"")</f>
        <v>영주(대-위)</v>
      </c>
      <c r="F295" s="58"/>
      <c r="G295" s="59" t="s">
        <v>392</v>
      </c>
      <c r="H295" s="60" t="s">
        <v>393</v>
      </c>
      <c r="I295" s="60" t="s">
        <v>169</v>
      </c>
      <c r="J295" s="60" t="s">
        <v>79</v>
      </c>
      <c r="K295" s="60" t="s">
        <v>170</v>
      </c>
      <c r="L295" s="60" t="s">
        <v>171</v>
      </c>
      <c r="M295" s="60" t="s">
        <v>196</v>
      </c>
      <c r="N295" s="60" t="s">
        <v>197</v>
      </c>
      <c r="O295" s="60">
        <v>7407100</v>
      </c>
      <c r="P295" s="60">
        <v>57</v>
      </c>
      <c r="Q295" s="60">
        <v>0</v>
      </c>
      <c r="R295" s="60">
        <v>0</v>
      </c>
      <c r="S295" s="60">
        <v>0</v>
      </c>
      <c r="T295" s="60">
        <v>0</v>
      </c>
      <c r="U295" s="60">
        <v>655000</v>
      </c>
      <c r="V295" s="60">
        <v>5</v>
      </c>
      <c r="W295" s="60">
        <v>0</v>
      </c>
      <c r="X295" s="60">
        <v>0</v>
      </c>
      <c r="Y295" s="64">
        <v>0</v>
      </c>
      <c r="Z295" s="60">
        <v>0</v>
      </c>
      <c r="AA295" s="60">
        <v>0</v>
      </c>
      <c r="AB295" s="60">
        <v>0</v>
      </c>
      <c r="AC295" s="60">
        <v>8062100</v>
      </c>
      <c r="AD295" s="62">
        <v>62</v>
      </c>
      <c r="AF295" s="47">
        <f t="shared" si="4"/>
        <v>8062100</v>
      </c>
    </row>
    <row r="296" spans="1:32" x14ac:dyDescent="0.3">
      <c r="A296" s="46" t="s">
        <v>1</v>
      </c>
      <c r="B296" s="46" t="str">
        <f>IFERROR(VLOOKUP($H296,매장구분!$B:$Z,2,0),"")</f>
        <v>파트너채널팀</v>
      </c>
      <c r="C296" s="46" t="str">
        <f>IFERROR(VLOOKUP($H296,매장구분!$B:$Z,3,0),"")</f>
        <v>국내</v>
      </c>
      <c r="D296" s="46" t="str">
        <f>IFERROR(VLOOKUP($H296,매장구분!$B:$Z,5,0),"")</f>
        <v>백화점</v>
      </c>
      <c r="E296" s="46" t="str">
        <f>IFERROR(VLOOKUP($H296,매장구분!$B:$Z,9,0),"")</f>
        <v>AK원주</v>
      </c>
      <c r="F296" s="53"/>
      <c r="G296" s="54" t="s">
        <v>396</v>
      </c>
      <c r="H296" s="55" t="s">
        <v>397</v>
      </c>
      <c r="I296" s="55" t="s">
        <v>169</v>
      </c>
      <c r="J296" s="55" t="s">
        <v>175</v>
      </c>
      <c r="K296" s="55" t="s">
        <v>170</v>
      </c>
      <c r="L296" s="55" t="s">
        <v>171</v>
      </c>
      <c r="M296" s="55" t="s">
        <v>77</v>
      </c>
      <c r="N296" s="55" t="s">
        <v>172</v>
      </c>
      <c r="O296" s="55">
        <v>24670827</v>
      </c>
      <c r="P296" s="55">
        <v>204</v>
      </c>
      <c r="Q296" s="55">
        <v>474000</v>
      </c>
      <c r="R296" s="55">
        <v>13</v>
      </c>
      <c r="S296" s="55">
        <v>0</v>
      </c>
      <c r="T296" s="55">
        <v>0</v>
      </c>
      <c r="U296" s="55">
        <v>0</v>
      </c>
      <c r="V296" s="55">
        <v>0</v>
      </c>
      <c r="W296" s="55">
        <v>0</v>
      </c>
      <c r="X296" s="55">
        <v>0</v>
      </c>
      <c r="Y296" s="63">
        <v>20753973</v>
      </c>
      <c r="Z296" s="55">
        <v>189</v>
      </c>
      <c r="AA296" s="55">
        <v>0</v>
      </c>
      <c r="AB296" s="55">
        <v>0</v>
      </c>
      <c r="AC296" s="55">
        <v>45898800</v>
      </c>
      <c r="AD296" s="57">
        <v>406</v>
      </c>
      <c r="AF296" s="47">
        <f t="shared" si="4"/>
        <v>25144827</v>
      </c>
    </row>
    <row r="297" spans="1:32" x14ac:dyDescent="0.3">
      <c r="A297" s="46" t="s">
        <v>1</v>
      </c>
      <c r="B297" s="46" t="str">
        <f>IFERROR(VLOOKUP($H297,매장구분!$B:$Z,2,0),"")</f>
        <v>리테일채널팀</v>
      </c>
      <c r="C297" s="46" t="str">
        <f>IFERROR(VLOOKUP($H297,매장구분!$B:$Z,3,0),"")</f>
        <v>국내</v>
      </c>
      <c r="D297" s="46" t="str">
        <f>IFERROR(VLOOKUP($H297,매장구분!$B:$Z,5,0),"")</f>
        <v>대리점</v>
      </c>
      <c r="E297" s="46" t="str">
        <f>IFERROR(VLOOKUP($H297,매장구분!$B:$Z,9,0),"")</f>
        <v>안동(대-위)</v>
      </c>
      <c r="F297" s="58"/>
      <c r="G297" s="59" t="s">
        <v>424</v>
      </c>
      <c r="H297" s="60" t="s">
        <v>425</v>
      </c>
      <c r="I297" s="60" t="s">
        <v>169</v>
      </c>
      <c r="J297" s="60" t="s">
        <v>79</v>
      </c>
      <c r="K297" s="60" t="s">
        <v>170</v>
      </c>
      <c r="L297" s="60" t="s">
        <v>171</v>
      </c>
      <c r="M297" s="60" t="s">
        <v>196</v>
      </c>
      <c r="N297" s="60" t="s">
        <v>197</v>
      </c>
      <c r="O297" s="60">
        <v>10459700</v>
      </c>
      <c r="P297" s="60">
        <v>108</v>
      </c>
      <c r="Q297" s="60">
        <v>0</v>
      </c>
      <c r="R297" s="60">
        <v>0</v>
      </c>
      <c r="S297" s="60">
        <v>0</v>
      </c>
      <c r="T297" s="60">
        <v>0</v>
      </c>
      <c r="U297" s="60">
        <v>1739100</v>
      </c>
      <c r="V297" s="60">
        <v>10</v>
      </c>
      <c r="W297" s="60">
        <v>0</v>
      </c>
      <c r="X297" s="60">
        <v>0</v>
      </c>
      <c r="Y297" s="64">
        <v>0</v>
      </c>
      <c r="Z297" s="60">
        <v>0</v>
      </c>
      <c r="AA297" s="60">
        <v>0</v>
      </c>
      <c r="AB297" s="60">
        <v>0</v>
      </c>
      <c r="AC297" s="60">
        <v>12198800</v>
      </c>
      <c r="AD297" s="62">
        <v>118</v>
      </c>
      <c r="AF297" s="47">
        <f t="shared" si="4"/>
        <v>12198800</v>
      </c>
    </row>
    <row r="298" spans="1:32" x14ac:dyDescent="0.3">
      <c r="A298" s="46" t="s">
        <v>1</v>
      </c>
      <c r="B298" s="46" t="str">
        <f>IFERROR(VLOOKUP($H298,매장구분!$B:$Z,2,0),"")</f>
        <v>파트너채널팀</v>
      </c>
      <c r="C298" s="46" t="str">
        <f>IFERROR(VLOOKUP($H298,매장구분!$B:$Z,3,0),"")</f>
        <v>국내</v>
      </c>
      <c r="D298" s="46" t="str">
        <f>IFERROR(VLOOKUP($H298,매장구분!$B:$Z,5,0),"")</f>
        <v>백화점</v>
      </c>
      <c r="E298" s="46" t="str">
        <f>IFERROR(VLOOKUP($H298,매장구분!$B:$Z,9,0),"")</f>
        <v>롯데평촌</v>
      </c>
      <c r="F298" s="53"/>
      <c r="G298" s="54" t="s">
        <v>412</v>
      </c>
      <c r="H298" s="55" t="s">
        <v>413</v>
      </c>
      <c r="I298" s="55" t="s">
        <v>169</v>
      </c>
      <c r="J298" s="55" t="s">
        <v>175</v>
      </c>
      <c r="K298" s="55" t="s">
        <v>170</v>
      </c>
      <c r="L298" s="55" t="s">
        <v>171</v>
      </c>
      <c r="M298" s="55" t="s">
        <v>77</v>
      </c>
      <c r="N298" s="55" t="s">
        <v>172</v>
      </c>
      <c r="O298" s="55">
        <v>12817229</v>
      </c>
      <c r="P298" s="55">
        <v>134</v>
      </c>
      <c r="Q298" s="55">
        <v>478300</v>
      </c>
      <c r="R298" s="55">
        <v>9</v>
      </c>
      <c r="S298" s="55">
        <v>0</v>
      </c>
      <c r="T298" s="55">
        <v>0</v>
      </c>
      <c r="U298" s="55">
        <v>2162071</v>
      </c>
      <c r="V298" s="55">
        <v>15</v>
      </c>
      <c r="W298" s="55">
        <v>0</v>
      </c>
      <c r="X298" s="55">
        <v>0</v>
      </c>
      <c r="Y298" s="63">
        <v>21917000</v>
      </c>
      <c r="Z298" s="55">
        <v>107</v>
      </c>
      <c r="AA298" s="55">
        <v>0</v>
      </c>
      <c r="AB298" s="55">
        <v>0</v>
      </c>
      <c r="AC298" s="55">
        <v>37374600</v>
      </c>
      <c r="AD298" s="57">
        <v>265</v>
      </c>
      <c r="AF298" s="47">
        <f t="shared" si="4"/>
        <v>15457600</v>
      </c>
    </row>
    <row r="299" spans="1:32" x14ac:dyDescent="0.3">
      <c r="A299" s="46" t="s">
        <v>1</v>
      </c>
      <c r="B299" s="46" t="str">
        <f>IFERROR(VLOOKUP($H299,매장구분!$B:$Z,2,0),"")</f>
        <v>파트너채널팀</v>
      </c>
      <c r="C299" s="46" t="str">
        <f>IFERROR(VLOOKUP($H299,매장구분!$B:$Z,3,0),"")</f>
        <v>국내</v>
      </c>
      <c r="D299" s="46" t="str">
        <f>IFERROR(VLOOKUP($H299,매장구분!$B:$Z,5,0),"")</f>
        <v>백화점</v>
      </c>
      <c r="E299" s="46" t="str">
        <f>IFERROR(VLOOKUP($H299,매장구분!$B:$Z,9,0),"")</f>
        <v>더현대서울</v>
      </c>
      <c r="F299" s="58"/>
      <c r="G299" s="59" t="s">
        <v>422</v>
      </c>
      <c r="H299" s="60" t="s">
        <v>423</v>
      </c>
      <c r="I299" s="60" t="s">
        <v>169</v>
      </c>
      <c r="J299" s="60" t="s">
        <v>175</v>
      </c>
      <c r="K299" s="60" t="s">
        <v>170</v>
      </c>
      <c r="L299" s="60" t="s">
        <v>171</v>
      </c>
      <c r="M299" s="60" t="s">
        <v>188</v>
      </c>
      <c r="N299" s="60" t="s">
        <v>189</v>
      </c>
      <c r="O299" s="60">
        <v>32725780</v>
      </c>
      <c r="P299" s="60">
        <v>343</v>
      </c>
      <c r="Q299" s="60">
        <v>0</v>
      </c>
      <c r="R299" s="60">
        <v>0</v>
      </c>
      <c r="S299" s="60">
        <v>0</v>
      </c>
      <c r="T299" s="60">
        <v>0</v>
      </c>
      <c r="U299" s="60">
        <v>1438020</v>
      </c>
      <c r="V299" s="60">
        <v>11</v>
      </c>
      <c r="W299" s="60">
        <v>0</v>
      </c>
      <c r="X299" s="60">
        <v>0</v>
      </c>
      <c r="Y299" s="64">
        <v>0</v>
      </c>
      <c r="Z299" s="60">
        <v>0</v>
      </c>
      <c r="AA299" s="60">
        <v>0</v>
      </c>
      <c r="AB299" s="60">
        <v>0</v>
      </c>
      <c r="AC299" s="60">
        <v>34163800</v>
      </c>
      <c r="AD299" s="62">
        <v>354</v>
      </c>
      <c r="AF299" s="47">
        <f t="shared" si="4"/>
        <v>34163800</v>
      </c>
    </row>
    <row r="300" spans="1:32" x14ac:dyDescent="0.3">
      <c r="A300" s="46" t="s">
        <v>1</v>
      </c>
      <c r="B300" s="46" t="str">
        <f>IFERROR(VLOOKUP($H300,매장구분!$B:$Z,2,0),"")</f>
        <v>파트너채널팀</v>
      </c>
      <c r="C300" s="46" t="str">
        <f>IFERROR(VLOOKUP($H300,매장구분!$B:$Z,3,0),"")</f>
        <v>국내</v>
      </c>
      <c r="D300" s="46" t="str">
        <f>IFERROR(VLOOKUP($H300,매장구분!$B:$Z,5,0),"")</f>
        <v>백화점</v>
      </c>
      <c r="E300" s="46" t="str">
        <f>IFERROR(VLOOKUP($H300,매장구분!$B:$Z,9,0),"")</f>
        <v>롯데광주</v>
      </c>
      <c r="F300" s="53"/>
      <c r="G300" s="54" t="s">
        <v>404</v>
      </c>
      <c r="H300" s="55" t="s">
        <v>405</v>
      </c>
      <c r="I300" s="55" t="s">
        <v>169</v>
      </c>
      <c r="J300" s="55" t="s">
        <v>175</v>
      </c>
      <c r="K300" s="55" t="s">
        <v>170</v>
      </c>
      <c r="L300" s="55" t="s">
        <v>171</v>
      </c>
      <c r="M300" s="55" t="s">
        <v>77</v>
      </c>
      <c r="N300" s="55" t="s">
        <v>172</v>
      </c>
      <c r="O300" s="55">
        <v>11171520</v>
      </c>
      <c r="P300" s="55">
        <v>105</v>
      </c>
      <c r="Q300" s="55">
        <v>804400</v>
      </c>
      <c r="R300" s="55">
        <v>7</v>
      </c>
      <c r="S300" s="55">
        <v>0</v>
      </c>
      <c r="T300" s="55">
        <v>0</v>
      </c>
      <c r="U300" s="55">
        <v>723400</v>
      </c>
      <c r="V300" s="55">
        <v>5</v>
      </c>
      <c r="W300" s="55">
        <v>0</v>
      </c>
      <c r="X300" s="55">
        <v>0</v>
      </c>
      <c r="Y300" s="63">
        <v>3728000</v>
      </c>
      <c r="Z300" s="55">
        <v>30</v>
      </c>
      <c r="AA300" s="55">
        <v>0</v>
      </c>
      <c r="AB300" s="55">
        <v>0</v>
      </c>
      <c r="AC300" s="55">
        <v>16427320</v>
      </c>
      <c r="AD300" s="57">
        <v>147</v>
      </c>
      <c r="AF300" s="47">
        <f t="shared" si="4"/>
        <v>12699320</v>
      </c>
    </row>
    <row r="301" spans="1:32" x14ac:dyDescent="0.3">
      <c r="A301" s="46" t="s">
        <v>1</v>
      </c>
      <c r="B301" s="46" t="str">
        <f>IFERROR(VLOOKUP($H301,매장구분!$B:$Z,2,0),"")</f>
        <v>파트너채널팀</v>
      </c>
      <c r="C301" s="46" t="str">
        <f>IFERROR(VLOOKUP($H301,매장구분!$B:$Z,3,0),"")</f>
        <v>면세</v>
      </c>
      <c r="D301" s="46" t="str">
        <f>IFERROR(VLOOKUP($H301,매장구분!$B:$Z,5,0),"")</f>
        <v>면세</v>
      </c>
      <c r="E301" s="46" t="str">
        <f>IFERROR(VLOOKUP($H301,매장구분!$B:$Z,9,0),"")</f>
        <v>롯데면세소공</v>
      </c>
      <c r="F301" s="58"/>
      <c r="G301" s="59" t="s">
        <v>384</v>
      </c>
      <c r="H301" s="60" t="s">
        <v>385</v>
      </c>
      <c r="I301" s="60" t="s">
        <v>169</v>
      </c>
      <c r="J301" s="60" t="s">
        <v>175</v>
      </c>
      <c r="K301" s="60" t="s">
        <v>170</v>
      </c>
      <c r="L301" s="60" t="s">
        <v>171</v>
      </c>
      <c r="M301" s="60" t="s">
        <v>176</v>
      </c>
      <c r="N301" s="60" t="s">
        <v>177</v>
      </c>
      <c r="O301" s="60">
        <v>141000300</v>
      </c>
      <c r="P301" s="60">
        <v>2226</v>
      </c>
      <c r="Q301" s="60">
        <v>0</v>
      </c>
      <c r="R301" s="60">
        <v>0</v>
      </c>
      <c r="S301" s="60">
        <v>0</v>
      </c>
      <c r="T301" s="60">
        <v>0</v>
      </c>
      <c r="U301" s="60">
        <v>0</v>
      </c>
      <c r="V301" s="60">
        <v>0</v>
      </c>
      <c r="W301" s="60">
        <v>0</v>
      </c>
      <c r="X301" s="60">
        <v>0</v>
      </c>
      <c r="Y301" s="64">
        <v>508870000</v>
      </c>
      <c r="Z301" s="60">
        <v>4270</v>
      </c>
      <c r="AA301" s="60">
        <v>0</v>
      </c>
      <c r="AB301" s="60">
        <v>0</v>
      </c>
      <c r="AC301" s="60">
        <v>649870300</v>
      </c>
      <c r="AD301" s="62">
        <v>6496</v>
      </c>
      <c r="AF301" s="47">
        <f t="shared" si="4"/>
        <v>141000300</v>
      </c>
    </row>
    <row r="302" spans="1:32" x14ac:dyDescent="0.3">
      <c r="A302" s="46" t="s">
        <v>1</v>
      </c>
      <c r="B302" s="46" t="str">
        <f>IFERROR(VLOOKUP($H302,매장구분!$B:$Z,2,0),"")</f>
        <v>파트너채널팀</v>
      </c>
      <c r="C302" s="46" t="str">
        <f>IFERROR(VLOOKUP($H302,매장구분!$B:$Z,3,0),"")</f>
        <v>국내</v>
      </c>
      <c r="D302" s="46" t="str">
        <f>IFERROR(VLOOKUP($H302,매장구분!$B:$Z,5,0),"")</f>
        <v>백화점</v>
      </c>
      <c r="E302" s="46" t="str">
        <f>IFERROR(VLOOKUP($H302,매장구분!$B:$Z,9,0),"")</f>
        <v>롯데수원</v>
      </c>
      <c r="F302" s="53"/>
      <c r="G302" s="54" t="s">
        <v>402</v>
      </c>
      <c r="H302" s="55" t="s">
        <v>403</v>
      </c>
      <c r="I302" s="55" t="s">
        <v>169</v>
      </c>
      <c r="J302" s="55" t="s">
        <v>175</v>
      </c>
      <c r="K302" s="55" t="s">
        <v>170</v>
      </c>
      <c r="L302" s="55" t="s">
        <v>171</v>
      </c>
      <c r="M302" s="55" t="s">
        <v>77</v>
      </c>
      <c r="N302" s="55" t="s">
        <v>172</v>
      </c>
      <c r="O302" s="55">
        <v>30029700</v>
      </c>
      <c r="P302" s="55">
        <v>283</v>
      </c>
      <c r="Q302" s="55">
        <v>2498300</v>
      </c>
      <c r="R302" s="55">
        <v>36</v>
      </c>
      <c r="S302" s="55">
        <v>0</v>
      </c>
      <c r="T302" s="55">
        <v>0</v>
      </c>
      <c r="U302" s="55">
        <v>49600</v>
      </c>
      <c r="V302" s="55">
        <v>5</v>
      </c>
      <c r="W302" s="55">
        <v>0</v>
      </c>
      <c r="X302" s="55">
        <v>0</v>
      </c>
      <c r="Y302" s="63">
        <v>0</v>
      </c>
      <c r="Z302" s="55">
        <v>0</v>
      </c>
      <c r="AA302" s="55">
        <v>-848600</v>
      </c>
      <c r="AB302" s="55">
        <v>-6</v>
      </c>
      <c r="AC302" s="55">
        <v>31729000</v>
      </c>
      <c r="AD302" s="57">
        <v>318</v>
      </c>
      <c r="AF302" s="47">
        <f t="shared" si="4"/>
        <v>31729000</v>
      </c>
    </row>
    <row r="303" spans="1:32" x14ac:dyDescent="0.3">
      <c r="A303" s="46" t="s">
        <v>1</v>
      </c>
      <c r="B303" s="46" t="str">
        <f>IFERROR(VLOOKUP($H303,매장구분!$B:$Z,2,0),"")</f>
        <v>리테일채널팀</v>
      </c>
      <c r="C303" s="46" t="str">
        <f>IFERROR(VLOOKUP($H303,매장구분!$B:$Z,3,0),"")</f>
        <v>국내</v>
      </c>
      <c r="D303" s="46" t="str">
        <f>IFERROR(VLOOKUP($H303,매장구분!$B:$Z,5,0),"")</f>
        <v>대리점</v>
      </c>
      <c r="E303" s="46" t="str">
        <f>IFERROR(VLOOKUP($H303,매장구분!$B:$Z,9,0),"")</f>
        <v>상주(대-위)</v>
      </c>
      <c r="F303" s="58"/>
      <c r="G303" s="59" t="s">
        <v>388</v>
      </c>
      <c r="H303" s="60" t="s">
        <v>389</v>
      </c>
      <c r="I303" s="60" t="s">
        <v>169</v>
      </c>
      <c r="J303" s="60" t="s">
        <v>79</v>
      </c>
      <c r="K303" s="60" t="s">
        <v>170</v>
      </c>
      <c r="L303" s="60" t="s">
        <v>171</v>
      </c>
      <c r="M303" s="60" t="s">
        <v>196</v>
      </c>
      <c r="N303" s="60" t="s">
        <v>197</v>
      </c>
      <c r="O303" s="60">
        <v>5214411</v>
      </c>
      <c r="P303" s="60">
        <v>46</v>
      </c>
      <c r="Q303" s="60">
        <v>0</v>
      </c>
      <c r="R303" s="60">
        <v>0</v>
      </c>
      <c r="S303" s="60">
        <v>0</v>
      </c>
      <c r="T303" s="60">
        <v>0</v>
      </c>
      <c r="U303" s="60">
        <v>1323000</v>
      </c>
      <c r="V303" s="60">
        <v>7</v>
      </c>
      <c r="W303" s="60">
        <v>0</v>
      </c>
      <c r="X303" s="60">
        <v>0</v>
      </c>
      <c r="Y303" s="64">
        <v>0</v>
      </c>
      <c r="Z303" s="60">
        <v>0</v>
      </c>
      <c r="AA303" s="60">
        <v>0</v>
      </c>
      <c r="AB303" s="60">
        <v>0</v>
      </c>
      <c r="AC303" s="60">
        <v>6537411</v>
      </c>
      <c r="AD303" s="62">
        <v>53</v>
      </c>
      <c r="AF303" s="47">
        <f t="shared" si="4"/>
        <v>6537411</v>
      </c>
    </row>
    <row r="304" spans="1:32" x14ac:dyDescent="0.3">
      <c r="A304" s="46" t="s">
        <v>1</v>
      </c>
      <c r="B304" s="46" t="str">
        <f>IFERROR(VLOOKUP($H304,매장구분!$B:$Z,2,0),"")</f>
        <v>파트너채널팀</v>
      </c>
      <c r="C304" s="46" t="str">
        <f>IFERROR(VLOOKUP($H304,매장구분!$B:$Z,3,0),"")</f>
        <v>국내</v>
      </c>
      <c r="D304" s="46" t="str">
        <f>IFERROR(VLOOKUP($H304,매장구분!$B:$Z,5,0),"")</f>
        <v>백화점</v>
      </c>
      <c r="E304" s="46" t="str">
        <f>IFERROR(VLOOKUP($H304,매장구분!$B:$Z,9,0),"")</f>
        <v>신세계영등포</v>
      </c>
      <c r="F304" s="53"/>
      <c r="G304" s="54" t="s">
        <v>416</v>
      </c>
      <c r="H304" s="55" t="s">
        <v>417</v>
      </c>
      <c r="I304" s="55" t="s">
        <v>169</v>
      </c>
      <c r="J304" s="55" t="s">
        <v>175</v>
      </c>
      <c r="K304" s="55" t="s">
        <v>170</v>
      </c>
      <c r="L304" s="55" t="s">
        <v>171</v>
      </c>
      <c r="M304" s="55" t="s">
        <v>77</v>
      </c>
      <c r="N304" s="55" t="s">
        <v>172</v>
      </c>
      <c r="O304" s="55">
        <v>6798900</v>
      </c>
      <c r="P304" s="55">
        <v>71</v>
      </c>
      <c r="Q304" s="55">
        <v>0</v>
      </c>
      <c r="R304" s="55">
        <v>0</v>
      </c>
      <c r="S304" s="55">
        <v>0</v>
      </c>
      <c r="T304" s="55">
        <v>0</v>
      </c>
      <c r="U304" s="55">
        <v>1701000</v>
      </c>
      <c r="V304" s="55">
        <v>9</v>
      </c>
      <c r="W304" s="55">
        <v>0</v>
      </c>
      <c r="X304" s="55">
        <v>0</v>
      </c>
      <c r="Y304" s="63">
        <v>20483000</v>
      </c>
      <c r="Z304" s="55">
        <v>168</v>
      </c>
      <c r="AA304" s="55">
        <v>0</v>
      </c>
      <c r="AB304" s="55">
        <v>0</v>
      </c>
      <c r="AC304" s="55">
        <v>28982900</v>
      </c>
      <c r="AD304" s="57">
        <v>248</v>
      </c>
      <c r="AF304" s="47">
        <f t="shared" si="4"/>
        <v>8499900</v>
      </c>
    </row>
    <row r="305" spans="1:32" x14ac:dyDescent="0.3">
      <c r="A305" s="46" t="s">
        <v>1</v>
      </c>
      <c r="B305" s="46" t="str">
        <f>IFERROR(VLOOKUP($H305,매장구분!$B:$Z,2,0),"")</f>
        <v>리테일채널팀</v>
      </c>
      <c r="C305" s="46" t="str">
        <f>IFERROR(VLOOKUP($H305,매장구분!$B:$Z,3,0),"")</f>
        <v>국내</v>
      </c>
      <c r="D305" s="46" t="str">
        <f>IFERROR(VLOOKUP($H305,매장구분!$B:$Z,5,0),"")</f>
        <v>대리점</v>
      </c>
      <c r="E305" s="46" t="str">
        <f>IFERROR(VLOOKUP($H305,매장구분!$B:$Z,9,0),"")</f>
        <v>순천연향(대-위)</v>
      </c>
      <c r="F305" s="58"/>
      <c r="G305" s="59" t="s">
        <v>390</v>
      </c>
      <c r="H305" s="60" t="s">
        <v>391</v>
      </c>
      <c r="I305" s="60" t="s">
        <v>169</v>
      </c>
      <c r="J305" s="60" t="s">
        <v>79</v>
      </c>
      <c r="K305" s="60" t="s">
        <v>170</v>
      </c>
      <c r="L305" s="60" t="s">
        <v>171</v>
      </c>
      <c r="M305" s="60" t="s">
        <v>196</v>
      </c>
      <c r="N305" s="60" t="s">
        <v>197</v>
      </c>
      <c r="O305" s="60">
        <v>21151533</v>
      </c>
      <c r="P305" s="60">
        <v>187</v>
      </c>
      <c r="Q305" s="60">
        <v>0</v>
      </c>
      <c r="R305" s="60">
        <v>0</v>
      </c>
      <c r="S305" s="60">
        <v>0</v>
      </c>
      <c r="T305" s="60">
        <v>0</v>
      </c>
      <c r="U305" s="60">
        <v>4910414</v>
      </c>
      <c r="V305" s="60">
        <v>33</v>
      </c>
      <c r="W305" s="60">
        <v>0</v>
      </c>
      <c r="X305" s="60">
        <v>0</v>
      </c>
      <c r="Y305" s="64">
        <v>0</v>
      </c>
      <c r="Z305" s="60">
        <v>0</v>
      </c>
      <c r="AA305" s="60">
        <v>0</v>
      </c>
      <c r="AB305" s="60">
        <v>0</v>
      </c>
      <c r="AC305" s="60">
        <v>26061947</v>
      </c>
      <c r="AD305" s="62">
        <v>220</v>
      </c>
      <c r="AF305" s="47">
        <f t="shared" si="4"/>
        <v>26061947</v>
      </c>
    </row>
    <row r="306" spans="1:32" x14ac:dyDescent="0.3">
      <c r="A306" s="46" t="s">
        <v>1</v>
      </c>
      <c r="B306" s="46" t="str">
        <f>IFERROR(VLOOKUP($H306,매장구분!$B:$Z,2,0),"")</f>
        <v>리테일채널팀</v>
      </c>
      <c r="C306" s="46" t="str">
        <f>IFERROR(VLOOKUP($H306,매장구분!$B:$Z,3,0),"")</f>
        <v>국내</v>
      </c>
      <c r="D306" s="46" t="str">
        <f>IFERROR(VLOOKUP($H306,매장구분!$B:$Z,5,0),"")</f>
        <v>대리점</v>
      </c>
      <c r="E306" s="46" t="str">
        <f>IFERROR(VLOOKUP($H306,매장구분!$B:$Z,9,0),"")</f>
        <v>광명(대-위)</v>
      </c>
      <c r="F306" s="53"/>
      <c r="G306" s="54" t="s">
        <v>420</v>
      </c>
      <c r="H306" s="55" t="s">
        <v>421</v>
      </c>
      <c r="I306" s="55" t="s">
        <v>169</v>
      </c>
      <c r="J306" s="55" t="s">
        <v>79</v>
      </c>
      <c r="K306" s="55" t="s">
        <v>170</v>
      </c>
      <c r="L306" s="55" t="s">
        <v>171</v>
      </c>
      <c r="M306" s="55" t="s">
        <v>196</v>
      </c>
      <c r="N306" s="55" t="s">
        <v>197</v>
      </c>
      <c r="O306" s="55">
        <v>13019754</v>
      </c>
      <c r="P306" s="55">
        <v>128</v>
      </c>
      <c r="Q306" s="55">
        <v>0</v>
      </c>
      <c r="R306" s="55">
        <v>0</v>
      </c>
      <c r="S306" s="55">
        <v>0</v>
      </c>
      <c r="T306" s="55">
        <v>0</v>
      </c>
      <c r="U306" s="55">
        <v>1491832</v>
      </c>
      <c r="V306" s="55">
        <v>8</v>
      </c>
      <c r="W306" s="55">
        <v>0</v>
      </c>
      <c r="X306" s="55">
        <v>0</v>
      </c>
      <c r="Y306" s="63">
        <v>33294000</v>
      </c>
      <c r="Z306" s="55">
        <v>754</v>
      </c>
      <c r="AA306" s="55">
        <v>0</v>
      </c>
      <c r="AB306" s="55">
        <v>0</v>
      </c>
      <c r="AC306" s="55">
        <v>47805586</v>
      </c>
      <c r="AD306" s="57">
        <v>890</v>
      </c>
      <c r="AF306" s="47">
        <f t="shared" si="4"/>
        <v>14511586</v>
      </c>
    </row>
    <row r="307" spans="1:32" x14ac:dyDescent="0.3">
      <c r="A307" s="46" t="s">
        <v>1</v>
      </c>
      <c r="B307" s="46" t="str">
        <f>IFERROR(VLOOKUP($H307,매장구분!$B:$Z,2,0),"")</f>
        <v>리테일채널팀</v>
      </c>
      <c r="C307" s="46" t="str">
        <f>IFERROR(VLOOKUP($H307,매장구분!$B:$Z,3,0),"")</f>
        <v>RF</v>
      </c>
      <c r="D307" s="46" t="str">
        <f>IFERROR(VLOOKUP($H307,매장구분!$B:$Z,5,0),"")</f>
        <v>직영점</v>
      </c>
      <c r="E307" s="46" t="str">
        <f>IFERROR(VLOOKUP($H307,매장구분!$B:$Z,9,0),"")</f>
        <v>홍대(직)</v>
      </c>
      <c r="F307" s="58"/>
      <c r="G307" s="59" t="s">
        <v>386</v>
      </c>
      <c r="H307" s="60" t="s">
        <v>387</v>
      </c>
      <c r="I307" s="60" t="s">
        <v>169</v>
      </c>
      <c r="J307" s="60" t="s">
        <v>180</v>
      </c>
      <c r="K307" s="60" t="s">
        <v>170</v>
      </c>
      <c r="L307" s="60" t="s">
        <v>171</v>
      </c>
      <c r="M307" s="60" t="s">
        <v>196</v>
      </c>
      <c r="N307" s="60" t="s">
        <v>206</v>
      </c>
      <c r="O307" s="60">
        <v>35826800</v>
      </c>
      <c r="P307" s="60">
        <v>451</v>
      </c>
      <c r="Q307" s="60">
        <v>0</v>
      </c>
      <c r="R307" s="60">
        <v>0</v>
      </c>
      <c r="S307" s="60">
        <v>0</v>
      </c>
      <c r="T307" s="60">
        <v>0</v>
      </c>
      <c r="U307" s="60">
        <v>0</v>
      </c>
      <c r="V307" s="60">
        <v>0</v>
      </c>
      <c r="W307" s="60">
        <v>0</v>
      </c>
      <c r="X307" s="60">
        <v>0</v>
      </c>
      <c r="Y307" s="64">
        <v>0</v>
      </c>
      <c r="Z307" s="60">
        <v>0</v>
      </c>
      <c r="AA307" s="60">
        <v>0</v>
      </c>
      <c r="AB307" s="60">
        <v>0</v>
      </c>
      <c r="AC307" s="60">
        <v>35826800</v>
      </c>
      <c r="AD307" s="62">
        <v>451</v>
      </c>
      <c r="AF307" s="47">
        <f t="shared" si="4"/>
        <v>35826800</v>
      </c>
    </row>
    <row r="308" spans="1:32" x14ac:dyDescent="0.3">
      <c r="A308" s="46" t="s">
        <v>1</v>
      </c>
      <c r="B308" s="46" t="str">
        <f>IFERROR(VLOOKUP($H308,매장구분!$B:$Z,2,0),"")</f>
        <v>파트너채널팀</v>
      </c>
      <c r="C308" s="46" t="str">
        <f>IFERROR(VLOOKUP($H308,매장구분!$B:$Z,3,0),"")</f>
        <v>국내</v>
      </c>
      <c r="D308" s="46" t="str">
        <f>IFERROR(VLOOKUP($H308,매장구분!$B:$Z,5,0),"")</f>
        <v>백화점</v>
      </c>
      <c r="E308" s="46" t="str">
        <f>IFERROR(VLOOKUP($H308,매장구분!$B:$Z,9,0),"")</f>
        <v>엔터식스안양</v>
      </c>
      <c r="F308" s="53"/>
      <c r="G308" s="54" t="s">
        <v>414</v>
      </c>
      <c r="H308" s="55" t="s">
        <v>415</v>
      </c>
      <c r="I308" s="55" t="s">
        <v>169</v>
      </c>
      <c r="J308" s="55" t="s">
        <v>175</v>
      </c>
      <c r="K308" s="55" t="s">
        <v>170</v>
      </c>
      <c r="L308" s="55" t="s">
        <v>171</v>
      </c>
      <c r="M308" s="55" t="s">
        <v>188</v>
      </c>
      <c r="N308" s="55" t="s">
        <v>317</v>
      </c>
      <c r="O308" s="55">
        <v>10538800</v>
      </c>
      <c r="P308" s="55">
        <v>135</v>
      </c>
      <c r="Q308" s="55">
        <v>590000</v>
      </c>
      <c r="R308" s="55">
        <v>17</v>
      </c>
      <c r="S308" s="55">
        <v>0</v>
      </c>
      <c r="T308" s="55">
        <v>0</v>
      </c>
      <c r="U308" s="55">
        <v>178000</v>
      </c>
      <c r="V308" s="55">
        <v>2</v>
      </c>
      <c r="W308" s="55">
        <v>0</v>
      </c>
      <c r="X308" s="55">
        <v>0</v>
      </c>
      <c r="Y308" s="63">
        <v>0</v>
      </c>
      <c r="Z308" s="55">
        <v>0</v>
      </c>
      <c r="AA308" s="55">
        <v>0</v>
      </c>
      <c r="AB308" s="55">
        <v>0</v>
      </c>
      <c r="AC308" s="55">
        <v>11306800</v>
      </c>
      <c r="AD308" s="57">
        <v>154</v>
      </c>
      <c r="AF308" s="47">
        <f t="shared" si="4"/>
        <v>11306800</v>
      </c>
    </row>
    <row r="309" spans="1:32" x14ac:dyDescent="0.3">
      <c r="A309" s="46" t="s">
        <v>1</v>
      </c>
      <c r="B309" s="46" t="str">
        <f>IFERROR(VLOOKUP($H309,매장구분!$B:$Z,2,0),"")</f>
        <v>리테일채널팀</v>
      </c>
      <c r="C309" s="46" t="str">
        <f>IFERROR(VLOOKUP($H309,매장구분!$B:$Z,3,0),"")</f>
        <v>국내</v>
      </c>
      <c r="D309" s="46" t="str">
        <f>IFERROR(VLOOKUP($H309,매장구분!$B:$Z,5,0),"")</f>
        <v>대리점</v>
      </c>
      <c r="E309" s="46" t="str">
        <f>IFERROR(VLOOKUP($H309,매장구분!$B:$Z,9,0),"")</f>
        <v>김포장기(대-위)</v>
      </c>
      <c r="F309" s="58"/>
      <c r="G309" s="59" t="s">
        <v>400</v>
      </c>
      <c r="H309" s="60" t="s">
        <v>401</v>
      </c>
      <c r="I309" s="60" t="s">
        <v>169</v>
      </c>
      <c r="J309" s="60" t="s">
        <v>79</v>
      </c>
      <c r="K309" s="60" t="s">
        <v>170</v>
      </c>
      <c r="L309" s="60" t="s">
        <v>171</v>
      </c>
      <c r="M309" s="60" t="s">
        <v>196</v>
      </c>
      <c r="N309" s="60" t="s">
        <v>197</v>
      </c>
      <c r="O309" s="60">
        <v>10765400</v>
      </c>
      <c r="P309" s="60">
        <v>114</v>
      </c>
      <c r="Q309" s="60">
        <v>0</v>
      </c>
      <c r="R309" s="60">
        <v>0</v>
      </c>
      <c r="S309" s="60">
        <v>0</v>
      </c>
      <c r="T309" s="60">
        <v>0</v>
      </c>
      <c r="U309" s="60">
        <v>417000</v>
      </c>
      <c r="V309" s="60">
        <v>3</v>
      </c>
      <c r="W309" s="60">
        <v>0</v>
      </c>
      <c r="X309" s="60">
        <v>0</v>
      </c>
      <c r="Y309" s="64">
        <v>0</v>
      </c>
      <c r="Z309" s="60">
        <v>0</v>
      </c>
      <c r="AA309" s="60">
        <v>0</v>
      </c>
      <c r="AB309" s="60">
        <v>0</v>
      </c>
      <c r="AC309" s="60">
        <v>11182400</v>
      </c>
      <c r="AD309" s="62">
        <v>117</v>
      </c>
      <c r="AF309" s="47">
        <f t="shared" si="4"/>
        <v>11182400</v>
      </c>
    </row>
    <row r="310" spans="1:32" x14ac:dyDescent="0.3">
      <c r="A310" s="46" t="s">
        <v>1</v>
      </c>
      <c r="B310" s="46" t="str">
        <f>IFERROR(VLOOKUP($H310,매장구분!$B:$Z,2,0),"")</f>
        <v>리테일채널팀</v>
      </c>
      <c r="C310" s="46" t="str">
        <f>IFERROR(VLOOKUP($H310,매장구분!$B:$Z,3,0),"")</f>
        <v>국내</v>
      </c>
      <c r="D310" s="46" t="str">
        <f>IFERROR(VLOOKUP($H310,매장구분!$B:$Z,5,0),"")</f>
        <v>대리점</v>
      </c>
      <c r="E310" s="46" t="str">
        <f>IFERROR(VLOOKUP($H310,매장구분!$B:$Z,9,0),"")</f>
        <v>남원(대-위)</v>
      </c>
      <c r="F310" s="53"/>
      <c r="G310" s="54" t="s">
        <v>410</v>
      </c>
      <c r="H310" s="55" t="s">
        <v>411</v>
      </c>
      <c r="I310" s="55" t="s">
        <v>169</v>
      </c>
      <c r="J310" s="55" t="s">
        <v>79</v>
      </c>
      <c r="K310" s="55" t="s">
        <v>170</v>
      </c>
      <c r="L310" s="55" t="s">
        <v>171</v>
      </c>
      <c r="M310" s="55" t="s">
        <v>196</v>
      </c>
      <c r="N310" s="55" t="s">
        <v>197</v>
      </c>
      <c r="O310" s="55">
        <v>8283900</v>
      </c>
      <c r="P310" s="55">
        <v>76</v>
      </c>
      <c r="Q310" s="55">
        <v>0</v>
      </c>
      <c r="R310" s="55">
        <v>0</v>
      </c>
      <c r="S310" s="55">
        <v>0</v>
      </c>
      <c r="T310" s="55">
        <v>0</v>
      </c>
      <c r="U310" s="55">
        <v>677000</v>
      </c>
      <c r="V310" s="55">
        <v>3</v>
      </c>
      <c r="W310" s="55">
        <v>0</v>
      </c>
      <c r="X310" s="55">
        <v>0</v>
      </c>
      <c r="Y310" s="63">
        <v>0</v>
      </c>
      <c r="Z310" s="55">
        <v>0</v>
      </c>
      <c r="AA310" s="55">
        <v>0</v>
      </c>
      <c r="AB310" s="55">
        <v>0</v>
      </c>
      <c r="AC310" s="55">
        <v>8960900</v>
      </c>
      <c r="AD310" s="57">
        <v>79</v>
      </c>
      <c r="AF310" s="47">
        <f t="shared" si="4"/>
        <v>8960900</v>
      </c>
    </row>
    <row r="311" spans="1:32" x14ac:dyDescent="0.3">
      <c r="A311" s="46" t="s">
        <v>1</v>
      </c>
      <c r="B311" s="46" t="str">
        <f>IFERROR(VLOOKUP($H311,매장구분!$B:$Z,2,0),"")</f>
        <v>파트너채널팀</v>
      </c>
      <c r="C311" s="46" t="str">
        <f>IFERROR(VLOOKUP($H311,매장구분!$B:$Z,3,0),"")</f>
        <v>국내</v>
      </c>
      <c r="D311" s="46" t="str">
        <f>IFERROR(VLOOKUP($H311,매장구분!$B:$Z,5,0),"")</f>
        <v>백화점</v>
      </c>
      <c r="E311" s="46" t="str">
        <f>IFERROR(VLOOKUP($H311,매장구분!$B:$Z,9,0),"")</f>
        <v>신세계마산</v>
      </c>
      <c r="F311" s="58"/>
      <c r="G311" s="59" t="s">
        <v>426</v>
      </c>
      <c r="H311" s="60" t="s">
        <v>427</v>
      </c>
      <c r="I311" s="60" t="s">
        <v>169</v>
      </c>
      <c r="J311" s="60" t="s">
        <v>175</v>
      </c>
      <c r="K311" s="60" t="s">
        <v>170</v>
      </c>
      <c r="L311" s="60" t="s">
        <v>171</v>
      </c>
      <c r="M311" s="60" t="s">
        <v>77</v>
      </c>
      <c r="N311" s="60" t="s">
        <v>172</v>
      </c>
      <c r="O311" s="60">
        <v>6124800</v>
      </c>
      <c r="P311" s="60">
        <v>77</v>
      </c>
      <c r="Q311" s="60">
        <v>0</v>
      </c>
      <c r="R311" s="60">
        <v>0</v>
      </c>
      <c r="S311" s="60">
        <v>0</v>
      </c>
      <c r="T311" s="60">
        <v>0</v>
      </c>
      <c r="U311" s="60">
        <v>1402000</v>
      </c>
      <c r="V311" s="60">
        <v>8</v>
      </c>
      <c r="W311" s="60">
        <v>0</v>
      </c>
      <c r="X311" s="60">
        <v>0</v>
      </c>
      <c r="Y311" s="64">
        <v>0</v>
      </c>
      <c r="Z311" s="60">
        <v>0</v>
      </c>
      <c r="AA311" s="60">
        <v>0</v>
      </c>
      <c r="AB311" s="60">
        <v>0</v>
      </c>
      <c r="AC311" s="60">
        <v>7526800</v>
      </c>
      <c r="AD311" s="62">
        <v>85</v>
      </c>
      <c r="AF311" s="47">
        <f t="shared" si="4"/>
        <v>7526800</v>
      </c>
    </row>
    <row r="312" spans="1:32" x14ac:dyDescent="0.3">
      <c r="A312" s="46" t="s">
        <v>1</v>
      </c>
      <c r="B312" s="46" t="str">
        <f>IFERROR(VLOOKUP($H312,매장구분!$B:$Z,2,0),"")</f>
        <v>리테일채널팀</v>
      </c>
      <c r="C312" s="46" t="str">
        <f>IFERROR(VLOOKUP($H312,매장구분!$B:$Z,3,0),"")</f>
        <v>국내</v>
      </c>
      <c r="D312" s="46" t="str">
        <f>IFERROR(VLOOKUP($H312,매장구분!$B:$Z,5,0),"")</f>
        <v>대리점</v>
      </c>
      <c r="E312" s="46" t="str">
        <f>IFERROR(VLOOKUP($H312,매장구분!$B:$Z,9,0),"")</f>
        <v>홍성(대-위)</v>
      </c>
      <c r="F312" s="53"/>
      <c r="G312" s="54" t="s">
        <v>418</v>
      </c>
      <c r="H312" s="55" t="s">
        <v>419</v>
      </c>
      <c r="I312" s="55" t="s">
        <v>169</v>
      </c>
      <c r="J312" s="55" t="s">
        <v>79</v>
      </c>
      <c r="K312" s="55" t="s">
        <v>170</v>
      </c>
      <c r="L312" s="55" t="s">
        <v>171</v>
      </c>
      <c r="M312" s="55" t="s">
        <v>196</v>
      </c>
      <c r="N312" s="55" t="s">
        <v>197</v>
      </c>
      <c r="O312" s="55">
        <v>4130000</v>
      </c>
      <c r="P312" s="55">
        <v>41</v>
      </c>
      <c r="Q312" s="55">
        <v>0</v>
      </c>
      <c r="R312" s="55">
        <v>0</v>
      </c>
      <c r="S312" s="55">
        <v>0</v>
      </c>
      <c r="T312" s="55">
        <v>0</v>
      </c>
      <c r="U312" s="55">
        <v>60000</v>
      </c>
      <c r="V312" s="55">
        <v>0</v>
      </c>
      <c r="W312" s="55">
        <v>0</v>
      </c>
      <c r="X312" s="55">
        <v>0</v>
      </c>
      <c r="Y312" s="63">
        <v>3156000</v>
      </c>
      <c r="Z312" s="55">
        <v>24</v>
      </c>
      <c r="AA312" s="55">
        <v>0</v>
      </c>
      <c r="AB312" s="55">
        <v>0</v>
      </c>
      <c r="AC312" s="55">
        <v>7346000</v>
      </c>
      <c r="AD312" s="57">
        <v>65</v>
      </c>
      <c r="AF312" s="47">
        <f t="shared" si="4"/>
        <v>4190000</v>
      </c>
    </row>
    <row r="313" spans="1:32" x14ac:dyDescent="0.3">
      <c r="A313" s="46" t="s">
        <v>1</v>
      </c>
      <c r="B313" s="46" t="str">
        <f>IFERROR(VLOOKUP($H313,매장구분!$B:$Z,2,0),"")</f>
        <v>리테일채널팀</v>
      </c>
      <c r="C313" s="46" t="str">
        <f>IFERROR(VLOOKUP($H313,매장구분!$B:$Z,3,0),"")</f>
        <v>국내</v>
      </c>
      <c r="D313" s="46" t="str">
        <f>IFERROR(VLOOKUP($H313,매장구분!$B:$Z,5,0),"")</f>
        <v>직영점</v>
      </c>
      <c r="E313" s="46" t="str">
        <f>IFERROR(VLOOKUP($H313,매장구분!$B:$Z,9,0),"")</f>
        <v>스타필드하남(직)</v>
      </c>
      <c r="F313" s="58"/>
      <c r="G313" s="59" t="s">
        <v>394</v>
      </c>
      <c r="H313" s="60" t="s">
        <v>395</v>
      </c>
      <c r="I313" s="60" t="s">
        <v>169</v>
      </c>
      <c r="J313" s="60" t="s">
        <v>180</v>
      </c>
      <c r="K313" s="60" t="s">
        <v>170</v>
      </c>
      <c r="L313" s="60" t="s">
        <v>171</v>
      </c>
      <c r="M313" s="60" t="s">
        <v>188</v>
      </c>
      <c r="N313" s="60" t="s">
        <v>189</v>
      </c>
      <c r="O313" s="60">
        <v>16942160</v>
      </c>
      <c r="P313" s="60">
        <v>216</v>
      </c>
      <c r="Q313" s="60">
        <v>3095000</v>
      </c>
      <c r="R313" s="60">
        <v>12</v>
      </c>
      <c r="S313" s="60">
        <v>0</v>
      </c>
      <c r="T313" s="60">
        <v>0</v>
      </c>
      <c r="U313" s="60">
        <v>3609840</v>
      </c>
      <c r="V313" s="60">
        <v>14</v>
      </c>
      <c r="W313" s="60">
        <v>0</v>
      </c>
      <c r="X313" s="60">
        <v>0</v>
      </c>
      <c r="Y313" s="64">
        <v>0</v>
      </c>
      <c r="Z313" s="60">
        <v>0</v>
      </c>
      <c r="AA313" s="60">
        <v>-1445000</v>
      </c>
      <c r="AB313" s="60">
        <v>-5</v>
      </c>
      <c r="AC313" s="60">
        <v>22202000</v>
      </c>
      <c r="AD313" s="62">
        <v>237</v>
      </c>
      <c r="AF313" s="47">
        <f t="shared" si="4"/>
        <v>22202000</v>
      </c>
    </row>
    <row r="314" spans="1:32" x14ac:dyDescent="0.3">
      <c r="A314" s="46" t="s">
        <v>1</v>
      </c>
      <c r="B314" s="46" t="str">
        <f>IFERROR(VLOOKUP($H314,매장구분!$B:$Z,2,0),"")</f>
        <v>리테일채널팀</v>
      </c>
      <c r="C314" s="46" t="str">
        <f>IFERROR(VLOOKUP($H314,매장구분!$B:$Z,3,0),"")</f>
        <v>RF</v>
      </c>
      <c r="D314" s="46" t="str">
        <f>IFERROR(VLOOKUP($H314,매장구분!$B:$Z,5,0),"")</f>
        <v>직영점</v>
      </c>
      <c r="E314" s="46" t="str">
        <f>IFERROR(VLOOKUP($H314,매장구분!$B:$Z,9,0),"")</f>
        <v>가로수길(직)</v>
      </c>
      <c r="F314" s="53"/>
      <c r="G314" s="54" t="s">
        <v>398</v>
      </c>
      <c r="H314" s="55" t="s">
        <v>399</v>
      </c>
      <c r="I314" s="55" t="s">
        <v>169</v>
      </c>
      <c r="J314" s="55" t="s">
        <v>180</v>
      </c>
      <c r="K314" s="55" t="s">
        <v>170</v>
      </c>
      <c r="L314" s="55" t="s">
        <v>171</v>
      </c>
      <c r="M314" s="55" t="s">
        <v>196</v>
      </c>
      <c r="N314" s="55" t="s">
        <v>206</v>
      </c>
      <c r="O314" s="55">
        <v>38817140</v>
      </c>
      <c r="P314" s="55">
        <v>459</v>
      </c>
      <c r="Q314" s="55">
        <v>0</v>
      </c>
      <c r="R314" s="55">
        <v>0</v>
      </c>
      <c r="S314" s="55">
        <v>0</v>
      </c>
      <c r="T314" s="55">
        <v>0</v>
      </c>
      <c r="U314" s="55">
        <v>0</v>
      </c>
      <c r="V314" s="55">
        <v>0</v>
      </c>
      <c r="W314" s="55">
        <v>0</v>
      </c>
      <c r="X314" s="55">
        <v>0</v>
      </c>
      <c r="Y314" s="63">
        <v>0</v>
      </c>
      <c r="Z314" s="55">
        <v>0</v>
      </c>
      <c r="AA314" s="55">
        <v>0</v>
      </c>
      <c r="AB314" s="55">
        <v>0</v>
      </c>
      <c r="AC314" s="55">
        <v>38817140</v>
      </c>
      <c r="AD314" s="57">
        <v>459</v>
      </c>
      <c r="AF314" s="47">
        <f t="shared" si="4"/>
        <v>38817140</v>
      </c>
    </row>
    <row r="315" spans="1:32" x14ac:dyDescent="0.3">
      <c r="A315" s="46" t="s">
        <v>1</v>
      </c>
      <c r="B315" s="46" t="str">
        <f>IFERROR(VLOOKUP($H315,매장구분!$B:$Z,2,0),"")</f>
        <v>리테일채널팀</v>
      </c>
      <c r="C315" s="46" t="str">
        <f>IFERROR(VLOOKUP($H315,매장구분!$B:$Z,3,0),"")</f>
        <v>국내</v>
      </c>
      <c r="D315" s="46" t="str">
        <f>IFERROR(VLOOKUP($H315,매장구분!$B:$Z,5,0),"")</f>
        <v>대리점</v>
      </c>
      <c r="E315" s="46" t="str">
        <f>IFERROR(VLOOKUP($H315,매장구분!$B:$Z,9,0),"")</f>
        <v>전주송천(대-위)</v>
      </c>
      <c r="F315" s="58"/>
      <c r="G315" s="59" t="s">
        <v>428</v>
      </c>
      <c r="H315" s="60" t="s">
        <v>429</v>
      </c>
      <c r="I315" s="60" t="s">
        <v>169</v>
      </c>
      <c r="J315" s="60" t="s">
        <v>79</v>
      </c>
      <c r="K315" s="60" t="s">
        <v>170</v>
      </c>
      <c r="L315" s="60" t="s">
        <v>171</v>
      </c>
      <c r="M315" s="60" t="s">
        <v>196</v>
      </c>
      <c r="N315" s="60" t="s">
        <v>197</v>
      </c>
      <c r="O315" s="60">
        <v>10419169</v>
      </c>
      <c r="P315" s="60">
        <v>96</v>
      </c>
      <c r="Q315" s="60">
        <v>0</v>
      </c>
      <c r="R315" s="60">
        <v>0</v>
      </c>
      <c r="S315" s="60">
        <v>0</v>
      </c>
      <c r="T315" s="60">
        <v>0</v>
      </c>
      <c r="U315" s="60">
        <v>859127</v>
      </c>
      <c r="V315" s="60">
        <v>5</v>
      </c>
      <c r="W315" s="60">
        <v>0</v>
      </c>
      <c r="X315" s="60">
        <v>0</v>
      </c>
      <c r="Y315" s="64">
        <v>0</v>
      </c>
      <c r="Z315" s="60">
        <v>0</v>
      </c>
      <c r="AA315" s="60">
        <v>0</v>
      </c>
      <c r="AB315" s="60">
        <v>0</v>
      </c>
      <c r="AC315" s="60">
        <v>11278296</v>
      </c>
      <c r="AD315" s="62">
        <v>101</v>
      </c>
      <c r="AF315" s="47">
        <f t="shared" si="4"/>
        <v>11278296</v>
      </c>
    </row>
    <row r="316" spans="1:32" x14ac:dyDescent="0.3">
      <c r="A316" s="46" t="s">
        <v>1</v>
      </c>
      <c r="B316" s="46" t="str">
        <f>IFERROR(VLOOKUP($H316,매장구분!$B:$Z,2,0),"")</f>
        <v>리테일채널팀</v>
      </c>
      <c r="C316" s="46" t="str">
        <f>IFERROR(VLOOKUP($H316,매장구분!$B:$Z,3,0),"")</f>
        <v>국내</v>
      </c>
      <c r="D316" s="46" t="str">
        <f>IFERROR(VLOOKUP($H316,매장구분!$B:$Z,5,0),"")</f>
        <v>직영점</v>
      </c>
      <c r="E316" s="46" t="str">
        <f>IFERROR(VLOOKUP($H316,매장구분!$B:$Z,9,0),"")</f>
        <v>타임테라스동탄(직)</v>
      </c>
      <c r="F316" s="53"/>
      <c r="G316" s="54" t="s">
        <v>408</v>
      </c>
      <c r="H316" s="55" t="s">
        <v>409</v>
      </c>
      <c r="I316" s="55" t="s">
        <v>169</v>
      </c>
      <c r="J316" s="55" t="s">
        <v>180</v>
      </c>
      <c r="K316" s="55" t="s">
        <v>170</v>
      </c>
      <c r="L316" s="55" t="s">
        <v>171</v>
      </c>
      <c r="M316" s="55" t="s">
        <v>188</v>
      </c>
      <c r="N316" s="55" t="s">
        <v>317</v>
      </c>
      <c r="O316" s="55">
        <v>7573410</v>
      </c>
      <c r="P316" s="55">
        <v>90</v>
      </c>
      <c r="Q316" s="55">
        <v>0</v>
      </c>
      <c r="R316" s="55">
        <v>0</v>
      </c>
      <c r="S316" s="55">
        <v>0</v>
      </c>
      <c r="T316" s="55">
        <v>0</v>
      </c>
      <c r="U316" s="55">
        <v>1944590</v>
      </c>
      <c r="V316" s="55">
        <v>12</v>
      </c>
      <c r="W316" s="55">
        <v>0</v>
      </c>
      <c r="X316" s="55">
        <v>0</v>
      </c>
      <c r="Y316" s="63">
        <v>0</v>
      </c>
      <c r="Z316" s="55">
        <v>0</v>
      </c>
      <c r="AA316" s="55">
        <v>0</v>
      </c>
      <c r="AB316" s="55">
        <v>0</v>
      </c>
      <c r="AC316" s="55">
        <v>9518000</v>
      </c>
      <c r="AD316" s="57">
        <v>102</v>
      </c>
      <c r="AF316" s="47">
        <f t="shared" si="4"/>
        <v>9518000</v>
      </c>
    </row>
    <row r="317" spans="1:32" x14ac:dyDescent="0.3">
      <c r="A317" s="46" t="s">
        <v>1</v>
      </c>
      <c r="B317" s="46" t="str">
        <f>IFERROR(VLOOKUP($H317,매장구분!$B:$Z,2,0),"")</f>
        <v>리테일채널팀</v>
      </c>
      <c r="C317" s="46" t="str">
        <f>IFERROR(VLOOKUP($H317,매장구분!$B:$Z,3,0),"")</f>
        <v>국내</v>
      </c>
      <c r="D317" s="46" t="str">
        <f>IFERROR(VLOOKUP($H317,매장구분!$B:$Z,5,0),"")</f>
        <v>상설(위탁)</v>
      </c>
      <c r="E317" s="46" t="str">
        <f>IFERROR(VLOOKUP($H317,매장구분!$B:$Z,9,0),"")</f>
        <v>롯데아울렛수완(상-위)</v>
      </c>
      <c r="F317" s="58"/>
      <c r="G317" s="59" t="s">
        <v>430</v>
      </c>
      <c r="H317" s="60" t="s">
        <v>431</v>
      </c>
      <c r="I317" s="60" t="s">
        <v>169</v>
      </c>
      <c r="J317" s="60" t="s">
        <v>79</v>
      </c>
      <c r="K317" s="60" t="s">
        <v>170</v>
      </c>
      <c r="L317" s="60" t="s">
        <v>171</v>
      </c>
      <c r="M317" s="60" t="s">
        <v>219</v>
      </c>
      <c r="N317" s="60" t="s">
        <v>219</v>
      </c>
      <c r="O317" s="60">
        <v>2682000</v>
      </c>
      <c r="P317" s="60">
        <v>74</v>
      </c>
      <c r="Q317" s="60">
        <v>0</v>
      </c>
      <c r="R317" s="60">
        <v>0</v>
      </c>
      <c r="S317" s="60">
        <v>0</v>
      </c>
      <c r="T317" s="60">
        <v>0</v>
      </c>
      <c r="U317" s="60">
        <v>0</v>
      </c>
      <c r="V317" s="60">
        <v>0</v>
      </c>
      <c r="W317" s="60">
        <v>0</v>
      </c>
      <c r="X317" s="60">
        <v>0</v>
      </c>
      <c r="Y317" s="64">
        <v>0</v>
      </c>
      <c r="Z317" s="60">
        <v>0</v>
      </c>
      <c r="AA317" s="60">
        <v>0</v>
      </c>
      <c r="AB317" s="60">
        <v>0</v>
      </c>
      <c r="AC317" s="60">
        <v>2682000</v>
      </c>
      <c r="AD317" s="62">
        <v>74</v>
      </c>
      <c r="AF317" s="47">
        <f t="shared" si="4"/>
        <v>2682000</v>
      </c>
    </row>
    <row r="318" spans="1:32" x14ac:dyDescent="0.3">
      <c r="A318" s="46" t="s">
        <v>1</v>
      </c>
      <c r="B318" s="46" t="str">
        <f>IFERROR(VLOOKUP($H318,매장구분!$B:$Z,2,0),"")</f>
        <v>리테일채널팀</v>
      </c>
      <c r="C318" s="46" t="str">
        <f>IFERROR(VLOOKUP($H318,매장구분!$B:$Z,3,0),"")</f>
        <v>국내</v>
      </c>
      <c r="D318" s="46" t="str">
        <f>IFERROR(VLOOKUP($H318,매장구분!$B:$Z,5,0),"")</f>
        <v>상설(위탁)</v>
      </c>
      <c r="E318" s="46" t="str">
        <f>IFERROR(VLOOKUP($H318,매장구분!$B:$Z,9,0),"")</f>
        <v>콜렉티드(상-위)</v>
      </c>
      <c r="F318" s="53"/>
      <c r="G318" s="54" t="s">
        <v>434</v>
      </c>
      <c r="H318" s="55" t="s">
        <v>435</v>
      </c>
      <c r="I318" s="55" t="s">
        <v>169</v>
      </c>
      <c r="J318" s="55" t="s">
        <v>79</v>
      </c>
      <c r="K318" s="55" t="s">
        <v>170</v>
      </c>
      <c r="L318" s="55" t="s">
        <v>171</v>
      </c>
      <c r="M318" s="55" t="s">
        <v>219</v>
      </c>
      <c r="N318" s="55" t="s">
        <v>219</v>
      </c>
      <c r="O318" s="55">
        <v>330000</v>
      </c>
      <c r="P318" s="55">
        <v>9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63">
        <v>0</v>
      </c>
      <c r="Z318" s="55">
        <v>0</v>
      </c>
      <c r="AA318" s="55">
        <v>0</v>
      </c>
      <c r="AB318" s="55">
        <v>0</v>
      </c>
      <c r="AC318" s="55">
        <v>330000</v>
      </c>
      <c r="AD318" s="57">
        <v>9</v>
      </c>
      <c r="AF318" s="47">
        <f t="shared" si="4"/>
        <v>330000</v>
      </c>
    </row>
    <row r="319" spans="1:32" x14ac:dyDescent="0.3">
      <c r="A319" s="46" t="s">
        <v>1</v>
      </c>
      <c r="B319" s="46" t="str">
        <f>IFERROR(VLOOKUP($H319,매장구분!$B:$Z,2,0),"")</f>
        <v>리테일채널팀</v>
      </c>
      <c r="C319" s="46" t="str">
        <f>IFERROR(VLOOKUP($H319,매장구분!$B:$Z,3,0),"")</f>
        <v>국내</v>
      </c>
      <c r="D319" s="46" t="str">
        <f>IFERROR(VLOOKUP($H319,매장구분!$B:$Z,5,0),"")</f>
        <v>상설(위탁)</v>
      </c>
      <c r="E319" s="46" t="str">
        <f>IFERROR(VLOOKUP($H319,매장구분!$B:$Z,9,0),"")</f>
        <v>신세계아울렛파주(상-위)</v>
      </c>
      <c r="F319" s="58"/>
      <c r="G319" s="59" t="s">
        <v>432</v>
      </c>
      <c r="H319" s="60" t="s">
        <v>433</v>
      </c>
      <c r="I319" s="60" t="s">
        <v>169</v>
      </c>
      <c r="J319" s="60" t="s">
        <v>79</v>
      </c>
      <c r="K319" s="60" t="s">
        <v>170</v>
      </c>
      <c r="L319" s="60" t="s">
        <v>171</v>
      </c>
      <c r="M319" s="60" t="s">
        <v>219</v>
      </c>
      <c r="N319" s="60" t="s">
        <v>219</v>
      </c>
      <c r="O319" s="60">
        <v>3432000</v>
      </c>
      <c r="P319" s="60">
        <v>87</v>
      </c>
      <c r="Q319" s="60">
        <v>0</v>
      </c>
      <c r="R319" s="60">
        <v>0</v>
      </c>
      <c r="S319" s="60">
        <v>0</v>
      </c>
      <c r="T319" s="60">
        <v>0</v>
      </c>
      <c r="U319" s="60">
        <v>0</v>
      </c>
      <c r="V319" s="60">
        <v>0</v>
      </c>
      <c r="W319" s="60">
        <v>0</v>
      </c>
      <c r="X319" s="60">
        <v>0</v>
      </c>
      <c r="Y319" s="64">
        <v>0</v>
      </c>
      <c r="Z319" s="60">
        <v>0</v>
      </c>
      <c r="AA319" s="60">
        <v>0</v>
      </c>
      <c r="AB319" s="60">
        <v>0</v>
      </c>
      <c r="AC319" s="60">
        <v>3432000</v>
      </c>
      <c r="AD319" s="62">
        <v>87</v>
      </c>
      <c r="AF319" s="47">
        <f t="shared" si="4"/>
        <v>3432000</v>
      </c>
    </row>
    <row r="320" spans="1:32" x14ac:dyDescent="0.3">
      <c r="A320" s="46" t="s">
        <v>1</v>
      </c>
      <c r="B320" s="46" t="str">
        <f>IFERROR(VLOOKUP($H320,매장구분!$B:$Z,2,0),"")</f>
        <v>리테일채널팀</v>
      </c>
      <c r="C320" s="46" t="str">
        <f>IFERROR(VLOOKUP($H320,매장구분!$B:$Z,3,0),"")</f>
        <v>국내</v>
      </c>
      <c r="D320" s="46" t="str">
        <f>IFERROR(VLOOKUP($H320,매장구분!$B:$Z,5,0),"")</f>
        <v>대리점</v>
      </c>
      <c r="E320" s="46" t="str">
        <f>IFERROR(VLOOKUP($H320,매장구분!$B:$Z,9,0),"")</f>
        <v>퍼스트빌리지(대-위)</v>
      </c>
      <c r="F320" s="53"/>
      <c r="G320" s="54" t="s">
        <v>440</v>
      </c>
      <c r="H320" s="55" t="s">
        <v>441</v>
      </c>
      <c r="I320" s="55" t="s">
        <v>169</v>
      </c>
      <c r="J320" s="55" t="s">
        <v>79</v>
      </c>
      <c r="K320" s="55" t="s">
        <v>170</v>
      </c>
      <c r="L320" s="55" t="s">
        <v>171</v>
      </c>
      <c r="M320" s="55" t="s">
        <v>196</v>
      </c>
      <c r="N320" s="55" t="s">
        <v>197</v>
      </c>
      <c r="O320" s="55">
        <v>19067081</v>
      </c>
      <c r="P320" s="55">
        <v>159</v>
      </c>
      <c r="Q320" s="55">
        <v>0</v>
      </c>
      <c r="R320" s="55">
        <v>0</v>
      </c>
      <c r="S320" s="55">
        <v>0</v>
      </c>
      <c r="T320" s="55">
        <v>0</v>
      </c>
      <c r="U320" s="55">
        <v>1772719</v>
      </c>
      <c r="V320" s="55">
        <v>10</v>
      </c>
      <c r="W320" s="55">
        <v>0</v>
      </c>
      <c r="X320" s="55">
        <v>0</v>
      </c>
      <c r="Y320" s="63">
        <v>0</v>
      </c>
      <c r="Z320" s="55">
        <v>0</v>
      </c>
      <c r="AA320" s="55">
        <v>0</v>
      </c>
      <c r="AB320" s="55">
        <v>0</v>
      </c>
      <c r="AC320" s="55">
        <v>20839800</v>
      </c>
      <c r="AD320" s="57">
        <v>169</v>
      </c>
      <c r="AF320" s="47">
        <f t="shared" si="4"/>
        <v>20839800</v>
      </c>
    </row>
    <row r="321" spans="1:32" x14ac:dyDescent="0.3">
      <c r="A321" s="46" t="s">
        <v>1</v>
      </c>
      <c r="B321" s="46" t="str">
        <f>IFERROR(VLOOKUP($H321,매장구분!$B:$Z,2,0),"")</f>
        <v>리테일채널팀</v>
      </c>
      <c r="C321" s="46" t="str">
        <f>IFERROR(VLOOKUP($H321,매장구분!$B:$Z,3,0),"")</f>
        <v>RF</v>
      </c>
      <c r="D321" s="46" t="str">
        <f>IFERROR(VLOOKUP($H321,매장구분!$B:$Z,5,0),"")</f>
        <v>직영점</v>
      </c>
      <c r="E321" s="46" t="str">
        <f>IFERROR(VLOOKUP($H321,매장구분!$B:$Z,9,0),"")</f>
        <v>한남(직)</v>
      </c>
      <c r="F321" s="58"/>
      <c r="G321" s="59" t="s">
        <v>436</v>
      </c>
      <c r="H321" s="60" t="s">
        <v>437</v>
      </c>
      <c r="I321" s="60" t="s">
        <v>169</v>
      </c>
      <c r="J321" s="60" t="s">
        <v>180</v>
      </c>
      <c r="K321" s="60" t="s">
        <v>170</v>
      </c>
      <c r="L321" s="60" t="s">
        <v>171</v>
      </c>
      <c r="M321" s="60" t="s">
        <v>196</v>
      </c>
      <c r="N321" s="60" t="s">
        <v>206</v>
      </c>
      <c r="O321" s="60">
        <v>25299800</v>
      </c>
      <c r="P321" s="60">
        <v>326</v>
      </c>
      <c r="Q321" s="60">
        <v>0</v>
      </c>
      <c r="R321" s="60">
        <v>0</v>
      </c>
      <c r="S321" s="60">
        <v>0</v>
      </c>
      <c r="T321" s="60">
        <v>0</v>
      </c>
      <c r="U321" s="60">
        <v>0</v>
      </c>
      <c r="V321" s="60">
        <v>0</v>
      </c>
      <c r="W321" s="60">
        <v>0</v>
      </c>
      <c r="X321" s="60">
        <v>0</v>
      </c>
      <c r="Y321" s="64">
        <v>0</v>
      </c>
      <c r="Z321" s="60">
        <v>0</v>
      </c>
      <c r="AA321" s="60">
        <v>0</v>
      </c>
      <c r="AB321" s="60">
        <v>0</v>
      </c>
      <c r="AC321" s="60">
        <v>25299800</v>
      </c>
      <c r="AD321" s="62">
        <v>326</v>
      </c>
      <c r="AF321" s="47">
        <f t="shared" si="4"/>
        <v>25299800</v>
      </c>
    </row>
    <row r="322" spans="1:32" x14ac:dyDescent="0.3">
      <c r="A322" s="46" t="s">
        <v>1</v>
      </c>
      <c r="B322" s="46" t="str">
        <f>IFERROR(VLOOKUP($H322,매장구분!$B:$Z,2,0),"")</f>
        <v>파트너채널팀</v>
      </c>
      <c r="C322" s="46" t="str">
        <f>IFERROR(VLOOKUP($H322,매장구분!$B:$Z,3,0),"")</f>
        <v>국내</v>
      </c>
      <c r="D322" s="46" t="str">
        <f>IFERROR(VLOOKUP($H322,매장구분!$B:$Z,5,0),"")</f>
        <v>백화점</v>
      </c>
      <c r="E322" s="46" t="str">
        <f>IFERROR(VLOOKUP($H322,매장구분!$B:$Z,9,0),"")</f>
        <v>롯데광복</v>
      </c>
      <c r="F322" s="53"/>
      <c r="G322" s="54" t="s">
        <v>448</v>
      </c>
      <c r="H322" s="55" t="s">
        <v>449</v>
      </c>
      <c r="I322" s="55" t="s">
        <v>169</v>
      </c>
      <c r="J322" s="55" t="s">
        <v>175</v>
      </c>
      <c r="K322" s="55" t="s">
        <v>170</v>
      </c>
      <c r="L322" s="55" t="s">
        <v>171</v>
      </c>
      <c r="M322" s="55" t="s">
        <v>77</v>
      </c>
      <c r="N322" s="55" t="s">
        <v>172</v>
      </c>
      <c r="O322" s="55">
        <v>6233000</v>
      </c>
      <c r="P322" s="55">
        <v>95</v>
      </c>
      <c r="Q322" s="55">
        <v>366000</v>
      </c>
      <c r="R322" s="55">
        <v>5</v>
      </c>
      <c r="S322" s="55">
        <v>0</v>
      </c>
      <c r="T322" s="55">
        <v>0</v>
      </c>
      <c r="U322" s="55">
        <v>238000</v>
      </c>
      <c r="V322" s="55">
        <v>2</v>
      </c>
      <c r="W322" s="55">
        <v>0</v>
      </c>
      <c r="X322" s="55">
        <v>0</v>
      </c>
      <c r="Y322" s="63">
        <v>7129000</v>
      </c>
      <c r="Z322" s="55">
        <v>41</v>
      </c>
      <c r="AA322" s="55">
        <v>0</v>
      </c>
      <c r="AB322" s="55">
        <v>0</v>
      </c>
      <c r="AC322" s="55">
        <v>13966000</v>
      </c>
      <c r="AD322" s="57">
        <v>143</v>
      </c>
      <c r="AF322" s="47">
        <f t="shared" si="4"/>
        <v>6837000</v>
      </c>
    </row>
    <row r="323" spans="1:32" x14ac:dyDescent="0.3">
      <c r="A323" s="46" t="s">
        <v>1</v>
      </c>
      <c r="B323" s="46" t="str">
        <f>IFERROR(VLOOKUP($H323,매장구분!$B:$Z,2,0),"")</f>
        <v>파트너채널팀</v>
      </c>
      <c r="C323" s="46" t="str">
        <f>IFERROR(VLOOKUP($H323,매장구분!$B:$Z,3,0),"")</f>
        <v>면세</v>
      </c>
      <c r="D323" s="46" t="str">
        <f>IFERROR(VLOOKUP($H323,매장구분!$B:$Z,5,0),"")</f>
        <v>면세</v>
      </c>
      <c r="E323" s="46" t="str">
        <f>IFERROR(VLOOKUP($H323,매장구분!$B:$Z,9,0),"")</f>
        <v>롯데면세제주</v>
      </c>
      <c r="F323" s="58"/>
      <c r="G323" s="59" t="s">
        <v>464</v>
      </c>
      <c r="H323" s="60" t="s">
        <v>465</v>
      </c>
      <c r="I323" s="60" t="s">
        <v>169</v>
      </c>
      <c r="J323" s="60" t="s">
        <v>175</v>
      </c>
      <c r="K323" s="60" t="s">
        <v>170</v>
      </c>
      <c r="L323" s="60" t="s">
        <v>171</v>
      </c>
      <c r="M323" s="60" t="s">
        <v>176</v>
      </c>
      <c r="N323" s="60" t="s">
        <v>177</v>
      </c>
      <c r="O323" s="60">
        <v>91418500</v>
      </c>
      <c r="P323" s="60">
        <v>1326</v>
      </c>
      <c r="Q323" s="60">
        <v>0</v>
      </c>
      <c r="R323" s="60">
        <v>0</v>
      </c>
      <c r="S323" s="60">
        <v>0</v>
      </c>
      <c r="T323" s="60">
        <v>0</v>
      </c>
      <c r="U323" s="60">
        <v>0</v>
      </c>
      <c r="V323" s="60">
        <v>0</v>
      </c>
      <c r="W323" s="60">
        <v>0</v>
      </c>
      <c r="X323" s="60">
        <v>0</v>
      </c>
      <c r="Y323" s="64">
        <v>0</v>
      </c>
      <c r="Z323" s="60">
        <v>0</v>
      </c>
      <c r="AA323" s="60">
        <v>0</v>
      </c>
      <c r="AB323" s="60">
        <v>0</v>
      </c>
      <c r="AC323" s="60">
        <v>91418500</v>
      </c>
      <c r="AD323" s="62">
        <v>1326</v>
      </c>
      <c r="AF323" s="47">
        <f t="shared" ref="AF323:AF386" si="5">IFERROR(AC323-Y323,"")</f>
        <v>91418500</v>
      </c>
    </row>
    <row r="324" spans="1:32" x14ac:dyDescent="0.3">
      <c r="A324" s="46" t="s">
        <v>1</v>
      </c>
      <c r="B324" s="46" t="str">
        <f>IFERROR(VLOOKUP($H324,매장구분!$B:$Z,2,0),"")</f>
        <v>파트너채널팀</v>
      </c>
      <c r="C324" s="46" t="str">
        <f>IFERROR(VLOOKUP($H324,매장구분!$B:$Z,3,0),"")</f>
        <v>국내</v>
      </c>
      <c r="D324" s="46" t="str">
        <f>IFERROR(VLOOKUP($H324,매장구분!$B:$Z,5,0),"")</f>
        <v>백화점</v>
      </c>
      <c r="E324" s="46" t="str">
        <f>IFERROR(VLOOKUP($H324,매장구분!$B:$Z,9,0),"")</f>
        <v>엔터식스왕십리</v>
      </c>
      <c r="F324" s="53"/>
      <c r="G324" s="54" t="s">
        <v>444</v>
      </c>
      <c r="H324" s="55" t="s">
        <v>445</v>
      </c>
      <c r="I324" s="55" t="s">
        <v>169</v>
      </c>
      <c r="J324" s="55" t="s">
        <v>175</v>
      </c>
      <c r="K324" s="55" t="s">
        <v>170</v>
      </c>
      <c r="L324" s="55" t="s">
        <v>171</v>
      </c>
      <c r="M324" s="55" t="s">
        <v>77</v>
      </c>
      <c r="N324" s="55" t="s">
        <v>238</v>
      </c>
      <c r="O324" s="55">
        <v>6045300</v>
      </c>
      <c r="P324" s="55">
        <v>78</v>
      </c>
      <c r="Q324" s="55">
        <v>0</v>
      </c>
      <c r="R324" s="55">
        <v>0</v>
      </c>
      <c r="S324" s="55">
        <v>0</v>
      </c>
      <c r="T324" s="55">
        <v>0</v>
      </c>
      <c r="U324" s="55">
        <v>6232000</v>
      </c>
      <c r="V324" s="55">
        <v>38</v>
      </c>
      <c r="W324" s="55">
        <v>0</v>
      </c>
      <c r="X324" s="55">
        <v>0</v>
      </c>
      <c r="Y324" s="63">
        <v>0</v>
      </c>
      <c r="Z324" s="55">
        <v>0</v>
      </c>
      <c r="AA324" s="55">
        <v>0</v>
      </c>
      <c r="AB324" s="55">
        <v>0</v>
      </c>
      <c r="AC324" s="55">
        <v>12277300</v>
      </c>
      <c r="AD324" s="57">
        <v>116</v>
      </c>
      <c r="AF324" s="47">
        <f t="shared" si="5"/>
        <v>12277300</v>
      </c>
    </row>
    <row r="325" spans="1:32" x14ac:dyDescent="0.3">
      <c r="A325" s="46" t="s">
        <v>1</v>
      </c>
      <c r="B325" s="46" t="str">
        <f>IFERROR(VLOOKUP($H325,매장구분!$B:$Z,2,0),"")</f>
        <v>파트너채널팀</v>
      </c>
      <c r="C325" s="46" t="str">
        <f>IFERROR(VLOOKUP($H325,매장구분!$B:$Z,3,0),"")</f>
        <v>국내</v>
      </c>
      <c r="D325" s="46" t="str">
        <f>IFERROR(VLOOKUP($H325,매장구분!$B:$Z,5,0),"")</f>
        <v>백화점</v>
      </c>
      <c r="E325" s="46" t="str">
        <f>IFERROR(VLOOKUP($H325,매장구분!$B:$Z,9,0),"")</f>
        <v>롯데부산</v>
      </c>
      <c r="F325" s="58"/>
      <c r="G325" s="59" t="s">
        <v>452</v>
      </c>
      <c r="H325" s="60" t="s">
        <v>453</v>
      </c>
      <c r="I325" s="60" t="s">
        <v>169</v>
      </c>
      <c r="J325" s="60" t="s">
        <v>175</v>
      </c>
      <c r="K325" s="60" t="s">
        <v>170</v>
      </c>
      <c r="L325" s="60" t="s">
        <v>171</v>
      </c>
      <c r="M325" s="60" t="s">
        <v>77</v>
      </c>
      <c r="N325" s="60" t="s">
        <v>172</v>
      </c>
      <c r="O325" s="60">
        <v>28178800</v>
      </c>
      <c r="P325" s="60">
        <v>293</v>
      </c>
      <c r="Q325" s="60">
        <v>1357200</v>
      </c>
      <c r="R325" s="60">
        <v>22</v>
      </c>
      <c r="S325" s="60">
        <v>0</v>
      </c>
      <c r="T325" s="60">
        <v>0</v>
      </c>
      <c r="U325" s="60">
        <v>2400300</v>
      </c>
      <c r="V325" s="60">
        <v>14</v>
      </c>
      <c r="W325" s="60">
        <v>0</v>
      </c>
      <c r="X325" s="60">
        <v>0</v>
      </c>
      <c r="Y325" s="64">
        <v>49788000</v>
      </c>
      <c r="Z325" s="60">
        <v>751</v>
      </c>
      <c r="AA325" s="60">
        <v>0</v>
      </c>
      <c r="AB325" s="60">
        <v>0</v>
      </c>
      <c r="AC325" s="60">
        <v>81724300</v>
      </c>
      <c r="AD325" s="62">
        <v>1080</v>
      </c>
      <c r="AF325" s="47">
        <f t="shared" si="5"/>
        <v>31936300</v>
      </c>
    </row>
    <row r="326" spans="1:32" x14ac:dyDescent="0.3">
      <c r="A326" s="46" t="s">
        <v>1</v>
      </c>
      <c r="B326" s="46" t="str">
        <f>IFERROR(VLOOKUP($H326,매장구분!$B:$Z,2,0),"")</f>
        <v>파트너채널팀</v>
      </c>
      <c r="C326" s="46" t="str">
        <f>IFERROR(VLOOKUP($H326,매장구분!$B:$Z,3,0),"")</f>
        <v>RF</v>
      </c>
      <c r="D326" s="46" t="str">
        <f>IFERROR(VLOOKUP($H326,매장구분!$B:$Z,5,0),"")</f>
        <v>백화점</v>
      </c>
      <c r="E326" s="46" t="str">
        <f>IFERROR(VLOOKUP($H326,매장구분!$B:$Z,9,0),"")</f>
        <v>신세계본점</v>
      </c>
      <c r="F326" s="53"/>
      <c r="G326" s="54" t="s">
        <v>450</v>
      </c>
      <c r="H326" s="55" t="s">
        <v>451</v>
      </c>
      <c r="I326" s="55" t="s">
        <v>169</v>
      </c>
      <c r="J326" s="55" t="s">
        <v>175</v>
      </c>
      <c r="K326" s="55" t="s">
        <v>170</v>
      </c>
      <c r="L326" s="55" t="s">
        <v>171</v>
      </c>
      <c r="M326" s="55" t="s">
        <v>77</v>
      </c>
      <c r="N326" s="55" t="s">
        <v>172</v>
      </c>
      <c r="O326" s="55">
        <v>159311970</v>
      </c>
      <c r="P326" s="55">
        <v>1282</v>
      </c>
      <c r="Q326" s="55">
        <v>0</v>
      </c>
      <c r="R326" s="55">
        <v>0</v>
      </c>
      <c r="S326" s="55">
        <v>0</v>
      </c>
      <c r="T326" s="55">
        <v>0</v>
      </c>
      <c r="U326" s="55">
        <v>5242530</v>
      </c>
      <c r="V326" s="55">
        <v>36</v>
      </c>
      <c r="W326" s="55">
        <v>0</v>
      </c>
      <c r="X326" s="55">
        <v>0</v>
      </c>
      <c r="Y326" s="63">
        <v>0</v>
      </c>
      <c r="Z326" s="55">
        <v>0</v>
      </c>
      <c r="AA326" s="55">
        <v>0</v>
      </c>
      <c r="AB326" s="55">
        <v>0</v>
      </c>
      <c r="AC326" s="55">
        <v>164554500</v>
      </c>
      <c r="AD326" s="57">
        <v>1318</v>
      </c>
      <c r="AF326" s="47">
        <f t="shared" si="5"/>
        <v>164554500</v>
      </c>
    </row>
    <row r="327" spans="1:32" x14ac:dyDescent="0.3">
      <c r="A327" s="46" t="s">
        <v>1</v>
      </c>
      <c r="B327" s="46" t="str">
        <f>IFERROR(VLOOKUP($H327,매장구분!$B:$Z,2,0),"")</f>
        <v>리테일채널팀</v>
      </c>
      <c r="C327" s="46" t="str">
        <f>IFERROR(VLOOKUP($H327,매장구분!$B:$Z,3,0),"")</f>
        <v>국내</v>
      </c>
      <c r="D327" s="46" t="str">
        <f>IFERROR(VLOOKUP($H327,매장구분!$B:$Z,5,0),"")</f>
        <v>직영점</v>
      </c>
      <c r="E327" s="46" t="str">
        <f>IFERROR(VLOOKUP($H327,매장구분!$B:$Z,9,0),"")</f>
        <v>강남사옥(직)</v>
      </c>
      <c r="F327" s="58"/>
      <c r="G327" s="59" t="s">
        <v>482</v>
      </c>
      <c r="H327" s="60" t="s">
        <v>483</v>
      </c>
      <c r="I327" s="60" t="s">
        <v>169</v>
      </c>
      <c r="J327" s="60" t="s">
        <v>180</v>
      </c>
      <c r="K327" s="60" t="s">
        <v>170</v>
      </c>
      <c r="L327" s="60" t="s">
        <v>171</v>
      </c>
      <c r="M327" s="60" t="s">
        <v>196</v>
      </c>
      <c r="N327" s="60" t="s">
        <v>206</v>
      </c>
      <c r="O327" s="60">
        <v>46010121</v>
      </c>
      <c r="P327" s="60">
        <v>474</v>
      </c>
      <c r="Q327" s="60">
        <v>0</v>
      </c>
      <c r="R327" s="60">
        <v>0</v>
      </c>
      <c r="S327" s="60">
        <v>0</v>
      </c>
      <c r="T327" s="60">
        <v>0</v>
      </c>
      <c r="U327" s="60">
        <v>4902979</v>
      </c>
      <c r="V327" s="60">
        <v>20</v>
      </c>
      <c r="W327" s="60">
        <v>0</v>
      </c>
      <c r="X327" s="60">
        <v>0</v>
      </c>
      <c r="Y327" s="64">
        <v>0</v>
      </c>
      <c r="Z327" s="60">
        <v>0</v>
      </c>
      <c r="AA327" s="60">
        <v>0</v>
      </c>
      <c r="AB327" s="60">
        <v>0</v>
      </c>
      <c r="AC327" s="60">
        <v>50913100</v>
      </c>
      <c r="AD327" s="62">
        <v>494</v>
      </c>
      <c r="AF327" s="47">
        <f t="shared" si="5"/>
        <v>50913100</v>
      </c>
    </row>
    <row r="328" spans="1:32" x14ac:dyDescent="0.3">
      <c r="A328" s="46" t="s">
        <v>1</v>
      </c>
      <c r="B328" s="46" t="str">
        <f>IFERROR(VLOOKUP($H328,매장구분!$B:$Z,2,0),"")</f>
        <v>리테일채널팀</v>
      </c>
      <c r="C328" s="46" t="str">
        <f>IFERROR(VLOOKUP($H328,매장구분!$B:$Z,3,0),"")</f>
        <v>국내</v>
      </c>
      <c r="D328" s="46" t="str">
        <f>IFERROR(VLOOKUP($H328,매장구분!$B:$Z,5,0),"")</f>
        <v>대리점</v>
      </c>
      <c r="E328" s="46" t="str">
        <f>IFERROR(VLOOKUP($H328,매장구분!$B:$Z,9,0),"")</f>
        <v>당진(대-위)</v>
      </c>
      <c r="F328" s="53"/>
      <c r="G328" s="54" t="s">
        <v>462</v>
      </c>
      <c r="H328" s="55" t="s">
        <v>463</v>
      </c>
      <c r="I328" s="55" t="s">
        <v>169</v>
      </c>
      <c r="J328" s="55" t="s">
        <v>79</v>
      </c>
      <c r="K328" s="55" t="s">
        <v>170</v>
      </c>
      <c r="L328" s="55" t="s">
        <v>171</v>
      </c>
      <c r="M328" s="55" t="s">
        <v>196</v>
      </c>
      <c r="N328" s="55" t="s">
        <v>197</v>
      </c>
      <c r="O328" s="55">
        <v>11040954</v>
      </c>
      <c r="P328" s="55">
        <v>97</v>
      </c>
      <c r="Q328" s="55">
        <v>0</v>
      </c>
      <c r="R328" s="55">
        <v>0</v>
      </c>
      <c r="S328" s="55">
        <v>0</v>
      </c>
      <c r="T328" s="55">
        <v>0</v>
      </c>
      <c r="U328" s="55">
        <v>676000</v>
      </c>
      <c r="V328" s="55">
        <v>4</v>
      </c>
      <c r="W328" s="55">
        <v>0</v>
      </c>
      <c r="X328" s="55">
        <v>0</v>
      </c>
      <c r="Y328" s="63">
        <v>25263000</v>
      </c>
      <c r="Z328" s="55">
        <v>107</v>
      </c>
      <c r="AA328" s="55">
        <v>0</v>
      </c>
      <c r="AB328" s="55">
        <v>0</v>
      </c>
      <c r="AC328" s="55">
        <v>36979954</v>
      </c>
      <c r="AD328" s="57">
        <v>208</v>
      </c>
      <c r="AF328" s="47">
        <f t="shared" si="5"/>
        <v>11716954</v>
      </c>
    </row>
    <row r="329" spans="1:32" x14ac:dyDescent="0.3">
      <c r="A329" s="46" t="s">
        <v>1</v>
      </c>
      <c r="B329" s="46" t="str">
        <f>IFERROR(VLOOKUP($H329,매장구분!$B:$Z,2,0),"")</f>
        <v>파트너채널팀</v>
      </c>
      <c r="C329" s="46" t="str">
        <f>IFERROR(VLOOKUP($H329,매장구분!$B:$Z,3,0),"")</f>
        <v>국내</v>
      </c>
      <c r="D329" s="46" t="str">
        <f>IFERROR(VLOOKUP($H329,매장구분!$B:$Z,5,0),"")</f>
        <v>백화점</v>
      </c>
      <c r="E329" s="46" t="str">
        <f>IFERROR(VLOOKUP($H329,매장구분!$B:$Z,9,0),"")</f>
        <v>롯데울산</v>
      </c>
      <c r="F329" s="58"/>
      <c r="G329" s="59" t="s">
        <v>460</v>
      </c>
      <c r="H329" s="60" t="s">
        <v>461</v>
      </c>
      <c r="I329" s="60" t="s">
        <v>169</v>
      </c>
      <c r="J329" s="60" t="s">
        <v>175</v>
      </c>
      <c r="K329" s="60" t="s">
        <v>170</v>
      </c>
      <c r="L329" s="60" t="s">
        <v>171</v>
      </c>
      <c r="M329" s="60" t="s">
        <v>77</v>
      </c>
      <c r="N329" s="60" t="s">
        <v>172</v>
      </c>
      <c r="O329" s="60">
        <v>23372600</v>
      </c>
      <c r="P329" s="60">
        <v>219</v>
      </c>
      <c r="Q329" s="60">
        <v>98000</v>
      </c>
      <c r="R329" s="60">
        <v>2</v>
      </c>
      <c r="S329" s="60">
        <v>0</v>
      </c>
      <c r="T329" s="60">
        <v>0</v>
      </c>
      <c r="U329" s="60">
        <v>2631000</v>
      </c>
      <c r="V329" s="60">
        <v>19</v>
      </c>
      <c r="W329" s="60">
        <v>0</v>
      </c>
      <c r="X329" s="60">
        <v>0</v>
      </c>
      <c r="Y329" s="64">
        <v>0</v>
      </c>
      <c r="Z329" s="60">
        <v>0</v>
      </c>
      <c r="AA329" s="60">
        <v>0</v>
      </c>
      <c r="AB329" s="60">
        <v>0</v>
      </c>
      <c r="AC329" s="60">
        <v>26101600</v>
      </c>
      <c r="AD329" s="62">
        <v>240</v>
      </c>
      <c r="AF329" s="47">
        <f t="shared" si="5"/>
        <v>26101600</v>
      </c>
    </row>
    <row r="330" spans="1:32" x14ac:dyDescent="0.3">
      <c r="A330" s="46" t="s">
        <v>1</v>
      </c>
      <c r="B330" s="46" t="str">
        <f>IFERROR(VLOOKUP($H330,매장구분!$B:$Z,2,0),"")</f>
        <v>리테일채널팀</v>
      </c>
      <c r="C330" s="46" t="str">
        <f>IFERROR(VLOOKUP($H330,매장구분!$B:$Z,3,0),"")</f>
        <v>국내</v>
      </c>
      <c r="D330" s="46" t="str">
        <f>IFERROR(VLOOKUP($H330,매장구분!$B:$Z,5,0),"")</f>
        <v>대리점</v>
      </c>
      <c r="E330" s="46" t="str">
        <f>IFERROR(VLOOKUP($H330,매장구분!$B:$Z,9,0),"")</f>
        <v>대전은행(대-위)</v>
      </c>
      <c r="F330" s="53"/>
      <c r="G330" s="54" t="s">
        <v>456</v>
      </c>
      <c r="H330" s="55" t="s">
        <v>457</v>
      </c>
      <c r="I330" s="55" t="s">
        <v>169</v>
      </c>
      <c r="J330" s="55" t="s">
        <v>79</v>
      </c>
      <c r="K330" s="55" t="s">
        <v>170</v>
      </c>
      <c r="L330" s="55" t="s">
        <v>171</v>
      </c>
      <c r="M330" s="55" t="s">
        <v>196</v>
      </c>
      <c r="N330" s="55" t="s">
        <v>197</v>
      </c>
      <c r="O330" s="55">
        <v>14193900</v>
      </c>
      <c r="P330" s="55">
        <v>149</v>
      </c>
      <c r="Q330" s="55">
        <v>0</v>
      </c>
      <c r="R330" s="55">
        <v>0</v>
      </c>
      <c r="S330" s="55">
        <v>0</v>
      </c>
      <c r="T330" s="55">
        <v>0</v>
      </c>
      <c r="U330" s="55">
        <v>546000</v>
      </c>
      <c r="V330" s="55">
        <v>4</v>
      </c>
      <c r="W330" s="55">
        <v>0</v>
      </c>
      <c r="X330" s="55">
        <v>0</v>
      </c>
      <c r="Y330" s="63">
        <v>63687000</v>
      </c>
      <c r="Z330" s="55">
        <v>1805</v>
      </c>
      <c r="AA330" s="55">
        <v>0</v>
      </c>
      <c r="AB330" s="55">
        <v>0</v>
      </c>
      <c r="AC330" s="55">
        <v>78426900</v>
      </c>
      <c r="AD330" s="57">
        <v>1958</v>
      </c>
      <c r="AF330" s="47">
        <f t="shared" si="5"/>
        <v>14739900</v>
      </c>
    </row>
    <row r="331" spans="1:32" x14ac:dyDescent="0.3">
      <c r="A331" s="46" t="s">
        <v>1</v>
      </c>
      <c r="B331" s="46" t="str">
        <f>IFERROR(VLOOKUP($H331,매장구분!$B:$Z,2,0),"")</f>
        <v>파트너채널팀</v>
      </c>
      <c r="C331" s="46" t="str">
        <f>IFERROR(VLOOKUP($H331,매장구분!$B:$Z,3,0),"")</f>
        <v>국내</v>
      </c>
      <c r="D331" s="46" t="str">
        <f>IFERROR(VLOOKUP($H331,매장구분!$B:$Z,5,0),"")</f>
        <v>백화점</v>
      </c>
      <c r="E331" s="46" t="str">
        <f>IFERROR(VLOOKUP($H331,매장구분!$B:$Z,9,0),"")</f>
        <v>신세계김해</v>
      </c>
      <c r="F331" s="58"/>
      <c r="G331" s="59" t="s">
        <v>454</v>
      </c>
      <c r="H331" s="60" t="s">
        <v>455</v>
      </c>
      <c r="I331" s="60" t="s">
        <v>169</v>
      </c>
      <c r="J331" s="60" t="s">
        <v>175</v>
      </c>
      <c r="K331" s="60" t="s">
        <v>170</v>
      </c>
      <c r="L331" s="60" t="s">
        <v>171</v>
      </c>
      <c r="M331" s="60" t="s">
        <v>77</v>
      </c>
      <c r="N331" s="60" t="s">
        <v>172</v>
      </c>
      <c r="O331" s="60">
        <v>12457900</v>
      </c>
      <c r="P331" s="60">
        <v>144</v>
      </c>
      <c r="Q331" s="60">
        <v>358000</v>
      </c>
      <c r="R331" s="60">
        <v>3</v>
      </c>
      <c r="S331" s="60">
        <v>0</v>
      </c>
      <c r="T331" s="60">
        <v>0</v>
      </c>
      <c r="U331" s="60">
        <v>876000</v>
      </c>
      <c r="V331" s="60">
        <v>8</v>
      </c>
      <c r="W331" s="60">
        <v>0</v>
      </c>
      <c r="X331" s="60">
        <v>0</v>
      </c>
      <c r="Y331" s="64">
        <v>0</v>
      </c>
      <c r="Z331" s="60">
        <v>0</v>
      </c>
      <c r="AA331" s="60">
        <v>0</v>
      </c>
      <c r="AB331" s="60">
        <v>0</v>
      </c>
      <c r="AC331" s="60">
        <v>13691900</v>
      </c>
      <c r="AD331" s="62">
        <v>155</v>
      </c>
      <c r="AF331" s="47">
        <f t="shared" si="5"/>
        <v>13691900</v>
      </c>
    </row>
    <row r="332" spans="1:32" x14ac:dyDescent="0.3">
      <c r="A332" s="46" t="s">
        <v>1</v>
      </c>
      <c r="B332" s="46" t="str">
        <f>IFERROR(VLOOKUP($H332,매장구분!$B:$Z,2,0),"")</f>
        <v>리테일채널팀</v>
      </c>
      <c r="C332" s="46" t="str">
        <f>IFERROR(VLOOKUP($H332,매장구분!$B:$Z,3,0),"")</f>
        <v>국내</v>
      </c>
      <c r="D332" s="46" t="str">
        <f>IFERROR(VLOOKUP($H332,매장구분!$B:$Z,5,0),"")</f>
        <v>대리점</v>
      </c>
      <c r="E332" s="46" t="str">
        <f>IFERROR(VLOOKUP($H332,매장구분!$B:$Z,9,0),"")</f>
        <v>구미(대-위)</v>
      </c>
      <c r="F332" s="53"/>
      <c r="G332" s="54" t="s">
        <v>458</v>
      </c>
      <c r="H332" s="55" t="s">
        <v>459</v>
      </c>
      <c r="I332" s="55" t="s">
        <v>169</v>
      </c>
      <c r="J332" s="55" t="s">
        <v>79</v>
      </c>
      <c r="K332" s="55" t="s">
        <v>170</v>
      </c>
      <c r="L332" s="55" t="s">
        <v>171</v>
      </c>
      <c r="M332" s="55" t="s">
        <v>196</v>
      </c>
      <c r="N332" s="55" t="s">
        <v>197</v>
      </c>
      <c r="O332" s="55">
        <v>14762481</v>
      </c>
      <c r="P332" s="55">
        <v>172</v>
      </c>
      <c r="Q332" s="55">
        <v>0</v>
      </c>
      <c r="R332" s="55">
        <v>0</v>
      </c>
      <c r="S332" s="55">
        <v>0</v>
      </c>
      <c r="T332" s="55">
        <v>0</v>
      </c>
      <c r="U332" s="55">
        <v>1983719</v>
      </c>
      <c r="V332" s="55">
        <v>13</v>
      </c>
      <c r="W332" s="55">
        <v>0</v>
      </c>
      <c r="X332" s="55">
        <v>0</v>
      </c>
      <c r="Y332" s="63">
        <v>0</v>
      </c>
      <c r="Z332" s="55">
        <v>0</v>
      </c>
      <c r="AA332" s="55">
        <v>0</v>
      </c>
      <c r="AB332" s="55">
        <v>0</v>
      </c>
      <c r="AC332" s="55">
        <v>16746200</v>
      </c>
      <c r="AD332" s="57">
        <v>185</v>
      </c>
      <c r="AF332" s="47">
        <f t="shared" si="5"/>
        <v>16746200</v>
      </c>
    </row>
    <row r="333" spans="1:32" x14ac:dyDescent="0.3">
      <c r="A333" s="46" t="s">
        <v>1</v>
      </c>
      <c r="B333" s="46" t="str">
        <f>IFERROR(VLOOKUP($H333,매장구분!$B:$Z,2,0),"")</f>
        <v>파트너채널팀</v>
      </c>
      <c r="C333" s="46" t="str">
        <f>IFERROR(VLOOKUP($H333,매장구분!$B:$Z,3,0),"")</f>
        <v>국내</v>
      </c>
      <c r="D333" s="46" t="str">
        <f>IFERROR(VLOOKUP($H333,매장구분!$B:$Z,5,0),"")</f>
        <v>백화점</v>
      </c>
      <c r="E333" s="46" t="str">
        <f>IFERROR(VLOOKUP($H333,매장구분!$B:$Z,9,0),"")</f>
        <v>롯데노원</v>
      </c>
      <c r="F333" s="58"/>
      <c r="G333" s="59" t="s">
        <v>472</v>
      </c>
      <c r="H333" s="60" t="s">
        <v>473</v>
      </c>
      <c r="I333" s="60" t="s">
        <v>169</v>
      </c>
      <c r="J333" s="60" t="s">
        <v>175</v>
      </c>
      <c r="K333" s="60" t="s">
        <v>170</v>
      </c>
      <c r="L333" s="60" t="s">
        <v>171</v>
      </c>
      <c r="M333" s="60" t="s">
        <v>77</v>
      </c>
      <c r="N333" s="60" t="s">
        <v>172</v>
      </c>
      <c r="O333" s="60">
        <v>12715620</v>
      </c>
      <c r="P333" s="60">
        <v>133</v>
      </c>
      <c r="Q333" s="60">
        <v>0</v>
      </c>
      <c r="R333" s="60">
        <v>0</v>
      </c>
      <c r="S333" s="60">
        <v>0</v>
      </c>
      <c r="T333" s="60">
        <v>0</v>
      </c>
      <c r="U333" s="60">
        <v>1633280</v>
      </c>
      <c r="V333" s="60">
        <v>11</v>
      </c>
      <c r="W333" s="60">
        <v>0</v>
      </c>
      <c r="X333" s="60">
        <v>0</v>
      </c>
      <c r="Y333" s="64">
        <v>33326000</v>
      </c>
      <c r="Z333" s="60">
        <v>114</v>
      </c>
      <c r="AA333" s="60">
        <v>0</v>
      </c>
      <c r="AB333" s="60">
        <v>0</v>
      </c>
      <c r="AC333" s="60">
        <v>47674900</v>
      </c>
      <c r="AD333" s="62">
        <v>258</v>
      </c>
      <c r="AF333" s="47">
        <f t="shared" si="5"/>
        <v>14348900</v>
      </c>
    </row>
    <row r="334" spans="1:32" x14ac:dyDescent="0.3">
      <c r="A334" s="46" t="s">
        <v>1</v>
      </c>
      <c r="B334" s="46" t="str">
        <f>IFERROR(VLOOKUP($H334,매장구분!$B:$Z,2,0),"")</f>
        <v>파트너채널팀</v>
      </c>
      <c r="C334" s="46" t="str">
        <f>IFERROR(VLOOKUP($H334,매장구분!$B:$Z,3,0),"")</f>
        <v>국내</v>
      </c>
      <c r="D334" s="46" t="str">
        <f>IFERROR(VLOOKUP($H334,매장구분!$B:$Z,5,0),"")</f>
        <v>백화점</v>
      </c>
      <c r="E334" s="46" t="str">
        <f>IFERROR(VLOOKUP($H334,매장구분!$B:$Z,9,0),"")</f>
        <v>롯데분당</v>
      </c>
      <c r="F334" s="53"/>
      <c r="G334" s="54" t="s">
        <v>470</v>
      </c>
      <c r="H334" s="55" t="s">
        <v>471</v>
      </c>
      <c r="I334" s="55" t="s">
        <v>169</v>
      </c>
      <c r="J334" s="55" t="s">
        <v>175</v>
      </c>
      <c r="K334" s="55" t="s">
        <v>170</v>
      </c>
      <c r="L334" s="55" t="s">
        <v>171</v>
      </c>
      <c r="M334" s="55" t="s">
        <v>77</v>
      </c>
      <c r="N334" s="55" t="s">
        <v>172</v>
      </c>
      <c r="O334" s="55">
        <v>5051179</v>
      </c>
      <c r="P334" s="55">
        <v>48</v>
      </c>
      <c r="Q334" s="55">
        <v>434000</v>
      </c>
      <c r="R334" s="55">
        <v>12</v>
      </c>
      <c r="S334" s="55">
        <v>0</v>
      </c>
      <c r="T334" s="55">
        <v>0</v>
      </c>
      <c r="U334" s="55">
        <v>-7279</v>
      </c>
      <c r="V334" s="55">
        <v>5</v>
      </c>
      <c r="W334" s="55">
        <v>0</v>
      </c>
      <c r="X334" s="55">
        <v>0</v>
      </c>
      <c r="Y334" s="63">
        <v>139000</v>
      </c>
      <c r="Z334" s="55">
        <v>1</v>
      </c>
      <c r="AA334" s="55">
        <v>-66000</v>
      </c>
      <c r="AB334" s="55">
        <v>-2</v>
      </c>
      <c r="AC334" s="55">
        <v>5550900</v>
      </c>
      <c r="AD334" s="57">
        <v>64</v>
      </c>
      <c r="AF334" s="47">
        <f t="shared" si="5"/>
        <v>5411900</v>
      </c>
    </row>
    <row r="335" spans="1:32" x14ac:dyDescent="0.3">
      <c r="A335" s="46" t="s">
        <v>1</v>
      </c>
      <c r="B335" s="46" t="str">
        <f>IFERROR(VLOOKUP($H335,매장구분!$B:$Z,2,0),"")</f>
        <v>파트너채널팀</v>
      </c>
      <c r="C335" s="46" t="str">
        <f>IFERROR(VLOOKUP($H335,매장구분!$B:$Z,3,0),"")</f>
        <v>국내</v>
      </c>
      <c r="D335" s="46" t="str">
        <f>IFERROR(VLOOKUP($H335,매장구분!$B:$Z,5,0),"")</f>
        <v>백화점</v>
      </c>
      <c r="E335" s="46" t="str">
        <f>IFERROR(VLOOKUP($H335,매장구분!$B:$Z,9,0),"")</f>
        <v>현대킨텍스</v>
      </c>
      <c r="F335" s="58"/>
      <c r="G335" s="59" t="s">
        <v>442</v>
      </c>
      <c r="H335" s="60" t="s">
        <v>443</v>
      </c>
      <c r="I335" s="60" t="s">
        <v>169</v>
      </c>
      <c r="J335" s="60" t="s">
        <v>175</v>
      </c>
      <c r="K335" s="60" t="s">
        <v>170</v>
      </c>
      <c r="L335" s="60" t="s">
        <v>171</v>
      </c>
      <c r="M335" s="60" t="s">
        <v>77</v>
      </c>
      <c r="N335" s="60" t="s">
        <v>172</v>
      </c>
      <c r="O335" s="60">
        <v>6997180</v>
      </c>
      <c r="P335" s="60">
        <v>72</v>
      </c>
      <c r="Q335" s="60">
        <v>234000</v>
      </c>
      <c r="R335" s="60">
        <v>6</v>
      </c>
      <c r="S335" s="60">
        <v>0</v>
      </c>
      <c r="T335" s="60">
        <v>0</v>
      </c>
      <c r="U335" s="60">
        <v>2061720</v>
      </c>
      <c r="V335" s="60">
        <v>9</v>
      </c>
      <c r="W335" s="60">
        <v>0</v>
      </c>
      <c r="X335" s="60">
        <v>0</v>
      </c>
      <c r="Y335" s="64">
        <v>27461900</v>
      </c>
      <c r="Z335" s="60">
        <v>179</v>
      </c>
      <c r="AA335" s="60">
        <v>0</v>
      </c>
      <c r="AB335" s="60">
        <v>0</v>
      </c>
      <c r="AC335" s="60">
        <v>36754800</v>
      </c>
      <c r="AD335" s="62">
        <v>266</v>
      </c>
      <c r="AF335" s="47">
        <f t="shared" si="5"/>
        <v>9292900</v>
      </c>
    </row>
    <row r="336" spans="1:32" x14ac:dyDescent="0.3">
      <c r="A336" s="46" t="s">
        <v>1</v>
      </c>
      <c r="B336" s="46" t="str">
        <f>IFERROR(VLOOKUP($H336,매장구분!$B:$Z,2,0),"")</f>
        <v>파트너채널팀</v>
      </c>
      <c r="C336" s="46" t="str">
        <f>IFERROR(VLOOKUP($H336,매장구분!$B:$Z,3,0),"")</f>
        <v>국내</v>
      </c>
      <c r="D336" s="46" t="str">
        <f>IFERROR(VLOOKUP($H336,매장구분!$B:$Z,5,0),"")</f>
        <v>백화점</v>
      </c>
      <c r="E336" s="46" t="str">
        <f>IFERROR(VLOOKUP($H336,매장구분!$B:$Z,9,0),"")</f>
        <v>롯데전주</v>
      </c>
      <c r="F336" s="53"/>
      <c r="G336" s="54" t="s">
        <v>446</v>
      </c>
      <c r="H336" s="55" t="s">
        <v>447</v>
      </c>
      <c r="I336" s="55" t="s">
        <v>169</v>
      </c>
      <c r="J336" s="55" t="s">
        <v>175</v>
      </c>
      <c r="K336" s="55" t="s">
        <v>170</v>
      </c>
      <c r="L336" s="55" t="s">
        <v>171</v>
      </c>
      <c r="M336" s="55" t="s">
        <v>77</v>
      </c>
      <c r="N336" s="55" t="s">
        <v>172</v>
      </c>
      <c r="O336" s="55">
        <v>14295800</v>
      </c>
      <c r="P336" s="55">
        <v>152</v>
      </c>
      <c r="Q336" s="55">
        <v>385000</v>
      </c>
      <c r="R336" s="55">
        <v>6</v>
      </c>
      <c r="S336" s="55">
        <v>0</v>
      </c>
      <c r="T336" s="55">
        <v>0</v>
      </c>
      <c r="U336" s="55">
        <v>2366000</v>
      </c>
      <c r="V336" s="55">
        <v>14</v>
      </c>
      <c r="W336" s="55">
        <v>0</v>
      </c>
      <c r="X336" s="55">
        <v>0</v>
      </c>
      <c r="Y336" s="63">
        <v>0</v>
      </c>
      <c r="Z336" s="55">
        <v>0</v>
      </c>
      <c r="AA336" s="55">
        <v>0</v>
      </c>
      <c r="AB336" s="55">
        <v>0</v>
      </c>
      <c r="AC336" s="55">
        <v>17046800</v>
      </c>
      <c r="AD336" s="57">
        <v>172</v>
      </c>
      <c r="AF336" s="47">
        <f t="shared" si="5"/>
        <v>17046800</v>
      </c>
    </row>
    <row r="337" spans="1:32" x14ac:dyDescent="0.3">
      <c r="A337" s="46" t="s">
        <v>1</v>
      </c>
      <c r="B337" s="46" t="str">
        <f>IFERROR(VLOOKUP($H337,매장구분!$B:$Z,2,0),"")</f>
        <v>파트너채널팀</v>
      </c>
      <c r="C337" s="46" t="str">
        <f>IFERROR(VLOOKUP($H337,매장구분!$B:$Z,3,0),"")</f>
        <v>국내</v>
      </c>
      <c r="D337" s="46" t="str">
        <f>IFERROR(VLOOKUP($H337,매장구분!$B:$Z,5,0),"")</f>
        <v>백화점</v>
      </c>
      <c r="E337" s="46" t="str">
        <f>IFERROR(VLOOKUP($H337,매장구분!$B:$Z,9,0),"")</f>
        <v>현대울산동구</v>
      </c>
      <c r="F337" s="58"/>
      <c r="G337" s="59" t="s">
        <v>480</v>
      </c>
      <c r="H337" s="60" t="s">
        <v>481</v>
      </c>
      <c r="I337" s="60" t="s">
        <v>169</v>
      </c>
      <c r="J337" s="60" t="s">
        <v>175</v>
      </c>
      <c r="K337" s="60" t="s">
        <v>170</v>
      </c>
      <c r="L337" s="60" t="s">
        <v>171</v>
      </c>
      <c r="M337" s="60" t="s">
        <v>77</v>
      </c>
      <c r="N337" s="60" t="s">
        <v>172</v>
      </c>
      <c r="O337" s="60">
        <v>5194900</v>
      </c>
      <c r="P337" s="60">
        <v>60</v>
      </c>
      <c r="Q337" s="60">
        <v>2039200</v>
      </c>
      <c r="R337" s="60">
        <v>22</v>
      </c>
      <c r="S337" s="60">
        <v>0</v>
      </c>
      <c r="T337" s="60">
        <v>0</v>
      </c>
      <c r="U337" s="60">
        <v>452300</v>
      </c>
      <c r="V337" s="60">
        <v>3</v>
      </c>
      <c r="W337" s="60">
        <v>0</v>
      </c>
      <c r="X337" s="60">
        <v>0</v>
      </c>
      <c r="Y337" s="64">
        <v>2155000</v>
      </c>
      <c r="Z337" s="60">
        <v>15</v>
      </c>
      <c r="AA337" s="60">
        <v>0</v>
      </c>
      <c r="AB337" s="60">
        <v>0</v>
      </c>
      <c r="AC337" s="60">
        <v>9841400</v>
      </c>
      <c r="AD337" s="62">
        <v>100</v>
      </c>
      <c r="AF337" s="47">
        <f t="shared" si="5"/>
        <v>7686400</v>
      </c>
    </row>
    <row r="338" spans="1:32" x14ac:dyDescent="0.3">
      <c r="A338" s="46" t="s">
        <v>1</v>
      </c>
      <c r="B338" s="46" t="str">
        <f>IFERROR(VLOOKUP($H338,매장구분!$B:$Z,2,0),"")</f>
        <v>리테일채널팀</v>
      </c>
      <c r="C338" s="46" t="str">
        <f>IFERROR(VLOOKUP($H338,매장구분!$B:$Z,3,0),"")</f>
        <v>국내</v>
      </c>
      <c r="D338" s="46" t="str">
        <f>IFERROR(VLOOKUP($H338,매장구분!$B:$Z,5,0),"")</f>
        <v>직영점</v>
      </c>
      <c r="E338" s="46" t="str">
        <f>IFERROR(VLOOKUP($H338,매장구분!$B:$Z,9,0),"")</f>
        <v>스타필드수원(직)</v>
      </c>
      <c r="F338" s="53"/>
      <c r="G338" s="54" t="s">
        <v>468</v>
      </c>
      <c r="H338" s="55" t="s">
        <v>469</v>
      </c>
      <c r="I338" s="55" t="s">
        <v>169</v>
      </c>
      <c r="J338" s="55" t="s">
        <v>180</v>
      </c>
      <c r="K338" s="55" t="s">
        <v>170</v>
      </c>
      <c r="L338" s="55" t="s">
        <v>171</v>
      </c>
      <c r="M338" s="55" t="s">
        <v>188</v>
      </c>
      <c r="N338" s="55" t="s">
        <v>189</v>
      </c>
      <c r="O338" s="55">
        <v>14636900</v>
      </c>
      <c r="P338" s="55">
        <v>205</v>
      </c>
      <c r="Q338" s="55">
        <v>0</v>
      </c>
      <c r="R338" s="55">
        <v>0</v>
      </c>
      <c r="S338" s="55">
        <v>0</v>
      </c>
      <c r="T338" s="55">
        <v>0</v>
      </c>
      <c r="U338" s="55">
        <v>824000</v>
      </c>
      <c r="V338" s="55">
        <v>6</v>
      </c>
      <c r="W338" s="55">
        <v>0</v>
      </c>
      <c r="X338" s="55">
        <v>0</v>
      </c>
      <c r="Y338" s="63">
        <v>0</v>
      </c>
      <c r="Z338" s="55">
        <v>0</v>
      </c>
      <c r="AA338" s="55">
        <v>0</v>
      </c>
      <c r="AB338" s="55">
        <v>0</v>
      </c>
      <c r="AC338" s="55">
        <v>15460900</v>
      </c>
      <c r="AD338" s="57">
        <v>211</v>
      </c>
      <c r="AF338" s="47">
        <f t="shared" si="5"/>
        <v>15460900</v>
      </c>
    </row>
    <row r="339" spans="1:32" x14ac:dyDescent="0.3">
      <c r="A339" s="46" t="s">
        <v>1</v>
      </c>
      <c r="B339" s="46" t="str">
        <f>IFERROR(VLOOKUP($H339,매장구분!$B:$Z,2,0),"")</f>
        <v>파트너채널팀</v>
      </c>
      <c r="C339" s="46" t="str">
        <f>IFERROR(VLOOKUP($H339,매장구분!$B:$Z,3,0),"")</f>
        <v>면세</v>
      </c>
      <c r="D339" s="46" t="str">
        <f>IFERROR(VLOOKUP($H339,매장구분!$B:$Z,5,0),"")</f>
        <v>면세</v>
      </c>
      <c r="E339" s="46" t="str">
        <f>IFERROR(VLOOKUP($H339,매장구분!$B:$Z,9,0),"")</f>
        <v>현대면세무역</v>
      </c>
      <c r="F339" s="58"/>
      <c r="G339" s="59" t="s">
        <v>466</v>
      </c>
      <c r="H339" s="60" t="s">
        <v>467</v>
      </c>
      <c r="I339" s="60" t="s">
        <v>169</v>
      </c>
      <c r="J339" s="60" t="s">
        <v>175</v>
      </c>
      <c r="K339" s="60" t="s">
        <v>170</v>
      </c>
      <c r="L339" s="60" t="s">
        <v>171</v>
      </c>
      <c r="M339" s="60" t="s">
        <v>176</v>
      </c>
      <c r="N339" s="60" t="s">
        <v>177</v>
      </c>
      <c r="O339" s="60">
        <v>64125100</v>
      </c>
      <c r="P339" s="60">
        <v>886</v>
      </c>
      <c r="Q339" s="60">
        <v>0</v>
      </c>
      <c r="R339" s="60">
        <v>0</v>
      </c>
      <c r="S339" s="60">
        <v>0</v>
      </c>
      <c r="T339" s="60">
        <v>0</v>
      </c>
      <c r="U339" s="60">
        <v>0</v>
      </c>
      <c r="V339" s="60">
        <v>0</v>
      </c>
      <c r="W339" s="60">
        <v>0</v>
      </c>
      <c r="X339" s="60">
        <v>0</v>
      </c>
      <c r="Y339" s="64">
        <v>328275600</v>
      </c>
      <c r="Z339" s="60">
        <v>6616</v>
      </c>
      <c r="AA339" s="60">
        <v>0</v>
      </c>
      <c r="AB339" s="60">
        <v>0</v>
      </c>
      <c r="AC339" s="60">
        <v>392400700</v>
      </c>
      <c r="AD339" s="62">
        <v>7502</v>
      </c>
      <c r="AF339" s="47">
        <f t="shared" si="5"/>
        <v>64125100</v>
      </c>
    </row>
    <row r="340" spans="1:32" x14ac:dyDescent="0.3">
      <c r="A340" s="46" t="s">
        <v>1</v>
      </c>
      <c r="B340" s="46" t="str">
        <f>IFERROR(VLOOKUP($H340,매장구분!$B:$Z,2,0),"")</f>
        <v>파트너채널팀</v>
      </c>
      <c r="C340" s="46" t="str">
        <f>IFERROR(VLOOKUP($H340,매장구분!$B:$Z,3,0),"")</f>
        <v>국내</v>
      </c>
      <c r="D340" s="46" t="str">
        <f>IFERROR(VLOOKUP($H340,매장구분!$B:$Z,5,0),"")</f>
        <v>백화점</v>
      </c>
      <c r="E340" s="46" t="str">
        <f>IFERROR(VLOOKUP($H340,매장구분!$B:$Z,9,0),"")</f>
        <v>롯데대전</v>
      </c>
      <c r="F340" s="53"/>
      <c r="G340" s="54" t="s">
        <v>476</v>
      </c>
      <c r="H340" s="55" t="s">
        <v>477</v>
      </c>
      <c r="I340" s="55" t="s">
        <v>169</v>
      </c>
      <c r="J340" s="55" t="s">
        <v>175</v>
      </c>
      <c r="K340" s="55" t="s">
        <v>170</v>
      </c>
      <c r="L340" s="55" t="s">
        <v>171</v>
      </c>
      <c r="M340" s="55" t="s">
        <v>77</v>
      </c>
      <c r="N340" s="55" t="s">
        <v>172</v>
      </c>
      <c r="O340" s="55">
        <v>6917000</v>
      </c>
      <c r="P340" s="55">
        <v>74</v>
      </c>
      <c r="Q340" s="55">
        <v>0</v>
      </c>
      <c r="R340" s="55">
        <v>0</v>
      </c>
      <c r="S340" s="55">
        <v>0</v>
      </c>
      <c r="T340" s="55">
        <v>0</v>
      </c>
      <c r="U340" s="55">
        <v>731000</v>
      </c>
      <c r="V340" s="55">
        <v>-1</v>
      </c>
      <c r="W340" s="55">
        <v>0</v>
      </c>
      <c r="X340" s="55">
        <v>0</v>
      </c>
      <c r="Y340" s="63">
        <v>7208000</v>
      </c>
      <c r="Z340" s="55">
        <v>143</v>
      </c>
      <c r="AA340" s="55">
        <v>0</v>
      </c>
      <c r="AB340" s="55">
        <v>0</v>
      </c>
      <c r="AC340" s="55">
        <v>14856000</v>
      </c>
      <c r="AD340" s="57">
        <v>216</v>
      </c>
      <c r="AF340" s="47">
        <f t="shared" si="5"/>
        <v>7648000</v>
      </c>
    </row>
    <row r="341" spans="1:32" x14ac:dyDescent="0.3">
      <c r="A341" s="46" t="s">
        <v>1</v>
      </c>
      <c r="B341" s="46" t="str">
        <f>IFERROR(VLOOKUP($H341,매장구분!$B:$Z,2,0),"")</f>
        <v>파트너채널팀</v>
      </c>
      <c r="C341" s="46" t="str">
        <f>IFERROR(VLOOKUP($H341,매장구분!$B:$Z,3,0),"")</f>
        <v>국내</v>
      </c>
      <c r="D341" s="46" t="str">
        <f>IFERROR(VLOOKUP($H341,매장구분!$B:$Z,5,0),"")</f>
        <v>백화점</v>
      </c>
      <c r="E341" s="46" t="str">
        <f>IFERROR(VLOOKUP($H341,매장구분!$B:$Z,9,0),"")</f>
        <v>신세계의정부</v>
      </c>
      <c r="F341" s="58"/>
      <c r="G341" s="59" t="s">
        <v>438</v>
      </c>
      <c r="H341" s="60" t="s">
        <v>439</v>
      </c>
      <c r="I341" s="60" t="s">
        <v>169</v>
      </c>
      <c r="J341" s="60" t="s">
        <v>175</v>
      </c>
      <c r="K341" s="60" t="s">
        <v>170</v>
      </c>
      <c r="L341" s="60" t="s">
        <v>171</v>
      </c>
      <c r="M341" s="60" t="s">
        <v>77</v>
      </c>
      <c r="N341" s="60" t="s">
        <v>172</v>
      </c>
      <c r="O341" s="60">
        <v>22965500</v>
      </c>
      <c r="P341" s="60">
        <v>223</v>
      </c>
      <c r="Q341" s="60">
        <v>0</v>
      </c>
      <c r="R341" s="60">
        <v>0</v>
      </c>
      <c r="S341" s="60">
        <v>0</v>
      </c>
      <c r="T341" s="60">
        <v>0</v>
      </c>
      <c r="U341" s="60">
        <v>2716000</v>
      </c>
      <c r="V341" s="60">
        <v>13</v>
      </c>
      <c r="W341" s="60">
        <v>0</v>
      </c>
      <c r="X341" s="60">
        <v>0</v>
      </c>
      <c r="Y341" s="64">
        <v>0</v>
      </c>
      <c r="Z341" s="60">
        <v>0</v>
      </c>
      <c r="AA341" s="60">
        <v>0</v>
      </c>
      <c r="AB341" s="60">
        <v>0</v>
      </c>
      <c r="AC341" s="60">
        <v>25681500</v>
      </c>
      <c r="AD341" s="62">
        <v>236</v>
      </c>
      <c r="AF341" s="47">
        <f t="shared" si="5"/>
        <v>25681500</v>
      </c>
    </row>
    <row r="342" spans="1:32" x14ac:dyDescent="0.3">
      <c r="A342" s="46" t="s">
        <v>1</v>
      </c>
      <c r="B342" s="46" t="str">
        <f>IFERROR(VLOOKUP($H342,매장구분!$B:$Z,2,0),"")</f>
        <v>리테일채널팀</v>
      </c>
      <c r="C342" s="46" t="str">
        <f>IFERROR(VLOOKUP($H342,매장구분!$B:$Z,3,0),"")</f>
        <v>국내</v>
      </c>
      <c r="D342" s="46" t="str">
        <f>IFERROR(VLOOKUP($H342,매장구분!$B:$Z,5,0),"")</f>
        <v>대리점</v>
      </c>
      <c r="E342" s="46" t="str">
        <f>IFERROR(VLOOKUP($H342,매장구분!$B:$Z,9,0),"")</f>
        <v>제주(대-위)</v>
      </c>
      <c r="F342" s="53"/>
      <c r="G342" s="54" t="s">
        <v>474</v>
      </c>
      <c r="H342" s="55" t="s">
        <v>475</v>
      </c>
      <c r="I342" s="55" t="s">
        <v>169</v>
      </c>
      <c r="J342" s="55" t="s">
        <v>79</v>
      </c>
      <c r="K342" s="55" t="s">
        <v>170</v>
      </c>
      <c r="L342" s="55" t="s">
        <v>171</v>
      </c>
      <c r="M342" s="55" t="s">
        <v>196</v>
      </c>
      <c r="N342" s="55" t="s">
        <v>197</v>
      </c>
      <c r="O342" s="55">
        <v>14604100</v>
      </c>
      <c r="P342" s="55">
        <v>161</v>
      </c>
      <c r="Q342" s="55">
        <v>0</v>
      </c>
      <c r="R342" s="55">
        <v>0</v>
      </c>
      <c r="S342" s="55">
        <v>0</v>
      </c>
      <c r="T342" s="55">
        <v>0</v>
      </c>
      <c r="U342" s="55">
        <v>398000</v>
      </c>
      <c r="V342" s="55">
        <v>2</v>
      </c>
      <c r="W342" s="55">
        <v>0</v>
      </c>
      <c r="X342" s="55">
        <v>0</v>
      </c>
      <c r="Y342" s="63">
        <v>0</v>
      </c>
      <c r="Z342" s="55">
        <v>0</v>
      </c>
      <c r="AA342" s="55">
        <v>0</v>
      </c>
      <c r="AB342" s="55">
        <v>0</v>
      </c>
      <c r="AC342" s="55">
        <v>15002100</v>
      </c>
      <c r="AD342" s="57">
        <v>163</v>
      </c>
      <c r="AF342" s="47">
        <f t="shared" si="5"/>
        <v>15002100</v>
      </c>
    </row>
    <row r="343" spans="1:32" x14ac:dyDescent="0.3">
      <c r="A343" s="46" t="s">
        <v>1</v>
      </c>
      <c r="B343" s="46" t="str">
        <f>IFERROR(VLOOKUP($H343,매장구분!$B:$Z,2,0),"")</f>
        <v>리테일채널팀</v>
      </c>
      <c r="C343" s="46" t="str">
        <f>IFERROR(VLOOKUP($H343,매장구분!$B:$Z,3,0),"")</f>
        <v>국내</v>
      </c>
      <c r="D343" s="46" t="str">
        <f>IFERROR(VLOOKUP($H343,매장구분!$B:$Z,5,0),"")</f>
        <v>상설(위탁)</v>
      </c>
      <c r="E343" s="46" t="str">
        <f>IFERROR(VLOOKUP($H343,매장구분!$B:$Z,9,0),"")</f>
        <v>롯데아울렛청주(상-위)</v>
      </c>
      <c r="F343" s="58"/>
      <c r="G343" s="59" t="s">
        <v>478</v>
      </c>
      <c r="H343" s="60" t="s">
        <v>479</v>
      </c>
      <c r="I343" s="60" t="s">
        <v>169</v>
      </c>
      <c r="J343" s="60" t="s">
        <v>79</v>
      </c>
      <c r="K343" s="60" t="s">
        <v>170</v>
      </c>
      <c r="L343" s="60" t="s">
        <v>171</v>
      </c>
      <c r="M343" s="60" t="s">
        <v>219</v>
      </c>
      <c r="N343" s="60" t="s">
        <v>219</v>
      </c>
      <c r="O343" s="60">
        <v>525000</v>
      </c>
      <c r="P343" s="60">
        <v>14</v>
      </c>
      <c r="Q343" s="60">
        <v>0</v>
      </c>
      <c r="R343" s="60">
        <v>0</v>
      </c>
      <c r="S343" s="60">
        <v>0</v>
      </c>
      <c r="T343" s="60">
        <v>0</v>
      </c>
      <c r="U343" s="60">
        <v>0</v>
      </c>
      <c r="V343" s="60">
        <v>0</v>
      </c>
      <c r="W343" s="60">
        <v>0</v>
      </c>
      <c r="X343" s="60">
        <v>0</v>
      </c>
      <c r="Y343" s="64">
        <v>0</v>
      </c>
      <c r="Z343" s="60">
        <v>0</v>
      </c>
      <c r="AA343" s="60">
        <v>0</v>
      </c>
      <c r="AB343" s="60">
        <v>0</v>
      </c>
      <c r="AC343" s="60">
        <v>525000</v>
      </c>
      <c r="AD343" s="62">
        <v>14</v>
      </c>
      <c r="AF343" s="47">
        <f t="shared" si="5"/>
        <v>525000</v>
      </c>
    </row>
    <row r="344" spans="1:32" x14ac:dyDescent="0.3">
      <c r="A344" s="46" t="s">
        <v>1</v>
      </c>
      <c r="B344" s="46" t="str">
        <f>IFERROR(VLOOKUP($H344,매장구분!$B:$Z,2,0),"")</f>
        <v>파트너채널팀</v>
      </c>
      <c r="C344" s="46" t="str">
        <f>IFERROR(VLOOKUP($H344,매장구분!$B:$Z,3,0),"")</f>
        <v>국내</v>
      </c>
      <c r="D344" s="46" t="str">
        <f>IFERROR(VLOOKUP($H344,매장구분!$B:$Z,5,0),"")</f>
        <v>백화점</v>
      </c>
      <c r="E344" s="46" t="str">
        <f>IFERROR(VLOOKUP($H344,매장구분!$B:$Z,9,0),"")</f>
        <v>아이파크용산</v>
      </c>
      <c r="F344" s="53"/>
      <c r="G344" s="54" t="s">
        <v>496</v>
      </c>
      <c r="H344" s="55" t="s">
        <v>497</v>
      </c>
      <c r="I344" s="55" t="s">
        <v>169</v>
      </c>
      <c r="J344" s="55" t="s">
        <v>175</v>
      </c>
      <c r="K344" s="55" t="s">
        <v>170</v>
      </c>
      <c r="L344" s="55" t="s">
        <v>171</v>
      </c>
      <c r="M344" s="55" t="s">
        <v>188</v>
      </c>
      <c r="N344" s="55" t="s">
        <v>317</v>
      </c>
      <c r="O344" s="55">
        <v>6823300</v>
      </c>
      <c r="P344" s="55">
        <v>83</v>
      </c>
      <c r="Q344" s="55">
        <v>0</v>
      </c>
      <c r="R344" s="55">
        <v>0</v>
      </c>
      <c r="S344" s="55">
        <v>0</v>
      </c>
      <c r="T344" s="55">
        <v>0</v>
      </c>
      <c r="U344" s="55">
        <v>0</v>
      </c>
      <c r="V344" s="55">
        <v>0</v>
      </c>
      <c r="W344" s="55">
        <v>0</v>
      </c>
      <c r="X344" s="55">
        <v>0</v>
      </c>
      <c r="Y344" s="63">
        <v>30982300</v>
      </c>
      <c r="Z344" s="55">
        <v>306</v>
      </c>
      <c r="AA344" s="55">
        <v>0</v>
      </c>
      <c r="AB344" s="55">
        <v>0</v>
      </c>
      <c r="AC344" s="55">
        <v>37805600</v>
      </c>
      <c r="AD344" s="57">
        <v>389</v>
      </c>
      <c r="AF344" s="47">
        <f t="shared" si="5"/>
        <v>6823300</v>
      </c>
    </row>
    <row r="345" spans="1:32" x14ac:dyDescent="0.3">
      <c r="A345" s="46" t="s">
        <v>1</v>
      </c>
      <c r="B345" s="46" t="str">
        <f>IFERROR(VLOOKUP($H345,매장구분!$B:$Z,2,0),"")</f>
        <v>파트너채널팀</v>
      </c>
      <c r="C345" s="46" t="str">
        <f>IFERROR(VLOOKUP($H345,매장구분!$B:$Z,3,0),"")</f>
        <v>국내</v>
      </c>
      <c r="D345" s="46" t="str">
        <f>IFERROR(VLOOKUP($H345,매장구분!$B:$Z,5,0),"")</f>
        <v>백화점</v>
      </c>
      <c r="E345" s="46" t="str">
        <f>IFERROR(VLOOKUP($H345,매장구분!$B:$Z,9,0),"")</f>
        <v>신세계광주</v>
      </c>
      <c r="F345" s="58"/>
      <c r="G345" s="59" t="s">
        <v>504</v>
      </c>
      <c r="H345" s="60" t="s">
        <v>505</v>
      </c>
      <c r="I345" s="60" t="s">
        <v>169</v>
      </c>
      <c r="J345" s="60" t="s">
        <v>175</v>
      </c>
      <c r="K345" s="60" t="s">
        <v>170</v>
      </c>
      <c r="L345" s="60" t="s">
        <v>171</v>
      </c>
      <c r="M345" s="60" t="s">
        <v>77</v>
      </c>
      <c r="N345" s="60" t="s">
        <v>172</v>
      </c>
      <c r="O345" s="60">
        <v>13881119</v>
      </c>
      <c r="P345" s="60">
        <v>151</v>
      </c>
      <c r="Q345" s="60">
        <v>0</v>
      </c>
      <c r="R345" s="60">
        <v>0</v>
      </c>
      <c r="S345" s="60">
        <v>0</v>
      </c>
      <c r="T345" s="60">
        <v>0</v>
      </c>
      <c r="U345" s="60">
        <v>2735881</v>
      </c>
      <c r="V345" s="60">
        <v>29</v>
      </c>
      <c r="W345" s="60">
        <v>0</v>
      </c>
      <c r="X345" s="60">
        <v>0</v>
      </c>
      <c r="Y345" s="64">
        <v>0</v>
      </c>
      <c r="Z345" s="60">
        <v>0</v>
      </c>
      <c r="AA345" s="60">
        <v>0</v>
      </c>
      <c r="AB345" s="60">
        <v>0</v>
      </c>
      <c r="AC345" s="60">
        <v>16617000</v>
      </c>
      <c r="AD345" s="62">
        <v>180</v>
      </c>
      <c r="AF345" s="47">
        <f t="shared" si="5"/>
        <v>16617000</v>
      </c>
    </row>
    <row r="346" spans="1:32" x14ac:dyDescent="0.3">
      <c r="A346" s="46" t="s">
        <v>1</v>
      </c>
      <c r="B346" s="46" t="str">
        <f>IFERROR(VLOOKUP($H346,매장구분!$B:$Z,2,0),"")</f>
        <v>리테일채널팀</v>
      </c>
      <c r="C346" s="46" t="str">
        <f>IFERROR(VLOOKUP($H346,매장구분!$B:$Z,3,0),"")</f>
        <v>국내</v>
      </c>
      <c r="D346" s="46" t="str">
        <f>IFERROR(VLOOKUP($H346,매장구분!$B:$Z,5,0),"")</f>
        <v>대리점</v>
      </c>
      <c r="E346" s="46" t="str">
        <f>IFERROR(VLOOKUP($H346,매장구분!$B:$Z,9,0),"")</f>
        <v>여천(대-위)</v>
      </c>
      <c r="F346" s="53"/>
      <c r="G346" s="54" t="s">
        <v>500</v>
      </c>
      <c r="H346" s="55" t="s">
        <v>501</v>
      </c>
      <c r="I346" s="55" t="s">
        <v>169</v>
      </c>
      <c r="J346" s="55" t="s">
        <v>79</v>
      </c>
      <c r="K346" s="55" t="s">
        <v>170</v>
      </c>
      <c r="L346" s="55" t="s">
        <v>171</v>
      </c>
      <c r="M346" s="55" t="s">
        <v>196</v>
      </c>
      <c r="N346" s="55" t="s">
        <v>197</v>
      </c>
      <c r="O346" s="55">
        <v>4578800</v>
      </c>
      <c r="P346" s="55">
        <v>66</v>
      </c>
      <c r="Q346" s="55">
        <v>0</v>
      </c>
      <c r="R346" s="55">
        <v>0</v>
      </c>
      <c r="S346" s="55">
        <v>0</v>
      </c>
      <c r="T346" s="55">
        <v>0</v>
      </c>
      <c r="U346" s="55">
        <v>636000</v>
      </c>
      <c r="V346" s="55">
        <v>4</v>
      </c>
      <c r="W346" s="55">
        <v>0</v>
      </c>
      <c r="X346" s="55">
        <v>0</v>
      </c>
      <c r="Y346" s="63">
        <v>0</v>
      </c>
      <c r="Z346" s="55">
        <v>0</v>
      </c>
      <c r="AA346" s="55">
        <v>0</v>
      </c>
      <c r="AB346" s="55">
        <v>0</v>
      </c>
      <c r="AC346" s="55">
        <v>5214800</v>
      </c>
      <c r="AD346" s="57">
        <v>70</v>
      </c>
      <c r="AF346" s="47">
        <f t="shared" si="5"/>
        <v>5214800</v>
      </c>
    </row>
    <row r="347" spans="1:32" x14ac:dyDescent="0.3">
      <c r="A347" s="46" t="s">
        <v>1</v>
      </c>
      <c r="B347" s="46" t="str">
        <f>IFERROR(VLOOKUP($H347,매장구분!$B:$Z,2,0),"")</f>
        <v>파트너채널팀</v>
      </c>
      <c r="C347" s="46" t="str">
        <f>IFERROR(VLOOKUP($H347,매장구분!$B:$Z,3,0),"")</f>
        <v>국내</v>
      </c>
      <c r="D347" s="46" t="str">
        <f>IFERROR(VLOOKUP($H347,매장구분!$B:$Z,5,0),"")</f>
        <v>백화점</v>
      </c>
      <c r="E347" s="46" t="str">
        <f>IFERROR(VLOOKUP($H347,매장구분!$B:$Z,9,0),"")</f>
        <v>롯데일산</v>
      </c>
      <c r="F347" s="58"/>
      <c r="G347" s="59" t="s">
        <v>508</v>
      </c>
      <c r="H347" s="60" t="s">
        <v>509</v>
      </c>
      <c r="I347" s="60" t="s">
        <v>169</v>
      </c>
      <c r="J347" s="60" t="s">
        <v>175</v>
      </c>
      <c r="K347" s="60" t="s">
        <v>170</v>
      </c>
      <c r="L347" s="60" t="s">
        <v>171</v>
      </c>
      <c r="M347" s="60" t="s">
        <v>77</v>
      </c>
      <c r="N347" s="60" t="s">
        <v>172</v>
      </c>
      <c r="O347" s="60">
        <v>10139900</v>
      </c>
      <c r="P347" s="60">
        <v>97</v>
      </c>
      <c r="Q347" s="60">
        <v>0</v>
      </c>
      <c r="R347" s="60">
        <v>0</v>
      </c>
      <c r="S347" s="60">
        <v>0</v>
      </c>
      <c r="T347" s="60">
        <v>0</v>
      </c>
      <c r="U347" s="60">
        <v>1413000</v>
      </c>
      <c r="V347" s="60">
        <v>7</v>
      </c>
      <c r="W347" s="60">
        <v>0</v>
      </c>
      <c r="X347" s="60">
        <v>0</v>
      </c>
      <c r="Y347" s="64">
        <v>15555300</v>
      </c>
      <c r="Z347" s="60">
        <v>165</v>
      </c>
      <c r="AA347" s="60">
        <v>0</v>
      </c>
      <c r="AB347" s="60">
        <v>0</v>
      </c>
      <c r="AC347" s="60">
        <v>27108200</v>
      </c>
      <c r="AD347" s="62">
        <v>269</v>
      </c>
      <c r="AF347" s="47">
        <f t="shared" si="5"/>
        <v>11552900</v>
      </c>
    </row>
    <row r="348" spans="1:32" x14ac:dyDescent="0.3">
      <c r="A348" s="46" t="s">
        <v>1</v>
      </c>
      <c r="B348" s="46" t="str">
        <f>IFERROR(VLOOKUP($H348,매장구분!$B:$Z,2,0),"")</f>
        <v>리테일채널팀</v>
      </c>
      <c r="C348" s="46" t="str">
        <f>IFERROR(VLOOKUP($H348,매장구분!$B:$Z,3,0),"")</f>
        <v>국내</v>
      </c>
      <c r="D348" s="46" t="str">
        <f>IFERROR(VLOOKUP($H348,매장구분!$B:$Z,5,0),"")</f>
        <v>대리점</v>
      </c>
      <c r="E348" s="46" t="str">
        <f>IFERROR(VLOOKUP($H348,매장구분!$B:$Z,9,0),"")</f>
        <v>익산(대-위)</v>
      </c>
      <c r="F348" s="53"/>
      <c r="G348" s="54" t="s">
        <v>490</v>
      </c>
      <c r="H348" s="55" t="s">
        <v>491</v>
      </c>
      <c r="I348" s="55" t="s">
        <v>169</v>
      </c>
      <c r="J348" s="55" t="s">
        <v>79</v>
      </c>
      <c r="K348" s="55" t="s">
        <v>170</v>
      </c>
      <c r="L348" s="55" t="s">
        <v>171</v>
      </c>
      <c r="M348" s="55" t="s">
        <v>196</v>
      </c>
      <c r="N348" s="55" t="s">
        <v>197</v>
      </c>
      <c r="O348" s="55">
        <v>19431746</v>
      </c>
      <c r="P348" s="55">
        <v>179</v>
      </c>
      <c r="Q348" s="55">
        <v>0</v>
      </c>
      <c r="R348" s="55">
        <v>0</v>
      </c>
      <c r="S348" s="55">
        <v>0</v>
      </c>
      <c r="T348" s="55">
        <v>0</v>
      </c>
      <c r="U348" s="55">
        <v>2469341</v>
      </c>
      <c r="V348" s="55">
        <v>16</v>
      </c>
      <c r="W348" s="55">
        <v>0</v>
      </c>
      <c r="X348" s="55">
        <v>0</v>
      </c>
      <c r="Y348" s="63">
        <v>0</v>
      </c>
      <c r="Z348" s="55">
        <v>0</v>
      </c>
      <c r="AA348" s="55">
        <v>0</v>
      </c>
      <c r="AB348" s="55">
        <v>0</v>
      </c>
      <c r="AC348" s="55">
        <v>21901087</v>
      </c>
      <c r="AD348" s="57">
        <v>195</v>
      </c>
      <c r="AF348" s="47">
        <f t="shared" si="5"/>
        <v>21901087</v>
      </c>
    </row>
    <row r="349" spans="1:32" x14ac:dyDescent="0.3">
      <c r="A349" s="46" t="s">
        <v>1</v>
      </c>
      <c r="B349" s="46" t="str">
        <f>IFERROR(VLOOKUP($H349,매장구분!$B:$Z,2,0),"")</f>
        <v>리테일채널팀</v>
      </c>
      <c r="C349" s="46" t="str">
        <f>IFERROR(VLOOKUP($H349,매장구분!$B:$Z,3,0),"")</f>
        <v>국내</v>
      </c>
      <c r="D349" s="46" t="str">
        <f>IFERROR(VLOOKUP($H349,매장구분!$B:$Z,5,0),"")</f>
        <v>대리점</v>
      </c>
      <c r="E349" s="46" t="str">
        <f>IFERROR(VLOOKUP($H349,매장구분!$B:$Z,9,0),"")</f>
        <v>목포하당(대-위)</v>
      </c>
      <c r="F349" s="58"/>
      <c r="G349" s="59" t="s">
        <v>486</v>
      </c>
      <c r="H349" s="60" t="s">
        <v>487</v>
      </c>
      <c r="I349" s="60" t="s">
        <v>169</v>
      </c>
      <c r="J349" s="60" t="s">
        <v>79</v>
      </c>
      <c r="K349" s="60" t="s">
        <v>170</v>
      </c>
      <c r="L349" s="60" t="s">
        <v>171</v>
      </c>
      <c r="M349" s="60" t="s">
        <v>196</v>
      </c>
      <c r="N349" s="60" t="s">
        <v>197</v>
      </c>
      <c r="O349" s="60">
        <v>23233358</v>
      </c>
      <c r="P349" s="60">
        <v>188</v>
      </c>
      <c r="Q349" s="60">
        <v>0</v>
      </c>
      <c r="R349" s="60">
        <v>0</v>
      </c>
      <c r="S349" s="60">
        <v>0</v>
      </c>
      <c r="T349" s="60">
        <v>0</v>
      </c>
      <c r="U349" s="60">
        <v>2288000</v>
      </c>
      <c r="V349" s="60">
        <v>12</v>
      </c>
      <c r="W349" s="60">
        <v>0</v>
      </c>
      <c r="X349" s="60">
        <v>0</v>
      </c>
      <c r="Y349" s="64">
        <v>0</v>
      </c>
      <c r="Z349" s="60">
        <v>0</v>
      </c>
      <c r="AA349" s="60">
        <v>0</v>
      </c>
      <c r="AB349" s="60">
        <v>0</v>
      </c>
      <c r="AC349" s="60">
        <v>25521358</v>
      </c>
      <c r="AD349" s="62">
        <v>200</v>
      </c>
      <c r="AF349" s="47">
        <f t="shared" si="5"/>
        <v>25521358</v>
      </c>
    </row>
    <row r="350" spans="1:32" x14ac:dyDescent="0.3">
      <c r="A350" s="46" t="s">
        <v>1</v>
      </c>
      <c r="B350" s="46" t="str">
        <f>IFERROR(VLOOKUP($H350,매장구분!$B:$Z,2,0),"")</f>
        <v>E-biz</v>
      </c>
      <c r="C350" s="46" t="str">
        <f>IFERROR(VLOOKUP($H350,매장구분!$B:$Z,3,0),"")</f>
        <v>국내</v>
      </c>
      <c r="D350" s="46" t="str">
        <f>IFERROR(VLOOKUP($H350,매장구분!$B:$Z,5,0),"")</f>
        <v>온(제휴몰)</v>
      </c>
      <c r="E350" s="46" t="str">
        <f>IFERROR(VLOOKUP($H350,매장구분!$B:$Z,9,0),"")</f>
        <v>SSG닷컴(제휴몰)</v>
      </c>
      <c r="F350" s="53"/>
      <c r="G350" s="54" t="s">
        <v>498</v>
      </c>
      <c r="H350" s="55" t="s">
        <v>499</v>
      </c>
      <c r="I350" s="55" t="s">
        <v>169</v>
      </c>
      <c r="J350" s="55" t="s">
        <v>180</v>
      </c>
      <c r="K350" s="55" t="s">
        <v>170</v>
      </c>
      <c r="L350" s="55" t="s">
        <v>181</v>
      </c>
      <c r="M350" s="55" t="s">
        <v>181</v>
      </c>
      <c r="N350" s="55" t="s">
        <v>185</v>
      </c>
      <c r="O350" s="55">
        <v>48800900</v>
      </c>
      <c r="P350" s="55">
        <v>316</v>
      </c>
      <c r="Q350" s="55">
        <v>0</v>
      </c>
      <c r="R350" s="55">
        <v>0</v>
      </c>
      <c r="S350" s="55">
        <v>0</v>
      </c>
      <c r="T350" s="55">
        <v>0</v>
      </c>
      <c r="U350" s="55">
        <v>0</v>
      </c>
      <c r="V350" s="55">
        <v>0</v>
      </c>
      <c r="W350" s="55">
        <v>0</v>
      </c>
      <c r="X350" s="55">
        <v>0</v>
      </c>
      <c r="Y350" s="63">
        <v>0</v>
      </c>
      <c r="Z350" s="55">
        <v>0</v>
      </c>
      <c r="AA350" s="55">
        <v>0</v>
      </c>
      <c r="AB350" s="55">
        <v>0</v>
      </c>
      <c r="AC350" s="55">
        <v>48800900</v>
      </c>
      <c r="AD350" s="57">
        <v>316</v>
      </c>
      <c r="AF350" s="47">
        <f t="shared" si="5"/>
        <v>48800900</v>
      </c>
    </row>
    <row r="351" spans="1:32" x14ac:dyDescent="0.3">
      <c r="A351" s="46" t="s">
        <v>1</v>
      </c>
      <c r="B351" s="46" t="str">
        <f>IFERROR(VLOOKUP($H351,매장구분!$B:$Z,2,0),"")</f>
        <v>파트너채널팀</v>
      </c>
      <c r="C351" s="46" t="str">
        <f>IFERROR(VLOOKUP($H351,매장구분!$B:$Z,3,0),"")</f>
        <v>국내</v>
      </c>
      <c r="D351" s="46" t="str">
        <f>IFERROR(VLOOKUP($H351,매장구분!$B:$Z,5,0),"")</f>
        <v>백화점</v>
      </c>
      <c r="E351" s="46" t="str">
        <f>IFERROR(VLOOKUP($H351,매장구분!$B:$Z,9,0),"")</f>
        <v>갤러리아진주</v>
      </c>
      <c r="F351" s="58"/>
      <c r="G351" s="59" t="s">
        <v>516</v>
      </c>
      <c r="H351" s="60" t="s">
        <v>517</v>
      </c>
      <c r="I351" s="60" t="s">
        <v>169</v>
      </c>
      <c r="J351" s="60" t="s">
        <v>175</v>
      </c>
      <c r="K351" s="60" t="s">
        <v>170</v>
      </c>
      <c r="L351" s="60" t="s">
        <v>171</v>
      </c>
      <c r="M351" s="60" t="s">
        <v>77</v>
      </c>
      <c r="N351" s="60" t="s">
        <v>172</v>
      </c>
      <c r="O351" s="60">
        <v>5421300</v>
      </c>
      <c r="P351" s="60">
        <v>62</v>
      </c>
      <c r="Q351" s="60">
        <v>350000</v>
      </c>
      <c r="R351" s="60">
        <v>9</v>
      </c>
      <c r="S351" s="60">
        <v>0</v>
      </c>
      <c r="T351" s="60">
        <v>0</v>
      </c>
      <c r="U351" s="60">
        <v>815000</v>
      </c>
      <c r="V351" s="60">
        <v>5</v>
      </c>
      <c r="W351" s="60">
        <v>0</v>
      </c>
      <c r="X351" s="60">
        <v>0</v>
      </c>
      <c r="Y351" s="64">
        <v>0</v>
      </c>
      <c r="Z351" s="60">
        <v>0</v>
      </c>
      <c r="AA351" s="60">
        <v>0</v>
      </c>
      <c r="AB351" s="60">
        <v>0</v>
      </c>
      <c r="AC351" s="60">
        <v>6586300</v>
      </c>
      <c r="AD351" s="62">
        <v>76</v>
      </c>
      <c r="AF351" s="47">
        <f t="shared" si="5"/>
        <v>6586300</v>
      </c>
    </row>
    <row r="352" spans="1:32" x14ac:dyDescent="0.3">
      <c r="A352" s="46" t="s">
        <v>1</v>
      </c>
      <c r="B352" s="46" t="str">
        <f>IFERROR(VLOOKUP($H352,매장구분!$B:$Z,2,0),"")</f>
        <v>리테일채널팀</v>
      </c>
      <c r="C352" s="46" t="str">
        <f>IFERROR(VLOOKUP($H352,매장구분!$B:$Z,3,0),"")</f>
        <v>국내</v>
      </c>
      <c r="D352" s="46" t="str">
        <f>IFERROR(VLOOKUP($H352,매장구분!$B:$Z,5,0),"")</f>
        <v>대리점</v>
      </c>
      <c r="E352" s="46" t="str">
        <f>IFERROR(VLOOKUP($H352,매장구분!$B:$Z,9,0),"")</f>
        <v>대구성서(대-위)</v>
      </c>
      <c r="F352" s="53"/>
      <c r="G352" s="54" t="s">
        <v>492</v>
      </c>
      <c r="H352" s="55" t="s">
        <v>493</v>
      </c>
      <c r="I352" s="55" t="s">
        <v>169</v>
      </c>
      <c r="J352" s="55" t="s">
        <v>79</v>
      </c>
      <c r="K352" s="55" t="s">
        <v>170</v>
      </c>
      <c r="L352" s="55" t="s">
        <v>171</v>
      </c>
      <c r="M352" s="55" t="s">
        <v>196</v>
      </c>
      <c r="N352" s="55" t="s">
        <v>197</v>
      </c>
      <c r="O352" s="55">
        <v>21848659</v>
      </c>
      <c r="P352" s="55">
        <v>186</v>
      </c>
      <c r="Q352" s="55">
        <v>0</v>
      </c>
      <c r="R352" s="55">
        <v>0</v>
      </c>
      <c r="S352" s="55">
        <v>0</v>
      </c>
      <c r="T352" s="55">
        <v>0</v>
      </c>
      <c r="U352" s="55">
        <v>550191</v>
      </c>
      <c r="V352" s="55">
        <v>2</v>
      </c>
      <c r="W352" s="55">
        <v>0</v>
      </c>
      <c r="X352" s="55">
        <v>0</v>
      </c>
      <c r="Y352" s="63">
        <v>0</v>
      </c>
      <c r="Z352" s="55">
        <v>0</v>
      </c>
      <c r="AA352" s="55">
        <v>0</v>
      </c>
      <c r="AB352" s="55">
        <v>0</v>
      </c>
      <c r="AC352" s="55">
        <v>22398850</v>
      </c>
      <c r="AD352" s="57">
        <v>188</v>
      </c>
      <c r="AF352" s="47">
        <f t="shared" si="5"/>
        <v>22398850</v>
      </c>
    </row>
    <row r="353" spans="1:32" x14ac:dyDescent="0.3">
      <c r="A353" s="46" t="s">
        <v>1</v>
      </c>
      <c r="B353" s="46" t="str">
        <f>IFERROR(VLOOKUP($H353,매장구분!$B:$Z,2,0),"")</f>
        <v>파트너채널팀</v>
      </c>
      <c r="C353" s="46" t="str">
        <f>IFERROR(VLOOKUP($H353,매장구분!$B:$Z,3,0),"")</f>
        <v>국내</v>
      </c>
      <c r="D353" s="46" t="str">
        <f>IFERROR(VLOOKUP($H353,매장구분!$B:$Z,5,0),"")</f>
        <v>백화점</v>
      </c>
      <c r="E353" s="46" t="str">
        <f>IFERROR(VLOOKUP($H353,매장구분!$B:$Z,9,0),"")</f>
        <v>현대미아</v>
      </c>
      <c r="F353" s="58"/>
      <c r="G353" s="59" t="s">
        <v>512</v>
      </c>
      <c r="H353" s="60" t="s">
        <v>513</v>
      </c>
      <c r="I353" s="60" t="s">
        <v>169</v>
      </c>
      <c r="J353" s="60" t="s">
        <v>175</v>
      </c>
      <c r="K353" s="60" t="s">
        <v>170</v>
      </c>
      <c r="L353" s="60" t="s">
        <v>171</v>
      </c>
      <c r="M353" s="60" t="s">
        <v>77</v>
      </c>
      <c r="N353" s="60" t="s">
        <v>172</v>
      </c>
      <c r="O353" s="60">
        <v>5437200</v>
      </c>
      <c r="P353" s="60">
        <v>52</v>
      </c>
      <c r="Q353" s="60">
        <v>4049600</v>
      </c>
      <c r="R353" s="60">
        <v>65</v>
      </c>
      <c r="S353" s="60">
        <v>0</v>
      </c>
      <c r="T353" s="60">
        <v>0</v>
      </c>
      <c r="U353" s="60">
        <v>1285000</v>
      </c>
      <c r="V353" s="60">
        <v>5</v>
      </c>
      <c r="W353" s="60">
        <v>0</v>
      </c>
      <c r="X353" s="60">
        <v>0</v>
      </c>
      <c r="Y353" s="64">
        <v>0</v>
      </c>
      <c r="Z353" s="60">
        <v>0</v>
      </c>
      <c r="AA353" s="60">
        <v>0</v>
      </c>
      <c r="AB353" s="60">
        <v>0</v>
      </c>
      <c r="AC353" s="60">
        <v>10771800</v>
      </c>
      <c r="AD353" s="62">
        <v>122</v>
      </c>
      <c r="AF353" s="47">
        <f t="shared" si="5"/>
        <v>10771800</v>
      </c>
    </row>
    <row r="354" spans="1:32" x14ac:dyDescent="0.3">
      <c r="A354" s="46" t="s">
        <v>1</v>
      </c>
      <c r="B354" s="46" t="str">
        <f>IFERROR(VLOOKUP($H354,매장구분!$B:$Z,2,0),"")</f>
        <v>파트너채널팀</v>
      </c>
      <c r="C354" s="46" t="str">
        <f>IFERROR(VLOOKUP($H354,매장구분!$B:$Z,3,0),"")</f>
        <v>국내</v>
      </c>
      <c r="D354" s="46" t="str">
        <f>IFERROR(VLOOKUP($H354,매장구분!$B:$Z,5,0),"")</f>
        <v>백화점</v>
      </c>
      <c r="E354" s="46" t="str">
        <f>IFERROR(VLOOKUP($H354,매장구분!$B:$Z,9,0),"")</f>
        <v>현대중동</v>
      </c>
      <c r="F354" s="53"/>
      <c r="G354" s="54" t="s">
        <v>494</v>
      </c>
      <c r="H354" s="55" t="s">
        <v>495</v>
      </c>
      <c r="I354" s="55" t="s">
        <v>169</v>
      </c>
      <c r="J354" s="55" t="s">
        <v>175</v>
      </c>
      <c r="K354" s="55" t="s">
        <v>170</v>
      </c>
      <c r="L354" s="55" t="s">
        <v>171</v>
      </c>
      <c r="M354" s="55" t="s">
        <v>77</v>
      </c>
      <c r="N354" s="55" t="s">
        <v>172</v>
      </c>
      <c r="O354" s="55">
        <v>8472840</v>
      </c>
      <c r="P354" s="55">
        <v>98</v>
      </c>
      <c r="Q354" s="55">
        <v>0</v>
      </c>
      <c r="R354" s="55">
        <v>0</v>
      </c>
      <c r="S354" s="55">
        <v>0</v>
      </c>
      <c r="T354" s="55">
        <v>0</v>
      </c>
      <c r="U354" s="55">
        <v>2633560</v>
      </c>
      <c r="V354" s="55">
        <v>19</v>
      </c>
      <c r="W354" s="55">
        <v>0</v>
      </c>
      <c r="X354" s="55">
        <v>0</v>
      </c>
      <c r="Y354" s="63">
        <v>69969000</v>
      </c>
      <c r="Z354" s="55">
        <v>571</v>
      </c>
      <c r="AA354" s="55">
        <v>0</v>
      </c>
      <c r="AB354" s="55">
        <v>0</v>
      </c>
      <c r="AC354" s="55">
        <v>81075400</v>
      </c>
      <c r="AD354" s="57">
        <v>688</v>
      </c>
      <c r="AF354" s="47">
        <f t="shared" si="5"/>
        <v>11106400</v>
      </c>
    </row>
    <row r="355" spans="1:32" x14ac:dyDescent="0.3">
      <c r="A355" s="46" t="s">
        <v>1</v>
      </c>
      <c r="B355" s="46" t="str">
        <f>IFERROR(VLOOKUP($H355,매장구분!$B:$Z,2,0),"")</f>
        <v>파트너채널팀</v>
      </c>
      <c r="C355" s="46" t="str">
        <f>IFERROR(VLOOKUP($H355,매장구분!$B:$Z,3,0),"")</f>
        <v>국내</v>
      </c>
      <c r="D355" s="46" t="str">
        <f>IFERROR(VLOOKUP($H355,매장구분!$B:$Z,5,0),"")</f>
        <v>백화점</v>
      </c>
      <c r="E355" s="46" t="str">
        <f>IFERROR(VLOOKUP($H355,매장구분!$B:$Z,9,0),"")</f>
        <v>롯데중동</v>
      </c>
      <c r="F355" s="58"/>
      <c r="G355" s="59" t="s">
        <v>510</v>
      </c>
      <c r="H355" s="60" t="s">
        <v>511</v>
      </c>
      <c r="I355" s="60" t="s">
        <v>169</v>
      </c>
      <c r="J355" s="60" t="s">
        <v>175</v>
      </c>
      <c r="K355" s="60" t="s">
        <v>170</v>
      </c>
      <c r="L355" s="60" t="s">
        <v>171</v>
      </c>
      <c r="M355" s="60" t="s">
        <v>77</v>
      </c>
      <c r="N355" s="60" t="s">
        <v>172</v>
      </c>
      <c r="O355" s="60">
        <v>6484820</v>
      </c>
      <c r="P355" s="60">
        <v>83</v>
      </c>
      <c r="Q355" s="60">
        <v>831000</v>
      </c>
      <c r="R355" s="60">
        <v>6</v>
      </c>
      <c r="S355" s="60">
        <v>0</v>
      </c>
      <c r="T355" s="60">
        <v>0</v>
      </c>
      <c r="U355" s="60">
        <v>3957080</v>
      </c>
      <c r="V355" s="60">
        <v>22</v>
      </c>
      <c r="W355" s="60">
        <v>0</v>
      </c>
      <c r="X355" s="60">
        <v>0</v>
      </c>
      <c r="Y355" s="64">
        <v>11501600</v>
      </c>
      <c r="Z355" s="60">
        <v>73</v>
      </c>
      <c r="AA355" s="60">
        <v>-119000</v>
      </c>
      <c r="AB355" s="60">
        <v>-1</v>
      </c>
      <c r="AC355" s="60">
        <v>22655500</v>
      </c>
      <c r="AD355" s="62">
        <v>183</v>
      </c>
      <c r="AF355" s="47">
        <f t="shared" si="5"/>
        <v>11153900</v>
      </c>
    </row>
    <row r="356" spans="1:32" x14ac:dyDescent="0.3">
      <c r="A356" s="46" t="s">
        <v>1</v>
      </c>
      <c r="B356" s="46" t="str">
        <f>IFERROR(VLOOKUP($H356,매장구분!$B:$Z,2,0),"")</f>
        <v>리테일채널팀</v>
      </c>
      <c r="C356" s="46" t="str">
        <f>IFERROR(VLOOKUP($H356,매장구분!$B:$Z,3,0),"")</f>
        <v>국내</v>
      </c>
      <c r="D356" s="46" t="str">
        <f>IFERROR(VLOOKUP($H356,매장구분!$B:$Z,5,0),"")</f>
        <v>대리점</v>
      </c>
      <c r="E356" s="46" t="str">
        <f>IFERROR(VLOOKUP($H356,매장구분!$B:$Z,9,0),"")</f>
        <v>속초(대-위)</v>
      </c>
      <c r="F356" s="53"/>
      <c r="G356" s="54" t="s">
        <v>488</v>
      </c>
      <c r="H356" s="55" t="s">
        <v>489</v>
      </c>
      <c r="I356" s="55" t="s">
        <v>169</v>
      </c>
      <c r="J356" s="55" t="s">
        <v>79</v>
      </c>
      <c r="K356" s="55" t="s">
        <v>170</v>
      </c>
      <c r="L356" s="55" t="s">
        <v>171</v>
      </c>
      <c r="M356" s="55" t="s">
        <v>196</v>
      </c>
      <c r="N356" s="55" t="s">
        <v>197</v>
      </c>
      <c r="O356" s="55">
        <v>17177294</v>
      </c>
      <c r="P356" s="55">
        <v>175</v>
      </c>
      <c r="Q356" s="55">
        <v>0</v>
      </c>
      <c r="R356" s="55">
        <v>0</v>
      </c>
      <c r="S356" s="55">
        <v>0</v>
      </c>
      <c r="T356" s="55">
        <v>0</v>
      </c>
      <c r="U356" s="55">
        <v>3173694</v>
      </c>
      <c r="V356" s="55">
        <v>15</v>
      </c>
      <c r="W356" s="55">
        <v>0</v>
      </c>
      <c r="X356" s="55">
        <v>0</v>
      </c>
      <c r="Y356" s="63">
        <v>0</v>
      </c>
      <c r="Z356" s="55">
        <v>0</v>
      </c>
      <c r="AA356" s="55">
        <v>0</v>
      </c>
      <c r="AB356" s="55">
        <v>0</v>
      </c>
      <c r="AC356" s="55">
        <v>20350988</v>
      </c>
      <c r="AD356" s="57">
        <v>190</v>
      </c>
      <c r="AF356" s="47">
        <f t="shared" si="5"/>
        <v>20350988</v>
      </c>
    </row>
    <row r="357" spans="1:32" x14ac:dyDescent="0.3">
      <c r="A357" s="46" t="s">
        <v>1</v>
      </c>
      <c r="B357" s="46" t="str">
        <f>IFERROR(VLOOKUP($H357,매장구분!$B:$Z,2,0),"")</f>
        <v>리테일채널팀</v>
      </c>
      <c r="C357" s="46" t="str">
        <f>IFERROR(VLOOKUP($H357,매장구분!$B:$Z,3,0),"")</f>
        <v>국내</v>
      </c>
      <c r="D357" s="46" t="str">
        <f>IFERROR(VLOOKUP($H357,매장구분!$B:$Z,5,0),"")</f>
        <v>대리점</v>
      </c>
      <c r="E357" s="46" t="str">
        <f>IFERROR(VLOOKUP($H357,매장구분!$B:$Z,9,0),"")</f>
        <v>통영(대-위)</v>
      </c>
      <c r="F357" s="58"/>
      <c r="G357" s="59" t="s">
        <v>506</v>
      </c>
      <c r="H357" s="60" t="s">
        <v>507</v>
      </c>
      <c r="I357" s="60" t="s">
        <v>169</v>
      </c>
      <c r="J357" s="60" t="s">
        <v>79</v>
      </c>
      <c r="K357" s="60" t="s">
        <v>170</v>
      </c>
      <c r="L357" s="60" t="s">
        <v>171</v>
      </c>
      <c r="M357" s="60" t="s">
        <v>196</v>
      </c>
      <c r="N357" s="60" t="s">
        <v>197</v>
      </c>
      <c r="O357" s="60">
        <v>4791531</v>
      </c>
      <c r="P357" s="60">
        <v>58</v>
      </c>
      <c r="Q357" s="60">
        <v>0</v>
      </c>
      <c r="R357" s="60">
        <v>0</v>
      </c>
      <c r="S357" s="60">
        <v>0</v>
      </c>
      <c r="T357" s="60">
        <v>0</v>
      </c>
      <c r="U357" s="60">
        <v>1814369</v>
      </c>
      <c r="V357" s="60">
        <v>11</v>
      </c>
      <c r="W357" s="60">
        <v>0</v>
      </c>
      <c r="X357" s="60">
        <v>0</v>
      </c>
      <c r="Y357" s="64">
        <v>0</v>
      </c>
      <c r="Z357" s="60">
        <v>0</v>
      </c>
      <c r="AA357" s="60">
        <v>0</v>
      </c>
      <c r="AB357" s="60">
        <v>0</v>
      </c>
      <c r="AC357" s="60">
        <v>6605900</v>
      </c>
      <c r="AD357" s="62">
        <v>69</v>
      </c>
      <c r="AF357" s="47">
        <f t="shared" si="5"/>
        <v>6605900</v>
      </c>
    </row>
    <row r="358" spans="1:32" x14ac:dyDescent="0.3">
      <c r="A358" s="46" t="s">
        <v>1</v>
      </c>
      <c r="B358" s="46" t="str">
        <f>IFERROR(VLOOKUP($H358,매장구분!$B:$Z,2,0),"")</f>
        <v>리테일채널팀</v>
      </c>
      <c r="C358" s="46" t="str">
        <f>IFERROR(VLOOKUP($H358,매장구분!$B:$Z,3,0),"")</f>
        <v>국내</v>
      </c>
      <c r="D358" s="46" t="str">
        <f>IFERROR(VLOOKUP($H358,매장구분!$B:$Z,5,0),"")</f>
        <v>상설(위탁)</v>
      </c>
      <c r="E358" s="46" t="str">
        <f>IFERROR(VLOOKUP($H358,매장구분!$B:$Z,9,0),"")</f>
        <v>현대아울렛대구(상-위)</v>
      </c>
      <c r="F358" s="53"/>
      <c r="G358" s="54" t="s">
        <v>520</v>
      </c>
      <c r="H358" s="55" t="s">
        <v>521</v>
      </c>
      <c r="I358" s="55" t="s">
        <v>169</v>
      </c>
      <c r="J358" s="55" t="s">
        <v>79</v>
      </c>
      <c r="K358" s="55" t="s">
        <v>170</v>
      </c>
      <c r="L358" s="55" t="s">
        <v>171</v>
      </c>
      <c r="M358" s="55" t="s">
        <v>219</v>
      </c>
      <c r="N358" s="55" t="s">
        <v>219</v>
      </c>
      <c r="O358" s="55">
        <v>684000</v>
      </c>
      <c r="P358" s="55">
        <v>19</v>
      </c>
      <c r="Q358" s="55">
        <v>0</v>
      </c>
      <c r="R358" s="55">
        <v>0</v>
      </c>
      <c r="S358" s="55">
        <v>0</v>
      </c>
      <c r="T358" s="55">
        <v>0</v>
      </c>
      <c r="U358" s="55">
        <v>0</v>
      </c>
      <c r="V358" s="55">
        <v>0</v>
      </c>
      <c r="W358" s="55">
        <v>0</v>
      </c>
      <c r="X358" s="55">
        <v>0</v>
      </c>
      <c r="Y358" s="63">
        <v>0</v>
      </c>
      <c r="Z358" s="55">
        <v>0</v>
      </c>
      <c r="AA358" s="55">
        <v>0</v>
      </c>
      <c r="AB358" s="55">
        <v>0</v>
      </c>
      <c r="AC358" s="55">
        <v>684000</v>
      </c>
      <c r="AD358" s="57">
        <v>19</v>
      </c>
      <c r="AF358" s="47">
        <f t="shared" si="5"/>
        <v>684000</v>
      </c>
    </row>
    <row r="359" spans="1:32" x14ac:dyDescent="0.3">
      <c r="A359" s="46" t="s">
        <v>1</v>
      </c>
      <c r="B359" s="46" t="str">
        <f>IFERROR(VLOOKUP($H359,매장구분!$B:$Z,2,0),"")</f>
        <v>리테일채널팀</v>
      </c>
      <c r="C359" s="46" t="str">
        <f>IFERROR(VLOOKUP($H359,매장구분!$B:$Z,3,0),"")</f>
        <v>국내</v>
      </c>
      <c r="D359" s="46" t="str">
        <f>IFERROR(VLOOKUP($H359,매장구분!$B:$Z,5,0),"")</f>
        <v>대리점</v>
      </c>
      <c r="E359" s="46" t="str">
        <f>IFERROR(VLOOKUP($H359,매장구분!$B:$Z,9,0),"")</f>
        <v>거제(대-위)</v>
      </c>
      <c r="F359" s="58"/>
      <c r="G359" s="59" t="s">
        <v>502</v>
      </c>
      <c r="H359" s="60" t="s">
        <v>503</v>
      </c>
      <c r="I359" s="60" t="s">
        <v>169</v>
      </c>
      <c r="J359" s="60" t="s">
        <v>79</v>
      </c>
      <c r="K359" s="60" t="s">
        <v>170</v>
      </c>
      <c r="L359" s="60" t="s">
        <v>171</v>
      </c>
      <c r="M359" s="60" t="s">
        <v>196</v>
      </c>
      <c r="N359" s="60" t="s">
        <v>197</v>
      </c>
      <c r="O359" s="60">
        <v>14994721</v>
      </c>
      <c r="P359" s="60">
        <v>137</v>
      </c>
      <c r="Q359" s="60">
        <v>0</v>
      </c>
      <c r="R359" s="60">
        <v>0</v>
      </c>
      <c r="S359" s="60">
        <v>0</v>
      </c>
      <c r="T359" s="60">
        <v>0</v>
      </c>
      <c r="U359" s="60">
        <v>1226579</v>
      </c>
      <c r="V359" s="60">
        <v>8</v>
      </c>
      <c r="W359" s="60">
        <v>0</v>
      </c>
      <c r="X359" s="60">
        <v>0</v>
      </c>
      <c r="Y359" s="64">
        <v>0</v>
      </c>
      <c r="Z359" s="60">
        <v>0</v>
      </c>
      <c r="AA359" s="60">
        <v>0</v>
      </c>
      <c r="AB359" s="60">
        <v>0</v>
      </c>
      <c r="AC359" s="60">
        <v>16221300</v>
      </c>
      <c r="AD359" s="62">
        <v>145</v>
      </c>
      <c r="AF359" s="47">
        <f t="shared" si="5"/>
        <v>16221300</v>
      </c>
    </row>
    <row r="360" spans="1:32" x14ac:dyDescent="0.3">
      <c r="A360" s="46" t="s">
        <v>1</v>
      </c>
      <c r="B360" s="46" t="str">
        <f>IFERROR(VLOOKUP($H360,매장구분!$B:$Z,2,0),"")</f>
        <v>E-biz</v>
      </c>
      <c r="C360" s="46" t="str">
        <f>IFERROR(VLOOKUP($H360,매장구분!$B:$Z,3,0),"")</f>
        <v>국내</v>
      </c>
      <c r="D360" s="46" t="str">
        <f>IFERROR(VLOOKUP($H360,매장구분!$B:$Z,5,0),"")</f>
        <v>온(제휴몰)</v>
      </c>
      <c r="E360" s="46" t="str">
        <f>IFERROR(VLOOKUP($H360,매장구분!$B:$Z,9,0),"")</f>
        <v>29CM(제휴몰)</v>
      </c>
      <c r="F360" s="53"/>
      <c r="G360" s="54" t="s">
        <v>518</v>
      </c>
      <c r="H360" s="55" t="s">
        <v>519</v>
      </c>
      <c r="I360" s="55" t="s">
        <v>169</v>
      </c>
      <c r="J360" s="55" t="s">
        <v>180</v>
      </c>
      <c r="K360" s="55" t="s">
        <v>170</v>
      </c>
      <c r="L360" s="55" t="s">
        <v>181</v>
      </c>
      <c r="M360" s="55" t="s">
        <v>181</v>
      </c>
      <c r="N360" s="55" t="s">
        <v>185</v>
      </c>
      <c r="O360" s="55">
        <v>61912100</v>
      </c>
      <c r="P360" s="55">
        <v>783</v>
      </c>
      <c r="Q360" s="55">
        <v>0</v>
      </c>
      <c r="R360" s="55">
        <v>0</v>
      </c>
      <c r="S360" s="55">
        <v>0</v>
      </c>
      <c r="T360" s="55">
        <v>0</v>
      </c>
      <c r="U360" s="55">
        <v>0</v>
      </c>
      <c r="V360" s="55">
        <v>0</v>
      </c>
      <c r="W360" s="55">
        <v>0</v>
      </c>
      <c r="X360" s="55">
        <v>0</v>
      </c>
      <c r="Y360" s="63">
        <v>0</v>
      </c>
      <c r="Z360" s="55">
        <v>0</v>
      </c>
      <c r="AA360" s="55">
        <v>0</v>
      </c>
      <c r="AB360" s="55">
        <v>0</v>
      </c>
      <c r="AC360" s="55">
        <v>61912100</v>
      </c>
      <c r="AD360" s="57">
        <v>783</v>
      </c>
      <c r="AF360" s="47">
        <f t="shared" si="5"/>
        <v>61912100</v>
      </c>
    </row>
    <row r="361" spans="1:32" x14ac:dyDescent="0.3">
      <c r="A361" s="46" t="s">
        <v>1</v>
      </c>
      <c r="B361" s="46" t="str">
        <f>IFERROR(VLOOKUP($H361,매장구분!$B:$Z,2,0),"")</f>
        <v>리테일채널팀</v>
      </c>
      <c r="C361" s="46" t="str">
        <f>IFERROR(VLOOKUP($H361,매장구분!$B:$Z,3,0),"")</f>
        <v>국내</v>
      </c>
      <c r="D361" s="46" t="str">
        <f>IFERROR(VLOOKUP($H361,매장구분!$B:$Z,5,0),"")</f>
        <v>대리점</v>
      </c>
      <c r="E361" s="46" t="str">
        <f>IFERROR(VLOOKUP($H361,매장구분!$B:$Z,9,0),"")</f>
        <v>해남(대-위)</v>
      </c>
      <c r="F361" s="58"/>
      <c r="G361" s="59" t="s">
        <v>514</v>
      </c>
      <c r="H361" s="60" t="s">
        <v>515</v>
      </c>
      <c r="I361" s="60" t="s">
        <v>169</v>
      </c>
      <c r="J361" s="60" t="s">
        <v>79</v>
      </c>
      <c r="K361" s="60" t="s">
        <v>170</v>
      </c>
      <c r="L361" s="60" t="s">
        <v>171</v>
      </c>
      <c r="M361" s="60" t="s">
        <v>196</v>
      </c>
      <c r="N361" s="60" t="s">
        <v>197</v>
      </c>
      <c r="O361" s="60">
        <v>6794800</v>
      </c>
      <c r="P361" s="60">
        <v>69</v>
      </c>
      <c r="Q361" s="60">
        <v>0</v>
      </c>
      <c r="R361" s="60">
        <v>0</v>
      </c>
      <c r="S361" s="60">
        <v>0</v>
      </c>
      <c r="T361" s="60">
        <v>0</v>
      </c>
      <c r="U361" s="60">
        <v>1768000</v>
      </c>
      <c r="V361" s="60">
        <v>12</v>
      </c>
      <c r="W361" s="60">
        <v>0</v>
      </c>
      <c r="X361" s="60">
        <v>0</v>
      </c>
      <c r="Y361" s="64">
        <v>0</v>
      </c>
      <c r="Z361" s="60">
        <v>0</v>
      </c>
      <c r="AA361" s="60">
        <v>0</v>
      </c>
      <c r="AB361" s="60">
        <v>0</v>
      </c>
      <c r="AC361" s="60">
        <v>8562800</v>
      </c>
      <c r="AD361" s="62">
        <v>81</v>
      </c>
      <c r="AF361" s="47">
        <f t="shared" si="5"/>
        <v>8562800</v>
      </c>
    </row>
    <row r="362" spans="1:32" x14ac:dyDescent="0.3">
      <c r="A362" s="46" t="s">
        <v>1</v>
      </c>
      <c r="B362" s="46" t="str">
        <f>IFERROR(VLOOKUP($H362,매장구분!$B:$Z,2,0),"")</f>
        <v>리테일채널팀</v>
      </c>
      <c r="C362" s="46" t="str">
        <f>IFERROR(VLOOKUP($H362,매장구분!$B:$Z,3,0),"")</f>
        <v>RF</v>
      </c>
      <c r="D362" s="46" t="str">
        <f>IFERROR(VLOOKUP($H362,매장구분!$B:$Z,5,0),"")</f>
        <v>대리점</v>
      </c>
      <c r="E362" s="46" t="str">
        <f>IFERROR(VLOOKUP($H362,매장구분!$B:$Z,9,0),"")</f>
        <v>두타(대-위)</v>
      </c>
      <c r="F362" s="53"/>
      <c r="G362" s="54" t="s">
        <v>484</v>
      </c>
      <c r="H362" s="55" t="s">
        <v>485</v>
      </c>
      <c r="I362" s="55" t="s">
        <v>169</v>
      </c>
      <c r="J362" s="55" t="s">
        <v>79</v>
      </c>
      <c r="K362" s="55" t="s">
        <v>170</v>
      </c>
      <c r="L362" s="55" t="s">
        <v>171</v>
      </c>
      <c r="M362" s="55" t="s">
        <v>196</v>
      </c>
      <c r="N362" s="55" t="s">
        <v>197</v>
      </c>
      <c r="O362" s="55">
        <v>9280300</v>
      </c>
      <c r="P362" s="55">
        <v>120</v>
      </c>
      <c r="Q362" s="55">
        <v>0</v>
      </c>
      <c r="R362" s="55">
        <v>0</v>
      </c>
      <c r="S362" s="55">
        <v>0</v>
      </c>
      <c r="T362" s="55">
        <v>0</v>
      </c>
      <c r="U362" s="55">
        <v>0</v>
      </c>
      <c r="V362" s="55">
        <v>0</v>
      </c>
      <c r="W362" s="55">
        <v>0</v>
      </c>
      <c r="X362" s="55">
        <v>0</v>
      </c>
      <c r="Y362" s="63">
        <v>6125600</v>
      </c>
      <c r="Z362" s="55">
        <v>43</v>
      </c>
      <c r="AA362" s="55">
        <v>0</v>
      </c>
      <c r="AB362" s="55">
        <v>0</v>
      </c>
      <c r="AC362" s="55">
        <v>15405900</v>
      </c>
      <c r="AD362" s="57">
        <v>163</v>
      </c>
      <c r="AF362" s="47">
        <f t="shared" si="5"/>
        <v>9280300</v>
      </c>
    </row>
    <row r="363" spans="1:32" x14ac:dyDescent="0.3">
      <c r="A363" s="46" t="s">
        <v>1</v>
      </c>
      <c r="B363" s="46" t="str">
        <f>IFERROR(VLOOKUP($H363,매장구분!$B:$Z,2,0),"")</f>
        <v>리테일채널팀</v>
      </c>
      <c r="C363" s="46" t="str">
        <f>IFERROR(VLOOKUP($H363,매장구분!$B:$Z,3,0),"")</f>
        <v>국내</v>
      </c>
      <c r="D363" s="46" t="str">
        <f>IFERROR(VLOOKUP($H363,매장구분!$B:$Z,5,0),"")</f>
        <v>상설(위탁)</v>
      </c>
      <c r="E363" s="46" t="str">
        <f>IFERROR(VLOOKUP($H363,매장구분!$B:$Z,9,0),"")</f>
        <v>현대아울렛김포(상-위)</v>
      </c>
      <c r="F363" s="58"/>
      <c r="G363" s="59" t="s">
        <v>522</v>
      </c>
      <c r="H363" s="60" t="s">
        <v>523</v>
      </c>
      <c r="I363" s="60" t="s">
        <v>169</v>
      </c>
      <c r="J363" s="60" t="s">
        <v>79</v>
      </c>
      <c r="K363" s="60" t="s">
        <v>170</v>
      </c>
      <c r="L363" s="60" t="s">
        <v>171</v>
      </c>
      <c r="M363" s="60" t="s">
        <v>219</v>
      </c>
      <c r="N363" s="60" t="s">
        <v>219</v>
      </c>
      <c r="O363" s="60">
        <v>7248000</v>
      </c>
      <c r="P363" s="60">
        <v>166</v>
      </c>
      <c r="Q363" s="60">
        <v>0</v>
      </c>
      <c r="R363" s="60">
        <v>0</v>
      </c>
      <c r="S363" s="60">
        <v>0</v>
      </c>
      <c r="T363" s="60">
        <v>0</v>
      </c>
      <c r="U363" s="60">
        <v>0</v>
      </c>
      <c r="V363" s="60">
        <v>0</v>
      </c>
      <c r="W363" s="60">
        <v>0</v>
      </c>
      <c r="X363" s="60">
        <v>0</v>
      </c>
      <c r="Y363" s="64">
        <v>0</v>
      </c>
      <c r="Z363" s="60">
        <v>0</v>
      </c>
      <c r="AA363" s="60">
        <v>0</v>
      </c>
      <c r="AB363" s="60">
        <v>0</v>
      </c>
      <c r="AC363" s="60">
        <v>7248000</v>
      </c>
      <c r="AD363" s="62">
        <v>166</v>
      </c>
      <c r="AF363" s="47">
        <f t="shared" si="5"/>
        <v>7248000</v>
      </c>
    </row>
    <row r="364" spans="1:32" x14ac:dyDescent="0.3">
      <c r="A364" s="46" t="s">
        <v>1</v>
      </c>
      <c r="B364" s="46" t="str">
        <f>IFERROR(VLOOKUP($H364,매장구분!$B:$Z,2,0),"")</f>
        <v>리테일채널팀</v>
      </c>
      <c r="C364" s="46" t="str">
        <f>IFERROR(VLOOKUP($H364,매장구분!$B:$Z,3,0),"")</f>
        <v>국내</v>
      </c>
      <c r="D364" s="46" t="str">
        <f>IFERROR(VLOOKUP($H364,매장구분!$B:$Z,5,0),"")</f>
        <v>상설(위탁)</v>
      </c>
      <c r="E364" s="46" t="str">
        <f>IFERROR(VLOOKUP($H364,매장구분!$B:$Z,9,0),"")</f>
        <v>현대아울렛동대문(상-위)</v>
      </c>
      <c r="F364" s="53"/>
      <c r="G364" s="54" t="s">
        <v>526</v>
      </c>
      <c r="H364" s="55" t="s">
        <v>527</v>
      </c>
      <c r="I364" s="55" t="s">
        <v>169</v>
      </c>
      <c r="J364" s="55" t="s">
        <v>79</v>
      </c>
      <c r="K364" s="55" t="s">
        <v>170</v>
      </c>
      <c r="L364" s="55" t="s">
        <v>171</v>
      </c>
      <c r="M364" s="55" t="s">
        <v>219</v>
      </c>
      <c r="N364" s="55" t="s">
        <v>219</v>
      </c>
      <c r="O364" s="55">
        <v>1410000</v>
      </c>
      <c r="P364" s="55">
        <v>39</v>
      </c>
      <c r="Q364" s="55">
        <v>0</v>
      </c>
      <c r="R364" s="55">
        <v>0</v>
      </c>
      <c r="S364" s="55">
        <v>0</v>
      </c>
      <c r="T364" s="55">
        <v>0</v>
      </c>
      <c r="U364" s="55">
        <v>0</v>
      </c>
      <c r="V364" s="55">
        <v>0</v>
      </c>
      <c r="W364" s="55">
        <v>0</v>
      </c>
      <c r="X364" s="55">
        <v>0</v>
      </c>
      <c r="Y364" s="63">
        <v>0</v>
      </c>
      <c r="Z364" s="55">
        <v>0</v>
      </c>
      <c r="AA364" s="55">
        <v>0</v>
      </c>
      <c r="AB364" s="55">
        <v>0</v>
      </c>
      <c r="AC364" s="55">
        <v>1410000</v>
      </c>
      <c r="AD364" s="57">
        <v>39</v>
      </c>
      <c r="AF364" s="47">
        <f t="shared" si="5"/>
        <v>1410000</v>
      </c>
    </row>
    <row r="365" spans="1:32" x14ac:dyDescent="0.3">
      <c r="A365" s="46" t="s">
        <v>1</v>
      </c>
      <c r="B365" s="46" t="str">
        <f>IFERROR(VLOOKUP($H365,매장구분!$B:$Z,2,0),"")</f>
        <v>리테일채널팀</v>
      </c>
      <c r="C365" s="46" t="str">
        <f>IFERROR(VLOOKUP($H365,매장구분!$B:$Z,3,0),"")</f>
        <v>국내</v>
      </c>
      <c r="D365" s="46" t="str">
        <f>IFERROR(VLOOKUP($H365,매장구분!$B:$Z,5,0),"")</f>
        <v>상설(위탁)</v>
      </c>
      <c r="E365" s="46" t="str">
        <f>IFERROR(VLOOKUP($H365,매장구분!$B:$Z,9,0),"")</f>
        <v>롯데아울렛진주(상-위)</v>
      </c>
      <c r="F365" s="58"/>
      <c r="G365" s="59" t="s">
        <v>528</v>
      </c>
      <c r="H365" s="60" t="s">
        <v>529</v>
      </c>
      <c r="I365" s="60" t="s">
        <v>169</v>
      </c>
      <c r="J365" s="60" t="s">
        <v>79</v>
      </c>
      <c r="K365" s="60" t="s">
        <v>170</v>
      </c>
      <c r="L365" s="60" t="s">
        <v>171</v>
      </c>
      <c r="M365" s="60" t="s">
        <v>219</v>
      </c>
      <c r="N365" s="60" t="s">
        <v>219</v>
      </c>
      <c r="O365" s="60">
        <v>1164000</v>
      </c>
      <c r="P365" s="60">
        <v>32</v>
      </c>
      <c r="Q365" s="60">
        <v>72000</v>
      </c>
      <c r="R365" s="60">
        <v>2</v>
      </c>
      <c r="S365" s="60">
        <v>0</v>
      </c>
      <c r="T365" s="60">
        <v>0</v>
      </c>
      <c r="U365" s="60">
        <v>0</v>
      </c>
      <c r="V365" s="60">
        <v>0</v>
      </c>
      <c r="W365" s="60">
        <v>0</v>
      </c>
      <c r="X365" s="60">
        <v>0</v>
      </c>
      <c r="Y365" s="64">
        <v>0</v>
      </c>
      <c r="Z365" s="60">
        <v>0</v>
      </c>
      <c r="AA365" s="60">
        <v>0</v>
      </c>
      <c r="AB365" s="60">
        <v>0</v>
      </c>
      <c r="AC365" s="60">
        <v>1236000</v>
      </c>
      <c r="AD365" s="62">
        <v>34</v>
      </c>
      <c r="AF365" s="47">
        <f t="shared" si="5"/>
        <v>1236000</v>
      </c>
    </row>
    <row r="366" spans="1:32" x14ac:dyDescent="0.3">
      <c r="A366" s="46" t="s">
        <v>1</v>
      </c>
      <c r="B366" s="46" t="str">
        <f>IFERROR(VLOOKUP($H366,매장구분!$B:$Z,2,0),"")</f>
        <v>리테일채널팀</v>
      </c>
      <c r="C366" s="46" t="str">
        <f>IFERROR(VLOOKUP($H366,매장구분!$B:$Z,3,0),"")</f>
        <v>국내</v>
      </c>
      <c r="D366" s="46" t="str">
        <f>IFERROR(VLOOKUP($H366,매장구분!$B:$Z,5,0),"")</f>
        <v>상설(위탁)</v>
      </c>
      <c r="E366" s="46" t="str">
        <f>IFERROR(VLOOKUP($H366,매장구분!$B:$Z,9,0),"")</f>
        <v>신세계아울렛시흥(상-위)</v>
      </c>
      <c r="F366" s="53"/>
      <c r="G366" s="54" t="s">
        <v>524</v>
      </c>
      <c r="H366" s="55" t="s">
        <v>525</v>
      </c>
      <c r="I366" s="55" t="s">
        <v>169</v>
      </c>
      <c r="J366" s="55" t="s">
        <v>79</v>
      </c>
      <c r="K366" s="55" t="s">
        <v>170</v>
      </c>
      <c r="L366" s="55" t="s">
        <v>171</v>
      </c>
      <c r="M366" s="55" t="s">
        <v>219</v>
      </c>
      <c r="N366" s="55" t="s">
        <v>219</v>
      </c>
      <c r="O366" s="55">
        <v>3847000</v>
      </c>
      <c r="P366" s="55">
        <v>104</v>
      </c>
      <c r="Q366" s="55">
        <v>0</v>
      </c>
      <c r="R366" s="55">
        <v>0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  <c r="X366" s="55">
        <v>0</v>
      </c>
      <c r="Y366" s="63">
        <v>0</v>
      </c>
      <c r="Z366" s="55">
        <v>0</v>
      </c>
      <c r="AA366" s="55">
        <v>0</v>
      </c>
      <c r="AB366" s="55">
        <v>0</v>
      </c>
      <c r="AC366" s="55">
        <v>3847000</v>
      </c>
      <c r="AD366" s="57">
        <v>104</v>
      </c>
      <c r="AF366" s="47">
        <f t="shared" si="5"/>
        <v>3847000</v>
      </c>
    </row>
    <row r="367" spans="1:32" x14ac:dyDescent="0.3">
      <c r="A367" s="46" t="s">
        <v>1</v>
      </c>
      <c r="B367" s="46" t="str">
        <f>IFERROR(VLOOKUP($H367,매장구분!$B:$Z,2,0),"")</f>
        <v>파트너채널팀</v>
      </c>
      <c r="C367" s="46" t="str">
        <f>IFERROR(VLOOKUP($H367,매장구분!$B:$Z,3,0),"")</f>
        <v>국내</v>
      </c>
      <c r="D367" s="46" t="str">
        <f>IFERROR(VLOOKUP($H367,매장구분!$B:$Z,5,0),"")</f>
        <v>백화점</v>
      </c>
      <c r="E367" s="46" t="str">
        <f>IFERROR(VLOOKUP($H367,매장구분!$B:$Z,9,0),"")</f>
        <v>AK수원</v>
      </c>
      <c r="F367" s="58"/>
      <c r="G367" s="59" t="s">
        <v>552</v>
      </c>
      <c r="H367" s="60" t="s">
        <v>553</v>
      </c>
      <c r="I367" s="60" t="s">
        <v>169</v>
      </c>
      <c r="J367" s="60" t="s">
        <v>175</v>
      </c>
      <c r="K367" s="60" t="s">
        <v>170</v>
      </c>
      <c r="L367" s="60" t="s">
        <v>171</v>
      </c>
      <c r="M367" s="60" t="s">
        <v>77</v>
      </c>
      <c r="N367" s="60" t="s">
        <v>172</v>
      </c>
      <c r="O367" s="60">
        <v>11492500</v>
      </c>
      <c r="P367" s="60">
        <v>134</v>
      </c>
      <c r="Q367" s="60">
        <v>0</v>
      </c>
      <c r="R367" s="60">
        <v>0</v>
      </c>
      <c r="S367" s="60">
        <v>0</v>
      </c>
      <c r="T367" s="60">
        <v>0</v>
      </c>
      <c r="U367" s="60">
        <v>1235000</v>
      </c>
      <c r="V367" s="60">
        <v>5</v>
      </c>
      <c r="W367" s="60">
        <v>0</v>
      </c>
      <c r="X367" s="60">
        <v>0</v>
      </c>
      <c r="Y367" s="64">
        <v>39901000</v>
      </c>
      <c r="Z367" s="60">
        <v>951</v>
      </c>
      <c r="AA367" s="60">
        <v>0</v>
      </c>
      <c r="AB367" s="60">
        <v>0</v>
      </c>
      <c r="AC367" s="60">
        <v>52628500</v>
      </c>
      <c r="AD367" s="62">
        <v>1090</v>
      </c>
      <c r="AF367" s="47">
        <f t="shared" si="5"/>
        <v>12727500</v>
      </c>
    </row>
    <row r="368" spans="1:32" x14ac:dyDescent="0.3">
      <c r="A368" s="46" t="s">
        <v>1</v>
      </c>
      <c r="B368" s="46" t="str">
        <f>IFERROR(VLOOKUP($H368,매장구분!$B:$Z,2,0),"")</f>
        <v>리테일채널팀</v>
      </c>
      <c r="C368" s="46" t="str">
        <f>IFERROR(VLOOKUP($H368,매장구분!$B:$Z,3,0),"")</f>
        <v>국내</v>
      </c>
      <c r="D368" s="46" t="str">
        <f>IFERROR(VLOOKUP($H368,매장구분!$B:$Z,5,0),"")</f>
        <v>대리점</v>
      </c>
      <c r="E368" s="46" t="str">
        <f>IFERROR(VLOOKUP($H368,매장구분!$B:$Z,9,0),"")</f>
        <v>경산(대-위)</v>
      </c>
      <c r="F368" s="53"/>
      <c r="G368" s="54" t="s">
        <v>556</v>
      </c>
      <c r="H368" s="55" t="s">
        <v>557</v>
      </c>
      <c r="I368" s="55" t="s">
        <v>169</v>
      </c>
      <c r="J368" s="55" t="s">
        <v>79</v>
      </c>
      <c r="K368" s="55" t="s">
        <v>170</v>
      </c>
      <c r="L368" s="55" t="s">
        <v>171</v>
      </c>
      <c r="M368" s="55" t="s">
        <v>196</v>
      </c>
      <c r="N368" s="55" t="s">
        <v>197</v>
      </c>
      <c r="O368" s="55">
        <v>16146608</v>
      </c>
      <c r="P368" s="55">
        <v>136</v>
      </c>
      <c r="Q368" s="55">
        <v>0</v>
      </c>
      <c r="R368" s="55">
        <v>0</v>
      </c>
      <c r="S368" s="55">
        <v>0</v>
      </c>
      <c r="T368" s="55">
        <v>0</v>
      </c>
      <c r="U368" s="55">
        <v>1291000</v>
      </c>
      <c r="V368" s="55">
        <v>9</v>
      </c>
      <c r="W368" s="55">
        <v>0</v>
      </c>
      <c r="X368" s="55">
        <v>0</v>
      </c>
      <c r="Y368" s="63">
        <v>0</v>
      </c>
      <c r="Z368" s="55">
        <v>0</v>
      </c>
      <c r="AA368" s="55">
        <v>0</v>
      </c>
      <c r="AB368" s="55">
        <v>0</v>
      </c>
      <c r="AC368" s="55">
        <v>17437608</v>
      </c>
      <c r="AD368" s="57">
        <v>145</v>
      </c>
      <c r="AF368" s="47">
        <f t="shared" si="5"/>
        <v>17437608</v>
      </c>
    </row>
    <row r="369" spans="1:32" x14ac:dyDescent="0.3">
      <c r="A369" s="46" t="s">
        <v>1</v>
      </c>
      <c r="B369" s="46" t="str">
        <f>IFERROR(VLOOKUP($H369,매장구분!$B:$Z,2,0),"")</f>
        <v>리테일채널팀</v>
      </c>
      <c r="C369" s="46" t="str">
        <f>IFERROR(VLOOKUP($H369,매장구분!$B:$Z,3,0),"")</f>
        <v>RF</v>
      </c>
      <c r="D369" s="46" t="str">
        <f>IFERROR(VLOOKUP($H369,매장구분!$B:$Z,5,0),"")</f>
        <v>직영점</v>
      </c>
      <c r="E369" s="46" t="str">
        <f>IFERROR(VLOOKUP($H369,매장구분!$B:$Z,9,0),"")</f>
        <v>명동중앙(직)</v>
      </c>
      <c r="F369" s="58"/>
      <c r="G369" s="59" t="s">
        <v>538</v>
      </c>
      <c r="H369" s="60" t="s">
        <v>539</v>
      </c>
      <c r="I369" s="60" t="s">
        <v>169</v>
      </c>
      <c r="J369" s="60" t="s">
        <v>180</v>
      </c>
      <c r="K369" s="60" t="s">
        <v>170</v>
      </c>
      <c r="L369" s="60" t="s">
        <v>171</v>
      </c>
      <c r="M369" s="60" t="s">
        <v>196</v>
      </c>
      <c r="N369" s="60" t="s">
        <v>206</v>
      </c>
      <c r="O369" s="60">
        <v>265248300</v>
      </c>
      <c r="P369" s="60">
        <v>3518</v>
      </c>
      <c r="Q369" s="60">
        <v>0</v>
      </c>
      <c r="R369" s="60">
        <v>0</v>
      </c>
      <c r="S369" s="60">
        <v>0</v>
      </c>
      <c r="T369" s="60">
        <v>0</v>
      </c>
      <c r="U369" s="60">
        <v>0</v>
      </c>
      <c r="V369" s="60">
        <v>0</v>
      </c>
      <c r="W369" s="60">
        <v>0</v>
      </c>
      <c r="X369" s="60">
        <v>0</v>
      </c>
      <c r="Y369" s="64">
        <v>0</v>
      </c>
      <c r="Z369" s="60">
        <v>0</v>
      </c>
      <c r="AA369" s="60">
        <v>0</v>
      </c>
      <c r="AB369" s="60">
        <v>0</v>
      </c>
      <c r="AC369" s="60">
        <v>265248300</v>
      </c>
      <c r="AD369" s="62">
        <v>3518</v>
      </c>
      <c r="AF369" s="47">
        <f t="shared" si="5"/>
        <v>265248300</v>
      </c>
    </row>
    <row r="370" spans="1:32" x14ac:dyDescent="0.3">
      <c r="A370" s="46" t="s">
        <v>1</v>
      </c>
      <c r="B370" s="46" t="str">
        <f>IFERROR(VLOOKUP($H370,매장구분!$B:$Z,2,0),"")</f>
        <v>파트너채널팀</v>
      </c>
      <c r="C370" s="46" t="str">
        <f>IFERROR(VLOOKUP($H370,매장구분!$B:$Z,3,0),"")</f>
        <v>면세</v>
      </c>
      <c r="D370" s="46" t="str">
        <f>IFERROR(VLOOKUP($H370,매장구분!$B:$Z,5,0),"")</f>
        <v>면세</v>
      </c>
      <c r="E370" s="46" t="str">
        <f>IFERROR(VLOOKUP($H370,매장구분!$B:$Z,9,0),"")</f>
        <v>신라면세용산</v>
      </c>
      <c r="F370" s="53"/>
      <c r="G370" s="54" t="s">
        <v>542</v>
      </c>
      <c r="H370" s="55" t="s">
        <v>543</v>
      </c>
      <c r="I370" s="55" t="s">
        <v>169</v>
      </c>
      <c r="J370" s="55" t="s">
        <v>175</v>
      </c>
      <c r="K370" s="55" t="s">
        <v>170</v>
      </c>
      <c r="L370" s="55" t="s">
        <v>171</v>
      </c>
      <c r="M370" s="55" t="s">
        <v>176</v>
      </c>
      <c r="N370" s="55" t="s">
        <v>177</v>
      </c>
      <c r="O370" s="55">
        <v>0</v>
      </c>
      <c r="P370" s="55">
        <v>0</v>
      </c>
      <c r="Q370" s="55">
        <v>0</v>
      </c>
      <c r="R370" s="55">
        <v>0</v>
      </c>
      <c r="S370" s="55">
        <v>0</v>
      </c>
      <c r="T370" s="55">
        <v>0</v>
      </c>
      <c r="U370" s="55">
        <v>0</v>
      </c>
      <c r="V370" s="55">
        <v>0</v>
      </c>
      <c r="W370" s="55">
        <v>0</v>
      </c>
      <c r="X370" s="55">
        <v>0</v>
      </c>
      <c r="Y370" s="63">
        <v>406679700</v>
      </c>
      <c r="Z370" s="55">
        <v>5300</v>
      </c>
      <c r="AA370" s="55">
        <v>0</v>
      </c>
      <c r="AB370" s="55">
        <v>0</v>
      </c>
      <c r="AC370" s="55">
        <v>406679700</v>
      </c>
      <c r="AD370" s="57">
        <v>5300</v>
      </c>
      <c r="AF370" s="47">
        <f t="shared" si="5"/>
        <v>0</v>
      </c>
    </row>
    <row r="371" spans="1:32" x14ac:dyDescent="0.3">
      <c r="A371" s="46" t="s">
        <v>1</v>
      </c>
      <c r="B371" s="46" t="str">
        <f>IFERROR(VLOOKUP($H371,매장구분!$B:$Z,2,0),"")</f>
        <v>리테일채널팀</v>
      </c>
      <c r="C371" s="46" t="str">
        <f>IFERROR(VLOOKUP($H371,매장구분!$B:$Z,3,0),"")</f>
        <v>국내</v>
      </c>
      <c r="D371" s="46" t="str">
        <f>IFERROR(VLOOKUP($H371,매장구분!$B:$Z,5,0),"")</f>
        <v>대리점</v>
      </c>
      <c r="E371" s="46" t="str">
        <f>IFERROR(VLOOKUP($H371,매장구분!$B:$Z,9,0),"")</f>
        <v>스퀘어원인천(대-위)</v>
      </c>
      <c r="F371" s="58"/>
      <c r="G371" s="59" t="s">
        <v>532</v>
      </c>
      <c r="H371" s="60" t="s">
        <v>533</v>
      </c>
      <c r="I371" s="60" t="s">
        <v>169</v>
      </c>
      <c r="J371" s="60" t="s">
        <v>79</v>
      </c>
      <c r="K371" s="60" t="s">
        <v>170</v>
      </c>
      <c r="L371" s="60" t="s">
        <v>171</v>
      </c>
      <c r="M371" s="60" t="s">
        <v>188</v>
      </c>
      <c r="N371" s="60" t="s">
        <v>317</v>
      </c>
      <c r="O371" s="60">
        <v>22433099</v>
      </c>
      <c r="P371" s="60">
        <v>217</v>
      </c>
      <c r="Q371" s="60">
        <v>0</v>
      </c>
      <c r="R371" s="60">
        <v>0</v>
      </c>
      <c r="S371" s="60">
        <v>0</v>
      </c>
      <c r="T371" s="60">
        <v>0</v>
      </c>
      <c r="U371" s="60">
        <v>1653342</v>
      </c>
      <c r="V371" s="60">
        <v>8</v>
      </c>
      <c r="W371" s="60">
        <v>0</v>
      </c>
      <c r="X371" s="60">
        <v>0</v>
      </c>
      <c r="Y371" s="64">
        <v>0</v>
      </c>
      <c r="Z371" s="60">
        <v>0</v>
      </c>
      <c r="AA371" s="60">
        <v>0</v>
      </c>
      <c r="AB371" s="60">
        <v>0</v>
      </c>
      <c r="AC371" s="60">
        <v>24086441</v>
      </c>
      <c r="AD371" s="62">
        <v>225</v>
      </c>
      <c r="AF371" s="47">
        <f t="shared" si="5"/>
        <v>24086441</v>
      </c>
    </row>
    <row r="372" spans="1:32" x14ac:dyDescent="0.3">
      <c r="A372" s="46" t="s">
        <v>1</v>
      </c>
      <c r="B372" s="46" t="str">
        <f>IFERROR(VLOOKUP($H372,매장구분!$B:$Z,2,0),"")</f>
        <v>리테일채널팀</v>
      </c>
      <c r="C372" s="46" t="str">
        <f>IFERROR(VLOOKUP($H372,매장구분!$B:$Z,3,0),"")</f>
        <v>국내</v>
      </c>
      <c r="D372" s="46" t="str">
        <f>IFERROR(VLOOKUP($H372,매장구분!$B:$Z,5,0),"")</f>
        <v>대리점</v>
      </c>
      <c r="E372" s="46" t="str">
        <f>IFERROR(VLOOKUP($H372,매장구분!$B:$Z,9,0),"")</f>
        <v>마산합성(대-위)</v>
      </c>
      <c r="F372" s="53"/>
      <c r="G372" s="54" t="s">
        <v>546</v>
      </c>
      <c r="H372" s="55" t="s">
        <v>547</v>
      </c>
      <c r="I372" s="55" t="s">
        <v>169</v>
      </c>
      <c r="J372" s="55" t="s">
        <v>79</v>
      </c>
      <c r="K372" s="55" t="s">
        <v>170</v>
      </c>
      <c r="L372" s="55" t="s">
        <v>171</v>
      </c>
      <c r="M372" s="55" t="s">
        <v>196</v>
      </c>
      <c r="N372" s="55" t="s">
        <v>197</v>
      </c>
      <c r="O372" s="55">
        <v>15545470</v>
      </c>
      <c r="P372" s="55">
        <v>116</v>
      </c>
      <c r="Q372" s="55">
        <v>0</v>
      </c>
      <c r="R372" s="55">
        <v>0</v>
      </c>
      <c r="S372" s="55">
        <v>0</v>
      </c>
      <c r="T372" s="55">
        <v>0</v>
      </c>
      <c r="U372" s="55">
        <v>3031740</v>
      </c>
      <c r="V372" s="55">
        <v>21</v>
      </c>
      <c r="W372" s="55">
        <v>0</v>
      </c>
      <c r="X372" s="55">
        <v>0</v>
      </c>
      <c r="Y372" s="63">
        <v>0</v>
      </c>
      <c r="Z372" s="55">
        <v>0</v>
      </c>
      <c r="AA372" s="55">
        <v>0</v>
      </c>
      <c r="AB372" s="55">
        <v>0</v>
      </c>
      <c r="AC372" s="55">
        <v>18577210</v>
      </c>
      <c r="AD372" s="57">
        <v>137</v>
      </c>
      <c r="AF372" s="47">
        <f t="shared" si="5"/>
        <v>18577210</v>
      </c>
    </row>
    <row r="373" spans="1:32" x14ac:dyDescent="0.3">
      <c r="A373" s="46" t="s">
        <v>1</v>
      </c>
      <c r="B373" s="46" t="str">
        <f>IFERROR(VLOOKUP($H373,매장구분!$B:$Z,2,0),"")</f>
        <v>리테일채널팀</v>
      </c>
      <c r="C373" s="46" t="str">
        <f>IFERROR(VLOOKUP($H373,매장구분!$B:$Z,3,0),"")</f>
        <v>국내</v>
      </c>
      <c r="D373" s="46" t="str">
        <f>IFERROR(VLOOKUP($H373,매장구분!$B:$Z,5,0),"")</f>
        <v>직영점</v>
      </c>
      <c r="E373" s="46" t="str">
        <f>IFERROR(VLOOKUP($H373,매장구분!$B:$Z,9,0),"")</f>
        <v>충장로</v>
      </c>
      <c r="F373" s="58"/>
      <c r="G373" s="59" t="s">
        <v>544</v>
      </c>
      <c r="H373" s="60" t="s">
        <v>545</v>
      </c>
      <c r="I373" s="60" t="s">
        <v>169</v>
      </c>
      <c r="J373" s="60" t="s">
        <v>180</v>
      </c>
      <c r="K373" s="60" t="s">
        <v>170</v>
      </c>
      <c r="L373" s="60" t="s">
        <v>171</v>
      </c>
      <c r="M373" s="60" t="s">
        <v>196</v>
      </c>
      <c r="N373" s="60" t="s">
        <v>206</v>
      </c>
      <c r="O373" s="60">
        <v>25497066</v>
      </c>
      <c r="P373" s="60">
        <v>229</v>
      </c>
      <c r="Q373" s="60">
        <v>0</v>
      </c>
      <c r="R373" s="60">
        <v>0</v>
      </c>
      <c r="S373" s="60">
        <v>0</v>
      </c>
      <c r="T373" s="60">
        <v>0</v>
      </c>
      <c r="U373" s="60">
        <v>1323834</v>
      </c>
      <c r="V373" s="60">
        <v>9</v>
      </c>
      <c r="W373" s="60">
        <v>0</v>
      </c>
      <c r="X373" s="60">
        <v>0</v>
      </c>
      <c r="Y373" s="64">
        <v>0</v>
      </c>
      <c r="Z373" s="60">
        <v>0</v>
      </c>
      <c r="AA373" s="60">
        <v>0</v>
      </c>
      <c r="AB373" s="60">
        <v>0</v>
      </c>
      <c r="AC373" s="60">
        <v>26820900</v>
      </c>
      <c r="AD373" s="62">
        <v>238</v>
      </c>
      <c r="AF373" s="47">
        <f t="shared" si="5"/>
        <v>26820900</v>
      </c>
    </row>
    <row r="374" spans="1:32" x14ac:dyDescent="0.3">
      <c r="A374" s="46" t="s">
        <v>1</v>
      </c>
      <c r="B374" s="46" t="str">
        <f>IFERROR(VLOOKUP($H374,매장구분!$B:$Z,2,0),"")</f>
        <v>리테일채널팀</v>
      </c>
      <c r="C374" s="46" t="str">
        <f>IFERROR(VLOOKUP($H374,매장구분!$B:$Z,3,0),"")</f>
        <v>국내</v>
      </c>
      <c r="D374" s="46" t="str">
        <f>IFERROR(VLOOKUP($H374,매장구분!$B:$Z,5,0),"")</f>
        <v>직영점</v>
      </c>
      <c r="E374" s="46" t="str">
        <f>IFERROR(VLOOKUP($H374,매장구분!$B:$Z,9,0),"")</f>
        <v>스타필드안성(직)</v>
      </c>
      <c r="F374" s="53"/>
      <c r="G374" s="54" t="s">
        <v>554</v>
      </c>
      <c r="H374" s="55" t="s">
        <v>555</v>
      </c>
      <c r="I374" s="55" t="s">
        <v>169</v>
      </c>
      <c r="J374" s="55" t="s">
        <v>180</v>
      </c>
      <c r="K374" s="55" t="s">
        <v>170</v>
      </c>
      <c r="L374" s="55" t="s">
        <v>171</v>
      </c>
      <c r="M374" s="55" t="s">
        <v>188</v>
      </c>
      <c r="N374" s="55" t="s">
        <v>189</v>
      </c>
      <c r="O374" s="55">
        <v>21074900</v>
      </c>
      <c r="P374" s="55">
        <v>205</v>
      </c>
      <c r="Q374" s="55">
        <v>72000</v>
      </c>
      <c r="R374" s="55">
        <v>2</v>
      </c>
      <c r="S374" s="55">
        <v>0</v>
      </c>
      <c r="T374" s="55">
        <v>0</v>
      </c>
      <c r="U374" s="55">
        <v>2676000</v>
      </c>
      <c r="V374" s="55">
        <v>14</v>
      </c>
      <c r="W374" s="55">
        <v>0</v>
      </c>
      <c r="X374" s="55">
        <v>0</v>
      </c>
      <c r="Y374" s="63">
        <v>0</v>
      </c>
      <c r="Z374" s="55">
        <v>0</v>
      </c>
      <c r="AA374" s="55">
        <v>0</v>
      </c>
      <c r="AB374" s="55">
        <v>0</v>
      </c>
      <c r="AC374" s="55">
        <v>23822900</v>
      </c>
      <c r="AD374" s="57">
        <v>221</v>
      </c>
      <c r="AF374" s="47">
        <f t="shared" si="5"/>
        <v>23822900</v>
      </c>
    </row>
    <row r="375" spans="1:32" x14ac:dyDescent="0.3">
      <c r="A375" s="46" t="s">
        <v>1</v>
      </c>
      <c r="B375" s="46" t="str">
        <f>IFERROR(VLOOKUP($H375,매장구분!$B:$Z,2,0),"")</f>
        <v>파트너채널팀</v>
      </c>
      <c r="C375" s="46" t="str">
        <f>IFERROR(VLOOKUP($H375,매장구분!$B:$Z,3,0),"")</f>
        <v>국내</v>
      </c>
      <c r="D375" s="46" t="str">
        <f>IFERROR(VLOOKUP($H375,매장구분!$B:$Z,5,0),"")</f>
        <v>백화점</v>
      </c>
      <c r="E375" s="46" t="str">
        <f>IFERROR(VLOOKUP($H375,매장구분!$B:$Z,9,0),"")</f>
        <v>롯데대구</v>
      </c>
      <c r="F375" s="58"/>
      <c r="G375" s="59" t="s">
        <v>536</v>
      </c>
      <c r="H375" s="60" t="s">
        <v>537</v>
      </c>
      <c r="I375" s="60" t="s">
        <v>169</v>
      </c>
      <c r="J375" s="60" t="s">
        <v>175</v>
      </c>
      <c r="K375" s="60" t="s">
        <v>170</v>
      </c>
      <c r="L375" s="60" t="s">
        <v>171</v>
      </c>
      <c r="M375" s="60" t="s">
        <v>77</v>
      </c>
      <c r="N375" s="60" t="s">
        <v>172</v>
      </c>
      <c r="O375" s="60">
        <v>10934800</v>
      </c>
      <c r="P375" s="60">
        <v>94</v>
      </c>
      <c r="Q375" s="60">
        <v>2255000</v>
      </c>
      <c r="R375" s="60">
        <v>15</v>
      </c>
      <c r="S375" s="60">
        <v>0</v>
      </c>
      <c r="T375" s="60">
        <v>0</v>
      </c>
      <c r="U375" s="60">
        <v>985000</v>
      </c>
      <c r="V375" s="60">
        <v>5</v>
      </c>
      <c r="W375" s="60">
        <v>0</v>
      </c>
      <c r="X375" s="60">
        <v>0</v>
      </c>
      <c r="Y375" s="64">
        <v>0</v>
      </c>
      <c r="Z375" s="60">
        <v>0</v>
      </c>
      <c r="AA375" s="60">
        <v>0</v>
      </c>
      <c r="AB375" s="60">
        <v>0</v>
      </c>
      <c r="AC375" s="60">
        <v>14174800</v>
      </c>
      <c r="AD375" s="62">
        <v>114</v>
      </c>
      <c r="AF375" s="47">
        <f t="shared" si="5"/>
        <v>14174800</v>
      </c>
    </row>
    <row r="376" spans="1:32" x14ac:dyDescent="0.3">
      <c r="A376" s="46" t="s">
        <v>1</v>
      </c>
      <c r="B376" s="46" t="str">
        <f>IFERROR(VLOOKUP($H376,매장구분!$B:$Z,2,0),"")</f>
        <v>리테일채널팀</v>
      </c>
      <c r="C376" s="46" t="str">
        <f>IFERROR(VLOOKUP($H376,매장구분!$B:$Z,3,0),"")</f>
        <v>국내</v>
      </c>
      <c r="D376" s="46" t="str">
        <f>IFERROR(VLOOKUP($H376,매장구분!$B:$Z,5,0),"")</f>
        <v>대리점</v>
      </c>
      <c r="E376" s="46" t="str">
        <f>IFERROR(VLOOKUP($H376,매장구분!$B:$Z,9,0),"")</f>
        <v>구미인동(대-위)</v>
      </c>
      <c r="F376" s="53"/>
      <c r="G376" s="54" t="s">
        <v>558</v>
      </c>
      <c r="H376" s="55" t="s">
        <v>559</v>
      </c>
      <c r="I376" s="55" t="s">
        <v>169</v>
      </c>
      <c r="J376" s="55" t="s">
        <v>79</v>
      </c>
      <c r="K376" s="55" t="s">
        <v>170</v>
      </c>
      <c r="L376" s="55" t="s">
        <v>171</v>
      </c>
      <c r="M376" s="55" t="s">
        <v>196</v>
      </c>
      <c r="N376" s="55" t="s">
        <v>197</v>
      </c>
      <c r="O376" s="55">
        <v>5788571</v>
      </c>
      <c r="P376" s="55">
        <v>65</v>
      </c>
      <c r="Q376" s="55">
        <v>0</v>
      </c>
      <c r="R376" s="55">
        <v>0</v>
      </c>
      <c r="S376" s="55">
        <v>0</v>
      </c>
      <c r="T376" s="55">
        <v>0</v>
      </c>
      <c r="U376" s="55">
        <v>1067229</v>
      </c>
      <c r="V376" s="55">
        <v>9</v>
      </c>
      <c r="W376" s="55">
        <v>0</v>
      </c>
      <c r="X376" s="55">
        <v>0</v>
      </c>
      <c r="Y376" s="63">
        <v>0</v>
      </c>
      <c r="Z376" s="55">
        <v>0</v>
      </c>
      <c r="AA376" s="55">
        <v>0</v>
      </c>
      <c r="AB376" s="55">
        <v>0</v>
      </c>
      <c r="AC376" s="55">
        <v>6855800</v>
      </c>
      <c r="AD376" s="57">
        <v>74</v>
      </c>
      <c r="AF376" s="47">
        <f t="shared" si="5"/>
        <v>6855800</v>
      </c>
    </row>
    <row r="377" spans="1:32" x14ac:dyDescent="0.3">
      <c r="A377" s="46" t="s">
        <v>1</v>
      </c>
      <c r="B377" s="46" t="str">
        <f>IFERROR(VLOOKUP($H377,매장구분!$B:$Z,2,0),"")</f>
        <v>리테일채널팀</v>
      </c>
      <c r="C377" s="46" t="str">
        <f>IFERROR(VLOOKUP($H377,매장구분!$B:$Z,3,0),"")</f>
        <v>국내</v>
      </c>
      <c r="D377" s="46" t="str">
        <f>IFERROR(VLOOKUP($H377,매장구분!$B:$Z,5,0),"")</f>
        <v>대리점</v>
      </c>
      <c r="E377" s="46" t="str">
        <f>IFERROR(VLOOKUP($H377,매장구분!$B:$Z,9,0),"")</f>
        <v>부천(대-위)</v>
      </c>
      <c r="F377" s="58"/>
      <c r="G377" s="59" t="s">
        <v>530</v>
      </c>
      <c r="H377" s="60" t="s">
        <v>531</v>
      </c>
      <c r="I377" s="60" t="s">
        <v>169</v>
      </c>
      <c r="J377" s="60" t="s">
        <v>79</v>
      </c>
      <c r="K377" s="60" t="s">
        <v>170</v>
      </c>
      <c r="L377" s="60" t="s">
        <v>171</v>
      </c>
      <c r="M377" s="60" t="s">
        <v>196</v>
      </c>
      <c r="N377" s="60" t="s">
        <v>197</v>
      </c>
      <c r="O377" s="60">
        <v>15166898</v>
      </c>
      <c r="P377" s="60">
        <v>116</v>
      </c>
      <c r="Q377" s="60">
        <v>0</v>
      </c>
      <c r="R377" s="60">
        <v>0</v>
      </c>
      <c r="S377" s="60">
        <v>0</v>
      </c>
      <c r="T377" s="60">
        <v>0</v>
      </c>
      <c r="U377" s="60">
        <v>-811883</v>
      </c>
      <c r="V377" s="60">
        <v>-4</v>
      </c>
      <c r="W377" s="60">
        <v>0</v>
      </c>
      <c r="X377" s="60">
        <v>0</v>
      </c>
      <c r="Y377" s="64">
        <v>0</v>
      </c>
      <c r="Z377" s="60">
        <v>0</v>
      </c>
      <c r="AA377" s="60">
        <v>0</v>
      </c>
      <c r="AB377" s="60">
        <v>0</v>
      </c>
      <c r="AC377" s="60">
        <v>14355015</v>
      </c>
      <c r="AD377" s="62">
        <v>112</v>
      </c>
      <c r="AF377" s="47">
        <f t="shared" si="5"/>
        <v>14355015</v>
      </c>
    </row>
    <row r="378" spans="1:32" x14ac:dyDescent="0.3">
      <c r="A378" s="46" t="s">
        <v>1</v>
      </c>
      <c r="B378" s="46" t="str">
        <f>IFERROR(VLOOKUP($H378,매장구분!$B:$Z,2,0),"")</f>
        <v>E-biz</v>
      </c>
      <c r="C378" s="46" t="str">
        <f>IFERROR(VLOOKUP($H378,매장구분!$B:$Z,3,0),"")</f>
        <v>국내</v>
      </c>
      <c r="D378" s="46" t="str">
        <f>IFERROR(VLOOKUP($H378,매장구분!$B:$Z,5,0),"")</f>
        <v>온(제휴몰)</v>
      </c>
      <c r="E378" s="46" t="str">
        <f>IFERROR(VLOOKUP($H378,매장구분!$B:$Z,9,0),"")</f>
        <v>GS SHOP(제휴몰)</v>
      </c>
      <c r="F378" s="53"/>
      <c r="G378" s="54" t="s">
        <v>550</v>
      </c>
      <c r="H378" s="55" t="s">
        <v>551</v>
      </c>
      <c r="I378" s="55" t="s">
        <v>169</v>
      </c>
      <c r="J378" s="55" t="s">
        <v>180</v>
      </c>
      <c r="K378" s="55" t="s">
        <v>170</v>
      </c>
      <c r="L378" s="55" t="s">
        <v>181</v>
      </c>
      <c r="M378" s="55" t="s">
        <v>181</v>
      </c>
      <c r="N378" s="55" t="s">
        <v>185</v>
      </c>
      <c r="O378" s="55">
        <v>11772000</v>
      </c>
      <c r="P378" s="55">
        <v>145</v>
      </c>
      <c r="Q378" s="55">
        <v>0</v>
      </c>
      <c r="R378" s="55">
        <v>0</v>
      </c>
      <c r="S378" s="55">
        <v>0</v>
      </c>
      <c r="T378" s="55">
        <v>0</v>
      </c>
      <c r="U378" s="55">
        <v>0</v>
      </c>
      <c r="V378" s="55">
        <v>0</v>
      </c>
      <c r="W378" s="55">
        <v>0</v>
      </c>
      <c r="X378" s="55">
        <v>0</v>
      </c>
      <c r="Y378" s="63">
        <v>0</v>
      </c>
      <c r="Z378" s="55">
        <v>0</v>
      </c>
      <c r="AA378" s="55">
        <v>0</v>
      </c>
      <c r="AB378" s="55">
        <v>0</v>
      </c>
      <c r="AC378" s="55">
        <v>11772000</v>
      </c>
      <c r="AD378" s="57">
        <v>145</v>
      </c>
      <c r="AF378" s="47">
        <f t="shared" si="5"/>
        <v>11772000</v>
      </c>
    </row>
    <row r="379" spans="1:32" x14ac:dyDescent="0.3">
      <c r="A379" s="46" t="s">
        <v>1</v>
      </c>
      <c r="B379" s="46" t="str">
        <f>IFERROR(VLOOKUP($H379,매장구분!$B:$Z,2,0),"")</f>
        <v>파트너채널팀</v>
      </c>
      <c r="C379" s="46" t="str">
        <f>IFERROR(VLOOKUP($H379,매장구분!$B:$Z,3,0),"")</f>
        <v>국내</v>
      </c>
      <c r="D379" s="46" t="str">
        <f>IFERROR(VLOOKUP($H379,매장구분!$B:$Z,5,0),"")</f>
        <v>백화점</v>
      </c>
      <c r="E379" s="46" t="str">
        <f>IFERROR(VLOOKUP($H379,매장구분!$B:$Z,9,0),"")</f>
        <v>현대대구</v>
      </c>
      <c r="F379" s="58"/>
      <c r="G379" s="59" t="s">
        <v>540</v>
      </c>
      <c r="H379" s="60" t="s">
        <v>541</v>
      </c>
      <c r="I379" s="60" t="s">
        <v>169</v>
      </c>
      <c r="J379" s="60" t="s">
        <v>175</v>
      </c>
      <c r="K379" s="60" t="s">
        <v>170</v>
      </c>
      <c r="L379" s="60" t="s">
        <v>171</v>
      </c>
      <c r="M379" s="60" t="s">
        <v>77</v>
      </c>
      <c r="N379" s="60" t="s">
        <v>172</v>
      </c>
      <c r="O379" s="60">
        <v>16001000</v>
      </c>
      <c r="P379" s="60">
        <v>196</v>
      </c>
      <c r="Q379" s="60">
        <v>2826000</v>
      </c>
      <c r="R379" s="60">
        <v>18</v>
      </c>
      <c r="S379" s="60">
        <v>0</v>
      </c>
      <c r="T379" s="60">
        <v>0</v>
      </c>
      <c r="U379" s="60">
        <v>2175000</v>
      </c>
      <c r="V379" s="60">
        <v>15</v>
      </c>
      <c r="W379" s="60">
        <v>0</v>
      </c>
      <c r="X379" s="60">
        <v>0</v>
      </c>
      <c r="Y379" s="64">
        <v>0</v>
      </c>
      <c r="Z379" s="60">
        <v>0</v>
      </c>
      <c r="AA379" s="60">
        <v>0</v>
      </c>
      <c r="AB379" s="60">
        <v>0</v>
      </c>
      <c r="AC379" s="60">
        <v>21002000</v>
      </c>
      <c r="AD379" s="62">
        <v>229</v>
      </c>
      <c r="AF379" s="47">
        <f t="shared" si="5"/>
        <v>21002000</v>
      </c>
    </row>
    <row r="380" spans="1:32" x14ac:dyDescent="0.3">
      <c r="A380" s="46" t="s">
        <v>1</v>
      </c>
      <c r="B380" s="46" t="str">
        <f>IFERROR(VLOOKUP($H380,매장구분!$B:$Z,2,0),"")</f>
        <v>파트너채널팀</v>
      </c>
      <c r="C380" s="46" t="str">
        <f>IFERROR(VLOOKUP($H380,매장구분!$B:$Z,3,0),"")</f>
        <v>국내</v>
      </c>
      <c r="D380" s="46" t="str">
        <f>IFERROR(VLOOKUP($H380,매장구분!$B:$Z,5,0),"")</f>
        <v>백화점</v>
      </c>
      <c r="E380" s="46" t="str">
        <f>IFERROR(VLOOKUP($H380,매장구분!$B:$Z,9,0),"")</f>
        <v>롯데창원</v>
      </c>
      <c r="F380" s="53"/>
      <c r="G380" s="54" t="s">
        <v>548</v>
      </c>
      <c r="H380" s="55" t="s">
        <v>549</v>
      </c>
      <c r="I380" s="55" t="s">
        <v>169</v>
      </c>
      <c r="J380" s="55" t="s">
        <v>175</v>
      </c>
      <c r="K380" s="55" t="s">
        <v>170</v>
      </c>
      <c r="L380" s="55" t="s">
        <v>171</v>
      </c>
      <c r="M380" s="55" t="s">
        <v>77</v>
      </c>
      <c r="N380" s="55" t="s">
        <v>172</v>
      </c>
      <c r="O380" s="55">
        <v>16273500</v>
      </c>
      <c r="P380" s="55">
        <v>150</v>
      </c>
      <c r="Q380" s="55">
        <v>0</v>
      </c>
      <c r="R380" s="55">
        <v>0</v>
      </c>
      <c r="S380" s="55">
        <v>0</v>
      </c>
      <c r="T380" s="55">
        <v>0</v>
      </c>
      <c r="U380" s="55">
        <v>1879000</v>
      </c>
      <c r="V380" s="55">
        <v>11</v>
      </c>
      <c r="W380" s="55">
        <v>0</v>
      </c>
      <c r="X380" s="55">
        <v>0</v>
      </c>
      <c r="Y380" s="63">
        <v>21823000</v>
      </c>
      <c r="Z380" s="55">
        <v>157</v>
      </c>
      <c r="AA380" s="55">
        <v>0</v>
      </c>
      <c r="AB380" s="55">
        <v>0</v>
      </c>
      <c r="AC380" s="55">
        <v>39975500</v>
      </c>
      <c r="AD380" s="57">
        <v>318</v>
      </c>
      <c r="AF380" s="47">
        <f t="shared" si="5"/>
        <v>18152500</v>
      </c>
    </row>
    <row r="381" spans="1:32" x14ac:dyDescent="0.3">
      <c r="A381" s="46" t="s">
        <v>1</v>
      </c>
      <c r="B381" s="46" t="str">
        <f>IFERROR(VLOOKUP($H381,매장구분!$B:$Z,2,0),"")</f>
        <v>리테일채널팀</v>
      </c>
      <c r="C381" s="46" t="str">
        <f>IFERROR(VLOOKUP($H381,매장구분!$B:$Z,3,0),"")</f>
        <v>국내</v>
      </c>
      <c r="D381" s="46" t="str">
        <f>IFERROR(VLOOKUP($H381,매장구분!$B:$Z,5,0),"")</f>
        <v>대리점</v>
      </c>
      <c r="E381" s="46" t="str">
        <f>IFERROR(VLOOKUP($H381,매장구분!$B:$Z,9,0),"")</f>
        <v>동해(대-위)</v>
      </c>
      <c r="F381" s="58"/>
      <c r="G381" s="59" t="s">
        <v>534</v>
      </c>
      <c r="H381" s="60" t="s">
        <v>535</v>
      </c>
      <c r="I381" s="60" t="s">
        <v>169</v>
      </c>
      <c r="J381" s="60" t="s">
        <v>79</v>
      </c>
      <c r="K381" s="60" t="s">
        <v>170</v>
      </c>
      <c r="L381" s="60" t="s">
        <v>171</v>
      </c>
      <c r="M381" s="60" t="s">
        <v>196</v>
      </c>
      <c r="N381" s="60" t="s">
        <v>197</v>
      </c>
      <c r="O381" s="60">
        <v>14798381</v>
      </c>
      <c r="P381" s="60">
        <v>146</v>
      </c>
      <c r="Q381" s="60">
        <v>0</v>
      </c>
      <c r="R381" s="60">
        <v>0</v>
      </c>
      <c r="S381" s="60">
        <v>0</v>
      </c>
      <c r="T381" s="60">
        <v>0</v>
      </c>
      <c r="U381" s="60">
        <v>3834919</v>
      </c>
      <c r="V381" s="60">
        <v>34</v>
      </c>
      <c r="W381" s="60">
        <v>0</v>
      </c>
      <c r="X381" s="60">
        <v>0</v>
      </c>
      <c r="Y381" s="64">
        <v>0</v>
      </c>
      <c r="Z381" s="60">
        <v>0</v>
      </c>
      <c r="AA381" s="60">
        <v>0</v>
      </c>
      <c r="AB381" s="60">
        <v>0</v>
      </c>
      <c r="AC381" s="60">
        <v>18633300</v>
      </c>
      <c r="AD381" s="62">
        <v>180</v>
      </c>
      <c r="AF381" s="47">
        <f t="shared" si="5"/>
        <v>18633300</v>
      </c>
    </row>
    <row r="382" spans="1:32" x14ac:dyDescent="0.3">
      <c r="A382" s="46" t="s">
        <v>1</v>
      </c>
      <c r="B382" s="46" t="str">
        <f>IFERROR(VLOOKUP($H382,매장구분!$B:$Z,2,0),"")</f>
        <v>리테일채널팀</v>
      </c>
      <c r="C382" s="46" t="str">
        <f>IFERROR(VLOOKUP($H382,매장구분!$B:$Z,3,0),"")</f>
        <v>국내</v>
      </c>
      <c r="D382" s="46" t="str">
        <f>IFERROR(VLOOKUP($H382,매장구분!$B:$Z,5,0),"")</f>
        <v>상설(위탁)</v>
      </c>
      <c r="E382" s="46" t="str">
        <f>IFERROR(VLOOKUP($H382,매장구분!$B:$Z,9,0),"")</f>
        <v>마리오(상-위)</v>
      </c>
      <c r="F382" s="53"/>
      <c r="G382" s="54" t="s">
        <v>564</v>
      </c>
      <c r="H382" s="55" t="s">
        <v>565</v>
      </c>
      <c r="I382" s="55" t="s">
        <v>169</v>
      </c>
      <c r="J382" s="55" t="s">
        <v>79</v>
      </c>
      <c r="K382" s="55" t="s">
        <v>170</v>
      </c>
      <c r="L382" s="55" t="s">
        <v>171</v>
      </c>
      <c r="M382" s="55" t="s">
        <v>77</v>
      </c>
      <c r="N382" s="55" t="s">
        <v>238</v>
      </c>
      <c r="O382" s="55">
        <v>1802000</v>
      </c>
      <c r="P382" s="55">
        <v>45</v>
      </c>
      <c r="Q382" s="55">
        <v>0</v>
      </c>
      <c r="R382" s="55">
        <v>0</v>
      </c>
      <c r="S382" s="55">
        <v>0</v>
      </c>
      <c r="T382" s="55">
        <v>0</v>
      </c>
      <c r="U382" s="55">
        <v>0</v>
      </c>
      <c r="V382" s="55">
        <v>0</v>
      </c>
      <c r="W382" s="55">
        <v>0</v>
      </c>
      <c r="X382" s="55">
        <v>0</v>
      </c>
      <c r="Y382" s="63">
        <v>0</v>
      </c>
      <c r="Z382" s="55">
        <v>0</v>
      </c>
      <c r="AA382" s="55">
        <v>0</v>
      </c>
      <c r="AB382" s="55">
        <v>0</v>
      </c>
      <c r="AC382" s="55">
        <v>1802000</v>
      </c>
      <c r="AD382" s="57">
        <v>45</v>
      </c>
      <c r="AF382" s="47">
        <f t="shared" si="5"/>
        <v>1802000</v>
      </c>
    </row>
    <row r="383" spans="1:32" x14ac:dyDescent="0.3">
      <c r="A383" s="46" t="s">
        <v>1</v>
      </c>
      <c r="B383" s="46" t="str">
        <f>IFERROR(VLOOKUP($H383,매장구분!$B:$Z,2,0),"")</f>
        <v>리테일채널팀</v>
      </c>
      <c r="C383" s="46" t="str">
        <f>IFERROR(VLOOKUP($H383,매장구분!$B:$Z,3,0),"")</f>
        <v>국내</v>
      </c>
      <c r="D383" s="46" t="str">
        <f>IFERROR(VLOOKUP($H383,매장구분!$B:$Z,5,0),"")</f>
        <v>상설(위탁)</v>
      </c>
      <c r="E383" s="46" t="str">
        <f>IFERROR(VLOOKUP($H383,매장구분!$B:$Z,9,0),"")</f>
        <v>롯데아울렛이천(상-위)</v>
      </c>
      <c r="F383" s="58"/>
      <c r="G383" s="59" t="s">
        <v>560</v>
      </c>
      <c r="H383" s="60" t="s">
        <v>561</v>
      </c>
      <c r="I383" s="60" t="s">
        <v>169</v>
      </c>
      <c r="J383" s="60" t="s">
        <v>79</v>
      </c>
      <c r="K383" s="60" t="s">
        <v>170</v>
      </c>
      <c r="L383" s="60" t="s">
        <v>171</v>
      </c>
      <c r="M383" s="60" t="s">
        <v>219</v>
      </c>
      <c r="N383" s="60" t="s">
        <v>219</v>
      </c>
      <c r="O383" s="60">
        <v>3170000</v>
      </c>
      <c r="P383" s="60">
        <v>73</v>
      </c>
      <c r="Q383" s="60">
        <v>0</v>
      </c>
      <c r="R383" s="60">
        <v>0</v>
      </c>
      <c r="S383" s="60">
        <v>0</v>
      </c>
      <c r="T383" s="60">
        <v>0</v>
      </c>
      <c r="U383" s="60">
        <v>0</v>
      </c>
      <c r="V383" s="60">
        <v>0</v>
      </c>
      <c r="W383" s="60">
        <v>0</v>
      </c>
      <c r="X383" s="60">
        <v>0</v>
      </c>
      <c r="Y383" s="64">
        <v>0</v>
      </c>
      <c r="Z383" s="60">
        <v>0</v>
      </c>
      <c r="AA383" s="60">
        <v>0</v>
      </c>
      <c r="AB383" s="60">
        <v>0</v>
      </c>
      <c r="AC383" s="60">
        <v>3170000</v>
      </c>
      <c r="AD383" s="62">
        <v>73</v>
      </c>
      <c r="AF383" s="47">
        <f t="shared" si="5"/>
        <v>3170000</v>
      </c>
    </row>
    <row r="384" spans="1:32" x14ac:dyDescent="0.3">
      <c r="A384" s="46" t="s">
        <v>1</v>
      </c>
      <c r="B384" s="46" t="str">
        <f>IFERROR(VLOOKUP($H384,매장구분!$B:$Z,2,0),"")</f>
        <v>리테일채널팀</v>
      </c>
      <c r="C384" s="46" t="str">
        <f>IFERROR(VLOOKUP($H384,매장구분!$B:$Z,3,0),"")</f>
        <v>국내</v>
      </c>
      <c r="D384" s="46" t="str">
        <f>IFERROR(VLOOKUP($H384,매장구분!$B:$Z,5,0),"")</f>
        <v>상설(위탁)</v>
      </c>
      <c r="E384" s="46" t="str">
        <f>IFERROR(VLOOKUP($H384,매장구분!$B:$Z,9,0),"")</f>
        <v>롯데아울렛군산(상-위)</v>
      </c>
      <c r="F384" s="53"/>
      <c r="G384" s="54" t="s">
        <v>562</v>
      </c>
      <c r="H384" s="55" t="s">
        <v>563</v>
      </c>
      <c r="I384" s="55" t="s">
        <v>169</v>
      </c>
      <c r="J384" s="55" t="s">
        <v>79</v>
      </c>
      <c r="K384" s="55" t="s">
        <v>170</v>
      </c>
      <c r="L384" s="55" t="s">
        <v>171</v>
      </c>
      <c r="M384" s="55" t="s">
        <v>219</v>
      </c>
      <c r="N384" s="55" t="s">
        <v>219</v>
      </c>
      <c r="O384" s="55">
        <v>540000</v>
      </c>
      <c r="P384" s="55">
        <v>15</v>
      </c>
      <c r="Q384" s="55">
        <v>0</v>
      </c>
      <c r="R384" s="55">
        <v>0</v>
      </c>
      <c r="S384" s="55">
        <v>0</v>
      </c>
      <c r="T384" s="55">
        <v>0</v>
      </c>
      <c r="U384" s="55">
        <v>0</v>
      </c>
      <c r="V384" s="55">
        <v>0</v>
      </c>
      <c r="W384" s="55">
        <v>0</v>
      </c>
      <c r="X384" s="55">
        <v>0</v>
      </c>
      <c r="Y384" s="63">
        <v>0</v>
      </c>
      <c r="Z384" s="55">
        <v>0</v>
      </c>
      <c r="AA384" s="55">
        <v>0</v>
      </c>
      <c r="AB384" s="55">
        <v>0</v>
      </c>
      <c r="AC384" s="55">
        <v>540000</v>
      </c>
      <c r="AD384" s="57">
        <v>15</v>
      </c>
      <c r="AF384" s="47">
        <f t="shared" si="5"/>
        <v>540000</v>
      </c>
    </row>
    <row r="385" spans="1:32" x14ac:dyDescent="0.3">
      <c r="A385" s="46" t="s">
        <v>2</v>
      </c>
      <c r="B385" s="46" t="str">
        <f>IFERROR(VLOOKUP($H385,매장구분!$B:$Z,2,0),"")</f>
        <v>파트너채널팀</v>
      </c>
      <c r="C385" s="46" t="str">
        <f>IFERROR(VLOOKUP($H385,매장구분!$B:$Z,3,0),"")</f>
        <v>국내</v>
      </c>
      <c r="D385" s="46" t="str">
        <f>IFERROR(VLOOKUP($H385,매장구분!$B:$Z,5,0),"")</f>
        <v>백화점</v>
      </c>
      <c r="E385" s="46" t="str">
        <f>IFERROR(VLOOKUP($H385,매장구분!$B:$Z,9,0),"")</f>
        <v>롯데영등포</v>
      </c>
      <c r="F385" s="58"/>
      <c r="G385" s="59" t="s">
        <v>202</v>
      </c>
      <c r="H385" s="60" t="s">
        <v>203</v>
      </c>
      <c r="I385" s="60" t="s">
        <v>169</v>
      </c>
      <c r="J385" s="60" t="s">
        <v>175</v>
      </c>
      <c r="K385" s="60" t="s">
        <v>170</v>
      </c>
      <c r="L385" s="60" t="s">
        <v>171</v>
      </c>
      <c r="M385" s="60" t="s">
        <v>77</v>
      </c>
      <c r="N385" s="60" t="s">
        <v>172</v>
      </c>
      <c r="O385" s="60">
        <v>22004730</v>
      </c>
      <c r="P385" s="60">
        <v>187</v>
      </c>
      <c r="Q385" s="60">
        <v>3400500</v>
      </c>
      <c r="R385" s="60">
        <v>46</v>
      </c>
      <c r="S385" s="60">
        <v>0</v>
      </c>
      <c r="T385" s="60">
        <v>0</v>
      </c>
      <c r="U385" s="60">
        <v>-1676930</v>
      </c>
      <c r="V385" s="60">
        <v>0</v>
      </c>
      <c r="W385" s="60">
        <v>0</v>
      </c>
      <c r="X385" s="60">
        <v>0</v>
      </c>
      <c r="Y385" s="64">
        <v>0</v>
      </c>
      <c r="Z385" s="60">
        <v>0</v>
      </c>
      <c r="AA385" s="60">
        <v>0</v>
      </c>
      <c r="AB385" s="60">
        <v>0</v>
      </c>
      <c r="AC385" s="60">
        <v>23728300</v>
      </c>
      <c r="AD385" s="62">
        <v>233</v>
      </c>
      <c r="AF385" s="47">
        <f t="shared" si="5"/>
        <v>23728300</v>
      </c>
    </row>
    <row r="386" spans="1:32" x14ac:dyDescent="0.3">
      <c r="A386" s="46" t="s">
        <v>2</v>
      </c>
      <c r="B386" s="46" t="str">
        <f>IFERROR(VLOOKUP($H386,매장구분!$B:$Z,2,0),"")</f>
        <v>E-biz</v>
      </c>
      <c r="C386" s="46" t="str">
        <f>IFERROR(VLOOKUP($H386,매장구분!$B:$Z,3,0),"")</f>
        <v>국내</v>
      </c>
      <c r="D386" s="46" t="str">
        <f>IFERROR(VLOOKUP($H386,매장구분!$B:$Z,5,0),"")</f>
        <v>온(제휴몰)</v>
      </c>
      <c r="E386" s="46" t="str">
        <f>IFERROR(VLOOKUP($H386,매장구분!$B:$Z,9,0),"")</f>
        <v>무신사(제휴몰)</v>
      </c>
      <c r="F386" s="53"/>
      <c r="G386" s="54" t="s">
        <v>183</v>
      </c>
      <c r="H386" s="55" t="s">
        <v>184</v>
      </c>
      <c r="I386" s="55" t="s">
        <v>169</v>
      </c>
      <c r="J386" s="55" t="s">
        <v>180</v>
      </c>
      <c r="K386" s="55" t="s">
        <v>170</v>
      </c>
      <c r="L386" s="55" t="s">
        <v>181</v>
      </c>
      <c r="M386" s="55" t="s">
        <v>181</v>
      </c>
      <c r="N386" s="55" t="s">
        <v>185</v>
      </c>
      <c r="O386" s="55">
        <v>195041200</v>
      </c>
      <c r="P386" s="55">
        <v>2820</v>
      </c>
      <c r="Q386" s="55">
        <v>0</v>
      </c>
      <c r="R386" s="55">
        <v>0</v>
      </c>
      <c r="S386" s="55">
        <v>0</v>
      </c>
      <c r="T386" s="55">
        <v>0</v>
      </c>
      <c r="U386" s="55">
        <v>0</v>
      </c>
      <c r="V386" s="55">
        <v>0</v>
      </c>
      <c r="W386" s="55">
        <v>0</v>
      </c>
      <c r="X386" s="55">
        <v>0</v>
      </c>
      <c r="Y386" s="63">
        <v>0</v>
      </c>
      <c r="Z386" s="55">
        <v>0</v>
      </c>
      <c r="AA386" s="55">
        <v>0</v>
      </c>
      <c r="AB386" s="55">
        <v>0</v>
      </c>
      <c r="AC386" s="55">
        <v>195041200</v>
      </c>
      <c r="AD386" s="57">
        <v>2820</v>
      </c>
      <c r="AF386" s="47">
        <f t="shared" si="5"/>
        <v>195041200</v>
      </c>
    </row>
    <row r="387" spans="1:32" x14ac:dyDescent="0.3">
      <c r="A387" s="46" t="s">
        <v>2</v>
      </c>
      <c r="B387" s="46" t="str">
        <f>IFERROR(VLOOKUP($H387,매장구분!$B:$Z,2,0),"")</f>
        <v>리테일채널팀</v>
      </c>
      <c r="C387" s="46" t="str">
        <f>IFERROR(VLOOKUP($H387,매장구분!$B:$Z,3,0),"")</f>
        <v>국내</v>
      </c>
      <c r="D387" s="46" t="str">
        <f>IFERROR(VLOOKUP($H387,매장구분!$B:$Z,5,0),"")</f>
        <v>대리점</v>
      </c>
      <c r="E387" s="46" t="str">
        <f>IFERROR(VLOOKUP($H387,매장구분!$B:$Z,9,0),"")</f>
        <v>인천(대-위)</v>
      </c>
      <c r="F387" s="58"/>
      <c r="G387" s="59" t="s">
        <v>215</v>
      </c>
      <c r="H387" s="60" t="s">
        <v>216</v>
      </c>
      <c r="I387" s="60" t="s">
        <v>169</v>
      </c>
      <c r="J387" s="60" t="s">
        <v>79</v>
      </c>
      <c r="K387" s="60" t="s">
        <v>170</v>
      </c>
      <c r="L387" s="60" t="s">
        <v>171</v>
      </c>
      <c r="M387" s="60" t="s">
        <v>196</v>
      </c>
      <c r="N387" s="60" t="s">
        <v>197</v>
      </c>
      <c r="O387" s="60">
        <v>6106930</v>
      </c>
      <c r="P387" s="60">
        <v>70</v>
      </c>
      <c r="Q387" s="60">
        <v>0</v>
      </c>
      <c r="R387" s="60">
        <v>0</v>
      </c>
      <c r="S387" s="60">
        <v>0</v>
      </c>
      <c r="T387" s="60">
        <v>0</v>
      </c>
      <c r="U387" s="60">
        <v>1795770</v>
      </c>
      <c r="V387" s="60">
        <v>6</v>
      </c>
      <c r="W387" s="60">
        <v>0</v>
      </c>
      <c r="X387" s="60">
        <v>0</v>
      </c>
      <c r="Y387" s="64">
        <v>0</v>
      </c>
      <c r="Z387" s="60">
        <v>0</v>
      </c>
      <c r="AA387" s="60">
        <v>0</v>
      </c>
      <c r="AB387" s="60">
        <v>0</v>
      </c>
      <c r="AC387" s="60">
        <v>7902700</v>
      </c>
      <c r="AD387" s="62">
        <v>76</v>
      </c>
      <c r="AF387" s="47">
        <f t="shared" ref="AF387:AF450" si="6">IFERROR(AC387-Y387,"")</f>
        <v>7902700</v>
      </c>
    </row>
    <row r="388" spans="1:32" x14ac:dyDescent="0.3">
      <c r="A388" s="46" t="s">
        <v>2</v>
      </c>
      <c r="B388" s="46" t="str">
        <f>IFERROR(VLOOKUP($H388,매장구분!$B:$Z,2,0),"")</f>
        <v>리테일채널팀</v>
      </c>
      <c r="C388" s="46" t="str">
        <f>IFERROR(VLOOKUP($H388,매장구분!$B:$Z,3,0),"")</f>
        <v>국내</v>
      </c>
      <c r="D388" s="46" t="str">
        <f>IFERROR(VLOOKUP($H388,매장구분!$B:$Z,5,0),"")</f>
        <v>대리점</v>
      </c>
      <c r="E388" s="46" t="str">
        <f>IFERROR(VLOOKUP($H388,매장구분!$B:$Z,9,0),"")</f>
        <v>보령(대-위)</v>
      </c>
      <c r="F388" s="53"/>
      <c r="G388" s="54" t="s">
        <v>211</v>
      </c>
      <c r="H388" s="55" t="s">
        <v>212</v>
      </c>
      <c r="I388" s="55" t="s">
        <v>169</v>
      </c>
      <c r="J388" s="55" t="s">
        <v>79</v>
      </c>
      <c r="K388" s="55" t="s">
        <v>170</v>
      </c>
      <c r="L388" s="55" t="s">
        <v>171</v>
      </c>
      <c r="M388" s="55" t="s">
        <v>196</v>
      </c>
      <c r="N388" s="55" t="s">
        <v>197</v>
      </c>
      <c r="O388" s="55">
        <v>5469456</v>
      </c>
      <c r="P388" s="55">
        <v>53</v>
      </c>
      <c r="Q388" s="55">
        <v>0</v>
      </c>
      <c r="R388" s="55">
        <v>0</v>
      </c>
      <c r="S388" s="55">
        <v>0</v>
      </c>
      <c r="T388" s="55">
        <v>0</v>
      </c>
      <c r="U388" s="55">
        <v>137144</v>
      </c>
      <c r="V388" s="55">
        <v>1</v>
      </c>
      <c r="W388" s="55">
        <v>0</v>
      </c>
      <c r="X388" s="55">
        <v>0</v>
      </c>
      <c r="Y388" s="63">
        <v>0</v>
      </c>
      <c r="Z388" s="55">
        <v>0</v>
      </c>
      <c r="AA388" s="55">
        <v>0</v>
      </c>
      <c r="AB388" s="55">
        <v>0</v>
      </c>
      <c r="AC388" s="55">
        <v>5606600</v>
      </c>
      <c r="AD388" s="57">
        <v>54</v>
      </c>
      <c r="AF388" s="47">
        <f t="shared" si="6"/>
        <v>5606600</v>
      </c>
    </row>
    <row r="389" spans="1:32" x14ac:dyDescent="0.3">
      <c r="A389" s="46" t="s">
        <v>2</v>
      </c>
      <c r="B389" s="46" t="str">
        <f>IFERROR(VLOOKUP($H389,매장구분!$B:$Z,2,0),"")</f>
        <v>파트너채널팀</v>
      </c>
      <c r="C389" s="46" t="str">
        <f>IFERROR(VLOOKUP($H389,매장구분!$B:$Z,3,0),"")</f>
        <v>면세</v>
      </c>
      <c r="D389" s="46" t="str">
        <f>IFERROR(VLOOKUP($H389,매장구분!$B:$Z,5,0),"")</f>
        <v>면세</v>
      </c>
      <c r="E389" s="46" t="str">
        <f>IFERROR(VLOOKUP($H389,매장구분!$B:$Z,9,0),"")</f>
        <v>신세계면세명동</v>
      </c>
      <c r="F389" s="58"/>
      <c r="G389" s="59" t="s">
        <v>173</v>
      </c>
      <c r="H389" s="60" t="s">
        <v>174</v>
      </c>
      <c r="I389" s="60" t="s">
        <v>169</v>
      </c>
      <c r="J389" s="60" t="s">
        <v>175</v>
      </c>
      <c r="K389" s="60" t="s">
        <v>170</v>
      </c>
      <c r="L389" s="60" t="s">
        <v>171</v>
      </c>
      <c r="M389" s="60" t="s">
        <v>176</v>
      </c>
      <c r="N389" s="60" t="s">
        <v>177</v>
      </c>
      <c r="O389" s="60">
        <v>159147400</v>
      </c>
      <c r="P389" s="60">
        <v>2328</v>
      </c>
      <c r="Q389" s="60">
        <v>0</v>
      </c>
      <c r="R389" s="60">
        <v>0</v>
      </c>
      <c r="S389" s="60">
        <v>0</v>
      </c>
      <c r="T389" s="60">
        <v>0</v>
      </c>
      <c r="U389" s="60">
        <v>0</v>
      </c>
      <c r="V389" s="60">
        <v>0</v>
      </c>
      <c r="W389" s="60">
        <v>0</v>
      </c>
      <c r="X389" s="60">
        <v>0</v>
      </c>
      <c r="Y389" s="64">
        <v>191780000</v>
      </c>
      <c r="Z389" s="60">
        <v>3745</v>
      </c>
      <c r="AA389" s="60">
        <v>0</v>
      </c>
      <c r="AB389" s="60">
        <v>0</v>
      </c>
      <c r="AC389" s="60">
        <v>350927400</v>
      </c>
      <c r="AD389" s="62">
        <v>6073</v>
      </c>
      <c r="AF389" s="47">
        <f t="shared" si="6"/>
        <v>159147400</v>
      </c>
    </row>
    <row r="390" spans="1:32" x14ac:dyDescent="0.3">
      <c r="A390" s="46" t="s">
        <v>2</v>
      </c>
      <c r="B390" s="46" t="str">
        <f>IFERROR(VLOOKUP($H390,매장구분!$B:$Z,2,0),"")</f>
        <v>파트너채널팀</v>
      </c>
      <c r="C390" s="46" t="str">
        <f>IFERROR(VLOOKUP($H390,매장구분!$B:$Z,3,0),"")</f>
        <v>국내</v>
      </c>
      <c r="D390" s="46" t="str">
        <f>IFERROR(VLOOKUP($H390,매장구분!$B:$Z,5,0),"")</f>
        <v>백화점</v>
      </c>
      <c r="E390" s="46" t="str">
        <f>IFERROR(VLOOKUP($H390,매장구분!$B:$Z,9,0),"")</f>
        <v>롯데김포</v>
      </c>
      <c r="F390" s="53"/>
      <c r="G390" s="54" t="s">
        <v>190</v>
      </c>
      <c r="H390" s="55" t="s">
        <v>191</v>
      </c>
      <c r="I390" s="55" t="s">
        <v>169</v>
      </c>
      <c r="J390" s="55" t="s">
        <v>175</v>
      </c>
      <c r="K390" s="55" t="s">
        <v>170</v>
      </c>
      <c r="L390" s="55" t="s">
        <v>171</v>
      </c>
      <c r="M390" s="55" t="s">
        <v>77</v>
      </c>
      <c r="N390" s="55" t="s">
        <v>172</v>
      </c>
      <c r="O390" s="55">
        <v>17462090</v>
      </c>
      <c r="P390" s="55">
        <v>250</v>
      </c>
      <c r="Q390" s="55">
        <v>0</v>
      </c>
      <c r="R390" s="55">
        <v>0</v>
      </c>
      <c r="S390" s="55">
        <v>0</v>
      </c>
      <c r="T390" s="55">
        <v>0</v>
      </c>
      <c r="U390" s="55">
        <v>1477110</v>
      </c>
      <c r="V390" s="55">
        <v>9</v>
      </c>
      <c r="W390" s="55">
        <v>0</v>
      </c>
      <c r="X390" s="55">
        <v>0</v>
      </c>
      <c r="Y390" s="63">
        <v>12462000</v>
      </c>
      <c r="Z390" s="55">
        <v>75</v>
      </c>
      <c r="AA390" s="55">
        <v>0</v>
      </c>
      <c r="AB390" s="55">
        <v>0</v>
      </c>
      <c r="AC390" s="55">
        <v>31401200</v>
      </c>
      <c r="AD390" s="57">
        <v>334</v>
      </c>
      <c r="AF390" s="47">
        <f t="shared" si="6"/>
        <v>18939200</v>
      </c>
    </row>
    <row r="391" spans="1:32" x14ac:dyDescent="0.3">
      <c r="A391" s="46" t="s">
        <v>2</v>
      </c>
      <c r="B391" s="46" t="str">
        <f>IFERROR(VLOOKUP($H391,매장구분!$B:$Z,2,0),"")</f>
        <v>파트너채널팀</v>
      </c>
      <c r="C391" s="46" t="str">
        <f>IFERROR(VLOOKUP($H391,매장구분!$B:$Z,3,0),"")</f>
        <v>국내</v>
      </c>
      <c r="D391" s="46" t="str">
        <f>IFERROR(VLOOKUP($H391,매장구분!$B:$Z,5,0),"")</f>
        <v>백화점</v>
      </c>
      <c r="E391" s="46" t="str">
        <f>IFERROR(VLOOKUP($H391,매장구분!$B:$Z,9,0),"")</f>
        <v>롯데안산</v>
      </c>
      <c r="F391" s="58"/>
      <c r="G391" s="59" t="s">
        <v>200</v>
      </c>
      <c r="H391" s="60" t="s">
        <v>201</v>
      </c>
      <c r="I391" s="60" t="s">
        <v>169</v>
      </c>
      <c r="J391" s="60" t="s">
        <v>175</v>
      </c>
      <c r="K391" s="60" t="s">
        <v>170</v>
      </c>
      <c r="L391" s="60" t="s">
        <v>171</v>
      </c>
      <c r="M391" s="60" t="s">
        <v>77</v>
      </c>
      <c r="N391" s="60" t="s">
        <v>172</v>
      </c>
      <c r="O391" s="60">
        <v>14061090</v>
      </c>
      <c r="P391" s="60">
        <v>140</v>
      </c>
      <c r="Q391" s="60">
        <v>0</v>
      </c>
      <c r="R391" s="60">
        <v>0</v>
      </c>
      <c r="S391" s="60">
        <v>0</v>
      </c>
      <c r="T391" s="60">
        <v>0</v>
      </c>
      <c r="U391" s="60">
        <v>5019910</v>
      </c>
      <c r="V391" s="60">
        <v>26</v>
      </c>
      <c r="W391" s="60">
        <v>0</v>
      </c>
      <c r="X391" s="60">
        <v>0</v>
      </c>
      <c r="Y391" s="64">
        <v>0</v>
      </c>
      <c r="Z391" s="60">
        <v>0</v>
      </c>
      <c r="AA391" s="60">
        <v>0</v>
      </c>
      <c r="AB391" s="60">
        <v>0</v>
      </c>
      <c r="AC391" s="60">
        <v>19081000</v>
      </c>
      <c r="AD391" s="62">
        <v>166</v>
      </c>
      <c r="AF391" s="47">
        <f t="shared" si="6"/>
        <v>19081000</v>
      </c>
    </row>
    <row r="392" spans="1:32" x14ac:dyDescent="0.3">
      <c r="A392" s="46" t="s">
        <v>2</v>
      </c>
      <c r="B392" s="46" t="str">
        <f>IFERROR(VLOOKUP($H392,매장구분!$B:$Z,2,0),"")</f>
        <v>E-biz</v>
      </c>
      <c r="C392" s="46" t="str">
        <f>IFERROR(VLOOKUP($H392,매장구분!$B:$Z,3,0),"")</f>
        <v>국내</v>
      </c>
      <c r="D392" s="46" t="str">
        <f>IFERROR(VLOOKUP($H392,매장구분!$B:$Z,5,0),"")</f>
        <v>온(자사몰)</v>
      </c>
      <c r="E392" s="46" t="str">
        <f>IFERROR(VLOOKUP($H392,매장구분!$B:$Z,9,0),"")</f>
        <v>온라인쇼핑몰</v>
      </c>
      <c r="F392" s="53"/>
      <c r="G392" s="54" t="s">
        <v>178</v>
      </c>
      <c r="H392" s="55" t="s">
        <v>179</v>
      </c>
      <c r="I392" s="55" t="s">
        <v>169</v>
      </c>
      <c r="J392" s="55" t="s">
        <v>180</v>
      </c>
      <c r="K392" s="55" t="s">
        <v>170</v>
      </c>
      <c r="L392" s="55" t="s">
        <v>181</v>
      </c>
      <c r="M392" s="55" t="s">
        <v>181</v>
      </c>
      <c r="N392" s="55" t="s">
        <v>182</v>
      </c>
      <c r="O392" s="55">
        <v>263906110</v>
      </c>
      <c r="P392" s="55">
        <v>3119</v>
      </c>
      <c r="Q392" s="55">
        <v>0</v>
      </c>
      <c r="R392" s="55">
        <v>0</v>
      </c>
      <c r="S392" s="55">
        <v>0</v>
      </c>
      <c r="T392" s="55">
        <v>0</v>
      </c>
      <c r="U392" s="55">
        <v>0</v>
      </c>
      <c r="V392" s="55">
        <v>0</v>
      </c>
      <c r="W392" s="55">
        <v>0</v>
      </c>
      <c r="X392" s="55">
        <v>0</v>
      </c>
      <c r="Y392" s="63">
        <v>0</v>
      </c>
      <c r="Z392" s="55">
        <v>0</v>
      </c>
      <c r="AA392" s="55">
        <v>0</v>
      </c>
      <c r="AB392" s="55">
        <v>0</v>
      </c>
      <c r="AC392" s="55">
        <v>263906110</v>
      </c>
      <c r="AD392" s="57">
        <v>3119</v>
      </c>
      <c r="AF392" s="47">
        <f t="shared" si="6"/>
        <v>263906110</v>
      </c>
    </row>
    <row r="393" spans="1:32" x14ac:dyDescent="0.3">
      <c r="A393" s="46" t="s">
        <v>2</v>
      </c>
      <c r="B393" s="46" t="str">
        <f>IFERROR(VLOOKUP($H393,매장구분!$B:$Z,2,0),"")</f>
        <v>리테일채널팀</v>
      </c>
      <c r="C393" s="46" t="str">
        <f>IFERROR(VLOOKUP($H393,매장구분!$B:$Z,3,0),"")</f>
        <v>국내</v>
      </c>
      <c r="D393" s="46" t="str">
        <f>IFERROR(VLOOKUP($H393,매장구분!$B:$Z,5,0),"")</f>
        <v>직영점</v>
      </c>
      <c r="E393" s="46" t="str">
        <f>IFERROR(VLOOKUP($H393,매장구분!$B:$Z,9,0),"")</f>
        <v>타임스퀘어영등포(직)</v>
      </c>
      <c r="F393" s="58"/>
      <c r="G393" s="59" t="s">
        <v>186</v>
      </c>
      <c r="H393" s="60" t="s">
        <v>187</v>
      </c>
      <c r="I393" s="60" t="s">
        <v>169</v>
      </c>
      <c r="J393" s="60" t="s">
        <v>180</v>
      </c>
      <c r="K393" s="60" t="s">
        <v>170</v>
      </c>
      <c r="L393" s="60" t="s">
        <v>171</v>
      </c>
      <c r="M393" s="60" t="s">
        <v>188</v>
      </c>
      <c r="N393" s="60" t="s">
        <v>189</v>
      </c>
      <c r="O393" s="60">
        <v>26371990</v>
      </c>
      <c r="P393" s="60">
        <v>261</v>
      </c>
      <c r="Q393" s="60">
        <v>0</v>
      </c>
      <c r="R393" s="60">
        <v>0</v>
      </c>
      <c r="S393" s="60">
        <v>0</v>
      </c>
      <c r="T393" s="60">
        <v>0</v>
      </c>
      <c r="U393" s="60">
        <v>3203010</v>
      </c>
      <c r="V393" s="60">
        <v>15</v>
      </c>
      <c r="W393" s="60">
        <v>0</v>
      </c>
      <c r="X393" s="60">
        <v>0</v>
      </c>
      <c r="Y393" s="64">
        <v>0</v>
      </c>
      <c r="Z393" s="60">
        <v>0</v>
      </c>
      <c r="AA393" s="60">
        <v>0</v>
      </c>
      <c r="AB393" s="60">
        <v>0</v>
      </c>
      <c r="AC393" s="60">
        <v>29575000</v>
      </c>
      <c r="AD393" s="62">
        <v>276</v>
      </c>
      <c r="AF393" s="47">
        <f t="shared" si="6"/>
        <v>29575000</v>
      </c>
    </row>
    <row r="394" spans="1:32" x14ac:dyDescent="0.3">
      <c r="A394" s="46" t="s">
        <v>2</v>
      </c>
      <c r="B394" s="46" t="str">
        <f>IFERROR(VLOOKUP($H394,매장구분!$B:$Z,2,0),"")</f>
        <v>파트너채널팀</v>
      </c>
      <c r="C394" s="46" t="str">
        <f>IFERROR(VLOOKUP($H394,매장구분!$B:$Z,3,0),"")</f>
        <v>면세</v>
      </c>
      <c r="D394" s="46" t="str">
        <f>IFERROR(VLOOKUP($H394,매장구분!$B:$Z,5,0),"")</f>
        <v>면세</v>
      </c>
      <c r="E394" s="46" t="str">
        <f>IFERROR(VLOOKUP($H394,매장구분!$B:$Z,9,0),"")</f>
        <v>롯데면세월드</v>
      </c>
      <c r="F394" s="53"/>
      <c r="G394" s="54" t="s">
        <v>213</v>
      </c>
      <c r="H394" s="55" t="s">
        <v>214</v>
      </c>
      <c r="I394" s="55" t="s">
        <v>169</v>
      </c>
      <c r="J394" s="55" t="s">
        <v>175</v>
      </c>
      <c r="K394" s="55" t="s">
        <v>170</v>
      </c>
      <c r="L394" s="55" t="s">
        <v>171</v>
      </c>
      <c r="M394" s="55" t="s">
        <v>176</v>
      </c>
      <c r="N394" s="55" t="s">
        <v>177</v>
      </c>
      <c r="O394" s="55">
        <v>10185300</v>
      </c>
      <c r="P394" s="55">
        <v>112</v>
      </c>
      <c r="Q394" s="55">
        <v>0</v>
      </c>
      <c r="R394" s="55">
        <v>0</v>
      </c>
      <c r="S394" s="55">
        <v>0</v>
      </c>
      <c r="T394" s="55">
        <v>0</v>
      </c>
      <c r="U394" s="55">
        <v>0</v>
      </c>
      <c r="V394" s="55">
        <v>0</v>
      </c>
      <c r="W394" s="55">
        <v>0</v>
      </c>
      <c r="X394" s="55">
        <v>0</v>
      </c>
      <c r="Y394" s="63">
        <v>87556300</v>
      </c>
      <c r="Z394" s="55">
        <v>1322</v>
      </c>
      <c r="AA394" s="55">
        <v>0</v>
      </c>
      <c r="AB394" s="55">
        <v>0</v>
      </c>
      <c r="AC394" s="55">
        <v>97741600</v>
      </c>
      <c r="AD394" s="57">
        <v>1434</v>
      </c>
      <c r="AF394" s="47">
        <f t="shared" si="6"/>
        <v>10185300</v>
      </c>
    </row>
    <row r="395" spans="1:32" x14ac:dyDescent="0.3">
      <c r="A395" s="46" t="s">
        <v>2</v>
      </c>
      <c r="B395" s="46" t="str">
        <f>IFERROR(VLOOKUP($H395,매장구분!$B:$Z,2,0),"")</f>
        <v>파트너채널팀</v>
      </c>
      <c r="C395" s="46" t="str">
        <f>IFERROR(VLOOKUP($H395,매장구분!$B:$Z,3,0),"")</f>
        <v>도매</v>
      </c>
      <c r="D395" s="46" t="str">
        <f>IFERROR(VLOOKUP($H395,매장구분!$B:$Z,5,0),"")</f>
        <v>도매</v>
      </c>
      <c r="E395" s="46" t="str">
        <f>IFERROR(VLOOKUP($H395,매장구분!$B:$Z,9,0),"")</f>
        <v>온라인완주</v>
      </c>
      <c r="F395" s="58"/>
      <c r="G395" s="59" t="s">
        <v>566</v>
      </c>
      <c r="H395" s="60" t="s">
        <v>567</v>
      </c>
      <c r="I395" s="60" t="s">
        <v>169</v>
      </c>
      <c r="J395" s="60" t="s">
        <v>180</v>
      </c>
      <c r="K395" s="60" t="s">
        <v>170</v>
      </c>
      <c r="L395" s="60" t="s">
        <v>568</v>
      </c>
      <c r="M395" s="60" t="s">
        <v>181</v>
      </c>
      <c r="N395" s="60" t="s">
        <v>568</v>
      </c>
      <c r="O395" s="60">
        <v>72179100</v>
      </c>
      <c r="P395" s="60">
        <v>1720</v>
      </c>
      <c r="Q395" s="60">
        <v>0</v>
      </c>
      <c r="R395" s="60">
        <v>0</v>
      </c>
      <c r="S395" s="60">
        <v>0</v>
      </c>
      <c r="T395" s="60">
        <v>0</v>
      </c>
      <c r="U395" s="60">
        <v>0</v>
      </c>
      <c r="V395" s="60">
        <v>0</v>
      </c>
      <c r="W395" s="60">
        <v>0</v>
      </c>
      <c r="X395" s="60">
        <v>0</v>
      </c>
      <c r="Y395" s="64">
        <v>0</v>
      </c>
      <c r="Z395" s="60">
        <v>0</v>
      </c>
      <c r="AA395" s="60">
        <v>0</v>
      </c>
      <c r="AB395" s="60">
        <v>0</v>
      </c>
      <c r="AC395" s="60">
        <v>72179100</v>
      </c>
      <c r="AD395" s="62">
        <v>1720</v>
      </c>
      <c r="AF395" s="47">
        <f t="shared" si="6"/>
        <v>72179100</v>
      </c>
    </row>
    <row r="396" spans="1:32" x14ac:dyDescent="0.3">
      <c r="A396" s="46" t="s">
        <v>2</v>
      </c>
      <c r="B396" s="46" t="str">
        <f>IFERROR(VLOOKUP($H396,매장구분!$B:$Z,2,0),"")</f>
        <v>파트너채널팀</v>
      </c>
      <c r="C396" s="46" t="str">
        <f>IFERROR(VLOOKUP($H396,매장구분!$B:$Z,3,0),"")</f>
        <v>국내</v>
      </c>
      <c r="D396" s="46" t="str">
        <f>IFERROR(VLOOKUP($H396,매장구분!$B:$Z,5,0),"")</f>
        <v>백화점</v>
      </c>
      <c r="E396" s="46" t="str">
        <f>IFERROR(VLOOKUP($H396,매장구분!$B:$Z,9,0),"")</f>
        <v>신세계대구</v>
      </c>
      <c r="F396" s="53"/>
      <c r="G396" s="54" t="s">
        <v>192</v>
      </c>
      <c r="H396" s="55" t="s">
        <v>193</v>
      </c>
      <c r="I396" s="55" t="s">
        <v>169</v>
      </c>
      <c r="J396" s="55" t="s">
        <v>175</v>
      </c>
      <c r="K396" s="55" t="s">
        <v>170</v>
      </c>
      <c r="L396" s="55" t="s">
        <v>171</v>
      </c>
      <c r="M396" s="55" t="s">
        <v>77</v>
      </c>
      <c r="N396" s="55" t="s">
        <v>172</v>
      </c>
      <c r="O396" s="55">
        <v>28783480</v>
      </c>
      <c r="P396" s="55">
        <v>366</v>
      </c>
      <c r="Q396" s="55">
        <v>0</v>
      </c>
      <c r="R396" s="55">
        <v>0</v>
      </c>
      <c r="S396" s="55">
        <v>0</v>
      </c>
      <c r="T396" s="55">
        <v>0</v>
      </c>
      <c r="U396" s="55">
        <v>1372020</v>
      </c>
      <c r="V396" s="55">
        <v>7</v>
      </c>
      <c r="W396" s="55">
        <v>0</v>
      </c>
      <c r="X396" s="55">
        <v>0</v>
      </c>
      <c r="Y396" s="63">
        <v>1118000</v>
      </c>
      <c r="Z396" s="55">
        <v>26</v>
      </c>
      <c r="AA396" s="55">
        <v>0</v>
      </c>
      <c r="AB396" s="55">
        <v>0</v>
      </c>
      <c r="AC396" s="55">
        <v>31273500</v>
      </c>
      <c r="AD396" s="57">
        <v>399</v>
      </c>
      <c r="AF396" s="47">
        <f t="shared" si="6"/>
        <v>30155500</v>
      </c>
    </row>
    <row r="397" spans="1:32" x14ac:dyDescent="0.3">
      <c r="A397" s="46" t="s">
        <v>2</v>
      </c>
      <c r="B397" s="46" t="str">
        <f>IFERROR(VLOOKUP($H397,매장구분!$B:$Z,2,0),"")</f>
        <v>리테일채널팀</v>
      </c>
      <c r="C397" s="46" t="str">
        <f>IFERROR(VLOOKUP($H397,매장구분!$B:$Z,3,0),"")</f>
        <v>국내</v>
      </c>
      <c r="D397" s="46" t="str">
        <f>IFERROR(VLOOKUP($H397,매장구분!$B:$Z,5,0),"")</f>
        <v>직영점</v>
      </c>
      <c r="E397" s="46" t="str">
        <f>IFERROR(VLOOKUP($H397,매장구분!$B:$Z,9,0),"")</f>
        <v>동성로</v>
      </c>
      <c r="F397" s="58"/>
      <c r="G397" s="59" t="s">
        <v>204</v>
      </c>
      <c r="H397" s="60" t="s">
        <v>205</v>
      </c>
      <c r="I397" s="60" t="s">
        <v>169</v>
      </c>
      <c r="J397" s="60" t="s">
        <v>180</v>
      </c>
      <c r="K397" s="60" t="s">
        <v>170</v>
      </c>
      <c r="L397" s="60" t="s">
        <v>171</v>
      </c>
      <c r="M397" s="60" t="s">
        <v>196</v>
      </c>
      <c r="N397" s="60" t="s">
        <v>206</v>
      </c>
      <c r="O397" s="60">
        <v>11853179</v>
      </c>
      <c r="P397" s="60">
        <v>164</v>
      </c>
      <c r="Q397" s="60">
        <v>0</v>
      </c>
      <c r="R397" s="60">
        <v>0</v>
      </c>
      <c r="S397" s="60">
        <v>0</v>
      </c>
      <c r="T397" s="60">
        <v>0</v>
      </c>
      <c r="U397" s="60">
        <v>1846621</v>
      </c>
      <c r="V397" s="60">
        <v>10</v>
      </c>
      <c r="W397" s="60">
        <v>0</v>
      </c>
      <c r="X397" s="60">
        <v>0</v>
      </c>
      <c r="Y397" s="64">
        <v>0</v>
      </c>
      <c r="Z397" s="60">
        <v>0</v>
      </c>
      <c r="AA397" s="60">
        <v>0</v>
      </c>
      <c r="AB397" s="60">
        <v>0</v>
      </c>
      <c r="AC397" s="60">
        <v>13699800</v>
      </c>
      <c r="AD397" s="62">
        <v>174</v>
      </c>
      <c r="AF397" s="47">
        <f t="shared" si="6"/>
        <v>13699800</v>
      </c>
    </row>
    <row r="398" spans="1:32" x14ac:dyDescent="0.3">
      <c r="A398" s="46" t="s">
        <v>2</v>
      </c>
      <c r="B398" s="46" t="str">
        <f>IFERROR(VLOOKUP($H398,매장구분!$B:$Z,2,0),"")</f>
        <v>리테일채널팀</v>
      </c>
      <c r="C398" s="46" t="str">
        <f>IFERROR(VLOOKUP($H398,매장구분!$B:$Z,3,0),"")</f>
        <v>국내</v>
      </c>
      <c r="D398" s="46" t="str">
        <f>IFERROR(VLOOKUP($H398,매장구분!$B:$Z,5,0),"")</f>
        <v>대리점</v>
      </c>
      <c r="E398" s="46" t="str">
        <f>IFERROR(VLOOKUP($H398,매장구분!$B:$Z,9,0),"")</f>
        <v>여수(대-위)</v>
      </c>
      <c r="F398" s="53"/>
      <c r="G398" s="54" t="s">
        <v>198</v>
      </c>
      <c r="H398" s="55" t="s">
        <v>199</v>
      </c>
      <c r="I398" s="55" t="s">
        <v>169</v>
      </c>
      <c r="J398" s="55" t="s">
        <v>79</v>
      </c>
      <c r="K398" s="55" t="s">
        <v>170</v>
      </c>
      <c r="L398" s="55" t="s">
        <v>171</v>
      </c>
      <c r="M398" s="55" t="s">
        <v>196</v>
      </c>
      <c r="N398" s="55" t="s">
        <v>197</v>
      </c>
      <c r="O398" s="55">
        <v>9531437</v>
      </c>
      <c r="P398" s="55">
        <v>112</v>
      </c>
      <c r="Q398" s="55">
        <v>0</v>
      </c>
      <c r="R398" s="55">
        <v>0</v>
      </c>
      <c r="S398" s="55">
        <v>0</v>
      </c>
      <c r="T398" s="55">
        <v>0</v>
      </c>
      <c r="U398" s="55">
        <v>661613</v>
      </c>
      <c r="V398" s="55">
        <v>5</v>
      </c>
      <c r="W398" s="55">
        <v>0</v>
      </c>
      <c r="X398" s="55">
        <v>0</v>
      </c>
      <c r="Y398" s="63">
        <v>0</v>
      </c>
      <c r="Z398" s="55">
        <v>0</v>
      </c>
      <c r="AA398" s="55">
        <v>0</v>
      </c>
      <c r="AB398" s="55">
        <v>0</v>
      </c>
      <c r="AC398" s="55">
        <v>10193050</v>
      </c>
      <c r="AD398" s="57">
        <v>117</v>
      </c>
      <c r="AF398" s="47">
        <f t="shared" si="6"/>
        <v>10193050</v>
      </c>
    </row>
    <row r="399" spans="1:32" x14ac:dyDescent="0.3">
      <c r="A399" s="46" t="s">
        <v>2</v>
      </c>
      <c r="B399" s="46" t="str">
        <f>IFERROR(VLOOKUP($H399,매장구분!$B:$Z,2,0),"")</f>
        <v>E-biz</v>
      </c>
      <c r="C399" s="46" t="str">
        <f>IFERROR(VLOOKUP($H399,매장구분!$B:$Z,3,0),"")</f>
        <v>국내</v>
      </c>
      <c r="D399" s="46" t="str">
        <f>IFERROR(VLOOKUP($H399,매장구분!$B:$Z,5,0),"")</f>
        <v>온(제휴몰)</v>
      </c>
      <c r="E399" s="46" t="str">
        <f>IFERROR(VLOOKUP($H399,매장구분!$B:$Z,9,0),"")</f>
        <v>카카오선물하기(제휴몰)</v>
      </c>
      <c r="F399" s="58"/>
      <c r="G399" s="59" t="s">
        <v>209</v>
      </c>
      <c r="H399" s="60" t="s">
        <v>210</v>
      </c>
      <c r="I399" s="60" t="s">
        <v>169</v>
      </c>
      <c r="J399" s="60" t="s">
        <v>180</v>
      </c>
      <c r="K399" s="60" t="s">
        <v>170</v>
      </c>
      <c r="L399" s="60" t="s">
        <v>181</v>
      </c>
      <c r="M399" s="60" t="s">
        <v>181</v>
      </c>
      <c r="N399" s="60" t="s">
        <v>185</v>
      </c>
      <c r="O399" s="60">
        <v>38554900</v>
      </c>
      <c r="P399" s="60">
        <v>1022</v>
      </c>
      <c r="Q399" s="60">
        <v>0</v>
      </c>
      <c r="R399" s="60">
        <v>0</v>
      </c>
      <c r="S399" s="60">
        <v>0</v>
      </c>
      <c r="T399" s="60">
        <v>0</v>
      </c>
      <c r="U399" s="60">
        <v>0</v>
      </c>
      <c r="V399" s="60">
        <v>0</v>
      </c>
      <c r="W399" s="60">
        <v>0</v>
      </c>
      <c r="X399" s="60">
        <v>0</v>
      </c>
      <c r="Y399" s="64">
        <v>0</v>
      </c>
      <c r="Z399" s="60">
        <v>0</v>
      </c>
      <c r="AA399" s="60">
        <v>0</v>
      </c>
      <c r="AB399" s="60">
        <v>0</v>
      </c>
      <c r="AC399" s="60">
        <v>38554900</v>
      </c>
      <c r="AD399" s="62">
        <v>1022</v>
      </c>
      <c r="AF399" s="47">
        <f t="shared" si="6"/>
        <v>38554900</v>
      </c>
    </row>
    <row r="400" spans="1:32" x14ac:dyDescent="0.3">
      <c r="A400" s="46" t="s">
        <v>2</v>
      </c>
      <c r="B400" s="46" t="str">
        <f>IFERROR(VLOOKUP($H400,매장구분!$B:$Z,2,0),"")</f>
        <v>E-biz</v>
      </c>
      <c r="C400" s="46" t="str">
        <f>IFERROR(VLOOKUP($H400,매장구분!$B:$Z,3,0),"")</f>
        <v>국내</v>
      </c>
      <c r="D400" s="46" t="str">
        <f>IFERROR(VLOOKUP($H400,매장구분!$B:$Z,5,0),"")</f>
        <v>온(제휴몰)</v>
      </c>
      <c r="E400" s="46" t="str">
        <f>IFERROR(VLOOKUP($H400,매장구분!$B:$Z,9,0),"")</f>
        <v>MLB 쇼피파이 글로벌</v>
      </c>
      <c r="F400" s="53"/>
      <c r="G400" s="54" t="s">
        <v>569</v>
      </c>
      <c r="H400" s="55" t="s">
        <v>570</v>
      </c>
      <c r="I400" s="55" t="s">
        <v>169</v>
      </c>
      <c r="J400" s="55" t="s">
        <v>180</v>
      </c>
      <c r="K400" s="55" t="s">
        <v>170</v>
      </c>
      <c r="L400" s="55" t="s">
        <v>181</v>
      </c>
      <c r="M400" s="55" t="s">
        <v>181</v>
      </c>
      <c r="N400" s="55" t="s">
        <v>182</v>
      </c>
      <c r="O400" s="55">
        <v>2775689</v>
      </c>
      <c r="P400" s="55">
        <v>38</v>
      </c>
      <c r="Q400" s="55">
        <v>0</v>
      </c>
      <c r="R400" s="55">
        <v>0</v>
      </c>
      <c r="S400" s="55">
        <v>0</v>
      </c>
      <c r="T400" s="55">
        <v>0</v>
      </c>
      <c r="U400" s="55">
        <v>0</v>
      </c>
      <c r="V400" s="55">
        <v>0</v>
      </c>
      <c r="W400" s="55">
        <v>0</v>
      </c>
      <c r="X400" s="55">
        <v>0</v>
      </c>
      <c r="Y400" s="63">
        <v>0</v>
      </c>
      <c r="Z400" s="55">
        <v>0</v>
      </c>
      <c r="AA400" s="55">
        <v>0</v>
      </c>
      <c r="AB400" s="55">
        <v>0</v>
      </c>
      <c r="AC400" s="55">
        <v>2775689</v>
      </c>
      <c r="AD400" s="57">
        <v>38</v>
      </c>
      <c r="AF400" s="47">
        <f t="shared" si="6"/>
        <v>2775689</v>
      </c>
    </row>
    <row r="401" spans="1:32" x14ac:dyDescent="0.3">
      <c r="A401" s="46" t="s">
        <v>2</v>
      </c>
      <c r="B401" s="46" t="str">
        <f>IFERROR(VLOOKUP($H401,매장구분!$B:$Z,2,0),"")</f>
        <v>E-biz</v>
      </c>
      <c r="C401" s="46" t="str">
        <f>IFERROR(VLOOKUP($H401,매장구분!$B:$Z,3,0),"")</f>
        <v>국내</v>
      </c>
      <c r="D401" s="46" t="str">
        <f>IFERROR(VLOOKUP($H401,매장구분!$B:$Z,5,0),"")</f>
        <v>온(제휴몰)</v>
      </c>
      <c r="E401" s="46" t="str">
        <f>IFERROR(VLOOKUP($H401,매장구분!$B:$Z,9,0),"")</f>
        <v>네이버스토어(제휴몰)</v>
      </c>
      <c r="G401" s="36" t="s">
        <v>207</v>
      </c>
      <c r="H401" s="36" t="s">
        <v>208</v>
      </c>
      <c r="I401" s="36" t="s">
        <v>169</v>
      </c>
      <c r="J401" s="36" t="s">
        <v>180</v>
      </c>
      <c r="K401" s="36" t="s">
        <v>170</v>
      </c>
      <c r="L401" s="36" t="s">
        <v>181</v>
      </c>
      <c r="M401" s="36" t="s">
        <v>181</v>
      </c>
      <c r="N401" s="36" t="s">
        <v>185</v>
      </c>
      <c r="O401" s="36">
        <v>109452100</v>
      </c>
      <c r="P401" s="36">
        <v>1420</v>
      </c>
      <c r="Q401" s="36">
        <v>0</v>
      </c>
      <c r="R401" s="36">
        <v>0</v>
      </c>
      <c r="S401" s="36">
        <v>0</v>
      </c>
      <c r="T401" s="36">
        <v>0</v>
      </c>
      <c r="U401" s="36">
        <v>0</v>
      </c>
      <c r="V401" s="36">
        <v>0</v>
      </c>
      <c r="W401" s="36">
        <v>0</v>
      </c>
      <c r="X401" s="36">
        <v>0</v>
      </c>
      <c r="Y401" s="48">
        <v>0</v>
      </c>
      <c r="Z401" s="36">
        <v>0</v>
      </c>
      <c r="AA401" s="36">
        <v>0</v>
      </c>
      <c r="AB401" s="36">
        <v>0</v>
      </c>
      <c r="AC401" s="36">
        <v>109452100</v>
      </c>
      <c r="AD401" s="36">
        <v>1420</v>
      </c>
      <c r="AF401" s="47">
        <f t="shared" si="6"/>
        <v>109452100</v>
      </c>
    </row>
    <row r="402" spans="1:32" x14ac:dyDescent="0.3">
      <c r="A402" s="46" t="s">
        <v>2</v>
      </c>
      <c r="B402" s="46" t="str">
        <f>IFERROR(VLOOKUP($H402,매장구분!$B:$Z,2,0),"")</f>
        <v>리테일채널팀</v>
      </c>
      <c r="C402" s="46" t="str">
        <f>IFERROR(VLOOKUP($H402,매장구분!$B:$Z,3,0),"")</f>
        <v>국내</v>
      </c>
      <c r="D402" s="46" t="str">
        <f>IFERROR(VLOOKUP($H402,매장구분!$B:$Z,5,0),"")</f>
        <v>대리점</v>
      </c>
      <c r="E402" s="46" t="str">
        <f>IFERROR(VLOOKUP($H402,매장구분!$B:$Z,9,0),"")</f>
        <v>아산(대-위)</v>
      </c>
      <c r="G402" s="36" t="s">
        <v>194</v>
      </c>
      <c r="H402" s="36" t="s">
        <v>195</v>
      </c>
      <c r="I402" s="36" t="s">
        <v>169</v>
      </c>
      <c r="J402" s="36" t="s">
        <v>79</v>
      </c>
      <c r="K402" s="36" t="s">
        <v>170</v>
      </c>
      <c r="L402" s="36" t="s">
        <v>171</v>
      </c>
      <c r="M402" s="36" t="s">
        <v>196</v>
      </c>
      <c r="N402" s="36" t="s">
        <v>197</v>
      </c>
      <c r="O402" s="36">
        <v>8610000</v>
      </c>
      <c r="P402" s="36">
        <v>87</v>
      </c>
      <c r="Q402" s="36">
        <v>0</v>
      </c>
      <c r="R402" s="36">
        <v>0</v>
      </c>
      <c r="S402" s="36">
        <v>0</v>
      </c>
      <c r="T402" s="36">
        <v>0</v>
      </c>
      <c r="U402" s="36">
        <v>1323000</v>
      </c>
      <c r="V402" s="36">
        <v>7</v>
      </c>
      <c r="W402" s="36">
        <v>0</v>
      </c>
      <c r="X402" s="36">
        <v>0</v>
      </c>
      <c r="Y402" s="48">
        <v>0</v>
      </c>
      <c r="Z402" s="36">
        <v>0</v>
      </c>
      <c r="AA402" s="36">
        <v>0</v>
      </c>
      <c r="AB402" s="36">
        <v>0</v>
      </c>
      <c r="AC402" s="36">
        <v>9933000</v>
      </c>
      <c r="AD402" s="36">
        <v>94</v>
      </c>
      <c r="AF402" s="47">
        <f t="shared" si="6"/>
        <v>9933000</v>
      </c>
    </row>
    <row r="403" spans="1:32" x14ac:dyDescent="0.3">
      <c r="A403" s="46" t="s">
        <v>2</v>
      </c>
      <c r="B403" s="46" t="str">
        <f>IFERROR(VLOOKUP($H403,매장구분!$B:$Z,2,0),"")</f>
        <v>리테일채널팀</v>
      </c>
      <c r="C403" s="46" t="str">
        <f>IFERROR(VLOOKUP($H403,매장구분!$B:$Z,3,0),"")</f>
        <v>국내</v>
      </c>
      <c r="D403" s="46" t="str">
        <f>IFERROR(VLOOKUP($H403,매장구분!$B:$Z,5,0),"")</f>
        <v>상설(위탁)</v>
      </c>
      <c r="E403" s="46" t="str">
        <f>IFERROR(VLOOKUP($H403,매장구분!$B:$Z,9,0),"")</f>
        <v>LF스퀘어광양(상-위)</v>
      </c>
      <c r="G403" s="36" t="s">
        <v>167</v>
      </c>
      <c r="H403" s="36" t="s">
        <v>168</v>
      </c>
      <c r="I403" s="36" t="s">
        <v>169</v>
      </c>
      <c r="J403" s="36" t="s">
        <v>79</v>
      </c>
      <c r="K403" s="36" t="s">
        <v>170</v>
      </c>
      <c r="L403" s="36" t="s">
        <v>171</v>
      </c>
      <c r="M403" s="36" t="s">
        <v>77</v>
      </c>
      <c r="N403" s="36" t="s">
        <v>172</v>
      </c>
      <c r="O403" s="36">
        <v>2271000</v>
      </c>
      <c r="P403" s="36">
        <v>63</v>
      </c>
      <c r="Q403" s="36">
        <v>0</v>
      </c>
      <c r="R403" s="36">
        <v>0</v>
      </c>
      <c r="S403" s="36">
        <v>0</v>
      </c>
      <c r="T403" s="36">
        <v>0</v>
      </c>
      <c r="U403" s="36">
        <v>0</v>
      </c>
      <c r="V403" s="36">
        <v>0</v>
      </c>
      <c r="W403" s="36">
        <v>0</v>
      </c>
      <c r="X403" s="36">
        <v>0</v>
      </c>
      <c r="Y403" s="48">
        <v>0</v>
      </c>
      <c r="Z403" s="36">
        <v>0</v>
      </c>
      <c r="AA403" s="36">
        <v>0</v>
      </c>
      <c r="AB403" s="36">
        <v>0</v>
      </c>
      <c r="AC403" s="36">
        <v>2271000</v>
      </c>
      <c r="AD403" s="36">
        <v>63</v>
      </c>
      <c r="AF403" s="47">
        <f t="shared" si="6"/>
        <v>2271000</v>
      </c>
    </row>
    <row r="404" spans="1:32" x14ac:dyDescent="0.3">
      <c r="A404" s="46" t="s">
        <v>2</v>
      </c>
      <c r="B404" s="46" t="str">
        <f>IFERROR(VLOOKUP($H404,매장구분!$B:$Z,2,0),"")</f>
        <v>파트너채널팀</v>
      </c>
      <c r="C404" s="46" t="str">
        <f>IFERROR(VLOOKUP($H404,매장구분!$B:$Z,3,0),"")</f>
        <v>국내</v>
      </c>
      <c r="D404" s="46" t="str">
        <f>IFERROR(VLOOKUP($H404,매장구분!$B:$Z,5,0),"")</f>
        <v>백화점</v>
      </c>
      <c r="E404" s="46" t="str">
        <f>IFERROR(VLOOKUP($H404,매장구분!$B:$Z,9,0),"")</f>
        <v>모다아울렛대전</v>
      </c>
      <c r="G404" s="36" t="s">
        <v>236</v>
      </c>
      <c r="H404" s="36" t="s">
        <v>571</v>
      </c>
      <c r="I404" s="36" t="s">
        <v>169</v>
      </c>
      <c r="J404" s="36" t="s">
        <v>175</v>
      </c>
      <c r="K404" s="36" t="s">
        <v>170</v>
      </c>
      <c r="L404" s="36" t="s">
        <v>171</v>
      </c>
      <c r="M404" s="36" t="s">
        <v>77</v>
      </c>
      <c r="N404" s="36" t="s">
        <v>238</v>
      </c>
      <c r="O404" s="36">
        <v>5413000</v>
      </c>
      <c r="P404" s="36">
        <v>55</v>
      </c>
      <c r="Q404" s="36">
        <v>0</v>
      </c>
      <c r="R404" s="36">
        <v>0</v>
      </c>
      <c r="S404" s="36">
        <v>0</v>
      </c>
      <c r="T404" s="36">
        <v>0</v>
      </c>
      <c r="U404" s="36">
        <v>0</v>
      </c>
      <c r="V404" s="36">
        <v>0</v>
      </c>
      <c r="W404" s="36">
        <v>0</v>
      </c>
      <c r="X404" s="36">
        <v>0</v>
      </c>
      <c r="Y404" s="48">
        <v>0</v>
      </c>
      <c r="Z404" s="36">
        <v>0</v>
      </c>
      <c r="AA404" s="36">
        <v>0</v>
      </c>
      <c r="AB404" s="36">
        <v>0</v>
      </c>
      <c r="AC404" s="36">
        <v>5413000</v>
      </c>
      <c r="AD404" s="36">
        <v>55</v>
      </c>
      <c r="AF404" s="47">
        <f t="shared" si="6"/>
        <v>5413000</v>
      </c>
    </row>
    <row r="405" spans="1:32" x14ac:dyDescent="0.3">
      <c r="A405" s="46" t="s">
        <v>2</v>
      </c>
      <c r="B405" s="46" t="str">
        <f>IFERROR(VLOOKUP($H405,매장구분!$B:$Z,2,0),"")</f>
        <v>리테일채널팀</v>
      </c>
      <c r="C405" s="46" t="str">
        <f>IFERROR(VLOOKUP($H405,매장구분!$B:$Z,3,0),"")</f>
        <v>국내</v>
      </c>
      <c r="D405" s="46" t="str">
        <f>IFERROR(VLOOKUP($H405,매장구분!$B:$Z,5,0),"")</f>
        <v>상설(위탁)</v>
      </c>
      <c r="E405" s="46" t="str">
        <f>IFERROR(VLOOKUP($H405,매장구분!$B:$Z,9,0),"")</f>
        <v>롯데아울렛봉무(상-위)</v>
      </c>
      <c r="G405" s="36" t="s">
        <v>220</v>
      </c>
      <c r="H405" s="36" t="s">
        <v>221</v>
      </c>
      <c r="I405" s="36" t="s">
        <v>169</v>
      </c>
      <c r="J405" s="36" t="s">
        <v>79</v>
      </c>
      <c r="K405" s="36" t="s">
        <v>170</v>
      </c>
      <c r="L405" s="36" t="s">
        <v>171</v>
      </c>
      <c r="M405" s="36" t="s">
        <v>219</v>
      </c>
      <c r="N405" s="36" t="s">
        <v>219</v>
      </c>
      <c r="O405" s="36">
        <v>3408000</v>
      </c>
      <c r="P405" s="36">
        <v>94</v>
      </c>
      <c r="Q405" s="36">
        <v>0</v>
      </c>
      <c r="R405" s="36">
        <v>0</v>
      </c>
      <c r="S405" s="36">
        <v>0</v>
      </c>
      <c r="T405" s="36">
        <v>0</v>
      </c>
      <c r="U405" s="36">
        <v>0</v>
      </c>
      <c r="V405" s="36">
        <v>0</v>
      </c>
      <c r="W405" s="36">
        <v>0</v>
      </c>
      <c r="X405" s="36">
        <v>0</v>
      </c>
      <c r="Y405" s="48">
        <v>0</v>
      </c>
      <c r="Z405" s="36">
        <v>0</v>
      </c>
      <c r="AA405" s="36">
        <v>0</v>
      </c>
      <c r="AB405" s="36">
        <v>0</v>
      </c>
      <c r="AC405" s="36">
        <v>3408000</v>
      </c>
      <c r="AD405" s="36">
        <v>94</v>
      </c>
      <c r="AF405" s="47">
        <f t="shared" si="6"/>
        <v>3408000</v>
      </c>
    </row>
    <row r="406" spans="1:32" x14ac:dyDescent="0.3">
      <c r="A406" s="46" t="s">
        <v>2</v>
      </c>
      <c r="B406" s="46" t="str">
        <f>IFERROR(VLOOKUP($H406,매장구분!$B:$Z,2,0),"")</f>
        <v>리테일채널팀</v>
      </c>
      <c r="C406" s="46" t="str">
        <f>IFERROR(VLOOKUP($H406,매장구분!$B:$Z,3,0),"")</f>
        <v>국내</v>
      </c>
      <c r="D406" s="46" t="str">
        <f>IFERROR(VLOOKUP($H406,매장구분!$B:$Z,5,0),"")</f>
        <v>상설(위탁)</v>
      </c>
      <c r="E406" s="46" t="str">
        <f>IFERROR(VLOOKUP($H406,매장구분!$B:$Z,9,0),"")</f>
        <v>롯데아울렛파주(상-위)</v>
      </c>
      <c r="G406" s="36" t="s">
        <v>217</v>
      </c>
      <c r="H406" s="36" t="s">
        <v>218</v>
      </c>
      <c r="I406" s="36" t="s">
        <v>169</v>
      </c>
      <c r="J406" s="36" t="s">
        <v>79</v>
      </c>
      <c r="K406" s="36" t="s">
        <v>170</v>
      </c>
      <c r="L406" s="36" t="s">
        <v>171</v>
      </c>
      <c r="M406" s="36" t="s">
        <v>219</v>
      </c>
      <c r="N406" s="36" t="s">
        <v>219</v>
      </c>
      <c r="O406" s="36">
        <v>2404000</v>
      </c>
      <c r="P406" s="36">
        <v>52</v>
      </c>
      <c r="Q406" s="36">
        <v>0</v>
      </c>
      <c r="R406" s="36">
        <v>0</v>
      </c>
      <c r="S406" s="36">
        <v>0</v>
      </c>
      <c r="T406" s="36">
        <v>0</v>
      </c>
      <c r="U406" s="36">
        <v>0</v>
      </c>
      <c r="V406" s="36">
        <v>0</v>
      </c>
      <c r="W406" s="36">
        <v>0</v>
      </c>
      <c r="X406" s="36">
        <v>0</v>
      </c>
      <c r="Y406" s="48">
        <v>0</v>
      </c>
      <c r="Z406" s="36">
        <v>0</v>
      </c>
      <c r="AA406" s="36">
        <v>0</v>
      </c>
      <c r="AB406" s="36">
        <v>0</v>
      </c>
      <c r="AC406" s="36">
        <v>2404000</v>
      </c>
      <c r="AD406" s="36">
        <v>52</v>
      </c>
      <c r="AF406" s="47">
        <f t="shared" si="6"/>
        <v>2404000</v>
      </c>
    </row>
    <row r="407" spans="1:32" x14ac:dyDescent="0.3">
      <c r="A407" s="46" t="s">
        <v>2</v>
      </c>
      <c r="B407" s="46" t="str">
        <f>IFERROR(VLOOKUP($H407,매장구분!$B:$Z,2,0),"")</f>
        <v>파트너채널팀</v>
      </c>
      <c r="C407" s="46" t="str">
        <f>IFERROR(VLOOKUP($H407,매장구분!$B:$Z,3,0),"")</f>
        <v>국내</v>
      </c>
      <c r="D407" s="46" t="str">
        <f>IFERROR(VLOOKUP($H407,매장구분!$B:$Z,5,0),"")</f>
        <v>백화점</v>
      </c>
      <c r="E407" s="46" t="str">
        <f>IFERROR(VLOOKUP($H407,매장구분!$B:$Z,9,0),"")</f>
        <v>신세계강남</v>
      </c>
      <c r="G407" s="36" t="s">
        <v>234</v>
      </c>
      <c r="H407" s="36" t="s">
        <v>235</v>
      </c>
      <c r="I407" s="36" t="s">
        <v>169</v>
      </c>
      <c r="J407" s="36" t="s">
        <v>175</v>
      </c>
      <c r="K407" s="36" t="s">
        <v>170</v>
      </c>
      <c r="L407" s="36" t="s">
        <v>171</v>
      </c>
      <c r="M407" s="36" t="s">
        <v>77</v>
      </c>
      <c r="N407" s="36" t="s">
        <v>172</v>
      </c>
      <c r="O407" s="36">
        <v>29273010</v>
      </c>
      <c r="P407" s="36">
        <v>325</v>
      </c>
      <c r="Q407" s="36">
        <v>2971500</v>
      </c>
      <c r="R407" s="36">
        <v>60</v>
      </c>
      <c r="S407" s="36">
        <v>0</v>
      </c>
      <c r="T407" s="36">
        <v>0</v>
      </c>
      <c r="U407" s="36">
        <v>4063690</v>
      </c>
      <c r="V407" s="36">
        <v>24</v>
      </c>
      <c r="W407" s="36">
        <v>0</v>
      </c>
      <c r="X407" s="36">
        <v>0</v>
      </c>
      <c r="Y407" s="48">
        <v>0</v>
      </c>
      <c r="Z407" s="36">
        <v>0</v>
      </c>
      <c r="AA407" s="36">
        <v>0</v>
      </c>
      <c r="AB407" s="36">
        <v>0</v>
      </c>
      <c r="AC407" s="36">
        <v>36308200</v>
      </c>
      <c r="AD407" s="36">
        <v>409</v>
      </c>
      <c r="AF407" s="47">
        <f t="shared" si="6"/>
        <v>36308200</v>
      </c>
    </row>
    <row r="408" spans="1:32" x14ac:dyDescent="0.3">
      <c r="A408" s="46" t="s">
        <v>2</v>
      </c>
      <c r="B408" s="46" t="str">
        <f>IFERROR(VLOOKUP($H408,매장구분!$B:$Z,2,0),"")</f>
        <v>파트너채널팀</v>
      </c>
      <c r="C408" s="46" t="str">
        <f>IFERROR(VLOOKUP($H408,매장구분!$B:$Z,3,0),"")</f>
        <v>국내</v>
      </c>
      <c r="D408" s="46" t="str">
        <f>IFERROR(VLOOKUP($H408,매장구분!$B:$Z,5,0),"")</f>
        <v>백화점</v>
      </c>
      <c r="E408" s="46" t="str">
        <f>IFERROR(VLOOKUP($H408,매장구분!$B:$Z,9,0),"")</f>
        <v>AK평택</v>
      </c>
      <c r="G408" s="36" t="s">
        <v>251</v>
      </c>
      <c r="H408" s="36" t="s">
        <v>252</v>
      </c>
      <c r="I408" s="36" t="s">
        <v>169</v>
      </c>
      <c r="J408" s="36" t="s">
        <v>175</v>
      </c>
      <c r="K408" s="36" t="s">
        <v>170</v>
      </c>
      <c r="L408" s="36" t="s">
        <v>171</v>
      </c>
      <c r="M408" s="36" t="s">
        <v>77</v>
      </c>
      <c r="N408" s="36" t="s">
        <v>172</v>
      </c>
      <c r="O408" s="36">
        <v>23839680</v>
      </c>
      <c r="P408" s="36">
        <v>222</v>
      </c>
      <c r="Q408" s="36">
        <v>0</v>
      </c>
      <c r="R408" s="36">
        <v>0</v>
      </c>
      <c r="S408" s="36">
        <v>0</v>
      </c>
      <c r="T408" s="36">
        <v>0</v>
      </c>
      <c r="U408" s="36">
        <v>698420</v>
      </c>
      <c r="V408" s="36">
        <v>5</v>
      </c>
      <c r="W408" s="36">
        <v>0</v>
      </c>
      <c r="X408" s="36">
        <v>0</v>
      </c>
      <c r="Y408" s="48">
        <v>0</v>
      </c>
      <c r="Z408" s="36">
        <v>0</v>
      </c>
      <c r="AA408" s="36">
        <v>0</v>
      </c>
      <c r="AB408" s="36">
        <v>0</v>
      </c>
      <c r="AC408" s="36">
        <v>24538100</v>
      </c>
      <c r="AD408" s="36">
        <v>227</v>
      </c>
      <c r="AF408" s="47">
        <f t="shared" si="6"/>
        <v>24538100</v>
      </c>
    </row>
    <row r="409" spans="1:32" x14ac:dyDescent="0.3">
      <c r="A409" s="46" t="s">
        <v>2</v>
      </c>
      <c r="B409" s="46" t="str">
        <f>IFERROR(VLOOKUP($H409,매장구분!$B:$Z,2,0),"")</f>
        <v>파트너채널팀</v>
      </c>
      <c r="C409" s="46" t="str">
        <f>IFERROR(VLOOKUP($H409,매장구분!$B:$Z,3,0),"")</f>
        <v>국내</v>
      </c>
      <c r="D409" s="46" t="str">
        <f>IFERROR(VLOOKUP($H409,매장구분!$B:$Z,5,0),"")</f>
        <v>백화점</v>
      </c>
      <c r="E409" s="46" t="str">
        <f>IFERROR(VLOOKUP($H409,매장구분!$B:$Z,9,0),"")</f>
        <v>현대판교</v>
      </c>
      <c r="G409" s="36" t="s">
        <v>257</v>
      </c>
      <c r="H409" s="36" t="s">
        <v>258</v>
      </c>
      <c r="I409" s="36" t="s">
        <v>169</v>
      </c>
      <c r="J409" s="36" t="s">
        <v>175</v>
      </c>
      <c r="K409" s="36" t="s">
        <v>170</v>
      </c>
      <c r="L409" s="36" t="s">
        <v>171</v>
      </c>
      <c r="M409" s="36" t="s">
        <v>77</v>
      </c>
      <c r="N409" s="36" t="s">
        <v>172</v>
      </c>
      <c r="O409" s="36">
        <v>18292370</v>
      </c>
      <c r="P409" s="36">
        <v>184</v>
      </c>
      <c r="Q409" s="36">
        <v>1384060</v>
      </c>
      <c r="R409" s="36">
        <v>13</v>
      </c>
      <c r="S409" s="36">
        <v>0</v>
      </c>
      <c r="T409" s="36">
        <v>0</v>
      </c>
      <c r="U409" s="36">
        <v>3166110</v>
      </c>
      <c r="V409" s="36">
        <v>21</v>
      </c>
      <c r="W409" s="36">
        <v>0</v>
      </c>
      <c r="X409" s="36">
        <v>0</v>
      </c>
      <c r="Y409" s="48">
        <v>28148360</v>
      </c>
      <c r="Z409" s="36">
        <v>319</v>
      </c>
      <c r="AA409" s="36">
        <v>0</v>
      </c>
      <c r="AB409" s="36">
        <v>0</v>
      </c>
      <c r="AC409" s="36">
        <v>50990900</v>
      </c>
      <c r="AD409" s="36">
        <v>537</v>
      </c>
      <c r="AF409" s="47">
        <f t="shared" si="6"/>
        <v>22842540</v>
      </c>
    </row>
    <row r="410" spans="1:32" x14ac:dyDescent="0.3">
      <c r="A410" s="46" t="s">
        <v>2</v>
      </c>
      <c r="B410" s="46" t="str">
        <f>IFERROR(VLOOKUP($H410,매장구분!$B:$Z,2,0),"")</f>
        <v>파트너채널팀</v>
      </c>
      <c r="C410" s="46" t="str">
        <f>IFERROR(VLOOKUP($H410,매장구분!$B:$Z,3,0),"")</f>
        <v>국내</v>
      </c>
      <c r="D410" s="46" t="str">
        <f>IFERROR(VLOOKUP($H410,매장구분!$B:$Z,5,0),"")</f>
        <v>백화점</v>
      </c>
      <c r="E410" s="46" t="str">
        <f>IFERROR(VLOOKUP($H410,매장구분!$B:$Z,9,0),"")</f>
        <v>롯데포항</v>
      </c>
      <c r="G410" s="36" t="s">
        <v>249</v>
      </c>
      <c r="H410" s="36" t="s">
        <v>250</v>
      </c>
      <c r="I410" s="36" t="s">
        <v>169</v>
      </c>
      <c r="J410" s="36" t="s">
        <v>175</v>
      </c>
      <c r="K410" s="36" t="s">
        <v>170</v>
      </c>
      <c r="L410" s="36" t="s">
        <v>171</v>
      </c>
      <c r="M410" s="36" t="s">
        <v>77</v>
      </c>
      <c r="N410" s="36" t="s">
        <v>172</v>
      </c>
      <c r="O410" s="36">
        <v>15268360</v>
      </c>
      <c r="P410" s="36">
        <v>182</v>
      </c>
      <c r="Q410" s="36">
        <v>0</v>
      </c>
      <c r="R410" s="36">
        <v>0</v>
      </c>
      <c r="S410" s="36">
        <v>0</v>
      </c>
      <c r="T410" s="36">
        <v>0</v>
      </c>
      <c r="U410" s="36">
        <v>2578640</v>
      </c>
      <c r="V410" s="36">
        <v>15</v>
      </c>
      <c r="W410" s="36">
        <v>0</v>
      </c>
      <c r="X410" s="36">
        <v>0</v>
      </c>
      <c r="Y410" s="48">
        <v>0</v>
      </c>
      <c r="Z410" s="36">
        <v>0</v>
      </c>
      <c r="AA410" s="36">
        <v>0</v>
      </c>
      <c r="AB410" s="36">
        <v>0</v>
      </c>
      <c r="AC410" s="36">
        <v>17847000</v>
      </c>
      <c r="AD410" s="36">
        <v>197</v>
      </c>
      <c r="AF410" s="47">
        <f t="shared" si="6"/>
        <v>17847000</v>
      </c>
    </row>
    <row r="411" spans="1:32" x14ac:dyDescent="0.3">
      <c r="A411" s="46" t="s">
        <v>2</v>
      </c>
      <c r="B411" s="46" t="str">
        <f>IFERROR(VLOOKUP($H411,매장구분!$B:$Z,2,0),"")</f>
        <v>리테일채널팀</v>
      </c>
      <c r="C411" s="46" t="str">
        <f>IFERROR(VLOOKUP($H411,매장구분!$B:$Z,3,0),"")</f>
        <v>국내</v>
      </c>
      <c r="D411" s="46" t="str">
        <f>IFERROR(VLOOKUP($H411,매장구분!$B:$Z,5,0),"")</f>
        <v>대리점</v>
      </c>
      <c r="E411" s="46" t="str">
        <f>IFERROR(VLOOKUP($H411,매장구분!$B:$Z,9,0),"")</f>
        <v>원주(대-위)</v>
      </c>
      <c r="G411" s="36" t="s">
        <v>224</v>
      </c>
      <c r="H411" s="36" t="s">
        <v>225</v>
      </c>
      <c r="I411" s="36" t="s">
        <v>169</v>
      </c>
      <c r="J411" s="36" t="s">
        <v>79</v>
      </c>
      <c r="K411" s="36" t="s">
        <v>170</v>
      </c>
      <c r="L411" s="36" t="s">
        <v>171</v>
      </c>
      <c r="M411" s="36" t="s">
        <v>196</v>
      </c>
      <c r="N411" s="36" t="s">
        <v>197</v>
      </c>
      <c r="O411" s="36">
        <v>31580700</v>
      </c>
      <c r="P411" s="36">
        <v>252</v>
      </c>
      <c r="Q411" s="36">
        <v>0</v>
      </c>
      <c r="R411" s="36">
        <v>0</v>
      </c>
      <c r="S411" s="36">
        <v>0</v>
      </c>
      <c r="T411" s="36">
        <v>0</v>
      </c>
      <c r="U411" s="36">
        <v>753100</v>
      </c>
      <c r="V411" s="36">
        <v>3</v>
      </c>
      <c r="W411" s="36">
        <v>0</v>
      </c>
      <c r="X411" s="36">
        <v>0</v>
      </c>
      <c r="Y411" s="48">
        <v>0</v>
      </c>
      <c r="Z411" s="36">
        <v>0</v>
      </c>
      <c r="AA411" s="36">
        <v>0</v>
      </c>
      <c r="AB411" s="36">
        <v>0</v>
      </c>
      <c r="AC411" s="36">
        <v>32333800</v>
      </c>
      <c r="AD411" s="36">
        <v>255</v>
      </c>
      <c r="AF411" s="47">
        <f t="shared" si="6"/>
        <v>32333800</v>
      </c>
    </row>
    <row r="412" spans="1:32" x14ac:dyDescent="0.3">
      <c r="A412" s="46" t="s">
        <v>2</v>
      </c>
      <c r="B412" s="46" t="str">
        <f>IFERROR(VLOOKUP($H412,매장구분!$B:$Z,2,0),"")</f>
        <v>E-biz</v>
      </c>
      <c r="C412" s="46" t="str">
        <f>IFERROR(VLOOKUP($H412,매장구분!$B:$Z,3,0),"")</f>
        <v>국내</v>
      </c>
      <c r="D412" s="46" t="str">
        <f>IFERROR(VLOOKUP($H412,매장구분!$B:$Z,5,0),"")</f>
        <v>온(제휴몰)</v>
      </c>
      <c r="E412" s="46" t="str">
        <f>IFERROR(VLOOKUP($H412,매장구분!$B:$Z,9,0),"")</f>
        <v>롯데ON(제휴몰)</v>
      </c>
      <c r="G412" s="36" t="s">
        <v>253</v>
      </c>
      <c r="H412" s="36" t="s">
        <v>254</v>
      </c>
      <c r="I412" s="36" t="s">
        <v>169</v>
      </c>
      <c r="J412" s="36" t="s">
        <v>180</v>
      </c>
      <c r="K412" s="36" t="s">
        <v>170</v>
      </c>
      <c r="L412" s="36" t="s">
        <v>181</v>
      </c>
      <c r="M412" s="36" t="s">
        <v>181</v>
      </c>
      <c r="N412" s="36" t="s">
        <v>185</v>
      </c>
      <c r="O412" s="36">
        <v>29131800</v>
      </c>
      <c r="P412" s="36">
        <v>387</v>
      </c>
      <c r="Q412" s="36">
        <v>0</v>
      </c>
      <c r="R412" s="36">
        <v>0</v>
      </c>
      <c r="S412" s="36">
        <v>0</v>
      </c>
      <c r="T412" s="36">
        <v>0</v>
      </c>
      <c r="U412" s="36">
        <v>0</v>
      </c>
      <c r="V412" s="36">
        <v>0</v>
      </c>
      <c r="W412" s="36">
        <v>0</v>
      </c>
      <c r="X412" s="36">
        <v>0</v>
      </c>
      <c r="Y412" s="48">
        <v>0</v>
      </c>
      <c r="Z412" s="36">
        <v>0</v>
      </c>
      <c r="AA412" s="36">
        <v>0</v>
      </c>
      <c r="AB412" s="36">
        <v>0</v>
      </c>
      <c r="AC412" s="36">
        <v>29131800</v>
      </c>
      <c r="AD412" s="36">
        <v>387</v>
      </c>
      <c r="AF412" s="47">
        <f t="shared" si="6"/>
        <v>29131800</v>
      </c>
    </row>
    <row r="413" spans="1:32" x14ac:dyDescent="0.3">
      <c r="A413" s="46" t="s">
        <v>2</v>
      </c>
      <c r="B413" s="46" t="str">
        <f>IFERROR(VLOOKUP($H413,매장구분!$B:$Z,2,0),"")</f>
        <v>E-biz</v>
      </c>
      <c r="C413" s="46" t="str">
        <f>IFERROR(VLOOKUP($H413,매장구분!$B:$Z,3,0),"")</f>
        <v>국내</v>
      </c>
      <c r="D413" s="46" t="str">
        <f>IFERROR(VLOOKUP($H413,매장구분!$B:$Z,5,0),"")</f>
        <v>온(제휴몰)</v>
      </c>
      <c r="E413" s="46" t="str">
        <f>IFERROR(VLOOKUP($H413,매장구분!$B:$Z,9,0),"")</f>
        <v>CJ온스타일(제휴몰)</v>
      </c>
      <c r="G413" s="36" t="s">
        <v>279</v>
      </c>
      <c r="H413" s="36" t="s">
        <v>280</v>
      </c>
      <c r="I413" s="36" t="s">
        <v>169</v>
      </c>
      <c r="J413" s="36" t="s">
        <v>180</v>
      </c>
      <c r="K413" s="36" t="s">
        <v>170</v>
      </c>
      <c r="L413" s="36" t="s">
        <v>181</v>
      </c>
      <c r="M413" s="36" t="s">
        <v>181</v>
      </c>
      <c r="N413" s="36" t="s">
        <v>185</v>
      </c>
      <c r="O413" s="36">
        <v>4344900</v>
      </c>
      <c r="P413" s="36">
        <v>63</v>
      </c>
      <c r="Q413" s="36">
        <v>0</v>
      </c>
      <c r="R413" s="36">
        <v>0</v>
      </c>
      <c r="S413" s="36">
        <v>0</v>
      </c>
      <c r="T413" s="36">
        <v>0</v>
      </c>
      <c r="U413" s="36">
        <v>0</v>
      </c>
      <c r="V413" s="36">
        <v>0</v>
      </c>
      <c r="W413" s="36">
        <v>0</v>
      </c>
      <c r="X413" s="36">
        <v>0</v>
      </c>
      <c r="Y413" s="48">
        <v>0</v>
      </c>
      <c r="Z413" s="36">
        <v>0</v>
      </c>
      <c r="AA413" s="36">
        <v>0</v>
      </c>
      <c r="AB413" s="36">
        <v>0</v>
      </c>
      <c r="AC413" s="36">
        <v>4344900</v>
      </c>
      <c r="AD413" s="36">
        <v>63</v>
      </c>
      <c r="AF413" s="47">
        <f t="shared" si="6"/>
        <v>4344900</v>
      </c>
    </row>
    <row r="414" spans="1:32" x14ac:dyDescent="0.3">
      <c r="A414" s="46" t="s">
        <v>2</v>
      </c>
      <c r="B414" s="46" t="str">
        <f>IFERROR(VLOOKUP($H414,매장구분!$B:$Z,2,0),"")</f>
        <v>파트너채널팀</v>
      </c>
      <c r="C414" s="46" t="str">
        <f>IFERROR(VLOOKUP($H414,매장구분!$B:$Z,3,0),"")</f>
        <v>국내</v>
      </c>
      <c r="D414" s="46" t="str">
        <f>IFERROR(VLOOKUP($H414,매장구분!$B:$Z,5,0),"")</f>
        <v>백화점</v>
      </c>
      <c r="E414" s="46" t="str">
        <f>IFERROR(VLOOKUP($H414,매장구분!$B:$Z,9,0),"")</f>
        <v>모다아울렛천안</v>
      </c>
      <c r="G414" s="36" t="s">
        <v>267</v>
      </c>
      <c r="H414" s="36" t="s">
        <v>268</v>
      </c>
      <c r="I414" s="36" t="s">
        <v>169</v>
      </c>
      <c r="J414" s="36" t="s">
        <v>175</v>
      </c>
      <c r="K414" s="36" t="s">
        <v>170</v>
      </c>
      <c r="L414" s="36" t="s">
        <v>171</v>
      </c>
      <c r="M414" s="36" t="s">
        <v>77</v>
      </c>
      <c r="N414" s="36" t="s">
        <v>238</v>
      </c>
      <c r="O414" s="36">
        <v>7750100</v>
      </c>
      <c r="P414" s="36">
        <v>84</v>
      </c>
      <c r="Q414" s="36">
        <v>0</v>
      </c>
      <c r="R414" s="36">
        <v>0</v>
      </c>
      <c r="S414" s="36">
        <v>0</v>
      </c>
      <c r="T414" s="36">
        <v>0</v>
      </c>
      <c r="U414" s="36">
        <v>3878700</v>
      </c>
      <c r="V414" s="36">
        <v>23</v>
      </c>
      <c r="W414" s="36">
        <v>0</v>
      </c>
      <c r="X414" s="36">
        <v>0</v>
      </c>
      <c r="Y414" s="48">
        <v>0</v>
      </c>
      <c r="Z414" s="36">
        <v>0</v>
      </c>
      <c r="AA414" s="36">
        <v>0</v>
      </c>
      <c r="AB414" s="36">
        <v>0</v>
      </c>
      <c r="AC414" s="36">
        <v>11628800</v>
      </c>
      <c r="AD414" s="36">
        <v>107</v>
      </c>
      <c r="AF414" s="47">
        <f t="shared" si="6"/>
        <v>11628800</v>
      </c>
    </row>
    <row r="415" spans="1:32" x14ac:dyDescent="0.3">
      <c r="A415" s="46" t="s">
        <v>2</v>
      </c>
      <c r="B415" s="46" t="str">
        <f>IFERROR(VLOOKUP($H415,매장구분!$B:$Z,2,0),"")</f>
        <v>파트너채널팀</v>
      </c>
      <c r="C415" s="46" t="str">
        <f>IFERROR(VLOOKUP($H415,매장구분!$B:$Z,3,0),"")</f>
        <v>국내</v>
      </c>
      <c r="D415" s="46" t="str">
        <f>IFERROR(VLOOKUP($H415,매장구분!$B:$Z,5,0),"")</f>
        <v>백화점</v>
      </c>
      <c r="E415" s="46" t="str">
        <f>IFERROR(VLOOKUP($H415,매장구분!$B:$Z,9,0),"")</f>
        <v>롯데인천</v>
      </c>
      <c r="G415" s="36" t="s">
        <v>245</v>
      </c>
      <c r="H415" s="36" t="s">
        <v>246</v>
      </c>
      <c r="I415" s="36" t="s">
        <v>169</v>
      </c>
      <c r="J415" s="36" t="s">
        <v>175</v>
      </c>
      <c r="K415" s="36" t="s">
        <v>170</v>
      </c>
      <c r="L415" s="36" t="s">
        <v>171</v>
      </c>
      <c r="M415" s="36" t="s">
        <v>77</v>
      </c>
      <c r="N415" s="36" t="s">
        <v>172</v>
      </c>
      <c r="O415" s="36">
        <v>18574610</v>
      </c>
      <c r="P415" s="36">
        <v>188</v>
      </c>
      <c r="Q415" s="36">
        <v>307500</v>
      </c>
      <c r="R415" s="36">
        <v>5</v>
      </c>
      <c r="S415" s="36">
        <v>0</v>
      </c>
      <c r="T415" s="36">
        <v>0</v>
      </c>
      <c r="U415" s="36">
        <v>2555890</v>
      </c>
      <c r="V415" s="36">
        <v>13</v>
      </c>
      <c r="W415" s="36">
        <v>0</v>
      </c>
      <c r="X415" s="36">
        <v>0</v>
      </c>
      <c r="Y415" s="48">
        <v>10000000</v>
      </c>
      <c r="Z415" s="36">
        <v>66</v>
      </c>
      <c r="AA415" s="36">
        <v>0</v>
      </c>
      <c r="AB415" s="36">
        <v>0</v>
      </c>
      <c r="AC415" s="36">
        <v>31438000</v>
      </c>
      <c r="AD415" s="36">
        <v>272</v>
      </c>
      <c r="AF415" s="47">
        <f t="shared" si="6"/>
        <v>21438000</v>
      </c>
    </row>
    <row r="416" spans="1:32" x14ac:dyDescent="0.3">
      <c r="A416" s="46" t="s">
        <v>2</v>
      </c>
      <c r="B416" s="46" t="str">
        <f>IFERROR(VLOOKUP($H416,매장구분!$B:$Z,2,0),"")</f>
        <v>파트너채널팀</v>
      </c>
      <c r="C416" s="46" t="str">
        <f>IFERROR(VLOOKUP($H416,매장구분!$B:$Z,3,0),"")</f>
        <v>RF</v>
      </c>
      <c r="D416" s="46" t="str">
        <f>IFERROR(VLOOKUP($H416,매장구분!$B:$Z,5,0),"")</f>
        <v>백화점</v>
      </c>
      <c r="E416" s="46" t="str">
        <f>IFERROR(VLOOKUP($H416,매장구분!$B:$Z,9,0),"")</f>
        <v>롯데본점</v>
      </c>
      <c r="G416" s="36" t="s">
        <v>269</v>
      </c>
      <c r="H416" s="36" t="s">
        <v>270</v>
      </c>
      <c r="I416" s="36" t="s">
        <v>169</v>
      </c>
      <c r="J416" s="36" t="s">
        <v>175</v>
      </c>
      <c r="K416" s="36" t="s">
        <v>170</v>
      </c>
      <c r="L416" s="36" t="s">
        <v>171</v>
      </c>
      <c r="M416" s="36" t="s">
        <v>77</v>
      </c>
      <c r="N416" s="36" t="s">
        <v>172</v>
      </c>
      <c r="O416" s="36">
        <v>31758000</v>
      </c>
      <c r="P416" s="36">
        <v>410</v>
      </c>
      <c r="Q416" s="36">
        <v>330000</v>
      </c>
      <c r="R416" s="36">
        <v>4</v>
      </c>
      <c r="S416" s="36">
        <v>0</v>
      </c>
      <c r="T416" s="36">
        <v>0</v>
      </c>
      <c r="U416" s="36">
        <v>0</v>
      </c>
      <c r="V416" s="36">
        <v>0</v>
      </c>
      <c r="W416" s="36">
        <v>0</v>
      </c>
      <c r="X416" s="36">
        <v>0</v>
      </c>
      <c r="Y416" s="48">
        <v>145247700</v>
      </c>
      <c r="Z416" s="36">
        <v>591</v>
      </c>
      <c r="AA416" s="36">
        <v>0</v>
      </c>
      <c r="AB416" s="36">
        <v>0</v>
      </c>
      <c r="AC416" s="36">
        <v>177335700</v>
      </c>
      <c r="AD416" s="36">
        <v>1005</v>
      </c>
      <c r="AF416" s="47">
        <f t="shared" si="6"/>
        <v>32088000</v>
      </c>
    </row>
    <row r="417" spans="1:32" x14ac:dyDescent="0.3">
      <c r="A417" s="46" t="s">
        <v>2</v>
      </c>
      <c r="B417" s="46" t="str">
        <f>IFERROR(VLOOKUP($H417,매장구분!$B:$Z,2,0),"")</f>
        <v>리테일채널팀</v>
      </c>
      <c r="C417" s="46" t="str">
        <f>IFERROR(VLOOKUP($H417,매장구분!$B:$Z,3,0),"")</f>
        <v>국내</v>
      </c>
      <c r="D417" s="46" t="str">
        <f>IFERROR(VLOOKUP($H417,매장구분!$B:$Z,5,0),"")</f>
        <v>대리점</v>
      </c>
      <c r="E417" s="46" t="str">
        <f>IFERROR(VLOOKUP($H417,매장구분!$B:$Z,9,0),"")</f>
        <v>강릉(대-위)</v>
      </c>
      <c r="G417" s="36" t="s">
        <v>230</v>
      </c>
      <c r="H417" s="36" t="s">
        <v>231</v>
      </c>
      <c r="I417" s="36" t="s">
        <v>169</v>
      </c>
      <c r="J417" s="36" t="s">
        <v>79</v>
      </c>
      <c r="K417" s="36" t="s">
        <v>170</v>
      </c>
      <c r="L417" s="36" t="s">
        <v>171</v>
      </c>
      <c r="M417" s="36" t="s">
        <v>196</v>
      </c>
      <c r="N417" s="36" t="s">
        <v>197</v>
      </c>
      <c r="O417" s="36">
        <v>13372448</v>
      </c>
      <c r="P417" s="36">
        <v>169</v>
      </c>
      <c r="Q417" s="36">
        <v>0</v>
      </c>
      <c r="R417" s="36">
        <v>0</v>
      </c>
      <c r="S417" s="36">
        <v>0</v>
      </c>
      <c r="T417" s="36">
        <v>0</v>
      </c>
      <c r="U417" s="36">
        <v>1241152</v>
      </c>
      <c r="V417" s="36">
        <v>6</v>
      </c>
      <c r="W417" s="36">
        <v>0</v>
      </c>
      <c r="X417" s="36">
        <v>0</v>
      </c>
      <c r="Y417" s="48">
        <v>0</v>
      </c>
      <c r="Z417" s="36">
        <v>0</v>
      </c>
      <c r="AA417" s="36">
        <v>0</v>
      </c>
      <c r="AB417" s="36">
        <v>0</v>
      </c>
      <c r="AC417" s="36">
        <v>14613600</v>
      </c>
      <c r="AD417" s="36">
        <v>175</v>
      </c>
      <c r="AF417" s="47">
        <f t="shared" si="6"/>
        <v>14613600</v>
      </c>
    </row>
    <row r="418" spans="1:32" x14ac:dyDescent="0.3">
      <c r="A418" s="46" t="s">
        <v>2</v>
      </c>
      <c r="B418" s="46" t="str">
        <f>IFERROR(VLOOKUP($H418,매장구분!$B:$Z,2,0),"")</f>
        <v>리테일채널팀</v>
      </c>
      <c r="C418" s="46" t="str">
        <f>IFERROR(VLOOKUP($H418,매장구분!$B:$Z,3,0),"")</f>
        <v>국내</v>
      </c>
      <c r="D418" s="46" t="str">
        <f>IFERROR(VLOOKUP($H418,매장구분!$B:$Z,5,0),"")</f>
        <v>대리점</v>
      </c>
      <c r="E418" s="46" t="str">
        <f>IFERROR(VLOOKUP($H418,매장구분!$B:$Z,9,0),"")</f>
        <v>화성봉담(대-위)</v>
      </c>
      <c r="G418" s="36" t="s">
        <v>273</v>
      </c>
      <c r="H418" s="36" t="s">
        <v>274</v>
      </c>
      <c r="I418" s="36" t="s">
        <v>169</v>
      </c>
      <c r="J418" s="36" t="s">
        <v>79</v>
      </c>
      <c r="K418" s="36" t="s">
        <v>170</v>
      </c>
      <c r="L418" s="36" t="s">
        <v>171</v>
      </c>
      <c r="M418" s="36" t="s">
        <v>196</v>
      </c>
      <c r="N418" s="36" t="s">
        <v>197</v>
      </c>
      <c r="O418" s="36">
        <v>10056793</v>
      </c>
      <c r="P418" s="36">
        <v>101</v>
      </c>
      <c r="Q418" s="36">
        <v>0</v>
      </c>
      <c r="R418" s="36">
        <v>0</v>
      </c>
      <c r="S418" s="36">
        <v>0</v>
      </c>
      <c r="T418" s="36">
        <v>0</v>
      </c>
      <c r="U418" s="36">
        <v>1384407</v>
      </c>
      <c r="V418" s="36">
        <v>9</v>
      </c>
      <c r="W418" s="36">
        <v>0</v>
      </c>
      <c r="X418" s="36">
        <v>0</v>
      </c>
      <c r="Y418" s="48">
        <v>52630000</v>
      </c>
      <c r="Z418" s="36">
        <v>400</v>
      </c>
      <c r="AA418" s="36">
        <v>0</v>
      </c>
      <c r="AB418" s="36">
        <v>0</v>
      </c>
      <c r="AC418" s="36">
        <v>64071200</v>
      </c>
      <c r="AD418" s="36">
        <v>510</v>
      </c>
      <c r="AF418" s="47">
        <f t="shared" si="6"/>
        <v>11441200</v>
      </c>
    </row>
    <row r="419" spans="1:32" x14ac:dyDescent="0.3">
      <c r="A419" s="46" t="s">
        <v>2</v>
      </c>
      <c r="B419" s="46" t="str">
        <f>IFERROR(VLOOKUP($H419,매장구분!$B:$Z,2,0),"")</f>
        <v>리테일채널팀</v>
      </c>
      <c r="C419" s="46" t="str">
        <f>IFERROR(VLOOKUP($H419,매장구분!$B:$Z,3,0),"")</f>
        <v>국내</v>
      </c>
      <c r="D419" s="46" t="str">
        <f>IFERROR(VLOOKUP($H419,매장구분!$B:$Z,5,0),"")</f>
        <v>대리점</v>
      </c>
      <c r="E419" s="46" t="str">
        <f>IFERROR(VLOOKUP($H419,매장구분!$B:$Z,9,0),"")</f>
        <v>오산(대-위)</v>
      </c>
      <c r="G419" s="36" t="s">
        <v>226</v>
      </c>
      <c r="H419" s="36" t="s">
        <v>227</v>
      </c>
      <c r="I419" s="36" t="s">
        <v>169</v>
      </c>
      <c r="J419" s="36" t="s">
        <v>79</v>
      </c>
      <c r="K419" s="36" t="s">
        <v>170</v>
      </c>
      <c r="L419" s="36" t="s">
        <v>171</v>
      </c>
      <c r="M419" s="36" t="s">
        <v>196</v>
      </c>
      <c r="N419" s="36" t="s">
        <v>197</v>
      </c>
      <c r="O419" s="36">
        <v>16442000</v>
      </c>
      <c r="P419" s="36">
        <v>151</v>
      </c>
      <c r="Q419" s="36">
        <v>0</v>
      </c>
      <c r="R419" s="36">
        <v>0</v>
      </c>
      <c r="S419" s="36">
        <v>0</v>
      </c>
      <c r="T419" s="36">
        <v>0</v>
      </c>
      <c r="U419" s="36">
        <v>277471</v>
      </c>
      <c r="V419" s="36">
        <v>3</v>
      </c>
      <c r="W419" s="36">
        <v>0</v>
      </c>
      <c r="X419" s="36">
        <v>0</v>
      </c>
      <c r="Y419" s="48">
        <v>0</v>
      </c>
      <c r="Z419" s="36">
        <v>0</v>
      </c>
      <c r="AA419" s="36">
        <v>0</v>
      </c>
      <c r="AB419" s="36">
        <v>0</v>
      </c>
      <c r="AC419" s="36">
        <v>16719471</v>
      </c>
      <c r="AD419" s="36">
        <v>154</v>
      </c>
      <c r="AF419" s="47">
        <f t="shared" si="6"/>
        <v>16719471</v>
      </c>
    </row>
    <row r="420" spans="1:32" x14ac:dyDescent="0.3">
      <c r="A420" s="46" t="s">
        <v>2</v>
      </c>
      <c r="B420" s="46" t="str">
        <f>IFERROR(VLOOKUP($H420,매장구분!$B:$Z,2,0),"")</f>
        <v>리테일채널팀</v>
      </c>
      <c r="C420" s="46" t="str">
        <f>IFERROR(VLOOKUP($H420,매장구분!$B:$Z,3,0),"")</f>
        <v>국내</v>
      </c>
      <c r="D420" s="46" t="str">
        <f>IFERROR(VLOOKUP($H420,매장구분!$B:$Z,5,0),"")</f>
        <v>대리점</v>
      </c>
      <c r="E420" s="46" t="str">
        <f>IFERROR(VLOOKUP($H420,매장구분!$B:$Z,9,0),"")</f>
        <v>울산무거(대-위)</v>
      </c>
      <c r="G420" s="36" t="s">
        <v>241</v>
      </c>
      <c r="H420" s="36" t="s">
        <v>242</v>
      </c>
      <c r="I420" s="36" t="s">
        <v>169</v>
      </c>
      <c r="J420" s="36" t="s">
        <v>79</v>
      </c>
      <c r="K420" s="36" t="s">
        <v>170</v>
      </c>
      <c r="L420" s="36" t="s">
        <v>171</v>
      </c>
      <c r="M420" s="36" t="s">
        <v>196</v>
      </c>
      <c r="N420" s="36" t="s">
        <v>197</v>
      </c>
      <c r="O420" s="36">
        <v>5761698</v>
      </c>
      <c r="P420" s="36">
        <v>58</v>
      </c>
      <c r="Q420" s="36">
        <v>0</v>
      </c>
      <c r="R420" s="36">
        <v>0</v>
      </c>
      <c r="S420" s="36">
        <v>0</v>
      </c>
      <c r="T420" s="36">
        <v>0</v>
      </c>
      <c r="U420" s="36">
        <v>1448202</v>
      </c>
      <c r="V420" s="36">
        <v>23</v>
      </c>
      <c r="W420" s="36">
        <v>0</v>
      </c>
      <c r="X420" s="36">
        <v>0</v>
      </c>
      <c r="Y420" s="48">
        <v>0</v>
      </c>
      <c r="Z420" s="36">
        <v>0</v>
      </c>
      <c r="AA420" s="36">
        <v>0</v>
      </c>
      <c r="AB420" s="36">
        <v>0</v>
      </c>
      <c r="AC420" s="36">
        <v>7209900</v>
      </c>
      <c r="AD420" s="36">
        <v>81</v>
      </c>
      <c r="AF420" s="47">
        <f t="shared" si="6"/>
        <v>7209900</v>
      </c>
    </row>
    <row r="421" spans="1:32" x14ac:dyDescent="0.3">
      <c r="A421" s="46" t="s">
        <v>2</v>
      </c>
      <c r="B421" s="46" t="str">
        <f>IFERROR(VLOOKUP($H421,매장구분!$B:$Z,2,0),"")</f>
        <v>파트너채널팀</v>
      </c>
      <c r="C421" s="46" t="str">
        <f>IFERROR(VLOOKUP($H421,매장구분!$B:$Z,3,0),"")</f>
        <v>국내</v>
      </c>
      <c r="D421" s="46" t="str">
        <f>IFERROR(VLOOKUP($H421,매장구분!$B:$Z,5,0),"")</f>
        <v>백화점</v>
      </c>
      <c r="E421" s="46" t="str">
        <f>IFERROR(VLOOKUP($H421,매장구분!$B:$Z,9,0),"")</f>
        <v>롯데잠실</v>
      </c>
      <c r="G421" s="36" t="s">
        <v>247</v>
      </c>
      <c r="H421" s="36" t="s">
        <v>248</v>
      </c>
      <c r="I421" s="36" t="s">
        <v>169</v>
      </c>
      <c r="J421" s="36" t="s">
        <v>175</v>
      </c>
      <c r="K421" s="36" t="s">
        <v>170</v>
      </c>
      <c r="L421" s="36" t="s">
        <v>171</v>
      </c>
      <c r="M421" s="36" t="s">
        <v>77</v>
      </c>
      <c r="N421" s="36" t="s">
        <v>172</v>
      </c>
      <c r="O421" s="36">
        <v>57073080</v>
      </c>
      <c r="P421" s="36">
        <v>368</v>
      </c>
      <c r="Q421" s="36">
        <v>2299300</v>
      </c>
      <c r="R421" s="36">
        <v>29</v>
      </c>
      <c r="S421" s="36">
        <v>0</v>
      </c>
      <c r="T421" s="36">
        <v>0</v>
      </c>
      <c r="U421" s="36">
        <v>3781320</v>
      </c>
      <c r="V421" s="36">
        <v>29</v>
      </c>
      <c r="W421" s="36">
        <v>0</v>
      </c>
      <c r="X421" s="36">
        <v>0</v>
      </c>
      <c r="Y421" s="48">
        <v>0</v>
      </c>
      <c r="Z421" s="36">
        <v>0</v>
      </c>
      <c r="AA421" s="36">
        <v>0</v>
      </c>
      <c r="AB421" s="36">
        <v>0</v>
      </c>
      <c r="AC421" s="36">
        <v>63153700</v>
      </c>
      <c r="AD421" s="36">
        <v>426</v>
      </c>
      <c r="AF421" s="47">
        <f t="shared" si="6"/>
        <v>63153700</v>
      </c>
    </row>
    <row r="422" spans="1:32" x14ac:dyDescent="0.3">
      <c r="A422" s="46" t="s">
        <v>2</v>
      </c>
      <c r="B422" s="46" t="str">
        <f>IFERROR(VLOOKUP($H422,매장구분!$B:$Z,2,0),"")</f>
        <v>리테일채널팀</v>
      </c>
      <c r="C422" s="46" t="str">
        <f>IFERROR(VLOOKUP($H422,매장구분!$B:$Z,3,0),"")</f>
        <v>국내</v>
      </c>
      <c r="D422" s="46" t="str">
        <f>IFERROR(VLOOKUP($H422,매장구분!$B:$Z,5,0),"")</f>
        <v>대리점</v>
      </c>
      <c r="E422" s="46" t="str">
        <f>IFERROR(VLOOKUP($H422,매장구분!$B:$Z,9,0),"")</f>
        <v>성남신흥(대-위)</v>
      </c>
      <c r="G422" s="36" t="s">
        <v>228</v>
      </c>
      <c r="H422" s="36" t="s">
        <v>229</v>
      </c>
      <c r="I422" s="36" t="s">
        <v>169</v>
      </c>
      <c r="J422" s="36" t="s">
        <v>79</v>
      </c>
      <c r="K422" s="36" t="s">
        <v>170</v>
      </c>
      <c r="L422" s="36" t="s">
        <v>171</v>
      </c>
      <c r="M422" s="36" t="s">
        <v>196</v>
      </c>
      <c r="N422" s="36" t="s">
        <v>197</v>
      </c>
      <c r="O422" s="36">
        <v>19773530</v>
      </c>
      <c r="P422" s="36">
        <v>165</v>
      </c>
      <c r="Q422" s="36">
        <v>0</v>
      </c>
      <c r="R422" s="36">
        <v>0</v>
      </c>
      <c r="S422" s="36">
        <v>0</v>
      </c>
      <c r="T422" s="36">
        <v>0</v>
      </c>
      <c r="U422" s="36">
        <v>427370</v>
      </c>
      <c r="V422" s="36">
        <v>3</v>
      </c>
      <c r="W422" s="36">
        <v>0</v>
      </c>
      <c r="X422" s="36">
        <v>0</v>
      </c>
      <c r="Y422" s="48">
        <v>117135000</v>
      </c>
      <c r="Z422" s="36">
        <v>2578</v>
      </c>
      <c r="AA422" s="36">
        <v>0</v>
      </c>
      <c r="AB422" s="36">
        <v>0</v>
      </c>
      <c r="AC422" s="36">
        <v>137335900</v>
      </c>
      <c r="AD422" s="36">
        <v>2746</v>
      </c>
      <c r="AF422" s="47">
        <f t="shared" si="6"/>
        <v>20200900</v>
      </c>
    </row>
    <row r="423" spans="1:32" x14ac:dyDescent="0.3">
      <c r="A423" s="46" t="s">
        <v>2</v>
      </c>
      <c r="B423" s="46" t="str">
        <f>IFERROR(VLOOKUP($H423,매장구분!$B:$Z,2,0),"")</f>
        <v>파트너채널팀</v>
      </c>
      <c r="C423" s="46" t="str">
        <f>IFERROR(VLOOKUP($H423,매장구분!$B:$Z,3,0),"")</f>
        <v>국내</v>
      </c>
      <c r="D423" s="46" t="str">
        <f>IFERROR(VLOOKUP($H423,매장구분!$B:$Z,5,0),"")</f>
        <v>백화점</v>
      </c>
      <c r="E423" s="46" t="str">
        <f>IFERROR(VLOOKUP($H423,매장구분!$B:$Z,9,0),"")</f>
        <v>롯데청량리</v>
      </c>
      <c r="G423" s="36" t="s">
        <v>255</v>
      </c>
      <c r="H423" s="36" t="s">
        <v>256</v>
      </c>
      <c r="I423" s="36" t="s">
        <v>169</v>
      </c>
      <c r="J423" s="36" t="s">
        <v>175</v>
      </c>
      <c r="K423" s="36" t="s">
        <v>170</v>
      </c>
      <c r="L423" s="36" t="s">
        <v>171</v>
      </c>
      <c r="M423" s="36" t="s">
        <v>77</v>
      </c>
      <c r="N423" s="36" t="s">
        <v>172</v>
      </c>
      <c r="O423" s="36">
        <v>10071210</v>
      </c>
      <c r="P423" s="36">
        <v>123</v>
      </c>
      <c r="Q423" s="36">
        <v>184000</v>
      </c>
      <c r="R423" s="36">
        <v>3</v>
      </c>
      <c r="S423" s="36">
        <v>0</v>
      </c>
      <c r="T423" s="36">
        <v>0</v>
      </c>
      <c r="U423" s="36">
        <v>3848790</v>
      </c>
      <c r="V423" s="36">
        <v>33</v>
      </c>
      <c r="W423" s="36">
        <v>0</v>
      </c>
      <c r="X423" s="36">
        <v>0</v>
      </c>
      <c r="Y423" s="48">
        <v>13561000</v>
      </c>
      <c r="Z423" s="36">
        <v>223</v>
      </c>
      <c r="AA423" s="36">
        <v>0</v>
      </c>
      <c r="AB423" s="36">
        <v>0</v>
      </c>
      <c r="AC423" s="36">
        <v>27665000</v>
      </c>
      <c r="AD423" s="36">
        <v>382</v>
      </c>
      <c r="AF423" s="47">
        <f t="shared" si="6"/>
        <v>14104000</v>
      </c>
    </row>
    <row r="424" spans="1:32" x14ac:dyDescent="0.3">
      <c r="A424" s="46" t="s">
        <v>2</v>
      </c>
      <c r="B424" s="46" t="str">
        <f>IFERROR(VLOOKUP($H424,매장구분!$B:$Z,2,0),"")</f>
        <v>파트너채널팀</v>
      </c>
      <c r="C424" s="46" t="str">
        <f>IFERROR(VLOOKUP($H424,매장구분!$B:$Z,3,0),"")</f>
        <v>국내</v>
      </c>
      <c r="D424" s="46" t="str">
        <f>IFERROR(VLOOKUP($H424,매장구분!$B:$Z,5,0),"")</f>
        <v>백화점</v>
      </c>
      <c r="E424" s="46" t="str">
        <f>IFERROR(VLOOKUP($H424,매장구분!$B:$Z,9,0),"")</f>
        <v>신세계천안아산</v>
      </c>
      <c r="G424" s="36" t="s">
        <v>271</v>
      </c>
      <c r="H424" s="36" t="s">
        <v>272</v>
      </c>
      <c r="I424" s="36" t="s">
        <v>169</v>
      </c>
      <c r="J424" s="36" t="s">
        <v>175</v>
      </c>
      <c r="K424" s="36" t="s">
        <v>170</v>
      </c>
      <c r="L424" s="36" t="s">
        <v>171</v>
      </c>
      <c r="M424" s="36" t="s">
        <v>77</v>
      </c>
      <c r="N424" s="36" t="s">
        <v>172</v>
      </c>
      <c r="O424" s="36">
        <v>14789600</v>
      </c>
      <c r="P424" s="36">
        <v>186</v>
      </c>
      <c r="Q424" s="36">
        <v>0</v>
      </c>
      <c r="R424" s="36">
        <v>0</v>
      </c>
      <c r="S424" s="36">
        <v>0</v>
      </c>
      <c r="T424" s="36">
        <v>0</v>
      </c>
      <c r="U424" s="36">
        <v>1291300</v>
      </c>
      <c r="V424" s="36">
        <v>7</v>
      </c>
      <c r="W424" s="36">
        <v>0</v>
      </c>
      <c r="X424" s="36">
        <v>0</v>
      </c>
      <c r="Y424" s="48">
        <v>0</v>
      </c>
      <c r="Z424" s="36">
        <v>0</v>
      </c>
      <c r="AA424" s="36">
        <v>0</v>
      </c>
      <c r="AB424" s="36">
        <v>0</v>
      </c>
      <c r="AC424" s="36">
        <v>16080900</v>
      </c>
      <c r="AD424" s="36">
        <v>193</v>
      </c>
      <c r="AF424" s="47">
        <f t="shared" si="6"/>
        <v>16080900</v>
      </c>
    </row>
    <row r="425" spans="1:32" x14ac:dyDescent="0.3">
      <c r="A425" s="46" t="s">
        <v>2</v>
      </c>
      <c r="B425" s="46" t="str">
        <f>IFERROR(VLOOKUP($H425,매장구분!$B:$Z,2,0),"")</f>
        <v>파트너채널팀</v>
      </c>
      <c r="C425" s="46" t="str">
        <f>IFERROR(VLOOKUP($H425,매장구분!$B:$Z,3,0),"")</f>
        <v>국내</v>
      </c>
      <c r="D425" s="46" t="str">
        <f>IFERROR(VLOOKUP($H425,매장구분!$B:$Z,5,0),"")</f>
        <v>백화점</v>
      </c>
      <c r="E425" s="46" t="str">
        <f>IFERROR(VLOOKUP($H425,매장구분!$B:$Z,9,0),"")</f>
        <v>신세계대전</v>
      </c>
      <c r="G425" s="36" t="s">
        <v>263</v>
      </c>
      <c r="H425" s="36" t="s">
        <v>264</v>
      </c>
      <c r="I425" s="36" t="s">
        <v>169</v>
      </c>
      <c r="J425" s="36" t="s">
        <v>175</v>
      </c>
      <c r="K425" s="36" t="s">
        <v>170</v>
      </c>
      <c r="L425" s="36" t="s">
        <v>171</v>
      </c>
      <c r="M425" s="36" t="s">
        <v>77</v>
      </c>
      <c r="N425" s="36" t="s">
        <v>172</v>
      </c>
      <c r="O425" s="36">
        <v>10018100</v>
      </c>
      <c r="P425" s="36">
        <v>136</v>
      </c>
      <c r="Q425" s="36">
        <v>0</v>
      </c>
      <c r="R425" s="36">
        <v>0</v>
      </c>
      <c r="S425" s="36">
        <v>0</v>
      </c>
      <c r="T425" s="36">
        <v>0</v>
      </c>
      <c r="U425" s="36">
        <v>3475000</v>
      </c>
      <c r="V425" s="36">
        <v>15</v>
      </c>
      <c r="W425" s="36">
        <v>0</v>
      </c>
      <c r="X425" s="36">
        <v>0</v>
      </c>
      <c r="Y425" s="48">
        <v>0</v>
      </c>
      <c r="Z425" s="36">
        <v>0</v>
      </c>
      <c r="AA425" s="36">
        <v>0</v>
      </c>
      <c r="AB425" s="36">
        <v>0</v>
      </c>
      <c r="AC425" s="36">
        <v>13493100</v>
      </c>
      <c r="AD425" s="36">
        <v>151</v>
      </c>
      <c r="AF425" s="47">
        <f t="shared" si="6"/>
        <v>13493100</v>
      </c>
    </row>
    <row r="426" spans="1:32" x14ac:dyDescent="0.3">
      <c r="A426" s="46" t="s">
        <v>2</v>
      </c>
      <c r="B426" s="46" t="str">
        <f>IFERROR(VLOOKUP($H426,매장구분!$B:$Z,2,0),"")</f>
        <v>파트너채널팀</v>
      </c>
      <c r="C426" s="46" t="str">
        <f>IFERROR(VLOOKUP($H426,매장구분!$B:$Z,3,0),"")</f>
        <v>국내</v>
      </c>
      <c r="D426" s="46" t="str">
        <f>IFERROR(VLOOKUP($H426,매장구분!$B:$Z,5,0),"")</f>
        <v>백화점</v>
      </c>
      <c r="E426" s="46" t="str">
        <f>IFERROR(VLOOKUP($H426,매장구분!$B:$Z,9,0),"")</f>
        <v>갤러리아광교</v>
      </c>
      <c r="G426" s="36" t="s">
        <v>261</v>
      </c>
      <c r="H426" s="36" t="s">
        <v>262</v>
      </c>
      <c r="I426" s="36" t="s">
        <v>169</v>
      </c>
      <c r="J426" s="36" t="s">
        <v>175</v>
      </c>
      <c r="K426" s="36" t="s">
        <v>170</v>
      </c>
      <c r="L426" s="36" t="s">
        <v>171</v>
      </c>
      <c r="M426" s="36" t="s">
        <v>77</v>
      </c>
      <c r="N426" s="36" t="s">
        <v>172</v>
      </c>
      <c r="O426" s="36">
        <v>4761000</v>
      </c>
      <c r="P426" s="36">
        <v>57</v>
      </c>
      <c r="Q426" s="36">
        <v>3487300</v>
      </c>
      <c r="R426" s="36">
        <v>39</v>
      </c>
      <c r="S426" s="36">
        <v>0</v>
      </c>
      <c r="T426" s="36">
        <v>0</v>
      </c>
      <c r="U426" s="36">
        <v>1066000</v>
      </c>
      <c r="V426" s="36">
        <v>4</v>
      </c>
      <c r="W426" s="36">
        <v>0</v>
      </c>
      <c r="X426" s="36">
        <v>0</v>
      </c>
      <c r="Y426" s="48">
        <v>2794000</v>
      </c>
      <c r="Z426" s="36">
        <v>24</v>
      </c>
      <c r="AA426" s="36">
        <v>0</v>
      </c>
      <c r="AB426" s="36">
        <v>0</v>
      </c>
      <c r="AC426" s="36">
        <v>12108300</v>
      </c>
      <c r="AD426" s="36">
        <v>124</v>
      </c>
      <c r="AF426" s="47">
        <f t="shared" si="6"/>
        <v>9314300</v>
      </c>
    </row>
    <row r="427" spans="1:32" x14ac:dyDescent="0.3">
      <c r="A427" s="46" t="s">
        <v>2</v>
      </c>
      <c r="B427" s="46" t="str">
        <f>IFERROR(VLOOKUP($H427,매장구분!$B:$Z,2,0),"")</f>
        <v>리테일채널팀</v>
      </c>
      <c r="C427" s="46" t="str">
        <f>IFERROR(VLOOKUP($H427,매장구분!$B:$Z,3,0),"")</f>
        <v>국내</v>
      </c>
      <c r="D427" s="46" t="str">
        <f>IFERROR(VLOOKUP($H427,매장구분!$B:$Z,5,0),"")</f>
        <v>대리점</v>
      </c>
      <c r="E427" s="46" t="str">
        <f>IFERROR(VLOOKUP($H427,매장구분!$B:$Z,9,0),"")</f>
        <v>남양주삼패(대-위)</v>
      </c>
      <c r="G427" s="36" t="s">
        <v>222</v>
      </c>
      <c r="H427" s="36" t="s">
        <v>223</v>
      </c>
      <c r="I427" s="36" t="s">
        <v>169</v>
      </c>
      <c r="J427" s="36" t="s">
        <v>79</v>
      </c>
      <c r="K427" s="36" t="s">
        <v>170</v>
      </c>
      <c r="L427" s="36" t="s">
        <v>171</v>
      </c>
      <c r="M427" s="36" t="s">
        <v>196</v>
      </c>
      <c r="N427" s="36" t="s">
        <v>197</v>
      </c>
      <c r="O427" s="36">
        <v>4643066</v>
      </c>
      <c r="P427" s="36">
        <v>48</v>
      </c>
      <c r="Q427" s="36">
        <v>0</v>
      </c>
      <c r="R427" s="36">
        <v>0</v>
      </c>
      <c r="S427" s="36">
        <v>0</v>
      </c>
      <c r="T427" s="36">
        <v>0</v>
      </c>
      <c r="U427" s="36">
        <v>350234</v>
      </c>
      <c r="V427" s="36">
        <v>1</v>
      </c>
      <c r="W427" s="36">
        <v>0</v>
      </c>
      <c r="X427" s="36">
        <v>0</v>
      </c>
      <c r="Y427" s="48">
        <v>56762000</v>
      </c>
      <c r="Z427" s="36">
        <v>422</v>
      </c>
      <c r="AA427" s="36">
        <v>0</v>
      </c>
      <c r="AB427" s="36">
        <v>0</v>
      </c>
      <c r="AC427" s="36">
        <v>61755300</v>
      </c>
      <c r="AD427" s="36">
        <v>471</v>
      </c>
      <c r="AF427" s="47">
        <f t="shared" si="6"/>
        <v>4993300</v>
      </c>
    </row>
    <row r="428" spans="1:32" x14ac:dyDescent="0.3">
      <c r="A428" s="46" t="s">
        <v>2</v>
      </c>
      <c r="B428" s="46" t="str">
        <f>IFERROR(VLOOKUP($H428,매장구분!$B:$Z,2,0),"")</f>
        <v>파트너채널팀</v>
      </c>
      <c r="C428" s="46" t="str">
        <f>IFERROR(VLOOKUP($H428,매장구분!$B:$Z,3,0),"")</f>
        <v>국내</v>
      </c>
      <c r="D428" s="46" t="str">
        <f>IFERROR(VLOOKUP($H428,매장구분!$B:$Z,5,0),"")</f>
        <v>백화점</v>
      </c>
      <c r="E428" s="46" t="str">
        <f>IFERROR(VLOOKUP($H428,매장구분!$B:$Z,9,0),"")</f>
        <v>롯데강남</v>
      </c>
      <c r="G428" s="36" t="s">
        <v>275</v>
      </c>
      <c r="H428" s="36" t="s">
        <v>276</v>
      </c>
      <c r="I428" s="36" t="s">
        <v>169</v>
      </c>
      <c r="J428" s="36" t="s">
        <v>175</v>
      </c>
      <c r="K428" s="36" t="s">
        <v>170</v>
      </c>
      <c r="L428" s="36" t="s">
        <v>171</v>
      </c>
      <c r="M428" s="36" t="s">
        <v>77</v>
      </c>
      <c r="N428" s="36" t="s">
        <v>172</v>
      </c>
      <c r="O428" s="36">
        <v>3994000</v>
      </c>
      <c r="P428" s="36">
        <v>52</v>
      </c>
      <c r="Q428" s="36">
        <v>0</v>
      </c>
      <c r="R428" s="36">
        <v>0</v>
      </c>
      <c r="S428" s="36">
        <v>0</v>
      </c>
      <c r="T428" s="36">
        <v>0</v>
      </c>
      <c r="U428" s="36">
        <v>0</v>
      </c>
      <c r="V428" s="36">
        <v>0</v>
      </c>
      <c r="W428" s="36">
        <v>0</v>
      </c>
      <c r="X428" s="36">
        <v>0</v>
      </c>
      <c r="Y428" s="48">
        <v>13609000</v>
      </c>
      <c r="Z428" s="36">
        <v>42</v>
      </c>
      <c r="AA428" s="36">
        <v>0</v>
      </c>
      <c r="AB428" s="36">
        <v>0</v>
      </c>
      <c r="AC428" s="36">
        <v>17603000</v>
      </c>
      <c r="AD428" s="36">
        <v>94</v>
      </c>
      <c r="AF428" s="47">
        <f t="shared" si="6"/>
        <v>3994000</v>
      </c>
    </row>
    <row r="429" spans="1:32" x14ac:dyDescent="0.3">
      <c r="A429" s="46" t="s">
        <v>2</v>
      </c>
      <c r="B429" s="46" t="str">
        <f>IFERROR(VLOOKUP($H429,매장구분!$B:$Z,2,0),"")</f>
        <v>리테일채널팀</v>
      </c>
      <c r="C429" s="46" t="str">
        <f>IFERROR(VLOOKUP($H429,매장구분!$B:$Z,3,0),"")</f>
        <v>국내</v>
      </c>
      <c r="D429" s="46" t="str">
        <f>IFERROR(VLOOKUP($H429,매장구분!$B:$Z,5,0),"")</f>
        <v>대리점</v>
      </c>
      <c r="E429" s="46" t="str">
        <f>IFERROR(VLOOKUP($H429,매장구분!$B:$Z,9,0),"")</f>
        <v>청주(대-위)</v>
      </c>
      <c r="G429" s="36" t="s">
        <v>265</v>
      </c>
      <c r="H429" s="36" t="s">
        <v>266</v>
      </c>
      <c r="I429" s="36" t="s">
        <v>169</v>
      </c>
      <c r="J429" s="36" t="s">
        <v>79</v>
      </c>
      <c r="K429" s="36" t="s">
        <v>170</v>
      </c>
      <c r="L429" s="36" t="s">
        <v>171</v>
      </c>
      <c r="M429" s="36" t="s">
        <v>196</v>
      </c>
      <c r="N429" s="36" t="s">
        <v>197</v>
      </c>
      <c r="O429" s="36">
        <v>14326494</v>
      </c>
      <c r="P429" s="36">
        <v>159</v>
      </c>
      <c r="Q429" s="36">
        <v>0</v>
      </c>
      <c r="R429" s="36">
        <v>0</v>
      </c>
      <c r="S429" s="36">
        <v>0</v>
      </c>
      <c r="T429" s="36">
        <v>0</v>
      </c>
      <c r="U429" s="36">
        <v>527406</v>
      </c>
      <c r="V429" s="36">
        <v>4</v>
      </c>
      <c r="W429" s="36">
        <v>0</v>
      </c>
      <c r="X429" s="36">
        <v>0</v>
      </c>
      <c r="Y429" s="48">
        <v>31720000</v>
      </c>
      <c r="Z429" s="36">
        <v>760</v>
      </c>
      <c r="AA429" s="36">
        <v>0</v>
      </c>
      <c r="AB429" s="36">
        <v>0</v>
      </c>
      <c r="AC429" s="36">
        <v>46573900</v>
      </c>
      <c r="AD429" s="36">
        <v>923</v>
      </c>
      <c r="AF429" s="47">
        <f t="shared" si="6"/>
        <v>14853900</v>
      </c>
    </row>
    <row r="430" spans="1:32" x14ac:dyDescent="0.3">
      <c r="A430" s="46" t="s">
        <v>2</v>
      </c>
      <c r="B430" s="46" t="str">
        <f>IFERROR(VLOOKUP($H430,매장구분!$B:$Z,2,0),"")</f>
        <v>파트너채널팀</v>
      </c>
      <c r="C430" s="46" t="str">
        <f>IFERROR(VLOOKUP($H430,매장구분!$B:$Z,3,0),"")</f>
        <v>국내</v>
      </c>
      <c r="D430" s="46" t="str">
        <f>IFERROR(VLOOKUP($H430,매장구분!$B:$Z,5,0),"")</f>
        <v>백화점</v>
      </c>
      <c r="E430" s="46" t="str">
        <f>IFERROR(VLOOKUP($H430,매장구분!$B:$Z,9,0),"")</f>
        <v>롯데구리</v>
      </c>
      <c r="G430" s="36" t="s">
        <v>232</v>
      </c>
      <c r="H430" s="36" t="s">
        <v>233</v>
      </c>
      <c r="I430" s="36" t="s">
        <v>169</v>
      </c>
      <c r="J430" s="36" t="s">
        <v>175</v>
      </c>
      <c r="K430" s="36" t="s">
        <v>170</v>
      </c>
      <c r="L430" s="36" t="s">
        <v>171</v>
      </c>
      <c r="M430" s="36" t="s">
        <v>77</v>
      </c>
      <c r="N430" s="36" t="s">
        <v>172</v>
      </c>
      <c r="O430" s="36">
        <v>7664430</v>
      </c>
      <c r="P430" s="36">
        <v>94</v>
      </c>
      <c r="Q430" s="36">
        <v>1814000</v>
      </c>
      <c r="R430" s="36">
        <v>28</v>
      </c>
      <c r="S430" s="36">
        <v>0</v>
      </c>
      <c r="T430" s="36">
        <v>0</v>
      </c>
      <c r="U430" s="36">
        <v>1135270</v>
      </c>
      <c r="V430" s="36">
        <v>9</v>
      </c>
      <c r="W430" s="36">
        <v>0</v>
      </c>
      <c r="X430" s="36">
        <v>0</v>
      </c>
      <c r="Y430" s="48">
        <v>849000</v>
      </c>
      <c r="Z430" s="36">
        <v>17</v>
      </c>
      <c r="AA430" s="36">
        <v>0</v>
      </c>
      <c r="AB430" s="36">
        <v>0</v>
      </c>
      <c r="AC430" s="36">
        <v>11462700</v>
      </c>
      <c r="AD430" s="36">
        <v>148</v>
      </c>
      <c r="AF430" s="47">
        <f t="shared" si="6"/>
        <v>10613700</v>
      </c>
    </row>
    <row r="431" spans="1:32" x14ac:dyDescent="0.3">
      <c r="A431" s="46" t="s">
        <v>2</v>
      </c>
      <c r="B431" s="46" t="str">
        <f>IFERROR(VLOOKUP($H431,매장구분!$B:$Z,2,0),"")</f>
        <v>파트너채널팀</v>
      </c>
      <c r="C431" s="46" t="str">
        <f>IFERROR(VLOOKUP($H431,매장구분!$B:$Z,3,0),"")</f>
        <v>국내</v>
      </c>
      <c r="D431" s="46" t="str">
        <f>IFERROR(VLOOKUP($H431,매장구분!$B:$Z,5,0),"")</f>
        <v>백화점</v>
      </c>
      <c r="E431" s="46" t="str">
        <f>IFERROR(VLOOKUP($H431,매장구분!$B:$Z,9,0),"")</f>
        <v>신세계하남</v>
      </c>
      <c r="G431" s="36" t="s">
        <v>243</v>
      </c>
      <c r="H431" s="36" t="s">
        <v>244</v>
      </c>
      <c r="I431" s="36" t="s">
        <v>169</v>
      </c>
      <c r="J431" s="36" t="s">
        <v>175</v>
      </c>
      <c r="K431" s="36" t="s">
        <v>170</v>
      </c>
      <c r="L431" s="36" t="s">
        <v>171</v>
      </c>
      <c r="M431" s="36" t="s">
        <v>77</v>
      </c>
      <c r="N431" s="36" t="s">
        <v>172</v>
      </c>
      <c r="O431" s="36">
        <v>12305760</v>
      </c>
      <c r="P431" s="36">
        <v>124</v>
      </c>
      <c r="Q431" s="36">
        <v>0</v>
      </c>
      <c r="R431" s="36">
        <v>0</v>
      </c>
      <c r="S431" s="36">
        <v>0</v>
      </c>
      <c r="T431" s="36">
        <v>0</v>
      </c>
      <c r="U431" s="36">
        <v>1082340</v>
      </c>
      <c r="V431" s="36">
        <v>7</v>
      </c>
      <c r="W431" s="36">
        <v>0</v>
      </c>
      <c r="X431" s="36">
        <v>0</v>
      </c>
      <c r="Y431" s="48">
        <v>0</v>
      </c>
      <c r="Z431" s="36">
        <v>0</v>
      </c>
      <c r="AA431" s="36">
        <v>0</v>
      </c>
      <c r="AB431" s="36">
        <v>0</v>
      </c>
      <c r="AC431" s="36">
        <v>13388100</v>
      </c>
      <c r="AD431" s="36">
        <v>131</v>
      </c>
      <c r="AF431" s="47">
        <f t="shared" si="6"/>
        <v>13388100</v>
      </c>
    </row>
    <row r="432" spans="1:32" x14ac:dyDescent="0.3">
      <c r="A432" s="46" t="s">
        <v>2</v>
      </c>
      <c r="B432" s="46" t="str">
        <f>IFERROR(VLOOKUP($H432,매장구분!$B:$Z,2,0),"")</f>
        <v>파트너채널팀</v>
      </c>
      <c r="C432" s="46" t="str">
        <f>IFERROR(VLOOKUP($H432,매장구분!$B:$Z,3,0),"")</f>
        <v>국내</v>
      </c>
      <c r="D432" s="46" t="str">
        <f>IFERROR(VLOOKUP($H432,매장구분!$B:$Z,5,0),"")</f>
        <v>백화점</v>
      </c>
      <c r="E432" s="46" t="str">
        <f>IFERROR(VLOOKUP($H432,매장구분!$B:$Z,9,0),"")</f>
        <v>갤러리아센터시티</v>
      </c>
      <c r="G432" s="36" t="s">
        <v>259</v>
      </c>
      <c r="H432" s="36" t="s">
        <v>260</v>
      </c>
      <c r="I432" s="36" t="s">
        <v>169</v>
      </c>
      <c r="J432" s="36" t="s">
        <v>175</v>
      </c>
      <c r="K432" s="36" t="s">
        <v>170</v>
      </c>
      <c r="L432" s="36" t="s">
        <v>171</v>
      </c>
      <c r="M432" s="36" t="s">
        <v>77</v>
      </c>
      <c r="N432" s="36" t="s">
        <v>172</v>
      </c>
      <c r="O432" s="36">
        <v>5358490</v>
      </c>
      <c r="P432" s="36">
        <v>70</v>
      </c>
      <c r="Q432" s="36">
        <v>701000</v>
      </c>
      <c r="R432" s="36">
        <v>11</v>
      </c>
      <c r="S432" s="36">
        <v>0</v>
      </c>
      <c r="T432" s="36">
        <v>0</v>
      </c>
      <c r="U432" s="36">
        <v>3275210</v>
      </c>
      <c r="V432" s="36">
        <v>24</v>
      </c>
      <c r="W432" s="36">
        <v>0</v>
      </c>
      <c r="X432" s="36">
        <v>0</v>
      </c>
      <c r="Y432" s="48">
        <v>0</v>
      </c>
      <c r="Z432" s="36">
        <v>0</v>
      </c>
      <c r="AA432" s="36">
        <v>0</v>
      </c>
      <c r="AB432" s="36">
        <v>0</v>
      </c>
      <c r="AC432" s="36">
        <v>9334700</v>
      </c>
      <c r="AD432" s="36">
        <v>105</v>
      </c>
      <c r="AF432" s="47">
        <f t="shared" si="6"/>
        <v>9334700</v>
      </c>
    </row>
    <row r="433" spans="1:32" x14ac:dyDescent="0.3">
      <c r="A433" s="46" t="s">
        <v>2</v>
      </c>
      <c r="B433" s="46" t="str">
        <f>IFERROR(VLOOKUP($H433,매장구분!$B:$Z,2,0),"")</f>
        <v>파트너채널팀</v>
      </c>
      <c r="C433" s="46" t="str">
        <f>IFERROR(VLOOKUP($H433,매장구분!$B:$Z,3,0),"")</f>
        <v>국내</v>
      </c>
      <c r="D433" s="46" t="str">
        <f>IFERROR(VLOOKUP($H433,매장구분!$B:$Z,5,0),"")</f>
        <v>백화점</v>
      </c>
      <c r="E433" s="46" t="str">
        <f>IFERROR(VLOOKUP($H433,매장구분!$B:$Z,9,0),"")</f>
        <v>롯데동래</v>
      </c>
      <c r="G433" s="36" t="s">
        <v>239</v>
      </c>
      <c r="H433" s="36" t="s">
        <v>240</v>
      </c>
      <c r="I433" s="36" t="s">
        <v>169</v>
      </c>
      <c r="J433" s="36" t="s">
        <v>175</v>
      </c>
      <c r="K433" s="36" t="s">
        <v>170</v>
      </c>
      <c r="L433" s="36" t="s">
        <v>171</v>
      </c>
      <c r="M433" s="36" t="s">
        <v>77</v>
      </c>
      <c r="N433" s="36" t="s">
        <v>172</v>
      </c>
      <c r="O433" s="36">
        <v>12332950</v>
      </c>
      <c r="P433" s="36">
        <v>142</v>
      </c>
      <c r="Q433" s="36">
        <v>0</v>
      </c>
      <c r="R433" s="36">
        <v>0</v>
      </c>
      <c r="S433" s="36">
        <v>0</v>
      </c>
      <c r="T433" s="36">
        <v>0</v>
      </c>
      <c r="U433" s="36">
        <v>503950</v>
      </c>
      <c r="V433" s="36">
        <v>3</v>
      </c>
      <c r="W433" s="36">
        <v>0</v>
      </c>
      <c r="X433" s="36">
        <v>0</v>
      </c>
      <c r="Y433" s="48">
        <v>0</v>
      </c>
      <c r="Z433" s="36">
        <v>0</v>
      </c>
      <c r="AA433" s="36">
        <v>0</v>
      </c>
      <c r="AB433" s="36">
        <v>0</v>
      </c>
      <c r="AC433" s="36">
        <v>12836900</v>
      </c>
      <c r="AD433" s="36">
        <v>145</v>
      </c>
      <c r="AF433" s="47">
        <f t="shared" si="6"/>
        <v>12836900</v>
      </c>
    </row>
    <row r="434" spans="1:32" x14ac:dyDescent="0.3">
      <c r="A434" s="46" t="s">
        <v>2</v>
      </c>
      <c r="B434" s="46" t="str">
        <f>IFERROR(VLOOKUP($H434,매장구분!$B:$Z,2,0),"")</f>
        <v>리테일채널팀</v>
      </c>
      <c r="C434" s="46" t="str">
        <f>IFERROR(VLOOKUP($H434,매장구분!$B:$Z,3,0),"")</f>
        <v>국내</v>
      </c>
      <c r="D434" s="46" t="str">
        <f>IFERROR(VLOOKUP($H434,매장구분!$B:$Z,5,0),"")</f>
        <v>상설(위탁)</v>
      </c>
      <c r="E434" s="46" t="str">
        <f>IFERROR(VLOOKUP($H434,매장구분!$B:$Z,9,0),"")</f>
        <v>LF스퀘어양주(상-위)</v>
      </c>
      <c r="G434" s="36" t="s">
        <v>283</v>
      </c>
      <c r="H434" s="36" t="s">
        <v>284</v>
      </c>
      <c r="I434" s="36" t="s">
        <v>169</v>
      </c>
      <c r="J434" s="36" t="s">
        <v>79</v>
      </c>
      <c r="K434" s="36" t="s">
        <v>170</v>
      </c>
      <c r="L434" s="36" t="s">
        <v>171</v>
      </c>
      <c r="M434" s="36" t="s">
        <v>77</v>
      </c>
      <c r="N434" s="36" t="s">
        <v>172</v>
      </c>
      <c r="O434" s="36">
        <v>1023000</v>
      </c>
      <c r="P434" s="36">
        <v>28</v>
      </c>
      <c r="Q434" s="36">
        <v>0</v>
      </c>
      <c r="R434" s="36">
        <v>0</v>
      </c>
      <c r="S434" s="36">
        <v>0</v>
      </c>
      <c r="T434" s="36">
        <v>0</v>
      </c>
      <c r="U434" s="36">
        <v>0</v>
      </c>
      <c r="V434" s="36">
        <v>0</v>
      </c>
      <c r="W434" s="36">
        <v>0</v>
      </c>
      <c r="X434" s="36">
        <v>0</v>
      </c>
      <c r="Y434" s="48">
        <v>0</v>
      </c>
      <c r="Z434" s="36">
        <v>0</v>
      </c>
      <c r="AA434" s="36">
        <v>0</v>
      </c>
      <c r="AB434" s="36">
        <v>0</v>
      </c>
      <c r="AC434" s="36">
        <v>1023000</v>
      </c>
      <c r="AD434" s="36">
        <v>28</v>
      </c>
      <c r="AF434" s="47">
        <f t="shared" si="6"/>
        <v>1023000</v>
      </c>
    </row>
    <row r="435" spans="1:32" x14ac:dyDescent="0.3">
      <c r="A435" s="46" t="s">
        <v>2</v>
      </c>
      <c r="B435" s="46" t="str">
        <f>IFERROR(VLOOKUP($H435,매장구분!$B:$Z,2,0),"")</f>
        <v>리테일채널팀</v>
      </c>
      <c r="C435" s="46" t="str">
        <f>IFERROR(VLOOKUP($H435,매장구분!$B:$Z,3,0),"")</f>
        <v>국내</v>
      </c>
      <c r="D435" s="46" t="str">
        <f>IFERROR(VLOOKUP($H435,매장구분!$B:$Z,5,0),"")</f>
        <v>상설(위탁)</v>
      </c>
      <c r="E435" s="46" t="str">
        <f>IFERROR(VLOOKUP($H435,매장구분!$B:$Z,9,0),"")</f>
        <v>롯데아울렛부여(상-위)</v>
      </c>
      <c r="G435" s="36" t="s">
        <v>281</v>
      </c>
      <c r="H435" s="36" t="s">
        <v>282</v>
      </c>
      <c r="I435" s="36" t="s">
        <v>169</v>
      </c>
      <c r="J435" s="36" t="s">
        <v>79</v>
      </c>
      <c r="K435" s="36" t="s">
        <v>170</v>
      </c>
      <c r="L435" s="36" t="s">
        <v>171</v>
      </c>
      <c r="M435" s="36" t="s">
        <v>219</v>
      </c>
      <c r="N435" s="36" t="s">
        <v>219</v>
      </c>
      <c r="O435" s="36">
        <v>2010000</v>
      </c>
      <c r="P435" s="36">
        <v>55</v>
      </c>
      <c r="Q435" s="36">
        <v>0</v>
      </c>
      <c r="R435" s="36">
        <v>0</v>
      </c>
      <c r="S435" s="36">
        <v>0</v>
      </c>
      <c r="T435" s="36">
        <v>0</v>
      </c>
      <c r="U435" s="36">
        <v>0</v>
      </c>
      <c r="V435" s="36">
        <v>0</v>
      </c>
      <c r="W435" s="36">
        <v>0</v>
      </c>
      <c r="X435" s="36">
        <v>0</v>
      </c>
      <c r="Y435" s="48">
        <v>0</v>
      </c>
      <c r="Z435" s="36">
        <v>0</v>
      </c>
      <c r="AA435" s="36">
        <v>0</v>
      </c>
      <c r="AB435" s="36">
        <v>0</v>
      </c>
      <c r="AC435" s="36">
        <v>2010000</v>
      </c>
      <c r="AD435" s="36">
        <v>55</v>
      </c>
      <c r="AF435" s="47">
        <f t="shared" si="6"/>
        <v>2010000</v>
      </c>
    </row>
    <row r="436" spans="1:32" x14ac:dyDescent="0.3">
      <c r="A436" s="46" t="s">
        <v>2</v>
      </c>
      <c r="B436" s="46" t="str">
        <f>IFERROR(VLOOKUP($H436,매장구분!$B:$Z,2,0),"")</f>
        <v>리테일채널팀</v>
      </c>
      <c r="C436" s="46" t="str">
        <f>IFERROR(VLOOKUP($H436,매장구분!$B:$Z,3,0),"")</f>
        <v>국내</v>
      </c>
      <c r="D436" s="46" t="str">
        <f>IFERROR(VLOOKUP($H436,매장구분!$B:$Z,5,0),"")</f>
        <v>상설(위탁)</v>
      </c>
      <c r="E436" s="46" t="str">
        <f>IFERROR(VLOOKUP($H436,매장구분!$B:$Z,9,0),"")</f>
        <v>신세계아울렛기장(상-위)</v>
      </c>
      <c r="G436" s="36" t="s">
        <v>277</v>
      </c>
      <c r="H436" s="36" t="s">
        <v>278</v>
      </c>
      <c r="I436" s="36" t="s">
        <v>169</v>
      </c>
      <c r="J436" s="36" t="s">
        <v>79</v>
      </c>
      <c r="K436" s="36" t="s">
        <v>170</v>
      </c>
      <c r="L436" s="36" t="s">
        <v>171</v>
      </c>
      <c r="M436" s="36" t="s">
        <v>219</v>
      </c>
      <c r="N436" s="36" t="s">
        <v>219</v>
      </c>
      <c r="O436" s="36">
        <v>1430000</v>
      </c>
      <c r="P436" s="36">
        <v>34</v>
      </c>
      <c r="Q436" s="36">
        <v>0</v>
      </c>
      <c r="R436" s="36">
        <v>0</v>
      </c>
      <c r="S436" s="36">
        <v>0</v>
      </c>
      <c r="T436" s="36">
        <v>0</v>
      </c>
      <c r="U436" s="36">
        <v>0</v>
      </c>
      <c r="V436" s="36">
        <v>0</v>
      </c>
      <c r="W436" s="36">
        <v>0</v>
      </c>
      <c r="X436" s="36">
        <v>0</v>
      </c>
      <c r="Y436" s="48">
        <v>0</v>
      </c>
      <c r="Z436" s="36">
        <v>0</v>
      </c>
      <c r="AA436" s="36">
        <v>0</v>
      </c>
      <c r="AB436" s="36">
        <v>0</v>
      </c>
      <c r="AC436" s="36">
        <v>1430000</v>
      </c>
      <c r="AD436" s="36">
        <v>34</v>
      </c>
      <c r="AF436" s="47">
        <f t="shared" si="6"/>
        <v>1430000</v>
      </c>
    </row>
    <row r="437" spans="1:32" x14ac:dyDescent="0.3">
      <c r="A437" s="46" t="s">
        <v>2</v>
      </c>
      <c r="B437" s="46" t="str">
        <f>IFERROR(VLOOKUP($H437,매장구분!$B:$Z,2,0),"")</f>
        <v>리테일채널팀</v>
      </c>
      <c r="C437" s="46" t="str">
        <f>IFERROR(VLOOKUP($H437,매장구분!$B:$Z,3,0),"")</f>
        <v>국내</v>
      </c>
      <c r="D437" s="46" t="str">
        <f>IFERROR(VLOOKUP($H437,매장구분!$B:$Z,5,0),"")</f>
        <v>상설(위탁)</v>
      </c>
      <c r="E437" s="46" t="str">
        <f>IFERROR(VLOOKUP($H437,매장구분!$B:$Z,9,0),"")</f>
        <v>현대아울렛가산(상-위)</v>
      </c>
      <c r="G437" s="36" t="s">
        <v>285</v>
      </c>
      <c r="H437" s="36" t="s">
        <v>286</v>
      </c>
      <c r="I437" s="36" t="s">
        <v>169</v>
      </c>
      <c r="J437" s="36" t="s">
        <v>79</v>
      </c>
      <c r="K437" s="36" t="s">
        <v>170</v>
      </c>
      <c r="L437" s="36" t="s">
        <v>171</v>
      </c>
      <c r="M437" s="36" t="s">
        <v>219</v>
      </c>
      <c r="N437" s="36" t="s">
        <v>219</v>
      </c>
      <c r="O437" s="36">
        <v>501000</v>
      </c>
      <c r="P437" s="36">
        <v>14</v>
      </c>
      <c r="Q437" s="36">
        <v>0</v>
      </c>
      <c r="R437" s="36">
        <v>0</v>
      </c>
      <c r="S437" s="36">
        <v>0</v>
      </c>
      <c r="T437" s="36">
        <v>0</v>
      </c>
      <c r="U437" s="36">
        <v>0</v>
      </c>
      <c r="V437" s="36">
        <v>0</v>
      </c>
      <c r="W437" s="36">
        <v>0</v>
      </c>
      <c r="X437" s="36">
        <v>0</v>
      </c>
      <c r="Y437" s="48">
        <v>0</v>
      </c>
      <c r="Z437" s="36">
        <v>0</v>
      </c>
      <c r="AA437" s="36">
        <v>0</v>
      </c>
      <c r="AB437" s="36">
        <v>0</v>
      </c>
      <c r="AC437" s="36">
        <v>501000</v>
      </c>
      <c r="AD437" s="36">
        <v>14</v>
      </c>
      <c r="AF437" s="47">
        <f t="shared" si="6"/>
        <v>501000</v>
      </c>
    </row>
    <row r="438" spans="1:32" x14ac:dyDescent="0.3">
      <c r="A438" s="46" t="s">
        <v>2</v>
      </c>
      <c r="B438" s="46" t="str">
        <f>IFERROR(VLOOKUP($H438,매장구분!$B:$Z,2,0),"")</f>
        <v>리테일채널팀</v>
      </c>
      <c r="C438" s="46" t="str">
        <f>IFERROR(VLOOKUP($H438,매장구분!$B:$Z,3,0),"")</f>
        <v>국내</v>
      </c>
      <c r="D438" s="46" t="str">
        <f>IFERROR(VLOOKUP($H438,매장구분!$B:$Z,5,0),"")</f>
        <v>대리점</v>
      </c>
      <c r="E438" s="46" t="str">
        <f>IFERROR(VLOOKUP($H438,매장구분!$B:$Z,9,0),"")</f>
        <v>전주중앙(대-위)</v>
      </c>
      <c r="G438" s="36" t="s">
        <v>293</v>
      </c>
      <c r="H438" s="36" t="s">
        <v>294</v>
      </c>
      <c r="I438" s="36" t="s">
        <v>169</v>
      </c>
      <c r="J438" s="36" t="s">
        <v>79</v>
      </c>
      <c r="K438" s="36" t="s">
        <v>170</v>
      </c>
      <c r="L438" s="36" t="s">
        <v>171</v>
      </c>
      <c r="M438" s="36" t="s">
        <v>196</v>
      </c>
      <c r="N438" s="36" t="s">
        <v>197</v>
      </c>
      <c r="O438" s="36">
        <v>16082150</v>
      </c>
      <c r="P438" s="36">
        <v>143</v>
      </c>
      <c r="Q438" s="36">
        <v>0</v>
      </c>
      <c r="R438" s="36">
        <v>0</v>
      </c>
      <c r="S438" s="36">
        <v>0</v>
      </c>
      <c r="T438" s="36">
        <v>0</v>
      </c>
      <c r="U438" s="36">
        <v>1491050</v>
      </c>
      <c r="V438" s="36">
        <v>7</v>
      </c>
      <c r="W438" s="36">
        <v>0</v>
      </c>
      <c r="X438" s="36">
        <v>0</v>
      </c>
      <c r="Y438" s="48">
        <v>0</v>
      </c>
      <c r="Z438" s="36">
        <v>0</v>
      </c>
      <c r="AA438" s="36">
        <v>0</v>
      </c>
      <c r="AB438" s="36">
        <v>0</v>
      </c>
      <c r="AC438" s="36">
        <v>17573200</v>
      </c>
      <c r="AD438" s="36">
        <v>150</v>
      </c>
      <c r="AF438" s="47">
        <f t="shared" si="6"/>
        <v>17573200</v>
      </c>
    </row>
    <row r="439" spans="1:32" x14ac:dyDescent="0.3">
      <c r="A439" s="46" t="s">
        <v>2</v>
      </c>
      <c r="B439" s="46" t="str">
        <f>IFERROR(VLOOKUP($H439,매장구분!$B:$Z,2,0),"")</f>
        <v>리테일채널팀</v>
      </c>
      <c r="C439" s="46" t="str">
        <f>IFERROR(VLOOKUP($H439,매장구분!$B:$Z,3,0),"")</f>
        <v>국내</v>
      </c>
      <c r="D439" s="46" t="str">
        <f>IFERROR(VLOOKUP($H439,매장구분!$B:$Z,5,0),"")</f>
        <v>대리점</v>
      </c>
      <c r="E439" s="46" t="str">
        <f>IFERROR(VLOOKUP($H439,매장구분!$B:$Z,9,0),"")</f>
        <v>나주(대-위)</v>
      </c>
      <c r="G439" s="36" t="s">
        <v>324</v>
      </c>
      <c r="H439" s="36" t="s">
        <v>325</v>
      </c>
      <c r="I439" s="36" t="s">
        <v>169</v>
      </c>
      <c r="J439" s="36" t="s">
        <v>79</v>
      </c>
      <c r="K439" s="36" t="s">
        <v>170</v>
      </c>
      <c r="L439" s="36" t="s">
        <v>171</v>
      </c>
      <c r="M439" s="36" t="s">
        <v>196</v>
      </c>
      <c r="N439" s="36" t="s">
        <v>197</v>
      </c>
      <c r="O439" s="36">
        <v>9112188</v>
      </c>
      <c r="P439" s="36">
        <v>88</v>
      </c>
      <c r="Q439" s="36">
        <v>0</v>
      </c>
      <c r="R439" s="36">
        <v>0</v>
      </c>
      <c r="S439" s="36">
        <v>0</v>
      </c>
      <c r="T439" s="36">
        <v>0</v>
      </c>
      <c r="U439" s="36">
        <v>2331290</v>
      </c>
      <c r="V439" s="36">
        <v>18</v>
      </c>
      <c r="W439" s="36">
        <v>0</v>
      </c>
      <c r="X439" s="36">
        <v>0</v>
      </c>
      <c r="Y439" s="48">
        <v>0</v>
      </c>
      <c r="Z439" s="36">
        <v>0</v>
      </c>
      <c r="AA439" s="36">
        <v>0</v>
      </c>
      <c r="AB439" s="36">
        <v>0</v>
      </c>
      <c r="AC439" s="36">
        <v>11443478</v>
      </c>
      <c r="AD439" s="36">
        <v>106</v>
      </c>
      <c r="AF439" s="47">
        <f t="shared" si="6"/>
        <v>11443478</v>
      </c>
    </row>
    <row r="440" spans="1:32" x14ac:dyDescent="0.3">
      <c r="A440" s="46" t="s">
        <v>2</v>
      </c>
      <c r="B440" s="46" t="str">
        <f>IFERROR(VLOOKUP($H440,매장구분!$B:$Z,2,0),"")</f>
        <v>리테일채널팀</v>
      </c>
      <c r="C440" s="46" t="str">
        <f>IFERROR(VLOOKUP($H440,매장구분!$B:$Z,3,0),"")</f>
        <v>국내</v>
      </c>
      <c r="D440" s="46" t="str">
        <f>IFERROR(VLOOKUP($H440,매장구분!$B:$Z,5,0),"")</f>
        <v>대리점</v>
      </c>
      <c r="E440" s="46" t="str">
        <f>IFERROR(VLOOKUP($H440,매장구분!$B:$Z,9,0),"")</f>
        <v>포천(대-위)</v>
      </c>
      <c r="G440" s="36" t="s">
        <v>289</v>
      </c>
      <c r="H440" s="36" t="s">
        <v>290</v>
      </c>
      <c r="I440" s="36" t="s">
        <v>169</v>
      </c>
      <c r="J440" s="36" t="s">
        <v>79</v>
      </c>
      <c r="K440" s="36" t="s">
        <v>170</v>
      </c>
      <c r="L440" s="36" t="s">
        <v>171</v>
      </c>
      <c r="M440" s="36" t="s">
        <v>196</v>
      </c>
      <c r="N440" s="36" t="s">
        <v>197</v>
      </c>
      <c r="O440" s="36">
        <v>4221835</v>
      </c>
      <c r="P440" s="36">
        <v>52</v>
      </c>
      <c r="Q440" s="36">
        <v>0</v>
      </c>
      <c r="R440" s="36">
        <v>0</v>
      </c>
      <c r="S440" s="36">
        <v>0</v>
      </c>
      <c r="T440" s="36">
        <v>0</v>
      </c>
      <c r="U440" s="36">
        <v>1415265</v>
      </c>
      <c r="V440" s="36">
        <v>11</v>
      </c>
      <c r="W440" s="36">
        <v>0</v>
      </c>
      <c r="X440" s="36">
        <v>0</v>
      </c>
      <c r="Y440" s="48">
        <v>2780000</v>
      </c>
      <c r="Z440" s="36">
        <v>20</v>
      </c>
      <c r="AA440" s="36">
        <v>0</v>
      </c>
      <c r="AB440" s="36">
        <v>0</v>
      </c>
      <c r="AC440" s="36">
        <v>8417100</v>
      </c>
      <c r="AD440" s="36">
        <v>83</v>
      </c>
      <c r="AF440" s="47">
        <f t="shared" si="6"/>
        <v>5637100</v>
      </c>
    </row>
    <row r="441" spans="1:32" x14ac:dyDescent="0.3">
      <c r="A441" s="46" t="s">
        <v>2</v>
      </c>
      <c r="B441" s="46" t="str">
        <f>IFERROR(VLOOKUP($H441,매장구분!$B:$Z,2,0),"")</f>
        <v>리테일채널팀</v>
      </c>
      <c r="C441" s="46" t="str">
        <f>IFERROR(VLOOKUP($H441,매장구분!$B:$Z,3,0),"")</f>
        <v>국내</v>
      </c>
      <c r="D441" s="46" t="str">
        <f>IFERROR(VLOOKUP($H441,매장구분!$B:$Z,5,0),"")</f>
        <v>대리점</v>
      </c>
      <c r="E441" s="46" t="str">
        <f>IFERROR(VLOOKUP($H441,매장구분!$B:$Z,9,0),"")</f>
        <v>서귀포(대-위)</v>
      </c>
      <c r="G441" s="36" t="s">
        <v>313</v>
      </c>
      <c r="H441" s="36" t="s">
        <v>314</v>
      </c>
      <c r="I441" s="36" t="s">
        <v>169</v>
      </c>
      <c r="J441" s="36" t="s">
        <v>79</v>
      </c>
      <c r="K441" s="36" t="s">
        <v>170</v>
      </c>
      <c r="L441" s="36" t="s">
        <v>171</v>
      </c>
      <c r="M441" s="36" t="s">
        <v>196</v>
      </c>
      <c r="N441" s="36" t="s">
        <v>197</v>
      </c>
      <c r="O441" s="36">
        <v>10150729</v>
      </c>
      <c r="P441" s="36">
        <v>135</v>
      </c>
      <c r="Q441" s="36">
        <v>0</v>
      </c>
      <c r="R441" s="36">
        <v>0</v>
      </c>
      <c r="S441" s="36">
        <v>0</v>
      </c>
      <c r="T441" s="36">
        <v>0</v>
      </c>
      <c r="U441" s="36">
        <v>3353871</v>
      </c>
      <c r="V441" s="36">
        <v>27</v>
      </c>
      <c r="W441" s="36">
        <v>0</v>
      </c>
      <c r="X441" s="36">
        <v>0</v>
      </c>
      <c r="Y441" s="48">
        <v>0</v>
      </c>
      <c r="Z441" s="36">
        <v>0</v>
      </c>
      <c r="AA441" s="36">
        <v>0</v>
      </c>
      <c r="AB441" s="36">
        <v>0</v>
      </c>
      <c r="AC441" s="36">
        <v>13504600</v>
      </c>
      <c r="AD441" s="36">
        <v>162</v>
      </c>
      <c r="AF441" s="47">
        <f t="shared" si="6"/>
        <v>13504600</v>
      </c>
    </row>
    <row r="442" spans="1:32" x14ac:dyDescent="0.3">
      <c r="A442" s="46" t="s">
        <v>2</v>
      </c>
      <c r="B442" s="46" t="str">
        <f>IFERROR(VLOOKUP($H442,매장구분!$B:$Z,2,0),"")</f>
        <v>리테일채널팀</v>
      </c>
      <c r="C442" s="46" t="str">
        <f>IFERROR(VLOOKUP($H442,매장구분!$B:$Z,3,0),"")</f>
        <v>RF</v>
      </c>
      <c r="D442" s="46" t="str">
        <f>IFERROR(VLOOKUP($H442,매장구분!$B:$Z,5,0),"")</f>
        <v>대리점</v>
      </c>
      <c r="E442" s="46" t="str">
        <f>IFERROR(VLOOKUP($H442,매장구분!$B:$Z,9,0),"")</f>
        <v>부산광복(대-위)</v>
      </c>
      <c r="G442" s="36" t="s">
        <v>326</v>
      </c>
      <c r="H442" s="36" t="s">
        <v>327</v>
      </c>
      <c r="I442" s="36" t="s">
        <v>169</v>
      </c>
      <c r="J442" s="36" t="s">
        <v>79</v>
      </c>
      <c r="K442" s="36" t="s">
        <v>170</v>
      </c>
      <c r="L442" s="36" t="s">
        <v>171</v>
      </c>
      <c r="M442" s="36" t="s">
        <v>196</v>
      </c>
      <c r="N442" s="36" t="s">
        <v>197</v>
      </c>
      <c r="O442" s="36">
        <v>41157781</v>
      </c>
      <c r="P442" s="36">
        <v>431</v>
      </c>
      <c r="Q442" s="36">
        <v>0</v>
      </c>
      <c r="R442" s="36">
        <v>0</v>
      </c>
      <c r="S442" s="36">
        <v>0</v>
      </c>
      <c r="T442" s="36">
        <v>0</v>
      </c>
      <c r="U442" s="36">
        <v>418719</v>
      </c>
      <c r="V442" s="36">
        <v>0</v>
      </c>
      <c r="W442" s="36">
        <v>0</v>
      </c>
      <c r="X442" s="36">
        <v>0</v>
      </c>
      <c r="Y442" s="48">
        <v>39111200</v>
      </c>
      <c r="Z442" s="36">
        <v>941</v>
      </c>
      <c r="AA442" s="36">
        <v>0</v>
      </c>
      <c r="AB442" s="36">
        <v>0</v>
      </c>
      <c r="AC442" s="36">
        <v>80687700</v>
      </c>
      <c r="AD442" s="36">
        <v>1372</v>
      </c>
      <c r="AF442" s="47">
        <f t="shared" si="6"/>
        <v>41576500</v>
      </c>
    </row>
    <row r="443" spans="1:32" x14ac:dyDescent="0.3">
      <c r="A443" s="46" t="s">
        <v>2</v>
      </c>
      <c r="B443" s="46" t="str">
        <f>IFERROR(VLOOKUP($H443,매장구분!$B:$Z,2,0),"")</f>
        <v>리테일채널팀</v>
      </c>
      <c r="C443" s="46" t="str">
        <f>IFERROR(VLOOKUP($H443,매장구분!$B:$Z,3,0),"")</f>
        <v>국내</v>
      </c>
      <c r="D443" s="46" t="str">
        <f>IFERROR(VLOOKUP($H443,매장구분!$B:$Z,5,0),"")</f>
        <v>대리점</v>
      </c>
      <c r="E443" s="46" t="str">
        <f>IFERROR(VLOOKUP($H443,매장구분!$B:$Z,9,0),"")</f>
        <v>제천(대-위)</v>
      </c>
      <c r="G443" s="36" t="s">
        <v>311</v>
      </c>
      <c r="H443" s="36" t="s">
        <v>312</v>
      </c>
      <c r="I443" s="36" t="s">
        <v>169</v>
      </c>
      <c r="J443" s="36" t="s">
        <v>79</v>
      </c>
      <c r="K443" s="36" t="s">
        <v>170</v>
      </c>
      <c r="L443" s="36" t="s">
        <v>171</v>
      </c>
      <c r="M443" s="36" t="s">
        <v>196</v>
      </c>
      <c r="N443" s="36" t="s">
        <v>197</v>
      </c>
      <c r="O443" s="36">
        <v>22385301</v>
      </c>
      <c r="P443" s="36">
        <v>183</v>
      </c>
      <c r="Q443" s="36">
        <v>0</v>
      </c>
      <c r="R443" s="36">
        <v>0</v>
      </c>
      <c r="S443" s="36">
        <v>0</v>
      </c>
      <c r="T443" s="36">
        <v>0</v>
      </c>
      <c r="U443" s="36">
        <v>930577</v>
      </c>
      <c r="V443" s="36">
        <v>5</v>
      </c>
      <c r="W443" s="36">
        <v>0</v>
      </c>
      <c r="X443" s="36">
        <v>0</v>
      </c>
      <c r="Y443" s="48">
        <v>0</v>
      </c>
      <c r="Z443" s="36">
        <v>0</v>
      </c>
      <c r="AA443" s="36">
        <v>0</v>
      </c>
      <c r="AB443" s="36">
        <v>0</v>
      </c>
      <c r="AC443" s="36">
        <v>23315878</v>
      </c>
      <c r="AD443" s="36">
        <v>188</v>
      </c>
      <c r="AF443" s="47">
        <f t="shared" si="6"/>
        <v>23315878</v>
      </c>
    </row>
    <row r="444" spans="1:32" x14ac:dyDescent="0.3">
      <c r="A444" s="46" t="s">
        <v>2</v>
      </c>
      <c r="B444" s="46" t="str">
        <f>IFERROR(VLOOKUP($H444,매장구분!$B:$Z,2,0),"")</f>
        <v>리테일채널팀</v>
      </c>
      <c r="C444" s="46" t="str">
        <f>IFERROR(VLOOKUP($H444,매장구분!$B:$Z,3,0),"")</f>
        <v>국내</v>
      </c>
      <c r="D444" s="46" t="str">
        <f>IFERROR(VLOOKUP($H444,매장구분!$B:$Z,5,0),"")</f>
        <v>대리점</v>
      </c>
      <c r="E444" s="46" t="str">
        <f>IFERROR(VLOOKUP($H444,매장구분!$B:$Z,9,0),"")</f>
        <v>안산한대(대-위)</v>
      </c>
      <c r="G444" s="36" t="s">
        <v>295</v>
      </c>
      <c r="H444" s="36" t="s">
        <v>296</v>
      </c>
      <c r="I444" s="36" t="s">
        <v>169</v>
      </c>
      <c r="J444" s="36" t="s">
        <v>79</v>
      </c>
      <c r="K444" s="36" t="s">
        <v>170</v>
      </c>
      <c r="L444" s="36" t="s">
        <v>171</v>
      </c>
      <c r="M444" s="36" t="s">
        <v>196</v>
      </c>
      <c r="N444" s="36" t="s">
        <v>197</v>
      </c>
      <c r="O444" s="36">
        <v>19244814</v>
      </c>
      <c r="P444" s="36">
        <v>178</v>
      </c>
      <c r="Q444" s="36">
        <v>0</v>
      </c>
      <c r="R444" s="36">
        <v>0</v>
      </c>
      <c r="S444" s="36">
        <v>0</v>
      </c>
      <c r="T444" s="36">
        <v>0</v>
      </c>
      <c r="U444" s="36">
        <v>2404586</v>
      </c>
      <c r="V444" s="36">
        <v>17</v>
      </c>
      <c r="W444" s="36">
        <v>0</v>
      </c>
      <c r="X444" s="36">
        <v>0</v>
      </c>
      <c r="Y444" s="48">
        <v>0</v>
      </c>
      <c r="Z444" s="36">
        <v>0</v>
      </c>
      <c r="AA444" s="36">
        <v>0</v>
      </c>
      <c r="AB444" s="36">
        <v>0</v>
      </c>
      <c r="AC444" s="36">
        <v>21649400</v>
      </c>
      <c r="AD444" s="36">
        <v>195</v>
      </c>
      <c r="AF444" s="47">
        <f t="shared" si="6"/>
        <v>21649400</v>
      </c>
    </row>
    <row r="445" spans="1:32" x14ac:dyDescent="0.3">
      <c r="A445" s="46" t="s">
        <v>2</v>
      </c>
      <c r="B445" s="46" t="str">
        <f>IFERROR(VLOOKUP($H445,매장구분!$B:$Z,2,0),"")</f>
        <v>리테일채널팀</v>
      </c>
      <c r="C445" s="46" t="str">
        <f>IFERROR(VLOOKUP($H445,매장구분!$B:$Z,3,0),"")</f>
        <v>국내</v>
      </c>
      <c r="D445" s="46" t="str">
        <f>IFERROR(VLOOKUP($H445,매장구분!$B:$Z,5,0),"")</f>
        <v>대리점</v>
      </c>
      <c r="E445" s="46" t="str">
        <f>IFERROR(VLOOKUP($H445,매장구분!$B:$Z,9,0),"")</f>
        <v>아이즈빌부평(대-위)</v>
      </c>
      <c r="G445" s="36" t="s">
        <v>315</v>
      </c>
      <c r="H445" s="36" t="s">
        <v>316</v>
      </c>
      <c r="I445" s="36" t="s">
        <v>169</v>
      </c>
      <c r="J445" s="36" t="s">
        <v>79</v>
      </c>
      <c r="K445" s="36" t="s">
        <v>170</v>
      </c>
      <c r="L445" s="36" t="s">
        <v>171</v>
      </c>
      <c r="M445" s="36" t="s">
        <v>188</v>
      </c>
      <c r="N445" s="36" t="s">
        <v>317</v>
      </c>
      <c r="O445" s="36">
        <v>28634363</v>
      </c>
      <c r="P445" s="36">
        <v>333</v>
      </c>
      <c r="Q445" s="36">
        <v>0</v>
      </c>
      <c r="R445" s="36">
        <v>0</v>
      </c>
      <c r="S445" s="36">
        <v>0</v>
      </c>
      <c r="T445" s="36">
        <v>0</v>
      </c>
      <c r="U445" s="36">
        <v>1196287</v>
      </c>
      <c r="V445" s="36">
        <v>5</v>
      </c>
      <c r="W445" s="36">
        <v>0</v>
      </c>
      <c r="X445" s="36">
        <v>0</v>
      </c>
      <c r="Y445" s="48">
        <v>58129750</v>
      </c>
      <c r="Z445" s="36">
        <v>539</v>
      </c>
      <c r="AA445" s="36">
        <v>0</v>
      </c>
      <c r="AB445" s="36">
        <v>0</v>
      </c>
      <c r="AC445" s="36">
        <v>87960400</v>
      </c>
      <c r="AD445" s="36">
        <v>877</v>
      </c>
      <c r="AF445" s="47">
        <f t="shared" si="6"/>
        <v>29830650</v>
      </c>
    </row>
    <row r="446" spans="1:32" x14ac:dyDescent="0.3">
      <c r="A446" s="46" t="s">
        <v>2</v>
      </c>
      <c r="B446" s="46" t="str">
        <f>IFERROR(VLOOKUP($H446,매장구분!$B:$Z,2,0),"")</f>
        <v>파트너채널팀</v>
      </c>
      <c r="C446" s="46" t="str">
        <f>IFERROR(VLOOKUP($H446,매장구분!$B:$Z,3,0),"")</f>
        <v>면세</v>
      </c>
      <c r="D446" s="46" t="str">
        <f>IFERROR(VLOOKUP($H446,매장구분!$B:$Z,5,0),"")</f>
        <v>면세</v>
      </c>
      <c r="E446" s="46" t="str">
        <f>IFERROR(VLOOKUP($H446,매장구분!$B:$Z,9,0),"")</f>
        <v>신라면세장충</v>
      </c>
      <c r="G446" s="36" t="s">
        <v>299</v>
      </c>
      <c r="H446" s="36" t="s">
        <v>300</v>
      </c>
      <c r="I446" s="36" t="s">
        <v>169</v>
      </c>
      <c r="J446" s="36" t="s">
        <v>175</v>
      </c>
      <c r="K446" s="36" t="s">
        <v>170</v>
      </c>
      <c r="L446" s="36" t="s">
        <v>171</v>
      </c>
      <c r="M446" s="36" t="s">
        <v>176</v>
      </c>
      <c r="N446" s="36" t="s">
        <v>177</v>
      </c>
      <c r="O446" s="36">
        <v>120911600</v>
      </c>
      <c r="P446" s="36">
        <v>2266</v>
      </c>
      <c r="Q446" s="36">
        <v>0</v>
      </c>
      <c r="R446" s="36">
        <v>0</v>
      </c>
      <c r="S446" s="36">
        <v>0</v>
      </c>
      <c r="T446" s="36">
        <v>0</v>
      </c>
      <c r="U446" s="36">
        <v>0</v>
      </c>
      <c r="V446" s="36">
        <v>0</v>
      </c>
      <c r="W446" s="36">
        <v>0</v>
      </c>
      <c r="X446" s="36">
        <v>0</v>
      </c>
      <c r="Y446" s="48">
        <v>473114000</v>
      </c>
      <c r="Z446" s="36">
        <v>9647</v>
      </c>
      <c r="AA446" s="36">
        <v>0</v>
      </c>
      <c r="AB446" s="36">
        <v>0</v>
      </c>
      <c r="AC446" s="36">
        <v>594025600</v>
      </c>
      <c r="AD446" s="36">
        <v>11913</v>
      </c>
      <c r="AF446" s="47">
        <f t="shared" si="6"/>
        <v>120911600</v>
      </c>
    </row>
    <row r="447" spans="1:32" x14ac:dyDescent="0.3">
      <c r="A447" s="46" t="s">
        <v>2</v>
      </c>
      <c r="B447" s="46" t="str">
        <f>IFERROR(VLOOKUP($H447,매장구분!$B:$Z,2,0),"")</f>
        <v>리테일채널팀</v>
      </c>
      <c r="C447" s="46" t="str">
        <f>IFERROR(VLOOKUP($H447,매장구분!$B:$Z,3,0),"")</f>
        <v>국내</v>
      </c>
      <c r="D447" s="46" t="str">
        <f>IFERROR(VLOOKUP($H447,매장구분!$B:$Z,5,0),"")</f>
        <v>대리점</v>
      </c>
      <c r="E447" s="46" t="str">
        <f>IFERROR(VLOOKUP($H447,매장구분!$B:$Z,9,0),"")</f>
        <v>안산시화(대-위)</v>
      </c>
      <c r="G447" s="36" t="s">
        <v>291</v>
      </c>
      <c r="H447" s="36" t="s">
        <v>292</v>
      </c>
      <c r="I447" s="36" t="s">
        <v>169</v>
      </c>
      <c r="J447" s="36" t="s">
        <v>79</v>
      </c>
      <c r="K447" s="36" t="s">
        <v>170</v>
      </c>
      <c r="L447" s="36" t="s">
        <v>171</v>
      </c>
      <c r="M447" s="36" t="s">
        <v>196</v>
      </c>
      <c r="N447" s="36" t="s">
        <v>197</v>
      </c>
      <c r="O447" s="36">
        <v>23249640</v>
      </c>
      <c r="P447" s="36">
        <v>189</v>
      </c>
      <c r="Q447" s="36">
        <v>0</v>
      </c>
      <c r="R447" s="36">
        <v>0</v>
      </c>
      <c r="S447" s="36">
        <v>0</v>
      </c>
      <c r="T447" s="36">
        <v>0</v>
      </c>
      <c r="U447" s="36">
        <v>739794</v>
      </c>
      <c r="V447" s="36">
        <v>7</v>
      </c>
      <c r="W447" s="36">
        <v>0</v>
      </c>
      <c r="X447" s="36">
        <v>0</v>
      </c>
      <c r="Y447" s="48">
        <v>0</v>
      </c>
      <c r="Z447" s="36">
        <v>0</v>
      </c>
      <c r="AA447" s="36">
        <v>0</v>
      </c>
      <c r="AB447" s="36">
        <v>0</v>
      </c>
      <c r="AC447" s="36">
        <v>23989434</v>
      </c>
      <c r="AD447" s="36">
        <v>196</v>
      </c>
      <c r="AF447" s="47">
        <f t="shared" si="6"/>
        <v>23989434</v>
      </c>
    </row>
    <row r="448" spans="1:32" x14ac:dyDescent="0.3">
      <c r="A448" s="46" t="s">
        <v>2</v>
      </c>
      <c r="B448" s="46" t="str">
        <f>IFERROR(VLOOKUP($H448,매장구분!$B:$Z,2,0),"")</f>
        <v>리테일채널팀</v>
      </c>
      <c r="C448" s="46" t="str">
        <f>IFERROR(VLOOKUP($H448,매장구분!$B:$Z,3,0),"")</f>
        <v>국내</v>
      </c>
      <c r="D448" s="46" t="str">
        <f>IFERROR(VLOOKUP($H448,매장구분!$B:$Z,5,0),"")</f>
        <v>대리점</v>
      </c>
      <c r="E448" s="46" t="str">
        <f>IFERROR(VLOOKUP($H448,매장구분!$B:$Z,9,0),"")</f>
        <v>춘천(대-위)</v>
      </c>
      <c r="G448" s="36" t="s">
        <v>320</v>
      </c>
      <c r="H448" s="36" t="s">
        <v>321</v>
      </c>
      <c r="I448" s="36" t="s">
        <v>169</v>
      </c>
      <c r="J448" s="36" t="s">
        <v>79</v>
      </c>
      <c r="K448" s="36" t="s">
        <v>170</v>
      </c>
      <c r="L448" s="36" t="s">
        <v>171</v>
      </c>
      <c r="M448" s="36" t="s">
        <v>196</v>
      </c>
      <c r="N448" s="36" t="s">
        <v>197</v>
      </c>
      <c r="O448" s="36">
        <v>15765909</v>
      </c>
      <c r="P448" s="36">
        <v>179</v>
      </c>
      <c r="Q448" s="36">
        <v>0</v>
      </c>
      <c r="R448" s="36">
        <v>0</v>
      </c>
      <c r="S448" s="36">
        <v>0</v>
      </c>
      <c r="T448" s="36">
        <v>0</v>
      </c>
      <c r="U448" s="36">
        <v>301347</v>
      </c>
      <c r="V448" s="36">
        <v>2</v>
      </c>
      <c r="W448" s="36">
        <v>0</v>
      </c>
      <c r="X448" s="36">
        <v>0</v>
      </c>
      <c r="Y448" s="48">
        <v>0</v>
      </c>
      <c r="Z448" s="36">
        <v>0</v>
      </c>
      <c r="AA448" s="36">
        <v>0</v>
      </c>
      <c r="AB448" s="36">
        <v>0</v>
      </c>
      <c r="AC448" s="36">
        <v>16067256</v>
      </c>
      <c r="AD448" s="36">
        <v>181</v>
      </c>
      <c r="AF448" s="47">
        <f t="shared" si="6"/>
        <v>16067256</v>
      </c>
    </row>
    <row r="449" spans="1:32" x14ac:dyDescent="0.3">
      <c r="A449" s="46" t="s">
        <v>2</v>
      </c>
      <c r="B449" s="46" t="str">
        <f>IFERROR(VLOOKUP($H449,매장구분!$B:$Z,2,0),"")</f>
        <v>파트너채널팀</v>
      </c>
      <c r="C449" s="46" t="str">
        <f>IFERROR(VLOOKUP($H449,매장구분!$B:$Z,3,0),"")</f>
        <v>국내</v>
      </c>
      <c r="D449" s="46" t="str">
        <f>IFERROR(VLOOKUP($H449,매장구분!$B:$Z,5,0),"")</f>
        <v>백화점</v>
      </c>
      <c r="E449" s="46" t="str">
        <f>IFERROR(VLOOKUP($H449,매장구분!$B:$Z,9,0),"")</f>
        <v>갤러리아대전</v>
      </c>
      <c r="G449" s="36" t="s">
        <v>303</v>
      </c>
      <c r="H449" s="36" t="s">
        <v>304</v>
      </c>
      <c r="I449" s="36" t="s">
        <v>169</v>
      </c>
      <c r="J449" s="36" t="s">
        <v>175</v>
      </c>
      <c r="K449" s="36" t="s">
        <v>170</v>
      </c>
      <c r="L449" s="36" t="s">
        <v>171</v>
      </c>
      <c r="M449" s="36" t="s">
        <v>77</v>
      </c>
      <c r="N449" s="36" t="s">
        <v>172</v>
      </c>
      <c r="O449" s="36">
        <v>14825400</v>
      </c>
      <c r="P449" s="36">
        <v>195</v>
      </c>
      <c r="Q449" s="36">
        <v>0</v>
      </c>
      <c r="R449" s="36">
        <v>0</v>
      </c>
      <c r="S449" s="36">
        <v>0</v>
      </c>
      <c r="T449" s="36">
        <v>0</v>
      </c>
      <c r="U449" s="36">
        <v>2172000</v>
      </c>
      <c r="V449" s="36">
        <v>8</v>
      </c>
      <c r="W449" s="36">
        <v>0</v>
      </c>
      <c r="X449" s="36">
        <v>0</v>
      </c>
      <c r="Y449" s="48">
        <v>0</v>
      </c>
      <c r="Z449" s="36">
        <v>0</v>
      </c>
      <c r="AA449" s="36">
        <v>0</v>
      </c>
      <c r="AB449" s="36">
        <v>0</v>
      </c>
      <c r="AC449" s="36">
        <v>16997400</v>
      </c>
      <c r="AD449" s="36">
        <v>203</v>
      </c>
      <c r="AF449" s="47">
        <f t="shared" si="6"/>
        <v>16997400</v>
      </c>
    </row>
    <row r="450" spans="1:32" x14ac:dyDescent="0.3">
      <c r="A450" s="46" t="s">
        <v>2</v>
      </c>
      <c r="B450" s="46" t="str">
        <f>IFERROR(VLOOKUP($H450,매장구분!$B:$Z,2,0),"")</f>
        <v>파트너채널팀</v>
      </c>
      <c r="C450" s="46" t="str">
        <f>IFERROR(VLOOKUP($H450,매장구분!$B:$Z,3,0),"")</f>
        <v>국내</v>
      </c>
      <c r="D450" s="46" t="str">
        <f>IFERROR(VLOOKUP($H450,매장구분!$B:$Z,5,0),"")</f>
        <v>백화점</v>
      </c>
      <c r="E450" s="46" t="str">
        <f>IFERROR(VLOOKUP($H450,매장구분!$B:$Z,9,0),"")</f>
        <v>현대신촌</v>
      </c>
      <c r="G450" s="36" t="s">
        <v>297</v>
      </c>
      <c r="H450" s="36" t="s">
        <v>298</v>
      </c>
      <c r="I450" s="36" t="s">
        <v>169</v>
      </c>
      <c r="J450" s="36" t="s">
        <v>175</v>
      </c>
      <c r="K450" s="36" t="s">
        <v>170</v>
      </c>
      <c r="L450" s="36" t="s">
        <v>171</v>
      </c>
      <c r="M450" s="36" t="s">
        <v>77</v>
      </c>
      <c r="N450" s="36" t="s">
        <v>172</v>
      </c>
      <c r="O450" s="36">
        <v>8763670</v>
      </c>
      <c r="P450" s="36">
        <v>119</v>
      </c>
      <c r="Q450" s="36">
        <v>2585000</v>
      </c>
      <c r="R450" s="36">
        <v>51</v>
      </c>
      <c r="S450" s="36">
        <v>0</v>
      </c>
      <c r="T450" s="36">
        <v>0</v>
      </c>
      <c r="U450" s="36">
        <v>148130</v>
      </c>
      <c r="V450" s="36">
        <v>1</v>
      </c>
      <c r="W450" s="36">
        <v>0</v>
      </c>
      <c r="X450" s="36">
        <v>0</v>
      </c>
      <c r="Y450" s="48">
        <v>7449800</v>
      </c>
      <c r="Z450" s="36">
        <v>54</v>
      </c>
      <c r="AA450" s="36">
        <v>0</v>
      </c>
      <c r="AB450" s="36">
        <v>0</v>
      </c>
      <c r="AC450" s="36">
        <v>18946600</v>
      </c>
      <c r="AD450" s="36">
        <v>225</v>
      </c>
      <c r="AF450" s="47">
        <f t="shared" si="6"/>
        <v>11496800</v>
      </c>
    </row>
    <row r="451" spans="1:32" x14ac:dyDescent="0.3">
      <c r="A451" s="46" t="s">
        <v>2</v>
      </c>
      <c r="B451" s="46" t="str">
        <f>IFERROR(VLOOKUP($H451,매장구분!$B:$Z,2,0),"")</f>
        <v>파트너채널팀</v>
      </c>
      <c r="C451" s="46" t="str">
        <f>IFERROR(VLOOKUP($H451,매장구분!$B:$Z,3,0),"")</f>
        <v>국내</v>
      </c>
      <c r="D451" s="46" t="str">
        <f>IFERROR(VLOOKUP($H451,매장구분!$B:$Z,5,0),"")</f>
        <v>백화점</v>
      </c>
      <c r="E451" s="46" t="str">
        <f>IFERROR(VLOOKUP($H451,매장구분!$B:$Z,9,0),"")</f>
        <v>신세계센텀</v>
      </c>
      <c r="G451" s="36" t="s">
        <v>301</v>
      </c>
      <c r="H451" s="36" t="s">
        <v>302</v>
      </c>
      <c r="I451" s="36" t="s">
        <v>169</v>
      </c>
      <c r="J451" s="36" t="s">
        <v>175</v>
      </c>
      <c r="K451" s="36" t="s">
        <v>170</v>
      </c>
      <c r="L451" s="36" t="s">
        <v>171</v>
      </c>
      <c r="M451" s="36" t="s">
        <v>77</v>
      </c>
      <c r="N451" s="36" t="s">
        <v>172</v>
      </c>
      <c r="O451" s="36">
        <v>16386320</v>
      </c>
      <c r="P451" s="36">
        <v>278</v>
      </c>
      <c r="Q451" s="36">
        <v>0</v>
      </c>
      <c r="R451" s="36">
        <v>0</v>
      </c>
      <c r="S451" s="36">
        <v>0</v>
      </c>
      <c r="T451" s="36">
        <v>0</v>
      </c>
      <c r="U451" s="36">
        <v>1875580</v>
      </c>
      <c r="V451" s="36">
        <v>8</v>
      </c>
      <c r="W451" s="36">
        <v>0</v>
      </c>
      <c r="X451" s="36">
        <v>0</v>
      </c>
      <c r="Y451" s="48">
        <v>0</v>
      </c>
      <c r="Z451" s="36">
        <v>0</v>
      </c>
      <c r="AA451" s="36">
        <v>0</v>
      </c>
      <c r="AB451" s="36">
        <v>0</v>
      </c>
      <c r="AC451" s="36">
        <v>18261900</v>
      </c>
      <c r="AD451" s="36">
        <v>286</v>
      </c>
      <c r="AF451" s="47">
        <f t="shared" ref="AF451:AF514" si="7">IFERROR(AC451-Y451,"")</f>
        <v>18261900</v>
      </c>
    </row>
    <row r="452" spans="1:32" x14ac:dyDescent="0.3">
      <c r="A452" s="46" t="s">
        <v>2</v>
      </c>
      <c r="B452" s="46" t="str">
        <f>IFERROR(VLOOKUP($H452,매장구분!$B:$Z,2,0),"")</f>
        <v>파트너채널팀</v>
      </c>
      <c r="C452" s="46" t="str">
        <f>IFERROR(VLOOKUP($H452,매장구분!$B:$Z,3,0),"")</f>
        <v>국내</v>
      </c>
      <c r="D452" s="46" t="str">
        <f>IFERROR(VLOOKUP($H452,매장구분!$B:$Z,5,0),"")</f>
        <v>백화점</v>
      </c>
      <c r="E452" s="46" t="str">
        <f>IFERROR(VLOOKUP($H452,매장구분!$B:$Z,9,0),"")</f>
        <v>현대천호</v>
      </c>
      <c r="G452" s="36" t="s">
        <v>305</v>
      </c>
      <c r="H452" s="36" t="s">
        <v>306</v>
      </c>
      <c r="I452" s="36" t="s">
        <v>169</v>
      </c>
      <c r="J452" s="36" t="s">
        <v>175</v>
      </c>
      <c r="K452" s="36" t="s">
        <v>170</v>
      </c>
      <c r="L452" s="36" t="s">
        <v>171</v>
      </c>
      <c r="M452" s="36" t="s">
        <v>77</v>
      </c>
      <c r="N452" s="36" t="s">
        <v>172</v>
      </c>
      <c r="O452" s="36">
        <v>6829360</v>
      </c>
      <c r="P452" s="36">
        <v>78</v>
      </c>
      <c r="Q452" s="36">
        <v>1874000</v>
      </c>
      <c r="R452" s="36">
        <v>15</v>
      </c>
      <c r="S452" s="36">
        <v>0</v>
      </c>
      <c r="T452" s="36">
        <v>0</v>
      </c>
      <c r="U452" s="36">
        <v>2551640</v>
      </c>
      <c r="V452" s="36">
        <v>15</v>
      </c>
      <c r="W452" s="36">
        <v>0</v>
      </c>
      <c r="X452" s="36">
        <v>0</v>
      </c>
      <c r="Y452" s="48">
        <v>0</v>
      </c>
      <c r="Z452" s="36">
        <v>0</v>
      </c>
      <c r="AA452" s="36">
        <v>0</v>
      </c>
      <c r="AB452" s="36">
        <v>0</v>
      </c>
      <c r="AC452" s="36">
        <v>11255000</v>
      </c>
      <c r="AD452" s="36">
        <v>108</v>
      </c>
      <c r="AF452" s="47">
        <f t="shared" si="7"/>
        <v>11255000</v>
      </c>
    </row>
    <row r="453" spans="1:32" x14ac:dyDescent="0.3">
      <c r="A453" s="46" t="s">
        <v>2</v>
      </c>
      <c r="B453" s="46" t="str">
        <f>IFERROR(VLOOKUP($H453,매장구분!$B:$Z,2,0),"")</f>
        <v>리테일채널팀</v>
      </c>
      <c r="C453" s="46" t="str">
        <f>IFERROR(VLOOKUP($H453,매장구분!$B:$Z,3,0),"")</f>
        <v>국내</v>
      </c>
      <c r="D453" s="46" t="str">
        <f>IFERROR(VLOOKUP($H453,매장구분!$B:$Z,5,0),"")</f>
        <v>대리점</v>
      </c>
      <c r="E453" s="46" t="str">
        <f>IFERROR(VLOOKUP($H453,매장구분!$B:$Z,9,0),"")</f>
        <v>안산중앙(대-위)</v>
      </c>
      <c r="G453" s="36" t="s">
        <v>307</v>
      </c>
      <c r="H453" s="36" t="s">
        <v>308</v>
      </c>
      <c r="I453" s="36" t="s">
        <v>169</v>
      </c>
      <c r="J453" s="36" t="s">
        <v>79</v>
      </c>
      <c r="K453" s="36" t="s">
        <v>170</v>
      </c>
      <c r="L453" s="36" t="s">
        <v>171</v>
      </c>
      <c r="M453" s="36" t="s">
        <v>196</v>
      </c>
      <c r="N453" s="36" t="s">
        <v>197</v>
      </c>
      <c r="O453" s="36">
        <v>9827759</v>
      </c>
      <c r="P453" s="36">
        <v>98</v>
      </c>
      <c r="Q453" s="36">
        <v>0</v>
      </c>
      <c r="R453" s="36">
        <v>0</v>
      </c>
      <c r="S453" s="36">
        <v>0</v>
      </c>
      <c r="T453" s="36">
        <v>0</v>
      </c>
      <c r="U453" s="36">
        <v>2052520</v>
      </c>
      <c r="V453" s="36">
        <v>10</v>
      </c>
      <c r="W453" s="36">
        <v>0</v>
      </c>
      <c r="X453" s="36">
        <v>0</v>
      </c>
      <c r="Y453" s="48">
        <v>12573000</v>
      </c>
      <c r="Z453" s="36">
        <v>77</v>
      </c>
      <c r="AA453" s="36">
        <v>0</v>
      </c>
      <c r="AB453" s="36">
        <v>0</v>
      </c>
      <c r="AC453" s="36">
        <v>24453279</v>
      </c>
      <c r="AD453" s="36">
        <v>185</v>
      </c>
      <c r="AF453" s="47">
        <f t="shared" si="7"/>
        <v>11880279</v>
      </c>
    </row>
    <row r="454" spans="1:32" x14ac:dyDescent="0.3">
      <c r="A454" s="46" t="s">
        <v>2</v>
      </c>
      <c r="B454" s="46" t="str">
        <f>IFERROR(VLOOKUP($H454,매장구분!$B:$Z,2,0),"")</f>
        <v>리테일채널팀</v>
      </c>
      <c r="C454" s="46" t="str">
        <f>IFERROR(VLOOKUP($H454,매장구분!$B:$Z,3,0),"")</f>
        <v>국내</v>
      </c>
      <c r="D454" s="46" t="str">
        <f>IFERROR(VLOOKUP($H454,매장구분!$B:$Z,5,0),"")</f>
        <v>대리점</v>
      </c>
      <c r="E454" s="46" t="str">
        <f>IFERROR(VLOOKUP($H454,매장구분!$B:$Z,9,0),"")</f>
        <v>정읍(대-위)</v>
      </c>
      <c r="G454" s="36" t="s">
        <v>318</v>
      </c>
      <c r="H454" s="36" t="s">
        <v>319</v>
      </c>
      <c r="I454" s="36" t="s">
        <v>169</v>
      </c>
      <c r="J454" s="36" t="s">
        <v>79</v>
      </c>
      <c r="K454" s="36" t="s">
        <v>170</v>
      </c>
      <c r="L454" s="36" t="s">
        <v>171</v>
      </c>
      <c r="M454" s="36" t="s">
        <v>196</v>
      </c>
      <c r="N454" s="36" t="s">
        <v>197</v>
      </c>
      <c r="O454" s="36">
        <v>8411700</v>
      </c>
      <c r="P454" s="36">
        <v>85</v>
      </c>
      <c r="Q454" s="36">
        <v>0</v>
      </c>
      <c r="R454" s="36">
        <v>0</v>
      </c>
      <c r="S454" s="36">
        <v>0</v>
      </c>
      <c r="T454" s="36">
        <v>0</v>
      </c>
      <c r="U454" s="36">
        <v>258000</v>
      </c>
      <c r="V454" s="36">
        <v>2</v>
      </c>
      <c r="W454" s="36">
        <v>0</v>
      </c>
      <c r="X454" s="36">
        <v>0</v>
      </c>
      <c r="Y454" s="48">
        <v>0</v>
      </c>
      <c r="Z454" s="36">
        <v>0</v>
      </c>
      <c r="AA454" s="36">
        <v>0</v>
      </c>
      <c r="AB454" s="36">
        <v>0</v>
      </c>
      <c r="AC454" s="36">
        <v>8669700</v>
      </c>
      <c r="AD454" s="36">
        <v>87</v>
      </c>
      <c r="AF454" s="47">
        <f t="shared" si="7"/>
        <v>8669700</v>
      </c>
    </row>
    <row r="455" spans="1:32" x14ac:dyDescent="0.3">
      <c r="A455" s="46" t="s">
        <v>2</v>
      </c>
      <c r="B455" s="46" t="str">
        <f>IFERROR(VLOOKUP($H455,매장구분!$B:$Z,2,0),"")</f>
        <v>리테일채널팀</v>
      </c>
      <c r="C455" s="46" t="str">
        <f>IFERROR(VLOOKUP($H455,매장구분!$B:$Z,3,0),"")</f>
        <v>국내</v>
      </c>
      <c r="D455" s="46" t="str">
        <f>IFERROR(VLOOKUP($H455,매장구분!$B:$Z,5,0),"")</f>
        <v>대리점</v>
      </c>
      <c r="E455" s="46" t="str">
        <f>IFERROR(VLOOKUP($H455,매장구분!$B:$Z,9,0),"")</f>
        <v>안성(대-위)</v>
      </c>
      <c r="G455" s="36" t="s">
        <v>309</v>
      </c>
      <c r="H455" s="36" t="s">
        <v>310</v>
      </c>
      <c r="I455" s="36" t="s">
        <v>169</v>
      </c>
      <c r="J455" s="36" t="s">
        <v>79</v>
      </c>
      <c r="K455" s="36" t="s">
        <v>170</v>
      </c>
      <c r="L455" s="36" t="s">
        <v>171</v>
      </c>
      <c r="M455" s="36" t="s">
        <v>196</v>
      </c>
      <c r="N455" s="36" t="s">
        <v>197</v>
      </c>
      <c r="O455" s="36">
        <v>6643300</v>
      </c>
      <c r="P455" s="36">
        <v>64</v>
      </c>
      <c r="Q455" s="36">
        <v>0</v>
      </c>
      <c r="R455" s="36">
        <v>0</v>
      </c>
      <c r="S455" s="36">
        <v>0</v>
      </c>
      <c r="T455" s="36">
        <v>0</v>
      </c>
      <c r="U455" s="36">
        <v>114000</v>
      </c>
      <c r="V455" s="36">
        <v>1</v>
      </c>
      <c r="W455" s="36">
        <v>0</v>
      </c>
      <c r="X455" s="36">
        <v>0</v>
      </c>
      <c r="Y455" s="48">
        <v>5489000</v>
      </c>
      <c r="Z455" s="36">
        <v>51</v>
      </c>
      <c r="AA455" s="36">
        <v>0</v>
      </c>
      <c r="AB455" s="36">
        <v>0</v>
      </c>
      <c r="AC455" s="36">
        <v>12246300</v>
      </c>
      <c r="AD455" s="36">
        <v>116</v>
      </c>
      <c r="AF455" s="47">
        <f t="shared" si="7"/>
        <v>6757300</v>
      </c>
    </row>
    <row r="456" spans="1:32" x14ac:dyDescent="0.3">
      <c r="A456" s="46" t="s">
        <v>2</v>
      </c>
      <c r="B456" s="46" t="str">
        <f>IFERROR(VLOOKUP($H456,매장구분!$B:$Z,2,0),"")</f>
        <v>리테일채널팀</v>
      </c>
      <c r="C456" s="46" t="str">
        <f>IFERROR(VLOOKUP($H456,매장구분!$B:$Z,3,0),"")</f>
        <v>국내</v>
      </c>
      <c r="D456" s="46" t="str">
        <f>IFERROR(VLOOKUP($H456,매장구분!$B:$Z,5,0),"")</f>
        <v>대리점</v>
      </c>
      <c r="E456" s="46" t="str">
        <f>IFERROR(VLOOKUP($H456,매장구분!$B:$Z,9,0),"")</f>
        <v>시흥(대-위)</v>
      </c>
      <c r="G456" s="36" t="s">
        <v>330</v>
      </c>
      <c r="H456" s="36" t="s">
        <v>331</v>
      </c>
      <c r="I456" s="36" t="s">
        <v>169</v>
      </c>
      <c r="J456" s="36" t="s">
        <v>79</v>
      </c>
      <c r="K456" s="36" t="s">
        <v>170</v>
      </c>
      <c r="L456" s="36" t="s">
        <v>171</v>
      </c>
      <c r="M456" s="36" t="s">
        <v>196</v>
      </c>
      <c r="N456" s="36" t="s">
        <v>197</v>
      </c>
      <c r="O456" s="36">
        <v>5939924</v>
      </c>
      <c r="P456" s="36">
        <v>58</v>
      </c>
      <c r="Q456" s="36">
        <v>0</v>
      </c>
      <c r="R456" s="36">
        <v>0</v>
      </c>
      <c r="S456" s="36">
        <v>0</v>
      </c>
      <c r="T456" s="36">
        <v>0</v>
      </c>
      <c r="U456" s="36">
        <v>487000</v>
      </c>
      <c r="V456" s="36">
        <v>3</v>
      </c>
      <c r="W456" s="36">
        <v>0</v>
      </c>
      <c r="X456" s="36">
        <v>0</v>
      </c>
      <c r="Y456" s="48">
        <v>0</v>
      </c>
      <c r="Z456" s="36">
        <v>0</v>
      </c>
      <c r="AA456" s="36">
        <v>0</v>
      </c>
      <c r="AB456" s="36">
        <v>0</v>
      </c>
      <c r="AC456" s="36">
        <v>6426924</v>
      </c>
      <c r="AD456" s="36">
        <v>61</v>
      </c>
      <c r="AF456" s="47">
        <f t="shared" si="7"/>
        <v>6426924</v>
      </c>
    </row>
    <row r="457" spans="1:32" x14ac:dyDescent="0.3">
      <c r="A457" s="46" t="s">
        <v>2</v>
      </c>
      <c r="B457" s="46" t="str">
        <f>IFERROR(VLOOKUP($H457,매장구분!$B:$Z,2,0),"")</f>
        <v>리테일채널팀</v>
      </c>
      <c r="C457" s="46" t="str">
        <f>IFERROR(VLOOKUP($H457,매장구분!$B:$Z,3,0),"")</f>
        <v>국내</v>
      </c>
      <c r="D457" s="46" t="str">
        <f>IFERROR(VLOOKUP($H457,매장구분!$B:$Z,5,0),"")</f>
        <v>대리점</v>
      </c>
      <c r="E457" s="46" t="str">
        <f>IFERROR(VLOOKUP($H457,매장구분!$B:$Z,9,0),"")</f>
        <v>충주(대-위)</v>
      </c>
      <c r="G457" s="36" t="s">
        <v>322</v>
      </c>
      <c r="H457" s="36" t="s">
        <v>323</v>
      </c>
      <c r="I457" s="36" t="s">
        <v>169</v>
      </c>
      <c r="J457" s="36" t="s">
        <v>79</v>
      </c>
      <c r="K457" s="36" t="s">
        <v>170</v>
      </c>
      <c r="L457" s="36" t="s">
        <v>171</v>
      </c>
      <c r="M457" s="36" t="s">
        <v>196</v>
      </c>
      <c r="N457" s="36" t="s">
        <v>197</v>
      </c>
      <c r="O457" s="36">
        <v>13040600</v>
      </c>
      <c r="P457" s="36">
        <v>82</v>
      </c>
      <c r="Q457" s="36">
        <v>0</v>
      </c>
      <c r="R457" s="36">
        <v>0</v>
      </c>
      <c r="S457" s="36">
        <v>0</v>
      </c>
      <c r="T457" s="36">
        <v>0</v>
      </c>
      <c r="U457" s="36">
        <v>0</v>
      </c>
      <c r="V457" s="36">
        <v>0</v>
      </c>
      <c r="W457" s="36">
        <v>0</v>
      </c>
      <c r="X457" s="36">
        <v>0</v>
      </c>
      <c r="Y457" s="48">
        <v>4730000</v>
      </c>
      <c r="Z457" s="36">
        <v>45</v>
      </c>
      <c r="AA457" s="36">
        <v>0</v>
      </c>
      <c r="AB457" s="36">
        <v>0</v>
      </c>
      <c r="AC457" s="36">
        <v>17770600</v>
      </c>
      <c r="AD457" s="36">
        <v>127</v>
      </c>
      <c r="AF457" s="47">
        <f t="shared" si="7"/>
        <v>13040600</v>
      </c>
    </row>
    <row r="458" spans="1:32" x14ac:dyDescent="0.3">
      <c r="A458" s="46" t="s">
        <v>2</v>
      </c>
      <c r="B458" s="46" t="str">
        <f>IFERROR(VLOOKUP($H458,매장구분!$B:$Z,2,0),"")</f>
        <v>파트너채널팀</v>
      </c>
      <c r="C458" s="46" t="str">
        <f>IFERROR(VLOOKUP($H458,매장구분!$B:$Z,3,0),"")</f>
        <v>국내</v>
      </c>
      <c r="D458" s="46" t="str">
        <f>IFERROR(VLOOKUP($H458,매장구분!$B:$Z,5,0),"")</f>
        <v>백화점</v>
      </c>
      <c r="E458" s="46" t="str">
        <f>IFERROR(VLOOKUP($H458,매장구분!$B:$Z,9,0),"")</f>
        <v>에버세이브청주</v>
      </c>
      <c r="G458" s="36" t="s">
        <v>328</v>
      </c>
      <c r="H458" s="36" t="s">
        <v>329</v>
      </c>
      <c r="I458" s="36" t="s">
        <v>169</v>
      </c>
      <c r="J458" s="36" t="s">
        <v>175</v>
      </c>
      <c r="K458" s="36" t="s">
        <v>170</v>
      </c>
      <c r="L458" s="36" t="s">
        <v>171</v>
      </c>
      <c r="M458" s="36" t="s">
        <v>77</v>
      </c>
      <c r="N458" s="36" t="s">
        <v>238</v>
      </c>
      <c r="O458" s="36">
        <v>9860950</v>
      </c>
      <c r="P458" s="36">
        <v>104</v>
      </c>
      <c r="Q458" s="36">
        <v>0</v>
      </c>
      <c r="R458" s="36">
        <v>0</v>
      </c>
      <c r="S458" s="36">
        <v>0</v>
      </c>
      <c r="T458" s="36">
        <v>0</v>
      </c>
      <c r="U458" s="36">
        <v>454750</v>
      </c>
      <c r="V458" s="36">
        <v>4</v>
      </c>
      <c r="W458" s="36">
        <v>0</v>
      </c>
      <c r="X458" s="36">
        <v>0</v>
      </c>
      <c r="Y458" s="48">
        <v>0</v>
      </c>
      <c r="Z458" s="36">
        <v>0</v>
      </c>
      <c r="AA458" s="36">
        <v>0</v>
      </c>
      <c r="AB458" s="36">
        <v>0</v>
      </c>
      <c r="AC458" s="36">
        <v>10315700</v>
      </c>
      <c r="AD458" s="36">
        <v>108</v>
      </c>
      <c r="AF458" s="47">
        <f t="shared" si="7"/>
        <v>10315700</v>
      </c>
    </row>
    <row r="459" spans="1:32" x14ac:dyDescent="0.3">
      <c r="A459" s="46" t="s">
        <v>2</v>
      </c>
      <c r="B459" s="46" t="str">
        <f>IFERROR(VLOOKUP($H459,매장구분!$B:$Z,2,0),"")</f>
        <v>리테일채널팀</v>
      </c>
      <c r="C459" s="46" t="str">
        <f>IFERROR(VLOOKUP($H459,매장구분!$B:$Z,3,0),"")</f>
        <v>국내</v>
      </c>
      <c r="D459" s="46" t="str">
        <f>IFERROR(VLOOKUP($H459,매장구분!$B:$Z,5,0),"")</f>
        <v>상설(위탁)</v>
      </c>
      <c r="E459" s="46" t="str">
        <f>IFERROR(VLOOKUP($H459,매장구분!$B:$Z,9,0),"")</f>
        <v>현대아울렛대전(상-위)</v>
      </c>
      <c r="G459" s="36" t="s">
        <v>287</v>
      </c>
      <c r="H459" s="36" t="s">
        <v>288</v>
      </c>
      <c r="I459" s="36" t="s">
        <v>169</v>
      </c>
      <c r="J459" s="36" t="s">
        <v>79</v>
      </c>
      <c r="K459" s="36" t="s">
        <v>170</v>
      </c>
      <c r="L459" s="36" t="s">
        <v>171</v>
      </c>
      <c r="M459" s="36" t="s">
        <v>219</v>
      </c>
      <c r="N459" s="36" t="s">
        <v>219</v>
      </c>
      <c r="O459" s="36">
        <v>1351000</v>
      </c>
      <c r="P459" s="36">
        <v>33</v>
      </c>
      <c r="Q459" s="36">
        <v>0</v>
      </c>
      <c r="R459" s="36">
        <v>0</v>
      </c>
      <c r="S459" s="36">
        <v>0</v>
      </c>
      <c r="T459" s="36">
        <v>0</v>
      </c>
      <c r="U459" s="36">
        <v>0</v>
      </c>
      <c r="V459" s="36">
        <v>0</v>
      </c>
      <c r="W459" s="36">
        <v>0</v>
      </c>
      <c r="X459" s="36">
        <v>0</v>
      </c>
      <c r="Y459" s="48">
        <v>0</v>
      </c>
      <c r="Z459" s="36">
        <v>0</v>
      </c>
      <c r="AA459" s="36">
        <v>0</v>
      </c>
      <c r="AB459" s="36">
        <v>0</v>
      </c>
      <c r="AC459" s="36">
        <v>1351000</v>
      </c>
      <c r="AD459" s="36">
        <v>33</v>
      </c>
      <c r="AF459" s="47">
        <f t="shared" si="7"/>
        <v>1351000</v>
      </c>
    </row>
    <row r="460" spans="1:32" x14ac:dyDescent="0.3">
      <c r="A460" s="46" t="s">
        <v>2</v>
      </c>
      <c r="B460" s="46" t="str">
        <f>IFERROR(VLOOKUP($H460,매장구분!$B:$Z,2,0),"")</f>
        <v>파트너채널팀</v>
      </c>
      <c r="C460" s="46" t="str">
        <f>IFERROR(VLOOKUP($H460,매장구분!$B:$Z,3,0),"")</f>
        <v>국내</v>
      </c>
      <c r="D460" s="46" t="str">
        <f>IFERROR(VLOOKUP($H460,매장구분!$B:$Z,5,0),"")</f>
        <v>백화점</v>
      </c>
      <c r="E460" s="46" t="str">
        <f>IFERROR(VLOOKUP($H460,매장구분!$B:$Z,9,0),"")</f>
        <v>롯데건대</v>
      </c>
      <c r="G460" s="36" t="s">
        <v>354</v>
      </c>
      <c r="H460" s="36" t="s">
        <v>355</v>
      </c>
      <c r="I460" s="36" t="s">
        <v>169</v>
      </c>
      <c r="J460" s="36" t="s">
        <v>175</v>
      </c>
      <c r="K460" s="36" t="s">
        <v>170</v>
      </c>
      <c r="L460" s="36" t="s">
        <v>171</v>
      </c>
      <c r="M460" s="36" t="s">
        <v>77</v>
      </c>
      <c r="N460" s="36" t="s">
        <v>172</v>
      </c>
      <c r="O460" s="36">
        <v>8176970</v>
      </c>
      <c r="P460" s="36">
        <v>82</v>
      </c>
      <c r="Q460" s="36">
        <v>0</v>
      </c>
      <c r="R460" s="36">
        <v>0</v>
      </c>
      <c r="S460" s="36">
        <v>0</v>
      </c>
      <c r="T460" s="36">
        <v>0</v>
      </c>
      <c r="U460" s="36">
        <v>1836150</v>
      </c>
      <c r="V460" s="36">
        <v>7</v>
      </c>
      <c r="W460" s="36">
        <v>0</v>
      </c>
      <c r="X460" s="36">
        <v>0</v>
      </c>
      <c r="Y460" s="48">
        <v>46185880</v>
      </c>
      <c r="Z460" s="36">
        <v>451</v>
      </c>
      <c r="AA460" s="36">
        <v>0</v>
      </c>
      <c r="AB460" s="36">
        <v>0</v>
      </c>
      <c r="AC460" s="36">
        <v>56199000</v>
      </c>
      <c r="AD460" s="36">
        <v>540</v>
      </c>
      <c r="AF460" s="47">
        <f t="shared" si="7"/>
        <v>10013120</v>
      </c>
    </row>
    <row r="461" spans="1:32" x14ac:dyDescent="0.3">
      <c r="A461" s="46" t="s">
        <v>2</v>
      </c>
      <c r="B461" s="46" t="str">
        <f>IFERROR(VLOOKUP($H461,매장구분!$B:$Z,2,0),"")</f>
        <v>리테일채널팀</v>
      </c>
      <c r="C461" s="46" t="str">
        <f>IFERROR(VLOOKUP($H461,매장구분!$B:$Z,3,0),"")</f>
        <v>국내</v>
      </c>
      <c r="D461" s="46" t="str">
        <f>IFERROR(VLOOKUP($H461,매장구분!$B:$Z,5,0),"")</f>
        <v>대리점</v>
      </c>
      <c r="E461" s="46" t="str">
        <f>IFERROR(VLOOKUP($H461,매장구분!$B:$Z,9,0),"")</f>
        <v>대구칠곡(대-위)</v>
      </c>
      <c r="G461" s="36" t="s">
        <v>364</v>
      </c>
      <c r="H461" s="36" t="s">
        <v>365</v>
      </c>
      <c r="I461" s="36" t="s">
        <v>169</v>
      </c>
      <c r="J461" s="36" t="s">
        <v>79</v>
      </c>
      <c r="K461" s="36" t="s">
        <v>170</v>
      </c>
      <c r="L461" s="36" t="s">
        <v>171</v>
      </c>
      <c r="M461" s="36" t="s">
        <v>196</v>
      </c>
      <c r="N461" s="36" t="s">
        <v>197</v>
      </c>
      <c r="O461" s="36">
        <v>4796300</v>
      </c>
      <c r="P461" s="36">
        <v>40</v>
      </c>
      <c r="Q461" s="36">
        <v>0</v>
      </c>
      <c r="R461" s="36">
        <v>0</v>
      </c>
      <c r="S461" s="36">
        <v>0</v>
      </c>
      <c r="T461" s="36">
        <v>0</v>
      </c>
      <c r="U461" s="36">
        <v>-60000</v>
      </c>
      <c r="V461" s="36">
        <v>0</v>
      </c>
      <c r="W461" s="36">
        <v>0</v>
      </c>
      <c r="X461" s="36">
        <v>0</v>
      </c>
      <c r="Y461" s="48">
        <v>0</v>
      </c>
      <c r="Z461" s="36">
        <v>0</v>
      </c>
      <c r="AA461" s="36">
        <v>0</v>
      </c>
      <c r="AB461" s="36">
        <v>0</v>
      </c>
      <c r="AC461" s="36">
        <v>4736300</v>
      </c>
      <c r="AD461" s="36">
        <v>40</v>
      </c>
      <c r="AF461" s="47">
        <f t="shared" si="7"/>
        <v>4736300</v>
      </c>
    </row>
    <row r="462" spans="1:32" x14ac:dyDescent="0.3">
      <c r="A462" s="46" t="s">
        <v>2</v>
      </c>
      <c r="B462" s="46" t="str">
        <f>IFERROR(VLOOKUP($H462,매장구분!$B:$Z,2,0),"")</f>
        <v>파트너채널팀</v>
      </c>
      <c r="C462" s="46" t="str">
        <f>IFERROR(VLOOKUP($H462,매장구분!$B:$Z,3,0),"")</f>
        <v>국내</v>
      </c>
      <c r="D462" s="46" t="str">
        <f>IFERROR(VLOOKUP($H462,매장구분!$B:$Z,5,0),"")</f>
        <v>백화점</v>
      </c>
      <c r="E462" s="46" t="str">
        <f>IFERROR(VLOOKUP($H462,매장구분!$B:$Z,9,0),"")</f>
        <v>현대충청</v>
      </c>
      <c r="G462" s="36" t="s">
        <v>358</v>
      </c>
      <c r="H462" s="36" t="s">
        <v>359</v>
      </c>
      <c r="I462" s="36" t="s">
        <v>169</v>
      </c>
      <c r="J462" s="36" t="s">
        <v>175</v>
      </c>
      <c r="K462" s="36" t="s">
        <v>170</v>
      </c>
      <c r="L462" s="36" t="s">
        <v>171</v>
      </c>
      <c r="M462" s="36" t="s">
        <v>77</v>
      </c>
      <c r="N462" s="36" t="s">
        <v>172</v>
      </c>
      <c r="O462" s="36">
        <v>16856000</v>
      </c>
      <c r="P462" s="36">
        <v>186</v>
      </c>
      <c r="Q462" s="36">
        <v>0</v>
      </c>
      <c r="R462" s="36">
        <v>0</v>
      </c>
      <c r="S462" s="36">
        <v>0</v>
      </c>
      <c r="T462" s="36">
        <v>0</v>
      </c>
      <c r="U462" s="36">
        <v>0</v>
      </c>
      <c r="V462" s="36">
        <v>0</v>
      </c>
      <c r="W462" s="36">
        <v>0</v>
      </c>
      <c r="X462" s="36">
        <v>0</v>
      </c>
      <c r="Y462" s="48">
        <v>14700000</v>
      </c>
      <c r="Z462" s="36">
        <v>50</v>
      </c>
      <c r="AA462" s="36">
        <v>0</v>
      </c>
      <c r="AB462" s="36">
        <v>0</v>
      </c>
      <c r="AC462" s="36">
        <v>31556000</v>
      </c>
      <c r="AD462" s="36">
        <v>236</v>
      </c>
      <c r="AF462" s="47">
        <f t="shared" si="7"/>
        <v>16856000</v>
      </c>
    </row>
    <row r="463" spans="1:32" x14ac:dyDescent="0.3">
      <c r="A463" s="46" t="s">
        <v>2</v>
      </c>
      <c r="B463" s="46" t="str">
        <f>IFERROR(VLOOKUP($H463,매장구분!$B:$Z,2,0),"")</f>
        <v>리테일채널팀</v>
      </c>
      <c r="C463" s="46" t="str">
        <f>IFERROR(VLOOKUP($H463,매장구분!$B:$Z,3,0),"")</f>
        <v>RF</v>
      </c>
      <c r="D463" s="46" t="str">
        <f>IFERROR(VLOOKUP($H463,매장구분!$B:$Z,5,0),"")</f>
        <v>직영점</v>
      </c>
      <c r="E463" s="46" t="str">
        <f>IFERROR(VLOOKUP($H463,매장구분!$B:$Z,9,0),"")</f>
        <v>성수(직)</v>
      </c>
      <c r="G463" s="36" t="s">
        <v>332</v>
      </c>
      <c r="H463" s="36" t="s">
        <v>333</v>
      </c>
      <c r="I463" s="36" t="s">
        <v>169</v>
      </c>
      <c r="J463" s="36" t="s">
        <v>180</v>
      </c>
      <c r="K463" s="36" t="s">
        <v>170</v>
      </c>
      <c r="L463" s="36" t="s">
        <v>171</v>
      </c>
      <c r="M463" s="36" t="s">
        <v>196</v>
      </c>
      <c r="N463" s="36" t="s">
        <v>206</v>
      </c>
      <c r="O463" s="36">
        <v>171235800</v>
      </c>
      <c r="P463" s="36">
        <v>2243</v>
      </c>
      <c r="Q463" s="36">
        <v>0</v>
      </c>
      <c r="R463" s="36">
        <v>0</v>
      </c>
      <c r="S463" s="36">
        <v>0</v>
      </c>
      <c r="T463" s="36">
        <v>0</v>
      </c>
      <c r="U463" s="36">
        <v>0</v>
      </c>
      <c r="V463" s="36">
        <v>0</v>
      </c>
      <c r="W463" s="36">
        <v>0</v>
      </c>
      <c r="X463" s="36">
        <v>0</v>
      </c>
      <c r="Y463" s="48">
        <v>0</v>
      </c>
      <c r="Z463" s="36">
        <v>0</v>
      </c>
      <c r="AA463" s="36">
        <v>0</v>
      </c>
      <c r="AB463" s="36">
        <v>0</v>
      </c>
      <c r="AC463" s="36">
        <v>171235800</v>
      </c>
      <c r="AD463" s="36">
        <v>2243</v>
      </c>
      <c r="AF463" s="47">
        <f t="shared" si="7"/>
        <v>171235800</v>
      </c>
    </row>
    <row r="464" spans="1:32" x14ac:dyDescent="0.3">
      <c r="A464" s="46" t="s">
        <v>2</v>
      </c>
      <c r="B464" s="46" t="str">
        <f>IFERROR(VLOOKUP($H464,매장구분!$B:$Z,2,0),"")</f>
        <v>리테일채널팀</v>
      </c>
      <c r="C464" s="46" t="str">
        <f>IFERROR(VLOOKUP($H464,매장구분!$B:$Z,3,0),"")</f>
        <v>RF</v>
      </c>
      <c r="D464" s="46" t="str">
        <f>IFERROR(VLOOKUP($H464,매장구분!$B:$Z,5,0),"")</f>
        <v>대리점</v>
      </c>
      <c r="E464" s="46" t="str">
        <f>IFERROR(VLOOKUP($H464,매장구분!$B:$Z,9,0),"")</f>
        <v>신제주(대-위)</v>
      </c>
      <c r="G464" s="36" t="s">
        <v>340</v>
      </c>
      <c r="H464" s="36" t="s">
        <v>341</v>
      </c>
      <c r="I464" s="36" t="s">
        <v>169</v>
      </c>
      <c r="J464" s="36" t="s">
        <v>79</v>
      </c>
      <c r="K464" s="36" t="s">
        <v>170</v>
      </c>
      <c r="L464" s="36" t="s">
        <v>171</v>
      </c>
      <c r="M464" s="36" t="s">
        <v>196</v>
      </c>
      <c r="N464" s="36" t="s">
        <v>197</v>
      </c>
      <c r="O464" s="36">
        <v>22440100</v>
      </c>
      <c r="P464" s="36">
        <v>248</v>
      </c>
      <c r="Q464" s="36">
        <v>0</v>
      </c>
      <c r="R464" s="36">
        <v>0</v>
      </c>
      <c r="S464" s="36">
        <v>0</v>
      </c>
      <c r="T464" s="36">
        <v>0</v>
      </c>
      <c r="U464" s="36">
        <v>0</v>
      </c>
      <c r="V464" s="36">
        <v>0</v>
      </c>
      <c r="W464" s="36">
        <v>0</v>
      </c>
      <c r="X464" s="36">
        <v>0</v>
      </c>
      <c r="Y464" s="48">
        <v>13408000</v>
      </c>
      <c r="Z464" s="36">
        <v>188</v>
      </c>
      <c r="AA464" s="36">
        <v>0</v>
      </c>
      <c r="AB464" s="36">
        <v>0</v>
      </c>
      <c r="AC464" s="36">
        <v>35848100</v>
      </c>
      <c r="AD464" s="36">
        <v>436</v>
      </c>
      <c r="AF464" s="47">
        <f t="shared" si="7"/>
        <v>22440100</v>
      </c>
    </row>
    <row r="465" spans="1:32" x14ac:dyDescent="0.3">
      <c r="A465" s="46" t="s">
        <v>2</v>
      </c>
      <c r="B465" s="46" t="str">
        <f>IFERROR(VLOOKUP($H465,매장구분!$B:$Z,2,0),"")</f>
        <v>파트너채널팀</v>
      </c>
      <c r="C465" s="46" t="str">
        <f>IFERROR(VLOOKUP($H465,매장구분!$B:$Z,3,0),"")</f>
        <v>면세</v>
      </c>
      <c r="D465" s="46" t="str">
        <f>IFERROR(VLOOKUP($H465,매장구분!$B:$Z,5,0),"")</f>
        <v>면세</v>
      </c>
      <c r="E465" s="46" t="str">
        <f>IFERROR(VLOOKUP($H465,매장구분!$B:$Z,9,0),"")</f>
        <v>신라면세제주</v>
      </c>
      <c r="G465" s="36" t="s">
        <v>334</v>
      </c>
      <c r="H465" s="36" t="s">
        <v>335</v>
      </c>
      <c r="I465" s="36" t="s">
        <v>169</v>
      </c>
      <c r="J465" s="36" t="s">
        <v>175</v>
      </c>
      <c r="K465" s="36" t="s">
        <v>170</v>
      </c>
      <c r="L465" s="36" t="s">
        <v>171</v>
      </c>
      <c r="M465" s="36" t="s">
        <v>176</v>
      </c>
      <c r="N465" s="36" t="s">
        <v>177</v>
      </c>
      <c r="O465" s="36">
        <v>104328800</v>
      </c>
      <c r="P465" s="36">
        <v>2110</v>
      </c>
      <c r="Q465" s="36">
        <v>0</v>
      </c>
      <c r="R465" s="36">
        <v>0</v>
      </c>
      <c r="S465" s="36">
        <v>0</v>
      </c>
      <c r="T465" s="36">
        <v>0</v>
      </c>
      <c r="U465" s="36">
        <v>0</v>
      </c>
      <c r="V465" s="36">
        <v>0</v>
      </c>
      <c r="W465" s="36">
        <v>0</v>
      </c>
      <c r="X465" s="36">
        <v>0</v>
      </c>
      <c r="Y465" s="48">
        <v>0</v>
      </c>
      <c r="Z465" s="36">
        <v>0</v>
      </c>
      <c r="AA465" s="36">
        <v>0</v>
      </c>
      <c r="AB465" s="36">
        <v>0</v>
      </c>
      <c r="AC465" s="36">
        <v>104328800</v>
      </c>
      <c r="AD465" s="36">
        <v>2110</v>
      </c>
      <c r="AF465" s="47">
        <f t="shared" si="7"/>
        <v>104328800</v>
      </c>
    </row>
    <row r="466" spans="1:32" x14ac:dyDescent="0.3">
      <c r="A466" s="46" t="s">
        <v>2</v>
      </c>
      <c r="B466" s="46" t="str">
        <f>IFERROR(VLOOKUP($H466,매장구분!$B:$Z,2,0),"")</f>
        <v>E-biz</v>
      </c>
      <c r="C466" s="46" t="str">
        <f>IFERROR(VLOOKUP($H466,매장구분!$B:$Z,3,0),"")</f>
        <v>국내</v>
      </c>
      <c r="D466" s="46" t="str">
        <f>IFERROR(VLOOKUP($H466,매장구분!$B:$Z,5,0),"")</f>
        <v>온(제휴몰)</v>
      </c>
      <c r="E466" s="46" t="str">
        <f>IFERROR(VLOOKUP($H466,매장구분!$B:$Z,9,0),"")</f>
        <v>SSF샵(제휴몰)</v>
      </c>
      <c r="G466" s="36" t="s">
        <v>342</v>
      </c>
      <c r="H466" s="36" t="s">
        <v>343</v>
      </c>
      <c r="I466" s="36" t="s">
        <v>169</v>
      </c>
      <c r="J466" s="36" t="s">
        <v>180</v>
      </c>
      <c r="K466" s="36" t="s">
        <v>170</v>
      </c>
      <c r="L466" s="36" t="s">
        <v>181</v>
      </c>
      <c r="M466" s="36" t="s">
        <v>181</v>
      </c>
      <c r="N466" s="36" t="s">
        <v>185</v>
      </c>
      <c r="O466" s="36">
        <v>38128300</v>
      </c>
      <c r="P466" s="36">
        <v>380</v>
      </c>
      <c r="Q466" s="36">
        <v>0</v>
      </c>
      <c r="R466" s="36">
        <v>0</v>
      </c>
      <c r="S466" s="36">
        <v>0</v>
      </c>
      <c r="T466" s="36">
        <v>0</v>
      </c>
      <c r="U466" s="36">
        <v>0</v>
      </c>
      <c r="V466" s="36">
        <v>0</v>
      </c>
      <c r="W466" s="36">
        <v>0</v>
      </c>
      <c r="X466" s="36">
        <v>0</v>
      </c>
      <c r="Y466" s="48">
        <v>0</v>
      </c>
      <c r="Z466" s="36">
        <v>0</v>
      </c>
      <c r="AA466" s="36">
        <v>0</v>
      </c>
      <c r="AB466" s="36">
        <v>0</v>
      </c>
      <c r="AC466" s="36">
        <v>38128300</v>
      </c>
      <c r="AD466" s="36">
        <v>380</v>
      </c>
      <c r="AF466" s="47">
        <f t="shared" si="7"/>
        <v>38128300</v>
      </c>
    </row>
    <row r="467" spans="1:32" x14ac:dyDescent="0.3">
      <c r="A467" s="46" t="s">
        <v>2</v>
      </c>
      <c r="B467" s="46" t="str">
        <f>IFERROR(VLOOKUP($H467,매장구분!$B:$Z,2,0),"")</f>
        <v>파트너채널팀</v>
      </c>
      <c r="C467" s="46" t="str">
        <f>IFERROR(VLOOKUP($H467,매장구분!$B:$Z,3,0),"")</f>
        <v>국내</v>
      </c>
      <c r="D467" s="46" t="str">
        <f>IFERROR(VLOOKUP($H467,매장구분!$B:$Z,5,0),"")</f>
        <v>백화점</v>
      </c>
      <c r="E467" s="46" t="str">
        <f>IFERROR(VLOOKUP($H467,매장구분!$B:$Z,9,0),"")</f>
        <v>신세계경기</v>
      </c>
      <c r="G467" s="36" t="s">
        <v>356</v>
      </c>
      <c r="H467" s="36" t="s">
        <v>357</v>
      </c>
      <c r="I467" s="36" t="s">
        <v>169</v>
      </c>
      <c r="J467" s="36" t="s">
        <v>175</v>
      </c>
      <c r="K467" s="36" t="s">
        <v>170</v>
      </c>
      <c r="L467" s="36" t="s">
        <v>171</v>
      </c>
      <c r="M467" s="36" t="s">
        <v>77</v>
      </c>
      <c r="N467" s="36" t="s">
        <v>172</v>
      </c>
      <c r="O467" s="36">
        <v>9496890</v>
      </c>
      <c r="P467" s="36">
        <v>126</v>
      </c>
      <c r="Q467" s="36">
        <v>0</v>
      </c>
      <c r="R467" s="36">
        <v>0</v>
      </c>
      <c r="S467" s="36">
        <v>0</v>
      </c>
      <c r="T467" s="36">
        <v>0</v>
      </c>
      <c r="U467" s="36">
        <v>462810</v>
      </c>
      <c r="V467" s="36">
        <v>3</v>
      </c>
      <c r="W467" s="36">
        <v>0</v>
      </c>
      <c r="X467" s="36">
        <v>0</v>
      </c>
      <c r="Y467" s="48">
        <v>10220000</v>
      </c>
      <c r="Z467" s="36">
        <v>100</v>
      </c>
      <c r="AA467" s="36">
        <v>0</v>
      </c>
      <c r="AB467" s="36">
        <v>0</v>
      </c>
      <c r="AC467" s="36">
        <v>20179700</v>
      </c>
      <c r="AD467" s="36">
        <v>229</v>
      </c>
      <c r="AF467" s="47">
        <f t="shared" si="7"/>
        <v>9959700</v>
      </c>
    </row>
    <row r="468" spans="1:32" x14ac:dyDescent="0.3">
      <c r="A468" s="46" t="s">
        <v>2</v>
      </c>
      <c r="B468" s="46" t="str">
        <f>IFERROR(VLOOKUP($H468,매장구분!$B:$Z,2,0),"")</f>
        <v>리테일채널팀</v>
      </c>
      <c r="C468" s="46" t="str">
        <f>IFERROR(VLOOKUP($H468,매장구분!$B:$Z,3,0),"")</f>
        <v>국내</v>
      </c>
      <c r="D468" s="46" t="str">
        <f>IFERROR(VLOOKUP($H468,매장구분!$B:$Z,5,0),"")</f>
        <v>직영점</v>
      </c>
      <c r="E468" s="46" t="str">
        <f>IFERROR(VLOOKUP($H468,매장구분!$B:$Z,9,0),"")</f>
        <v>타임스트림신림(직)</v>
      </c>
      <c r="G468" s="36" t="s">
        <v>360</v>
      </c>
      <c r="H468" s="36" t="s">
        <v>361</v>
      </c>
      <c r="I468" s="36" t="s">
        <v>169</v>
      </c>
      <c r="J468" s="36" t="s">
        <v>180</v>
      </c>
      <c r="K468" s="36" t="s">
        <v>170</v>
      </c>
      <c r="L468" s="36" t="s">
        <v>171</v>
      </c>
      <c r="M468" s="36" t="s">
        <v>188</v>
      </c>
      <c r="N468" s="36" t="s">
        <v>317</v>
      </c>
      <c r="O468" s="36">
        <v>8137000</v>
      </c>
      <c r="P468" s="36">
        <v>85</v>
      </c>
      <c r="Q468" s="36">
        <v>0</v>
      </c>
      <c r="R468" s="36">
        <v>0</v>
      </c>
      <c r="S468" s="36">
        <v>0</v>
      </c>
      <c r="T468" s="36">
        <v>0</v>
      </c>
      <c r="U468" s="36">
        <v>676000</v>
      </c>
      <c r="V468" s="36">
        <v>4</v>
      </c>
      <c r="W468" s="36">
        <v>0</v>
      </c>
      <c r="X468" s="36">
        <v>0</v>
      </c>
      <c r="Y468" s="48">
        <v>0</v>
      </c>
      <c r="Z468" s="36">
        <v>0</v>
      </c>
      <c r="AA468" s="36">
        <v>0</v>
      </c>
      <c r="AB468" s="36">
        <v>0</v>
      </c>
      <c r="AC468" s="36">
        <v>8813000</v>
      </c>
      <c r="AD468" s="36">
        <v>89</v>
      </c>
      <c r="AF468" s="47">
        <f t="shared" si="7"/>
        <v>8813000</v>
      </c>
    </row>
    <row r="469" spans="1:32" x14ac:dyDescent="0.3">
      <c r="A469" s="46" t="s">
        <v>2</v>
      </c>
      <c r="B469" s="46" t="str">
        <f>IFERROR(VLOOKUP($H469,매장구분!$B:$Z,2,0),"")</f>
        <v>리테일채널팀</v>
      </c>
      <c r="C469" s="46" t="str">
        <f>IFERROR(VLOOKUP($H469,매장구분!$B:$Z,3,0),"")</f>
        <v>국내</v>
      </c>
      <c r="D469" s="46" t="str">
        <f>IFERROR(VLOOKUP($H469,매장구분!$B:$Z,5,0),"")</f>
        <v>대리점</v>
      </c>
      <c r="E469" s="46" t="str">
        <f>IFERROR(VLOOKUP($H469,매장구분!$B:$Z,9,0),"")</f>
        <v>포항(대-위)</v>
      </c>
      <c r="G469" s="36" t="s">
        <v>338</v>
      </c>
      <c r="H469" s="36" t="s">
        <v>339</v>
      </c>
      <c r="I469" s="36" t="s">
        <v>169</v>
      </c>
      <c r="J469" s="36" t="s">
        <v>79</v>
      </c>
      <c r="K469" s="36" t="s">
        <v>170</v>
      </c>
      <c r="L469" s="36" t="s">
        <v>171</v>
      </c>
      <c r="M469" s="36" t="s">
        <v>196</v>
      </c>
      <c r="N469" s="36" t="s">
        <v>197</v>
      </c>
      <c r="O469" s="36">
        <v>4984700</v>
      </c>
      <c r="P469" s="36">
        <v>44</v>
      </c>
      <c r="Q469" s="36">
        <v>0</v>
      </c>
      <c r="R469" s="36">
        <v>0</v>
      </c>
      <c r="S469" s="36">
        <v>0</v>
      </c>
      <c r="T469" s="36">
        <v>0</v>
      </c>
      <c r="U469" s="36">
        <v>0</v>
      </c>
      <c r="V469" s="36">
        <v>0</v>
      </c>
      <c r="W469" s="36">
        <v>0</v>
      </c>
      <c r="X469" s="36">
        <v>0</v>
      </c>
      <c r="Y469" s="48">
        <v>0</v>
      </c>
      <c r="Z469" s="36">
        <v>0</v>
      </c>
      <c r="AA469" s="36">
        <v>0</v>
      </c>
      <c r="AB469" s="36">
        <v>0</v>
      </c>
      <c r="AC469" s="36">
        <v>4984700</v>
      </c>
      <c r="AD469" s="36">
        <v>44</v>
      </c>
      <c r="AF469" s="47">
        <f t="shared" si="7"/>
        <v>4984700</v>
      </c>
    </row>
    <row r="470" spans="1:32" x14ac:dyDescent="0.3">
      <c r="A470" s="46" t="s">
        <v>2</v>
      </c>
      <c r="B470" s="46" t="str">
        <f>IFERROR(VLOOKUP($H470,매장구분!$B:$Z,2,0),"")</f>
        <v>파트너채널팀</v>
      </c>
      <c r="C470" s="46" t="str">
        <f>IFERROR(VLOOKUP($H470,매장구분!$B:$Z,3,0),"")</f>
        <v>국내</v>
      </c>
      <c r="D470" s="46" t="str">
        <f>IFERROR(VLOOKUP($H470,매장구분!$B:$Z,5,0),"")</f>
        <v>백화점</v>
      </c>
      <c r="E470" s="46" t="str">
        <f>IFERROR(VLOOKUP($H470,매장구분!$B:$Z,9,0),"")</f>
        <v>현대울산</v>
      </c>
      <c r="G470" s="36" t="s">
        <v>344</v>
      </c>
      <c r="H470" s="36" t="s">
        <v>345</v>
      </c>
      <c r="I470" s="36" t="s">
        <v>169</v>
      </c>
      <c r="J470" s="36" t="s">
        <v>175</v>
      </c>
      <c r="K470" s="36" t="s">
        <v>170</v>
      </c>
      <c r="L470" s="36" t="s">
        <v>171</v>
      </c>
      <c r="M470" s="36" t="s">
        <v>77</v>
      </c>
      <c r="N470" s="36" t="s">
        <v>172</v>
      </c>
      <c r="O470" s="36">
        <v>25474080</v>
      </c>
      <c r="P470" s="36">
        <v>239</v>
      </c>
      <c r="Q470" s="36">
        <v>0</v>
      </c>
      <c r="R470" s="36">
        <v>0</v>
      </c>
      <c r="S470" s="36">
        <v>0</v>
      </c>
      <c r="T470" s="36">
        <v>0</v>
      </c>
      <c r="U470" s="36">
        <v>2987320</v>
      </c>
      <c r="V470" s="36">
        <v>21</v>
      </c>
      <c r="W470" s="36">
        <v>0</v>
      </c>
      <c r="X470" s="36">
        <v>0</v>
      </c>
      <c r="Y470" s="48">
        <v>6111000</v>
      </c>
      <c r="Z470" s="36">
        <v>51</v>
      </c>
      <c r="AA470" s="36">
        <v>0</v>
      </c>
      <c r="AB470" s="36">
        <v>0</v>
      </c>
      <c r="AC470" s="36">
        <v>34572400</v>
      </c>
      <c r="AD470" s="36">
        <v>311</v>
      </c>
      <c r="AF470" s="47">
        <f t="shared" si="7"/>
        <v>28461400</v>
      </c>
    </row>
    <row r="471" spans="1:32" x14ac:dyDescent="0.3">
      <c r="A471" s="46" t="s">
        <v>2</v>
      </c>
      <c r="B471" s="46" t="str">
        <f>IFERROR(VLOOKUP($H471,매장구분!$B:$Z,2,0),"")</f>
        <v>파트너채널팀</v>
      </c>
      <c r="C471" s="46" t="str">
        <f>IFERROR(VLOOKUP($H471,매장구분!$B:$Z,3,0),"")</f>
        <v>국내</v>
      </c>
      <c r="D471" s="46" t="str">
        <f>IFERROR(VLOOKUP($H471,매장구분!$B:$Z,5,0),"")</f>
        <v>백화점</v>
      </c>
      <c r="E471" s="46" t="str">
        <f>IFERROR(VLOOKUP($H471,매장구분!$B:$Z,9,0),"")</f>
        <v>롯데아울렛의왕(직)</v>
      </c>
      <c r="G471" s="36" t="s">
        <v>352</v>
      </c>
      <c r="H471" s="36" t="s">
        <v>353</v>
      </c>
      <c r="I471" s="36" t="s">
        <v>169</v>
      </c>
      <c r="J471" s="36" t="s">
        <v>180</v>
      </c>
      <c r="K471" s="36" t="s">
        <v>170</v>
      </c>
      <c r="L471" s="36" t="s">
        <v>171</v>
      </c>
      <c r="M471" s="36" t="s">
        <v>219</v>
      </c>
      <c r="N471" s="36" t="s">
        <v>219</v>
      </c>
      <c r="O471" s="36">
        <v>12505320</v>
      </c>
      <c r="P471" s="36">
        <v>144</v>
      </c>
      <c r="Q471" s="36">
        <v>0</v>
      </c>
      <c r="R471" s="36">
        <v>0</v>
      </c>
      <c r="S471" s="36">
        <v>0</v>
      </c>
      <c r="T471" s="36">
        <v>0</v>
      </c>
      <c r="U471" s="36">
        <v>1317680</v>
      </c>
      <c r="V471" s="36">
        <v>6</v>
      </c>
      <c r="W471" s="36">
        <v>0</v>
      </c>
      <c r="X471" s="36">
        <v>0</v>
      </c>
      <c r="Y471" s="48">
        <v>0</v>
      </c>
      <c r="Z471" s="36">
        <v>0</v>
      </c>
      <c r="AA471" s="36">
        <v>0</v>
      </c>
      <c r="AB471" s="36">
        <v>0</v>
      </c>
      <c r="AC471" s="36">
        <v>13823000</v>
      </c>
      <c r="AD471" s="36">
        <v>150</v>
      </c>
      <c r="AF471" s="47">
        <f t="shared" si="7"/>
        <v>13823000</v>
      </c>
    </row>
    <row r="472" spans="1:32" x14ac:dyDescent="0.3">
      <c r="A472" s="46" t="s">
        <v>2</v>
      </c>
      <c r="B472" s="46" t="str">
        <f>IFERROR(VLOOKUP($H472,매장구분!$B:$Z,2,0),"")</f>
        <v>파트너채널팀</v>
      </c>
      <c r="C472" s="46" t="str">
        <f>IFERROR(VLOOKUP($H472,매장구분!$B:$Z,3,0),"")</f>
        <v>국내</v>
      </c>
      <c r="D472" s="46" t="str">
        <f>IFERROR(VLOOKUP($H472,매장구분!$B:$Z,5,0),"")</f>
        <v>백화점</v>
      </c>
      <c r="E472" s="46" t="str">
        <f>IFERROR(VLOOKUP($H472,매장구분!$B:$Z,9,0),"")</f>
        <v>롯데미아</v>
      </c>
      <c r="G472" s="36" t="s">
        <v>350</v>
      </c>
      <c r="H472" s="36" t="s">
        <v>351</v>
      </c>
      <c r="I472" s="36" t="s">
        <v>169</v>
      </c>
      <c r="J472" s="36" t="s">
        <v>175</v>
      </c>
      <c r="K472" s="36" t="s">
        <v>170</v>
      </c>
      <c r="L472" s="36" t="s">
        <v>171</v>
      </c>
      <c r="M472" s="36" t="s">
        <v>77</v>
      </c>
      <c r="N472" s="36" t="s">
        <v>172</v>
      </c>
      <c r="O472" s="36">
        <v>5418320</v>
      </c>
      <c r="P472" s="36">
        <v>68</v>
      </c>
      <c r="Q472" s="36">
        <v>0</v>
      </c>
      <c r="R472" s="36">
        <v>0</v>
      </c>
      <c r="S472" s="36">
        <v>0</v>
      </c>
      <c r="T472" s="36">
        <v>0</v>
      </c>
      <c r="U472" s="36">
        <v>667380</v>
      </c>
      <c r="V472" s="36">
        <v>5</v>
      </c>
      <c r="W472" s="36">
        <v>0</v>
      </c>
      <c r="X472" s="36">
        <v>0</v>
      </c>
      <c r="Y472" s="48">
        <v>0</v>
      </c>
      <c r="Z472" s="36">
        <v>0</v>
      </c>
      <c r="AA472" s="36">
        <v>0</v>
      </c>
      <c r="AB472" s="36">
        <v>0</v>
      </c>
      <c r="AC472" s="36">
        <v>6085700</v>
      </c>
      <c r="AD472" s="36">
        <v>73</v>
      </c>
      <c r="AF472" s="47">
        <f t="shared" si="7"/>
        <v>6085700</v>
      </c>
    </row>
    <row r="473" spans="1:32" x14ac:dyDescent="0.3">
      <c r="A473" s="46" t="s">
        <v>2</v>
      </c>
      <c r="B473" s="46" t="str">
        <f>IFERROR(VLOOKUP($H473,매장구분!$B:$Z,2,0),"")</f>
        <v>리테일채널팀</v>
      </c>
      <c r="C473" s="46" t="str">
        <f>IFERROR(VLOOKUP($H473,매장구분!$B:$Z,3,0),"")</f>
        <v>국내</v>
      </c>
      <c r="D473" s="46" t="str">
        <f>IFERROR(VLOOKUP($H473,매장구분!$B:$Z,5,0),"")</f>
        <v>대리점</v>
      </c>
      <c r="E473" s="46" t="str">
        <f>IFERROR(VLOOKUP($H473,매장구분!$B:$Z,9,0),"")</f>
        <v>경기광주(대-위)</v>
      </c>
      <c r="G473" s="36" t="s">
        <v>362</v>
      </c>
      <c r="H473" s="36" t="s">
        <v>363</v>
      </c>
      <c r="I473" s="36" t="s">
        <v>169</v>
      </c>
      <c r="J473" s="36" t="s">
        <v>79</v>
      </c>
      <c r="K473" s="36" t="s">
        <v>170</v>
      </c>
      <c r="L473" s="36" t="s">
        <v>171</v>
      </c>
      <c r="M473" s="36" t="s">
        <v>196</v>
      </c>
      <c r="N473" s="36" t="s">
        <v>197</v>
      </c>
      <c r="O473" s="36">
        <v>7837100</v>
      </c>
      <c r="P473" s="36">
        <v>81</v>
      </c>
      <c r="Q473" s="36">
        <v>0</v>
      </c>
      <c r="R473" s="36">
        <v>0</v>
      </c>
      <c r="S473" s="36">
        <v>0</v>
      </c>
      <c r="T473" s="36">
        <v>0</v>
      </c>
      <c r="U473" s="36">
        <v>487000</v>
      </c>
      <c r="V473" s="36">
        <v>3</v>
      </c>
      <c r="W473" s="36">
        <v>0</v>
      </c>
      <c r="X473" s="36">
        <v>0</v>
      </c>
      <c r="Y473" s="48">
        <v>0</v>
      </c>
      <c r="Z473" s="36">
        <v>0</v>
      </c>
      <c r="AA473" s="36">
        <v>0</v>
      </c>
      <c r="AB473" s="36">
        <v>0</v>
      </c>
      <c r="AC473" s="36">
        <v>8324100</v>
      </c>
      <c r="AD473" s="36">
        <v>84</v>
      </c>
      <c r="AF473" s="47">
        <f t="shared" si="7"/>
        <v>8324100</v>
      </c>
    </row>
    <row r="474" spans="1:32" x14ac:dyDescent="0.3">
      <c r="A474" s="46" t="s">
        <v>2</v>
      </c>
      <c r="B474" s="46" t="str">
        <f>IFERROR(VLOOKUP($H474,매장구분!$B:$Z,2,0),"")</f>
        <v>리테일채널팀</v>
      </c>
      <c r="C474" s="46" t="str">
        <f>IFERROR(VLOOKUP($H474,매장구분!$B:$Z,3,0),"")</f>
        <v>국내</v>
      </c>
      <c r="D474" s="46" t="str">
        <f>IFERROR(VLOOKUP($H474,매장구분!$B:$Z,5,0),"")</f>
        <v>대리점</v>
      </c>
      <c r="E474" s="46" t="str">
        <f>IFERROR(VLOOKUP($H474,매장구분!$B:$Z,9,0),"")</f>
        <v>서산(대-위)</v>
      </c>
      <c r="G474" s="36" t="s">
        <v>336</v>
      </c>
      <c r="H474" s="36" t="s">
        <v>337</v>
      </c>
      <c r="I474" s="36" t="s">
        <v>169</v>
      </c>
      <c r="J474" s="36" t="s">
        <v>79</v>
      </c>
      <c r="K474" s="36" t="s">
        <v>170</v>
      </c>
      <c r="L474" s="36" t="s">
        <v>171</v>
      </c>
      <c r="M474" s="36" t="s">
        <v>196</v>
      </c>
      <c r="N474" s="36" t="s">
        <v>197</v>
      </c>
      <c r="O474" s="36">
        <v>7681210</v>
      </c>
      <c r="P474" s="36">
        <v>80</v>
      </c>
      <c r="Q474" s="36">
        <v>0</v>
      </c>
      <c r="R474" s="36">
        <v>0</v>
      </c>
      <c r="S474" s="36">
        <v>0</v>
      </c>
      <c r="T474" s="36">
        <v>0</v>
      </c>
      <c r="U474" s="36">
        <v>425790</v>
      </c>
      <c r="V474" s="36">
        <v>3</v>
      </c>
      <c r="W474" s="36">
        <v>0</v>
      </c>
      <c r="X474" s="36">
        <v>0</v>
      </c>
      <c r="Y474" s="48">
        <v>0</v>
      </c>
      <c r="Z474" s="36">
        <v>0</v>
      </c>
      <c r="AA474" s="36">
        <v>0</v>
      </c>
      <c r="AB474" s="36">
        <v>0</v>
      </c>
      <c r="AC474" s="36">
        <v>8107000</v>
      </c>
      <c r="AD474" s="36">
        <v>83</v>
      </c>
      <c r="AF474" s="47">
        <f t="shared" si="7"/>
        <v>8107000</v>
      </c>
    </row>
    <row r="475" spans="1:32" x14ac:dyDescent="0.3">
      <c r="A475" s="46" t="s">
        <v>2</v>
      </c>
      <c r="B475" s="46" t="str">
        <f>IFERROR(VLOOKUP($H475,매장구분!$B:$Z,2,0),"")</f>
        <v>리테일채널팀</v>
      </c>
      <c r="C475" s="46" t="str">
        <f>IFERROR(VLOOKUP($H475,매장구분!$B:$Z,3,0),"")</f>
        <v>국내</v>
      </c>
      <c r="D475" s="46" t="str">
        <f>IFERROR(VLOOKUP($H475,매장구분!$B:$Z,5,0),"")</f>
        <v>대리점</v>
      </c>
      <c r="E475" s="46" t="str">
        <f>IFERROR(VLOOKUP($H475,매장구분!$B:$Z,9,0),"")</f>
        <v>세정광주(대-위)</v>
      </c>
      <c r="G475" s="36" t="s">
        <v>346</v>
      </c>
      <c r="H475" s="36" t="s">
        <v>347</v>
      </c>
      <c r="I475" s="36" t="s">
        <v>169</v>
      </c>
      <c r="J475" s="36" t="s">
        <v>79</v>
      </c>
      <c r="K475" s="36" t="s">
        <v>170</v>
      </c>
      <c r="L475" s="36" t="s">
        <v>171</v>
      </c>
      <c r="M475" s="36" t="s">
        <v>196</v>
      </c>
      <c r="N475" s="36" t="s">
        <v>197</v>
      </c>
      <c r="O475" s="36">
        <v>8967354</v>
      </c>
      <c r="P475" s="36">
        <v>111</v>
      </c>
      <c r="Q475" s="36">
        <v>0</v>
      </c>
      <c r="R475" s="36">
        <v>0</v>
      </c>
      <c r="S475" s="36">
        <v>0</v>
      </c>
      <c r="T475" s="36">
        <v>0</v>
      </c>
      <c r="U475" s="36">
        <v>1885946</v>
      </c>
      <c r="V475" s="36">
        <v>12</v>
      </c>
      <c r="W475" s="36">
        <v>0</v>
      </c>
      <c r="X475" s="36">
        <v>0</v>
      </c>
      <c r="Y475" s="48">
        <v>0</v>
      </c>
      <c r="Z475" s="36">
        <v>0</v>
      </c>
      <c r="AA475" s="36">
        <v>0</v>
      </c>
      <c r="AB475" s="36">
        <v>0</v>
      </c>
      <c r="AC475" s="36">
        <v>10853300</v>
      </c>
      <c r="AD475" s="36">
        <v>123</v>
      </c>
      <c r="AF475" s="47">
        <f t="shared" si="7"/>
        <v>10853300</v>
      </c>
    </row>
    <row r="476" spans="1:32" x14ac:dyDescent="0.3">
      <c r="A476" s="46" t="s">
        <v>2</v>
      </c>
      <c r="B476" s="46" t="str">
        <f>IFERROR(VLOOKUP($H476,매장구분!$B:$Z,2,0),"")</f>
        <v>파트너채널팀</v>
      </c>
      <c r="C476" s="46" t="str">
        <f>IFERROR(VLOOKUP($H476,매장구분!$B:$Z,3,0),"")</f>
        <v>국내</v>
      </c>
      <c r="D476" s="46" t="str">
        <f>IFERROR(VLOOKUP($H476,매장구분!$B:$Z,5,0),"")</f>
        <v>백화점</v>
      </c>
      <c r="E476" s="46" t="str">
        <f>IFERROR(VLOOKUP($H476,매장구분!$B:$Z,9,0),"")</f>
        <v>롯데상인</v>
      </c>
      <c r="G476" s="36" t="s">
        <v>348</v>
      </c>
      <c r="H476" s="36" t="s">
        <v>349</v>
      </c>
      <c r="I476" s="36" t="s">
        <v>169</v>
      </c>
      <c r="J476" s="36" t="s">
        <v>175</v>
      </c>
      <c r="K476" s="36" t="s">
        <v>170</v>
      </c>
      <c r="L476" s="36" t="s">
        <v>171</v>
      </c>
      <c r="M476" s="36" t="s">
        <v>77</v>
      </c>
      <c r="N476" s="36" t="s">
        <v>172</v>
      </c>
      <c r="O476" s="36">
        <v>2540000</v>
      </c>
      <c r="P476" s="36">
        <v>48</v>
      </c>
      <c r="Q476" s="36">
        <v>0</v>
      </c>
      <c r="R476" s="36">
        <v>0</v>
      </c>
      <c r="S476" s="36">
        <v>0</v>
      </c>
      <c r="T476" s="36">
        <v>0</v>
      </c>
      <c r="U476" s="36">
        <v>2976000</v>
      </c>
      <c r="V476" s="36">
        <v>14</v>
      </c>
      <c r="W476" s="36">
        <v>0</v>
      </c>
      <c r="X476" s="36">
        <v>0</v>
      </c>
      <c r="Y476" s="48">
        <v>5000000</v>
      </c>
      <c r="Z476" s="36">
        <v>30</v>
      </c>
      <c r="AA476" s="36">
        <v>0</v>
      </c>
      <c r="AB476" s="36">
        <v>0</v>
      </c>
      <c r="AC476" s="36">
        <v>10516000</v>
      </c>
      <c r="AD476" s="36">
        <v>92</v>
      </c>
      <c r="AF476" s="47">
        <f t="shared" si="7"/>
        <v>5516000</v>
      </c>
    </row>
    <row r="477" spans="1:32" x14ac:dyDescent="0.3">
      <c r="A477" s="46" t="s">
        <v>2</v>
      </c>
      <c r="B477" s="46" t="str">
        <f>IFERROR(VLOOKUP($H477,매장구분!$B:$Z,2,0),"")</f>
        <v>리테일채널팀</v>
      </c>
      <c r="C477" s="46" t="str">
        <f>IFERROR(VLOOKUP($H477,매장구분!$B:$Z,3,0),"")</f>
        <v>국내</v>
      </c>
      <c r="D477" s="46" t="str">
        <f>IFERROR(VLOOKUP($H477,매장구분!$B:$Z,5,0),"")</f>
        <v>상설(위탁)</v>
      </c>
      <c r="E477" s="46" t="str">
        <f>IFERROR(VLOOKUP($H477,매장구분!$B:$Z,9,0),"")</f>
        <v>롯데아울렛율하(상-위)</v>
      </c>
      <c r="G477" s="36" t="s">
        <v>368</v>
      </c>
      <c r="H477" s="36" t="s">
        <v>369</v>
      </c>
      <c r="I477" s="36" t="s">
        <v>169</v>
      </c>
      <c r="J477" s="36" t="s">
        <v>79</v>
      </c>
      <c r="K477" s="36" t="s">
        <v>170</v>
      </c>
      <c r="L477" s="36" t="s">
        <v>171</v>
      </c>
      <c r="M477" s="36" t="s">
        <v>219</v>
      </c>
      <c r="N477" s="36" t="s">
        <v>219</v>
      </c>
      <c r="O477" s="36">
        <v>438000</v>
      </c>
      <c r="P477" s="36">
        <v>12</v>
      </c>
      <c r="Q477" s="36">
        <v>0</v>
      </c>
      <c r="R477" s="36">
        <v>0</v>
      </c>
      <c r="S477" s="36">
        <v>0</v>
      </c>
      <c r="T477" s="36">
        <v>0</v>
      </c>
      <c r="U477" s="36">
        <v>0</v>
      </c>
      <c r="V477" s="36">
        <v>0</v>
      </c>
      <c r="W477" s="36">
        <v>0</v>
      </c>
      <c r="X477" s="36">
        <v>0</v>
      </c>
      <c r="Y477" s="48">
        <v>0</v>
      </c>
      <c r="Z477" s="36">
        <v>0</v>
      </c>
      <c r="AA477" s="36">
        <v>0</v>
      </c>
      <c r="AB477" s="36">
        <v>0</v>
      </c>
      <c r="AC477" s="36">
        <v>438000</v>
      </c>
      <c r="AD477" s="36">
        <v>12</v>
      </c>
      <c r="AF477" s="47">
        <f t="shared" si="7"/>
        <v>438000</v>
      </c>
    </row>
    <row r="478" spans="1:32" x14ac:dyDescent="0.3">
      <c r="A478" s="46" t="s">
        <v>2</v>
      </c>
      <c r="B478" s="46" t="str">
        <f>IFERROR(VLOOKUP($H478,매장구분!$B:$Z,2,0),"")</f>
        <v>리테일채널팀</v>
      </c>
      <c r="C478" s="46" t="str">
        <f>IFERROR(VLOOKUP($H478,매장구분!$B:$Z,3,0),"")</f>
        <v>국내</v>
      </c>
      <c r="D478" s="46" t="str">
        <f>IFERROR(VLOOKUP($H478,매장구분!$B:$Z,5,0),"")</f>
        <v>상설(위탁)</v>
      </c>
      <c r="E478" s="46" t="str">
        <f>IFERROR(VLOOKUP($H478,매장구분!$B:$Z,9,0),"")</f>
        <v>신세계아울렛여주(상-위)</v>
      </c>
      <c r="G478" s="36" t="s">
        <v>380</v>
      </c>
      <c r="H478" s="36" t="s">
        <v>381</v>
      </c>
      <c r="I478" s="36" t="s">
        <v>169</v>
      </c>
      <c r="J478" s="36" t="s">
        <v>79</v>
      </c>
      <c r="K478" s="36" t="s">
        <v>170</v>
      </c>
      <c r="L478" s="36" t="s">
        <v>171</v>
      </c>
      <c r="M478" s="36" t="s">
        <v>219</v>
      </c>
      <c r="N478" s="36" t="s">
        <v>219</v>
      </c>
      <c r="O478" s="36">
        <v>3925000</v>
      </c>
      <c r="P478" s="36">
        <v>99</v>
      </c>
      <c r="Q478" s="36">
        <v>0</v>
      </c>
      <c r="R478" s="36">
        <v>0</v>
      </c>
      <c r="S478" s="36">
        <v>0</v>
      </c>
      <c r="T478" s="36">
        <v>0</v>
      </c>
      <c r="U478" s="36">
        <v>0</v>
      </c>
      <c r="V478" s="36">
        <v>0</v>
      </c>
      <c r="W478" s="36">
        <v>0</v>
      </c>
      <c r="X478" s="36">
        <v>0</v>
      </c>
      <c r="Y478" s="48">
        <v>0</v>
      </c>
      <c r="Z478" s="36">
        <v>0</v>
      </c>
      <c r="AA478" s="36">
        <v>0</v>
      </c>
      <c r="AB478" s="36">
        <v>0</v>
      </c>
      <c r="AC478" s="36">
        <v>3925000</v>
      </c>
      <c r="AD478" s="36">
        <v>99</v>
      </c>
      <c r="AF478" s="47">
        <f t="shared" si="7"/>
        <v>3925000</v>
      </c>
    </row>
    <row r="479" spans="1:32" x14ac:dyDescent="0.3">
      <c r="A479" s="46" t="s">
        <v>2</v>
      </c>
      <c r="B479" s="46" t="str">
        <f>IFERROR(VLOOKUP($H479,매장구분!$B:$Z,2,0),"")</f>
        <v>리테일채널팀</v>
      </c>
      <c r="C479" s="46" t="str">
        <f>IFERROR(VLOOKUP($H479,매장구분!$B:$Z,3,0),"")</f>
        <v>국내</v>
      </c>
      <c r="D479" s="46" t="str">
        <f>IFERROR(VLOOKUP($H479,매장구분!$B:$Z,5,0),"")</f>
        <v>상설(위탁)</v>
      </c>
      <c r="E479" s="46" t="str">
        <f>IFERROR(VLOOKUP($H479,매장구분!$B:$Z,9,0),"")</f>
        <v>모다경주(상-위)</v>
      </c>
      <c r="G479" s="36" t="s">
        <v>374</v>
      </c>
      <c r="H479" s="36" t="s">
        <v>375</v>
      </c>
      <c r="I479" s="36" t="s">
        <v>169</v>
      </c>
      <c r="J479" s="36" t="s">
        <v>79</v>
      </c>
      <c r="K479" s="36" t="s">
        <v>170</v>
      </c>
      <c r="L479" s="36" t="s">
        <v>171</v>
      </c>
      <c r="M479" s="36" t="s">
        <v>77</v>
      </c>
      <c r="N479" s="36" t="s">
        <v>238</v>
      </c>
      <c r="O479" s="36">
        <v>363000</v>
      </c>
      <c r="P479" s="36">
        <v>10</v>
      </c>
      <c r="Q479" s="36">
        <v>0</v>
      </c>
      <c r="R479" s="36">
        <v>0</v>
      </c>
      <c r="S479" s="36">
        <v>0</v>
      </c>
      <c r="T479" s="36">
        <v>0</v>
      </c>
      <c r="U479" s="36">
        <v>0</v>
      </c>
      <c r="V479" s="36">
        <v>0</v>
      </c>
      <c r="W479" s="36">
        <v>0</v>
      </c>
      <c r="X479" s="36">
        <v>0</v>
      </c>
      <c r="Y479" s="48">
        <v>0</v>
      </c>
      <c r="Z479" s="36">
        <v>0</v>
      </c>
      <c r="AA479" s="36">
        <v>0</v>
      </c>
      <c r="AB479" s="36">
        <v>0</v>
      </c>
      <c r="AC479" s="36">
        <v>363000</v>
      </c>
      <c r="AD479" s="36">
        <v>10</v>
      </c>
      <c r="AF479" s="47">
        <f t="shared" si="7"/>
        <v>363000</v>
      </c>
    </row>
    <row r="480" spans="1:32" x14ac:dyDescent="0.3">
      <c r="A480" s="46" t="s">
        <v>2</v>
      </c>
      <c r="B480" s="46" t="str">
        <f>IFERROR(VLOOKUP($H480,매장구분!$B:$Z,2,0),"")</f>
        <v>리테일채널팀</v>
      </c>
      <c r="C480" s="46" t="str">
        <f>IFERROR(VLOOKUP($H480,매장구분!$B:$Z,3,0),"")</f>
        <v>국내</v>
      </c>
      <c r="D480" s="46" t="str">
        <f>IFERROR(VLOOKUP($H480,매장구분!$B:$Z,5,0),"")</f>
        <v>상설(위탁)</v>
      </c>
      <c r="E480" s="46" t="str">
        <f>IFERROR(VLOOKUP($H480,매장구분!$B:$Z,9,0),"")</f>
        <v>롯데아울렛동부산(상-위)</v>
      </c>
      <c r="G480" s="36" t="s">
        <v>366</v>
      </c>
      <c r="H480" s="36" t="s">
        <v>367</v>
      </c>
      <c r="I480" s="36" t="s">
        <v>169</v>
      </c>
      <c r="J480" s="36" t="s">
        <v>79</v>
      </c>
      <c r="K480" s="36" t="s">
        <v>170</v>
      </c>
      <c r="L480" s="36" t="s">
        <v>171</v>
      </c>
      <c r="M480" s="36" t="s">
        <v>219</v>
      </c>
      <c r="N480" s="36" t="s">
        <v>219</v>
      </c>
      <c r="O480" s="36">
        <v>7138000</v>
      </c>
      <c r="P480" s="36">
        <v>177</v>
      </c>
      <c r="Q480" s="36">
        <v>0</v>
      </c>
      <c r="R480" s="36">
        <v>0</v>
      </c>
      <c r="S480" s="36">
        <v>0</v>
      </c>
      <c r="T480" s="36">
        <v>0</v>
      </c>
      <c r="U480" s="36">
        <v>0</v>
      </c>
      <c r="V480" s="36">
        <v>0</v>
      </c>
      <c r="W480" s="36">
        <v>0</v>
      </c>
      <c r="X480" s="36">
        <v>0</v>
      </c>
      <c r="Y480" s="48">
        <v>0</v>
      </c>
      <c r="Z480" s="36">
        <v>0</v>
      </c>
      <c r="AA480" s="36">
        <v>0</v>
      </c>
      <c r="AB480" s="36">
        <v>0</v>
      </c>
      <c r="AC480" s="36">
        <v>7138000</v>
      </c>
      <c r="AD480" s="36">
        <v>177</v>
      </c>
      <c r="AF480" s="47">
        <f t="shared" si="7"/>
        <v>7138000</v>
      </c>
    </row>
    <row r="481" spans="1:32" x14ac:dyDescent="0.3">
      <c r="A481" s="46" t="s">
        <v>2</v>
      </c>
      <c r="B481" s="46" t="str">
        <f>IFERROR(VLOOKUP($H481,매장구분!$B:$Z,2,0),"")</f>
        <v>리테일채널팀</v>
      </c>
      <c r="C481" s="46" t="str">
        <f>IFERROR(VLOOKUP($H481,매장구분!$B:$Z,3,0),"")</f>
        <v>국내</v>
      </c>
      <c r="D481" s="46" t="str">
        <f>IFERROR(VLOOKUP($H481,매장구분!$B:$Z,5,0),"")</f>
        <v>상설(위탁)</v>
      </c>
      <c r="E481" s="46" t="str">
        <f>IFERROR(VLOOKUP($H481,매장구분!$B:$Z,9,0),"")</f>
        <v>NC송파(상-위)</v>
      </c>
      <c r="G481" s="36" t="s">
        <v>378</v>
      </c>
      <c r="H481" s="36" t="s">
        <v>379</v>
      </c>
      <c r="I481" s="36" t="s">
        <v>169</v>
      </c>
      <c r="J481" s="36" t="s">
        <v>79</v>
      </c>
      <c r="K481" s="36" t="s">
        <v>170</v>
      </c>
      <c r="L481" s="36" t="s">
        <v>171</v>
      </c>
      <c r="M481" s="36" t="s">
        <v>77</v>
      </c>
      <c r="N481" s="36" t="s">
        <v>238</v>
      </c>
      <c r="O481" s="36">
        <v>363000</v>
      </c>
      <c r="P481" s="36">
        <v>10</v>
      </c>
      <c r="Q481" s="36">
        <v>0</v>
      </c>
      <c r="R481" s="36">
        <v>0</v>
      </c>
      <c r="S481" s="36">
        <v>0</v>
      </c>
      <c r="T481" s="36">
        <v>0</v>
      </c>
      <c r="U481" s="36">
        <v>0</v>
      </c>
      <c r="V481" s="36">
        <v>0</v>
      </c>
      <c r="W481" s="36">
        <v>0</v>
      </c>
      <c r="X481" s="36">
        <v>0</v>
      </c>
      <c r="Y481" s="48">
        <v>0</v>
      </c>
      <c r="Z481" s="36">
        <v>0</v>
      </c>
      <c r="AA481" s="36">
        <v>0</v>
      </c>
      <c r="AB481" s="36">
        <v>0</v>
      </c>
      <c r="AC481" s="36">
        <v>363000</v>
      </c>
      <c r="AD481" s="36">
        <v>10</v>
      </c>
      <c r="AF481" s="47">
        <f t="shared" si="7"/>
        <v>363000</v>
      </c>
    </row>
    <row r="482" spans="1:32" x14ac:dyDescent="0.3">
      <c r="A482" s="46" t="s">
        <v>2</v>
      </c>
      <c r="B482" s="46" t="str">
        <f>IFERROR(VLOOKUP($H482,매장구분!$B:$Z,2,0),"")</f>
        <v>리테일채널팀</v>
      </c>
      <c r="C482" s="46" t="str">
        <f>IFERROR(VLOOKUP($H482,매장구분!$B:$Z,3,0),"")</f>
        <v>국내</v>
      </c>
      <c r="D482" s="46" t="str">
        <f>IFERROR(VLOOKUP($H482,매장구분!$B:$Z,5,0),"")</f>
        <v>상설(위탁)</v>
      </c>
      <c r="E482" s="46" t="str">
        <f>IFERROR(VLOOKUP($H482,매장구분!$B:$Z,9,0),"")</f>
        <v>롯데아울렛김해(상-위)</v>
      </c>
      <c r="G482" s="36" t="s">
        <v>370</v>
      </c>
      <c r="H482" s="36" t="s">
        <v>371</v>
      </c>
      <c r="I482" s="36" t="s">
        <v>169</v>
      </c>
      <c r="J482" s="36" t="s">
        <v>79</v>
      </c>
      <c r="K482" s="36" t="s">
        <v>170</v>
      </c>
      <c r="L482" s="36" t="s">
        <v>171</v>
      </c>
      <c r="M482" s="36" t="s">
        <v>219</v>
      </c>
      <c r="N482" s="36" t="s">
        <v>219</v>
      </c>
      <c r="O482" s="36">
        <v>5040000</v>
      </c>
      <c r="P482" s="36">
        <v>119</v>
      </c>
      <c r="Q482" s="36">
        <v>0</v>
      </c>
      <c r="R482" s="36">
        <v>0</v>
      </c>
      <c r="S482" s="36">
        <v>0</v>
      </c>
      <c r="T482" s="36">
        <v>0</v>
      </c>
      <c r="U482" s="36">
        <v>0</v>
      </c>
      <c r="V482" s="36">
        <v>0</v>
      </c>
      <c r="W482" s="36">
        <v>0</v>
      </c>
      <c r="X482" s="36">
        <v>0</v>
      </c>
      <c r="Y482" s="48">
        <v>0</v>
      </c>
      <c r="Z482" s="36">
        <v>0</v>
      </c>
      <c r="AA482" s="36">
        <v>0</v>
      </c>
      <c r="AB482" s="36">
        <v>0</v>
      </c>
      <c r="AC482" s="36">
        <v>5040000</v>
      </c>
      <c r="AD482" s="36">
        <v>119</v>
      </c>
      <c r="AF482" s="47">
        <f t="shared" si="7"/>
        <v>5040000</v>
      </c>
    </row>
    <row r="483" spans="1:32" x14ac:dyDescent="0.3">
      <c r="A483" s="46" t="s">
        <v>2</v>
      </c>
      <c r="B483" s="46" t="str">
        <f>IFERROR(VLOOKUP($H483,매장구분!$B:$Z,2,0),"")</f>
        <v>리테일채널팀</v>
      </c>
      <c r="C483" s="46" t="str">
        <f>IFERROR(VLOOKUP($H483,매장구분!$B:$Z,3,0),"")</f>
        <v>국내</v>
      </c>
      <c r="D483" s="46" t="str">
        <f>IFERROR(VLOOKUP($H483,매장구분!$B:$Z,5,0),"")</f>
        <v>상설(위탁)</v>
      </c>
      <c r="E483" s="46" t="str">
        <f>IFERROR(VLOOKUP($H483,매장구분!$B:$Z,9,0),"")</f>
        <v>현대아울렛가든5(상-위)</v>
      </c>
      <c r="G483" s="36" t="s">
        <v>372</v>
      </c>
      <c r="H483" s="36" t="s">
        <v>373</v>
      </c>
      <c r="I483" s="36" t="s">
        <v>169</v>
      </c>
      <c r="J483" s="36" t="s">
        <v>79</v>
      </c>
      <c r="K483" s="36" t="s">
        <v>170</v>
      </c>
      <c r="L483" s="36" t="s">
        <v>171</v>
      </c>
      <c r="M483" s="36" t="s">
        <v>219</v>
      </c>
      <c r="N483" s="36" t="s">
        <v>219</v>
      </c>
      <c r="O483" s="36">
        <v>792000</v>
      </c>
      <c r="P483" s="36">
        <v>22</v>
      </c>
      <c r="Q483" s="36">
        <v>0</v>
      </c>
      <c r="R483" s="36">
        <v>0</v>
      </c>
      <c r="S483" s="36">
        <v>0</v>
      </c>
      <c r="T483" s="36">
        <v>0</v>
      </c>
      <c r="U483" s="36">
        <v>0</v>
      </c>
      <c r="V483" s="36">
        <v>0</v>
      </c>
      <c r="W483" s="36">
        <v>0</v>
      </c>
      <c r="X483" s="36">
        <v>0</v>
      </c>
      <c r="Y483" s="48">
        <v>0</v>
      </c>
      <c r="Z483" s="36">
        <v>0</v>
      </c>
      <c r="AA483" s="36">
        <v>0</v>
      </c>
      <c r="AB483" s="36">
        <v>0</v>
      </c>
      <c r="AC483" s="36">
        <v>792000</v>
      </c>
      <c r="AD483" s="36">
        <v>22</v>
      </c>
      <c r="AF483" s="47">
        <f t="shared" si="7"/>
        <v>792000</v>
      </c>
    </row>
    <row r="484" spans="1:32" x14ac:dyDescent="0.3">
      <c r="A484" s="46" t="s">
        <v>2</v>
      </c>
      <c r="B484" s="46" t="str">
        <f>IFERROR(VLOOKUP($H484,매장구분!$B:$Z,2,0),"")</f>
        <v>리테일채널팀</v>
      </c>
      <c r="C484" s="46" t="str">
        <f>IFERROR(VLOOKUP($H484,매장구분!$B:$Z,3,0),"")</f>
        <v>국내</v>
      </c>
      <c r="D484" s="46" t="str">
        <f>IFERROR(VLOOKUP($H484,매장구분!$B:$Z,5,0),"")</f>
        <v>상설(위탁)</v>
      </c>
      <c r="E484" s="46" t="str">
        <f>IFERROR(VLOOKUP($H484,매장구분!$B:$Z,9,0),"")</f>
        <v>롯데아울렛기흥(상-위)</v>
      </c>
      <c r="G484" s="36" t="s">
        <v>382</v>
      </c>
      <c r="H484" s="36" t="s">
        <v>383</v>
      </c>
      <c r="I484" s="36" t="s">
        <v>169</v>
      </c>
      <c r="J484" s="36" t="s">
        <v>79</v>
      </c>
      <c r="K484" s="36" t="s">
        <v>170</v>
      </c>
      <c r="L484" s="36" t="s">
        <v>171</v>
      </c>
      <c r="M484" s="36" t="s">
        <v>219</v>
      </c>
      <c r="N484" s="36" t="s">
        <v>219</v>
      </c>
      <c r="O484" s="36">
        <v>3400000</v>
      </c>
      <c r="P484" s="36">
        <v>83</v>
      </c>
      <c r="Q484" s="36">
        <v>0</v>
      </c>
      <c r="R484" s="36">
        <v>0</v>
      </c>
      <c r="S484" s="36">
        <v>0</v>
      </c>
      <c r="T484" s="36">
        <v>0</v>
      </c>
      <c r="U484" s="36">
        <v>0</v>
      </c>
      <c r="V484" s="36">
        <v>0</v>
      </c>
      <c r="W484" s="36">
        <v>0</v>
      </c>
      <c r="X484" s="36">
        <v>0</v>
      </c>
      <c r="Y484" s="48">
        <v>0</v>
      </c>
      <c r="Z484" s="36">
        <v>0</v>
      </c>
      <c r="AA484" s="36">
        <v>0</v>
      </c>
      <c r="AB484" s="36">
        <v>0</v>
      </c>
      <c r="AC484" s="36">
        <v>3400000</v>
      </c>
      <c r="AD484" s="36">
        <v>83</v>
      </c>
      <c r="AF484" s="47">
        <f t="shared" si="7"/>
        <v>3400000</v>
      </c>
    </row>
    <row r="485" spans="1:32" x14ac:dyDescent="0.3">
      <c r="A485" s="46" t="s">
        <v>2</v>
      </c>
      <c r="B485" s="46" t="str">
        <f>IFERROR(VLOOKUP($H485,매장구분!$B:$Z,2,0),"")</f>
        <v>리테일채널팀</v>
      </c>
      <c r="C485" s="46" t="str">
        <f>IFERROR(VLOOKUP($H485,매장구분!$B:$Z,3,0),"")</f>
        <v>국내</v>
      </c>
      <c r="D485" s="46" t="str">
        <f>IFERROR(VLOOKUP($H485,매장구분!$B:$Z,5,0),"")</f>
        <v>상설(위탁)</v>
      </c>
      <c r="E485" s="46" t="str">
        <f>IFERROR(VLOOKUP($H485,매장구분!$B:$Z,9,0),"")</f>
        <v>NC강서(상-위)</v>
      </c>
      <c r="G485" s="36" t="s">
        <v>376</v>
      </c>
      <c r="H485" s="36" t="s">
        <v>377</v>
      </c>
      <c r="I485" s="36" t="s">
        <v>169</v>
      </c>
      <c r="J485" s="36" t="s">
        <v>79</v>
      </c>
      <c r="K485" s="36" t="s">
        <v>170</v>
      </c>
      <c r="L485" s="36" t="s">
        <v>171</v>
      </c>
      <c r="M485" s="36" t="s">
        <v>77</v>
      </c>
      <c r="N485" s="36" t="s">
        <v>238</v>
      </c>
      <c r="O485" s="36">
        <v>936000</v>
      </c>
      <c r="P485" s="36">
        <v>26</v>
      </c>
      <c r="Q485" s="36">
        <v>0</v>
      </c>
      <c r="R485" s="36">
        <v>0</v>
      </c>
      <c r="S485" s="36">
        <v>0</v>
      </c>
      <c r="T485" s="36">
        <v>0</v>
      </c>
      <c r="U485" s="36">
        <v>0</v>
      </c>
      <c r="V485" s="36">
        <v>0</v>
      </c>
      <c r="W485" s="36">
        <v>0</v>
      </c>
      <c r="X485" s="36">
        <v>0</v>
      </c>
      <c r="Y485" s="48">
        <v>0</v>
      </c>
      <c r="Z485" s="36">
        <v>0</v>
      </c>
      <c r="AA485" s="36">
        <v>0</v>
      </c>
      <c r="AB485" s="36">
        <v>0</v>
      </c>
      <c r="AC485" s="36">
        <v>936000</v>
      </c>
      <c r="AD485" s="36">
        <v>26</v>
      </c>
      <c r="AF485" s="47">
        <f t="shared" si="7"/>
        <v>936000</v>
      </c>
    </row>
    <row r="486" spans="1:32" x14ac:dyDescent="0.3">
      <c r="A486" s="46" t="s">
        <v>2</v>
      </c>
      <c r="B486" s="46" t="str">
        <f>IFERROR(VLOOKUP($H486,매장구분!$B:$Z,2,0),"")</f>
        <v>리테일채널팀</v>
      </c>
      <c r="C486" s="46" t="str">
        <f>IFERROR(VLOOKUP($H486,매장구분!$B:$Z,3,0),"")</f>
        <v>국내</v>
      </c>
      <c r="D486" s="46" t="str">
        <f>IFERROR(VLOOKUP($H486,매장구분!$B:$Z,5,0),"")</f>
        <v>직영점</v>
      </c>
      <c r="E486" s="46" t="str">
        <f>IFERROR(VLOOKUP($H486,매장구분!$B:$Z,9,0),"")</f>
        <v>타임테라스동탄(직)</v>
      </c>
      <c r="G486" s="36" t="s">
        <v>408</v>
      </c>
      <c r="H486" s="36" t="s">
        <v>409</v>
      </c>
      <c r="I486" s="36" t="s">
        <v>169</v>
      </c>
      <c r="J486" s="36" t="s">
        <v>180</v>
      </c>
      <c r="K486" s="36" t="s">
        <v>170</v>
      </c>
      <c r="L486" s="36" t="s">
        <v>171</v>
      </c>
      <c r="M486" s="36" t="s">
        <v>188</v>
      </c>
      <c r="N486" s="36" t="s">
        <v>317</v>
      </c>
      <c r="O486" s="36">
        <v>6267960</v>
      </c>
      <c r="P486" s="36">
        <v>87</v>
      </c>
      <c r="Q486" s="36">
        <v>0</v>
      </c>
      <c r="R486" s="36">
        <v>0</v>
      </c>
      <c r="S486" s="36">
        <v>0</v>
      </c>
      <c r="T486" s="36">
        <v>0</v>
      </c>
      <c r="U486" s="36">
        <v>832240</v>
      </c>
      <c r="V486" s="36">
        <v>7</v>
      </c>
      <c r="W486" s="36">
        <v>0</v>
      </c>
      <c r="X486" s="36">
        <v>0</v>
      </c>
      <c r="Y486" s="48">
        <v>0</v>
      </c>
      <c r="Z486" s="36">
        <v>0</v>
      </c>
      <c r="AA486" s="36">
        <v>0</v>
      </c>
      <c r="AB486" s="36">
        <v>0</v>
      </c>
      <c r="AC486" s="36">
        <v>7100200</v>
      </c>
      <c r="AD486" s="36">
        <v>94</v>
      </c>
      <c r="AF486" s="47">
        <f t="shared" si="7"/>
        <v>7100200</v>
      </c>
    </row>
    <row r="487" spans="1:32" x14ac:dyDescent="0.3">
      <c r="A487" s="46" t="s">
        <v>2</v>
      </c>
      <c r="B487" s="46" t="str">
        <f>IFERROR(VLOOKUP($H487,매장구분!$B:$Z,2,0),"")</f>
        <v>리테일채널팀</v>
      </c>
      <c r="C487" s="46" t="str">
        <f>IFERROR(VLOOKUP($H487,매장구분!$B:$Z,3,0),"")</f>
        <v>국내</v>
      </c>
      <c r="D487" s="46" t="str">
        <f>IFERROR(VLOOKUP($H487,매장구분!$B:$Z,5,0),"")</f>
        <v>직영점</v>
      </c>
      <c r="E487" s="46" t="str">
        <f>IFERROR(VLOOKUP($H487,매장구분!$B:$Z,9,0),"")</f>
        <v>스타필드하남(직)</v>
      </c>
      <c r="G487" s="36" t="s">
        <v>394</v>
      </c>
      <c r="H487" s="36" t="s">
        <v>395</v>
      </c>
      <c r="I487" s="36" t="s">
        <v>169</v>
      </c>
      <c r="J487" s="36" t="s">
        <v>180</v>
      </c>
      <c r="K487" s="36" t="s">
        <v>170</v>
      </c>
      <c r="L487" s="36" t="s">
        <v>171</v>
      </c>
      <c r="M487" s="36" t="s">
        <v>188</v>
      </c>
      <c r="N487" s="36" t="s">
        <v>189</v>
      </c>
      <c r="O487" s="36">
        <v>20191970</v>
      </c>
      <c r="P487" s="36">
        <v>215</v>
      </c>
      <c r="Q487" s="36">
        <v>0</v>
      </c>
      <c r="R487" s="36">
        <v>0</v>
      </c>
      <c r="S487" s="36">
        <v>0</v>
      </c>
      <c r="T487" s="36">
        <v>0</v>
      </c>
      <c r="U487" s="36">
        <v>1997330</v>
      </c>
      <c r="V487" s="36">
        <v>11</v>
      </c>
      <c r="W487" s="36">
        <v>0</v>
      </c>
      <c r="X487" s="36">
        <v>0</v>
      </c>
      <c r="Y487" s="48">
        <v>0</v>
      </c>
      <c r="Z487" s="36">
        <v>0</v>
      </c>
      <c r="AA487" s="36">
        <v>0</v>
      </c>
      <c r="AB487" s="36">
        <v>0</v>
      </c>
      <c r="AC487" s="36">
        <v>22189300</v>
      </c>
      <c r="AD487" s="36">
        <v>226</v>
      </c>
      <c r="AF487" s="47">
        <f t="shared" si="7"/>
        <v>22189300</v>
      </c>
    </row>
    <row r="488" spans="1:32" x14ac:dyDescent="0.3">
      <c r="A488" s="46" t="s">
        <v>2</v>
      </c>
      <c r="B488" s="46" t="str">
        <f>IFERROR(VLOOKUP($H488,매장구분!$B:$Z,2,0),"")</f>
        <v>파트너채널팀</v>
      </c>
      <c r="C488" s="46" t="str">
        <f>IFERROR(VLOOKUP($H488,매장구분!$B:$Z,3,0),"")</f>
        <v>면세</v>
      </c>
      <c r="D488" s="46" t="str">
        <f>IFERROR(VLOOKUP($H488,매장구분!$B:$Z,5,0),"")</f>
        <v>면세</v>
      </c>
      <c r="E488" s="46" t="str">
        <f>IFERROR(VLOOKUP($H488,매장구분!$B:$Z,9,0),"")</f>
        <v>롯데면세소공</v>
      </c>
      <c r="G488" s="36" t="s">
        <v>384</v>
      </c>
      <c r="H488" s="36" t="s">
        <v>385</v>
      </c>
      <c r="I488" s="36" t="s">
        <v>169</v>
      </c>
      <c r="J488" s="36" t="s">
        <v>175</v>
      </c>
      <c r="K488" s="36" t="s">
        <v>170</v>
      </c>
      <c r="L488" s="36" t="s">
        <v>171</v>
      </c>
      <c r="M488" s="36" t="s">
        <v>176</v>
      </c>
      <c r="N488" s="36" t="s">
        <v>177</v>
      </c>
      <c r="O488" s="36">
        <v>124297100</v>
      </c>
      <c r="P488" s="36">
        <v>1959</v>
      </c>
      <c r="Q488" s="36">
        <v>0</v>
      </c>
      <c r="R488" s="36">
        <v>0</v>
      </c>
      <c r="S488" s="36">
        <v>0</v>
      </c>
      <c r="T488" s="36">
        <v>0</v>
      </c>
      <c r="U488" s="36">
        <v>0</v>
      </c>
      <c r="V488" s="36">
        <v>0</v>
      </c>
      <c r="W488" s="36">
        <v>0</v>
      </c>
      <c r="X488" s="36">
        <v>0</v>
      </c>
      <c r="Y488" s="48">
        <v>523572000</v>
      </c>
      <c r="Z488" s="36">
        <v>11324</v>
      </c>
      <c r="AA488" s="36">
        <v>0</v>
      </c>
      <c r="AB488" s="36">
        <v>0</v>
      </c>
      <c r="AC488" s="36">
        <v>647869100</v>
      </c>
      <c r="AD488" s="36">
        <v>13283</v>
      </c>
      <c r="AF488" s="47">
        <f t="shared" si="7"/>
        <v>124297100</v>
      </c>
    </row>
    <row r="489" spans="1:32" x14ac:dyDescent="0.3">
      <c r="A489" s="46" t="s">
        <v>2</v>
      </c>
      <c r="B489" s="46" t="str">
        <f>IFERROR(VLOOKUP($H489,매장구분!$B:$Z,2,0),"")</f>
        <v>리테일채널팀</v>
      </c>
      <c r="C489" s="46" t="str">
        <f>IFERROR(VLOOKUP($H489,매장구분!$B:$Z,3,0),"")</f>
        <v>국내</v>
      </c>
      <c r="D489" s="46" t="str">
        <f>IFERROR(VLOOKUP($H489,매장구분!$B:$Z,5,0),"")</f>
        <v>대리점</v>
      </c>
      <c r="E489" s="46" t="str">
        <f>IFERROR(VLOOKUP($H489,매장구분!$B:$Z,9,0),"")</f>
        <v>전주송천(대-위)</v>
      </c>
      <c r="G489" s="36" t="s">
        <v>428</v>
      </c>
      <c r="H489" s="36" t="s">
        <v>429</v>
      </c>
      <c r="I489" s="36" t="s">
        <v>169</v>
      </c>
      <c r="J489" s="36" t="s">
        <v>79</v>
      </c>
      <c r="K489" s="36" t="s">
        <v>170</v>
      </c>
      <c r="L489" s="36" t="s">
        <v>171</v>
      </c>
      <c r="M489" s="36" t="s">
        <v>196</v>
      </c>
      <c r="N489" s="36" t="s">
        <v>197</v>
      </c>
      <c r="O489" s="36">
        <v>6401899</v>
      </c>
      <c r="P489" s="36">
        <v>62</v>
      </c>
      <c r="Q489" s="36">
        <v>0</v>
      </c>
      <c r="R489" s="36">
        <v>0</v>
      </c>
      <c r="S489" s="36">
        <v>0</v>
      </c>
      <c r="T489" s="36">
        <v>0</v>
      </c>
      <c r="U489" s="36">
        <v>694101</v>
      </c>
      <c r="V489" s="36">
        <v>4</v>
      </c>
      <c r="W489" s="36">
        <v>0</v>
      </c>
      <c r="X489" s="36">
        <v>0</v>
      </c>
      <c r="Y489" s="48">
        <v>0</v>
      </c>
      <c r="Z489" s="36">
        <v>0</v>
      </c>
      <c r="AA489" s="36">
        <v>0</v>
      </c>
      <c r="AB489" s="36">
        <v>0</v>
      </c>
      <c r="AC489" s="36">
        <v>7096000</v>
      </c>
      <c r="AD489" s="36">
        <v>66</v>
      </c>
      <c r="AF489" s="47">
        <f t="shared" si="7"/>
        <v>7096000</v>
      </c>
    </row>
    <row r="490" spans="1:32" x14ac:dyDescent="0.3">
      <c r="A490" s="46" t="s">
        <v>2</v>
      </c>
      <c r="B490" s="46" t="str">
        <f>IFERROR(VLOOKUP($H490,매장구분!$B:$Z,2,0),"")</f>
        <v>리테일채널팀</v>
      </c>
      <c r="C490" s="46" t="str">
        <f>IFERROR(VLOOKUP($H490,매장구분!$B:$Z,3,0),"")</f>
        <v>국내</v>
      </c>
      <c r="D490" s="46" t="str">
        <f>IFERROR(VLOOKUP($H490,매장구분!$B:$Z,5,0),"")</f>
        <v>대리점</v>
      </c>
      <c r="E490" s="46" t="str">
        <f>IFERROR(VLOOKUP($H490,매장구분!$B:$Z,9,0),"")</f>
        <v>안동(대-위)</v>
      </c>
      <c r="G490" s="36" t="s">
        <v>424</v>
      </c>
      <c r="H490" s="36" t="s">
        <v>425</v>
      </c>
      <c r="I490" s="36" t="s">
        <v>169</v>
      </c>
      <c r="J490" s="36" t="s">
        <v>79</v>
      </c>
      <c r="K490" s="36" t="s">
        <v>170</v>
      </c>
      <c r="L490" s="36" t="s">
        <v>171</v>
      </c>
      <c r="M490" s="36" t="s">
        <v>196</v>
      </c>
      <c r="N490" s="36" t="s">
        <v>197</v>
      </c>
      <c r="O490" s="36">
        <v>8400700</v>
      </c>
      <c r="P490" s="36">
        <v>86</v>
      </c>
      <c r="Q490" s="36">
        <v>0</v>
      </c>
      <c r="R490" s="36">
        <v>0</v>
      </c>
      <c r="S490" s="36">
        <v>0</v>
      </c>
      <c r="T490" s="36">
        <v>0</v>
      </c>
      <c r="U490" s="36">
        <v>904000</v>
      </c>
      <c r="V490" s="36">
        <v>6</v>
      </c>
      <c r="W490" s="36">
        <v>0</v>
      </c>
      <c r="X490" s="36">
        <v>0</v>
      </c>
      <c r="Y490" s="48">
        <v>0</v>
      </c>
      <c r="Z490" s="36">
        <v>0</v>
      </c>
      <c r="AA490" s="36">
        <v>0</v>
      </c>
      <c r="AB490" s="36">
        <v>0</v>
      </c>
      <c r="AC490" s="36">
        <v>9304700</v>
      </c>
      <c r="AD490" s="36">
        <v>92</v>
      </c>
      <c r="AF490" s="47">
        <f t="shared" si="7"/>
        <v>9304700</v>
      </c>
    </row>
    <row r="491" spans="1:32" x14ac:dyDescent="0.3">
      <c r="A491" s="46" t="s">
        <v>2</v>
      </c>
      <c r="B491" s="46" t="str">
        <f>IFERROR(VLOOKUP($H491,매장구분!$B:$Z,2,0),"")</f>
        <v>리테일채널팀</v>
      </c>
      <c r="C491" s="46" t="str">
        <f>IFERROR(VLOOKUP($H491,매장구분!$B:$Z,3,0),"")</f>
        <v>국내</v>
      </c>
      <c r="D491" s="46" t="str">
        <f>IFERROR(VLOOKUP($H491,매장구분!$B:$Z,5,0),"")</f>
        <v>대리점</v>
      </c>
      <c r="E491" s="46" t="str">
        <f>IFERROR(VLOOKUP($H491,매장구분!$B:$Z,9,0),"")</f>
        <v>순천연향(대-위)</v>
      </c>
      <c r="G491" s="36" t="s">
        <v>390</v>
      </c>
      <c r="H491" s="36" t="s">
        <v>391</v>
      </c>
      <c r="I491" s="36" t="s">
        <v>169</v>
      </c>
      <c r="J491" s="36" t="s">
        <v>79</v>
      </c>
      <c r="K491" s="36" t="s">
        <v>170</v>
      </c>
      <c r="L491" s="36" t="s">
        <v>171</v>
      </c>
      <c r="M491" s="36" t="s">
        <v>196</v>
      </c>
      <c r="N491" s="36" t="s">
        <v>197</v>
      </c>
      <c r="O491" s="36">
        <v>19591275</v>
      </c>
      <c r="P491" s="36">
        <v>214</v>
      </c>
      <c r="Q491" s="36">
        <v>0</v>
      </c>
      <c r="R491" s="36">
        <v>0</v>
      </c>
      <c r="S491" s="36">
        <v>0</v>
      </c>
      <c r="T491" s="36">
        <v>0</v>
      </c>
      <c r="U491" s="36">
        <v>695125</v>
      </c>
      <c r="V491" s="36">
        <v>11</v>
      </c>
      <c r="W491" s="36">
        <v>0</v>
      </c>
      <c r="X491" s="36">
        <v>0</v>
      </c>
      <c r="Y491" s="48">
        <v>0</v>
      </c>
      <c r="Z491" s="36">
        <v>0</v>
      </c>
      <c r="AA491" s="36">
        <v>0</v>
      </c>
      <c r="AB491" s="36">
        <v>0</v>
      </c>
      <c r="AC491" s="36">
        <v>20286400</v>
      </c>
      <c r="AD491" s="36">
        <v>225</v>
      </c>
      <c r="AF491" s="47">
        <f t="shared" si="7"/>
        <v>20286400</v>
      </c>
    </row>
    <row r="492" spans="1:32" x14ac:dyDescent="0.3">
      <c r="A492" s="46" t="s">
        <v>2</v>
      </c>
      <c r="B492" s="46" t="str">
        <f>IFERROR(VLOOKUP($H492,매장구분!$B:$Z,2,0),"")</f>
        <v>파트너채널팀</v>
      </c>
      <c r="C492" s="46" t="str">
        <f>IFERROR(VLOOKUP($H492,매장구분!$B:$Z,3,0),"")</f>
        <v>국내</v>
      </c>
      <c r="D492" s="46" t="str">
        <f>IFERROR(VLOOKUP($H492,매장구분!$B:$Z,5,0),"")</f>
        <v>백화점</v>
      </c>
      <c r="E492" s="46" t="str">
        <f>IFERROR(VLOOKUP($H492,매장구분!$B:$Z,9,0),"")</f>
        <v>더현대서울</v>
      </c>
      <c r="G492" s="36" t="s">
        <v>422</v>
      </c>
      <c r="H492" s="36" t="s">
        <v>423</v>
      </c>
      <c r="I492" s="36" t="s">
        <v>169</v>
      </c>
      <c r="J492" s="36" t="s">
        <v>175</v>
      </c>
      <c r="K492" s="36" t="s">
        <v>170</v>
      </c>
      <c r="L492" s="36" t="s">
        <v>171</v>
      </c>
      <c r="M492" s="36" t="s">
        <v>188</v>
      </c>
      <c r="N492" s="36" t="s">
        <v>189</v>
      </c>
      <c r="O492" s="36">
        <v>33640380</v>
      </c>
      <c r="P492" s="36">
        <v>375</v>
      </c>
      <c r="Q492" s="36">
        <v>0</v>
      </c>
      <c r="R492" s="36">
        <v>0</v>
      </c>
      <c r="S492" s="36">
        <v>0</v>
      </c>
      <c r="T492" s="36">
        <v>0</v>
      </c>
      <c r="U492" s="36">
        <v>1431520</v>
      </c>
      <c r="V492" s="36">
        <v>8</v>
      </c>
      <c r="W492" s="36">
        <v>0</v>
      </c>
      <c r="X492" s="36">
        <v>0</v>
      </c>
      <c r="Y492" s="48">
        <v>0</v>
      </c>
      <c r="Z492" s="36">
        <v>0</v>
      </c>
      <c r="AA492" s="36">
        <v>0</v>
      </c>
      <c r="AB492" s="36">
        <v>0</v>
      </c>
      <c r="AC492" s="36">
        <v>35071900</v>
      </c>
      <c r="AD492" s="36">
        <v>383</v>
      </c>
      <c r="AF492" s="47">
        <f t="shared" si="7"/>
        <v>35071900</v>
      </c>
    </row>
    <row r="493" spans="1:32" x14ac:dyDescent="0.3">
      <c r="A493" s="46" t="s">
        <v>2</v>
      </c>
      <c r="B493" s="46" t="str">
        <f>IFERROR(VLOOKUP($H493,매장구분!$B:$Z,2,0),"")</f>
        <v>파트너채널팀</v>
      </c>
      <c r="C493" s="46" t="str">
        <f>IFERROR(VLOOKUP($H493,매장구분!$B:$Z,3,0),"")</f>
        <v>국내</v>
      </c>
      <c r="D493" s="46" t="str">
        <f>IFERROR(VLOOKUP($H493,매장구분!$B:$Z,5,0),"")</f>
        <v>백화점</v>
      </c>
      <c r="E493" s="46" t="str">
        <f>IFERROR(VLOOKUP($H493,매장구분!$B:$Z,9,0),"")</f>
        <v>롯데수원</v>
      </c>
      <c r="G493" s="36" t="s">
        <v>402</v>
      </c>
      <c r="H493" s="36" t="s">
        <v>403</v>
      </c>
      <c r="I493" s="36" t="s">
        <v>169</v>
      </c>
      <c r="J493" s="36" t="s">
        <v>175</v>
      </c>
      <c r="K493" s="36" t="s">
        <v>170</v>
      </c>
      <c r="L493" s="36" t="s">
        <v>171</v>
      </c>
      <c r="M493" s="36" t="s">
        <v>77</v>
      </c>
      <c r="N493" s="36" t="s">
        <v>172</v>
      </c>
      <c r="O493" s="36">
        <v>27264800</v>
      </c>
      <c r="P493" s="36">
        <v>298</v>
      </c>
      <c r="Q493" s="36">
        <v>2613200</v>
      </c>
      <c r="R493" s="36">
        <v>19</v>
      </c>
      <c r="S493" s="36">
        <v>0</v>
      </c>
      <c r="T493" s="36">
        <v>0</v>
      </c>
      <c r="U493" s="36">
        <v>984100</v>
      </c>
      <c r="V493" s="36">
        <v>-7</v>
      </c>
      <c r="W493" s="36">
        <v>0</v>
      </c>
      <c r="X493" s="36">
        <v>0</v>
      </c>
      <c r="Y493" s="48">
        <v>11024800</v>
      </c>
      <c r="Z493" s="36">
        <v>49</v>
      </c>
      <c r="AA493" s="36">
        <v>-1061100</v>
      </c>
      <c r="AB493" s="36">
        <v>4</v>
      </c>
      <c r="AC493" s="36">
        <v>40825800</v>
      </c>
      <c r="AD493" s="36">
        <v>363</v>
      </c>
      <c r="AF493" s="47">
        <f t="shared" si="7"/>
        <v>29801000</v>
      </c>
    </row>
    <row r="494" spans="1:32" x14ac:dyDescent="0.3">
      <c r="A494" s="46" t="s">
        <v>2</v>
      </c>
      <c r="B494" s="46" t="str">
        <f>IFERROR(VLOOKUP($H494,매장구분!$B:$Z,2,0),"")</f>
        <v>파트너채널팀</v>
      </c>
      <c r="C494" s="46" t="str">
        <f>IFERROR(VLOOKUP($H494,매장구분!$B:$Z,3,0),"")</f>
        <v>국내</v>
      </c>
      <c r="D494" s="46" t="str">
        <f>IFERROR(VLOOKUP($H494,매장구분!$B:$Z,5,0),"")</f>
        <v>백화점</v>
      </c>
      <c r="E494" s="46" t="str">
        <f>IFERROR(VLOOKUP($H494,매장구분!$B:$Z,9,0),"")</f>
        <v>롯데광주</v>
      </c>
      <c r="G494" s="36" t="s">
        <v>404</v>
      </c>
      <c r="H494" s="36" t="s">
        <v>405</v>
      </c>
      <c r="I494" s="36" t="s">
        <v>169</v>
      </c>
      <c r="J494" s="36" t="s">
        <v>175</v>
      </c>
      <c r="K494" s="36" t="s">
        <v>170</v>
      </c>
      <c r="L494" s="36" t="s">
        <v>171</v>
      </c>
      <c r="M494" s="36" t="s">
        <v>77</v>
      </c>
      <c r="N494" s="36" t="s">
        <v>172</v>
      </c>
      <c r="O494" s="36">
        <v>10889120</v>
      </c>
      <c r="P494" s="36">
        <v>111</v>
      </c>
      <c r="Q494" s="36">
        <v>215000</v>
      </c>
      <c r="R494" s="36">
        <v>5</v>
      </c>
      <c r="S494" s="36">
        <v>0</v>
      </c>
      <c r="T494" s="36">
        <v>0</v>
      </c>
      <c r="U494" s="36">
        <v>1111780</v>
      </c>
      <c r="V494" s="36">
        <v>7</v>
      </c>
      <c r="W494" s="36">
        <v>0</v>
      </c>
      <c r="X494" s="36">
        <v>0</v>
      </c>
      <c r="Y494" s="48">
        <v>0</v>
      </c>
      <c r="Z494" s="36">
        <v>0</v>
      </c>
      <c r="AA494" s="36">
        <v>0</v>
      </c>
      <c r="AB494" s="36">
        <v>0</v>
      </c>
      <c r="AC494" s="36">
        <v>12215900</v>
      </c>
      <c r="AD494" s="36">
        <v>123</v>
      </c>
      <c r="AF494" s="47">
        <f t="shared" si="7"/>
        <v>12215900</v>
      </c>
    </row>
    <row r="495" spans="1:32" x14ac:dyDescent="0.3">
      <c r="A495" s="46" t="s">
        <v>2</v>
      </c>
      <c r="B495" s="46" t="str">
        <f>IFERROR(VLOOKUP($H495,매장구분!$B:$Z,2,0),"")</f>
        <v>파트너채널팀</v>
      </c>
      <c r="C495" s="46" t="str">
        <f>IFERROR(VLOOKUP($H495,매장구분!$B:$Z,3,0),"")</f>
        <v>국내</v>
      </c>
      <c r="D495" s="46" t="str">
        <f>IFERROR(VLOOKUP($H495,매장구분!$B:$Z,5,0),"")</f>
        <v>백화점</v>
      </c>
      <c r="E495" s="46" t="str">
        <f>IFERROR(VLOOKUP($H495,매장구분!$B:$Z,9,0),"")</f>
        <v>롯데동탄</v>
      </c>
      <c r="G495" s="36" t="s">
        <v>406</v>
      </c>
      <c r="H495" s="36" t="s">
        <v>407</v>
      </c>
      <c r="I495" s="36" t="s">
        <v>169</v>
      </c>
      <c r="J495" s="36" t="s">
        <v>175</v>
      </c>
      <c r="K495" s="36" t="s">
        <v>170</v>
      </c>
      <c r="L495" s="36" t="s">
        <v>171</v>
      </c>
      <c r="M495" s="36" t="s">
        <v>77</v>
      </c>
      <c r="N495" s="36" t="s">
        <v>172</v>
      </c>
      <c r="O495" s="36">
        <v>7698670</v>
      </c>
      <c r="P495" s="36">
        <v>102</v>
      </c>
      <c r="Q495" s="36">
        <v>957900</v>
      </c>
      <c r="R495" s="36">
        <v>20</v>
      </c>
      <c r="S495" s="36">
        <v>0</v>
      </c>
      <c r="T495" s="36">
        <v>0</v>
      </c>
      <c r="U495" s="36">
        <v>1078230</v>
      </c>
      <c r="V495" s="36">
        <v>8</v>
      </c>
      <c r="W495" s="36">
        <v>0</v>
      </c>
      <c r="X495" s="36">
        <v>0</v>
      </c>
      <c r="Y495" s="48">
        <v>0</v>
      </c>
      <c r="Z495" s="36">
        <v>0</v>
      </c>
      <c r="AA495" s="36">
        <v>0</v>
      </c>
      <c r="AB495" s="36">
        <v>0</v>
      </c>
      <c r="AC495" s="36">
        <v>9734800</v>
      </c>
      <c r="AD495" s="36">
        <v>130</v>
      </c>
      <c r="AF495" s="47">
        <f t="shared" si="7"/>
        <v>9734800</v>
      </c>
    </row>
    <row r="496" spans="1:32" x14ac:dyDescent="0.3">
      <c r="A496" s="46" t="s">
        <v>2</v>
      </c>
      <c r="B496" s="46" t="str">
        <f>IFERROR(VLOOKUP($H496,매장구분!$B:$Z,2,0),"")</f>
        <v>파트너채널팀</v>
      </c>
      <c r="C496" s="46" t="str">
        <f>IFERROR(VLOOKUP($H496,매장구분!$B:$Z,3,0),"")</f>
        <v>국내</v>
      </c>
      <c r="D496" s="46" t="str">
        <f>IFERROR(VLOOKUP($H496,매장구분!$B:$Z,5,0),"")</f>
        <v>백화점</v>
      </c>
      <c r="E496" s="46" t="str">
        <f>IFERROR(VLOOKUP($H496,매장구분!$B:$Z,9,0),"")</f>
        <v>롯데평촌</v>
      </c>
      <c r="G496" s="36" t="s">
        <v>412</v>
      </c>
      <c r="H496" s="36" t="s">
        <v>413</v>
      </c>
      <c r="I496" s="36" t="s">
        <v>169</v>
      </c>
      <c r="J496" s="36" t="s">
        <v>175</v>
      </c>
      <c r="K496" s="36" t="s">
        <v>170</v>
      </c>
      <c r="L496" s="36" t="s">
        <v>171</v>
      </c>
      <c r="M496" s="36" t="s">
        <v>77</v>
      </c>
      <c r="N496" s="36" t="s">
        <v>172</v>
      </c>
      <c r="O496" s="36">
        <v>13873870</v>
      </c>
      <c r="P496" s="36">
        <v>142</v>
      </c>
      <c r="Q496" s="36">
        <v>935000</v>
      </c>
      <c r="R496" s="36">
        <v>13</v>
      </c>
      <c r="S496" s="36">
        <v>0</v>
      </c>
      <c r="T496" s="36">
        <v>0</v>
      </c>
      <c r="U496" s="36">
        <v>4433830</v>
      </c>
      <c r="V496" s="36">
        <v>27</v>
      </c>
      <c r="W496" s="36">
        <v>0</v>
      </c>
      <c r="X496" s="36">
        <v>0</v>
      </c>
      <c r="Y496" s="48">
        <v>11971000</v>
      </c>
      <c r="Z496" s="36">
        <v>79</v>
      </c>
      <c r="AA496" s="36">
        <v>0</v>
      </c>
      <c r="AB496" s="36">
        <v>0</v>
      </c>
      <c r="AC496" s="36">
        <v>31213700</v>
      </c>
      <c r="AD496" s="36">
        <v>261</v>
      </c>
      <c r="AF496" s="47">
        <f t="shared" si="7"/>
        <v>19242700</v>
      </c>
    </row>
    <row r="497" spans="1:32" x14ac:dyDescent="0.3">
      <c r="A497" s="46" t="s">
        <v>2</v>
      </c>
      <c r="B497" s="46" t="str">
        <f>IFERROR(VLOOKUP($H497,매장구분!$B:$Z,2,0),"")</f>
        <v>리테일채널팀</v>
      </c>
      <c r="C497" s="46" t="str">
        <f>IFERROR(VLOOKUP($H497,매장구분!$B:$Z,3,0),"")</f>
        <v>국내</v>
      </c>
      <c r="D497" s="46" t="str">
        <f>IFERROR(VLOOKUP($H497,매장구분!$B:$Z,5,0),"")</f>
        <v>대리점</v>
      </c>
      <c r="E497" s="46" t="str">
        <f>IFERROR(VLOOKUP($H497,매장구분!$B:$Z,9,0),"")</f>
        <v>남원(대-위)</v>
      </c>
      <c r="G497" s="36" t="s">
        <v>410</v>
      </c>
      <c r="H497" s="36" t="s">
        <v>411</v>
      </c>
      <c r="I497" s="36" t="s">
        <v>169</v>
      </c>
      <c r="J497" s="36" t="s">
        <v>79</v>
      </c>
      <c r="K497" s="36" t="s">
        <v>170</v>
      </c>
      <c r="L497" s="36" t="s">
        <v>171</v>
      </c>
      <c r="M497" s="36" t="s">
        <v>196</v>
      </c>
      <c r="N497" s="36" t="s">
        <v>197</v>
      </c>
      <c r="O497" s="36">
        <v>10453900</v>
      </c>
      <c r="P497" s="36">
        <v>93</v>
      </c>
      <c r="Q497" s="36">
        <v>0</v>
      </c>
      <c r="R497" s="36">
        <v>0</v>
      </c>
      <c r="S497" s="36">
        <v>0</v>
      </c>
      <c r="T497" s="36">
        <v>0</v>
      </c>
      <c r="U497" s="36">
        <v>1473000</v>
      </c>
      <c r="V497" s="36">
        <v>7</v>
      </c>
      <c r="W497" s="36">
        <v>0</v>
      </c>
      <c r="X497" s="36">
        <v>0</v>
      </c>
      <c r="Y497" s="48">
        <v>0</v>
      </c>
      <c r="Z497" s="36">
        <v>0</v>
      </c>
      <c r="AA497" s="36">
        <v>0</v>
      </c>
      <c r="AB497" s="36">
        <v>0</v>
      </c>
      <c r="AC497" s="36">
        <v>11926900</v>
      </c>
      <c r="AD497" s="36">
        <v>100</v>
      </c>
      <c r="AF497" s="47">
        <f t="shared" si="7"/>
        <v>11926900</v>
      </c>
    </row>
    <row r="498" spans="1:32" x14ac:dyDescent="0.3">
      <c r="A498" s="46" t="s">
        <v>2</v>
      </c>
      <c r="B498" s="46" t="str">
        <f>IFERROR(VLOOKUP($H498,매장구분!$B:$Z,2,0),"")</f>
        <v>리테일채널팀</v>
      </c>
      <c r="C498" s="46" t="str">
        <f>IFERROR(VLOOKUP($H498,매장구분!$B:$Z,3,0),"")</f>
        <v>국내</v>
      </c>
      <c r="D498" s="46" t="str">
        <f>IFERROR(VLOOKUP($H498,매장구분!$B:$Z,5,0),"")</f>
        <v>대리점</v>
      </c>
      <c r="E498" s="46" t="str">
        <f>IFERROR(VLOOKUP($H498,매장구분!$B:$Z,9,0),"")</f>
        <v>상주(대-위)</v>
      </c>
      <c r="G498" s="36" t="s">
        <v>388</v>
      </c>
      <c r="H498" s="36" t="s">
        <v>389</v>
      </c>
      <c r="I498" s="36" t="s">
        <v>169</v>
      </c>
      <c r="J498" s="36" t="s">
        <v>79</v>
      </c>
      <c r="K498" s="36" t="s">
        <v>170</v>
      </c>
      <c r="L498" s="36" t="s">
        <v>171</v>
      </c>
      <c r="M498" s="36" t="s">
        <v>196</v>
      </c>
      <c r="N498" s="36" t="s">
        <v>197</v>
      </c>
      <c r="O498" s="36">
        <v>21081764</v>
      </c>
      <c r="P498" s="36">
        <v>85</v>
      </c>
      <c r="Q498" s="36">
        <v>0</v>
      </c>
      <c r="R498" s="36">
        <v>0</v>
      </c>
      <c r="S498" s="36">
        <v>0</v>
      </c>
      <c r="T498" s="36">
        <v>0</v>
      </c>
      <c r="U498" s="36">
        <v>463136</v>
      </c>
      <c r="V498" s="36">
        <v>4</v>
      </c>
      <c r="W498" s="36">
        <v>0</v>
      </c>
      <c r="X498" s="36">
        <v>0</v>
      </c>
      <c r="Y498" s="48">
        <v>0</v>
      </c>
      <c r="Z498" s="36">
        <v>0</v>
      </c>
      <c r="AA498" s="36">
        <v>0</v>
      </c>
      <c r="AB498" s="36">
        <v>0</v>
      </c>
      <c r="AC498" s="36">
        <v>21544900</v>
      </c>
      <c r="AD498" s="36">
        <v>89</v>
      </c>
      <c r="AF498" s="47">
        <f t="shared" si="7"/>
        <v>21544900</v>
      </c>
    </row>
    <row r="499" spans="1:32" x14ac:dyDescent="0.3">
      <c r="A499" s="46" t="s">
        <v>2</v>
      </c>
      <c r="B499" s="46" t="str">
        <f>IFERROR(VLOOKUP($H499,매장구분!$B:$Z,2,0),"")</f>
        <v>리테일채널팀</v>
      </c>
      <c r="C499" s="46" t="str">
        <f>IFERROR(VLOOKUP($H499,매장구분!$B:$Z,3,0),"")</f>
        <v>RF</v>
      </c>
      <c r="D499" s="46" t="str">
        <f>IFERROR(VLOOKUP($H499,매장구분!$B:$Z,5,0),"")</f>
        <v>직영점</v>
      </c>
      <c r="E499" s="46" t="str">
        <f>IFERROR(VLOOKUP($H499,매장구분!$B:$Z,9,0),"")</f>
        <v>홍대(직)</v>
      </c>
      <c r="G499" s="36" t="s">
        <v>386</v>
      </c>
      <c r="H499" s="36" t="s">
        <v>387</v>
      </c>
      <c r="I499" s="36" t="s">
        <v>169</v>
      </c>
      <c r="J499" s="36" t="s">
        <v>180</v>
      </c>
      <c r="K499" s="36" t="s">
        <v>170</v>
      </c>
      <c r="L499" s="36" t="s">
        <v>171</v>
      </c>
      <c r="M499" s="36" t="s">
        <v>196</v>
      </c>
      <c r="N499" s="36" t="s">
        <v>206</v>
      </c>
      <c r="O499" s="36">
        <v>36844900</v>
      </c>
      <c r="P499" s="36">
        <v>518</v>
      </c>
      <c r="Q499" s="36">
        <v>0</v>
      </c>
      <c r="R499" s="36">
        <v>0</v>
      </c>
      <c r="S499" s="36">
        <v>0</v>
      </c>
      <c r="T499" s="36">
        <v>0</v>
      </c>
      <c r="U499" s="36">
        <v>0</v>
      </c>
      <c r="V499" s="36">
        <v>0</v>
      </c>
      <c r="W499" s="36">
        <v>0</v>
      </c>
      <c r="X499" s="36">
        <v>0</v>
      </c>
      <c r="Y499" s="48">
        <v>0</v>
      </c>
      <c r="Z499" s="36">
        <v>0</v>
      </c>
      <c r="AA499" s="36">
        <v>0</v>
      </c>
      <c r="AB499" s="36">
        <v>0</v>
      </c>
      <c r="AC499" s="36">
        <v>36844900</v>
      </c>
      <c r="AD499" s="36">
        <v>518</v>
      </c>
      <c r="AF499" s="47">
        <f t="shared" si="7"/>
        <v>36844900</v>
      </c>
    </row>
    <row r="500" spans="1:32" x14ac:dyDescent="0.3">
      <c r="A500" s="46" t="s">
        <v>2</v>
      </c>
      <c r="B500" s="46" t="str">
        <f>IFERROR(VLOOKUP($H500,매장구분!$B:$Z,2,0),"")</f>
        <v>파트너채널팀</v>
      </c>
      <c r="C500" s="46" t="str">
        <f>IFERROR(VLOOKUP($H500,매장구분!$B:$Z,3,0),"")</f>
        <v>국내</v>
      </c>
      <c r="D500" s="46" t="str">
        <f>IFERROR(VLOOKUP($H500,매장구분!$B:$Z,5,0),"")</f>
        <v>백화점</v>
      </c>
      <c r="E500" s="46" t="str">
        <f>IFERROR(VLOOKUP($H500,매장구분!$B:$Z,9,0),"")</f>
        <v>신세계마산</v>
      </c>
      <c r="G500" s="36" t="s">
        <v>426</v>
      </c>
      <c r="H500" s="36" t="s">
        <v>427</v>
      </c>
      <c r="I500" s="36" t="s">
        <v>169</v>
      </c>
      <c r="J500" s="36" t="s">
        <v>175</v>
      </c>
      <c r="K500" s="36" t="s">
        <v>170</v>
      </c>
      <c r="L500" s="36" t="s">
        <v>171</v>
      </c>
      <c r="M500" s="36" t="s">
        <v>77</v>
      </c>
      <c r="N500" s="36" t="s">
        <v>172</v>
      </c>
      <c r="O500" s="36">
        <v>5911370</v>
      </c>
      <c r="P500" s="36">
        <v>46</v>
      </c>
      <c r="Q500" s="36">
        <v>0</v>
      </c>
      <c r="R500" s="36">
        <v>0</v>
      </c>
      <c r="S500" s="36">
        <v>0</v>
      </c>
      <c r="T500" s="36">
        <v>0</v>
      </c>
      <c r="U500" s="36">
        <v>37330</v>
      </c>
      <c r="V500" s="36">
        <v>1</v>
      </c>
      <c r="W500" s="36">
        <v>0</v>
      </c>
      <c r="X500" s="36">
        <v>0</v>
      </c>
      <c r="Y500" s="48">
        <v>0</v>
      </c>
      <c r="Z500" s="36">
        <v>0</v>
      </c>
      <c r="AA500" s="36">
        <v>0</v>
      </c>
      <c r="AB500" s="36">
        <v>0</v>
      </c>
      <c r="AC500" s="36">
        <v>5948700</v>
      </c>
      <c r="AD500" s="36">
        <v>47</v>
      </c>
      <c r="AF500" s="47">
        <f t="shared" si="7"/>
        <v>5948700</v>
      </c>
    </row>
    <row r="501" spans="1:32" x14ac:dyDescent="0.3">
      <c r="A501" s="46" t="s">
        <v>2</v>
      </c>
      <c r="B501" s="46" t="str">
        <f>IFERROR(VLOOKUP($H501,매장구분!$B:$Z,2,0),"")</f>
        <v>파트너채널팀</v>
      </c>
      <c r="C501" s="46" t="str">
        <f>IFERROR(VLOOKUP($H501,매장구분!$B:$Z,3,0),"")</f>
        <v>국내</v>
      </c>
      <c r="D501" s="46" t="str">
        <f>IFERROR(VLOOKUP($H501,매장구분!$B:$Z,5,0),"")</f>
        <v>백화점</v>
      </c>
      <c r="E501" s="46" t="str">
        <f>IFERROR(VLOOKUP($H501,매장구분!$B:$Z,9,0),"")</f>
        <v>엔터식스안양</v>
      </c>
      <c r="G501" s="36" t="s">
        <v>414</v>
      </c>
      <c r="H501" s="36" t="s">
        <v>415</v>
      </c>
      <c r="I501" s="36" t="s">
        <v>169</v>
      </c>
      <c r="J501" s="36" t="s">
        <v>175</v>
      </c>
      <c r="K501" s="36" t="s">
        <v>170</v>
      </c>
      <c r="L501" s="36" t="s">
        <v>171</v>
      </c>
      <c r="M501" s="36" t="s">
        <v>188</v>
      </c>
      <c r="N501" s="36" t="s">
        <v>317</v>
      </c>
      <c r="O501" s="36">
        <v>16741350</v>
      </c>
      <c r="P501" s="36">
        <v>213</v>
      </c>
      <c r="Q501" s="36">
        <v>1043000</v>
      </c>
      <c r="R501" s="36">
        <v>22</v>
      </c>
      <c r="S501" s="36">
        <v>0</v>
      </c>
      <c r="T501" s="36">
        <v>0</v>
      </c>
      <c r="U501" s="36">
        <v>2064150</v>
      </c>
      <c r="V501" s="36">
        <v>12</v>
      </c>
      <c r="W501" s="36">
        <v>0</v>
      </c>
      <c r="X501" s="36">
        <v>0</v>
      </c>
      <c r="Y501" s="48">
        <v>0</v>
      </c>
      <c r="Z501" s="36">
        <v>0</v>
      </c>
      <c r="AA501" s="36">
        <v>0</v>
      </c>
      <c r="AB501" s="36">
        <v>0</v>
      </c>
      <c r="AC501" s="36">
        <v>19848500</v>
      </c>
      <c r="AD501" s="36">
        <v>247</v>
      </c>
      <c r="AF501" s="47">
        <f t="shared" si="7"/>
        <v>19848500</v>
      </c>
    </row>
    <row r="502" spans="1:32" x14ac:dyDescent="0.3">
      <c r="A502" s="46" t="s">
        <v>2</v>
      </c>
      <c r="B502" s="46" t="str">
        <f>IFERROR(VLOOKUP($H502,매장구분!$B:$Z,2,0),"")</f>
        <v>리테일채널팀</v>
      </c>
      <c r="C502" s="46" t="str">
        <f>IFERROR(VLOOKUP($H502,매장구분!$B:$Z,3,0),"")</f>
        <v>국내</v>
      </c>
      <c r="D502" s="46" t="str">
        <f>IFERROR(VLOOKUP($H502,매장구분!$B:$Z,5,0),"")</f>
        <v>대리점</v>
      </c>
      <c r="E502" s="46" t="str">
        <f>IFERROR(VLOOKUP($H502,매장구분!$B:$Z,9,0),"")</f>
        <v>영주(대-위)</v>
      </c>
      <c r="G502" s="36" t="s">
        <v>392</v>
      </c>
      <c r="H502" s="36" t="s">
        <v>393</v>
      </c>
      <c r="I502" s="36" t="s">
        <v>169</v>
      </c>
      <c r="J502" s="36" t="s">
        <v>79</v>
      </c>
      <c r="K502" s="36" t="s">
        <v>170</v>
      </c>
      <c r="L502" s="36" t="s">
        <v>171</v>
      </c>
      <c r="M502" s="36" t="s">
        <v>196</v>
      </c>
      <c r="N502" s="36" t="s">
        <v>197</v>
      </c>
      <c r="O502" s="36">
        <v>6775100</v>
      </c>
      <c r="P502" s="36">
        <v>63</v>
      </c>
      <c r="Q502" s="36">
        <v>0</v>
      </c>
      <c r="R502" s="36">
        <v>0</v>
      </c>
      <c r="S502" s="36">
        <v>0</v>
      </c>
      <c r="T502" s="36">
        <v>0</v>
      </c>
      <c r="U502" s="36">
        <v>269000</v>
      </c>
      <c r="V502" s="36">
        <v>1</v>
      </c>
      <c r="W502" s="36">
        <v>0</v>
      </c>
      <c r="X502" s="36">
        <v>0</v>
      </c>
      <c r="Y502" s="48">
        <v>0</v>
      </c>
      <c r="Z502" s="36">
        <v>0</v>
      </c>
      <c r="AA502" s="36">
        <v>0</v>
      </c>
      <c r="AB502" s="36">
        <v>0</v>
      </c>
      <c r="AC502" s="36">
        <v>7044100</v>
      </c>
      <c r="AD502" s="36">
        <v>64</v>
      </c>
      <c r="AF502" s="47">
        <f t="shared" si="7"/>
        <v>7044100</v>
      </c>
    </row>
    <row r="503" spans="1:32" x14ac:dyDescent="0.3">
      <c r="A503" s="46" t="s">
        <v>2</v>
      </c>
      <c r="B503" s="46" t="str">
        <f>IFERROR(VLOOKUP($H503,매장구분!$B:$Z,2,0),"")</f>
        <v>리테일채널팀</v>
      </c>
      <c r="C503" s="46" t="str">
        <f>IFERROR(VLOOKUP($H503,매장구분!$B:$Z,3,0),"")</f>
        <v>국내</v>
      </c>
      <c r="D503" s="46" t="str">
        <f>IFERROR(VLOOKUP($H503,매장구분!$B:$Z,5,0),"")</f>
        <v>대리점</v>
      </c>
      <c r="E503" s="46" t="str">
        <f>IFERROR(VLOOKUP($H503,매장구분!$B:$Z,9,0),"")</f>
        <v>김포장기(대-위)</v>
      </c>
      <c r="G503" s="36" t="s">
        <v>400</v>
      </c>
      <c r="H503" s="36" t="s">
        <v>401</v>
      </c>
      <c r="I503" s="36" t="s">
        <v>169</v>
      </c>
      <c r="J503" s="36" t="s">
        <v>79</v>
      </c>
      <c r="K503" s="36" t="s">
        <v>170</v>
      </c>
      <c r="L503" s="36" t="s">
        <v>171</v>
      </c>
      <c r="M503" s="36" t="s">
        <v>196</v>
      </c>
      <c r="N503" s="36" t="s">
        <v>197</v>
      </c>
      <c r="O503" s="36">
        <v>13607700</v>
      </c>
      <c r="P503" s="36">
        <v>137</v>
      </c>
      <c r="Q503" s="36">
        <v>0</v>
      </c>
      <c r="R503" s="36">
        <v>0</v>
      </c>
      <c r="S503" s="36">
        <v>0</v>
      </c>
      <c r="T503" s="36">
        <v>0</v>
      </c>
      <c r="U503" s="36">
        <v>457000</v>
      </c>
      <c r="V503" s="36">
        <v>3</v>
      </c>
      <c r="W503" s="36">
        <v>0</v>
      </c>
      <c r="X503" s="36">
        <v>0</v>
      </c>
      <c r="Y503" s="48">
        <v>0</v>
      </c>
      <c r="Z503" s="36">
        <v>0</v>
      </c>
      <c r="AA503" s="36">
        <v>0</v>
      </c>
      <c r="AB503" s="36">
        <v>0</v>
      </c>
      <c r="AC503" s="36">
        <v>14064700</v>
      </c>
      <c r="AD503" s="36">
        <v>140</v>
      </c>
      <c r="AF503" s="47">
        <f t="shared" si="7"/>
        <v>14064700</v>
      </c>
    </row>
    <row r="504" spans="1:32" x14ac:dyDescent="0.3">
      <c r="A504" s="46" t="s">
        <v>2</v>
      </c>
      <c r="B504" s="46" t="str">
        <f>IFERROR(VLOOKUP($H504,매장구분!$B:$Z,2,0),"")</f>
        <v>리테일채널팀</v>
      </c>
      <c r="C504" s="46" t="str">
        <f>IFERROR(VLOOKUP($H504,매장구분!$B:$Z,3,0),"")</f>
        <v>국내</v>
      </c>
      <c r="D504" s="46" t="str">
        <f>IFERROR(VLOOKUP($H504,매장구분!$B:$Z,5,0),"")</f>
        <v>대리점</v>
      </c>
      <c r="E504" s="46" t="str">
        <f>IFERROR(VLOOKUP($H504,매장구분!$B:$Z,9,0),"")</f>
        <v>홍성(대-위)</v>
      </c>
      <c r="G504" s="36" t="s">
        <v>418</v>
      </c>
      <c r="H504" s="36" t="s">
        <v>419</v>
      </c>
      <c r="I504" s="36" t="s">
        <v>169</v>
      </c>
      <c r="J504" s="36" t="s">
        <v>79</v>
      </c>
      <c r="K504" s="36" t="s">
        <v>170</v>
      </c>
      <c r="L504" s="36" t="s">
        <v>171</v>
      </c>
      <c r="M504" s="36" t="s">
        <v>196</v>
      </c>
      <c r="N504" s="36" t="s">
        <v>197</v>
      </c>
      <c r="O504" s="36">
        <v>6060925</v>
      </c>
      <c r="P504" s="36">
        <v>52</v>
      </c>
      <c r="Q504" s="36">
        <v>0</v>
      </c>
      <c r="R504" s="36">
        <v>0</v>
      </c>
      <c r="S504" s="36">
        <v>0</v>
      </c>
      <c r="T504" s="36">
        <v>0</v>
      </c>
      <c r="U504" s="36">
        <v>1741375</v>
      </c>
      <c r="V504" s="36">
        <v>10</v>
      </c>
      <c r="W504" s="36">
        <v>0</v>
      </c>
      <c r="X504" s="36">
        <v>0</v>
      </c>
      <c r="Y504" s="48">
        <v>1782000</v>
      </c>
      <c r="Z504" s="36">
        <v>20</v>
      </c>
      <c r="AA504" s="36">
        <v>0</v>
      </c>
      <c r="AB504" s="36">
        <v>0</v>
      </c>
      <c r="AC504" s="36">
        <v>9584300</v>
      </c>
      <c r="AD504" s="36">
        <v>82</v>
      </c>
      <c r="AF504" s="47">
        <f t="shared" si="7"/>
        <v>7802300</v>
      </c>
    </row>
    <row r="505" spans="1:32" x14ac:dyDescent="0.3">
      <c r="A505" s="46" t="s">
        <v>2</v>
      </c>
      <c r="B505" s="46" t="str">
        <f>IFERROR(VLOOKUP($H505,매장구분!$B:$Z,2,0),"")</f>
        <v>리테일채널팀</v>
      </c>
      <c r="C505" s="46" t="str">
        <f>IFERROR(VLOOKUP($H505,매장구분!$B:$Z,3,0),"")</f>
        <v>RF</v>
      </c>
      <c r="D505" s="46" t="str">
        <f>IFERROR(VLOOKUP($H505,매장구분!$B:$Z,5,0),"")</f>
        <v>직영점</v>
      </c>
      <c r="E505" s="46" t="str">
        <f>IFERROR(VLOOKUP($H505,매장구분!$B:$Z,9,0),"")</f>
        <v>가로수길(직)</v>
      </c>
      <c r="G505" s="36" t="s">
        <v>398</v>
      </c>
      <c r="H505" s="36" t="s">
        <v>399</v>
      </c>
      <c r="I505" s="36" t="s">
        <v>169</v>
      </c>
      <c r="J505" s="36" t="s">
        <v>180</v>
      </c>
      <c r="K505" s="36" t="s">
        <v>170</v>
      </c>
      <c r="L505" s="36" t="s">
        <v>171</v>
      </c>
      <c r="M505" s="36" t="s">
        <v>196</v>
      </c>
      <c r="N505" s="36" t="s">
        <v>206</v>
      </c>
      <c r="O505" s="36">
        <v>40419810</v>
      </c>
      <c r="P505" s="36">
        <v>639</v>
      </c>
      <c r="Q505" s="36">
        <v>0</v>
      </c>
      <c r="R505" s="36">
        <v>0</v>
      </c>
      <c r="S505" s="36">
        <v>0</v>
      </c>
      <c r="T505" s="36">
        <v>0</v>
      </c>
      <c r="U505" s="36">
        <v>0</v>
      </c>
      <c r="V505" s="36">
        <v>0</v>
      </c>
      <c r="W505" s="36">
        <v>0</v>
      </c>
      <c r="X505" s="36">
        <v>0</v>
      </c>
      <c r="Y505" s="48">
        <v>0</v>
      </c>
      <c r="Z505" s="36">
        <v>0</v>
      </c>
      <c r="AA505" s="36">
        <v>0</v>
      </c>
      <c r="AB505" s="36">
        <v>0</v>
      </c>
      <c r="AC505" s="36">
        <v>40419810</v>
      </c>
      <c r="AD505" s="36">
        <v>639</v>
      </c>
      <c r="AF505" s="47">
        <f t="shared" si="7"/>
        <v>40419810</v>
      </c>
    </row>
    <row r="506" spans="1:32" x14ac:dyDescent="0.3">
      <c r="A506" s="46" t="s">
        <v>2</v>
      </c>
      <c r="B506" s="46" t="str">
        <f>IFERROR(VLOOKUP($H506,매장구분!$B:$Z,2,0),"")</f>
        <v>파트너채널팀</v>
      </c>
      <c r="C506" s="46" t="str">
        <f>IFERROR(VLOOKUP($H506,매장구분!$B:$Z,3,0),"")</f>
        <v>국내</v>
      </c>
      <c r="D506" s="46" t="str">
        <f>IFERROR(VLOOKUP($H506,매장구분!$B:$Z,5,0),"")</f>
        <v>백화점</v>
      </c>
      <c r="E506" s="46" t="str">
        <f>IFERROR(VLOOKUP($H506,매장구분!$B:$Z,9,0),"")</f>
        <v>AK원주</v>
      </c>
      <c r="G506" s="36" t="s">
        <v>396</v>
      </c>
      <c r="H506" s="36" t="s">
        <v>397</v>
      </c>
      <c r="I506" s="36" t="s">
        <v>169</v>
      </c>
      <c r="J506" s="36" t="s">
        <v>175</v>
      </c>
      <c r="K506" s="36" t="s">
        <v>170</v>
      </c>
      <c r="L506" s="36" t="s">
        <v>171</v>
      </c>
      <c r="M506" s="36" t="s">
        <v>77</v>
      </c>
      <c r="N506" s="36" t="s">
        <v>172</v>
      </c>
      <c r="O506" s="36">
        <v>28442142</v>
      </c>
      <c r="P506" s="36">
        <v>242</v>
      </c>
      <c r="Q506" s="36">
        <v>0</v>
      </c>
      <c r="R506" s="36">
        <v>0</v>
      </c>
      <c r="S506" s="36">
        <v>0</v>
      </c>
      <c r="T506" s="36">
        <v>0</v>
      </c>
      <c r="U506" s="36">
        <v>0</v>
      </c>
      <c r="V506" s="36">
        <v>0</v>
      </c>
      <c r="W506" s="36">
        <v>0</v>
      </c>
      <c r="X506" s="36">
        <v>0</v>
      </c>
      <c r="Y506" s="48">
        <v>5957458</v>
      </c>
      <c r="Z506" s="36">
        <v>48</v>
      </c>
      <c r="AA506" s="36">
        <v>0</v>
      </c>
      <c r="AB506" s="36">
        <v>0</v>
      </c>
      <c r="AC506" s="36">
        <v>34399600</v>
      </c>
      <c r="AD506" s="36">
        <v>290</v>
      </c>
      <c r="AF506" s="47">
        <f t="shared" si="7"/>
        <v>28442142</v>
      </c>
    </row>
    <row r="507" spans="1:32" x14ac:dyDescent="0.3">
      <c r="A507" s="46" t="s">
        <v>2</v>
      </c>
      <c r="B507" s="46" t="str">
        <f>IFERROR(VLOOKUP($H507,매장구분!$B:$Z,2,0),"")</f>
        <v>리테일채널팀</v>
      </c>
      <c r="C507" s="46" t="str">
        <f>IFERROR(VLOOKUP($H507,매장구분!$B:$Z,3,0),"")</f>
        <v>국내</v>
      </c>
      <c r="D507" s="46" t="str">
        <f>IFERROR(VLOOKUP($H507,매장구분!$B:$Z,5,0),"")</f>
        <v>대리점</v>
      </c>
      <c r="E507" s="46" t="str">
        <f>IFERROR(VLOOKUP($H507,매장구분!$B:$Z,9,0),"")</f>
        <v>광명(대-위)</v>
      </c>
      <c r="G507" s="36" t="s">
        <v>420</v>
      </c>
      <c r="H507" s="36" t="s">
        <v>421</v>
      </c>
      <c r="I507" s="36" t="s">
        <v>169</v>
      </c>
      <c r="J507" s="36" t="s">
        <v>79</v>
      </c>
      <c r="K507" s="36" t="s">
        <v>170</v>
      </c>
      <c r="L507" s="36" t="s">
        <v>171</v>
      </c>
      <c r="M507" s="36" t="s">
        <v>196</v>
      </c>
      <c r="N507" s="36" t="s">
        <v>197</v>
      </c>
      <c r="O507" s="36">
        <v>11308506</v>
      </c>
      <c r="P507" s="36">
        <v>126</v>
      </c>
      <c r="Q507" s="36">
        <v>0</v>
      </c>
      <c r="R507" s="36">
        <v>0</v>
      </c>
      <c r="S507" s="36">
        <v>0</v>
      </c>
      <c r="T507" s="36">
        <v>0</v>
      </c>
      <c r="U507" s="36">
        <v>179860</v>
      </c>
      <c r="V507" s="36">
        <v>2</v>
      </c>
      <c r="W507" s="36">
        <v>0</v>
      </c>
      <c r="X507" s="36">
        <v>0</v>
      </c>
      <c r="Y507" s="48">
        <v>44593000</v>
      </c>
      <c r="Z507" s="36">
        <v>1057</v>
      </c>
      <c r="AA507" s="36">
        <v>0</v>
      </c>
      <c r="AB507" s="36">
        <v>0</v>
      </c>
      <c r="AC507" s="36">
        <v>56081366</v>
      </c>
      <c r="AD507" s="36">
        <v>1185</v>
      </c>
      <c r="AF507" s="47">
        <f t="shared" si="7"/>
        <v>11488366</v>
      </c>
    </row>
    <row r="508" spans="1:32" x14ac:dyDescent="0.3">
      <c r="A508" s="46" t="s">
        <v>2</v>
      </c>
      <c r="B508" s="46" t="str">
        <f>IFERROR(VLOOKUP($H508,매장구분!$B:$Z,2,0),"")</f>
        <v>파트너채널팀</v>
      </c>
      <c r="C508" s="46" t="str">
        <f>IFERROR(VLOOKUP($H508,매장구분!$B:$Z,3,0),"")</f>
        <v>국내</v>
      </c>
      <c r="D508" s="46" t="str">
        <f>IFERROR(VLOOKUP($H508,매장구분!$B:$Z,5,0),"")</f>
        <v>백화점</v>
      </c>
      <c r="E508" s="46" t="str">
        <f>IFERROR(VLOOKUP($H508,매장구분!$B:$Z,9,0),"")</f>
        <v>신세계영등포</v>
      </c>
      <c r="G508" s="36" t="s">
        <v>416</v>
      </c>
      <c r="H508" s="36" t="s">
        <v>417</v>
      </c>
      <c r="I508" s="36" t="s">
        <v>169</v>
      </c>
      <c r="J508" s="36" t="s">
        <v>175</v>
      </c>
      <c r="K508" s="36" t="s">
        <v>170</v>
      </c>
      <c r="L508" s="36" t="s">
        <v>171</v>
      </c>
      <c r="M508" s="36" t="s">
        <v>77</v>
      </c>
      <c r="N508" s="36" t="s">
        <v>172</v>
      </c>
      <c r="O508" s="36">
        <v>9738070</v>
      </c>
      <c r="P508" s="36">
        <v>114</v>
      </c>
      <c r="Q508" s="36">
        <v>0</v>
      </c>
      <c r="R508" s="36">
        <v>0</v>
      </c>
      <c r="S508" s="36">
        <v>0</v>
      </c>
      <c r="T508" s="36">
        <v>0</v>
      </c>
      <c r="U508" s="36">
        <v>731830</v>
      </c>
      <c r="V508" s="36">
        <v>7</v>
      </c>
      <c r="W508" s="36">
        <v>0</v>
      </c>
      <c r="X508" s="36">
        <v>0</v>
      </c>
      <c r="Y508" s="48">
        <v>0</v>
      </c>
      <c r="Z508" s="36">
        <v>0</v>
      </c>
      <c r="AA508" s="36">
        <v>0</v>
      </c>
      <c r="AB508" s="36">
        <v>0</v>
      </c>
      <c r="AC508" s="36">
        <v>10469900</v>
      </c>
      <c r="AD508" s="36">
        <v>121</v>
      </c>
      <c r="AF508" s="47">
        <f t="shared" si="7"/>
        <v>10469900</v>
      </c>
    </row>
    <row r="509" spans="1:32" x14ac:dyDescent="0.3">
      <c r="A509" s="46" t="s">
        <v>2</v>
      </c>
      <c r="B509" s="46" t="str">
        <f>IFERROR(VLOOKUP($H509,매장구분!$B:$Z,2,0),"")</f>
        <v>리테일채널팀</v>
      </c>
      <c r="C509" s="46" t="str">
        <f>IFERROR(VLOOKUP($H509,매장구분!$B:$Z,3,0),"")</f>
        <v>국내</v>
      </c>
      <c r="D509" s="46" t="str">
        <f>IFERROR(VLOOKUP($H509,매장구분!$B:$Z,5,0),"")</f>
        <v>상설(위탁)</v>
      </c>
      <c r="E509" s="46" t="str">
        <f>IFERROR(VLOOKUP($H509,매장구분!$B:$Z,9,0),"")</f>
        <v>신세계아울렛파주(상-위)</v>
      </c>
      <c r="G509" s="36" t="s">
        <v>432</v>
      </c>
      <c r="H509" s="36" t="s">
        <v>433</v>
      </c>
      <c r="I509" s="36" t="s">
        <v>169</v>
      </c>
      <c r="J509" s="36" t="s">
        <v>79</v>
      </c>
      <c r="K509" s="36" t="s">
        <v>170</v>
      </c>
      <c r="L509" s="36" t="s">
        <v>171</v>
      </c>
      <c r="M509" s="36" t="s">
        <v>219</v>
      </c>
      <c r="N509" s="36" t="s">
        <v>219</v>
      </c>
      <c r="O509" s="36">
        <v>4310000</v>
      </c>
      <c r="P509" s="36">
        <v>107</v>
      </c>
      <c r="Q509" s="36">
        <v>0</v>
      </c>
      <c r="R509" s="36">
        <v>0</v>
      </c>
      <c r="S509" s="36">
        <v>0</v>
      </c>
      <c r="T509" s="36">
        <v>0</v>
      </c>
      <c r="U509" s="36">
        <v>0</v>
      </c>
      <c r="V509" s="36">
        <v>0</v>
      </c>
      <c r="W509" s="36">
        <v>0</v>
      </c>
      <c r="X509" s="36">
        <v>0</v>
      </c>
      <c r="Y509" s="48">
        <v>0</v>
      </c>
      <c r="Z509" s="36">
        <v>0</v>
      </c>
      <c r="AA509" s="36">
        <v>0</v>
      </c>
      <c r="AB509" s="36">
        <v>0</v>
      </c>
      <c r="AC509" s="36">
        <v>4310000</v>
      </c>
      <c r="AD509" s="36">
        <v>107</v>
      </c>
      <c r="AF509" s="47">
        <f t="shared" si="7"/>
        <v>4310000</v>
      </c>
    </row>
    <row r="510" spans="1:32" x14ac:dyDescent="0.3">
      <c r="A510" s="46" t="s">
        <v>2</v>
      </c>
      <c r="B510" s="46" t="str">
        <f>IFERROR(VLOOKUP($H510,매장구분!$B:$Z,2,0),"")</f>
        <v>리테일채널팀</v>
      </c>
      <c r="C510" s="46" t="str">
        <f>IFERROR(VLOOKUP($H510,매장구분!$B:$Z,3,0),"")</f>
        <v>국내</v>
      </c>
      <c r="D510" s="46" t="str">
        <f>IFERROR(VLOOKUP($H510,매장구분!$B:$Z,5,0),"")</f>
        <v>상설(위탁)</v>
      </c>
      <c r="E510" s="46" t="str">
        <f>IFERROR(VLOOKUP($H510,매장구분!$B:$Z,9,0),"")</f>
        <v>콜렉티드(상-위)</v>
      </c>
      <c r="G510" s="36" t="s">
        <v>434</v>
      </c>
      <c r="H510" s="36" t="s">
        <v>435</v>
      </c>
      <c r="I510" s="36" t="s">
        <v>169</v>
      </c>
      <c r="J510" s="36" t="s">
        <v>79</v>
      </c>
      <c r="K510" s="36" t="s">
        <v>170</v>
      </c>
      <c r="L510" s="36" t="s">
        <v>171</v>
      </c>
      <c r="M510" s="36" t="s">
        <v>219</v>
      </c>
      <c r="N510" s="36" t="s">
        <v>219</v>
      </c>
      <c r="O510" s="36">
        <v>183000</v>
      </c>
      <c r="P510" s="36">
        <v>5</v>
      </c>
      <c r="Q510" s="36">
        <v>0</v>
      </c>
      <c r="R510" s="36">
        <v>0</v>
      </c>
      <c r="S510" s="36">
        <v>0</v>
      </c>
      <c r="T510" s="36">
        <v>0</v>
      </c>
      <c r="U510" s="36">
        <v>0</v>
      </c>
      <c r="V510" s="36">
        <v>0</v>
      </c>
      <c r="W510" s="36">
        <v>0</v>
      </c>
      <c r="X510" s="36">
        <v>0</v>
      </c>
      <c r="Y510" s="48">
        <v>0</v>
      </c>
      <c r="Z510" s="36">
        <v>0</v>
      </c>
      <c r="AA510" s="36">
        <v>0</v>
      </c>
      <c r="AB510" s="36">
        <v>0</v>
      </c>
      <c r="AC510" s="36">
        <v>183000</v>
      </c>
      <c r="AD510" s="36">
        <v>5</v>
      </c>
      <c r="AF510" s="47">
        <f t="shared" si="7"/>
        <v>183000</v>
      </c>
    </row>
    <row r="511" spans="1:32" x14ac:dyDescent="0.3">
      <c r="A511" s="46" t="s">
        <v>2</v>
      </c>
      <c r="B511" s="46" t="str">
        <f>IFERROR(VLOOKUP($H511,매장구분!$B:$Z,2,0),"")</f>
        <v>리테일채널팀</v>
      </c>
      <c r="C511" s="46" t="str">
        <f>IFERROR(VLOOKUP($H511,매장구분!$B:$Z,3,0),"")</f>
        <v>국내</v>
      </c>
      <c r="D511" s="46" t="str">
        <f>IFERROR(VLOOKUP($H511,매장구분!$B:$Z,5,0),"")</f>
        <v>상설(위탁)</v>
      </c>
      <c r="E511" s="46" t="str">
        <f>IFERROR(VLOOKUP($H511,매장구분!$B:$Z,9,0),"")</f>
        <v>롯데아울렛수완(상-위)</v>
      </c>
      <c r="G511" s="36" t="s">
        <v>430</v>
      </c>
      <c r="H511" s="36" t="s">
        <v>431</v>
      </c>
      <c r="I511" s="36" t="s">
        <v>169</v>
      </c>
      <c r="J511" s="36" t="s">
        <v>79</v>
      </c>
      <c r="K511" s="36" t="s">
        <v>170</v>
      </c>
      <c r="L511" s="36" t="s">
        <v>171</v>
      </c>
      <c r="M511" s="36" t="s">
        <v>219</v>
      </c>
      <c r="N511" s="36" t="s">
        <v>219</v>
      </c>
      <c r="O511" s="36">
        <v>1893000</v>
      </c>
      <c r="P511" s="36">
        <v>52</v>
      </c>
      <c r="Q511" s="36">
        <v>0</v>
      </c>
      <c r="R511" s="36">
        <v>0</v>
      </c>
      <c r="S511" s="36">
        <v>0</v>
      </c>
      <c r="T511" s="36">
        <v>0</v>
      </c>
      <c r="U511" s="36">
        <v>0</v>
      </c>
      <c r="V511" s="36">
        <v>0</v>
      </c>
      <c r="W511" s="36">
        <v>0</v>
      </c>
      <c r="X511" s="36">
        <v>0</v>
      </c>
      <c r="Y511" s="48">
        <v>0</v>
      </c>
      <c r="Z511" s="36">
        <v>0</v>
      </c>
      <c r="AA511" s="36">
        <v>0</v>
      </c>
      <c r="AB511" s="36">
        <v>0</v>
      </c>
      <c r="AC511" s="36">
        <v>1893000</v>
      </c>
      <c r="AD511" s="36">
        <v>52</v>
      </c>
      <c r="AF511" s="47">
        <f t="shared" si="7"/>
        <v>1893000</v>
      </c>
    </row>
    <row r="512" spans="1:32" x14ac:dyDescent="0.3">
      <c r="A512" s="46" t="s">
        <v>2</v>
      </c>
      <c r="B512" s="46" t="str">
        <f>IFERROR(VLOOKUP($H512,매장구분!$B:$Z,2,0),"")</f>
        <v>파트너채널팀</v>
      </c>
      <c r="C512" s="46" t="str">
        <f>IFERROR(VLOOKUP($H512,매장구분!$B:$Z,3,0),"")</f>
        <v>국내</v>
      </c>
      <c r="D512" s="46" t="str">
        <f>IFERROR(VLOOKUP($H512,매장구분!$B:$Z,5,0),"")</f>
        <v>백화점</v>
      </c>
      <c r="E512" s="46" t="str">
        <f>IFERROR(VLOOKUP($H512,매장구분!$B:$Z,9,0),"")</f>
        <v>신세계의정부</v>
      </c>
      <c r="G512" s="36" t="s">
        <v>438</v>
      </c>
      <c r="H512" s="36" t="s">
        <v>439</v>
      </c>
      <c r="I512" s="36" t="s">
        <v>169</v>
      </c>
      <c r="J512" s="36" t="s">
        <v>175</v>
      </c>
      <c r="K512" s="36" t="s">
        <v>170</v>
      </c>
      <c r="L512" s="36" t="s">
        <v>171</v>
      </c>
      <c r="M512" s="36" t="s">
        <v>77</v>
      </c>
      <c r="N512" s="36" t="s">
        <v>172</v>
      </c>
      <c r="O512" s="36">
        <v>18876280</v>
      </c>
      <c r="P512" s="36">
        <v>186</v>
      </c>
      <c r="Q512" s="36">
        <v>0</v>
      </c>
      <c r="R512" s="36">
        <v>0</v>
      </c>
      <c r="S512" s="36">
        <v>0</v>
      </c>
      <c r="T512" s="36">
        <v>0</v>
      </c>
      <c r="U512" s="36">
        <v>2131220</v>
      </c>
      <c r="V512" s="36">
        <v>12</v>
      </c>
      <c r="W512" s="36">
        <v>0</v>
      </c>
      <c r="X512" s="36">
        <v>0</v>
      </c>
      <c r="Y512" s="48">
        <v>0</v>
      </c>
      <c r="Z512" s="36">
        <v>0</v>
      </c>
      <c r="AA512" s="36">
        <v>0</v>
      </c>
      <c r="AB512" s="36">
        <v>0</v>
      </c>
      <c r="AC512" s="36">
        <v>21007500</v>
      </c>
      <c r="AD512" s="36">
        <v>198</v>
      </c>
      <c r="AF512" s="47">
        <f t="shared" si="7"/>
        <v>21007500</v>
      </c>
    </row>
    <row r="513" spans="1:32" x14ac:dyDescent="0.3">
      <c r="A513" s="46" t="s">
        <v>2</v>
      </c>
      <c r="B513" s="46" t="str">
        <f>IFERROR(VLOOKUP($H513,매장구분!$B:$Z,2,0),"")</f>
        <v>파트너채널팀</v>
      </c>
      <c r="C513" s="46" t="str">
        <f>IFERROR(VLOOKUP($H513,매장구분!$B:$Z,3,0),"")</f>
        <v>RF</v>
      </c>
      <c r="D513" s="46" t="str">
        <f>IFERROR(VLOOKUP($H513,매장구분!$B:$Z,5,0),"")</f>
        <v>백화점</v>
      </c>
      <c r="E513" s="46" t="str">
        <f>IFERROR(VLOOKUP($H513,매장구분!$B:$Z,9,0),"")</f>
        <v>신세계본점</v>
      </c>
      <c r="G513" s="36" t="s">
        <v>450</v>
      </c>
      <c r="H513" s="36" t="s">
        <v>451</v>
      </c>
      <c r="I513" s="36" t="s">
        <v>169</v>
      </c>
      <c r="J513" s="36" t="s">
        <v>175</v>
      </c>
      <c r="K513" s="36" t="s">
        <v>170</v>
      </c>
      <c r="L513" s="36" t="s">
        <v>171</v>
      </c>
      <c r="M513" s="36" t="s">
        <v>77</v>
      </c>
      <c r="N513" s="36" t="s">
        <v>172</v>
      </c>
      <c r="O513" s="36">
        <v>14310070</v>
      </c>
      <c r="P513" s="36">
        <v>158</v>
      </c>
      <c r="Q513" s="36">
        <v>0</v>
      </c>
      <c r="R513" s="36">
        <v>0</v>
      </c>
      <c r="S513" s="36">
        <v>0</v>
      </c>
      <c r="T513" s="36">
        <v>0</v>
      </c>
      <c r="U513" s="36">
        <v>8578630</v>
      </c>
      <c r="V513" s="36">
        <v>46</v>
      </c>
      <c r="W513" s="36">
        <v>0</v>
      </c>
      <c r="X513" s="36">
        <v>0</v>
      </c>
      <c r="Y513" s="48">
        <v>0</v>
      </c>
      <c r="Z513" s="36">
        <v>0</v>
      </c>
      <c r="AA513" s="36">
        <v>0</v>
      </c>
      <c r="AB513" s="36">
        <v>0</v>
      </c>
      <c r="AC513" s="36">
        <v>22888700</v>
      </c>
      <c r="AD513" s="36">
        <v>204</v>
      </c>
      <c r="AF513" s="47">
        <f t="shared" si="7"/>
        <v>22888700</v>
      </c>
    </row>
    <row r="514" spans="1:32" x14ac:dyDescent="0.3">
      <c r="A514" s="46" t="s">
        <v>2</v>
      </c>
      <c r="B514" s="46" t="str">
        <f>IFERROR(VLOOKUP($H514,매장구분!$B:$Z,2,0),"")</f>
        <v>리테일채널팀</v>
      </c>
      <c r="C514" s="46" t="str">
        <f>IFERROR(VLOOKUP($H514,매장구분!$B:$Z,3,0),"")</f>
        <v>RF</v>
      </c>
      <c r="D514" s="46" t="str">
        <f>IFERROR(VLOOKUP($H514,매장구분!$B:$Z,5,0),"")</f>
        <v>직영점</v>
      </c>
      <c r="E514" s="46" t="str">
        <f>IFERROR(VLOOKUP($H514,매장구분!$B:$Z,9,0),"")</f>
        <v>한남(직)</v>
      </c>
      <c r="G514" s="36" t="s">
        <v>436</v>
      </c>
      <c r="H514" s="36" t="s">
        <v>437</v>
      </c>
      <c r="I514" s="36" t="s">
        <v>169</v>
      </c>
      <c r="J514" s="36" t="s">
        <v>180</v>
      </c>
      <c r="K514" s="36" t="s">
        <v>170</v>
      </c>
      <c r="L514" s="36" t="s">
        <v>171</v>
      </c>
      <c r="M514" s="36" t="s">
        <v>196</v>
      </c>
      <c r="N514" s="36" t="s">
        <v>206</v>
      </c>
      <c r="O514" s="36">
        <v>28065700</v>
      </c>
      <c r="P514" s="36">
        <v>353</v>
      </c>
      <c r="Q514" s="36">
        <v>0</v>
      </c>
      <c r="R514" s="36">
        <v>0</v>
      </c>
      <c r="S514" s="36">
        <v>0</v>
      </c>
      <c r="T514" s="36">
        <v>0</v>
      </c>
      <c r="U514" s="36">
        <v>0</v>
      </c>
      <c r="V514" s="36">
        <v>0</v>
      </c>
      <c r="W514" s="36">
        <v>0</v>
      </c>
      <c r="X514" s="36">
        <v>0</v>
      </c>
      <c r="Y514" s="48">
        <v>0</v>
      </c>
      <c r="Z514" s="36">
        <v>0</v>
      </c>
      <c r="AA514" s="36">
        <v>0</v>
      </c>
      <c r="AB514" s="36">
        <v>0</v>
      </c>
      <c r="AC514" s="36">
        <v>28065700</v>
      </c>
      <c r="AD514" s="36">
        <v>353</v>
      </c>
      <c r="AF514" s="47">
        <f t="shared" si="7"/>
        <v>28065700</v>
      </c>
    </row>
    <row r="515" spans="1:32" x14ac:dyDescent="0.3">
      <c r="A515" s="46" t="s">
        <v>2</v>
      </c>
      <c r="B515" s="46" t="str">
        <f>IFERROR(VLOOKUP($H515,매장구분!$B:$Z,2,0),"")</f>
        <v>파트너채널팀</v>
      </c>
      <c r="C515" s="46" t="str">
        <f>IFERROR(VLOOKUP($H515,매장구분!$B:$Z,3,0),"")</f>
        <v>국내</v>
      </c>
      <c r="D515" s="46" t="str">
        <f>IFERROR(VLOOKUP($H515,매장구분!$B:$Z,5,0),"")</f>
        <v>백화점</v>
      </c>
      <c r="E515" s="46" t="str">
        <f>IFERROR(VLOOKUP($H515,매장구분!$B:$Z,9,0),"")</f>
        <v>현대킨텍스</v>
      </c>
      <c r="G515" s="36" t="s">
        <v>442</v>
      </c>
      <c r="H515" s="36" t="s">
        <v>443</v>
      </c>
      <c r="I515" s="36" t="s">
        <v>169</v>
      </c>
      <c r="J515" s="36" t="s">
        <v>175</v>
      </c>
      <c r="K515" s="36" t="s">
        <v>170</v>
      </c>
      <c r="L515" s="36" t="s">
        <v>171</v>
      </c>
      <c r="M515" s="36" t="s">
        <v>77</v>
      </c>
      <c r="N515" s="36" t="s">
        <v>172</v>
      </c>
      <c r="O515" s="36">
        <v>5277900</v>
      </c>
      <c r="P515" s="36">
        <v>54</v>
      </c>
      <c r="Q515" s="36">
        <v>0</v>
      </c>
      <c r="R515" s="36">
        <v>0</v>
      </c>
      <c r="S515" s="36">
        <v>0</v>
      </c>
      <c r="T515" s="36">
        <v>0</v>
      </c>
      <c r="U515" s="36">
        <v>1110000</v>
      </c>
      <c r="V515" s="36">
        <v>7</v>
      </c>
      <c r="W515" s="36">
        <v>0</v>
      </c>
      <c r="X515" s="36">
        <v>0</v>
      </c>
      <c r="Y515" s="48">
        <v>40113300</v>
      </c>
      <c r="Z515" s="36">
        <v>268</v>
      </c>
      <c r="AA515" s="36">
        <v>0</v>
      </c>
      <c r="AB515" s="36">
        <v>0</v>
      </c>
      <c r="AC515" s="36">
        <v>46501200</v>
      </c>
      <c r="AD515" s="36">
        <v>329</v>
      </c>
      <c r="AF515" s="47">
        <f t="shared" ref="AF515:AF578" si="8">IFERROR(AC515-Y515,"")</f>
        <v>6387900</v>
      </c>
    </row>
    <row r="516" spans="1:32" x14ac:dyDescent="0.3">
      <c r="A516" s="46" t="s">
        <v>2</v>
      </c>
      <c r="B516" s="46" t="str">
        <f>IFERROR(VLOOKUP($H516,매장구분!$B:$Z,2,0),"")</f>
        <v>파트너채널팀</v>
      </c>
      <c r="C516" s="46" t="str">
        <f>IFERROR(VLOOKUP($H516,매장구분!$B:$Z,3,0),"")</f>
        <v>면세</v>
      </c>
      <c r="D516" s="46" t="str">
        <f>IFERROR(VLOOKUP($H516,매장구분!$B:$Z,5,0),"")</f>
        <v>면세</v>
      </c>
      <c r="E516" s="46" t="str">
        <f>IFERROR(VLOOKUP($H516,매장구분!$B:$Z,9,0),"")</f>
        <v>롯데면세제주</v>
      </c>
      <c r="G516" s="36" t="s">
        <v>464</v>
      </c>
      <c r="H516" s="36" t="s">
        <v>465</v>
      </c>
      <c r="I516" s="36" t="s">
        <v>169</v>
      </c>
      <c r="J516" s="36" t="s">
        <v>175</v>
      </c>
      <c r="K516" s="36" t="s">
        <v>170</v>
      </c>
      <c r="L516" s="36" t="s">
        <v>171</v>
      </c>
      <c r="M516" s="36" t="s">
        <v>176</v>
      </c>
      <c r="N516" s="36" t="s">
        <v>177</v>
      </c>
      <c r="O516" s="36">
        <v>78188900</v>
      </c>
      <c r="P516" s="36">
        <v>1227</v>
      </c>
      <c r="Q516" s="36">
        <v>0</v>
      </c>
      <c r="R516" s="36">
        <v>0</v>
      </c>
      <c r="S516" s="36">
        <v>0</v>
      </c>
      <c r="T516" s="36">
        <v>0</v>
      </c>
      <c r="U516" s="36">
        <v>0</v>
      </c>
      <c r="V516" s="36">
        <v>0</v>
      </c>
      <c r="W516" s="36">
        <v>0</v>
      </c>
      <c r="X516" s="36">
        <v>0</v>
      </c>
      <c r="Y516" s="48">
        <v>0</v>
      </c>
      <c r="Z516" s="36">
        <v>0</v>
      </c>
      <c r="AA516" s="36">
        <v>0</v>
      </c>
      <c r="AB516" s="36">
        <v>0</v>
      </c>
      <c r="AC516" s="36">
        <v>78188900</v>
      </c>
      <c r="AD516" s="36">
        <v>1227</v>
      </c>
      <c r="AF516" s="47">
        <f t="shared" si="8"/>
        <v>78188900</v>
      </c>
    </row>
    <row r="517" spans="1:32" x14ac:dyDescent="0.3">
      <c r="A517" s="46" t="s">
        <v>2</v>
      </c>
      <c r="B517" s="46" t="str">
        <f>IFERROR(VLOOKUP($H517,매장구분!$B:$Z,2,0),"")</f>
        <v>파트너채널팀</v>
      </c>
      <c r="C517" s="46" t="str">
        <f>IFERROR(VLOOKUP($H517,매장구분!$B:$Z,3,0),"")</f>
        <v>국내</v>
      </c>
      <c r="D517" s="46" t="str">
        <f>IFERROR(VLOOKUP($H517,매장구분!$B:$Z,5,0),"")</f>
        <v>백화점</v>
      </c>
      <c r="E517" s="46" t="str">
        <f>IFERROR(VLOOKUP($H517,매장구분!$B:$Z,9,0),"")</f>
        <v>엔터식스왕십리</v>
      </c>
      <c r="G517" s="36" t="s">
        <v>444</v>
      </c>
      <c r="H517" s="36" t="s">
        <v>445</v>
      </c>
      <c r="I517" s="36" t="s">
        <v>169</v>
      </c>
      <c r="J517" s="36" t="s">
        <v>175</v>
      </c>
      <c r="K517" s="36" t="s">
        <v>170</v>
      </c>
      <c r="L517" s="36" t="s">
        <v>171</v>
      </c>
      <c r="M517" s="36" t="s">
        <v>77</v>
      </c>
      <c r="N517" s="36" t="s">
        <v>238</v>
      </c>
      <c r="O517" s="36">
        <v>5535310</v>
      </c>
      <c r="P517" s="36">
        <v>96</v>
      </c>
      <c r="Q517" s="36">
        <v>0</v>
      </c>
      <c r="R517" s="36">
        <v>0</v>
      </c>
      <c r="S517" s="36">
        <v>0</v>
      </c>
      <c r="T517" s="36">
        <v>0</v>
      </c>
      <c r="U517" s="36">
        <v>5543990</v>
      </c>
      <c r="V517" s="36">
        <v>39</v>
      </c>
      <c r="W517" s="36">
        <v>0</v>
      </c>
      <c r="X517" s="36">
        <v>0</v>
      </c>
      <c r="Y517" s="48">
        <v>0</v>
      </c>
      <c r="Z517" s="36">
        <v>0</v>
      </c>
      <c r="AA517" s="36">
        <v>0</v>
      </c>
      <c r="AB517" s="36">
        <v>0</v>
      </c>
      <c r="AC517" s="36">
        <v>11079300</v>
      </c>
      <c r="AD517" s="36">
        <v>135</v>
      </c>
      <c r="AF517" s="47">
        <f t="shared" si="8"/>
        <v>11079300</v>
      </c>
    </row>
    <row r="518" spans="1:32" x14ac:dyDescent="0.3">
      <c r="A518" s="46" t="s">
        <v>2</v>
      </c>
      <c r="B518" s="46" t="str">
        <f>IFERROR(VLOOKUP($H518,매장구분!$B:$Z,2,0),"")</f>
        <v>파트너채널팀</v>
      </c>
      <c r="C518" s="46" t="str">
        <f>IFERROR(VLOOKUP($H518,매장구분!$B:$Z,3,0),"")</f>
        <v>국내</v>
      </c>
      <c r="D518" s="46" t="str">
        <f>IFERROR(VLOOKUP($H518,매장구분!$B:$Z,5,0),"")</f>
        <v>백화점</v>
      </c>
      <c r="E518" s="46" t="str">
        <f>IFERROR(VLOOKUP($H518,매장구분!$B:$Z,9,0),"")</f>
        <v>롯데부산</v>
      </c>
      <c r="G518" s="36" t="s">
        <v>452</v>
      </c>
      <c r="H518" s="36" t="s">
        <v>453</v>
      </c>
      <c r="I518" s="36" t="s">
        <v>169</v>
      </c>
      <c r="J518" s="36" t="s">
        <v>175</v>
      </c>
      <c r="K518" s="36" t="s">
        <v>170</v>
      </c>
      <c r="L518" s="36" t="s">
        <v>171</v>
      </c>
      <c r="M518" s="36" t="s">
        <v>77</v>
      </c>
      <c r="N518" s="36" t="s">
        <v>172</v>
      </c>
      <c r="O518" s="36">
        <v>30483368</v>
      </c>
      <c r="P518" s="36">
        <v>330</v>
      </c>
      <c r="Q518" s="36">
        <v>2696000</v>
      </c>
      <c r="R518" s="36">
        <v>68</v>
      </c>
      <c r="S518" s="36">
        <v>0</v>
      </c>
      <c r="T518" s="36">
        <v>0</v>
      </c>
      <c r="U518" s="36">
        <v>2019500</v>
      </c>
      <c r="V518" s="36">
        <v>11</v>
      </c>
      <c r="W518" s="36">
        <v>0</v>
      </c>
      <c r="X518" s="36">
        <v>0</v>
      </c>
      <c r="Y518" s="48">
        <v>35295032</v>
      </c>
      <c r="Z518" s="36">
        <v>539</v>
      </c>
      <c r="AA518" s="36">
        <v>0</v>
      </c>
      <c r="AB518" s="36">
        <v>0</v>
      </c>
      <c r="AC518" s="36">
        <v>70493900</v>
      </c>
      <c r="AD518" s="36">
        <v>948</v>
      </c>
      <c r="AF518" s="47">
        <f t="shared" si="8"/>
        <v>35198868</v>
      </c>
    </row>
    <row r="519" spans="1:32" x14ac:dyDescent="0.3">
      <c r="A519" s="46" t="s">
        <v>2</v>
      </c>
      <c r="B519" s="46" t="str">
        <f>IFERROR(VLOOKUP($H519,매장구분!$B:$Z,2,0),"")</f>
        <v>파트너채널팀</v>
      </c>
      <c r="C519" s="46" t="str">
        <f>IFERROR(VLOOKUP($H519,매장구분!$B:$Z,3,0),"")</f>
        <v>국내</v>
      </c>
      <c r="D519" s="46" t="str">
        <f>IFERROR(VLOOKUP($H519,매장구분!$B:$Z,5,0),"")</f>
        <v>백화점</v>
      </c>
      <c r="E519" s="46" t="str">
        <f>IFERROR(VLOOKUP($H519,매장구분!$B:$Z,9,0),"")</f>
        <v>신세계김해</v>
      </c>
      <c r="G519" s="36" t="s">
        <v>454</v>
      </c>
      <c r="H519" s="36" t="s">
        <v>455</v>
      </c>
      <c r="I519" s="36" t="s">
        <v>169</v>
      </c>
      <c r="J519" s="36" t="s">
        <v>175</v>
      </c>
      <c r="K519" s="36" t="s">
        <v>170</v>
      </c>
      <c r="L519" s="36" t="s">
        <v>171</v>
      </c>
      <c r="M519" s="36" t="s">
        <v>77</v>
      </c>
      <c r="N519" s="36" t="s">
        <v>172</v>
      </c>
      <c r="O519" s="36">
        <v>10205466</v>
      </c>
      <c r="P519" s="36">
        <v>119</v>
      </c>
      <c r="Q519" s="36">
        <v>0</v>
      </c>
      <c r="R519" s="36">
        <v>0</v>
      </c>
      <c r="S519" s="36">
        <v>0</v>
      </c>
      <c r="T519" s="36">
        <v>0</v>
      </c>
      <c r="U519" s="36">
        <v>1620834</v>
      </c>
      <c r="V519" s="36">
        <v>11</v>
      </c>
      <c r="W519" s="36">
        <v>0</v>
      </c>
      <c r="X519" s="36">
        <v>0</v>
      </c>
      <c r="Y519" s="48">
        <v>0</v>
      </c>
      <c r="Z519" s="36">
        <v>0</v>
      </c>
      <c r="AA519" s="36">
        <v>0</v>
      </c>
      <c r="AB519" s="36">
        <v>0</v>
      </c>
      <c r="AC519" s="36">
        <v>11826300</v>
      </c>
      <c r="AD519" s="36">
        <v>130</v>
      </c>
      <c r="AF519" s="47">
        <f t="shared" si="8"/>
        <v>11826300</v>
      </c>
    </row>
    <row r="520" spans="1:32" x14ac:dyDescent="0.3">
      <c r="A520" s="46" t="s">
        <v>2</v>
      </c>
      <c r="B520" s="46" t="str">
        <f>IFERROR(VLOOKUP($H520,매장구분!$B:$Z,2,0),"")</f>
        <v>파트너채널팀</v>
      </c>
      <c r="C520" s="46" t="str">
        <f>IFERROR(VLOOKUP($H520,매장구분!$B:$Z,3,0),"")</f>
        <v>국내</v>
      </c>
      <c r="D520" s="46" t="str">
        <f>IFERROR(VLOOKUP($H520,매장구분!$B:$Z,5,0),"")</f>
        <v>백화점</v>
      </c>
      <c r="E520" s="46" t="str">
        <f>IFERROR(VLOOKUP($H520,매장구분!$B:$Z,9,0),"")</f>
        <v>롯데광복</v>
      </c>
      <c r="G520" s="36" t="s">
        <v>448</v>
      </c>
      <c r="H520" s="36" t="s">
        <v>449</v>
      </c>
      <c r="I520" s="36" t="s">
        <v>169</v>
      </c>
      <c r="J520" s="36" t="s">
        <v>175</v>
      </c>
      <c r="K520" s="36" t="s">
        <v>170</v>
      </c>
      <c r="L520" s="36" t="s">
        <v>171</v>
      </c>
      <c r="M520" s="36" t="s">
        <v>77</v>
      </c>
      <c r="N520" s="36" t="s">
        <v>172</v>
      </c>
      <c r="O520" s="36">
        <v>8553570</v>
      </c>
      <c r="P520" s="36">
        <v>113</v>
      </c>
      <c r="Q520" s="36">
        <v>922000</v>
      </c>
      <c r="R520" s="36">
        <v>8</v>
      </c>
      <c r="S520" s="36">
        <v>0</v>
      </c>
      <c r="T520" s="36">
        <v>0</v>
      </c>
      <c r="U520" s="36">
        <v>1609830</v>
      </c>
      <c r="V520" s="36">
        <v>10</v>
      </c>
      <c r="W520" s="36">
        <v>0</v>
      </c>
      <c r="X520" s="36">
        <v>0</v>
      </c>
      <c r="Y520" s="48">
        <v>2530000</v>
      </c>
      <c r="Z520" s="36">
        <v>28</v>
      </c>
      <c r="AA520" s="36">
        <v>0</v>
      </c>
      <c r="AB520" s="36">
        <v>0</v>
      </c>
      <c r="AC520" s="36">
        <v>13615400</v>
      </c>
      <c r="AD520" s="36">
        <v>159</v>
      </c>
      <c r="AF520" s="47">
        <f t="shared" si="8"/>
        <v>11085400</v>
      </c>
    </row>
    <row r="521" spans="1:32" x14ac:dyDescent="0.3">
      <c r="A521" s="46" t="s">
        <v>2</v>
      </c>
      <c r="B521" s="46" t="str">
        <f>IFERROR(VLOOKUP($H521,매장구분!$B:$Z,2,0),"")</f>
        <v>파트너채널팀</v>
      </c>
      <c r="C521" s="46" t="str">
        <f>IFERROR(VLOOKUP($H521,매장구분!$B:$Z,3,0),"")</f>
        <v>국내</v>
      </c>
      <c r="D521" s="46" t="str">
        <f>IFERROR(VLOOKUP($H521,매장구분!$B:$Z,5,0),"")</f>
        <v>백화점</v>
      </c>
      <c r="E521" s="46" t="str">
        <f>IFERROR(VLOOKUP($H521,매장구분!$B:$Z,9,0),"")</f>
        <v>롯데분당</v>
      </c>
      <c r="G521" s="36" t="s">
        <v>470</v>
      </c>
      <c r="H521" s="36" t="s">
        <v>471</v>
      </c>
      <c r="I521" s="36" t="s">
        <v>169</v>
      </c>
      <c r="J521" s="36" t="s">
        <v>175</v>
      </c>
      <c r="K521" s="36" t="s">
        <v>170</v>
      </c>
      <c r="L521" s="36" t="s">
        <v>171</v>
      </c>
      <c r="M521" s="36" t="s">
        <v>77</v>
      </c>
      <c r="N521" s="36" t="s">
        <v>172</v>
      </c>
      <c r="O521" s="36">
        <v>2823290</v>
      </c>
      <c r="P521" s="36">
        <v>39</v>
      </c>
      <c r="Q521" s="36">
        <v>247000</v>
      </c>
      <c r="R521" s="36">
        <v>7</v>
      </c>
      <c r="S521" s="36">
        <v>0</v>
      </c>
      <c r="T521" s="36">
        <v>0</v>
      </c>
      <c r="U521" s="36">
        <v>176510</v>
      </c>
      <c r="V521" s="36">
        <v>2</v>
      </c>
      <c r="W521" s="36">
        <v>0</v>
      </c>
      <c r="X521" s="36">
        <v>0</v>
      </c>
      <c r="Y521" s="48">
        <v>0</v>
      </c>
      <c r="Z521" s="36">
        <v>0</v>
      </c>
      <c r="AA521" s="36">
        <v>-33000</v>
      </c>
      <c r="AB521" s="36">
        <v>-1</v>
      </c>
      <c r="AC521" s="36">
        <v>3213800</v>
      </c>
      <c r="AD521" s="36">
        <v>47</v>
      </c>
      <c r="AF521" s="47">
        <f t="shared" si="8"/>
        <v>3213800</v>
      </c>
    </row>
    <row r="522" spans="1:32" x14ac:dyDescent="0.3">
      <c r="A522" s="46" t="s">
        <v>2</v>
      </c>
      <c r="B522" s="46" t="str">
        <f>IFERROR(VLOOKUP($H522,매장구분!$B:$Z,2,0),"")</f>
        <v>리테일채널팀</v>
      </c>
      <c r="C522" s="46" t="str">
        <f>IFERROR(VLOOKUP($H522,매장구분!$B:$Z,3,0),"")</f>
        <v>국내</v>
      </c>
      <c r="D522" s="46" t="str">
        <f>IFERROR(VLOOKUP($H522,매장구분!$B:$Z,5,0),"")</f>
        <v>대리점</v>
      </c>
      <c r="E522" s="46" t="str">
        <f>IFERROR(VLOOKUP($H522,매장구분!$B:$Z,9,0),"")</f>
        <v>대전은행(대-위)</v>
      </c>
      <c r="G522" s="36" t="s">
        <v>456</v>
      </c>
      <c r="H522" s="36" t="s">
        <v>457</v>
      </c>
      <c r="I522" s="36" t="s">
        <v>169</v>
      </c>
      <c r="J522" s="36" t="s">
        <v>79</v>
      </c>
      <c r="K522" s="36" t="s">
        <v>170</v>
      </c>
      <c r="L522" s="36" t="s">
        <v>171</v>
      </c>
      <c r="M522" s="36" t="s">
        <v>196</v>
      </c>
      <c r="N522" s="36" t="s">
        <v>197</v>
      </c>
      <c r="O522" s="36">
        <v>14991075</v>
      </c>
      <c r="P522" s="36">
        <v>171</v>
      </c>
      <c r="Q522" s="36">
        <v>0</v>
      </c>
      <c r="R522" s="36">
        <v>0</v>
      </c>
      <c r="S522" s="36">
        <v>0</v>
      </c>
      <c r="T522" s="36">
        <v>0</v>
      </c>
      <c r="U522" s="36">
        <v>974725</v>
      </c>
      <c r="V522" s="36">
        <v>8</v>
      </c>
      <c r="W522" s="36">
        <v>0</v>
      </c>
      <c r="X522" s="36">
        <v>0</v>
      </c>
      <c r="Y522" s="48">
        <v>2580000</v>
      </c>
      <c r="Z522" s="36">
        <v>60</v>
      </c>
      <c r="AA522" s="36">
        <v>0</v>
      </c>
      <c r="AB522" s="36">
        <v>0</v>
      </c>
      <c r="AC522" s="36">
        <v>18545800</v>
      </c>
      <c r="AD522" s="36">
        <v>239</v>
      </c>
      <c r="AF522" s="47">
        <f t="shared" si="8"/>
        <v>15965800</v>
      </c>
    </row>
    <row r="523" spans="1:32" x14ac:dyDescent="0.3">
      <c r="A523" s="46" t="s">
        <v>2</v>
      </c>
      <c r="B523" s="46" t="str">
        <f>IFERROR(VLOOKUP($H523,매장구분!$B:$Z,2,0),"")</f>
        <v>파트너채널팀</v>
      </c>
      <c r="C523" s="46" t="str">
        <f>IFERROR(VLOOKUP($H523,매장구분!$B:$Z,3,0),"")</f>
        <v>국내</v>
      </c>
      <c r="D523" s="46" t="str">
        <f>IFERROR(VLOOKUP($H523,매장구분!$B:$Z,5,0),"")</f>
        <v>백화점</v>
      </c>
      <c r="E523" s="46" t="str">
        <f>IFERROR(VLOOKUP($H523,매장구분!$B:$Z,9,0),"")</f>
        <v>롯데울산</v>
      </c>
      <c r="G523" s="36" t="s">
        <v>460</v>
      </c>
      <c r="H523" s="36" t="s">
        <v>461</v>
      </c>
      <c r="I523" s="36" t="s">
        <v>169</v>
      </c>
      <c r="J523" s="36" t="s">
        <v>175</v>
      </c>
      <c r="K523" s="36" t="s">
        <v>170</v>
      </c>
      <c r="L523" s="36" t="s">
        <v>171</v>
      </c>
      <c r="M523" s="36" t="s">
        <v>77</v>
      </c>
      <c r="N523" s="36" t="s">
        <v>172</v>
      </c>
      <c r="O523" s="36">
        <v>25709130</v>
      </c>
      <c r="P523" s="36">
        <v>271</v>
      </c>
      <c r="Q523" s="36">
        <v>588000</v>
      </c>
      <c r="R523" s="36">
        <v>2</v>
      </c>
      <c r="S523" s="36">
        <v>0</v>
      </c>
      <c r="T523" s="36">
        <v>0</v>
      </c>
      <c r="U523" s="36">
        <v>1877370</v>
      </c>
      <c r="V523" s="36">
        <v>10</v>
      </c>
      <c r="W523" s="36">
        <v>0</v>
      </c>
      <c r="X523" s="36">
        <v>0</v>
      </c>
      <c r="Y523" s="48">
        <v>0</v>
      </c>
      <c r="Z523" s="36">
        <v>0</v>
      </c>
      <c r="AA523" s="36">
        <v>0</v>
      </c>
      <c r="AB523" s="36">
        <v>0</v>
      </c>
      <c r="AC523" s="36">
        <v>28174500</v>
      </c>
      <c r="AD523" s="36">
        <v>283</v>
      </c>
      <c r="AF523" s="47">
        <f t="shared" si="8"/>
        <v>28174500</v>
      </c>
    </row>
    <row r="524" spans="1:32" x14ac:dyDescent="0.3">
      <c r="A524" s="46" t="s">
        <v>2</v>
      </c>
      <c r="B524" s="46" t="str">
        <f>IFERROR(VLOOKUP($H524,매장구분!$B:$Z,2,0),"")</f>
        <v>리테일채널팀</v>
      </c>
      <c r="C524" s="46" t="str">
        <f>IFERROR(VLOOKUP($H524,매장구분!$B:$Z,3,0),"")</f>
        <v>국내</v>
      </c>
      <c r="D524" s="46" t="str">
        <f>IFERROR(VLOOKUP($H524,매장구분!$B:$Z,5,0),"")</f>
        <v>직영점</v>
      </c>
      <c r="E524" s="46" t="str">
        <f>IFERROR(VLOOKUP($H524,매장구분!$B:$Z,9,0),"")</f>
        <v>강남사옥(직)</v>
      </c>
      <c r="G524" s="36" t="s">
        <v>482</v>
      </c>
      <c r="H524" s="36" t="s">
        <v>483</v>
      </c>
      <c r="I524" s="36" t="s">
        <v>169</v>
      </c>
      <c r="J524" s="36" t="s">
        <v>180</v>
      </c>
      <c r="K524" s="36" t="s">
        <v>170</v>
      </c>
      <c r="L524" s="36" t="s">
        <v>171</v>
      </c>
      <c r="M524" s="36" t="s">
        <v>196</v>
      </c>
      <c r="N524" s="36" t="s">
        <v>206</v>
      </c>
      <c r="O524" s="36">
        <v>22008800</v>
      </c>
      <c r="P524" s="36">
        <v>237</v>
      </c>
      <c r="Q524" s="36">
        <v>0</v>
      </c>
      <c r="R524" s="36">
        <v>0</v>
      </c>
      <c r="S524" s="36">
        <v>0</v>
      </c>
      <c r="T524" s="36">
        <v>0</v>
      </c>
      <c r="U524" s="36">
        <v>2386000</v>
      </c>
      <c r="V524" s="36">
        <v>18</v>
      </c>
      <c r="W524" s="36">
        <v>0</v>
      </c>
      <c r="X524" s="36">
        <v>0</v>
      </c>
      <c r="Y524" s="48">
        <v>0</v>
      </c>
      <c r="Z524" s="36">
        <v>0</v>
      </c>
      <c r="AA524" s="36">
        <v>0</v>
      </c>
      <c r="AB524" s="36">
        <v>0</v>
      </c>
      <c r="AC524" s="36">
        <v>24394800</v>
      </c>
      <c r="AD524" s="36">
        <v>255</v>
      </c>
      <c r="AF524" s="47">
        <f t="shared" si="8"/>
        <v>24394800</v>
      </c>
    </row>
    <row r="525" spans="1:32" x14ac:dyDescent="0.3">
      <c r="A525" s="46" t="s">
        <v>2</v>
      </c>
      <c r="B525" s="46" t="str">
        <f>IFERROR(VLOOKUP($H525,매장구분!$B:$Z,2,0),"")</f>
        <v>리테일채널팀</v>
      </c>
      <c r="C525" s="46" t="str">
        <f>IFERROR(VLOOKUP($H525,매장구분!$B:$Z,3,0),"")</f>
        <v>국내</v>
      </c>
      <c r="D525" s="46" t="str">
        <f>IFERROR(VLOOKUP($H525,매장구분!$B:$Z,5,0),"")</f>
        <v>대리점</v>
      </c>
      <c r="E525" s="46" t="str">
        <f>IFERROR(VLOOKUP($H525,매장구분!$B:$Z,9,0),"")</f>
        <v>구미(대-위)</v>
      </c>
      <c r="G525" s="36" t="s">
        <v>458</v>
      </c>
      <c r="H525" s="36" t="s">
        <v>459</v>
      </c>
      <c r="I525" s="36" t="s">
        <v>169</v>
      </c>
      <c r="J525" s="36" t="s">
        <v>79</v>
      </c>
      <c r="K525" s="36" t="s">
        <v>170</v>
      </c>
      <c r="L525" s="36" t="s">
        <v>171</v>
      </c>
      <c r="M525" s="36" t="s">
        <v>196</v>
      </c>
      <c r="N525" s="36" t="s">
        <v>197</v>
      </c>
      <c r="O525" s="36">
        <v>14067780</v>
      </c>
      <c r="P525" s="36">
        <v>150</v>
      </c>
      <c r="Q525" s="36">
        <v>0</v>
      </c>
      <c r="R525" s="36">
        <v>0</v>
      </c>
      <c r="S525" s="36">
        <v>0</v>
      </c>
      <c r="T525" s="36">
        <v>0</v>
      </c>
      <c r="U525" s="36">
        <v>2027120</v>
      </c>
      <c r="V525" s="36">
        <v>13</v>
      </c>
      <c r="W525" s="36">
        <v>0</v>
      </c>
      <c r="X525" s="36">
        <v>0</v>
      </c>
      <c r="Y525" s="48">
        <v>0</v>
      </c>
      <c r="Z525" s="36">
        <v>0</v>
      </c>
      <c r="AA525" s="36">
        <v>0</v>
      </c>
      <c r="AB525" s="36">
        <v>0</v>
      </c>
      <c r="AC525" s="36">
        <v>16094900</v>
      </c>
      <c r="AD525" s="36">
        <v>163</v>
      </c>
      <c r="AF525" s="47">
        <f t="shared" si="8"/>
        <v>16094900</v>
      </c>
    </row>
    <row r="526" spans="1:32" x14ac:dyDescent="0.3">
      <c r="A526" s="46" t="s">
        <v>2</v>
      </c>
      <c r="B526" s="46" t="str">
        <f>IFERROR(VLOOKUP($H526,매장구분!$B:$Z,2,0),"")</f>
        <v>리테일채널팀</v>
      </c>
      <c r="C526" s="46" t="str">
        <f>IFERROR(VLOOKUP($H526,매장구분!$B:$Z,3,0),"")</f>
        <v>국내</v>
      </c>
      <c r="D526" s="46" t="str">
        <f>IFERROR(VLOOKUP($H526,매장구분!$B:$Z,5,0),"")</f>
        <v>대리점</v>
      </c>
      <c r="E526" s="46" t="str">
        <f>IFERROR(VLOOKUP($H526,매장구분!$B:$Z,9,0),"")</f>
        <v>퍼스트빌리지(대-위)</v>
      </c>
      <c r="G526" s="36" t="s">
        <v>440</v>
      </c>
      <c r="H526" s="36" t="s">
        <v>441</v>
      </c>
      <c r="I526" s="36" t="s">
        <v>169</v>
      </c>
      <c r="J526" s="36" t="s">
        <v>79</v>
      </c>
      <c r="K526" s="36" t="s">
        <v>170</v>
      </c>
      <c r="L526" s="36" t="s">
        <v>171</v>
      </c>
      <c r="M526" s="36" t="s">
        <v>196</v>
      </c>
      <c r="N526" s="36" t="s">
        <v>197</v>
      </c>
      <c r="O526" s="36">
        <v>19837545</v>
      </c>
      <c r="P526" s="36">
        <v>183</v>
      </c>
      <c r="Q526" s="36">
        <v>0</v>
      </c>
      <c r="R526" s="36">
        <v>0</v>
      </c>
      <c r="S526" s="36">
        <v>0</v>
      </c>
      <c r="T526" s="36">
        <v>0</v>
      </c>
      <c r="U526" s="36">
        <v>1973555</v>
      </c>
      <c r="V526" s="36">
        <v>10</v>
      </c>
      <c r="W526" s="36">
        <v>0</v>
      </c>
      <c r="X526" s="36">
        <v>0</v>
      </c>
      <c r="Y526" s="48">
        <v>0</v>
      </c>
      <c r="Z526" s="36">
        <v>0</v>
      </c>
      <c r="AA526" s="36">
        <v>0</v>
      </c>
      <c r="AB526" s="36">
        <v>0</v>
      </c>
      <c r="AC526" s="36">
        <v>21811100</v>
      </c>
      <c r="AD526" s="36">
        <v>193</v>
      </c>
      <c r="AF526" s="47">
        <f t="shared" si="8"/>
        <v>21811100</v>
      </c>
    </row>
    <row r="527" spans="1:32" x14ac:dyDescent="0.3">
      <c r="A527" s="46" t="s">
        <v>2</v>
      </c>
      <c r="B527" s="46" t="str">
        <f>IFERROR(VLOOKUP($H527,매장구분!$B:$Z,2,0),"")</f>
        <v>파트너채널팀</v>
      </c>
      <c r="C527" s="46" t="str">
        <f>IFERROR(VLOOKUP($H527,매장구분!$B:$Z,3,0),"")</f>
        <v>국내</v>
      </c>
      <c r="D527" s="46" t="str">
        <f>IFERROR(VLOOKUP($H527,매장구분!$B:$Z,5,0),"")</f>
        <v>백화점</v>
      </c>
      <c r="E527" s="46" t="str">
        <f>IFERROR(VLOOKUP($H527,매장구분!$B:$Z,9,0),"")</f>
        <v>롯데전주</v>
      </c>
      <c r="G527" s="36" t="s">
        <v>446</v>
      </c>
      <c r="H527" s="36" t="s">
        <v>447</v>
      </c>
      <c r="I527" s="36" t="s">
        <v>169</v>
      </c>
      <c r="J527" s="36" t="s">
        <v>175</v>
      </c>
      <c r="K527" s="36" t="s">
        <v>170</v>
      </c>
      <c r="L527" s="36" t="s">
        <v>171</v>
      </c>
      <c r="M527" s="36" t="s">
        <v>77</v>
      </c>
      <c r="N527" s="36" t="s">
        <v>172</v>
      </c>
      <c r="O527" s="36">
        <v>13912830</v>
      </c>
      <c r="P527" s="36">
        <v>162</v>
      </c>
      <c r="Q527" s="36">
        <v>442000</v>
      </c>
      <c r="R527" s="36">
        <v>5</v>
      </c>
      <c r="S527" s="36">
        <v>0</v>
      </c>
      <c r="T527" s="36">
        <v>0</v>
      </c>
      <c r="U527" s="36">
        <v>2233370</v>
      </c>
      <c r="V527" s="36">
        <v>14</v>
      </c>
      <c r="W527" s="36">
        <v>0</v>
      </c>
      <c r="X527" s="36">
        <v>0</v>
      </c>
      <c r="Y527" s="48">
        <v>0</v>
      </c>
      <c r="Z527" s="36">
        <v>0</v>
      </c>
      <c r="AA527" s="36">
        <v>0</v>
      </c>
      <c r="AB527" s="36">
        <v>0</v>
      </c>
      <c r="AC527" s="36">
        <v>16588200</v>
      </c>
      <c r="AD527" s="36">
        <v>181</v>
      </c>
      <c r="AF527" s="47">
        <f t="shared" si="8"/>
        <v>16588200</v>
      </c>
    </row>
    <row r="528" spans="1:32" x14ac:dyDescent="0.3">
      <c r="A528" s="46" t="s">
        <v>2</v>
      </c>
      <c r="B528" s="46" t="str">
        <f>IFERROR(VLOOKUP($H528,매장구분!$B:$Z,2,0),"")</f>
        <v>파트너채널팀</v>
      </c>
      <c r="C528" s="46" t="str">
        <f>IFERROR(VLOOKUP($H528,매장구분!$B:$Z,3,0),"")</f>
        <v>면세</v>
      </c>
      <c r="D528" s="46" t="str">
        <f>IFERROR(VLOOKUP($H528,매장구분!$B:$Z,5,0),"")</f>
        <v>면세</v>
      </c>
      <c r="E528" s="46" t="str">
        <f>IFERROR(VLOOKUP($H528,매장구분!$B:$Z,9,0),"")</f>
        <v>현대면세무역</v>
      </c>
      <c r="G528" s="36" t="s">
        <v>466</v>
      </c>
      <c r="H528" s="36" t="s">
        <v>467</v>
      </c>
      <c r="I528" s="36" t="s">
        <v>169</v>
      </c>
      <c r="J528" s="36" t="s">
        <v>175</v>
      </c>
      <c r="K528" s="36" t="s">
        <v>170</v>
      </c>
      <c r="L528" s="36" t="s">
        <v>171</v>
      </c>
      <c r="M528" s="36" t="s">
        <v>176</v>
      </c>
      <c r="N528" s="36" t="s">
        <v>177</v>
      </c>
      <c r="O528" s="36">
        <v>51845700</v>
      </c>
      <c r="P528" s="36">
        <v>618</v>
      </c>
      <c r="Q528" s="36">
        <v>0</v>
      </c>
      <c r="R528" s="36">
        <v>0</v>
      </c>
      <c r="S528" s="36">
        <v>0</v>
      </c>
      <c r="T528" s="36">
        <v>0</v>
      </c>
      <c r="U528" s="36">
        <v>0</v>
      </c>
      <c r="V528" s="36">
        <v>0</v>
      </c>
      <c r="W528" s="36">
        <v>0</v>
      </c>
      <c r="X528" s="36">
        <v>0</v>
      </c>
      <c r="Y528" s="48">
        <v>274038000</v>
      </c>
      <c r="Z528" s="36">
        <v>7136</v>
      </c>
      <c r="AA528" s="36">
        <v>0</v>
      </c>
      <c r="AB528" s="36">
        <v>0</v>
      </c>
      <c r="AC528" s="36">
        <v>325883700</v>
      </c>
      <c r="AD528" s="36">
        <v>7754</v>
      </c>
      <c r="AF528" s="47">
        <f t="shared" si="8"/>
        <v>51845700</v>
      </c>
    </row>
    <row r="529" spans="1:32" x14ac:dyDescent="0.3">
      <c r="A529" s="46" t="s">
        <v>2</v>
      </c>
      <c r="B529" s="46" t="str">
        <f>IFERROR(VLOOKUP($H529,매장구분!$B:$Z,2,0),"")</f>
        <v>리테일채널팀</v>
      </c>
      <c r="C529" s="46" t="str">
        <f>IFERROR(VLOOKUP($H529,매장구분!$B:$Z,3,0),"")</f>
        <v>국내</v>
      </c>
      <c r="D529" s="46" t="str">
        <f>IFERROR(VLOOKUP($H529,매장구분!$B:$Z,5,0),"")</f>
        <v>직영점</v>
      </c>
      <c r="E529" s="46" t="str">
        <f>IFERROR(VLOOKUP($H529,매장구분!$B:$Z,9,0),"")</f>
        <v>스타필드수원(직)</v>
      </c>
      <c r="G529" s="36" t="s">
        <v>468</v>
      </c>
      <c r="H529" s="36" t="s">
        <v>469</v>
      </c>
      <c r="I529" s="36" t="s">
        <v>169</v>
      </c>
      <c r="J529" s="36" t="s">
        <v>180</v>
      </c>
      <c r="K529" s="36" t="s">
        <v>170</v>
      </c>
      <c r="L529" s="36" t="s">
        <v>171</v>
      </c>
      <c r="M529" s="36" t="s">
        <v>188</v>
      </c>
      <c r="N529" s="36" t="s">
        <v>189</v>
      </c>
      <c r="O529" s="36">
        <v>17896410</v>
      </c>
      <c r="P529" s="36">
        <v>243</v>
      </c>
      <c r="Q529" s="36">
        <v>0</v>
      </c>
      <c r="R529" s="36">
        <v>0</v>
      </c>
      <c r="S529" s="36">
        <v>0</v>
      </c>
      <c r="T529" s="36">
        <v>0</v>
      </c>
      <c r="U529" s="36">
        <v>1019390</v>
      </c>
      <c r="V529" s="36">
        <v>6</v>
      </c>
      <c r="W529" s="36">
        <v>0</v>
      </c>
      <c r="X529" s="36">
        <v>0</v>
      </c>
      <c r="Y529" s="48">
        <v>0</v>
      </c>
      <c r="Z529" s="36">
        <v>0</v>
      </c>
      <c r="AA529" s="36">
        <v>0</v>
      </c>
      <c r="AB529" s="36">
        <v>0</v>
      </c>
      <c r="AC529" s="36">
        <v>18915800</v>
      </c>
      <c r="AD529" s="36">
        <v>249</v>
      </c>
      <c r="AF529" s="47">
        <f t="shared" si="8"/>
        <v>18915800</v>
      </c>
    </row>
    <row r="530" spans="1:32" x14ac:dyDescent="0.3">
      <c r="A530" s="46" t="s">
        <v>2</v>
      </c>
      <c r="B530" s="46" t="str">
        <f>IFERROR(VLOOKUP($H530,매장구분!$B:$Z,2,0),"")</f>
        <v>파트너채널팀</v>
      </c>
      <c r="C530" s="46" t="str">
        <f>IFERROR(VLOOKUP($H530,매장구분!$B:$Z,3,0),"")</f>
        <v>국내</v>
      </c>
      <c r="D530" s="46" t="str">
        <f>IFERROR(VLOOKUP($H530,매장구분!$B:$Z,5,0),"")</f>
        <v>백화점</v>
      </c>
      <c r="E530" s="46" t="str">
        <f>IFERROR(VLOOKUP($H530,매장구분!$B:$Z,9,0),"")</f>
        <v>현대울산동구</v>
      </c>
      <c r="G530" s="36" t="s">
        <v>480</v>
      </c>
      <c r="H530" s="36" t="s">
        <v>481</v>
      </c>
      <c r="I530" s="36" t="s">
        <v>169</v>
      </c>
      <c r="J530" s="36" t="s">
        <v>175</v>
      </c>
      <c r="K530" s="36" t="s">
        <v>170</v>
      </c>
      <c r="L530" s="36" t="s">
        <v>171</v>
      </c>
      <c r="M530" s="36" t="s">
        <v>77</v>
      </c>
      <c r="N530" s="36" t="s">
        <v>172</v>
      </c>
      <c r="O530" s="36">
        <v>7106600</v>
      </c>
      <c r="P530" s="36">
        <v>72</v>
      </c>
      <c r="Q530" s="36">
        <v>388400</v>
      </c>
      <c r="R530" s="36">
        <v>3</v>
      </c>
      <c r="S530" s="36">
        <v>0</v>
      </c>
      <c r="T530" s="36">
        <v>0</v>
      </c>
      <c r="U530" s="36">
        <v>278000</v>
      </c>
      <c r="V530" s="36">
        <v>2</v>
      </c>
      <c r="W530" s="36">
        <v>0</v>
      </c>
      <c r="X530" s="36">
        <v>0</v>
      </c>
      <c r="Y530" s="48">
        <v>0</v>
      </c>
      <c r="Z530" s="36">
        <v>0</v>
      </c>
      <c r="AA530" s="36">
        <v>0</v>
      </c>
      <c r="AB530" s="36">
        <v>0</v>
      </c>
      <c r="AC530" s="36">
        <v>7773000</v>
      </c>
      <c r="AD530" s="36">
        <v>77</v>
      </c>
      <c r="AF530" s="47">
        <f t="shared" si="8"/>
        <v>7773000</v>
      </c>
    </row>
    <row r="531" spans="1:32" x14ac:dyDescent="0.3">
      <c r="A531" s="46" t="s">
        <v>2</v>
      </c>
      <c r="B531" s="46" t="str">
        <f>IFERROR(VLOOKUP($H531,매장구분!$B:$Z,2,0),"")</f>
        <v>리테일채널팀</v>
      </c>
      <c r="C531" s="46" t="str">
        <f>IFERROR(VLOOKUP($H531,매장구분!$B:$Z,3,0),"")</f>
        <v>국내</v>
      </c>
      <c r="D531" s="46" t="str">
        <f>IFERROR(VLOOKUP($H531,매장구분!$B:$Z,5,0),"")</f>
        <v>대리점</v>
      </c>
      <c r="E531" s="46" t="str">
        <f>IFERROR(VLOOKUP($H531,매장구분!$B:$Z,9,0),"")</f>
        <v>당진(대-위)</v>
      </c>
      <c r="G531" s="36" t="s">
        <v>462</v>
      </c>
      <c r="H531" s="36" t="s">
        <v>463</v>
      </c>
      <c r="I531" s="36" t="s">
        <v>169</v>
      </c>
      <c r="J531" s="36" t="s">
        <v>79</v>
      </c>
      <c r="K531" s="36" t="s">
        <v>170</v>
      </c>
      <c r="L531" s="36" t="s">
        <v>171</v>
      </c>
      <c r="M531" s="36" t="s">
        <v>196</v>
      </c>
      <c r="N531" s="36" t="s">
        <v>197</v>
      </c>
      <c r="O531" s="36">
        <v>13717959</v>
      </c>
      <c r="P531" s="36">
        <v>130</v>
      </c>
      <c r="Q531" s="36">
        <v>0</v>
      </c>
      <c r="R531" s="36">
        <v>0</v>
      </c>
      <c r="S531" s="36">
        <v>0</v>
      </c>
      <c r="T531" s="36">
        <v>0</v>
      </c>
      <c r="U531" s="36">
        <v>653381</v>
      </c>
      <c r="V531" s="36">
        <v>6</v>
      </c>
      <c r="W531" s="36">
        <v>0</v>
      </c>
      <c r="X531" s="36">
        <v>0</v>
      </c>
      <c r="Y531" s="48">
        <v>10580000</v>
      </c>
      <c r="Z531" s="36">
        <v>20</v>
      </c>
      <c r="AA531" s="36">
        <v>0</v>
      </c>
      <c r="AB531" s="36">
        <v>0</v>
      </c>
      <c r="AC531" s="36">
        <v>24951340</v>
      </c>
      <c r="AD531" s="36">
        <v>156</v>
      </c>
      <c r="AF531" s="47">
        <f t="shared" si="8"/>
        <v>14371340</v>
      </c>
    </row>
    <row r="532" spans="1:32" x14ac:dyDescent="0.3">
      <c r="A532" s="46" t="s">
        <v>2</v>
      </c>
      <c r="B532" s="46" t="str">
        <f>IFERROR(VLOOKUP($H532,매장구분!$B:$Z,2,0),"")</f>
        <v>파트너채널팀</v>
      </c>
      <c r="C532" s="46" t="str">
        <f>IFERROR(VLOOKUP($H532,매장구분!$B:$Z,3,0),"")</f>
        <v>국내</v>
      </c>
      <c r="D532" s="46" t="str">
        <f>IFERROR(VLOOKUP($H532,매장구분!$B:$Z,5,0),"")</f>
        <v>백화점</v>
      </c>
      <c r="E532" s="46" t="str">
        <f>IFERROR(VLOOKUP($H532,매장구분!$B:$Z,9,0),"")</f>
        <v>롯데대전</v>
      </c>
      <c r="G532" s="36" t="s">
        <v>476</v>
      </c>
      <c r="H532" s="36" t="s">
        <v>477</v>
      </c>
      <c r="I532" s="36" t="s">
        <v>169</v>
      </c>
      <c r="J532" s="36" t="s">
        <v>175</v>
      </c>
      <c r="K532" s="36" t="s">
        <v>170</v>
      </c>
      <c r="L532" s="36" t="s">
        <v>171</v>
      </c>
      <c r="M532" s="36" t="s">
        <v>77</v>
      </c>
      <c r="N532" s="36" t="s">
        <v>172</v>
      </c>
      <c r="O532" s="36">
        <v>25105900</v>
      </c>
      <c r="P532" s="36">
        <v>110</v>
      </c>
      <c r="Q532" s="36">
        <v>0</v>
      </c>
      <c r="R532" s="36">
        <v>0</v>
      </c>
      <c r="S532" s="36">
        <v>0</v>
      </c>
      <c r="T532" s="36">
        <v>0</v>
      </c>
      <c r="U532" s="36">
        <v>268000</v>
      </c>
      <c r="V532" s="36">
        <v>2</v>
      </c>
      <c r="W532" s="36">
        <v>0</v>
      </c>
      <c r="X532" s="36">
        <v>0</v>
      </c>
      <c r="Y532" s="48">
        <v>0</v>
      </c>
      <c r="Z532" s="36">
        <v>0</v>
      </c>
      <c r="AA532" s="36">
        <v>0</v>
      </c>
      <c r="AB532" s="36">
        <v>0</v>
      </c>
      <c r="AC532" s="36">
        <v>25373900</v>
      </c>
      <c r="AD532" s="36">
        <v>112</v>
      </c>
      <c r="AF532" s="47">
        <f t="shared" si="8"/>
        <v>25373900</v>
      </c>
    </row>
    <row r="533" spans="1:32" x14ac:dyDescent="0.3">
      <c r="A533" s="46" t="s">
        <v>2</v>
      </c>
      <c r="B533" s="46" t="str">
        <f>IFERROR(VLOOKUP($H533,매장구분!$B:$Z,2,0),"")</f>
        <v>리테일채널팀</v>
      </c>
      <c r="C533" s="46" t="str">
        <f>IFERROR(VLOOKUP($H533,매장구분!$B:$Z,3,0),"")</f>
        <v>국내</v>
      </c>
      <c r="D533" s="46" t="str">
        <f>IFERROR(VLOOKUP($H533,매장구분!$B:$Z,5,0),"")</f>
        <v>대리점</v>
      </c>
      <c r="E533" s="46" t="str">
        <f>IFERROR(VLOOKUP($H533,매장구분!$B:$Z,9,0),"")</f>
        <v>제주(대-위)</v>
      </c>
      <c r="G533" s="36" t="s">
        <v>474</v>
      </c>
      <c r="H533" s="36" t="s">
        <v>475</v>
      </c>
      <c r="I533" s="36" t="s">
        <v>169</v>
      </c>
      <c r="J533" s="36" t="s">
        <v>79</v>
      </c>
      <c r="K533" s="36" t="s">
        <v>170</v>
      </c>
      <c r="L533" s="36" t="s">
        <v>171</v>
      </c>
      <c r="M533" s="36" t="s">
        <v>196</v>
      </c>
      <c r="N533" s="36" t="s">
        <v>197</v>
      </c>
      <c r="O533" s="36">
        <v>16741417</v>
      </c>
      <c r="P533" s="36">
        <v>177</v>
      </c>
      <c r="Q533" s="36">
        <v>0</v>
      </c>
      <c r="R533" s="36">
        <v>0</v>
      </c>
      <c r="S533" s="36">
        <v>0</v>
      </c>
      <c r="T533" s="36">
        <v>0</v>
      </c>
      <c r="U533" s="36">
        <v>496083</v>
      </c>
      <c r="V533" s="36">
        <v>3</v>
      </c>
      <c r="W533" s="36">
        <v>0</v>
      </c>
      <c r="X533" s="36">
        <v>0</v>
      </c>
      <c r="Y533" s="48">
        <v>0</v>
      </c>
      <c r="Z533" s="36">
        <v>0</v>
      </c>
      <c r="AA533" s="36">
        <v>0</v>
      </c>
      <c r="AB533" s="36">
        <v>0</v>
      </c>
      <c r="AC533" s="36">
        <v>17237500</v>
      </c>
      <c r="AD533" s="36">
        <v>180</v>
      </c>
      <c r="AF533" s="47">
        <f t="shared" si="8"/>
        <v>17237500</v>
      </c>
    </row>
    <row r="534" spans="1:32" x14ac:dyDescent="0.3">
      <c r="A534" s="46" t="s">
        <v>2</v>
      </c>
      <c r="B534" s="46" t="str">
        <f>IFERROR(VLOOKUP($H534,매장구분!$B:$Z,2,0),"")</f>
        <v>파트너채널팀</v>
      </c>
      <c r="C534" s="46" t="str">
        <f>IFERROR(VLOOKUP($H534,매장구분!$B:$Z,3,0),"")</f>
        <v>국내</v>
      </c>
      <c r="D534" s="46" t="str">
        <f>IFERROR(VLOOKUP($H534,매장구분!$B:$Z,5,0),"")</f>
        <v>백화점</v>
      </c>
      <c r="E534" s="46" t="str">
        <f>IFERROR(VLOOKUP($H534,매장구분!$B:$Z,9,0),"")</f>
        <v>롯데노원</v>
      </c>
      <c r="G534" s="36" t="s">
        <v>472</v>
      </c>
      <c r="H534" s="36" t="s">
        <v>473</v>
      </c>
      <c r="I534" s="36" t="s">
        <v>169</v>
      </c>
      <c r="J534" s="36" t="s">
        <v>175</v>
      </c>
      <c r="K534" s="36" t="s">
        <v>170</v>
      </c>
      <c r="L534" s="36" t="s">
        <v>171</v>
      </c>
      <c r="M534" s="36" t="s">
        <v>77</v>
      </c>
      <c r="N534" s="36" t="s">
        <v>172</v>
      </c>
      <c r="O534" s="36">
        <v>14148670</v>
      </c>
      <c r="P534" s="36">
        <v>163</v>
      </c>
      <c r="Q534" s="36">
        <v>0</v>
      </c>
      <c r="R534" s="36">
        <v>0</v>
      </c>
      <c r="S534" s="36">
        <v>0</v>
      </c>
      <c r="T534" s="36">
        <v>0</v>
      </c>
      <c r="U534" s="36">
        <v>1940450</v>
      </c>
      <c r="V534" s="36">
        <v>16</v>
      </c>
      <c r="W534" s="36">
        <v>0</v>
      </c>
      <c r="X534" s="36">
        <v>0</v>
      </c>
      <c r="Y534" s="48">
        <v>55045380</v>
      </c>
      <c r="Z534" s="36">
        <v>562</v>
      </c>
      <c r="AA534" s="36">
        <v>0</v>
      </c>
      <c r="AB534" s="36">
        <v>0</v>
      </c>
      <c r="AC534" s="36">
        <v>71134500</v>
      </c>
      <c r="AD534" s="36">
        <v>741</v>
      </c>
      <c r="AF534" s="47">
        <f t="shared" si="8"/>
        <v>16089120</v>
      </c>
    </row>
    <row r="535" spans="1:32" x14ac:dyDescent="0.3">
      <c r="A535" s="46" t="s">
        <v>2</v>
      </c>
      <c r="B535" s="46" t="str">
        <f>IFERROR(VLOOKUP($H535,매장구분!$B:$Z,2,0),"")</f>
        <v>리테일채널팀</v>
      </c>
      <c r="C535" s="46" t="str">
        <f>IFERROR(VLOOKUP($H535,매장구분!$B:$Z,3,0),"")</f>
        <v>국내</v>
      </c>
      <c r="D535" s="46" t="str">
        <f>IFERROR(VLOOKUP($H535,매장구분!$B:$Z,5,0),"")</f>
        <v>상설(위탁)</v>
      </c>
      <c r="E535" s="46" t="str">
        <f>IFERROR(VLOOKUP($H535,매장구분!$B:$Z,9,0),"")</f>
        <v>롯데아울렛청주(상-위)</v>
      </c>
      <c r="G535" s="36" t="s">
        <v>478</v>
      </c>
      <c r="H535" s="36" t="s">
        <v>479</v>
      </c>
      <c r="I535" s="36" t="s">
        <v>169</v>
      </c>
      <c r="J535" s="36" t="s">
        <v>79</v>
      </c>
      <c r="K535" s="36" t="s">
        <v>170</v>
      </c>
      <c r="L535" s="36" t="s">
        <v>171</v>
      </c>
      <c r="M535" s="36" t="s">
        <v>219</v>
      </c>
      <c r="N535" s="36" t="s">
        <v>219</v>
      </c>
      <c r="O535" s="36">
        <v>255000</v>
      </c>
      <c r="P535" s="36">
        <v>7</v>
      </c>
      <c r="Q535" s="36">
        <v>0</v>
      </c>
      <c r="R535" s="36">
        <v>0</v>
      </c>
      <c r="S535" s="36">
        <v>0</v>
      </c>
      <c r="T535" s="36">
        <v>0</v>
      </c>
      <c r="U535" s="36">
        <v>0</v>
      </c>
      <c r="V535" s="36">
        <v>0</v>
      </c>
      <c r="W535" s="36">
        <v>0</v>
      </c>
      <c r="X535" s="36">
        <v>0</v>
      </c>
      <c r="Y535" s="48">
        <v>0</v>
      </c>
      <c r="Z535" s="36">
        <v>0</v>
      </c>
      <c r="AA535" s="36">
        <v>0</v>
      </c>
      <c r="AB535" s="36">
        <v>0</v>
      </c>
      <c r="AC535" s="36">
        <v>255000</v>
      </c>
      <c r="AD535" s="36">
        <v>7</v>
      </c>
      <c r="AF535" s="47">
        <f t="shared" si="8"/>
        <v>255000</v>
      </c>
    </row>
    <row r="536" spans="1:32" x14ac:dyDescent="0.3">
      <c r="A536" s="46" t="s">
        <v>2</v>
      </c>
      <c r="B536" s="46" t="str">
        <f>IFERROR(VLOOKUP($H536,매장구분!$B:$Z,2,0),"")</f>
        <v>E-biz</v>
      </c>
      <c r="C536" s="46" t="str">
        <f>IFERROR(VLOOKUP($H536,매장구분!$B:$Z,3,0),"")</f>
        <v>국내</v>
      </c>
      <c r="D536" s="46" t="str">
        <f>IFERROR(VLOOKUP($H536,매장구분!$B:$Z,5,0),"")</f>
        <v>온(제휴몰)</v>
      </c>
      <c r="E536" s="46" t="str">
        <f>IFERROR(VLOOKUP($H536,매장구분!$B:$Z,9,0),"")</f>
        <v>29CM(제휴몰)</v>
      </c>
      <c r="G536" s="36" t="s">
        <v>518</v>
      </c>
      <c r="H536" s="36" t="s">
        <v>519</v>
      </c>
      <c r="I536" s="36" t="s">
        <v>169</v>
      </c>
      <c r="J536" s="36" t="s">
        <v>180</v>
      </c>
      <c r="K536" s="36" t="s">
        <v>170</v>
      </c>
      <c r="L536" s="36" t="s">
        <v>181</v>
      </c>
      <c r="M536" s="36" t="s">
        <v>181</v>
      </c>
      <c r="N536" s="36" t="s">
        <v>185</v>
      </c>
      <c r="O536" s="36">
        <v>44826400</v>
      </c>
      <c r="P536" s="36">
        <v>693</v>
      </c>
      <c r="Q536" s="36">
        <v>0</v>
      </c>
      <c r="R536" s="36">
        <v>0</v>
      </c>
      <c r="S536" s="36">
        <v>0</v>
      </c>
      <c r="T536" s="36">
        <v>0</v>
      </c>
      <c r="U536" s="36">
        <v>0</v>
      </c>
      <c r="V536" s="36">
        <v>0</v>
      </c>
      <c r="W536" s="36">
        <v>0</v>
      </c>
      <c r="X536" s="36">
        <v>0</v>
      </c>
      <c r="Y536" s="48">
        <v>0</v>
      </c>
      <c r="Z536" s="36">
        <v>0</v>
      </c>
      <c r="AA536" s="36">
        <v>0</v>
      </c>
      <c r="AB536" s="36">
        <v>0</v>
      </c>
      <c r="AC536" s="36">
        <v>44826400</v>
      </c>
      <c r="AD536" s="36">
        <v>693</v>
      </c>
      <c r="AF536" s="47">
        <f t="shared" si="8"/>
        <v>44826400</v>
      </c>
    </row>
    <row r="537" spans="1:32" x14ac:dyDescent="0.3">
      <c r="A537" s="46" t="s">
        <v>2</v>
      </c>
      <c r="B537" s="46" t="str">
        <f>IFERROR(VLOOKUP($H537,매장구분!$B:$Z,2,0),"")</f>
        <v>리테일채널팀</v>
      </c>
      <c r="C537" s="46" t="str">
        <f>IFERROR(VLOOKUP($H537,매장구분!$B:$Z,3,0),"")</f>
        <v>RF</v>
      </c>
      <c r="D537" s="46" t="str">
        <f>IFERROR(VLOOKUP($H537,매장구분!$B:$Z,5,0),"")</f>
        <v>대리점</v>
      </c>
      <c r="E537" s="46" t="str">
        <f>IFERROR(VLOOKUP($H537,매장구분!$B:$Z,9,0),"")</f>
        <v>두타(대-위)</v>
      </c>
      <c r="G537" s="36" t="s">
        <v>484</v>
      </c>
      <c r="H537" s="36" t="s">
        <v>485</v>
      </c>
      <c r="I537" s="36" t="s">
        <v>169</v>
      </c>
      <c r="J537" s="36" t="s">
        <v>79</v>
      </c>
      <c r="K537" s="36" t="s">
        <v>170</v>
      </c>
      <c r="L537" s="36" t="s">
        <v>171</v>
      </c>
      <c r="M537" s="36" t="s">
        <v>196</v>
      </c>
      <c r="N537" s="36" t="s">
        <v>197</v>
      </c>
      <c r="O537" s="36">
        <v>12940800</v>
      </c>
      <c r="P537" s="36">
        <v>157</v>
      </c>
      <c r="Q537" s="36">
        <v>0</v>
      </c>
      <c r="R537" s="36">
        <v>0</v>
      </c>
      <c r="S537" s="36">
        <v>0</v>
      </c>
      <c r="T537" s="36">
        <v>0</v>
      </c>
      <c r="U537" s="36">
        <v>307000</v>
      </c>
      <c r="V537" s="36">
        <v>3</v>
      </c>
      <c r="W537" s="36">
        <v>0</v>
      </c>
      <c r="X537" s="36">
        <v>0</v>
      </c>
      <c r="Y537" s="48">
        <v>0</v>
      </c>
      <c r="Z537" s="36">
        <v>0</v>
      </c>
      <c r="AA537" s="36">
        <v>0</v>
      </c>
      <c r="AB537" s="36">
        <v>0</v>
      </c>
      <c r="AC537" s="36">
        <v>13247800</v>
      </c>
      <c r="AD537" s="36">
        <v>160</v>
      </c>
      <c r="AF537" s="47">
        <f t="shared" si="8"/>
        <v>13247800</v>
      </c>
    </row>
    <row r="538" spans="1:32" x14ac:dyDescent="0.3">
      <c r="A538" s="46" t="s">
        <v>2</v>
      </c>
      <c r="B538" s="46" t="str">
        <f>IFERROR(VLOOKUP($H538,매장구분!$B:$Z,2,0),"")</f>
        <v>리테일채널팀</v>
      </c>
      <c r="C538" s="46" t="str">
        <f>IFERROR(VLOOKUP($H538,매장구분!$B:$Z,3,0),"")</f>
        <v>국내</v>
      </c>
      <c r="D538" s="46" t="str">
        <f>IFERROR(VLOOKUP($H538,매장구분!$B:$Z,5,0),"")</f>
        <v>대리점</v>
      </c>
      <c r="E538" s="46" t="str">
        <f>IFERROR(VLOOKUP($H538,매장구분!$B:$Z,9,0),"")</f>
        <v>통영(대-위)</v>
      </c>
      <c r="G538" s="36" t="s">
        <v>506</v>
      </c>
      <c r="H538" s="36" t="s">
        <v>507</v>
      </c>
      <c r="I538" s="36" t="s">
        <v>169</v>
      </c>
      <c r="J538" s="36" t="s">
        <v>79</v>
      </c>
      <c r="K538" s="36" t="s">
        <v>170</v>
      </c>
      <c r="L538" s="36" t="s">
        <v>171</v>
      </c>
      <c r="M538" s="36" t="s">
        <v>196</v>
      </c>
      <c r="N538" s="36" t="s">
        <v>197</v>
      </c>
      <c r="O538" s="36">
        <v>6191938</v>
      </c>
      <c r="P538" s="36">
        <v>49</v>
      </c>
      <c r="Q538" s="36">
        <v>0</v>
      </c>
      <c r="R538" s="36">
        <v>0</v>
      </c>
      <c r="S538" s="36">
        <v>0</v>
      </c>
      <c r="T538" s="36">
        <v>0</v>
      </c>
      <c r="U538" s="36">
        <v>793962</v>
      </c>
      <c r="V538" s="36">
        <v>7</v>
      </c>
      <c r="W538" s="36">
        <v>0</v>
      </c>
      <c r="X538" s="36">
        <v>0</v>
      </c>
      <c r="Y538" s="48">
        <v>0</v>
      </c>
      <c r="Z538" s="36">
        <v>0</v>
      </c>
      <c r="AA538" s="36">
        <v>0</v>
      </c>
      <c r="AB538" s="36">
        <v>0</v>
      </c>
      <c r="AC538" s="36">
        <v>6985900</v>
      </c>
      <c r="AD538" s="36">
        <v>56</v>
      </c>
      <c r="AF538" s="47">
        <f t="shared" si="8"/>
        <v>6985900</v>
      </c>
    </row>
    <row r="539" spans="1:32" x14ac:dyDescent="0.3">
      <c r="A539" s="46" t="s">
        <v>2</v>
      </c>
      <c r="B539" s="46" t="str">
        <f>IFERROR(VLOOKUP($H539,매장구분!$B:$Z,2,0),"")</f>
        <v>리테일채널팀</v>
      </c>
      <c r="C539" s="46" t="str">
        <f>IFERROR(VLOOKUP($H539,매장구분!$B:$Z,3,0),"")</f>
        <v>국내</v>
      </c>
      <c r="D539" s="46" t="str">
        <f>IFERROR(VLOOKUP($H539,매장구분!$B:$Z,5,0),"")</f>
        <v>대리점</v>
      </c>
      <c r="E539" s="46" t="str">
        <f>IFERROR(VLOOKUP($H539,매장구분!$B:$Z,9,0),"")</f>
        <v>여천(대-위)</v>
      </c>
      <c r="G539" s="36" t="s">
        <v>500</v>
      </c>
      <c r="H539" s="36" t="s">
        <v>501</v>
      </c>
      <c r="I539" s="36" t="s">
        <v>169</v>
      </c>
      <c r="J539" s="36" t="s">
        <v>79</v>
      </c>
      <c r="K539" s="36" t="s">
        <v>170</v>
      </c>
      <c r="L539" s="36" t="s">
        <v>171</v>
      </c>
      <c r="M539" s="36" t="s">
        <v>196</v>
      </c>
      <c r="N539" s="36" t="s">
        <v>197</v>
      </c>
      <c r="O539" s="36">
        <v>6349110</v>
      </c>
      <c r="P539" s="36">
        <v>81</v>
      </c>
      <c r="Q539" s="36">
        <v>0</v>
      </c>
      <c r="R539" s="36">
        <v>0</v>
      </c>
      <c r="S539" s="36">
        <v>0</v>
      </c>
      <c r="T539" s="36">
        <v>0</v>
      </c>
      <c r="U539" s="36">
        <v>1253076</v>
      </c>
      <c r="V539" s="36">
        <v>7</v>
      </c>
      <c r="W539" s="36">
        <v>0</v>
      </c>
      <c r="X539" s="36">
        <v>0</v>
      </c>
      <c r="Y539" s="48">
        <v>0</v>
      </c>
      <c r="Z539" s="36">
        <v>0</v>
      </c>
      <c r="AA539" s="36">
        <v>0</v>
      </c>
      <c r="AB539" s="36">
        <v>0</v>
      </c>
      <c r="AC539" s="36">
        <v>7602186</v>
      </c>
      <c r="AD539" s="36">
        <v>88</v>
      </c>
      <c r="AF539" s="47">
        <f t="shared" si="8"/>
        <v>7602186</v>
      </c>
    </row>
    <row r="540" spans="1:32" x14ac:dyDescent="0.3">
      <c r="A540" s="46" t="s">
        <v>2</v>
      </c>
      <c r="B540" s="46" t="str">
        <f>IFERROR(VLOOKUP($H540,매장구분!$B:$Z,2,0),"")</f>
        <v>리테일채널팀</v>
      </c>
      <c r="C540" s="46" t="str">
        <f>IFERROR(VLOOKUP($H540,매장구분!$B:$Z,3,0),"")</f>
        <v>국내</v>
      </c>
      <c r="D540" s="46" t="str">
        <f>IFERROR(VLOOKUP($H540,매장구분!$B:$Z,5,0),"")</f>
        <v>대리점</v>
      </c>
      <c r="E540" s="46" t="str">
        <f>IFERROR(VLOOKUP($H540,매장구분!$B:$Z,9,0),"")</f>
        <v>대구성서(대-위)</v>
      </c>
      <c r="G540" s="36" t="s">
        <v>492</v>
      </c>
      <c r="H540" s="36" t="s">
        <v>493</v>
      </c>
      <c r="I540" s="36" t="s">
        <v>169</v>
      </c>
      <c r="J540" s="36" t="s">
        <v>79</v>
      </c>
      <c r="K540" s="36" t="s">
        <v>170</v>
      </c>
      <c r="L540" s="36" t="s">
        <v>171</v>
      </c>
      <c r="M540" s="36" t="s">
        <v>196</v>
      </c>
      <c r="N540" s="36" t="s">
        <v>197</v>
      </c>
      <c r="O540" s="36">
        <v>17607914</v>
      </c>
      <c r="P540" s="36">
        <v>162</v>
      </c>
      <c r="Q540" s="36">
        <v>0</v>
      </c>
      <c r="R540" s="36">
        <v>0</v>
      </c>
      <c r="S540" s="36">
        <v>0</v>
      </c>
      <c r="T540" s="36">
        <v>0</v>
      </c>
      <c r="U540" s="36">
        <v>2851301</v>
      </c>
      <c r="V540" s="36">
        <v>8</v>
      </c>
      <c r="W540" s="36">
        <v>0</v>
      </c>
      <c r="X540" s="36">
        <v>0</v>
      </c>
      <c r="Y540" s="48">
        <v>0</v>
      </c>
      <c r="Z540" s="36">
        <v>0</v>
      </c>
      <c r="AA540" s="36">
        <v>0</v>
      </c>
      <c r="AB540" s="36">
        <v>0</v>
      </c>
      <c r="AC540" s="36">
        <v>20459215</v>
      </c>
      <c r="AD540" s="36">
        <v>170</v>
      </c>
      <c r="AF540" s="47">
        <f t="shared" si="8"/>
        <v>20459215</v>
      </c>
    </row>
    <row r="541" spans="1:32" x14ac:dyDescent="0.3">
      <c r="A541" s="46" t="s">
        <v>2</v>
      </c>
      <c r="B541" s="46" t="str">
        <f>IFERROR(VLOOKUP($H541,매장구분!$B:$Z,2,0),"")</f>
        <v>파트너채널팀</v>
      </c>
      <c r="C541" s="46" t="str">
        <f>IFERROR(VLOOKUP($H541,매장구분!$B:$Z,3,0),"")</f>
        <v>국내</v>
      </c>
      <c r="D541" s="46" t="str">
        <f>IFERROR(VLOOKUP($H541,매장구분!$B:$Z,5,0),"")</f>
        <v>백화점</v>
      </c>
      <c r="E541" s="46" t="str">
        <f>IFERROR(VLOOKUP($H541,매장구분!$B:$Z,9,0),"")</f>
        <v>갤러리아진주</v>
      </c>
      <c r="G541" s="36" t="s">
        <v>516</v>
      </c>
      <c r="H541" s="36" t="s">
        <v>517</v>
      </c>
      <c r="I541" s="36" t="s">
        <v>169</v>
      </c>
      <c r="J541" s="36" t="s">
        <v>175</v>
      </c>
      <c r="K541" s="36" t="s">
        <v>170</v>
      </c>
      <c r="L541" s="36" t="s">
        <v>171</v>
      </c>
      <c r="M541" s="36" t="s">
        <v>77</v>
      </c>
      <c r="N541" s="36" t="s">
        <v>172</v>
      </c>
      <c r="O541" s="36">
        <v>7837200</v>
      </c>
      <c r="P541" s="36">
        <v>70</v>
      </c>
      <c r="Q541" s="36">
        <v>1012000</v>
      </c>
      <c r="R541" s="36">
        <v>12</v>
      </c>
      <c r="S541" s="36">
        <v>0</v>
      </c>
      <c r="T541" s="36">
        <v>0</v>
      </c>
      <c r="U541" s="36">
        <v>168000</v>
      </c>
      <c r="V541" s="36">
        <v>2</v>
      </c>
      <c r="W541" s="36">
        <v>0</v>
      </c>
      <c r="X541" s="36">
        <v>0</v>
      </c>
      <c r="Y541" s="48">
        <v>0</v>
      </c>
      <c r="Z541" s="36">
        <v>0</v>
      </c>
      <c r="AA541" s="36">
        <v>0</v>
      </c>
      <c r="AB541" s="36">
        <v>0</v>
      </c>
      <c r="AC541" s="36">
        <v>9017200</v>
      </c>
      <c r="AD541" s="36">
        <v>84</v>
      </c>
      <c r="AF541" s="47">
        <f t="shared" si="8"/>
        <v>9017200</v>
      </c>
    </row>
    <row r="542" spans="1:32" x14ac:dyDescent="0.3">
      <c r="A542" s="46" t="s">
        <v>2</v>
      </c>
      <c r="B542" s="46" t="str">
        <f>IFERROR(VLOOKUP($H542,매장구분!$B:$Z,2,0),"")</f>
        <v>파트너채널팀</v>
      </c>
      <c r="C542" s="46" t="str">
        <f>IFERROR(VLOOKUP($H542,매장구분!$B:$Z,3,0),"")</f>
        <v>국내</v>
      </c>
      <c r="D542" s="46" t="str">
        <f>IFERROR(VLOOKUP($H542,매장구분!$B:$Z,5,0),"")</f>
        <v>백화점</v>
      </c>
      <c r="E542" s="46" t="str">
        <f>IFERROR(VLOOKUP($H542,매장구분!$B:$Z,9,0),"")</f>
        <v>현대미아</v>
      </c>
      <c r="G542" s="36" t="s">
        <v>512</v>
      </c>
      <c r="H542" s="36" t="s">
        <v>513</v>
      </c>
      <c r="I542" s="36" t="s">
        <v>169</v>
      </c>
      <c r="J542" s="36" t="s">
        <v>175</v>
      </c>
      <c r="K542" s="36" t="s">
        <v>170</v>
      </c>
      <c r="L542" s="36" t="s">
        <v>171</v>
      </c>
      <c r="M542" s="36" t="s">
        <v>77</v>
      </c>
      <c r="N542" s="36" t="s">
        <v>172</v>
      </c>
      <c r="O542" s="36">
        <v>5914620</v>
      </c>
      <c r="P542" s="36">
        <v>83</v>
      </c>
      <c r="Q542" s="36">
        <v>2565000</v>
      </c>
      <c r="R542" s="36">
        <v>45</v>
      </c>
      <c r="S542" s="36">
        <v>0</v>
      </c>
      <c r="T542" s="36">
        <v>0</v>
      </c>
      <c r="U542" s="36">
        <v>1670080</v>
      </c>
      <c r="V542" s="36">
        <v>9</v>
      </c>
      <c r="W542" s="36">
        <v>0</v>
      </c>
      <c r="X542" s="36">
        <v>0</v>
      </c>
      <c r="Y542" s="48">
        <v>0</v>
      </c>
      <c r="Z542" s="36">
        <v>0</v>
      </c>
      <c r="AA542" s="36">
        <v>0</v>
      </c>
      <c r="AB542" s="36">
        <v>0</v>
      </c>
      <c r="AC542" s="36">
        <v>10149700</v>
      </c>
      <c r="AD542" s="36">
        <v>137</v>
      </c>
      <c r="AF542" s="47">
        <f t="shared" si="8"/>
        <v>10149700</v>
      </c>
    </row>
    <row r="543" spans="1:32" x14ac:dyDescent="0.3">
      <c r="A543" s="46" t="s">
        <v>2</v>
      </c>
      <c r="B543" s="46" t="str">
        <f>IFERROR(VLOOKUP($H543,매장구분!$B:$Z,2,0),"")</f>
        <v>리테일채널팀</v>
      </c>
      <c r="C543" s="46" t="str">
        <f>IFERROR(VLOOKUP($H543,매장구분!$B:$Z,3,0),"")</f>
        <v>국내</v>
      </c>
      <c r="D543" s="46" t="str">
        <f>IFERROR(VLOOKUP($H543,매장구분!$B:$Z,5,0),"")</f>
        <v>대리점</v>
      </c>
      <c r="E543" s="46" t="str">
        <f>IFERROR(VLOOKUP($H543,매장구분!$B:$Z,9,0),"")</f>
        <v>익산(대-위)</v>
      </c>
      <c r="G543" s="36" t="s">
        <v>490</v>
      </c>
      <c r="H543" s="36" t="s">
        <v>491</v>
      </c>
      <c r="I543" s="36" t="s">
        <v>169</v>
      </c>
      <c r="J543" s="36" t="s">
        <v>79</v>
      </c>
      <c r="K543" s="36" t="s">
        <v>170</v>
      </c>
      <c r="L543" s="36" t="s">
        <v>171</v>
      </c>
      <c r="M543" s="36" t="s">
        <v>196</v>
      </c>
      <c r="N543" s="36" t="s">
        <v>197</v>
      </c>
      <c r="O543" s="36">
        <v>16111138</v>
      </c>
      <c r="P543" s="36">
        <v>155</v>
      </c>
      <c r="Q543" s="36">
        <v>0</v>
      </c>
      <c r="R543" s="36">
        <v>0</v>
      </c>
      <c r="S543" s="36">
        <v>0</v>
      </c>
      <c r="T543" s="36">
        <v>0</v>
      </c>
      <c r="U543" s="36">
        <v>880162</v>
      </c>
      <c r="V543" s="36">
        <v>3</v>
      </c>
      <c r="W543" s="36">
        <v>0</v>
      </c>
      <c r="X543" s="36">
        <v>0</v>
      </c>
      <c r="Y543" s="48">
        <v>0</v>
      </c>
      <c r="Z543" s="36">
        <v>0</v>
      </c>
      <c r="AA543" s="36">
        <v>0</v>
      </c>
      <c r="AB543" s="36">
        <v>0</v>
      </c>
      <c r="AC543" s="36">
        <v>16991300</v>
      </c>
      <c r="AD543" s="36">
        <v>158</v>
      </c>
      <c r="AF543" s="47">
        <f t="shared" si="8"/>
        <v>16991300</v>
      </c>
    </row>
    <row r="544" spans="1:32" x14ac:dyDescent="0.3">
      <c r="A544" s="46" t="s">
        <v>2</v>
      </c>
      <c r="B544" s="46" t="str">
        <f>IFERROR(VLOOKUP($H544,매장구분!$B:$Z,2,0),"")</f>
        <v>E-biz</v>
      </c>
      <c r="C544" s="46" t="str">
        <f>IFERROR(VLOOKUP($H544,매장구분!$B:$Z,3,0),"")</f>
        <v>국내</v>
      </c>
      <c r="D544" s="46" t="str">
        <f>IFERROR(VLOOKUP($H544,매장구분!$B:$Z,5,0),"")</f>
        <v>온(제휴몰)</v>
      </c>
      <c r="E544" s="46" t="str">
        <f>IFERROR(VLOOKUP($H544,매장구분!$B:$Z,9,0),"")</f>
        <v>SSG닷컴(제휴몰)</v>
      </c>
      <c r="G544" s="36" t="s">
        <v>498</v>
      </c>
      <c r="H544" s="36" t="s">
        <v>499</v>
      </c>
      <c r="I544" s="36" t="s">
        <v>169</v>
      </c>
      <c r="J544" s="36" t="s">
        <v>180</v>
      </c>
      <c r="K544" s="36" t="s">
        <v>170</v>
      </c>
      <c r="L544" s="36" t="s">
        <v>181</v>
      </c>
      <c r="M544" s="36" t="s">
        <v>181</v>
      </c>
      <c r="N544" s="36" t="s">
        <v>185</v>
      </c>
      <c r="O544" s="36">
        <v>11585300</v>
      </c>
      <c r="P544" s="36">
        <v>170</v>
      </c>
      <c r="Q544" s="36">
        <v>0</v>
      </c>
      <c r="R544" s="36">
        <v>0</v>
      </c>
      <c r="S544" s="36">
        <v>0</v>
      </c>
      <c r="T544" s="36">
        <v>0</v>
      </c>
      <c r="U544" s="36">
        <v>0</v>
      </c>
      <c r="V544" s="36">
        <v>0</v>
      </c>
      <c r="W544" s="36">
        <v>0</v>
      </c>
      <c r="X544" s="36">
        <v>0</v>
      </c>
      <c r="Y544" s="48">
        <v>0</v>
      </c>
      <c r="Z544" s="36">
        <v>0</v>
      </c>
      <c r="AA544" s="36">
        <v>0</v>
      </c>
      <c r="AB544" s="36">
        <v>0</v>
      </c>
      <c r="AC544" s="36">
        <v>11585300</v>
      </c>
      <c r="AD544" s="36">
        <v>170</v>
      </c>
      <c r="AF544" s="47">
        <f t="shared" si="8"/>
        <v>11585300</v>
      </c>
    </row>
    <row r="545" spans="1:32" x14ac:dyDescent="0.3">
      <c r="A545" s="46" t="s">
        <v>2</v>
      </c>
      <c r="B545" s="46" t="str">
        <f>IFERROR(VLOOKUP($H545,매장구분!$B:$Z,2,0),"")</f>
        <v>파트너채널팀</v>
      </c>
      <c r="C545" s="46" t="str">
        <f>IFERROR(VLOOKUP($H545,매장구분!$B:$Z,3,0),"")</f>
        <v>국내</v>
      </c>
      <c r="D545" s="46" t="str">
        <f>IFERROR(VLOOKUP($H545,매장구분!$B:$Z,5,0),"")</f>
        <v>백화점</v>
      </c>
      <c r="E545" s="46" t="str">
        <f>IFERROR(VLOOKUP($H545,매장구분!$B:$Z,9,0),"")</f>
        <v>신세계광주</v>
      </c>
      <c r="G545" s="36" t="s">
        <v>504</v>
      </c>
      <c r="H545" s="36" t="s">
        <v>505</v>
      </c>
      <c r="I545" s="36" t="s">
        <v>169</v>
      </c>
      <c r="J545" s="36" t="s">
        <v>175</v>
      </c>
      <c r="K545" s="36" t="s">
        <v>170</v>
      </c>
      <c r="L545" s="36" t="s">
        <v>171</v>
      </c>
      <c r="M545" s="36" t="s">
        <v>77</v>
      </c>
      <c r="N545" s="36" t="s">
        <v>172</v>
      </c>
      <c r="O545" s="36">
        <v>19152350</v>
      </c>
      <c r="P545" s="36">
        <v>200</v>
      </c>
      <c r="Q545" s="36">
        <v>0</v>
      </c>
      <c r="R545" s="36">
        <v>0</v>
      </c>
      <c r="S545" s="36">
        <v>0</v>
      </c>
      <c r="T545" s="36">
        <v>0</v>
      </c>
      <c r="U545" s="36">
        <v>2157150</v>
      </c>
      <c r="V545" s="36">
        <v>11</v>
      </c>
      <c r="W545" s="36">
        <v>0</v>
      </c>
      <c r="X545" s="36">
        <v>0</v>
      </c>
      <c r="Y545" s="48">
        <v>0</v>
      </c>
      <c r="Z545" s="36">
        <v>0</v>
      </c>
      <c r="AA545" s="36">
        <v>0</v>
      </c>
      <c r="AB545" s="36">
        <v>0</v>
      </c>
      <c r="AC545" s="36">
        <v>21309500</v>
      </c>
      <c r="AD545" s="36">
        <v>211</v>
      </c>
      <c r="AF545" s="47">
        <f t="shared" si="8"/>
        <v>21309500</v>
      </c>
    </row>
    <row r="546" spans="1:32" x14ac:dyDescent="0.3">
      <c r="A546" s="46" t="s">
        <v>2</v>
      </c>
      <c r="B546" s="46" t="str">
        <f>IFERROR(VLOOKUP($H546,매장구분!$B:$Z,2,0),"")</f>
        <v>파트너채널팀</v>
      </c>
      <c r="C546" s="46" t="str">
        <f>IFERROR(VLOOKUP($H546,매장구분!$B:$Z,3,0),"")</f>
        <v>국내</v>
      </c>
      <c r="D546" s="46" t="str">
        <f>IFERROR(VLOOKUP($H546,매장구분!$B:$Z,5,0),"")</f>
        <v>백화점</v>
      </c>
      <c r="E546" s="46" t="str">
        <f>IFERROR(VLOOKUP($H546,매장구분!$B:$Z,9,0),"")</f>
        <v>롯데일산</v>
      </c>
      <c r="G546" s="36" t="s">
        <v>508</v>
      </c>
      <c r="H546" s="36" t="s">
        <v>509</v>
      </c>
      <c r="I546" s="36" t="s">
        <v>169</v>
      </c>
      <c r="J546" s="36" t="s">
        <v>175</v>
      </c>
      <c r="K546" s="36" t="s">
        <v>170</v>
      </c>
      <c r="L546" s="36" t="s">
        <v>171</v>
      </c>
      <c r="M546" s="36" t="s">
        <v>77</v>
      </c>
      <c r="N546" s="36" t="s">
        <v>172</v>
      </c>
      <c r="O546" s="36">
        <v>11097400</v>
      </c>
      <c r="P546" s="36">
        <v>127</v>
      </c>
      <c r="Q546" s="36">
        <v>0</v>
      </c>
      <c r="R546" s="36">
        <v>0</v>
      </c>
      <c r="S546" s="36">
        <v>0</v>
      </c>
      <c r="T546" s="36">
        <v>0</v>
      </c>
      <c r="U546" s="36">
        <v>1273200</v>
      </c>
      <c r="V546" s="36">
        <v>7</v>
      </c>
      <c r="W546" s="36">
        <v>0</v>
      </c>
      <c r="X546" s="36">
        <v>0</v>
      </c>
      <c r="Y546" s="48">
        <v>18759600</v>
      </c>
      <c r="Z546" s="36">
        <v>99</v>
      </c>
      <c r="AA546" s="36">
        <v>0</v>
      </c>
      <c r="AB546" s="36">
        <v>0</v>
      </c>
      <c r="AC546" s="36">
        <v>31130200</v>
      </c>
      <c r="AD546" s="36">
        <v>233</v>
      </c>
      <c r="AF546" s="47">
        <f t="shared" si="8"/>
        <v>12370600</v>
      </c>
    </row>
    <row r="547" spans="1:32" x14ac:dyDescent="0.3">
      <c r="A547" s="46" t="s">
        <v>2</v>
      </c>
      <c r="B547" s="46" t="str">
        <f>IFERROR(VLOOKUP($H547,매장구분!$B:$Z,2,0),"")</f>
        <v>리테일채널팀</v>
      </c>
      <c r="C547" s="46" t="str">
        <f>IFERROR(VLOOKUP($H547,매장구분!$B:$Z,3,0),"")</f>
        <v>국내</v>
      </c>
      <c r="D547" s="46" t="str">
        <f>IFERROR(VLOOKUP($H547,매장구분!$B:$Z,5,0),"")</f>
        <v>대리점</v>
      </c>
      <c r="E547" s="46" t="str">
        <f>IFERROR(VLOOKUP($H547,매장구분!$B:$Z,9,0),"")</f>
        <v>속초(대-위)</v>
      </c>
      <c r="G547" s="36" t="s">
        <v>488</v>
      </c>
      <c r="H547" s="36" t="s">
        <v>489</v>
      </c>
      <c r="I547" s="36" t="s">
        <v>169</v>
      </c>
      <c r="J547" s="36" t="s">
        <v>79</v>
      </c>
      <c r="K547" s="36" t="s">
        <v>170</v>
      </c>
      <c r="L547" s="36" t="s">
        <v>171</v>
      </c>
      <c r="M547" s="36" t="s">
        <v>196</v>
      </c>
      <c r="N547" s="36" t="s">
        <v>197</v>
      </c>
      <c r="O547" s="36">
        <v>15551101</v>
      </c>
      <c r="P547" s="36">
        <v>154</v>
      </c>
      <c r="Q547" s="36">
        <v>0</v>
      </c>
      <c r="R547" s="36">
        <v>0</v>
      </c>
      <c r="S547" s="36">
        <v>0</v>
      </c>
      <c r="T547" s="36">
        <v>0</v>
      </c>
      <c r="U547" s="36">
        <v>2568799</v>
      </c>
      <c r="V547" s="36">
        <v>15</v>
      </c>
      <c r="W547" s="36">
        <v>0</v>
      </c>
      <c r="X547" s="36">
        <v>0</v>
      </c>
      <c r="Y547" s="48">
        <v>0</v>
      </c>
      <c r="Z547" s="36">
        <v>0</v>
      </c>
      <c r="AA547" s="36">
        <v>0</v>
      </c>
      <c r="AB547" s="36">
        <v>0</v>
      </c>
      <c r="AC547" s="36">
        <v>18119900</v>
      </c>
      <c r="AD547" s="36">
        <v>169</v>
      </c>
      <c r="AF547" s="47">
        <f t="shared" si="8"/>
        <v>18119900</v>
      </c>
    </row>
    <row r="548" spans="1:32" x14ac:dyDescent="0.3">
      <c r="A548" s="46" t="s">
        <v>2</v>
      </c>
      <c r="B548" s="46" t="str">
        <f>IFERROR(VLOOKUP($H548,매장구분!$B:$Z,2,0),"")</f>
        <v>파트너채널팀</v>
      </c>
      <c r="C548" s="46" t="str">
        <f>IFERROR(VLOOKUP($H548,매장구분!$B:$Z,3,0),"")</f>
        <v>국내</v>
      </c>
      <c r="D548" s="46" t="str">
        <f>IFERROR(VLOOKUP($H548,매장구분!$B:$Z,5,0),"")</f>
        <v>백화점</v>
      </c>
      <c r="E548" s="46" t="str">
        <f>IFERROR(VLOOKUP($H548,매장구분!$B:$Z,9,0),"")</f>
        <v>롯데중동</v>
      </c>
      <c r="G548" s="36" t="s">
        <v>510</v>
      </c>
      <c r="H548" s="36" t="s">
        <v>511</v>
      </c>
      <c r="I548" s="36" t="s">
        <v>169</v>
      </c>
      <c r="J548" s="36" t="s">
        <v>175</v>
      </c>
      <c r="K548" s="36" t="s">
        <v>170</v>
      </c>
      <c r="L548" s="36" t="s">
        <v>171</v>
      </c>
      <c r="M548" s="36" t="s">
        <v>77</v>
      </c>
      <c r="N548" s="36" t="s">
        <v>172</v>
      </c>
      <c r="O548" s="36">
        <v>8636950</v>
      </c>
      <c r="P548" s="36">
        <v>90</v>
      </c>
      <c r="Q548" s="36">
        <v>-548000</v>
      </c>
      <c r="R548" s="36">
        <v>-2</v>
      </c>
      <c r="S548" s="36">
        <v>0</v>
      </c>
      <c r="T548" s="36">
        <v>0</v>
      </c>
      <c r="U548" s="36">
        <v>4815450</v>
      </c>
      <c r="V548" s="36">
        <v>27</v>
      </c>
      <c r="W548" s="36">
        <v>0</v>
      </c>
      <c r="X548" s="36">
        <v>0</v>
      </c>
      <c r="Y548" s="48">
        <v>5890500</v>
      </c>
      <c r="Z548" s="36">
        <v>43</v>
      </c>
      <c r="AA548" s="36">
        <v>0</v>
      </c>
      <c r="AB548" s="36">
        <v>0</v>
      </c>
      <c r="AC548" s="36">
        <v>18794900</v>
      </c>
      <c r="AD548" s="36">
        <v>158</v>
      </c>
      <c r="AF548" s="47">
        <f t="shared" si="8"/>
        <v>12904400</v>
      </c>
    </row>
    <row r="549" spans="1:32" x14ac:dyDescent="0.3">
      <c r="A549" s="46" t="s">
        <v>2</v>
      </c>
      <c r="B549" s="46" t="str">
        <f>IFERROR(VLOOKUP($H549,매장구분!$B:$Z,2,0),"")</f>
        <v>파트너채널팀</v>
      </c>
      <c r="C549" s="46" t="str">
        <f>IFERROR(VLOOKUP($H549,매장구분!$B:$Z,3,0),"")</f>
        <v>국내</v>
      </c>
      <c r="D549" s="46" t="str">
        <f>IFERROR(VLOOKUP($H549,매장구분!$B:$Z,5,0),"")</f>
        <v>백화점</v>
      </c>
      <c r="E549" s="46" t="str">
        <f>IFERROR(VLOOKUP($H549,매장구분!$B:$Z,9,0),"")</f>
        <v>현대중동</v>
      </c>
      <c r="G549" s="36" t="s">
        <v>494</v>
      </c>
      <c r="H549" s="36" t="s">
        <v>495</v>
      </c>
      <c r="I549" s="36" t="s">
        <v>169</v>
      </c>
      <c r="J549" s="36" t="s">
        <v>175</v>
      </c>
      <c r="K549" s="36" t="s">
        <v>170</v>
      </c>
      <c r="L549" s="36" t="s">
        <v>171</v>
      </c>
      <c r="M549" s="36" t="s">
        <v>77</v>
      </c>
      <c r="N549" s="36" t="s">
        <v>172</v>
      </c>
      <c r="O549" s="36">
        <v>6870410</v>
      </c>
      <c r="P549" s="36">
        <v>90</v>
      </c>
      <c r="Q549" s="36">
        <v>0</v>
      </c>
      <c r="R549" s="36">
        <v>0</v>
      </c>
      <c r="S549" s="36">
        <v>0</v>
      </c>
      <c r="T549" s="36">
        <v>0</v>
      </c>
      <c r="U549" s="36">
        <v>2650490</v>
      </c>
      <c r="V549" s="36">
        <v>16</v>
      </c>
      <c r="W549" s="36">
        <v>0</v>
      </c>
      <c r="X549" s="36">
        <v>0</v>
      </c>
      <c r="Y549" s="48">
        <v>4134000</v>
      </c>
      <c r="Z549" s="36">
        <v>26</v>
      </c>
      <c r="AA549" s="36">
        <v>0</v>
      </c>
      <c r="AB549" s="36">
        <v>0</v>
      </c>
      <c r="AC549" s="36">
        <v>13654900</v>
      </c>
      <c r="AD549" s="36">
        <v>132</v>
      </c>
      <c r="AF549" s="47">
        <f t="shared" si="8"/>
        <v>9520900</v>
      </c>
    </row>
    <row r="550" spans="1:32" x14ac:dyDescent="0.3">
      <c r="A550" s="46" t="s">
        <v>2</v>
      </c>
      <c r="B550" s="46" t="str">
        <f>IFERROR(VLOOKUP($H550,매장구분!$B:$Z,2,0),"")</f>
        <v>리테일채널팀</v>
      </c>
      <c r="C550" s="46" t="str">
        <f>IFERROR(VLOOKUP($H550,매장구분!$B:$Z,3,0),"")</f>
        <v>국내</v>
      </c>
      <c r="D550" s="46" t="str">
        <f>IFERROR(VLOOKUP($H550,매장구분!$B:$Z,5,0),"")</f>
        <v>대리점</v>
      </c>
      <c r="E550" s="46" t="str">
        <f>IFERROR(VLOOKUP($H550,매장구분!$B:$Z,9,0),"")</f>
        <v>해남(대-위)</v>
      </c>
      <c r="G550" s="36" t="s">
        <v>514</v>
      </c>
      <c r="H550" s="36" t="s">
        <v>515</v>
      </c>
      <c r="I550" s="36" t="s">
        <v>169</v>
      </c>
      <c r="J550" s="36" t="s">
        <v>79</v>
      </c>
      <c r="K550" s="36" t="s">
        <v>170</v>
      </c>
      <c r="L550" s="36" t="s">
        <v>171</v>
      </c>
      <c r="M550" s="36" t="s">
        <v>196</v>
      </c>
      <c r="N550" s="36" t="s">
        <v>197</v>
      </c>
      <c r="O550" s="36">
        <v>8224808</v>
      </c>
      <c r="P550" s="36">
        <v>86</v>
      </c>
      <c r="Q550" s="36">
        <v>0</v>
      </c>
      <c r="R550" s="36">
        <v>0</v>
      </c>
      <c r="S550" s="36">
        <v>0</v>
      </c>
      <c r="T550" s="36">
        <v>0</v>
      </c>
      <c r="U550" s="36">
        <v>3130710</v>
      </c>
      <c r="V550" s="36">
        <v>19</v>
      </c>
      <c r="W550" s="36">
        <v>0</v>
      </c>
      <c r="X550" s="36">
        <v>0</v>
      </c>
      <c r="Y550" s="48">
        <v>0</v>
      </c>
      <c r="Z550" s="36">
        <v>0</v>
      </c>
      <c r="AA550" s="36">
        <v>0</v>
      </c>
      <c r="AB550" s="36">
        <v>0</v>
      </c>
      <c r="AC550" s="36">
        <v>11355518</v>
      </c>
      <c r="AD550" s="36">
        <v>105</v>
      </c>
      <c r="AF550" s="47">
        <f t="shared" si="8"/>
        <v>11355518</v>
      </c>
    </row>
    <row r="551" spans="1:32" x14ac:dyDescent="0.3">
      <c r="A551" s="46" t="s">
        <v>2</v>
      </c>
      <c r="B551" s="46" t="str">
        <f>IFERROR(VLOOKUP($H551,매장구분!$B:$Z,2,0),"")</f>
        <v>리테일채널팀</v>
      </c>
      <c r="C551" s="46" t="str">
        <f>IFERROR(VLOOKUP($H551,매장구분!$B:$Z,3,0),"")</f>
        <v>국내</v>
      </c>
      <c r="D551" s="46" t="str">
        <f>IFERROR(VLOOKUP($H551,매장구분!$B:$Z,5,0),"")</f>
        <v>대리점</v>
      </c>
      <c r="E551" s="46" t="str">
        <f>IFERROR(VLOOKUP($H551,매장구분!$B:$Z,9,0),"")</f>
        <v>거제(대-위)</v>
      </c>
      <c r="G551" s="36" t="s">
        <v>502</v>
      </c>
      <c r="H551" s="36" t="s">
        <v>503</v>
      </c>
      <c r="I551" s="36" t="s">
        <v>169</v>
      </c>
      <c r="J551" s="36" t="s">
        <v>79</v>
      </c>
      <c r="K551" s="36" t="s">
        <v>170</v>
      </c>
      <c r="L551" s="36" t="s">
        <v>171</v>
      </c>
      <c r="M551" s="36" t="s">
        <v>196</v>
      </c>
      <c r="N551" s="36" t="s">
        <v>197</v>
      </c>
      <c r="O551" s="36">
        <v>17843660</v>
      </c>
      <c r="P551" s="36">
        <v>177</v>
      </c>
      <c r="Q551" s="36">
        <v>0</v>
      </c>
      <c r="R551" s="36">
        <v>0</v>
      </c>
      <c r="S551" s="36">
        <v>0</v>
      </c>
      <c r="T551" s="36">
        <v>0</v>
      </c>
      <c r="U551" s="36">
        <v>1066140</v>
      </c>
      <c r="V551" s="36">
        <v>6</v>
      </c>
      <c r="W551" s="36">
        <v>0</v>
      </c>
      <c r="X551" s="36">
        <v>0</v>
      </c>
      <c r="Y551" s="48">
        <v>0</v>
      </c>
      <c r="Z551" s="36">
        <v>0</v>
      </c>
      <c r="AA551" s="36">
        <v>0</v>
      </c>
      <c r="AB551" s="36">
        <v>0</v>
      </c>
      <c r="AC551" s="36">
        <v>18909800</v>
      </c>
      <c r="AD551" s="36">
        <v>183</v>
      </c>
      <c r="AF551" s="47">
        <f t="shared" si="8"/>
        <v>18909800</v>
      </c>
    </row>
    <row r="552" spans="1:32" x14ac:dyDescent="0.3">
      <c r="A552" s="46" t="s">
        <v>2</v>
      </c>
      <c r="B552" s="46" t="str">
        <f>IFERROR(VLOOKUP($H552,매장구분!$B:$Z,2,0),"")</f>
        <v>리테일채널팀</v>
      </c>
      <c r="C552" s="46" t="str">
        <f>IFERROR(VLOOKUP($H552,매장구분!$B:$Z,3,0),"")</f>
        <v>국내</v>
      </c>
      <c r="D552" s="46" t="str">
        <f>IFERROR(VLOOKUP($H552,매장구분!$B:$Z,5,0),"")</f>
        <v>상설(위탁)</v>
      </c>
      <c r="E552" s="46" t="str">
        <f>IFERROR(VLOOKUP($H552,매장구분!$B:$Z,9,0),"")</f>
        <v>현대아울렛동대문(상-위)</v>
      </c>
      <c r="G552" s="36" t="s">
        <v>526</v>
      </c>
      <c r="H552" s="36" t="s">
        <v>527</v>
      </c>
      <c r="I552" s="36" t="s">
        <v>169</v>
      </c>
      <c r="J552" s="36" t="s">
        <v>79</v>
      </c>
      <c r="K552" s="36" t="s">
        <v>170</v>
      </c>
      <c r="L552" s="36" t="s">
        <v>171</v>
      </c>
      <c r="M552" s="36" t="s">
        <v>219</v>
      </c>
      <c r="N552" s="36" t="s">
        <v>219</v>
      </c>
      <c r="O552" s="36">
        <v>1779000</v>
      </c>
      <c r="P552" s="36">
        <v>49</v>
      </c>
      <c r="Q552" s="36">
        <v>0</v>
      </c>
      <c r="R552" s="36">
        <v>0</v>
      </c>
      <c r="S552" s="36">
        <v>0</v>
      </c>
      <c r="T552" s="36">
        <v>0</v>
      </c>
      <c r="U552" s="36">
        <v>0</v>
      </c>
      <c r="V552" s="36">
        <v>0</v>
      </c>
      <c r="W552" s="36">
        <v>0</v>
      </c>
      <c r="X552" s="36">
        <v>0</v>
      </c>
      <c r="Y552" s="48">
        <v>0</v>
      </c>
      <c r="Z552" s="36">
        <v>0</v>
      </c>
      <c r="AA552" s="36">
        <v>0</v>
      </c>
      <c r="AB552" s="36">
        <v>0</v>
      </c>
      <c r="AC552" s="36">
        <v>1779000</v>
      </c>
      <c r="AD552" s="36">
        <v>49</v>
      </c>
      <c r="AF552" s="47">
        <f t="shared" si="8"/>
        <v>1779000</v>
      </c>
    </row>
    <row r="553" spans="1:32" x14ac:dyDescent="0.3">
      <c r="A553" s="46" t="s">
        <v>2</v>
      </c>
      <c r="B553" s="46" t="str">
        <f>IFERROR(VLOOKUP($H553,매장구분!$B:$Z,2,0),"")</f>
        <v>파트너채널팀</v>
      </c>
      <c r="C553" s="46" t="str">
        <f>IFERROR(VLOOKUP($H553,매장구분!$B:$Z,3,0),"")</f>
        <v>국내</v>
      </c>
      <c r="D553" s="46" t="str">
        <f>IFERROR(VLOOKUP($H553,매장구분!$B:$Z,5,0),"")</f>
        <v>백화점</v>
      </c>
      <c r="E553" s="46" t="str">
        <f>IFERROR(VLOOKUP($H553,매장구분!$B:$Z,9,0),"")</f>
        <v>아이파크용산</v>
      </c>
      <c r="G553" s="36" t="s">
        <v>496</v>
      </c>
      <c r="H553" s="36" t="s">
        <v>497</v>
      </c>
      <c r="I553" s="36" t="s">
        <v>169</v>
      </c>
      <c r="J553" s="36" t="s">
        <v>175</v>
      </c>
      <c r="K553" s="36" t="s">
        <v>170</v>
      </c>
      <c r="L553" s="36" t="s">
        <v>171</v>
      </c>
      <c r="M553" s="36" t="s">
        <v>188</v>
      </c>
      <c r="N553" s="36" t="s">
        <v>317</v>
      </c>
      <c r="O553" s="36">
        <v>6562340</v>
      </c>
      <c r="P553" s="36">
        <v>97</v>
      </c>
      <c r="Q553" s="36">
        <v>0</v>
      </c>
      <c r="R553" s="36">
        <v>0</v>
      </c>
      <c r="S553" s="36">
        <v>0</v>
      </c>
      <c r="T553" s="36">
        <v>0</v>
      </c>
      <c r="U553" s="36">
        <v>279000</v>
      </c>
      <c r="V553" s="36">
        <v>1</v>
      </c>
      <c r="W553" s="36">
        <v>0</v>
      </c>
      <c r="X553" s="36">
        <v>0</v>
      </c>
      <c r="Y553" s="48">
        <v>29927960</v>
      </c>
      <c r="Z553" s="36">
        <v>261</v>
      </c>
      <c r="AA553" s="36">
        <v>0</v>
      </c>
      <c r="AB553" s="36">
        <v>0</v>
      </c>
      <c r="AC553" s="36">
        <v>36769300</v>
      </c>
      <c r="AD553" s="36">
        <v>359</v>
      </c>
      <c r="AF553" s="47">
        <f t="shared" si="8"/>
        <v>6841340</v>
      </c>
    </row>
    <row r="554" spans="1:32" x14ac:dyDescent="0.3">
      <c r="A554" s="46" t="s">
        <v>2</v>
      </c>
      <c r="B554" s="46" t="str">
        <f>IFERROR(VLOOKUP($H554,매장구분!$B:$Z,2,0),"")</f>
        <v>리테일채널팀</v>
      </c>
      <c r="C554" s="46" t="str">
        <f>IFERROR(VLOOKUP($H554,매장구분!$B:$Z,3,0),"")</f>
        <v>국내</v>
      </c>
      <c r="D554" s="46" t="str">
        <f>IFERROR(VLOOKUP($H554,매장구분!$B:$Z,5,0),"")</f>
        <v>대리점</v>
      </c>
      <c r="E554" s="46" t="str">
        <f>IFERROR(VLOOKUP($H554,매장구분!$B:$Z,9,0),"")</f>
        <v>목포하당(대-위)</v>
      </c>
      <c r="G554" s="36" t="s">
        <v>486</v>
      </c>
      <c r="H554" s="36" t="s">
        <v>487</v>
      </c>
      <c r="I554" s="36" t="s">
        <v>169</v>
      </c>
      <c r="J554" s="36" t="s">
        <v>79</v>
      </c>
      <c r="K554" s="36" t="s">
        <v>170</v>
      </c>
      <c r="L554" s="36" t="s">
        <v>171</v>
      </c>
      <c r="M554" s="36" t="s">
        <v>196</v>
      </c>
      <c r="N554" s="36" t="s">
        <v>197</v>
      </c>
      <c r="O554" s="36">
        <v>17255565</v>
      </c>
      <c r="P554" s="36">
        <v>157</v>
      </c>
      <c r="Q554" s="36">
        <v>0</v>
      </c>
      <c r="R554" s="36">
        <v>0</v>
      </c>
      <c r="S554" s="36">
        <v>0</v>
      </c>
      <c r="T554" s="36">
        <v>0</v>
      </c>
      <c r="U554" s="36">
        <v>-1452865</v>
      </c>
      <c r="V554" s="36">
        <v>-8</v>
      </c>
      <c r="W554" s="36">
        <v>0</v>
      </c>
      <c r="X554" s="36">
        <v>0</v>
      </c>
      <c r="Y554" s="48">
        <v>0</v>
      </c>
      <c r="Z554" s="36">
        <v>0</v>
      </c>
      <c r="AA554" s="36">
        <v>0</v>
      </c>
      <c r="AB554" s="36">
        <v>0</v>
      </c>
      <c r="AC554" s="36">
        <v>15802700</v>
      </c>
      <c r="AD554" s="36">
        <v>149</v>
      </c>
      <c r="AF554" s="47">
        <f t="shared" si="8"/>
        <v>15802700</v>
      </c>
    </row>
    <row r="555" spans="1:32" x14ac:dyDescent="0.3">
      <c r="A555" s="46" t="s">
        <v>2</v>
      </c>
      <c r="B555" s="46" t="str">
        <f>IFERROR(VLOOKUP($H555,매장구분!$B:$Z,2,0),"")</f>
        <v>리테일채널팀</v>
      </c>
      <c r="C555" s="46" t="str">
        <f>IFERROR(VLOOKUP($H555,매장구분!$B:$Z,3,0),"")</f>
        <v>국내</v>
      </c>
      <c r="D555" s="46" t="str">
        <f>IFERROR(VLOOKUP($H555,매장구분!$B:$Z,5,0),"")</f>
        <v>상설(위탁)</v>
      </c>
      <c r="E555" s="46" t="str">
        <f>IFERROR(VLOOKUP($H555,매장구분!$B:$Z,9,0),"")</f>
        <v>현대아울렛김포(상-위)</v>
      </c>
      <c r="G555" s="36" t="s">
        <v>522</v>
      </c>
      <c r="H555" s="36" t="s">
        <v>523</v>
      </c>
      <c r="I555" s="36" t="s">
        <v>169</v>
      </c>
      <c r="J555" s="36" t="s">
        <v>79</v>
      </c>
      <c r="K555" s="36" t="s">
        <v>170</v>
      </c>
      <c r="L555" s="36" t="s">
        <v>171</v>
      </c>
      <c r="M555" s="36" t="s">
        <v>219</v>
      </c>
      <c r="N555" s="36" t="s">
        <v>219</v>
      </c>
      <c r="O555" s="36">
        <v>4797000</v>
      </c>
      <c r="P555" s="36">
        <v>116</v>
      </c>
      <c r="Q555" s="36">
        <v>0</v>
      </c>
      <c r="R555" s="36">
        <v>0</v>
      </c>
      <c r="S555" s="36">
        <v>0</v>
      </c>
      <c r="T555" s="36">
        <v>0</v>
      </c>
      <c r="U555" s="36">
        <v>0</v>
      </c>
      <c r="V555" s="36">
        <v>0</v>
      </c>
      <c r="W555" s="36">
        <v>0</v>
      </c>
      <c r="X555" s="36">
        <v>0</v>
      </c>
      <c r="Y555" s="48">
        <v>0</v>
      </c>
      <c r="Z555" s="36">
        <v>0</v>
      </c>
      <c r="AA555" s="36">
        <v>0</v>
      </c>
      <c r="AB555" s="36">
        <v>0</v>
      </c>
      <c r="AC555" s="36">
        <v>4797000</v>
      </c>
      <c r="AD555" s="36">
        <v>116</v>
      </c>
      <c r="AF555" s="47">
        <f t="shared" si="8"/>
        <v>4797000</v>
      </c>
    </row>
    <row r="556" spans="1:32" x14ac:dyDescent="0.3">
      <c r="A556" s="46" t="s">
        <v>2</v>
      </c>
      <c r="B556" s="46" t="str">
        <f>IFERROR(VLOOKUP($H556,매장구분!$B:$Z,2,0),"")</f>
        <v>리테일채널팀</v>
      </c>
      <c r="C556" s="46" t="str">
        <f>IFERROR(VLOOKUP($H556,매장구분!$B:$Z,3,0),"")</f>
        <v>국내</v>
      </c>
      <c r="D556" s="46" t="str">
        <f>IFERROR(VLOOKUP($H556,매장구분!$B:$Z,5,0),"")</f>
        <v>상설(위탁)</v>
      </c>
      <c r="E556" s="46" t="str">
        <f>IFERROR(VLOOKUP($H556,매장구분!$B:$Z,9,0),"")</f>
        <v>신세계아울렛시흥(상-위)</v>
      </c>
      <c r="G556" s="36" t="s">
        <v>524</v>
      </c>
      <c r="H556" s="36" t="s">
        <v>525</v>
      </c>
      <c r="I556" s="36" t="s">
        <v>169</v>
      </c>
      <c r="J556" s="36" t="s">
        <v>79</v>
      </c>
      <c r="K556" s="36" t="s">
        <v>170</v>
      </c>
      <c r="L556" s="36" t="s">
        <v>171</v>
      </c>
      <c r="M556" s="36" t="s">
        <v>219</v>
      </c>
      <c r="N556" s="36" t="s">
        <v>219</v>
      </c>
      <c r="O556" s="36">
        <v>4866000</v>
      </c>
      <c r="P556" s="36">
        <v>118</v>
      </c>
      <c r="Q556" s="36">
        <v>0</v>
      </c>
      <c r="R556" s="36">
        <v>0</v>
      </c>
      <c r="S556" s="36">
        <v>0</v>
      </c>
      <c r="T556" s="36">
        <v>0</v>
      </c>
      <c r="U556" s="36">
        <v>0</v>
      </c>
      <c r="V556" s="36">
        <v>0</v>
      </c>
      <c r="W556" s="36">
        <v>0</v>
      </c>
      <c r="X556" s="36">
        <v>0</v>
      </c>
      <c r="Y556" s="48">
        <v>0</v>
      </c>
      <c r="Z556" s="36">
        <v>0</v>
      </c>
      <c r="AA556" s="36">
        <v>0</v>
      </c>
      <c r="AB556" s="36">
        <v>0</v>
      </c>
      <c r="AC556" s="36">
        <v>4866000</v>
      </c>
      <c r="AD556" s="36">
        <v>118</v>
      </c>
      <c r="AF556" s="47">
        <f t="shared" si="8"/>
        <v>4866000</v>
      </c>
    </row>
    <row r="557" spans="1:32" x14ac:dyDescent="0.3">
      <c r="A557" s="46" t="s">
        <v>2</v>
      </c>
      <c r="B557" s="46" t="str">
        <f>IFERROR(VLOOKUP($H557,매장구분!$B:$Z,2,0),"")</f>
        <v>리테일채널팀</v>
      </c>
      <c r="C557" s="46" t="str">
        <f>IFERROR(VLOOKUP($H557,매장구분!$B:$Z,3,0),"")</f>
        <v>국내</v>
      </c>
      <c r="D557" s="46" t="str">
        <f>IFERROR(VLOOKUP($H557,매장구분!$B:$Z,5,0),"")</f>
        <v>상설(위탁)</v>
      </c>
      <c r="E557" s="46" t="str">
        <f>IFERROR(VLOOKUP($H557,매장구분!$B:$Z,9,0),"")</f>
        <v>현대아울렛대구(상-위)</v>
      </c>
      <c r="G557" s="36" t="s">
        <v>520</v>
      </c>
      <c r="H557" s="36" t="s">
        <v>521</v>
      </c>
      <c r="I557" s="36" t="s">
        <v>169</v>
      </c>
      <c r="J557" s="36" t="s">
        <v>79</v>
      </c>
      <c r="K557" s="36" t="s">
        <v>170</v>
      </c>
      <c r="L557" s="36" t="s">
        <v>171</v>
      </c>
      <c r="M557" s="36" t="s">
        <v>219</v>
      </c>
      <c r="N557" s="36" t="s">
        <v>219</v>
      </c>
      <c r="O557" s="36">
        <v>438000</v>
      </c>
      <c r="P557" s="36">
        <v>12</v>
      </c>
      <c r="Q557" s="36">
        <v>0</v>
      </c>
      <c r="R557" s="36">
        <v>0</v>
      </c>
      <c r="S557" s="36">
        <v>0</v>
      </c>
      <c r="T557" s="36">
        <v>0</v>
      </c>
      <c r="U557" s="36">
        <v>0</v>
      </c>
      <c r="V557" s="36">
        <v>0</v>
      </c>
      <c r="W557" s="36">
        <v>0</v>
      </c>
      <c r="X557" s="36">
        <v>0</v>
      </c>
      <c r="Y557" s="48">
        <v>0</v>
      </c>
      <c r="Z557" s="36">
        <v>0</v>
      </c>
      <c r="AA557" s="36">
        <v>0</v>
      </c>
      <c r="AB557" s="36">
        <v>0</v>
      </c>
      <c r="AC557" s="36">
        <v>438000</v>
      </c>
      <c r="AD557" s="36">
        <v>12</v>
      </c>
      <c r="AF557" s="47">
        <f t="shared" si="8"/>
        <v>438000</v>
      </c>
    </row>
    <row r="558" spans="1:32" x14ac:dyDescent="0.3">
      <c r="A558" s="46" t="s">
        <v>2</v>
      </c>
      <c r="B558" s="46" t="str">
        <f>IFERROR(VLOOKUP($H558,매장구분!$B:$Z,2,0),"")</f>
        <v>리테일채널팀</v>
      </c>
      <c r="C558" s="46" t="str">
        <f>IFERROR(VLOOKUP($H558,매장구분!$B:$Z,3,0),"")</f>
        <v>국내</v>
      </c>
      <c r="D558" s="46" t="str">
        <f>IFERROR(VLOOKUP($H558,매장구분!$B:$Z,5,0),"")</f>
        <v>상설(위탁)</v>
      </c>
      <c r="E558" s="46" t="str">
        <f>IFERROR(VLOOKUP($H558,매장구분!$B:$Z,9,0),"")</f>
        <v>롯데아울렛진주(상-위)</v>
      </c>
      <c r="G558" s="36" t="s">
        <v>528</v>
      </c>
      <c r="H558" s="36" t="s">
        <v>529</v>
      </c>
      <c r="I558" s="36" t="s">
        <v>169</v>
      </c>
      <c r="J558" s="36" t="s">
        <v>79</v>
      </c>
      <c r="K558" s="36" t="s">
        <v>170</v>
      </c>
      <c r="L558" s="36" t="s">
        <v>171</v>
      </c>
      <c r="M558" s="36" t="s">
        <v>219</v>
      </c>
      <c r="N558" s="36" t="s">
        <v>219</v>
      </c>
      <c r="O558" s="36">
        <v>975000</v>
      </c>
      <c r="P558" s="36">
        <v>27</v>
      </c>
      <c r="Q558" s="36">
        <v>0</v>
      </c>
      <c r="R558" s="36">
        <v>0</v>
      </c>
      <c r="S558" s="36">
        <v>0</v>
      </c>
      <c r="T558" s="36">
        <v>0</v>
      </c>
      <c r="U558" s="36">
        <v>0</v>
      </c>
      <c r="V558" s="36">
        <v>0</v>
      </c>
      <c r="W558" s="36">
        <v>0</v>
      </c>
      <c r="X558" s="36">
        <v>0</v>
      </c>
      <c r="Y558" s="48">
        <v>0</v>
      </c>
      <c r="Z558" s="36">
        <v>0</v>
      </c>
      <c r="AA558" s="36">
        <v>0</v>
      </c>
      <c r="AB558" s="36">
        <v>0</v>
      </c>
      <c r="AC558" s="36">
        <v>975000</v>
      </c>
      <c r="AD558" s="36">
        <v>27</v>
      </c>
      <c r="AF558" s="47">
        <f t="shared" si="8"/>
        <v>975000</v>
      </c>
    </row>
    <row r="559" spans="1:32" x14ac:dyDescent="0.3">
      <c r="A559" s="46" t="s">
        <v>2</v>
      </c>
      <c r="B559" s="46" t="str">
        <f>IFERROR(VLOOKUP($H559,매장구분!$B:$Z,2,0),"")</f>
        <v>리테일채널팀</v>
      </c>
      <c r="C559" s="46" t="str">
        <f>IFERROR(VLOOKUP($H559,매장구분!$B:$Z,3,0),"")</f>
        <v>국내</v>
      </c>
      <c r="D559" s="46" t="str">
        <f>IFERROR(VLOOKUP($H559,매장구분!$B:$Z,5,0),"")</f>
        <v>대리점</v>
      </c>
      <c r="E559" s="46" t="str">
        <f>IFERROR(VLOOKUP($H559,매장구분!$B:$Z,9,0),"")</f>
        <v>마산합성(대-위)</v>
      </c>
      <c r="G559" s="36" t="s">
        <v>546</v>
      </c>
      <c r="H559" s="36" t="s">
        <v>547</v>
      </c>
      <c r="I559" s="36" t="s">
        <v>169</v>
      </c>
      <c r="J559" s="36" t="s">
        <v>79</v>
      </c>
      <c r="K559" s="36" t="s">
        <v>170</v>
      </c>
      <c r="L559" s="36" t="s">
        <v>171</v>
      </c>
      <c r="M559" s="36" t="s">
        <v>196</v>
      </c>
      <c r="N559" s="36" t="s">
        <v>197</v>
      </c>
      <c r="O559" s="36">
        <v>10272138</v>
      </c>
      <c r="P559" s="36">
        <v>94</v>
      </c>
      <c r="Q559" s="36">
        <v>0</v>
      </c>
      <c r="R559" s="36">
        <v>0</v>
      </c>
      <c r="S559" s="36">
        <v>0</v>
      </c>
      <c r="T559" s="36">
        <v>0</v>
      </c>
      <c r="U559" s="36">
        <v>2604062</v>
      </c>
      <c r="V559" s="36">
        <v>19</v>
      </c>
      <c r="W559" s="36">
        <v>0</v>
      </c>
      <c r="X559" s="36">
        <v>0</v>
      </c>
      <c r="Y559" s="48">
        <v>0</v>
      </c>
      <c r="Z559" s="36">
        <v>0</v>
      </c>
      <c r="AA559" s="36">
        <v>0</v>
      </c>
      <c r="AB559" s="36">
        <v>0</v>
      </c>
      <c r="AC559" s="36">
        <v>12876200</v>
      </c>
      <c r="AD559" s="36">
        <v>113</v>
      </c>
      <c r="AF559" s="47">
        <f t="shared" si="8"/>
        <v>12876200</v>
      </c>
    </row>
    <row r="560" spans="1:32" x14ac:dyDescent="0.3">
      <c r="A560" s="46" t="s">
        <v>2</v>
      </c>
      <c r="B560" s="46" t="str">
        <f>IFERROR(VLOOKUP($H560,매장구분!$B:$Z,2,0),"")</f>
        <v>리테일채널팀</v>
      </c>
      <c r="C560" s="46" t="str">
        <f>IFERROR(VLOOKUP($H560,매장구분!$B:$Z,3,0),"")</f>
        <v>RF</v>
      </c>
      <c r="D560" s="46" t="str">
        <f>IFERROR(VLOOKUP($H560,매장구분!$B:$Z,5,0),"")</f>
        <v>직영점</v>
      </c>
      <c r="E560" s="46" t="str">
        <f>IFERROR(VLOOKUP($H560,매장구분!$B:$Z,9,0),"")</f>
        <v>명동중앙(직)</v>
      </c>
      <c r="G560" s="36" t="s">
        <v>538</v>
      </c>
      <c r="H560" s="36" t="s">
        <v>539</v>
      </c>
      <c r="I560" s="36" t="s">
        <v>169</v>
      </c>
      <c r="J560" s="36" t="s">
        <v>180</v>
      </c>
      <c r="K560" s="36" t="s">
        <v>170</v>
      </c>
      <c r="L560" s="36" t="s">
        <v>171</v>
      </c>
      <c r="M560" s="36" t="s">
        <v>196</v>
      </c>
      <c r="N560" s="36" t="s">
        <v>206</v>
      </c>
      <c r="O560" s="36">
        <v>245432000</v>
      </c>
      <c r="P560" s="36">
        <v>3171</v>
      </c>
      <c r="Q560" s="36">
        <v>0</v>
      </c>
      <c r="R560" s="36">
        <v>0</v>
      </c>
      <c r="S560" s="36">
        <v>0</v>
      </c>
      <c r="T560" s="36">
        <v>0</v>
      </c>
      <c r="U560" s="36">
        <v>109000</v>
      </c>
      <c r="V560" s="36">
        <v>1</v>
      </c>
      <c r="W560" s="36">
        <v>0</v>
      </c>
      <c r="X560" s="36">
        <v>0</v>
      </c>
      <c r="Y560" s="48">
        <v>0</v>
      </c>
      <c r="Z560" s="36">
        <v>0</v>
      </c>
      <c r="AA560" s="36">
        <v>0</v>
      </c>
      <c r="AB560" s="36">
        <v>0</v>
      </c>
      <c r="AC560" s="36">
        <v>245541000</v>
      </c>
      <c r="AD560" s="36">
        <v>3172</v>
      </c>
      <c r="AF560" s="47">
        <f t="shared" si="8"/>
        <v>245541000</v>
      </c>
    </row>
    <row r="561" spans="1:32" x14ac:dyDescent="0.3">
      <c r="A561" s="46" t="s">
        <v>2</v>
      </c>
      <c r="B561" s="46" t="str">
        <f>IFERROR(VLOOKUP($H561,매장구분!$B:$Z,2,0),"")</f>
        <v>리테일채널팀</v>
      </c>
      <c r="C561" s="46" t="str">
        <f>IFERROR(VLOOKUP($H561,매장구분!$B:$Z,3,0),"")</f>
        <v>국내</v>
      </c>
      <c r="D561" s="46" t="str">
        <f>IFERROR(VLOOKUP($H561,매장구분!$B:$Z,5,0),"")</f>
        <v>대리점</v>
      </c>
      <c r="E561" s="46" t="str">
        <f>IFERROR(VLOOKUP($H561,매장구분!$B:$Z,9,0),"")</f>
        <v>스퀘어원인천(대-위)</v>
      </c>
      <c r="G561" s="36" t="s">
        <v>532</v>
      </c>
      <c r="H561" s="36" t="s">
        <v>533</v>
      </c>
      <c r="I561" s="36" t="s">
        <v>169</v>
      </c>
      <c r="J561" s="36" t="s">
        <v>79</v>
      </c>
      <c r="K561" s="36" t="s">
        <v>170</v>
      </c>
      <c r="L561" s="36" t="s">
        <v>171</v>
      </c>
      <c r="M561" s="36" t="s">
        <v>188</v>
      </c>
      <c r="N561" s="36" t="s">
        <v>317</v>
      </c>
      <c r="O561" s="36">
        <v>27489824</v>
      </c>
      <c r="P561" s="36">
        <v>238</v>
      </c>
      <c r="Q561" s="36">
        <v>0</v>
      </c>
      <c r="R561" s="36">
        <v>0</v>
      </c>
      <c r="S561" s="36">
        <v>0</v>
      </c>
      <c r="T561" s="36">
        <v>0</v>
      </c>
      <c r="U561" s="36">
        <v>1600776</v>
      </c>
      <c r="V561" s="36">
        <v>14</v>
      </c>
      <c r="W561" s="36">
        <v>0</v>
      </c>
      <c r="X561" s="36">
        <v>0</v>
      </c>
      <c r="Y561" s="48">
        <v>0</v>
      </c>
      <c r="Z561" s="36">
        <v>0</v>
      </c>
      <c r="AA561" s="36">
        <v>0</v>
      </c>
      <c r="AB561" s="36">
        <v>0</v>
      </c>
      <c r="AC561" s="36">
        <v>29090600</v>
      </c>
      <c r="AD561" s="36">
        <v>252</v>
      </c>
      <c r="AF561" s="47">
        <f t="shared" si="8"/>
        <v>29090600</v>
      </c>
    </row>
    <row r="562" spans="1:32" x14ac:dyDescent="0.3">
      <c r="A562" s="46" t="s">
        <v>2</v>
      </c>
      <c r="B562" s="46" t="str">
        <f>IFERROR(VLOOKUP($H562,매장구분!$B:$Z,2,0),"")</f>
        <v>리테일채널팀</v>
      </c>
      <c r="C562" s="46" t="str">
        <f>IFERROR(VLOOKUP($H562,매장구분!$B:$Z,3,0),"")</f>
        <v>국내</v>
      </c>
      <c r="D562" s="46" t="str">
        <f>IFERROR(VLOOKUP($H562,매장구분!$B:$Z,5,0),"")</f>
        <v>직영점</v>
      </c>
      <c r="E562" s="46" t="str">
        <f>IFERROR(VLOOKUP($H562,매장구분!$B:$Z,9,0),"")</f>
        <v>충장로</v>
      </c>
      <c r="G562" s="36" t="s">
        <v>544</v>
      </c>
      <c r="H562" s="36" t="s">
        <v>545</v>
      </c>
      <c r="I562" s="36" t="s">
        <v>169</v>
      </c>
      <c r="J562" s="36" t="s">
        <v>180</v>
      </c>
      <c r="K562" s="36" t="s">
        <v>170</v>
      </c>
      <c r="L562" s="36" t="s">
        <v>171</v>
      </c>
      <c r="M562" s="36" t="s">
        <v>196</v>
      </c>
      <c r="N562" s="36" t="s">
        <v>206</v>
      </c>
      <c r="O562" s="36">
        <v>23361500</v>
      </c>
      <c r="P562" s="36">
        <v>248</v>
      </c>
      <c r="Q562" s="36">
        <v>0</v>
      </c>
      <c r="R562" s="36">
        <v>0</v>
      </c>
      <c r="S562" s="36">
        <v>0</v>
      </c>
      <c r="T562" s="36">
        <v>0</v>
      </c>
      <c r="U562" s="36">
        <v>627000</v>
      </c>
      <c r="V562" s="36">
        <v>5</v>
      </c>
      <c r="W562" s="36">
        <v>0</v>
      </c>
      <c r="X562" s="36">
        <v>0</v>
      </c>
      <c r="Y562" s="48">
        <v>0</v>
      </c>
      <c r="Z562" s="36">
        <v>0</v>
      </c>
      <c r="AA562" s="36">
        <v>0</v>
      </c>
      <c r="AB562" s="36">
        <v>0</v>
      </c>
      <c r="AC562" s="36">
        <v>23988500</v>
      </c>
      <c r="AD562" s="36">
        <v>253</v>
      </c>
      <c r="AF562" s="47">
        <f t="shared" si="8"/>
        <v>23988500</v>
      </c>
    </row>
    <row r="563" spans="1:32" x14ac:dyDescent="0.3">
      <c r="A563" s="46" t="s">
        <v>2</v>
      </c>
      <c r="B563" s="46" t="str">
        <f>IFERROR(VLOOKUP($H563,매장구분!$B:$Z,2,0),"")</f>
        <v>리테일채널팀</v>
      </c>
      <c r="C563" s="46" t="str">
        <f>IFERROR(VLOOKUP($H563,매장구분!$B:$Z,3,0),"")</f>
        <v>국내</v>
      </c>
      <c r="D563" s="46" t="str">
        <f>IFERROR(VLOOKUP($H563,매장구분!$B:$Z,5,0),"")</f>
        <v>대리점</v>
      </c>
      <c r="E563" s="46" t="str">
        <f>IFERROR(VLOOKUP($H563,매장구분!$B:$Z,9,0),"")</f>
        <v>구미인동(대-위)</v>
      </c>
      <c r="G563" s="36" t="s">
        <v>558</v>
      </c>
      <c r="H563" s="36" t="s">
        <v>559</v>
      </c>
      <c r="I563" s="36" t="s">
        <v>169</v>
      </c>
      <c r="J563" s="36" t="s">
        <v>79</v>
      </c>
      <c r="K563" s="36" t="s">
        <v>170</v>
      </c>
      <c r="L563" s="36" t="s">
        <v>171</v>
      </c>
      <c r="M563" s="36" t="s">
        <v>196</v>
      </c>
      <c r="N563" s="36" t="s">
        <v>197</v>
      </c>
      <c r="O563" s="36">
        <v>7954700</v>
      </c>
      <c r="P563" s="36">
        <v>78</v>
      </c>
      <c r="Q563" s="36">
        <v>0</v>
      </c>
      <c r="R563" s="36">
        <v>0</v>
      </c>
      <c r="S563" s="36">
        <v>0</v>
      </c>
      <c r="T563" s="36">
        <v>0</v>
      </c>
      <c r="U563" s="36">
        <v>867000</v>
      </c>
      <c r="V563" s="36">
        <v>3</v>
      </c>
      <c r="W563" s="36">
        <v>0</v>
      </c>
      <c r="X563" s="36">
        <v>0</v>
      </c>
      <c r="Y563" s="48">
        <v>0</v>
      </c>
      <c r="Z563" s="36">
        <v>0</v>
      </c>
      <c r="AA563" s="36">
        <v>0</v>
      </c>
      <c r="AB563" s="36">
        <v>0</v>
      </c>
      <c r="AC563" s="36">
        <v>8821700</v>
      </c>
      <c r="AD563" s="36">
        <v>81</v>
      </c>
      <c r="AF563" s="47">
        <f t="shared" si="8"/>
        <v>8821700</v>
      </c>
    </row>
    <row r="564" spans="1:32" x14ac:dyDescent="0.3">
      <c r="A564" s="46" t="s">
        <v>2</v>
      </c>
      <c r="B564" s="46" t="str">
        <f>IFERROR(VLOOKUP($H564,매장구분!$B:$Z,2,0),"")</f>
        <v>리테일채널팀</v>
      </c>
      <c r="C564" s="46" t="str">
        <f>IFERROR(VLOOKUP($H564,매장구분!$B:$Z,3,0),"")</f>
        <v>국내</v>
      </c>
      <c r="D564" s="46" t="str">
        <f>IFERROR(VLOOKUP($H564,매장구분!$B:$Z,5,0),"")</f>
        <v>직영점</v>
      </c>
      <c r="E564" s="46" t="str">
        <f>IFERROR(VLOOKUP($H564,매장구분!$B:$Z,9,0),"")</f>
        <v>스타필드안성(직)</v>
      </c>
      <c r="G564" s="36" t="s">
        <v>554</v>
      </c>
      <c r="H564" s="36" t="s">
        <v>555</v>
      </c>
      <c r="I564" s="36" t="s">
        <v>169</v>
      </c>
      <c r="J564" s="36" t="s">
        <v>180</v>
      </c>
      <c r="K564" s="36" t="s">
        <v>170</v>
      </c>
      <c r="L564" s="36" t="s">
        <v>171</v>
      </c>
      <c r="M564" s="36" t="s">
        <v>188</v>
      </c>
      <c r="N564" s="36" t="s">
        <v>189</v>
      </c>
      <c r="O564" s="36">
        <v>16958950</v>
      </c>
      <c r="P564" s="36">
        <v>174</v>
      </c>
      <c r="Q564" s="36">
        <v>342000</v>
      </c>
      <c r="R564" s="36">
        <v>2</v>
      </c>
      <c r="S564" s="36">
        <v>0</v>
      </c>
      <c r="T564" s="36">
        <v>0</v>
      </c>
      <c r="U564" s="36">
        <v>1343150</v>
      </c>
      <c r="V564" s="36">
        <v>9</v>
      </c>
      <c r="W564" s="36">
        <v>0</v>
      </c>
      <c r="X564" s="36">
        <v>0</v>
      </c>
      <c r="Y564" s="48">
        <v>0</v>
      </c>
      <c r="Z564" s="36">
        <v>0</v>
      </c>
      <c r="AA564" s="36">
        <v>0</v>
      </c>
      <c r="AB564" s="36">
        <v>0</v>
      </c>
      <c r="AC564" s="36">
        <v>18644100</v>
      </c>
      <c r="AD564" s="36">
        <v>185</v>
      </c>
      <c r="AF564" s="47">
        <f t="shared" si="8"/>
        <v>18644100</v>
      </c>
    </row>
    <row r="565" spans="1:32" x14ac:dyDescent="0.3">
      <c r="A565" s="46" t="s">
        <v>2</v>
      </c>
      <c r="B565" s="46" t="str">
        <f>IFERROR(VLOOKUP($H565,매장구분!$B:$Z,2,0),"")</f>
        <v>리테일채널팀</v>
      </c>
      <c r="C565" s="46" t="str">
        <f>IFERROR(VLOOKUP($H565,매장구분!$B:$Z,3,0),"")</f>
        <v>국내</v>
      </c>
      <c r="D565" s="46" t="str">
        <f>IFERROR(VLOOKUP($H565,매장구분!$B:$Z,5,0),"")</f>
        <v>대리점</v>
      </c>
      <c r="E565" s="46" t="str">
        <f>IFERROR(VLOOKUP($H565,매장구분!$B:$Z,9,0),"")</f>
        <v>경산(대-위)</v>
      </c>
      <c r="G565" s="36" t="s">
        <v>556</v>
      </c>
      <c r="H565" s="36" t="s">
        <v>557</v>
      </c>
      <c r="I565" s="36" t="s">
        <v>169</v>
      </c>
      <c r="J565" s="36" t="s">
        <v>79</v>
      </c>
      <c r="K565" s="36" t="s">
        <v>170</v>
      </c>
      <c r="L565" s="36" t="s">
        <v>171</v>
      </c>
      <c r="M565" s="36" t="s">
        <v>196</v>
      </c>
      <c r="N565" s="36" t="s">
        <v>197</v>
      </c>
      <c r="O565" s="36">
        <v>18429402</v>
      </c>
      <c r="P565" s="36">
        <v>146</v>
      </c>
      <c r="Q565" s="36">
        <v>0</v>
      </c>
      <c r="R565" s="36">
        <v>0</v>
      </c>
      <c r="S565" s="36">
        <v>0</v>
      </c>
      <c r="T565" s="36">
        <v>0</v>
      </c>
      <c r="U565" s="36">
        <v>2522000</v>
      </c>
      <c r="V565" s="36">
        <v>18</v>
      </c>
      <c r="W565" s="36">
        <v>0</v>
      </c>
      <c r="X565" s="36">
        <v>0</v>
      </c>
      <c r="Y565" s="48">
        <v>0</v>
      </c>
      <c r="Z565" s="36">
        <v>0</v>
      </c>
      <c r="AA565" s="36">
        <v>0</v>
      </c>
      <c r="AB565" s="36">
        <v>0</v>
      </c>
      <c r="AC565" s="36">
        <v>20951402</v>
      </c>
      <c r="AD565" s="36">
        <v>164</v>
      </c>
      <c r="AF565" s="47">
        <f t="shared" si="8"/>
        <v>20951402</v>
      </c>
    </row>
    <row r="566" spans="1:32" x14ac:dyDescent="0.3">
      <c r="A566" s="46" t="s">
        <v>2</v>
      </c>
      <c r="B566" s="46" t="str">
        <f>IFERROR(VLOOKUP($H566,매장구분!$B:$Z,2,0),"")</f>
        <v>파트너채널팀</v>
      </c>
      <c r="C566" s="46" t="str">
        <f>IFERROR(VLOOKUP($H566,매장구분!$B:$Z,3,0),"")</f>
        <v>국내</v>
      </c>
      <c r="D566" s="46" t="str">
        <f>IFERROR(VLOOKUP($H566,매장구분!$B:$Z,5,0),"")</f>
        <v>백화점</v>
      </c>
      <c r="E566" s="46" t="str">
        <f>IFERROR(VLOOKUP($H566,매장구분!$B:$Z,9,0),"")</f>
        <v>AK수원</v>
      </c>
      <c r="G566" s="36" t="s">
        <v>552</v>
      </c>
      <c r="H566" s="36" t="s">
        <v>553</v>
      </c>
      <c r="I566" s="36" t="s">
        <v>169</v>
      </c>
      <c r="J566" s="36" t="s">
        <v>175</v>
      </c>
      <c r="K566" s="36" t="s">
        <v>170</v>
      </c>
      <c r="L566" s="36" t="s">
        <v>171</v>
      </c>
      <c r="M566" s="36" t="s">
        <v>77</v>
      </c>
      <c r="N566" s="36" t="s">
        <v>172</v>
      </c>
      <c r="O566" s="36">
        <v>15950800</v>
      </c>
      <c r="P566" s="36">
        <v>173</v>
      </c>
      <c r="Q566" s="36">
        <v>0</v>
      </c>
      <c r="R566" s="36">
        <v>0</v>
      </c>
      <c r="S566" s="36">
        <v>0</v>
      </c>
      <c r="T566" s="36">
        <v>0</v>
      </c>
      <c r="U566" s="36">
        <v>102000</v>
      </c>
      <c r="V566" s="36">
        <v>2</v>
      </c>
      <c r="W566" s="36">
        <v>0</v>
      </c>
      <c r="X566" s="36">
        <v>0</v>
      </c>
      <c r="Y566" s="48">
        <v>14747000</v>
      </c>
      <c r="Z566" s="36">
        <v>47</v>
      </c>
      <c r="AA566" s="36">
        <v>0</v>
      </c>
      <c r="AB566" s="36">
        <v>0</v>
      </c>
      <c r="AC566" s="36">
        <v>30799800</v>
      </c>
      <c r="AD566" s="36">
        <v>222</v>
      </c>
      <c r="AF566" s="47">
        <f t="shared" si="8"/>
        <v>16052800</v>
      </c>
    </row>
    <row r="567" spans="1:32" x14ac:dyDescent="0.3">
      <c r="A567" s="46" t="s">
        <v>2</v>
      </c>
      <c r="B567" s="46" t="str">
        <f>IFERROR(VLOOKUP($H567,매장구분!$B:$Z,2,0),"")</f>
        <v>E-biz</v>
      </c>
      <c r="C567" s="46" t="str">
        <f>IFERROR(VLOOKUP($H567,매장구분!$B:$Z,3,0),"")</f>
        <v>국내</v>
      </c>
      <c r="D567" s="46" t="str">
        <f>IFERROR(VLOOKUP($H567,매장구분!$B:$Z,5,0),"")</f>
        <v>온(제휴몰)</v>
      </c>
      <c r="E567" s="46" t="str">
        <f>IFERROR(VLOOKUP($H567,매장구분!$B:$Z,9,0),"")</f>
        <v>GS SHOP(제휴몰)</v>
      </c>
      <c r="G567" s="36" t="s">
        <v>550</v>
      </c>
      <c r="H567" s="36" t="s">
        <v>551</v>
      </c>
      <c r="I567" s="36" t="s">
        <v>169</v>
      </c>
      <c r="J567" s="36" t="s">
        <v>180</v>
      </c>
      <c r="K567" s="36" t="s">
        <v>170</v>
      </c>
      <c r="L567" s="36" t="s">
        <v>181</v>
      </c>
      <c r="M567" s="36" t="s">
        <v>181</v>
      </c>
      <c r="N567" s="36" t="s">
        <v>185</v>
      </c>
      <c r="O567" s="36">
        <v>22390200</v>
      </c>
      <c r="P567" s="36">
        <v>194</v>
      </c>
      <c r="Q567" s="36">
        <v>0</v>
      </c>
      <c r="R567" s="36">
        <v>0</v>
      </c>
      <c r="S567" s="36">
        <v>0</v>
      </c>
      <c r="T567" s="36">
        <v>0</v>
      </c>
      <c r="U567" s="36">
        <v>0</v>
      </c>
      <c r="V567" s="36">
        <v>0</v>
      </c>
      <c r="W567" s="36">
        <v>0</v>
      </c>
      <c r="X567" s="36">
        <v>0</v>
      </c>
      <c r="Y567" s="48">
        <v>0</v>
      </c>
      <c r="Z567" s="36">
        <v>0</v>
      </c>
      <c r="AA567" s="36">
        <v>0</v>
      </c>
      <c r="AB567" s="36">
        <v>0</v>
      </c>
      <c r="AC567" s="36">
        <v>22390200</v>
      </c>
      <c r="AD567" s="36">
        <v>194</v>
      </c>
      <c r="AF567" s="47">
        <f t="shared" si="8"/>
        <v>22390200</v>
      </c>
    </row>
    <row r="568" spans="1:32" x14ac:dyDescent="0.3">
      <c r="A568" s="46" t="s">
        <v>2</v>
      </c>
      <c r="B568" s="46" t="str">
        <f>IFERROR(VLOOKUP($H568,매장구분!$B:$Z,2,0),"")</f>
        <v>리테일채널팀</v>
      </c>
      <c r="C568" s="46" t="str">
        <f>IFERROR(VLOOKUP($H568,매장구분!$B:$Z,3,0),"")</f>
        <v>국내</v>
      </c>
      <c r="D568" s="46" t="str">
        <f>IFERROR(VLOOKUP($H568,매장구분!$B:$Z,5,0),"")</f>
        <v>대리점</v>
      </c>
      <c r="E568" s="46" t="str">
        <f>IFERROR(VLOOKUP($H568,매장구분!$B:$Z,9,0),"")</f>
        <v>부천(대-위)</v>
      </c>
      <c r="G568" s="36" t="s">
        <v>530</v>
      </c>
      <c r="H568" s="36" t="s">
        <v>531</v>
      </c>
      <c r="I568" s="36" t="s">
        <v>169</v>
      </c>
      <c r="J568" s="36" t="s">
        <v>79</v>
      </c>
      <c r="K568" s="36" t="s">
        <v>170</v>
      </c>
      <c r="L568" s="36" t="s">
        <v>171</v>
      </c>
      <c r="M568" s="36" t="s">
        <v>196</v>
      </c>
      <c r="N568" s="36" t="s">
        <v>197</v>
      </c>
      <c r="O568" s="36">
        <v>12429558</v>
      </c>
      <c r="P568" s="36">
        <v>102</v>
      </c>
      <c r="Q568" s="36">
        <v>0</v>
      </c>
      <c r="R568" s="36">
        <v>0</v>
      </c>
      <c r="S568" s="36">
        <v>0</v>
      </c>
      <c r="T568" s="36">
        <v>0</v>
      </c>
      <c r="U568" s="36">
        <v>733482</v>
      </c>
      <c r="V568" s="36">
        <v>5</v>
      </c>
      <c r="W568" s="36">
        <v>0</v>
      </c>
      <c r="X568" s="36">
        <v>0</v>
      </c>
      <c r="Y568" s="48">
        <v>2480000</v>
      </c>
      <c r="Z568" s="36">
        <v>20</v>
      </c>
      <c r="AA568" s="36">
        <v>0</v>
      </c>
      <c r="AB568" s="36">
        <v>0</v>
      </c>
      <c r="AC568" s="36">
        <v>15643040</v>
      </c>
      <c r="AD568" s="36">
        <v>127</v>
      </c>
      <c r="AF568" s="47">
        <f t="shared" si="8"/>
        <v>13163040</v>
      </c>
    </row>
    <row r="569" spans="1:32" x14ac:dyDescent="0.3">
      <c r="A569" s="46" t="s">
        <v>2</v>
      </c>
      <c r="B569" s="46" t="str">
        <f>IFERROR(VLOOKUP($H569,매장구분!$B:$Z,2,0),"")</f>
        <v>파트너채널팀</v>
      </c>
      <c r="C569" s="46" t="str">
        <f>IFERROR(VLOOKUP($H569,매장구분!$B:$Z,3,0),"")</f>
        <v>면세</v>
      </c>
      <c r="D569" s="46" t="str">
        <f>IFERROR(VLOOKUP($H569,매장구분!$B:$Z,5,0),"")</f>
        <v>면세</v>
      </c>
      <c r="E569" s="46" t="str">
        <f>IFERROR(VLOOKUP($H569,매장구분!$B:$Z,9,0),"")</f>
        <v>신라면세용산</v>
      </c>
      <c r="G569" s="36" t="s">
        <v>542</v>
      </c>
      <c r="H569" s="36" t="s">
        <v>543</v>
      </c>
      <c r="I569" s="36" t="s">
        <v>169</v>
      </c>
      <c r="J569" s="36" t="s">
        <v>175</v>
      </c>
      <c r="K569" s="36" t="s">
        <v>170</v>
      </c>
      <c r="L569" s="36" t="s">
        <v>171</v>
      </c>
      <c r="M569" s="36" t="s">
        <v>176</v>
      </c>
      <c r="N569" s="36" t="s">
        <v>177</v>
      </c>
      <c r="O569" s="36">
        <v>365100</v>
      </c>
      <c r="P569" s="36">
        <v>2</v>
      </c>
      <c r="Q569" s="36">
        <v>0</v>
      </c>
      <c r="R569" s="36">
        <v>0</v>
      </c>
      <c r="S569" s="36">
        <v>0</v>
      </c>
      <c r="T569" s="36">
        <v>0</v>
      </c>
      <c r="U569" s="36">
        <v>0</v>
      </c>
      <c r="V569" s="36">
        <v>0</v>
      </c>
      <c r="W569" s="36">
        <v>0</v>
      </c>
      <c r="X569" s="36">
        <v>0</v>
      </c>
      <c r="Y569" s="48">
        <v>448779900</v>
      </c>
      <c r="Z569" s="36">
        <v>10120</v>
      </c>
      <c r="AA569" s="36">
        <v>0</v>
      </c>
      <c r="AB569" s="36">
        <v>0</v>
      </c>
      <c r="AC569" s="36">
        <v>449145000</v>
      </c>
      <c r="AD569" s="36">
        <v>10122</v>
      </c>
      <c r="AF569" s="47">
        <f t="shared" si="8"/>
        <v>365100</v>
      </c>
    </row>
    <row r="570" spans="1:32" x14ac:dyDescent="0.3">
      <c r="A570" s="46" t="s">
        <v>2</v>
      </c>
      <c r="B570" s="46" t="str">
        <f>IFERROR(VLOOKUP($H570,매장구분!$B:$Z,2,0),"")</f>
        <v>파트너채널팀</v>
      </c>
      <c r="C570" s="46" t="str">
        <f>IFERROR(VLOOKUP($H570,매장구분!$B:$Z,3,0),"")</f>
        <v>국내</v>
      </c>
      <c r="D570" s="46" t="str">
        <f>IFERROR(VLOOKUP($H570,매장구분!$B:$Z,5,0),"")</f>
        <v>백화점</v>
      </c>
      <c r="E570" s="46" t="str">
        <f>IFERROR(VLOOKUP($H570,매장구분!$B:$Z,9,0),"")</f>
        <v>롯데대구</v>
      </c>
      <c r="G570" s="36" t="s">
        <v>536</v>
      </c>
      <c r="H570" s="36" t="s">
        <v>537</v>
      </c>
      <c r="I570" s="36" t="s">
        <v>169</v>
      </c>
      <c r="J570" s="36" t="s">
        <v>175</v>
      </c>
      <c r="K570" s="36" t="s">
        <v>170</v>
      </c>
      <c r="L570" s="36" t="s">
        <v>171</v>
      </c>
      <c r="M570" s="36" t="s">
        <v>77</v>
      </c>
      <c r="N570" s="36" t="s">
        <v>172</v>
      </c>
      <c r="O570" s="36">
        <v>8264460</v>
      </c>
      <c r="P570" s="36">
        <v>72</v>
      </c>
      <c r="Q570" s="36">
        <v>872000</v>
      </c>
      <c r="R570" s="36">
        <v>10</v>
      </c>
      <c r="S570" s="36">
        <v>0</v>
      </c>
      <c r="T570" s="36">
        <v>0</v>
      </c>
      <c r="U570" s="36">
        <v>935440</v>
      </c>
      <c r="V570" s="36">
        <v>5</v>
      </c>
      <c r="W570" s="36">
        <v>0</v>
      </c>
      <c r="X570" s="36">
        <v>0</v>
      </c>
      <c r="Y570" s="48">
        <v>0</v>
      </c>
      <c r="Z570" s="36">
        <v>0</v>
      </c>
      <c r="AA570" s="36">
        <v>0</v>
      </c>
      <c r="AB570" s="36">
        <v>0</v>
      </c>
      <c r="AC570" s="36">
        <v>10071900</v>
      </c>
      <c r="AD570" s="36">
        <v>87</v>
      </c>
      <c r="AF570" s="47">
        <f t="shared" si="8"/>
        <v>10071900</v>
      </c>
    </row>
    <row r="571" spans="1:32" x14ac:dyDescent="0.3">
      <c r="A571" s="46" t="s">
        <v>2</v>
      </c>
      <c r="B571" s="46" t="str">
        <f>IFERROR(VLOOKUP($H571,매장구분!$B:$Z,2,0),"")</f>
        <v>파트너채널팀</v>
      </c>
      <c r="C571" s="46" t="str">
        <f>IFERROR(VLOOKUP($H571,매장구분!$B:$Z,3,0),"")</f>
        <v>국내</v>
      </c>
      <c r="D571" s="46" t="str">
        <f>IFERROR(VLOOKUP($H571,매장구분!$B:$Z,5,0),"")</f>
        <v>백화점</v>
      </c>
      <c r="E571" s="46" t="str">
        <f>IFERROR(VLOOKUP($H571,매장구분!$B:$Z,9,0),"")</f>
        <v>롯데창원</v>
      </c>
      <c r="G571" s="36" t="s">
        <v>548</v>
      </c>
      <c r="H571" s="36" t="s">
        <v>549</v>
      </c>
      <c r="I571" s="36" t="s">
        <v>169</v>
      </c>
      <c r="J571" s="36" t="s">
        <v>175</v>
      </c>
      <c r="K571" s="36" t="s">
        <v>170</v>
      </c>
      <c r="L571" s="36" t="s">
        <v>171</v>
      </c>
      <c r="M571" s="36" t="s">
        <v>77</v>
      </c>
      <c r="N571" s="36" t="s">
        <v>172</v>
      </c>
      <c r="O571" s="36">
        <v>21017480</v>
      </c>
      <c r="P571" s="36">
        <v>231</v>
      </c>
      <c r="Q571" s="36">
        <v>0</v>
      </c>
      <c r="R571" s="36">
        <v>0</v>
      </c>
      <c r="S571" s="36">
        <v>0</v>
      </c>
      <c r="T571" s="36">
        <v>0</v>
      </c>
      <c r="U571" s="36">
        <v>1107120</v>
      </c>
      <c r="V571" s="36">
        <v>6</v>
      </c>
      <c r="W571" s="36">
        <v>0</v>
      </c>
      <c r="X571" s="36">
        <v>0</v>
      </c>
      <c r="Y571" s="48">
        <v>16637000</v>
      </c>
      <c r="Z571" s="36">
        <v>327</v>
      </c>
      <c r="AA571" s="36">
        <v>0</v>
      </c>
      <c r="AB571" s="36">
        <v>0</v>
      </c>
      <c r="AC571" s="36">
        <v>38761600</v>
      </c>
      <c r="AD571" s="36">
        <v>564</v>
      </c>
      <c r="AF571" s="47">
        <f t="shared" si="8"/>
        <v>22124600</v>
      </c>
    </row>
    <row r="572" spans="1:32" x14ac:dyDescent="0.3">
      <c r="A572" s="46" t="s">
        <v>2</v>
      </c>
      <c r="B572" s="46" t="str">
        <f>IFERROR(VLOOKUP($H572,매장구분!$B:$Z,2,0),"")</f>
        <v>파트너채널팀</v>
      </c>
      <c r="C572" s="46" t="str">
        <f>IFERROR(VLOOKUP($H572,매장구분!$B:$Z,3,0),"")</f>
        <v>국내</v>
      </c>
      <c r="D572" s="46" t="str">
        <f>IFERROR(VLOOKUP($H572,매장구분!$B:$Z,5,0),"")</f>
        <v>백화점</v>
      </c>
      <c r="E572" s="46" t="str">
        <f>IFERROR(VLOOKUP($H572,매장구분!$B:$Z,9,0),"")</f>
        <v>현대대구</v>
      </c>
      <c r="G572" s="36" t="s">
        <v>540</v>
      </c>
      <c r="H572" s="36" t="s">
        <v>541</v>
      </c>
      <c r="I572" s="36" t="s">
        <v>169</v>
      </c>
      <c r="J572" s="36" t="s">
        <v>175</v>
      </c>
      <c r="K572" s="36" t="s">
        <v>170</v>
      </c>
      <c r="L572" s="36" t="s">
        <v>171</v>
      </c>
      <c r="M572" s="36" t="s">
        <v>77</v>
      </c>
      <c r="N572" s="36" t="s">
        <v>172</v>
      </c>
      <c r="O572" s="36">
        <v>16254820</v>
      </c>
      <c r="P572" s="36">
        <v>196</v>
      </c>
      <c r="Q572" s="36">
        <v>2813800</v>
      </c>
      <c r="R572" s="36">
        <v>18</v>
      </c>
      <c r="S572" s="36">
        <v>0</v>
      </c>
      <c r="T572" s="36">
        <v>0</v>
      </c>
      <c r="U572" s="36">
        <v>3331980</v>
      </c>
      <c r="V572" s="36">
        <v>19</v>
      </c>
      <c r="W572" s="36">
        <v>0</v>
      </c>
      <c r="X572" s="36">
        <v>0</v>
      </c>
      <c r="Y572" s="48">
        <v>0</v>
      </c>
      <c r="Z572" s="36">
        <v>0</v>
      </c>
      <c r="AA572" s="36">
        <v>0</v>
      </c>
      <c r="AB572" s="36">
        <v>0</v>
      </c>
      <c r="AC572" s="36">
        <v>22400600</v>
      </c>
      <c r="AD572" s="36">
        <v>233</v>
      </c>
      <c r="AF572" s="47">
        <f t="shared" si="8"/>
        <v>22400600</v>
      </c>
    </row>
    <row r="573" spans="1:32" x14ac:dyDescent="0.3">
      <c r="A573" s="46" t="s">
        <v>2</v>
      </c>
      <c r="B573" s="46" t="str">
        <f>IFERROR(VLOOKUP($H573,매장구분!$B:$Z,2,0),"")</f>
        <v>리테일채널팀</v>
      </c>
      <c r="C573" s="46" t="str">
        <f>IFERROR(VLOOKUP($H573,매장구분!$B:$Z,3,0),"")</f>
        <v>국내</v>
      </c>
      <c r="D573" s="46" t="str">
        <f>IFERROR(VLOOKUP($H573,매장구분!$B:$Z,5,0),"")</f>
        <v>대리점</v>
      </c>
      <c r="E573" s="46" t="str">
        <f>IFERROR(VLOOKUP($H573,매장구분!$B:$Z,9,0),"")</f>
        <v>동해(대-위)</v>
      </c>
      <c r="G573" s="36" t="s">
        <v>534</v>
      </c>
      <c r="H573" s="36" t="s">
        <v>535</v>
      </c>
      <c r="I573" s="36" t="s">
        <v>169</v>
      </c>
      <c r="J573" s="36" t="s">
        <v>79</v>
      </c>
      <c r="K573" s="36" t="s">
        <v>170</v>
      </c>
      <c r="L573" s="36" t="s">
        <v>171</v>
      </c>
      <c r="M573" s="36" t="s">
        <v>196</v>
      </c>
      <c r="N573" s="36" t="s">
        <v>197</v>
      </c>
      <c r="O573" s="36">
        <v>15168248</v>
      </c>
      <c r="P573" s="36">
        <v>151</v>
      </c>
      <c r="Q573" s="36">
        <v>0</v>
      </c>
      <c r="R573" s="36">
        <v>0</v>
      </c>
      <c r="S573" s="36">
        <v>0</v>
      </c>
      <c r="T573" s="36">
        <v>0</v>
      </c>
      <c r="U573" s="36">
        <v>4310479</v>
      </c>
      <c r="V573" s="36">
        <v>29</v>
      </c>
      <c r="W573" s="36">
        <v>0</v>
      </c>
      <c r="X573" s="36">
        <v>0</v>
      </c>
      <c r="Y573" s="48">
        <v>0</v>
      </c>
      <c r="Z573" s="36">
        <v>0</v>
      </c>
      <c r="AA573" s="36">
        <v>0</v>
      </c>
      <c r="AB573" s="36">
        <v>0</v>
      </c>
      <c r="AC573" s="36">
        <v>19478727</v>
      </c>
      <c r="AD573" s="36">
        <v>180</v>
      </c>
      <c r="AF573" s="47">
        <f t="shared" si="8"/>
        <v>19478727</v>
      </c>
    </row>
    <row r="574" spans="1:32" x14ac:dyDescent="0.3">
      <c r="A574" s="46" t="s">
        <v>2</v>
      </c>
      <c r="B574" s="46" t="str">
        <f>IFERROR(VLOOKUP($H574,매장구분!$B:$Z,2,0),"")</f>
        <v>리테일채널팀</v>
      </c>
      <c r="C574" s="46" t="str">
        <f>IFERROR(VLOOKUP($H574,매장구분!$B:$Z,3,0),"")</f>
        <v>국내</v>
      </c>
      <c r="D574" s="46" t="str">
        <f>IFERROR(VLOOKUP($H574,매장구분!$B:$Z,5,0),"")</f>
        <v>상설(위탁)</v>
      </c>
      <c r="E574" s="46" t="str">
        <f>IFERROR(VLOOKUP($H574,매장구분!$B:$Z,9,0),"")</f>
        <v>롯데아울렛이천(상-위)</v>
      </c>
      <c r="G574" s="36" t="s">
        <v>560</v>
      </c>
      <c r="H574" s="36" t="s">
        <v>561</v>
      </c>
      <c r="I574" s="36" t="s">
        <v>169</v>
      </c>
      <c r="J574" s="36" t="s">
        <v>79</v>
      </c>
      <c r="K574" s="36" t="s">
        <v>170</v>
      </c>
      <c r="L574" s="36" t="s">
        <v>171</v>
      </c>
      <c r="M574" s="36" t="s">
        <v>219</v>
      </c>
      <c r="N574" s="36" t="s">
        <v>219</v>
      </c>
      <c r="O574" s="36">
        <v>2522000</v>
      </c>
      <c r="P574" s="36">
        <v>62</v>
      </c>
      <c r="Q574" s="36">
        <v>0</v>
      </c>
      <c r="R574" s="36">
        <v>0</v>
      </c>
      <c r="S574" s="36">
        <v>0</v>
      </c>
      <c r="T574" s="36">
        <v>0</v>
      </c>
      <c r="U574" s="36">
        <v>0</v>
      </c>
      <c r="V574" s="36">
        <v>0</v>
      </c>
      <c r="W574" s="36">
        <v>0</v>
      </c>
      <c r="X574" s="36">
        <v>0</v>
      </c>
      <c r="Y574" s="48">
        <v>0</v>
      </c>
      <c r="Z574" s="36">
        <v>0</v>
      </c>
      <c r="AA574" s="36">
        <v>0</v>
      </c>
      <c r="AB574" s="36">
        <v>0</v>
      </c>
      <c r="AC574" s="36">
        <v>2522000</v>
      </c>
      <c r="AD574" s="36">
        <v>62</v>
      </c>
      <c r="AF574" s="47">
        <f t="shared" si="8"/>
        <v>2522000</v>
      </c>
    </row>
    <row r="575" spans="1:32" x14ac:dyDescent="0.3">
      <c r="A575" s="46" t="s">
        <v>2</v>
      </c>
      <c r="B575" s="46" t="str">
        <f>IFERROR(VLOOKUP($H575,매장구분!$B:$Z,2,0),"")</f>
        <v>리테일채널팀</v>
      </c>
      <c r="C575" s="46" t="str">
        <f>IFERROR(VLOOKUP($H575,매장구분!$B:$Z,3,0),"")</f>
        <v>국내</v>
      </c>
      <c r="D575" s="46" t="str">
        <f>IFERROR(VLOOKUP($H575,매장구분!$B:$Z,5,0),"")</f>
        <v>상설(위탁)</v>
      </c>
      <c r="E575" s="46" t="str">
        <f>IFERROR(VLOOKUP($H575,매장구분!$B:$Z,9,0),"")</f>
        <v>마리오(상-위)</v>
      </c>
      <c r="G575" s="36" t="s">
        <v>564</v>
      </c>
      <c r="H575" s="36" t="s">
        <v>565</v>
      </c>
      <c r="I575" s="36" t="s">
        <v>169</v>
      </c>
      <c r="J575" s="36" t="s">
        <v>79</v>
      </c>
      <c r="K575" s="36" t="s">
        <v>170</v>
      </c>
      <c r="L575" s="36" t="s">
        <v>171</v>
      </c>
      <c r="M575" s="36" t="s">
        <v>77</v>
      </c>
      <c r="N575" s="36" t="s">
        <v>238</v>
      </c>
      <c r="O575" s="36">
        <v>1631000</v>
      </c>
      <c r="P575" s="36">
        <v>41</v>
      </c>
      <c r="Q575" s="36">
        <v>0</v>
      </c>
      <c r="R575" s="36">
        <v>0</v>
      </c>
      <c r="S575" s="36">
        <v>0</v>
      </c>
      <c r="T575" s="36">
        <v>0</v>
      </c>
      <c r="U575" s="36">
        <v>0</v>
      </c>
      <c r="V575" s="36">
        <v>0</v>
      </c>
      <c r="W575" s="36">
        <v>0</v>
      </c>
      <c r="X575" s="36">
        <v>0</v>
      </c>
      <c r="Y575" s="48">
        <v>0</v>
      </c>
      <c r="Z575" s="36">
        <v>0</v>
      </c>
      <c r="AA575" s="36">
        <v>0</v>
      </c>
      <c r="AB575" s="36">
        <v>0</v>
      </c>
      <c r="AC575" s="36">
        <v>1631000</v>
      </c>
      <c r="AD575" s="36">
        <v>41</v>
      </c>
      <c r="AF575" s="47">
        <f t="shared" si="8"/>
        <v>1631000</v>
      </c>
    </row>
    <row r="576" spans="1:32" x14ac:dyDescent="0.3">
      <c r="A576" s="46" t="s">
        <v>2</v>
      </c>
      <c r="B576" s="46" t="str">
        <f>IFERROR(VLOOKUP($H576,매장구분!$B:$Z,2,0),"")</f>
        <v>리테일채널팀</v>
      </c>
      <c r="C576" s="46" t="str">
        <f>IFERROR(VLOOKUP($H576,매장구분!$B:$Z,3,0),"")</f>
        <v>국내</v>
      </c>
      <c r="D576" s="46" t="str">
        <f>IFERROR(VLOOKUP($H576,매장구분!$B:$Z,5,0),"")</f>
        <v>상설(위탁)</v>
      </c>
      <c r="E576" s="46" t="str">
        <f>IFERROR(VLOOKUP($H576,매장구분!$B:$Z,9,0),"")</f>
        <v>롯데아울렛군산(상-위)</v>
      </c>
      <c r="G576" s="36" t="s">
        <v>562</v>
      </c>
      <c r="H576" s="36" t="s">
        <v>563</v>
      </c>
      <c r="I576" s="36" t="s">
        <v>169</v>
      </c>
      <c r="J576" s="36" t="s">
        <v>79</v>
      </c>
      <c r="K576" s="36" t="s">
        <v>170</v>
      </c>
      <c r="L576" s="36" t="s">
        <v>171</v>
      </c>
      <c r="M576" s="36" t="s">
        <v>219</v>
      </c>
      <c r="N576" s="36" t="s">
        <v>219</v>
      </c>
      <c r="O576" s="36">
        <v>792000</v>
      </c>
      <c r="P576" s="36">
        <v>22</v>
      </c>
      <c r="Q576" s="36">
        <v>0</v>
      </c>
      <c r="R576" s="36">
        <v>0</v>
      </c>
      <c r="S576" s="36">
        <v>0</v>
      </c>
      <c r="T576" s="36">
        <v>0</v>
      </c>
      <c r="U576" s="36">
        <v>0</v>
      </c>
      <c r="V576" s="36">
        <v>0</v>
      </c>
      <c r="W576" s="36">
        <v>0</v>
      </c>
      <c r="X576" s="36">
        <v>0</v>
      </c>
      <c r="Y576" s="48">
        <v>0</v>
      </c>
      <c r="Z576" s="36">
        <v>0</v>
      </c>
      <c r="AA576" s="36">
        <v>0</v>
      </c>
      <c r="AB576" s="36">
        <v>0</v>
      </c>
      <c r="AC576" s="36">
        <v>792000</v>
      </c>
      <c r="AD576" s="36">
        <v>22</v>
      </c>
      <c r="AF576" s="47">
        <f t="shared" si="8"/>
        <v>792000</v>
      </c>
    </row>
    <row r="577" spans="1:32" x14ac:dyDescent="0.3">
      <c r="A577" s="46" t="s">
        <v>758</v>
      </c>
      <c r="B577" s="46" t="str">
        <f>IFERROR(VLOOKUP($H577,매장구분!$B:$Z,2,0),"")</f>
        <v>리테일채널팀</v>
      </c>
      <c r="C577" s="46" t="str">
        <f>IFERROR(VLOOKUP($H577,매장구분!$B:$Z,3,0),"")</f>
        <v>국내</v>
      </c>
      <c r="D577" s="46" t="str">
        <f>IFERROR(VLOOKUP($H577,매장구분!$B:$Z,5,0),"")</f>
        <v>상설(위탁)</v>
      </c>
      <c r="E577" s="46" t="str">
        <f>IFERROR(VLOOKUP($H577,매장구분!$B:$Z,9,0),"")</f>
        <v>LF스퀘어광양(상-위)</v>
      </c>
      <c r="G577" s="36" t="s">
        <v>167</v>
      </c>
      <c r="H577" s="36" t="s">
        <v>168</v>
      </c>
      <c r="I577" s="36" t="s">
        <v>169</v>
      </c>
      <c r="J577" s="36" t="s">
        <v>79</v>
      </c>
      <c r="K577" s="36" t="s">
        <v>170</v>
      </c>
      <c r="L577" s="36" t="s">
        <v>171</v>
      </c>
      <c r="M577" s="36" t="s">
        <v>77</v>
      </c>
      <c r="N577" s="36" t="s">
        <v>172</v>
      </c>
      <c r="O577" s="36">
        <v>1440000</v>
      </c>
      <c r="P577" s="36">
        <v>40</v>
      </c>
      <c r="Q577" s="36">
        <v>0</v>
      </c>
      <c r="R577" s="36">
        <v>0</v>
      </c>
      <c r="S577" s="36">
        <v>0</v>
      </c>
      <c r="T577" s="36">
        <v>0</v>
      </c>
      <c r="U577" s="36">
        <v>0</v>
      </c>
      <c r="V577" s="36">
        <v>0</v>
      </c>
      <c r="W577" s="36">
        <v>0</v>
      </c>
      <c r="X577" s="36">
        <v>0</v>
      </c>
      <c r="Y577" s="48">
        <v>0</v>
      </c>
      <c r="Z577" s="36">
        <v>0</v>
      </c>
      <c r="AA577" s="36">
        <v>0</v>
      </c>
      <c r="AB577" s="36">
        <v>0</v>
      </c>
      <c r="AC577" s="36">
        <v>1440000</v>
      </c>
      <c r="AD577" s="36">
        <v>40</v>
      </c>
      <c r="AF577" s="47">
        <f t="shared" si="8"/>
        <v>1440000</v>
      </c>
    </row>
    <row r="578" spans="1:32" x14ac:dyDescent="0.3">
      <c r="A578" s="46" t="s">
        <v>758</v>
      </c>
      <c r="B578" s="46" t="str">
        <f>IFERROR(VLOOKUP($H578,매장구분!$B:$Z,2,0),"")</f>
        <v>E-biz</v>
      </c>
      <c r="C578" s="46" t="str">
        <f>IFERROR(VLOOKUP($H578,매장구분!$B:$Z,3,0),"")</f>
        <v>국내</v>
      </c>
      <c r="D578" s="46" t="str">
        <f>IFERROR(VLOOKUP($H578,매장구분!$B:$Z,5,0),"")</f>
        <v>온(제휴몰)</v>
      </c>
      <c r="E578" s="46" t="str">
        <f>IFERROR(VLOOKUP($H578,매장구분!$B:$Z,9,0),"")</f>
        <v>무신사(제휴몰)</v>
      </c>
      <c r="G578" s="36" t="s">
        <v>183</v>
      </c>
      <c r="H578" s="36" t="s">
        <v>184</v>
      </c>
      <c r="I578" s="36" t="s">
        <v>169</v>
      </c>
      <c r="J578" s="36" t="s">
        <v>180</v>
      </c>
      <c r="K578" s="36" t="s">
        <v>170</v>
      </c>
      <c r="L578" s="36" t="s">
        <v>181</v>
      </c>
      <c r="M578" s="36" t="s">
        <v>181</v>
      </c>
      <c r="N578" s="36" t="s">
        <v>185</v>
      </c>
      <c r="O578" s="36">
        <v>442341100</v>
      </c>
      <c r="P578" s="36">
        <v>4561</v>
      </c>
      <c r="Q578" s="36">
        <v>0</v>
      </c>
      <c r="R578" s="36">
        <v>0</v>
      </c>
      <c r="S578" s="36">
        <v>0</v>
      </c>
      <c r="T578" s="36">
        <v>0</v>
      </c>
      <c r="U578" s="36">
        <v>0</v>
      </c>
      <c r="V578" s="36">
        <v>0</v>
      </c>
      <c r="W578" s="36">
        <v>0</v>
      </c>
      <c r="X578" s="36">
        <v>0</v>
      </c>
      <c r="Y578" s="48">
        <v>0</v>
      </c>
      <c r="Z578" s="36">
        <v>0</v>
      </c>
      <c r="AA578" s="36">
        <v>0</v>
      </c>
      <c r="AB578" s="36">
        <v>0</v>
      </c>
      <c r="AC578" s="36">
        <v>442341100</v>
      </c>
      <c r="AD578" s="36">
        <v>4561</v>
      </c>
      <c r="AF578" s="47">
        <f t="shared" si="8"/>
        <v>442341100</v>
      </c>
    </row>
    <row r="579" spans="1:32" x14ac:dyDescent="0.3">
      <c r="A579" s="46" t="s">
        <v>758</v>
      </c>
      <c r="B579" s="46" t="str">
        <f>IFERROR(VLOOKUP($H579,매장구분!$B:$Z,2,0),"")</f>
        <v>파트너채널팀</v>
      </c>
      <c r="C579" s="46" t="str">
        <f>IFERROR(VLOOKUP($H579,매장구분!$B:$Z,3,0),"")</f>
        <v>국내</v>
      </c>
      <c r="D579" s="46" t="str">
        <f>IFERROR(VLOOKUP($H579,매장구분!$B:$Z,5,0),"")</f>
        <v>백화점</v>
      </c>
      <c r="E579" s="46" t="str">
        <f>IFERROR(VLOOKUP($H579,매장구분!$B:$Z,9,0),"")</f>
        <v>롯데영등포</v>
      </c>
      <c r="G579" s="36" t="s">
        <v>202</v>
      </c>
      <c r="H579" s="36" t="s">
        <v>203</v>
      </c>
      <c r="I579" s="36" t="s">
        <v>169</v>
      </c>
      <c r="J579" s="36" t="s">
        <v>175</v>
      </c>
      <c r="K579" s="36" t="s">
        <v>170</v>
      </c>
      <c r="L579" s="36" t="s">
        <v>171</v>
      </c>
      <c r="M579" s="36" t="s">
        <v>77</v>
      </c>
      <c r="N579" s="36" t="s">
        <v>172</v>
      </c>
      <c r="O579" s="36">
        <v>17144620</v>
      </c>
      <c r="P579" s="36">
        <v>160</v>
      </c>
      <c r="Q579" s="36">
        <v>2203100</v>
      </c>
      <c r="R579" s="36">
        <v>33</v>
      </c>
      <c r="S579" s="36">
        <v>0</v>
      </c>
      <c r="T579" s="36">
        <v>0</v>
      </c>
      <c r="U579" s="36">
        <v>2359180</v>
      </c>
      <c r="V579" s="36">
        <v>12</v>
      </c>
      <c r="W579" s="36">
        <v>0</v>
      </c>
      <c r="X579" s="36">
        <v>0</v>
      </c>
      <c r="Y579" s="48">
        <v>0</v>
      </c>
      <c r="Z579" s="36">
        <v>0</v>
      </c>
      <c r="AA579" s="36">
        <v>0</v>
      </c>
      <c r="AB579" s="36">
        <v>0</v>
      </c>
      <c r="AC579" s="36">
        <v>21706900</v>
      </c>
      <c r="AD579" s="36">
        <v>205</v>
      </c>
      <c r="AF579" s="47">
        <f t="shared" ref="AF579:AF642" si="9">IFERROR(AC579-Y579,"")</f>
        <v>21706900</v>
      </c>
    </row>
    <row r="580" spans="1:32" x14ac:dyDescent="0.3">
      <c r="A580" s="46" t="s">
        <v>758</v>
      </c>
      <c r="B580" s="46" t="str">
        <f>IFERROR(VLOOKUP($H580,매장구분!$B:$Z,2,0),"")</f>
        <v>리테일채널팀</v>
      </c>
      <c r="C580" s="46" t="str">
        <f>IFERROR(VLOOKUP($H580,매장구분!$B:$Z,3,0),"")</f>
        <v>국내</v>
      </c>
      <c r="D580" s="46" t="str">
        <f>IFERROR(VLOOKUP($H580,매장구분!$B:$Z,5,0),"")</f>
        <v>대리점</v>
      </c>
      <c r="E580" s="46" t="str">
        <f>IFERROR(VLOOKUP($H580,매장구분!$B:$Z,9,0),"")</f>
        <v>여수(대-위)</v>
      </c>
      <c r="G580" s="36" t="s">
        <v>198</v>
      </c>
      <c r="H580" s="36" t="s">
        <v>199</v>
      </c>
      <c r="I580" s="36" t="s">
        <v>169</v>
      </c>
      <c r="J580" s="36" t="s">
        <v>79</v>
      </c>
      <c r="K580" s="36" t="s">
        <v>170</v>
      </c>
      <c r="L580" s="36" t="s">
        <v>171</v>
      </c>
      <c r="M580" s="36" t="s">
        <v>196</v>
      </c>
      <c r="N580" s="36" t="s">
        <v>197</v>
      </c>
      <c r="O580" s="36">
        <v>14407100</v>
      </c>
      <c r="P580" s="36">
        <v>120</v>
      </c>
      <c r="Q580" s="36">
        <v>0</v>
      </c>
      <c r="R580" s="36">
        <v>0</v>
      </c>
      <c r="S580" s="36">
        <v>0</v>
      </c>
      <c r="T580" s="36">
        <v>0</v>
      </c>
      <c r="U580" s="36">
        <v>1083000</v>
      </c>
      <c r="V580" s="36">
        <v>7</v>
      </c>
      <c r="W580" s="36">
        <v>0</v>
      </c>
      <c r="X580" s="36">
        <v>0</v>
      </c>
      <c r="Y580" s="48">
        <v>0</v>
      </c>
      <c r="Z580" s="36">
        <v>0</v>
      </c>
      <c r="AA580" s="36">
        <v>0</v>
      </c>
      <c r="AB580" s="36">
        <v>0</v>
      </c>
      <c r="AC580" s="36">
        <v>15490100</v>
      </c>
      <c r="AD580" s="36">
        <v>127</v>
      </c>
      <c r="AF580" s="47">
        <f t="shared" si="9"/>
        <v>15490100</v>
      </c>
    </row>
    <row r="581" spans="1:32" x14ac:dyDescent="0.3">
      <c r="A581" s="46" t="s">
        <v>758</v>
      </c>
      <c r="B581" s="46" t="str">
        <f>IFERROR(VLOOKUP($H581,매장구분!$B:$Z,2,0),"")</f>
        <v>파트너채널팀</v>
      </c>
      <c r="C581" s="46" t="str">
        <f>IFERROR(VLOOKUP($H581,매장구분!$B:$Z,3,0),"")</f>
        <v>면세</v>
      </c>
      <c r="D581" s="46" t="str">
        <f>IFERROR(VLOOKUP($H581,매장구분!$B:$Z,5,0),"")</f>
        <v>면세</v>
      </c>
      <c r="E581" s="46" t="str">
        <f>IFERROR(VLOOKUP($H581,매장구분!$B:$Z,9,0),"")</f>
        <v>롯데면세월드</v>
      </c>
      <c r="G581" s="36" t="s">
        <v>213</v>
      </c>
      <c r="H581" s="36" t="s">
        <v>214</v>
      </c>
      <c r="I581" s="36" t="s">
        <v>169</v>
      </c>
      <c r="J581" s="36" t="s">
        <v>175</v>
      </c>
      <c r="K581" s="36" t="s">
        <v>170</v>
      </c>
      <c r="L581" s="36" t="s">
        <v>171</v>
      </c>
      <c r="M581" s="36" t="s">
        <v>176</v>
      </c>
      <c r="N581" s="36" t="s">
        <v>177</v>
      </c>
      <c r="O581" s="36">
        <v>6168800</v>
      </c>
      <c r="P581" s="36">
        <v>82</v>
      </c>
      <c r="Q581" s="36">
        <v>0</v>
      </c>
      <c r="R581" s="36">
        <v>0</v>
      </c>
      <c r="S581" s="36">
        <v>0</v>
      </c>
      <c r="T581" s="36">
        <v>0</v>
      </c>
      <c r="U581" s="36">
        <v>0</v>
      </c>
      <c r="V581" s="36">
        <v>0</v>
      </c>
      <c r="W581" s="36">
        <v>0</v>
      </c>
      <c r="X581" s="36">
        <v>0</v>
      </c>
      <c r="Y581" s="48">
        <v>91480600</v>
      </c>
      <c r="Z581" s="36">
        <v>1991</v>
      </c>
      <c r="AA581" s="36">
        <v>0</v>
      </c>
      <c r="AB581" s="36">
        <v>0</v>
      </c>
      <c r="AC581" s="36">
        <v>97649400</v>
      </c>
      <c r="AD581" s="36">
        <v>2073</v>
      </c>
      <c r="AF581" s="47">
        <f t="shared" si="9"/>
        <v>6168800</v>
      </c>
    </row>
    <row r="582" spans="1:32" x14ac:dyDescent="0.3">
      <c r="A582" s="46" t="s">
        <v>758</v>
      </c>
      <c r="B582" s="46" t="str">
        <f>IFERROR(VLOOKUP($H582,매장구분!$B:$Z,2,0),"")</f>
        <v>파트너채널팀</v>
      </c>
      <c r="C582" s="46" t="str">
        <f>IFERROR(VLOOKUP($H582,매장구분!$B:$Z,3,0),"")</f>
        <v>국내</v>
      </c>
      <c r="D582" s="46" t="str">
        <f>IFERROR(VLOOKUP($H582,매장구분!$B:$Z,5,0),"")</f>
        <v>백화점</v>
      </c>
      <c r="E582" s="46" t="str">
        <f>IFERROR(VLOOKUP($H582,매장구분!$B:$Z,9,0),"")</f>
        <v>롯데안산</v>
      </c>
      <c r="G582" s="36" t="s">
        <v>200</v>
      </c>
      <c r="H582" s="36" t="s">
        <v>201</v>
      </c>
      <c r="I582" s="36" t="s">
        <v>169</v>
      </c>
      <c r="J582" s="36" t="s">
        <v>175</v>
      </c>
      <c r="K582" s="36" t="s">
        <v>170</v>
      </c>
      <c r="L582" s="36" t="s">
        <v>171</v>
      </c>
      <c r="M582" s="36" t="s">
        <v>77</v>
      </c>
      <c r="N582" s="36" t="s">
        <v>172</v>
      </c>
      <c r="O582" s="36">
        <v>13967170</v>
      </c>
      <c r="P582" s="36">
        <v>193</v>
      </c>
      <c r="Q582" s="36">
        <v>139000</v>
      </c>
      <c r="R582" s="36">
        <v>3</v>
      </c>
      <c r="S582" s="36">
        <v>0</v>
      </c>
      <c r="T582" s="36">
        <v>0</v>
      </c>
      <c r="U582" s="36">
        <v>785070</v>
      </c>
      <c r="V582" s="36">
        <v>4</v>
      </c>
      <c r="W582" s="36">
        <v>0</v>
      </c>
      <c r="X582" s="36">
        <v>0</v>
      </c>
      <c r="Y582" s="48">
        <v>40735060</v>
      </c>
      <c r="Z582" s="36">
        <v>420</v>
      </c>
      <c r="AA582" s="36">
        <v>0</v>
      </c>
      <c r="AB582" s="36">
        <v>0</v>
      </c>
      <c r="AC582" s="36">
        <v>55626300</v>
      </c>
      <c r="AD582" s="36">
        <v>620</v>
      </c>
      <c r="AF582" s="47">
        <f t="shared" si="9"/>
        <v>14891240</v>
      </c>
    </row>
    <row r="583" spans="1:32" x14ac:dyDescent="0.3">
      <c r="A583" s="46" t="s">
        <v>758</v>
      </c>
      <c r="B583" s="46" t="str">
        <f>IFERROR(VLOOKUP($H583,매장구분!$B:$Z,2,0),"")</f>
        <v>E-biz</v>
      </c>
      <c r="C583" s="46" t="str">
        <f>IFERROR(VLOOKUP($H583,매장구분!$B:$Z,3,0),"")</f>
        <v>국내</v>
      </c>
      <c r="D583" s="46" t="str">
        <f>IFERROR(VLOOKUP($H583,매장구분!$B:$Z,5,0),"")</f>
        <v>온(제휴몰)</v>
      </c>
      <c r="E583" s="46" t="str">
        <f>IFERROR(VLOOKUP($H583,매장구분!$B:$Z,9,0),"")</f>
        <v>네이버스토어(제휴몰)</v>
      </c>
      <c r="G583" s="36" t="s">
        <v>207</v>
      </c>
      <c r="H583" s="36" t="s">
        <v>208</v>
      </c>
      <c r="I583" s="36" t="s">
        <v>169</v>
      </c>
      <c r="J583" s="36" t="s">
        <v>180</v>
      </c>
      <c r="K583" s="36" t="s">
        <v>170</v>
      </c>
      <c r="L583" s="36" t="s">
        <v>181</v>
      </c>
      <c r="M583" s="36" t="s">
        <v>181</v>
      </c>
      <c r="N583" s="36" t="s">
        <v>185</v>
      </c>
      <c r="O583" s="36">
        <v>142167900</v>
      </c>
      <c r="P583" s="36">
        <v>1659</v>
      </c>
      <c r="Q583" s="36">
        <v>0</v>
      </c>
      <c r="R583" s="36">
        <v>0</v>
      </c>
      <c r="S583" s="36">
        <v>0</v>
      </c>
      <c r="T583" s="36">
        <v>0</v>
      </c>
      <c r="U583" s="36">
        <v>0</v>
      </c>
      <c r="V583" s="36">
        <v>0</v>
      </c>
      <c r="W583" s="36">
        <v>0</v>
      </c>
      <c r="X583" s="36">
        <v>0</v>
      </c>
      <c r="Y583" s="48">
        <v>0</v>
      </c>
      <c r="Z583" s="36">
        <v>0</v>
      </c>
      <c r="AA583" s="36">
        <v>0</v>
      </c>
      <c r="AB583" s="36">
        <v>0</v>
      </c>
      <c r="AC583" s="36">
        <v>142167900</v>
      </c>
      <c r="AD583" s="36">
        <v>1659</v>
      </c>
      <c r="AF583" s="47">
        <f t="shared" si="9"/>
        <v>142167900</v>
      </c>
    </row>
    <row r="584" spans="1:32" x14ac:dyDescent="0.3">
      <c r="A584" s="46" t="s">
        <v>758</v>
      </c>
      <c r="B584" s="46" t="str">
        <f>IFERROR(VLOOKUP($H584,매장구분!$B:$Z,2,0),"")</f>
        <v>파트너채널팀</v>
      </c>
      <c r="C584" s="46" t="str">
        <f>IFERROR(VLOOKUP($H584,매장구분!$B:$Z,3,0),"")</f>
        <v>국내</v>
      </c>
      <c r="D584" s="46" t="str">
        <f>IFERROR(VLOOKUP($H584,매장구분!$B:$Z,5,0),"")</f>
        <v>백화점</v>
      </c>
      <c r="E584" s="46" t="str">
        <f>IFERROR(VLOOKUP($H584,매장구분!$B:$Z,9,0),"")</f>
        <v>롯데김포</v>
      </c>
      <c r="G584" s="36" t="s">
        <v>190</v>
      </c>
      <c r="H584" s="36" t="s">
        <v>191</v>
      </c>
      <c r="I584" s="36" t="s">
        <v>169</v>
      </c>
      <c r="J584" s="36" t="s">
        <v>175</v>
      </c>
      <c r="K584" s="36" t="s">
        <v>170</v>
      </c>
      <c r="L584" s="36" t="s">
        <v>171</v>
      </c>
      <c r="M584" s="36" t="s">
        <v>77</v>
      </c>
      <c r="N584" s="36" t="s">
        <v>172</v>
      </c>
      <c r="O584" s="36">
        <v>19880140</v>
      </c>
      <c r="P584" s="36">
        <v>260</v>
      </c>
      <c r="Q584" s="36">
        <v>0</v>
      </c>
      <c r="R584" s="36">
        <v>0</v>
      </c>
      <c r="S584" s="36">
        <v>0</v>
      </c>
      <c r="T584" s="36">
        <v>0</v>
      </c>
      <c r="U584" s="36">
        <v>2319560</v>
      </c>
      <c r="V584" s="36">
        <v>11</v>
      </c>
      <c r="W584" s="36">
        <v>0</v>
      </c>
      <c r="X584" s="36">
        <v>0</v>
      </c>
      <c r="Y584" s="48">
        <v>0</v>
      </c>
      <c r="Z584" s="36">
        <v>0</v>
      </c>
      <c r="AA584" s="36">
        <v>0</v>
      </c>
      <c r="AB584" s="36">
        <v>0</v>
      </c>
      <c r="AC584" s="36">
        <v>22199700</v>
      </c>
      <c r="AD584" s="36">
        <v>271</v>
      </c>
      <c r="AF584" s="47">
        <f t="shared" si="9"/>
        <v>22199700</v>
      </c>
    </row>
    <row r="585" spans="1:32" x14ac:dyDescent="0.3">
      <c r="A585" s="46" t="s">
        <v>758</v>
      </c>
      <c r="B585" s="46" t="str">
        <f>IFERROR(VLOOKUP($H585,매장구분!$B:$Z,2,0),"")</f>
        <v>파트너채널팀</v>
      </c>
      <c r="C585" s="46" t="str">
        <f>IFERROR(VLOOKUP($H585,매장구분!$B:$Z,3,0),"")</f>
        <v>면세</v>
      </c>
      <c r="D585" s="46" t="str">
        <f>IFERROR(VLOOKUP($H585,매장구분!$B:$Z,5,0),"")</f>
        <v>면세</v>
      </c>
      <c r="E585" s="46" t="str">
        <f>IFERROR(VLOOKUP($H585,매장구분!$B:$Z,9,0),"")</f>
        <v>신세계면세명동</v>
      </c>
      <c r="G585" s="36" t="s">
        <v>173</v>
      </c>
      <c r="H585" s="36" t="s">
        <v>174</v>
      </c>
      <c r="I585" s="36" t="s">
        <v>169</v>
      </c>
      <c r="J585" s="36" t="s">
        <v>175</v>
      </c>
      <c r="K585" s="36" t="s">
        <v>170</v>
      </c>
      <c r="L585" s="36" t="s">
        <v>171</v>
      </c>
      <c r="M585" s="36" t="s">
        <v>176</v>
      </c>
      <c r="N585" s="36" t="s">
        <v>177</v>
      </c>
      <c r="O585" s="36">
        <v>188718400</v>
      </c>
      <c r="P585" s="36">
        <v>2557</v>
      </c>
      <c r="Q585" s="36">
        <v>0</v>
      </c>
      <c r="R585" s="36">
        <v>0</v>
      </c>
      <c r="S585" s="36">
        <v>0</v>
      </c>
      <c r="T585" s="36">
        <v>0</v>
      </c>
      <c r="U585" s="36">
        <v>0</v>
      </c>
      <c r="V585" s="36">
        <v>0</v>
      </c>
      <c r="W585" s="36">
        <v>0</v>
      </c>
      <c r="X585" s="36">
        <v>0</v>
      </c>
      <c r="Y585" s="48">
        <v>186799000</v>
      </c>
      <c r="Z585" s="36">
        <v>4245</v>
      </c>
      <c r="AA585" s="36">
        <v>0</v>
      </c>
      <c r="AB585" s="36">
        <v>0</v>
      </c>
      <c r="AC585" s="36">
        <v>375517400</v>
      </c>
      <c r="AD585" s="36">
        <v>6802</v>
      </c>
      <c r="AF585" s="47">
        <f t="shared" si="9"/>
        <v>188718400</v>
      </c>
    </row>
    <row r="586" spans="1:32" x14ac:dyDescent="0.3">
      <c r="A586" s="46" t="s">
        <v>758</v>
      </c>
      <c r="B586" s="46" t="str">
        <f>IFERROR(VLOOKUP($H586,매장구분!$B:$Z,2,0),"")</f>
        <v>E-biz</v>
      </c>
      <c r="C586" s="46" t="str">
        <f>IFERROR(VLOOKUP($H586,매장구분!$B:$Z,3,0),"")</f>
        <v>국내</v>
      </c>
      <c r="D586" s="46" t="str">
        <f>IFERROR(VLOOKUP($H586,매장구분!$B:$Z,5,0),"")</f>
        <v>온(자사몰)</v>
      </c>
      <c r="E586" s="46" t="str">
        <f>IFERROR(VLOOKUP($H586,매장구분!$B:$Z,9,0),"")</f>
        <v>온라인쇼핑몰</v>
      </c>
      <c r="G586" s="36" t="s">
        <v>178</v>
      </c>
      <c r="H586" s="36" t="s">
        <v>179</v>
      </c>
      <c r="I586" s="36" t="s">
        <v>169</v>
      </c>
      <c r="J586" s="36" t="s">
        <v>180</v>
      </c>
      <c r="K586" s="36" t="s">
        <v>170</v>
      </c>
      <c r="L586" s="36" t="s">
        <v>181</v>
      </c>
      <c r="M586" s="36" t="s">
        <v>181</v>
      </c>
      <c r="N586" s="36" t="s">
        <v>182</v>
      </c>
      <c r="O586" s="36">
        <v>319405090</v>
      </c>
      <c r="P586" s="36">
        <v>5256</v>
      </c>
      <c r="Q586" s="36">
        <v>0</v>
      </c>
      <c r="R586" s="36">
        <v>0</v>
      </c>
      <c r="S586" s="36">
        <v>0</v>
      </c>
      <c r="T586" s="36">
        <v>0</v>
      </c>
      <c r="U586" s="36">
        <v>0</v>
      </c>
      <c r="V586" s="36">
        <v>0</v>
      </c>
      <c r="W586" s="36">
        <v>0</v>
      </c>
      <c r="X586" s="36">
        <v>0</v>
      </c>
      <c r="Y586" s="48">
        <v>0</v>
      </c>
      <c r="Z586" s="36">
        <v>0</v>
      </c>
      <c r="AA586" s="36">
        <v>0</v>
      </c>
      <c r="AB586" s="36">
        <v>0</v>
      </c>
      <c r="AC586" s="36">
        <v>319405090</v>
      </c>
      <c r="AD586" s="36">
        <v>5256</v>
      </c>
      <c r="AF586" s="47">
        <f t="shared" si="9"/>
        <v>319405090</v>
      </c>
    </row>
    <row r="587" spans="1:32" x14ac:dyDescent="0.3">
      <c r="A587" s="46" t="s">
        <v>758</v>
      </c>
      <c r="B587" s="46" t="str">
        <f>IFERROR(VLOOKUP($H587,매장구분!$B:$Z,2,0),"")</f>
        <v>파트너채널팀</v>
      </c>
      <c r="C587" s="46" t="str">
        <f>IFERROR(VLOOKUP($H587,매장구분!$B:$Z,3,0),"")</f>
        <v>국내</v>
      </c>
      <c r="D587" s="46" t="str">
        <f>IFERROR(VLOOKUP($H587,매장구분!$B:$Z,5,0),"")</f>
        <v>백화점</v>
      </c>
      <c r="E587" s="46" t="str">
        <f>IFERROR(VLOOKUP($H587,매장구분!$B:$Z,9,0),"")</f>
        <v>신세계대구</v>
      </c>
      <c r="G587" s="36" t="s">
        <v>192</v>
      </c>
      <c r="H587" s="36" t="s">
        <v>193</v>
      </c>
      <c r="I587" s="36" t="s">
        <v>169</v>
      </c>
      <c r="J587" s="36" t="s">
        <v>175</v>
      </c>
      <c r="K587" s="36" t="s">
        <v>170</v>
      </c>
      <c r="L587" s="36" t="s">
        <v>171</v>
      </c>
      <c r="M587" s="36" t="s">
        <v>77</v>
      </c>
      <c r="N587" s="36" t="s">
        <v>172</v>
      </c>
      <c r="O587" s="36">
        <v>28336750</v>
      </c>
      <c r="P587" s="36">
        <v>366</v>
      </c>
      <c r="Q587" s="36">
        <v>0</v>
      </c>
      <c r="R587" s="36">
        <v>0</v>
      </c>
      <c r="S587" s="36">
        <v>0</v>
      </c>
      <c r="T587" s="36">
        <v>0</v>
      </c>
      <c r="U587" s="36">
        <v>2413150</v>
      </c>
      <c r="V587" s="36">
        <v>12</v>
      </c>
      <c r="W587" s="36">
        <v>0</v>
      </c>
      <c r="X587" s="36">
        <v>0</v>
      </c>
      <c r="Y587" s="48">
        <v>0</v>
      </c>
      <c r="Z587" s="36">
        <v>0</v>
      </c>
      <c r="AA587" s="36">
        <v>0</v>
      </c>
      <c r="AB587" s="36">
        <v>0</v>
      </c>
      <c r="AC587" s="36">
        <v>30749900</v>
      </c>
      <c r="AD587" s="36">
        <v>378</v>
      </c>
      <c r="AF587" s="47">
        <f t="shared" si="9"/>
        <v>30749900</v>
      </c>
    </row>
    <row r="588" spans="1:32" x14ac:dyDescent="0.3">
      <c r="A588" s="46" t="s">
        <v>758</v>
      </c>
      <c r="B588" s="46" t="str">
        <f>IFERROR(VLOOKUP($H588,매장구분!$B:$Z,2,0),"")</f>
        <v>E-biz</v>
      </c>
      <c r="C588" s="46" t="str">
        <f>IFERROR(VLOOKUP($H588,매장구분!$B:$Z,3,0),"")</f>
        <v>국내</v>
      </c>
      <c r="D588" s="46" t="str">
        <f>IFERROR(VLOOKUP($H588,매장구분!$B:$Z,5,0),"")</f>
        <v>온(제휴몰)</v>
      </c>
      <c r="E588" s="46" t="str">
        <f>IFERROR(VLOOKUP($H588,매장구분!$B:$Z,9,0),"")</f>
        <v>카카오선물하기(제휴몰)</v>
      </c>
      <c r="G588" s="36" t="s">
        <v>209</v>
      </c>
      <c r="H588" s="36" t="s">
        <v>210</v>
      </c>
      <c r="I588" s="36" t="s">
        <v>169</v>
      </c>
      <c r="J588" s="36" t="s">
        <v>180</v>
      </c>
      <c r="K588" s="36" t="s">
        <v>170</v>
      </c>
      <c r="L588" s="36" t="s">
        <v>181</v>
      </c>
      <c r="M588" s="36" t="s">
        <v>181</v>
      </c>
      <c r="N588" s="36" t="s">
        <v>185</v>
      </c>
      <c r="O588" s="36">
        <v>26038500</v>
      </c>
      <c r="P588" s="36">
        <v>653</v>
      </c>
      <c r="Q588" s="36">
        <v>0</v>
      </c>
      <c r="R588" s="36">
        <v>0</v>
      </c>
      <c r="S588" s="36">
        <v>0</v>
      </c>
      <c r="T588" s="36">
        <v>0</v>
      </c>
      <c r="U588" s="36">
        <v>0</v>
      </c>
      <c r="V588" s="36">
        <v>0</v>
      </c>
      <c r="W588" s="36">
        <v>0</v>
      </c>
      <c r="X588" s="36">
        <v>0</v>
      </c>
      <c r="Y588" s="48">
        <v>0</v>
      </c>
      <c r="Z588" s="36">
        <v>0</v>
      </c>
      <c r="AA588" s="36">
        <v>0</v>
      </c>
      <c r="AB588" s="36">
        <v>0</v>
      </c>
      <c r="AC588" s="36">
        <v>26038500</v>
      </c>
      <c r="AD588" s="36">
        <v>653</v>
      </c>
      <c r="AF588" s="47">
        <f t="shared" si="9"/>
        <v>26038500</v>
      </c>
    </row>
    <row r="589" spans="1:32" x14ac:dyDescent="0.3">
      <c r="A589" s="46" t="s">
        <v>758</v>
      </c>
      <c r="B589" s="46" t="str">
        <f>IFERROR(VLOOKUP($H589,매장구분!$B:$Z,2,0),"")</f>
        <v>리테일채널팀</v>
      </c>
      <c r="C589" s="46" t="str">
        <f>IFERROR(VLOOKUP($H589,매장구분!$B:$Z,3,0),"")</f>
        <v>국내</v>
      </c>
      <c r="D589" s="46" t="str">
        <f>IFERROR(VLOOKUP($H589,매장구분!$B:$Z,5,0),"")</f>
        <v>직영점</v>
      </c>
      <c r="E589" s="46" t="str">
        <f>IFERROR(VLOOKUP($H589,매장구분!$B:$Z,9,0),"")</f>
        <v>타임스퀘어영등포(직)</v>
      </c>
      <c r="G589" s="36" t="s">
        <v>186</v>
      </c>
      <c r="H589" s="36" t="s">
        <v>187</v>
      </c>
      <c r="I589" s="36" t="s">
        <v>169</v>
      </c>
      <c r="J589" s="36" t="s">
        <v>180</v>
      </c>
      <c r="K589" s="36" t="s">
        <v>170</v>
      </c>
      <c r="L589" s="36" t="s">
        <v>171</v>
      </c>
      <c r="M589" s="36" t="s">
        <v>188</v>
      </c>
      <c r="N589" s="36" t="s">
        <v>189</v>
      </c>
      <c r="O589" s="36">
        <v>24772090</v>
      </c>
      <c r="P589" s="36">
        <v>271</v>
      </c>
      <c r="Q589" s="36">
        <v>0</v>
      </c>
      <c r="R589" s="36">
        <v>0</v>
      </c>
      <c r="S589" s="36">
        <v>0</v>
      </c>
      <c r="T589" s="36">
        <v>0</v>
      </c>
      <c r="U589" s="36">
        <v>4188810</v>
      </c>
      <c r="V589" s="36">
        <v>22</v>
      </c>
      <c r="W589" s="36">
        <v>0</v>
      </c>
      <c r="X589" s="36">
        <v>0</v>
      </c>
      <c r="Y589" s="48">
        <v>0</v>
      </c>
      <c r="Z589" s="36">
        <v>0</v>
      </c>
      <c r="AA589" s="36">
        <v>0</v>
      </c>
      <c r="AB589" s="36">
        <v>0</v>
      </c>
      <c r="AC589" s="36">
        <v>28960900</v>
      </c>
      <c r="AD589" s="36">
        <v>293</v>
      </c>
      <c r="AF589" s="47">
        <f t="shared" si="9"/>
        <v>28960900</v>
      </c>
    </row>
    <row r="590" spans="1:32" x14ac:dyDescent="0.3">
      <c r="A590" s="46" t="s">
        <v>758</v>
      </c>
      <c r="B590" s="46" t="str">
        <f>IFERROR(VLOOKUP($H590,매장구분!$B:$Z,2,0),"")</f>
        <v>리테일채널팀</v>
      </c>
      <c r="C590" s="46" t="str">
        <f>IFERROR(VLOOKUP($H590,매장구분!$B:$Z,3,0),"")</f>
        <v>국내</v>
      </c>
      <c r="D590" s="46" t="str">
        <f>IFERROR(VLOOKUP($H590,매장구분!$B:$Z,5,0),"")</f>
        <v>직영점</v>
      </c>
      <c r="E590" s="46" t="str">
        <f>IFERROR(VLOOKUP($H590,매장구분!$B:$Z,9,0),"")</f>
        <v>동성로</v>
      </c>
      <c r="G590" s="36" t="s">
        <v>204</v>
      </c>
      <c r="H590" s="36" t="s">
        <v>205</v>
      </c>
      <c r="I590" s="36" t="s">
        <v>169</v>
      </c>
      <c r="J590" s="36" t="s">
        <v>180</v>
      </c>
      <c r="K590" s="36" t="s">
        <v>170</v>
      </c>
      <c r="L590" s="36" t="s">
        <v>171</v>
      </c>
      <c r="M590" s="36" t="s">
        <v>196</v>
      </c>
      <c r="N590" s="36" t="s">
        <v>206</v>
      </c>
      <c r="O590" s="36">
        <v>13933853</v>
      </c>
      <c r="P590" s="36">
        <v>212</v>
      </c>
      <c r="Q590" s="36">
        <v>0</v>
      </c>
      <c r="R590" s="36">
        <v>0</v>
      </c>
      <c r="S590" s="36">
        <v>0</v>
      </c>
      <c r="T590" s="36">
        <v>0</v>
      </c>
      <c r="U590" s="36">
        <v>1995547</v>
      </c>
      <c r="V590" s="36">
        <v>12</v>
      </c>
      <c r="W590" s="36">
        <v>0</v>
      </c>
      <c r="X590" s="36">
        <v>0</v>
      </c>
      <c r="Y590" s="48">
        <v>0</v>
      </c>
      <c r="Z590" s="36">
        <v>0</v>
      </c>
      <c r="AA590" s="36">
        <v>0</v>
      </c>
      <c r="AB590" s="36">
        <v>0</v>
      </c>
      <c r="AC590" s="36">
        <v>15929400</v>
      </c>
      <c r="AD590" s="36">
        <v>224</v>
      </c>
      <c r="AF590" s="47">
        <f t="shared" si="9"/>
        <v>15929400</v>
      </c>
    </row>
    <row r="591" spans="1:32" x14ac:dyDescent="0.3">
      <c r="A591" s="46" t="s">
        <v>758</v>
      </c>
      <c r="B591" s="46" t="str">
        <f>IFERROR(VLOOKUP($H591,매장구분!$B:$Z,2,0),"")</f>
        <v>E-biz</v>
      </c>
      <c r="C591" s="46" t="str">
        <f>IFERROR(VLOOKUP($H591,매장구분!$B:$Z,3,0),"")</f>
        <v>국내</v>
      </c>
      <c r="D591" s="46" t="str">
        <f>IFERROR(VLOOKUP($H591,매장구분!$B:$Z,5,0),"")</f>
        <v>온(제휴몰)</v>
      </c>
      <c r="E591" s="46" t="str">
        <f>IFERROR(VLOOKUP($H591,매장구분!$B:$Z,9,0),"")</f>
        <v>MLB 쇼피파이 글로벌</v>
      </c>
      <c r="G591" s="36" t="s">
        <v>569</v>
      </c>
      <c r="H591" s="36" t="s">
        <v>570</v>
      </c>
      <c r="I591" s="36" t="s">
        <v>169</v>
      </c>
      <c r="J591" s="36" t="s">
        <v>180</v>
      </c>
      <c r="K591" s="36" t="s">
        <v>170</v>
      </c>
      <c r="L591" s="36" t="s">
        <v>181</v>
      </c>
      <c r="M591" s="36" t="s">
        <v>181</v>
      </c>
      <c r="N591" s="36" t="s">
        <v>182</v>
      </c>
      <c r="O591" s="36">
        <v>2223697</v>
      </c>
      <c r="P591" s="36">
        <v>31</v>
      </c>
      <c r="Q591" s="36">
        <v>0</v>
      </c>
      <c r="R591" s="36">
        <v>0</v>
      </c>
      <c r="S591" s="36">
        <v>0</v>
      </c>
      <c r="T591" s="36">
        <v>0</v>
      </c>
      <c r="U591" s="36">
        <v>0</v>
      </c>
      <c r="V591" s="36">
        <v>0</v>
      </c>
      <c r="W591" s="36">
        <v>0</v>
      </c>
      <c r="X591" s="36">
        <v>0</v>
      </c>
      <c r="Y591" s="48">
        <v>0</v>
      </c>
      <c r="Z591" s="36">
        <v>0</v>
      </c>
      <c r="AA591" s="36">
        <v>0</v>
      </c>
      <c r="AB591" s="36">
        <v>0</v>
      </c>
      <c r="AC591" s="36">
        <v>2223697</v>
      </c>
      <c r="AD591" s="36">
        <v>31</v>
      </c>
      <c r="AF591" s="47">
        <f t="shared" si="9"/>
        <v>2223697</v>
      </c>
    </row>
    <row r="592" spans="1:32" x14ac:dyDescent="0.3">
      <c r="A592" s="46" t="s">
        <v>758</v>
      </c>
      <c r="B592" s="46" t="str">
        <f>IFERROR(VLOOKUP($H592,매장구분!$B:$Z,2,0),"")</f>
        <v>리테일채널팀</v>
      </c>
      <c r="C592" s="46" t="str">
        <f>IFERROR(VLOOKUP($H592,매장구분!$B:$Z,3,0),"")</f>
        <v>국내</v>
      </c>
      <c r="D592" s="46" t="str">
        <f>IFERROR(VLOOKUP($H592,매장구분!$B:$Z,5,0),"")</f>
        <v>대리점</v>
      </c>
      <c r="E592" s="46" t="str">
        <f>IFERROR(VLOOKUP($H592,매장구분!$B:$Z,9,0),"")</f>
        <v>인천(대-위)</v>
      </c>
      <c r="G592" s="36" t="s">
        <v>215</v>
      </c>
      <c r="H592" s="36" t="s">
        <v>216</v>
      </c>
      <c r="I592" s="36" t="s">
        <v>169</v>
      </c>
      <c r="J592" s="36" t="s">
        <v>79</v>
      </c>
      <c r="K592" s="36" t="s">
        <v>170</v>
      </c>
      <c r="L592" s="36" t="s">
        <v>171</v>
      </c>
      <c r="M592" s="36" t="s">
        <v>196</v>
      </c>
      <c r="N592" s="36" t="s">
        <v>197</v>
      </c>
      <c r="O592" s="36">
        <v>7306200</v>
      </c>
      <c r="P592" s="36">
        <v>63</v>
      </c>
      <c r="Q592" s="36">
        <v>0</v>
      </c>
      <c r="R592" s="36">
        <v>0</v>
      </c>
      <c r="S592" s="36">
        <v>0</v>
      </c>
      <c r="T592" s="36">
        <v>0</v>
      </c>
      <c r="U592" s="36">
        <v>1075000</v>
      </c>
      <c r="V592" s="36">
        <v>5</v>
      </c>
      <c r="W592" s="36">
        <v>0</v>
      </c>
      <c r="X592" s="36">
        <v>0</v>
      </c>
      <c r="Y592" s="48">
        <v>0</v>
      </c>
      <c r="Z592" s="36">
        <v>0</v>
      </c>
      <c r="AA592" s="36">
        <v>0</v>
      </c>
      <c r="AB592" s="36">
        <v>0</v>
      </c>
      <c r="AC592" s="36">
        <v>8381200</v>
      </c>
      <c r="AD592" s="36">
        <v>68</v>
      </c>
      <c r="AF592" s="47">
        <f t="shared" si="9"/>
        <v>8381200</v>
      </c>
    </row>
    <row r="593" spans="1:32" x14ac:dyDescent="0.3">
      <c r="A593" s="46" t="s">
        <v>758</v>
      </c>
      <c r="B593" s="46" t="str">
        <f>IFERROR(VLOOKUP($H593,매장구분!$B:$Z,2,0),"")</f>
        <v>리테일채널팀</v>
      </c>
      <c r="C593" s="46" t="str">
        <f>IFERROR(VLOOKUP($H593,매장구분!$B:$Z,3,0),"")</f>
        <v>국내</v>
      </c>
      <c r="D593" s="46" t="str">
        <f>IFERROR(VLOOKUP($H593,매장구분!$B:$Z,5,0),"")</f>
        <v>상설(위탁)</v>
      </c>
      <c r="E593" s="46" t="str">
        <f>IFERROR(VLOOKUP($H593,매장구분!$B:$Z,9,0),"")</f>
        <v>롯데아울렛봉무(상-위)</v>
      </c>
      <c r="G593" s="36" t="s">
        <v>220</v>
      </c>
      <c r="H593" s="36" t="s">
        <v>221</v>
      </c>
      <c r="I593" s="36" t="s">
        <v>169</v>
      </c>
      <c r="J593" s="36" t="s">
        <v>79</v>
      </c>
      <c r="K593" s="36" t="s">
        <v>170</v>
      </c>
      <c r="L593" s="36" t="s">
        <v>171</v>
      </c>
      <c r="M593" s="36" t="s">
        <v>219</v>
      </c>
      <c r="N593" s="36" t="s">
        <v>219</v>
      </c>
      <c r="O593" s="36">
        <v>2874000</v>
      </c>
      <c r="P593" s="36">
        <v>78</v>
      </c>
      <c r="Q593" s="36">
        <v>0</v>
      </c>
      <c r="R593" s="36">
        <v>0</v>
      </c>
      <c r="S593" s="36">
        <v>0</v>
      </c>
      <c r="T593" s="36">
        <v>0</v>
      </c>
      <c r="U593" s="36">
        <v>0</v>
      </c>
      <c r="V593" s="36">
        <v>0</v>
      </c>
      <c r="W593" s="36">
        <v>0</v>
      </c>
      <c r="X593" s="36">
        <v>0</v>
      </c>
      <c r="Y593" s="48">
        <v>0</v>
      </c>
      <c r="Z593" s="36">
        <v>0</v>
      </c>
      <c r="AA593" s="36">
        <v>0</v>
      </c>
      <c r="AB593" s="36">
        <v>0</v>
      </c>
      <c r="AC593" s="36">
        <v>2874000</v>
      </c>
      <c r="AD593" s="36">
        <v>78</v>
      </c>
      <c r="AF593" s="47">
        <f t="shared" si="9"/>
        <v>2874000</v>
      </c>
    </row>
    <row r="594" spans="1:32" x14ac:dyDescent="0.3">
      <c r="A594" s="46" t="s">
        <v>758</v>
      </c>
      <c r="B594" s="46" t="str">
        <f>IFERROR(VLOOKUP($H594,매장구분!$B:$Z,2,0),"")</f>
        <v>파트너채널팀</v>
      </c>
      <c r="C594" s="46" t="str">
        <f>IFERROR(VLOOKUP($H594,매장구분!$B:$Z,3,0),"")</f>
        <v>도매</v>
      </c>
      <c r="D594" s="46" t="str">
        <f>IFERROR(VLOOKUP($H594,매장구분!$B:$Z,5,0),"")</f>
        <v>도매</v>
      </c>
      <c r="E594" s="46" t="str">
        <f>IFERROR(VLOOKUP($H594,매장구분!$B:$Z,9,0),"")</f>
        <v>온라인완주</v>
      </c>
      <c r="G594" s="36" t="s">
        <v>566</v>
      </c>
      <c r="H594" s="36" t="s">
        <v>567</v>
      </c>
      <c r="I594" s="36" t="s">
        <v>169</v>
      </c>
      <c r="J594" s="36" t="s">
        <v>180</v>
      </c>
      <c r="K594" s="36" t="s">
        <v>170</v>
      </c>
      <c r="L594" s="36" t="s">
        <v>568</v>
      </c>
      <c r="M594" s="36" t="s">
        <v>181</v>
      </c>
      <c r="N594" s="36" t="s">
        <v>568</v>
      </c>
      <c r="O594" s="36">
        <v>45085950</v>
      </c>
      <c r="P594" s="36">
        <v>855</v>
      </c>
      <c r="Q594" s="36">
        <v>0</v>
      </c>
      <c r="R594" s="36">
        <v>0</v>
      </c>
      <c r="S594" s="36">
        <v>0</v>
      </c>
      <c r="T594" s="36">
        <v>0</v>
      </c>
      <c r="U594" s="36">
        <v>0</v>
      </c>
      <c r="V594" s="36">
        <v>0</v>
      </c>
      <c r="W594" s="36">
        <v>0</v>
      </c>
      <c r="X594" s="36">
        <v>0</v>
      </c>
      <c r="Y594" s="48">
        <v>0</v>
      </c>
      <c r="Z594" s="36">
        <v>0</v>
      </c>
      <c r="AA594" s="36">
        <v>0</v>
      </c>
      <c r="AB594" s="36">
        <v>0</v>
      </c>
      <c r="AC594" s="36">
        <v>45085950</v>
      </c>
      <c r="AD594" s="36">
        <v>855</v>
      </c>
      <c r="AF594" s="47">
        <f t="shared" si="9"/>
        <v>45085950</v>
      </c>
    </row>
    <row r="595" spans="1:32" x14ac:dyDescent="0.3">
      <c r="A595" s="46" t="s">
        <v>758</v>
      </c>
      <c r="B595" s="46" t="str">
        <f>IFERROR(VLOOKUP($H595,매장구분!$B:$Z,2,0),"")</f>
        <v>리테일채널팀</v>
      </c>
      <c r="C595" s="46" t="str">
        <f>IFERROR(VLOOKUP($H595,매장구분!$B:$Z,3,0),"")</f>
        <v>국내</v>
      </c>
      <c r="D595" s="46" t="str">
        <f>IFERROR(VLOOKUP($H595,매장구분!$B:$Z,5,0),"")</f>
        <v>대리점</v>
      </c>
      <c r="E595" s="46" t="str">
        <f>IFERROR(VLOOKUP($H595,매장구분!$B:$Z,9,0),"")</f>
        <v>아산(대-위)</v>
      </c>
      <c r="G595" s="36" t="s">
        <v>194</v>
      </c>
      <c r="H595" s="36" t="s">
        <v>195</v>
      </c>
      <c r="I595" s="36" t="s">
        <v>169</v>
      </c>
      <c r="J595" s="36" t="s">
        <v>79</v>
      </c>
      <c r="K595" s="36" t="s">
        <v>170</v>
      </c>
      <c r="L595" s="36" t="s">
        <v>171</v>
      </c>
      <c r="M595" s="36" t="s">
        <v>196</v>
      </c>
      <c r="N595" s="36" t="s">
        <v>197</v>
      </c>
      <c r="O595" s="36">
        <v>8373765</v>
      </c>
      <c r="P595" s="36">
        <v>92</v>
      </c>
      <c r="Q595" s="36">
        <v>0</v>
      </c>
      <c r="R595" s="36">
        <v>0</v>
      </c>
      <c r="S595" s="36">
        <v>0</v>
      </c>
      <c r="T595" s="36">
        <v>0</v>
      </c>
      <c r="U595" s="36">
        <v>2512735</v>
      </c>
      <c r="V595" s="36">
        <v>15</v>
      </c>
      <c r="W595" s="36">
        <v>0</v>
      </c>
      <c r="X595" s="36">
        <v>0</v>
      </c>
      <c r="Y595" s="48">
        <v>0</v>
      </c>
      <c r="Z595" s="36">
        <v>0</v>
      </c>
      <c r="AA595" s="36">
        <v>0</v>
      </c>
      <c r="AB595" s="36">
        <v>0</v>
      </c>
      <c r="AC595" s="36">
        <v>10886500</v>
      </c>
      <c r="AD595" s="36">
        <v>107</v>
      </c>
      <c r="AF595" s="47">
        <f t="shared" si="9"/>
        <v>10886500</v>
      </c>
    </row>
    <row r="596" spans="1:32" x14ac:dyDescent="0.3">
      <c r="A596" s="46" t="s">
        <v>758</v>
      </c>
      <c r="B596" s="46" t="str">
        <f>IFERROR(VLOOKUP($H596,매장구분!$B:$Z,2,0),"")</f>
        <v>리테일채널팀</v>
      </c>
      <c r="C596" s="46" t="str">
        <f>IFERROR(VLOOKUP($H596,매장구분!$B:$Z,3,0),"")</f>
        <v>국내</v>
      </c>
      <c r="D596" s="46" t="str">
        <f>IFERROR(VLOOKUP($H596,매장구분!$B:$Z,5,0),"")</f>
        <v>대리점</v>
      </c>
      <c r="E596" s="46" t="str">
        <f>IFERROR(VLOOKUP($H596,매장구분!$B:$Z,9,0),"")</f>
        <v>보령(대-위)</v>
      </c>
      <c r="G596" s="36" t="s">
        <v>211</v>
      </c>
      <c r="H596" s="36" t="s">
        <v>212</v>
      </c>
      <c r="I596" s="36" t="s">
        <v>169</v>
      </c>
      <c r="J596" s="36" t="s">
        <v>79</v>
      </c>
      <c r="K596" s="36" t="s">
        <v>170</v>
      </c>
      <c r="L596" s="36" t="s">
        <v>171</v>
      </c>
      <c r="M596" s="36" t="s">
        <v>196</v>
      </c>
      <c r="N596" s="36" t="s">
        <v>197</v>
      </c>
      <c r="O596" s="36">
        <v>6612600</v>
      </c>
      <c r="P596" s="36">
        <v>71</v>
      </c>
      <c r="Q596" s="36">
        <v>0</v>
      </c>
      <c r="R596" s="36">
        <v>0</v>
      </c>
      <c r="S596" s="36">
        <v>0</v>
      </c>
      <c r="T596" s="36">
        <v>0</v>
      </c>
      <c r="U596" s="36">
        <v>0</v>
      </c>
      <c r="V596" s="36">
        <v>0</v>
      </c>
      <c r="W596" s="36">
        <v>0</v>
      </c>
      <c r="X596" s="36">
        <v>0</v>
      </c>
      <c r="Y596" s="48">
        <v>0</v>
      </c>
      <c r="Z596" s="36">
        <v>0</v>
      </c>
      <c r="AA596" s="36">
        <v>0</v>
      </c>
      <c r="AB596" s="36">
        <v>0</v>
      </c>
      <c r="AC596" s="36">
        <v>6612600</v>
      </c>
      <c r="AD596" s="36">
        <v>71</v>
      </c>
      <c r="AF596" s="47">
        <f t="shared" si="9"/>
        <v>6612600</v>
      </c>
    </row>
    <row r="597" spans="1:32" x14ac:dyDescent="0.3">
      <c r="A597" s="46" t="s">
        <v>758</v>
      </c>
      <c r="B597" s="46" t="str">
        <f>IFERROR(VLOOKUP($H597,매장구분!$B:$Z,2,0),"")</f>
        <v>리테일채널팀</v>
      </c>
      <c r="C597" s="46" t="str">
        <f>IFERROR(VLOOKUP($H597,매장구분!$B:$Z,3,0),"")</f>
        <v>국내</v>
      </c>
      <c r="D597" s="46" t="str">
        <f>IFERROR(VLOOKUP($H597,매장구분!$B:$Z,5,0),"")</f>
        <v>상설(위탁)</v>
      </c>
      <c r="E597" s="46" t="str">
        <f>IFERROR(VLOOKUP($H597,매장구분!$B:$Z,9,0),"")</f>
        <v>롯데아울렛파주(상-위)</v>
      </c>
      <c r="G597" s="36" t="s">
        <v>217</v>
      </c>
      <c r="H597" s="36" t="s">
        <v>218</v>
      </c>
      <c r="I597" s="36" t="s">
        <v>169</v>
      </c>
      <c r="J597" s="36" t="s">
        <v>79</v>
      </c>
      <c r="K597" s="36" t="s">
        <v>170</v>
      </c>
      <c r="L597" s="36" t="s">
        <v>171</v>
      </c>
      <c r="M597" s="36" t="s">
        <v>219</v>
      </c>
      <c r="N597" s="36" t="s">
        <v>219</v>
      </c>
      <c r="O597" s="36">
        <v>3806000</v>
      </c>
      <c r="P597" s="36">
        <v>67</v>
      </c>
      <c r="Q597" s="36">
        <v>0</v>
      </c>
      <c r="R597" s="36">
        <v>0</v>
      </c>
      <c r="S597" s="36">
        <v>0</v>
      </c>
      <c r="T597" s="36">
        <v>0</v>
      </c>
      <c r="U597" s="36">
        <v>0</v>
      </c>
      <c r="V597" s="36">
        <v>0</v>
      </c>
      <c r="W597" s="36">
        <v>0</v>
      </c>
      <c r="X597" s="36">
        <v>0</v>
      </c>
      <c r="Y597" s="48">
        <v>0</v>
      </c>
      <c r="Z597" s="36">
        <v>0</v>
      </c>
      <c r="AA597" s="36">
        <v>0</v>
      </c>
      <c r="AB597" s="36">
        <v>0</v>
      </c>
      <c r="AC597" s="36">
        <v>3806000</v>
      </c>
      <c r="AD597" s="36">
        <v>67</v>
      </c>
      <c r="AF597" s="47">
        <f t="shared" si="9"/>
        <v>3806000</v>
      </c>
    </row>
    <row r="598" spans="1:32" x14ac:dyDescent="0.3">
      <c r="A598" s="46" t="s">
        <v>758</v>
      </c>
      <c r="B598" s="46" t="str">
        <f>IFERROR(VLOOKUP($H598,매장구분!$B:$Z,2,0),"")</f>
        <v>파트너채널팀</v>
      </c>
      <c r="C598" s="46" t="str">
        <f>IFERROR(VLOOKUP($H598,매장구분!$B:$Z,3,0),"")</f>
        <v>국내</v>
      </c>
      <c r="D598" s="46" t="str">
        <f>IFERROR(VLOOKUP($H598,매장구분!$B:$Z,5,0),"")</f>
        <v>백화점</v>
      </c>
      <c r="E598" s="46" t="str">
        <f>IFERROR(VLOOKUP($H598,매장구분!$B:$Z,9,0),"")</f>
        <v>모다아울렛천안</v>
      </c>
      <c r="G598" s="36" t="s">
        <v>267</v>
      </c>
      <c r="H598" s="36" t="s">
        <v>268</v>
      </c>
      <c r="I598" s="36" t="s">
        <v>169</v>
      </c>
      <c r="J598" s="36" t="s">
        <v>175</v>
      </c>
      <c r="K598" s="36" t="s">
        <v>170</v>
      </c>
      <c r="L598" s="36" t="s">
        <v>171</v>
      </c>
      <c r="M598" s="36" t="s">
        <v>77</v>
      </c>
      <c r="N598" s="36" t="s">
        <v>238</v>
      </c>
      <c r="O598" s="36">
        <v>15392850</v>
      </c>
      <c r="P598" s="36">
        <v>119</v>
      </c>
      <c r="Q598" s="36">
        <v>0</v>
      </c>
      <c r="R598" s="36">
        <v>0</v>
      </c>
      <c r="S598" s="36">
        <v>0</v>
      </c>
      <c r="T598" s="36">
        <v>0</v>
      </c>
      <c r="U598" s="36">
        <v>7215550</v>
      </c>
      <c r="V598" s="36">
        <v>38</v>
      </c>
      <c r="W598" s="36">
        <v>0</v>
      </c>
      <c r="X598" s="36">
        <v>0</v>
      </c>
      <c r="Y598" s="48">
        <v>0</v>
      </c>
      <c r="Z598" s="36">
        <v>0</v>
      </c>
      <c r="AA598" s="36">
        <v>0</v>
      </c>
      <c r="AB598" s="36">
        <v>0</v>
      </c>
      <c r="AC598" s="36">
        <v>22608400</v>
      </c>
      <c r="AD598" s="36">
        <v>157</v>
      </c>
      <c r="AF598" s="47">
        <f t="shared" si="9"/>
        <v>22608400</v>
      </c>
    </row>
    <row r="599" spans="1:32" x14ac:dyDescent="0.3">
      <c r="A599" s="46" t="s">
        <v>758</v>
      </c>
      <c r="B599" s="46" t="str">
        <f>IFERROR(VLOOKUP($H599,매장구분!$B:$Z,2,0),"")</f>
        <v>파트너채널팀</v>
      </c>
      <c r="C599" s="46" t="str">
        <f>IFERROR(VLOOKUP($H599,매장구분!$B:$Z,3,0),"")</f>
        <v>국내</v>
      </c>
      <c r="D599" s="46" t="str">
        <f>IFERROR(VLOOKUP($H599,매장구분!$B:$Z,5,0),"")</f>
        <v>백화점</v>
      </c>
      <c r="E599" s="46" t="str">
        <f>IFERROR(VLOOKUP($H599,매장구분!$B:$Z,9,0),"")</f>
        <v>신세계강남</v>
      </c>
      <c r="G599" s="36" t="s">
        <v>234</v>
      </c>
      <c r="H599" s="36" t="s">
        <v>235</v>
      </c>
      <c r="I599" s="36" t="s">
        <v>169</v>
      </c>
      <c r="J599" s="36" t="s">
        <v>175</v>
      </c>
      <c r="K599" s="36" t="s">
        <v>170</v>
      </c>
      <c r="L599" s="36" t="s">
        <v>171</v>
      </c>
      <c r="M599" s="36" t="s">
        <v>77</v>
      </c>
      <c r="N599" s="36" t="s">
        <v>172</v>
      </c>
      <c r="O599" s="36">
        <v>32034980</v>
      </c>
      <c r="P599" s="36">
        <v>387</v>
      </c>
      <c r="Q599" s="36">
        <v>8078600</v>
      </c>
      <c r="R599" s="36">
        <v>84</v>
      </c>
      <c r="S599" s="36">
        <v>0</v>
      </c>
      <c r="T599" s="36">
        <v>0</v>
      </c>
      <c r="U599" s="36">
        <v>3572620</v>
      </c>
      <c r="V599" s="36">
        <v>19</v>
      </c>
      <c r="W599" s="36">
        <v>0</v>
      </c>
      <c r="X599" s="36">
        <v>0</v>
      </c>
      <c r="Y599" s="48">
        <v>62550000</v>
      </c>
      <c r="Z599" s="36">
        <v>450</v>
      </c>
      <c r="AA599" s="36">
        <v>0</v>
      </c>
      <c r="AB599" s="36">
        <v>0</v>
      </c>
      <c r="AC599" s="36">
        <v>106236200</v>
      </c>
      <c r="AD599" s="36">
        <v>940</v>
      </c>
      <c r="AF599" s="47">
        <f t="shared" si="9"/>
        <v>43686200</v>
      </c>
    </row>
    <row r="600" spans="1:32" x14ac:dyDescent="0.3">
      <c r="A600" s="46" t="s">
        <v>758</v>
      </c>
      <c r="B600" s="46" t="str">
        <f>IFERROR(VLOOKUP($H600,매장구분!$B:$Z,2,0),"")</f>
        <v>리테일채널팀</v>
      </c>
      <c r="C600" s="46" t="str">
        <f>IFERROR(VLOOKUP($H600,매장구분!$B:$Z,3,0),"")</f>
        <v>국내</v>
      </c>
      <c r="D600" s="46" t="str">
        <f>IFERROR(VLOOKUP($H600,매장구분!$B:$Z,5,0),"")</f>
        <v>대리점</v>
      </c>
      <c r="E600" s="46" t="str">
        <f>IFERROR(VLOOKUP($H600,매장구분!$B:$Z,9,0),"")</f>
        <v>화성봉담(대-위)</v>
      </c>
      <c r="G600" s="36" t="s">
        <v>273</v>
      </c>
      <c r="H600" s="36" t="s">
        <v>274</v>
      </c>
      <c r="I600" s="36" t="s">
        <v>169</v>
      </c>
      <c r="J600" s="36" t="s">
        <v>79</v>
      </c>
      <c r="K600" s="36" t="s">
        <v>170</v>
      </c>
      <c r="L600" s="36" t="s">
        <v>171</v>
      </c>
      <c r="M600" s="36" t="s">
        <v>196</v>
      </c>
      <c r="N600" s="36" t="s">
        <v>197</v>
      </c>
      <c r="O600" s="36">
        <v>13072628</v>
      </c>
      <c r="P600" s="36">
        <v>101</v>
      </c>
      <c r="Q600" s="36">
        <v>0</v>
      </c>
      <c r="R600" s="36">
        <v>0</v>
      </c>
      <c r="S600" s="36">
        <v>0</v>
      </c>
      <c r="T600" s="36">
        <v>0</v>
      </c>
      <c r="U600" s="36">
        <v>1317118</v>
      </c>
      <c r="V600" s="36">
        <v>6</v>
      </c>
      <c r="W600" s="36">
        <v>0</v>
      </c>
      <c r="X600" s="36">
        <v>0</v>
      </c>
      <c r="Y600" s="48">
        <v>0</v>
      </c>
      <c r="Z600" s="36">
        <v>0</v>
      </c>
      <c r="AA600" s="36">
        <v>0</v>
      </c>
      <c r="AB600" s="36">
        <v>0</v>
      </c>
      <c r="AC600" s="36">
        <v>14389746</v>
      </c>
      <c r="AD600" s="36">
        <v>107</v>
      </c>
      <c r="AF600" s="47">
        <f t="shared" si="9"/>
        <v>14389746</v>
      </c>
    </row>
    <row r="601" spans="1:32" x14ac:dyDescent="0.3">
      <c r="A601" s="46" t="s">
        <v>758</v>
      </c>
      <c r="B601" s="46" t="str">
        <f>IFERROR(VLOOKUP($H601,매장구분!$B:$Z,2,0),"")</f>
        <v>리테일채널팀</v>
      </c>
      <c r="C601" s="46" t="str">
        <f>IFERROR(VLOOKUP($H601,매장구분!$B:$Z,3,0),"")</f>
        <v>국내</v>
      </c>
      <c r="D601" s="46" t="str">
        <f>IFERROR(VLOOKUP($H601,매장구분!$B:$Z,5,0),"")</f>
        <v>대리점</v>
      </c>
      <c r="E601" s="46" t="str">
        <f>IFERROR(VLOOKUP($H601,매장구분!$B:$Z,9,0),"")</f>
        <v>남양주삼패(대-위)</v>
      </c>
      <c r="G601" s="36" t="s">
        <v>222</v>
      </c>
      <c r="H601" s="36" t="s">
        <v>223</v>
      </c>
      <c r="I601" s="36" t="s">
        <v>169</v>
      </c>
      <c r="J601" s="36" t="s">
        <v>79</v>
      </c>
      <c r="K601" s="36" t="s">
        <v>170</v>
      </c>
      <c r="L601" s="36" t="s">
        <v>171</v>
      </c>
      <c r="M601" s="36" t="s">
        <v>196</v>
      </c>
      <c r="N601" s="36" t="s">
        <v>197</v>
      </c>
      <c r="O601" s="36">
        <v>11801741</v>
      </c>
      <c r="P601" s="36">
        <v>94</v>
      </c>
      <c r="Q601" s="36">
        <v>0</v>
      </c>
      <c r="R601" s="36">
        <v>0</v>
      </c>
      <c r="S601" s="36">
        <v>0</v>
      </c>
      <c r="T601" s="36">
        <v>0</v>
      </c>
      <c r="U601" s="36">
        <v>530159</v>
      </c>
      <c r="V601" s="36">
        <v>3</v>
      </c>
      <c r="W601" s="36">
        <v>0</v>
      </c>
      <c r="X601" s="36">
        <v>0</v>
      </c>
      <c r="Y601" s="48">
        <v>54633000</v>
      </c>
      <c r="Z601" s="36">
        <v>469</v>
      </c>
      <c r="AA601" s="36">
        <v>0</v>
      </c>
      <c r="AB601" s="36">
        <v>0</v>
      </c>
      <c r="AC601" s="36">
        <v>66964900</v>
      </c>
      <c r="AD601" s="36">
        <v>566</v>
      </c>
      <c r="AF601" s="47">
        <f t="shared" si="9"/>
        <v>12331900</v>
      </c>
    </row>
    <row r="602" spans="1:32" x14ac:dyDescent="0.3">
      <c r="A602" s="46" t="s">
        <v>758</v>
      </c>
      <c r="B602" s="46" t="str">
        <f>IFERROR(VLOOKUP($H602,매장구분!$B:$Z,2,0),"")</f>
        <v>파트너채널팀</v>
      </c>
      <c r="C602" s="46" t="str">
        <f>IFERROR(VLOOKUP($H602,매장구분!$B:$Z,3,0),"")</f>
        <v>국내</v>
      </c>
      <c r="D602" s="46" t="str">
        <f>IFERROR(VLOOKUP($H602,매장구분!$B:$Z,5,0),"")</f>
        <v>백화점</v>
      </c>
      <c r="E602" s="46" t="str">
        <f>IFERROR(VLOOKUP($H602,매장구분!$B:$Z,9,0),"")</f>
        <v>롯데잠실</v>
      </c>
      <c r="G602" s="36" t="s">
        <v>247</v>
      </c>
      <c r="H602" s="36" t="s">
        <v>248</v>
      </c>
      <c r="I602" s="36" t="s">
        <v>169</v>
      </c>
      <c r="J602" s="36" t="s">
        <v>175</v>
      </c>
      <c r="K602" s="36" t="s">
        <v>170</v>
      </c>
      <c r="L602" s="36" t="s">
        <v>171</v>
      </c>
      <c r="M602" s="36" t="s">
        <v>77</v>
      </c>
      <c r="N602" s="36" t="s">
        <v>172</v>
      </c>
      <c r="O602" s="36">
        <v>19862250</v>
      </c>
      <c r="P602" s="36">
        <v>247</v>
      </c>
      <c r="Q602" s="36">
        <v>2890600</v>
      </c>
      <c r="R602" s="36">
        <v>30</v>
      </c>
      <c r="S602" s="36">
        <v>0</v>
      </c>
      <c r="T602" s="36">
        <v>0</v>
      </c>
      <c r="U602" s="36">
        <v>6575150</v>
      </c>
      <c r="V602" s="36">
        <v>35</v>
      </c>
      <c r="W602" s="36">
        <v>0</v>
      </c>
      <c r="X602" s="36">
        <v>0</v>
      </c>
      <c r="Y602" s="48">
        <v>34451500</v>
      </c>
      <c r="Z602" s="36">
        <v>208</v>
      </c>
      <c r="AA602" s="36">
        <v>0</v>
      </c>
      <c r="AB602" s="36">
        <v>0</v>
      </c>
      <c r="AC602" s="36">
        <v>63779500</v>
      </c>
      <c r="AD602" s="36">
        <v>520</v>
      </c>
      <c r="AF602" s="47">
        <f t="shared" si="9"/>
        <v>29328000</v>
      </c>
    </row>
    <row r="603" spans="1:32" x14ac:dyDescent="0.3">
      <c r="A603" s="46" t="s">
        <v>758</v>
      </c>
      <c r="B603" s="46" t="str">
        <f>IFERROR(VLOOKUP($H603,매장구분!$B:$Z,2,0),"")</f>
        <v>파트너채널팀</v>
      </c>
      <c r="C603" s="46" t="str">
        <f>IFERROR(VLOOKUP($H603,매장구분!$B:$Z,3,0),"")</f>
        <v>RF</v>
      </c>
      <c r="D603" s="46" t="str">
        <f>IFERROR(VLOOKUP($H603,매장구분!$B:$Z,5,0),"")</f>
        <v>백화점</v>
      </c>
      <c r="E603" s="46" t="str">
        <f>IFERROR(VLOOKUP($H603,매장구분!$B:$Z,9,0),"")</f>
        <v>롯데본점</v>
      </c>
      <c r="G603" s="36" t="s">
        <v>269</v>
      </c>
      <c r="H603" s="36" t="s">
        <v>270</v>
      </c>
      <c r="I603" s="36" t="s">
        <v>169</v>
      </c>
      <c r="J603" s="36" t="s">
        <v>175</v>
      </c>
      <c r="K603" s="36" t="s">
        <v>170</v>
      </c>
      <c r="L603" s="36" t="s">
        <v>171</v>
      </c>
      <c r="M603" s="36" t="s">
        <v>77</v>
      </c>
      <c r="N603" s="36" t="s">
        <v>172</v>
      </c>
      <c r="O603" s="36">
        <v>48690900</v>
      </c>
      <c r="P603" s="36">
        <v>629</v>
      </c>
      <c r="Q603" s="36">
        <v>13000</v>
      </c>
      <c r="R603" s="36">
        <v>1</v>
      </c>
      <c r="S603" s="36">
        <v>0</v>
      </c>
      <c r="T603" s="36">
        <v>0</v>
      </c>
      <c r="U603" s="36">
        <v>0</v>
      </c>
      <c r="V603" s="36">
        <v>0</v>
      </c>
      <c r="W603" s="36">
        <v>0</v>
      </c>
      <c r="X603" s="36">
        <v>0</v>
      </c>
      <c r="Y603" s="48">
        <v>9518800</v>
      </c>
      <c r="Z603" s="36">
        <v>195</v>
      </c>
      <c r="AA603" s="36">
        <v>0</v>
      </c>
      <c r="AB603" s="36">
        <v>0</v>
      </c>
      <c r="AC603" s="36">
        <v>58222700</v>
      </c>
      <c r="AD603" s="36">
        <v>825</v>
      </c>
      <c r="AF603" s="47">
        <f t="shared" si="9"/>
        <v>48703900</v>
      </c>
    </row>
    <row r="604" spans="1:32" x14ac:dyDescent="0.3">
      <c r="A604" s="46" t="s">
        <v>758</v>
      </c>
      <c r="B604" s="46" t="str">
        <f>IFERROR(VLOOKUP($H604,매장구분!$B:$Z,2,0),"")</f>
        <v>리테일채널팀</v>
      </c>
      <c r="C604" s="46" t="str">
        <f>IFERROR(VLOOKUP($H604,매장구분!$B:$Z,3,0),"")</f>
        <v>국내</v>
      </c>
      <c r="D604" s="46" t="str">
        <f>IFERROR(VLOOKUP($H604,매장구분!$B:$Z,5,0),"")</f>
        <v>대리점</v>
      </c>
      <c r="E604" s="46" t="str">
        <f>IFERROR(VLOOKUP($H604,매장구분!$B:$Z,9,0),"")</f>
        <v>청주(대-위)</v>
      </c>
      <c r="G604" s="36" t="s">
        <v>265</v>
      </c>
      <c r="H604" s="36" t="s">
        <v>266</v>
      </c>
      <c r="I604" s="36" t="s">
        <v>169</v>
      </c>
      <c r="J604" s="36" t="s">
        <v>79</v>
      </c>
      <c r="K604" s="36" t="s">
        <v>170</v>
      </c>
      <c r="L604" s="36" t="s">
        <v>171</v>
      </c>
      <c r="M604" s="36" t="s">
        <v>196</v>
      </c>
      <c r="N604" s="36" t="s">
        <v>197</v>
      </c>
      <c r="O604" s="36">
        <v>15532831</v>
      </c>
      <c r="P604" s="36">
        <v>146</v>
      </c>
      <c r="Q604" s="36">
        <v>0</v>
      </c>
      <c r="R604" s="36">
        <v>0</v>
      </c>
      <c r="S604" s="36">
        <v>0</v>
      </c>
      <c r="T604" s="36">
        <v>0</v>
      </c>
      <c r="U604" s="36">
        <v>435769</v>
      </c>
      <c r="V604" s="36">
        <v>2</v>
      </c>
      <c r="W604" s="36">
        <v>0</v>
      </c>
      <c r="X604" s="36">
        <v>0</v>
      </c>
      <c r="Y604" s="48">
        <v>36462000</v>
      </c>
      <c r="Z604" s="36">
        <v>830</v>
      </c>
      <c r="AA604" s="36">
        <v>0</v>
      </c>
      <c r="AB604" s="36">
        <v>0</v>
      </c>
      <c r="AC604" s="36">
        <v>52430600</v>
      </c>
      <c r="AD604" s="36">
        <v>978</v>
      </c>
      <c r="AF604" s="47">
        <f t="shared" si="9"/>
        <v>15968600</v>
      </c>
    </row>
    <row r="605" spans="1:32" x14ac:dyDescent="0.3">
      <c r="A605" s="46" t="s">
        <v>758</v>
      </c>
      <c r="B605" s="46" t="str">
        <f>IFERROR(VLOOKUP($H605,매장구분!$B:$Z,2,0),"")</f>
        <v>E-biz</v>
      </c>
      <c r="C605" s="46" t="str">
        <f>IFERROR(VLOOKUP($H605,매장구분!$B:$Z,3,0),"")</f>
        <v>국내</v>
      </c>
      <c r="D605" s="46" t="str">
        <f>IFERROR(VLOOKUP($H605,매장구분!$B:$Z,5,0),"")</f>
        <v>온(제휴몰)</v>
      </c>
      <c r="E605" s="46" t="str">
        <f>IFERROR(VLOOKUP($H605,매장구분!$B:$Z,9,0),"")</f>
        <v>CJ온스타일(제휴몰)</v>
      </c>
      <c r="G605" s="36" t="s">
        <v>279</v>
      </c>
      <c r="H605" s="36" t="s">
        <v>280</v>
      </c>
      <c r="I605" s="36" t="s">
        <v>169</v>
      </c>
      <c r="J605" s="36" t="s">
        <v>180</v>
      </c>
      <c r="K605" s="36" t="s">
        <v>170</v>
      </c>
      <c r="L605" s="36" t="s">
        <v>181</v>
      </c>
      <c r="M605" s="36" t="s">
        <v>181</v>
      </c>
      <c r="N605" s="36" t="s">
        <v>185</v>
      </c>
      <c r="O605" s="36">
        <v>3962800</v>
      </c>
      <c r="P605" s="36">
        <v>47</v>
      </c>
      <c r="Q605" s="36">
        <v>0</v>
      </c>
      <c r="R605" s="36">
        <v>0</v>
      </c>
      <c r="S605" s="36">
        <v>0</v>
      </c>
      <c r="T605" s="36">
        <v>0</v>
      </c>
      <c r="U605" s="36">
        <v>0</v>
      </c>
      <c r="V605" s="36">
        <v>0</v>
      </c>
      <c r="W605" s="36">
        <v>0</v>
      </c>
      <c r="X605" s="36">
        <v>0</v>
      </c>
      <c r="Y605" s="48">
        <v>0</v>
      </c>
      <c r="Z605" s="36">
        <v>0</v>
      </c>
      <c r="AA605" s="36">
        <v>0</v>
      </c>
      <c r="AB605" s="36">
        <v>0</v>
      </c>
      <c r="AC605" s="36">
        <v>3962800</v>
      </c>
      <c r="AD605" s="36">
        <v>47</v>
      </c>
      <c r="AF605" s="47">
        <f t="shared" si="9"/>
        <v>3962800</v>
      </c>
    </row>
    <row r="606" spans="1:32" x14ac:dyDescent="0.3">
      <c r="A606" s="46" t="s">
        <v>758</v>
      </c>
      <c r="B606" s="46" t="str">
        <f>IFERROR(VLOOKUP($H606,매장구분!$B:$Z,2,0),"")</f>
        <v>파트너채널팀</v>
      </c>
      <c r="C606" s="46" t="str">
        <f>IFERROR(VLOOKUP($H606,매장구분!$B:$Z,3,0),"")</f>
        <v>국내</v>
      </c>
      <c r="D606" s="46" t="str">
        <f>IFERROR(VLOOKUP($H606,매장구분!$B:$Z,5,0),"")</f>
        <v>백화점</v>
      </c>
      <c r="E606" s="46" t="str">
        <f>IFERROR(VLOOKUP($H606,매장구분!$B:$Z,9,0),"")</f>
        <v>AK평택</v>
      </c>
      <c r="G606" s="36" t="s">
        <v>251</v>
      </c>
      <c r="H606" s="36" t="s">
        <v>252</v>
      </c>
      <c r="I606" s="36" t="s">
        <v>169</v>
      </c>
      <c r="J606" s="36" t="s">
        <v>175</v>
      </c>
      <c r="K606" s="36" t="s">
        <v>170</v>
      </c>
      <c r="L606" s="36" t="s">
        <v>171</v>
      </c>
      <c r="M606" s="36" t="s">
        <v>77</v>
      </c>
      <c r="N606" s="36" t="s">
        <v>172</v>
      </c>
      <c r="O606" s="36">
        <v>16690700</v>
      </c>
      <c r="P606" s="36">
        <v>179</v>
      </c>
      <c r="Q606" s="36">
        <v>0</v>
      </c>
      <c r="R606" s="36">
        <v>0</v>
      </c>
      <c r="S606" s="36">
        <v>0</v>
      </c>
      <c r="T606" s="36">
        <v>0</v>
      </c>
      <c r="U606" s="36">
        <v>168500</v>
      </c>
      <c r="V606" s="36">
        <v>2</v>
      </c>
      <c r="W606" s="36">
        <v>0</v>
      </c>
      <c r="X606" s="36">
        <v>0</v>
      </c>
      <c r="Y606" s="48">
        <v>0</v>
      </c>
      <c r="Z606" s="36">
        <v>0</v>
      </c>
      <c r="AA606" s="36">
        <v>0</v>
      </c>
      <c r="AB606" s="36">
        <v>0</v>
      </c>
      <c r="AC606" s="36">
        <v>16859200</v>
      </c>
      <c r="AD606" s="36">
        <v>181</v>
      </c>
      <c r="AF606" s="47">
        <f t="shared" si="9"/>
        <v>16859200</v>
      </c>
    </row>
    <row r="607" spans="1:32" x14ac:dyDescent="0.3">
      <c r="A607" s="46" t="s">
        <v>758</v>
      </c>
      <c r="B607" s="46" t="str">
        <f>IFERROR(VLOOKUP($H607,매장구분!$B:$Z,2,0),"")</f>
        <v>파트너채널팀</v>
      </c>
      <c r="C607" s="46" t="str">
        <f>IFERROR(VLOOKUP($H607,매장구분!$B:$Z,3,0),"")</f>
        <v>국내</v>
      </c>
      <c r="D607" s="46" t="str">
        <f>IFERROR(VLOOKUP($H607,매장구분!$B:$Z,5,0),"")</f>
        <v>백화점</v>
      </c>
      <c r="E607" s="46" t="str">
        <f>IFERROR(VLOOKUP($H607,매장구분!$B:$Z,9,0),"")</f>
        <v>갤러리아광교</v>
      </c>
      <c r="G607" s="36" t="s">
        <v>261</v>
      </c>
      <c r="H607" s="36" t="s">
        <v>262</v>
      </c>
      <c r="I607" s="36" t="s">
        <v>169</v>
      </c>
      <c r="J607" s="36" t="s">
        <v>175</v>
      </c>
      <c r="K607" s="36" t="s">
        <v>170</v>
      </c>
      <c r="L607" s="36" t="s">
        <v>171</v>
      </c>
      <c r="M607" s="36" t="s">
        <v>77</v>
      </c>
      <c r="N607" s="36" t="s">
        <v>172</v>
      </c>
      <c r="O607" s="36">
        <v>8607170</v>
      </c>
      <c r="P607" s="36">
        <v>80</v>
      </c>
      <c r="Q607" s="36">
        <v>2694200</v>
      </c>
      <c r="R607" s="36">
        <v>29</v>
      </c>
      <c r="S607" s="36">
        <v>0</v>
      </c>
      <c r="T607" s="36">
        <v>0</v>
      </c>
      <c r="U607" s="36">
        <v>361530</v>
      </c>
      <c r="V607" s="36">
        <v>2</v>
      </c>
      <c r="W607" s="36">
        <v>0</v>
      </c>
      <c r="X607" s="36">
        <v>0</v>
      </c>
      <c r="Y607" s="48">
        <v>17555000</v>
      </c>
      <c r="Z607" s="36">
        <v>179</v>
      </c>
      <c r="AA607" s="36">
        <v>0</v>
      </c>
      <c r="AB607" s="36">
        <v>0</v>
      </c>
      <c r="AC607" s="36">
        <v>29217900</v>
      </c>
      <c r="AD607" s="36">
        <v>290</v>
      </c>
      <c r="AF607" s="47">
        <f t="shared" si="9"/>
        <v>11662900</v>
      </c>
    </row>
    <row r="608" spans="1:32" x14ac:dyDescent="0.3">
      <c r="A608" s="46" t="s">
        <v>758</v>
      </c>
      <c r="B608" s="46" t="str">
        <f>IFERROR(VLOOKUP($H608,매장구분!$B:$Z,2,0),"")</f>
        <v>리테일채널팀</v>
      </c>
      <c r="C608" s="46" t="str">
        <f>IFERROR(VLOOKUP($H608,매장구분!$B:$Z,3,0),"")</f>
        <v>국내</v>
      </c>
      <c r="D608" s="46" t="str">
        <f>IFERROR(VLOOKUP($H608,매장구분!$B:$Z,5,0),"")</f>
        <v>대리점</v>
      </c>
      <c r="E608" s="46" t="str">
        <f>IFERROR(VLOOKUP($H608,매장구분!$B:$Z,9,0),"")</f>
        <v>원주(대-위)</v>
      </c>
      <c r="G608" s="36" t="s">
        <v>224</v>
      </c>
      <c r="H608" s="36" t="s">
        <v>225</v>
      </c>
      <c r="I608" s="36" t="s">
        <v>169</v>
      </c>
      <c r="J608" s="36" t="s">
        <v>79</v>
      </c>
      <c r="K608" s="36" t="s">
        <v>170</v>
      </c>
      <c r="L608" s="36" t="s">
        <v>171</v>
      </c>
      <c r="M608" s="36" t="s">
        <v>196</v>
      </c>
      <c r="N608" s="36" t="s">
        <v>197</v>
      </c>
      <c r="O608" s="36">
        <v>34715192</v>
      </c>
      <c r="P608" s="36">
        <v>261</v>
      </c>
      <c r="Q608" s="36">
        <v>0</v>
      </c>
      <c r="R608" s="36">
        <v>0</v>
      </c>
      <c r="S608" s="36">
        <v>0</v>
      </c>
      <c r="T608" s="36">
        <v>0</v>
      </c>
      <c r="U608" s="36">
        <v>1020408</v>
      </c>
      <c r="V608" s="36">
        <v>6</v>
      </c>
      <c r="W608" s="36">
        <v>0</v>
      </c>
      <c r="X608" s="36">
        <v>0</v>
      </c>
      <c r="Y608" s="48">
        <v>0</v>
      </c>
      <c r="Z608" s="36">
        <v>0</v>
      </c>
      <c r="AA608" s="36">
        <v>0</v>
      </c>
      <c r="AB608" s="36">
        <v>0</v>
      </c>
      <c r="AC608" s="36">
        <v>35735600</v>
      </c>
      <c r="AD608" s="36">
        <v>267</v>
      </c>
      <c r="AF608" s="47">
        <f t="shared" si="9"/>
        <v>35735600</v>
      </c>
    </row>
    <row r="609" spans="1:32" x14ac:dyDescent="0.3">
      <c r="A609" s="46" t="s">
        <v>758</v>
      </c>
      <c r="B609" s="46" t="str">
        <f>IFERROR(VLOOKUP($H609,매장구분!$B:$Z,2,0),"")</f>
        <v>리테일채널팀</v>
      </c>
      <c r="C609" s="46" t="str">
        <f>IFERROR(VLOOKUP($H609,매장구분!$B:$Z,3,0),"")</f>
        <v>국내</v>
      </c>
      <c r="D609" s="46" t="str">
        <f>IFERROR(VLOOKUP($H609,매장구분!$B:$Z,5,0),"")</f>
        <v>대리점</v>
      </c>
      <c r="E609" s="46" t="str">
        <f>IFERROR(VLOOKUP($H609,매장구분!$B:$Z,9,0),"")</f>
        <v>성남신흥(대-위)</v>
      </c>
      <c r="G609" s="36" t="s">
        <v>228</v>
      </c>
      <c r="H609" s="36" t="s">
        <v>229</v>
      </c>
      <c r="I609" s="36" t="s">
        <v>169</v>
      </c>
      <c r="J609" s="36" t="s">
        <v>79</v>
      </c>
      <c r="K609" s="36" t="s">
        <v>170</v>
      </c>
      <c r="L609" s="36" t="s">
        <v>171</v>
      </c>
      <c r="M609" s="36" t="s">
        <v>196</v>
      </c>
      <c r="N609" s="36" t="s">
        <v>197</v>
      </c>
      <c r="O609" s="36">
        <v>13933300</v>
      </c>
      <c r="P609" s="36">
        <v>134</v>
      </c>
      <c r="Q609" s="36">
        <v>0</v>
      </c>
      <c r="R609" s="36">
        <v>0</v>
      </c>
      <c r="S609" s="36">
        <v>0</v>
      </c>
      <c r="T609" s="36">
        <v>0</v>
      </c>
      <c r="U609" s="36">
        <v>822955</v>
      </c>
      <c r="V609" s="36">
        <v>9</v>
      </c>
      <c r="W609" s="36">
        <v>0</v>
      </c>
      <c r="X609" s="36">
        <v>0</v>
      </c>
      <c r="Y609" s="48">
        <v>32195045</v>
      </c>
      <c r="Z609" s="36">
        <v>452</v>
      </c>
      <c r="AA609" s="36">
        <v>0</v>
      </c>
      <c r="AB609" s="36">
        <v>0</v>
      </c>
      <c r="AC609" s="36">
        <v>46951300</v>
      </c>
      <c r="AD609" s="36">
        <v>595</v>
      </c>
      <c r="AF609" s="47">
        <f t="shared" si="9"/>
        <v>14756255</v>
      </c>
    </row>
    <row r="610" spans="1:32" x14ac:dyDescent="0.3">
      <c r="A610" s="46" t="s">
        <v>758</v>
      </c>
      <c r="B610" s="46" t="str">
        <f>IFERROR(VLOOKUP($H610,매장구분!$B:$Z,2,0),"")</f>
        <v>파트너채널팀</v>
      </c>
      <c r="C610" s="46" t="str">
        <f>IFERROR(VLOOKUP($H610,매장구분!$B:$Z,3,0),"")</f>
        <v>국내</v>
      </c>
      <c r="D610" s="46" t="str">
        <f>IFERROR(VLOOKUP($H610,매장구분!$B:$Z,5,0),"")</f>
        <v>백화점</v>
      </c>
      <c r="E610" s="46" t="str">
        <f>IFERROR(VLOOKUP($H610,매장구분!$B:$Z,9,0),"")</f>
        <v>신세계대전</v>
      </c>
      <c r="G610" s="36" t="s">
        <v>263</v>
      </c>
      <c r="H610" s="36" t="s">
        <v>264</v>
      </c>
      <c r="I610" s="36" t="s">
        <v>169</v>
      </c>
      <c r="J610" s="36" t="s">
        <v>175</v>
      </c>
      <c r="K610" s="36" t="s">
        <v>170</v>
      </c>
      <c r="L610" s="36" t="s">
        <v>171</v>
      </c>
      <c r="M610" s="36" t="s">
        <v>77</v>
      </c>
      <c r="N610" s="36" t="s">
        <v>172</v>
      </c>
      <c r="O610" s="36">
        <v>12183170</v>
      </c>
      <c r="P610" s="36">
        <v>143</v>
      </c>
      <c r="Q610" s="36">
        <v>0</v>
      </c>
      <c r="R610" s="36">
        <v>0</v>
      </c>
      <c r="S610" s="36">
        <v>0</v>
      </c>
      <c r="T610" s="36">
        <v>0</v>
      </c>
      <c r="U610" s="36">
        <v>1170630</v>
      </c>
      <c r="V610" s="36">
        <v>6</v>
      </c>
      <c r="W610" s="36">
        <v>0</v>
      </c>
      <c r="X610" s="36">
        <v>0</v>
      </c>
      <c r="Y610" s="48">
        <v>19839800</v>
      </c>
      <c r="Z610" s="36">
        <v>174</v>
      </c>
      <c r="AA610" s="36">
        <v>0</v>
      </c>
      <c r="AB610" s="36">
        <v>0</v>
      </c>
      <c r="AC610" s="36">
        <v>33193600</v>
      </c>
      <c r="AD610" s="36">
        <v>323</v>
      </c>
      <c r="AF610" s="47">
        <f t="shared" si="9"/>
        <v>13353800</v>
      </c>
    </row>
    <row r="611" spans="1:32" x14ac:dyDescent="0.3">
      <c r="A611" s="46" t="s">
        <v>758</v>
      </c>
      <c r="B611" s="46" t="str">
        <f>IFERROR(VLOOKUP($H611,매장구분!$B:$Z,2,0),"")</f>
        <v>파트너채널팀</v>
      </c>
      <c r="C611" s="46" t="str">
        <f>IFERROR(VLOOKUP($H611,매장구분!$B:$Z,3,0),"")</f>
        <v>국내</v>
      </c>
      <c r="D611" s="46" t="str">
        <f>IFERROR(VLOOKUP($H611,매장구분!$B:$Z,5,0),"")</f>
        <v>백화점</v>
      </c>
      <c r="E611" s="46" t="str">
        <f>IFERROR(VLOOKUP($H611,매장구분!$B:$Z,9,0),"")</f>
        <v>롯데청량리</v>
      </c>
      <c r="G611" s="36" t="s">
        <v>255</v>
      </c>
      <c r="H611" s="36" t="s">
        <v>256</v>
      </c>
      <c r="I611" s="36" t="s">
        <v>169</v>
      </c>
      <c r="J611" s="36" t="s">
        <v>175</v>
      </c>
      <c r="K611" s="36" t="s">
        <v>170</v>
      </c>
      <c r="L611" s="36" t="s">
        <v>171</v>
      </c>
      <c r="M611" s="36" t="s">
        <v>77</v>
      </c>
      <c r="N611" s="36" t="s">
        <v>172</v>
      </c>
      <c r="O611" s="36">
        <v>8014550</v>
      </c>
      <c r="P611" s="36">
        <v>89</v>
      </c>
      <c r="Q611" s="36">
        <v>178000</v>
      </c>
      <c r="R611" s="36">
        <v>3</v>
      </c>
      <c r="S611" s="36">
        <v>0</v>
      </c>
      <c r="T611" s="36">
        <v>0</v>
      </c>
      <c r="U611" s="36">
        <v>351450</v>
      </c>
      <c r="V611" s="36">
        <v>2</v>
      </c>
      <c r="W611" s="36">
        <v>0</v>
      </c>
      <c r="X611" s="36">
        <v>0</v>
      </c>
      <c r="Y611" s="48">
        <v>0</v>
      </c>
      <c r="Z611" s="36">
        <v>0</v>
      </c>
      <c r="AA611" s="36">
        <v>0</v>
      </c>
      <c r="AB611" s="36">
        <v>0</v>
      </c>
      <c r="AC611" s="36">
        <v>8544000</v>
      </c>
      <c r="AD611" s="36">
        <v>94</v>
      </c>
      <c r="AF611" s="47">
        <f t="shared" si="9"/>
        <v>8544000</v>
      </c>
    </row>
    <row r="612" spans="1:32" x14ac:dyDescent="0.3">
      <c r="A612" s="46" t="s">
        <v>758</v>
      </c>
      <c r="B612" s="46" t="str">
        <f>IFERROR(VLOOKUP($H612,매장구분!$B:$Z,2,0),"")</f>
        <v>리테일채널팀</v>
      </c>
      <c r="C612" s="46" t="str">
        <f>IFERROR(VLOOKUP($H612,매장구분!$B:$Z,3,0),"")</f>
        <v>국내</v>
      </c>
      <c r="D612" s="46" t="str">
        <f>IFERROR(VLOOKUP($H612,매장구분!$B:$Z,5,0),"")</f>
        <v>대리점</v>
      </c>
      <c r="E612" s="46" t="str">
        <f>IFERROR(VLOOKUP($H612,매장구분!$B:$Z,9,0),"")</f>
        <v>오산(대-위)</v>
      </c>
      <c r="G612" s="36" t="s">
        <v>226</v>
      </c>
      <c r="H612" s="36" t="s">
        <v>227</v>
      </c>
      <c r="I612" s="36" t="s">
        <v>169</v>
      </c>
      <c r="J612" s="36" t="s">
        <v>79</v>
      </c>
      <c r="K612" s="36" t="s">
        <v>170</v>
      </c>
      <c r="L612" s="36" t="s">
        <v>171</v>
      </c>
      <c r="M612" s="36" t="s">
        <v>196</v>
      </c>
      <c r="N612" s="36" t="s">
        <v>197</v>
      </c>
      <c r="O612" s="36">
        <v>13905000</v>
      </c>
      <c r="P612" s="36">
        <v>130</v>
      </c>
      <c r="Q612" s="36">
        <v>0</v>
      </c>
      <c r="R612" s="36">
        <v>0</v>
      </c>
      <c r="S612" s="36">
        <v>0</v>
      </c>
      <c r="T612" s="36">
        <v>0</v>
      </c>
      <c r="U612" s="36">
        <v>-110000</v>
      </c>
      <c r="V612" s="36">
        <v>0</v>
      </c>
      <c r="W612" s="36">
        <v>0</v>
      </c>
      <c r="X612" s="36">
        <v>0</v>
      </c>
      <c r="Y612" s="48">
        <v>0</v>
      </c>
      <c r="Z612" s="36">
        <v>0</v>
      </c>
      <c r="AA612" s="36">
        <v>0</v>
      </c>
      <c r="AB612" s="36">
        <v>0</v>
      </c>
      <c r="AC612" s="36">
        <v>13795000</v>
      </c>
      <c r="AD612" s="36">
        <v>130</v>
      </c>
      <c r="AF612" s="47">
        <f t="shared" si="9"/>
        <v>13795000</v>
      </c>
    </row>
    <row r="613" spans="1:32" x14ac:dyDescent="0.3">
      <c r="A613" s="46" t="s">
        <v>758</v>
      </c>
      <c r="B613" s="46" t="str">
        <f>IFERROR(VLOOKUP($H613,매장구분!$B:$Z,2,0),"")</f>
        <v>E-biz</v>
      </c>
      <c r="C613" s="46" t="str">
        <f>IFERROR(VLOOKUP($H613,매장구분!$B:$Z,3,0),"")</f>
        <v>국내</v>
      </c>
      <c r="D613" s="46" t="str">
        <f>IFERROR(VLOOKUP($H613,매장구분!$B:$Z,5,0),"")</f>
        <v>온(제휴몰)</v>
      </c>
      <c r="E613" s="46" t="str">
        <f>IFERROR(VLOOKUP($H613,매장구분!$B:$Z,9,0),"")</f>
        <v>롯데ON(제휴몰)</v>
      </c>
      <c r="G613" s="36" t="s">
        <v>253</v>
      </c>
      <c r="H613" s="36" t="s">
        <v>254</v>
      </c>
      <c r="I613" s="36" t="s">
        <v>169</v>
      </c>
      <c r="J613" s="36" t="s">
        <v>180</v>
      </c>
      <c r="K613" s="36" t="s">
        <v>170</v>
      </c>
      <c r="L613" s="36" t="s">
        <v>181</v>
      </c>
      <c r="M613" s="36" t="s">
        <v>181</v>
      </c>
      <c r="N613" s="36" t="s">
        <v>185</v>
      </c>
      <c r="O613" s="36">
        <v>27269700</v>
      </c>
      <c r="P613" s="36">
        <v>252</v>
      </c>
      <c r="Q613" s="36">
        <v>0</v>
      </c>
      <c r="R613" s="36">
        <v>0</v>
      </c>
      <c r="S613" s="36">
        <v>0</v>
      </c>
      <c r="T613" s="36">
        <v>0</v>
      </c>
      <c r="U613" s="36">
        <v>0</v>
      </c>
      <c r="V613" s="36">
        <v>0</v>
      </c>
      <c r="W613" s="36">
        <v>0</v>
      </c>
      <c r="X613" s="36">
        <v>0</v>
      </c>
      <c r="Y613" s="48">
        <v>0</v>
      </c>
      <c r="Z613" s="36">
        <v>0</v>
      </c>
      <c r="AA613" s="36">
        <v>0</v>
      </c>
      <c r="AB613" s="36">
        <v>0</v>
      </c>
      <c r="AC613" s="36">
        <v>27269700</v>
      </c>
      <c r="AD613" s="36">
        <v>252</v>
      </c>
      <c r="AF613" s="47">
        <f t="shared" si="9"/>
        <v>27269700</v>
      </c>
    </row>
    <row r="614" spans="1:32" x14ac:dyDescent="0.3">
      <c r="A614" s="46" t="s">
        <v>758</v>
      </c>
      <c r="B614" s="46" t="str">
        <f>IFERROR(VLOOKUP($H614,매장구분!$B:$Z,2,0),"")</f>
        <v>리테일채널팀</v>
      </c>
      <c r="C614" s="46" t="str">
        <f>IFERROR(VLOOKUP($H614,매장구분!$B:$Z,3,0),"")</f>
        <v>국내</v>
      </c>
      <c r="D614" s="46" t="str">
        <f>IFERROR(VLOOKUP($H614,매장구분!$B:$Z,5,0),"")</f>
        <v>대리점</v>
      </c>
      <c r="E614" s="46" t="str">
        <f>IFERROR(VLOOKUP($H614,매장구분!$B:$Z,9,0),"")</f>
        <v>강릉(대-위)</v>
      </c>
      <c r="G614" s="36" t="s">
        <v>230</v>
      </c>
      <c r="H614" s="36" t="s">
        <v>231</v>
      </c>
      <c r="I614" s="36" t="s">
        <v>169</v>
      </c>
      <c r="J614" s="36" t="s">
        <v>79</v>
      </c>
      <c r="K614" s="36" t="s">
        <v>170</v>
      </c>
      <c r="L614" s="36" t="s">
        <v>171</v>
      </c>
      <c r="M614" s="36" t="s">
        <v>196</v>
      </c>
      <c r="N614" s="36" t="s">
        <v>197</v>
      </c>
      <c r="O614" s="36">
        <v>11742914</v>
      </c>
      <c r="P614" s="36">
        <v>133</v>
      </c>
      <c r="Q614" s="36">
        <v>0</v>
      </c>
      <c r="R614" s="36">
        <v>0</v>
      </c>
      <c r="S614" s="36">
        <v>0</v>
      </c>
      <c r="T614" s="36">
        <v>0</v>
      </c>
      <c r="U614" s="36">
        <v>1735086</v>
      </c>
      <c r="V614" s="36">
        <v>10</v>
      </c>
      <c r="W614" s="36">
        <v>0</v>
      </c>
      <c r="X614" s="36">
        <v>0</v>
      </c>
      <c r="Y614" s="48">
        <v>0</v>
      </c>
      <c r="Z614" s="36">
        <v>0</v>
      </c>
      <c r="AA614" s="36">
        <v>0</v>
      </c>
      <c r="AB614" s="36">
        <v>0</v>
      </c>
      <c r="AC614" s="36">
        <v>13478000</v>
      </c>
      <c r="AD614" s="36">
        <v>143</v>
      </c>
      <c r="AF614" s="47">
        <f t="shared" si="9"/>
        <v>13478000</v>
      </c>
    </row>
    <row r="615" spans="1:32" x14ac:dyDescent="0.3">
      <c r="A615" s="46" t="s">
        <v>758</v>
      </c>
      <c r="B615" s="46" t="str">
        <f>IFERROR(VLOOKUP($H615,매장구분!$B:$Z,2,0),"")</f>
        <v>파트너채널팀</v>
      </c>
      <c r="C615" s="46" t="str">
        <f>IFERROR(VLOOKUP($H615,매장구분!$B:$Z,3,0),"")</f>
        <v>국내</v>
      </c>
      <c r="D615" s="46" t="str">
        <f>IFERROR(VLOOKUP($H615,매장구분!$B:$Z,5,0),"")</f>
        <v>백화점</v>
      </c>
      <c r="E615" s="46" t="str">
        <f>IFERROR(VLOOKUP($H615,매장구분!$B:$Z,9,0),"")</f>
        <v>신세계천안아산</v>
      </c>
      <c r="G615" s="36" t="s">
        <v>271</v>
      </c>
      <c r="H615" s="36" t="s">
        <v>272</v>
      </c>
      <c r="I615" s="36" t="s">
        <v>169</v>
      </c>
      <c r="J615" s="36" t="s">
        <v>175</v>
      </c>
      <c r="K615" s="36" t="s">
        <v>170</v>
      </c>
      <c r="L615" s="36" t="s">
        <v>171</v>
      </c>
      <c r="M615" s="36" t="s">
        <v>77</v>
      </c>
      <c r="N615" s="36" t="s">
        <v>172</v>
      </c>
      <c r="O615" s="36">
        <v>16693930</v>
      </c>
      <c r="P615" s="36">
        <v>194</v>
      </c>
      <c r="Q615" s="36">
        <v>0</v>
      </c>
      <c r="R615" s="36">
        <v>0</v>
      </c>
      <c r="S615" s="36">
        <v>0</v>
      </c>
      <c r="T615" s="36">
        <v>0</v>
      </c>
      <c r="U615" s="36">
        <v>1822470</v>
      </c>
      <c r="V615" s="36">
        <v>11</v>
      </c>
      <c r="W615" s="36">
        <v>0</v>
      </c>
      <c r="X615" s="36">
        <v>0</v>
      </c>
      <c r="Y615" s="48">
        <v>0</v>
      </c>
      <c r="Z615" s="36">
        <v>0</v>
      </c>
      <c r="AA615" s="36">
        <v>0</v>
      </c>
      <c r="AB615" s="36">
        <v>0</v>
      </c>
      <c r="AC615" s="36">
        <v>18516400</v>
      </c>
      <c r="AD615" s="36">
        <v>205</v>
      </c>
      <c r="AF615" s="47">
        <f t="shared" si="9"/>
        <v>18516400</v>
      </c>
    </row>
    <row r="616" spans="1:32" x14ac:dyDescent="0.3">
      <c r="A616" s="46" t="s">
        <v>758</v>
      </c>
      <c r="B616" s="46" t="str">
        <f>IFERROR(VLOOKUP($H616,매장구분!$B:$Z,2,0),"")</f>
        <v>파트너채널팀</v>
      </c>
      <c r="C616" s="46" t="str">
        <f>IFERROR(VLOOKUP($H616,매장구분!$B:$Z,3,0),"")</f>
        <v>국내</v>
      </c>
      <c r="D616" s="46" t="str">
        <f>IFERROR(VLOOKUP($H616,매장구분!$B:$Z,5,0),"")</f>
        <v>백화점</v>
      </c>
      <c r="E616" s="46" t="str">
        <f>IFERROR(VLOOKUP($H616,매장구분!$B:$Z,9,0),"")</f>
        <v>현대판교</v>
      </c>
      <c r="G616" s="36" t="s">
        <v>257</v>
      </c>
      <c r="H616" s="36" t="s">
        <v>258</v>
      </c>
      <c r="I616" s="36" t="s">
        <v>169</v>
      </c>
      <c r="J616" s="36" t="s">
        <v>175</v>
      </c>
      <c r="K616" s="36" t="s">
        <v>170</v>
      </c>
      <c r="L616" s="36" t="s">
        <v>171</v>
      </c>
      <c r="M616" s="36" t="s">
        <v>77</v>
      </c>
      <c r="N616" s="36" t="s">
        <v>172</v>
      </c>
      <c r="O616" s="36">
        <v>15595820</v>
      </c>
      <c r="P616" s="36">
        <v>188</v>
      </c>
      <c r="Q616" s="36">
        <v>1428000</v>
      </c>
      <c r="R616" s="36">
        <v>12</v>
      </c>
      <c r="S616" s="36">
        <v>0</v>
      </c>
      <c r="T616" s="36">
        <v>0</v>
      </c>
      <c r="U616" s="36">
        <v>3363680</v>
      </c>
      <c r="V616" s="36">
        <v>18</v>
      </c>
      <c r="W616" s="36">
        <v>0</v>
      </c>
      <c r="X616" s="36">
        <v>0</v>
      </c>
      <c r="Y616" s="48">
        <v>29836300</v>
      </c>
      <c r="Z616" s="36">
        <v>176</v>
      </c>
      <c r="AA616" s="36">
        <v>0</v>
      </c>
      <c r="AB616" s="36">
        <v>0</v>
      </c>
      <c r="AC616" s="36">
        <v>50223800</v>
      </c>
      <c r="AD616" s="36">
        <v>394</v>
      </c>
      <c r="AF616" s="47">
        <f t="shared" si="9"/>
        <v>20387500</v>
      </c>
    </row>
    <row r="617" spans="1:32" x14ac:dyDescent="0.3">
      <c r="A617" s="46" t="s">
        <v>758</v>
      </c>
      <c r="B617" s="46" t="str">
        <f>IFERROR(VLOOKUP($H617,매장구분!$B:$Z,2,0),"")</f>
        <v>파트너채널팀</v>
      </c>
      <c r="C617" s="46" t="str">
        <f>IFERROR(VLOOKUP($H617,매장구분!$B:$Z,3,0),"")</f>
        <v>국내</v>
      </c>
      <c r="D617" s="46" t="str">
        <f>IFERROR(VLOOKUP($H617,매장구분!$B:$Z,5,0),"")</f>
        <v>백화점</v>
      </c>
      <c r="E617" s="46" t="str">
        <f>IFERROR(VLOOKUP($H617,매장구분!$B:$Z,9,0),"")</f>
        <v>갤러리아센터시티</v>
      </c>
      <c r="G617" s="36" t="s">
        <v>259</v>
      </c>
      <c r="H617" s="36" t="s">
        <v>260</v>
      </c>
      <c r="I617" s="36" t="s">
        <v>169</v>
      </c>
      <c r="J617" s="36" t="s">
        <v>175</v>
      </c>
      <c r="K617" s="36" t="s">
        <v>170</v>
      </c>
      <c r="L617" s="36" t="s">
        <v>171</v>
      </c>
      <c r="M617" s="36" t="s">
        <v>77</v>
      </c>
      <c r="N617" s="36" t="s">
        <v>172</v>
      </c>
      <c r="O617" s="36">
        <v>5606450</v>
      </c>
      <c r="P617" s="36">
        <v>70</v>
      </c>
      <c r="Q617" s="36">
        <v>240000</v>
      </c>
      <c r="R617" s="36">
        <v>5</v>
      </c>
      <c r="S617" s="36">
        <v>0</v>
      </c>
      <c r="T617" s="36">
        <v>0</v>
      </c>
      <c r="U617" s="36">
        <v>1180250</v>
      </c>
      <c r="V617" s="36">
        <v>7</v>
      </c>
      <c r="W617" s="36">
        <v>0</v>
      </c>
      <c r="X617" s="36">
        <v>0</v>
      </c>
      <c r="Y617" s="48">
        <v>46875000</v>
      </c>
      <c r="Z617" s="36">
        <v>1178</v>
      </c>
      <c r="AA617" s="36">
        <v>0</v>
      </c>
      <c r="AB617" s="36">
        <v>0</v>
      </c>
      <c r="AC617" s="36">
        <v>53901700</v>
      </c>
      <c r="AD617" s="36">
        <v>1260</v>
      </c>
      <c r="AF617" s="47">
        <f t="shared" si="9"/>
        <v>7026700</v>
      </c>
    </row>
    <row r="618" spans="1:32" x14ac:dyDescent="0.3">
      <c r="A618" s="46" t="s">
        <v>758</v>
      </c>
      <c r="B618" s="46" t="str">
        <f>IFERROR(VLOOKUP($H618,매장구분!$B:$Z,2,0),"")</f>
        <v>파트너채널팀</v>
      </c>
      <c r="C618" s="46" t="str">
        <f>IFERROR(VLOOKUP($H618,매장구분!$B:$Z,3,0),"")</f>
        <v>국내</v>
      </c>
      <c r="D618" s="46" t="str">
        <f>IFERROR(VLOOKUP($H618,매장구분!$B:$Z,5,0),"")</f>
        <v>백화점</v>
      </c>
      <c r="E618" s="46" t="str">
        <f>IFERROR(VLOOKUP($H618,매장구분!$B:$Z,9,0),"")</f>
        <v>롯데포항</v>
      </c>
      <c r="G618" s="36" t="s">
        <v>249</v>
      </c>
      <c r="H618" s="36" t="s">
        <v>250</v>
      </c>
      <c r="I618" s="36" t="s">
        <v>169</v>
      </c>
      <c r="J618" s="36" t="s">
        <v>175</v>
      </c>
      <c r="K618" s="36" t="s">
        <v>170</v>
      </c>
      <c r="L618" s="36" t="s">
        <v>171</v>
      </c>
      <c r="M618" s="36" t="s">
        <v>77</v>
      </c>
      <c r="N618" s="36" t="s">
        <v>172</v>
      </c>
      <c r="O618" s="36">
        <v>11039530</v>
      </c>
      <c r="P618" s="36">
        <v>98</v>
      </c>
      <c r="Q618" s="36">
        <v>0</v>
      </c>
      <c r="R618" s="36">
        <v>0</v>
      </c>
      <c r="S618" s="36">
        <v>0</v>
      </c>
      <c r="T618" s="36">
        <v>0</v>
      </c>
      <c r="U618" s="36">
        <v>1339670</v>
      </c>
      <c r="V618" s="36">
        <v>11</v>
      </c>
      <c r="W618" s="36">
        <v>0</v>
      </c>
      <c r="X618" s="36">
        <v>0</v>
      </c>
      <c r="Y618" s="48">
        <v>0</v>
      </c>
      <c r="Z618" s="36">
        <v>0</v>
      </c>
      <c r="AA618" s="36">
        <v>0</v>
      </c>
      <c r="AB618" s="36">
        <v>0</v>
      </c>
      <c r="AC618" s="36">
        <v>12379200</v>
      </c>
      <c r="AD618" s="36">
        <v>109</v>
      </c>
      <c r="AF618" s="47">
        <f t="shared" si="9"/>
        <v>12379200</v>
      </c>
    </row>
    <row r="619" spans="1:32" x14ac:dyDescent="0.3">
      <c r="A619" s="46" t="s">
        <v>758</v>
      </c>
      <c r="B619" s="46" t="str">
        <f>IFERROR(VLOOKUP($H619,매장구분!$B:$Z,2,0),"")</f>
        <v>리테일채널팀</v>
      </c>
      <c r="C619" s="46" t="str">
        <f>IFERROR(VLOOKUP($H619,매장구분!$B:$Z,3,0),"")</f>
        <v>국내</v>
      </c>
      <c r="D619" s="46" t="str">
        <f>IFERROR(VLOOKUP($H619,매장구분!$B:$Z,5,0),"")</f>
        <v>상설(위탁)</v>
      </c>
      <c r="E619" s="46" t="str">
        <f>IFERROR(VLOOKUP($H619,매장구분!$B:$Z,9,0),"")</f>
        <v>신세계아울렛기장(상-위)</v>
      </c>
      <c r="G619" s="36" t="s">
        <v>277</v>
      </c>
      <c r="H619" s="36" t="s">
        <v>278</v>
      </c>
      <c r="I619" s="36" t="s">
        <v>169</v>
      </c>
      <c r="J619" s="36" t="s">
        <v>79</v>
      </c>
      <c r="K619" s="36" t="s">
        <v>170</v>
      </c>
      <c r="L619" s="36" t="s">
        <v>171</v>
      </c>
      <c r="M619" s="36" t="s">
        <v>219</v>
      </c>
      <c r="N619" s="36" t="s">
        <v>219</v>
      </c>
      <c r="O619" s="36">
        <v>2506000</v>
      </c>
      <c r="P619" s="36">
        <v>48</v>
      </c>
      <c r="Q619" s="36">
        <v>0</v>
      </c>
      <c r="R619" s="36">
        <v>0</v>
      </c>
      <c r="S619" s="36">
        <v>0</v>
      </c>
      <c r="T619" s="36">
        <v>0</v>
      </c>
      <c r="U619" s="36">
        <v>0</v>
      </c>
      <c r="V619" s="36">
        <v>0</v>
      </c>
      <c r="W619" s="36">
        <v>0</v>
      </c>
      <c r="X619" s="36">
        <v>0</v>
      </c>
      <c r="Y619" s="48">
        <v>0</v>
      </c>
      <c r="Z619" s="36">
        <v>0</v>
      </c>
      <c r="AA619" s="36">
        <v>0</v>
      </c>
      <c r="AB619" s="36">
        <v>0</v>
      </c>
      <c r="AC619" s="36">
        <v>2506000</v>
      </c>
      <c r="AD619" s="36">
        <v>48</v>
      </c>
      <c r="AF619" s="47">
        <f t="shared" si="9"/>
        <v>2506000</v>
      </c>
    </row>
    <row r="620" spans="1:32" x14ac:dyDescent="0.3">
      <c r="A620" s="46" t="s">
        <v>758</v>
      </c>
      <c r="B620" s="46" t="str">
        <f>IFERROR(VLOOKUP($H620,매장구분!$B:$Z,2,0),"")</f>
        <v>파트너채널팀</v>
      </c>
      <c r="C620" s="46" t="str">
        <f>IFERROR(VLOOKUP($H620,매장구분!$B:$Z,3,0),"")</f>
        <v>국내</v>
      </c>
      <c r="D620" s="46" t="str">
        <f>IFERROR(VLOOKUP($H620,매장구분!$B:$Z,5,0),"")</f>
        <v>백화점</v>
      </c>
      <c r="E620" s="46" t="str">
        <f>IFERROR(VLOOKUP($H620,매장구분!$B:$Z,9,0),"")</f>
        <v>롯데동래</v>
      </c>
      <c r="G620" s="36" t="s">
        <v>239</v>
      </c>
      <c r="H620" s="36" t="s">
        <v>240</v>
      </c>
      <c r="I620" s="36" t="s">
        <v>169</v>
      </c>
      <c r="J620" s="36" t="s">
        <v>175</v>
      </c>
      <c r="K620" s="36" t="s">
        <v>170</v>
      </c>
      <c r="L620" s="36" t="s">
        <v>171</v>
      </c>
      <c r="M620" s="36" t="s">
        <v>77</v>
      </c>
      <c r="N620" s="36" t="s">
        <v>172</v>
      </c>
      <c r="O620" s="36">
        <v>6786990</v>
      </c>
      <c r="P620" s="36">
        <v>84</v>
      </c>
      <c r="Q620" s="36">
        <v>0</v>
      </c>
      <c r="R620" s="36">
        <v>0</v>
      </c>
      <c r="S620" s="36">
        <v>0</v>
      </c>
      <c r="T620" s="36">
        <v>0</v>
      </c>
      <c r="U620" s="36">
        <v>718510</v>
      </c>
      <c r="V620" s="36">
        <v>4</v>
      </c>
      <c r="W620" s="36">
        <v>0</v>
      </c>
      <c r="X620" s="36">
        <v>0</v>
      </c>
      <c r="Y620" s="48">
        <v>0</v>
      </c>
      <c r="Z620" s="36">
        <v>0</v>
      </c>
      <c r="AA620" s="36">
        <v>0</v>
      </c>
      <c r="AB620" s="36">
        <v>0</v>
      </c>
      <c r="AC620" s="36">
        <v>7505500</v>
      </c>
      <c r="AD620" s="36">
        <v>88</v>
      </c>
      <c r="AF620" s="47">
        <f t="shared" si="9"/>
        <v>7505500</v>
      </c>
    </row>
    <row r="621" spans="1:32" x14ac:dyDescent="0.3">
      <c r="A621" s="46" t="s">
        <v>758</v>
      </c>
      <c r="B621" s="46" t="str">
        <f>IFERROR(VLOOKUP($H621,매장구분!$B:$Z,2,0),"")</f>
        <v>파트너채널팀</v>
      </c>
      <c r="C621" s="46" t="str">
        <f>IFERROR(VLOOKUP($H621,매장구분!$B:$Z,3,0),"")</f>
        <v>국내</v>
      </c>
      <c r="D621" s="46" t="str">
        <f>IFERROR(VLOOKUP($H621,매장구분!$B:$Z,5,0),"")</f>
        <v>백화점</v>
      </c>
      <c r="E621" s="46" t="str">
        <f>IFERROR(VLOOKUP($H621,매장구분!$B:$Z,9,0),"")</f>
        <v>롯데인천</v>
      </c>
      <c r="G621" s="36" t="s">
        <v>245</v>
      </c>
      <c r="H621" s="36" t="s">
        <v>246</v>
      </c>
      <c r="I621" s="36" t="s">
        <v>169</v>
      </c>
      <c r="J621" s="36" t="s">
        <v>175</v>
      </c>
      <c r="K621" s="36" t="s">
        <v>170</v>
      </c>
      <c r="L621" s="36" t="s">
        <v>171</v>
      </c>
      <c r="M621" s="36" t="s">
        <v>77</v>
      </c>
      <c r="N621" s="36" t="s">
        <v>172</v>
      </c>
      <c r="O621" s="36">
        <v>19317820</v>
      </c>
      <c r="P621" s="36">
        <v>184</v>
      </c>
      <c r="Q621" s="36">
        <v>1540900</v>
      </c>
      <c r="R621" s="36">
        <v>21</v>
      </c>
      <c r="S621" s="36">
        <v>0</v>
      </c>
      <c r="T621" s="36">
        <v>0</v>
      </c>
      <c r="U621" s="36">
        <v>1694480</v>
      </c>
      <c r="V621" s="36">
        <v>12</v>
      </c>
      <c r="W621" s="36">
        <v>0</v>
      </c>
      <c r="X621" s="36">
        <v>0</v>
      </c>
      <c r="Y621" s="48">
        <v>10000000</v>
      </c>
      <c r="Z621" s="36">
        <v>50</v>
      </c>
      <c r="AA621" s="36">
        <v>0</v>
      </c>
      <c r="AB621" s="36">
        <v>0</v>
      </c>
      <c r="AC621" s="36">
        <v>32553200</v>
      </c>
      <c r="AD621" s="36">
        <v>267</v>
      </c>
      <c r="AF621" s="47">
        <f t="shared" si="9"/>
        <v>22553200</v>
      </c>
    </row>
    <row r="622" spans="1:32" x14ac:dyDescent="0.3">
      <c r="A622" s="46" t="s">
        <v>758</v>
      </c>
      <c r="B622" s="46" t="str">
        <f>IFERROR(VLOOKUP($H622,매장구분!$B:$Z,2,0),"")</f>
        <v>파트너채널팀</v>
      </c>
      <c r="C622" s="46" t="str">
        <f>IFERROR(VLOOKUP($H622,매장구분!$B:$Z,3,0),"")</f>
        <v>국내</v>
      </c>
      <c r="D622" s="46" t="str">
        <f>IFERROR(VLOOKUP($H622,매장구분!$B:$Z,5,0),"")</f>
        <v>백화점</v>
      </c>
      <c r="E622" s="46" t="str">
        <f>IFERROR(VLOOKUP($H622,매장구분!$B:$Z,9,0),"")</f>
        <v>롯데구리</v>
      </c>
      <c r="G622" s="36" t="s">
        <v>232</v>
      </c>
      <c r="H622" s="36" t="s">
        <v>233</v>
      </c>
      <c r="I622" s="36" t="s">
        <v>169</v>
      </c>
      <c r="J622" s="36" t="s">
        <v>175</v>
      </c>
      <c r="K622" s="36" t="s">
        <v>170</v>
      </c>
      <c r="L622" s="36" t="s">
        <v>171</v>
      </c>
      <c r="M622" s="36" t="s">
        <v>77</v>
      </c>
      <c r="N622" s="36" t="s">
        <v>172</v>
      </c>
      <c r="O622" s="36">
        <v>9313110</v>
      </c>
      <c r="P622" s="36">
        <v>114</v>
      </c>
      <c r="Q622" s="36">
        <v>1199300</v>
      </c>
      <c r="R622" s="36">
        <v>18</v>
      </c>
      <c r="S622" s="36">
        <v>0</v>
      </c>
      <c r="T622" s="36">
        <v>0</v>
      </c>
      <c r="U622" s="36">
        <v>1167290</v>
      </c>
      <c r="V622" s="36">
        <v>7</v>
      </c>
      <c r="W622" s="36">
        <v>0</v>
      </c>
      <c r="X622" s="36">
        <v>0</v>
      </c>
      <c r="Y622" s="48">
        <v>1624000</v>
      </c>
      <c r="Z622" s="36">
        <v>20</v>
      </c>
      <c r="AA622" s="36">
        <v>0</v>
      </c>
      <c r="AB622" s="36">
        <v>0</v>
      </c>
      <c r="AC622" s="36">
        <v>13303700</v>
      </c>
      <c r="AD622" s="36">
        <v>159</v>
      </c>
      <c r="AF622" s="47">
        <f t="shared" si="9"/>
        <v>11679700</v>
      </c>
    </row>
    <row r="623" spans="1:32" x14ac:dyDescent="0.3">
      <c r="A623" s="46" t="s">
        <v>758</v>
      </c>
      <c r="B623" s="46" t="str">
        <f>IFERROR(VLOOKUP($H623,매장구분!$B:$Z,2,0),"")</f>
        <v>파트너채널팀</v>
      </c>
      <c r="C623" s="46" t="str">
        <f>IFERROR(VLOOKUP($H623,매장구분!$B:$Z,3,0),"")</f>
        <v>국내</v>
      </c>
      <c r="D623" s="46" t="str">
        <f>IFERROR(VLOOKUP($H623,매장구분!$B:$Z,5,0),"")</f>
        <v>백화점</v>
      </c>
      <c r="E623" s="46" t="str">
        <f>IFERROR(VLOOKUP($H623,매장구분!$B:$Z,9,0),"")</f>
        <v>신세계하남</v>
      </c>
      <c r="G623" s="36" t="s">
        <v>243</v>
      </c>
      <c r="H623" s="36" t="s">
        <v>244</v>
      </c>
      <c r="I623" s="36" t="s">
        <v>169</v>
      </c>
      <c r="J623" s="36" t="s">
        <v>175</v>
      </c>
      <c r="K623" s="36" t="s">
        <v>170</v>
      </c>
      <c r="L623" s="36" t="s">
        <v>171</v>
      </c>
      <c r="M623" s="36" t="s">
        <v>77</v>
      </c>
      <c r="N623" s="36" t="s">
        <v>172</v>
      </c>
      <c r="O623" s="36">
        <v>16364330</v>
      </c>
      <c r="P623" s="36">
        <v>148</v>
      </c>
      <c r="Q623" s="36">
        <v>0</v>
      </c>
      <c r="R623" s="36">
        <v>0</v>
      </c>
      <c r="S623" s="36">
        <v>0</v>
      </c>
      <c r="T623" s="36">
        <v>0</v>
      </c>
      <c r="U623" s="36">
        <v>1189570</v>
      </c>
      <c r="V623" s="36">
        <v>7</v>
      </c>
      <c r="W623" s="36">
        <v>0</v>
      </c>
      <c r="X623" s="36">
        <v>0</v>
      </c>
      <c r="Y623" s="48">
        <v>0</v>
      </c>
      <c r="Z623" s="36">
        <v>0</v>
      </c>
      <c r="AA623" s="36">
        <v>0</v>
      </c>
      <c r="AB623" s="36">
        <v>0</v>
      </c>
      <c r="AC623" s="36">
        <v>17553900</v>
      </c>
      <c r="AD623" s="36">
        <v>155</v>
      </c>
      <c r="AF623" s="47">
        <f t="shared" si="9"/>
        <v>17553900</v>
      </c>
    </row>
    <row r="624" spans="1:32" x14ac:dyDescent="0.3">
      <c r="A624" s="46" t="s">
        <v>758</v>
      </c>
      <c r="B624" s="46" t="str">
        <f>IFERROR(VLOOKUP($H624,매장구분!$B:$Z,2,0),"")</f>
        <v>리테일채널팀</v>
      </c>
      <c r="C624" s="46" t="str">
        <f>IFERROR(VLOOKUP($H624,매장구분!$B:$Z,3,0),"")</f>
        <v>국내</v>
      </c>
      <c r="D624" s="46" t="str">
        <f>IFERROR(VLOOKUP($H624,매장구분!$B:$Z,5,0),"")</f>
        <v>대리점</v>
      </c>
      <c r="E624" s="46" t="str">
        <f>IFERROR(VLOOKUP($H624,매장구분!$B:$Z,9,0),"")</f>
        <v>울산무거(대-위)</v>
      </c>
      <c r="G624" s="36" t="s">
        <v>241</v>
      </c>
      <c r="H624" s="36" t="s">
        <v>242</v>
      </c>
      <c r="I624" s="36" t="s">
        <v>169</v>
      </c>
      <c r="J624" s="36" t="s">
        <v>79</v>
      </c>
      <c r="K624" s="36" t="s">
        <v>170</v>
      </c>
      <c r="L624" s="36" t="s">
        <v>171</v>
      </c>
      <c r="M624" s="36" t="s">
        <v>196</v>
      </c>
      <c r="N624" s="36" t="s">
        <v>197</v>
      </c>
      <c r="O624" s="36">
        <v>5714648</v>
      </c>
      <c r="P624" s="36">
        <v>51</v>
      </c>
      <c r="Q624" s="36">
        <v>0</v>
      </c>
      <c r="R624" s="36">
        <v>0</v>
      </c>
      <c r="S624" s="36">
        <v>0</v>
      </c>
      <c r="T624" s="36">
        <v>0</v>
      </c>
      <c r="U624" s="36">
        <v>4256452</v>
      </c>
      <c r="V624" s="36">
        <v>38</v>
      </c>
      <c r="W624" s="36">
        <v>0</v>
      </c>
      <c r="X624" s="36">
        <v>0</v>
      </c>
      <c r="Y624" s="48">
        <v>0</v>
      </c>
      <c r="Z624" s="36">
        <v>0</v>
      </c>
      <c r="AA624" s="36">
        <v>0</v>
      </c>
      <c r="AB624" s="36">
        <v>0</v>
      </c>
      <c r="AC624" s="36">
        <v>9971100</v>
      </c>
      <c r="AD624" s="36">
        <v>89</v>
      </c>
      <c r="AF624" s="47">
        <f t="shared" si="9"/>
        <v>9971100</v>
      </c>
    </row>
    <row r="625" spans="1:32" x14ac:dyDescent="0.3">
      <c r="A625" s="46" t="s">
        <v>758</v>
      </c>
      <c r="B625" s="46" t="str">
        <f>IFERROR(VLOOKUP($H625,매장구분!$B:$Z,2,0),"")</f>
        <v>파트너채널팀</v>
      </c>
      <c r="C625" s="46" t="str">
        <f>IFERROR(VLOOKUP($H625,매장구분!$B:$Z,3,0),"")</f>
        <v>국내</v>
      </c>
      <c r="D625" s="46" t="str">
        <f>IFERROR(VLOOKUP($H625,매장구분!$B:$Z,5,0),"")</f>
        <v>백화점</v>
      </c>
      <c r="E625" s="46" t="str">
        <f>IFERROR(VLOOKUP($H625,매장구분!$B:$Z,9,0),"")</f>
        <v>롯데강남</v>
      </c>
      <c r="G625" s="36" t="s">
        <v>275</v>
      </c>
      <c r="H625" s="36" t="s">
        <v>276</v>
      </c>
      <c r="I625" s="36" t="s">
        <v>169</v>
      </c>
      <c r="J625" s="36" t="s">
        <v>175</v>
      </c>
      <c r="K625" s="36" t="s">
        <v>170</v>
      </c>
      <c r="L625" s="36" t="s">
        <v>171</v>
      </c>
      <c r="M625" s="36" t="s">
        <v>77</v>
      </c>
      <c r="N625" s="36" t="s">
        <v>172</v>
      </c>
      <c r="O625" s="36">
        <v>5421040</v>
      </c>
      <c r="P625" s="36">
        <v>60</v>
      </c>
      <c r="Q625" s="36">
        <v>0</v>
      </c>
      <c r="R625" s="36">
        <v>0</v>
      </c>
      <c r="S625" s="36">
        <v>0</v>
      </c>
      <c r="T625" s="36">
        <v>0</v>
      </c>
      <c r="U625" s="36">
        <v>1270060</v>
      </c>
      <c r="V625" s="36">
        <v>6</v>
      </c>
      <c r="W625" s="36">
        <v>0</v>
      </c>
      <c r="X625" s="36">
        <v>0</v>
      </c>
      <c r="Y625" s="48">
        <v>0</v>
      </c>
      <c r="Z625" s="36">
        <v>0</v>
      </c>
      <c r="AA625" s="36">
        <v>0</v>
      </c>
      <c r="AB625" s="36">
        <v>0</v>
      </c>
      <c r="AC625" s="36">
        <v>6691100</v>
      </c>
      <c r="AD625" s="36">
        <v>66</v>
      </c>
      <c r="AF625" s="47">
        <f t="shared" si="9"/>
        <v>6691100</v>
      </c>
    </row>
    <row r="626" spans="1:32" x14ac:dyDescent="0.3">
      <c r="A626" s="46" t="s">
        <v>758</v>
      </c>
      <c r="B626" s="46" t="str">
        <f>IFERROR(VLOOKUP($H626,매장구분!$B:$Z,2,0),"")</f>
        <v>리테일채널팀</v>
      </c>
      <c r="C626" s="46" t="str">
        <f>IFERROR(VLOOKUP($H626,매장구분!$B:$Z,3,0),"")</f>
        <v>국내</v>
      </c>
      <c r="D626" s="46" t="str">
        <f>IFERROR(VLOOKUP($H626,매장구분!$B:$Z,5,0),"")</f>
        <v>상설(위탁)</v>
      </c>
      <c r="E626" s="46" t="str">
        <f>IFERROR(VLOOKUP($H626,매장구분!$B:$Z,9,0),"")</f>
        <v>롯데아울렛부여(상-위)</v>
      </c>
      <c r="G626" s="36" t="s">
        <v>281</v>
      </c>
      <c r="H626" s="36" t="s">
        <v>282</v>
      </c>
      <c r="I626" s="36" t="s">
        <v>169</v>
      </c>
      <c r="J626" s="36" t="s">
        <v>79</v>
      </c>
      <c r="K626" s="36" t="s">
        <v>170</v>
      </c>
      <c r="L626" s="36" t="s">
        <v>171</v>
      </c>
      <c r="M626" s="36" t="s">
        <v>219</v>
      </c>
      <c r="N626" s="36" t="s">
        <v>219</v>
      </c>
      <c r="O626" s="36">
        <v>2075000</v>
      </c>
      <c r="P626" s="36">
        <v>55</v>
      </c>
      <c r="Q626" s="36">
        <v>0</v>
      </c>
      <c r="R626" s="36">
        <v>0</v>
      </c>
      <c r="S626" s="36">
        <v>0</v>
      </c>
      <c r="T626" s="36">
        <v>0</v>
      </c>
      <c r="U626" s="36">
        <v>0</v>
      </c>
      <c r="V626" s="36">
        <v>0</v>
      </c>
      <c r="W626" s="36">
        <v>0</v>
      </c>
      <c r="X626" s="36">
        <v>0</v>
      </c>
      <c r="Y626" s="48">
        <v>0</v>
      </c>
      <c r="Z626" s="36">
        <v>0</v>
      </c>
      <c r="AA626" s="36">
        <v>0</v>
      </c>
      <c r="AB626" s="36">
        <v>0</v>
      </c>
      <c r="AC626" s="36">
        <v>2075000</v>
      </c>
      <c r="AD626" s="36">
        <v>55</v>
      </c>
      <c r="AF626" s="47">
        <f t="shared" si="9"/>
        <v>2075000</v>
      </c>
    </row>
    <row r="627" spans="1:32" x14ac:dyDescent="0.3">
      <c r="A627" s="46" t="s">
        <v>758</v>
      </c>
      <c r="B627" s="46" t="str">
        <f>IFERROR(VLOOKUP($H627,매장구분!$B:$Z,2,0),"")</f>
        <v>리테일채널팀</v>
      </c>
      <c r="C627" s="46" t="str">
        <f>IFERROR(VLOOKUP($H627,매장구분!$B:$Z,3,0),"")</f>
        <v>국내</v>
      </c>
      <c r="D627" s="46" t="str">
        <f>IFERROR(VLOOKUP($H627,매장구분!$B:$Z,5,0),"")</f>
        <v>상설(위탁)</v>
      </c>
      <c r="E627" s="46" t="str">
        <f>IFERROR(VLOOKUP($H627,매장구분!$B:$Z,9,0),"")</f>
        <v>LF스퀘어양주(상-위)</v>
      </c>
      <c r="G627" s="36" t="s">
        <v>283</v>
      </c>
      <c r="H627" s="36" t="s">
        <v>284</v>
      </c>
      <c r="I627" s="36" t="s">
        <v>169</v>
      </c>
      <c r="J627" s="36" t="s">
        <v>79</v>
      </c>
      <c r="K627" s="36" t="s">
        <v>170</v>
      </c>
      <c r="L627" s="36" t="s">
        <v>171</v>
      </c>
      <c r="M627" s="36" t="s">
        <v>77</v>
      </c>
      <c r="N627" s="36" t="s">
        <v>172</v>
      </c>
      <c r="O627" s="36">
        <v>1245000</v>
      </c>
      <c r="P627" s="36">
        <v>34</v>
      </c>
      <c r="Q627" s="36">
        <v>0</v>
      </c>
      <c r="R627" s="36">
        <v>0</v>
      </c>
      <c r="S627" s="36">
        <v>0</v>
      </c>
      <c r="T627" s="36">
        <v>0</v>
      </c>
      <c r="U627" s="36">
        <v>0</v>
      </c>
      <c r="V627" s="36">
        <v>0</v>
      </c>
      <c r="W627" s="36">
        <v>0</v>
      </c>
      <c r="X627" s="36">
        <v>0</v>
      </c>
      <c r="Y627" s="48">
        <v>0</v>
      </c>
      <c r="Z627" s="36">
        <v>0</v>
      </c>
      <c r="AA627" s="36">
        <v>0</v>
      </c>
      <c r="AB627" s="36">
        <v>0</v>
      </c>
      <c r="AC627" s="36">
        <v>1245000</v>
      </c>
      <c r="AD627" s="36">
        <v>34</v>
      </c>
      <c r="AF627" s="47">
        <f t="shared" si="9"/>
        <v>1245000</v>
      </c>
    </row>
    <row r="628" spans="1:32" x14ac:dyDescent="0.3">
      <c r="A628" s="46" t="s">
        <v>758</v>
      </c>
      <c r="B628" s="46" t="str">
        <f>IFERROR(VLOOKUP($H628,매장구분!$B:$Z,2,0),"")</f>
        <v>리테일채널팀</v>
      </c>
      <c r="C628" s="46" t="str">
        <f>IFERROR(VLOOKUP($H628,매장구분!$B:$Z,3,0),"")</f>
        <v>국내</v>
      </c>
      <c r="D628" s="46" t="str">
        <f>IFERROR(VLOOKUP($H628,매장구분!$B:$Z,5,0),"")</f>
        <v>상설(위탁)</v>
      </c>
      <c r="E628" s="46" t="str">
        <f>IFERROR(VLOOKUP($H628,매장구분!$B:$Z,9,0),"")</f>
        <v>현대아울렛가산(상-위)</v>
      </c>
      <c r="G628" s="36" t="s">
        <v>285</v>
      </c>
      <c r="H628" s="36" t="s">
        <v>286</v>
      </c>
      <c r="I628" s="36" t="s">
        <v>169</v>
      </c>
      <c r="J628" s="36" t="s">
        <v>79</v>
      </c>
      <c r="K628" s="36" t="s">
        <v>170</v>
      </c>
      <c r="L628" s="36" t="s">
        <v>171</v>
      </c>
      <c r="M628" s="36" t="s">
        <v>219</v>
      </c>
      <c r="N628" s="36" t="s">
        <v>219</v>
      </c>
      <c r="O628" s="36">
        <v>821000</v>
      </c>
      <c r="P628" s="36">
        <v>22</v>
      </c>
      <c r="Q628" s="36">
        <v>0</v>
      </c>
      <c r="R628" s="36">
        <v>0</v>
      </c>
      <c r="S628" s="36">
        <v>0</v>
      </c>
      <c r="T628" s="36">
        <v>0</v>
      </c>
      <c r="U628" s="36">
        <v>0</v>
      </c>
      <c r="V628" s="36">
        <v>0</v>
      </c>
      <c r="W628" s="36">
        <v>0</v>
      </c>
      <c r="X628" s="36">
        <v>0</v>
      </c>
      <c r="Y628" s="48">
        <v>0</v>
      </c>
      <c r="Z628" s="36">
        <v>0</v>
      </c>
      <c r="AA628" s="36">
        <v>0</v>
      </c>
      <c r="AB628" s="36">
        <v>0</v>
      </c>
      <c r="AC628" s="36">
        <v>821000</v>
      </c>
      <c r="AD628" s="36">
        <v>22</v>
      </c>
      <c r="AF628" s="47">
        <f t="shared" si="9"/>
        <v>821000</v>
      </c>
    </row>
    <row r="629" spans="1:32" x14ac:dyDescent="0.3">
      <c r="A629" s="46" t="s">
        <v>758</v>
      </c>
      <c r="B629" s="46" t="str">
        <f>IFERROR(VLOOKUP($H629,매장구분!$B:$Z,2,0),"")</f>
        <v>파트너채널팀</v>
      </c>
      <c r="C629" s="46" t="str">
        <f>IFERROR(VLOOKUP($H629,매장구분!$B:$Z,3,0),"")</f>
        <v>국내</v>
      </c>
      <c r="D629" s="46" t="str">
        <f>IFERROR(VLOOKUP($H629,매장구분!$B:$Z,5,0),"")</f>
        <v>백화점</v>
      </c>
      <c r="E629" s="46" t="str">
        <f>IFERROR(VLOOKUP($H629,매장구분!$B:$Z,9,0),"")</f>
        <v>갤러리아대전</v>
      </c>
      <c r="G629" s="36" t="s">
        <v>303</v>
      </c>
      <c r="H629" s="36" t="s">
        <v>304</v>
      </c>
      <c r="I629" s="36" t="s">
        <v>169</v>
      </c>
      <c r="J629" s="36" t="s">
        <v>175</v>
      </c>
      <c r="K629" s="36" t="s">
        <v>170</v>
      </c>
      <c r="L629" s="36" t="s">
        <v>171</v>
      </c>
      <c r="M629" s="36" t="s">
        <v>77</v>
      </c>
      <c r="N629" s="36" t="s">
        <v>172</v>
      </c>
      <c r="O629" s="36">
        <v>13056990</v>
      </c>
      <c r="P629" s="36">
        <v>161</v>
      </c>
      <c r="Q629" s="36">
        <v>0</v>
      </c>
      <c r="R629" s="36">
        <v>0</v>
      </c>
      <c r="S629" s="36">
        <v>0</v>
      </c>
      <c r="T629" s="36">
        <v>0</v>
      </c>
      <c r="U629" s="36">
        <v>2366810</v>
      </c>
      <c r="V629" s="36">
        <v>40</v>
      </c>
      <c r="W629" s="36">
        <v>0</v>
      </c>
      <c r="X629" s="36">
        <v>0</v>
      </c>
      <c r="Y629" s="48">
        <v>87314000</v>
      </c>
      <c r="Z629" s="36">
        <v>557</v>
      </c>
      <c r="AA629" s="36">
        <v>0</v>
      </c>
      <c r="AB629" s="36">
        <v>0</v>
      </c>
      <c r="AC629" s="36">
        <v>102737800</v>
      </c>
      <c r="AD629" s="36">
        <v>758</v>
      </c>
      <c r="AF629" s="47">
        <f t="shared" si="9"/>
        <v>15423800</v>
      </c>
    </row>
    <row r="630" spans="1:32" x14ac:dyDescent="0.3">
      <c r="A630" s="46" t="s">
        <v>758</v>
      </c>
      <c r="B630" s="46" t="str">
        <f>IFERROR(VLOOKUP($H630,매장구분!$B:$Z,2,0),"")</f>
        <v>리테일채널팀</v>
      </c>
      <c r="C630" s="46" t="str">
        <f>IFERROR(VLOOKUP($H630,매장구분!$B:$Z,3,0),"")</f>
        <v>국내</v>
      </c>
      <c r="D630" s="46" t="str">
        <f>IFERROR(VLOOKUP($H630,매장구분!$B:$Z,5,0),"")</f>
        <v>대리점</v>
      </c>
      <c r="E630" s="46" t="str">
        <f>IFERROR(VLOOKUP($H630,매장구분!$B:$Z,9,0),"")</f>
        <v>아이즈빌부평(대-위)</v>
      </c>
      <c r="G630" s="36" t="s">
        <v>315</v>
      </c>
      <c r="H630" s="36" t="s">
        <v>316</v>
      </c>
      <c r="I630" s="36" t="s">
        <v>169</v>
      </c>
      <c r="J630" s="36" t="s">
        <v>79</v>
      </c>
      <c r="K630" s="36" t="s">
        <v>170</v>
      </c>
      <c r="L630" s="36" t="s">
        <v>171</v>
      </c>
      <c r="M630" s="36" t="s">
        <v>188</v>
      </c>
      <c r="N630" s="36" t="s">
        <v>317</v>
      </c>
      <c r="O630" s="36">
        <v>32785246</v>
      </c>
      <c r="P630" s="36">
        <v>294</v>
      </c>
      <c r="Q630" s="36">
        <v>0</v>
      </c>
      <c r="R630" s="36">
        <v>0</v>
      </c>
      <c r="S630" s="36">
        <v>0</v>
      </c>
      <c r="T630" s="36">
        <v>0</v>
      </c>
      <c r="U630" s="36">
        <v>1173654</v>
      </c>
      <c r="V630" s="36">
        <v>6</v>
      </c>
      <c r="W630" s="36">
        <v>0</v>
      </c>
      <c r="X630" s="36">
        <v>0</v>
      </c>
      <c r="Y630" s="48">
        <v>43780000</v>
      </c>
      <c r="Z630" s="36">
        <v>370</v>
      </c>
      <c r="AA630" s="36">
        <v>0</v>
      </c>
      <c r="AB630" s="36">
        <v>0</v>
      </c>
      <c r="AC630" s="36">
        <v>77738900</v>
      </c>
      <c r="AD630" s="36">
        <v>670</v>
      </c>
      <c r="AF630" s="47">
        <f t="shared" si="9"/>
        <v>33958900</v>
      </c>
    </row>
    <row r="631" spans="1:32" x14ac:dyDescent="0.3">
      <c r="A631" s="46" t="s">
        <v>758</v>
      </c>
      <c r="B631" s="46" t="str">
        <f>IFERROR(VLOOKUP($H631,매장구분!$B:$Z,2,0),"")</f>
        <v>파트너채널팀</v>
      </c>
      <c r="C631" s="46" t="str">
        <f>IFERROR(VLOOKUP($H631,매장구분!$B:$Z,3,0),"")</f>
        <v>면세</v>
      </c>
      <c r="D631" s="46" t="str">
        <f>IFERROR(VLOOKUP($H631,매장구분!$B:$Z,5,0),"")</f>
        <v>면세</v>
      </c>
      <c r="E631" s="46" t="str">
        <f>IFERROR(VLOOKUP($H631,매장구분!$B:$Z,9,0),"")</f>
        <v>신라면세장충</v>
      </c>
      <c r="G631" s="36" t="s">
        <v>299</v>
      </c>
      <c r="H631" s="36" t="s">
        <v>300</v>
      </c>
      <c r="I631" s="36" t="s">
        <v>169</v>
      </c>
      <c r="J631" s="36" t="s">
        <v>175</v>
      </c>
      <c r="K631" s="36" t="s">
        <v>170</v>
      </c>
      <c r="L631" s="36" t="s">
        <v>171</v>
      </c>
      <c r="M631" s="36" t="s">
        <v>176</v>
      </c>
      <c r="N631" s="36" t="s">
        <v>177</v>
      </c>
      <c r="O631" s="36">
        <v>83549000</v>
      </c>
      <c r="P631" s="36">
        <v>2081</v>
      </c>
      <c r="Q631" s="36">
        <v>0</v>
      </c>
      <c r="R631" s="36">
        <v>0</v>
      </c>
      <c r="S631" s="36">
        <v>0</v>
      </c>
      <c r="T631" s="36">
        <v>0</v>
      </c>
      <c r="U631" s="36">
        <v>0</v>
      </c>
      <c r="V631" s="36">
        <v>0</v>
      </c>
      <c r="W631" s="36">
        <v>0</v>
      </c>
      <c r="X631" s="36">
        <v>0</v>
      </c>
      <c r="Y631" s="48">
        <v>316993900</v>
      </c>
      <c r="Z631" s="36">
        <v>5643</v>
      </c>
      <c r="AA631" s="36">
        <v>0</v>
      </c>
      <c r="AB631" s="36">
        <v>0</v>
      </c>
      <c r="AC631" s="36">
        <v>400542900</v>
      </c>
      <c r="AD631" s="36">
        <v>7724</v>
      </c>
      <c r="AF631" s="47">
        <f t="shared" si="9"/>
        <v>83549000</v>
      </c>
    </row>
    <row r="632" spans="1:32" x14ac:dyDescent="0.3">
      <c r="A632" s="46" t="s">
        <v>758</v>
      </c>
      <c r="B632" s="46" t="str">
        <f>IFERROR(VLOOKUP($H632,매장구분!$B:$Z,2,0),"")</f>
        <v>리테일채널팀</v>
      </c>
      <c r="C632" s="46" t="str">
        <f>IFERROR(VLOOKUP($H632,매장구분!$B:$Z,3,0),"")</f>
        <v>국내</v>
      </c>
      <c r="D632" s="46" t="str">
        <f>IFERROR(VLOOKUP($H632,매장구분!$B:$Z,5,0),"")</f>
        <v>대리점</v>
      </c>
      <c r="E632" s="46" t="str">
        <f>IFERROR(VLOOKUP($H632,매장구분!$B:$Z,9,0),"")</f>
        <v>나주(대-위)</v>
      </c>
      <c r="G632" s="36" t="s">
        <v>324</v>
      </c>
      <c r="H632" s="36" t="s">
        <v>325</v>
      </c>
      <c r="I632" s="36" t="s">
        <v>169</v>
      </c>
      <c r="J632" s="36" t="s">
        <v>79</v>
      </c>
      <c r="K632" s="36" t="s">
        <v>170</v>
      </c>
      <c r="L632" s="36" t="s">
        <v>171</v>
      </c>
      <c r="M632" s="36" t="s">
        <v>196</v>
      </c>
      <c r="N632" s="36" t="s">
        <v>197</v>
      </c>
      <c r="O632" s="36">
        <v>21957966</v>
      </c>
      <c r="P632" s="36">
        <v>190</v>
      </c>
      <c r="Q632" s="36">
        <v>0</v>
      </c>
      <c r="R632" s="36">
        <v>0</v>
      </c>
      <c r="S632" s="36">
        <v>0</v>
      </c>
      <c r="T632" s="36">
        <v>0</v>
      </c>
      <c r="U632" s="36">
        <v>5328918</v>
      </c>
      <c r="V632" s="36">
        <v>31</v>
      </c>
      <c r="W632" s="36">
        <v>0</v>
      </c>
      <c r="X632" s="36">
        <v>0</v>
      </c>
      <c r="Y632" s="48">
        <v>0</v>
      </c>
      <c r="Z632" s="36">
        <v>0</v>
      </c>
      <c r="AA632" s="36">
        <v>0</v>
      </c>
      <c r="AB632" s="36">
        <v>0</v>
      </c>
      <c r="AC632" s="36">
        <v>27286884</v>
      </c>
      <c r="AD632" s="36">
        <v>221</v>
      </c>
      <c r="AF632" s="47">
        <f t="shared" si="9"/>
        <v>27286884</v>
      </c>
    </row>
    <row r="633" spans="1:32" x14ac:dyDescent="0.3">
      <c r="A633" s="46" t="s">
        <v>758</v>
      </c>
      <c r="B633" s="46" t="str">
        <f>IFERROR(VLOOKUP($H633,매장구분!$B:$Z,2,0),"")</f>
        <v>파트너채널팀</v>
      </c>
      <c r="C633" s="46" t="str">
        <f>IFERROR(VLOOKUP($H633,매장구분!$B:$Z,3,0),"")</f>
        <v>국내</v>
      </c>
      <c r="D633" s="46" t="str">
        <f>IFERROR(VLOOKUP($H633,매장구분!$B:$Z,5,0),"")</f>
        <v>백화점</v>
      </c>
      <c r="E633" s="46" t="str">
        <f>IFERROR(VLOOKUP($H633,매장구분!$B:$Z,9,0),"")</f>
        <v>현대신촌</v>
      </c>
      <c r="G633" s="36" t="s">
        <v>297</v>
      </c>
      <c r="H633" s="36" t="s">
        <v>298</v>
      </c>
      <c r="I633" s="36" t="s">
        <v>169</v>
      </c>
      <c r="J633" s="36" t="s">
        <v>175</v>
      </c>
      <c r="K633" s="36" t="s">
        <v>170</v>
      </c>
      <c r="L633" s="36" t="s">
        <v>171</v>
      </c>
      <c r="M633" s="36" t="s">
        <v>77</v>
      </c>
      <c r="N633" s="36" t="s">
        <v>172</v>
      </c>
      <c r="O633" s="36">
        <v>14058430</v>
      </c>
      <c r="P633" s="36">
        <v>128</v>
      </c>
      <c r="Q633" s="36">
        <v>564500</v>
      </c>
      <c r="R633" s="36">
        <v>28</v>
      </c>
      <c r="S633" s="36">
        <v>0</v>
      </c>
      <c r="T633" s="36">
        <v>0</v>
      </c>
      <c r="U633" s="36">
        <v>469870</v>
      </c>
      <c r="V633" s="36">
        <v>3</v>
      </c>
      <c r="W633" s="36">
        <v>0</v>
      </c>
      <c r="X633" s="36">
        <v>0</v>
      </c>
      <c r="Y633" s="48">
        <v>8012800</v>
      </c>
      <c r="Z633" s="36">
        <v>51</v>
      </c>
      <c r="AA633" s="36">
        <v>0</v>
      </c>
      <c r="AB633" s="36">
        <v>0</v>
      </c>
      <c r="AC633" s="36">
        <v>23105600</v>
      </c>
      <c r="AD633" s="36">
        <v>210</v>
      </c>
      <c r="AF633" s="47">
        <f t="shared" si="9"/>
        <v>15092800</v>
      </c>
    </row>
    <row r="634" spans="1:32" x14ac:dyDescent="0.3">
      <c r="A634" s="46" t="s">
        <v>758</v>
      </c>
      <c r="B634" s="46" t="str">
        <f>IFERROR(VLOOKUP($H634,매장구분!$B:$Z,2,0),"")</f>
        <v>리테일채널팀</v>
      </c>
      <c r="C634" s="46" t="str">
        <f>IFERROR(VLOOKUP($H634,매장구분!$B:$Z,3,0),"")</f>
        <v>국내</v>
      </c>
      <c r="D634" s="46" t="str">
        <f>IFERROR(VLOOKUP($H634,매장구분!$B:$Z,5,0),"")</f>
        <v>대리점</v>
      </c>
      <c r="E634" s="46" t="str">
        <f>IFERROR(VLOOKUP($H634,매장구분!$B:$Z,9,0),"")</f>
        <v>안산한대(대-위)</v>
      </c>
      <c r="G634" s="36" t="s">
        <v>295</v>
      </c>
      <c r="H634" s="36" t="s">
        <v>296</v>
      </c>
      <c r="I634" s="36" t="s">
        <v>169</v>
      </c>
      <c r="J634" s="36" t="s">
        <v>79</v>
      </c>
      <c r="K634" s="36" t="s">
        <v>170</v>
      </c>
      <c r="L634" s="36" t="s">
        <v>171</v>
      </c>
      <c r="M634" s="36" t="s">
        <v>196</v>
      </c>
      <c r="N634" s="36" t="s">
        <v>197</v>
      </c>
      <c r="O634" s="36">
        <v>20809798</v>
      </c>
      <c r="P634" s="36">
        <v>179</v>
      </c>
      <c r="Q634" s="36">
        <v>0</v>
      </c>
      <c r="R634" s="36">
        <v>0</v>
      </c>
      <c r="S634" s="36">
        <v>0</v>
      </c>
      <c r="T634" s="36">
        <v>0</v>
      </c>
      <c r="U634" s="36">
        <v>2401487</v>
      </c>
      <c r="V634" s="36">
        <v>14</v>
      </c>
      <c r="W634" s="36">
        <v>0</v>
      </c>
      <c r="X634" s="36">
        <v>0</v>
      </c>
      <c r="Y634" s="48">
        <v>0</v>
      </c>
      <c r="Z634" s="36">
        <v>0</v>
      </c>
      <c r="AA634" s="36">
        <v>0</v>
      </c>
      <c r="AB634" s="36">
        <v>0</v>
      </c>
      <c r="AC634" s="36">
        <v>23211285</v>
      </c>
      <c r="AD634" s="36">
        <v>193</v>
      </c>
      <c r="AF634" s="47">
        <f t="shared" si="9"/>
        <v>23211285</v>
      </c>
    </row>
    <row r="635" spans="1:32" x14ac:dyDescent="0.3">
      <c r="A635" s="46" t="s">
        <v>758</v>
      </c>
      <c r="B635" s="46" t="str">
        <f>IFERROR(VLOOKUP($H635,매장구분!$B:$Z,2,0),"")</f>
        <v>파트너채널팀</v>
      </c>
      <c r="C635" s="46" t="str">
        <f>IFERROR(VLOOKUP($H635,매장구분!$B:$Z,3,0),"")</f>
        <v>국내</v>
      </c>
      <c r="D635" s="46" t="str">
        <f>IFERROR(VLOOKUP($H635,매장구분!$B:$Z,5,0),"")</f>
        <v>백화점</v>
      </c>
      <c r="E635" s="46" t="str">
        <f>IFERROR(VLOOKUP($H635,매장구분!$B:$Z,9,0),"")</f>
        <v>신세계센텀</v>
      </c>
      <c r="G635" s="36" t="s">
        <v>301</v>
      </c>
      <c r="H635" s="36" t="s">
        <v>302</v>
      </c>
      <c r="I635" s="36" t="s">
        <v>169</v>
      </c>
      <c r="J635" s="36" t="s">
        <v>175</v>
      </c>
      <c r="K635" s="36" t="s">
        <v>170</v>
      </c>
      <c r="L635" s="36" t="s">
        <v>171</v>
      </c>
      <c r="M635" s="36" t="s">
        <v>77</v>
      </c>
      <c r="N635" s="36" t="s">
        <v>172</v>
      </c>
      <c r="O635" s="36">
        <v>24087640</v>
      </c>
      <c r="P635" s="36">
        <v>389</v>
      </c>
      <c r="Q635" s="36">
        <v>0</v>
      </c>
      <c r="R635" s="36">
        <v>0</v>
      </c>
      <c r="S635" s="36">
        <v>0</v>
      </c>
      <c r="T635" s="36">
        <v>0</v>
      </c>
      <c r="U635" s="36">
        <v>2027760</v>
      </c>
      <c r="V635" s="36">
        <v>8</v>
      </c>
      <c r="W635" s="36">
        <v>0</v>
      </c>
      <c r="X635" s="36">
        <v>0</v>
      </c>
      <c r="Y635" s="48">
        <v>0</v>
      </c>
      <c r="Z635" s="36">
        <v>0</v>
      </c>
      <c r="AA635" s="36">
        <v>0</v>
      </c>
      <c r="AB635" s="36">
        <v>0</v>
      </c>
      <c r="AC635" s="36">
        <v>26115400</v>
      </c>
      <c r="AD635" s="36">
        <v>397</v>
      </c>
      <c r="AF635" s="47">
        <f t="shared" si="9"/>
        <v>26115400</v>
      </c>
    </row>
    <row r="636" spans="1:32" x14ac:dyDescent="0.3">
      <c r="A636" s="46" t="s">
        <v>758</v>
      </c>
      <c r="B636" s="46" t="str">
        <f>IFERROR(VLOOKUP($H636,매장구분!$B:$Z,2,0),"")</f>
        <v>파트너채널팀</v>
      </c>
      <c r="C636" s="46" t="str">
        <f>IFERROR(VLOOKUP($H636,매장구분!$B:$Z,3,0),"")</f>
        <v>국내</v>
      </c>
      <c r="D636" s="46" t="str">
        <f>IFERROR(VLOOKUP($H636,매장구분!$B:$Z,5,0),"")</f>
        <v>백화점</v>
      </c>
      <c r="E636" s="46" t="str">
        <f>IFERROR(VLOOKUP($H636,매장구분!$B:$Z,9,0),"")</f>
        <v>현대천호</v>
      </c>
      <c r="G636" s="36" t="s">
        <v>305</v>
      </c>
      <c r="H636" s="36" t="s">
        <v>306</v>
      </c>
      <c r="I636" s="36" t="s">
        <v>169</v>
      </c>
      <c r="J636" s="36" t="s">
        <v>175</v>
      </c>
      <c r="K636" s="36" t="s">
        <v>170</v>
      </c>
      <c r="L636" s="36" t="s">
        <v>171</v>
      </c>
      <c r="M636" s="36" t="s">
        <v>77</v>
      </c>
      <c r="N636" s="36" t="s">
        <v>172</v>
      </c>
      <c r="O636" s="36">
        <v>9323160</v>
      </c>
      <c r="P636" s="36">
        <v>101</v>
      </c>
      <c r="Q636" s="36">
        <v>2641900</v>
      </c>
      <c r="R636" s="36">
        <v>20</v>
      </c>
      <c r="S636" s="36">
        <v>0</v>
      </c>
      <c r="T636" s="36">
        <v>0</v>
      </c>
      <c r="U636" s="36">
        <v>1799340</v>
      </c>
      <c r="V636" s="36">
        <v>11</v>
      </c>
      <c r="W636" s="36">
        <v>0</v>
      </c>
      <c r="X636" s="36">
        <v>0</v>
      </c>
      <c r="Y636" s="48">
        <v>0</v>
      </c>
      <c r="Z636" s="36">
        <v>0</v>
      </c>
      <c r="AA636" s="36">
        <v>0</v>
      </c>
      <c r="AB636" s="36">
        <v>0</v>
      </c>
      <c r="AC636" s="36">
        <v>13764400</v>
      </c>
      <c r="AD636" s="36">
        <v>132</v>
      </c>
      <c r="AF636" s="47">
        <f t="shared" si="9"/>
        <v>13764400</v>
      </c>
    </row>
    <row r="637" spans="1:32" x14ac:dyDescent="0.3">
      <c r="A637" s="46" t="s">
        <v>758</v>
      </c>
      <c r="B637" s="46" t="str">
        <f>IFERROR(VLOOKUP($H637,매장구분!$B:$Z,2,0),"")</f>
        <v>리테일채널팀</v>
      </c>
      <c r="C637" s="46" t="str">
        <f>IFERROR(VLOOKUP($H637,매장구분!$B:$Z,3,0),"")</f>
        <v>국내</v>
      </c>
      <c r="D637" s="46" t="str">
        <f>IFERROR(VLOOKUP($H637,매장구분!$B:$Z,5,0),"")</f>
        <v>대리점</v>
      </c>
      <c r="E637" s="46" t="str">
        <f>IFERROR(VLOOKUP($H637,매장구분!$B:$Z,9,0),"")</f>
        <v>전주중앙(대-위)</v>
      </c>
      <c r="G637" s="36" t="s">
        <v>293</v>
      </c>
      <c r="H637" s="36" t="s">
        <v>294</v>
      </c>
      <c r="I637" s="36" t="s">
        <v>169</v>
      </c>
      <c r="J637" s="36" t="s">
        <v>79</v>
      </c>
      <c r="K637" s="36" t="s">
        <v>170</v>
      </c>
      <c r="L637" s="36" t="s">
        <v>171</v>
      </c>
      <c r="M637" s="36" t="s">
        <v>196</v>
      </c>
      <c r="N637" s="36" t="s">
        <v>197</v>
      </c>
      <c r="O637" s="36">
        <v>16036670</v>
      </c>
      <c r="P637" s="36">
        <v>176</v>
      </c>
      <c r="Q637" s="36">
        <v>0</v>
      </c>
      <c r="R637" s="36">
        <v>0</v>
      </c>
      <c r="S637" s="36">
        <v>0</v>
      </c>
      <c r="T637" s="36">
        <v>0</v>
      </c>
      <c r="U637" s="36">
        <v>768690</v>
      </c>
      <c r="V637" s="36">
        <v>8</v>
      </c>
      <c r="W637" s="36">
        <v>0</v>
      </c>
      <c r="X637" s="36">
        <v>0</v>
      </c>
      <c r="Y637" s="48">
        <v>217640</v>
      </c>
      <c r="Z637" s="36">
        <v>3</v>
      </c>
      <c r="AA637" s="36">
        <v>0</v>
      </c>
      <c r="AB637" s="36">
        <v>0</v>
      </c>
      <c r="AC637" s="36">
        <v>17023000</v>
      </c>
      <c r="AD637" s="36">
        <v>187</v>
      </c>
      <c r="AF637" s="47">
        <f t="shared" si="9"/>
        <v>16805360</v>
      </c>
    </row>
    <row r="638" spans="1:32" x14ac:dyDescent="0.3">
      <c r="A638" s="46" t="s">
        <v>758</v>
      </c>
      <c r="B638" s="46" t="str">
        <f>IFERROR(VLOOKUP($H638,매장구분!$B:$Z,2,0),"")</f>
        <v>리테일채널팀</v>
      </c>
      <c r="C638" s="46" t="str">
        <f>IFERROR(VLOOKUP($H638,매장구분!$B:$Z,3,0),"")</f>
        <v>국내</v>
      </c>
      <c r="D638" s="46" t="str">
        <f>IFERROR(VLOOKUP($H638,매장구분!$B:$Z,5,0),"")</f>
        <v>대리점</v>
      </c>
      <c r="E638" s="46" t="str">
        <f>IFERROR(VLOOKUP($H638,매장구분!$B:$Z,9,0),"")</f>
        <v>춘천(대-위)</v>
      </c>
      <c r="G638" s="36" t="s">
        <v>320</v>
      </c>
      <c r="H638" s="36" t="s">
        <v>321</v>
      </c>
      <c r="I638" s="36" t="s">
        <v>169</v>
      </c>
      <c r="J638" s="36" t="s">
        <v>79</v>
      </c>
      <c r="K638" s="36" t="s">
        <v>170</v>
      </c>
      <c r="L638" s="36" t="s">
        <v>171</v>
      </c>
      <c r="M638" s="36" t="s">
        <v>196</v>
      </c>
      <c r="N638" s="36" t="s">
        <v>197</v>
      </c>
      <c r="O638" s="36">
        <v>13278800</v>
      </c>
      <c r="P638" s="36">
        <v>176</v>
      </c>
      <c r="Q638" s="36">
        <v>0</v>
      </c>
      <c r="R638" s="36">
        <v>0</v>
      </c>
      <c r="S638" s="36">
        <v>0</v>
      </c>
      <c r="T638" s="36">
        <v>0</v>
      </c>
      <c r="U638" s="36">
        <v>1773300</v>
      </c>
      <c r="V638" s="36">
        <v>8</v>
      </c>
      <c r="W638" s="36">
        <v>0</v>
      </c>
      <c r="X638" s="36">
        <v>0</v>
      </c>
      <c r="Y638" s="48">
        <v>0</v>
      </c>
      <c r="Z638" s="36">
        <v>0</v>
      </c>
      <c r="AA638" s="36">
        <v>0</v>
      </c>
      <c r="AB638" s="36">
        <v>0</v>
      </c>
      <c r="AC638" s="36">
        <v>15052100</v>
      </c>
      <c r="AD638" s="36">
        <v>184</v>
      </c>
      <c r="AF638" s="47">
        <f t="shared" si="9"/>
        <v>15052100</v>
      </c>
    </row>
    <row r="639" spans="1:32" x14ac:dyDescent="0.3">
      <c r="A639" s="46" t="s">
        <v>758</v>
      </c>
      <c r="B639" s="46" t="str">
        <f>IFERROR(VLOOKUP($H639,매장구분!$B:$Z,2,0),"")</f>
        <v>리테일채널팀</v>
      </c>
      <c r="C639" s="46" t="str">
        <f>IFERROR(VLOOKUP($H639,매장구분!$B:$Z,3,0),"")</f>
        <v>RF</v>
      </c>
      <c r="D639" s="46" t="str">
        <f>IFERROR(VLOOKUP($H639,매장구분!$B:$Z,5,0),"")</f>
        <v>대리점</v>
      </c>
      <c r="E639" s="46" t="str">
        <f>IFERROR(VLOOKUP($H639,매장구분!$B:$Z,9,0),"")</f>
        <v>부산광복(대-위)</v>
      </c>
      <c r="G639" s="36" t="s">
        <v>326</v>
      </c>
      <c r="H639" s="36" t="s">
        <v>327</v>
      </c>
      <c r="I639" s="36" t="s">
        <v>169</v>
      </c>
      <c r="J639" s="36" t="s">
        <v>79</v>
      </c>
      <c r="K639" s="36" t="s">
        <v>170</v>
      </c>
      <c r="L639" s="36" t="s">
        <v>171</v>
      </c>
      <c r="M639" s="36" t="s">
        <v>196</v>
      </c>
      <c r="N639" s="36" t="s">
        <v>197</v>
      </c>
      <c r="O639" s="36">
        <v>11750350</v>
      </c>
      <c r="P639" s="36">
        <v>187</v>
      </c>
      <c r="Q639" s="36">
        <v>0</v>
      </c>
      <c r="R639" s="36">
        <v>0</v>
      </c>
      <c r="S639" s="36">
        <v>0</v>
      </c>
      <c r="T639" s="36">
        <v>0</v>
      </c>
      <c r="U639" s="36">
        <v>665450</v>
      </c>
      <c r="V639" s="36">
        <v>9</v>
      </c>
      <c r="W639" s="36">
        <v>0</v>
      </c>
      <c r="X639" s="36">
        <v>0</v>
      </c>
      <c r="Y639" s="48">
        <v>34057600</v>
      </c>
      <c r="Z639" s="36">
        <v>503</v>
      </c>
      <c r="AA639" s="36">
        <v>0</v>
      </c>
      <c r="AB639" s="36">
        <v>0</v>
      </c>
      <c r="AC639" s="36">
        <v>46473400</v>
      </c>
      <c r="AD639" s="36">
        <v>699</v>
      </c>
      <c r="AF639" s="47">
        <f t="shared" si="9"/>
        <v>12415800</v>
      </c>
    </row>
    <row r="640" spans="1:32" x14ac:dyDescent="0.3">
      <c r="A640" s="46" t="s">
        <v>758</v>
      </c>
      <c r="B640" s="46" t="str">
        <f>IFERROR(VLOOKUP($H640,매장구분!$B:$Z,2,0),"")</f>
        <v>리테일채널팀</v>
      </c>
      <c r="C640" s="46" t="str">
        <f>IFERROR(VLOOKUP($H640,매장구분!$B:$Z,3,0),"")</f>
        <v>국내</v>
      </c>
      <c r="D640" s="46" t="str">
        <f>IFERROR(VLOOKUP($H640,매장구분!$B:$Z,5,0),"")</f>
        <v>대리점</v>
      </c>
      <c r="E640" s="46" t="str">
        <f>IFERROR(VLOOKUP($H640,매장구분!$B:$Z,9,0),"")</f>
        <v>안산시화(대-위)</v>
      </c>
      <c r="G640" s="36" t="s">
        <v>291</v>
      </c>
      <c r="H640" s="36" t="s">
        <v>292</v>
      </c>
      <c r="I640" s="36" t="s">
        <v>169</v>
      </c>
      <c r="J640" s="36" t="s">
        <v>79</v>
      </c>
      <c r="K640" s="36" t="s">
        <v>170</v>
      </c>
      <c r="L640" s="36" t="s">
        <v>171</v>
      </c>
      <c r="M640" s="36" t="s">
        <v>196</v>
      </c>
      <c r="N640" s="36" t="s">
        <v>197</v>
      </c>
      <c r="O640" s="36">
        <v>15859828</v>
      </c>
      <c r="P640" s="36">
        <v>135</v>
      </c>
      <c r="Q640" s="36">
        <v>0</v>
      </c>
      <c r="R640" s="36">
        <v>0</v>
      </c>
      <c r="S640" s="36">
        <v>0</v>
      </c>
      <c r="T640" s="36">
        <v>0</v>
      </c>
      <c r="U640" s="36">
        <v>780000</v>
      </c>
      <c r="V640" s="36">
        <v>8</v>
      </c>
      <c r="W640" s="36">
        <v>0</v>
      </c>
      <c r="X640" s="36">
        <v>0</v>
      </c>
      <c r="Y640" s="48">
        <v>0</v>
      </c>
      <c r="Z640" s="36">
        <v>0</v>
      </c>
      <c r="AA640" s="36">
        <v>0</v>
      </c>
      <c r="AB640" s="36">
        <v>0</v>
      </c>
      <c r="AC640" s="36">
        <v>16639828</v>
      </c>
      <c r="AD640" s="36">
        <v>143</v>
      </c>
      <c r="AF640" s="47">
        <f t="shared" si="9"/>
        <v>16639828</v>
      </c>
    </row>
    <row r="641" spans="1:32" x14ac:dyDescent="0.3">
      <c r="A641" s="46" t="s">
        <v>758</v>
      </c>
      <c r="B641" s="46" t="str">
        <f>IFERROR(VLOOKUP($H641,매장구분!$B:$Z,2,0),"")</f>
        <v>리테일채널팀</v>
      </c>
      <c r="C641" s="46" t="str">
        <f>IFERROR(VLOOKUP($H641,매장구분!$B:$Z,3,0),"")</f>
        <v>국내</v>
      </c>
      <c r="D641" s="46" t="str">
        <f>IFERROR(VLOOKUP($H641,매장구분!$B:$Z,5,0),"")</f>
        <v>대리점</v>
      </c>
      <c r="E641" s="46" t="str">
        <f>IFERROR(VLOOKUP($H641,매장구분!$B:$Z,9,0),"")</f>
        <v>서귀포(대-위)</v>
      </c>
      <c r="G641" s="36" t="s">
        <v>313</v>
      </c>
      <c r="H641" s="36" t="s">
        <v>314</v>
      </c>
      <c r="I641" s="36" t="s">
        <v>169</v>
      </c>
      <c r="J641" s="36" t="s">
        <v>79</v>
      </c>
      <c r="K641" s="36" t="s">
        <v>170</v>
      </c>
      <c r="L641" s="36" t="s">
        <v>171</v>
      </c>
      <c r="M641" s="36" t="s">
        <v>196</v>
      </c>
      <c r="N641" s="36" t="s">
        <v>197</v>
      </c>
      <c r="O641" s="36">
        <v>9772695</v>
      </c>
      <c r="P641" s="36">
        <v>122</v>
      </c>
      <c r="Q641" s="36">
        <v>0</v>
      </c>
      <c r="R641" s="36">
        <v>0</v>
      </c>
      <c r="S641" s="36">
        <v>0</v>
      </c>
      <c r="T641" s="36">
        <v>0</v>
      </c>
      <c r="U641" s="36">
        <v>2698218</v>
      </c>
      <c r="V641" s="36">
        <v>21</v>
      </c>
      <c r="W641" s="36">
        <v>0</v>
      </c>
      <c r="X641" s="36">
        <v>0</v>
      </c>
      <c r="Y641" s="48">
        <v>0</v>
      </c>
      <c r="Z641" s="36">
        <v>0</v>
      </c>
      <c r="AA641" s="36">
        <v>0</v>
      </c>
      <c r="AB641" s="36">
        <v>0</v>
      </c>
      <c r="AC641" s="36">
        <v>12470913</v>
      </c>
      <c r="AD641" s="36">
        <v>143</v>
      </c>
      <c r="AF641" s="47">
        <f t="shared" si="9"/>
        <v>12470913</v>
      </c>
    </row>
    <row r="642" spans="1:32" x14ac:dyDescent="0.3">
      <c r="A642" s="46" t="s">
        <v>758</v>
      </c>
      <c r="B642" s="46" t="str">
        <f>IFERROR(VLOOKUP($H642,매장구분!$B:$Z,2,0),"")</f>
        <v>리테일채널팀</v>
      </c>
      <c r="C642" s="46" t="str">
        <f>IFERROR(VLOOKUP($H642,매장구분!$B:$Z,3,0),"")</f>
        <v>국내</v>
      </c>
      <c r="D642" s="46" t="str">
        <f>IFERROR(VLOOKUP($H642,매장구분!$B:$Z,5,0),"")</f>
        <v>대리점</v>
      </c>
      <c r="E642" s="46" t="str">
        <f>IFERROR(VLOOKUP($H642,매장구분!$B:$Z,9,0),"")</f>
        <v>제천(대-위)</v>
      </c>
      <c r="G642" s="36" t="s">
        <v>311</v>
      </c>
      <c r="H642" s="36" t="s">
        <v>312</v>
      </c>
      <c r="I642" s="36" t="s">
        <v>169</v>
      </c>
      <c r="J642" s="36" t="s">
        <v>79</v>
      </c>
      <c r="K642" s="36" t="s">
        <v>170</v>
      </c>
      <c r="L642" s="36" t="s">
        <v>171</v>
      </c>
      <c r="M642" s="36" t="s">
        <v>196</v>
      </c>
      <c r="N642" s="36" t="s">
        <v>197</v>
      </c>
      <c r="O642" s="36">
        <v>17928161</v>
      </c>
      <c r="P642" s="36">
        <v>139</v>
      </c>
      <c r="Q642" s="36">
        <v>0</v>
      </c>
      <c r="R642" s="36">
        <v>0</v>
      </c>
      <c r="S642" s="36">
        <v>0</v>
      </c>
      <c r="T642" s="36">
        <v>0</v>
      </c>
      <c r="U642" s="36">
        <v>832366</v>
      </c>
      <c r="V642" s="36">
        <v>5</v>
      </c>
      <c r="W642" s="36">
        <v>0</v>
      </c>
      <c r="X642" s="36">
        <v>0</v>
      </c>
      <c r="Y642" s="48">
        <v>1695873</v>
      </c>
      <c r="Z642" s="36">
        <v>19</v>
      </c>
      <c r="AA642" s="36">
        <v>0</v>
      </c>
      <c r="AB642" s="36">
        <v>0</v>
      </c>
      <c r="AC642" s="36">
        <v>20456400</v>
      </c>
      <c r="AD642" s="36">
        <v>163</v>
      </c>
      <c r="AF642" s="47">
        <f t="shared" si="9"/>
        <v>18760527</v>
      </c>
    </row>
    <row r="643" spans="1:32" x14ac:dyDescent="0.3">
      <c r="A643" s="46" t="s">
        <v>758</v>
      </c>
      <c r="B643" s="46" t="str">
        <f>IFERROR(VLOOKUP($H643,매장구분!$B:$Z,2,0),"")</f>
        <v>리테일채널팀</v>
      </c>
      <c r="C643" s="46" t="str">
        <f>IFERROR(VLOOKUP($H643,매장구분!$B:$Z,3,0),"")</f>
        <v>국내</v>
      </c>
      <c r="D643" s="46" t="str">
        <f>IFERROR(VLOOKUP($H643,매장구분!$B:$Z,5,0),"")</f>
        <v>대리점</v>
      </c>
      <c r="E643" s="46" t="str">
        <f>IFERROR(VLOOKUP($H643,매장구분!$B:$Z,9,0),"")</f>
        <v>안산중앙(대-위)</v>
      </c>
      <c r="G643" s="36" t="s">
        <v>307</v>
      </c>
      <c r="H643" s="36" t="s">
        <v>308</v>
      </c>
      <c r="I643" s="36" t="s">
        <v>169</v>
      </c>
      <c r="J643" s="36" t="s">
        <v>79</v>
      </c>
      <c r="K643" s="36" t="s">
        <v>170</v>
      </c>
      <c r="L643" s="36" t="s">
        <v>171</v>
      </c>
      <c r="M643" s="36" t="s">
        <v>196</v>
      </c>
      <c r="N643" s="36" t="s">
        <v>197</v>
      </c>
      <c r="O643" s="36">
        <v>13026256</v>
      </c>
      <c r="P643" s="36">
        <v>112</v>
      </c>
      <c r="Q643" s="36">
        <v>0</v>
      </c>
      <c r="R643" s="36">
        <v>0</v>
      </c>
      <c r="S643" s="36">
        <v>0</v>
      </c>
      <c r="T643" s="36">
        <v>0</v>
      </c>
      <c r="U643" s="36">
        <v>1575144</v>
      </c>
      <c r="V643" s="36">
        <v>8</v>
      </c>
      <c r="W643" s="36">
        <v>0</v>
      </c>
      <c r="X643" s="36">
        <v>0</v>
      </c>
      <c r="Y643" s="48">
        <v>18086000</v>
      </c>
      <c r="Z643" s="36">
        <v>114</v>
      </c>
      <c r="AA643" s="36">
        <v>0</v>
      </c>
      <c r="AB643" s="36">
        <v>0</v>
      </c>
      <c r="AC643" s="36">
        <v>32687400</v>
      </c>
      <c r="AD643" s="36">
        <v>234</v>
      </c>
      <c r="AF643" s="47">
        <f t="shared" ref="AF643:AF706" si="10">IFERROR(AC643-Y643,"")</f>
        <v>14601400</v>
      </c>
    </row>
    <row r="644" spans="1:32" x14ac:dyDescent="0.3">
      <c r="A644" s="46" t="s">
        <v>758</v>
      </c>
      <c r="B644" s="46" t="str">
        <f>IFERROR(VLOOKUP($H644,매장구분!$B:$Z,2,0),"")</f>
        <v>리테일채널팀</v>
      </c>
      <c r="C644" s="46" t="str">
        <f>IFERROR(VLOOKUP($H644,매장구분!$B:$Z,3,0),"")</f>
        <v>국내</v>
      </c>
      <c r="D644" s="46" t="str">
        <f>IFERROR(VLOOKUP($H644,매장구분!$B:$Z,5,0),"")</f>
        <v>대리점</v>
      </c>
      <c r="E644" s="46" t="str">
        <f>IFERROR(VLOOKUP($H644,매장구분!$B:$Z,9,0),"")</f>
        <v>정읍(대-위)</v>
      </c>
      <c r="G644" s="36" t="s">
        <v>318</v>
      </c>
      <c r="H644" s="36" t="s">
        <v>319</v>
      </c>
      <c r="I644" s="36" t="s">
        <v>169</v>
      </c>
      <c r="J644" s="36" t="s">
        <v>79</v>
      </c>
      <c r="K644" s="36" t="s">
        <v>170</v>
      </c>
      <c r="L644" s="36" t="s">
        <v>171</v>
      </c>
      <c r="M644" s="36" t="s">
        <v>196</v>
      </c>
      <c r="N644" s="36" t="s">
        <v>197</v>
      </c>
      <c r="O644" s="36">
        <v>6922236</v>
      </c>
      <c r="P644" s="36">
        <v>66</v>
      </c>
      <c r="Q644" s="36">
        <v>0</v>
      </c>
      <c r="R644" s="36">
        <v>0</v>
      </c>
      <c r="S644" s="36">
        <v>0</v>
      </c>
      <c r="T644" s="36">
        <v>0</v>
      </c>
      <c r="U644" s="36">
        <v>677764</v>
      </c>
      <c r="V644" s="36">
        <v>3</v>
      </c>
      <c r="W644" s="36">
        <v>0</v>
      </c>
      <c r="X644" s="36">
        <v>0</v>
      </c>
      <c r="Y644" s="48">
        <v>0</v>
      </c>
      <c r="Z644" s="36">
        <v>0</v>
      </c>
      <c r="AA644" s="36">
        <v>0</v>
      </c>
      <c r="AB644" s="36">
        <v>0</v>
      </c>
      <c r="AC644" s="36">
        <v>7600000</v>
      </c>
      <c r="AD644" s="36">
        <v>69</v>
      </c>
      <c r="AF644" s="47">
        <f t="shared" si="10"/>
        <v>7600000</v>
      </c>
    </row>
    <row r="645" spans="1:32" x14ac:dyDescent="0.3">
      <c r="A645" s="46" t="s">
        <v>758</v>
      </c>
      <c r="B645" s="46" t="str">
        <f>IFERROR(VLOOKUP($H645,매장구분!$B:$Z,2,0),"")</f>
        <v>리테일채널팀</v>
      </c>
      <c r="C645" s="46" t="str">
        <f>IFERROR(VLOOKUP($H645,매장구분!$B:$Z,3,0),"")</f>
        <v>국내</v>
      </c>
      <c r="D645" s="46" t="str">
        <f>IFERROR(VLOOKUP($H645,매장구분!$B:$Z,5,0),"")</f>
        <v>대리점</v>
      </c>
      <c r="E645" s="46" t="str">
        <f>IFERROR(VLOOKUP($H645,매장구분!$B:$Z,9,0),"")</f>
        <v>시흥(대-위)</v>
      </c>
      <c r="G645" s="36" t="s">
        <v>330</v>
      </c>
      <c r="H645" s="36" t="s">
        <v>331</v>
      </c>
      <c r="I645" s="36" t="s">
        <v>169</v>
      </c>
      <c r="J645" s="36" t="s">
        <v>79</v>
      </c>
      <c r="K645" s="36" t="s">
        <v>170</v>
      </c>
      <c r="L645" s="36" t="s">
        <v>171</v>
      </c>
      <c r="M645" s="36" t="s">
        <v>196</v>
      </c>
      <c r="N645" s="36" t="s">
        <v>197</v>
      </c>
      <c r="O645" s="36">
        <v>6942500</v>
      </c>
      <c r="P645" s="36">
        <v>63</v>
      </c>
      <c r="Q645" s="36">
        <v>0</v>
      </c>
      <c r="R645" s="36">
        <v>0</v>
      </c>
      <c r="S645" s="36">
        <v>0</v>
      </c>
      <c r="T645" s="36">
        <v>0</v>
      </c>
      <c r="U645" s="36">
        <v>0</v>
      </c>
      <c r="V645" s="36">
        <v>0</v>
      </c>
      <c r="W645" s="36">
        <v>0</v>
      </c>
      <c r="X645" s="36">
        <v>0</v>
      </c>
      <c r="Y645" s="48">
        <v>0</v>
      </c>
      <c r="Z645" s="36">
        <v>0</v>
      </c>
      <c r="AA645" s="36">
        <v>0</v>
      </c>
      <c r="AB645" s="36">
        <v>0</v>
      </c>
      <c r="AC645" s="36">
        <v>6942500</v>
      </c>
      <c r="AD645" s="36">
        <v>63</v>
      </c>
      <c r="AF645" s="47">
        <f t="shared" si="10"/>
        <v>6942500</v>
      </c>
    </row>
    <row r="646" spans="1:32" x14ac:dyDescent="0.3">
      <c r="A646" s="46" t="s">
        <v>758</v>
      </c>
      <c r="B646" s="46" t="str">
        <f>IFERROR(VLOOKUP($H646,매장구분!$B:$Z,2,0),"")</f>
        <v>리테일채널팀</v>
      </c>
      <c r="C646" s="46" t="str">
        <f>IFERROR(VLOOKUP($H646,매장구분!$B:$Z,3,0),"")</f>
        <v>국내</v>
      </c>
      <c r="D646" s="46" t="str">
        <f>IFERROR(VLOOKUP($H646,매장구분!$B:$Z,5,0),"")</f>
        <v>대리점</v>
      </c>
      <c r="E646" s="46" t="str">
        <f>IFERROR(VLOOKUP($H646,매장구분!$B:$Z,9,0),"")</f>
        <v>안성(대-위)</v>
      </c>
      <c r="G646" s="36" t="s">
        <v>309</v>
      </c>
      <c r="H646" s="36" t="s">
        <v>310</v>
      </c>
      <c r="I646" s="36" t="s">
        <v>169</v>
      </c>
      <c r="J646" s="36" t="s">
        <v>79</v>
      </c>
      <c r="K646" s="36" t="s">
        <v>170</v>
      </c>
      <c r="L646" s="36" t="s">
        <v>171</v>
      </c>
      <c r="M646" s="36" t="s">
        <v>196</v>
      </c>
      <c r="N646" s="36" t="s">
        <v>197</v>
      </c>
      <c r="O646" s="36">
        <v>7551539</v>
      </c>
      <c r="P646" s="36">
        <v>67</v>
      </c>
      <c r="Q646" s="36">
        <v>0</v>
      </c>
      <c r="R646" s="36">
        <v>0</v>
      </c>
      <c r="S646" s="36">
        <v>0</v>
      </c>
      <c r="T646" s="36">
        <v>0</v>
      </c>
      <c r="U646" s="36">
        <v>618061</v>
      </c>
      <c r="V646" s="36">
        <v>5</v>
      </c>
      <c r="W646" s="36">
        <v>0</v>
      </c>
      <c r="X646" s="36">
        <v>0</v>
      </c>
      <c r="Y646" s="48">
        <v>976000</v>
      </c>
      <c r="Z646" s="36">
        <v>29</v>
      </c>
      <c r="AA646" s="36">
        <v>0</v>
      </c>
      <c r="AB646" s="36">
        <v>0</v>
      </c>
      <c r="AC646" s="36">
        <v>9145600</v>
      </c>
      <c r="AD646" s="36">
        <v>101</v>
      </c>
      <c r="AF646" s="47">
        <f t="shared" si="10"/>
        <v>8169600</v>
      </c>
    </row>
    <row r="647" spans="1:32" x14ac:dyDescent="0.3">
      <c r="A647" s="46" t="s">
        <v>758</v>
      </c>
      <c r="B647" s="46" t="str">
        <f>IFERROR(VLOOKUP($H647,매장구분!$B:$Z,2,0),"")</f>
        <v>리테일채널팀</v>
      </c>
      <c r="C647" s="46" t="str">
        <f>IFERROR(VLOOKUP($H647,매장구분!$B:$Z,3,0),"")</f>
        <v>국내</v>
      </c>
      <c r="D647" s="46" t="str">
        <f>IFERROR(VLOOKUP($H647,매장구분!$B:$Z,5,0),"")</f>
        <v>대리점</v>
      </c>
      <c r="E647" s="46" t="str">
        <f>IFERROR(VLOOKUP($H647,매장구분!$B:$Z,9,0),"")</f>
        <v>포천(대-위)</v>
      </c>
      <c r="G647" s="36" t="s">
        <v>289</v>
      </c>
      <c r="H647" s="36" t="s">
        <v>290</v>
      </c>
      <c r="I647" s="36" t="s">
        <v>169</v>
      </c>
      <c r="J647" s="36" t="s">
        <v>79</v>
      </c>
      <c r="K647" s="36" t="s">
        <v>170</v>
      </c>
      <c r="L647" s="36" t="s">
        <v>171</v>
      </c>
      <c r="M647" s="36" t="s">
        <v>196</v>
      </c>
      <c r="N647" s="36" t="s">
        <v>197</v>
      </c>
      <c r="O647" s="36">
        <v>4993284</v>
      </c>
      <c r="P647" s="36">
        <v>54</v>
      </c>
      <c r="Q647" s="36">
        <v>0</v>
      </c>
      <c r="R647" s="36">
        <v>0</v>
      </c>
      <c r="S647" s="36">
        <v>0</v>
      </c>
      <c r="T647" s="36">
        <v>0</v>
      </c>
      <c r="U647" s="36">
        <v>1447216</v>
      </c>
      <c r="V647" s="36">
        <v>11</v>
      </c>
      <c r="W647" s="36">
        <v>0</v>
      </c>
      <c r="X647" s="36">
        <v>0</v>
      </c>
      <c r="Y647" s="48">
        <v>7084000</v>
      </c>
      <c r="Z647" s="36">
        <v>56</v>
      </c>
      <c r="AA647" s="36">
        <v>0</v>
      </c>
      <c r="AB647" s="36">
        <v>0</v>
      </c>
      <c r="AC647" s="36">
        <v>13524500</v>
      </c>
      <c r="AD647" s="36">
        <v>121</v>
      </c>
      <c r="AF647" s="47">
        <f t="shared" si="10"/>
        <v>6440500</v>
      </c>
    </row>
    <row r="648" spans="1:32" x14ac:dyDescent="0.3">
      <c r="A648" s="46" t="s">
        <v>758</v>
      </c>
      <c r="B648" s="46" t="str">
        <f>IFERROR(VLOOKUP($H648,매장구분!$B:$Z,2,0),"")</f>
        <v>리테일채널팀</v>
      </c>
      <c r="C648" s="46" t="str">
        <f>IFERROR(VLOOKUP($H648,매장구분!$B:$Z,3,0),"")</f>
        <v>국내</v>
      </c>
      <c r="D648" s="46" t="str">
        <f>IFERROR(VLOOKUP($H648,매장구분!$B:$Z,5,0),"")</f>
        <v>상설(위탁)</v>
      </c>
      <c r="E648" s="46" t="str">
        <f>IFERROR(VLOOKUP($H648,매장구분!$B:$Z,9,0),"")</f>
        <v>현대아울렛대전(상-위)</v>
      </c>
      <c r="G648" s="36" t="s">
        <v>287</v>
      </c>
      <c r="H648" s="36" t="s">
        <v>288</v>
      </c>
      <c r="I648" s="36" t="s">
        <v>169</v>
      </c>
      <c r="J648" s="36" t="s">
        <v>79</v>
      </c>
      <c r="K648" s="36" t="s">
        <v>170</v>
      </c>
      <c r="L648" s="36" t="s">
        <v>171</v>
      </c>
      <c r="M648" s="36" t="s">
        <v>219</v>
      </c>
      <c r="N648" s="36" t="s">
        <v>219</v>
      </c>
      <c r="O648" s="36">
        <v>1522000</v>
      </c>
      <c r="P648" s="36">
        <v>35</v>
      </c>
      <c r="Q648" s="36">
        <v>0</v>
      </c>
      <c r="R648" s="36">
        <v>0</v>
      </c>
      <c r="S648" s="36">
        <v>0</v>
      </c>
      <c r="T648" s="36">
        <v>0</v>
      </c>
      <c r="U648" s="36">
        <v>0</v>
      </c>
      <c r="V648" s="36">
        <v>0</v>
      </c>
      <c r="W648" s="36">
        <v>0</v>
      </c>
      <c r="X648" s="36">
        <v>0</v>
      </c>
      <c r="Y648" s="48">
        <v>0</v>
      </c>
      <c r="Z648" s="36">
        <v>0</v>
      </c>
      <c r="AA648" s="36">
        <v>0</v>
      </c>
      <c r="AB648" s="36">
        <v>0</v>
      </c>
      <c r="AC648" s="36">
        <v>1522000</v>
      </c>
      <c r="AD648" s="36">
        <v>35</v>
      </c>
      <c r="AF648" s="47">
        <f t="shared" si="10"/>
        <v>1522000</v>
      </c>
    </row>
    <row r="649" spans="1:32" x14ac:dyDescent="0.3">
      <c r="A649" s="46" t="s">
        <v>758</v>
      </c>
      <c r="B649" s="46" t="str">
        <f>IFERROR(VLOOKUP($H649,매장구분!$B:$Z,2,0),"")</f>
        <v>리테일채널팀</v>
      </c>
      <c r="C649" s="46" t="str">
        <f>IFERROR(VLOOKUP($H649,매장구분!$B:$Z,3,0),"")</f>
        <v>국내</v>
      </c>
      <c r="D649" s="46" t="str">
        <f>IFERROR(VLOOKUP($H649,매장구분!$B:$Z,5,0),"")</f>
        <v>대리점</v>
      </c>
      <c r="E649" s="46" t="str">
        <f>IFERROR(VLOOKUP($H649,매장구분!$B:$Z,9,0),"")</f>
        <v>충주(대-위)</v>
      </c>
      <c r="G649" s="36" t="s">
        <v>322</v>
      </c>
      <c r="H649" s="36" t="s">
        <v>323</v>
      </c>
      <c r="I649" s="36" t="s">
        <v>169</v>
      </c>
      <c r="J649" s="36" t="s">
        <v>79</v>
      </c>
      <c r="K649" s="36" t="s">
        <v>170</v>
      </c>
      <c r="L649" s="36" t="s">
        <v>171</v>
      </c>
      <c r="M649" s="36" t="s">
        <v>196</v>
      </c>
      <c r="N649" s="36" t="s">
        <v>197</v>
      </c>
      <c r="O649" s="36">
        <v>11524600</v>
      </c>
      <c r="P649" s="36">
        <v>145</v>
      </c>
      <c r="Q649" s="36">
        <v>0</v>
      </c>
      <c r="R649" s="36">
        <v>0</v>
      </c>
      <c r="S649" s="36">
        <v>0</v>
      </c>
      <c r="T649" s="36">
        <v>0</v>
      </c>
      <c r="U649" s="36">
        <v>0</v>
      </c>
      <c r="V649" s="36">
        <v>0</v>
      </c>
      <c r="W649" s="36">
        <v>0</v>
      </c>
      <c r="X649" s="36">
        <v>0</v>
      </c>
      <c r="Y649" s="48">
        <v>1300000</v>
      </c>
      <c r="Z649" s="36">
        <v>12</v>
      </c>
      <c r="AA649" s="36">
        <v>0</v>
      </c>
      <c r="AB649" s="36">
        <v>0</v>
      </c>
      <c r="AC649" s="36">
        <v>12824600</v>
      </c>
      <c r="AD649" s="36">
        <v>157</v>
      </c>
      <c r="AF649" s="47">
        <f t="shared" si="10"/>
        <v>11524600</v>
      </c>
    </row>
    <row r="650" spans="1:32" x14ac:dyDescent="0.3">
      <c r="A650" s="46" t="s">
        <v>758</v>
      </c>
      <c r="B650" s="46" t="str">
        <f>IFERROR(VLOOKUP($H650,매장구분!$B:$Z,2,0),"")</f>
        <v>파트너채널팀</v>
      </c>
      <c r="C650" s="46" t="str">
        <f>IFERROR(VLOOKUP($H650,매장구분!$B:$Z,3,0),"")</f>
        <v>국내</v>
      </c>
      <c r="D650" s="46" t="str">
        <f>IFERROR(VLOOKUP($H650,매장구분!$B:$Z,5,0),"")</f>
        <v>백화점</v>
      </c>
      <c r="E650" s="46" t="str">
        <f>IFERROR(VLOOKUP($H650,매장구분!$B:$Z,9,0),"")</f>
        <v>에버세이브청주</v>
      </c>
      <c r="G650" s="36" t="s">
        <v>328</v>
      </c>
      <c r="H650" s="36" t="s">
        <v>329</v>
      </c>
      <c r="I650" s="36" t="s">
        <v>169</v>
      </c>
      <c r="J650" s="36" t="s">
        <v>175</v>
      </c>
      <c r="K650" s="36" t="s">
        <v>170</v>
      </c>
      <c r="L650" s="36" t="s">
        <v>171</v>
      </c>
      <c r="M650" s="36" t="s">
        <v>77</v>
      </c>
      <c r="N650" s="36" t="s">
        <v>238</v>
      </c>
      <c r="O650" s="36">
        <v>11443420</v>
      </c>
      <c r="P650" s="36">
        <v>104</v>
      </c>
      <c r="Q650" s="36">
        <v>0</v>
      </c>
      <c r="R650" s="36">
        <v>0</v>
      </c>
      <c r="S650" s="36">
        <v>0</v>
      </c>
      <c r="T650" s="36">
        <v>0</v>
      </c>
      <c r="U650" s="36">
        <v>902780</v>
      </c>
      <c r="V650" s="36">
        <v>7</v>
      </c>
      <c r="W650" s="36">
        <v>0</v>
      </c>
      <c r="X650" s="36">
        <v>0</v>
      </c>
      <c r="Y650" s="48">
        <v>0</v>
      </c>
      <c r="Z650" s="36">
        <v>0</v>
      </c>
      <c r="AA650" s="36">
        <v>0</v>
      </c>
      <c r="AB650" s="36">
        <v>0</v>
      </c>
      <c r="AC650" s="36">
        <v>12346200</v>
      </c>
      <c r="AD650" s="36">
        <v>111</v>
      </c>
      <c r="AF650" s="47">
        <f t="shared" si="10"/>
        <v>12346200</v>
      </c>
    </row>
    <row r="651" spans="1:32" x14ac:dyDescent="0.3">
      <c r="A651" s="46" t="s">
        <v>758</v>
      </c>
      <c r="B651" s="46" t="str">
        <f>IFERROR(VLOOKUP($H651,매장구분!$B:$Z,2,0),"")</f>
        <v>파트너채널팀</v>
      </c>
      <c r="C651" s="46" t="str">
        <f>IFERROR(VLOOKUP($H651,매장구분!$B:$Z,3,0),"")</f>
        <v>국내</v>
      </c>
      <c r="D651" s="46" t="str">
        <f>IFERROR(VLOOKUP($H651,매장구분!$B:$Z,5,0),"")</f>
        <v>백화점</v>
      </c>
      <c r="E651" s="46" t="str">
        <f>IFERROR(VLOOKUP($H651,매장구분!$B:$Z,9,0),"")</f>
        <v>현대울산</v>
      </c>
      <c r="G651" s="36" t="s">
        <v>344</v>
      </c>
      <c r="H651" s="36" t="s">
        <v>345</v>
      </c>
      <c r="I651" s="36" t="s">
        <v>169</v>
      </c>
      <c r="J651" s="36" t="s">
        <v>175</v>
      </c>
      <c r="K651" s="36" t="s">
        <v>170</v>
      </c>
      <c r="L651" s="36" t="s">
        <v>171</v>
      </c>
      <c r="M651" s="36" t="s">
        <v>77</v>
      </c>
      <c r="N651" s="36" t="s">
        <v>172</v>
      </c>
      <c r="O651" s="36">
        <v>35539830</v>
      </c>
      <c r="P651" s="36">
        <v>291</v>
      </c>
      <c r="Q651" s="36">
        <v>0</v>
      </c>
      <c r="R651" s="36">
        <v>0</v>
      </c>
      <c r="S651" s="36">
        <v>0</v>
      </c>
      <c r="T651" s="36">
        <v>0</v>
      </c>
      <c r="U651" s="36">
        <v>3053170</v>
      </c>
      <c r="V651" s="36">
        <v>19</v>
      </c>
      <c r="W651" s="36">
        <v>0</v>
      </c>
      <c r="X651" s="36">
        <v>0</v>
      </c>
      <c r="Y651" s="48">
        <v>10286000</v>
      </c>
      <c r="Z651" s="36">
        <v>128</v>
      </c>
      <c r="AA651" s="36">
        <v>0</v>
      </c>
      <c r="AB651" s="36">
        <v>0</v>
      </c>
      <c r="AC651" s="36">
        <v>48879000</v>
      </c>
      <c r="AD651" s="36">
        <v>438</v>
      </c>
      <c r="AF651" s="47">
        <f t="shared" si="10"/>
        <v>38593000</v>
      </c>
    </row>
    <row r="652" spans="1:32" x14ac:dyDescent="0.3">
      <c r="A652" s="46" t="s">
        <v>758</v>
      </c>
      <c r="B652" s="46" t="str">
        <f>IFERROR(VLOOKUP($H652,매장구분!$B:$Z,2,0),"")</f>
        <v>리테일채널팀</v>
      </c>
      <c r="C652" s="46" t="str">
        <f>IFERROR(VLOOKUP($H652,매장구분!$B:$Z,3,0),"")</f>
        <v>국내</v>
      </c>
      <c r="D652" s="46" t="str">
        <f>IFERROR(VLOOKUP($H652,매장구분!$B:$Z,5,0),"")</f>
        <v>대리점</v>
      </c>
      <c r="E652" s="46" t="str">
        <f>IFERROR(VLOOKUP($H652,매장구분!$B:$Z,9,0),"")</f>
        <v>대구칠곡(대-위)</v>
      </c>
      <c r="G652" s="36" t="s">
        <v>364</v>
      </c>
      <c r="H652" s="36" t="s">
        <v>365</v>
      </c>
      <c r="I652" s="36" t="s">
        <v>169</v>
      </c>
      <c r="J652" s="36" t="s">
        <v>79</v>
      </c>
      <c r="K652" s="36" t="s">
        <v>170</v>
      </c>
      <c r="L652" s="36" t="s">
        <v>171</v>
      </c>
      <c r="M652" s="36" t="s">
        <v>196</v>
      </c>
      <c r="N652" s="36" t="s">
        <v>197</v>
      </c>
      <c r="O652" s="36">
        <v>3002000</v>
      </c>
      <c r="P652" s="36">
        <v>29</v>
      </c>
      <c r="Q652" s="36">
        <v>0</v>
      </c>
      <c r="R652" s="36">
        <v>0</v>
      </c>
      <c r="S652" s="36">
        <v>0</v>
      </c>
      <c r="T652" s="36">
        <v>0</v>
      </c>
      <c r="U652" s="36">
        <v>-257000</v>
      </c>
      <c r="V652" s="36">
        <v>-3</v>
      </c>
      <c r="W652" s="36">
        <v>0</v>
      </c>
      <c r="X652" s="36">
        <v>0</v>
      </c>
      <c r="Y652" s="48">
        <v>0</v>
      </c>
      <c r="Z652" s="36">
        <v>0</v>
      </c>
      <c r="AA652" s="36">
        <v>0</v>
      </c>
      <c r="AB652" s="36">
        <v>0</v>
      </c>
      <c r="AC652" s="36">
        <v>2745000</v>
      </c>
      <c r="AD652" s="36">
        <v>26</v>
      </c>
      <c r="AF652" s="47">
        <f t="shared" si="10"/>
        <v>2745000</v>
      </c>
    </row>
    <row r="653" spans="1:32" x14ac:dyDescent="0.3">
      <c r="A653" s="46" t="s">
        <v>758</v>
      </c>
      <c r="B653" s="46" t="str">
        <f>IFERROR(VLOOKUP($H653,매장구분!$B:$Z,2,0),"")</f>
        <v>리테일채널팀</v>
      </c>
      <c r="C653" s="46" t="str">
        <f>IFERROR(VLOOKUP($H653,매장구분!$B:$Z,3,0),"")</f>
        <v>RF</v>
      </c>
      <c r="D653" s="46" t="str">
        <f>IFERROR(VLOOKUP($H653,매장구분!$B:$Z,5,0),"")</f>
        <v>대리점</v>
      </c>
      <c r="E653" s="46" t="str">
        <f>IFERROR(VLOOKUP($H653,매장구분!$B:$Z,9,0),"")</f>
        <v>신제주(대-위)</v>
      </c>
      <c r="G653" s="36" t="s">
        <v>340</v>
      </c>
      <c r="H653" s="36" t="s">
        <v>341</v>
      </c>
      <c r="I653" s="36" t="s">
        <v>169</v>
      </c>
      <c r="J653" s="36" t="s">
        <v>79</v>
      </c>
      <c r="K653" s="36" t="s">
        <v>170</v>
      </c>
      <c r="L653" s="36" t="s">
        <v>171</v>
      </c>
      <c r="M653" s="36" t="s">
        <v>196</v>
      </c>
      <c r="N653" s="36" t="s">
        <v>197</v>
      </c>
      <c r="O653" s="36">
        <v>32165900</v>
      </c>
      <c r="P653" s="36">
        <v>280</v>
      </c>
      <c r="Q653" s="36">
        <v>0</v>
      </c>
      <c r="R653" s="36">
        <v>0</v>
      </c>
      <c r="S653" s="36">
        <v>0</v>
      </c>
      <c r="T653" s="36">
        <v>0</v>
      </c>
      <c r="U653" s="36">
        <v>0</v>
      </c>
      <c r="V653" s="36">
        <v>0</v>
      </c>
      <c r="W653" s="36">
        <v>0</v>
      </c>
      <c r="X653" s="36">
        <v>0</v>
      </c>
      <c r="Y653" s="48">
        <v>12588000</v>
      </c>
      <c r="Z653" s="36">
        <v>211</v>
      </c>
      <c r="AA653" s="36">
        <v>0</v>
      </c>
      <c r="AB653" s="36">
        <v>0</v>
      </c>
      <c r="AC653" s="36">
        <v>44753900</v>
      </c>
      <c r="AD653" s="36">
        <v>491</v>
      </c>
      <c r="AF653" s="47">
        <f t="shared" si="10"/>
        <v>32165900</v>
      </c>
    </row>
    <row r="654" spans="1:32" x14ac:dyDescent="0.3">
      <c r="A654" s="46" t="s">
        <v>758</v>
      </c>
      <c r="B654" s="46" t="str">
        <f>IFERROR(VLOOKUP($H654,매장구분!$B:$Z,2,0),"")</f>
        <v>파트너채널팀</v>
      </c>
      <c r="C654" s="46" t="str">
        <f>IFERROR(VLOOKUP($H654,매장구분!$B:$Z,3,0),"")</f>
        <v>국내</v>
      </c>
      <c r="D654" s="46" t="str">
        <f>IFERROR(VLOOKUP($H654,매장구분!$B:$Z,5,0),"")</f>
        <v>백화점</v>
      </c>
      <c r="E654" s="46" t="str">
        <f>IFERROR(VLOOKUP($H654,매장구분!$B:$Z,9,0),"")</f>
        <v>현대충청</v>
      </c>
      <c r="G654" s="36" t="s">
        <v>358</v>
      </c>
      <c r="H654" s="36" t="s">
        <v>359</v>
      </c>
      <c r="I654" s="36" t="s">
        <v>169</v>
      </c>
      <c r="J654" s="36" t="s">
        <v>175</v>
      </c>
      <c r="K654" s="36" t="s">
        <v>170</v>
      </c>
      <c r="L654" s="36" t="s">
        <v>171</v>
      </c>
      <c r="M654" s="36" t="s">
        <v>77</v>
      </c>
      <c r="N654" s="36" t="s">
        <v>172</v>
      </c>
      <c r="O654" s="36">
        <v>16952200</v>
      </c>
      <c r="P654" s="36">
        <v>167</v>
      </c>
      <c r="Q654" s="36">
        <v>138000</v>
      </c>
      <c r="R654" s="36">
        <v>4</v>
      </c>
      <c r="S654" s="36">
        <v>0</v>
      </c>
      <c r="T654" s="36">
        <v>0</v>
      </c>
      <c r="U654" s="36">
        <v>0</v>
      </c>
      <c r="V654" s="36">
        <v>0</v>
      </c>
      <c r="W654" s="36">
        <v>0</v>
      </c>
      <c r="X654" s="36">
        <v>0</v>
      </c>
      <c r="Y654" s="48">
        <v>0</v>
      </c>
      <c r="Z654" s="36">
        <v>0</v>
      </c>
      <c r="AA654" s="36">
        <v>0</v>
      </c>
      <c r="AB654" s="36">
        <v>0</v>
      </c>
      <c r="AC654" s="36">
        <v>17090200</v>
      </c>
      <c r="AD654" s="36">
        <v>171</v>
      </c>
      <c r="AF654" s="47">
        <f t="shared" si="10"/>
        <v>17090200</v>
      </c>
    </row>
    <row r="655" spans="1:32" x14ac:dyDescent="0.3">
      <c r="A655" s="46" t="s">
        <v>758</v>
      </c>
      <c r="B655" s="46" t="str">
        <f>IFERROR(VLOOKUP($H655,매장구분!$B:$Z,2,0),"")</f>
        <v>파트너채널팀</v>
      </c>
      <c r="C655" s="46" t="str">
        <f>IFERROR(VLOOKUP($H655,매장구분!$B:$Z,3,0),"")</f>
        <v>국내</v>
      </c>
      <c r="D655" s="46" t="str">
        <f>IFERROR(VLOOKUP($H655,매장구분!$B:$Z,5,0),"")</f>
        <v>백화점</v>
      </c>
      <c r="E655" s="46" t="str">
        <f>IFERROR(VLOOKUP($H655,매장구분!$B:$Z,9,0),"")</f>
        <v>신세계경기</v>
      </c>
      <c r="G655" s="36" t="s">
        <v>356</v>
      </c>
      <c r="H655" s="36" t="s">
        <v>357</v>
      </c>
      <c r="I655" s="36" t="s">
        <v>169</v>
      </c>
      <c r="J655" s="36" t="s">
        <v>175</v>
      </c>
      <c r="K655" s="36" t="s">
        <v>170</v>
      </c>
      <c r="L655" s="36" t="s">
        <v>171</v>
      </c>
      <c r="M655" s="36" t="s">
        <v>77</v>
      </c>
      <c r="N655" s="36" t="s">
        <v>172</v>
      </c>
      <c r="O655" s="36">
        <v>10899820</v>
      </c>
      <c r="P655" s="36">
        <v>122</v>
      </c>
      <c r="Q655" s="36">
        <v>0</v>
      </c>
      <c r="R655" s="36">
        <v>0</v>
      </c>
      <c r="S655" s="36">
        <v>0</v>
      </c>
      <c r="T655" s="36">
        <v>0</v>
      </c>
      <c r="U655" s="36">
        <v>1595080</v>
      </c>
      <c r="V655" s="36">
        <v>11</v>
      </c>
      <c r="W655" s="36">
        <v>0</v>
      </c>
      <c r="X655" s="36">
        <v>0</v>
      </c>
      <c r="Y655" s="48">
        <v>0</v>
      </c>
      <c r="Z655" s="36">
        <v>0</v>
      </c>
      <c r="AA655" s="36">
        <v>0</v>
      </c>
      <c r="AB655" s="36">
        <v>0</v>
      </c>
      <c r="AC655" s="36">
        <v>12494900</v>
      </c>
      <c r="AD655" s="36">
        <v>133</v>
      </c>
      <c r="AF655" s="47">
        <f t="shared" si="10"/>
        <v>12494900</v>
      </c>
    </row>
    <row r="656" spans="1:32" x14ac:dyDescent="0.3">
      <c r="A656" s="46" t="s">
        <v>758</v>
      </c>
      <c r="B656" s="46" t="str">
        <f>IFERROR(VLOOKUP($H656,매장구분!$B:$Z,2,0),"")</f>
        <v>리테일채널팀</v>
      </c>
      <c r="C656" s="46" t="str">
        <f>IFERROR(VLOOKUP($H656,매장구분!$B:$Z,3,0),"")</f>
        <v>국내</v>
      </c>
      <c r="D656" s="46" t="str">
        <f>IFERROR(VLOOKUP($H656,매장구분!$B:$Z,5,0),"")</f>
        <v>대리점</v>
      </c>
      <c r="E656" s="46" t="str">
        <f>IFERROR(VLOOKUP($H656,매장구분!$B:$Z,9,0),"")</f>
        <v>포항(대-위)</v>
      </c>
      <c r="G656" s="36" t="s">
        <v>338</v>
      </c>
      <c r="H656" s="36" t="s">
        <v>339</v>
      </c>
      <c r="I656" s="36" t="s">
        <v>169</v>
      </c>
      <c r="J656" s="36" t="s">
        <v>79</v>
      </c>
      <c r="K656" s="36" t="s">
        <v>170</v>
      </c>
      <c r="L656" s="36" t="s">
        <v>171</v>
      </c>
      <c r="M656" s="36" t="s">
        <v>196</v>
      </c>
      <c r="N656" s="36" t="s">
        <v>197</v>
      </c>
      <c r="O656" s="36">
        <v>21257900</v>
      </c>
      <c r="P656" s="36">
        <v>198</v>
      </c>
      <c r="Q656" s="36">
        <v>0</v>
      </c>
      <c r="R656" s="36">
        <v>0</v>
      </c>
      <c r="S656" s="36">
        <v>0</v>
      </c>
      <c r="T656" s="36">
        <v>0</v>
      </c>
      <c r="U656" s="36">
        <v>386800</v>
      </c>
      <c r="V656" s="36">
        <v>1</v>
      </c>
      <c r="W656" s="36">
        <v>0</v>
      </c>
      <c r="X656" s="36">
        <v>0</v>
      </c>
      <c r="Y656" s="48">
        <v>0</v>
      </c>
      <c r="Z656" s="36">
        <v>0</v>
      </c>
      <c r="AA656" s="36">
        <v>0</v>
      </c>
      <c r="AB656" s="36">
        <v>0</v>
      </c>
      <c r="AC656" s="36">
        <v>21644700</v>
      </c>
      <c r="AD656" s="36">
        <v>199</v>
      </c>
      <c r="AF656" s="47">
        <f t="shared" si="10"/>
        <v>21644700</v>
      </c>
    </row>
    <row r="657" spans="1:32" x14ac:dyDescent="0.3">
      <c r="A657" s="46" t="s">
        <v>758</v>
      </c>
      <c r="B657" s="46" t="str">
        <f>IFERROR(VLOOKUP($H657,매장구분!$B:$Z,2,0),"")</f>
        <v>리테일채널팀</v>
      </c>
      <c r="C657" s="46" t="str">
        <f>IFERROR(VLOOKUP($H657,매장구분!$B:$Z,3,0),"")</f>
        <v>RF</v>
      </c>
      <c r="D657" s="46" t="str">
        <f>IFERROR(VLOOKUP($H657,매장구분!$B:$Z,5,0),"")</f>
        <v>직영점</v>
      </c>
      <c r="E657" s="46" t="str">
        <f>IFERROR(VLOOKUP($H657,매장구분!$B:$Z,9,0),"")</f>
        <v>성수(직)</v>
      </c>
      <c r="G657" s="36" t="s">
        <v>332</v>
      </c>
      <c r="H657" s="36" t="s">
        <v>333</v>
      </c>
      <c r="I657" s="36" t="s">
        <v>169</v>
      </c>
      <c r="J657" s="36" t="s">
        <v>180</v>
      </c>
      <c r="K657" s="36" t="s">
        <v>170</v>
      </c>
      <c r="L657" s="36" t="s">
        <v>171</v>
      </c>
      <c r="M657" s="36" t="s">
        <v>196</v>
      </c>
      <c r="N657" s="36" t="s">
        <v>206</v>
      </c>
      <c r="O657" s="36">
        <v>179834300</v>
      </c>
      <c r="P657" s="36">
        <v>2405</v>
      </c>
      <c r="Q657" s="36">
        <v>0</v>
      </c>
      <c r="R657" s="36">
        <v>0</v>
      </c>
      <c r="S657" s="36">
        <v>0</v>
      </c>
      <c r="T657" s="36">
        <v>0</v>
      </c>
      <c r="U657" s="36">
        <v>0</v>
      </c>
      <c r="V657" s="36">
        <v>0</v>
      </c>
      <c r="W657" s="36">
        <v>0</v>
      </c>
      <c r="X657" s="36">
        <v>0</v>
      </c>
      <c r="Y657" s="48">
        <v>0</v>
      </c>
      <c r="Z657" s="36">
        <v>0</v>
      </c>
      <c r="AA657" s="36">
        <v>0</v>
      </c>
      <c r="AB657" s="36">
        <v>0</v>
      </c>
      <c r="AC657" s="36">
        <v>179834300</v>
      </c>
      <c r="AD657" s="36">
        <v>2405</v>
      </c>
      <c r="AF657" s="47">
        <f t="shared" si="10"/>
        <v>179834300</v>
      </c>
    </row>
    <row r="658" spans="1:32" x14ac:dyDescent="0.3">
      <c r="A658" s="46" t="s">
        <v>758</v>
      </c>
      <c r="B658" s="46" t="str">
        <f>IFERROR(VLOOKUP($H658,매장구분!$B:$Z,2,0),"")</f>
        <v>리테일채널팀</v>
      </c>
      <c r="C658" s="46" t="str">
        <f>IFERROR(VLOOKUP($H658,매장구분!$B:$Z,3,0),"")</f>
        <v>국내</v>
      </c>
      <c r="D658" s="46" t="str">
        <f>IFERROR(VLOOKUP($H658,매장구분!$B:$Z,5,0),"")</f>
        <v>대리점</v>
      </c>
      <c r="E658" s="46" t="str">
        <f>IFERROR(VLOOKUP($H658,매장구분!$B:$Z,9,0),"")</f>
        <v>서산(대-위)</v>
      </c>
      <c r="G658" s="36" t="s">
        <v>336</v>
      </c>
      <c r="H658" s="36" t="s">
        <v>337</v>
      </c>
      <c r="I658" s="36" t="s">
        <v>169</v>
      </c>
      <c r="J658" s="36" t="s">
        <v>79</v>
      </c>
      <c r="K658" s="36" t="s">
        <v>170</v>
      </c>
      <c r="L658" s="36" t="s">
        <v>171</v>
      </c>
      <c r="M658" s="36" t="s">
        <v>196</v>
      </c>
      <c r="N658" s="36" t="s">
        <v>197</v>
      </c>
      <c r="O658" s="36">
        <v>13250350</v>
      </c>
      <c r="P658" s="36">
        <v>136</v>
      </c>
      <c r="Q658" s="36">
        <v>0</v>
      </c>
      <c r="R658" s="36">
        <v>0</v>
      </c>
      <c r="S658" s="36">
        <v>0</v>
      </c>
      <c r="T658" s="36">
        <v>0</v>
      </c>
      <c r="U658" s="36">
        <v>1199250</v>
      </c>
      <c r="V658" s="36">
        <v>9</v>
      </c>
      <c r="W658" s="36">
        <v>0</v>
      </c>
      <c r="X658" s="36">
        <v>0</v>
      </c>
      <c r="Y658" s="48">
        <v>0</v>
      </c>
      <c r="Z658" s="36">
        <v>0</v>
      </c>
      <c r="AA658" s="36">
        <v>0</v>
      </c>
      <c r="AB658" s="36">
        <v>0</v>
      </c>
      <c r="AC658" s="36">
        <v>14449600</v>
      </c>
      <c r="AD658" s="36">
        <v>145</v>
      </c>
      <c r="AF658" s="47">
        <f t="shared" si="10"/>
        <v>14449600</v>
      </c>
    </row>
    <row r="659" spans="1:32" x14ac:dyDescent="0.3">
      <c r="A659" s="46" t="s">
        <v>758</v>
      </c>
      <c r="B659" s="46" t="str">
        <f>IFERROR(VLOOKUP($H659,매장구분!$B:$Z,2,0),"")</f>
        <v>리테일채널팀</v>
      </c>
      <c r="C659" s="46" t="str">
        <f>IFERROR(VLOOKUP($H659,매장구분!$B:$Z,3,0),"")</f>
        <v>국내</v>
      </c>
      <c r="D659" s="46" t="str">
        <f>IFERROR(VLOOKUP($H659,매장구분!$B:$Z,5,0),"")</f>
        <v>대리점</v>
      </c>
      <c r="E659" s="46" t="str">
        <f>IFERROR(VLOOKUP($H659,매장구분!$B:$Z,9,0),"")</f>
        <v>경기광주(대-위)</v>
      </c>
      <c r="G659" s="36" t="s">
        <v>362</v>
      </c>
      <c r="H659" s="36" t="s">
        <v>363</v>
      </c>
      <c r="I659" s="36" t="s">
        <v>169</v>
      </c>
      <c r="J659" s="36" t="s">
        <v>79</v>
      </c>
      <c r="K659" s="36" t="s">
        <v>170</v>
      </c>
      <c r="L659" s="36" t="s">
        <v>171</v>
      </c>
      <c r="M659" s="36" t="s">
        <v>196</v>
      </c>
      <c r="N659" s="36" t="s">
        <v>197</v>
      </c>
      <c r="O659" s="36">
        <v>8041600</v>
      </c>
      <c r="P659" s="36">
        <v>77</v>
      </c>
      <c r="Q659" s="36">
        <v>0</v>
      </c>
      <c r="R659" s="36">
        <v>0</v>
      </c>
      <c r="S659" s="36">
        <v>0</v>
      </c>
      <c r="T659" s="36">
        <v>0</v>
      </c>
      <c r="U659" s="36">
        <v>492300</v>
      </c>
      <c r="V659" s="36">
        <v>3</v>
      </c>
      <c r="W659" s="36">
        <v>0</v>
      </c>
      <c r="X659" s="36">
        <v>0</v>
      </c>
      <c r="Y659" s="48">
        <v>0</v>
      </c>
      <c r="Z659" s="36">
        <v>0</v>
      </c>
      <c r="AA659" s="36">
        <v>0</v>
      </c>
      <c r="AB659" s="36">
        <v>0</v>
      </c>
      <c r="AC659" s="36">
        <v>8533900</v>
      </c>
      <c r="AD659" s="36">
        <v>80</v>
      </c>
      <c r="AF659" s="47">
        <f t="shared" si="10"/>
        <v>8533900</v>
      </c>
    </row>
    <row r="660" spans="1:32" x14ac:dyDescent="0.3">
      <c r="A660" s="46" t="s">
        <v>758</v>
      </c>
      <c r="B660" s="46" t="str">
        <f>IFERROR(VLOOKUP($H660,매장구분!$B:$Z,2,0),"")</f>
        <v>파트너채널팀</v>
      </c>
      <c r="C660" s="46" t="str">
        <f>IFERROR(VLOOKUP($H660,매장구분!$B:$Z,3,0),"")</f>
        <v>국내</v>
      </c>
      <c r="D660" s="46" t="str">
        <f>IFERROR(VLOOKUP($H660,매장구분!$B:$Z,5,0),"")</f>
        <v>백화점</v>
      </c>
      <c r="E660" s="46" t="str">
        <f>IFERROR(VLOOKUP($H660,매장구분!$B:$Z,9,0),"")</f>
        <v>롯데상인</v>
      </c>
      <c r="G660" s="36" t="s">
        <v>348</v>
      </c>
      <c r="H660" s="36" t="s">
        <v>349</v>
      </c>
      <c r="I660" s="36" t="s">
        <v>169</v>
      </c>
      <c r="J660" s="36" t="s">
        <v>175</v>
      </c>
      <c r="K660" s="36" t="s">
        <v>170</v>
      </c>
      <c r="L660" s="36" t="s">
        <v>171</v>
      </c>
      <c r="M660" s="36" t="s">
        <v>77</v>
      </c>
      <c r="N660" s="36" t="s">
        <v>172</v>
      </c>
      <c r="O660" s="36">
        <v>4017000</v>
      </c>
      <c r="P660" s="36">
        <v>53</v>
      </c>
      <c r="Q660" s="36">
        <v>0</v>
      </c>
      <c r="R660" s="36">
        <v>0</v>
      </c>
      <c r="S660" s="36">
        <v>0</v>
      </c>
      <c r="T660" s="36">
        <v>0</v>
      </c>
      <c r="U660" s="36">
        <v>2346000</v>
      </c>
      <c r="V660" s="36">
        <v>14</v>
      </c>
      <c r="W660" s="36">
        <v>0</v>
      </c>
      <c r="X660" s="36">
        <v>0</v>
      </c>
      <c r="Y660" s="48">
        <v>15000000</v>
      </c>
      <c r="Z660" s="36">
        <v>96</v>
      </c>
      <c r="AA660" s="36">
        <v>0</v>
      </c>
      <c r="AB660" s="36">
        <v>0</v>
      </c>
      <c r="AC660" s="36">
        <v>21363000</v>
      </c>
      <c r="AD660" s="36">
        <v>163</v>
      </c>
      <c r="AF660" s="47">
        <f t="shared" si="10"/>
        <v>6363000</v>
      </c>
    </row>
    <row r="661" spans="1:32" x14ac:dyDescent="0.3">
      <c r="A661" s="46" t="s">
        <v>758</v>
      </c>
      <c r="B661" s="46" t="str">
        <f>IFERROR(VLOOKUP($H661,매장구분!$B:$Z,2,0),"")</f>
        <v>파트너채널팀</v>
      </c>
      <c r="C661" s="46" t="str">
        <f>IFERROR(VLOOKUP($H661,매장구분!$B:$Z,3,0),"")</f>
        <v>면세</v>
      </c>
      <c r="D661" s="46" t="str">
        <f>IFERROR(VLOOKUP($H661,매장구분!$B:$Z,5,0),"")</f>
        <v>면세</v>
      </c>
      <c r="E661" s="46" t="str">
        <f>IFERROR(VLOOKUP($H661,매장구분!$B:$Z,9,0),"")</f>
        <v>신라면세제주</v>
      </c>
      <c r="G661" s="36" t="s">
        <v>334</v>
      </c>
      <c r="H661" s="36" t="s">
        <v>335</v>
      </c>
      <c r="I661" s="36" t="s">
        <v>169</v>
      </c>
      <c r="J661" s="36" t="s">
        <v>175</v>
      </c>
      <c r="K661" s="36" t="s">
        <v>170</v>
      </c>
      <c r="L661" s="36" t="s">
        <v>171</v>
      </c>
      <c r="M661" s="36" t="s">
        <v>176</v>
      </c>
      <c r="N661" s="36" t="s">
        <v>177</v>
      </c>
      <c r="O661" s="36">
        <v>118321600</v>
      </c>
      <c r="P661" s="36">
        <v>2206</v>
      </c>
      <c r="Q661" s="36">
        <v>0</v>
      </c>
      <c r="R661" s="36">
        <v>0</v>
      </c>
      <c r="S661" s="36">
        <v>0</v>
      </c>
      <c r="T661" s="36">
        <v>0</v>
      </c>
      <c r="U661" s="36">
        <v>0</v>
      </c>
      <c r="V661" s="36">
        <v>0</v>
      </c>
      <c r="W661" s="36">
        <v>0</v>
      </c>
      <c r="X661" s="36">
        <v>0</v>
      </c>
      <c r="Y661" s="48">
        <v>0</v>
      </c>
      <c r="Z661" s="36">
        <v>0</v>
      </c>
      <c r="AA661" s="36">
        <v>0</v>
      </c>
      <c r="AB661" s="36">
        <v>0</v>
      </c>
      <c r="AC661" s="36">
        <v>118321600</v>
      </c>
      <c r="AD661" s="36">
        <v>2206</v>
      </c>
      <c r="AF661" s="47">
        <f t="shared" si="10"/>
        <v>118321600</v>
      </c>
    </row>
    <row r="662" spans="1:32" x14ac:dyDescent="0.3">
      <c r="A662" s="46" t="s">
        <v>758</v>
      </c>
      <c r="B662" s="46" t="str">
        <f>IFERROR(VLOOKUP($H662,매장구분!$B:$Z,2,0),"")</f>
        <v>파트너채널팀</v>
      </c>
      <c r="C662" s="46" t="str">
        <f>IFERROR(VLOOKUP($H662,매장구분!$B:$Z,3,0),"")</f>
        <v>국내</v>
      </c>
      <c r="D662" s="46" t="str">
        <f>IFERROR(VLOOKUP($H662,매장구분!$B:$Z,5,0),"")</f>
        <v>백화점</v>
      </c>
      <c r="E662" s="46" t="str">
        <f>IFERROR(VLOOKUP($H662,매장구분!$B:$Z,9,0),"")</f>
        <v>롯데미아</v>
      </c>
      <c r="G662" s="36" t="s">
        <v>350</v>
      </c>
      <c r="H662" s="36" t="s">
        <v>351</v>
      </c>
      <c r="I662" s="36" t="s">
        <v>169</v>
      </c>
      <c r="J662" s="36" t="s">
        <v>175</v>
      </c>
      <c r="K662" s="36" t="s">
        <v>170</v>
      </c>
      <c r="L662" s="36" t="s">
        <v>171</v>
      </c>
      <c r="M662" s="36" t="s">
        <v>77</v>
      </c>
      <c r="N662" s="36" t="s">
        <v>172</v>
      </c>
      <c r="O662" s="36">
        <v>6811550</v>
      </c>
      <c r="P662" s="36">
        <v>86</v>
      </c>
      <c r="Q662" s="36">
        <v>78000</v>
      </c>
      <c r="R662" s="36">
        <v>2</v>
      </c>
      <c r="S662" s="36">
        <v>0</v>
      </c>
      <c r="T662" s="36">
        <v>0</v>
      </c>
      <c r="U662" s="36">
        <v>585450</v>
      </c>
      <c r="V662" s="36">
        <v>3</v>
      </c>
      <c r="W662" s="36">
        <v>0</v>
      </c>
      <c r="X662" s="36">
        <v>0</v>
      </c>
      <c r="Y662" s="48">
        <v>0</v>
      </c>
      <c r="Z662" s="36">
        <v>0</v>
      </c>
      <c r="AA662" s="36">
        <v>0</v>
      </c>
      <c r="AB662" s="36">
        <v>0</v>
      </c>
      <c r="AC662" s="36">
        <v>7475000</v>
      </c>
      <c r="AD662" s="36">
        <v>91</v>
      </c>
      <c r="AF662" s="47">
        <f t="shared" si="10"/>
        <v>7475000</v>
      </c>
    </row>
    <row r="663" spans="1:32" x14ac:dyDescent="0.3">
      <c r="A663" s="46" t="s">
        <v>758</v>
      </c>
      <c r="B663" s="46" t="str">
        <f>IFERROR(VLOOKUP($H663,매장구분!$B:$Z,2,0),"")</f>
        <v>리테일채널팀</v>
      </c>
      <c r="C663" s="46" t="str">
        <f>IFERROR(VLOOKUP($H663,매장구분!$B:$Z,3,0),"")</f>
        <v>국내</v>
      </c>
      <c r="D663" s="46" t="str">
        <f>IFERROR(VLOOKUP($H663,매장구분!$B:$Z,5,0),"")</f>
        <v>대리점</v>
      </c>
      <c r="E663" s="46" t="str">
        <f>IFERROR(VLOOKUP($H663,매장구분!$B:$Z,9,0),"")</f>
        <v>세정광주(대-위)</v>
      </c>
      <c r="G663" s="36" t="s">
        <v>346</v>
      </c>
      <c r="H663" s="36" t="s">
        <v>347</v>
      </c>
      <c r="I663" s="36" t="s">
        <v>169</v>
      </c>
      <c r="J663" s="36" t="s">
        <v>79</v>
      </c>
      <c r="K663" s="36" t="s">
        <v>170</v>
      </c>
      <c r="L663" s="36" t="s">
        <v>171</v>
      </c>
      <c r="M663" s="36" t="s">
        <v>196</v>
      </c>
      <c r="N663" s="36" t="s">
        <v>197</v>
      </c>
      <c r="O663" s="36">
        <v>12921976</v>
      </c>
      <c r="P663" s="36">
        <v>130</v>
      </c>
      <c r="Q663" s="36">
        <v>0</v>
      </c>
      <c r="R663" s="36">
        <v>0</v>
      </c>
      <c r="S663" s="36">
        <v>0</v>
      </c>
      <c r="T663" s="36">
        <v>0</v>
      </c>
      <c r="U663" s="36">
        <v>2115424</v>
      </c>
      <c r="V663" s="36">
        <v>14</v>
      </c>
      <c r="W663" s="36">
        <v>0</v>
      </c>
      <c r="X663" s="36">
        <v>0</v>
      </c>
      <c r="Y663" s="48">
        <v>0</v>
      </c>
      <c r="Z663" s="36">
        <v>0</v>
      </c>
      <c r="AA663" s="36">
        <v>0</v>
      </c>
      <c r="AB663" s="36">
        <v>0</v>
      </c>
      <c r="AC663" s="36">
        <v>15037400</v>
      </c>
      <c r="AD663" s="36">
        <v>144</v>
      </c>
      <c r="AF663" s="47">
        <f t="shared" si="10"/>
        <v>15037400</v>
      </c>
    </row>
    <row r="664" spans="1:32" x14ac:dyDescent="0.3">
      <c r="A664" s="46" t="s">
        <v>758</v>
      </c>
      <c r="B664" s="46" t="str">
        <f>IFERROR(VLOOKUP($H664,매장구분!$B:$Z,2,0),"")</f>
        <v>파트너채널팀</v>
      </c>
      <c r="C664" s="46" t="str">
        <f>IFERROR(VLOOKUP($H664,매장구분!$B:$Z,3,0),"")</f>
        <v>국내</v>
      </c>
      <c r="D664" s="46" t="str">
        <f>IFERROR(VLOOKUP($H664,매장구분!$B:$Z,5,0),"")</f>
        <v>백화점</v>
      </c>
      <c r="E664" s="46" t="str">
        <f>IFERROR(VLOOKUP($H664,매장구분!$B:$Z,9,0),"")</f>
        <v>롯데아울렛의왕(직)</v>
      </c>
      <c r="G664" s="36" t="s">
        <v>352</v>
      </c>
      <c r="H664" s="36" t="s">
        <v>353</v>
      </c>
      <c r="I664" s="36" t="s">
        <v>169</v>
      </c>
      <c r="J664" s="36" t="s">
        <v>180</v>
      </c>
      <c r="K664" s="36" t="s">
        <v>170</v>
      </c>
      <c r="L664" s="36" t="s">
        <v>171</v>
      </c>
      <c r="M664" s="36" t="s">
        <v>219</v>
      </c>
      <c r="N664" s="36" t="s">
        <v>219</v>
      </c>
      <c r="O664" s="36">
        <v>11108690</v>
      </c>
      <c r="P664" s="36">
        <v>124</v>
      </c>
      <c r="Q664" s="36">
        <v>0</v>
      </c>
      <c r="R664" s="36">
        <v>0</v>
      </c>
      <c r="S664" s="36">
        <v>0</v>
      </c>
      <c r="T664" s="36">
        <v>0</v>
      </c>
      <c r="U664" s="36">
        <v>863010</v>
      </c>
      <c r="V664" s="36">
        <v>7</v>
      </c>
      <c r="W664" s="36">
        <v>0</v>
      </c>
      <c r="X664" s="36">
        <v>0</v>
      </c>
      <c r="Y664" s="48">
        <v>0</v>
      </c>
      <c r="Z664" s="36">
        <v>0</v>
      </c>
      <c r="AA664" s="36">
        <v>0</v>
      </c>
      <c r="AB664" s="36">
        <v>0</v>
      </c>
      <c r="AC664" s="36">
        <v>11971700</v>
      </c>
      <c r="AD664" s="36">
        <v>131</v>
      </c>
      <c r="AF664" s="47">
        <f t="shared" si="10"/>
        <v>11971700</v>
      </c>
    </row>
    <row r="665" spans="1:32" x14ac:dyDescent="0.3">
      <c r="A665" s="46" t="s">
        <v>758</v>
      </c>
      <c r="B665" s="46" t="str">
        <f>IFERROR(VLOOKUP($H665,매장구분!$B:$Z,2,0),"")</f>
        <v>파트너채널팀</v>
      </c>
      <c r="C665" s="46" t="str">
        <f>IFERROR(VLOOKUP($H665,매장구분!$B:$Z,3,0),"")</f>
        <v>국내</v>
      </c>
      <c r="D665" s="46" t="str">
        <f>IFERROR(VLOOKUP($H665,매장구분!$B:$Z,5,0),"")</f>
        <v>백화점</v>
      </c>
      <c r="E665" s="46" t="str">
        <f>IFERROR(VLOOKUP($H665,매장구분!$B:$Z,9,0),"")</f>
        <v>롯데건대</v>
      </c>
      <c r="G665" s="36" t="s">
        <v>354</v>
      </c>
      <c r="H665" s="36" t="s">
        <v>355</v>
      </c>
      <c r="I665" s="36" t="s">
        <v>169</v>
      </c>
      <c r="J665" s="36" t="s">
        <v>175</v>
      </c>
      <c r="K665" s="36" t="s">
        <v>170</v>
      </c>
      <c r="L665" s="36" t="s">
        <v>171</v>
      </c>
      <c r="M665" s="36" t="s">
        <v>77</v>
      </c>
      <c r="N665" s="36" t="s">
        <v>172</v>
      </c>
      <c r="O665" s="36">
        <v>9712260</v>
      </c>
      <c r="P665" s="36">
        <v>92</v>
      </c>
      <c r="Q665" s="36">
        <v>0</v>
      </c>
      <c r="R665" s="36">
        <v>0</v>
      </c>
      <c r="S665" s="36">
        <v>0</v>
      </c>
      <c r="T665" s="36">
        <v>0</v>
      </c>
      <c r="U665" s="36">
        <v>2315780</v>
      </c>
      <c r="V665" s="36">
        <v>14</v>
      </c>
      <c r="W665" s="36">
        <v>0</v>
      </c>
      <c r="X665" s="36">
        <v>0</v>
      </c>
      <c r="Y665" s="48">
        <v>21852960</v>
      </c>
      <c r="Z665" s="36">
        <v>669</v>
      </c>
      <c r="AA665" s="36">
        <v>0</v>
      </c>
      <c r="AB665" s="36">
        <v>0</v>
      </c>
      <c r="AC665" s="36">
        <v>33881000</v>
      </c>
      <c r="AD665" s="36">
        <v>775</v>
      </c>
      <c r="AF665" s="47">
        <f t="shared" si="10"/>
        <v>12028040</v>
      </c>
    </row>
    <row r="666" spans="1:32" x14ac:dyDescent="0.3">
      <c r="A666" s="46" t="s">
        <v>758</v>
      </c>
      <c r="B666" s="46" t="str">
        <f>IFERROR(VLOOKUP($H666,매장구분!$B:$Z,2,0),"")</f>
        <v>E-biz</v>
      </c>
      <c r="C666" s="46" t="str">
        <f>IFERROR(VLOOKUP($H666,매장구분!$B:$Z,3,0),"")</f>
        <v>국내</v>
      </c>
      <c r="D666" s="46" t="str">
        <f>IFERROR(VLOOKUP($H666,매장구분!$B:$Z,5,0),"")</f>
        <v>온(제휴몰)</v>
      </c>
      <c r="E666" s="46" t="str">
        <f>IFERROR(VLOOKUP($H666,매장구분!$B:$Z,9,0),"")</f>
        <v>SSF샵(제휴몰)</v>
      </c>
      <c r="G666" s="36" t="s">
        <v>342</v>
      </c>
      <c r="H666" s="36" t="s">
        <v>343</v>
      </c>
      <c r="I666" s="36" t="s">
        <v>169</v>
      </c>
      <c r="J666" s="36" t="s">
        <v>180</v>
      </c>
      <c r="K666" s="36" t="s">
        <v>170</v>
      </c>
      <c r="L666" s="36" t="s">
        <v>181</v>
      </c>
      <c r="M666" s="36" t="s">
        <v>181</v>
      </c>
      <c r="N666" s="36" t="s">
        <v>185</v>
      </c>
      <c r="O666" s="36">
        <v>47010200</v>
      </c>
      <c r="P666" s="36">
        <v>427</v>
      </c>
      <c r="Q666" s="36">
        <v>0</v>
      </c>
      <c r="R666" s="36">
        <v>0</v>
      </c>
      <c r="S666" s="36">
        <v>0</v>
      </c>
      <c r="T666" s="36">
        <v>0</v>
      </c>
      <c r="U666" s="36">
        <v>0</v>
      </c>
      <c r="V666" s="36">
        <v>0</v>
      </c>
      <c r="W666" s="36">
        <v>0</v>
      </c>
      <c r="X666" s="36">
        <v>0</v>
      </c>
      <c r="Y666" s="48">
        <v>0</v>
      </c>
      <c r="Z666" s="36">
        <v>0</v>
      </c>
      <c r="AA666" s="36">
        <v>0</v>
      </c>
      <c r="AB666" s="36">
        <v>0</v>
      </c>
      <c r="AC666" s="36">
        <v>47010200</v>
      </c>
      <c r="AD666" s="36">
        <v>427</v>
      </c>
      <c r="AF666" s="47">
        <f t="shared" si="10"/>
        <v>47010200</v>
      </c>
    </row>
    <row r="667" spans="1:32" x14ac:dyDescent="0.3">
      <c r="A667" s="46" t="s">
        <v>758</v>
      </c>
      <c r="B667" s="46" t="str">
        <f>IFERROR(VLOOKUP($H667,매장구분!$B:$Z,2,0),"")</f>
        <v>리테일채널팀</v>
      </c>
      <c r="C667" s="46" t="str">
        <f>IFERROR(VLOOKUP($H667,매장구분!$B:$Z,3,0),"")</f>
        <v>국내</v>
      </c>
      <c r="D667" s="46" t="str">
        <f>IFERROR(VLOOKUP($H667,매장구분!$B:$Z,5,0),"")</f>
        <v>직영점</v>
      </c>
      <c r="E667" s="46" t="str">
        <f>IFERROR(VLOOKUP($H667,매장구분!$B:$Z,9,0),"")</f>
        <v>타임스트림신림(직)</v>
      </c>
      <c r="G667" s="36" t="s">
        <v>360</v>
      </c>
      <c r="H667" s="36" t="s">
        <v>361</v>
      </c>
      <c r="I667" s="36" t="s">
        <v>169</v>
      </c>
      <c r="J667" s="36" t="s">
        <v>180</v>
      </c>
      <c r="K667" s="36" t="s">
        <v>170</v>
      </c>
      <c r="L667" s="36" t="s">
        <v>171</v>
      </c>
      <c r="M667" s="36" t="s">
        <v>188</v>
      </c>
      <c r="N667" s="36" t="s">
        <v>317</v>
      </c>
      <c r="O667" s="36">
        <v>8306630</v>
      </c>
      <c r="P667" s="36">
        <v>83</v>
      </c>
      <c r="Q667" s="36">
        <v>0</v>
      </c>
      <c r="R667" s="36">
        <v>0</v>
      </c>
      <c r="S667" s="36">
        <v>0</v>
      </c>
      <c r="T667" s="36">
        <v>0</v>
      </c>
      <c r="U667" s="36">
        <v>795270</v>
      </c>
      <c r="V667" s="36">
        <v>4</v>
      </c>
      <c r="W667" s="36">
        <v>0</v>
      </c>
      <c r="X667" s="36">
        <v>0</v>
      </c>
      <c r="Y667" s="48">
        <v>0</v>
      </c>
      <c r="Z667" s="36">
        <v>0</v>
      </c>
      <c r="AA667" s="36">
        <v>0</v>
      </c>
      <c r="AB667" s="36">
        <v>0</v>
      </c>
      <c r="AC667" s="36">
        <v>9101900</v>
      </c>
      <c r="AD667" s="36">
        <v>87</v>
      </c>
      <c r="AF667" s="47">
        <f t="shared" si="10"/>
        <v>9101900</v>
      </c>
    </row>
    <row r="668" spans="1:32" x14ac:dyDescent="0.3">
      <c r="A668" s="46" t="s">
        <v>758</v>
      </c>
      <c r="B668" s="46" t="str">
        <f>IFERROR(VLOOKUP($H668,매장구분!$B:$Z,2,0),"")</f>
        <v>리테일채널팀</v>
      </c>
      <c r="C668" s="46" t="str">
        <f>IFERROR(VLOOKUP($H668,매장구분!$B:$Z,3,0),"")</f>
        <v>국내</v>
      </c>
      <c r="D668" s="46" t="str">
        <f>IFERROR(VLOOKUP($H668,매장구분!$B:$Z,5,0),"")</f>
        <v>상설(위탁)</v>
      </c>
      <c r="E668" s="46" t="str">
        <f>IFERROR(VLOOKUP($H668,매장구분!$B:$Z,9,0),"")</f>
        <v>신세계아울렛여주(상-위)</v>
      </c>
      <c r="G668" s="36" t="s">
        <v>380</v>
      </c>
      <c r="H668" s="36" t="s">
        <v>381</v>
      </c>
      <c r="I668" s="36" t="s">
        <v>169</v>
      </c>
      <c r="J668" s="36" t="s">
        <v>79</v>
      </c>
      <c r="K668" s="36" t="s">
        <v>170</v>
      </c>
      <c r="L668" s="36" t="s">
        <v>171</v>
      </c>
      <c r="M668" s="36" t="s">
        <v>219</v>
      </c>
      <c r="N668" s="36" t="s">
        <v>219</v>
      </c>
      <c r="O668" s="36">
        <v>3757000</v>
      </c>
      <c r="P668" s="36">
        <v>84</v>
      </c>
      <c r="Q668" s="36">
        <v>0</v>
      </c>
      <c r="R668" s="36">
        <v>0</v>
      </c>
      <c r="S668" s="36">
        <v>0</v>
      </c>
      <c r="T668" s="36">
        <v>0</v>
      </c>
      <c r="U668" s="36">
        <v>0</v>
      </c>
      <c r="V668" s="36">
        <v>0</v>
      </c>
      <c r="W668" s="36">
        <v>0</v>
      </c>
      <c r="X668" s="36">
        <v>0</v>
      </c>
      <c r="Y668" s="48">
        <v>0</v>
      </c>
      <c r="Z668" s="36">
        <v>0</v>
      </c>
      <c r="AA668" s="36">
        <v>0</v>
      </c>
      <c r="AB668" s="36">
        <v>0</v>
      </c>
      <c r="AC668" s="36">
        <v>3757000</v>
      </c>
      <c r="AD668" s="36">
        <v>84</v>
      </c>
      <c r="AF668" s="47">
        <f t="shared" si="10"/>
        <v>3757000</v>
      </c>
    </row>
    <row r="669" spans="1:32" x14ac:dyDescent="0.3">
      <c r="A669" s="46" t="s">
        <v>758</v>
      </c>
      <c r="B669" s="46" t="str">
        <f>IFERROR(VLOOKUP($H669,매장구분!$B:$Z,2,0),"")</f>
        <v>리테일채널팀</v>
      </c>
      <c r="C669" s="46" t="str">
        <f>IFERROR(VLOOKUP($H669,매장구분!$B:$Z,3,0),"")</f>
        <v>국내</v>
      </c>
      <c r="D669" s="46" t="str">
        <f>IFERROR(VLOOKUP($H669,매장구분!$B:$Z,5,0),"")</f>
        <v>상설(위탁)</v>
      </c>
      <c r="E669" s="46" t="str">
        <f>IFERROR(VLOOKUP($H669,매장구분!$B:$Z,9,0),"")</f>
        <v>롯데아울렛김해(상-위)</v>
      </c>
      <c r="G669" s="36" t="s">
        <v>370</v>
      </c>
      <c r="H669" s="36" t="s">
        <v>371</v>
      </c>
      <c r="I669" s="36" t="s">
        <v>169</v>
      </c>
      <c r="J669" s="36" t="s">
        <v>79</v>
      </c>
      <c r="K669" s="36" t="s">
        <v>170</v>
      </c>
      <c r="L669" s="36" t="s">
        <v>171</v>
      </c>
      <c r="M669" s="36" t="s">
        <v>219</v>
      </c>
      <c r="N669" s="36" t="s">
        <v>219</v>
      </c>
      <c r="O669" s="36">
        <v>5895000</v>
      </c>
      <c r="P669" s="36">
        <v>113</v>
      </c>
      <c r="Q669" s="36">
        <v>0</v>
      </c>
      <c r="R669" s="36">
        <v>0</v>
      </c>
      <c r="S669" s="36">
        <v>0</v>
      </c>
      <c r="T669" s="36">
        <v>0</v>
      </c>
      <c r="U669" s="36">
        <v>0</v>
      </c>
      <c r="V669" s="36">
        <v>0</v>
      </c>
      <c r="W669" s="36">
        <v>0</v>
      </c>
      <c r="X669" s="36">
        <v>0</v>
      </c>
      <c r="Y669" s="48">
        <v>0</v>
      </c>
      <c r="Z669" s="36">
        <v>0</v>
      </c>
      <c r="AA669" s="36">
        <v>0</v>
      </c>
      <c r="AB669" s="36">
        <v>0</v>
      </c>
      <c r="AC669" s="36">
        <v>5895000</v>
      </c>
      <c r="AD669" s="36">
        <v>113</v>
      </c>
      <c r="AF669" s="47">
        <f t="shared" si="10"/>
        <v>5895000</v>
      </c>
    </row>
    <row r="670" spans="1:32" x14ac:dyDescent="0.3">
      <c r="A670" s="46" t="s">
        <v>758</v>
      </c>
      <c r="B670" s="46" t="str">
        <f>IFERROR(VLOOKUP($H670,매장구분!$B:$Z,2,0),"")</f>
        <v>리테일채널팀</v>
      </c>
      <c r="C670" s="46" t="str">
        <f>IFERROR(VLOOKUP($H670,매장구분!$B:$Z,3,0),"")</f>
        <v>국내</v>
      </c>
      <c r="D670" s="46" t="str">
        <f>IFERROR(VLOOKUP($H670,매장구분!$B:$Z,5,0),"")</f>
        <v>상설(위탁)</v>
      </c>
      <c r="E670" s="46" t="str">
        <f>IFERROR(VLOOKUP($H670,매장구분!$B:$Z,9,0),"")</f>
        <v>롯데아울렛율하(상-위)</v>
      </c>
      <c r="G670" s="36" t="s">
        <v>368</v>
      </c>
      <c r="H670" s="36" t="s">
        <v>369</v>
      </c>
      <c r="I670" s="36" t="s">
        <v>169</v>
      </c>
      <c r="J670" s="36" t="s">
        <v>79</v>
      </c>
      <c r="K670" s="36" t="s">
        <v>170</v>
      </c>
      <c r="L670" s="36" t="s">
        <v>171</v>
      </c>
      <c r="M670" s="36" t="s">
        <v>219</v>
      </c>
      <c r="N670" s="36" t="s">
        <v>219</v>
      </c>
      <c r="O670" s="36">
        <v>926000</v>
      </c>
      <c r="P670" s="36">
        <v>25</v>
      </c>
      <c r="Q670" s="36">
        <v>0</v>
      </c>
      <c r="R670" s="36">
        <v>0</v>
      </c>
      <c r="S670" s="36">
        <v>0</v>
      </c>
      <c r="T670" s="36">
        <v>0</v>
      </c>
      <c r="U670" s="36">
        <v>0</v>
      </c>
      <c r="V670" s="36">
        <v>0</v>
      </c>
      <c r="W670" s="36">
        <v>0</v>
      </c>
      <c r="X670" s="36">
        <v>0</v>
      </c>
      <c r="Y670" s="48">
        <v>0</v>
      </c>
      <c r="Z670" s="36">
        <v>0</v>
      </c>
      <c r="AA670" s="36">
        <v>0</v>
      </c>
      <c r="AB670" s="36">
        <v>0</v>
      </c>
      <c r="AC670" s="36">
        <v>926000</v>
      </c>
      <c r="AD670" s="36">
        <v>25</v>
      </c>
      <c r="AF670" s="47">
        <f t="shared" si="10"/>
        <v>926000</v>
      </c>
    </row>
    <row r="671" spans="1:32" x14ac:dyDescent="0.3">
      <c r="A671" s="46" t="s">
        <v>758</v>
      </c>
      <c r="B671" s="46" t="str">
        <f>IFERROR(VLOOKUP($H671,매장구분!$B:$Z,2,0),"")</f>
        <v>리테일채널팀</v>
      </c>
      <c r="C671" s="46" t="str">
        <f>IFERROR(VLOOKUP($H671,매장구분!$B:$Z,3,0),"")</f>
        <v>국내</v>
      </c>
      <c r="D671" s="46" t="str">
        <f>IFERROR(VLOOKUP($H671,매장구분!$B:$Z,5,0),"")</f>
        <v>상설(위탁)</v>
      </c>
      <c r="E671" s="46" t="str">
        <f>IFERROR(VLOOKUP($H671,매장구분!$B:$Z,9,0),"")</f>
        <v>모다경주(상-위)</v>
      </c>
      <c r="G671" s="36" t="s">
        <v>374</v>
      </c>
      <c r="H671" s="36" t="s">
        <v>375</v>
      </c>
      <c r="I671" s="36" t="s">
        <v>169</v>
      </c>
      <c r="J671" s="36" t="s">
        <v>79</v>
      </c>
      <c r="K671" s="36" t="s">
        <v>170</v>
      </c>
      <c r="L671" s="36" t="s">
        <v>171</v>
      </c>
      <c r="M671" s="36" t="s">
        <v>77</v>
      </c>
      <c r="N671" s="36" t="s">
        <v>238</v>
      </c>
      <c r="O671" s="36">
        <v>631000</v>
      </c>
      <c r="P671" s="36">
        <v>17</v>
      </c>
      <c r="Q671" s="36">
        <v>0</v>
      </c>
      <c r="R671" s="36">
        <v>0</v>
      </c>
      <c r="S671" s="36">
        <v>0</v>
      </c>
      <c r="T671" s="36">
        <v>0</v>
      </c>
      <c r="U671" s="36">
        <v>0</v>
      </c>
      <c r="V671" s="36">
        <v>0</v>
      </c>
      <c r="W671" s="36">
        <v>0</v>
      </c>
      <c r="X671" s="36">
        <v>0</v>
      </c>
      <c r="Y671" s="48">
        <v>0</v>
      </c>
      <c r="Z671" s="36">
        <v>0</v>
      </c>
      <c r="AA671" s="36">
        <v>0</v>
      </c>
      <c r="AB671" s="36">
        <v>0</v>
      </c>
      <c r="AC671" s="36">
        <v>631000</v>
      </c>
      <c r="AD671" s="36">
        <v>17</v>
      </c>
      <c r="AF671" s="47">
        <f t="shared" si="10"/>
        <v>631000</v>
      </c>
    </row>
    <row r="672" spans="1:32" x14ac:dyDescent="0.3">
      <c r="A672" s="46" t="s">
        <v>758</v>
      </c>
      <c r="B672" s="46" t="str">
        <f>IFERROR(VLOOKUP($H672,매장구분!$B:$Z,2,0),"")</f>
        <v>리테일채널팀</v>
      </c>
      <c r="C672" s="46" t="str">
        <f>IFERROR(VLOOKUP($H672,매장구분!$B:$Z,3,0),"")</f>
        <v>국내</v>
      </c>
      <c r="D672" s="46" t="str">
        <f>IFERROR(VLOOKUP($H672,매장구분!$B:$Z,5,0),"")</f>
        <v>상설(위탁)</v>
      </c>
      <c r="E672" s="46" t="str">
        <f>IFERROR(VLOOKUP($H672,매장구분!$B:$Z,9,0),"")</f>
        <v>롯데아울렛동부산(상-위)</v>
      </c>
      <c r="G672" s="36" t="s">
        <v>366</v>
      </c>
      <c r="H672" s="36" t="s">
        <v>367</v>
      </c>
      <c r="I672" s="36" t="s">
        <v>169</v>
      </c>
      <c r="J672" s="36" t="s">
        <v>79</v>
      </c>
      <c r="K672" s="36" t="s">
        <v>170</v>
      </c>
      <c r="L672" s="36" t="s">
        <v>171</v>
      </c>
      <c r="M672" s="36" t="s">
        <v>219</v>
      </c>
      <c r="N672" s="36" t="s">
        <v>219</v>
      </c>
      <c r="O672" s="36">
        <v>7445000</v>
      </c>
      <c r="P672" s="36">
        <v>176</v>
      </c>
      <c r="Q672" s="36">
        <v>0</v>
      </c>
      <c r="R672" s="36">
        <v>0</v>
      </c>
      <c r="S672" s="36">
        <v>0</v>
      </c>
      <c r="T672" s="36">
        <v>0</v>
      </c>
      <c r="U672" s="36">
        <v>0</v>
      </c>
      <c r="V672" s="36">
        <v>0</v>
      </c>
      <c r="W672" s="36">
        <v>0</v>
      </c>
      <c r="X672" s="36">
        <v>0</v>
      </c>
      <c r="Y672" s="48">
        <v>0</v>
      </c>
      <c r="Z672" s="36">
        <v>0</v>
      </c>
      <c r="AA672" s="36">
        <v>0</v>
      </c>
      <c r="AB672" s="36">
        <v>0</v>
      </c>
      <c r="AC672" s="36">
        <v>7445000</v>
      </c>
      <c r="AD672" s="36">
        <v>176</v>
      </c>
      <c r="AF672" s="47">
        <f t="shared" si="10"/>
        <v>7445000</v>
      </c>
    </row>
    <row r="673" spans="1:32" x14ac:dyDescent="0.3">
      <c r="A673" s="46" t="s">
        <v>758</v>
      </c>
      <c r="B673" s="46" t="str">
        <f>IFERROR(VLOOKUP($H673,매장구분!$B:$Z,2,0),"")</f>
        <v>리테일채널팀</v>
      </c>
      <c r="C673" s="46" t="str">
        <f>IFERROR(VLOOKUP($H673,매장구분!$B:$Z,3,0),"")</f>
        <v>국내</v>
      </c>
      <c r="D673" s="46" t="str">
        <f>IFERROR(VLOOKUP($H673,매장구분!$B:$Z,5,0),"")</f>
        <v>상설(위탁)</v>
      </c>
      <c r="E673" s="46" t="str">
        <f>IFERROR(VLOOKUP($H673,매장구분!$B:$Z,9,0),"")</f>
        <v>NC강서(상-위)</v>
      </c>
      <c r="G673" s="36" t="s">
        <v>376</v>
      </c>
      <c r="H673" s="36" t="s">
        <v>377</v>
      </c>
      <c r="I673" s="36" t="s">
        <v>169</v>
      </c>
      <c r="J673" s="36" t="s">
        <v>79</v>
      </c>
      <c r="K673" s="36" t="s">
        <v>170</v>
      </c>
      <c r="L673" s="36" t="s">
        <v>171</v>
      </c>
      <c r="M673" s="36" t="s">
        <v>77</v>
      </c>
      <c r="N673" s="36" t="s">
        <v>238</v>
      </c>
      <c r="O673" s="36">
        <v>988000</v>
      </c>
      <c r="P673" s="36">
        <v>27</v>
      </c>
      <c r="Q673" s="36">
        <v>0</v>
      </c>
      <c r="R673" s="36">
        <v>0</v>
      </c>
      <c r="S673" s="36">
        <v>0</v>
      </c>
      <c r="T673" s="36">
        <v>0</v>
      </c>
      <c r="U673" s="36">
        <v>0</v>
      </c>
      <c r="V673" s="36">
        <v>0</v>
      </c>
      <c r="W673" s="36">
        <v>0</v>
      </c>
      <c r="X673" s="36">
        <v>0</v>
      </c>
      <c r="Y673" s="48">
        <v>0</v>
      </c>
      <c r="Z673" s="36">
        <v>0</v>
      </c>
      <c r="AA673" s="36">
        <v>0</v>
      </c>
      <c r="AB673" s="36">
        <v>0</v>
      </c>
      <c r="AC673" s="36">
        <v>988000</v>
      </c>
      <c r="AD673" s="36">
        <v>27</v>
      </c>
      <c r="AF673" s="47">
        <f t="shared" si="10"/>
        <v>988000</v>
      </c>
    </row>
    <row r="674" spans="1:32" x14ac:dyDescent="0.3">
      <c r="A674" s="46" t="s">
        <v>758</v>
      </c>
      <c r="B674" s="46" t="str">
        <f>IFERROR(VLOOKUP($H674,매장구분!$B:$Z,2,0),"")</f>
        <v>리테일채널팀</v>
      </c>
      <c r="C674" s="46" t="str">
        <f>IFERROR(VLOOKUP($H674,매장구분!$B:$Z,3,0),"")</f>
        <v>국내</v>
      </c>
      <c r="D674" s="46" t="str">
        <f>IFERROR(VLOOKUP($H674,매장구분!$B:$Z,5,0),"")</f>
        <v>상설(위탁)</v>
      </c>
      <c r="E674" s="46" t="str">
        <f>IFERROR(VLOOKUP($H674,매장구분!$B:$Z,9,0),"")</f>
        <v>롯데아울렛기흥(상-위)</v>
      </c>
      <c r="G674" s="36" t="s">
        <v>382</v>
      </c>
      <c r="H674" s="36" t="s">
        <v>383</v>
      </c>
      <c r="I674" s="36" t="s">
        <v>169</v>
      </c>
      <c r="J674" s="36" t="s">
        <v>79</v>
      </c>
      <c r="K674" s="36" t="s">
        <v>170</v>
      </c>
      <c r="L674" s="36" t="s">
        <v>171</v>
      </c>
      <c r="M674" s="36" t="s">
        <v>219</v>
      </c>
      <c r="N674" s="36" t="s">
        <v>219</v>
      </c>
      <c r="O674" s="36">
        <v>2542000</v>
      </c>
      <c r="P674" s="36">
        <v>53</v>
      </c>
      <c r="Q674" s="36">
        <v>0</v>
      </c>
      <c r="R674" s="36">
        <v>0</v>
      </c>
      <c r="S674" s="36">
        <v>0</v>
      </c>
      <c r="T674" s="36">
        <v>0</v>
      </c>
      <c r="U674" s="36">
        <v>0</v>
      </c>
      <c r="V674" s="36">
        <v>0</v>
      </c>
      <c r="W674" s="36">
        <v>0</v>
      </c>
      <c r="X674" s="36">
        <v>0</v>
      </c>
      <c r="Y674" s="48">
        <v>0</v>
      </c>
      <c r="Z674" s="36">
        <v>0</v>
      </c>
      <c r="AA674" s="36">
        <v>0</v>
      </c>
      <c r="AB674" s="36">
        <v>0</v>
      </c>
      <c r="AC674" s="36">
        <v>2542000</v>
      </c>
      <c r="AD674" s="36">
        <v>53</v>
      </c>
      <c r="AF674" s="47">
        <f t="shared" si="10"/>
        <v>2542000</v>
      </c>
    </row>
    <row r="675" spans="1:32" x14ac:dyDescent="0.3">
      <c r="A675" s="46" t="s">
        <v>758</v>
      </c>
      <c r="B675" s="46" t="str">
        <f>IFERROR(VLOOKUP($H675,매장구분!$B:$Z,2,0),"")</f>
        <v>리테일채널팀</v>
      </c>
      <c r="C675" s="46" t="str">
        <f>IFERROR(VLOOKUP($H675,매장구분!$B:$Z,3,0),"")</f>
        <v>국내</v>
      </c>
      <c r="D675" s="46" t="str">
        <f>IFERROR(VLOOKUP($H675,매장구분!$B:$Z,5,0),"")</f>
        <v>상설(위탁)</v>
      </c>
      <c r="E675" s="46" t="str">
        <f>IFERROR(VLOOKUP($H675,매장구분!$B:$Z,9,0),"")</f>
        <v>NC송파(상-위)</v>
      </c>
      <c r="G675" s="36" t="s">
        <v>378</v>
      </c>
      <c r="H675" s="36" t="s">
        <v>379</v>
      </c>
      <c r="I675" s="36" t="s">
        <v>169</v>
      </c>
      <c r="J675" s="36" t="s">
        <v>79</v>
      </c>
      <c r="K675" s="36" t="s">
        <v>170</v>
      </c>
      <c r="L675" s="36" t="s">
        <v>171</v>
      </c>
      <c r="M675" s="36" t="s">
        <v>77</v>
      </c>
      <c r="N675" s="36" t="s">
        <v>238</v>
      </c>
      <c r="O675" s="36">
        <v>654000</v>
      </c>
      <c r="P675" s="36">
        <v>18</v>
      </c>
      <c r="Q675" s="36">
        <v>0</v>
      </c>
      <c r="R675" s="36">
        <v>0</v>
      </c>
      <c r="S675" s="36">
        <v>0</v>
      </c>
      <c r="T675" s="36">
        <v>0</v>
      </c>
      <c r="U675" s="36">
        <v>0</v>
      </c>
      <c r="V675" s="36">
        <v>0</v>
      </c>
      <c r="W675" s="36">
        <v>0</v>
      </c>
      <c r="X675" s="36">
        <v>0</v>
      </c>
      <c r="Y675" s="48">
        <v>0</v>
      </c>
      <c r="Z675" s="36">
        <v>0</v>
      </c>
      <c r="AA675" s="36">
        <v>0</v>
      </c>
      <c r="AB675" s="36">
        <v>0</v>
      </c>
      <c r="AC675" s="36">
        <v>654000</v>
      </c>
      <c r="AD675" s="36">
        <v>18</v>
      </c>
      <c r="AF675" s="47">
        <f t="shared" si="10"/>
        <v>654000</v>
      </c>
    </row>
    <row r="676" spans="1:32" x14ac:dyDescent="0.3">
      <c r="A676" s="46" t="s">
        <v>758</v>
      </c>
      <c r="B676" s="46" t="str">
        <f>IFERROR(VLOOKUP($H676,매장구분!$B:$Z,2,0),"")</f>
        <v>리테일채널팀</v>
      </c>
      <c r="C676" s="46" t="str">
        <f>IFERROR(VLOOKUP($H676,매장구분!$B:$Z,3,0),"")</f>
        <v>국내</v>
      </c>
      <c r="D676" s="46" t="str">
        <f>IFERROR(VLOOKUP($H676,매장구분!$B:$Z,5,0),"")</f>
        <v>상설(위탁)</v>
      </c>
      <c r="E676" s="46" t="str">
        <f>IFERROR(VLOOKUP($H676,매장구분!$B:$Z,9,0),"")</f>
        <v>현대아울렛가든5(상-위)</v>
      </c>
      <c r="G676" s="36" t="s">
        <v>372</v>
      </c>
      <c r="H676" s="36" t="s">
        <v>373</v>
      </c>
      <c r="I676" s="36" t="s">
        <v>169</v>
      </c>
      <c r="J676" s="36" t="s">
        <v>79</v>
      </c>
      <c r="K676" s="36" t="s">
        <v>170</v>
      </c>
      <c r="L676" s="36" t="s">
        <v>171</v>
      </c>
      <c r="M676" s="36" t="s">
        <v>219</v>
      </c>
      <c r="N676" s="36" t="s">
        <v>219</v>
      </c>
      <c r="O676" s="36">
        <v>756000</v>
      </c>
      <c r="P676" s="36">
        <v>21</v>
      </c>
      <c r="Q676" s="36">
        <v>0</v>
      </c>
      <c r="R676" s="36">
        <v>0</v>
      </c>
      <c r="S676" s="36">
        <v>0</v>
      </c>
      <c r="T676" s="36">
        <v>0</v>
      </c>
      <c r="U676" s="36">
        <v>0</v>
      </c>
      <c r="V676" s="36">
        <v>0</v>
      </c>
      <c r="W676" s="36">
        <v>0</v>
      </c>
      <c r="X676" s="36">
        <v>0</v>
      </c>
      <c r="Y676" s="48">
        <v>0</v>
      </c>
      <c r="Z676" s="36">
        <v>0</v>
      </c>
      <c r="AA676" s="36">
        <v>0</v>
      </c>
      <c r="AB676" s="36">
        <v>0</v>
      </c>
      <c r="AC676" s="36">
        <v>756000</v>
      </c>
      <c r="AD676" s="36">
        <v>21</v>
      </c>
      <c r="AF676" s="47">
        <f t="shared" si="10"/>
        <v>756000</v>
      </c>
    </row>
    <row r="677" spans="1:32" x14ac:dyDescent="0.3">
      <c r="A677" s="46" t="s">
        <v>758</v>
      </c>
      <c r="B677" s="46" t="str">
        <f>IFERROR(VLOOKUP($H677,매장구분!$B:$Z,2,0),"")</f>
        <v>리테일채널팀</v>
      </c>
      <c r="C677" s="46" t="str">
        <f>IFERROR(VLOOKUP($H677,매장구분!$B:$Z,3,0),"")</f>
        <v>국내</v>
      </c>
      <c r="D677" s="46" t="str">
        <f>IFERROR(VLOOKUP($H677,매장구분!$B:$Z,5,0),"")</f>
        <v>대리점</v>
      </c>
      <c r="E677" s="46" t="str">
        <f>IFERROR(VLOOKUP($H677,매장구분!$B:$Z,9,0),"")</f>
        <v>순천연향(대-위)</v>
      </c>
      <c r="G677" s="36" t="s">
        <v>390</v>
      </c>
      <c r="H677" s="36" t="s">
        <v>391</v>
      </c>
      <c r="I677" s="36" t="s">
        <v>169</v>
      </c>
      <c r="J677" s="36" t="s">
        <v>79</v>
      </c>
      <c r="K677" s="36" t="s">
        <v>170</v>
      </c>
      <c r="L677" s="36" t="s">
        <v>171</v>
      </c>
      <c r="M677" s="36" t="s">
        <v>196</v>
      </c>
      <c r="N677" s="36" t="s">
        <v>197</v>
      </c>
      <c r="O677" s="36">
        <v>45094029</v>
      </c>
      <c r="P677" s="36">
        <v>375</v>
      </c>
      <c r="Q677" s="36">
        <v>0</v>
      </c>
      <c r="R677" s="36">
        <v>0</v>
      </c>
      <c r="S677" s="36">
        <v>0</v>
      </c>
      <c r="T677" s="36">
        <v>0</v>
      </c>
      <c r="U677" s="36">
        <v>5638841</v>
      </c>
      <c r="V677" s="36">
        <v>36</v>
      </c>
      <c r="W677" s="36">
        <v>0</v>
      </c>
      <c r="X677" s="36">
        <v>0</v>
      </c>
      <c r="Y677" s="48">
        <v>0</v>
      </c>
      <c r="Z677" s="36">
        <v>0</v>
      </c>
      <c r="AA677" s="36">
        <v>0</v>
      </c>
      <c r="AB677" s="36">
        <v>0</v>
      </c>
      <c r="AC677" s="36">
        <v>50732870</v>
      </c>
      <c r="AD677" s="36">
        <v>411</v>
      </c>
      <c r="AF677" s="47">
        <f t="shared" si="10"/>
        <v>50732870</v>
      </c>
    </row>
    <row r="678" spans="1:32" x14ac:dyDescent="0.3">
      <c r="A678" s="46" t="s">
        <v>758</v>
      </c>
      <c r="B678" s="46" t="str">
        <f>IFERROR(VLOOKUP($H678,매장구분!$B:$Z,2,0),"")</f>
        <v>리테일채널팀</v>
      </c>
      <c r="C678" s="46" t="str">
        <f>IFERROR(VLOOKUP($H678,매장구분!$B:$Z,3,0),"")</f>
        <v>국내</v>
      </c>
      <c r="D678" s="46" t="str">
        <f>IFERROR(VLOOKUP($H678,매장구분!$B:$Z,5,0),"")</f>
        <v>대리점</v>
      </c>
      <c r="E678" s="46" t="str">
        <f>IFERROR(VLOOKUP($H678,매장구분!$B:$Z,9,0),"")</f>
        <v>영주(대-위)</v>
      </c>
      <c r="G678" s="36" t="s">
        <v>392</v>
      </c>
      <c r="H678" s="36" t="s">
        <v>393</v>
      </c>
      <c r="I678" s="36" t="s">
        <v>169</v>
      </c>
      <c r="J678" s="36" t="s">
        <v>79</v>
      </c>
      <c r="K678" s="36" t="s">
        <v>170</v>
      </c>
      <c r="L678" s="36" t="s">
        <v>171</v>
      </c>
      <c r="M678" s="36" t="s">
        <v>196</v>
      </c>
      <c r="N678" s="36" t="s">
        <v>197</v>
      </c>
      <c r="O678" s="36">
        <v>5922153</v>
      </c>
      <c r="P678" s="36">
        <v>65</v>
      </c>
      <c r="Q678" s="36">
        <v>0</v>
      </c>
      <c r="R678" s="36">
        <v>0</v>
      </c>
      <c r="S678" s="36">
        <v>0</v>
      </c>
      <c r="T678" s="36">
        <v>0</v>
      </c>
      <c r="U678" s="36">
        <v>419147</v>
      </c>
      <c r="V678" s="36">
        <v>3</v>
      </c>
      <c r="W678" s="36">
        <v>0</v>
      </c>
      <c r="X678" s="36">
        <v>0</v>
      </c>
      <c r="Y678" s="48">
        <v>0</v>
      </c>
      <c r="Z678" s="36">
        <v>0</v>
      </c>
      <c r="AA678" s="36">
        <v>0</v>
      </c>
      <c r="AB678" s="36">
        <v>0</v>
      </c>
      <c r="AC678" s="36">
        <v>6341300</v>
      </c>
      <c r="AD678" s="36">
        <v>68</v>
      </c>
      <c r="AF678" s="47">
        <f t="shared" si="10"/>
        <v>6341300</v>
      </c>
    </row>
    <row r="679" spans="1:32" x14ac:dyDescent="0.3">
      <c r="A679" s="46" t="s">
        <v>758</v>
      </c>
      <c r="B679" s="46" t="str">
        <f>IFERROR(VLOOKUP($H679,매장구분!$B:$Z,2,0),"")</f>
        <v>파트너채널팀</v>
      </c>
      <c r="C679" s="46" t="str">
        <f>IFERROR(VLOOKUP($H679,매장구분!$B:$Z,3,0),"")</f>
        <v>국내</v>
      </c>
      <c r="D679" s="46" t="str">
        <f>IFERROR(VLOOKUP($H679,매장구분!$B:$Z,5,0),"")</f>
        <v>백화점</v>
      </c>
      <c r="E679" s="46" t="str">
        <f>IFERROR(VLOOKUP($H679,매장구분!$B:$Z,9,0),"")</f>
        <v>롯데동탄</v>
      </c>
      <c r="G679" s="36" t="s">
        <v>406</v>
      </c>
      <c r="H679" s="36" t="s">
        <v>407</v>
      </c>
      <c r="I679" s="36" t="s">
        <v>169</v>
      </c>
      <c r="J679" s="36" t="s">
        <v>175</v>
      </c>
      <c r="K679" s="36" t="s">
        <v>170</v>
      </c>
      <c r="L679" s="36" t="s">
        <v>171</v>
      </c>
      <c r="M679" s="36" t="s">
        <v>77</v>
      </c>
      <c r="N679" s="36" t="s">
        <v>172</v>
      </c>
      <c r="O679" s="36">
        <v>11073070</v>
      </c>
      <c r="P679" s="36">
        <v>124</v>
      </c>
      <c r="Q679" s="36">
        <v>2082800</v>
      </c>
      <c r="R679" s="36">
        <v>74</v>
      </c>
      <c r="S679" s="36">
        <v>0</v>
      </c>
      <c r="T679" s="36">
        <v>0</v>
      </c>
      <c r="U679" s="36">
        <v>614430</v>
      </c>
      <c r="V679" s="36">
        <v>5</v>
      </c>
      <c r="W679" s="36">
        <v>0</v>
      </c>
      <c r="X679" s="36">
        <v>0</v>
      </c>
      <c r="Y679" s="48">
        <v>33000000</v>
      </c>
      <c r="Z679" s="36">
        <v>232</v>
      </c>
      <c r="AA679" s="36">
        <v>0</v>
      </c>
      <c r="AB679" s="36">
        <v>0</v>
      </c>
      <c r="AC679" s="36">
        <v>46770300</v>
      </c>
      <c r="AD679" s="36">
        <v>435</v>
      </c>
      <c r="AF679" s="47">
        <f t="shared" si="10"/>
        <v>13770300</v>
      </c>
    </row>
    <row r="680" spans="1:32" x14ac:dyDescent="0.3">
      <c r="A680" s="46" t="s">
        <v>758</v>
      </c>
      <c r="B680" s="46" t="str">
        <f>IFERROR(VLOOKUP($H680,매장구분!$B:$Z,2,0),"")</f>
        <v>파트너채널팀</v>
      </c>
      <c r="C680" s="46" t="str">
        <f>IFERROR(VLOOKUP($H680,매장구분!$B:$Z,3,0),"")</f>
        <v>국내</v>
      </c>
      <c r="D680" s="46" t="str">
        <f>IFERROR(VLOOKUP($H680,매장구분!$B:$Z,5,0),"")</f>
        <v>백화점</v>
      </c>
      <c r="E680" s="46" t="str">
        <f>IFERROR(VLOOKUP($H680,매장구분!$B:$Z,9,0),"")</f>
        <v>AK원주</v>
      </c>
      <c r="G680" s="36" t="s">
        <v>396</v>
      </c>
      <c r="H680" s="36" t="s">
        <v>397</v>
      </c>
      <c r="I680" s="36" t="s">
        <v>169</v>
      </c>
      <c r="J680" s="36" t="s">
        <v>175</v>
      </c>
      <c r="K680" s="36" t="s">
        <v>170</v>
      </c>
      <c r="L680" s="36" t="s">
        <v>171</v>
      </c>
      <c r="M680" s="36" t="s">
        <v>77</v>
      </c>
      <c r="N680" s="36" t="s">
        <v>172</v>
      </c>
      <c r="O680" s="36">
        <v>22101200</v>
      </c>
      <c r="P680" s="36">
        <v>210</v>
      </c>
      <c r="Q680" s="36">
        <v>72000</v>
      </c>
      <c r="R680" s="36">
        <v>2</v>
      </c>
      <c r="S680" s="36">
        <v>0</v>
      </c>
      <c r="T680" s="36">
        <v>0</v>
      </c>
      <c r="U680" s="36">
        <v>0</v>
      </c>
      <c r="V680" s="36">
        <v>0</v>
      </c>
      <c r="W680" s="36">
        <v>0</v>
      </c>
      <c r="X680" s="36">
        <v>0</v>
      </c>
      <c r="Y680" s="48">
        <v>0</v>
      </c>
      <c r="Z680" s="36">
        <v>0</v>
      </c>
      <c r="AA680" s="36">
        <v>0</v>
      </c>
      <c r="AB680" s="36">
        <v>0</v>
      </c>
      <c r="AC680" s="36">
        <v>22173200</v>
      </c>
      <c r="AD680" s="36">
        <v>212</v>
      </c>
      <c r="AF680" s="47">
        <f t="shared" si="10"/>
        <v>22173200</v>
      </c>
    </row>
    <row r="681" spans="1:32" x14ac:dyDescent="0.3">
      <c r="A681" s="46" t="s">
        <v>758</v>
      </c>
      <c r="B681" s="46" t="str">
        <f>IFERROR(VLOOKUP($H681,매장구분!$B:$Z,2,0),"")</f>
        <v>파트너채널팀</v>
      </c>
      <c r="C681" s="46" t="str">
        <f>IFERROR(VLOOKUP($H681,매장구분!$B:$Z,3,0),"")</f>
        <v>면세</v>
      </c>
      <c r="D681" s="46" t="str">
        <f>IFERROR(VLOOKUP($H681,매장구분!$B:$Z,5,0),"")</f>
        <v>면세</v>
      </c>
      <c r="E681" s="46" t="str">
        <f>IFERROR(VLOOKUP($H681,매장구분!$B:$Z,9,0),"")</f>
        <v>롯데면세소공</v>
      </c>
      <c r="G681" s="36" t="s">
        <v>384</v>
      </c>
      <c r="H681" s="36" t="s">
        <v>385</v>
      </c>
      <c r="I681" s="36" t="s">
        <v>169</v>
      </c>
      <c r="J681" s="36" t="s">
        <v>175</v>
      </c>
      <c r="K681" s="36" t="s">
        <v>170</v>
      </c>
      <c r="L681" s="36" t="s">
        <v>171</v>
      </c>
      <c r="M681" s="36" t="s">
        <v>176</v>
      </c>
      <c r="N681" s="36" t="s">
        <v>177</v>
      </c>
      <c r="O681" s="36">
        <v>102360200</v>
      </c>
      <c r="P681" s="36">
        <v>1727</v>
      </c>
      <c r="Q681" s="36">
        <v>0</v>
      </c>
      <c r="R681" s="36">
        <v>0</v>
      </c>
      <c r="S681" s="36">
        <v>0</v>
      </c>
      <c r="T681" s="36">
        <v>0</v>
      </c>
      <c r="U681" s="36">
        <v>0</v>
      </c>
      <c r="V681" s="36">
        <v>0</v>
      </c>
      <c r="W681" s="36">
        <v>0</v>
      </c>
      <c r="X681" s="36">
        <v>0</v>
      </c>
      <c r="Y681" s="48">
        <v>546611000</v>
      </c>
      <c r="Z681" s="36">
        <v>9560</v>
      </c>
      <c r="AA681" s="36">
        <v>0</v>
      </c>
      <c r="AB681" s="36">
        <v>0</v>
      </c>
      <c r="AC681" s="36">
        <v>648971200</v>
      </c>
      <c r="AD681" s="36">
        <v>11287</v>
      </c>
      <c r="AF681" s="47">
        <f t="shared" si="10"/>
        <v>102360200</v>
      </c>
    </row>
    <row r="682" spans="1:32" x14ac:dyDescent="0.3">
      <c r="A682" s="46" t="s">
        <v>758</v>
      </c>
      <c r="B682" s="46" t="str">
        <f>IFERROR(VLOOKUP($H682,매장구분!$B:$Z,2,0),"")</f>
        <v>리테일채널팀</v>
      </c>
      <c r="C682" s="46" t="str">
        <f>IFERROR(VLOOKUP($H682,매장구분!$B:$Z,3,0),"")</f>
        <v>국내</v>
      </c>
      <c r="D682" s="46" t="str">
        <f>IFERROR(VLOOKUP($H682,매장구분!$B:$Z,5,0),"")</f>
        <v>대리점</v>
      </c>
      <c r="E682" s="46" t="str">
        <f>IFERROR(VLOOKUP($H682,매장구분!$B:$Z,9,0),"")</f>
        <v>광명(대-위)</v>
      </c>
      <c r="G682" s="36" t="s">
        <v>420</v>
      </c>
      <c r="H682" s="36" t="s">
        <v>421</v>
      </c>
      <c r="I682" s="36" t="s">
        <v>169</v>
      </c>
      <c r="J682" s="36" t="s">
        <v>79</v>
      </c>
      <c r="K682" s="36" t="s">
        <v>170</v>
      </c>
      <c r="L682" s="36" t="s">
        <v>171</v>
      </c>
      <c r="M682" s="36" t="s">
        <v>196</v>
      </c>
      <c r="N682" s="36" t="s">
        <v>197</v>
      </c>
      <c r="O682" s="36">
        <v>9743929</v>
      </c>
      <c r="P682" s="36">
        <v>105</v>
      </c>
      <c r="Q682" s="36">
        <v>0</v>
      </c>
      <c r="R682" s="36">
        <v>0</v>
      </c>
      <c r="S682" s="36">
        <v>0</v>
      </c>
      <c r="T682" s="36">
        <v>0</v>
      </c>
      <c r="U682" s="36">
        <v>1058571</v>
      </c>
      <c r="V682" s="36">
        <v>6</v>
      </c>
      <c r="W682" s="36">
        <v>0</v>
      </c>
      <c r="X682" s="36">
        <v>0</v>
      </c>
      <c r="Y682" s="48">
        <v>40256000</v>
      </c>
      <c r="Z682" s="36">
        <v>871</v>
      </c>
      <c r="AA682" s="36">
        <v>0</v>
      </c>
      <c r="AB682" s="36">
        <v>0</v>
      </c>
      <c r="AC682" s="36">
        <v>51058500</v>
      </c>
      <c r="AD682" s="36">
        <v>982</v>
      </c>
      <c r="AF682" s="47">
        <f t="shared" si="10"/>
        <v>10802500</v>
      </c>
    </row>
    <row r="683" spans="1:32" x14ac:dyDescent="0.3">
      <c r="A683" s="46" t="s">
        <v>758</v>
      </c>
      <c r="B683" s="46" t="str">
        <f>IFERROR(VLOOKUP($H683,매장구분!$B:$Z,2,0),"")</f>
        <v>파트너채널팀</v>
      </c>
      <c r="C683" s="46" t="str">
        <f>IFERROR(VLOOKUP($H683,매장구분!$B:$Z,3,0),"")</f>
        <v>국내</v>
      </c>
      <c r="D683" s="46" t="str">
        <f>IFERROR(VLOOKUP($H683,매장구분!$B:$Z,5,0),"")</f>
        <v>백화점</v>
      </c>
      <c r="E683" s="46" t="str">
        <f>IFERROR(VLOOKUP($H683,매장구분!$B:$Z,9,0),"")</f>
        <v>신세계영등포</v>
      </c>
      <c r="G683" s="36" t="s">
        <v>416</v>
      </c>
      <c r="H683" s="36" t="s">
        <v>417</v>
      </c>
      <c r="I683" s="36" t="s">
        <v>169</v>
      </c>
      <c r="J683" s="36" t="s">
        <v>175</v>
      </c>
      <c r="K683" s="36" t="s">
        <v>170</v>
      </c>
      <c r="L683" s="36" t="s">
        <v>171</v>
      </c>
      <c r="M683" s="36" t="s">
        <v>77</v>
      </c>
      <c r="N683" s="36" t="s">
        <v>172</v>
      </c>
      <c r="O683" s="36">
        <v>10959580</v>
      </c>
      <c r="P683" s="36">
        <v>124</v>
      </c>
      <c r="Q683" s="36">
        <v>0</v>
      </c>
      <c r="R683" s="36">
        <v>0</v>
      </c>
      <c r="S683" s="36">
        <v>0</v>
      </c>
      <c r="T683" s="36">
        <v>0</v>
      </c>
      <c r="U683" s="36">
        <v>872520</v>
      </c>
      <c r="V683" s="36">
        <v>7</v>
      </c>
      <c r="W683" s="36">
        <v>0</v>
      </c>
      <c r="X683" s="36">
        <v>0</v>
      </c>
      <c r="Y683" s="48">
        <v>0</v>
      </c>
      <c r="Z683" s="36">
        <v>0</v>
      </c>
      <c r="AA683" s="36">
        <v>0</v>
      </c>
      <c r="AB683" s="36">
        <v>0</v>
      </c>
      <c r="AC683" s="36">
        <v>11832100</v>
      </c>
      <c r="AD683" s="36">
        <v>131</v>
      </c>
      <c r="AF683" s="47">
        <f t="shared" si="10"/>
        <v>11832100</v>
      </c>
    </row>
    <row r="684" spans="1:32" x14ac:dyDescent="0.3">
      <c r="A684" s="46" t="s">
        <v>758</v>
      </c>
      <c r="B684" s="46" t="str">
        <f>IFERROR(VLOOKUP($H684,매장구분!$B:$Z,2,0),"")</f>
        <v>리테일채널팀</v>
      </c>
      <c r="C684" s="46" t="str">
        <f>IFERROR(VLOOKUP($H684,매장구분!$B:$Z,3,0),"")</f>
        <v>국내</v>
      </c>
      <c r="D684" s="46" t="str">
        <f>IFERROR(VLOOKUP($H684,매장구분!$B:$Z,5,0),"")</f>
        <v>대리점</v>
      </c>
      <c r="E684" s="46" t="str">
        <f>IFERROR(VLOOKUP($H684,매장구분!$B:$Z,9,0),"")</f>
        <v>상주(대-위)</v>
      </c>
      <c r="G684" s="36" t="s">
        <v>388</v>
      </c>
      <c r="H684" s="36" t="s">
        <v>389</v>
      </c>
      <c r="I684" s="36" t="s">
        <v>169</v>
      </c>
      <c r="J684" s="36" t="s">
        <v>79</v>
      </c>
      <c r="K684" s="36" t="s">
        <v>170</v>
      </c>
      <c r="L684" s="36" t="s">
        <v>171</v>
      </c>
      <c r="M684" s="36" t="s">
        <v>196</v>
      </c>
      <c r="N684" s="36" t="s">
        <v>197</v>
      </c>
      <c r="O684" s="36">
        <v>6305882</v>
      </c>
      <c r="P684" s="36">
        <v>63</v>
      </c>
      <c r="Q684" s="36">
        <v>0</v>
      </c>
      <c r="R684" s="36">
        <v>0</v>
      </c>
      <c r="S684" s="36">
        <v>0</v>
      </c>
      <c r="T684" s="36">
        <v>0</v>
      </c>
      <c r="U684" s="36">
        <v>1042418</v>
      </c>
      <c r="V684" s="36">
        <v>7</v>
      </c>
      <c r="W684" s="36">
        <v>0</v>
      </c>
      <c r="X684" s="36">
        <v>0</v>
      </c>
      <c r="Y684" s="48">
        <v>0</v>
      </c>
      <c r="Z684" s="36">
        <v>0</v>
      </c>
      <c r="AA684" s="36">
        <v>0</v>
      </c>
      <c r="AB684" s="36">
        <v>0</v>
      </c>
      <c r="AC684" s="36">
        <v>7348300</v>
      </c>
      <c r="AD684" s="36">
        <v>70</v>
      </c>
      <c r="AF684" s="47">
        <f t="shared" si="10"/>
        <v>7348300</v>
      </c>
    </row>
    <row r="685" spans="1:32" x14ac:dyDescent="0.3">
      <c r="A685" s="46" t="s">
        <v>758</v>
      </c>
      <c r="B685" s="46" t="str">
        <f>IFERROR(VLOOKUP($H685,매장구분!$B:$Z,2,0),"")</f>
        <v>리테일채널팀</v>
      </c>
      <c r="C685" s="46" t="str">
        <f>IFERROR(VLOOKUP($H685,매장구분!$B:$Z,3,0),"")</f>
        <v>국내</v>
      </c>
      <c r="D685" s="46" t="str">
        <f>IFERROR(VLOOKUP($H685,매장구분!$B:$Z,5,0),"")</f>
        <v>대리점</v>
      </c>
      <c r="E685" s="46" t="str">
        <f>IFERROR(VLOOKUP($H685,매장구분!$B:$Z,9,0),"")</f>
        <v>안동(대-위)</v>
      </c>
      <c r="G685" s="36" t="s">
        <v>424</v>
      </c>
      <c r="H685" s="36" t="s">
        <v>425</v>
      </c>
      <c r="I685" s="36" t="s">
        <v>169</v>
      </c>
      <c r="J685" s="36" t="s">
        <v>79</v>
      </c>
      <c r="K685" s="36" t="s">
        <v>170</v>
      </c>
      <c r="L685" s="36" t="s">
        <v>171</v>
      </c>
      <c r="M685" s="36" t="s">
        <v>196</v>
      </c>
      <c r="N685" s="36" t="s">
        <v>197</v>
      </c>
      <c r="O685" s="36">
        <v>6794100</v>
      </c>
      <c r="P685" s="36">
        <v>76</v>
      </c>
      <c r="Q685" s="36">
        <v>0</v>
      </c>
      <c r="R685" s="36">
        <v>0</v>
      </c>
      <c r="S685" s="36">
        <v>0</v>
      </c>
      <c r="T685" s="36">
        <v>0</v>
      </c>
      <c r="U685" s="36">
        <v>1172300</v>
      </c>
      <c r="V685" s="36">
        <v>15</v>
      </c>
      <c r="W685" s="36">
        <v>0</v>
      </c>
      <c r="X685" s="36">
        <v>0</v>
      </c>
      <c r="Y685" s="48">
        <v>0</v>
      </c>
      <c r="Z685" s="36">
        <v>0</v>
      </c>
      <c r="AA685" s="36">
        <v>0</v>
      </c>
      <c r="AB685" s="36">
        <v>0</v>
      </c>
      <c r="AC685" s="36">
        <v>7966400</v>
      </c>
      <c r="AD685" s="36">
        <v>91</v>
      </c>
      <c r="AF685" s="47">
        <f t="shared" si="10"/>
        <v>7966400</v>
      </c>
    </row>
    <row r="686" spans="1:32" x14ac:dyDescent="0.3">
      <c r="A686" s="46" t="s">
        <v>758</v>
      </c>
      <c r="B686" s="46" t="str">
        <f>IFERROR(VLOOKUP($H686,매장구분!$B:$Z,2,0),"")</f>
        <v>리테일채널팀</v>
      </c>
      <c r="C686" s="46" t="str">
        <f>IFERROR(VLOOKUP($H686,매장구분!$B:$Z,3,0),"")</f>
        <v>국내</v>
      </c>
      <c r="D686" s="46" t="str">
        <f>IFERROR(VLOOKUP($H686,매장구분!$B:$Z,5,0),"")</f>
        <v>대리점</v>
      </c>
      <c r="E686" s="46" t="str">
        <f>IFERROR(VLOOKUP($H686,매장구분!$B:$Z,9,0),"")</f>
        <v>남원(대-위)</v>
      </c>
      <c r="G686" s="36" t="s">
        <v>410</v>
      </c>
      <c r="H686" s="36" t="s">
        <v>411</v>
      </c>
      <c r="I686" s="36" t="s">
        <v>169</v>
      </c>
      <c r="J686" s="36" t="s">
        <v>79</v>
      </c>
      <c r="K686" s="36" t="s">
        <v>170</v>
      </c>
      <c r="L686" s="36" t="s">
        <v>171</v>
      </c>
      <c r="M686" s="36" t="s">
        <v>196</v>
      </c>
      <c r="N686" s="36" t="s">
        <v>197</v>
      </c>
      <c r="O686" s="36">
        <v>5365319</v>
      </c>
      <c r="P686" s="36">
        <v>48</v>
      </c>
      <c r="Q686" s="36">
        <v>0</v>
      </c>
      <c r="R686" s="36">
        <v>0</v>
      </c>
      <c r="S686" s="36">
        <v>0</v>
      </c>
      <c r="T686" s="36">
        <v>0</v>
      </c>
      <c r="U686" s="36">
        <v>0</v>
      </c>
      <c r="V686" s="36">
        <v>0</v>
      </c>
      <c r="W686" s="36">
        <v>0</v>
      </c>
      <c r="X686" s="36">
        <v>0</v>
      </c>
      <c r="Y686" s="48">
        <v>0</v>
      </c>
      <c r="Z686" s="36">
        <v>0</v>
      </c>
      <c r="AA686" s="36">
        <v>0</v>
      </c>
      <c r="AB686" s="36">
        <v>0</v>
      </c>
      <c r="AC686" s="36">
        <v>5365319</v>
      </c>
      <c r="AD686" s="36">
        <v>48</v>
      </c>
      <c r="AF686" s="47">
        <f t="shared" si="10"/>
        <v>5365319</v>
      </c>
    </row>
    <row r="687" spans="1:32" x14ac:dyDescent="0.3">
      <c r="A687" s="46" t="s">
        <v>758</v>
      </c>
      <c r="B687" s="46" t="str">
        <f>IFERROR(VLOOKUP($H687,매장구분!$B:$Z,2,0),"")</f>
        <v>파트너채널팀</v>
      </c>
      <c r="C687" s="46" t="str">
        <f>IFERROR(VLOOKUP($H687,매장구분!$B:$Z,3,0),"")</f>
        <v>국내</v>
      </c>
      <c r="D687" s="46" t="str">
        <f>IFERROR(VLOOKUP($H687,매장구분!$B:$Z,5,0),"")</f>
        <v>백화점</v>
      </c>
      <c r="E687" s="46" t="str">
        <f>IFERROR(VLOOKUP($H687,매장구분!$B:$Z,9,0),"")</f>
        <v>롯데평촌</v>
      </c>
      <c r="G687" s="36" t="s">
        <v>412</v>
      </c>
      <c r="H687" s="36" t="s">
        <v>413</v>
      </c>
      <c r="I687" s="36" t="s">
        <v>169</v>
      </c>
      <c r="J687" s="36" t="s">
        <v>175</v>
      </c>
      <c r="K687" s="36" t="s">
        <v>170</v>
      </c>
      <c r="L687" s="36" t="s">
        <v>171</v>
      </c>
      <c r="M687" s="36" t="s">
        <v>77</v>
      </c>
      <c r="N687" s="36" t="s">
        <v>172</v>
      </c>
      <c r="O687" s="36">
        <v>11894350</v>
      </c>
      <c r="P687" s="36">
        <v>143</v>
      </c>
      <c r="Q687" s="36">
        <v>245000</v>
      </c>
      <c r="R687" s="36">
        <v>5</v>
      </c>
      <c r="S687" s="36">
        <v>0</v>
      </c>
      <c r="T687" s="36">
        <v>0</v>
      </c>
      <c r="U687" s="36">
        <v>4940550</v>
      </c>
      <c r="V687" s="36">
        <v>27</v>
      </c>
      <c r="W687" s="36">
        <v>0</v>
      </c>
      <c r="X687" s="36">
        <v>0</v>
      </c>
      <c r="Y687" s="48">
        <v>15261000</v>
      </c>
      <c r="Z687" s="36">
        <v>106</v>
      </c>
      <c r="AA687" s="36">
        <v>0</v>
      </c>
      <c r="AB687" s="36">
        <v>0</v>
      </c>
      <c r="AC687" s="36">
        <v>32340900</v>
      </c>
      <c r="AD687" s="36">
        <v>281</v>
      </c>
      <c r="AF687" s="47">
        <f t="shared" si="10"/>
        <v>17079900</v>
      </c>
    </row>
    <row r="688" spans="1:32" x14ac:dyDescent="0.3">
      <c r="A688" s="46" t="s">
        <v>758</v>
      </c>
      <c r="B688" s="46" t="str">
        <f>IFERROR(VLOOKUP($H688,매장구분!$B:$Z,2,0),"")</f>
        <v>파트너채널팀</v>
      </c>
      <c r="C688" s="46" t="str">
        <f>IFERROR(VLOOKUP($H688,매장구분!$B:$Z,3,0),"")</f>
        <v>국내</v>
      </c>
      <c r="D688" s="46" t="str">
        <f>IFERROR(VLOOKUP($H688,매장구분!$B:$Z,5,0),"")</f>
        <v>백화점</v>
      </c>
      <c r="E688" s="46" t="str">
        <f>IFERROR(VLOOKUP($H688,매장구분!$B:$Z,9,0),"")</f>
        <v>롯데수원</v>
      </c>
      <c r="G688" s="36" t="s">
        <v>402</v>
      </c>
      <c r="H688" s="36" t="s">
        <v>403</v>
      </c>
      <c r="I688" s="36" t="s">
        <v>169</v>
      </c>
      <c r="J688" s="36" t="s">
        <v>175</v>
      </c>
      <c r="K688" s="36" t="s">
        <v>170</v>
      </c>
      <c r="L688" s="36" t="s">
        <v>171</v>
      </c>
      <c r="M688" s="36" t="s">
        <v>77</v>
      </c>
      <c r="N688" s="36" t="s">
        <v>172</v>
      </c>
      <c r="O688" s="36">
        <v>38172100</v>
      </c>
      <c r="P688" s="36">
        <v>306</v>
      </c>
      <c r="Q688" s="36">
        <v>-2023500</v>
      </c>
      <c r="R688" s="36">
        <v>22</v>
      </c>
      <c r="S688" s="36">
        <v>0</v>
      </c>
      <c r="T688" s="36">
        <v>0</v>
      </c>
      <c r="U688" s="36">
        <v>1648700</v>
      </c>
      <c r="V688" s="36">
        <v>-3</v>
      </c>
      <c r="W688" s="36">
        <v>0</v>
      </c>
      <c r="X688" s="36">
        <v>0</v>
      </c>
      <c r="Y688" s="48">
        <v>0</v>
      </c>
      <c r="Z688" s="36">
        <v>0</v>
      </c>
      <c r="AA688" s="36">
        <v>4427300</v>
      </c>
      <c r="AB688" s="36">
        <v>17</v>
      </c>
      <c r="AC688" s="36">
        <v>42224600</v>
      </c>
      <c r="AD688" s="36">
        <v>342</v>
      </c>
      <c r="AF688" s="47">
        <f t="shared" si="10"/>
        <v>42224600</v>
      </c>
    </row>
    <row r="689" spans="1:32" x14ac:dyDescent="0.3">
      <c r="A689" s="46" t="s">
        <v>758</v>
      </c>
      <c r="B689" s="46" t="str">
        <f>IFERROR(VLOOKUP($H689,매장구분!$B:$Z,2,0),"")</f>
        <v>리테일채널팀</v>
      </c>
      <c r="C689" s="46" t="str">
        <f>IFERROR(VLOOKUP($H689,매장구분!$B:$Z,3,0),"")</f>
        <v>국내</v>
      </c>
      <c r="D689" s="46" t="str">
        <f>IFERROR(VLOOKUP($H689,매장구분!$B:$Z,5,0),"")</f>
        <v>대리점</v>
      </c>
      <c r="E689" s="46" t="str">
        <f>IFERROR(VLOOKUP($H689,매장구분!$B:$Z,9,0),"")</f>
        <v>김포장기(대-위)</v>
      </c>
      <c r="G689" s="36" t="s">
        <v>400</v>
      </c>
      <c r="H689" s="36" t="s">
        <v>401</v>
      </c>
      <c r="I689" s="36" t="s">
        <v>169</v>
      </c>
      <c r="J689" s="36" t="s">
        <v>79</v>
      </c>
      <c r="K689" s="36" t="s">
        <v>170</v>
      </c>
      <c r="L689" s="36" t="s">
        <v>171</v>
      </c>
      <c r="M689" s="36" t="s">
        <v>196</v>
      </c>
      <c r="N689" s="36" t="s">
        <v>197</v>
      </c>
      <c r="O689" s="36">
        <v>23443300</v>
      </c>
      <c r="P689" s="36">
        <v>204</v>
      </c>
      <c r="Q689" s="36">
        <v>0</v>
      </c>
      <c r="R689" s="36">
        <v>0</v>
      </c>
      <c r="S689" s="36">
        <v>0</v>
      </c>
      <c r="T689" s="36">
        <v>0</v>
      </c>
      <c r="U689" s="36">
        <v>417000</v>
      </c>
      <c r="V689" s="36">
        <v>3</v>
      </c>
      <c r="W689" s="36">
        <v>0</v>
      </c>
      <c r="X689" s="36">
        <v>0</v>
      </c>
      <c r="Y689" s="48">
        <v>0</v>
      </c>
      <c r="Z689" s="36">
        <v>0</v>
      </c>
      <c r="AA689" s="36">
        <v>0</v>
      </c>
      <c r="AB689" s="36">
        <v>0</v>
      </c>
      <c r="AC689" s="36">
        <v>23860300</v>
      </c>
      <c r="AD689" s="36">
        <v>207</v>
      </c>
      <c r="AF689" s="47">
        <f t="shared" si="10"/>
        <v>23860300</v>
      </c>
    </row>
    <row r="690" spans="1:32" x14ac:dyDescent="0.3">
      <c r="A690" s="46" t="s">
        <v>758</v>
      </c>
      <c r="B690" s="46" t="str">
        <f>IFERROR(VLOOKUP($H690,매장구분!$B:$Z,2,0),"")</f>
        <v>리테일채널팀</v>
      </c>
      <c r="C690" s="46" t="str">
        <f>IFERROR(VLOOKUP($H690,매장구분!$B:$Z,3,0),"")</f>
        <v>국내</v>
      </c>
      <c r="D690" s="46" t="str">
        <f>IFERROR(VLOOKUP($H690,매장구분!$B:$Z,5,0),"")</f>
        <v>대리점</v>
      </c>
      <c r="E690" s="46" t="str">
        <f>IFERROR(VLOOKUP($H690,매장구분!$B:$Z,9,0),"")</f>
        <v>홍성(대-위)</v>
      </c>
      <c r="G690" s="36" t="s">
        <v>418</v>
      </c>
      <c r="H690" s="36" t="s">
        <v>419</v>
      </c>
      <c r="I690" s="36" t="s">
        <v>169</v>
      </c>
      <c r="J690" s="36" t="s">
        <v>79</v>
      </c>
      <c r="K690" s="36" t="s">
        <v>170</v>
      </c>
      <c r="L690" s="36" t="s">
        <v>171</v>
      </c>
      <c r="M690" s="36" t="s">
        <v>196</v>
      </c>
      <c r="N690" s="36" t="s">
        <v>197</v>
      </c>
      <c r="O690" s="36">
        <v>6822075</v>
      </c>
      <c r="P690" s="36">
        <v>71</v>
      </c>
      <c r="Q690" s="36">
        <v>0</v>
      </c>
      <c r="R690" s="36">
        <v>0</v>
      </c>
      <c r="S690" s="36">
        <v>0</v>
      </c>
      <c r="T690" s="36">
        <v>0</v>
      </c>
      <c r="U690" s="36">
        <v>1290325</v>
      </c>
      <c r="V690" s="36">
        <v>6</v>
      </c>
      <c r="W690" s="36">
        <v>0</v>
      </c>
      <c r="X690" s="36">
        <v>0</v>
      </c>
      <c r="Y690" s="48">
        <v>0</v>
      </c>
      <c r="Z690" s="36">
        <v>0</v>
      </c>
      <c r="AA690" s="36">
        <v>0</v>
      </c>
      <c r="AB690" s="36">
        <v>0</v>
      </c>
      <c r="AC690" s="36">
        <v>8112400</v>
      </c>
      <c r="AD690" s="36">
        <v>77</v>
      </c>
      <c r="AF690" s="47">
        <f t="shared" si="10"/>
        <v>8112400</v>
      </c>
    </row>
    <row r="691" spans="1:32" x14ac:dyDescent="0.3">
      <c r="A691" s="46" t="s">
        <v>758</v>
      </c>
      <c r="B691" s="46" t="str">
        <f>IFERROR(VLOOKUP($H691,매장구분!$B:$Z,2,0),"")</f>
        <v>리테일채널팀</v>
      </c>
      <c r="C691" s="46" t="str">
        <f>IFERROR(VLOOKUP($H691,매장구분!$B:$Z,3,0),"")</f>
        <v>RF</v>
      </c>
      <c r="D691" s="46" t="str">
        <f>IFERROR(VLOOKUP($H691,매장구분!$B:$Z,5,0),"")</f>
        <v>직영점</v>
      </c>
      <c r="E691" s="46" t="str">
        <f>IFERROR(VLOOKUP($H691,매장구분!$B:$Z,9,0),"")</f>
        <v>홍대(직)</v>
      </c>
      <c r="G691" s="36" t="s">
        <v>386</v>
      </c>
      <c r="H691" s="36" t="s">
        <v>387</v>
      </c>
      <c r="I691" s="36" t="s">
        <v>169</v>
      </c>
      <c r="J691" s="36" t="s">
        <v>180</v>
      </c>
      <c r="K691" s="36" t="s">
        <v>170</v>
      </c>
      <c r="L691" s="36" t="s">
        <v>171</v>
      </c>
      <c r="M691" s="36" t="s">
        <v>196</v>
      </c>
      <c r="N691" s="36" t="s">
        <v>206</v>
      </c>
      <c r="O691" s="36">
        <v>47865600</v>
      </c>
      <c r="P691" s="36">
        <v>648</v>
      </c>
      <c r="Q691" s="36">
        <v>0</v>
      </c>
      <c r="R691" s="36">
        <v>0</v>
      </c>
      <c r="S691" s="36">
        <v>0</v>
      </c>
      <c r="T691" s="36">
        <v>0</v>
      </c>
      <c r="U691" s="36">
        <v>0</v>
      </c>
      <c r="V691" s="36">
        <v>0</v>
      </c>
      <c r="W691" s="36">
        <v>0</v>
      </c>
      <c r="X691" s="36">
        <v>0</v>
      </c>
      <c r="Y691" s="48">
        <v>0</v>
      </c>
      <c r="Z691" s="36">
        <v>0</v>
      </c>
      <c r="AA691" s="36">
        <v>0</v>
      </c>
      <c r="AB691" s="36">
        <v>0</v>
      </c>
      <c r="AC691" s="36">
        <v>47865600</v>
      </c>
      <c r="AD691" s="36">
        <v>648</v>
      </c>
      <c r="AF691" s="47">
        <f t="shared" si="10"/>
        <v>47865600</v>
      </c>
    </row>
    <row r="692" spans="1:32" x14ac:dyDescent="0.3">
      <c r="A692" s="46" t="s">
        <v>758</v>
      </c>
      <c r="B692" s="46" t="str">
        <f>IFERROR(VLOOKUP($H692,매장구분!$B:$Z,2,0),"")</f>
        <v>파트너채널팀</v>
      </c>
      <c r="C692" s="46" t="str">
        <f>IFERROR(VLOOKUP($H692,매장구분!$B:$Z,3,0),"")</f>
        <v>국내</v>
      </c>
      <c r="D692" s="46" t="str">
        <f>IFERROR(VLOOKUP($H692,매장구분!$B:$Z,5,0),"")</f>
        <v>백화점</v>
      </c>
      <c r="E692" s="46" t="str">
        <f>IFERROR(VLOOKUP($H692,매장구분!$B:$Z,9,0),"")</f>
        <v>롯데광주</v>
      </c>
      <c r="G692" s="36" t="s">
        <v>404</v>
      </c>
      <c r="H692" s="36" t="s">
        <v>405</v>
      </c>
      <c r="I692" s="36" t="s">
        <v>169</v>
      </c>
      <c r="J692" s="36" t="s">
        <v>175</v>
      </c>
      <c r="K692" s="36" t="s">
        <v>170</v>
      </c>
      <c r="L692" s="36" t="s">
        <v>171</v>
      </c>
      <c r="M692" s="36" t="s">
        <v>77</v>
      </c>
      <c r="N692" s="36" t="s">
        <v>172</v>
      </c>
      <c r="O692" s="36">
        <v>6316460</v>
      </c>
      <c r="P692" s="36">
        <v>73</v>
      </c>
      <c r="Q692" s="36">
        <v>0</v>
      </c>
      <c r="R692" s="36">
        <v>0</v>
      </c>
      <c r="S692" s="36">
        <v>0</v>
      </c>
      <c r="T692" s="36">
        <v>0</v>
      </c>
      <c r="U692" s="36">
        <v>1911540</v>
      </c>
      <c r="V692" s="36">
        <v>11</v>
      </c>
      <c r="W692" s="36">
        <v>0</v>
      </c>
      <c r="X692" s="36">
        <v>0</v>
      </c>
      <c r="Y692" s="48">
        <v>3436000</v>
      </c>
      <c r="Z692" s="36">
        <v>25</v>
      </c>
      <c r="AA692" s="36">
        <v>0</v>
      </c>
      <c r="AB692" s="36">
        <v>0</v>
      </c>
      <c r="AC692" s="36">
        <v>11664000</v>
      </c>
      <c r="AD692" s="36">
        <v>109</v>
      </c>
      <c r="AF692" s="47">
        <f t="shared" si="10"/>
        <v>8228000</v>
      </c>
    </row>
    <row r="693" spans="1:32" x14ac:dyDescent="0.3">
      <c r="A693" s="46" t="s">
        <v>758</v>
      </c>
      <c r="B693" s="46" t="str">
        <f>IFERROR(VLOOKUP($H693,매장구분!$B:$Z,2,0),"")</f>
        <v>파트너채널팀</v>
      </c>
      <c r="C693" s="46" t="str">
        <f>IFERROR(VLOOKUP($H693,매장구분!$B:$Z,3,0),"")</f>
        <v>국내</v>
      </c>
      <c r="D693" s="46" t="str">
        <f>IFERROR(VLOOKUP($H693,매장구분!$B:$Z,5,0),"")</f>
        <v>백화점</v>
      </c>
      <c r="E693" s="46" t="str">
        <f>IFERROR(VLOOKUP($H693,매장구분!$B:$Z,9,0),"")</f>
        <v>엔터식스안양</v>
      </c>
      <c r="G693" s="36" t="s">
        <v>414</v>
      </c>
      <c r="H693" s="36" t="s">
        <v>415</v>
      </c>
      <c r="I693" s="36" t="s">
        <v>169</v>
      </c>
      <c r="J693" s="36" t="s">
        <v>175</v>
      </c>
      <c r="K693" s="36" t="s">
        <v>170</v>
      </c>
      <c r="L693" s="36" t="s">
        <v>171</v>
      </c>
      <c r="M693" s="36" t="s">
        <v>188</v>
      </c>
      <c r="N693" s="36" t="s">
        <v>317</v>
      </c>
      <c r="O693" s="36">
        <v>16997350</v>
      </c>
      <c r="P693" s="36">
        <v>227</v>
      </c>
      <c r="Q693" s="36">
        <v>1179000</v>
      </c>
      <c r="R693" s="36">
        <v>20</v>
      </c>
      <c r="S693" s="36">
        <v>0</v>
      </c>
      <c r="T693" s="36">
        <v>0</v>
      </c>
      <c r="U693" s="36">
        <v>691550</v>
      </c>
      <c r="V693" s="36">
        <v>5</v>
      </c>
      <c r="W693" s="36">
        <v>0</v>
      </c>
      <c r="X693" s="36">
        <v>0</v>
      </c>
      <c r="Y693" s="48">
        <v>0</v>
      </c>
      <c r="Z693" s="36">
        <v>0</v>
      </c>
      <c r="AA693" s="36">
        <v>0</v>
      </c>
      <c r="AB693" s="36">
        <v>0</v>
      </c>
      <c r="AC693" s="36">
        <v>18867900</v>
      </c>
      <c r="AD693" s="36">
        <v>252</v>
      </c>
      <c r="AF693" s="47">
        <f t="shared" si="10"/>
        <v>18867900</v>
      </c>
    </row>
    <row r="694" spans="1:32" x14ac:dyDescent="0.3">
      <c r="A694" s="46" t="s">
        <v>758</v>
      </c>
      <c r="B694" s="46" t="str">
        <f>IFERROR(VLOOKUP($H694,매장구분!$B:$Z,2,0),"")</f>
        <v>리테일채널팀</v>
      </c>
      <c r="C694" s="46" t="str">
        <f>IFERROR(VLOOKUP($H694,매장구분!$B:$Z,3,0),"")</f>
        <v>국내</v>
      </c>
      <c r="D694" s="46" t="str">
        <f>IFERROR(VLOOKUP($H694,매장구분!$B:$Z,5,0),"")</f>
        <v>상설(위탁)</v>
      </c>
      <c r="E694" s="46" t="str">
        <f>IFERROR(VLOOKUP($H694,매장구분!$B:$Z,9,0),"")</f>
        <v>신세계아울렛파주(상-위)</v>
      </c>
      <c r="G694" s="36" t="s">
        <v>432</v>
      </c>
      <c r="H694" s="36" t="s">
        <v>433</v>
      </c>
      <c r="I694" s="36" t="s">
        <v>169</v>
      </c>
      <c r="J694" s="36" t="s">
        <v>79</v>
      </c>
      <c r="K694" s="36" t="s">
        <v>170</v>
      </c>
      <c r="L694" s="36" t="s">
        <v>171</v>
      </c>
      <c r="M694" s="36" t="s">
        <v>219</v>
      </c>
      <c r="N694" s="36" t="s">
        <v>219</v>
      </c>
      <c r="O694" s="36">
        <v>3958000</v>
      </c>
      <c r="P694" s="36">
        <v>95</v>
      </c>
      <c r="Q694" s="36">
        <v>0</v>
      </c>
      <c r="R694" s="36">
        <v>0</v>
      </c>
      <c r="S694" s="36">
        <v>0</v>
      </c>
      <c r="T694" s="36">
        <v>0</v>
      </c>
      <c r="U694" s="36">
        <v>0</v>
      </c>
      <c r="V694" s="36">
        <v>0</v>
      </c>
      <c r="W694" s="36">
        <v>0</v>
      </c>
      <c r="X694" s="36">
        <v>0</v>
      </c>
      <c r="Y694" s="48">
        <v>0</v>
      </c>
      <c r="Z694" s="36">
        <v>0</v>
      </c>
      <c r="AA694" s="36">
        <v>0</v>
      </c>
      <c r="AB694" s="36">
        <v>0</v>
      </c>
      <c r="AC694" s="36">
        <v>3958000</v>
      </c>
      <c r="AD694" s="36">
        <v>95</v>
      </c>
      <c r="AF694" s="47">
        <f t="shared" si="10"/>
        <v>3958000</v>
      </c>
    </row>
    <row r="695" spans="1:32" x14ac:dyDescent="0.3">
      <c r="A695" s="46" t="s">
        <v>758</v>
      </c>
      <c r="B695" s="46" t="str">
        <f>IFERROR(VLOOKUP($H695,매장구분!$B:$Z,2,0),"")</f>
        <v>파트너채널팀</v>
      </c>
      <c r="C695" s="46" t="str">
        <f>IFERROR(VLOOKUP($H695,매장구분!$B:$Z,3,0),"")</f>
        <v>국내</v>
      </c>
      <c r="D695" s="46" t="str">
        <f>IFERROR(VLOOKUP($H695,매장구분!$B:$Z,5,0),"")</f>
        <v>백화점</v>
      </c>
      <c r="E695" s="46" t="str">
        <f>IFERROR(VLOOKUP($H695,매장구분!$B:$Z,9,0),"")</f>
        <v>더현대서울</v>
      </c>
      <c r="G695" s="36" t="s">
        <v>422</v>
      </c>
      <c r="H695" s="36" t="s">
        <v>423</v>
      </c>
      <c r="I695" s="36" t="s">
        <v>169</v>
      </c>
      <c r="J695" s="36" t="s">
        <v>175</v>
      </c>
      <c r="K695" s="36" t="s">
        <v>170</v>
      </c>
      <c r="L695" s="36" t="s">
        <v>171</v>
      </c>
      <c r="M695" s="36" t="s">
        <v>188</v>
      </c>
      <c r="N695" s="36" t="s">
        <v>189</v>
      </c>
      <c r="O695" s="36">
        <v>40036600</v>
      </c>
      <c r="P695" s="36">
        <v>455</v>
      </c>
      <c r="Q695" s="36">
        <v>0</v>
      </c>
      <c r="R695" s="36">
        <v>0</v>
      </c>
      <c r="S695" s="36">
        <v>0</v>
      </c>
      <c r="T695" s="36">
        <v>0</v>
      </c>
      <c r="U695" s="36">
        <v>2249300</v>
      </c>
      <c r="V695" s="36">
        <v>11</v>
      </c>
      <c r="W695" s="36">
        <v>0</v>
      </c>
      <c r="X695" s="36">
        <v>0</v>
      </c>
      <c r="Y695" s="48">
        <v>0</v>
      </c>
      <c r="Z695" s="36">
        <v>0</v>
      </c>
      <c r="AA695" s="36">
        <v>0</v>
      </c>
      <c r="AB695" s="36">
        <v>0</v>
      </c>
      <c r="AC695" s="36">
        <v>42285900</v>
      </c>
      <c r="AD695" s="36">
        <v>466</v>
      </c>
      <c r="AF695" s="47">
        <f t="shared" si="10"/>
        <v>42285900</v>
      </c>
    </row>
    <row r="696" spans="1:32" x14ac:dyDescent="0.3">
      <c r="A696" s="46" t="s">
        <v>758</v>
      </c>
      <c r="B696" s="46" t="str">
        <f>IFERROR(VLOOKUP($H696,매장구분!$B:$Z,2,0),"")</f>
        <v>파트너채널팀</v>
      </c>
      <c r="C696" s="46" t="str">
        <f>IFERROR(VLOOKUP($H696,매장구분!$B:$Z,3,0),"")</f>
        <v>국내</v>
      </c>
      <c r="D696" s="46" t="str">
        <f>IFERROR(VLOOKUP($H696,매장구분!$B:$Z,5,0),"")</f>
        <v>백화점</v>
      </c>
      <c r="E696" s="46" t="str">
        <f>IFERROR(VLOOKUP($H696,매장구분!$B:$Z,9,0),"")</f>
        <v>신세계마산</v>
      </c>
      <c r="G696" s="36" t="s">
        <v>426</v>
      </c>
      <c r="H696" s="36" t="s">
        <v>427</v>
      </c>
      <c r="I696" s="36" t="s">
        <v>169</v>
      </c>
      <c r="J696" s="36" t="s">
        <v>175</v>
      </c>
      <c r="K696" s="36" t="s">
        <v>170</v>
      </c>
      <c r="L696" s="36" t="s">
        <v>171</v>
      </c>
      <c r="M696" s="36" t="s">
        <v>77</v>
      </c>
      <c r="N696" s="36" t="s">
        <v>172</v>
      </c>
      <c r="O696" s="36">
        <v>5856040</v>
      </c>
      <c r="P696" s="36">
        <v>56</v>
      </c>
      <c r="Q696" s="36">
        <v>0</v>
      </c>
      <c r="R696" s="36">
        <v>0</v>
      </c>
      <c r="S696" s="36">
        <v>0</v>
      </c>
      <c r="T696" s="36">
        <v>0</v>
      </c>
      <c r="U696" s="36">
        <v>1020260</v>
      </c>
      <c r="V696" s="36">
        <v>6</v>
      </c>
      <c r="W696" s="36">
        <v>0</v>
      </c>
      <c r="X696" s="36">
        <v>0</v>
      </c>
      <c r="Y696" s="48">
        <v>0</v>
      </c>
      <c r="Z696" s="36">
        <v>0</v>
      </c>
      <c r="AA696" s="36">
        <v>0</v>
      </c>
      <c r="AB696" s="36">
        <v>0</v>
      </c>
      <c r="AC696" s="36">
        <v>6876300</v>
      </c>
      <c r="AD696" s="36">
        <v>62</v>
      </c>
      <c r="AF696" s="47">
        <f t="shared" si="10"/>
        <v>6876300</v>
      </c>
    </row>
    <row r="697" spans="1:32" x14ac:dyDescent="0.3">
      <c r="A697" s="46" t="s">
        <v>758</v>
      </c>
      <c r="B697" s="46" t="str">
        <f>IFERROR(VLOOKUP($H697,매장구분!$B:$Z,2,0),"")</f>
        <v>리테일채널팀</v>
      </c>
      <c r="C697" s="46" t="str">
        <f>IFERROR(VLOOKUP($H697,매장구분!$B:$Z,3,0),"")</f>
        <v>국내</v>
      </c>
      <c r="D697" s="46" t="str">
        <f>IFERROR(VLOOKUP($H697,매장구분!$B:$Z,5,0),"")</f>
        <v>직영점</v>
      </c>
      <c r="E697" s="46" t="str">
        <f>IFERROR(VLOOKUP($H697,매장구분!$B:$Z,9,0),"")</f>
        <v>스타필드하남(직)</v>
      </c>
      <c r="G697" s="36" t="s">
        <v>394</v>
      </c>
      <c r="H697" s="36" t="s">
        <v>395</v>
      </c>
      <c r="I697" s="36" t="s">
        <v>169</v>
      </c>
      <c r="J697" s="36" t="s">
        <v>180</v>
      </c>
      <c r="K697" s="36" t="s">
        <v>170</v>
      </c>
      <c r="L697" s="36" t="s">
        <v>171</v>
      </c>
      <c r="M697" s="36" t="s">
        <v>188</v>
      </c>
      <c r="N697" s="36" t="s">
        <v>189</v>
      </c>
      <c r="O697" s="36">
        <v>25553620</v>
      </c>
      <c r="P697" s="36">
        <v>282</v>
      </c>
      <c r="Q697" s="36">
        <v>68491000</v>
      </c>
      <c r="R697" s="36">
        <v>519</v>
      </c>
      <c r="S697" s="36">
        <v>0</v>
      </c>
      <c r="T697" s="36">
        <v>0</v>
      </c>
      <c r="U697" s="36">
        <v>1163480</v>
      </c>
      <c r="V697" s="36">
        <v>7</v>
      </c>
      <c r="W697" s="36">
        <v>0</v>
      </c>
      <c r="X697" s="36">
        <v>0</v>
      </c>
      <c r="Y697" s="48">
        <v>0</v>
      </c>
      <c r="Z697" s="36">
        <v>0</v>
      </c>
      <c r="AA697" s="36">
        <v>-558000</v>
      </c>
      <c r="AB697" s="36">
        <v>-2</v>
      </c>
      <c r="AC697" s="36">
        <v>94650100</v>
      </c>
      <c r="AD697" s="36">
        <v>806</v>
      </c>
      <c r="AF697" s="47">
        <f t="shared" si="10"/>
        <v>94650100</v>
      </c>
    </row>
    <row r="698" spans="1:32" x14ac:dyDescent="0.3">
      <c r="A698" s="46" t="s">
        <v>758</v>
      </c>
      <c r="B698" s="46" t="str">
        <f>IFERROR(VLOOKUP($H698,매장구분!$B:$Z,2,0),"")</f>
        <v>리테일채널팀</v>
      </c>
      <c r="C698" s="46" t="str">
        <f>IFERROR(VLOOKUP($H698,매장구분!$B:$Z,3,0),"")</f>
        <v>RF</v>
      </c>
      <c r="D698" s="46" t="str">
        <f>IFERROR(VLOOKUP($H698,매장구분!$B:$Z,5,0),"")</f>
        <v>직영점</v>
      </c>
      <c r="E698" s="46" t="str">
        <f>IFERROR(VLOOKUP($H698,매장구분!$B:$Z,9,0),"")</f>
        <v>가로수길(직)</v>
      </c>
      <c r="G698" s="36" t="s">
        <v>398</v>
      </c>
      <c r="H698" s="36" t="s">
        <v>399</v>
      </c>
      <c r="I698" s="36" t="s">
        <v>169</v>
      </c>
      <c r="J698" s="36" t="s">
        <v>180</v>
      </c>
      <c r="K698" s="36" t="s">
        <v>170</v>
      </c>
      <c r="L698" s="36" t="s">
        <v>171</v>
      </c>
      <c r="M698" s="36" t="s">
        <v>196</v>
      </c>
      <c r="N698" s="36" t="s">
        <v>206</v>
      </c>
      <c r="O698" s="36">
        <v>29585600</v>
      </c>
      <c r="P698" s="36">
        <v>345</v>
      </c>
      <c r="Q698" s="36">
        <v>0</v>
      </c>
      <c r="R698" s="36">
        <v>0</v>
      </c>
      <c r="S698" s="36">
        <v>0</v>
      </c>
      <c r="T698" s="36">
        <v>0</v>
      </c>
      <c r="U698" s="36">
        <v>0</v>
      </c>
      <c r="V698" s="36">
        <v>0</v>
      </c>
      <c r="W698" s="36">
        <v>0</v>
      </c>
      <c r="X698" s="36">
        <v>0</v>
      </c>
      <c r="Y698" s="48">
        <v>0</v>
      </c>
      <c r="Z698" s="36">
        <v>0</v>
      </c>
      <c r="AA698" s="36">
        <v>0</v>
      </c>
      <c r="AB698" s="36">
        <v>0</v>
      </c>
      <c r="AC698" s="36">
        <v>29585600</v>
      </c>
      <c r="AD698" s="36">
        <v>345</v>
      </c>
      <c r="AF698" s="47">
        <f t="shared" si="10"/>
        <v>29585600</v>
      </c>
    </row>
    <row r="699" spans="1:32" x14ac:dyDescent="0.3">
      <c r="A699" s="46" t="s">
        <v>758</v>
      </c>
      <c r="B699" s="46" t="str">
        <f>IFERROR(VLOOKUP($H699,매장구분!$B:$Z,2,0),"")</f>
        <v>리테일채널팀</v>
      </c>
      <c r="C699" s="46" t="str">
        <f>IFERROR(VLOOKUP($H699,매장구분!$B:$Z,3,0),"")</f>
        <v>국내</v>
      </c>
      <c r="D699" s="46" t="str">
        <f>IFERROR(VLOOKUP($H699,매장구분!$B:$Z,5,0),"")</f>
        <v>대리점</v>
      </c>
      <c r="E699" s="46" t="str">
        <f>IFERROR(VLOOKUP($H699,매장구분!$B:$Z,9,0),"")</f>
        <v>전주송천(대-위)</v>
      </c>
      <c r="G699" s="36" t="s">
        <v>428</v>
      </c>
      <c r="H699" s="36" t="s">
        <v>429</v>
      </c>
      <c r="I699" s="36" t="s">
        <v>169</v>
      </c>
      <c r="J699" s="36" t="s">
        <v>79</v>
      </c>
      <c r="K699" s="36" t="s">
        <v>170</v>
      </c>
      <c r="L699" s="36" t="s">
        <v>171</v>
      </c>
      <c r="M699" s="36" t="s">
        <v>196</v>
      </c>
      <c r="N699" s="36" t="s">
        <v>197</v>
      </c>
      <c r="O699" s="36">
        <v>11071103</v>
      </c>
      <c r="P699" s="36">
        <v>89</v>
      </c>
      <c r="Q699" s="36">
        <v>0</v>
      </c>
      <c r="R699" s="36">
        <v>0</v>
      </c>
      <c r="S699" s="36">
        <v>0</v>
      </c>
      <c r="T699" s="36">
        <v>0</v>
      </c>
      <c r="U699" s="36">
        <v>596897</v>
      </c>
      <c r="V699" s="36">
        <v>5</v>
      </c>
      <c r="W699" s="36">
        <v>0</v>
      </c>
      <c r="X699" s="36">
        <v>0</v>
      </c>
      <c r="Y699" s="48">
        <v>0</v>
      </c>
      <c r="Z699" s="36">
        <v>0</v>
      </c>
      <c r="AA699" s="36">
        <v>0</v>
      </c>
      <c r="AB699" s="36">
        <v>0</v>
      </c>
      <c r="AC699" s="36">
        <v>11668000</v>
      </c>
      <c r="AD699" s="36">
        <v>94</v>
      </c>
      <c r="AF699" s="47">
        <f t="shared" si="10"/>
        <v>11668000</v>
      </c>
    </row>
    <row r="700" spans="1:32" x14ac:dyDescent="0.3">
      <c r="A700" s="46" t="s">
        <v>758</v>
      </c>
      <c r="B700" s="46" t="str">
        <f>IFERROR(VLOOKUP($H700,매장구분!$B:$Z,2,0),"")</f>
        <v>리테일채널팀</v>
      </c>
      <c r="C700" s="46" t="str">
        <f>IFERROR(VLOOKUP($H700,매장구분!$B:$Z,3,0),"")</f>
        <v>국내</v>
      </c>
      <c r="D700" s="46" t="str">
        <f>IFERROR(VLOOKUP($H700,매장구분!$B:$Z,5,0),"")</f>
        <v>직영점</v>
      </c>
      <c r="E700" s="46" t="str">
        <f>IFERROR(VLOOKUP($H700,매장구분!$B:$Z,9,0),"")</f>
        <v>타임테라스동탄(직)</v>
      </c>
      <c r="G700" s="36" t="s">
        <v>408</v>
      </c>
      <c r="H700" s="36" t="s">
        <v>409</v>
      </c>
      <c r="I700" s="36" t="s">
        <v>169</v>
      </c>
      <c r="J700" s="36" t="s">
        <v>180</v>
      </c>
      <c r="K700" s="36" t="s">
        <v>170</v>
      </c>
      <c r="L700" s="36" t="s">
        <v>171</v>
      </c>
      <c r="M700" s="36" t="s">
        <v>188</v>
      </c>
      <c r="N700" s="36" t="s">
        <v>317</v>
      </c>
      <c r="O700" s="36">
        <v>7353670</v>
      </c>
      <c r="P700" s="36">
        <v>83</v>
      </c>
      <c r="Q700" s="36">
        <v>0</v>
      </c>
      <c r="R700" s="36">
        <v>0</v>
      </c>
      <c r="S700" s="36">
        <v>0</v>
      </c>
      <c r="T700" s="36">
        <v>0</v>
      </c>
      <c r="U700" s="36">
        <v>1769330</v>
      </c>
      <c r="V700" s="36">
        <v>15</v>
      </c>
      <c r="W700" s="36">
        <v>0</v>
      </c>
      <c r="X700" s="36">
        <v>0</v>
      </c>
      <c r="Y700" s="48">
        <v>0</v>
      </c>
      <c r="Z700" s="36">
        <v>0</v>
      </c>
      <c r="AA700" s="36">
        <v>0</v>
      </c>
      <c r="AB700" s="36">
        <v>0</v>
      </c>
      <c r="AC700" s="36">
        <v>9123000</v>
      </c>
      <c r="AD700" s="36">
        <v>98</v>
      </c>
      <c r="AF700" s="47">
        <f t="shared" si="10"/>
        <v>9123000</v>
      </c>
    </row>
    <row r="701" spans="1:32" x14ac:dyDescent="0.3">
      <c r="A701" s="46" t="s">
        <v>758</v>
      </c>
      <c r="B701" s="46" t="str">
        <f>IFERROR(VLOOKUP($H701,매장구분!$B:$Z,2,0),"")</f>
        <v>리테일채널팀</v>
      </c>
      <c r="C701" s="46" t="str">
        <f>IFERROR(VLOOKUP($H701,매장구분!$B:$Z,3,0),"")</f>
        <v>국내</v>
      </c>
      <c r="D701" s="46" t="str">
        <f>IFERROR(VLOOKUP($H701,매장구분!$B:$Z,5,0),"")</f>
        <v>상설(위탁)</v>
      </c>
      <c r="E701" s="46" t="str">
        <f>IFERROR(VLOOKUP($H701,매장구분!$B:$Z,9,0),"")</f>
        <v>롯데아울렛수완(상-위)</v>
      </c>
      <c r="G701" s="36" t="s">
        <v>430</v>
      </c>
      <c r="H701" s="36" t="s">
        <v>431</v>
      </c>
      <c r="I701" s="36" t="s">
        <v>169</v>
      </c>
      <c r="J701" s="36" t="s">
        <v>79</v>
      </c>
      <c r="K701" s="36" t="s">
        <v>170</v>
      </c>
      <c r="L701" s="36" t="s">
        <v>171</v>
      </c>
      <c r="M701" s="36" t="s">
        <v>219</v>
      </c>
      <c r="N701" s="36" t="s">
        <v>219</v>
      </c>
      <c r="O701" s="36">
        <v>2119000</v>
      </c>
      <c r="P701" s="36">
        <v>57</v>
      </c>
      <c r="Q701" s="36">
        <v>0</v>
      </c>
      <c r="R701" s="36">
        <v>0</v>
      </c>
      <c r="S701" s="36">
        <v>0</v>
      </c>
      <c r="T701" s="36">
        <v>0</v>
      </c>
      <c r="U701" s="36">
        <v>0</v>
      </c>
      <c r="V701" s="36">
        <v>0</v>
      </c>
      <c r="W701" s="36">
        <v>0</v>
      </c>
      <c r="X701" s="36">
        <v>0</v>
      </c>
      <c r="Y701" s="48">
        <v>0</v>
      </c>
      <c r="Z701" s="36">
        <v>0</v>
      </c>
      <c r="AA701" s="36">
        <v>0</v>
      </c>
      <c r="AB701" s="36">
        <v>0</v>
      </c>
      <c r="AC701" s="36">
        <v>2119000</v>
      </c>
      <c r="AD701" s="36">
        <v>57</v>
      </c>
      <c r="AF701" s="47">
        <f t="shared" si="10"/>
        <v>2119000</v>
      </c>
    </row>
    <row r="702" spans="1:32" x14ac:dyDescent="0.3">
      <c r="A702" s="46" t="s">
        <v>758</v>
      </c>
      <c r="B702" s="46" t="str">
        <f>IFERROR(VLOOKUP($H702,매장구분!$B:$Z,2,0),"")</f>
        <v>리테일채널팀</v>
      </c>
      <c r="C702" s="46" t="str">
        <f>IFERROR(VLOOKUP($H702,매장구분!$B:$Z,3,0),"")</f>
        <v>국내</v>
      </c>
      <c r="D702" s="46" t="str">
        <f>IFERROR(VLOOKUP($H702,매장구분!$B:$Z,5,0),"")</f>
        <v>상설(위탁)</v>
      </c>
      <c r="E702" s="46" t="str">
        <f>IFERROR(VLOOKUP($H702,매장구분!$B:$Z,9,0),"")</f>
        <v>콜렉티드(상-위)</v>
      </c>
      <c r="G702" s="36" t="s">
        <v>434</v>
      </c>
      <c r="H702" s="36" t="s">
        <v>435</v>
      </c>
      <c r="I702" s="36" t="s">
        <v>169</v>
      </c>
      <c r="J702" s="36" t="s">
        <v>79</v>
      </c>
      <c r="K702" s="36" t="s">
        <v>170</v>
      </c>
      <c r="L702" s="36" t="s">
        <v>171</v>
      </c>
      <c r="M702" s="36" t="s">
        <v>219</v>
      </c>
      <c r="N702" s="36" t="s">
        <v>219</v>
      </c>
      <c r="O702" s="36">
        <v>216000</v>
      </c>
      <c r="P702" s="36">
        <v>6</v>
      </c>
      <c r="Q702" s="36">
        <v>0</v>
      </c>
      <c r="R702" s="36">
        <v>0</v>
      </c>
      <c r="S702" s="36">
        <v>0</v>
      </c>
      <c r="T702" s="36">
        <v>0</v>
      </c>
      <c r="U702" s="36">
        <v>0</v>
      </c>
      <c r="V702" s="36">
        <v>0</v>
      </c>
      <c r="W702" s="36">
        <v>0</v>
      </c>
      <c r="X702" s="36">
        <v>0</v>
      </c>
      <c r="Y702" s="48">
        <v>0</v>
      </c>
      <c r="Z702" s="36">
        <v>0</v>
      </c>
      <c r="AA702" s="36">
        <v>0</v>
      </c>
      <c r="AB702" s="36">
        <v>0</v>
      </c>
      <c r="AC702" s="36">
        <v>216000</v>
      </c>
      <c r="AD702" s="36">
        <v>6</v>
      </c>
      <c r="AF702" s="47">
        <f t="shared" si="10"/>
        <v>216000</v>
      </c>
    </row>
    <row r="703" spans="1:32" x14ac:dyDescent="0.3">
      <c r="A703" s="46" t="s">
        <v>758</v>
      </c>
      <c r="B703" s="46" t="str">
        <f>IFERROR(VLOOKUP($H703,매장구분!$B:$Z,2,0),"")</f>
        <v>파트너채널팀</v>
      </c>
      <c r="C703" s="46" t="str">
        <f>IFERROR(VLOOKUP($H703,매장구분!$B:$Z,3,0),"")</f>
        <v>면세</v>
      </c>
      <c r="D703" s="46" t="str">
        <f>IFERROR(VLOOKUP($H703,매장구분!$B:$Z,5,0),"")</f>
        <v>면세</v>
      </c>
      <c r="E703" s="46" t="str">
        <f>IFERROR(VLOOKUP($H703,매장구분!$B:$Z,9,0),"")</f>
        <v>롯데면세제주</v>
      </c>
      <c r="G703" s="36" t="s">
        <v>464</v>
      </c>
      <c r="H703" s="36" t="s">
        <v>465</v>
      </c>
      <c r="I703" s="36" t="s">
        <v>169</v>
      </c>
      <c r="J703" s="36" t="s">
        <v>175</v>
      </c>
      <c r="K703" s="36" t="s">
        <v>170</v>
      </c>
      <c r="L703" s="36" t="s">
        <v>171</v>
      </c>
      <c r="M703" s="36" t="s">
        <v>176</v>
      </c>
      <c r="N703" s="36" t="s">
        <v>177</v>
      </c>
      <c r="O703" s="36">
        <v>95238200</v>
      </c>
      <c r="P703" s="36">
        <v>1436</v>
      </c>
      <c r="Q703" s="36">
        <v>0</v>
      </c>
      <c r="R703" s="36">
        <v>0</v>
      </c>
      <c r="S703" s="36">
        <v>0</v>
      </c>
      <c r="T703" s="36">
        <v>0</v>
      </c>
      <c r="U703" s="36">
        <v>0</v>
      </c>
      <c r="V703" s="36">
        <v>0</v>
      </c>
      <c r="W703" s="36">
        <v>0</v>
      </c>
      <c r="X703" s="36">
        <v>0</v>
      </c>
      <c r="Y703" s="48">
        <v>0</v>
      </c>
      <c r="Z703" s="36">
        <v>0</v>
      </c>
      <c r="AA703" s="36">
        <v>0</v>
      </c>
      <c r="AB703" s="36">
        <v>0</v>
      </c>
      <c r="AC703" s="36">
        <v>95238200</v>
      </c>
      <c r="AD703" s="36">
        <v>1436</v>
      </c>
      <c r="AF703" s="47">
        <f t="shared" si="10"/>
        <v>95238200</v>
      </c>
    </row>
    <row r="704" spans="1:32" x14ac:dyDescent="0.3">
      <c r="A704" s="46" t="s">
        <v>758</v>
      </c>
      <c r="B704" s="46" t="str">
        <f>IFERROR(VLOOKUP($H704,매장구분!$B:$Z,2,0),"")</f>
        <v>리테일채널팀</v>
      </c>
      <c r="C704" s="46" t="str">
        <f>IFERROR(VLOOKUP($H704,매장구분!$B:$Z,3,0),"")</f>
        <v>국내</v>
      </c>
      <c r="D704" s="46" t="str">
        <f>IFERROR(VLOOKUP($H704,매장구분!$B:$Z,5,0),"")</f>
        <v>대리점</v>
      </c>
      <c r="E704" s="46" t="str">
        <f>IFERROR(VLOOKUP($H704,매장구분!$B:$Z,9,0),"")</f>
        <v>퍼스트빌리지(대-위)</v>
      </c>
      <c r="G704" s="36" t="s">
        <v>440</v>
      </c>
      <c r="H704" s="36" t="s">
        <v>441</v>
      </c>
      <c r="I704" s="36" t="s">
        <v>169</v>
      </c>
      <c r="J704" s="36" t="s">
        <v>79</v>
      </c>
      <c r="K704" s="36" t="s">
        <v>170</v>
      </c>
      <c r="L704" s="36" t="s">
        <v>171</v>
      </c>
      <c r="M704" s="36" t="s">
        <v>196</v>
      </c>
      <c r="N704" s="36" t="s">
        <v>197</v>
      </c>
      <c r="O704" s="36">
        <v>16308550</v>
      </c>
      <c r="P704" s="36">
        <v>170</v>
      </c>
      <c r="Q704" s="36">
        <v>0</v>
      </c>
      <c r="R704" s="36">
        <v>0</v>
      </c>
      <c r="S704" s="36">
        <v>0</v>
      </c>
      <c r="T704" s="36">
        <v>0</v>
      </c>
      <c r="U704" s="36">
        <v>1908450</v>
      </c>
      <c r="V704" s="36">
        <v>12</v>
      </c>
      <c r="W704" s="36">
        <v>0</v>
      </c>
      <c r="X704" s="36">
        <v>0</v>
      </c>
      <c r="Y704" s="48">
        <v>0</v>
      </c>
      <c r="Z704" s="36">
        <v>0</v>
      </c>
      <c r="AA704" s="36">
        <v>0</v>
      </c>
      <c r="AB704" s="36">
        <v>0</v>
      </c>
      <c r="AC704" s="36">
        <v>18217000</v>
      </c>
      <c r="AD704" s="36">
        <v>182</v>
      </c>
      <c r="AF704" s="47">
        <f t="shared" si="10"/>
        <v>18217000</v>
      </c>
    </row>
    <row r="705" spans="1:32" x14ac:dyDescent="0.3">
      <c r="A705" s="46" t="s">
        <v>758</v>
      </c>
      <c r="B705" s="46" t="str">
        <f>IFERROR(VLOOKUP($H705,매장구분!$B:$Z,2,0),"")</f>
        <v>리테일채널팀</v>
      </c>
      <c r="C705" s="46" t="str">
        <f>IFERROR(VLOOKUP($H705,매장구분!$B:$Z,3,0),"")</f>
        <v>국내</v>
      </c>
      <c r="D705" s="46" t="str">
        <f>IFERROR(VLOOKUP($H705,매장구분!$B:$Z,5,0),"")</f>
        <v>대리점</v>
      </c>
      <c r="E705" s="46" t="str">
        <f>IFERROR(VLOOKUP($H705,매장구분!$B:$Z,9,0),"")</f>
        <v>대전은행(대-위)</v>
      </c>
      <c r="G705" s="36" t="s">
        <v>456</v>
      </c>
      <c r="H705" s="36" t="s">
        <v>457</v>
      </c>
      <c r="I705" s="36" t="s">
        <v>169</v>
      </c>
      <c r="J705" s="36" t="s">
        <v>79</v>
      </c>
      <c r="K705" s="36" t="s">
        <v>170</v>
      </c>
      <c r="L705" s="36" t="s">
        <v>171</v>
      </c>
      <c r="M705" s="36" t="s">
        <v>196</v>
      </c>
      <c r="N705" s="36" t="s">
        <v>197</v>
      </c>
      <c r="O705" s="36">
        <v>10538584</v>
      </c>
      <c r="P705" s="36">
        <v>108</v>
      </c>
      <c r="Q705" s="36">
        <v>0</v>
      </c>
      <c r="R705" s="36">
        <v>0</v>
      </c>
      <c r="S705" s="36">
        <v>0</v>
      </c>
      <c r="T705" s="36">
        <v>0</v>
      </c>
      <c r="U705" s="36">
        <v>1051316</v>
      </c>
      <c r="V705" s="36">
        <v>6</v>
      </c>
      <c r="W705" s="36">
        <v>0</v>
      </c>
      <c r="X705" s="36">
        <v>0</v>
      </c>
      <c r="Y705" s="48">
        <v>0</v>
      </c>
      <c r="Z705" s="36">
        <v>0</v>
      </c>
      <c r="AA705" s="36">
        <v>0</v>
      </c>
      <c r="AB705" s="36">
        <v>0</v>
      </c>
      <c r="AC705" s="36">
        <v>11589900</v>
      </c>
      <c r="AD705" s="36">
        <v>114</v>
      </c>
      <c r="AF705" s="47">
        <f t="shared" si="10"/>
        <v>11589900</v>
      </c>
    </row>
    <row r="706" spans="1:32" x14ac:dyDescent="0.3">
      <c r="A706" s="46" t="s">
        <v>758</v>
      </c>
      <c r="B706" s="46" t="str">
        <f>IFERROR(VLOOKUP($H706,매장구분!$B:$Z,2,0),"")</f>
        <v>리테일채널팀</v>
      </c>
      <c r="C706" s="46" t="str">
        <f>IFERROR(VLOOKUP($H706,매장구분!$B:$Z,3,0),"")</f>
        <v>국내</v>
      </c>
      <c r="D706" s="46" t="str">
        <f>IFERROR(VLOOKUP($H706,매장구분!$B:$Z,5,0),"")</f>
        <v>직영점</v>
      </c>
      <c r="E706" s="46" t="str">
        <f>IFERROR(VLOOKUP($H706,매장구분!$B:$Z,9,0),"")</f>
        <v>강남사옥(직)</v>
      </c>
      <c r="G706" s="36" t="s">
        <v>482</v>
      </c>
      <c r="H706" s="36" t="s">
        <v>483</v>
      </c>
      <c r="I706" s="36" t="s">
        <v>169</v>
      </c>
      <c r="J706" s="36" t="s">
        <v>180</v>
      </c>
      <c r="K706" s="36" t="s">
        <v>170</v>
      </c>
      <c r="L706" s="36" t="s">
        <v>171</v>
      </c>
      <c r="M706" s="36" t="s">
        <v>196</v>
      </c>
      <c r="N706" s="36" t="s">
        <v>206</v>
      </c>
      <c r="O706" s="36">
        <v>30230600</v>
      </c>
      <c r="P706" s="36">
        <v>278</v>
      </c>
      <c r="Q706" s="36">
        <v>0</v>
      </c>
      <c r="R706" s="36">
        <v>0</v>
      </c>
      <c r="S706" s="36">
        <v>0</v>
      </c>
      <c r="T706" s="36">
        <v>0</v>
      </c>
      <c r="U706" s="36">
        <v>1241000</v>
      </c>
      <c r="V706" s="36">
        <v>9</v>
      </c>
      <c r="W706" s="36">
        <v>0</v>
      </c>
      <c r="X706" s="36">
        <v>0</v>
      </c>
      <c r="Y706" s="48">
        <v>0</v>
      </c>
      <c r="Z706" s="36">
        <v>0</v>
      </c>
      <c r="AA706" s="36">
        <v>0</v>
      </c>
      <c r="AB706" s="36">
        <v>0</v>
      </c>
      <c r="AC706" s="36">
        <v>31471600</v>
      </c>
      <c r="AD706" s="36">
        <v>287</v>
      </c>
      <c r="AF706" s="47">
        <f t="shared" si="10"/>
        <v>31471600</v>
      </c>
    </row>
    <row r="707" spans="1:32" x14ac:dyDescent="0.3">
      <c r="A707" s="46" t="s">
        <v>758</v>
      </c>
      <c r="B707" s="46" t="str">
        <f>IFERROR(VLOOKUP($H707,매장구분!$B:$Z,2,0),"")</f>
        <v>파트너채널팀</v>
      </c>
      <c r="C707" s="46" t="str">
        <f>IFERROR(VLOOKUP($H707,매장구분!$B:$Z,3,0),"")</f>
        <v>면세</v>
      </c>
      <c r="D707" s="46" t="str">
        <f>IFERROR(VLOOKUP($H707,매장구분!$B:$Z,5,0),"")</f>
        <v>면세</v>
      </c>
      <c r="E707" s="46" t="str">
        <f>IFERROR(VLOOKUP($H707,매장구분!$B:$Z,9,0),"")</f>
        <v>현대면세무역</v>
      </c>
      <c r="G707" s="36" t="s">
        <v>466</v>
      </c>
      <c r="H707" s="36" t="s">
        <v>467</v>
      </c>
      <c r="I707" s="36" t="s">
        <v>169</v>
      </c>
      <c r="J707" s="36" t="s">
        <v>175</v>
      </c>
      <c r="K707" s="36" t="s">
        <v>170</v>
      </c>
      <c r="L707" s="36" t="s">
        <v>171</v>
      </c>
      <c r="M707" s="36" t="s">
        <v>176</v>
      </c>
      <c r="N707" s="36" t="s">
        <v>177</v>
      </c>
      <c r="O707" s="36">
        <v>64785100</v>
      </c>
      <c r="P707" s="36">
        <v>912</v>
      </c>
      <c r="Q707" s="36">
        <v>0</v>
      </c>
      <c r="R707" s="36">
        <v>0</v>
      </c>
      <c r="S707" s="36">
        <v>0</v>
      </c>
      <c r="T707" s="36">
        <v>0</v>
      </c>
      <c r="U707" s="36">
        <v>0</v>
      </c>
      <c r="V707" s="36">
        <v>0</v>
      </c>
      <c r="W707" s="36">
        <v>0</v>
      </c>
      <c r="X707" s="36">
        <v>0</v>
      </c>
      <c r="Y707" s="48">
        <v>199600000</v>
      </c>
      <c r="Z707" s="36">
        <v>5140</v>
      </c>
      <c r="AA707" s="36">
        <v>0</v>
      </c>
      <c r="AB707" s="36">
        <v>0</v>
      </c>
      <c r="AC707" s="36">
        <v>264385100</v>
      </c>
      <c r="AD707" s="36">
        <v>6052</v>
      </c>
      <c r="AF707" s="47">
        <f t="shared" ref="AF707:AF770" si="11">IFERROR(AC707-Y707,"")</f>
        <v>64785100</v>
      </c>
    </row>
    <row r="708" spans="1:32" x14ac:dyDescent="0.3">
      <c r="A708" s="46" t="s">
        <v>758</v>
      </c>
      <c r="B708" s="46" t="str">
        <f>IFERROR(VLOOKUP($H708,매장구분!$B:$Z,2,0),"")</f>
        <v>파트너채널팀</v>
      </c>
      <c r="C708" s="46" t="str">
        <f>IFERROR(VLOOKUP($H708,매장구분!$B:$Z,3,0),"")</f>
        <v>국내</v>
      </c>
      <c r="D708" s="46" t="str">
        <f>IFERROR(VLOOKUP($H708,매장구분!$B:$Z,5,0),"")</f>
        <v>백화점</v>
      </c>
      <c r="E708" s="46" t="str">
        <f>IFERROR(VLOOKUP($H708,매장구분!$B:$Z,9,0),"")</f>
        <v>롯데부산</v>
      </c>
      <c r="G708" s="36" t="s">
        <v>452</v>
      </c>
      <c r="H708" s="36" t="s">
        <v>453</v>
      </c>
      <c r="I708" s="36" t="s">
        <v>169</v>
      </c>
      <c r="J708" s="36" t="s">
        <v>175</v>
      </c>
      <c r="K708" s="36" t="s">
        <v>170</v>
      </c>
      <c r="L708" s="36" t="s">
        <v>171</v>
      </c>
      <c r="M708" s="36" t="s">
        <v>77</v>
      </c>
      <c r="N708" s="36" t="s">
        <v>172</v>
      </c>
      <c r="O708" s="36">
        <v>27069740</v>
      </c>
      <c r="P708" s="36">
        <v>344</v>
      </c>
      <c r="Q708" s="36">
        <v>1445900</v>
      </c>
      <c r="R708" s="36">
        <v>17</v>
      </c>
      <c r="S708" s="36">
        <v>0</v>
      </c>
      <c r="T708" s="36">
        <v>0</v>
      </c>
      <c r="U708" s="36">
        <v>1343160</v>
      </c>
      <c r="V708" s="36">
        <v>11</v>
      </c>
      <c r="W708" s="36">
        <v>0</v>
      </c>
      <c r="X708" s="36">
        <v>0</v>
      </c>
      <c r="Y708" s="48">
        <v>12332000</v>
      </c>
      <c r="Z708" s="36">
        <v>88</v>
      </c>
      <c r="AA708" s="36">
        <v>0</v>
      </c>
      <c r="AB708" s="36">
        <v>0</v>
      </c>
      <c r="AC708" s="36">
        <v>42190800</v>
      </c>
      <c r="AD708" s="36">
        <v>460</v>
      </c>
      <c r="AF708" s="47">
        <f t="shared" si="11"/>
        <v>29858800</v>
      </c>
    </row>
    <row r="709" spans="1:32" x14ac:dyDescent="0.3">
      <c r="A709" s="46" t="s">
        <v>758</v>
      </c>
      <c r="B709" s="46" t="str">
        <f>IFERROR(VLOOKUP($H709,매장구분!$B:$Z,2,0),"")</f>
        <v>리테일채널팀</v>
      </c>
      <c r="C709" s="46" t="str">
        <f>IFERROR(VLOOKUP($H709,매장구분!$B:$Z,3,0),"")</f>
        <v>국내</v>
      </c>
      <c r="D709" s="46" t="str">
        <f>IFERROR(VLOOKUP($H709,매장구분!$B:$Z,5,0),"")</f>
        <v>대리점</v>
      </c>
      <c r="E709" s="46" t="str">
        <f>IFERROR(VLOOKUP($H709,매장구분!$B:$Z,9,0),"")</f>
        <v>제주(대-위)</v>
      </c>
      <c r="G709" s="36" t="s">
        <v>474</v>
      </c>
      <c r="H709" s="36" t="s">
        <v>475</v>
      </c>
      <c r="I709" s="36" t="s">
        <v>169</v>
      </c>
      <c r="J709" s="36" t="s">
        <v>79</v>
      </c>
      <c r="K709" s="36" t="s">
        <v>170</v>
      </c>
      <c r="L709" s="36" t="s">
        <v>171</v>
      </c>
      <c r="M709" s="36" t="s">
        <v>196</v>
      </c>
      <c r="N709" s="36" t="s">
        <v>197</v>
      </c>
      <c r="O709" s="36">
        <v>20592100</v>
      </c>
      <c r="P709" s="36">
        <v>245</v>
      </c>
      <c r="Q709" s="36">
        <v>0</v>
      </c>
      <c r="R709" s="36">
        <v>0</v>
      </c>
      <c r="S709" s="36">
        <v>0</v>
      </c>
      <c r="T709" s="36">
        <v>0</v>
      </c>
      <c r="U709" s="36">
        <v>0</v>
      </c>
      <c r="V709" s="36">
        <v>0</v>
      </c>
      <c r="W709" s="36">
        <v>0</v>
      </c>
      <c r="X709" s="36">
        <v>0</v>
      </c>
      <c r="Y709" s="48">
        <v>3292800</v>
      </c>
      <c r="Z709" s="36">
        <v>53</v>
      </c>
      <c r="AA709" s="36">
        <v>0</v>
      </c>
      <c r="AB709" s="36">
        <v>0</v>
      </c>
      <c r="AC709" s="36">
        <v>23884900</v>
      </c>
      <c r="AD709" s="36">
        <v>298</v>
      </c>
      <c r="AF709" s="47">
        <f t="shared" si="11"/>
        <v>20592100</v>
      </c>
    </row>
    <row r="710" spans="1:32" x14ac:dyDescent="0.3">
      <c r="A710" s="46" t="s">
        <v>758</v>
      </c>
      <c r="B710" s="46" t="str">
        <f>IFERROR(VLOOKUP($H710,매장구분!$B:$Z,2,0),"")</f>
        <v>파트너채널팀</v>
      </c>
      <c r="C710" s="46" t="str">
        <f>IFERROR(VLOOKUP($H710,매장구분!$B:$Z,3,0),"")</f>
        <v>국내</v>
      </c>
      <c r="D710" s="46" t="str">
        <f>IFERROR(VLOOKUP($H710,매장구분!$B:$Z,5,0),"")</f>
        <v>백화점</v>
      </c>
      <c r="E710" s="46" t="str">
        <f>IFERROR(VLOOKUP($H710,매장구분!$B:$Z,9,0),"")</f>
        <v>신세계김해</v>
      </c>
      <c r="G710" s="36" t="s">
        <v>454</v>
      </c>
      <c r="H710" s="36" t="s">
        <v>455</v>
      </c>
      <c r="I710" s="36" t="s">
        <v>169</v>
      </c>
      <c r="J710" s="36" t="s">
        <v>175</v>
      </c>
      <c r="K710" s="36" t="s">
        <v>170</v>
      </c>
      <c r="L710" s="36" t="s">
        <v>171</v>
      </c>
      <c r="M710" s="36" t="s">
        <v>77</v>
      </c>
      <c r="N710" s="36" t="s">
        <v>172</v>
      </c>
      <c r="O710" s="36">
        <v>12834730</v>
      </c>
      <c r="P710" s="36">
        <v>150</v>
      </c>
      <c r="Q710" s="36">
        <v>0</v>
      </c>
      <c r="R710" s="36">
        <v>0</v>
      </c>
      <c r="S710" s="36">
        <v>0</v>
      </c>
      <c r="T710" s="36">
        <v>0</v>
      </c>
      <c r="U710" s="36">
        <v>1514670</v>
      </c>
      <c r="V710" s="36">
        <v>9</v>
      </c>
      <c r="W710" s="36">
        <v>0</v>
      </c>
      <c r="X710" s="36">
        <v>0</v>
      </c>
      <c r="Y710" s="48">
        <v>0</v>
      </c>
      <c r="Z710" s="36">
        <v>0</v>
      </c>
      <c r="AA710" s="36">
        <v>0</v>
      </c>
      <c r="AB710" s="36">
        <v>0</v>
      </c>
      <c r="AC710" s="36">
        <v>14349400</v>
      </c>
      <c r="AD710" s="36">
        <v>159</v>
      </c>
      <c r="AF710" s="47">
        <f t="shared" si="11"/>
        <v>14349400</v>
      </c>
    </row>
    <row r="711" spans="1:32" x14ac:dyDescent="0.3">
      <c r="A711" s="46" t="s">
        <v>758</v>
      </c>
      <c r="B711" s="46" t="str">
        <f>IFERROR(VLOOKUP($H711,매장구분!$B:$Z,2,0),"")</f>
        <v>리테일채널팀</v>
      </c>
      <c r="C711" s="46" t="str">
        <f>IFERROR(VLOOKUP($H711,매장구분!$B:$Z,3,0),"")</f>
        <v>국내</v>
      </c>
      <c r="D711" s="46" t="str">
        <f>IFERROR(VLOOKUP($H711,매장구분!$B:$Z,5,0),"")</f>
        <v>직영점</v>
      </c>
      <c r="E711" s="46" t="str">
        <f>IFERROR(VLOOKUP($H711,매장구분!$B:$Z,9,0),"")</f>
        <v>스타필드수원(직)</v>
      </c>
      <c r="G711" s="36" t="s">
        <v>468</v>
      </c>
      <c r="H711" s="36" t="s">
        <v>469</v>
      </c>
      <c r="I711" s="36" t="s">
        <v>169</v>
      </c>
      <c r="J711" s="36" t="s">
        <v>180</v>
      </c>
      <c r="K711" s="36" t="s">
        <v>170</v>
      </c>
      <c r="L711" s="36" t="s">
        <v>171</v>
      </c>
      <c r="M711" s="36" t="s">
        <v>188</v>
      </c>
      <c r="N711" s="36" t="s">
        <v>189</v>
      </c>
      <c r="O711" s="36">
        <v>13801800</v>
      </c>
      <c r="P711" s="36">
        <v>196</v>
      </c>
      <c r="Q711" s="36">
        <v>0</v>
      </c>
      <c r="R711" s="36">
        <v>0</v>
      </c>
      <c r="S711" s="36">
        <v>0</v>
      </c>
      <c r="T711" s="36">
        <v>0</v>
      </c>
      <c r="U711" s="36">
        <v>448000</v>
      </c>
      <c r="V711" s="36">
        <v>2</v>
      </c>
      <c r="W711" s="36">
        <v>0</v>
      </c>
      <c r="X711" s="36">
        <v>0</v>
      </c>
      <c r="Y711" s="48">
        <v>0</v>
      </c>
      <c r="Z711" s="36">
        <v>0</v>
      </c>
      <c r="AA711" s="36">
        <v>0</v>
      </c>
      <c r="AB711" s="36">
        <v>0</v>
      </c>
      <c r="AC711" s="36">
        <v>14249800</v>
      </c>
      <c r="AD711" s="36">
        <v>198</v>
      </c>
      <c r="AF711" s="47">
        <f t="shared" si="11"/>
        <v>14249800</v>
      </c>
    </row>
    <row r="712" spans="1:32" x14ac:dyDescent="0.3">
      <c r="A712" s="46" t="s">
        <v>758</v>
      </c>
      <c r="B712" s="46" t="str">
        <f>IFERROR(VLOOKUP($H712,매장구분!$B:$Z,2,0),"")</f>
        <v>리테일채널팀</v>
      </c>
      <c r="C712" s="46" t="str">
        <f>IFERROR(VLOOKUP($H712,매장구분!$B:$Z,3,0),"")</f>
        <v>국내</v>
      </c>
      <c r="D712" s="46" t="str">
        <f>IFERROR(VLOOKUP($H712,매장구분!$B:$Z,5,0),"")</f>
        <v>대리점</v>
      </c>
      <c r="E712" s="46" t="str">
        <f>IFERROR(VLOOKUP($H712,매장구분!$B:$Z,9,0),"")</f>
        <v>구미(대-위)</v>
      </c>
      <c r="G712" s="36" t="s">
        <v>458</v>
      </c>
      <c r="H712" s="36" t="s">
        <v>459</v>
      </c>
      <c r="I712" s="36" t="s">
        <v>169</v>
      </c>
      <c r="J712" s="36" t="s">
        <v>79</v>
      </c>
      <c r="K712" s="36" t="s">
        <v>170</v>
      </c>
      <c r="L712" s="36" t="s">
        <v>171</v>
      </c>
      <c r="M712" s="36" t="s">
        <v>196</v>
      </c>
      <c r="N712" s="36" t="s">
        <v>197</v>
      </c>
      <c r="O712" s="36">
        <v>13712690</v>
      </c>
      <c r="P712" s="36">
        <v>159</v>
      </c>
      <c r="Q712" s="36">
        <v>0</v>
      </c>
      <c r="R712" s="36">
        <v>0</v>
      </c>
      <c r="S712" s="36">
        <v>0</v>
      </c>
      <c r="T712" s="36">
        <v>0</v>
      </c>
      <c r="U712" s="36">
        <v>3793710</v>
      </c>
      <c r="V712" s="36">
        <v>23</v>
      </c>
      <c r="W712" s="36">
        <v>0</v>
      </c>
      <c r="X712" s="36">
        <v>0</v>
      </c>
      <c r="Y712" s="48">
        <v>0</v>
      </c>
      <c r="Z712" s="36">
        <v>0</v>
      </c>
      <c r="AA712" s="36">
        <v>0</v>
      </c>
      <c r="AB712" s="36">
        <v>0</v>
      </c>
      <c r="AC712" s="36">
        <v>17506400</v>
      </c>
      <c r="AD712" s="36">
        <v>182</v>
      </c>
      <c r="AF712" s="47">
        <f t="shared" si="11"/>
        <v>17506400</v>
      </c>
    </row>
    <row r="713" spans="1:32" x14ac:dyDescent="0.3">
      <c r="A713" s="46" t="s">
        <v>758</v>
      </c>
      <c r="B713" s="46" t="str">
        <f>IFERROR(VLOOKUP($H713,매장구분!$B:$Z,2,0),"")</f>
        <v>리테일채널팀</v>
      </c>
      <c r="C713" s="46" t="str">
        <f>IFERROR(VLOOKUP($H713,매장구분!$B:$Z,3,0),"")</f>
        <v>국내</v>
      </c>
      <c r="D713" s="46" t="str">
        <f>IFERROR(VLOOKUP($H713,매장구분!$B:$Z,5,0),"")</f>
        <v>대리점</v>
      </c>
      <c r="E713" s="46" t="str">
        <f>IFERROR(VLOOKUP($H713,매장구분!$B:$Z,9,0),"")</f>
        <v>당진(대-위)</v>
      </c>
      <c r="G713" s="36" t="s">
        <v>462</v>
      </c>
      <c r="H713" s="36" t="s">
        <v>463</v>
      </c>
      <c r="I713" s="36" t="s">
        <v>169</v>
      </c>
      <c r="J713" s="36" t="s">
        <v>79</v>
      </c>
      <c r="K713" s="36" t="s">
        <v>170</v>
      </c>
      <c r="L713" s="36" t="s">
        <v>171</v>
      </c>
      <c r="M713" s="36" t="s">
        <v>196</v>
      </c>
      <c r="N713" s="36" t="s">
        <v>197</v>
      </c>
      <c r="O713" s="36">
        <v>9716620</v>
      </c>
      <c r="P713" s="36">
        <v>96</v>
      </c>
      <c r="Q713" s="36">
        <v>0</v>
      </c>
      <c r="R713" s="36">
        <v>0</v>
      </c>
      <c r="S713" s="36">
        <v>0</v>
      </c>
      <c r="T713" s="36">
        <v>0</v>
      </c>
      <c r="U713" s="36">
        <v>915280</v>
      </c>
      <c r="V713" s="36">
        <v>4</v>
      </c>
      <c r="W713" s="36">
        <v>0</v>
      </c>
      <c r="X713" s="36">
        <v>0</v>
      </c>
      <c r="Y713" s="48">
        <v>0</v>
      </c>
      <c r="Z713" s="36">
        <v>0</v>
      </c>
      <c r="AA713" s="36">
        <v>0</v>
      </c>
      <c r="AB713" s="36">
        <v>0</v>
      </c>
      <c r="AC713" s="36">
        <v>10631900</v>
      </c>
      <c r="AD713" s="36">
        <v>100</v>
      </c>
      <c r="AF713" s="47">
        <f t="shared" si="11"/>
        <v>10631900</v>
      </c>
    </row>
    <row r="714" spans="1:32" x14ac:dyDescent="0.3">
      <c r="A714" s="46" t="s">
        <v>758</v>
      </c>
      <c r="B714" s="46" t="str">
        <f>IFERROR(VLOOKUP($H714,매장구분!$B:$Z,2,0),"")</f>
        <v>파트너채널팀</v>
      </c>
      <c r="C714" s="46" t="str">
        <f>IFERROR(VLOOKUP($H714,매장구분!$B:$Z,3,0),"")</f>
        <v>국내</v>
      </c>
      <c r="D714" s="46" t="str">
        <f>IFERROR(VLOOKUP($H714,매장구분!$B:$Z,5,0),"")</f>
        <v>백화점</v>
      </c>
      <c r="E714" s="46" t="str">
        <f>IFERROR(VLOOKUP($H714,매장구분!$B:$Z,9,0),"")</f>
        <v>현대킨텍스</v>
      </c>
      <c r="G714" s="36" t="s">
        <v>442</v>
      </c>
      <c r="H714" s="36" t="s">
        <v>443</v>
      </c>
      <c r="I714" s="36" t="s">
        <v>169</v>
      </c>
      <c r="J714" s="36" t="s">
        <v>175</v>
      </c>
      <c r="K714" s="36" t="s">
        <v>170</v>
      </c>
      <c r="L714" s="36" t="s">
        <v>171</v>
      </c>
      <c r="M714" s="36" t="s">
        <v>77</v>
      </c>
      <c r="N714" s="36" t="s">
        <v>172</v>
      </c>
      <c r="O714" s="36">
        <v>6930200</v>
      </c>
      <c r="P714" s="36">
        <v>90</v>
      </c>
      <c r="Q714" s="36">
        <v>39000</v>
      </c>
      <c r="R714" s="36">
        <v>1</v>
      </c>
      <c r="S714" s="36">
        <v>0</v>
      </c>
      <c r="T714" s="36">
        <v>0</v>
      </c>
      <c r="U714" s="36">
        <v>706000</v>
      </c>
      <c r="V714" s="36">
        <v>6</v>
      </c>
      <c r="W714" s="36">
        <v>0</v>
      </c>
      <c r="X714" s="36">
        <v>0</v>
      </c>
      <c r="Y714" s="48">
        <v>21882900</v>
      </c>
      <c r="Z714" s="36">
        <v>260</v>
      </c>
      <c r="AA714" s="36">
        <v>0</v>
      </c>
      <c r="AB714" s="36">
        <v>0</v>
      </c>
      <c r="AC714" s="36">
        <v>29558100</v>
      </c>
      <c r="AD714" s="36">
        <v>357</v>
      </c>
      <c r="AF714" s="47">
        <f t="shared" si="11"/>
        <v>7675200</v>
      </c>
    </row>
    <row r="715" spans="1:32" x14ac:dyDescent="0.3">
      <c r="A715" s="46" t="s">
        <v>758</v>
      </c>
      <c r="B715" s="46" t="str">
        <f>IFERROR(VLOOKUP($H715,매장구분!$B:$Z,2,0),"")</f>
        <v>파트너채널팀</v>
      </c>
      <c r="C715" s="46" t="str">
        <f>IFERROR(VLOOKUP($H715,매장구분!$B:$Z,3,0),"")</f>
        <v>국내</v>
      </c>
      <c r="D715" s="46" t="str">
        <f>IFERROR(VLOOKUP($H715,매장구분!$B:$Z,5,0),"")</f>
        <v>백화점</v>
      </c>
      <c r="E715" s="46" t="str">
        <f>IFERROR(VLOOKUP($H715,매장구분!$B:$Z,9,0),"")</f>
        <v>신세계의정부</v>
      </c>
      <c r="G715" s="36" t="s">
        <v>438</v>
      </c>
      <c r="H715" s="36" t="s">
        <v>439</v>
      </c>
      <c r="I715" s="36" t="s">
        <v>169</v>
      </c>
      <c r="J715" s="36" t="s">
        <v>175</v>
      </c>
      <c r="K715" s="36" t="s">
        <v>170</v>
      </c>
      <c r="L715" s="36" t="s">
        <v>171</v>
      </c>
      <c r="M715" s="36" t="s">
        <v>77</v>
      </c>
      <c r="N715" s="36" t="s">
        <v>172</v>
      </c>
      <c r="O715" s="36">
        <v>17670300</v>
      </c>
      <c r="P715" s="36">
        <v>198</v>
      </c>
      <c r="Q715" s="36">
        <v>0</v>
      </c>
      <c r="R715" s="36">
        <v>0</v>
      </c>
      <c r="S715" s="36">
        <v>0</v>
      </c>
      <c r="T715" s="36">
        <v>0</v>
      </c>
      <c r="U715" s="36">
        <v>1756700</v>
      </c>
      <c r="V715" s="36">
        <v>8</v>
      </c>
      <c r="W715" s="36">
        <v>0</v>
      </c>
      <c r="X715" s="36">
        <v>0</v>
      </c>
      <c r="Y715" s="48">
        <v>0</v>
      </c>
      <c r="Z715" s="36">
        <v>0</v>
      </c>
      <c r="AA715" s="36">
        <v>0</v>
      </c>
      <c r="AB715" s="36">
        <v>0</v>
      </c>
      <c r="AC715" s="36">
        <v>19427000</v>
      </c>
      <c r="AD715" s="36">
        <v>206</v>
      </c>
      <c r="AF715" s="47">
        <f t="shared" si="11"/>
        <v>19427000</v>
      </c>
    </row>
    <row r="716" spans="1:32" x14ac:dyDescent="0.3">
      <c r="A716" s="46" t="s">
        <v>758</v>
      </c>
      <c r="B716" s="46" t="str">
        <f>IFERROR(VLOOKUP($H716,매장구분!$B:$Z,2,0),"")</f>
        <v>파트너채널팀</v>
      </c>
      <c r="C716" s="46" t="str">
        <f>IFERROR(VLOOKUP($H716,매장구분!$B:$Z,3,0),"")</f>
        <v>국내</v>
      </c>
      <c r="D716" s="46" t="str">
        <f>IFERROR(VLOOKUP($H716,매장구분!$B:$Z,5,0),"")</f>
        <v>백화점</v>
      </c>
      <c r="E716" s="46" t="str">
        <f>IFERROR(VLOOKUP($H716,매장구분!$B:$Z,9,0),"")</f>
        <v>롯데대전</v>
      </c>
      <c r="G716" s="36" t="s">
        <v>476</v>
      </c>
      <c r="H716" s="36" t="s">
        <v>477</v>
      </c>
      <c r="I716" s="36" t="s">
        <v>169</v>
      </c>
      <c r="J716" s="36" t="s">
        <v>175</v>
      </c>
      <c r="K716" s="36" t="s">
        <v>170</v>
      </c>
      <c r="L716" s="36" t="s">
        <v>171</v>
      </c>
      <c r="M716" s="36" t="s">
        <v>77</v>
      </c>
      <c r="N716" s="36" t="s">
        <v>172</v>
      </c>
      <c r="O716" s="36">
        <v>11207040</v>
      </c>
      <c r="P716" s="36">
        <v>122</v>
      </c>
      <c r="Q716" s="36">
        <v>0</v>
      </c>
      <c r="R716" s="36">
        <v>0</v>
      </c>
      <c r="S716" s="36">
        <v>0</v>
      </c>
      <c r="T716" s="36">
        <v>0</v>
      </c>
      <c r="U716" s="36">
        <v>-2240</v>
      </c>
      <c r="V716" s="36">
        <v>3</v>
      </c>
      <c r="W716" s="36">
        <v>0</v>
      </c>
      <c r="X716" s="36">
        <v>0</v>
      </c>
      <c r="Y716" s="48">
        <v>0</v>
      </c>
      <c r="Z716" s="36">
        <v>0</v>
      </c>
      <c r="AA716" s="36">
        <v>0</v>
      </c>
      <c r="AB716" s="36">
        <v>0</v>
      </c>
      <c r="AC716" s="36">
        <v>11204800</v>
      </c>
      <c r="AD716" s="36">
        <v>125</v>
      </c>
      <c r="AF716" s="47">
        <f t="shared" si="11"/>
        <v>11204800</v>
      </c>
    </row>
    <row r="717" spans="1:32" x14ac:dyDescent="0.3">
      <c r="A717" s="46" t="s">
        <v>758</v>
      </c>
      <c r="B717" s="46" t="str">
        <f>IFERROR(VLOOKUP($H717,매장구분!$B:$Z,2,0),"")</f>
        <v>파트너채널팀</v>
      </c>
      <c r="C717" s="46" t="str">
        <f>IFERROR(VLOOKUP($H717,매장구분!$B:$Z,3,0),"")</f>
        <v>국내</v>
      </c>
      <c r="D717" s="46" t="str">
        <f>IFERROR(VLOOKUP($H717,매장구분!$B:$Z,5,0),"")</f>
        <v>백화점</v>
      </c>
      <c r="E717" s="46" t="str">
        <f>IFERROR(VLOOKUP($H717,매장구분!$B:$Z,9,0),"")</f>
        <v>롯데울산</v>
      </c>
      <c r="G717" s="36" t="s">
        <v>460</v>
      </c>
      <c r="H717" s="36" t="s">
        <v>461</v>
      </c>
      <c r="I717" s="36" t="s">
        <v>169</v>
      </c>
      <c r="J717" s="36" t="s">
        <v>175</v>
      </c>
      <c r="K717" s="36" t="s">
        <v>170</v>
      </c>
      <c r="L717" s="36" t="s">
        <v>171</v>
      </c>
      <c r="M717" s="36" t="s">
        <v>77</v>
      </c>
      <c r="N717" s="36" t="s">
        <v>172</v>
      </c>
      <c r="O717" s="36">
        <v>24846380</v>
      </c>
      <c r="P717" s="36">
        <v>258</v>
      </c>
      <c r="Q717" s="36">
        <v>-240000</v>
      </c>
      <c r="R717" s="36">
        <v>0</v>
      </c>
      <c r="S717" s="36">
        <v>0</v>
      </c>
      <c r="T717" s="36">
        <v>0</v>
      </c>
      <c r="U717" s="36">
        <v>3654720</v>
      </c>
      <c r="V717" s="36">
        <v>26</v>
      </c>
      <c r="W717" s="36">
        <v>0</v>
      </c>
      <c r="X717" s="36">
        <v>0</v>
      </c>
      <c r="Y717" s="48">
        <v>3332000</v>
      </c>
      <c r="Z717" s="36">
        <v>21</v>
      </c>
      <c r="AA717" s="36">
        <v>0</v>
      </c>
      <c r="AB717" s="36">
        <v>0</v>
      </c>
      <c r="AC717" s="36">
        <v>31593100</v>
      </c>
      <c r="AD717" s="36">
        <v>305</v>
      </c>
      <c r="AF717" s="47">
        <f t="shared" si="11"/>
        <v>28261100</v>
      </c>
    </row>
    <row r="718" spans="1:32" x14ac:dyDescent="0.3">
      <c r="A718" s="46" t="s">
        <v>758</v>
      </c>
      <c r="B718" s="46" t="str">
        <f>IFERROR(VLOOKUP($H718,매장구분!$B:$Z,2,0),"")</f>
        <v>파트너채널팀</v>
      </c>
      <c r="C718" s="46" t="str">
        <f>IFERROR(VLOOKUP($H718,매장구분!$B:$Z,3,0),"")</f>
        <v>RF</v>
      </c>
      <c r="D718" s="46" t="str">
        <f>IFERROR(VLOOKUP($H718,매장구분!$B:$Z,5,0),"")</f>
        <v>백화점</v>
      </c>
      <c r="E718" s="46" t="str">
        <f>IFERROR(VLOOKUP($H718,매장구분!$B:$Z,9,0),"")</f>
        <v>신세계본점</v>
      </c>
      <c r="G718" s="36" t="s">
        <v>450</v>
      </c>
      <c r="H718" s="36" t="s">
        <v>451</v>
      </c>
      <c r="I718" s="36" t="s">
        <v>169</v>
      </c>
      <c r="J718" s="36" t="s">
        <v>175</v>
      </c>
      <c r="K718" s="36" t="s">
        <v>170</v>
      </c>
      <c r="L718" s="36" t="s">
        <v>171</v>
      </c>
      <c r="M718" s="36" t="s">
        <v>77</v>
      </c>
      <c r="N718" s="36" t="s">
        <v>172</v>
      </c>
      <c r="O718" s="36">
        <v>13856070</v>
      </c>
      <c r="P718" s="36">
        <v>191</v>
      </c>
      <c r="Q718" s="36">
        <v>0</v>
      </c>
      <c r="R718" s="36">
        <v>0</v>
      </c>
      <c r="S718" s="36">
        <v>0</v>
      </c>
      <c r="T718" s="36">
        <v>0</v>
      </c>
      <c r="U718" s="36">
        <v>13104930</v>
      </c>
      <c r="V718" s="36">
        <v>65</v>
      </c>
      <c r="W718" s="36">
        <v>0</v>
      </c>
      <c r="X718" s="36">
        <v>0</v>
      </c>
      <c r="Y718" s="48">
        <v>0</v>
      </c>
      <c r="Z718" s="36">
        <v>0</v>
      </c>
      <c r="AA718" s="36">
        <v>0</v>
      </c>
      <c r="AB718" s="36">
        <v>0</v>
      </c>
      <c r="AC718" s="36">
        <v>26961000</v>
      </c>
      <c r="AD718" s="36">
        <v>256</v>
      </c>
      <c r="AF718" s="47">
        <f t="shared" si="11"/>
        <v>26961000</v>
      </c>
    </row>
    <row r="719" spans="1:32" x14ac:dyDescent="0.3">
      <c r="A719" s="46" t="s">
        <v>758</v>
      </c>
      <c r="B719" s="46" t="str">
        <f>IFERROR(VLOOKUP($H719,매장구분!$B:$Z,2,0),"")</f>
        <v>파트너채널팀</v>
      </c>
      <c r="C719" s="46" t="str">
        <f>IFERROR(VLOOKUP($H719,매장구분!$B:$Z,3,0),"")</f>
        <v>국내</v>
      </c>
      <c r="D719" s="46" t="str">
        <f>IFERROR(VLOOKUP($H719,매장구분!$B:$Z,5,0),"")</f>
        <v>백화점</v>
      </c>
      <c r="E719" s="46" t="str">
        <f>IFERROR(VLOOKUP($H719,매장구분!$B:$Z,9,0),"")</f>
        <v>현대울산동구</v>
      </c>
      <c r="G719" s="36" t="s">
        <v>480</v>
      </c>
      <c r="H719" s="36" t="s">
        <v>481</v>
      </c>
      <c r="I719" s="36" t="s">
        <v>169</v>
      </c>
      <c r="J719" s="36" t="s">
        <v>175</v>
      </c>
      <c r="K719" s="36" t="s">
        <v>170</v>
      </c>
      <c r="L719" s="36" t="s">
        <v>171</v>
      </c>
      <c r="M719" s="36" t="s">
        <v>77</v>
      </c>
      <c r="N719" s="36" t="s">
        <v>172</v>
      </c>
      <c r="O719" s="36">
        <v>3243380</v>
      </c>
      <c r="P719" s="36">
        <v>53</v>
      </c>
      <c r="Q719" s="36">
        <v>203000</v>
      </c>
      <c r="R719" s="36">
        <v>4</v>
      </c>
      <c r="S719" s="36">
        <v>0</v>
      </c>
      <c r="T719" s="36">
        <v>0</v>
      </c>
      <c r="U719" s="36">
        <v>372520</v>
      </c>
      <c r="V719" s="36">
        <v>2</v>
      </c>
      <c r="W719" s="36">
        <v>0</v>
      </c>
      <c r="X719" s="36">
        <v>0</v>
      </c>
      <c r="Y719" s="48">
        <v>2507000</v>
      </c>
      <c r="Z719" s="36">
        <v>20</v>
      </c>
      <c r="AA719" s="36">
        <v>0</v>
      </c>
      <c r="AB719" s="36">
        <v>0</v>
      </c>
      <c r="AC719" s="36">
        <v>6325900</v>
      </c>
      <c r="AD719" s="36">
        <v>79</v>
      </c>
      <c r="AF719" s="47">
        <f t="shared" si="11"/>
        <v>3818900</v>
      </c>
    </row>
    <row r="720" spans="1:32" x14ac:dyDescent="0.3">
      <c r="A720" s="46" t="s">
        <v>758</v>
      </c>
      <c r="B720" s="46" t="str">
        <f>IFERROR(VLOOKUP($H720,매장구분!$B:$Z,2,0),"")</f>
        <v>파트너채널팀</v>
      </c>
      <c r="C720" s="46" t="str">
        <f>IFERROR(VLOOKUP($H720,매장구분!$B:$Z,3,0),"")</f>
        <v>국내</v>
      </c>
      <c r="D720" s="46" t="str">
        <f>IFERROR(VLOOKUP($H720,매장구분!$B:$Z,5,0),"")</f>
        <v>백화점</v>
      </c>
      <c r="E720" s="46" t="str">
        <f>IFERROR(VLOOKUP($H720,매장구분!$B:$Z,9,0),"")</f>
        <v>롯데전주</v>
      </c>
      <c r="G720" s="36" t="s">
        <v>446</v>
      </c>
      <c r="H720" s="36" t="s">
        <v>447</v>
      </c>
      <c r="I720" s="36" t="s">
        <v>169</v>
      </c>
      <c r="J720" s="36" t="s">
        <v>175</v>
      </c>
      <c r="K720" s="36" t="s">
        <v>170</v>
      </c>
      <c r="L720" s="36" t="s">
        <v>171</v>
      </c>
      <c r="M720" s="36" t="s">
        <v>77</v>
      </c>
      <c r="N720" s="36" t="s">
        <v>172</v>
      </c>
      <c r="O720" s="36">
        <v>13775400</v>
      </c>
      <c r="P720" s="36">
        <v>153</v>
      </c>
      <c r="Q720" s="36">
        <v>1099000</v>
      </c>
      <c r="R720" s="36">
        <v>13</v>
      </c>
      <c r="S720" s="36">
        <v>0</v>
      </c>
      <c r="T720" s="36">
        <v>0</v>
      </c>
      <c r="U720" s="36">
        <v>1176400</v>
      </c>
      <c r="V720" s="36">
        <v>10</v>
      </c>
      <c r="W720" s="36">
        <v>0</v>
      </c>
      <c r="X720" s="36">
        <v>0</v>
      </c>
      <c r="Y720" s="48">
        <v>0</v>
      </c>
      <c r="Z720" s="36">
        <v>0</v>
      </c>
      <c r="AA720" s="36">
        <v>0</v>
      </c>
      <c r="AB720" s="36">
        <v>0</v>
      </c>
      <c r="AC720" s="36">
        <v>16050800</v>
      </c>
      <c r="AD720" s="36">
        <v>176</v>
      </c>
      <c r="AF720" s="47">
        <f t="shared" si="11"/>
        <v>16050800</v>
      </c>
    </row>
    <row r="721" spans="1:32" x14ac:dyDescent="0.3">
      <c r="A721" s="46" t="s">
        <v>758</v>
      </c>
      <c r="B721" s="46" t="str">
        <f>IFERROR(VLOOKUP($H721,매장구분!$B:$Z,2,0),"")</f>
        <v>파트너채널팀</v>
      </c>
      <c r="C721" s="46" t="str">
        <f>IFERROR(VLOOKUP($H721,매장구분!$B:$Z,3,0),"")</f>
        <v>국내</v>
      </c>
      <c r="D721" s="46" t="str">
        <f>IFERROR(VLOOKUP($H721,매장구분!$B:$Z,5,0),"")</f>
        <v>백화점</v>
      </c>
      <c r="E721" s="46" t="str">
        <f>IFERROR(VLOOKUP($H721,매장구분!$B:$Z,9,0),"")</f>
        <v>롯데분당</v>
      </c>
      <c r="G721" s="36" t="s">
        <v>470</v>
      </c>
      <c r="H721" s="36" t="s">
        <v>471</v>
      </c>
      <c r="I721" s="36" t="s">
        <v>169</v>
      </c>
      <c r="J721" s="36" t="s">
        <v>175</v>
      </c>
      <c r="K721" s="36" t="s">
        <v>170</v>
      </c>
      <c r="L721" s="36" t="s">
        <v>171</v>
      </c>
      <c r="M721" s="36" t="s">
        <v>77</v>
      </c>
      <c r="N721" s="36" t="s">
        <v>172</v>
      </c>
      <c r="O721" s="36">
        <v>3450590</v>
      </c>
      <c r="P721" s="36">
        <v>45</v>
      </c>
      <c r="Q721" s="36">
        <v>481300</v>
      </c>
      <c r="R721" s="36">
        <v>12</v>
      </c>
      <c r="S721" s="36">
        <v>0</v>
      </c>
      <c r="T721" s="36">
        <v>0</v>
      </c>
      <c r="U721" s="36">
        <v>356410</v>
      </c>
      <c r="V721" s="36">
        <v>5</v>
      </c>
      <c r="W721" s="36">
        <v>0</v>
      </c>
      <c r="X721" s="36">
        <v>0</v>
      </c>
      <c r="Y721" s="48">
        <v>0</v>
      </c>
      <c r="Z721" s="36">
        <v>0</v>
      </c>
      <c r="AA721" s="36">
        <v>0</v>
      </c>
      <c r="AB721" s="36">
        <v>0</v>
      </c>
      <c r="AC721" s="36">
        <v>4288300</v>
      </c>
      <c r="AD721" s="36">
        <v>62</v>
      </c>
      <c r="AF721" s="47">
        <f t="shared" si="11"/>
        <v>4288300</v>
      </c>
    </row>
    <row r="722" spans="1:32" x14ac:dyDescent="0.3">
      <c r="A722" s="46" t="s">
        <v>758</v>
      </c>
      <c r="B722" s="46" t="str">
        <f>IFERROR(VLOOKUP($H722,매장구분!$B:$Z,2,0),"")</f>
        <v>파트너채널팀</v>
      </c>
      <c r="C722" s="46" t="str">
        <f>IFERROR(VLOOKUP($H722,매장구분!$B:$Z,3,0),"")</f>
        <v>국내</v>
      </c>
      <c r="D722" s="46" t="str">
        <f>IFERROR(VLOOKUP($H722,매장구분!$B:$Z,5,0),"")</f>
        <v>백화점</v>
      </c>
      <c r="E722" s="46" t="str">
        <f>IFERROR(VLOOKUP($H722,매장구분!$B:$Z,9,0),"")</f>
        <v>엔터식스왕십리</v>
      </c>
      <c r="G722" s="36" t="s">
        <v>444</v>
      </c>
      <c r="H722" s="36" t="s">
        <v>445</v>
      </c>
      <c r="I722" s="36" t="s">
        <v>169</v>
      </c>
      <c r="J722" s="36" t="s">
        <v>175</v>
      </c>
      <c r="K722" s="36" t="s">
        <v>170</v>
      </c>
      <c r="L722" s="36" t="s">
        <v>171</v>
      </c>
      <c r="M722" s="36" t="s">
        <v>77</v>
      </c>
      <c r="N722" s="36" t="s">
        <v>238</v>
      </c>
      <c r="O722" s="36">
        <v>7172650</v>
      </c>
      <c r="P722" s="36">
        <v>83</v>
      </c>
      <c r="Q722" s="36">
        <v>0</v>
      </c>
      <c r="R722" s="36">
        <v>0</v>
      </c>
      <c r="S722" s="36">
        <v>0</v>
      </c>
      <c r="T722" s="36">
        <v>0</v>
      </c>
      <c r="U722" s="36">
        <v>9520250</v>
      </c>
      <c r="V722" s="36">
        <v>52</v>
      </c>
      <c r="W722" s="36">
        <v>0</v>
      </c>
      <c r="X722" s="36">
        <v>0</v>
      </c>
      <c r="Y722" s="48">
        <v>0</v>
      </c>
      <c r="Z722" s="36">
        <v>0</v>
      </c>
      <c r="AA722" s="36">
        <v>0</v>
      </c>
      <c r="AB722" s="36">
        <v>0</v>
      </c>
      <c r="AC722" s="36">
        <v>16692900</v>
      </c>
      <c r="AD722" s="36">
        <v>135</v>
      </c>
      <c r="AF722" s="47">
        <f t="shared" si="11"/>
        <v>16692900</v>
      </c>
    </row>
    <row r="723" spans="1:32" x14ac:dyDescent="0.3">
      <c r="A723" s="46" t="s">
        <v>758</v>
      </c>
      <c r="B723" s="46" t="str">
        <f>IFERROR(VLOOKUP($H723,매장구분!$B:$Z,2,0),"")</f>
        <v>파트너채널팀</v>
      </c>
      <c r="C723" s="46" t="str">
        <f>IFERROR(VLOOKUP($H723,매장구분!$B:$Z,3,0),"")</f>
        <v>국내</v>
      </c>
      <c r="D723" s="46" t="str">
        <f>IFERROR(VLOOKUP($H723,매장구분!$B:$Z,5,0),"")</f>
        <v>백화점</v>
      </c>
      <c r="E723" s="46" t="str">
        <f>IFERROR(VLOOKUP($H723,매장구분!$B:$Z,9,0),"")</f>
        <v>롯데광복</v>
      </c>
      <c r="G723" s="36" t="s">
        <v>448</v>
      </c>
      <c r="H723" s="36" t="s">
        <v>449</v>
      </c>
      <c r="I723" s="36" t="s">
        <v>169</v>
      </c>
      <c r="J723" s="36" t="s">
        <v>175</v>
      </c>
      <c r="K723" s="36" t="s">
        <v>170</v>
      </c>
      <c r="L723" s="36" t="s">
        <v>171</v>
      </c>
      <c r="M723" s="36" t="s">
        <v>77</v>
      </c>
      <c r="N723" s="36" t="s">
        <v>172</v>
      </c>
      <c r="O723" s="36">
        <v>8700410</v>
      </c>
      <c r="P723" s="36">
        <v>126</v>
      </c>
      <c r="Q723" s="36">
        <v>1459000</v>
      </c>
      <c r="R723" s="36">
        <v>11</v>
      </c>
      <c r="S723" s="36">
        <v>0</v>
      </c>
      <c r="T723" s="36">
        <v>0</v>
      </c>
      <c r="U723" s="36">
        <v>966590</v>
      </c>
      <c r="V723" s="36">
        <v>6</v>
      </c>
      <c r="W723" s="36">
        <v>0</v>
      </c>
      <c r="X723" s="36">
        <v>0</v>
      </c>
      <c r="Y723" s="48">
        <v>5751100</v>
      </c>
      <c r="Z723" s="36">
        <v>45</v>
      </c>
      <c r="AA723" s="36">
        <v>0</v>
      </c>
      <c r="AB723" s="36">
        <v>0</v>
      </c>
      <c r="AC723" s="36">
        <v>16877100</v>
      </c>
      <c r="AD723" s="36">
        <v>188</v>
      </c>
      <c r="AF723" s="47">
        <f t="shared" si="11"/>
        <v>11126000</v>
      </c>
    </row>
    <row r="724" spans="1:32" x14ac:dyDescent="0.3">
      <c r="A724" s="46" t="s">
        <v>758</v>
      </c>
      <c r="B724" s="46" t="str">
        <f>IFERROR(VLOOKUP($H724,매장구분!$B:$Z,2,0),"")</f>
        <v>리테일채널팀</v>
      </c>
      <c r="C724" s="46" t="str">
        <f>IFERROR(VLOOKUP($H724,매장구분!$B:$Z,3,0),"")</f>
        <v>RF</v>
      </c>
      <c r="D724" s="46" t="str">
        <f>IFERROR(VLOOKUP($H724,매장구분!$B:$Z,5,0),"")</f>
        <v>직영점</v>
      </c>
      <c r="E724" s="46" t="str">
        <f>IFERROR(VLOOKUP($H724,매장구분!$B:$Z,9,0),"")</f>
        <v>한남(직)</v>
      </c>
      <c r="G724" s="36" t="s">
        <v>436</v>
      </c>
      <c r="H724" s="36" t="s">
        <v>437</v>
      </c>
      <c r="I724" s="36" t="s">
        <v>169</v>
      </c>
      <c r="J724" s="36" t="s">
        <v>180</v>
      </c>
      <c r="K724" s="36" t="s">
        <v>170</v>
      </c>
      <c r="L724" s="36" t="s">
        <v>171</v>
      </c>
      <c r="M724" s="36" t="s">
        <v>196</v>
      </c>
      <c r="N724" s="36" t="s">
        <v>206</v>
      </c>
      <c r="O724" s="36">
        <v>36354900</v>
      </c>
      <c r="P724" s="36">
        <v>458</v>
      </c>
      <c r="Q724" s="36">
        <v>0</v>
      </c>
      <c r="R724" s="36">
        <v>0</v>
      </c>
      <c r="S724" s="36">
        <v>0</v>
      </c>
      <c r="T724" s="36">
        <v>0</v>
      </c>
      <c r="U724" s="36">
        <v>0</v>
      </c>
      <c r="V724" s="36">
        <v>0</v>
      </c>
      <c r="W724" s="36">
        <v>0</v>
      </c>
      <c r="X724" s="36">
        <v>0</v>
      </c>
      <c r="Y724" s="48">
        <v>0</v>
      </c>
      <c r="Z724" s="36">
        <v>0</v>
      </c>
      <c r="AA724" s="36">
        <v>0</v>
      </c>
      <c r="AB724" s="36">
        <v>0</v>
      </c>
      <c r="AC724" s="36">
        <v>36354900</v>
      </c>
      <c r="AD724" s="36">
        <v>458</v>
      </c>
      <c r="AF724" s="47">
        <f t="shared" si="11"/>
        <v>36354900</v>
      </c>
    </row>
    <row r="725" spans="1:32" x14ac:dyDescent="0.3">
      <c r="A725" s="46" t="s">
        <v>758</v>
      </c>
      <c r="B725" s="46" t="str">
        <f>IFERROR(VLOOKUP($H725,매장구분!$B:$Z,2,0),"")</f>
        <v>파트너채널팀</v>
      </c>
      <c r="C725" s="46" t="str">
        <f>IFERROR(VLOOKUP($H725,매장구분!$B:$Z,3,0),"")</f>
        <v>국내</v>
      </c>
      <c r="D725" s="46" t="str">
        <f>IFERROR(VLOOKUP($H725,매장구분!$B:$Z,5,0),"")</f>
        <v>백화점</v>
      </c>
      <c r="E725" s="46" t="str">
        <f>IFERROR(VLOOKUP($H725,매장구분!$B:$Z,9,0),"")</f>
        <v>롯데노원</v>
      </c>
      <c r="G725" s="36" t="s">
        <v>472</v>
      </c>
      <c r="H725" s="36" t="s">
        <v>473</v>
      </c>
      <c r="I725" s="36" t="s">
        <v>169</v>
      </c>
      <c r="J725" s="36" t="s">
        <v>175</v>
      </c>
      <c r="K725" s="36" t="s">
        <v>170</v>
      </c>
      <c r="L725" s="36" t="s">
        <v>171</v>
      </c>
      <c r="M725" s="36" t="s">
        <v>77</v>
      </c>
      <c r="N725" s="36" t="s">
        <v>172</v>
      </c>
      <c r="O725" s="36">
        <v>15827280</v>
      </c>
      <c r="P725" s="36">
        <v>153</v>
      </c>
      <c r="Q725" s="36">
        <v>0</v>
      </c>
      <c r="R725" s="36">
        <v>0</v>
      </c>
      <c r="S725" s="36">
        <v>0</v>
      </c>
      <c r="T725" s="36">
        <v>0</v>
      </c>
      <c r="U725" s="36">
        <v>3113250</v>
      </c>
      <c r="V725" s="36">
        <v>18</v>
      </c>
      <c r="W725" s="36">
        <v>0</v>
      </c>
      <c r="X725" s="36">
        <v>0</v>
      </c>
      <c r="Y725" s="48">
        <v>9426570</v>
      </c>
      <c r="Z725" s="36">
        <v>124</v>
      </c>
      <c r="AA725" s="36">
        <v>0</v>
      </c>
      <c r="AB725" s="36">
        <v>0</v>
      </c>
      <c r="AC725" s="36">
        <v>28367100</v>
      </c>
      <c r="AD725" s="36">
        <v>295</v>
      </c>
      <c r="AF725" s="47">
        <f t="shared" si="11"/>
        <v>18940530</v>
      </c>
    </row>
    <row r="726" spans="1:32" x14ac:dyDescent="0.3">
      <c r="A726" s="46" t="s">
        <v>758</v>
      </c>
      <c r="B726" s="46" t="str">
        <f>IFERROR(VLOOKUP($H726,매장구분!$B:$Z,2,0),"")</f>
        <v>리테일채널팀</v>
      </c>
      <c r="C726" s="46" t="str">
        <f>IFERROR(VLOOKUP($H726,매장구분!$B:$Z,3,0),"")</f>
        <v>국내</v>
      </c>
      <c r="D726" s="46" t="str">
        <f>IFERROR(VLOOKUP($H726,매장구분!$B:$Z,5,0),"")</f>
        <v>상설(위탁)</v>
      </c>
      <c r="E726" s="46" t="str">
        <f>IFERROR(VLOOKUP($H726,매장구분!$B:$Z,9,0),"")</f>
        <v>롯데아울렛청주(상-위)</v>
      </c>
      <c r="G726" s="36" t="s">
        <v>478</v>
      </c>
      <c r="H726" s="36" t="s">
        <v>479</v>
      </c>
      <c r="I726" s="36" t="s">
        <v>169</v>
      </c>
      <c r="J726" s="36" t="s">
        <v>79</v>
      </c>
      <c r="K726" s="36" t="s">
        <v>170</v>
      </c>
      <c r="L726" s="36" t="s">
        <v>171</v>
      </c>
      <c r="M726" s="36" t="s">
        <v>219</v>
      </c>
      <c r="N726" s="36" t="s">
        <v>219</v>
      </c>
      <c r="O726" s="36">
        <v>433000</v>
      </c>
      <c r="P726" s="36">
        <v>11</v>
      </c>
      <c r="Q726" s="36">
        <v>0</v>
      </c>
      <c r="R726" s="36">
        <v>0</v>
      </c>
      <c r="S726" s="36">
        <v>0</v>
      </c>
      <c r="T726" s="36">
        <v>0</v>
      </c>
      <c r="U726" s="36">
        <v>0</v>
      </c>
      <c r="V726" s="36">
        <v>0</v>
      </c>
      <c r="W726" s="36">
        <v>0</v>
      </c>
      <c r="X726" s="36">
        <v>0</v>
      </c>
      <c r="Y726" s="48">
        <v>0</v>
      </c>
      <c r="Z726" s="36">
        <v>0</v>
      </c>
      <c r="AA726" s="36">
        <v>0</v>
      </c>
      <c r="AB726" s="36">
        <v>0</v>
      </c>
      <c r="AC726" s="36">
        <v>433000</v>
      </c>
      <c r="AD726" s="36">
        <v>11</v>
      </c>
      <c r="AF726" s="47">
        <f t="shared" si="11"/>
        <v>433000</v>
      </c>
    </row>
    <row r="727" spans="1:32" x14ac:dyDescent="0.3">
      <c r="A727" s="46" t="s">
        <v>758</v>
      </c>
      <c r="B727" s="46" t="str">
        <f>IFERROR(VLOOKUP($H727,매장구분!$B:$Z,2,0),"")</f>
        <v>파트너채널팀</v>
      </c>
      <c r="C727" s="46" t="str">
        <f>IFERROR(VLOOKUP($H727,매장구분!$B:$Z,3,0),"")</f>
        <v>국내</v>
      </c>
      <c r="D727" s="46" t="str">
        <f>IFERROR(VLOOKUP($H727,매장구분!$B:$Z,5,0),"")</f>
        <v>백화점</v>
      </c>
      <c r="E727" s="46" t="str">
        <f>IFERROR(VLOOKUP($H727,매장구분!$B:$Z,9,0),"")</f>
        <v>롯데중동</v>
      </c>
      <c r="G727" s="36" t="s">
        <v>510</v>
      </c>
      <c r="H727" s="36" t="s">
        <v>511</v>
      </c>
      <c r="I727" s="36" t="s">
        <v>169</v>
      </c>
      <c r="J727" s="36" t="s">
        <v>175</v>
      </c>
      <c r="K727" s="36" t="s">
        <v>170</v>
      </c>
      <c r="L727" s="36" t="s">
        <v>171</v>
      </c>
      <c r="M727" s="36" t="s">
        <v>77</v>
      </c>
      <c r="N727" s="36" t="s">
        <v>172</v>
      </c>
      <c r="O727" s="36">
        <v>9433310</v>
      </c>
      <c r="P727" s="36">
        <v>93</v>
      </c>
      <c r="Q727" s="36">
        <v>185000</v>
      </c>
      <c r="R727" s="36">
        <v>3</v>
      </c>
      <c r="S727" s="36">
        <v>0</v>
      </c>
      <c r="T727" s="36">
        <v>0</v>
      </c>
      <c r="U727" s="36">
        <v>3563590</v>
      </c>
      <c r="V727" s="36">
        <v>20</v>
      </c>
      <c r="W727" s="36">
        <v>0</v>
      </c>
      <c r="X727" s="36">
        <v>0</v>
      </c>
      <c r="Y727" s="48">
        <v>3668000</v>
      </c>
      <c r="Z727" s="36">
        <v>29</v>
      </c>
      <c r="AA727" s="36">
        <v>0</v>
      </c>
      <c r="AB727" s="36">
        <v>0</v>
      </c>
      <c r="AC727" s="36">
        <v>16849900</v>
      </c>
      <c r="AD727" s="36">
        <v>145</v>
      </c>
      <c r="AF727" s="47">
        <f t="shared" si="11"/>
        <v>13181900</v>
      </c>
    </row>
    <row r="728" spans="1:32" x14ac:dyDescent="0.3">
      <c r="A728" s="46" t="s">
        <v>758</v>
      </c>
      <c r="B728" s="46" t="str">
        <f>IFERROR(VLOOKUP($H728,매장구분!$B:$Z,2,0),"")</f>
        <v>리테일채널팀</v>
      </c>
      <c r="C728" s="46" t="str">
        <f>IFERROR(VLOOKUP($H728,매장구분!$B:$Z,3,0),"")</f>
        <v>국내</v>
      </c>
      <c r="D728" s="46" t="str">
        <f>IFERROR(VLOOKUP($H728,매장구분!$B:$Z,5,0),"")</f>
        <v>대리점</v>
      </c>
      <c r="E728" s="46" t="str">
        <f>IFERROR(VLOOKUP($H728,매장구분!$B:$Z,9,0),"")</f>
        <v>대구성서(대-위)</v>
      </c>
      <c r="G728" s="36" t="s">
        <v>492</v>
      </c>
      <c r="H728" s="36" t="s">
        <v>493</v>
      </c>
      <c r="I728" s="36" t="s">
        <v>169</v>
      </c>
      <c r="J728" s="36" t="s">
        <v>79</v>
      </c>
      <c r="K728" s="36" t="s">
        <v>170</v>
      </c>
      <c r="L728" s="36" t="s">
        <v>171</v>
      </c>
      <c r="M728" s="36" t="s">
        <v>196</v>
      </c>
      <c r="N728" s="36" t="s">
        <v>197</v>
      </c>
      <c r="O728" s="36">
        <v>22721695</v>
      </c>
      <c r="P728" s="36">
        <v>204</v>
      </c>
      <c r="Q728" s="36">
        <v>0</v>
      </c>
      <c r="R728" s="36">
        <v>0</v>
      </c>
      <c r="S728" s="36">
        <v>0</v>
      </c>
      <c r="T728" s="36">
        <v>0</v>
      </c>
      <c r="U728" s="36">
        <v>1605438</v>
      </c>
      <c r="V728" s="36">
        <v>6</v>
      </c>
      <c r="W728" s="36">
        <v>0</v>
      </c>
      <c r="X728" s="36">
        <v>0</v>
      </c>
      <c r="Y728" s="48">
        <v>0</v>
      </c>
      <c r="Z728" s="36">
        <v>0</v>
      </c>
      <c r="AA728" s="36">
        <v>0</v>
      </c>
      <c r="AB728" s="36">
        <v>0</v>
      </c>
      <c r="AC728" s="36">
        <v>24327133</v>
      </c>
      <c r="AD728" s="36">
        <v>210</v>
      </c>
      <c r="AF728" s="47">
        <f t="shared" si="11"/>
        <v>24327133</v>
      </c>
    </row>
    <row r="729" spans="1:32" x14ac:dyDescent="0.3">
      <c r="A729" s="46" t="s">
        <v>758</v>
      </c>
      <c r="B729" s="46" t="str">
        <f>IFERROR(VLOOKUP($H729,매장구분!$B:$Z,2,0),"")</f>
        <v>리테일채널팀</v>
      </c>
      <c r="C729" s="46" t="str">
        <f>IFERROR(VLOOKUP($H729,매장구분!$B:$Z,3,0),"")</f>
        <v>국내</v>
      </c>
      <c r="D729" s="46" t="str">
        <f>IFERROR(VLOOKUP($H729,매장구분!$B:$Z,5,0),"")</f>
        <v>대리점</v>
      </c>
      <c r="E729" s="46" t="str">
        <f>IFERROR(VLOOKUP($H729,매장구분!$B:$Z,9,0),"")</f>
        <v>여천(대-위)</v>
      </c>
      <c r="G729" s="36" t="s">
        <v>500</v>
      </c>
      <c r="H729" s="36" t="s">
        <v>501</v>
      </c>
      <c r="I729" s="36" t="s">
        <v>169</v>
      </c>
      <c r="J729" s="36" t="s">
        <v>79</v>
      </c>
      <c r="K729" s="36" t="s">
        <v>170</v>
      </c>
      <c r="L729" s="36" t="s">
        <v>171</v>
      </c>
      <c r="M729" s="36" t="s">
        <v>196</v>
      </c>
      <c r="N729" s="36" t="s">
        <v>197</v>
      </c>
      <c r="O729" s="36">
        <v>11624196</v>
      </c>
      <c r="P729" s="36">
        <v>136</v>
      </c>
      <c r="Q729" s="36">
        <v>0</v>
      </c>
      <c r="R729" s="36">
        <v>0</v>
      </c>
      <c r="S729" s="36">
        <v>0</v>
      </c>
      <c r="T729" s="36">
        <v>0</v>
      </c>
      <c r="U729" s="36">
        <v>2571465</v>
      </c>
      <c r="V729" s="36">
        <v>19</v>
      </c>
      <c r="W729" s="36">
        <v>0</v>
      </c>
      <c r="X729" s="36">
        <v>0</v>
      </c>
      <c r="Y729" s="48">
        <v>0</v>
      </c>
      <c r="Z729" s="36">
        <v>0</v>
      </c>
      <c r="AA729" s="36">
        <v>0</v>
      </c>
      <c r="AB729" s="36">
        <v>0</v>
      </c>
      <c r="AC729" s="36">
        <v>14195661</v>
      </c>
      <c r="AD729" s="36">
        <v>155</v>
      </c>
      <c r="AF729" s="47">
        <f t="shared" si="11"/>
        <v>14195661</v>
      </c>
    </row>
    <row r="730" spans="1:32" x14ac:dyDescent="0.3">
      <c r="A730" s="46" t="s">
        <v>758</v>
      </c>
      <c r="B730" s="46" t="str">
        <f>IFERROR(VLOOKUP($H730,매장구분!$B:$Z,2,0),"")</f>
        <v>리테일채널팀</v>
      </c>
      <c r="C730" s="46" t="str">
        <f>IFERROR(VLOOKUP($H730,매장구분!$B:$Z,3,0),"")</f>
        <v>국내</v>
      </c>
      <c r="D730" s="46" t="str">
        <f>IFERROR(VLOOKUP($H730,매장구분!$B:$Z,5,0),"")</f>
        <v>대리점</v>
      </c>
      <c r="E730" s="46" t="str">
        <f>IFERROR(VLOOKUP($H730,매장구분!$B:$Z,9,0),"")</f>
        <v>익산(대-위)</v>
      </c>
      <c r="G730" s="36" t="s">
        <v>490</v>
      </c>
      <c r="H730" s="36" t="s">
        <v>491</v>
      </c>
      <c r="I730" s="36" t="s">
        <v>169</v>
      </c>
      <c r="J730" s="36" t="s">
        <v>79</v>
      </c>
      <c r="K730" s="36" t="s">
        <v>170</v>
      </c>
      <c r="L730" s="36" t="s">
        <v>171</v>
      </c>
      <c r="M730" s="36" t="s">
        <v>196</v>
      </c>
      <c r="N730" s="36" t="s">
        <v>197</v>
      </c>
      <c r="O730" s="36">
        <v>12267000</v>
      </c>
      <c r="P730" s="36">
        <v>120</v>
      </c>
      <c r="Q730" s="36">
        <v>0</v>
      </c>
      <c r="R730" s="36">
        <v>0</v>
      </c>
      <c r="S730" s="36">
        <v>0</v>
      </c>
      <c r="T730" s="36">
        <v>0</v>
      </c>
      <c r="U730" s="36">
        <v>850500</v>
      </c>
      <c r="V730" s="36">
        <v>5</v>
      </c>
      <c r="W730" s="36">
        <v>0</v>
      </c>
      <c r="X730" s="36">
        <v>0</v>
      </c>
      <c r="Y730" s="48">
        <v>0</v>
      </c>
      <c r="Z730" s="36">
        <v>0</v>
      </c>
      <c r="AA730" s="36">
        <v>0</v>
      </c>
      <c r="AB730" s="36">
        <v>0</v>
      </c>
      <c r="AC730" s="36">
        <v>13117500</v>
      </c>
      <c r="AD730" s="36">
        <v>125</v>
      </c>
      <c r="AF730" s="47">
        <f t="shared" si="11"/>
        <v>13117500</v>
      </c>
    </row>
    <row r="731" spans="1:32" x14ac:dyDescent="0.3">
      <c r="A731" s="46" t="s">
        <v>758</v>
      </c>
      <c r="B731" s="46" t="str">
        <f>IFERROR(VLOOKUP($H731,매장구분!$B:$Z,2,0),"")</f>
        <v>리테일채널팀</v>
      </c>
      <c r="C731" s="46" t="str">
        <f>IFERROR(VLOOKUP($H731,매장구분!$B:$Z,3,0),"")</f>
        <v>국내</v>
      </c>
      <c r="D731" s="46" t="str">
        <f>IFERROR(VLOOKUP($H731,매장구분!$B:$Z,5,0),"")</f>
        <v>대리점</v>
      </c>
      <c r="E731" s="46" t="str">
        <f>IFERROR(VLOOKUP($H731,매장구분!$B:$Z,9,0),"")</f>
        <v>거제(대-위)</v>
      </c>
      <c r="G731" s="36" t="s">
        <v>502</v>
      </c>
      <c r="H731" s="36" t="s">
        <v>503</v>
      </c>
      <c r="I731" s="36" t="s">
        <v>169</v>
      </c>
      <c r="J731" s="36" t="s">
        <v>79</v>
      </c>
      <c r="K731" s="36" t="s">
        <v>170</v>
      </c>
      <c r="L731" s="36" t="s">
        <v>171</v>
      </c>
      <c r="M731" s="36" t="s">
        <v>196</v>
      </c>
      <c r="N731" s="36" t="s">
        <v>197</v>
      </c>
      <c r="O731" s="36">
        <v>17965580</v>
      </c>
      <c r="P731" s="36">
        <v>163</v>
      </c>
      <c r="Q731" s="36">
        <v>0</v>
      </c>
      <c r="R731" s="36">
        <v>0</v>
      </c>
      <c r="S731" s="36">
        <v>0</v>
      </c>
      <c r="T731" s="36">
        <v>0</v>
      </c>
      <c r="U731" s="36">
        <v>2358020</v>
      </c>
      <c r="V731" s="36">
        <v>14</v>
      </c>
      <c r="W731" s="36">
        <v>0</v>
      </c>
      <c r="X731" s="36">
        <v>0</v>
      </c>
      <c r="Y731" s="48">
        <v>0</v>
      </c>
      <c r="Z731" s="36">
        <v>0</v>
      </c>
      <c r="AA731" s="36">
        <v>0</v>
      </c>
      <c r="AB731" s="36">
        <v>0</v>
      </c>
      <c r="AC731" s="36">
        <v>20323600</v>
      </c>
      <c r="AD731" s="36">
        <v>177</v>
      </c>
      <c r="AF731" s="47">
        <f t="shared" si="11"/>
        <v>20323600</v>
      </c>
    </row>
    <row r="732" spans="1:32" x14ac:dyDescent="0.3">
      <c r="A732" s="46" t="s">
        <v>758</v>
      </c>
      <c r="B732" s="46" t="str">
        <f>IFERROR(VLOOKUP($H732,매장구분!$B:$Z,2,0),"")</f>
        <v>파트너채널팀</v>
      </c>
      <c r="C732" s="46" t="str">
        <f>IFERROR(VLOOKUP($H732,매장구분!$B:$Z,3,0),"")</f>
        <v>국내</v>
      </c>
      <c r="D732" s="46" t="str">
        <f>IFERROR(VLOOKUP($H732,매장구분!$B:$Z,5,0),"")</f>
        <v>백화점</v>
      </c>
      <c r="E732" s="46" t="str">
        <f>IFERROR(VLOOKUP($H732,매장구분!$B:$Z,9,0),"")</f>
        <v>현대중동</v>
      </c>
      <c r="G732" s="36" t="s">
        <v>494</v>
      </c>
      <c r="H732" s="36" t="s">
        <v>495</v>
      </c>
      <c r="I732" s="36" t="s">
        <v>169</v>
      </c>
      <c r="J732" s="36" t="s">
        <v>175</v>
      </c>
      <c r="K732" s="36" t="s">
        <v>170</v>
      </c>
      <c r="L732" s="36" t="s">
        <v>171</v>
      </c>
      <c r="M732" s="36" t="s">
        <v>77</v>
      </c>
      <c r="N732" s="36" t="s">
        <v>172</v>
      </c>
      <c r="O732" s="36">
        <v>14442840</v>
      </c>
      <c r="P732" s="36">
        <v>138</v>
      </c>
      <c r="Q732" s="36">
        <v>99000</v>
      </c>
      <c r="R732" s="36">
        <v>1</v>
      </c>
      <c r="S732" s="36">
        <v>0</v>
      </c>
      <c r="T732" s="36">
        <v>0</v>
      </c>
      <c r="U732" s="36">
        <v>1556160</v>
      </c>
      <c r="V732" s="36">
        <v>7</v>
      </c>
      <c r="W732" s="36">
        <v>0</v>
      </c>
      <c r="X732" s="36">
        <v>0</v>
      </c>
      <c r="Y732" s="48">
        <v>33536000</v>
      </c>
      <c r="Z732" s="36">
        <v>243</v>
      </c>
      <c r="AA732" s="36">
        <v>0</v>
      </c>
      <c r="AB732" s="36">
        <v>0</v>
      </c>
      <c r="AC732" s="36">
        <v>49634000</v>
      </c>
      <c r="AD732" s="36">
        <v>389</v>
      </c>
      <c r="AF732" s="47">
        <f t="shared" si="11"/>
        <v>16098000</v>
      </c>
    </row>
    <row r="733" spans="1:32" x14ac:dyDescent="0.3">
      <c r="A733" s="46" t="s">
        <v>758</v>
      </c>
      <c r="B733" s="46" t="str">
        <f>IFERROR(VLOOKUP($H733,매장구분!$B:$Z,2,0),"")</f>
        <v>파트너채널팀</v>
      </c>
      <c r="C733" s="46" t="str">
        <f>IFERROR(VLOOKUP($H733,매장구분!$B:$Z,3,0),"")</f>
        <v>국내</v>
      </c>
      <c r="D733" s="46" t="str">
        <f>IFERROR(VLOOKUP($H733,매장구분!$B:$Z,5,0),"")</f>
        <v>백화점</v>
      </c>
      <c r="E733" s="46" t="str">
        <f>IFERROR(VLOOKUP($H733,매장구분!$B:$Z,9,0),"")</f>
        <v>아이파크용산</v>
      </c>
      <c r="G733" s="36" t="s">
        <v>496</v>
      </c>
      <c r="H733" s="36" t="s">
        <v>497</v>
      </c>
      <c r="I733" s="36" t="s">
        <v>169</v>
      </c>
      <c r="J733" s="36" t="s">
        <v>175</v>
      </c>
      <c r="K733" s="36" t="s">
        <v>170</v>
      </c>
      <c r="L733" s="36" t="s">
        <v>171</v>
      </c>
      <c r="M733" s="36" t="s">
        <v>188</v>
      </c>
      <c r="N733" s="36" t="s">
        <v>317</v>
      </c>
      <c r="O733" s="36">
        <v>8084386</v>
      </c>
      <c r="P733" s="36">
        <v>114</v>
      </c>
      <c r="Q733" s="36">
        <v>0</v>
      </c>
      <c r="R733" s="36">
        <v>0</v>
      </c>
      <c r="S733" s="36">
        <v>0</v>
      </c>
      <c r="T733" s="36">
        <v>0</v>
      </c>
      <c r="U733" s="36">
        <v>646170</v>
      </c>
      <c r="V733" s="36">
        <v>3</v>
      </c>
      <c r="W733" s="36">
        <v>0</v>
      </c>
      <c r="X733" s="36">
        <v>0</v>
      </c>
      <c r="Y733" s="48">
        <v>25952244</v>
      </c>
      <c r="Z733" s="36">
        <v>222</v>
      </c>
      <c r="AA733" s="36">
        <v>0</v>
      </c>
      <c r="AB733" s="36">
        <v>0</v>
      </c>
      <c r="AC733" s="36">
        <v>34682800</v>
      </c>
      <c r="AD733" s="36">
        <v>339</v>
      </c>
      <c r="AF733" s="47">
        <f t="shared" si="11"/>
        <v>8730556</v>
      </c>
    </row>
    <row r="734" spans="1:32" x14ac:dyDescent="0.3">
      <c r="A734" s="46" t="s">
        <v>758</v>
      </c>
      <c r="B734" s="46" t="str">
        <f>IFERROR(VLOOKUP($H734,매장구분!$B:$Z,2,0),"")</f>
        <v>파트너채널팀</v>
      </c>
      <c r="C734" s="46" t="str">
        <f>IFERROR(VLOOKUP($H734,매장구분!$B:$Z,3,0),"")</f>
        <v>국내</v>
      </c>
      <c r="D734" s="46" t="str">
        <f>IFERROR(VLOOKUP($H734,매장구분!$B:$Z,5,0),"")</f>
        <v>백화점</v>
      </c>
      <c r="E734" s="46" t="str">
        <f>IFERROR(VLOOKUP($H734,매장구분!$B:$Z,9,0),"")</f>
        <v>현대미아</v>
      </c>
      <c r="G734" s="36" t="s">
        <v>512</v>
      </c>
      <c r="H734" s="36" t="s">
        <v>513</v>
      </c>
      <c r="I734" s="36" t="s">
        <v>169</v>
      </c>
      <c r="J734" s="36" t="s">
        <v>175</v>
      </c>
      <c r="K734" s="36" t="s">
        <v>170</v>
      </c>
      <c r="L734" s="36" t="s">
        <v>171</v>
      </c>
      <c r="M734" s="36" t="s">
        <v>77</v>
      </c>
      <c r="N734" s="36" t="s">
        <v>172</v>
      </c>
      <c r="O734" s="36">
        <v>3756290</v>
      </c>
      <c r="P734" s="36">
        <v>31</v>
      </c>
      <c r="Q734" s="36">
        <v>3483000</v>
      </c>
      <c r="R734" s="36">
        <v>58</v>
      </c>
      <c r="S734" s="36">
        <v>0</v>
      </c>
      <c r="T734" s="36">
        <v>0</v>
      </c>
      <c r="U734" s="36">
        <v>418110</v>
      </c>
      <c r="V734" s="36">
        <v>3</v>
      </c>
      <c r="W734" s="36">
        <v>0</v>
      </c>
      <c r="X734" s="36">
        <v>0</v>
      </c>
      <c r="Y734" s="48">
        <v>-5178000</v>
      </c>
      <c r="Z734" s="36">
        <v>-22</v>
      </c>
      <c r="AA734" s="36">
        <v>-90300</v>
      </c>
      <c r="AB734" s="36">
        <v>-1</v>
      </c>
      <c r="AC734" s="36">
        <v>2389100</v>
      </c>
      <c r="AD734" s="36">
        <v>69</v>
      </c>
      <c r="AF734" s="47">
        <f t="shared" si="11"/>
        <v>7567100</v>
      </c>
    </row>
    <row r="735" spans="1:32" x14ac:dyDescent="0.3">
      <c r="A735" s="46" t="s">
        <v>758</v>
      </c>
      <c r="B735" s="46" t="str">
        <f>IFERROR(VLOOKUP($H735,매장구분!$B:$Z,2,0),"")</f>
        <v>E-biz</v>
      </c>
      <c r="C735" s="46" t="str">
        <f>IFERROR(VLOOKUP($H735,매장구분!$B:$Z,3,0),"")</f>
        <v>국내</v>
      </c>
      <c r="D735" s="46" t="str">
        <f>IFERROR(VLOOKUP($H735,매장구분!$B:$Z,5,0),"")</f>
        <v>온(제휴몰)</v>
      </c>
      <c r="E735" s="46" t="str">
        <f>IFERROR(VLOOKUP($H735,매장구분!$B:$Z,9,0),"")</f>
        <v>SSG닷컴(제휴몰)</v>
      </c>
      <c r="G735" s="36" t="s">
        <v>498</v>
      </c>
      <c r="H735" s="36" t="s">
        <v>499</v>
      </c>
      <c r="I735" s="36" t="s">
        <v>169</v>
      </c>
      <c r="J735" s="36" t="s">
        <v>180</v>
      </c>
      <c r="K735" s="36" t="s">
        <v>170</v>
      </c>
      <c r="L735" s="36" t="s">
        <v>181</v>
      </c>
      <c r="M735" s="36" t="s">
        <v>181</v>
      </c>
      <c r="N735" s="36" t="s">
        <v>185</v>
      </c>
      <c r="O735" s="36">
        <v>18756300</v>
      </c>
      <c r="P735" s="36">
        <v>215</v>
      </c>
      <c r="Q735" s="36">
        <v>0</v>
      </c>
      <c r="R735" s="36">
        <v>0</v>
      </c>
      <c r="S735" s="36">
        <v>0</v>
      </c>
      <c r="T735" s="36">
        <v>0</v>
      </c>
      <c r="U735" s="36">
        <v>0</v>
      </c>
      <c r="V735" s="36">
        <v>0</v>
      </c>
      <c r="W735" s="36">
        <v>0</v>
      </c>
      <c r="X735" s="36">
        <v>0</v>
      </c>
      <c r="Y735" s="48">
        <v>0</v>
      </c>
      <c r="Z735" s="36">
        <v>0</v>
      </c>
      <c r="AA735" s="36">
        <v>0</v>
      </c>
      <c r="AB735" s="36">
        <v>0</v>
      </c>
      <c r="AC735" s="36">
        <v>18756300</v>
      </c>
      <c r="AD735" s="36">
        <v>215</v>
      </c>
      <c r="AF735" s="47">
        <f t="shared" si="11"/>
        <v>18756300</v>
      </c>
    </row>
    <row r="736" spans="1:32" x14ac:dyDescent="0.3">
      <c r="A736" s="46" t="s">
        <v>758</v>
      </c>
      <c r="B736" s="46" t="str">
        <f>IFERROR(VLOOKUP($H736,매장구분!$B:$Z,2,0),"")</f>
        <v>파트너채널팀</v>
      </c>
      <c r="C736" s="46" t="str">
        <f>IFERROR(VLOOKUP($H736,매장구분!$B:$Z,3,0),"")</f>
        <v>국내</v>
      </c>
      <c r="D736" s="46" t="str">
        <f>IFERROR(VLOOKUP($H736,매장구분!$B:$Z,5,0),"")</f>
        <v>백화점</v>
      </c>
      <c r="E736" s="46" t="str">
        <f>IFERROR(VLOOKUP($H736,매장구분!$B:$Z,9,0),"")</f>
        <v>롯데일산</v>
      </c>
      <c r="G736" s="36" t="s">
        <v>508</v>
      </c>
      <c r="H736" s="36" t="s">
        <v>509</v>
      </c>
      <c r="I736" s="36" t="s">
        <v>169</v>
      </c>
      <c r="J736" s="36" t="s">
        <v>175</v>
      </c>
      <c r="K736" s="36" t="s">
        <v>170</v>
      </c>
      <c r="L736" s="36" t="s">
        <v>171</v>
      </c>
      <c r="M736" s="36" t="s">
        <v>77</v>
      </c>
      <c r="N736" s="36" t="s">
        <v>172</v>
      </c>
      <c r="O736" s="36">
        <v>12558011</v>
      </c>
      <c r="P736" s="36">
        <v>128</v>
      </c>
      <c r="Q736" s="36">
        <v>0</v>
      </c>
      <c r="R736" s="36">
        <v>0</v>
      </c>
      <c r="S736" s="36">
        <v>0</v>
      </c>
      <c r="T736" s="36">
        <v>0</v>
      </c>
      <c r="U736" s="36">
        <v>2497726</v>
      </c>
      <c r="V736" s="36">
        <v>15</v>
      </c>
      <c r="W736" s="36">
        <v>0</v>
      </c>
      <c r="X736" s="36">
        <v>0</v>
      </c>
      <c r="Y736" s="48">
        <v>23509863</v>
      </c>
      <c r="Z736" s="36">
        <v>269</v>
      </c>
      <c r="AA736" s="36">
        <v>0</v>
      </c>
      <c r="AB736" s="36">
        <v>0</v>
      </c>
      <c r="AC736" s="36">
        <v>38565600</v>
      </c>
      <c r="AD736" s="36">
        <v>412</v>
      </c>
      <c r="AF736" s="47">
        <f t="shared" si="11"/>
        <v>15055737</v>
      </c>
    </row>
    <row r="737" spans="1:32" x14ac:dyDescent="0.3">
      <c r="A737" s="46" t="s">
        <v>758</v>
      </c>
      <c r="B737" s="46" t="str">
        <f>IFERROR(VLOOKUP($H737,매장구분!$B:$Z,2,0),"")</f>
        <v>리테일채널팀</v>
      </c>
      <c r="C737" s="46" t="str">
        <f>IFERROR(VLOOKUP($H737,매장구분!$B:$Z,3,0),"")</f>
        <v>국내</v>
      </c>
      <c r="D737" s="46" t="str">
        <f>IFERROR(VLOOKUP($H737,매장구분!$B:$Z,5,0),"")</f>
        <v>대리점</v>
      </c>
      <c r="E737" s="46" t="str">
        <f>IFERROR(VLOOKUP($H737,매장구분!$B:$Z,9,0),"")</f>
        <v>속초(대-위)</v>
      </c>
      <c r="G737" s="36" t="s">
        <v>488</v>
      </c>
      <c r="H737" s="36" t="s">
        <v>489</v>
      </c>
      <c r="I737" s="36" t="s">
        <v>169</v>
      </c>
      <c r="J737" s="36" t="s">
        <v>79</v>
      </c>
      <c r="K737" s="36" t="s">
        <v>170</v>
      </c>
      <c r="L737" s="36" t="s">
        <v>171</v>
      </c>
      <c r="M737" s="36" t="s">
        <v>196</v>
      </c>
      <c r="N737" s="36" t="s">
        <v>197</v>
      </c>
      <c r="O737" s="36">
        <v>12133265</v>
      </c>
      <c r="P737" s="36">
        <v>132</v>
      </c>
      <c r="Q737" s="36">
        <v>0</v>
      </c>
      <c r="R737" s="36">
        <v>0</v>
      </c>
      <c r="S737" s="36">
        <v>0</v>
      </c>
      <c r="T737" s="36">
        <v>0</v>
      </c>
      <c r="U737" s="36">
        <v>2339735</v>
      </c>
      <c r="V737" s="36">
        <v>14</v>
      </c>
      <c r="W737" s="36">
        <v>0</v>
      </c>
      <c r="X737" s="36">
        <v>0</v>
      </c>
      <c r="Y737" s="48">
        <v>0</v>
      </c>
      <c r="Z737" s="36">
        <v>0</v>
      </c>
      <c r="AA737" s="36">
        <v>0</v>
      </c>
      <c r="AB737" s="36">
        <v>0</v>
      </c>
      <c r="AC737" s="36">
        <v>14473000</v>
      </c>
      <c r="AD737" s="36">
        <v>146</v>
      </c>
      <c r="AF737" s="47">
        <f t="shared" si="11"/>
        <v>14473000</v>
      </c>
    </row>
    <row r="738" spans="1:32" x14ac:dyDescent="0.3">
      <c r="A738" s="46" t="s">
        <v>758</v>
      </c>
      <c r="B738" s="46" t="str">
        <f>IFERROR(VLOOKUP($H738,매장구분!$B:$Z,2,0),"")</f>
        <v>리테일채널팀</v>
      </c>
      <c r="C738" s="46" t="str">
        <f>IFERROR(VLOOKUP($H738,매장구분!$B:$Z,3,0),"")</f>
        <v>국내</v>
      </c>
      <c r="D738" s="46" t="str">
        <f>IFERROR(VLOOKUP($H738,매장구분!$B:$Z,5,0),"")</f>
        <v>대리점</v>
      </c>
      <c r="E738" s="46" t="str">
        <f>IFERROR(VLOOKUP($H738,매장구분!$B:$Z,9,0),"")</f>
        <v>통영(대-위)</v>
      </c>
      <c r="G738" s="36" t="s">
        <v>506</v>
      </c>
      <c r="H738" s="36" t="s">
        <v>507</v>
      </c>
      <c r="I738" s="36" t="s">
        <v>169</v>
      </c>
      <c r="J738" s="36" t="s">
        <v>79</v>
      </c>
      <c r="K738" s="36" t="s">
        <v>170</v>
      </c>
      <c r="L738" s="36" t="s">
        <v>171</v>
      </c>
      <c r="M738" s="36" t="s">
        <v>196</v>
      </c>
      <c r="N738" s="36" t="s">
        <v>197</v>
      </c>
      <c r="O738" s="36">
        <v>4330800</v>
      </c>
      <c r="P738" s="36">
        <v>39</v>
      </c>
      <c r="Q738" s="36">
        <v>0</v>
      </c>
      <c r="R738" s="36">
        <v>0</v>
      </c>
      <c r="S738" s="36">
        <v>0</v>
      </c>
      <c r="T738" s="36">
        <v>0</v>
      </c>
      <c r="U738" s="36">
        <v>1304000</v>
      </c>
      <c r="V738" s="36">
        <v>6</v>
      </c>
      <c r="W738" s="36">
        <v>0</v>
      </c>
      <c r="X738" s="36">
        <v>0</v>
      </c>
      <c r="Y738" s="48">
        <v>0</v>
      </c>
      <c r="Z738" s="36">
        <v>0</v>
      </c>
      <c r="AA738" s="36">
        <v>0</v>
      </c>
      <c r="AB738" s="36">
        <v>0</v>
      </c>
      <c r="AC738" s="36">
        <v>5634800</v>
      </c>
      <c r="AD738" s="36">
        <v>45</v>
      </c>
      <c r="AF738" s="47">
        <f t="shared" si="11"/>
        <v>5634800</v>
      </c>
    </row>
    <row r="739" spans="1:32" x14ac:dyDescent="0.3">
      <c r="A739" s="46" t="s">
        <v>758</v>
      </c>
      <c r="B739" s="46" t="str">
        <f>IFERROR(VLOOKUP($H739,매장구분!$B:$Z,2,0),"")</f>
        <v>파트너채널팀</v>
      </c>
      <c r="C739" s="46" t="str">
        <f>IFERROR(VLOOKUP($H739,매장구분!$B:$Z,3,0),"")</f>
        <v>국내</v>
      </c>
      <c r="D739" s="46" t="str">
        <f>IFERROR(VLOOKUP($H739,매장구분!$B:$Z,5,0),"")</f>
        <v>백화점</v>
      </c>
      <c r="E739" s="46" t="str">
        <f>IFERROR(VLOOKUP($H739,매장구분!$B:$Z,9,0),"")</f>
        <v>신세계광주</v>
      </c>
      <c r="G739" s="36" t="s">
        <v>504</v>
      </c>
      <c r="H739" s="36" t="s">
        <v>505</v>
      </c>
      <c r="I739" s="36" t="s">
        <v>169</v>
      </c>
      <c r="J739" s="36" t="s">
        <v>175</v>
      </c>
      <c r="K739" s="36" t="s">
        <v>170</v>
      </c>
      <c r="L739" s="36" t="s">
        <v>171</v>
      </c>
      <c r="M739" s="36" t="s">
        <v>77</v>
      </c>
      <c r="N739" s="36" t="s">
        <v>172</v>
      </c>
      <c r="O739" s="36">
        <v>13223150</v>
      </c>
      <c r="P739" s="36">
        <v>146</v>
      </c>
      <c r="Q739" s="36">
        <v>0</v>
      </c>
      <c r="R739" s="36">
        <v>0</v>
      </c>
      <c r="S739" s="36">
        <v>0</v>
      </c>
      <c r="T739" s="36">
        <v>0</v>
      </c>
      <c r="U739" s="36">
        <v>2764550</v>
      </c>
      <c r="V739" s="36">
        <v>17</v>
      </c>
      <c r="W739" s="36">
        <v>0</v>
      </c>
      <c r="X739" s="36">
        <v>0</v>
      </c>
      <c r="Y739" s="48">
        <v>0</v>
      </c>
      <c r="Z739" s="36">
        <v>0</v>
      </c>
      <c r="AA739" s="36">
        <v>0</v>
      </c>
      <c r="AB739" s="36">
        <v>0</v>
      </c>
      <c r="AC739" s="36">
        <v>15987700</v>
      </c>
      <c r="AD739" s="36">
        <v>163</v>
      </c>
      <c r="AF739" s="47">
        <f t="shared" si="11"/>
        <v>15987700</v>
      </c>
    </row>
    <row r="740" spans="1:32" x14ac:dyDescent="0.3">
      <c r="A740" s="46" t="s">
        <v>758</v>
      </c>
      <c r="B740" s="46" t="str">
        <f>IFERROR(VLOOKUP($H740,매장구분!$B:$Z,2,0),"")</f>
        <v>파트너채널팀</v>
      </c>
      <c r="C740" s="46" t="str">
        <f>IFERROR(VLOOKUP($H740,매장구분!$B:$Z,3,0),"")</f>
        <v>국내</v>
      </c>
      <c r="D740" s="46" t="str">
        <f>IFERROR(VLOOKUP($H740,매장구분!$B:$Z,5,0),"")</f>
        <v>백화점</v>
      </c>
      <c r="E740" s="46" t="str">
        <f>IFERROR(VLOOKUP($H740,매장구분!$B:$Z,9,0),"")</f>
        <v>갤러리아진주</v>
      </c>
      <c r="G740" s="36" t="s">
        <v>516</v>
      </c>
      <c r="H740" s="36" t="s">
        <v>517</v>
      </c>
      <c r="I740" s="36" t="s">
        <v>169</v>
      </c>
      <c r="J740" s="36" t="s">
        <v>175</v>
      </c>
      <c r="K740" s="36" t="s">
        <v>170</v>
      </c>
      <c r="L740" s="36" t="s">
        <v>171</v>
      </c>
      <c r="M740" s="36" t="s">
        <v>77</v>
      </c>
      <c r="N740" s="36" t="s">
        <v>172</v>
      </c>
      <c r="O740" s="36">
        <v>9463130</v>
      </c>
      <c r="P740" s="36">
        <v>99</v>
      </c>
      <c r="Q740" s="36">
        <v>1384000</v>
      </c>
      <c r="R740" s="36">
        <v>14</v>
      </c>
      <c r="S740" s="36">
        <v>0</v>
      </c>
      <c r="T740" s="36">
        <v>0</v>
      </c>
      <c r="U740" s="36">
        <v>1534370</v>
      </c>
      <c r="V740" s="36">
        <v>12</v>
      </c>
      <c r="W740" s="36">
        <v>0</v>
      </c>
      <c r="X740" s="36">
        <v>0</v>
      </c>
      <c r="Y740" s="48">
        <v>0</v>
      </c>
      <c r="Z740" s="36">
        <v>0</v>
      </c>
      <c r="AA740" s="36">
        <v>0</v>
      </c>
      <c r="AB740" s="36">
        <v>0</v>
      </c>
      <c r="AC740" s="36">
        <v>12381500</v>
      </c>
      <c r="AD740" s="36">
        <v>125</v>
      </c>
      <c r="AF740" s="47">
        <f t="shared" si="11"/>
        <v>12381500</v>
      </c>
    </row>
    <row r="741" spans="1:32" x14ac:dyDescent="0.3">
      <c r="A741" s="46" t="s">
        <v>758</v>
      </c>
      <c r="B741" s="46" t="str">
        <f>IFERROR(VLOOKUP($H741,매장구분!$B:$Z,2,0),"")</f>
        <v>리테일채널팀</v>
      </c>
      <c r="C741" s="46" t="str">
        <f>IFERROR(VLOOKUP($H741,매장구분!$B:$Z,3,0),"")</f>
        <v>국내</v>
      </c>
      <c r="D741" s="46" t="str">
        <f>IFERROR(VLOOKUP($H741,매장구분!$B:$Z,5,0),"")</f>
        <v>상설(위탁)</v>
      </c>
      <c r="E741" s="46" t="str">
        <f>IFERROR(VLOOKUP($H741,매장구분!$B:$Z,9,0),"")</f>
        <v>현대아울렛김포(상-위)</v>
      </c>
      <c r="G741" s="36" t="s">
        <v>522</v>
      </c>
      <c r="H741" s="36" t="s">
        <v>523</v>
      </c>
      <c r="I741" s="36" t="s">
        <v>169</v>
      </c>
      <c r="J741" s="36" t="s">
        <v>79</v>
      </c>
      <c r="K741" s="36" t="s">
        <v>170</v>
      </c>
      <c r="L741" s="36" t="s">
        <v>171</v>
      </c>
      <c r="M741" s="36" t="s">
        <v>219</v>
      </c>
      <c r="N741" s="36" t="s">
        <v>219</v>
      </c>
      <c r="O741" s="36">
        <v>2616000</v>
      </c>
      <c r="P741" s="36">
        <v>55</v>
      </c>
      <c r="Q741" s="36">
        <v>0</v>
      </c>
      <c r="R741" s="36">
        <v>0</v>
      </c>
      <c r="S741" s="36">
        <v>0</v>
      </c>
      <c r="T741" s="36">
        <v>0</v>
      </c>
      <c r="U741" s="36">
        <v>0</v>
      </c>
      <c r="V741" s="36">
        <v>0</v>
      </c>
      <c r="W741" s="36">
        <v>0</v>
      </c>
      <c r="X741" s="36">
        <v>0</v>
      </c>
      <c r="Y741" s="48">
        <v>0</v>
      </c>
      <c r="Z741" s="36">
        <v>0</v>
      </c>
      <c r="AA741" s="36">
        <v>0</v>
      </c>
      <c r="AB741" s="36">
        <v>0</v>
      </c>
      <c r="AC741" s="36">
        <v>2616000</v>
      </c>
      <c r="AD741" s="36">
        <v>55</v>
      </c>
      <c r="AF741" s="47">
        <f t="shared" si="11"/>
        <v>2616000</v>
      </c>
    </row>
    <row r="742" spans="1:32" x14ac:dyDescent="0.3">
      <c r="A742" s="46" t="s">
        <v>758</v>
      </c>
      <c r="B742" s="46" t="str">
        <f>IFERROR(VLOOKUP($H742,매장구분!$B:$Z,2,0),"")</f>
        <v>리테일채널팀</v>
      </c>
      <c r="C742" s="46" t="str">
        <f>IFERROR(VLOOKUP($H742,매장구분!$B:$Z,3,0),"")</f>
        <v>RF</v>
      </c>
      <c r="D742" s="46" t="str">
        <f>IFERROR(VLOOKUP($H742,매장구분!$B:$Z,5,0),"")</f>
        <v>대리점</v>
      </c>
      <c r="E742" s="46" t="str">
        <f>IFERROR(VLOOKUP($H742,매장구분!$B:$Z,9,0),"")</f>
        <v>두타(대-위)</v>
      </c>
      <c r="G742" s="36" t="s">
        <v>484</v>
      </c>
      <c r="H742" s="36" t="s">
        <v>485</v>
      </c>
      <c r="I742" s="36" t="s">
        <v>169</v>
      </c>
      <c r="J742" s="36" t="s">
        <v>79</v>
      </c>
      <c r="K742" s="36" t="s">
        <v>170</v>
      </c>
      <c r="L742" s="36" t="s">
        <v>171</v>
      </c>
      <c r="M742" s="36" t="s">
        <v>196</v>
      </c>
      <c r="N742" s="36" t="s">
        <v>197</v>
      </c>
      <c r="O742" s="36">
        <v>11920000</v>
      </c>
      <c r="P742" s="36">
        <v>166</v>
      </c>
      <c r="Q742" s="36">
        <v>0</v>
      </c>
      <c r="R742" s="36">
        <v>0</v>
      </c>
      <c r="S742" s="36">
        <v>0</v>
      </c>
      <c r="T742" s="36">
        <v>0</v>
      </c>
      <c r="U742" s="36">
        <v>846400</v>
      </c>
      <c r="V742" s="36">
        <v>2</v>
      </c>
      <c r="W742" s="36">
        <v>0</v>
      </c>
      <c r="X742" s="36">
        <v>0</v>
      </c>
      <c r="Y742" s="48">
        <v>8752800</v>
      </c>
      <c r="Z742" s="36">
        <v>72</v>
      </c>
      <c r="AA742" s="36">
        <v>0</v>
      </c>
      <c r="AB742" s="36">
        <v>0</v>
      </c>
      <c r="AC742" s="36">
        <v>21519200</v>
      </c>
      <c r="AD742" s="36">
        <v>240</v>
      </c>
      <c r="AF742" s="47">
        <f t="shared" si="11"/>
        <v>12766400</v>
      </c>
    </row>
    <row r="743" spans="1:32" x14ac:dyDescent="0.3">
      <c r="A743" s="46" t="s">
        <v>758</v>
      </c>
      <c r="B743" s="46" t="str">
        <f>IFERROR(VLOOKUP($H743,매장구분!$B:$Z,2,0),"")</f>
        <v>E-biz</v>
      </c>
      <c r="C743" s="46" t="str">
        <f>IFERROR(VLOOKUP($H743,매장구분!$B:$Z,3,0),"")</f>
        <v>국내</v>
      </c>
      <c r="D743" s="46" t="str">
        <f>IFERROR(VLOOKUP($H743,매장구분!$B:$Z,5,0),"")</f>
        <v>온(제휴몰)</v>
      </c>
      <c r="E743" s="46" t="str">
        <f>IFERROR(VLOOKUP($H743,매장구분!$B:$Z,9,0),"")</f>
        <v>29CM(제휴몰)</v>
      </c>
      <c r="G743" s="36" t="s">
        <v>518</v>
      </c>
      <c r="H743" s="36" t="s">
        <v>519</v>
      </c>
      <c r="I743" s="36" t="s">
        <v>169</v>
      </c>
      <c r="J743" s="36" t="s">
        <v>180</v>
      </c>
      <c r="K743" s="36" t="s">
        <v>170</v>
      </c>
      <c r="L743" s="36" t="s">
        <v>181</v>
      </c>
      <c r="M743" s="36" t="s">
        <v>181</v>
      </c>
      <c r="N743" s="36" t="s">
        <v>185</v>
      </c>
      <c r="O743" s="36">
        <v>19091200</v>
      </c>
      <c r="P743" s="36">
        <v>269</v>
      </c>
      <c r="Q743" s="36">
        <v>0</v>
      </c>
      <c r="R743" s="36">
        <v>0</v>
      </c>
      <c r="S743" s="36">
        <v>0</v>
      </c>
      <c r="T743" s="36">
        <v>0</v>
      </c>
      <c r="U743" s="36">
        <v>0</v>
      </c>
      <c r="V743" s="36">
        <v>0</v>
      </c>
      <c r="W743" s="36">
        <v>0</v>
      </c>
      <c r="X743" s="36">
        <v>0</v>
      </c>
      <c r="Y743" s="48">
        <v>0</v>
      </c>
      <c r="Z743" s="36">
        <v>0</v>
      </c>
      <c r="AA743" s="36">
        <v>0</v>
      </c>
      <c r="AB743" s="36">
        <v>0</v>
      </c>
      <c r="AC743" s="36">
        <v>19091200</v>
      </c>
      <c r="AD743" s="36">
        <v>269</v>
      </c>
      <c r="AF743" s="47">
        <f t="shared" si="11"/>
        <v>19091200</v>
      </c>
    </row>
    <row r="744" spans="1:32" x14ac:dyDescent="0.3">
      <c r="A744" s="46" t="s">
        <v>758</v>
      </c>
      <c r="B744" s="46" t="str">
        <f>IFERROR(VLOOKUP($H744,매장구분!$B:$Z,2,0),"")</f>
        <v>리테일채널팀</v>
      </c>
      <c r="C744" s="46" t="str">
        <f>IFERROR(VLOOKUP($H744,매장구분!$B:$Z,3,0),"")</f>
        <v>국내</v>
      </c>
      <c r="D744" s="46" t="str">
        <f>IFERROR(VLOOKUP($H744,매장구분!$B:$Z,5,0),"")</f>
        <v>대리점</v>
      </c>
      <c r="E744" s="46" t="str">
        <f>IFERROR(VLOOKUP($H744,매장구분!$B:$Z,9,0),"")</f>
        <v>해남(대-위)</v>
      </c>
      <c r="G744" s="36" t="s">
        <v>514</v>
      </c>
      <c r="H744" s="36" t="s">
        <v>515</v>
      </c>
      <c r="I744" s="36" t="s">
        <v>169</v>
      </c>
      <c r="J744" s="36" t="s">
        <v>79</v>
      </c>
      <c r="K744" s="36" t="s">
        <v>170</v>
      </c>
      <c r="L744" s="36" t="s">
        <v>171</v>
      </c>
      <c r="M744" s="36" t="s">
        <v>196</v>
      </c>
      <c r="N744" s="36" t="s">
        <v>197</v>
      </c>
      <c r="O744" s="36">
        <v>13341219</v>
      </c>
      <c r="P744" s="36">
        <v>120</v>
      </c>
      <c r="Q744" s="36">
        <v>0</v>
      </c>
      <c r="R744" s="36">
        <v>0</v>
      </c>
      <c r="S744" s="36">
        <v>0</v>
      </c>
      <c r="T744" s="36">
        <v>0</v>
      </c>
      <c r="U744" s="36">
        <v>3838639</v>
      </c>
      <c r="V744" s="36">
        <v>28</v>
      </c>
      <c r="W744" s="36">
        <v>0</v>
      </c>
      <c r="X744" s="36">
        <v>0</v>
      </c>
      <c r="Y744" s="48">
        <v>0</v>
      </c>
      <c r="Z744" s="36">
        <v>0</v>
      </c>
      <c r="AA744" s="36">
        <v>0</v>
      </c>
      <c r="AB744" s="36">
        <v>0</v>
      </c>
      <c r="AC744" s="36">
        <v>17179858</v>
      </c>
      <c r="AD744" s="36">
        <v>148</v>
      </c>
      <c r="AF744" s="47">
        <f t="shared" si="11"/>
        <v>17179858</v>
      </c>
    </row>
    <row r="745" spans="1:32" x14ac:dyDescent="0.3">
      <c r="A745" s="46" t="s">
        <v>758</v>
      </c>
      <c r="B745" s="46" t="str">
        <f>IFERROR(VLOOKUP($H745,매장구분!$B:$Z,2,0),"")</f>
        <v>리테일채널팀</v>
      </c>
      <c r="C745" s="46" t="str">
        <f>IFERROR(VLOOKUP($H745,매장구분!$B:$Z,3,0),"")</f>
        <v>국내</v>
      </c>
      <c r="D745" s="46" t="str">
        <f>IFERROR(VLOOKUP($H745,매장구분!$B:$Z,5,0),"")</f>
        <v>대리점</v>
      </c>
      <c r="E745" s="46" t="str">
        <f>IFERROR(VLOOKUP($H745,매장구분!$B:$Z,9,0),"")</f>
        <v>목포하당(대-위)</v>
      </c>
      <c r="G745" s="36" t="s">
        <v>486</v>
      </c>
      <c r="H745" s="36" t="s">
        <v>487</v>
      </c>
      <c r="I745" s="36" t="s">
        <v>169</v>
      </c>
      <c r="J745" s="36" t="s">
        <v>79</v>
      </c>
      <c r="K745" s="36" t="s">
        <v>170</v>
      </c>
      <c r="L745" s="36" t="s">
        <v>171</v>
      </c>
      <c r="M745" s="36" t="s">
        <v>196</v>
      </c>
      <c r="N745" s="36" t="s">
        <v>197</v>
      </c>
      <c r="O745" s="36">
        <v>35233466</v>
      </c>
      <c r="P745" s="36">
        <v>290</v>
      </c>
      <c r="Q745" s="36">
        <v>0</v>
      </c>
      <c r="R745" s="36">
        <v>0</v>
      </c>
      <c r="S745" s="36">
        <v>0</v>
      </c>
      <c r="T745" s="36">
        <v>0</v>
      </c>
      <c r="U745" s="36">
        <v>4722287</v>
      </c>
      <c r="V745" s="36">
        <v>31</v>
      </c>
      <c r="W745" s="36">
        <v>0</v>
      </c>
      <c r="X745" s="36">
        <v>0</v>
      </c>
      <c r="Y745" s="48">
        <v>0</v>
      </c>
      <c r="Z745" s="36">
        <v>0</v>
      </c>
      <c r="AA745" s="36">
        <v>0</v>
      </c>
      <c r="AB745" s="36">
        <v>0</v>
      </c>
      <c r="AC745" s="36">
        <v>39955753</v>
      </c>
      <c r="AD745" s="36">
        <v>321</v>
      </c>
      <c r="AF745" s="47">
        <f t="shared" si="11"/>
        <v>39955753</v>
      </c>
    </row>
    <row r="746" spans="1:32" x14ac:dyDescent="0.3">
      <c r="A746" s="46" t="s">
        <v>758</v>
      </c>
      <c r="B746" s="46" t="str">
        <f>IFERROR(VLOOKUP($H746,매장구분!$B:$Z,2,0),"")</f>
        <v>리테일채널팀</v>
      </c>
      <c r="C746" s="46" t="str">
        <f>IFERROR(VLOOKUP($H746,매장구분!$B:$Z,3,0),"")</f>
        <v>국내</v>
      </c>
      <c r="D746" s="46" t="str">
        <f>IFERROR(VLOOKUP($H746,매장구분!$B:$Z,5,0),"")</f>
        <v>상설(위탁)</v>
      </c>
      <c r="E746" s="46" t="str">
        <f>IFERROR(VLOOKUP($H746,매장구분!$B:$Z,9,0),"")</f>
        <v>신세계아울렛시흥(상-위)</v>
      </c>
      <c r="G746" s="36" t="s">
        <v>524</v>
      </c>
      <c r="H746" s="36" t="s">
        <v>525</v>
      </c>
      <c r="I746" s="36" t="s">
        <v>169</v>
      </c>
      <c r="J746" s="36" t="s">
        <v>79</v>
      </c>
      <c r="K746" s="36" t="s">
        <v>170</v>
      </c>
      <c r="L746" s="36" t="s">
        <v>171</v>
      </c>
      <c r="M746" s="36" t="s">
        <v>219</v>
      </c>
      <c r="N746" s="36" t="s">
        <v>219</v>
      </c>
      <c r="O746" s="36">
        <v>3457000</v>
      </c>
      <c r="P746" s="36">
        <v>86</v>
      </c>
      <c r="Q746" s="36">
        <v>0</v>
      </c>
      <c r="R746" s="36">
        <v>0</v>
      </c>
      <c r="S746" s="36">
        <v>0</v>
      </c>
      <c r="T746" s="36">
        <v>0</v>
      </c>
      <c r="U746" s="36">
        <v>0</v>
      </c>
      <c r="V746" s="36">
        <v>0</v>
      </c>
      <c r="W746" s="36">
        <v>0</v>
      </c>
      <c r="X746" s="36">
        <v>0</v>
      </c>
      <c r="Y746" s="48">
        <v>0</v>
      </c>
      <c r="Z746" s="36">
        <v>0</v>
      </c>
      <c r="AA746" s="36">
        <v>0</v>
      </c>
      <c r="AB746" s="36">
        <v>0</v>
      </c>
      <c r="AC746" s="36">
        <v>3457000</v>
      </c>
      <c r="AD746" s="36">
        <v>86</v>
      </c>
      <c r="AF746" s="47">
        <f t="shared" si="11"/>
        <v>3457000</v>
      </c>
    </row>
    <row r="747" spans="1:32" x14ac:dyDescent="0.3">
      <c r="A747" s="46" t="s">
        <v>758</v>
      </c>
      <c r="B747" s="46" t="str">
        <f>IFERROR(VLOOKUP($H747,매장구분!$B:$Z,2,0),"")</f>
        <v>리테일채널팀</v>
      </c>
      <c r="C747" s="46" t="str">
        <f>IFERROR(VLOOKUP($H747,매장구분!$B:$Z,3,0),"")</f>
        <v>국내</v>
      </c>
      <c r="D747" s="46" t="str">
        <f>IFERROR(VLOOKUP($H747,매장구분!$B:$Z,5,0),"")</f>
        <v>상설(위탁)</v>
      </c>
      <c r="E747" s="46" t="str">
        <f>IFERROR(VLOOKUP($H747,매장구분!$B:$Z,9,0),"")</f>
        <v>현대아울렛동대문(상-위)</v>
      </c>
      <c r="G747" s="36" t="s">
        <v>526</v>
      </c>
      <c r="H747" s="36" t="s">
        <v>527</v>
      </c>
      <c r="I747" s="36" t="s">
        <v>169</v>
      </c>
      <c r="J747" s="36" t="s">
        <v>79</v>
      </c>
      <c r="K747" s="36" t="s">
        <v>170</v>
      </c>
      <c r="L747" s="36" t="s">
        <v>171</v>
      </c>
      <c r="M747" s="36" t="s">
        <v>219</v>
      </c>
      <c r="N747" s="36" t="s">
        <v>219</v>
      </c>
      <c r="O747" s="36">
        <v>1386000</v>
      </c>
      <c r="P747" s="36">
        <v>38</v>
      </c>
      <c r="Q747" s="36">
        <v>0</v>
      </c>
      <c r="R747" s="36">
        <v>0</v>
      </c>
      <c r="S747" s="36">
        <v>0</v>
      </c>
      <c r="T747" s="36">
        <v>0</v>
      </c>
      <c r="U747" s="36">
        <v>0</v>
      </c>
      <c r="V747" s="36">
        <v>0</v>
      </c>
      <c r="W747" s="36">
        <v>0</v>
      </c>
      <c r="X747" s="36">
        <v>0</v>
      </c>
      <c r="Y747" s="48">
        <v>0</v>
      </c>
      <c r="Z747" s="36">
        <v>0</v>
      </c>
      <c r="AA747" s="36">
        <v>0</v>
      </c>
      <c r="AB747" s="36">
        <v>0</v>
      </c>
      <c r="AC747" s="36">
        <v>1386000</v>
      </c>
      <c r="AD747" s="36">
        <v>38</v>
      </c>
      <c r="AF747" s="47">
        <f t="shared" si="11"/>
        <v>1386000</v>
      </c>
    </row>
    <row r="748" spans="1:32" x14ac:dyDescent="0.3">
      <c r="A748" s="46" t="s">
        <v>758</v>
      </c>
      <c r="B748" s="46" t="str">
        <f>IFERROR(VLOOKUP($H748,매장구분!$B:$Z,2,0),"")</f>
        <v>리테일채널팀</v>
      </c>
      <c r="C748" s="46" t="str">
        <f>IFERROR(VLOOKUP($H748,매장구분!$B:$Z,3,0),"")</f>
        <v>국내</v>
      </c>
      <c r="D748" s="46" t="str">
        <f>IFERROR(VLOOKUP($H748,매장구분!$B:$Z,5,0),"")</f>
        <v>상설(위탁)</v>
      </c>
      <c r="E748" s="46" t="str">
        <f>IFERROR(VLOOKUP($H748,매장구분!$B:$Z,9,0),"")</f>
        <v>롯데아울렛진주(상-위)</v>
      </c>
      <c r="G748" s="36" t="s">
        <v>528</v>
      </c>
      <c r="H748" s="36" t="s">
        <v>529</v>
      </c>
      <c r="I748" s="36" t="s">
        <v>169</v>
      </c>
      <c r="J748" s="36" t="s">
        <v>79</v>
      </c>
      <c r="K748" s="36" t="s">
        <v>170</v>
      </c>
      <c r="L748" s="36" t="s">
        <v>171</v>
      </c>
      <c r="M748" s="36" t="s">
        <v>219</v>
      </c>
      <c r="N748" s="36" t="s">
        <v>219</v>
      </c>
      <c r="O748" s="36">
        <v>1334000</v>
      </c>
      <c r="P748" s="36">
        <v>35</v>
      </c>
      <c r="Q748" s="36">
        <v>0</v>
      </c>
      <c r="R748" s="36">
        <v>0</v>
      </c>
      <c r="S748" s="36">
        <v>0</v>
      </c>
      <c r="T748" s="36">
        <v>0</v>
      </c>
      <c r="U748" s="36">
        <v>0</v>
      </c>
      <c r="V748" s="36">
        <v>0</v>
      </c>
      <c r="W748" s="36">
        <v>0</v>
      </c>
      <c r="X748" s="36">
        <v>0</v>
      </c>
      <c r="Y748" s="48">
        <v>0</v>
      </c>
      <c r="Z748" s="36">
        <v>0</v>
      </c>
      <c r="AA748" s="36">
        <v>0</v>
      </c>
      <c r="AB748" s="36">
        <v>0</v>
      </c>
      <c r="AC748" s="36">
        <v>1334000</v>
      </c>
      <c r="AD748" s="36">
        <v>35</v>
      </c>
      <c r="AF748" s="47">
        <f t="shared" si="11"/>
        <v>1334000</v>
      </c>
    </row>
    <row r="749" spans="1:32" x14ac:dyDescent="0.3">
      <c r="A749" s="46" t="s">
        <v>758</v>
      </c>
      <c r="B749" s="46" t="str">
        <f>IFERROR(VLOOKUP($H749,매장구분!$B:$Z,2,0),"")</f>
        <v>리테일채널팀</v>
      </c>
      <c r="C749" s="46" t="str">
        <f>IFERROR(VLOOKUP($H749,매장구분!$B:$Z,3,0),"")</f>
        <v>국내</v>
      </c>
      <c r="D749" s="46" t="str">
        <f>IFERROR(VLOOKUP($H749,매장구분!$B:$Z,5,0),"")</f>
        <v>상설(위탁)</v>
      </c>
      <c r="E749" s="46" t="str">
        <f>IFERROR(VLOOKUP($H749,매장구분!$B:$Z,9,0),"")</f>
        <v>현대아울렛대구(상-위)</v>
      </c>
      <c r="G749" s="36" t="s">
        <v>520</v>
      </c>
      <c r="H749" s="36" t="s">
        <v>521</v>
      </c>
      <c r="I749" s="36" t="s">
        <v>169</v>
      </c>
      <c r="J749" s="36" t="s">
        <v>79</v>
      </c>
      <c r="K749" s="36" t="s">
        <v>170</v>
      </c>
      <c r="L749" s="36" t="s">
        <v>171</v>
      </c>
      <c r="M749" s="36" t="s">
        <v>219</v>
      </c>
      <c r="N749" s="36" t="s">
        <v>219</v>
      </c>
      <c r="O749" s="36">
        <v>664000</v>
      </c>
      <c r="P749" s="36">
        <v>17</v>
      </c>
      <c r="Q749" s="36">
        <v>0</v>
      </c>
      <c r="R749" s="36">
        <v>0</v>
      </c>
      <c r="S749" s="36">
        <v>0</v>
      </c>
      <c r="T749" s="36">
        <v>0</v>
      </c>
      <c r="U749" s="36">
        <v>0</v>
      </c>
      <c r="V749" s="36">
        <v>0</v>
      </c>
      <c r="W749" s="36">
        <v>0</v>
      </c>
      <c r="X749" s="36">
        <v>0</v>
      </c>
      <c r="Y749" s="48">
        <v>0</v>
      </c>
      <c r="Z749" s="36">
        <v>0</v>
      </c>
      <c r="AA749" s="36">
        <v>0</v>
      </c>
      <c r="AB749" s="36">
        <v>0</v>
      </c>
      <c r="AC749" s="36">
        <v>664000</v>
      </c>
      <c r="AD749" s="36">
        <v>17</v>
      </c>
      <c r="AF749" s="47">
        <f t="shared" si="11"/>
        <v>664000</v>
      </c>
    </row>
    <row r="750" spans="1:32" x14ac:dyDescent="0.3">
      <c r="A750" s="46" t="s">
        <v>758</v>
      </c>
      <c r="B750" s="46" t="str">
        <f>IFERROR(VLOOKUP($H750,매장구분!$B:$Z,2,0),"")</f>
        <v>파트너채널팀</v>
      </c>
      <c r="C750" s="46" t="str">
        <f>IFERROR(VLOOKUP($H750,매장구분!$B:$Z,3,0),"")</f>
        <v>국내</v>
      </c>
      <c r="D750" s="46" t="str">
        <f>IFERROR(VLOOKUP($H750,매장구분!$B:$Z,5,0),"")</f>
        <v>백화점</v>
      </c>
      <c r="E750" s="46" t="str">
        <f>IFERROR(VLOOKUP($H750,매장구분!$B:$Z,9,0),"")</f>
        <v>AK수원</v>
      </c>
      <c r="G750" s="36" t="s">
        <v>552</v>
      </c>
      <c r="H750" s="36" t="s">
        <v>553</v>
      </c>
      <c r="I750" s="36" t="s">
        <v>169</v>
      </c>
      <c r="J750" s="36" t="s">
        <v>175</v>
      </c>
      <c r="K750" s="36" t="s">
        <v>170</v>
      </c>
      <c r="L750" s="36" t="s">
        <v>171</v>
      </c>
      <c r="M750" s="36" t="s">
        <v>77</v>
      </c>
      <c r="N750" s="36" t="s">
        <v>172</v>
      </c>
      <c r="O750" s="36">
        <v>19207580</v>
      </c>
      <c r="P750" s="36">
        <v>213</v>
      </c>
      <c r="Q750" s="36">
        <v>0</v>
      </c>
      <c r="R750" s="36">
        <v>0</v>
      </c>
      <c r="S750" s="36">
        <v>0</v>
      </c>
      <c r="T750" s="36">
        <v>0</v>
      </c>
      <c r="U750" s="36">
        <v>740000</v>
      </c>
      <c r="V750" s="36">
        <v>7</v>
      </c>
      <c r="W750" s="36">
        <v>0</v>
      </c>
      <c r="X750" s="36">
        <v>0</v>
      </c>
      <c r="Y750" s="48">
        <v>9664120</v>
      </c>
      <c r="Z750" s="36">
        <v>168</v>
      </c>
      <c r="AA750" s="36">
        <v>0</v>
      </c>
      <c r="AB750" s="36">
        <v>0</v>
      </c>
      <c r="AC750" s="36">
        <v>29611700</v>
      </c>
      <c r="AD750" s="36">
        <v>388</v>
      </c>
      <c r="AF750" s="47">
        <f t="shared" si="11"/>
        <v>19947580</v>
      </c>
    </row>
    <row r="751" spans="1:32" x14ac:dyDescent="0.3">
      <c r="A751" s="46" t="s">
        <v>758</v>
      </c>
      <c r="B751" s="46" t="str">
        <f>IFERROR(VLOOKUP($H751,매장구분!$B:$Z,2,0),"")</f>
        <v>파트너채널팀</v>
      </c>
      <c r="C751" s="46" t="str">
        <f>IFERROR(VLOOKUP($H751,매장구분!$B:$Z,3,0),"")</f>
        <v>국내</v>
      </c>
      <c r="D751" s="46" t="str">
        <f>IFERROR(VLOOKUP($H751,매장구분!$B:$Z,5,0),"")</f>
        <v>백화점</v>
      </c>
      <c r="E751" s="46" t="str">
        <f>IFERROR(VLOOKUP($H751,매장구분!$B:$Z,9,0),"")</f>
        <v>현대대구</v>
      </c>
      <c r="G751" s="36" t="s">
        <v>540</v>
      </c>
      <c r="H751" s="36" t="s">
        <v>541</v>
      </c>
      <c r="I751" s="36" t="s">
        <v>169</v>
      </c>
      <c r="J751" s="36" t="s">
        <v>175</v>
      </c>
      <c r="K751" s="36" t="s">
        <v>170</v>
      </c>
      <c r="L751" s="36" t="s">
        <v>171</v>
      </c>
      <c r="M751" s="36" t="s">
        <v>77</v>
      </c>
      <c r="N751" s="36" t="s">
        <v>172</v>
      </c>
      <c r="O751" s="36">
        <v>16226870</v>
      </c>
      <c r="P751" s="36">
        <v>179</v>
      </c>
      <c r="Q751" s="36">
        <v>4206300</v>
      </c>
      <c r="R751" s="36">
        <v>22</v>
      </c>
      <c r="S751" s="36">
        <v>0</v>
      </c>
      <c r="T751" s="36">
        <v>0</v>
      </c>
      <c r="U751" s="36">
        <v>4363730</v>
      </c>
      <c r="V751" s="36">
        <v>26</v>
      </c>
      <c r="W751" s="36">
        <v>0</v>
      </c>
      <c r="X751" s="36">
        <v>0</v>
      </c>
      <c r="Y751" s="48">
        <v>0</v>
      </c>
      <c r="Z751" s="36">
        <v>0</v>
      </c>
      <c r="AA751" s="36">
        <v>0</v>
      </c>
      <c r="AB751" s="36">
        <v>0</v>
      </c>
      <c r="AC751" s="36">
        <v>24796900</v>
      </c>
      <c r="AD751" s="36">
        <v>227</v>
      </c>
      <c r="AF751" s="47">
        <f t="shared" si="11"/>
        <v>24796900</v>
      </c>
    </row>
    <row r="752" spans="1:32" x14ac:dyDescent="0.3">
      <c r="A752" s="46" t="s">
        <v>758</v>
      </c>
      <c r="B752" s="46" t="str">
        <f>IFERROR(VLOOKUP($H752,매장구분!$B:$Z,2,0),"")</f>
        <v>리테일채널팀</v>
      </c>
      <c r="C752" s="46" t="str">
        <f>IFERROR(VLOOKUP($H752,매장구분!$B:$Z,3,0),"")</f>
        <v>국내</v>
      </c>
      <c r="D752" s="46" t="str">
        <f>IFERROR(VLOOKUP($H752,매장구분!$B:$Z,5,0),"")</f>
        <v>대리점</v>
      </c>
      <c r="E752" s="46" t="str">
        <f>IFERROR(VLOOKUP($H752,매장구분!$B:$Z,9,0),"")</f>
        <v>경산(대-위)</v>
      </c>
      <c r="G752" s="36" t="s">
        <v>556</v>
      </c>
      <c r="H752" s="36" t="s">
        <v>557</v>
      </c>
      <c r="I752" s="36" t="s">
        <v>169</v>
      </c>
      <c r="J752" s="36" t="s">
        <v>79</v>
      </c>
      <c r="K752" s="36" t="s">
        <v>170</v>
      </c>
      <c r="L752" s="36" t="s">
        <v>171</v>
      </c>
      <c r="M752" s="36" t="s">
        <v>196</v>
      </c>
      <c r="N752" s="36" t="s">
        <v>197</v>
      </c>
      <c r="O752" s="36">
        <v>20135952</v>
      </c>
      <c r="P752" s="36">
        <v>159</v>
      </c>
      <c r="Q752" s="36">
        <v>0</v>
      </c>
      <c r="R752" s="36">
        <v>0</v>
      </c>
      <c r="S752" s="36">
        <v>0</v>
      </c>
      <c r="T752" s="36">
        <v>0</v>
      </c>
      <c r="U752" s="36">
        <v>1011648</v>
      </c>
      <c r="V752" s="36">
        <v>10</v>
      </c>
      <c r="W752" s="36">
        <v>0</v>
      </c>
      <c r="X752" s="36">
        <v>0</v>
      </c>
      <c r="Y752" s="48">
        <v>0</v>
      </c>
      <c r="Z752" s="36">
        <v>0</v>
      </c>
      <c r="AA752" s="36">
        <v>0</v>
      </c>
      <c r="AB752" s="36">
        <v>0</v>
      </c>
      <c r="AC752" s="36">
        <v>21147600</v>
      </c>
      <c r="AD752" s="36">
        <v>169</v>
      </c>
      <c r="AF752" s="47">
        <f t="shared" si="11"/>
        <v>21147600</v>
      </c>
    </row>
    <row r="753" spans="1:32" x14ac:dyDescent="0.3">
      <c r="A753" s="46" t="s">
        <v>758</v>
      </c>
      <c r="B753" s="46" t="str">
        <f>IFERROR(VLOOKUP($H753,매장구분!$B:$Z,2,0),"")</f>
        <v>파트너채널팀</v>
      </c>
      <c r="C753" s="46" t="str">
        <f>IFERROR(VLOOKUP($H753,매장구분!$B:$Z,3,0),"")</f>
        <v>면세</v>
      </c>
      <c r="D753" s="46" t="str">
        <f>IFERROR(VLOOKUP($H753,매장구분!$B:$Z,5,0),"")</f>
        <v>면세</v>
      </c>
      <c r="E753" s="46" t="str">
        <f>IFERROR(VLOOKUP($H753,매장구분!$B:$Z,9,0),"")</f>
        <v>신라면세용산</v>
      </c>
      <c r="G753" s="36" t="s">
        <v>542</v>
      </c>
      <c r="H753" s="36" t="s">
        <v>543</v>
      </c>
      <c r="I753" s="36" t="s">
        <v>169</v>
      </c>
      <c r="J753" s="36" t="s">
        <v>175</v>
      </c>
      <c r="K753" s="36" t="s">
        <v>170</v>
      </c>
      <c r="L753" s="36" t="s">
        <v>171</v>
      </c>
      <c r="M753" s="36" t="s">
        <v>176</v>
      </c>
      <c r="N753" s="36" t="s">
        <v>177</v>
      </c>
      <c r="O753" s="36">
        <v>0</v>
      </c>
      <c r="P753" s="36">
        <v>0</v>
      </c>
      <c r="Q753" s="36">
        <v>0</v>
      </c>
      <c r="R753" s="36">
        <v>0</v>
      </c>
      <c r="S753" s="36">
        <v>0</v>
      </c>
      <c r="T753" s="36">
        <v>0</v>
      </c>
      <c r="U753" s="36">
        <v>0</v>
      </c>
      <c r="V753" s="36">
        <v>0</v>
      </c>
      <c r="W753" s="36">
        <v>0</v>
      </c>
      <c r="X753" s="36">
        <v>0</v>
      </c>
      <c r="Y753" s="48">
        <v>527851300</v>
      </c>
      <c r="Z753" s="36">
        <v>9695</v>
      </c>
      <c r="AA753" s="36">
        <v>0</v>
      </c>
      <c r="AB753" s="36">
        <v>0</v>
      </c>
      <c r="AC753" s="36">
        <v>527851300</v>
      </c>
      <c r="AD753" s="36">
        <v>9695</v>
      </c>
      <c r="AF753" s="47">
        <f t="shared" si="11"/>
        <v>0</v>
      </c>
    </row>
    <row r="754" spans="1:32" x14ac:dyDescent="0.3">
      <c r="A754" s="46" t="s">
        <v>758</v>
      </c>
      <c r="B754" s="46" t="str">
        <f>IFERROR(VLOOKUP($H754,매장구분!$B:$Z,2,0),"")</f>
        <v>파트너채널팀</v>
      </c>
      <c r="C754" s="46" t="str">
        <f>IFERROR(VLOOKUP($H754,매장구분!$B:$Z,3,0),"")</f>
        <v>국내</v>
      </c>
      <c r="D754" s="46" t="str">
        <f>IFERROR(VLOOKUP($H754,매장구분!$B:$Z,5,0),"")</f>
        <v>백화점</v>
      </c>
      <c r="E754" s="46" t="str">
        <f>IFERROR(VLOOKUP($H754,매장구분!$B:$Z,9,0),"")</f>
        <v>롯데창원</v>
      </c>
      <c r="G754" s="36" t="s">
        <v>548</v>
      </c>
      <c r="H754" s="36" t="s">
        <v>549</v>
      </c>
      <c r="I754" s="36" t="s">
        <v>169</v>
      </c>
      <c r="J754" s="36" t="s">
        <v>175</v>
      </c>
      <c r="K754" s="36" t="s">
        <v>170</v>
      </c>
      <c r="L754" s="36" t="s">
        <v>171</v>
      </c>
      <c r="M754" s="36" t="s">
        <v>77</v>
      </c>
      <c r="N754" s="36" t="s">
        <v>172</v>
      </c>
      <c r="O754" s="36">
        <v>25220515</v>
      </c>
      <c r="P754" s="36">
        <v>256</v>
      </c>
      <c r="Q754" s="36">
        <v>0</v>
      </c>
      <c r="R754" s="36">
        <v>0</v>
      </c>
      <c r="S754" s="36">
        <v>0</v>
      </c>
      <c r="T754" s="36">
        <v>0</v>
      </c>
      <c r="U754" s="36">
        <v>3195472</v>
      </c>
      <c r="V754" s="36">
        <v>26</v>
      </c>
      <c r="W754" s="36">
        <v>0</v>
      </c>
      <c r="X754" s="36">
        <v>0</v>
      </c>
      <c r="Y754" s="48">
        <v>236299413</v>
      </c>
      <c r="Z754" s="36">
        <v>4598</v>
      </c>
      <c r="AA754" s="36">
        <v>0</v>
      </c>
      <c r="AB754" s="36">
        <v>0</v>
      </c>
      <c r="AC754" s="36">
        <v>264715400</v>
      </c>
      <c r="AD754" s="36">
        <v>4880</v>
      </c>
      <c r="AF754" s="47">
        <f t="shared" si="11"/>
        <v>28415987</v>
      </c>
    </row>
    <row r="755" spans="1:32" x14ac:dyDescent="0.3">
      <c r="A755" s="46" t="s">
        <v>758</v>
      </c>
      <c r="B755" s="46" t="str">
        <f>IFERROR(VLOOKUP($H755,매장구분!$B:$Z,2,0),"")</f>
        <v>리테일채널팀</v>
      </c>
      <c r="C755" s="46" t="str">
        <f>IFERROR(VLOOKUP($H755,매장구분!$B:$Z,3,0),"")</f>
        <v>국내</v>
      </c>
      <c r="D755" s="46" t="str">
        <f>IFERROR(VLOOKUP($H755,매장구분!$B:$Z,5,0),"")</f>
        <v>직영점</v>
      </c>
      <c r="E755" s="46" t="str">
        <f>IFERROR(VLOOKUP($H755,매장구분!$B:$Z,9,0),"")</f>
        <v>스타필드안성(직)</v>
      </c>
      <c r="G755" s="36" t="s">
        <v>554</v>
      </c>
      <c r="H755" s="36" t="s">
        <v>555</v>
      </c>
      <c r="I755" s="36" t="s">
        <v>169</v>
      </c>
      <c r="J755" s="36" t="s">
        <v>180</v>
      </c>
      <c r="K755" s="36" t="s">
        <v>170</v>
      </c>
      <c r="L755" s="36" t="s">
        <v>171</v>
      </c>
      <c r="M755" s="36" t="s">
        <v>188</v>
      </c>
      <c r="N755" s="36" t="s">
        <v>189</v>
      </c>
      <c r="O755" s="36">
        <v>16001500</v>
      </c>
      <c r="P755" s="36">
        <v>169</v>
      </c>
      <c r="Q755" s="36">
        <v>1441000</v>
      </c>
      <c r="R755" s="36">
        <v>13</v>
      </c>
      <c r="S755" s="36">
        <v>0</v>
      </c>
      <c r="T755" s="36">
        <v>0</v>
      </c>
      <c r="U755" s="36">
        <v>1800600</v>
      </c>
      <c r="V755" s="36">
        <v>9</v>
      </c>
      <c r="W755" s="36">
        <v>0</v>
      </c>
      <c r="X755" s="36">
        <v>0</v>
      </c>
      <c r="Y755" s="48">
        <v>0</v>
      </c>
      <c r="Z755" s="36">
        <v>0</v>
      </c>
      <c r="AA755" s="36">
        <v>0</v>
      </c>
      <c r="AB755" s="36">
        <v>0</v>
      </c>
      <c r="AC755" s="36">
        <v>19243100</v>
      </c>
      <c r="AD755" s="36">
        <v>191</v>
      </c>
      <c r="AF755" s="47">
        <f t="shared" si="11"/>
        <v>19243100</v>
      </c>
    </row>
    <row r="756" spans="1:32" x14ac:dyDescent="0.3">
      <c r="A756" s="46" t="s">
        <v>758</v>
      </c>
      <c r="B756" s="46" t="str">
        <f>IFERROR(VLOOKUP($H756,매장구분!$B:$Z,2,0),"")</f>
        <v>리테일채널팀</v>
      </c>
      <c r="C756" s="46" t="str">
        <f>IFERROR(VLOOKUP($H756,매장구분!$B:$Z,3,0),"")</f>
        <v>국내</v>
      </c>
      <c r="D756" s="46" t="str">
        <f>IFERROR(VLOOKUP($H756,매장구분!$B:$Z,5,0),"")</f>
        <v>직영점</v>
      </c>
      <c r="E756" s="46" t="str">
        <f>IFERROR(VLOOKUP($H756,매장구분!$B:$Z,9,0),"")</f>
        <v>충장로</v>
      </c>
      <c r="G756" s="36" t="s">
        <v>544</v>
      </c>
      <c r="H756" s="36" t="s">
        <v>545</v>
      </c>
      <c r="I756" s="36" t="s">
        <v>169</v>
      </c>
      <c r="J756" s="36" t="s">
        <v>180</v>
      </c>
      <c r="K756" s="36" t="s">
        <v>170</v>
      </c>
      <c r="L756" s="36" t="s">
        <v>171</v>
      </c>
      <c r="M756" s="36" t="s">
        <v>196</v>
      </c>
      <c r="N756" s="36" t="s">
        <v>206</v>
      </c>
      <c r="O756" s="36">
        <v>18835100</v>
      </c>
      <c r="P756" s="36">
        <v>198</v>
      </c>
      <c r="Q756" s="36">
        <v>0</v>
      </c>
      <c r="R756" s="36">
        <v>0</v>
      </c>
      <c r="S756" s="36">
        <v>0</v>
      </c>
      <c r="T756" s="36">
        <v>0</v>
      </c>
      <c r="U756" s="36">
        <v>982000</v>
      </c>
      <c r="V756" s="36">
        <v>8</v>
      </c>
      <c r="W756" s="36">
        <v>0</v>
      </c>
      <c r="X756" s="36">
        <v>0</v>
      </c>
      <c r="Y756" s="48">
        <v>0</v>
      </c>
      <c r="Z756" s="36">
        <v>0</v>
      </c>
      <c r="AA756" s="36">
        <v>0</v>
      </c>
      <c r="AB756" s="36">
        <v>0</v>
      </c>
      <c r="AC756" s="36">
        <v>19817100</v>
      </c>
      <c r="AD756" s="36">
        <v>206</v>
      </c>
      <c r="AF756" s="47">
        <f t="shared" si="11"/>
        <v>19817100</v>
      </c>
    </row>
    <row r="757" spans="1:32" x14ac:dyDescent="0.3">
      <c r="A757" s="46" t="s">
        <v>758</v>
      </c>
      <c r="B757" s="46" t="str">
        <f>IFERROR(VLOOKUP($H757,매장구분!$B:$Z,2,0),"")</f>
        <v>리테일채널팀</v>
      </c>
      <c r="C757" s="46" t="str">
        <f>IFERROR(VLOOKUP($H757,매장구분!$B:$Z,3,0),"")</f>
        <v>RF</v>
      </c>
      <c r="D757" s="46" t="str">
        <f>IFERROR(VLOOKUP($H757,매장구분!$B:$Z,5,0),"")</f>
        <v>직영점</v>
      </c>
      <c r="E757" s="46" t="str">
        <f>IFERROR(VLOOKUP($H757,매장구분!$B:$Z,9,0),"")</f>
        <v>명동중앙(직)</v>
      </c>
      <c r="G757" s="36" t="s">
        <v>538</v>
      </c>
      <c r="H757" s="36" t="s">
        <v>539</v>
      </c>
      <c r="I757" s="36" t="s">
        <v>169</v>
      </c>
      <c r="J757" s="36" t="s">
        <v>180</v>
      </c>
      <c r="K757" s="36" t="s">
        <v>170</v>
      </c>
      <c r="L757" s="36" t="s">
        <v>171</v>
      </c>
      <c r="M757" s="36" t="s">
        <v>196</v>
      </c>
      <c r="N757" s="36" t="s">
        <v>206</v>
      </c>
      <c r="O757" s="36">
        <v>292091100</v>
      </c>
      <c r="P757" s="36">
        <v>4038</v>
      </c>
      <c r="Q757" s="36">
        <v>0</v>
      </c>
      <c r="R757" s="36">
        <v>0</v>
      </c>
      <c r="S757" s="36">
        <v>0</v>
      </c>
      <c r="T757" s="36">
        <v>0</v>
      </c>
      <c r="U757" s="36">
        <v>0</v>
      </c>
      <c r="V757" s="36">
        <v>0</v>
      </c>
      <c r="W757" s="36">
        <v>0</v>
      </c>
      <c r="X757" s="36">
        <v>0</v>
      </c>
      <c r="Y757" s="48">
        <v>0</v>
      </c>
      <c r="Z757" s="36">
        <v>0</v>
      </c>
      <c r="AA757" s="36">
        <v>0</v>
      </c>
      <c r="AB757" s="36">
        <v>0</v>
      </c>
      <c r="AC757" s="36">
        <v>292091100</v>
      </c>
      <c r="AD757" s="36">
        <v>4038</v>
      </c>
      <c r="AF757" s="47">
        <f t="shared" si="11"/>
        <v>292091100</v>
      </c>
    </row>
    <row r="758" spans="1:32" x14ac:dyDescent="0.3">
      <c r="A758" s="46" t="s">
        <v>758</v>
      </c>
      <c r="B758" s="46" t="str">
        <f>IFERROR(VLOOKUP($H758,매장구분!$B:$Z,2,0),"")</f>
        <v>리테일채널팀</v>
      </c>
      <c r="C758" s="46" t="str">
        <f>IFERROR(VLOOKUP($H758,매장구분!$B:$Z,3,0),"")</f>
        <v>국내</v>
      </c>
      <c r="D758" s="46" t="str">
        <f>IFERROR(VLOOKUP($H758,매장구분!$B:$Z,5,0),"")</f>
        <v>대리점</v>
      </c>
      <c r="E758" s="46" t="str">
        <f>IFERROR(VLOOKUP($H758,매장구분!$B:$Z,9,0),"")</f>
        <v>부천(대-위)</v>
      </c>
      <c r="G758" s="36" t="s">
        <v>530</v>
      </c>
      <c r="H758" s="36" t="s">
        <v>531</v>
      </c>
      <c r="I758" s="36" t="s">
        <v>169</v>
      </c>
      <c r="J758" s="36" t="s">
        <v>79</v>
      </c>
      <c r="K758" s="36" t="s">
        <v>170</v>
      </c>
      <c r="L758" s="36" t="s">
        <v>171</v>
      </c>
      <c r="M758" s="36" t="s">
        <v>196</v>
      </c>
      <c r="N758" s="36" t="s">
        <v>197</v>
      </c>
      <c r="O758" s="36">
        <v>14355219</v>
      </c>
      <c r="P758" s="36">
        <v>122</v>
      </c>
      <c r="Q758" s="36">
        <v>0</v>
      </c>
      <c r="R758" s="36">
        <v>0</v>
      </c>
      <c r="S758" s="36">
        <v>0</v>
      </c>
      <c r="T758" s="36">
        <v>0</v>
      </c>
      <c r="U758" s="36">
        <v>-338219</v>
      </c>
      <c r="V758" s="36">
        <v>-7</v>
      </c>
      <c r="W758" s="36">
        <v>0</v>
      </c>
      <c r="X758" s="36">
        <v>0</v>
      </c>
      <c r="Y758" s="48">
        <v>2363000</v>
      </c>
      <c r="Z758" s="36">
        <v>17</v>
      </c>
      <c r="AA758" s="36">
        <v>0</v>
      </c>
      <c r="AB758" s="36">
        <v>0</v>
      </c>
      <c r="AC758" s="36">
        <v>16380000</v>
      </c>
      <c r="AD758" s="36">
        <v>132</v>
      </c>
      <c r="AF758" s="47">
        <f t="shared" si="11"/>
        <v>14017000</v>
      </c>
    </row>
    <row r="759" spans="1:32" x14ac:dyDescent="0.3">
      <c r="A759" s="46" t="s">
        <v>758</v>
      </c>
      <c r="B759" s="46" t="str">
        <f>IFERROR(VLOOKUP($H759,매장구분!$B:$Z,2,0),"")</f>
        <v>리테일채널팀</v>
      </c>
      <c r="C759" s="46" t="str">
        <f>IFERROR(VLOOKUP($H759,매장구분!$B:$Z,3,0),"")</f>
        <v>국내</v>
      </c>
      <c r="D759" s="46" t="str">
        <f>IFERROR(VLOOKUP($H759,매장구분!$B:$Z,5,0),"")</f>
        <v>대리점</v>
      </c>
      <c r="E759" s="46" t="str">
        <f>IFERROR(VLOOKUP($H759,매장구분!$B:$Z,9,0),"")</f>
        <v>구미인동(대-위)</v>
      </c>
      <c r="G759" s="36" t="s">
        <v>558</v>
      </c>
      <c r="H759" s="36" t="s">
        <v>559</v>
      </c>
      <c r="I759" s="36" t="s">
        <v>169</v>
      </c>
      <c r="J759" s="36" t="s">
        <v>79</v>
      </c>
      <c r="K759" s="36" t="s">
        <v>170</v>
      </c>
      <c r="L759" s="36" t="s">
        <v>171</v>
      </c>
      <c r="M759" s="36" t="s">
        <v>196</v>
      </c>
      <c r="N759" s="36" t="s">
        <v>197</v>
      </c>
      <c r="O759" s="36">
        <v>7361869</v>
      </c>
      <c r="P759" s="36">
        <v>86</v>
      </c>
      <c r="Q759" s="36">
        <v>0</v>
      </c>
      <c r="R759" s="36">
        <v>0</v>
      </c>
      <c r="S759" s="36">
        <v>0</v>
      </c>
      <c r="T759" s="36">
        <v>0</v>
      </c>
      <c r="U759" s="36">
        <v>460596</v>
      </c>
      <c r="V759" s="36">
        <v>5</v>
      </c>
      <c r="W759" s="36">
        <v>0</v>
      </c>
      <c r="X759" s="36">
        <v>0</v>
      </c>
      <c r="Y759" s="48">
        <v>0</v>
      </c>
      <c r="Z759" s="36">
        <v>0</v>
      </c>
      <c r="AA759" s="36">
        <v>0</v>
      </c>
      <c r="AB759" s="36">
        <v>0</v>
      </c>
      <c r="AC759" s="36">
        <v>7822465</v>
      </c>
      <c r="AD759" s="36">
        <v>91</v>
      </c>
      <c r="AF759" s="47">
        <f t="shared" si="11"/>
        <v>7822465</v>
      </c>
    </row>
    <row r="760" spans="1:32" x14ac:dyDescent="0.3">
      <c r="A760" s="46" t="s">
        <v>758</v>
      </c>
      <c r="B760" s="46" t="str">
        <f>IFERROR(VLOOKUP($H760,매장구분!$B:$Z,2,0),"")</f>
        <v>E-biz</v>
      </c>
      <c r="C760" s="46" t="str">
        <f>IFERROR(VLOOKUP($H760,매장구분!$B:$Z,3,0),"")</f>
        <v>국내</v>
      </c>
      <c r="D760" s="46" t="str">
        <f>IFERROR(VLOOKUP($H760,매장구분!$B:$Z,5,0),"")</f>
        <v>온(제휴몰)</v>
      </c>
      <c r="E760" s="46" t="str">
        <f>IFERROR(VLOOKUP($H760,매장구분!$B:$Z,9,0),"")</f>
        <v>GS SHOP(제휴몰)</v>
      </c>
      <c r="G760" s="36" t="s">
        <v>550</v>
      </c>
      <c r="H760" s="36" t="s">
        <v>551</v>
      </c>
      <c r="I760" s="36" t="s">
        <v>169</v>
      </c>
      <c r="J760" s="36" t="s">
        <v>180</v>
      </c>
      <c r="K760" s="36" t="s">
        <v>170</v>
      </c>
      <c r="L760" s="36" t="s">
        <v>181</v>
      </c>
      <c r="M760" s="36" t="s">
        <v>181</v>
      </c>
      <c r="N760" s="36" t="s">
        <v>185</v>
      </c>
      <c r="O760" s="36">
        <v>17716200</v>
      </c>
      <c r="P760" s="36">
        <v>187</v>
      </c>
      <c r="Q760" s="36">
        <v>0</v>
      </c>
      <c r="R760" s="36">
        <v>0</v>
      </c>
      <c r="S760" s="36">
        <v>0</v>
      </c>
      <c r="T760" s="36">
        <v>0</v>
      </c>
      <c r="U760" s="36">
        <v>0</v>
      </c>
      <c r="V760" s="36">
        <v>0</v>
      </c>
      <c r="W760" s="36">
        <v>0</v>
      </c>
      <c r="X760" s="36">
        <v>0</v>
      </c>
      <c r="Y760" s="48">
        <v>0</v>
      </c>
      <c r="Z760" s="36">
        <v>0</v>
      </c>
      <c r="AA760" s="36">
        <v>0</v>
      </c>
      <c r="AB760" s="36">
        <v>0</v>
      </c>
      <c r="AC760" s="36">
        <v>17716200</v>
      </c>
      <c r="AD760" s="36">
        <v>187</v>
      </c>
      <c r="AF760" s="47">
        <f t="shared" si="11"/>
        <v>17716200</v>
      </c>
    </row>
    <row r="761" spans="1:32" x14ac:dyDescent="0.3">
      <c r="A761" s="46" t="s">
        <v>758</v>
      </c>
      <c r="B761" s="46" t="str">
        <f>IFERROR(VLOOKUP($H761,매장구분!$B:$Z,2,0),"")</f>
        <v>파트너채널팀</v>
      </c>
      <c r="C761" s="46" t="str">
        <f>IFERROR(VLOOKUP($H761,매장구분!$B:$Z,3,0),"")</f>
        <v>국내</v>
      </c>
      <c r="D761" s="46" t="str">
        <f>IFERROR(VLOOKUP($H761,매장구분!$B:$Z,5,0),"")</f>
        <v>백화점</v>
      </c>
      <c r="E761" s="46" t="str">
        <f>IFERROR(VLOOKUP($H761,매장구분!$B:$Z,9,0),"")</f>
        <v>롯데대구</v>
      </c>
      <c r="G761" s="36" t="s">
        <v>536</v>
      </c>
      <c r="H761" s="36" t="s">
        <v>537</v>
      </c>
      <c r="I761" s="36" t="s">
        <v>169</v>
      </c>
      <c r="J761" s="36" t="s">
        <v>175</v>
      </c>
      <c r="K761" s="36" t="s">
        <v>170</v>
      </c>
      <c r="L761" s="36" t="s">
        <v>171</v>
      </c>
      <c r="M761" s="36" t="s">
        <v>77</v>
      </c>
      <c r="N761" s="36" t="s">
        <v>172</v>
      </c>
      <c r="O761" s="36">
        <v>8765530</v>
      </c>
      <c r="P761" s="36">
        <v>96</v>
      </c>
      <c r="Q761" s="36">
        <v>640000</v>
      </c>
      <c r="R761" s="36">
        <v>8</v>
      </c>
      <c r="S761" s="36">
        <v>0</v>
      </c>
      <c r="T761" s="36">
        <v>0</v>
      </c>
      <c r="U761" s="36">
        <v>178970</v>
      </c>
      <c r="V761" s="36">
        <v>2</v>
      </c>
      <c r="W761" s="36">
        <v>0</v>
      </c>
      <c r="X761" s="36">
        <v>0</v>
      </c>
      <c r="Y761" s="48">
        <v>0</v>
      </c>
      <c r="Z761" s="36">
        <v>0</v>
      </c>
      <c r="AA761" s="36">
        <v>0</v>
      </c>
      <c r="AB761" s="36">
        <v>0</v>
      </c>
      <c r="AC761" s="36">
        <v>9584500</v>
      </c>
      <c r="AD761" s="36">
        <v>106</v>
      </c>
      <c r="AF761" s="47">
        <f t="shared" si="11"/>
        <v>9584500</v>
      </c>
    </row>
    <row r="762" spans="1:32" x14ac:dyDescent="0.3">
      <c r="A762" s="46" t="s">
        <v>758</v>
      </c>
      <c r="B762" s="46" t="str">
        <f>IFERROR(VLOOKUP($H762,매장구분!$B:$Z,2,0),"")</f>
        <v>리테일채널팀</v>
      </c>
      <c r="C762" s="46" t="str">
        <f>IFERROR(VLOOKUP($H762,매장구분!$B:$Z,3,0),"")</f>
        <v>국내</v>
      </c>
      <c r="D762" s="46" t="str">
        <f>IFERROR(VLOOKUP($H762,매장구분!$B:$Z,5,0),"")</f>
        <v>대리점</v>
      </c>
      <c r="E762" s="46" t="str">
        <f>IFERROR(VLOOKUP($H762,매장구분!$B:$Z,9,0),"")</f>
        <v>동해(대-위)</v>
      </c>
      <c r="G762" s="36" t="s">
        <v>534</v>
      </c>
      <c r="H762" s="36" t="s">
        <v>535</v>
      </c>
      <c r="I762" s="36" t="s">
        <v>169</v>
      </c>
      <c r="J762" s="36" t="s">
        <v>79</v>
      </c>
      <c r="K762" s="36" t="s">
        <v>170</v>
      </c>
      <c r="L762" s="36" t="s">
        <v>171</v>
      </c>
      <c r="M762" s="36" t="s">
        <v>196</v>
      </c>
      <c r="N762" s="36" t="s">
        <v>197</v>
      </c>
      <c r="O762" s="36">
        <v>11730671</v>
      </c>
      <c r="P762" s="36">
        <v>111</v>
      </c>
      <c r="Q762" s="36">
        <v>0</v>
      </c>
      <c r="R762" s="36">
        <v>0</v>
      </c>
      <c r="S762" s="36">
        <v>0</v>
      </c>
      <c r="T762" s="36">
        <v>0</v>
      </c>
      <c r="U762" s="36">
        <v>6550129</v>
      </c>
      <c r="V762" s="36">
        <v>47</v>
      </c>
      <c r="W762" s="36">
        <v>0</v>
      </c>
      <c r="X762" s="36">
        <v>0</v>
      </c>
      <c r="Y762" s="48">
        <v>0</v>
      </c>
      <c r="Z762" s="36">
        <v>0</v>
      </c>
      <c r="AA762" s="36">
        <v>0</v>
      </c>
      <c r="AB762" s="36">
        <v>0</v>
      </c>
      <c r="AC762" s="36">
        <v>18280800</v>
      </c>
      <c r="AD762" s="36">
        <v>158</v>
      </c>
      <c r="AF762" s="47">
        <f t="shared" si="11"/>
        <v>18280800</v>
      </c>
    </row>
    <row r="763" spans="1:32" x14ac:dyDescent="0.3">
      <c r="A763" s="46" t="s">
        <v>758</v>
      </c>
      <c r="B763" s="46" t="str">
        <f>IFERROR(VLOOKUP($H763,매장구분!$B:$Z,2,0),"")</f>
        <v>리테일채널팀</v>
      </c>
      <c r="C763" s="46" t="str">
        <f>IFERROR(VLOOKUP($H763,매장구분!$B:$Z,3,0),"")</f>
        <v>국내</v>
      </c>
      <c r="D763" s="46" t="str">
        <f>IFERROR(VLOOKUP($H763,매장구분!$B:$Z,5,0),"")</f>
        <v>대리점</v>
      </c>
      <c r="E763" s="46" t="str">
        <f>IFERROR(VLOOKUP($H763,매장구분!$B:$Z,9,0),"")</f>
        <v>스퀘어원인천(대-위)</v>
      </c>
      <c r="G763" s="36" t="s">
        <v>532</v>
      </c>
      <c r="H763" s="36" t="s">
        <v>533</v>
      </c>
      <c r="I763" s="36" t="s">
        <v>169</v>
      </c>
      <c r="J763" s="36" t="s">
        <v>79</v>
      </c>
      <c r="K763" s="36" t="s">
        <v>170</v>
      </c>
      <c r="L763" s="36" t="s">
        <v>171</v>
      </c>
      <c r="M763" s="36" t="s">
        <v>188</v>
      </c>
      <c r="N763" s="36" t="s">
        <v>317</v>
      </c>
      <c r="O763" s="36">
        <v>26831118</v>
      </c>
      <c r="P763" s="36">
        <v>246</v>
      </c>
      <c r="Q763" s="36">
        <v>0</v>
      </c>
      <c r="R763" s="36">
        <v>0</v>
      </c>
      <c r="S763" s="36">
        <v>0</v>
      </c>
      <c r="T763" s="36">
        <v>0</v>
      </c>
      <c r="U763" s="36">
        <v>677582</v>
      </c>
      <c r="V763" s="36">
        <v>3</v>
      </c>
      <c r="W763" s="36">
        <v>0</v>
      </c>
      <c r="X763" s="36">
        <v>0</v>
      </c>
      <c r="Y763" s="48">
        <v>0</v>
      </c>
      <c r="Z763" s="36">
        <v>0</v>
      </c>
      <c r="AA763" s="36">
        <v>0</v>
      </c>
      <c r="AB763" s="36">
        <v>0</v>
      </c>
      <c r="AC763" s="36">
        <v>27508700</v>
      </c>
      <c r="AD763" s="36">
        <v>249</v>
      </c>
      <c r="AF763" s="47">
        <f t="shared" si="11"/>
        <v>27508700</v>
      </c>
    </row>
    <row r="764" spans="1:32" x14ac:dyDescent="0.3">
      <c r="A764" s="46" t="s">
        <v>758</v>
      </c>
      <c r="B764" s="46" t="str">
        <f>IFERROR(VLOOKUP($H764,매장구분!$B:$Z,2,0),"")</f>
        <v>리테일채널팀</v>
      </c>
      <c r="C764" s="46" t="str">
        <f>IFERROR(VLOOKUP($H764,매장구분!$B:$Z,3,0),"")</f>
        <v>국내</v>
      </c>
      <c r="D764" s="46" t="str">
        <f>IFERROR(VLOOKUP($H764,매장구분!$B:$Z,5,0),"")</f>
        <v>대리점</v>
      </c>
      <c r="E764" s="46" t="str">
        <f>IFERROR(VLOOKUP($H764,매장구분!$B:$Z,9,0),"")</f>
        <v>마산합성(대-위)</v>
      </c>
      <c r="G764" s="36" t="s">
        <v>546</v>
      </c>
      <c r="H764" s="36" t="s">
        <v>547</v>
      </c>
      <c r="I764" s="36" t="s">
        <v>169</v>
      </c>
      <c r="J764" s="36" t="s">
        <v>79</v>
      </c>
      <c r="K764" s="36" t="s">
        <v>170</v>
      </c>
      <c r="L764" s="36" t="s">
        <v>171</v>
      </c>
      <c r="M764" s="36" t="s">
        <v>196</v>
      </c>
      <c r="N764" s="36" t="s">
        <v>197</v>
      </c>
      <c r="O764" s="36">
        <v>13581364</v>
      </c>
      <c r="P764" s="36">
        <v>158</v>
      </c>
      <c r="Q764" s="36">
        <v>0</v>
      </c>
      <c r="R764" s="36">
        <v>0</v>
      </c>
      <c r="S764" s="36">
        <v>0</v>
      </c>
      <c r="T764" s="36">
        <v>0</v>
      </c>
      <c r="U764" s="36">
        <v>2402147</v>
      </c>
      <c r="V764" s="36">
        <v>19</v>
      </c>
      <c r="W764" s="36">
        <v>0</v>
      </c>
      <c r="X764" s="36">
        <v>0</v>
      </c>
      <c r="Y764" s="48">
        <v>0</v>
      </c>
      <c r="Z764" s="36">
        <v>0</v>
      </c>
      <c r="AA764" s="36">
        <v>0</v>
      </c>
      <c r="AB764" s="36">
        <v>0</v>
      </c>
      <c r="AC764" s="36">
        <v>15983511</v>
      </c>
      <c r="AD764" s="36">
        <v>177</v>
      </c>
      <c r="AF764" s="47">
        <f t="shared" si="11"/>
        <v>15983511</v>
      </c>
    </row>
    <row r="765" spans="1:32" x14ac:dyDescent="0.3">
      <c r="A765" s="46" t="s">
        <v>758</v>
      </c>
      <c r="B765" s="46" t="str">
        <f>IFERROR(VLOOKUP($H765,매장구분!$B:$Z,2,0),"")</f>
        <v>리테일채널팀</v>
      </c>
      <c r="C765" s="46" t="str">
        <f>IFERROR(VLOOKUP($H765,매장구분!$B:$Z,3,0),"")</f>
        <v>국내</v>
      </c>
      <c r="D765" s="46" t="str">
        <f>IFERROR(VLOOKUP($H765,매장구분!$B:$Z,5,0),"")</f>
        <v>상설(위탁)</v>
      </c>
      <c r="E765" s="46" t="str">
        <f>IFERROR(VLOOKUP($H765,매장구분!$B:$Z,9,0),"")</f>
        <v>롯데아울렛이천(상-위)</v>
      </c>
      <c r="G765" s="36" t="s">
        <v>560</v>
      </c>
      <c r="H765" s="36" t="s">
        <v>561</v>
      </c>
      <c r="I765" s="36" t="s">
        <v>169</v>
      </c>
      <c r="J765" s="36" t="s">
        <v>79</v>
      </c>
      <c r="K765" s="36" t="s">
        <v>170</v>
      </c>
      <c r="L765" s="36" t="s">
        <v>171</v>
      </c>
      <c r="M765" s="36" t="s">
        <v>219</v>
      </c>
      <c r="N765" s="36" t="s">
        <v>219</v>
      </c>
      <c r="O765" s="36">
        <v>3368000</v>
      </c>
      <c r="P765" s="36">
        <v>61</v>
      </c>
      <c r="Q765" s="36">
        <v>831000</v>
      </c>
      <c r="R765" s="36">
        <v>16</v>
      </c>
      <c r="S765" s="36">
        <v>0</v>
      </c>
      <c r="T765" s="36">
        <v>0</v>
      </c>
      <c r="U765" s="36">
        <v>0</v>
      </c>
      <c r="V765" s="36">
        <v>0</v>
      </c>
      <c r="W765" s="36">
        <v>0</v>
      </c>
      <c r="X765" s="36">
        <v>0</v>
      </c>
      <c r="Y765" s="48">
        <v>0</v>
      </c>
      <c r="Z765" s="36">
        <v>0</v>
      </c>
      <c r="AA765" s="36">
        <v>0</v>
      </c>
      <c r="AB765" s="36">
        <v>0</v>
      </c>
      <c r="AC765" s="36">
        <v>4199000</v>
      </c>
      <c r="AD765" s="36">
        <v>77</v>
      </c>
      <c r="AF765" s="47">
        <f t="shared" si="11"/>
        <v>4199000</v>
      </c>
    </row>
    <row r="766" spans="1:32" x14ac:dyDescent="0.3">
      <c r="A766" s="46" t="s">
        <v>758</v>
      </c>
      <c r="B766" s="46" t="str">
        <f>IFERROR(VLOOKUP($H766,매장구분!$B:$Z,2,0),"")</f>
        <v>리테일채널팀</v>
      </c>
      <c r="C766" s="46" t="str">
        <f>IFERROR(VLOOKUP($H766,매장구분!$B:$Z,3,0),"")</f>
        <v>국내</v>
      </c>
      <c r="D766" s="46" t="str">
        <f>IFERROR(VLOOKUP($H766,매장구분!$B:$Z,5,0),"")</f>
        <v>상설(위탁)</v>
      </c>
      <c r="E766" s="46" t="str">
        <f>IFERROR(VLOOKUP($H766,매장구분!$B:$Z,9,0),"")</f>
        <v>마리오(상-위)</v>
      </c>
      <c r="G766" s="36" t="s">
        <v>564</v>
      </c>
      <c r="H766" s="36" t="s">
        <v>565</v>
      </c>
      <c r="I766" s="36" t="s">
        <v>169</v>
      </c>
      <c r="J766" s="36" t="s">
        <v>79</v>
      </c>
      <c r="K766" s="36" t="s">
        <v>170</v>
      </c>
      <c r="L766" s="36" t="s">
        <v>171</v>
      </c>
      <c r="M766" s="36" t="s">
        <v>77</v>
      </c>
      <c r="N766" s="36" t="s">
        <v>238</v>
      </c>
      <c r="O766" s="36">
        <v>1713000</v>
      </c>
      <c r="P766" s="36">
        <v>28</v>
      </c>
      <c r="Q766" s="36">
        <v>0</v>
      </c>
      <c r="R766" s="36">
        <v>0</v>
      </c>
      <c r="S766" s="36">
        <v>0</v>
      </c>
      <c r="T766" s="36">
        <v>0</v>
      </c>
      <c r="U766" s="36">
        <v>0</v>
      </c>
      <c r="V766" s="36">
        <v>0</v>
      </c>
      <c r="W766" s="36">
        <v>0</v>
      </c>
      <c r="X766" s="36">
        <v>0</v>
      </c>
      <c r="Y766" s="48">
        <v>0</v>
      </c>
      <c r="Z766" s="36">
        <v>0</v>
      </c>
      <c r="AA766" s="36">
        <v>0</v>
      </c>
      <c r="AB766" s="36">
        <v>0</v>
      </c>
      <c r="AC766" s="36">
        <v>1713000</v>
      </c>
      <c r="AD766" s="36">
        <v>28</v>
      </c>
      <c r="AF766" s="47">
        <f t="shared" si="11"/>
        <v>1713000</v>
      </c>
    </row>
    <row r="767" spans="1:32" x14ac:dyDescent="0.3">
      <c r="A767" s="46" t="s">
        <v>758</v>
      </c>
      <c r="B767" s="46" t="str">
        <f>IFERROR(VLOOKUP($H767,매장구분!$B:$Z,2,0),"")</f>
        <v>리테일채널팀</v>
      </c>
      <c r="C767" s="46" t="str">
        <f>IFERROR(VLOOKUP($H767,매장구분!$B:$Z,3,0),"")</f>
        <v>국내</v>
      </c>
      <c r="D767" s="46" t="str">
        <f>IFERROR(VLOOKUP($H767,매장구분!$B:$Z,5,0),"")</f>
        <v>상설(위탁)</v>
      </c>
      <c r="E767" s="46" t="str">
        <f>IFERROR(VLOOKUP($H767,매장구분!$B:$Z,9,0),"")</f>
        <v>롯데아울렛군산(상-위)</v>
      </c>
      <c r="G767" s="36" t="s">
        <v>562</v>
      </c>
      <c r="H767" s="36" t="s">
        <v>563</v>
      </c>
      <c r="I767" s="36" t="s">
        <v>169</v>
      </c>
      <c r="J767" s="36" t="s">
        <v>79</v>
      </c>
      <c r="K767" s="36" t="s">
        <v>170</v>
      </c>
      <c r="L767" s="36" t="s">
        <v>171</v>
      </c>
      <c r="M767" s="36" t="s">
        <v>219</v>
      </c>
      <c r="N767" s="36" t="s">
        <v>219</v>
      </c>
      <c r="O767" s="36">
        <v>589000</v>
      </c>
      <c r="P767" s="36">
        <v>16</v>
      </c>
      <c r="Q767" s="36">
        <v>0</v>
      </c>
      <c r="R767" s="36">
        <v>0</v>
      </c>
      <c r="S767" s="36">
        <v>0</v>
      </c>
      <c r="T767" s="36">
        <v>0</v>
      </c>
      <c r="U767" s="36">
        <v>0</v>
      </c>
      <c r="V767" s="36">
        <v>0</v>
      </c>
      <c r="W767" s="36">
        <v>0</v>
      </c>
      <c r="X767" s="36">
        <v>0</v>
      </c>
      <c r="Y767" s="48">
        <v>0</v>
      </c>
      <c r="Z767" s="36">
        <v>0</v>
      </c>
      <c r="AA767" s="36">
        <v>0</v>
      </c>
      <c r="AB767" s="36">
        <v>0</v>
      </c>
      <c r="AC767" s="36">
        <v>589000</v>
      </c>
      <c r="AD767" s="36">
        <v>16</v>
      </c>
      <c r="AF767" s="47">
        <f t="shared" si="11"/>
        <v>589000</v>
      </c>
    </row>
    <row r="768" spans="1:32" x14ac:dyDescent="0.3">
      <c r="B768" s="46" t="str">
        <f>IFERROR(VLOOKUP($H768,매장구분!$B:$Z,2,0),"")</f>
        <v/>
      </c>
      <c r="C768" s="46" t="str">
        <f>IFERROR(VLOOKUP($H768,매장구분!$B:$Z,3,0),"")</f>
        <v/>
      </c>
      <c r="D768" s="46" t="str">
        <f>IFERROR(VLOOKUP($H768,매장구분!$B:$Z,5,0),"")</f>
        <v/>
      </c>
      <c r="E768" s="46" t="str">
        <f>IFERROR(VLOOKUP($H768,매장구분!$B:$Z,9,0),"")</f>
        <v/>
      </c>
      <c r="AF768" s="47">
        <f t="shared" si="11"/>
        <v>0</v>
      </c>
    </row>
    <row r="769" spans="2:32" x14ac:dyDescent="0.3">
      <c r="B769" s="46" t="str">
        <f>IFERROR(VLOOKUP($H769,매장구분!$B:$Z,2,0),"")</f>
        <v/>
      </c>
      <c r="C769" s="46" t="str">
        <f>IFERROR(VLOOKUP($H769,매장구분!$B:$Z,3,0),"")</f>
        <v/>
      </c>
      <c r="D769" s="46" t="str">
        <f>IFERROR(VLOOKUP($H769,매장구분!$B:$Z,5,0),"")</f>
        <v/>
      </c>
      <c r="E769" s="46" t="str">
        <f>IFERROR(VLOOKUP($H769,매장구분!$B:$Z,9,0),"")</f>
        <v/>
      </c>
      <c r="AF769" s="47">
        <f t="shared" si="11"/>
        <v>0</v>
      </c>
    </row>
    <row r="770" spans="2:32" x14ac:dyDescent="0.3">
      <c r="B770" s="46" t="str">
        <f>IFERROR(VLOOKUP($H770,매장구분!$B:$Z,2,0),"")</f>
        <v/>
      </c>
      <c r="C770" s="46" t="str">
        <f>IFERROR(VLOOKUP($H770,매장구분!$B:$Z,3,0),"")</f>
        <v/>
      </c>
      <c r="D770" s="46" t="str">
        <f>IFERROR(VLOOKUP($H770,매장구분!$B:$Z,5,0),"")</f>
        <v/>
      </c>
      <c r="E770" s="46" t="str">
        <f>IFERROR(VLOOKUP($H770,매장구분!$B:$Z,9,0),"")</f>
        <v/>
      </c>
      <c r="AF770" s="47">
        <f t="shared" si="11"/>
        <v>0</v>
      </c>
    </row>
    <row r="771" spans="2:32" x14ac:dyDescent="0.3">
      <c r="B771" s="46" t="str">
        <f>IFERROR(VLOOKUP($H771,매장구분!$B:$Z,2,0),"")</f>
        <v/>
      </c>
      <c r="C771" s="46" t="str">
        <f>IFERROR(VLOOKUP($H771,매장구분!$B:$Z,3,0),"")</f>
        <v/>
      </c>
      <c r="D771" s="46" t="str">
        <f>IFERROR(VLOOKUP($H771,매장구분!$B:$Z,5,0),"")</f>
        <v/>
      </c>
      <c r="E771" s="46" t="str">
        <f>IFERROR(VLOOKUP($H771,매장구분!$B:$Z,9,0),"")</f>
        <v/>
      </c>
      <c r="AF771" s="47">
        <f t="shared" ref="AF771:AF834" si="12">IFERROR(AC771-Y771,"")</f>
        <v>0</v>
      </c>
    </row>
    <row r="772" spans="2:32" x14ac:dyDescent="0.3">
      <c r="B772" s="46" t="str">
        <f>IFERROR(VLOOKUP($H772,매장구분!$B:$Z,2,0),"")</f>
        <v/>
      </c>
      <c r="C772" s="46" t="str">
        <f>IFERROR(VLOOKUP($H772,매장구분!$B:$Z,3,0),"")</f>
        <v/>
      </c>
      <c r="D772" s="46" t="str">
        <f>IFERROR(VLOOKUP($H772,매장구분!$B:$Z,5,0),"")</f>
        <v/>
      </c>
      <c r="E772" s="46" t="str">
        <f>IFERROR(VLOOKUP($H772,매장구분!$B:$Z,9,0),"")</f>
        <v/>
      </c>
      <c r="AF772" s="47">
        <f t="shared" si="12"/>
        <v>0</v>
      </c>
    </row>
    <row r="773" spans="2:32" x14ac:dyDescent="0.3">
      <c r="B773" s="46" t="str">
        <f>IFERROR(VLOOKUP($H773,매장구분!$B:$Z,2,0),"")</f>
        <v/>
      </c>
      <c r="C773" s="46" t="str">
        <f>IFERROR(VLOOKUP($H773,매장구분!$B:$Z,3,0),"")</f>
        <v/>
      </c>
      <c r="D773" s="46" t="str">
        <f>IFERROR(VLOOKUP($H773,매장구분!$B:$Z,5,0),"")</f>
        <v/>
      </c>
      <c r="E773" s="46" t="str">
        <f>IFERROR(VLOOKUP($H773,매장구분!$B:$Z,9,0),"")</f>
        <v/>
      </c>
      <c r="AF773" s="47">
        <f t="shared" si="12"/>
        <v>0</v>
      </c>
    </row>
    <row r="774" spans="2:32" x14ac:dyDescent="0.3">
      <c r="B774" s="46" t="str">
        <f>IFERROR(VLOOKUP($H774,매장구분!$B:$Z,2,0),"")</f>
        <v/>
      </c>
      <c r="C774" s="46" t="str">
        <f>IFERROR(VLOOKUP($H774,매장구분!$B:$Z,3,0),"")</f>
        <v/>
      </c>
      <c r="D774" s="46" t="str">
        <f>IFERROR(VLOOKUP($H774,매장구분!$B:$Z,5,0),"")</f>
        <v/>
      </c>
      <c r="E774" s="46" t="str">
        <f>IFERROR(VLOOKUP($H774,매장구분!$B:$Z,9,0),"")</f>
        <v/>
      </c>
      <c r="AF774" s="47">
        <f t="shared" si="12"/>
        <v>0</v>
      </c>
    </row>
    <row r="775" spans="2:32" x14ac:dyDescent="0.3">
      <c r="B775" s="46" t="str">
        <f>IFERROR(VLOOKUP($H775,매장구분!$B:$Z,2,0),"")</f>
        <v/>
      </c>
      <c r="C775" s="46" t="str">
        <f>IFERROR(VLOOKUP($H775,매장구분!$B:$Z,3,0),"")</f>
        <v/>
      </c>
      <c r="D775" s="46" t="str">
        <f>IFERROR(VLOOKUP($H775,매장구분!$B:$Z,5,0),"")</f>
        <v/>
      </c>
      <c r="E775" s="46" t="str">
        <f>IFERROR(VLOOKUP($H775,매장구분!$B:$Z,9,0),"")</f>
        <v/>
      </c>
      <c r="AF775" s="47">
        <f t="shared" si="12"/>
        <v>0</v>
      </c>
    </row>
    <row r="776" spans="2:32" x14ac:dyDescent="0.3">
      <c r="B776" s="46" t="str">
        <f>IFERROR(VLOOKUP($H776,매장구분!$B:$Z,2,0),"")</f>
        <v/>
      </c>
      <c r="C776" s="46" t="str">
        <f>IFERROR(VLOOKUP($H776,매장구분!$B:$Z,3,0),"")</f>
        <v/>
      </c>
      <c r="D776" s="46" t="str">
        <f>IFERROR(VLOOKUP($H776,매장구분!$B:$Z,5,0),"")</f>
        <v/>
      </c>
      <c r="E776" s="46" t="str">
        <f>IFERROR(VLOOKUP($H776,매장구분!$B:$Z,9,0),"")</f>
        <v/>
      </c>
      <c r="AF776" s="47">
        <f t="shared" si="12"/>
        <v>0</v>
      </c>
    </row>
    <row r="777" spans="2:32" x14ac:dyDescent="0.3">
      <c r="B777" s="46" t="str">
        <f>IFERROR(VLOOKUP($H777,매장구분!$B:$Z,2,0),"")</f>
        <v/>
      </c>
      <c r="C777" s="46" t="str">
        <f>IFERROR(VLOOKUP($H777,매장구분!$B:$Z,3,0),"")</f>
        <v/>
      </c>
      <c r="D777" s="46" t="str">
        <f>IFERROR(VLOOKUP($H777,매장구분!$B:$Z,5,0),"")</f>
        <v/>
      </c>
      <c r="E777" s="46" t="str">
        <f>IFERROR(VLOOKUP($H777,매장구분!$B:$Z,9,0),"")</f>
        <v/>
      </c>
      <c r="AF777" s="47">
        <f t="shared" si="12"/>
        <v>0</v>
      </c>
    </row>
    <row r="778" spans="2:32" x14ac:dyDescent="0.3">
      <c r="B778" s="46" t="str">
        <f>IFERROR(VLOOKUP($H778,매장구분!$B:$Z,2,0),"")</f>
        <v/>
      </c>
      <c r="C778" s="46" t="str">
        <f>IFERROR(VLOOKUP($H778,매장구분!$B:$Z,3,0),"")</f>
        <v/>
      </c>
      <c r="D778" s="46" t="str">
        <f>IFERROR(VLOOKUP($H778,매장구분!$B:$Z,5,0),"")</f>
        <v/>
      </c>
      <c r="E778" s="46" t="str">
        <f>IFERROR(VLOOKUP($H778,매장구분!$B:$Z,9,0),"")</f>
        <v/>
      </c>
      <c r="AF778" s="47">
        <f t="shared" si="12"/>
        <v>0</v>
      </c>
    </row>
    <row r="779" spans="2:32" x14ac:dyDescent="0.3">
      <c r="B779" s="46" t="str">
        <f>IFERROR(VLOOKUP($H779,매장구분!$B:$Z,2,0),"")</f>
        <v/>
      </c>
      <c r="C779" s="46" t="str">
        <f>IFERROR(VLOOKUP($H779,매장구분!$B:$Z,3,0),"")</f>
        <v/>
      </c>
      <c r="D779" s="46" t="str">
        <f>IFERROR(VLOOKUP($H779,매장구분!$B:$Z,5,0),"")</f>
        <v/>
      </c>
      <c r="E779" s="46" t="str">
        <f>IFERROR(VLOOKUP($H779,매장구분!$B:$Z,9,0),"")</f>
        <v/>
      </c>
      <c r="AF779" s="47">
        <f t="shared" si="12"/>
        <v>0</v>
      </c>
    </row>
    <row r="780" spans="2:32" x14ac:dyDescent="0.3">
      <c r="B780" s="46" t="str">
        <f>IFERROR(VLOOKUP($H780,매장구분!$B:$Z,2,0),"")</f>
        <v/>
      </c>
      <c r="C780" s="46" t="str">
        <f>IFERROR(VLOOKUP($H780,매장구분!$B:$Z,3,0),"")</f>
        <v/>
      </c>
      <c r="D780" s="46" t="str">
        <f>IFERROR(VLOOKUP($H780,매장구분!$B:$Z,5,0),"")</f>
        <v/>
      </c>
      <c r="E780" s="46" t="str">
        <f>IFERROR(VLOOKUP($H780,매장구분!$B:$Z,9,0),"")</f>
        <v/>
      </c>
      <c r="AF780" s="47">
        <f t="shared" si="12"/>
        <v>0</v>
      </c>
    </row>
    <row r="781" spans="2:32" x14ac:dyDescent="0.3">
      <c r="B781" s="46" t="str">
        <f>IFERROR(VLOOKUP($H781,매장구분!$B:$Z,2,0),"")</f>
        <v/>
      </c>
      <c r="C781" s="46" t="str">
        <f>IFERROR(VLOOKUP($H781,매장구분!$B:$Z,3,0),"")</f>
        <v/>
      </c>
      <c r="D781" s="46" t="str">
        <f>IFERROR(VLOOKUP($H781,매장구분!$B:$Z,5,0),"")</f>
        <v/>
      </c>
      <c r="E781" s="46" t="str">
        <f>IFERROR(VLOOKUP($H781,매장구분!$B:$Z,9,0),"")</f>
        <v/>
      </c>
      <c r="AF781" s="47">
        <f t="shared" si="12"/>
        <v>0</v>
      </c>
    </row>
    <row r="782" spans="2:32" x14ac:dyDescent="0.3">
      <c r="B782" s="46" t="str">
        <f>IFERROR(VLOOKUP($H782,매장구분!$B:$Z,2,0),"")</f>
        <v/>
      </c>
      <c r="C782" s="46" t="str">
        <f>IFERROR(VLOOKUP($H782,매장구분!$B:$Z,3,0),"")</f>
        <v/>
      </c>
      <c r="D782" s="46" t="str">
        <f>IFERROR(VLOOKUP($H782,매장구분!$B:$Z,5,0),"")</f>
        <v/>
      </c>
      <c r="E782" s="46" t="str">
        <f>IFERROR(VLOOKUP($H782,매장구분!$B:$Z,9,0),"")</f>
        <v/>
      </c>
      <c r="AF782" s="47">
        <f t="shared" si="12"/>
        <v>0</v>
      </c>
    </row>
    <row r="783" spans="2:32" x14ac:dyDescent="0.3">
      <c r="B783" s="46" t="str">
        <f>IFERROR(VLOOKUP($H783,매장구분!$B:$Z,2,0),"")</f>
        <v/>
      </c>
      <c r="C783" s="46" t="str">
        <f>IFERROR(VLOOKUP($H783,매장구분!$B:$Z,3,0),"")</f>
        <v/>
      </c>
      <c r="D783" s="46" t="str">
        <f>IFERROR(VLOOKUP($H783,매장구분!$B:$Z,5,0),"")</f>
        <v/>
      </c>
      <c r="E783" s="46" t="str">
        <f>IFERROR(VLOOKUP($H783,매장구분!$B:$Z,9,0),"")</f>
        <v/>
      </c>
      <c r="AF783" s="47">
        <f t="shared" si="12"/>
        <v>0</v>
      </c>
    </row>
    <row r="784" spans="2:32" x14ac:dyDescent="0.3">
      <c r="B784" s="46" t="str">
        <f>IFERROR(VLOOKUP($H784,매장구분!$B:$Z,2,0),"")</f>
        <v/>
      </c>
      <c r="C784" s="46" t="str">
        <f>IFERROR(VLOOKUP($H784,매장구분!$B:$Z,3,0),"")</f>
        <v/>
      </c>
      <c r="D784" s="46" t="str">
        <f>IFERROR(VLOOKUP($H784,매장구분!$B:$Z,5,0),"")</f>
        <v/>
      </c>
      <c r="E784" s="46" t="str">
        <f>IFERROR(VLOOKUP($H784,매장구분!$B:$Z,9,0),"")</f>
        <v/>
      </c>
      <c r="AF784" s="47">
        <f t="shared" si="12"/>
        <v>0</v>
      </c>
    </row>
    <row r="785" spans="2:32" x14ac:dyDescent="0.3">
      <c r="B785" s="46" t="str">
        <f>IFERROR(VLOOKUP($H785,매장구분!$B:$Z,2,0),"")</f>
        <v/>
      </c>
      <c r="C785" s="46" t="str">
        <f>IFERROR(VLOOKUP($H785,매장구분!$B:$Z,3,0),"")</f>
        <v/>
      </c>
      <c r="D785" s="46" t="str">
        <f>IFERROR(VLOOKUP($H785,매장구분!$B:$Z,5,0),"")</f>
        <v/>
      </c>
      <c r="E785" s="46" t="str">
        <f>IFERROR(VLOOKUP($H785,매장구분!$B:$Z,9,0),"")</f>
        <v/>
      </c>
      <c r="AF785" s="47">
        <f t="shared" si="12"/>
        <v>0</v>
      </c>
    </row>
    <row r="786" spans="2:32" x14ac:dyDescent="0.3">
      <c r="B786" s="46" t="str">
        <f>IFERROR(VLOOKUP($H786,매장구분!$B:$Z,2,0),"")</f>
        <v/>
      </c>
      <c r="C786" s="46" t="str">
        <f>IFERROR(VLOOKUP($H786,매장구분!$B:$Z,3,0),"")</f>
        <v/>
      </c>
      <c r="D786" s="46" t="str">
        <f>IFERROR(VLOOKUP($H786,매장구분!$B:$Z,5,0),"")</f>
        <v/>
      </c>
      <c r="E786" s="46" t="str">
        <f>IFERROR(VLOOKUP($H786,매장구분!$B:$Z,9,0),"")</f>
        <v/>
      </c>
      <c r="AF786" s="47">
        <f t="shared" si="12"/>
        <v>0</v>
      </c>
    </row>
    <row r="787" spans="2:32" x14ac:dyDescent="0.3">
      <c r="B787" s="46" t="str">
        <f>IFERROR(VLOOKUP($H787,매장구분!$B:$Z,2,0),"")</f>
        <v/>
      </c>
      <c r="C787" s="46" t="str">
        <f>IFERROR(VLOOKUP($H787,매장구분!$B:$Z,3,0),"")</f>
        <v/>
      </c>
      <c r="D787" s="46" t="str">
        <f>IFERROR(VLOOKUP($H787,매장구분!$B:$Z,5,0),"")</f>
        <v/>
      </c>
      <c r="E787" s="46" t="str">
        <f>IFERROR(VLOOKUP($H787,매장구분!$B:$Z,9,0),"")</f>
        <v/>
      </c>
      <c r="AF787" s="47">
        <f t="shared" si="12"/>
        <v>0</v>
      </c>
    </row>
    <row r="788" spans="2:32" x14ac:dyDescent="0.3">
      <c r="B788" s="46" t="str">
        <f>IFERROR(VLOOKUP($H788,매장구분!$B:$Z,2,0),"")</f>
        <v/>
      </c>
      <c r="C788" s="46" t="str">
        <f>IFERROR(VLOOKUP($H788,매장구분!$B:$Z,3,0),"")</f>
        <v/>
      </c>
      <c r="D788" s="46" t="str">
        <f>IFERROR(VLOOKUP($H788,매장구분!$B:$Z,5,0),"")</f>
        <v/>
      </c>
      <c r="E788" s="46" t="str">
        <f>IFERROR(VLOOKUP($H788,매장구분!$B:$Z,9,0),"")</f>
        <v/>
      </c>
      <c r="AF788" s="47">
        <f t="shared" si="12"/>
        <v>0</v>
      </c>
    </row>
    <row r="789" spans="2:32" x14ac:dyDescent="0.3">
      <c r="B789" s="46" t="str">
        <f>IFERROR(VLOOKUP($H789,매장구분!$B:$Z,2,0),"")</f>
        <v/>
      </c>
      <c r="C789" s="46" t="str">
        <f>IFERROR(VLOOKUP($H789,매장구분!$B:$Z,3,0),"")</f>
        <v/>
      </c>
      <c r="D789" s="46" t="str">
        <f>IFERROR(VLOOKUP($H789,매장구분!$B:$Z,5,0),"")</f>
        <v/>
      </c>
      <c r="E789" s="46" t="str">
        <f>IFERROR(VLOOKUP($H789,매장구분!$B:$Z,9,0),"")</f>
        <v/>
      </c>
      <c r="AF789" s="47">
        <f t="shared" si="12"/>
        <v>0</v>
      </c>
    </row>
    <row r="790" spans="2:32" x14ac:dyDescent="0.3">
      <c r="B790" s="46" t="str">
        <f>IFERROR(VLOOKUP($H790,매장구분!$B:$Z,2,0),"")</f>
        <v/>
      </c>
      <c r="C790" s="46" t="str">
        <f>IFERROR(VLOOKUP($H790,매장구분!$B:$Z,3,0),"")</f>
        <v/>
      </c>
      <c r="D790" s="46" t="str">
        <f>IFERROR(VLOOKUP($H790,매장구분!$B:$Z,5,0),"")</f>
        <v/>
      </c>
      <c r="E790" s="46" t="str">
        <f>IFERROR(VLOOKUP($H790,매장구분!$B:$Z,9,0),"")</f>
        <v/>
      </c>
      <c r="AF790" s="47">
        <f t="shared" si="12"/>
        <v>0</v>
      </c>
    </row>
    <row r="791" spans="2:32" x14ac:dyDescent="0.3">
      <c r="B791" s="46" t="str">
        <f>IFERROR(VLOOKUP($H791,매장구분!$B:$Z,2,0),"")</f>
        <v/>
      </c>
      <c r="C791" s="46" t="str">
        <f>IFERROR(VLOOKUP($H791,매장구분!$B:$Z,3,0),"")</f>
        <v/>
      </c>
      <c r="D791" s="46" t="str">
        <f>IFERROR(VLOOKUP($H791,매장구분!$B:$Z,5,0),"")</f>
        <v/>
      </c>
      <c r="E791" s="46" t="str">
        <f>IFERROR(VLOOKUP($H791,매장구분!$B:$Z,9,0),"")</f>
        <v/>
      </c>
      <c r="AF791" s="47">
        <f t="shared" si="12"/>
        <v>0</v>
      </c>
    </row>
    <row r="792" spans="2:32" x14ac:dyDescent="0.3">
      <c r="B792" s="46" t="str">
        <f>IFERROR(VLOOKUP($H792,매장구분!$B:$Z,2,0),"")</f>
        <v/>
      </c>
      <c r="C792" s="46" t="str">
        <f>IFERROR(VLOOKUP($H792,매장구분!$B:$Z,3,0),"")</f>
        <v/>
      </c>
      <c r="D792" s="46" t="str">
        <f>IFERROR(VLOOKUP($H792,매장구분!$B:$Z,5,0),"")</f>
        <v/>
      </c>
      <c r="E792" s="46" t="str">
        <f>IFERROR(VLOOKUP($H792,매장구분!$B:$Z,9,0),"")</f>
        <v/>
      </c>
      <c r="AF792" s="47">
        <f t="shared" si="12"/>
        <v>0</v>
      </c>
    </row>
    <row r="793" spans="2:32" x14ac:dyDescent="0.3">
      <c r="B793" s="46" t="str">
        <f>IFERROR(VLOOKUP($H793,매장구분!$B:$Z,2,0),"")</f>
        <v/>
      </c>
      <c r="C793" s="46" t="str">
        <f>IFERROR(VLOOKUP($H793,매장구분!$B:$Z,3,0),"")</f>
        <v/>
      </c>
      <c r="D793" s="46" t="str">
        <f>IFERROR(VLOOKUP($H793,매장구분!$B:$Z,5,0),"")</f>
        <v/>
      </c>
      <c r="E793" s="46" t="str">
        <f>IFERROR(VLOOKUP($H793,매장구분!$B:$Z,9,0),"")</f>
        <v/>
      </c>
      <c r="AF793" s="47">
        <f t="shared" si="12"/>
        <v>0</v>
      </c>
    </row>
    <row r="794" spans="2:32" x14ac:dyDescent="0.3">
      <c r="B794" s="46" t="str">
        <f>IFERROR(VLOOKUP($H794,매장구분!$B:$Z,2,0),"")</f>
        <v/>
      </c>
      <c r="C794" s="46" t="str">
        <f>IFERROR(VLOOKUP($H794,매장구분!$B:$Z,3,0),"")</f>
        <v/>
      </c>
      <c r="D794" s="46" t="str">
        <f>IFERROR(VLOOKUP($H794,매장구분!$B:$Z,5,0),"")</f>
        <v/>
      </c>
      <c r="E794" s="46" t="str">
        <f>IFERROR(VLOOKUP($H794,매장구분!$B:$Z,9,0),"")</f>
        <v/>
      </c>
      <c r="AF794" s="47">
        <f t="shared" si="12"/>
        <v>0</v>
      </c>
    </row>
    <row r="795" spans="2:32" x14ac:dyDescent="0.3">
      <c r="B795" s="46" t="str">
        <f>IFERROR(VLOOKUP($H795,매장구분!$B:$Z,2,0),"")</f>
        <v/>
      </c>
      <c r="C795" s="46" t="str">
        <f>IFERROR(VLOOKUP($H795,매장구분!$B:$Z,3,0),"")</f>
        <v/>
      </c>
      <c r="D795" s="46" t="str">
        <f>IFERROR(VLOOKUP($H795,매장구분!$B:$Z,5,0),"")</f>
        <v/>
      </c>
      <c r="E795" s="46" t="str">
        <f>IFERROR(VLOOKUP($H795,매장구분!$B:$Z,9,0),"")</f>
        <v/>
      </c>
      <c r="AF795" s="47">
        <f t="shared" si="12"/>
        <v>0</v>
      </c>
    </row>
    <row r="796" spans="2:32" x14ac:dyDescent="0.3">
      <c r="B796" s="46" t="str">
        <f>IFERROR(VLOOKUP($H796,매장구분!$B:$Z,2,0),"")</f>
        <v/>
      </c>
      <c r="C796" s="46" t="str">
        <f>IFERROR(VLOOKUP($H796,매장구분!$B:$Z,3,0),"")</f>
        <v/>
      </c>
      <c r="D796" s="46" t="str">
        <f>IFERROR(VLOOKUP($H796,매장구분!$B:$Z,5,0),"")</f>
        <v/>
      </c>
      <c r="E796" s="46" t="str">
        <f>IFERROR(VLOOKUP($H796,매장구분!$B:$Z,9,0),"")</f>
        <v/>
      </c>
      <c r="AF796" s="47">
        <f t="shared" si="12"/>
        <v>0</v>
      </c>
    </row>
    <row r="797" spans="2:32" x14ac:dyDescent="0.3">
      <c r="B797" s="46" t="str">
        <f>IFERROR(VLOOKUP($H797,매장구분!$B:$Z,2,0),"")</f>
        <v/>
      </c>
      <c r="C797" s="46" t="str">
        <f>IFERROR(VLOOKUP($H797,매장구분!$B:$Z,3,0),"")</f>
        <v/>
      </c>
      <c r="D797" s="46" t="str">
        <f>IFERROR(VLOOKUP($H797,매장구분!$B:$Z,5,0),"")</f>
        <v/>
      </c>
      <c r="E797" s="46" t="str">
        <f>IFERROR(VLOOKUP($H797,매장구분!$B:$Z,9,0),"")</f>
        <v/>
      </c>
      <c r="AF797" s="47">
        <f t="shared" si="12"/>
        <v>0</v>
      </c>
    </row>
    <row r="798" spans="2:32" x14ac:dyDescent="0.3">
      <c r="B798" s="46" t="str">
        <f>IFERROR(VLOOKUP($H798,매장구분!$B:$Z,2,0),"")</f>
        <v/>
      </c>
      <c r="C798" s="46" t="str">
        <f>IFERROR(VLOOKUP($H798,매장구분!$B:$Z,3,0),"")</f>
        <v/>
      </c>
      <c r="D798" s="46" t="str">
        <f>IFERROR(VLOOKUP($H798,매장구분!$B:$Z,5,0),"")</f>
        <v/>
      </c>
      <c r="E798" s="46" t="str">
        <f>IFERROR(VLOOKUP($H798,매장구분!$B:$Z,9,0),"")</f>
        <v/>
      </c>
      <c r="AF798" s="47">
        <f t="shared" si="12"/>
        <v>0</v>
      </c>
    </row>
    <row r="799" spans="2:32" x14ac:dyDescent="0.3">
      <c r="B799" s="46" t="str">
        <f>IFERROR(VLOOKUP($H799,매장구분!$B:$Z,2,0),"")</f>
        <v/>
      </c>
      <c r="C799" s="46" t="str">
        <f>IFERROR(VLOOKUP($H799,매장구분!$B:$Z,3,0),"")</f>
        <v/>
      </c>
      <c r="D799" s="46" t="str">
        <f>IFERROR(VLOOKUP($H799,매장구분!$B:$Z,5,0),"")</f>
        <v/>
      </c>
      <c r="E799" s="46" t="str">
        <f>IFERROR(VLOOKUP($H799,매장구분!$B:$Z,9,0),"")</f>
        <v/>
      </c>
      <c r="AF799" s="47">
        <f t="shared" si="12"/>
        <v>0</v>
      </c>
    </row>
    <row r="800" spans="2:32" x14ac:dyDescent="0.3">
      <c r="B800" s="46" t="str">
        <f>IFERROR(VLOOKUP($H800,매장구분!$B:$Z,2,0),"")</f>
        <v/>
      </c>
      <c r="C800" s="46" t="str">
        <f>IFERROR(VLOOKUP($H800,매장구분!$B:$Z,3,0),"")</f>
        <v/>
      </c>
      <c r="D800" s="46" t="str">
        <f>IFERROR(VLOOKUP($H800,매장구분!$B:$Z,5,0),"")</f>
        <v/>
      </c>
      <c r="E800" s="46" t="str">
        <f>IFERROR(VLOOKUP($H800,매장구분!$B:$Z,9,0),"")</f>
        <v/>
      </c>
      <c r="AF800" s="47">
        <f t="shared" si="12"/>
        <v>0</v>
      </c>
    </row>
    <row r="801" spans="2:32" x14ac:dyDescent="0.3">
      <c r="B801" s="46" t="str">
        <f>IFERROR(VLOOKUP($H801,매장구분!$B:$Z,2,0),"")</f>
        <v/>
      </c>
      <c r="C801" s="46" t="str">
        <f>IFERROR(VLOOKUP($H801,매장구분!$B:$Z,3,0),"")</f>
        <v/>
      </c>
      <c r="D801" s="46" t="str">
        <f>IFERROR(VLOOKUP($H801,매장구분!$B:$Z,5,0),"")</f>
        <v/>
      </c>
      <c r="E801" s="46" t="str">
        <f>IFERROR(VLOOKUP($H801,매장구분!$B:$Z,9,0),"")</f>
        <v/>
      </c>
      <c r="AF801" s="47">
        <f t="shared" si="12"/>
        <v>0</v>
      </c>
    </row>
    <row r="802" spans="2:32" x14ac:dyDescent="0.3">
      <c r="B802" s="46" t="str">
        <f>IFERROR(VLOOKUP($H802,매장구분!$B:$Z,2,0),"")</f>
        <v/>
      </c>
      <c r="C802" s="46" t="str">
        <f>IFERROR(VLOOKUP($H802,매장구분!$B:$Z,3,0),"")</f>
        <v/>
      </c>
      <c r="D802" s="46" t="str">
        <f>IFERROR(VLOOKUP($H802,매장구분!$B:$Z,5,0),"")</f>
        <v/>
      </c>
      <c r="E802" s="46" t="str">
        <f>IFERROR(VLOOKUP($H802,매장구분!$B:$Z,9,0),"")</f>
        <v/>
      </c>
      <c r="AF802" s="47">
        <f t="shared" si="12"/>
        <v>0</v>
      </c>
    </row>
    <row r="803" spans="2:32" x14ac:dyDescent="0.3">
      <c r="B803" s="46" t="str">
        <f>IFERROR(VLOOKUP($H803,매장구분!$B:$Z,2,0),"")</f>
        <v/>
      </c>
      <c r="C803" s="46" t="str">
        <f>IFERROR(VLOOKUP($H803,매장구분!$B:$Z,3,0),"")</f>
        <v/>
      </c>
      <c r="D803" s="46" t="str">
        <f>IFERROR(VLOOKUP($H803,매장구분!$B:$Z,5,0),"")</f>
        <v/>
      </c>
      <c r="E803" s="46" t="str">
        <f>IFERROR(VLOOKUP($H803,매장구분!$B:$Z,9,0),"")</f>
        <v/>
      </c>
      <c r="AF803" s="47">
        <f t="shared" si="12"/>
        <v>0</v>
      </c>
    </row>
    <row r="804" spans="2:32" x14ac:dyDescent="0.3">
      <c r="B804" s="46" t="str">
        <f>IFERROR(VLOOKUP($H804,매장구분!$B:$Z,2,0),"")</f>
        <v/>
      </c>
      <c r="C804" s="46" t="str">
        <f>IFERROR(VLOOKUP($H804,매장구분!$B:$Z,3,0),"")</f>
        <v/>
      </c>
      <c r="D804" s="46" t="str">
        <f>IFERROR(VLOOKUP($H804,매장구분!$B:$Z,5,0),"")</f>
        <v/>
      </c>
      <c r="E804" s="46" t="str">
        <f>IFERROR(VLOOKUP($H804,매장구분!$B:$Z,9,0),"")</f>
        <v/>
      </c>
      <c r="AF804" s="47">
        <f t="shared" si="12"/>
        <v>0</v>
      </c>
    </row>
    <row r="805" spans="2:32" x14ac:dyDescent="0.3">
      <c r="B805" s="46" t="str">
        <f>IFERROR(VLOOKUP($H805,매장구분!$B:$Z,2,0),"")</f>
        <v/>
      </c>
      <c r="C805" s="46" t="str">
        <f>IFERROR(VLOOKUP($H805,매장구분!$B:$Z,3,0),"")</f>
        <v/>
      </c>
      <c r="D805" s="46" t="str">
        <f>IFERROR(VLOOKUP($H805,매장구분!$B:$Z,5,0),"")</f>
        <v/>
      </c>
      <c r="E805" s="46" t="str">
        <f>IFERROR(VLOOKUP($H805,매장구분!$B:$Z,9,0),"")</f>
        <v/>
      </c>
      <c r="AF805" s="47">
        <f t="shared" si="12"/>
        <v>0</v>
      </c>
    </row>
    <row r="806" spans="2:32" x14ac:dyDescent="0.3">
      <c r="B806" s="46" t="str">
        <f>IFERROR(VLOOKUP($H806,매장구분!$B:$Z,2,0),"")</f>
        <v/>
      </c>
      <c r="C806" s="46" t="str">
        <f>IFERROR(VLOOKUP($H806,매장구분!$B:$Z,3,0),"")</f>
        <v/>
      </c>
      <c r="D806" s="46" t="str">
        <f>IFERROR(VLOOKUP($H806,매장구분!$B:$Z,5,0),"")</f>
        <v/>
      </c>
      <c r="E806" s="46" t="str">
        <f>IFERROR(VLOOKUP($H806,매장구분!$B:$Z,9,0),"")</f>
        <v/>
      </c>
      <c r="AF806" s="47">
        <f t="shared" si="12"/>
        <v>0</v>
      </c>
    </row>
    <row r="807" spans="2:32" x14ac:dyDescent="0.3">
      <c r="B807" s="46" t="str">
        <f>IFERROR(VLOOKUP($H807,매장구분!$B:$Z,2,0),"")</f>
        <v/>
      </c>
      <c r="C807" s="46" t="str">
        <f>IFERROR(VLOOKUP($H807,매장구분!$B:$Z,3,0),"")</f>
        <v/>
      </c>
      <c r="D807" s="46" t="str">
        <f>IFERROR(VLOOKUP($H807,매장구분!$B:$Z,5,0),"")</f>
        <v/>
      </c>
      <c r="E807" s="46" t="str">
        <f>IFERROR(VLOOKUP($H807,매장구분!$B:$Z,9,0),"")</f>
        <v/>
      </c>
      <c r="AF807" s="47">
        <f t="shared" si="12"/>
        <v>0</v>
      </c>
    </row>
    <row r="808" spans="2:32" x14ac:dyDescent="0.3">
      <c r="B808" s="46" t="str">
        <f>IFERROR(VLOOKUP($H808,매장구분!$B:$Z,2,0),"")</f>
        <v/>
      </c>
      <c r="C808" s="46" t="str">
        <f>IFERROR(VLOOKUP($H808,매장구분!$B:$Z,3,0),"")</f>
        <v/>
      </c>
      <c r="D808" s="46" t="str">
        <f>IFERROR(VLOOKUP($H808,매장구분!$B:$Z,5,0),"")</f>
        <v/>
      </c>
      <c r="E808" s="46" t="str">
        <f>IFERROR(VLOOKUP($H808,매장구분!$B:$Z,9,0),"")</f>
        <v/>
      </c>
      <c r="AF808" s="47">
        <f t="shared" si="12"/>
        <v>0</v>
      </c>
    </row>
    <row r="809" spans="2:32" x14ac:dyDescent="0.3">
      <c r="B809" s="46" t="str">
        <f>IFERROR(VLOOKUP($H809,매장구분!$B:$Z,2,0),"")</f>
        <v/>
      </c>
      <c r="C809" s="46" t="str">
        <f>IFERROR(VLOOKUP($H809,매장구분!$B:$Z,3,0),"")</f>
        <v/>
      </c>
      <c r="D809" s="46" t="str">
        <f>IFERROR(VLOOKUP($H809,매장구분!$B:$Z,5,0),"")</f>
        <v/>
      </c>
      <c r="E809" s="46" t="str">
        <f>IFERROR(VLOOKUP($H809,매장구분!$B:$Z,9,0),"")</f>
        <v/>
      </c>
      <c r="AF809" s="47">
        <f t="shared" si="12"/>
        <v>0</v>
      </c>
    </row>
    <row r="810" spans="2:32" x14ac:dyDescent="0.3">
      <c r="B810" s="46" t="str">
        <f>IFERROR(VLOOKUP($H810,매장구분!$B:$Z,2,0),"")</f>
        <v/>
      </c>
      <c r="C810" s="46" t="str">
        <f>IFERROR(VLOOKUP($H810,매장구분!$B:$Z,3,0),"")</f>
        <v/>
      </c>
      <c r="D810" s="46" t="str">
        <f>IFERROR(VLOOKUP($H810,매장구분!$B:$Z,5,0),"")</f>
        <v/>
      </c>
      <c r="E810" s="46" t="str">
        <f>IFERROR(VLOOKUP($H810,매장구분!$B:$Z,9,0),"")</f>
        <v/>
      </c>
      <c r="AF810" s="47">
        <f t="shared" si="12"/>
        <v>0</v>
      </c>
    </row>
    <row r="811" spans="2:32" x14ac:dyDescent="0.3">
      <c r="B811" s="46" t="str">
        <f>IFERROR(VLOOKUP($H811,매장구분!$B:$Z,2,0),"")</f>
        <v/>
      </c>
      <c r="C811" s="46" t="str">
        <f>IFERROR(VLOOKUP($H811,매장구분!$B:$Z,3,0),"")</f>
        <v/>
      </c>
      <c r="D811" s="46" t="str">
        <f>IFERROR(VLOOKUP($H811,매장구분!$B:$Z,5,0),"")</f>
        <v/>
      </c>
      <c r="E811" s="46" t="str">
        <f>IFERROR(VLOOKUP($H811,매장구분!$B:$Z,9,0),"")</f>
        <v/>
      </c>
      <c r="AF811" s="47">
        <f t="shared" si="12"/>
        <v>0</v>
      </c>
    </row>
    <row r="812" spans="2:32" x14ac:dyDescent="0.3">
      <c r="B812" s="46" t="str">
        <f>IFERROR(VLOOKUP($H812,매장구분!$B:$Z,2,0),"")</f>
        <v/>
      </c>
      <c r="C812" s="46" t="str">
        <f>IFERROR(VLOOKUP($H812,매장구분!$B:$Z,3,0),"")</f>
        <v/>
      </c>
      <c r="D812" s="46" t="str">
        <f>IFERROR(VLOOKUP($H812,매장구분!$B:$Z,5,0),"")</f>
        <v/>
      </c>
      <c r="E812" s="46" t="str">
        <f>IFERROR(VLOOKUP($H812,매장구분!$B:$Z,9,0),"")</f>
        <v/>
      </c>
      <c r="AF812" s="47">
        <f t="shared" si="12"/>
        <v>0</v>
      </c>
    </row>
    <row r="813" spans="2:32" x14ac:dyDescent="0.3">
      <c r="B813" s="46" t="str">
        <f>IFERROR(VLOOKUP($H813,매장구분!$B:$Z,2,0),"")</f>
        <v/>
      </c>
      <c r="C813" s="46" t="str">
        <f>IFERROR(VLOOKUP($H813,매장구분!$B:$Z,3,0),"")</f>
        <v/>
      </c>
      <c r="D813" s="46" t="str">
        <f>IFERROR(VLOOKUP($H813,매장구분!$B:$Z,5,0),"")</f>
        <v/>
      </c>
      <c r="E813" s="46" t="str">
        <f>IFERROR(VLOOKUP($H813,매장구분!$B:$Z,9,0),"")</f>
        <v/>
      </c>
      <c r="AF813" s="47">
        <f t="shared" si="12"/>
        <v>0</v>
      </c>
    </row>
    <row r="814" spans="2:32" x14ac:dyDescent="0.3">
      <c r="B814" s="46" t="str">
        <f>IFERROR(VLOOKUP($H814,매장구분!$B:$Z,2,0),"")</f>
        <v/>
      </c>
      <c r="C814" s="46" t="str">
        <f>IFERROR(VLOOKUP($H814,매장구분!$B:$Z,3,0),"")</f>
        <v/>
      </c>
      <c r="D814" s="46" t="str">
        <f>IFERROR(VLOOKUP($H814,매장구분!$B:$Z,5,0),"")</f>
        <v/>
      </c>
      <c r="E814" s="46" t="str">
        <f>IFERROR(VLOOKUP($H814,매장구분!$B:$Z,9,0),"")</f>
        <v/>
      </c>
      <c r="AF814" s="47">
        <f t="shared" si="12"/>
        <v>0</v>
      </c>
    </row>
    <row r="815" spans="2:32" x14ac:dyDescent="0.3">
      <c r="B815" s="46" t="str">
        <f>IFERROR(VLOOKUP($H815,매장구분!$B:$Z,2,0),"")</f>
        <v/>
      </c>
      <c r="C815" s="46" t="str">
        <f>IFERROR(VLOOKUP($H815,매장구분!$B:$Z,3,0),"")</f>
        <v/>
      </c>
      <c r="D815" s="46" t="str">
        <f>IFERROR(VLOOKUP($H815,매장구분!$B:$Z,5,0),"")</f>
        <v/>
      </c>
      <c r="E815" s="46" t="str">
        <f>IFERROR(VLOOKUP($H815,매장구분!$B:$Z,9,0),"")</f>
        <v/>
      </c>
      <c r="AF815" s="47">
        <f t="shared" si="12"/>
        <v>0</v>
      </c>
    </row>
    <row r="816" spans="2:32" x14ac:dyDescent="0.3">
      <c r="B816" s="46" t="str">
        <f>IFERROR(VLOOKUP($H816,매장구분!$B:$Z,2,0),"")</f>
        <v/>
      </c>
      <c r="C816" s="46" t="str">
        <f>IFERROR(VLOOKUP($H816,매장구분!$B:$Z,3,0),"")</f>
        <v/>
      </c>
      <c r="D816" s="46" t="str">
        <f>IFERROR(VLOOKUP($H816,매장구분!$B:$Z,5,0),"")</f>
        <v/>
      </c>
      <c r="E816" s="46" t="str">
        <f>IFERROR(VLOOKUP($H816,매장구분!$B:$Z,9,0),"")</f>
        <v/>
      </c>
      <c r="AF816" s="47">
        <f t="shared" si="12"/>
        <v>0</v>
      </c>
    </row>
    <row r="817" spans="2:32" x14ac:dyDescent="0.3">
      <c r="B817" s="46" t="str">
        <f>IFERROR(VLOOKUP($H817,매장구분!$B:$Z,2,0),"")</f>
        <v/>
      </c>
      <c r="C817" s="46" t="str">
        <f>IFERROR(VLOOKUP($H817,매장구분!$B:$Z,3,0),"")</f>
        <v/>
      </c>
      <c r="D817" s="46" t="str">
        <f>IFERROR(VLOOKUP($H817,매장구분!$B:$Z,5,0),"")</f>
        <v/>
      </c>
      <c r="E817" s="46" t="str">
        <f>IFERROR(VLOOKUP($H817,매장구분!$B:$Z,9,0),"")</f>
        <v/>
      </c>
      <c r="AF817" s="47">
        <f t="shared" si="12"/>
        <v>0</v>
      </c>
    </row>
    <row r="818" spans="2:32" x14ac:dyDescent="0.3">
      <c r="B818" s="46" t="str">
        <f>IFERROR(VLOOKUP($H818,매장구분!$B:$Z,2,0),"")</f>
        <v/>
      </c>
      <c r="C818" s="46" t="str">
        <f>IFERROR(VLOOKUP($H818,매장구분!$B:$Z,3,0),"")</f>
        <v/>
      </c>
      <c r="D818" s="46" t="str">
        <f>IFERROR(VLOOKUP($H818,매장구분!$B:$Z,5,0),"")</f>
        <v/>
      </c>
      <c r="E818" s="46" t="str">
        <f>IFERROR(VLOOKUP($H818,매장구분!$B:$Z,9,0),"")</f>
        <v/>
      </c>
      <c r="AF818" s="47">
        <f t="shared" si="12"/>
        <v>0</v>
      </c>
    </row>
    <row r="819" spans="2:32" x14ac:dyDescent="0.3">
      <c r="B819" s="46" t="str">
        <f>IFERROR(VLOOKUP($H819,매장구분!$B:$Z,2,0),"")</f>
        <v/>
      </c>
      <c r="C819" s="46" t="str">
        <f>IFERROR(VLOOKUP($H819,매장구분!$B:$Z,3,0),"")</f>
        <v/>
      </c>
      <c r="D819" s="46" t="str">
        <f>IFERROR(VLOOKUP($H819,매장구분!$B:$Z,5,0),"")</f>
        <v/>
      </c>
      <c r="E819" s="46" t="str">
        <f>IFERROR(VLOOKUP($H819,매장구분!$B:$Z,9,0),"")</f>
        <v/>
      </c>
      <c r="AF819" s="47">
        <f t="shared" si="12"/>
        <v>0</v>
      </c>
    </row>
    <row r="820" spans="2:32" x14ac:dyDescent="0.3">
      <c r="B820" s="46" t="str">
        <f>IFERROR(VLOOKUP($H820,매장구분!$B:$Z,2,0),"")</f>
        <v/>
      </c>
      <c r="C820" s="46" t="str">
        <f>IFERROR(VLOOKUP($H820,매장구분!$B:$Z,3,0),"")</f>
        <v/>
      </c>
      <c r="D820" s="46" t="str">
        <f>IFERROR(VLOOKUP($H820,매장구분!$B:$Z,5,0),"")</f>
        <v/>
      </c>
      <c r="E820" s="46" t="str">
        <f>IFERROR(VLOOKUP($H820,매장구분!$B:$Z,9,0),"")</f>
        <v/>
      </c>
      <c r="AF820" s="47">
        <f t="shared" si="12"/>
        <v>0</v>
      </c>
    </row>
    <row r="821" spans="2:32" x14ac:dyDescent="0.3">
      <c r="B821" s="46" t="str">
        <f>IFERROR(VLOOKUP($H821,매장구분!$B:$Z,2,0),"")</f>
        <v/>
      </c>
      <c r="C821" s="46" t="str">
        <f>IFERROR(VLOOKUP($H821,매장구분!$B:$Z,3,0),"")</f>
        <v/>
      </c>
      <c r="D821" s="46" t="str">
        <f>IFERROR(VLOOKUP($H821,매장구분!$B:$Z,5,0),"")</f>
        <v/>
      </c>
      <c r="E821" s="46" t="str">
        <f>IFERROR(VLOOKUP($H821,매장구분!$B:$Z,9,0),"")</f>
        <v/>
      </c>
      <c r="AF821" s="47">
        <f t="shared" si="12"/>
        <v>0</v>
      </c>
    </row>
    <row r="822" spans="2:32" x14ac:dyDescent="0.3">
      <c r="B822" s="46" t="str">
        <f>IFERROR(VLOOKUP($H822,매장구분!$B:$Z,2,0),"")</f>
        <v/>
      </c>
      <c r="C822" s="46" t="str">
        <f>IFERROR(VLOOKUP($H822,매장구분!$B:$Z,3,0),"")</f>
        <v/>
      </c>
      <c r="D822" s="46" t="str">
        <f>IFERROR(VLOOKUP($H822,매장구분!$B:$Z,5,0),"")</f>
        <v/>
      </c>
      <c r="E822" s="46" t="str">
        <f>IFERROR(VLOOKUP($H822,매장구분!$B:$Z,9,0),"")</f>
        <v/>
      </c>
      <c r="AF822" s="47">
        <f t="shared" si="12"/>
        <v>0</v>
      </c>
    </row>
    <row r="823" spans="2:32" x14ac:dyDescent="0.3">
      <c r="B823" s="46" t="str">
        <f>IFERROR(VLOOKUP($H823,매장구분!$B:$Z,2,0),"")</f>
        <v/>
      </c>
      <c r="C823" s="46" t="str">
        <f>IFERROR(VLOOKUP($H823,매장구분!$B:$Z,3,0),"")</f>
        <v/>
      </c>
      <c r="D823" s="46" t="str">
        <f>IFERROR(VLOOKUP($H823,매장구분!$B:$Z,5,0),"")</f>
        <v/>
      </c>
      <c r="E823" s="46" t="str">
        <f>IFERROR(VLOOKUP($H823,매장구분!$B:$Z,9,0),"")</f>
        <v/>
      </c>
      <c r="AF823" s="47">
        <f t="shared" si="12"/>
        <v>0</v>
      </c>
    </row>
    <row r="824" spans="2:32" x14ac:dyDescent="0.3">
      <c r="B824" s="46" t="str">
        <f>IFERROR(VLOOKUP($H824,매장구분!$B:$Z,2,0),"")</f>
        <v/>
      </c>
      <c r="C824" s="46" t="str">
        <f>IFERROR(VLOOKUP($H824,매장구분!$B:$Z,3,0),"")</f>
        <v/>
      </c>
      <c r="D824" s="46" t="str">
        <f>IFERROR(VLOOKUP($H824,매장구분!$B:$Z,5,0),"")</f>
        <v/>
      </c>
      <c r="E824" s="46" t="str">
        <f>IFERROR(VLOOKUP($H824,매장구분!$B:$Z,9,0),"")</f>
        <v/>
      </c>
      <c r="AF824" s="47">
        <f t="shared" si="12"/>
        <v>0</v>
      </c>
    </row>
    <row r="825" spans="2:32" x14ac:dyDescent="0.3">
      <c r="B825" s="46" t="str">
        <f>IFERROR(VLOOKUP($H825,매장구분!$B:$Z,2,0),"")</f>
        <v/>
      </c>
      <c r="C825" s="46" t="str">
        <f>IFERROR(VLOOKUP($H825,매장구분!$B:$Z,3,0),"")</f>
        <v/>
      </c>
      <c r="D825" s="46" t="str">
        <f>IFERROR(VLOOKUP($H825,매장구분!$B:$Z,5,0),"")</f>
        <v/>
      </c>
      <c r="E825" s="46" t="str">
        <f>IFERROR(VLOOKUP($H825,매장구분!$B:$Z,9,0),"")</f>
        <v/>
      </c>
      <c r="AF825" s="47">
        <f t="shared" si="12"/>
        <v>0</v>
      </c>
    </row>
    <row r="826" spans="2:32" x14ac:dyDescent="0.3">
      <c r="B826" s="46" t="str">
        <f>IFERROR(VLOOKUP($H826,매장구분!$B:$Z,2,0),"")</f>
        <v/>
      </c>
      <c r="C826" s="46" t="str">
        <f>IFERROR(VLOOKUP($H826,매장구분!$B:$Z,3,0),"")</f>
        <v/>
      </c>
      <c r="D826" s="46" t="str">
        <f>IFERROR(VLOOKUP($H826,매장구분!$B:$Z,5,0),"")</f>
        <v/>
      </c>
      <c r="E826" s="46" t="str">
        <f>IFERROR(VLOOKUP($H826,매장구분!$B:$Z,9,0),"")</f>
        <v/>
      </c>
      <c r="AF826" s="47">
        <f t="shared" si="12"/>
        <v>0</v>
      </c>
    </row>
    <row r="827" spans="2:32" x14ac:dyDescent="0.3">
      <c r="B827" s="46" t="str">
        <f>IFERROR(VLOOKUP($H827,매장구분!$B:$Z,2,0),"")</f>
        <v/>
      </c>
      <c r="C827" s="46" t="str">
        <f>IFERROR(VLOOKUP($H827,매장구분!$B:$Z,3,0),"")</f>
        <v/>
      </c>
      <c r="D827" s="46" t="str">
        <f>IFERROR(VLOOKUP($H827,매장구분!$B:$Z,5,0),"")</f>
        <v/>
      </c>
      <c r="E827" s="46" t="str">
        <f>IFERROR(VLOOKUP($H827,매장구분!$B:$Z,9,0),"")</f>
        <v/>
      </c>
      <c r="AF827" s="47">
        <f t="shared" si="12"/>
        <v>0</v>
      </c>
    </row>
    <row r="828" spans="2:32" x14ac:dyDescent="0.3">
      <c r="B828" s="46" t="str">
        <f>IFERROR(VLOOKUP($H828,매장구분!$B:$Z,2,0),"")</f>
        <v/>
      </c>
      <c r="C828" s="46" t="str">
        <f>IFERROR(VLOOKUP($H828,매장구분!$B:$Z,3,0),"")</f>
        <v/>
      </c>
      <c r="D828" s="46" t="str">
        <f>IFERROR(VLOOKUP($H828,매장구분!$B:$Z,5,0),"")</f>
        <v/>
      </c>
      <c r="E828" s="46" t="str">
        <f>IFERROR(VLOOKUP($H828,매장구분!$B:$Z,9,0),"")</f>
        <v/>
      </c>
      <c r="AF828" s="47">
        <f t="shared" si="12"/>
        <v>0</v>
      </c>
    </row>
    <row r="829" spans="2:32" x14ac:dyDescent="0.3">
      <c r="B829" s="46" t="str">
        <f>IFERROR(VLOOKUP($H829,매장구분!$B:$Z,2,0),"")</f>
        <v/>
      </c>
      <c r="C829" s="46" t="str">
        <f>IFERROR(VLOOKUP($H829,매장구분!$B:$Z,3,0),"")</f>
        <v/>
      </c>
      <c r="D829" s="46" t="str">
        <f>IFERROR(VLOOKUP($H829,매장구분!$B:$Z,5,0),"")</f>
        <v/>
      </c>
      <c r="E829" s="46" t="str">
        <f>IFERROR(VLOOKUP($H829,매장구분!$B:$Z,9,0),"")</f>
        <v/>
      </c>
      <c r="AF829" s="47">
        <f t="shared" si="12"/>
        <v>0</v>
      </c>
    </row>
    <row r="830" spans="2:32" x14ac:dyDescent="0.3">
      <c r="B830" s="46" t="str">
        <f>IFERROR(VLOOKUP($H830,매장구분!$B:$Z,2,0),"")</f>
        <v/>
      </c>
      <c r="C830" s="46" t="str">
        <f>IFERROR(VLOOKUP($H830,매장구분!$B:$Z,3,0),"")</f>
        <v/>
      </c>
      <c r="D830" s="46" t="str">
        <f>IFERROR(VLOOKUP($H830,매장구분!$B:$Z,5,0),"")</f>
        <v/>
      </c>
      <c r="E830" s="46" t="str">
        <f>IFERROR(VLOOKUP($H830,매장구분!$B:$Z,9,0),"")</f>
        <v/>
      </c>
      <c r="AF830" s="47">
        <f t="shared" si="12"/>
        <v>0</v>
      </c>
    </row>
    <row r="831" spans="2:32" x14ac:dyDescent="0.3">
      <c r="B831" s="46" t="str">
        <f>IFERROR(VLOOKUP($H831,매장구분!$B:$Z,2,0),"")</f>
        <v/>
      </c>
      <c r="C831" s="46" t="str">
        <f>IFERROR(VLOOKUP($H831,매장구분!$B:$Z,3,0),"")</f>
        <v/>
      </c>
      <c r="D831" s="46" t="str">
        <f>IFERROR(VLOOKUP($H831,매장구분!$B:$Z,5,0),"")</f>
        <v/>
      </c>
      <c r="E831" s="46" t="str">
        <f>IFERROR(VLOOKUP($H831,매장구분!$B:$Z,9,0),"")</f>
        <v/>
      </c>
      <c r="AF831" s="47">
        <f t="shared" si="12"/>
        <v>0</v>
      </c>
    </row>
    <row r="832" spans="2:32" x14ac:dyDescent="0.3">
      <c r="B832" s="46" t="str">
        <f>IFERROR(VLOOKUP($H832,매장구분!$B:$Z,2,0),"")</f>
        <v/>
      </c>
      <c r="C832" s="46" t="str">
        <f>IFERROR(VLOOKUP($H832,매장구분!$B:$Z,3,0),"")</f>
        <v/>
      </c>
      <c r="D832" s="46" t="str">
        <f>IFERROR(VLOOKUP($H832,매장구분!$B:$Z,5,0),"")</f>
        <v/>
      </c>
      <c r="E832" s="46" t="str">
        <f>IFERROR(VLOOKUP($H832,매장구분!$B:$Z,9,0),"")</f>
        <v/>
      </c>
      <c r="AF832" s="47">
        <f t="shared" si="12"/>
        <v>0</v>
      </c>
    </row>
    <row r="833" spans="2:32" x14ac:dyDescent="0.3">
      <c r="B833" s="46" t="str">
        <f>IFERROR(VLOOKUP($H833,매장구분!$B:$Z,2,0),"")</f>
        <v/>
      </c>
      <c r="C833" s="46" t="str">
        <f>IFERROR(VLOOKUP($H833,매장구분!$B:$Z,3,0),"")</f>
        <v/>
      </c>
      <c r="D833" s="46" t="str">
        <f>IFERROR(VLOOKUP($H833,매장구분!$B:$Z,5,0),"")</f>
        <v/>
      </c>
      <c r="E833" s="46" t="str">
        <f>IFERROR(VLOOKUP($H833,매장구분!$B:$Z,9,0),"")</f>
        <v/>
      </c>
      <c r="AF833" s="47">
        <f t="shared" si="12"/>
        <v>0</v>
      </c>
    </row>
    <row r="834" spans="2:32" x14ac:dyDescent="0.3">
      <c r="B834" s="46" t="str">
        <f>IFERROR(VLOOKUP($H834,매장구분!$B:$Z,2,0),"")</f>
        <v/>
      </c>
      <c r="C834" s="46" t="str">
        <f>IFERROR(VLOOKUP($H834,매장구분!$B:$Z,3,0),"")</f>
        <v/>
      </c>
      <c r="D834" s="46" t="str">
        <f>IFERROR(VLOOKUP($H834,매장구분!$B:$Z,5,0),"")</f>
        <v/>
      </c>
      <c r="E834" s="46" t="str">
        <f>IFERROR(VLOOKUP($H834,매장구분!$B:$Z,9,0),"")</f>
        <v/>
      </c>
      <c r="AF834" s="47">
        <f t="shared" si="12"/>
        <v>0</v>
      </c>
    </row>
    <row r="835" spans="2:32" x14ac:dyDescent="0.3">
      <c r="B835" s="46" t="str">
        <f>IFERROR(VLOOKUP($H835,매장구분!$B:$Z,2,0),"")</f>
        <v/>
      </c>
      <c r="C835" s="46" t="str">
        <f>IFERROR(VLOOKUP($H835,매장구분!$B:$Z,3,0),"")</f>
        <v/>
      </c>
      <c r="D835" s="46" t="str">
        <f>IFERROR(VLOOKUP($H835,매장구분!$B:$Z,5,0),"")</f>
        <v/>
      </c>
      <c r="E835" s="46" t="str">
        <f>IFERROR(VLOOKUP($H835,매장구분!$B:$Z,9,0),"")</f>
        <v/>
      </c>
      <c r="AF835" s="47">
        <f t="shared" ref="AF835:AF898" si="13">IFERROR(AC835-Y835,"")</f>
        <v>0</v>
      </c>
    </row>
    <row r="836" spans="2:32" x14ac:dyDescent="0.3">
      <c r="B836" s="46" t="str">
        <f>IFERROR(VLOOKUP($H836,매장구분!$B:$Z,2,0),"")</f>
        <v/>
      </c>
      <c r="C836" s="46" t="str">
        <f>IFERROR(VLOOKUP($H836,매장구분!$B:$Z,3,0),"")</f>
        <v/>
      </c>
      <c r="D836" s="46" t="str">
        <f>IFERROR(VLOOKUP($H836,매장구분!$B:$Z,5,0),"")</f>
        <v/>
      </c>
      <c r="E836" s="46" t="str">
        <f>IFERROR(VLOOKUP($H836,매장구분!$B:$Z,9,0),"")</f>
        <v/>
      </c>
      <c r="AF836" s="47">
        <f t="shared" si="13"/>
        <v>0</v>
      </c>
    </row>
    <row r="837" spans="2:32" x14ac:dyDescent="0.3">
      <c r="B837" s="46" t="str">
        <f>IFERROR(VLOOKUP($H837,매장구분!$B:$Z,2,0),"")</f>
        <v/>
      </c>
      <c r="C837" s="46" t="str">
        <f>IFERROR(VLOOKUP($H837,매장구분!$B:$Z,3,0),"")</f>
        <v/>
      </c>
      <c r="D837" s="46" t="str">
        <f>IFERROR(VLOOKUP($H837,매장구분!$B:$Z,5,0),"")</f>
        <v/>
      </c>
      <c r="E837" s="46" t="str">
        <f>IFERROR(VLOOKUP($H837,매장구분!$B:$Z,9,0),"")</f>
        <v/>
      </c>
      <c r="AF837" s="47">
        <f t="shared" si="13"/>
        <v>0</v>
      </c>
    </row>
    <row r="838" spans="2:32" x14ac:dyDescent="0.3">
      <c r="B838" s="46" t="str">
        <f>IFERROR(VLOOKUP($H838,매장구분!$B:$Z,2,0),"")</f>
        <v/>
      </c>
      <c r="C838" s="46" t="str">
        <f>IFERROR(VLOOKUP($H838,매장구분!$B:$Z,3,0),"")</f>
        <v/>
      </c>
      <c r="D838" s="46" t="str">
        <f>IFERROR(VLOOKUP($H838,매장구분!$B:$Z,5,0),"")</f>
        <v/>
      </c>
      <c r="E838" s="46" t="str">
        <f>IFERROR(VLOOKUP($H838,매장구분!$B:$Z,9,0),"")</f>
        <v/>
      </c>
      <c r="AF838" s="47">
        <f t="shared" si="13"/>
        <v>0</v>
      </c>
    </row>
    <row r="839" spans="2:32" x14ac:dyDescent="0.3">
      <c r="B839" s="46" t="str">
        <f>IFERROR(VLOOKUP($H839,매장구분!$B:$Z,2,0),"")</f>
        <v/>
      </c>
      <c r="C839" s="46" t="str">
        <f>IFERROR(VLOOKUP($H839,매장구분!$B:$Z,3,0),"")</f>
        <v/>
      </c>
      <c r="D839" s="46" t="str">
        <f>IFERROR(VLOOKUP($H839,매장구분!$B:$Z,5,0),"")</f>
        <v/>
      </c>
      <c r="E839" s="46" t="str">
        <f>IFERROR(VLOOKUP($H839,매장구분!$B:$Z,9,0),"")</f>
        <v/>
      </c>
      <c r="AF839" s="47">
        <f t="shared" si="13"/>
        <v>0</v>
      </c>
    </row>
    <row r="840" spans="2:32" x14ac:dyDescent="0.3">
      <c r="B840" s="46" t="str">
        <f>IFERROR(VLOOKUP($H840,매장구분!$B:$Z,2,0),"")</f>
        <v/>
      </c>
      <c r="C840" s="46" t="str">
        <f>IFERROR(VLOOKUP($H840,매장구분!$B:$Z,3,0),"")</f>
        <v/>
      </c>
      <c r="D840" s="46" t="str">
        <f>IFERROR(VLOOKUP($H840,매장구분!$B:$Z,5,0),"")</f>
        <v/>
      </c>
      <c r="E840" s="46" t="str">
        <f>IFERROR(VLOOKUP($H840,매장구분!$B:$Z,9,0),"")</f>
        <v/>
      </c>
      <c r="AF840" s="47">
        <f t="shared" si="13"/>
        <v>0</v>
      </c>
    </row>
    <row r="841" spans="2:32" x14ac:dyDescent="0.3">
      <c r="B841" s="46" t="str">
        <f>IFERROR(VLOOKUP($H841,매장구분!$B:$Z,2,0),"")</f>
        <v/>
      </c>
      <c r="C841" s="46" t="str">
        <f>IFERROR(VLOOKUP($H841,매장구분!$B:$Z,3,0),"")</f>
        <v/>
      </c>
      <c r="D841" s="46" t="str">
        <f>IFERROR(VLOOKUP($H841,매장구분!$B:$Z,5,0),"")</f>
        <v/>
      </c>
      <c r="E841" s="46" t="str">
        <f>IFERROR(VLOOKUP($H841,매장구분!$B:$Z,9,0),"")</f>
        <v/>
      </c>
      <c r="AF841" s="47">
        <f t="shared" si="13"/>
        <v>0</v>
      </c>
    </row>
    <row r="842" spans="2:32" x14ac:dyDescent="0.3">
      <c r="B842" s="46" t="str">
        <f>IFERROR(VLOOKUP($H842,매장구분!$B:$Z,2,0),"")</f>
        <v/>
      </c>
      <c r="C842" s="46" t="str">
        <f>IFERROR(VLOOKUP($H842,매장구분!$B:$Z,3,0),"")</f>
        <v/>
      </c>
      <c r="D842" s="46" t="str">
        <f>IFERROR(VLOOKUP($H842,매장구분!$B:$Z,5,0),"")</f>
        <v/>
      </c>
      <c r="E842" s="46" t="str">
        <f>IFERROR(VLOOKUP($H842,매장구분!$B:$Z,9,0),"")</f>
        <v/>
      </c>
      <c r="AF842" s="47">
        <f t="shared" si="13"/>
        <v>0</v>
      </c>
    </row>
    <row r="843" spans="2:32" x14ac:dyDescent="0.3">
      <c r="B843" s="46" t="str">
        <f>IFERROR(VLOOKUP($H843,매장구분!$B:$Z,2,0),"")</f>
        <v/>
      </c>
      <c r="C843" s="46" t="str">
        <f>IFERROR(VLOOKUP($H843,매장구분!$B:$Z,3,0),"")</f>
        <v/>
      </c>
      <c r="D843" s="46" t="str">
        <f>IFERROR(VLOOKUP($H843,매장구분!$B:$Z,5,0),"")</f>
        <v/>
      </c>
      <c r="E843" s="46" t="str">
        <f>IFERROR(VLOOKUP($H843,매장구분!$B:$Z,9,0),"")</f>
        <v/>
      </c>
      <c r="AF843" s="47">
        <f t="shared" si="13"/>
        <v>0</v>
      </c>
    </row>
    <row r="844" spans="2:32" x14ac:dyDescent="0.3">
      <c r="B844" s="46" t="str">
        <f>IFERROR(VLOOKUP($H844,매장구분!$B:$Z,2,0),"")</f>
        <v/>
      </c>
      <c r="C844" s="46" t="str">
        <f>IFERROR(VLOOKUP($H844,매장구분!$B:$Z,3,0),"")</f>
        <v/>
      </c>
      <c r="D844" s="46" t="str">
        <f>IFERROR(VLOOKUP($H844,매장구분!$B:$Z,5,0),"")</f>
        <v/>
      </c>
      <c r="E844" s="46" t="str">
        <f>IFERROR(VLOOKUP($H844,매장구분!$B:$Z,9,0),"")</f>
        <v/>
      </c>
      <c r="AF844" s="47">
        <f t="shared" si="13"/>
        <v>0</v>
      </c>
    </row>
    <row r="845" spans="2:32" x14ac:dyDescent="0.3">
      <c r="B845" s="46" t="str">
        <f>IFERROR(VLOOKUP($H845,매장구분!$B:$Z,2,0),"")</f>
        <v/>
      </c>
      <c r="C845" s="46" t="str">
        <f>IFERROR(VLOOKUP($H845,매장구분!$B:$Z,3,0),"")</f>
        <v/>
      </c>
      <c r="D845" s="46" t="str">
        <f>IFERROR(VLOOKUP($H845,매장구분!$B:$Z,5,0),"")</f>
        <v/>
      </c>
      <c r="E845" s="46" t="str">
        <f>IFERROR(VLOOKUP($H845,매장구분!$B:$Z,9,0),"")</f>
        <v/>
      </c>
      <c r="AF845" s="47">
        <f t="shared" si="13"/>
        <v>0</v>
      </c>
    </row>
    <row r="846" spans="2:32" x14ac:dyDescent="0.3">
      <c r="B846" s="46" t="str">
        <f>IFERROR(VLOOKUP($H846,매장구분!$B:$Z,2,0),"")</f>
        <v/>
      </c>
      <c r="C846" s="46" t="str">
        <f>IFERROR(VLOOKUP($H846,매장구분!$B:$Z,3,0),"")</f>
        <v/>
      </c>
      <c r="D846" s="46" t="str">
        <f>IFERROR(VLOOKUP($H846,매장구분!$B:$Z,5,0),"")</f>
        <v/>
      </c>
      <c r="E846" s="46" t="str">
        <f>IFERROR(VLOOKUP($H846,매장구분!$B:$Z,9,0),"")</f>
        <v/>
      </c>
      <c r="AF846" s="47">
        <f t="shared" si="13"/>
        <v>0</v>
      </c>
    </row>
    <row r="847" spans="2:32" x14ac:dyDescent="0.3">
      <c r="B847" s="46" t="str">
        <f>IFERROR(VLOOKUP($H847,매장구분!$B:$Z,2,0),"")</f>
        <v/>
      </c>
      <c r="C847" s="46" t="str">
        <f>IFERROR(VLOOKUP($H847,매장구분!$B:$Z,3,0),"")</f>
        <v/>
      </c>
      <c r="D847" s="46" t="str">
        <f>IFERROR(VLOOKUP($H847,매장구분!$B:$Z,5,0),"")</f>
        <v/>
      </c>
      <c r="E847" s="46" t="str">
        <f>IFERROR(VLOOKUP($H847,매장구분!$B:$Z,9,0),"")</f>
        <v/>
      </c>
      <c r="AF847" s="47">
        <f t="shared" si="13"/>
        <v>0</v>
      </c>
    </row>
    <row r="848" spans="2:32" x14ac:dyDescent="0.3">
      <c r="B848" s="46" t="str">
        <f>IFERROR(VLOOKUP($H848,매장구분!$B:$Z,2,0),"")</f>
        <v/>
      </c>
      <c r="C848" s="46" t="str">
        <f>IFERROR(VLOOKUP($H848,매장구분!$B:$Z,3,0),"")</f>
        <v/>
      </c>
      <c r="D848" s="46" t="str">
        <f>IFERROR(VLOOKUP($H848,매장구분!$B:$Z,5,0),"")</f>
        <v/>
      </c>
      <c r="E848" s="46" t="str">
        <f>IFERROR(VLOOKUP($H848,매장구분!$B:$Z,9,0),"")</f>
        <v/>
      </c>
      <c r="AF848" s="47">
        <f t="shared" si="13"/>
        <v>0</v>
      </c>
    </row>
    <row r="849" spans="2:32" x14ac:dyDescent="0.3">
      <c r="B849" s="46" t="str">
        <f>IFERROR(VLOOKUP($H849,매장구분!$B:$Z,2,0),"")</f>
        <v/>
      </c>
      <c r="C849" s="46" t="str">
        <f>IFERROR(VLOOKUP($H849,매장구분!$B:$Z,3,0),"")</f>
        <v/>
      </c>
      <c r="D849" s="46" t="str">
        <f>IFERROR(VLOOKUP($H849,매장구분!$B:$Z,5,0),"")</f>
        <v/>
      </c>
      <c r="E849" s="46" t="str">
        <f>IFERROR(VLOOKUP($H849,매장구분!$B:$Z,9,0),"")</f>
        <v/>
      </c>
      <c r="AF849" s="47">
        <f t="shared" si="13"/>
        <v>0</v>
      </c>
    </row>
    <row r="850" spans="2:32" x14ac:dyDescent="0.3">
      <c r="B850" s="46" t="str">
        <f>IFERROR(VLOOKUP($H850,매장구분!$B:$Z,2,0),"")</f>
        <v/>
      </c>
      <c r="C850" s="46" t="str">
        <f>IFERROR(VLOOKUP($H850,매장구분!$B:$Z,3,0),"")</f>
        <v/>
      </c>
      <c r="D850" s="46" t="str">
        <f>IFERROR(VLOOKUP($H850,매장구분!$B:$Z,5,0),"")</f>
        <v/>
      </c>
      <c r="E850" s="46" t="str">
        <f>IFERROR(VLOOKUP($H850,매장구분!$B:$Z,9,0),"")</f>
        <v/>
      </c>
      <c r="AF850" s="47">
        <f t="shared" si="13"/>
        <v>0</v>
      </c>
    </row>
    <row r="851" spans="2:32" x14ac:dyDescent="0.3">
      <c r="B851" s="46" t="str">
        <f>IFERROR(VLOOKUP($H851,매장구분!$B:$Z,2,0),"")</f>
        <v/>
      </c>
      <c r="C851" s="46" t="str">
        <f>IFERROR(VLOOKUP($H851,매장구분!$B:$Z,3,0),"")</f>
        <v/>
      </c>
      <c r="D851" s="46" t="str">
        <f>IFERROR(VLOOKUP($H851,매장구분!$B:$Z,5,0),"")</f>
        <v/>
      </c>
      <c r="E851" s="46" t="str">
        <f>IFERROR(VLOOKUP($H851,매장구분!$B:$Z,9,0),"")</f>
        <v/>
      </c>
      <c r="AF851" s="47">
        <f t="shared" si="13"/>
        <v>0</v>
      </c>
    </row>
    <row r="852" spans="2:32" x14ac:dyDescent="0.3">
      <c r="B852" s="46" t="str">
        <f>IFERROR(VLOOKUP($H852,매장구분!$B:$Z,2,0),"")</f>
        <v/>
      </c>
      <c r="C852" s="46" t="str">
        <f>IFERROR(VLOOKUP($H852,매장구분!$B:$Z,3,0),"")</f>
        <v/>
      </c>
      <c r="D852" s="46" t="str">
        <f>IFERROR(VLOOKUP($H852,매장구분!$B:$Z,5,0),"")</f>
        <v/>
      </c>
      <c r="E852" s="46" t="str">
        <f>IFERROR(VLOOKUP($H852,매장구분!$B:$Z,9,0),"")</f>
        <v/>
      </c>
      <c r="AF852" s="47">
        <f t="shared" si="13"/>
        <v>0</v>
      </c>
    </row>
    <row r="853" spans="2:32" x14ac:dyDescent="0.3">
      <c r="B853" s="46" t="str">
        <f>IFERROR(VLOOKUP($H853,매장구분!$B:$Z,2,0),"")</f>
        <v/>
      </c>
      <c r="C853" s="46" t="str">
        <f>IFERROR(VLOOKUP($H853,매장구분!$B:$Z,3,0),"")</f>
        <v/>
      </c>
      <c r="D853" s="46" t="str">
        <f>IFERROR(VLOOKUP($H853,매장구분!$B:$Z,5,0),"")</f>
        <v/>
      </c>
      <c r="E853" s="46" t="str">
        <f>IFERROR(VLOOKUP($H853,매장구분!$B:$Z,9,0),"")</f>
        <v/>
      </c>
      <c r="AF853" s="47">
        <f t="shared" si="13"/>
        <v>0</v>
      </c>
    </row>
    <row r="854" spans="2:32" x14ac:dyDescent="0.3">
      <c r="B854" s="46" t="str">
        <f>IFERROR(VLOOKUP($H854,매장구분!$B:$Z,2,0),"")</f>
        <v/>
      </c>
      <c r="C854" s="46" t="str">
        <f>IFERROR(VLOOKUP($H854,매장구분!$B:$Z,3,0),"")</f>
        <v/>
      </c>
      <c r="D854" s="46" t="str">
        <f>IFERROR(VLOOKUP($H854,매장구분!$B:$Z,5,0),"")</f>
        <v/>
      </c>
      <c r="E854" s="46" t="str">
        <f>IFERROR(VLOOKUP($H854,매장구분!$B:$Z,9,0),"")</f>
        <v/>
      </c>
      <c r="AF854" s="47">
        <f t="shared" si="13"/>
        <v>0</v>
      </c>
    </row>
    <row r="855" spans="2:32" x14ac:dyDescent="0.3">
      <c r="B855" s="46" t="str">
        <f>IFERROR(VLOOKUP($H855,매장구분!$B:$Z,2,0),"")</f>
        <v/>
      </c>
      <c r="C855" s="46" t="str">
        <f>IFERROR(VLOOKUP($H855,매장구분!$B:$Z,3,0),"")</f>
        <v/>
      </c>
      <c r="D855" s="46" t="str">
        <f>IFERROR(VLOOKUP($H855,매장구분!$B:$Z,5,0),"")</f>
        <v/>
      </c>
      <c r="E855" s="46" t="str">
        <f>IFERROR(VLOOKUP($H855,매장구분!$B:$Z,9,0),"")</f>
        <v/>
      </c>
      <c r="AF855" s="47">
        <f t="shared" si="13"/>
        <v>0</v>
      </c>
    </row>
    <row r="856" spans="2:32" x14ac:dyDescent="0.3">
      <c r="B856" s="46" t="str">
        <f>IFERROR(VLOOKUP($H856,매장구분!$B:$Z,2,0),"")</f>
        <v/>
      </c>
      <c r="C856" s="46" t="str">
        <f>IFERROR(VLOOKUP($H856,매장구분!$B:$Z,3,0),"")</f>
        <v/>
      </c>
      <c r="D856" s="46" t="str">
        <f>IFERROR(VLOOKUP($H856,매장구분!$B:$Z,5,0),"")</f>
        <v/>
      </c>
      <c r="E856" s="46" t="str">
        <f>IFERROR(VLOOKUP($H856,매장구분!$B:$Z,9,0),"")</f>
        <v/>
      </c>
      <c r="AF856" s="47">
        <f t="shared" si="13"/>
        <v>0</v>
      </c>
    </row>
    <row r="857" spans="2:32" x14ac:dyDescent="0.3">
      <c r="B857" s="46" t="str">
        <f>IFERROR(VLOOKUP($H857,매장구분!$B:$Z,2,0),"")</f>
        <v/>
      </c>
      <c r="C857" s="46" t="str">
        <f>IFERROR(VLOOKUP($H857,매장구분!$B:$Z,3,0),"")</f>
        <v/>
      </c>
      <c r="D857" s="46" t="str">
        <f>IFERROR(VLOOKUP($H857,매장구분!$B:$Z,5,0),"")</f>
        <v/>
      </c>
      <c r="E857" s="46" t="str">
        <f>IFERROR(VLOOKUP($H857,매장구분!$B:$Z,9,0),"")</f>
        <v/>
      </c>
      <c r="AF857" s="47">
        <f t="shared" si="13"/>
        <v>0</v>
      </c>
    </row>
    <row r="858" spans="2:32" x14ac:dyDescent="0.3">
      <c r="B858" s="46" t="str">
        <f>IFERROR(VLOOKUP($H858,매장구분!$B:$Z,2,0),"")</f>
        <v/>
      </c>
      <c r="C858" s="46" t="str">
        <f>IFERROR(VLOOKUP($H858,매장구분!$B:$Z,3,0),"")</f>
        <v/>
      </c>
      <c r="D858" s="46" t="str">
        <f>IFERROR(VLOOKUP($H858,매장구분!$B:$Z,5,0),"")</f>
        <v/>
      </c>
      <c r="E858" s="46" t="str">
        <f>IFERROR(VLOOKUP($H858,매장구분!$B:$Z,9,0),"")</f>
        <v/>
      </c>
      <c r="AF858" s="47">
        <f t="shared" si="13"/>
        <v>0</v>
      </c>
    </row>
    <row r="859" spans="2:32" x14ac:dyDescent="0.3">
      <c r="B859" s="46" t="str">
        <f>IFERROR(VLOOKUP($H859,매장구분!$B:$Z,2,0),"")</f>
        <v/>
      </c>
      <c r="C859" s="46" t="str">
        <f>IFERROR(VLOOKUP($H859,매장구분!$B:$Z,3,0),"")</f>
        <v/>
      </c>
      <c r="D859" s="46" t="str">
        <f>IFERROR(VLOOKUP($H859,매장구분!$B:$Z,5,0),"")</f>
        <v/>
      </c>
      <c r="E859" s="46" t="str">
        <f>IFERROR(VLOOKUP($H859,매장구분!$B:$Z,9,0),"")</f>
        <v/>
      </c>
      <c r="AF859" s="47">
        <f t="shared" si="13"/>
        <v>0</v>
      </c>
    </row>
    <row r="860" spans="2:32" x14ac:dyDescent="0.3">
      <c r="B860" s="46" t="str">
        <f>IFERROR(VLOOKUP($H860,매장구분!$B:$Z,2,0),"")</f>
        <v/>
      </c>
      <c r="C860" s="46" t="str">
        <f>IFERROR(VLOOKUP($H860,매장구분!$B:$Z,3,0),"")</f>
        <v/>
      </c>
      <c r="D860" s="46" t="str">
        <f>IFERROR(VLOOKUP($H860,매장구분!$B:$Z,5,0),"")</f>
        <v/>
      </c>
      <c r="E860" s="46" t="str">
        <f>IFERROR(VLOOKUP($H860,매장구분!$B:$Z,9,0),"")</f>
        <v/>
      </c>
      <c r="AF860" s="47">
        <f t="shared" si="13"/>
        <v>0</v>
      </c>
    </row>
    <row r="861" spans="2:32" x14ac:dyDescent="0.3">
      <c r="B861" s="46" t="str">
        <f>IFERROR(VLOOKUP($H861,매장구분!$B:$Z,2,0),"")</f>
        <v/>
      </c>
      <c r="C861" s="46" t="str">
        <f>IFERROR(VLOOKUP($H861,매장구분!$B:$Z,3,0),"")</f>
        <v/>
      </c>
      <c r="D861" s="46" t="str">
        <f>IFERROR(VLOOKUP($H861,매장구분!$B:$Z,5,0),"")</f>
        <v/>
      </c>
      <c r="E861" s="46" t="str">
        <f>IFERROR(VLOOKUP($H861,매장구분!$B:$Z,9,0),"")</f>
        <v/>
      </c>
      <c r="AF861" s="47">
        <f t="shared" si="13"/>
        <v>0</v>
      </c>
    </row>
    <row r="862" spans="2:32" x14ac:dyDescent="0.3">
      <c r="B862" s="46" t="str">
        <f>IFERROR(VLOOKUP($H862,매장구분!$B:$Z,2,0),"")</f>
        <v/>
      </c>
      <c r="C862" s="46" t="str">
        <f>IFERROR(VLOOKUP($H862,매장구분!$B:$Z,3,0),"")</f>
        <v/>
      </c>
      <c r="D862" s="46" t="str">
        <f>IFERROR(VLOOKUP($H862,매장구분!$B:$Z,5,0),"")</f>
        <v/>
      </c>
      <c r="E862" s="46" t="str">
        <f>IFERROR(VLOOKUP($H862,매장구분!$B:$Z,9,0),"")</f>
        <v/>
      </c>
      <c r="AF862" s="47">
        <f t="shared" si="13"/>
        <v>0</v>
      </c>
    </row>
    <row r="863" spans="2:32" x14ac:dyDescent="0.3">
      <c r="B863" s="46" t="str">
        <f>IFERROR(VLOOKUP($H863,매장구분!$B:$Z,2,0),"")</f>
        <v/>
      </c>
      <c r="C863" s="46" t="str">
        <f>IFERROR(VLOOKUP($H863,매장구분!$B:$Z,3,0),"")</f>
        <v/>
      </c>
      <c r="D863" s="46" t="str">
        <f>IFERROR(VLOOKUP($H863,매장구분!$B:$Z,5,0),"")</f>
        <v/>
      </c>
      <c r="E863" s="46" t="str">
        <f>IFERROR(VLOOKUP($H863,매장구분!$B:$Z,9,0),"")</f>
        <v/>
      </c>
      <c r="AF863" s="47">
        <f t="shared" si="13"/>
        <v>0</v>
      </c>
    </row>
    <row r="864" spans="2:32" x14ac:dyDescent="0.3">
      <c r="B864" s="46" t="str">
        <f>IFERROR(VLOOKUP($H864,매장구분!$B:$Z,2,0),"")</f>
        <v/>
      </c>
      <c r="C864" s="46" t="str">
        <f>IFERROR(VLOOKUP($H864,매장구분!$B:$Z,3,0),"")</f>
        <v/>
      </c>
      <c r="D864" s="46" t="str">
        <f>IFERROR(VLOOKUP($H864,매장구분!$B:$Z,5,0),"")</f>
        <v/>
      </c>
      <c r="E864" s="46" t="str">
        <f>IFERROR(VLOOKUP($H864,매장구분!$B:$Z,9,0),"")</f>
        <v/>
      </c>
      <c r="AF864" s="47">
        <f t="shared" si="13"/>
        <v>0</v>
      </c>
    </row>
    <row r="865" spans="2:32" x14ac:dyDescent="0.3">
      <c r="B865" s="46" t="str">
        <f>IFERROR(VLOOKUP($H865,매장구분!$B:$Z,2,0),"")</f>
        <v/>
      </c>
      <c r="C865" s="46" t="str">
        <f>IFERROR(VLOOKUP($H865,매장구분!$B:$Z,3,0),"")</f>
        <v/>
      </c>
      <c r="D865" s="46" t="str">
        <f>IFERROR(VLOOKUP($H865,매장구분!$B:$Z,5,0),"")</f>
        <v/>
      </c>
      <c r="E865" s="46" t="str">
        <f>IFERROR(VLOOKUP($H865,매장구분!$B:$Z,9,0),"")</f>
        <v/>
      </c>
      <c r="AF865" s="47">
        <f t="shared" si="13"/>
        <v>0</v>
      </c>
    </row>
    <row r="866" spans="2:32" x14ac:dyDescent="0.3">
      <c r="B866" s="46" t="str">
        <f>IFERROR(VLOOKUP($H866,매장구분!$B:$Z,2,0),"")</f>
        <v/>
      </c>
      <c r="C866" s="46" t="str">
        <f>IFERROR(VLOOKUP($H866,매장구분!$B:$Z,3,0),"")</f>
        <v/>
      </c>
      <c r="D866" s="46" t="str">
        <f>IFERROR(VLOOKUP($H866,매장구분!$B:$Z,5,0),"")</f>
        <v/>
      </c>
      <c r="E866" s="46" t="str">
        <f>IFERROR(VLOOKUP($H866,매장구분!$B:$Z,9,0),"")</f>
        <v/>
      </c>
      <c r="AF866" s="47">
        <f t="shared" si="13"/>
        <v>0</v>
      </c>
    </row>
    <row r="867" spans="2:32" x14ac:dyDescent="0.3">
      <c r="B867" s="46" t="str">
        <f>IFERROR(VLOOKUP($H867,매장구분!$B:$Z,2,0),"")</f>
        <v/>
      </c>
      <c r="C867" s="46" t="str">
        <f>IFERROR(VLOOKUP($H867,매장구분!$B:$Z,3,0),"")</f>
        <v/>
      </c>
      <c r="D867" s="46" t="str">
        <f>IFERROR(VLOOKUP($H867,매장구분!$B:$Z,5,0),"")</f>
        <v/>
      </c>
      <c r="E867" s="46" t="str">
        <f>IFERROR(VLOOKUP($H867,매장구분!$B:$Z,9,0),"")</f>
        <v/>
      </c>
      <c r="AF867" s="47">
        <f t="shared" si="13"/>
        <v>0</v>
      </c>
    </row>
    <row r="868" spans="2:32" x14ac:dyDescent="0.3">
      <c r="B868" s="46" t="str">
        <f>IFERROR(VLOOKUP($H868,매장구분!$B:$Z,2,0),"")</f>
        <v/>
      </c>
      <c r="C868" s="46" t="str">
        <f>IFERROR(VLOOKUP($H868,매장구분!$B:$Z,3,0),"")</f>
        <v/>
      </c>
      <c r="D868" s="46" t="str">
        <f>IFERROR(VLOOKUP($H868,매장구분!$B:$Z,5,0),"")</f>
        <v/>
      </c>
      <c r="E868" s="46" t="str">
        <f>IFERROR(VLOOKUP($H868,매장구분!$B:$Z,9,0),"")</f>
        <v/>
      </c>
      <c r="AF868" s="47">
        <f t="shared" si="13"/>
        <v>0</v>
      </c>
    </row>
    <row r="869" spans="2:32" x14ac:dyDescent="0.3">
      <c r="B869" s="46" t="str">
        <f>IFERROR(VLOOKUP($H869,매장구분!$B:$Z,2,0),"")</f>
        <v/>
      </c>
      <c r="C869" s="46" t="str">
        <f>IFERROR(VLOOKUP($H869,매장구분!$B:$Z,3,0),"")</f>
        <v/>
      </c>
      <c r="D869" s="46" t="str">
        <f>IFERROR(VLOOKUP($H869,매장구분!$B:$Z,5,0),"")</f>
        <v/>
      </c>
      <c r="E869" s="46" t="str">
        <f>IFERROR(VLOOKUP($H869,매장구분!$B:$Z,9,0),"")</f>
        <v/>
      </c>
      <c r="AF869" s="47">
        <f t="shared" si="13"/>
        <v>0</v>
      </c>
    </row>
    <row r="870" spans="2:32" x14ac:dyDescent="0.3">
      <c r="B870" s="46" t="str">
        <f>IFERROR(VLOOKUP($H870,매장구분!$B:$Z,2,0),"")</f>
        <v/>
      </c>
      <c r="C870" s="46" t="str">
        <f>IFERROR(VLOOKUP($H870,매장구분!$B:$Z,3,0),"")</f>
        <v/>
      </c>
      <c r="D870" s="46" t="str">
        <f>IFERROR(VLOOKUP($H870,매장구분!$B:$Z,5,0),"")</f>
        <v/>
      </c>
      <c r="E870" s="46" t="str">
        <f>IFERROR(VLOOKUP($H870,매장구분!$B:$Z,9,0),"")</f>
        <v/>
      </c>
      <c r="AF870" s="47">
        <f t="shared" si="13"/>
        <v>0</v>
      </c>
    </row>
    <row r="871" spans="2:32" x14ac:dyDescent="0.3">
      <c r="B871" s="46" t="str">
        <f>IFERROR(VLOOKUP($H871,매장구분!$B:$Z,2,0),"")</f>
        <v/>
      </c>
      <c r="C871" s="46" t="str">
        <f>IFERROR(VLOOKUP($H871,매장구분!$B:$Z,3,0),"")</f>
        <v/>
      </c>
      <c r="D871" s="46" t="str">
        <f>IFERROR(VLOOKUP($H871,매장구분!$B:$Z,5,0),"")</f>
        <v/>
      </c>
      <c r="E871" s="46" t="str">
        <f>IFERROR(VLOOKUP($H871,매장구분!$B:$Z,9,0),"")</f>
        <v/>
      </c>
      <c r="AF871" s="47">
        <f t="shared" si="13"/>
        <v>0</v>
      </c>
    </row>
    <row r="872" spans="2:32" x14ac:dyDescent="0.3">
      <c r="B872" s="46" t="str">
        <f>IFERROR(VLOOKUP($H872,매장구분!$B:$Z,2,0),"")</f>
        <v/>
      </c>
      <c r="C872" s="46" t="str">
        <f>IFERROR(VLOOKUP($H872,매장구분!$B:$Z,3,0),"")</f>
        <v/>
      </c>
      <c r="D872" s="46" t="str">
        <f>IFERROR(VLOOKUP($H872,매장구분!$B:$Z,5,0),"")</f>
        <v/>
      </c>
      <c r="E872" s="46" t="str">
        <f>IFERROR(VLOOKUP($H872,매장구분!$B:$Z,9,0),"")</f>
        <v/>
      </c>
      <c r="AF872" s="47">
        <f t="shared" si="13"/>
        <v>0</v>
      </c>
    </row>
    <row r="873" spans="2:32" x14ac:dyDescent="0.3">
      <c r="B873" s="46" t="str">
        <f>IFERROR(VLOOKUP($H873,매장구분!$B:$Z,2,0),"")</f>
        <v/>
      </c>
      <c r="C873" s="46" t="str">
        <f>IFERROR(VLOOKUP($H873,매장구분!$B:$Z,3,0),"")</f>
        <v/>
      </c>
      <c r="D873" s="46" t="str">
        <f>IFERROR(VLOOKUP($H873,매장구분!$B:$Z,5,0),"")</f>
        <v/>
      </c>
      <c r="E873" s="46" t="str">
        <f>IFERROR(VLOOKUP($H873,매장구분!$B:$Z,9,0),"")</f>
        <v/>
      </c>
      <c r="AF873" s="47">
        <f t="shared" si="13"/>
        <v>0</v>
      </c>
    </row>
    <row r="874" spans="2:32" x14ac:dyDescent="0.3">
      <c r="B874" s="46" t="str">
        <f>IFERROR(VLOOKUP($H874,매장구분!$B:$Z,2,0),"")</f>
        <v/>
      </c>
      <c r="C874" s="46" t="str">
        <f>IFERROR(VLOOKUP($H874,매장구분!$B:$Z,3,0),"")</f>
        <v/>
      </c>
      <c r="D874" s="46" t="str">
        <f>IFERROR(VLOOKUP($H874,매장구분!$B:$Z,5,0),"")</f>
        <v/>
      </c>
      <c r="E874" s="46" t="str">
        <f>IFERROR(VLOOKUP($H874,매장구분!$B:$Z,9,0),"")</f>
        <v/>
      </c>
      <c r="AF874" s="47">
        <f t="shared" si="13"/>
        <v>0</v>
      </c>
    </row>
    <row r="875" spans="2:32" x14ac:dyDescent="0.3">
      <c r="B875" s="46" t="str">
        <f>IFERROR(VLOOKUP($H875,매장구분!$B:$Z,2,0),"")</f>
        <v/>
      </c>
      <c r="C875" s="46" t="str">
        <f>IFERROR(VLOOKUP($H875,매장구분!$B:$Z,3,0),"")</f>
        <v/>
      </c>
      <c r="D875" s="46" t="str">
        <f>IFERROR(VLOOKUP($H875,매장구분!$B:$Z,5,0),"")</f>
        <v/>
      </c>
      <c r="E875" s="46" t="str">
        <f>IFERROR(VLOOKUP($H875,매장구분!$B:$Z,9,0),"")</f>
        <v/>
      </c>
      <c r="AF875" s="47">
        <f t="shared" si="13"/>
        <v>0</v>
      </c>
    </row>
    <row r="876" spans="2:32" x14ac:dyDescent="0.3">
      <c r="B876" s="46" t="str">
        <f>IFERROR(VLOOKUP($H876,매장구분!$B:$Z,2,0),"")</f>
        <v/>
      </c>
      <c r="C876" s="46" t="str">
        <f>IFERROR(VLOOKUP($H876,매장구분!$B:$Z,3,0),"")</f>
        <v/>
      </c>
      <c r="D876" s="46" t="str">
        <f>IFERROR(VLOOKUP($H876,매장구분!$B:$Z,5,0),"")</f>
        <v/>
      </c>
      <c r="E876" s="46" t="str">
        <f>IFERROR(VLOOKUP($H876,매장구분!$B:$Z,9,0),"")</f>
        <v/>
      </c>
      <c r="AF876" s="47">
        <f t="shared" si="13"/>
        <v>0</v>
      </c>
    </row>
    <row r="877" spans="2:32" x14ac:dyDescent="0.3">
      <c r="B877" s="46" t="str">
        <f>IFERROR(VLOOKUP($H877,매장구분!$B:$Z,2,0),"")</f>
        <v/>
      </c>
      <c r="C877" s="46" t="str">
        <f>IFERROR(VLOOKUP($H877,매장구분!$B:$Z,3,0),"")</f>
        <v/>
      </c>
      <c r="D877" s="46" t="str">
        <f>IFERROR(VLOOKUP($H877,매장구분!$B:$Z,5,0),"")</f>
        <v/>
      </c>
      <c r="E877" s="46" t="str">
        <f>IFERROR(VLOOKUP($H877,매장구분!$B:$Z,9,0),"")</f>
        <v/>
      </c>
      <c r="AF877" s="47">
        <f t="shared" si="13"/>
        <v>0</v>
      </c>
    </row>
    <row r="878" spans="2:32" x14ac:dyDescent="0.3">
      <c r="B878" s="46" t="str">
        <f>IFERROR(VLOOKUP($H878,매장구분!$B:$Z,2,0),"")</f>
        <v/>
      </c>
      <c r="C878" s="46" t="str">
        <f>IFERROR(VLOOKUP($H878,매장구분!$B:$Z,3,0),"")</f>
        <v/>
      </c>
      <c r="D878" s="46" t="str">
        <f>IFERROR(VLOOKUP($H878,매장구분!$B:$Z,5,0),"")</f>
        <v/>
      </c>
      <c r="E878" s="46" t="str">
        <f>IFERROR(VLOOKUP($H878,매장구분!$B:$Z,9,0),"")</f>
        <v/>
      </c>
      <c r="AF878" s="47">
        <f t="shared" si="13"/>
        <v>0</v>
      </c>
    </row>
    <row r="879" spans="2:32" x14ac:dyDescent="0.3">
      <c r="B879" s="46" t="str">
        <f>IFERROR(VLOOKUP($H879,매장구분!$B:$Z,2,0),"")</f>
        <v/>
      </c>
      <c r="C879" s="46" t="str">
        <f>IFERROR(VLOOKUP($H879,매장구분!$B:$Z,3,0),"")</f>
        <v/>
      </c>
      <c r="D879" s="46" t="str">
        <f>IFERROR(VLOOKUP($H879,매장구분!$B:$Z,5,0),"")</f>
        <v/>
      </c>
      <c r="E879" s="46" t="str">
        <f>IFERROR(VLOOKUP($H879,매장구분!$B:$Z,9,0),"")</f>
        <v/>
      </c>
      <c r="AF879" s="47">
        <f t="shared" si="13"/>
        <v>0</v>
      </c>
    </row>
    <row r="880" spans="2:32" x14ac:dyDescent="0.3">
      <c r="B880" s="46" t="str">
        <f>IFERROR(VLOOKUP($H880,매장구분!$B:$Z,2,0),"")</f>
        <v/>
      </c>
      <c r="C880" s="46" t="str">
        <f>IFERROR(VLOOKUP($H880,매장구분!$B:$Z,3,0),"")</f>
        <v/>
      </c>
      <c r="D880" s="46" t="str">
        <f>IFERROR(VLOOKUP($H880,매장구분!$B:$Z,5,0),"")</f>
        <v/>
      </c>
      <c r="E880" s="46" t="str">
        <f>IFERROR(VLOOKUP($H880,매장구분!$B:$Z,9,0),"")</f>
        <v/>
      </c>
      <c r="AF880" s="47">
        <f t="shared" si="13"/>
        <v>0</v>
      </c>
    </row>
    <row r="881" spans="2:32" x14ac:dyDescent="0.3">
      <c r="B881" s="46" t="str">
        <f>IFERROR(VLOOKUP($H881,매장구분!$B:$Z,2,0),"")</f>
        <v/>
      </c>
      <c r="C881" s="46" t="str">
        <f>IFERROR(VLOOKUP($H881,매장구분!$B:$Z,3,0),"")</f>
        <v/>
      </c>
      <c r="D881" s="46" t="str">
        <f>IFERROR(VLOOKUP($H881,매장구분!$B:$Z,5,0),"")</f>
        <v/>
      </c>
      <c r="E881" s="46" t="str">
        <f>IFERROR(VLOOKUP($H881,매장구분!$B:$Z,9,0),"")</f>
        <v/>
      </c>
      <c r="AF881" s="47">
        <f t="shared" si="13"/>
        <v>0</v>
      </c>
    </row>
    <row r="882" spans="2:32" x14ac:dyDescent="0.3">
      <c r="B882" s="46" t="str">
        <f>IFERROR(VLOOKUP($H882,매장구분!$B:$Z,2,0),"")</f>
        <v/>
      </c>
      <c r="C882" s="46" t="str">
        <f>IFERROR(VLOOKUP($H882,매장구분!$B:$Z,3,0),"")</f>
        <v/>
      </c>
      <c r="D882" s="46" t="str">
        <f>IFERROR(VLOOKUP($H882,매장구분!$B:$Z,5,0),"")</f>
        <v/>
      </c>
      <c r="E882" s="46" t="str">
        <f>IFERROR(VLOOKUP($H882,매장구분!$B:$Z,9,0),"")</f>
        <v/>
      </c>
      <c r="AF882" s="47">
        <f t="shared" si="13"/>
        <v>0</v>
      </c>
    </row>
    <row r="883" spans="2:32" x14ac:dyDescent="0.3">
      <c r="B883" s="46" t="str">
        <f>IFERROR(VLOOKUP($H883,매장구분!$B:$Z,2,0),"")</f>
        <v/>
      </c>
      <c r="C883" s="46" t="str">
        <f>IFERROR(VLOOKUP($H883,매장구분!$B:$Z,3,0),"")</f>
        <v/>
      </c>
      <c r="D883" s="46" t="str">
        <f>IFERROR(VLOOKUP($H883,매장구분!$B:$Z,5,0),"")</f>
        <v/>
      </c>
      <c r="E883" s="46" t="str">
        <f>IFERROR(VLOOKUP($H883,매장구분!$B:$Z,9,0),"")</f>
        <v/>
      </c>
      <c r="AF883" s="47">
        <f t="shared" si="13"/>
        <v>0</v>
      </c>
    </row>
    <row r="884" spans="2:32" x14ac:dyDescent="0.3">
      <c r="B884" s="46" t="str">
        <f>IFERROR(VLOOKUP($H884,매장구분!$B:$Z,2,0),"")</f>
        <v/>
      </c>
      <c r="C884" s="46" t="str">
        <f>IFERROR(VLOOKUP($H884,매장구분!$B:$Z,3,0),"")</f>
        <v/>
      </c>
      <c r="D884" s="46" t="str">
        <f>IFERROR(VLOOKUP($H884,매장구분!$B:$Z,5,0),"")</f>
        <v/>
      </c>
      <c r="E884" s="46" t="str">
        <f>IFERROR(VLOOKUP($H884,매장구분!$B:$Z,9,0),"")</f>
        <v/>
      </c>
      <c r="AF884" s="47">
        <f t="shared" si="13"/>
        <v>0</v>
      </c>
    </row>
    <row r="885" spans="2:32" x14ac:dyDescent="0.3">
      <c r="B885" s="46" t="str">
        <f>IFERROR(VLOOKUP($H885,매장구분!$B:$Z,2,0),"")</f>
        <v/>
      </c>
      <c r="C885" s="46" t="str">
        <f>IFERROR(VLOOKUP($H885,매장구분!$B:$Z,3,0),"")</f>
        <v/>
      </c>
      <c r="D885" s="46" t="str">
        <f>IFERROR(VLOOKUP($H885,매장구분!$B:$Z,5,0),"")</f>
        <v/>
      </c>
      <c r="E885" s="46" t="str">
        <f>IFERROR(VLOOKUP($H885,매장구분!$B:$Z,9,0),"")</f>
        <v/>
      </c>
      <c r="AF885" s="47">
        <f t="shared" si="13"/>
        <v>0</v>
      </c>
    </row>
    <row r="886" spans="2:32" x14ac:dyDescent="0.3">
      <c r="B886" s="46" t="str">
        <f>IFERROR(VLOOKUP($H886,매장구분!$B:$Z,2,0),"")</f>
        <v/>
      </c>
      <c r="C886" s="46" t="str">
        <f>IFERROR(VLOOKUP($H886,매장구분!$B:$Z,3,0),"")</f>
        <v/>
      </c>
      <c r="D886" s="46" t="str">
        <f>IFERROR(VLOOKUP($H886,매장구분!$B:$Z,5,0),"")</f>
        <v/>
      </c>
      <c r="E886" s="46" t="str">
        <f>IFERROR(VLOOKUP($H886,매장구분!$B:$Z,9,0),"")</f>
        <v/>
      </c>
      <c r="AF886" s="47">
        <f t="shared" si="13"/>
        <v>0</v>
      </c>
    </row>
    <row r="887" spans="2:32" x14ac:dyDescent="0.3">
      <c r="B887" s="46" t="str">
        <f>IFERROR(VLOOKUP($H887,매장구분!$B:$Z,2,0),"")</f>
        <v/>
      </c>
      <c r="C887" s="46" t="str">
        <f>IFERROR(VLOOKUP($H887,매장구분!$B:$Z,3,0),"")</f>
        <v/>
      </c>
      <c r="D887" s="46" t="str">
        <f>IFERROR(VLOOKUP($H887,매장구분!$B:$Z,5,0),"")</f>
        <v/>
      </c>
      <c r="E887" s="46" t="str">
        <f>IFERROR(VLOOKUP($H887,매장구분!$B:$Z,9,0),"")</f>
        <v/>
      </c>
      <c r="AF887" s="47">
        <f t="shared" si="13"/>
        <v>0</v>
      </c>
    </row>
    <row r="888" spans="2:32" x14ac:dyDescent="0.3">
      <c r="B888" s="46" t="str">
        <f>IFERROR(VLOOKUP($H888,매장구분!$B:$Z,2,0),"")</f>
        <v/>
      </c>
      <c r="C888" s="46" t="str">
        <f>IFERROR(VLOOKUP($H888,매장구분!$B:$Z,3,0),"")</f>
        <v/>
      </c>
      <c r="D888" s="46" t="str">
        <f>IFERROR(VLOOKUP($H888,매장구분!$B:$Z,5,0),"")</f>
        <v/>
      </c>
      <c r="E888" s="46" t="str">
        <f>IFERROR(VLOOKUP($H888,매장구분!$B:$Z,9,0),"")</f>
        <v/>
      </c>
      <c r="AF888" s="47">
        <f t="shared" si="13"/>
        <v>0</v>
      </c>
    </row>
    <row r="889" spans="2:32" x14ac:dyDescent="0.3">
      <c r="B889" s="46" t="str">
        <f>IFERROR(VLOOKUP($H889,매장구분!$B:$Z,2,0),"")</f>
        <v/>
      </c>
      <c r="C889" s="46" t="str">
        <f>IFERROR(VLOOKUP($H889,매장구분!$B:$Z,3,0),"")</f>
        <v/>
      </c>
      <c r="D889" s="46" t="str">
        <f>IFERROR(VLOOKUP($H889,매장구분!$B:$Z,5,0),"")</f>
        <v/>
      </c>
      <c r="E889" s="46" t="str">
        <f>IFERROR(VLOOKUP($H889,매장구분!$B:$Z,9,0),"")</f>
        <v/>
      </c>
      <c r="AF889" s="47">
        <f t="shared" si="13"/>
        <v>0</v>
      </c>
    </row>
    <row r="890" spans="2:32" x14ac:dyDescent="0.3">
      <c r="B890" s="46" t="str">
        <f>IFERROR(VLOOKUP($H890,매장구분!$B:$Z,2,0),"")</f>
        <v/>
      </c>
      <c r="C890" s="46" t="str">
        <f>IFERROR(VLOOKUP($H890,매장구분!$B:$Z,3,0),"")</f>
        <v/>
      </c>
      <c r="D890" s="46" t="str">
        <f>IFERROR(VLOOKUP($H890,매장구분!$B:$Z,5,0),"")</f>
        <v/>
      </c>
      <c r="E890" s="46" t="str">
        <f>IFERROR(VLOOKUP($H890,매장구분!$B:$Z,9,0),"")</f>
        <v/>
      </c>
      <c r="AF890" s="47">
        <f t="shared" si="13"/>
        <v>0</v>
      </c>
    </row>
    <row r="891" spans="2:32" x14ac:dyDescent="0.3">
      <c r="B891" s="46" t="str">
        <f>IFERROR(VLOOKUP($H891,매장구분!$B:$Z,2,0),"")</f>
        <v/>
      </c>
      <c r="C891" s="46" t="str">
        <f>IFERROR(VLOOKUP($H891,매장구분!$B:$Z,3,0),"")</f>
        <v/>
      </c>
      <c r="D891" s="46" t="str">
        <f>IFERROR(VLOOKUP($H891,매장구분!$B:$Z,5,0),"")</f>
        <v/>
      </c>
      <c r="E891" s="46" t="str">
        <f>IFERROR(VLOOKUP($H891,매장구분!$B:$Z,9,0),"")</f>
        <v/>
      </c>
      <c r="AF891" s="47">
        <f t="shared" si="13"/>
        <v>0</v>
      </c>
    </row>
    <row r="892" spans="2:32" x14ac:dyDescent="0.3">
      <c r="B892" s="46" t="str">
        <f>IFERROR(VLOOKUP($H892,매장구분!$B:$Z,2,0),"")</f>
        <v/>
      </c>
      <c r="C892" s="46" t="str">
        <f>IFERROR(VLOOKUP($H892,매장구분!$B:$Z,3,0),"")</f>
        <v/>
      </c>
      <c r="D892" s="46" t="str">
        <f>IFERROR(VLOOKUP($H892,매장구분!$B:$Z,5,0),"")</f>
        <v/>
      </c>
      <c r="E892" s="46" t="str">
        <f>IFERROR(VLOOKUP($H892,매장구분!$B:$Z,9,0),"")</f>
        <v/>
      </c>
      <c r="AF892" s="47">
        <f t="shared" si="13"/>
        <v>0</v>
      </c>
    </row>
    <row r="893" spans="2:32" x14ac:dyDescent="0.3">
      <c r="B893" s="46" t="str">
        <f>IFERROR(VLOOKUP($H893,매장구분!$B:$Z,2,0),"")</f>
        <v/>
      </c>
      <c r="C893" s="46" t="str">
        <f>IFERROR(VLOOKUP($H893,매장구분!$B:$Z,3,0),"")</f>
        <v/>
      </c>
      <c r="D893" s="46" t="str">
        <f>IFERROR(VLOOKUP($H893,매장구분!$B:$Z,5,0),"")</f>
        <v/>
      </c>
      <c r="E893" s="46" t="str">
        <f>IFERROR(VLOOKUP($H893,매장구분!$B:$Z,9,0),"")</f>
        <v/>
      </c>
      <c r="AF893" s="47">
        <f t="shared" si="13"/>
        <v>0</v>
      </c>
    </row>
    <row r="894" spans="2:32" x14ac:dyDescent="0.3">
      <c r="B894" s="46" t="str">
        <f>IFERROR(VLOOKUP($H894,매장구분!$B:$Z,2,0),"")</f>
        <v/>
      </c>
      <c r="C894" s="46" t="str">
        <f>IFERROR(VLOOKUP($H894,매장구분!$B:$Z,3,0),"")</f>
        <v/>
      </c>
      <c r="D894" s="46" t="str">
        <f>IFERROR(VLOOKUP($H894,매장구분!$B:$Z,5,0),"")</f>
        <v/>
      </c>
      <c r="E894" s="46" t="str">
        <f>IFERROR(VLOOKUP($H894,매장구분!$B:$Z,9,0),"")</f>
        <v/>
      </c>
      <c r="AF894" s="47">
        <f t="shared" si="13"/>
        <v>0</v>
      </c>
    </row>
    <row r="895" spans="2:32" x14ac:dyDescent="0.3">
      <c r="B895" s="46" t="str">
        <f>IFERROR(VLOOKUP($H895,매장구분!$B:$Z,2,0),"")</f>
        <v/>
      </c>
      <c r="C895" s="46" t="str">
        <f>IFERROR(VLOOKUP($H895,매장구분!$B:$Z,3,0),"")</f>
        <v/>
      </c>
      <c r="D895" s="46" t="str">
        <f>IFERROR(VLOOKUP($H895,매장구분!$B:$Z,5,0),"")</f>
        <v/>
      </c>
      <c r="E895" s="46" t="str">
        <f>IFERROR(VLOOKUP($H895,매장구분!$B:$Z,9,0),"")</f>
        <v/>
      </c>
      <c r="AF895" s="47">
        <f t="shared" si="13"/>
        <v>0</v>
      </c>
    </row>
    <row r="896" spans="2:32" x14ac:dyDescent="0.3">
      <c r="B896" s="46" t="str">
        <f>IFERROR(VLOOKUP($H896,매장구분!$B:$Z,2,0),"")</f>
        <v/>
      </c>
      <c r="C896" s="46" t="str">
        <f>IFERROR(VLOOKUP($H896,매장구분!$B:$Z,3,0),"")</f>
        <v/>
      </c>
      <c r="D896" s="46" t="str">
        <f>IFERROR(VLOOKUP($H896,매장구분!$B:$Z,5,0),"")</f>
        <v/>
      </c>
      <c r="E896" s="46" t="str">
        <f>IFERROR(VLOOKUP($H896,매장구분!$B:$Z,9,0),"")</f>
        <v/>
      </c>
      <c r="AF896" s="47">
        <f t="shared" si="13"/>
        <v>0</v>
      </c>
    </row>
    <row r="897" spans="2:32" x14ac:dyDescent="0.3">
      <c r="B897" s="46" t="str">
        <f>IFERROR(VLOOKUP($H897,매장구분!$B:$Z,2,0),"")</f>
        <v/>
      </c>
      <c r="C897" s="46" t="str">
        <f>IFERROR(VLOOKUP($H897,매장구분!$B:$Z,3,0),"")</f>
        <v/>
      </c>
      <c r="D897" s="46" t="str">
        <f>IFERROR(VLOOKUP($H897,매장구분!$B:$Z,5,0),"")</f>
        <v/>
      </c>
      <c r="E897" s="46" t="str">
        <f>IFERROR(VLOOKUP($H897,매장구분!$B:$Z,9,0),"")</f>
        <v/>
      </c>
      <c r="AF897" s="47">
        <f t="shared" si="13"/>
        <v>0</v>
      </c>
    </row>
    <row r="898" spans="2:32" x14ac:dyDescent="0.3">
      <c r="B898" s="46" t="str">
        <f>IFERROR(VLOOKUP($H898,매장구분!$B:$Z,2,0),"")</f>
        <v/>
      </c>
      <c r="C898" s="46" t="str">
        <f>IFERROR(VLOOKUP($H898,매장구분!$B:$Z,3,0),"")</f>
        <v/>
      </c>
      <c r="D898" s="46" t="str">
        <f>IFERROR(VLOOKUP($H898,매장구분!$B:$Z,5,0),"")</f>
        <v/>
      </c>
      <c r="E898" s="46" t="str">
        <f>IFERROR(VLOOKUP($H898,매장구분!$B:$Z,9,0),"")</f>
        <v/>
      </c>
      <c r="AF898" s="47">
        <f t="shared" si="13"/>
        <v>0</v>
      </c>
    </row>
    <row r="899" spans="2:32" x14ac:dyDescent="0.3">
      <c r="B899" s="46" t="str">
        <f>IFERROR(VLOOKUP($H899,매장구분!$B:$Z,2,0),"")</f>
        <v/>
      </c>
      <c r="C899" s="46" t="str">
        <f>IFERROR(VLOOKUP($H899,매장구분!$B:$Z,3,0),"")</f>
        <v/>
      </c>
      <c r="D899" s="46" t="str">
        <f>IFERROR(VLOOKUP($H899,매장구분!$B:$Z,5,0),"")</f>
        <v/>
      </c>
      <c r="E899" s="46" t="str">
        <f>IFERROR(VLOOKUP($H899,매장구분!$B:$Z,9,0),"")</f>
        <v/>
      </c>
      <c r="AF899" s="47">
        <f t="shared" ref="AF899:AF962" si="14">IFERROR(AC899-Y899,"")</f>
        <v>0</v>
      </c>
    </row>
    <row r="900" spans="2:32" x14ac:dyDescent="0.3">
      <c r="B900" s="46" t="str">
        <f>IFERROR(VLOOKUP($H900,매장구분!$B:$Z,2,0),"")</f>
        <v/>
      </c>
      <c r="C900" s="46" t="str">
        <f>IFERROR(VLOOKUP($H900,매장구분!$B:$Z,3,0),"")</f>
        <v/>
      </c>
      <c r="D900" s="46" t="str">
        <f>IFERROR(VLOOKUP($H900,매장구분!$B:$Z,5,0),"")</f>
        <v/>
      </c>
      <c r="E900" s="46" t="str">
        <f>IFERROR(VLOOKUP($H900,매장구분!$B:$Z,9,0),"")</f>
        <v/>
      </c>
      <c r="AF900" s="47">
        <f t="shared" si="14"/>
        <v>0</v>
      </c>
    </row>
    <row r="901" spans="2:32" x14ac:dyDescent="0.3">
      <c r="B901" s="46" t="str">
        <f>IFERROR(VLOOKUP($H901,매장구분!$B:$Z,2,0),"")</f>
        <v/>
      </c>
      <c r="C901" s="46" t="str">
        <f>IFERROR(VLOOKUP($H901,매장구분!$B:$Z,3,0),"")</f>
        <v/>
      </c>
      <c r="D901" s="46" t="str">
        <f>IFERROR(VLOOKUP($H901,매장구분!$B:$Z,5,0),"")</f>
        <v/>
      </c>
      <c r="E901" s="46" t="str">
        <f>IFERROR(VLOOKUP($H901,매장구분!$B:$Z,9,0),"")</f>
        <v/>
      </c>
      <c r="AF901" s="47">
        <f t="shared" si="14"/>
        <v>0</v>
      </c>
    </row>
    <row r="902" spans="2:32" x14ac:dyDescent="0.3">
      <c r="B902" s="46" t="str">
        <f>IFERROR(VLOOKUP($H902,매장구분!$B:$Z,2,0),"")</f>
        <v/>
      </c>
      <c r="C902" s="46" t="str">
        <f>IFERROR(VLOOKUP($H902,매장구분!$B:$Z,3,0),"")</f>
        <v/>
      </c>
      <c r="D902" s="46" t="str">
        <f>IFERROR(VLOOKUP($H902,매장구분!$B:$Z,5,0),"")</f>
        <v/>
      </c>
      <c r="E902" s="46" t="str">
        <f>IFERROR(VLOOKUP($H902,매장구분!$B:$Z,9,0),"")</f>
        <v/>
      </c>
      <c r="AF902" s="47">
        <f t="shared" si="14"/>
        <v>0</v>
      </c>
    </row>
    <row r="903" spans="2:32" x14ac:dyDescent="0.3">
      <c r="B903" s="46" t="str">
        <f>IFERROR(VLOOKUP($H903,매장구분!$B:$Z,2,0),"")</f>
        <v/>
      </c>
      <c r="C903" s="46" t="str">
        <f>IFERROR(VLOOKUP($H903,매장구분!$B:$Z,3,0),"")</f>
        <v/>
      </c>
      <c r="D903" s="46" t="str">
        <f>IFERROR(VLOOKUP($H903,매장구분!$B:$Z,5,0),"")</f>
        <v/>
      </c>
      <c r="E903" s="46" t="str">
        <f>IFERROR(VLOOKUP($H903,매장구분!$B:$Z,9,0),"")</f>
        <v/>
      </c>
      <c r="AF903" s="47">
        <f t="shared" si="14"/>
        <v>0</v>
      </c>
    </row>
    <row r="904" spans="2:32" x14ac:dyDescent="0.3">
      <c r="B904" s="46" t="str">
        <f>IFERROR(VLOOKUP($H904,매장구분!$B:$Z,2,0),"")</f>
        <v/>
      </c>
      <c r="C904" s="46" t="str">
        <f>IFERROR(VLOOKUP($H904,매장구분!$B:$Z,3,0),"")</f>
        <v/>
      </c>
      <c r="D904" s="46" t="str">
        <f>IFERROR(VLOOKUP($H904,매장구분!$B:$Z,5,0),"")</f>
        <v/>
      </c>
      <c r="E904" s="46" t="str">
        <f>IFERROR(VLOOKUP($H904,매장구분!$B:$Z,9,0),"")</f>
        <v/>
      </c>
      <c r="AF904" s="47">
        <f t="shared" si="14"/>
        <v>0</v>
      </c>
    </row>
    <row r="905" spans="2:32" x14ac:dyDescent="0.3">
      <c r="B905" s="46" t="str">
        <f>IFERROR(VLOOKUP($H905,매장구분!$B:$Z,2,0),"")</f>
        <v/>
      </c>
      <c r="C905" s="46" t="str">
        <f>IFERROR(VLOOKUP($H905,매장구분!$B:$Z,3,0),"")</f>
        <v/>
      </c>
      <c r="D905" s="46" t="str">
        <f>IFERROR(VLOOKUP($H905,매장구분!$B:$Z,5,0),"")</f>
        <v/>
      </c>
      <c r="E905" s="46" t="str">
        <f>IFERROR(VLOOKUP($H905,매장구분!$B:$Z,9,0),"")</f>
        <v/>
      </c>
      <c r="AF905" s="47">
        <f t="shared" si="14"/>
        <v>0</v>
      </c>
    </row>
    <row r="906" spans="2:32" x14ac:dyDescent="0.3">
      <c r="B906" s="46" t="str">
        <f>IFERROR(VLOOKUP($H906,매장구분!$B:$Z,2,0),"")</f>
        <v/>
      </c>
      <c r="C906" s="46" t="str">
        <f>IFERROR(VLOOKUP($H906,매장구분!$B:$Z,3,0),"")</f>
        <v/>
      </c>
      <c r="D906" s="46" t="str">
        <f>IFERROR(VLOOKUP($H906,매장구분!$B:$Z,5,0),"")</f>
        <v/>
      </c>
      <c r="E906" s="46" t="str">
        <f>IFERROR(VLOOKUP($H906,매장구분!$B:$Z,9,0),"")</f>
        <v/>
      </c>
      <c r="AF906" s="47">
        <f t="shared" si="14"/>
        <v>0</v>
      </c>
    </row>
    <row r="907" spans="2:32" x14ac:dyDescent="0.3">
      <c r="B907" s="46" t="str">
        <f>IFERROR(VLOOKUP($H907,매장구분!$B:$Z,2,0),"")</f>
        <v/>
      </c>
      <c r="C907" s="46" t="str">
        <f>IFERROR(VLOOKUP($H907,매장구분!$B:$Z,3,0),"")</f>
        <v/>
      </c>
      <c r="D907" s="46" t="str">
        <f>IFERROR(VLOOKUP($H907,매장구분!$B:$Z,5,0),"")</f>
        <v/>
      </c>
      <c r="E907" s="46" t="str">
        <f>IFERROR(VLOOKUP($H907,매장구분!$B:$Z,9,0),"")</f>
        <v/>
      </c>
      <c r="AF907" s="47">
        <f t="shared" si="14"/>
        <v>0</v>
      </c>
    </row>
    <row r="908" spans="2:32" x14ac:dyDescent="0.3">
      <c r="B908" s="46" t="str">
        <f>IFERROR(VLOOKUP($H908,매장구분!$B:$Z,2,0),"")</f>
        <v/>
      </c>
      <c r="C908" s="46" t="str">
        <f>IFERROR(VLOOKUP($H908,매장구분!$B:$Z,3,0),"")</f>
        <v/>
      </c>
      <c r="D908" s="46" t="str">
        <f>IFERROR(VLOOKUP($H908,매장구분!$B:$Z,5,0),"")</f>
        <v/>
      </c>
      <c r="E908" s="46" t="str">
        <f>IFERROR(VLOOKUP($H908,매장구분!$B:$Z,9,0),"")</f>
        <v/>
      </c>
      <c r="AF908" s="47">
        <f t="shared" si="14"/>
        <v>0</v>
      </c>
    </row>
    <row r="909" spans="2:32" x14ac:dyDescent="0.3">
      <c r="B909" s="46" t="str">
        <f>IFERROR(VLOOKUP($H909,매장구분!$B:$Z,2,0),"")</f>
        <v/>
      </c>
      <c r="C909" s="46" t="str">
        <f>IFERROR(VLOOKUP($H909,매장구분!$B:$Z,3,0),"")</f>
        <v/>
      </c>
      <c r="D909" s="46" t="str">
        <f>IFERROR(VLOOKUP($H909,매장구분!$B:$Z,5,0),"")</f>
        <v/>
      </c>
      <c r="E909" s="46" t="str">
        <f>IFERROR(VLOOKUP($H909,매장구분!$B:$Z,9,0),"")</f>
        <v/>
      </c>
      <c r="AF909" s="47">
        <f t="shared" si="14"/>
        <v>0</v>
      </c>
    </row>
    <row r="910" spans="2:32" x14ac:dyDescent="0.3">
      <c r="B910" s="46" t="str">
        <f>IFERROR(VLOOKUP($H910,매장구분!$B:$Z,2,0),"")</f>
        <v/>
      </c>
      <c r="C910" s="46" t="str">
        <f>IFERROR(VLOOKUP($H910,매장구분!$B:$Z,3,0),"")</f>
        <v/>
      </c>
      <c r="D910" s="46" t="str">
        <f>IFERROR(VLOOKUP($H910,매장구분!$B:$Z,5,0),"")</f>
        <v/>
      </c>
      <c r="E910" s="46" t="str">
        <f>IFERROR(VLOOKUP($H910,매장구분!$B:$Z,9,0),"")</f>
        <v/>
      </c>
      <c r="AF910" s="47">
        <f t="shared" si="14"/>
        <v>0</v>
      </c>
    </row>
    <row r="911" spans="2:32" x14ac:dyDescent="0.3">
      <c r="B911" s="46" t="str">
        <f>IFERROR(VLOOKUP($H911,매장구분!$B:$Z,2,0),"")</f>
        <v/>
      </c>
      <c r="C911" s="46" t="str">
        <f>IFERROR(VLOOKUP($H911,매장구분!$B:$Z,3,0),"")</f>
        <v/>
      </c>
      <c r="D911" s="46" t="str">
        <f>IFERROR(VLOOKUP($H911,매장구분!$B:$Z,5,0),"")</f>
        <v/>
      </c>
      <c r="E911" s="46" t="str">
        <f>IFERROR(VLOOKUP($H911,매장구분!$B:$Z,9,0),"")</f>
        <v/>
      </c>
      <c r="AF911" s="47">
        <f t="shared" si="14"/>
        <v>0</v>
      </c>
    </row>
    <row r="912" spans="2:32" x14ac:dyDescent="0.3">
      <c r="B912" s="46" t="str">
        <f>IFERROR(VLOOKUP($H912,매장구분!$B:$Z,2,0),"")</f>
        <v/>
      </c>
      <c r="C912" s="46" t="str">
        <f>IFERROR(VLOOKUP($H912,매장구분!$B:$Z,3,0),"")</f>
        <v/>
      </c>
      <c r="D912" s="46" t="str">
        <f>IFERROR(VLOOKUP($H912,매장구분!$B:$Z,5,0),"")</f>
        <v/>
      </c>
      <c r="E912" s="46" t="str">
        <f>IFERROR(VLOOKUP($H912,매장구분!$B:$Z,9,0),"")</f>
        <v/>
      </c>
      <c r="AF912" s="47">
        <f t="shared" si="14"/>
        <v>0</v>
      </c>
    </row>
    <row r="913" spans="2:32" x14ac:dyDescent="0.3">
      <c r="B913" s="46" t="str">
        <f>IFERROR(VLOOKUP($H913,매장구분!$B:$Z,2,0),"")</f>
        <v/>
      </c>
      <c r="C913" s="46" t="str">
        <f>IFERROR(VLOOKUP($H913,매장구분!$B:$Z,3,0),"")</f>
        <v/>
      </c>
      <c r="D913" s="46" t="str">
        <f>IFERROR(VLOOKUP($H913,매장구분!$B:$Z,5,0),"")</f>
        <v/>
      </c>
      <c r="E913" s="46" t="str">
        <f>IFERROR(VLOOKUP($H913,매장구분!$B:$Z,9,0),"")</f>
        <v/>
      </c>
      <c r="AF913" s="47">
        <f t="shared" si="14"/>
        <v>0</v>
      </c>
    </row>
    <row r="914" spans="2:32" x14ac:dyDescent="0.3">
      <c r="B914" s="46" t="str">
        <f>IFERROR(VLOOKUP($H914,매장구분!$B:$Z,2,0),"")</f>
        <v/>
      </c>
      <c r="C914" s="46" t="str">
        <f>IFERROR(VLOOKUP($H914,매장구분!$B:$Z,3,0),"")</f>
        <v/>
      </c>
      <c r="D914" s="46" t="str">
        <f>IFERROR(VLOOKUP($H914,매장구분!$B:$Z,5,0),"")</f>
        <v/>
      </c>
      <c r="E914" s="46" t="str">
        <f>IFERROR(VLOOKUP($H914,매장구분!$B:$Z,9,0),"")</f>
        <v/>
      </c>
      <c r="AF914" s="47">
        <f t="shared" si="14"/>
        <v>0</v>
      </c>
    </row>
    <row r="915" spans="2:32" x14ac:dyDescent="0.3">
      <c r="B915" s="46" t="str">
        <f>IFERROR(VLOOKUP($H915,매장구분!$B:$Z,2,0),"")</f>
        <v/>
      </c>
      <c r="C915" s="46" t="str">
        <f>IFERROR(VLOOKUP($H915,매장구분!$B:$Z,3,0),"")</f>
        <v/>
      </c>
      <c r="D915" s="46" t="str">
        <f>IFERROR(VLOOKUP($H915,매장구분!$B:$Z,5,0),"")</f>
        <v/>
      </c>
      <c r="E915" s="46" t="str">
        <f>IFERROR(VLOOKUP($H915,매장구분!$B:$Z,9,0),"")</f>
        <v/>
      </c>
      <c r="AF915" s="47">
        <f t="shared" si="14"/>
        <v>0</v>
      </c>
    </row>
    <row r="916" spans="2:32" x14ac:dyDescent="0.3">
      <c r="B916" s="46" t="str">
        <f>IFERROR(VLOOKUP($H916,매장구분!$B:$Z,2,0),"")</f>
        <v/>
      </c>
      <c r="C916" s="46" t="str">
        <f>IFERROR(VLOOKUP($H916,매장구분!$B:$Z,3,0),"")</f>
        <v/>
      </c>
      <c r="D916" s="46" t="str">
        <f>IFERROR(VLOOKUP($H916,매장구분!$B:$Z,5,0),"")</f>
        <v/>
      </c>
      <c r="E916" s="46" t="str">
        <f>IFERROR(VLOOKUP($H916,매장구분!$B:$Z,9,0),"")</f>
        <v/>
      </c>
      <c r="AF916" s="47">
        <f t="shared" si="14"/>
        <v>0</v>
      </c>
    </row>
    <row r="917" spans="2:32" x14ac:dyDescent="0.3">
      <c r="B917" s="46" t="str">
        <f>IFERROR(VLOOKUP($H917,매장구분!$B:$Z,2,0),"")</f>
        <v/>
      </c>
      <c r="C917" s="46" t="str">
        <f>IFERROR(VLOOKUP($H917,매장구분!$B:$Z,3,0),"")</f>
        <v/>
      </c>
      <c r="D917" s="46" t="str">
        <f>IFERROR(VLOOKUP($H917,매장구분!$B:$Z,5,0),"")</f>
        <v/>
      </c>
      <c r="E917" s="46" t="str">
        <f>IFERROR(VLOOKUP($H917,매장구분!$B:$Z,9,0),"")</f>
        <v/>
      </c>
      <c r="AF917" s="47">
        <f t="shared" si="14"/>
        <v>0</v>
      </c>
    </row>
    <row r="918" spans="2:32" x14ac:dyDescent="0.3">
      <c r="B918" s="46" t="str">
        <f>IFERROR(VLOOKUP($H918,매장구분!$B:$Z,2,0),"")</f>
        <v/>
      </c>
      <c r="C918" s="46" t="str">
        <f>IFERROR(VLOOKUP($H918,매장구분!$B:$Z,3,0),"")</f>
        <v/>
      </c>
      <c r="D918" s="46" t="str">
        <f>IFERROR(VLOOKUP($H918,매장구분!$B:$Z,5,0),"")</f>
        <v/>
      </c>
      <c r="E918" s="46" t="str">
        <f>IFERROR(VLOOKUP($H918,매장구분!$B:$Z,9,0),"")</f>
        <v/>
      </c>
      <c r="AF918" s="47">
        <f t="shared" si="14"/>
        <v>0</v>
      </c>
    </row>
    <row r="919" spans="2:32" x14ac:dyDescent="0.3">
      <c r="B919" s="46" t="str">
        <f>IFERROR(VLOOKUP($H919,매장구분!$B:$Z,2,0),"")</f>
        <v/>
      </c>
      <c r="C919" s="46" t="str">
        <f>IFERROR(VLOOKUP($H919,매장구분!$B:$Z,3,0),"")</f>
        <v/>
      </c>
      <c r="D919" s="46" t="str">
        <f>IFERROR(VLOOKUP($H919,매장구분!$B:$Z,5,0),"")</f>
        <v/>
      </c>
      <c r="E919" s="46" t="str">
        <f>IFERROR(VLOOKUP($H919,매장구분!$B:$Z,9,0),"")</f>
        <v/>
      </c>
      <c r="AF919" s="47">
        <f t="shared" si="14"/>
        <v>0</v>
      </c>
    </row>
    <row r="920" spans="2:32" x14ac:dyDescent="0.3">
      <c r="B920" s="46" t="str">
        <f>IFERROR(VLOOKUP($H920,매장구분!$B:$Z,2,0),"")</f>
        <v/>
      </c>
      <c r="C920" s="46" t="str">
        <f>IFERROR(VLOOKUP($H920,매장구분!$B:$Z,3,0),"")</f>
        <v/>
      </c>
      <c r="D920" s="46" t="str">
        <f>IFERROR(VLOOKUP($H920,매장구분!$B:$Z,5,0),"")</f>
        <v/>
      </c>
      <c r="E920" s="46" t="str">
        <f>IFERROR(VLOOKUP($H920,매장구분!$B:$Z,9,0),"")</f>
        <v/>
      </c>
      <c r="AF920" s="47">
        <f t="shared" si="14"/>
        <v>0</v>
      </c>
    </row>
    <row r="921" spans="2:32" x14ac:dyDescent="0.3">
      <c r="B921" s="46" t="str">
        <f>IFERROR(VLOOKUP($H921,매장구분!$B:$Z,2,0),"")</f>
        <v/>
      </c>
      <c r="C921" s="46" t="str">
        <f>IFERROR(VLOOKUP($H921,매장구분!$B:$Z,3,0),"")</f>
        <v/>
      </c>
      <c r="D921" s="46" t="str">
        <f>IFERROR(VLOOKUP($H921,매장구분!$B:$Z,5,0),"")</f>
        <v/>
      </c>
      <c r="E921" s="46" t="str">
        <f>IFERROR(VLOOKUP($H921,매장구분!$B:$Z,9,0),"")</f>
        <v/>
      </c>
      <c r="AF921" s="47">
        <f t="shared" si="14"/>
        <v>0</v>
      </c>
    </row>
    <row r="922" spans="2:32" x14ac:dyDescent="0.3">
      <c r="B922" s="46" t="str">
        <f>IFERROR(VLOOKUP($H922,매장구분!$B:$Z,2,0),"")</f>
        <v/>
      </c>
      <c r="C922" s="46" t="str">
        <f>IFERROR(VLOOKUP($H922,매장구분!$B:$Z,3,0),"")</f>
        <v/>
      </c>
      <c r="D922" s="46" t="str">
        <f>IFERROR(VLOOKUP($H922,매장구분!$B:$Z,5,0),"")</f>
        <v/>
      </c>
      <c r="E922" s="46" t="str">
        <f>IFERROR(VLOOKUP($H922,매장구분!$B:$Z,9,0),"")</f>
        <v/>
      </c>
      <c r="AF922" s="47">
        <f t="shared" si="14"/>
        <v>0</v>
      </c>
    </row>
    <row r="923" spans="2:32" x14ac:dyDescent="0.3">
      <c r="B923" s="46" t="str">
        <f>IFERROR(VLOOKUP($H923,매장구분!$B:$Z,2,0),"")</f>
        <v/>
      </c>
      <c r="C923" s="46" t="str">
        <f>IFERROR(VLOOKUP($H923,매장구분!$B:$Z,3,0),"")</f>
        <v/>
      </c>
      <c r="D923" s="46" t="str">
        <f>IFERROR(VLOOKUP($H923,매장구분!$B:$Z,5,0),"")</f>
        <v/>
      </c>
      <c r="E923" s="46" t="str">
        <f>IFERROR(VLOOKUP($H923,매장구분!$B:$Z,9,0),"")</f>
        <v/>
      </c>
      <c r="AF923" s="47">
        <f t="shared" si="14"/>
        <v>0</v>
      </c>
    </row>
    <row r="924" spans="2:32" x14ac:dyDescent="0.3">
      <c r="B924" s="46" t="str">
        <f>IFERROR(VLOOKUP($H924,매장구분!$B:$Z,2,0),"")</f>
        <v/>
      </c>
      <c r="C924" s="46" t="str">
        <f>IFERROR(VLOOKUP($H924,매장구분!$B:$Z,3,0),"")</f>
        <v/>
      </c>
      <c r="D924" s="46" t="str">
        <f>IFERROR(VLOOKUP($H924,매장구분!$B:$Z,5,0),"")</f>
        <v/>
      </c>
      <c r="E924" s="46" t="str">
        <f>IFERROR(VLOOKUP($H924,매장구분!$B:$Z,9,0),"")</f>
        <v/>
      </c>
      <c r="AF924" s="47">
        <f t="shared" si="14"/>
        <v>0</v>
      </c>
    </row>
    <row r="925" spans="2:32" x14ac:dyDescent="0.3">
      <c r="B925" s="46" t="str">
        <f>IFERROR(VLOOKUP($H925,매장구분!$B:$Z,2,0),"")</f>
        <v/>
      </c>
      <c r="C925" s="46" t="str">
        <f>IFERROR(VLOOKUP($H925,매장구분!$B:$Z,3,0),"")</f>
        <v/>
      </c>
      <c r="D925" s="46" t="str">
        <f>IFERROR(VLOOKUP($H925,매장구분!$B:$Z,5,0),"")</f>
        <v/>
      </c>
      <c r="E925" s="46" t="str">
        <f>IFERROR(VLOOKUP($H925,매장구분!$B:$Z,9,0),"")</f>
        <v/>
      </c>
      <c r="AF925" s="47">
        <f t="shared" si="14"/>
        <v>0</v>
      </c>
    </row>
    <row r="926" spans="2:32" x14ac:dyDescent="0.3">
      <c r="B926" s="46" t="str">
        <f>IFERROR(VLOOKUP($H926,매장구분!$B:$Z,2,0),"")</f>
        <v/>
      </c>
      <c r="C926" s="46" t="str">
        <f>IFERROR(VLOOKUP($H926,매장구분!$B:$Z,3,0),"")</f>
        <v/>
      </c>
      <c r="D926" s="46" t="str">
        <f>IFERROR(VLOOKUP($H926,매장구분!$B:$Z,5,0),"")</f>
        <v/>
      </c>
      <c r="E926" s="46" t="str">
        <f>IFERROR(VLOOKUP($H926,매장구분!$B:$Z,9,0),"")</f>
        <v/>
      </c>
      <c r="AF926" s="47">
        <f t="shared" si="14"/>
        <v>0</v>
      </c>
    </row>
    <row r="927" spans="2:32" x14ac:dyDescent="0.3">
      <c r="B927" s="46" t="str">
        <f>IFERROR(VLOOKUP($H927,매장구분!$B:$Z,2,0),"")</f>
        <v/>
      </c>
      <c r="C927" s="46" t="str">
        <f>IFERROR(VLOOKUP($H927,매장구분!$B:$Z,3,0),"")</f>
        <v/>
      </c>
      <c r="D927" s="46" t="str">
        <f>IFERROR(VLOOKUP($H927,매장구분!$B:$Z,5,0),"")</f>
        <v/>
      </c>
      <c r="E927" s="46" t="str">
        <f>IFERROR(VLOOKUP($H927,매장구분!$B:$Z,9,0),"")</f>
        <v/>
      </c>
      <c r="AF927" s="47">
        <f t="shared" si="14"/>
        <v>0</v>
      </c>
    </row>
    <row r="928" spans="2:32" x14ac:dyDescent="0.3">
      <c r="B928" s="46" t="str">
        <f>IFERROR(VLOOKUP($H928,매장구분!$B:$Z,2,0),"")</f>
        <v/>
      </c>
      <c r="C928" s="46" t="str">
        <f>IFERROR(VLOOKUP($H928,매장구분!$B:$Z,3,0),"")</f>
        <v/>
      </c>
      <c r="D928" s="46" t="str">
        <f>IFERROR(VLOOKUP($H928,매장구분!$B:$Z,5,0),"")</f>
        <v/>
      </c>
      <c r="E928" s="46" t="str">
        <f>IFERROR(VLOOKUP($H928,매장구분!$B:$Z,9,0),"")</f>
        <v/>
      </c>
      <c r="AF928" s="47">
        <f t="shared" si="14"/>
        <v>0</v>
      </c>
    </row>
    <row r="929" spans="2:32" x14ac:dyDescent="0.3">
      <c r="B929" s="46" t="str">
        <f>IFERROR(VLOOKUP($H929,매장구분!$B:$Z,2,0),"")</f>
        <v/>
      </c>
      <c r="C929" s="46" t="str">
        <f>IFERROR(VLOOKUP($H929,매장구분!$B:$Z,3,0),"")</f>
        <v/>
      </c>
      <c r="D929" s="46" t="str">
        <f>IFERROR(VLOOKUP($H929,매장구분!$B:$Z,5,0),"")</f>
        <v/>
      </c>
      <c r="E929" s="46" t="str">
        <f>IFERROR(VLOOKUP($H929,매장구분!$B:$Z,9,0),"")</f>
        <v/>
      </c>
      <c r="AF929" s="47">
        <f t="shared" si="14"/>
        <v>0</v>
      </c>
    </row>
    <row r="930" spans="2:32" x14ac:dyDescent="0.3">
      <c r="B930" s="46" t="str">
        <f>IFERROR(VLOOKUP($H930,매장구분!$B:$Z,2,0),"")</f>
        <v/>
      </c>
      <c r="C930" s="46" t="str">
        <f>IFERROR(VLOOKUP($H930,매장구분!$B:$Z,3,0),"")</f>
        <v/>
      </c>
      <c r="D930" s="46" t="str">
        <f>IFERROR(VLOOKUP($H930,매장구분!$B:$Z,5,0),"")</f>
        <v/>
      </c>
      <c r="E930" s="46" t="str">
        <f>IFERROR(VLOOKUP($H930,매장구분!$B:$Z,9,0),"")</f>
        <v/>
      </c>
      <c r="AF930" s="47">
        <f t="shared" si="14"/>
        <v>0</v>
      </c>
    </row>
    <row r="931" spans="2:32" x14ac:dyDescent="0.3">
      <c r="B931" s="46" t="str">
        <f>IFERROR(VLOOKUP($H931,매장구분!$B:$Z,2,0),"")</f>
        <v/>
      </c>
      <c r="C931" s="46" t="str">
        <f>IFERROR(VLOOKUP($H931,매장구분!$B:$Z,3,0),"")</f>
        <v/>
      </c>
      <c r="D931" s="46" t="str">
        <f>IFERROR(VLOOKUP($H931,매장구분!$B:$Z,5,0),"")</f>
        <v/>
      </c>
      <c r="E931" s="46" t="str">
        <f>IFERROR(VLOOKUP($H931,매장구분!$B:$Z,9,0),"")</f>
        <v/>
      </c>
      <c r="AF931" s="47">
        <f t="shared" si="14"/>
        <v>0</v>
      </c>
    </row>
    <row r="932" spans="2:32" x14ac:dyDescent="0.3">
      <c r="B932" s="46" t="str">
        <f>IFERROR(VLOOKUP($H932,매장구분!$B:$Z,2,0),"")</f>
        <v/>
      </c>
      <c r="C932" s="46" t="str">
        <f>IFERROR(VLOOKUP($H932,매장구분!$B:$Z,3,0),"")</f>
        <v/>
      </c>
      <c r="D932" s="46" t="str">
        <f>IFERROR(VLOOKUP($H932,매장구분!$B:$Z,5,0),"")</f>
        <v/>
      </c>
      <c r="E932" s="46" t="str">
        <f>IFERROR(VLOOKUP($H932,매장구분!$B:$Z,9,0),"")</f>
        <v/>
      </c>
      <c r="AF932" s="47">
        <f t="shared" si="14"/>
        <v>0</v>
      </c>
    </row>
    <row r="933" spans="2:32" x14ac:dyDescent="0.3">
      <c r="B933" s="46" t="str">
        <f>IFERROR(VLOOKUP($H933,매장구분!$B:$Z,2,0),"")</f>
        <v/>
      </c>
      <c r="C933" s="46" t="str">
        <f>IFERROR(VLOOKUP($H933,매장구분!$B:$Z,3,0),"")</f>
        <v/>
      </c>
      <c r="D933" s="46" t="str">
        <f>IFERROR(VLOOKUP($H933,매장구분!$B:$Z,5,0),"")</f>
        <v/>
      </c>
      <c r="E933" s="46" t="str">
        <f>IFERROR(VLOOKUP($H933,매장구분!$B:$Z,9,0),"")</f>
        <v/>
      </c>
      <c r="AF933" s="47">
        <f t="shared" si="14"/>
        <v>0</v>
      </c>
    </row>
    <row r="934" spans="2:32" x14ac:dyDescent="0.3">
      <c r="B934" s="46" t="str">
        <f>IFERROR(VLOOKUP($H934,매장구분!$B:$Z,2,0),"")</f>
        <v/>
      </c>
      <c r="C934" s="46" t="str">
        <f>IFERROR(VLOOKUP($H934,매장구분!$B:$Z,3,0),"")</f>
        <v/>
      </c>
      <c r="D934" s="46" t="str">
        <f>IFERROR(VLOOKUP($H934,매장구분!$B:$Z,5,0),"")</f>
        <v/>
      </c>
      <c r="E934" s="46" t="str">
        <f>IFERROR(VLOOKUP($H934,매장구분!$B:$Z,9,0),"")</f>
        <v/>
      </c>
      <c r="AF934" s="47">
        <f t="shared" si="14"/>
        <v>0</v>
      </c>
    </row>
    <row r="935" spans="2:32" x14ac:dyDescent="0.3">
      <c r="B935" s="46" t="str">
        <f>IFERROR(VLOOKUP($H935,매장구분!$B:$Z,2,0),"")</f>
        <v/>
      </c>
      <c r="C935" s="46" t="str">
        <f>IFERROR(VLOOKUP($H935,매장구분!$B:$Z,3,0),"")</f>
        <v/>
      </c>
      <c r="D935" s="46" t="str">
        <f>IFERROR(VLOOKUP($H935,매장구분!$B:$Z,5,0),"")</f>
        <v/>
      </c>
      <c r="E935" s="46" t="str">
        <f>IFERROR(VLOOKUP($H935,매장구분!$B:$Z,9,0),"")</f>
        <v/>
      </c>
      <c r="AF935" s="47">
        <f t="shared" si="14"/>
        <v>0</v>
      </c>
    </row>
    <row r="936" spans="2:32" x14ac:dyDescent="0.3">
      <c r="B936" s="46" t="str">
        <f>IFERROR(VLOOKUP($H936,매장구분!$B:$Z,2,0),"")</f>
        <v/>
      </c>
      <c r="C936" s="46" t="str">
        <f>IFERROR(VLOOKUP($H936,매장구분!$B:$Z,3,0),"")</f>
        <v/>
      </c>
      <c r="D936" s="46" t="str">
        <f>IFERROR(VLOOKUP($H936,매장구분!$B:$Z,5,0),"")</f>
        <v/>
      </c>
      <c r="E936" s="46" t="str">
        <f>IFERROR(VLOOKUP($H936,매장구분!$B:$Z,9,0),"")</f>
        <v/>
      </c>
      <c r="AF936" s="47">
        <f t="shared" si="14"/>
        <v>0</v>
      </c>
    </row>
    <row r="937" spans="2:32" x14ac:dyDescent="0.3">
      <c r="B937" s="46" t="str">
        <f>IFERROR(VLOOKUP($H937,매장구분!$B:$Z,2,0),"")</f>
        <v/>
      </c>
      <c r="C937" s="46" t="str">
        <f>IFERROR(VLOOKUP($H937,매장구분!$B:$Z,3,0),"")</f>
        <v/>
      </c>
      <c r="D937" s="46" t="str">
        <f>IFERROR(VLOOKUP($H937,매장구분!$B:$Z,5,0),"")</f>
        <v/>
      </c>
      <c r="E937" s="46" t="str">
        <f>IFERROR(VLOOKUP($H937,매장구분!$B:$Z,9,0),"")</f>
        <v/>
      </c>
      <c r="AF937" s="47">
        <f t="shared" si="14"/>
        <v>0</v>
      </c>
    </row>
    <row r="938" spans="2:32" x14ac:dyDescent="0.3">
      <c r="B938" s="46" t="str">
        <f>IFERROR(VLOOKUP($H938,매장구분!$B:$Z,2,0),"")</f>
        <v/>
      </c>
      <c r="C938" s="46" t="str">
        <f>IFERROR(VLOOKUP($H938,매장구분!$B:$Z,3,0),"")</f>
        <v/>
      </c>
      <c r="D938" s="46" t="str">
        <f>IFERROR(VLOOKUP($H938,매장구분!$B:$Z,5,0),"")</f>
        <v/>
      </c>
      <c r="E938" s="46" t="str">
        <f>IFERROR(VLOOKUP($H938,매장구분!$B:$Z,9,0),"")</f>
        <v/>
      </c>
      <c r="AF938" s="47">
        <f t="shared" si="14"/>
        <v>0</v>
      </c>
    </row>
    <row r="939" spans="2:32" x14ac:dyDescent="0.3">
      <c r="B939" s="46" t="str">
        <f>IFERROR(VLOOKUP($H939,매장구분!$B:$Z,2,0),"")</f>
        <v/>
      </c>
      <c r="C939" s="46" t="str">
        <f>IFERROR(VLOOKUP($H939,매장구분!$B:$Z,3,0),"")</f>
        <v/>
      </c>
      <c r="D939" s="46" t="str">
        <f>IFERROR(VLOOKUP($H939,매장구분!$B:$Z,5,0),"")</f>
        <v/>
      </c>
      <c r="E939" s="46" t="str">
        <f>IFERROR(VLOOKUP($H939,매장구분!$B:$Z,9,0),"")</f>
        <v/>
      </c>
      <c r="AF939" s="47">
        <f t="shared" si="14"/>
        <v>0</v>
      </c>
    </row>
    <row r="940" spans="2:32" x14ac:dyDescent="0.3">
      <c r="B940" s="46" t="str">
        <f>IFERROR(VLOOKUP($H940,매장구분!$B:$Z,2,0),"")</f>
        <v/>
      </c>
      <c r="C940" s="46" t="str">
        <f>IFERROR(VLOOKUP($H940,매장구분!$B:$Z,3,0),"")</f>
        <v/>
      </c>
      <c r="D940" s="46" t="str">
        <f>IFERROR(VLOOKUP($H940,매장구분!$B:$Z,5,0),"")</f>
        <v/>
      </c>
      <c r="E940" s="46" t="str">
        <f>IFERROR(VLOOKUP($H940,매장구분!$B:$Z,9,0),"")</f>
        <v/>
      </c>
      <c r="AF940" s="47">
        <f t="shared" si="14"/>
        <v>0</v>
      </c>
    </row>
    <row r="941" spans="2:32" x14ac:dyDescent="0.3">
      <c r="B941" s="46" t="str">
        <f>IFERROR(VLOOKUP($H941,매장구분!$B:$Z,2,0),"")</f>
        <v/>
      </c>
      <c r="C941" s="46" t="str">
        <f>IFERROR(VLOOKUP($H941,매장구분!$B:$Z,3,0),"")</f>
        <v/>
      </c>
      <c r="D941" s="46" t="str">
        <f>IFERROR(VLOOKUP($H941,매장구분!$B:$Z,5,0),"")</f>
        <v/>
      </c>
      <c r="E941" s="46" t="str">
        <f>IFERROR(VLOOKUP($H941,매장구분!$B:$Z,9,0),"")</f>
        <v/>
      </c>
      <c r="AF941" s="47">
        <f t="shared" si="14"/>
        <v>0</v>
      </c>
    </row>
    <row r="942" spans="2:32" x14ac:dyDescent="0.3">
      <c r="B942" s="46" t="str">
        <f>IFERROR(VLOOKUP($H942,매장구분!$B:$Z,2,0),"")</f>
        <v/>
      </c>
      <c r="C942" s="46" t="str">
        <f>IFERROR(VLOOKUP($H942,매장구분!$B:$Z,3,0),"")</f>
        <v/>
      </c>
      <c r="D942" s="46" t="str">
        <f>IFERROR(VLOOKUP($H942,매장구분!$B:$Z,5,0),"")</f>
        <v/>
      </c>
      <c r="E942" s="46" t="str">
        <f>IFERROR(VLOOKUP($H942,매장구분!$B:$Z,9,0),"")</f>
        <v/>
      </c>
      <c r="AF942" s="47">
        <f t="shared" si="14"/>
        <v>0</v>
      </c>
    </row>
    <row r="943" spans="2:32" x14ac:dyDescent="0.3">
      <c r="B943" s="46" t="str">
        <f>IFERROR(VLOOKUP($H943,매장구분!$B:$Z,2,0),"")</f>
        <v/>
      </c>
      <c r="C943" s="46" t="str">
        <f>IFERROR(VLOOKUP($H943,매장구분!$B:$Z,3,0),"")</f>
        <v/>
      </c>
      <c r="D943" s="46" t="str">
        <f>IFERROR(VLOOKUP($H943,매장구분!$B:$Z,5,0),"")</f>
        <v/>
      </c>
      <c r="E943" s="46" t="str">
        <f>IFERROR(VLOOKUP($H943,매장구분!$B:$Z,9,0),"")</f>
        <v/>
      </c>
      <c r="AF943" s="47">
        <f t="shared" si="14"/>
        <v>0</v>
      </c>
    </row>
    <row r="944" spans="2:32" x14ac:dyDescent="0.3">
      <c r="B944" s="46" t="str">
        <f>IFERROR(VLOOKUP($H944,매장구분!$B:$Z,2,0),"")</f>
        <v/>
      </c>
      <c r="C944" s="46" t="str">
        <f>IFERROR(VLOOKUP($H944,매장구분!$B:$Z,3,0),"")</f>
        <v/>
      </c>
      <c r="D944" s="46" t="str">
        <f>IFERROR(VLOOKUP($H944,매장구분!$B:$Z,5,0),"")</f>
        <v/>
      </c>
      <c r="E944" s="46" t="str">
        <f>IFERROR(VLOOKUP($H944,매장구분!$B:$Z,9,0),"")</f>
        <v/>
      </c>
      <c r="AF944" s="47">
        <f t="shared" si="14"/>
        <v>0</v>
      </c>
    </row>
    <row r="945" spans="2:32" x14ac:dyDescent="0.3">
      <c r="B945" s="46" t="str">
        <f>IFERROR(VLOOKUP($H945,매장구분!$B:$Z,2,0),"")</f>
        <v/>
      </c>
      <c r="C945" s="46" t="str">
        <f>IFERROR(VLOOKUP($H945,매장구분!$B:$Z,3,0),"")</f>
        <v/>
      </c>
      <c r="D945" s="46" t="str">
        <f>IFERROR(VLOOKUP($H945,매장구분!$B:$Z,5,0),"")</f>
        <v/>
      </c>
      <c r="E945" s="46" t="str">
        <f>IFERROR(VLOOKUP($H945,매장구분!$B:$Z,9,0),"")</f>
        <v/>
      </c>
      <c r="AF945" s="47">
        <f t="shared" si="14"/>
        <v>0</v>
      </c>
    </row>
    <row r="946" spans="2:32" x14ac:dyDescent="0.3">
      <c r="B946" s="46" t="str">
        <f>IFERROR(VLOOKUP($H946,매장구분!$B:$Z,2,0),"")</f>
        <v/>
      </c>
      <c r="C946" s="46" t="str">
        <f>IFERROR(VLOOKUP($H946,매장구분!$B:$Z,3,0),"")</f>
        <v/>
      </c>
      <c r="D946" s="46" t="str">
        <f>IFERROR(VLOOKUP($H946,매장구분!$B:$Z,5,0),"")</f>
        <v/>
      </c>
      <c r="E946" s="46" t="str">
        <f>IFERROR(VLOOKUP($H946,매장구분!$B:$Z,9,0),"")</f>
        <v/>
      </c>
      <c r="AF946" s="47">
        <f t="shared" si="14"/>
        <v>0</v>
      </c>
    </row>
    <row r="947" spans="2:32" x14ac:dyDescent="0.3">
      <c r="B947" s="46" t="str">
        <f>IFERROR(VLOOKUP($H947,매장구분!$B:$Z,2,0),"")</f>
        <v/>
      </c>
      <c r="C947" s="46" t="str">
        <f>IFERROR(VLOOKUP($H947,매장구분!$B:$Z,3,0),"")</f>
        <v/>
      </c>
      <c r="D947" s="46" t="str">
        <f>IFERROR(VLOOKUP($H947,매장구분!$B:$Z,5,0),"")</f>
        <v/>
      </c>
      <c r="E947" s="46" t="str">
        <f>IFERROR(VLOOKUP($H947,매장구분!$B:$Z,9,0),"")</f>
        <v/>
      </c>
      <c r="AF947" s="47">
        <f t="shared" si="14"/>
        <v>0</v>
      </c>
    </row>
    <row r="948" spans="2:32" x14ac:dyDescent="0.3">
      <c r="B948" s="46" t="str">
        <f>IFERROR(VLOOKUP($H948,매장구분!$B:$Z,2,0),"")</f>
        <v/>
      </c>
      <c r="C948" s="46" t="str">
        <f>IFERROR(VLOOKUP($H948,매장구분!$B:$Z,3,0),"")</f>
        <v/>
      </c>
      <c r="D948" s="46" t="str">
        <f>IFERROR(VLOOKUP($H948,매장구분!$B:$Z,5,0),"")</f>
        <v/>
      </c>
      <c r="E948" s="46" t="str">
        <f>IFERROR(VLOOKUP($H948,매장구분!$B:$Z,9,0),"")</f>
        <v/>
      </c>
      <c r="AF948" s="47">
        <f t="shared" si="14"/>
        <v>0</v>
      </c>
    </row>
    <row r="949" spans="2:32" x14ac:dyDescent="0.3">
      <c r="B949" s="46" t="str">
        <f>IFERROR(VLOOKUP($H949,매장구분!$B:$Z,2,0),"")</f>
        <v/>
      </c>
      <c r="C949" s="46" t="str">
        <f>IFERROR(VLOOKUP($H949,매장구분!$B:$Z,3,0),"")</f>
        <v/>
      </c>
      <c r="D949" s="46" t="str">
        <f>IFERROR(VLOOKUP($H949,매장구분!$B:$Z,5,0),"")</f>
        <v/>
      </c>
      <c r="E949" s="46" t="str">
        <f>IFERROR(VLOOKUP($H949,매장구분!$B:$Z,9,0),"")</f>
        <v/>
      </c>
      <c r="AF949" s="47">
        <f t="shared" si="14"/>
        <v>0</v>
      </c>
    </row>
    <row r="950" spans="2:32" x14ac:dyDescent="0.3">
      <c r="B950" s="46" t="str">
        <f>IFERROR(VLOOKUP($H950,매장구분!$B:$Z,2,0),"")</f>
        <v/>
      </c>
      <c r="C950" s="46" t="str">
        <f>IFERROR(VLOOKUP($H950,매장구분!$B:$Z,3,0),"")</f>
        <v/>
      </c>
      <c r="D950" s="46" t="str">
        <f>IFERROR(VLOOKUP($H950,매장구분!$B:$Z,5,0),"")</f>
        <v/>
      </c>
      <c r="E950" s="46" t="str">
        <f>IFERROR(VLOOKUP($H950,매장구분!$B:$Z,9,0),"")</f>
        <v/>
      </c>
      <c r="AF950" s="47">
        <f t="shared" si="14"/>
        <v>0</v>
      </c>
    </row>
    <row r="951" spans="2:32" x14ac:dyDescent="0.3">
      <c r="B951" s="46" t="str">
        <f>IFERROR(VLOOKUP($H951,매장구분!$B:$Z,2,0),"")</f>
        <v/>
      </c>
      <c r="C951" s="46" t="str">
        <f>IFERROR(VLOOKUP($H951,매장구분!$B:$Z,3,0),"")</f>
        <v/>
      </c>
      <c r="D951" s="46" t="str">
        <f>IFERROR(VLOOKUP($H951,매장구분!$B:$Z,5,0),"")</f>
        <v/>
      </c>
      <c r="E951" s="46" t="str">
        <f>IFERROR(VLOOKUP($H951,매장구분!$B:$Z,9,0),"")</f>
        <v/>
      </c>
      <c r="AF951" s="47">
        <f t="shared" si="14"/>
        <v>0</v>
      </c>
    </row>
    <row r="952" spans="2:32" x14ac:dyDescent="0.3">
      <c r="B952" s="46" t="str">
        <f>IFERROR(VLOOKUP($H952,매장구분!$B:$Z,2,0),"")</f>
        <v/>
      </c>
      <c r="C952" s="46" t="str">
        <f>IFERROR(VLOOKUP($H952,매장구분!$B:$Z,3,0),"")</f>
        <v/>
      </c>
      <c r="D952" s="46" t="str">
        <f>IFERROR(VLOOKUP($H952,매장구분!$B:$Z,5,0),"")</f>
        <v/>
      </c>
      <c r="E952" s="46" t="str">
        <f>IFERROR(VLOOKUP($H952,매장구분!$B:$Z,9,0),"")</f>
        <v/>
      </c>
      <c r="AF952" s="47">
        <f t="shared" si="14"/>
        <v>0</v>
      </c>
    </row>
    <row r="953" spans="2:32" x14ac:dyDescent="0.3">
      <c r="B953" s="46" t="str">
        <f>IFERROR(VLOOKUP($H953,매장구분!$B:$Z,2,0),"")</f>
        <v/>
      </c>
      <c r="C953" s="46" t="str">
        <f>IFERROR(VLOOKUP($H953,매장구분!$B:$Z,3,0),"")</f>
        <v/>
      </c>
      <c r="D953" s="46" t="str">
        <f>IFERROR(VLOOKUP($H953,매장구분!$B:$Z,5,0),"")</f>
        <v/>
      </c>
      <c r="E953" s="46" t="str">
        <f>IFERROR(VLOOKUP($H953,매장구분!$B:$Z,9,0),"")</f>
        <v/>
      </c>
      <c r="AF953" s="47">
        <f t="shared" si="14"/>
        <v>0</v>
      </c>
    </row>
    <row r="954" spans="2:32" x14ac:dyDescent="0.3">
      <c r="B954" s="46" t="str">
        <f>IFERROR(VLOOKUP($H954,매장구분!$B:$Z,2,0),"")</f>
        <v/>
      </c>
      <c r="C954" s="46" t="str">
        <f>IFERROR(VLOOKUP($H954,매장구분!$B:$Z,3,0),"")</f>
        <v/>
      </c>
      <c r="D954" s="46" t="str">
        <f>IFERROR(VLOOKUP($H954,매장구분!$B:$Z,5,0),"")</f>
        <v/>
      </c>
      <c r="E954" s="46" t="str">
        <f>IFERROR(VLOOKUP($H954,매장구분!$B:$Z,9,0),"")</f>
        <v/>
      </c>
      <c r="AF954" s="47">
        <f t="shared" si="14"/>
        <v>0</v>
      </c>
    </row>
    <row r="955" spans="2:32" x14ac:dyDescent="0.3">
      <c r="B955" s="46" t="str">
        <f>IFERROR(VLOOKUP($H955,매장구분!$B:$Z,2,0),"")</f>
        <v/>
      </c>
      <c r="C955" s="46" t="str">
        <f>IFERROR(VLOOKUP($H955,매장구분!$B:$Z,3,0),"")</f>
        <v/>
      </c>
      <c r="D955" s="46" t="str">
        <f>IFERROR(VLOOKUP($H955,매장구분!$B:$Z,5,0),"")</f>
        <v/>
      </c>
      <c r="E955" s="46" t="str">
        <f>IFERROR(VLOOKUP($H955,매장구분!$B:$Z,9,0),"")</f>
        <v/>
      </c>
      <c r="AF955" s="47">
        <f t="shared" si="14"/>
        <v>0</v>
      </c>
    </row>
    <row r="956" spans="2:32" x14ac:dyDescent="0.3">
      <c r="B956" s="46" t="str">
        <f>IFERROR(VLOOKUP($H956,매장구분!$B:$Z,2,0),"")</f>
        <v/>
      </c>
      <c r="C956" s="46" t="str">
        <f>IFERROR(VLOOKUP($H956,매장구분!$B:$Z,3,0),"")</f>
        <v/>
      </c>
      <c r="D956" s="46" t="str">
        <f>IFERROR(VLOOKUP($H956,매장구분!$B:$Z,5,0),"")</f>
        <v/>
      </c>
      <c r="E956" s="46" t="str">
        <f>IFERROR(VLOOKUP($H956,매장구분!$B:$Z,9,0),"")</f>
        <v/>
      </c>
      <c r="AF956" s="47">
        <f t="shared" si="14"/>
        <v>0</v>
      </c>
    </row>
    <row r="957" spans="2:32" x14ac:dyDescent="0.3">
      <c r="B957" s="46" t="str">
        <f>IFERROR(VLOOKUP($H957,매장구분!$B:$Z,2,0),"")</f>
        <v/>
      </c>
      <c r="C957" s="46" t="str">
        <f>IFERROR(VLOOKUP($H957,매장구분!$B:$Z,3,0),"")</f>
        <v/>
      </c>
      <c r="D957" s="46" t="str">
        <f>IFERROR(VLOOKUP($H957,매장구분!$B:$Z,5,0),"")</f>
        <v/>
      </c>
      <c r="E957" s="46" t="str">
        <f>IFERROR(VLOOKUP($H957,매장구분!$B:$Z,9,0),"")</f>
        <v/>
      </c>
      <c r="AF957" s="47">
        <f t="shared" si="14"/>
        <v>0</v>
      </c>
    </row>
    <row r="958" spans="2:32" x14ac:dyDescent="0.3">
      <c r="B958" s="46" t="str">
        <f>IFERROR(VLOOKUP($H958,매장구분!$B:$Z,2,0),"")</f>
        <v/>
      </c>
      <c r="C958" s="46" t="str">
        <f>IFERROR(VLOOKUP($H958,매장구분!$B:$Z,3,0),"")</f>
        <v/>
      </c>
      <c r="D958" s="46" t="str">
        <f>IFERROR(VLOOKUP($H958,매장구분!$B:$Z,5,0),"")</f>
        <v/>
      </c>
      <c r="E958" s="46" t="str">
        <f>IFERROR(VLOOKUP($H958,매장구분!$B:$Z,9,0),"")</f>
        <v/>
      </c>
      <c r="AF958" s="47">
        <f t="shared" si="14"/>
        <v>0</v>
      </c>
    </row>
    <row r="959" spans="2:32" x14ac:dyDescent="0.3">
      <c r="B959" s="46" t="str">
        <f>IFERROR(VLOOKUP($H959,매장구분!$B:$Z,2,0),"")</f>
        <v/>
      </c>
      <c r="C959" s="46" t="str">
        <f>IFERROR(VLOOKUP($H959,매장구분!$B:$Z,3,0),"")</f>
        <v/>
      </c>
      <c r="D959" s="46" t="str">
        <f>IFERROR(VLOOKUP($H959,매장구분!$B:$Z,5,0),"")</f>
        <v/>
      </c>
      <c r="E959" s="46" t="str">
        <f>IFERROR(VLOOKUP($H959,매장구분!$B:$Z,9,0),"")</f>
        <v/>
      </c>
      <c r="AF959" s="47">
        <f t="shared" si="14"/>
        <v>0</v>
      </c>
    </row>
    <row r="960" spans="2:32" x14ac:dyDescent="0.3">
      <c r="B960" s="46" t="str">
        <f>IFERROR(VLOOKUP($H960,매장구분!$B:$Z,2,0),"")</f>
        <v/>
      </c>
      <c r="C960" s="46" t="str">
        <f>IFERROR(VLOOKUP($H960,매장구분!$B:$Z,3,0),"")</f>
        <v/>
      </c>
      <c r="D960" s="46" t="str">
        <f>IFERROR(VLOOKUP($H960,매장구분!$B:$Z,5,0),"")</f>
        <v/>
      </c>
      <c r="E960" s="46" t="str">
        <f>IFERROR(VLOOKUP($H960,매장구분!$B:$Z,9,0),"")</f>
        <v/>
      </c>
      <c r="AF960" s="47">
        <f t="shared" si="14"/>
        <v>0</v>
      </c>
    </row>
    <row r="961" spans="2:32" x14ac:dyDescent="0.3">
      <c r="B961" s="46" t="str">
        <f>IFERROR(VLOOKUP($H961,매장구분!$B:$Z,2,0),"")</f>
        <v/>
      </c>
      <c r="C961" s="46" t="str">
        <f>IFERROR(VLOOKUP($H961,매장구분!$B:$Z,3,0),"")</f>
        <v/>
      </c>
      <c r="D961" s="46" t="str">
        <f>IFERROR(VLOOKUP($H961,매장구분!$B:$Z,5,0),"")</f>
        <v/>
      </c>
      <c r="E961" s="46" t="str">
        <f>IFERROR(VLOOKUP($H961,매장구분!$B:$Z,9,0),"")</f>
        <v/>
      </c>
      <c r="AF961" s="47">
        <f t="shared" si="14"/>
        <v>0</v>
      </c>
    </row>
    <row r="962" spans="2:32" x14ac:dyDescent="0.3">
      <c r="B962" s="46" t="str">
        <f>IFERROR(VLOOKUP($H962,매장구분!$B:$Z,2,0),"")</f>
        <v/>
      </c>
      <c r="C962" s="46" t="str">
        <f>IFERROR(VLOOKUP($H962,매장구분!$B:$Z,3,0),"")</f>
        <v/>
      </c>
      <c r="D962" s="46" t="str">
        <f>IFERROR(VLOOKUP($H962,매장구분!$B:$Z,5,0),"")</f>
        <v/>
      </c>
      <c r="E962" s="46" t="str">
        <f>IFERROR(VLOOKUP($H962,매장구분!$B:$Z,9,0),"")</f>
        <v/>
      </c>
      <c r="AF962" s="47">
        <f t="shared" si="14"/>
        <v>0</v>
      </c>
    </row>
    <row r="963" spans="2:32" x14ac:dyDescent="0.3">
      <c r="B963" s="46" t="str">
        <f>IFERROR(VLOOKUP($H963,매장구분!$B:$Z,2,0),"")</f>
        <v/>
      </c>
      <c r="C963" s="46" t="str">
        <f>IFERROR(VLOOKUP($H963,매장구분!$B:$Z,3,0),"")</f>
        <v/>
      </c>
      <c r="D963" s="46" t="str">
        <f>IFERROR(VLOOKUP($H963,매장구분!$B:$Z,5,0),"")</f>
        <v/>
      </c>
      <c r="E963" s="46" t="str">
        <f>IFERROR(VLOOKUP($H963,매장구분!$B:$Z,9,0),"")</f>
        <v/>
      </c>
      <c r="AF963" s="47">
        <f t="shared" ref="AF963:AF1026" si="15">IFERROR(AC963-Y963,"")</f>
        <v>0</v>
      </c>
    </row>
    <row r="964" spans="2:32" x14ac:dyDescent="0.3">
      <c r="B964" s="46" t="str">
        <f>IFERROR(VLOOKUP($H964,매장구분!$B:$Z,2,0),"")</f>
        <v/>
      </c>
      <c r="C964" s="46" t="str">
        <f>IFERROR(VLOOKUP($H964,매장구분!$B:$Z,3,0),"")</f>
        <v/>
      </c>
      <c r="D964" s="46" t="str">
        <f>IFERROR(VLOOKUP($H964,매장구분!$B:$Z,5,0),"")</f>
        <v/>
      </c>
      <c r="E964" s="46" t="str">
        <f>IFERROR(VLOOKUP($H964,매장구분!$B:$Z,9,0),"")</f>
        <v/>
      </c>
      <c r="AF964" s="47">
        <f t="shared" si="15"/>
        <v>0</v>
      </c>
    </row>
    <row r="965" spans="2:32" x14ac:dyDescent="0.3">
      <c r="B965" s="46" t="str">
        <f>IFERROR(VLOOKUP($H965,매장구분!$B:$Z,2,0),"")</f>
        <v/>
      </c>
      <c r="C965" s="46" t="str">
        <f>IFERROR(VLOOKUP($H965,매장구분!$B:$Z,3,0),"")</f>
        <v/>
      </c>
      <c r="D965" s="46" t="str">
        <f>IFERROR(VLOOKUP($H965,매장구분!$B:$Z,5,0),"")</f>
        <v/>
      </c>
      <c r="E965" s="46" t="str">
        <f>IFERROR(VLOOKUP($H965,매장구분!$B:$Z,9,0),"")</f>
        <v/>
      </c>
      <c r="AF965" s="47">
        <f t="shared" si="15"/>
        <v>0</v>
      </c>
    </row>
    <row r="966" spans="2:32" x14ac:dyDescent="0.3">
      <c r="B966" s="46" t="str">
        <f>IFERROR(VLOOKUP($H966,매장구분!$B:$Z,2,0),"")</f>
        <v/>
      </c>
      <c r="C966" s="46" t="str">
        <f>IFERROR(VLOOKUP($H966,매장구분!$B:$Z,3,0),"")</f>
        <v/>
      </c>
      <c r="D966" s="46" t="str">
        <f>IFERROR(VLOOKUP($H966,매장구분!$B:$Z,5,0),"")</f>
        <v/>
      </c>
      <c r="E966" s="46" t="str">
        <f>IFERROR(VLOOKUP($H966,매장구분!$B:$Z,9,0),"")</f>
        <v/>
      </c>
      <c r="AF966" s="47">
        <f t="shared" si="15"/>
        <v>0</v>
      </c>
    </row>
    <row r="967" spans="2:32" x14ac:dyDescent="0.3">
      <c r="B967" s="46" t="str">
        <f>IFERROR(VLOOKUP($H967,매장구분!$B:$Z,2,0),"")</f>
        <v/>
      </c>
      <c r="C967" s="46" t="str">
        <f>IFERROR(VLOOKUP($H967,매장구분!$B:$Z,3,0),"")</f>
        <v/>
      </c>
      <c r="D967" s="46" t="str">
        <f>IFERROR(VLOOKUP($H967,매장구분!$B:$Z,5,0),"")</f>
        <v/>
      </c>
      <c r="E967" s="46" t="str">
        <f>IFERROR(VLOOKUP($H967,매장구분!$B:$Z,9,0),"")</f>
        <v/>
      </c>
      <c r="AF967" s="47">
        <f t="shared" si="15"/>
        <v>0</v>
      </c>
    </row>
    <row r="968" spans="2:32" x14ac:dyDescent="0.3">
      <c r="B968" s="46" t="str">
        <f>IFERROR(VLOOKUP($H968,매장구분!$B:$Z,2,0),"")</f>
        <v/>
      </c>
      <c r="C968" s="46" t="str">
        <f>IFERROR(VLOOKUP($H968,매장구분!$B:$Z,3,0),"")</f>
        <v/>
      </c>
      <c r="D968" s="46" t="str">
        <f>IFERROR(VLOOKUP($H968,매장구분!$B:$Z,5,0),"")</f>
        <v/>
      </c>
      <c r="E968" s="46" t="str">
        <f>IFERROR(VLOOKUP($H968,매장구분!$B:$Z,9,0),"")</f>
        <v/>
      </c>
      <c r="AF968" s="47">
        <f t="shared" si="15"/>
        <v>0</v>
      </c>
    </row>
    <row r="969" spans="2:32" x14ac:dyDescent="0.3">
      <c r="B969" s="46" t="str">
        <f>IFERROR(VLOOKUP($H969,매장구분!$B:$Z,2,0),"")</f>
        <v/>
      </c>
      <c r="C969" s="46" t="str">
        <f>IFERROR(VLOOKUP($H969,매장구분!$B:$Z,3,0),"")</f>
        <v/>
      </c>
      <c r="D969" s="46" t="str">
        <f>IFERROR(VLOOKUP($H969,매장구분!$B:$Z,5,0),"")</f>
        <v/>
      </c>
      <c r="E969" s="46" t="str">
        <f>IFERROR(VLOOKUP($H969,매장구분!$B:$Z,9,0),"")</f>
        <v/>
      </c>
      <c r="AF969" s="47">
        <f t="shared" si="15"/>
        <v>0</v>
      </c>
    </row>
    <row r="970" spans="2:32" x14ac:dyDescent="0.3">
      <c r="B970" s="46" t="str">
        <f>IFERROR(VLOOKUP($H970,매장구분!$B:$Z,2,0),"")</f>
        <v/>
      </c>
      <c r="C970" s="46" t="str">
        <f>IFERROR(VLOOKUP($H970,매장구분!$B:$Z,3,0),"")</f>
        <v/>
      </c>
      <c r="D970" s="46" t="str">
        <f>IFERROR(VLOOKUP($H970,매장구분!$B:$Z,5,0),"")</f>
        <v/>
      </c>
      <c r="E970" s="46" t="str">
        <f>IFERROR(VLOOKUP($H970,매장구분!$B:$Z,9,0),"")</f>
        <v/>
      </c>
      <c r="AF970" s="47">
        <f t="shared" si="15"/>
        <v>0</v>
      </c>
    </row>
    <row r="971" spans="2:32" x14ac:dyDescent="0.3">
      <c r="B971" s="46" t="str">
        <f>IFERROR(VLOOKUP($H971,매장구분!$B:$Z,2,0),"")</f>
        <v/>
      </c>
      <c r="C971" s="46" t="str">
        <f>IFERROR(VLOOKUP($H971,매장구분!$B:$Z,3,0),"")</f>
        <v/>
      </c>
      <c r="D971" s="46" t="str">
        <f>IFERROR(VLOOKUP($H971,매장구분!$B:$Z,5,0),"")</f>
        <v/>
      </c>
      <c r="E971" s="46" t="str">
        <f>IFERROR(VLOOKUP($H971,매장구분!$B:$Z,9,0),"")</f>
        <v/>
      </c>
      <c r="AF971" s="47">
        <f t="shared" si="15"/>
        <v>0</v>
      </c>
    </row>
    <row r="972" spans="2:32" x14ac:dyDescent="0.3">
      <c r="B972" s="46" t="str">
        <f>IFERROR(VLOOKUP($H972,매장구분!$B:$Z,2,0),"")</f>
        <v/>
      </c>
      <c r="C972" s="46" t="str">
        <f>IFERROR(VLOOKUP($H972,매장구분!$B:$Z,3,0),"")</f>
        <v/>
      </c>
      <c r="D972" s="46" t="str">
        <f>IFERROR(VLOOKUP($H972,매장구분!$B:$Z,5,0),"")</f>
        <v/>
      </c>
      <c r="E972" s="46" t="str">
        <f>IFERROR(VLOOKUP($H972,매장구분!$B:$Z,9,0),"")</f>
        <v/>
      </c>
      <c r="AF972" s="47">
        <f t="shared" si="15"/>
        <v>0</v>
      </c>
    </row>
    <row r="973" spans="2:32" x14ac:dyDescent="0.3">
      <c r="B973" s="46" t="str">
        <f>IFERROR(VLOOKUP($H973,매장구분!$B:$Z,2,0),"")</f>
        <v/>
      </c>
      <c r="C973" s="46" t="str">
        <f>IFERROR(VLOOKUP($H973,매장구분!$B:$Z,3,0),"")</f>
        <v/>
      </c>
      <c r="D973" s="46" t="str">
        <f>IFERROR(VLOOKUP($H973,매장구분!$B:$Z,5,0),"")</f>
        <v/>
      </c>
      <c r="E973" s="46" t="str">
        <f>IFERROR(VLOOKUP($H973,매장구분!$B:$Z,9,0),"")</f>
        <v/>
      </c>
      <c r="AF973" s="47">
        <f t="shared" si="15"/>
        <v>0</v>
      </c>
    </row>
    <row r="974" spans="2:32" x14ac:dyDescent="0.3">
      <c r="B974" s="46" t="str">
        <f>IFERROR(VLOOKUP($H974,매장구분!$B:$Z,2,0),"")</f>
        <v/>
      </c>
      <c r="C974" s="46" t="str">
        <f>IFERROR(VLOOKUP($H974,매장구분!$B:$Z,3,0),"")</f>
        <v/>
      </c>
      <c r="D974" s="46" t="str">
        <f>IFERROR(VLOOKUP($H974,매장구분!$B:$Z,5,0),"")</f>
        <v/>
      </c>
      <c r="E974" s="46" t="str">
        <f>IFERROR(VLOOKUP($H974,매장구분!$B:$Z,9,0),"")</f>
        <v/>
      </c>
      <c r="AF974" s="47">
        <f t="shared" si="15"/>
        <v>0</v>
      </c>
    </row>
    <row r="975" spans="2:32" x14ac:dyDescent="0.3">
      <c r="B975" s="46" t="str">
        <f>IFERROR(VLOOKUP($H975,매장구분!$B:$Z,2,0),"")</f>
        <v/>
      </c>
      <c r="C975" s="46" t="str">
        <f>IFERROR(VLOOKUP($H975,매장구분!$B:$Z,3,0),"")</f>
        <v/>
      </c>
      <c r="D975" s="46" t="str">
        <f>IFERROR(VLOOKUP($H975,매장구분!$B:$Z,5,0),"")</f>
        <v/>
      </c>
      <c r="E975" s="46" t="str">
        <f>IFERROR(VLOOKUP($H975,매장구분!$B:$Z,9,0),"")</f>
        <v/>
      </c>
      <c r="AF975" s="47">
        <f t="shared" si="15"/>
        <v>0</v>
      </c>
    </row>
    <row r="976" spans="2:32" x14ac:dyDescent="0.3">
      <c r="B976" s="46" t="str">
        <f>IFERROR(VLOOKUP($H976,매장구분!$B:$Z,2,0),"")</f>
        <v/>
      </c>
      <c r="C976" s="46" t="str">
        <f>IFERROR(VLOOKUP($H976,매장구분!$B:$Z,3,0),"")</f>
        <v/>
      </c>
      <c r="D976" s="46" t="str">
        <f>IFERROR(VLOOKUP($H976,매장구분!$B:$Z,5,0),"")</f>
        <v/>
      </c>
      <c r="E976" s="46" t="str">
        <f>IFERROR(VLOOKUP($H976,매장구분!$B:$Z,9,0),"")</f>
        <v/>
      </c>
      <c r="AF976" s="47">
        <f t="shared" si="15"/>
        <v>0</v>
      </c>
    </row>
    <row r="977" spans="2:32" x14ac:dyDescent="0.3">
      <c r="B977" s="46" t="str">
        <f>IFERROR(VLOOKUP($H977,매장구분!$B:$Z,2,0),"")</f>
        <v/>
      </c>
      <c r="C977" s="46" t="str">
        <f>IFERROR(VLOOKUP($H977,매장구분!$B:$Z,3,0),"")</f>
        <v/>
      </c>
      <c r="D977" s="46" t="str">
        <f>IFERROR(VLOOKUP($H977,매장구분!$B:$Z,5,0),"")</f>
        <v/>
      </c>
      <c r="E977" s="46" t="str">
        <f>IFERROR(VLOOKUP($H977,매장구분!$B:$Z,9,0),"")</f>
        <v/>
      </c>
      <c r="AF977" s="47">
        <f t="shared" si="15"/>
        <v>0</v>
      </c>
    </row>
    <row r="978" spans="2:32" x14ac:dyDescent="0.3">
      <c r="B978" s="46" t="str">
        <f>IFERROR(VLOOKUP($H978,매장구분!$B:$Z,2,0),"")</f>
        <v/>
      </c>
      <c r="C978" s="46" t="str">
        <f>IFERROR(VLOOKUP($H978,매장구분!$B:$Z,3,0),"")</f>
        <v/>
      </c>
      <c r="D978" s="46" t="str">
        <f>IFERROR(VLOOKUP($H978,매장구분!$B:$Z,5,0),"")</f>
        <v/>
      </c>
      <c r="E978" s="46" t="str">
        <f>IFERROR(VLOOKUP($H978,매장구분!$B:$Z,9,0),"")</f>
        <v/>
      </c>
      <c r="AF978" s="47">
        <f t="shared" si="15"/>
        <v>0</v>
      </c>
    </row>
    <row r="979" spans="2:32" x14ac:dyDescent="0.3">
      <c r="B979" s="46" t="str">
        <f>IFERROR(VLOOKUP($H979,매장구분!$B:$Z,2,0),"")</f>
        <v/>
      </c>
      <c r="C979" s="46" t="str">
        <f>IFERROR(VLOOKUP($H979,매장구분!$B:$Z,3,0),"")</f>
        <v/>
      </c>
      <c r="D979" s="46" t="str">
        <f>IFERROR(VLOOKUP($H979,매장구분!$B:$Z,5,0),"")</f>
        <v/>
      </c>
      <c r="E979" s="46" t="str">
        <f>IFERROR(VLOOKUP($H979,매장구분!$B:$Z,9,0),"")</f>
        <v/>
      </c>
      <c r="AF979" s="47">
        <f t="shared" si="15"/>
        <v>0</v>
      </c>
    </row>
    <row r="980" spans="2:32" x14ac:dyDescent="0.3">
      <c r="B980" s="46" t="str">
        <f>IFERROR(VLOOKUP($H980,매장구분!$B:$Z,2,0),"")</f>
        <v/>
      </c>
      <c r="C980" s="46" t="str">
        <f>IFERROR(VLOOKUP($H980,매장구분!$B:$Z,3,0),"")</f>
        <v/>
      </c>
      <c r="D980" s="46" t="str">
        <f>IFERROR(VLOOKUP($H980,매장구분!$B:$Z,5,0),"")</f>
        <v/>
      </c>
      <c r="E980" s="46" t="str">
        <f>IFERROR(VLOOKUP($H980,매장구분!$B:$Z,9,0),"")</f>
        <v/>
      </c>
      <c r="AF980" s="47">
        <f t="shared" si="15"/>
        <v>0</v>
      </c>
    </row>
    <row r="981" spans="2:32" x14ac:dyDescent="0.3">
      <c r="B981" s="46" t="str">
        <f>IFERROR(VLOOKUP($H981,매장구분!$B:$Z,2,0),"")</f>
        <v/>
      </c>
      <c r="C981" s="46" t="str">
        <f>IFERROR(VLOOKUP($H981,매장구분!$B:$Z,3,0),"")</f>
        <v/>
      </c>
      <c r="D981" s="46" t="str">
        <f>IFERROR(VLOOKUP($H981,매장구분!$B:$Z,5,0),"")</f>
        <v/>
      </c>
      <c r="E981" s="46" t="str">
        <f>IFERROR(VLOOKUP($H981,매장구분!$B:$Z,9,0),"")</f>
        <v/>
      </c>
      <c r="AF981" s="47">
        <f t="shared" si="15"/>
        <v>0</v>
      </c>
    </row>
    <row r="982" spans="2:32" x14ac:dyDescent="0.3">
      <c r="B982" s="46" t="str">
        <f>IFERROR(VLOOKUP($H982,매장구분!$B:$Z,2,0),"")</f>
        <v/>
      </c>
      <c r="C982" s="46" t="str">
        <f>IFERROR(VLOOKUP($H982,매장구분!$B:$Z,3,0),"")</f>
        <v/>
      </c>
      <c r="D982" s="46" t="str">
        <f>IFERROR(VLOOKUP($H982,매장구분!$B:$Z,5,0),"")</f>
        <v/>
      </c>
      <c r="E982" s="46" t="str">
        <f>IFERROR(VLOOKUP($H982,매장구분!$B:$Z,9,0),"")</f>
        <v/>
      </c>
      <c r="AF982" s="47">
        <f t="shared" si="15"/>
        <v>0</v>
      </c>
    </row>
    <row r="983" spans="2:32" x14ac:dyDescent="0.3">
      <c r="B983" s="46" t="str">
        <f>IFERROR(VLOOKUP($H983,매장구분!$B:$Z,2,0),"")</f>
        <v/>
      </c>
      <c r="C983" s="46" t="str">
        <f>IFERROR(VLOOKUP($H983,매장구분!$B:$Z,3,0),"")</f>
        <v/>
      </c>
      <c r="D983" s="46" t="str">
        <f>IFERROR(VLOOKUP($H983,매장구분!$B:$Z,5,0),"")</f>
        <v/>
      </c>
      <c r="E983" s="46" t="str">
        <f>IFERROR(VLOOKUP($H983,매장구분!$B:$Z,9,0),"")</f>
        <v/>
      </c>
      <c r="AF983" s="47">
        <f t="shared" si="15"/>
        <v>0</v>
      </c>
    </row>
    <row r="984" spans="2:32" x14ac:dyDescent="0.3">
      <c r="B984" s="46" t="str">
        <f>IFERROR(VLOOKUP($H984,매장구분!$B:$Z,2,0),"")</f>
        <v/>
      </c>
      <c r="C984" s="46" t="str">
        <f>IFERROR(VLOOKUP($H984,매장구분!$B:$Z,3,0),"")</f>
        <v/>
      </c>
      <c r="D984" s="46" t="str">
        <f>IFERROR(VLOOKUP($H984,매장구분!$B:$Z,5,0),"")</f>
        <v/>
      </c>
      <c r="E984" s="46" t="str">
        <f>IFERROR(VLOOKUP($H984,매장구분!$B:$Z,9,0),"")</f>
        <v/>
      </c>
      <c r="AF984" s="47">
        <f t="shared" si="15"/>
        <v>0</v>
      </c>
    </row>
    <row r="985" spans="2:32" x14ac:dyDescent="0.3">
      <c r="B985" s="46" t="str">
        <f>IFERROR(VLOOKUP($H985,매장구분!$B:$Z,2,0),"")</f>
        <v/>
      </c>
      <c r="C985" s="46" t="str">
        <f>IFERROR(VLOOKUP($H985,매장구분!$B:$Z,3,0),"")</f>
        <v/>
      </c>
      <c r="D985" s="46" t="str">
        <f>IFERROR(VLOOKUP($H985,매장구분!$B:$Z,5,0),"")</f>
        <v/>
      </c>
      <c r="E985" s="46" t="str">
        <f>IFERROR(VLOOKUP($H985,매장구분!$B:$Z,9,0),"")</f>
        <v/>
      </c>
      <c r="AF985" s="47">
        <f t="shared" si="15"/>
        <v>0</v>
      </c>
    </row>
    <row r="986" spans="2:32" x14ac:dyDescent="0.3">
      <c r="B986" s="46" t="str">
        <f>IFERROR(VLOOKUP($H986,매장구분!$B:$Z,2,0),"")</f>
        <v/>
      </c>
      <c r="C986" s="46" t="str">
        <f>IFERROR(VLOOKUP($H986,매장구분!$B:$Z,3,0),"")</f>
        <v/>
      </c>
      <c r="D986" s="46" t="str">
        <f>IFERROR(VLOOKUP($H986,매장구분!$B:$Z,5,0),"")</f>
        <v/>
      </c>
      <c r="E986" s="46" t="str">
        <f>IFERROR(VLOOKUP($H986,매장구분!$B:$Z,9,0),"")</f>
        <v/>
      </c>
      <c r="AF986" s="47">
        <f t="shared" si="15"/>
        <v>0</v>
      </c>
    </row>
    <row r="987" spans="2:32" x14ac:dyDescent="0.3">
      <c r="B987" s="46" t="str">
        <f>IFERROR(VLOOKUP($H987,매장구분!$B:$Z,2,0),"")</f>
        <v/>
      </c>
      <c r="C987" s="46" t="str">
        <f>IFERROR(VLOOKUP($H987,매장구분!$B:$Z,3,0),"")</f>
        <v/>
      </c>
      <c r="D987" s="46" t="str">
        <f>IFERROR(VLOOKUP($H987,매장구분!$B:$Z,5,0),"")</f>
        <v/>
      </c>
      <c r="E987" s="46" t="str">
        <f>IFERROR(VLOOKUP($H987,매장구분!$B:$Z,9,0),"")</f>
        <v/>
      </c>
      <c r="AF987" s="47">
        <f t="shared" si="15"/>
        <v>0</v>
      </c>
    </row>
    <row r="988" spans="2:32" x14ac:dyDescent="0.3">
      <c r="B988" s="46" t="str">
        <f>IFERROR(VLOOKUP($H988,매장구분!$B:$Z,2,0),"")</f>
        <v/>
      </c>
      <c r="C988" s="46" t="str">
        <f>IFERROR(VLOOKUP($H988,매장구분!$B:$Z,3,0),"")</f>
        <v/>
      </c>
      <c r="D988" s="46" t="str">
        <f>IFERROR(VLOOKUP($H988,매장구분!$B:$Z,5,0),"")</f>
        <v/>
      </c>
      <c r="E988" s="46" t="str">
        <f>IFERROR(VLOOKUP($H988,매장구분!$B:$Z,9,0),"")</f>
        <v/>
      </c>
      <c r="AF988" s="47">
        <f t="shared" si="15"/>
        <v>0</v>
      </c>
    </row>
    <row r="989" spans="2:32" x14ac:dyDescent="0.3">
      <c r="B989" s="46" t="str">
        <f>IFERROR(VLOOKUP($H989,매장구분!$B:$Z,2,0),"")</f>
        <v/>
      </c>
      <c r="C989" s="46" t="str">
        <f>IFERROR(VLOOKUP($H989,매장구분!$B:$Z,3,0),"")</f>
        <v/>
      </c>
      <c r="D989" s="46" t="str">
        <f>IFERROR(VLOOKUP($H989,매장구분!$B:$Z,5,0),"")</f>
        <v/>
      </c>
      <c r="E989" s="46" t="str">
        <f>IFERROR(VLOOKUP($H989,매장구분!$B:$Z,9,0),"")</f>
        <v/>
      </c>
      <c r="AF989" s="47">
        <f t="shared" si="15"/>
        <v>0</v>
      </c>
    </row>
    <row r="990" spans="2:32" x14ac:dyDescent="0.3">
      <c r="B990" s="46" t="str">
        <f>IFERROR(VLOOKUP($H990,매장구분!$B:$Z,2,0),"")</f>
        <v/>
      </c>
      <c r="C990" s="46" t="str">
        <f>IFERROR(VLOOKUP($H990,매장구분!$B:$Z,3,0),"")</f>
        <v/>
      </c>
      <c r="D990" s="46" t="str">
        <f>IFERROR(VLOOKUP($H990,매장구분!$B:$Z,5,0),"")</f>
        <v/>
      </c>
      <c r="E990" s="46" t="str">
        <f>IFERROR(VLOOKUP($H990,매장구분!$B:$Z,9,0),"")</f>
        <v/>
      </c>
      <c r="AF990" s="47">
        <f t="shared" si="15"/>
        <v>0</v>
      </c>
    </row>
    <row r="991" spans="2:32" x14ac:dyDescent="0.3">
      <c r="B991" s="46" t="str">
        <f>IFERROR(VLOOKUP($H991,매장구분!$B:$Z,2,0),"")</f>
        <v/>
      </c>
      <c r="C991" s="46" t="str">
        <f>IFERROR(VLOOKUP($H991,매장구분!$B:$Z,3,0),"")</f>
        <v/>
      </c>
      <c r="D991" s="46" t="str">
        <f>IFERROR(VLOOKUP($H991,매장구분!$B:$Z,5,0),"")</f>
        <v/>
      </c>
      <c r="E991" s="46" t="str">
        <f>IFERROR(VLOOKUP($H991,매장구분!$B:$Z,9,0),"")</f>
        <v/>
      </c>
      <c r="AF991" s="47">
        <f t="shared" si="15"/>
        <v>0</v>
      </c>
    </row>
    <row r="992" spans="2:32" x14ac:dyDescent="0.3">
      <c r="B992" s="46" t="str">
        <f>IFERROR(VLOOKUP($H992,매장구분!$B:$Z,2,0),"")</f>
        <v/>
      </c>
      <c r="C992" s="46" t="str">
        <f>IFERROR(VLOOKUP($H992,매장구분!$B:$Z,3,0),"")</f>
        <v/>
      </c>
      <c r="D992" s="46" t="str">
        <f>IFERROR(VLOOKUP($H992,매장구분!$B:$Z,5,0),"")</f>
        <v/>
      </c>
      <c r="E992" s="46" t="str">
        <f>IFERROR(VLOOKUP($H992,매장구분!$B:$Z,9,0),"")</f>
        <v/>
      </c>
      <c r="AF992" s="47">
        <f t="shared" si="15"/>
        <v>0</v>
      </c>
    </row>
    <row r="993" spans="2:32" x14ac:dyDescent="0.3">
      <c r="B993" s="46" t="str">
        <f>IFERROR(VLOOKUP($H993,매장구분!$B:$Z,2,0),"")</f>
        <v/>
      </c>
      <c r="C993" s="46" t="str">
        <f>IFERROR(VLOOKUP($H993,매장구분!$B:$Z,3,0),"")</f>
        <v/>
      </c>
      <c r="D993" s="46" t="str">
        <f>IFERROR(VLOOKUP($H993,매장구분!$B:$Z,5,0),"")</f>
        <v/>
      </c>
      <c r="E993" s="46" t="str">
        <f>IFERROR(VLOOKUP($H993,매장구분!$B:$Z,9,0),"")</f>
        <v/>
      </c>
      <c r="AF993" s="47">
        <f t="shared" si="15"/>
        <v>0</v>
      </c>
    </row>
    <row r="994" spans="2:32" x14ac:dyDescent="0.3">
      <c r="B994" s="46" t="str">
        <f>IFERROR(VLOOKUP($H994,매장구분!$B:$Z,2,0),"")</f>
        <v/>
      </c>
      <c r="C994" s="46" t="str">
        <f>IFERROR(VLOOKUP($H994,매장구분!$B:$Z,3,0),"")</f>
        <v/>
      </c>
      <c r="D994" s="46" t="str">
        <f>IFERROR(VLOOKUP($H994,매장구분!$B:$Z,5,0),"")</f>
        <v/>
      </c>
      <c r="E994" s="46" t="str">
        <f>IFERROR(VLOOKUP($H994,매장구분!$B:$Z,9,0),"")</f>
        <v/>
      </c>
      <c r="AF994" s="47">
        <f t="shared" si="15"/>
        <v>0</v>
      </c>
    </row>
    <row r="995" spans="2:32" x14ac:dyDescent="0.3">
      <c r="B995" s="46" t="str">
        <f>IFERROR(VLOOKUP($H995,매장구분!$B:$Z,2,0),"")</f>
        <v/>
      </c>
      <c r="C995" s="46" t="str">
        <f>IFERROR(VLOOKUP($H995,매장구분!$B:$Z,3,0),"")</f>
        <v/>
      </c>
      <c r="D995" s="46" t="str">
        <f>IFERROR(VLOOKUP($H995,매장구분!$B:$Z,5,0),"")</f>
        <v/>
      </c>
      <c r="E995" s="46" t="str">
        <f>IFERROR(VLOOKUP($H995,매장구분!$B:$Z,9,0),"")</f>
        <v/>
      </c>
      <c r="AF995" s="47">
        <f t="shared" si="15"/>
        <v>0</v>
      </c>
    </row>
    <row r="996" spans="2:32" x14ac:dyDescent="0.3">
      <c r="B996" s="46" t="str">
        <f>IFERROR(VLOOKUP($H996,매장구분!$B:$Z,2,0),"")</f>
        <v/>
      </c>
      <c r="C996" s="46" t="str">
        <f>IFERROR(VLOOKUP($H996,매장구분!$B:$Z,3,0),"")</f>
        <v/>
      </c>
      <c r="D996" s="46" t="str">
        <f>IFERROR(VLOOKUP($H996,매장구분!$B:$Z,5,0),"")</f>
        <v/>
      </c>
      <c r="E996" s="46" t="str">
        <f>IFERROR(VLOOKUP($H996,매장구분!$B:$Z,9,0),"")</f>
        <v/>
      </c>
      <c r="AF996" s="47">
        <f t="shared" si="15"/>
        <v>0</v>
      </c>
    </row>
    <row r="997" spans="2:32" x14ac:dyDescent="0.3">
      <c r="B997" s="46" t="str">
        <f>IFERROR(VLOOKUP($H997,매장구분!$B:$Z,2,0),"")</f>
        <v/>
      </c>
      <c r="C997" s="46" t="str">
        <f>IFERROR(VLOOKUP($H997,매장구분!$B:$Z,3,0),"")</f>
        <v/>
      </c>
      <c r="D997" s="46" t="str">
        <f>IFERROR(VLOOKUP($H997,매장구분!$B:$Z,5,0),"")</f>
        <v/>
      </c>
      <c r="E997" s="46" t="str">
        <f>IFERROR(VLOOKUP($H997,매장구분!$B:$Z,9,0),"")</f>
        <v/>
      </c>
      <c r="AF997" s="47">
        <f t="shared" si="15"/>
        <v>0</v>
      </c>
    </row>
    <row r="998" spans="2:32" x14ac:dyDescent="0.3">
      <c r="B998" s="46" t="str">
        <f>IFERROR(VLOOKUP($H998,매장구분!$B:$Z,2,0),"")</f>
        <v/>
      </c>
      <c r="C998" s="46" t="str">
        <f>IFERROR(VLOOKUP($H998,매장구분!$B:$Z,3,0),"")</f>
        <v/>
      </c>
      <c r="D998" s="46" t="str">
        <f>IFERROR(VLOOKUP($H998,매장구분!$B:$Z,5,0),"")</f>
        <v/>
      </c>
      <c r="E998" s="46" t="str">
        <f>IFERROR(VLOOKUP($H998,매장구분!$B:$Z,9,0),"")</f>
        <v/>
      </c>
      <c r="AF998" s="47">
        <f t="shared" si="15"/>
        <v>0</v>
      </c>
    </row>
    <row r="999" spans="2:32" x14ac:dyDescent="0.3">
      <c r="B999" s="46" t="str">
        <f>IFERROR(VLOOKUP($H999,매장구분!$B:$Z,2,0),"")</f>
        <v/>
      </c>
      <c r="C999" s="46" t="str">
        <f>IFERROR(VLOOKUP($H999,매장구분!$B:$Z,3,0),"")</f>
        <v/>
      </c>
      <c r="D999" s="46" t="str">
        <f>IFERROR(VLOOKUP($H999,매장구분!$B:$Z,5,0),"")</f>
        <v/>
      </c>
      <c r="E999" s="46" t="str">
        <f>IFERROR(VLOOKUP($H999,매장구분!$B:$Z,9,0),"")</f>
        <v/>
      </c>
      <c r="AF999" s="47">
        <f t="shared" si="15"/>
        <v>0</v>
      </c>
    </row>
    <row r="1000" spans="2:32" x14ac:dyDescent="0.3">
      <c r="B1000" s="46" t="str">
        <f>IFERROR(VLOOKUP($H1000,매장구분!$B:$Z,2,0),"")</f>
        <v/>
      </c>
      <c r="C1000" s="46" t="str">
        <f>IFERROR(VLOOKUP($H1000,매장구분!$B:$Z,3,0),"")</f>
        <v/>
      </c>
      <c r="D1000" s="46" t="str">
        <f>IFERROR(VLOOKUP($H1000,매장구분!$B:$Z,5,0),"")</f>
        <v/>
      </c>
      <c r="E1000" s="46" t="str">
        <f>IFERROR(VLOOKUP($H1000,매장구분!$B:$Z,9,0),"")</f>
        <v/>
      </c>
      <c r="AF1000" s="47">
        <f t="shared" si="15"/>
        <v>0</v>
      </c>
    </row>
    <row r="1001" spans="2:32" x14ac:dyDescent="0.3">
      <c r="B1001" s="46" t="str">
        <f>IFERROR(VLOOKUP($H1001,매장구분!$B:$Z,2,0),"")</f>
        <v/>
      </c>
      <c r="C1001" s="46" t="str">
        <f>IFERROR(VLOOKUP($H1001,매장구분!$B:$Z,3,0),"")</f>
        <v/>
      </c>
      <c r="D1001" s="46" t="str">
        <f>IFERROR(VLOOKUP($H1001,매장구분!$B:$Z,5,0),"")</f>
        <v/>
      </c>
      <c r="E1001" s="46" t="str">
        <f>IFERROR(VLOOKUP($H1001,매장구분!$B:$Z,9,0),"")</f>
        <v/>
      </c>
      <c r="AF1001" s="47">
        <f t="shared" si="15"/>
        <v>0</v>
      </c>
    </row>
    <row r="1002" spans="2:32" x14ac:dyDescent="0.3">
      <c r="B1002" s="46" t="str">
        <f>IFERROR(VLOOKUP($H1002,매장구분!$B:$Z,2,0),"")</f>
        <v/>
      </c>
      <c r="C1002" s="46" t="str">
        <f>IFERROR(VLOOKUP($H1002,매장구분!$B:$Z,3,0),"")</f>
        <v/>
      </c>
      <c r="D1002" s="46" t="str">
        <f>IFERROR(VLOOKUP($H1002,매장구분!$B:$Z,5,0),"")</f>
        <v/>
      </c>
      <c r="E1002" s="46" t="str">
        <f>IFERROR(VLOOKUP($H1002,매장구분!$B:$Z,9,0),"")</f>
        <v/>
      </c>
      <c r="AF1002" s="47">
        <f t="shared" si="15"/>
        <v>0</v>
      </c>
    </row>
    <row r="1003" spans="2:32" x14ac:dyDescent="0.3">
      <c r="B1003" s="46" t="str">
        <f>IFERROR(VLOOKUP($H1003,매장구분!$B:$Z,2,0),"")</f>
        <v/>
      </c>
      <c r="C1003" s="46" t="str">
        <f>IFERROR(VLOOKUP($H1003,매장구분!$B:$Z,3,0),"")</f>
        <v/>
      </c>
      <c r="D1003" s="46" t="str">
        <f>IFERROR(VLOOKUP($H1003,매장구분!$B:$Z,5,0),"")</f>
        <v/>
      </c>
      <c r="E1003" s="46" t="str">
        <f>IFERROR(VLOOKUP($H1003,매장구분!$B:$Z,9,0),"")</f>
        <v/>
      </c>
      <c r="AF1003" s="47">
        <f t="shared" si="15"/>
        <v>0</v>
      </c>
    </row>
    <row r="1004" spans="2:32" x14ac:dyDescent="0.3">
      <c r="B1004" s="46" t="str">
        <f>IFERROR(VLOOKUP($H1004,매장구분!$B:$Z,2,0),"")</f>
        <v/>
      </c>
      <c r="C1004" s="46" t="str">
        <f>IFERROR(VLOOKUP($H1004,매장구분!$B:$Z,3,0),"")</f>
        <v/>
      </c>
      <c r="D1004" s="46" t="str">
        <f>IFERROR(VLOOKUP($H1004,매장구분!$B:$Z,5,0),"")</f>
        <v/>
      </c>
      <c r="E1004" s="46" t="str">
        <f>IFERROR(VLOOKUP($H1004,매장구분!$B:$Z,9,0),"")</f>
        <v/>
      </c>
      <c r="AF1004" s="47">
        <f t="shared" si="15"/>
        <v>0</v>
      </c>
    </row>
    <row r="1005" spans="2:32" x14ac:dyDescent="0.3">
      <c r="B1005" s="46" t="str">
        <f>IFERROR(VLOOKUP($H1005,매장구분!$B:$Z,2,0),"")</f>
        <v/>
      </c>
      <c r="C1005" s="46" t="str">
        <f>IFERROR(VLOOKUP($H1005,매장구분!$B:$Z,3,0),"")</f>
        <v/>
      </c>
      <c r="D1005" s="46" t="str">
        <f>IFERROR(VLOOKUP($H1005,매장구분!$B:$Z,5,0),"")</f>
        <v/>
      </c>
      <c r="E1005" s="46" t="str">
        <f>IFERROR(VLOOKUP($H1005,매장구분!$B:$Z,9,0),"")</f>
        <v/>
      </c>
      <c r="AF1005" s="47">
        <f t="shared" si="15"/>
        <v>0</v>
      </c>
    </row>
    <row r="1006" spans="2:32" x14ac:dyDescent="0.3">
      <c r="B1006" s="46" t="str">
        <f>IFERROR(VLOOKUP($H1006,매장구분!$B:$Z,2,0),"")</f>
        <v/>
      </c>
      <c r="C1006" s="46" t="str">
        <f>IFERROR(VLOOKUP($H1006,매장구분!$B:$Z,3,0),"")</f>
        <v/>
      </c>
      <c r="D1006" s="46" t="str">
        <f>IFERROR(VLOOKUP($H1006,매장구분!$B:$Z,5,0),"")</f>
        <v/>
      </c>
      <c r="E1006" s="46" t="str">
        <f>IFERROR(VLOOKUP($H1006,매장구분!$B:$Z,9,0),"")</f>
        <v/>
      </c>
      <c r="AF1006" s="47">
        <f t="shared" si="15"/>
        <v>0</v>
      </c>
    </row>
    <row r="1007" spans="2:32" x14ac:dyDescent="0.3">
      <c r="B1007" s="46" t="str">
        <f>IFERROR(VLOOKUP($H1007,매장구분!$B:$Z,2,0),"")</f>
        <v/>
      </c>
      <c r="C1007" s="46" t="str">
        <f>IFERROR(VLOOKUP($H1007,매장구분!$B:$Z,3,0),"")</f>
        <v/>
      </c>
      <c r="D1007" s="46" t="str">
        <f>IFERROR(VLOOKUP($H1007,매장구분!$B:$Z,5,0),"")</f>
        <v/>
      </c>
      <c r="E1007" s="46" t="str">
        <f>IFERROR(VLOOKUP($H1007,매장구분!$B:$Z,9,0),"")</f>
        <v/>
      </c>
      <c r="AF1007" s="47">
        <f t="shared" si="15"/>
        <v>0</v>
      </c>
    </row>
    <row r="1008" spans="2:32" x14ac:dyDescent="0.3">
      <c r="B1008" s="46" t="str">
        <f>IFERROR(VLOOKUP($H1008,매장구분!$B:$Z,2,0),"")</f>
        <v/>
      </c>
      <c r="C1008" s="46" t="str">
        <f>IFERROR(VLOOKUP($H1008,매장구분!$B:$Z,3,0),"")</f>
        <v/>
      </c>
      <c r="D1008" s="46" t="str">
        <f>IFERROR(VLOOKUP($H1008,매장구분!$B:$Z,5,0),"")</f>
        <v/>
      </c>
      <c r="E1008" s="46" t="str">
        <f>IFERROR(VLOOKUP($H1008,매장구분!$B:$Z,9,0),"")</f>
        <v/>
      </c>
      <c r="AF1008" s="47">
        <f t="shared" si="15"/>
        <v>0</v>
      </c>
    </row>
    <row r="1009" spans="2:32" x14ac:dyDescent="0.3">
      <c r="B1009" s="46" t="str">
        <f>IFERROR(VLOOKUP($H1009,매장구분!$B:$Z,2,0),"")</f>
        <v/>
      </c>
      <c r="C1009" s="46" t="str">
        <f>IFERROR(VLOOKUP($H1009,매장구분!$B:$Z,3,0),"")</f>
        <v/>
      </c>
      <c r="D1009" s="46" t="str">
        <f>IFERROR(VLOOKUP($H1009,매장구분!$B:$Z,5,0),"")</f>
        <v/>
      </c>
      <c r="E1009" s="46" t="str">
        <f>IFERROR(VLOOKUP($H1009,매장구분!$B:$Z,9,0),"")</f>
        <v/>
      </c>
      <c r="AF1009" s="47">
        <f t="shared" si="15"/>
        <v>0</v>
      </c>
    </row>
    <row r="1010" spans="2:32" x14ac:dyDescent="0.3">
      <c r="B1010" s="46" t="str">
        <f>IFERROR(VLOOKUP($H1010,매장구분!$B:$Z,2,0),"")</f>
        <v/>
      </c>
      <c r="C1010" s="46" t="str">
        <f>IFERROR(VLOOKUP($H1010,매장구분!$B:$Z,3,0),"")</f>
        <v/>
      </c>
      <c r="D1010" s="46" t="str">
        <f>IFERROR(VLOOKUP($H1010,매장구분!$B:$Z,5,0),"")</f>
        <v/>
      </c>
      <c r="E1010" s="46" t="str">
        <f>IFERROR(VLOOKUP($H1010,매장구분!$B:$Z,9,0),"")</f>
        <v/>
      </c>
      <c r="AF1010" s="47">
        <f t="shared" si="15"/>
        <v>0</v>
      </c>
    </row>
    <row r="1011" spans="2:32" x14ac:dyDescent="0.3">
      <c r="B1011" s="46" t="str">
        <f>IFERROR(VLOOKUP($H1011,매장구분!$B:$Z,2,0),"")</f>
        <v/>
      </c>
      <c r="C1011" s="46" t="str">
        <f>IFERROR(VLOOKUP($H1011,매장구분!$B:$Z,3,0),"")</f>
        <v/>
      </c>
      <c r="D1011" s="46" t="str">
        <f>IFERROR(VLOOKUP($H1011,매장구분!$B:$Z,5,0),"")</f>
        <v/>
      </c>
      <c r="E1011" s="46" t="str">
        <f>IFERROR(VLOOKUP($H1011,매장구분!$B:$Z,9,0),"")</f>
        <v/>
      </c>
      <c r="AF1011" s="47">
        <f t="shared" si="15"/>
        <v>0</v>
      </c>
    </row>
    <row r="1012" spans="2:32" x14ac:dyDescent="0.3">
      <c r="B1012" s="46" t="str">
        <f>IFERROR(VLOOKUP($H1012,매장구분!$B:$Z,2,0),"")</f>
        <v/>
      </c>
      <c r="C1012" s="46" t="str">
        <f>IFERROR(VLOOKUP($H1012,매장구분!$B:$Z,3,0),"")</f>
        <v/>
      </c>
      <c r="D1012" s="46" t="str">
        <f>IFERROR(VLOOKUP($H1012,매장구분!$B:$Z,5,0),"")</f>
        <v/>
      </c>
      <c r="E1012" s="46" t="str">
        <f>IFERROR(VLOOKUP($H1012,매장구분!$B:$Z,9,0),"")</f>
        <v/>
      </c>
      <c r="AF1012" s="47">
        <f t="shared" si="15"/>
        <v>0</v>
      </c>
    </row>
    <row r="1013" spans="2:32" x14ac:dyDescent="0.3">
      <c r="B1013" s="46" t="str">
        <f>IFERROR(VLOOKUP($H1013,매장구분!$B:$Z,2,0),"")</f>
        <v/>
      </c>
      <c r="C1013" s="46" t="str">
        <f>IFERROR(VLOOKUP($H1013,매장구분!$B:$Z,3,0),"")</f>
        <v/>
      </c>
      <c r="D1013" s="46" t="str">
        <f>IFERROR(VLOOKUP($H1013,매장구분!$B:$Z,5,0),"")</f>
        <v/>
      </c>
      <c r="E1013" s="46" t="str">
        <f>IFERROR(VLOOKUP($H1013,매장구분!$B:$Z,9,0),"")</f>
        <v/>
      </c>
      <c r="AF1013" s="47">
        <f t="shared" si="15"/>
        <v>0</v>
      </c>
    </row>
    <row r="1014" spans="2:32" x14ac:dyDescent="0.3">
      <c r="B1014" s="46" t="str">
        <f>IFERROR(VLOOKUP($H1014,매장구분!$B:$Z,2,0),"")</f>
        <v/>
      </c>
      <c r="C1014" s="46" t="str">
        <f>IFERROR(VLOOKUP($H1014,매장구분!$B:$Z,3,0),"")</f>
        <v/>
      </c>
      <c r="D1014" s="46" t="str">
        <f>IFERROR(VLOOKUP($H1014,매장구분!$B:$Z,5,0),"")</f>
        <v/>
      </c>
      <c r="E1014" s="46" t="str">
        <f>IFERROR(VLOOKUP($H1014,매장구분!$B:$Z,9,0),"")</f>
        <v/>
      </c>
      <c r="AF1014" s="47">
        <f t="shared" si="15"/>
        <v>0</v>
      </c>
    </row>
    <row r="1015" spans="2:32" x14ac:dyDescent="0.3">
      <c r="B1015" s="46" t="str">
        <f>IFERROR(VLOOKUP($H1015,매장구분!$B:$Z,2,0),"")</f>
        <v/>
      </c>
      <c r="C1015" s="46" t="str">
        <f>IFERROR(VLOOKUP($H1015,매장구분!$B:$Z,3,0),"")</f>
        <v/>
      </c>
      <c r="D1015" s="46" t="str">
        <f>IFERROR(VLOOKUP($H1015,매장구분!$B:$Z,5,0),"")</f>
        <v/>
      </c>
      <c r="E1015" s="46" t="str">
        <f>IFERROR(VLOOKUP($H1015,매장구분!$B:$Z,9,0),"")</f>
        <v/>
      </c>
      <c r="AF1015" s="47">
        <f t="shared" si="15"/>
        <v>0</v>
      </c>
    </row>
    <row r="1016" spans="2:32" x14ac:dyDescent="0.3">
      <c r="B1016" s="46" t="str">
        <f>IFERROR(VLOOKUP($H1016,매장구분!$B:$Z,2,0),"")</f>
        <v/>
      </c>
      <c r="C1016" s="46" t="str">
        <f>IFERROR(VLOOKUP($H1016,매장구분!$B:$Z,3,0),"")</f>
        <v/>
      </c>
      <c r="D1016" s="46" t="str">
        <f>IFERROR(VLOOKUP($H1016,매장구분!$B:$Z,5,0),"")</f>
        <v/>
      </c>
      <c r="E1016" s="46" t="str">
        <f>IFERROR(VLOOKUP($H1016,매장구분!$B:$Z,9,0),"")</f>
        <v/>
      </c>
      <c r="AF1016" s="47">
        <f t="shared" si="15"/>
        <v>0</v>
      </c>
    </row>
    <row r="1017" spans="2:32" x14ac:dyDescent="0.3">
      <c r="B1017" s="46" t="str">
        <f>IFERROR(VLOOKUP($H1017,매장구분!$B:$Z,2,0),"")</f>
        <v/>
      </c>
      <c r="C1017" s="46" t="str">
        <f>IFERROR(VLOOKUP($H1017,매장구분!$B:$Z,3,0),"")</f>
        <v/>
      </c>
      <c r="D1017" s="46" t="str">
        <f>IFERROR(VLOOKUP($H1017,매장구분!$B:$Z,5,0),"")</f>
        <v/>
      </c>
      <c r="E1017" s="46" t="str">
        <f>IFERROR(VLOOKUP($H1017,매장구분!$B:$Z,9,0),"")</f>
        <v/>
      </c>
      <c r="AF1017" s="47">
        <f t="shared" si="15"/>
        <v>0</v>
      </c>
    </row>
    <row r="1018" spans="2:32" x14ac:dyDescent="0.3">
      <c r="B1018" s="46" t="str">
        <f>IFERROR(VLOOKUP($H1018,매장구분!$B:$Z,2,0),"")</f>
        <v/>
      </c>
      <c r="C1018" s="46" t="str">
        <f>IFERROR(VLOOKUP($H1018,매장구분!$B:$Z,3,0),"")</f>
        <v/>
      </c>
      <c r="D1018" s="46" t="str">
        <f>IFERROR(VLOOKUP($H1018,매장구분!$B:$Z,5,0),"")</f>
        <v/>
      </c>
      <c r="E1018" s="46" t="str">
        <f>IFERROR(VLOOKUP($H1018,매장구분!$B:$Z,9,0),"")</f>
        <v/>
      </c>
      <c r="AF1018" s="47">
        <f t="shared" si="15"/>
        <v>0</v>
      </c>
    </row>
    <row r="1019" spans="2:32" x14ac:dyDescent="0.3">
      <c r="B1019" s="46" t="str">
        <f>IFERROR(VLOOKUP($H1019,매장구분!$B:$Z,2,0),"")</f>
        <v/>
      </c>
      <c r="C1019" s="46" t="str">
        <f>IFERROR(VLOOKUP($H1019,매장구분!$B:$Z,3,0),"")</f>
        <v/>
      </c>
      <c r="D1019" s="46" t="str">
        <f>IFERROR(VLOOKUP($H1019,매장구분!$B:$Z,5,0),"")</f>
        <v/>
      </c>
      <c r="E1019" s="46" t="str">
        <f>IFERROR(VLOOKUP($H1019,매장구분!$B:$Z,9,0),"")</f>
        <v/>
      </c>
      <c r="AF1019" s="47">
        <f t="shared" si="15"/>
        <v>0</v>
      </c>
    </row>
    <row r="1020" spans="2:32" x14ac:dyDescent="0.3">
      <c r="B1020" s="46" t="str">
        <f>IFERROR(VLOOKUP($H1020,매장구분!$B:$Z,2,0),"")</f>
        <v/>
      </c>
      <c r="C1020" s="46" t="str">
        <f>IFERROR(VLOOKUP($H1020,매장구분!$B:$Z,3,0),"")</f>
        <v/>
      </c>
      <c r="D1020" s="46" t="str">
        <f>IFERROR(VLOOKUP($H1020,매장구분!$B:$Z,5,0),"")</f>
        <v/>
      </c>
      <c r="E1020" s="46" t="str">
        <f>IFERROR(VLOOKUP($H1020,매장구분!$B:$Z,9,0),"")</f>
        <v/>
      </c>
      <c r="AF1020" s="47">
        <f t="shared" si="15"/>
        <v>0</v>
      </c>
    </row>
    <row r="1021" spans="2:32" x14ac:dyDescent="0.3">
      <c r="B1021" s="46" t="str">
        <f>IFERROR(VLOOKUP($H1021,매장구분!$B:$Z,2,0),"")</f>
        <v/>
      </c>
      <c r="C1021" s="46" t="str">
        <f>IFERROR(VLOOKUP($H1021,매장구분!$B:$Z,3,0),"")</f>
        <v/>
      </c>
      <c r="D1021" s="46" t="str">
        <f>IFERROR(VLOOKUP($H1021,매장구분!$B:$Z,5,0),"")</f>
        <v/>
      </c>
      <c r="E1021" s="46" t="str">
        <f>IFERROR(VLOOKUP($H1021,매장구분!$B:$Z,9,0),"")</f>
        <v/>
      </c>
      <c r="AF1021" s="47">
        <f t="shared" si="15"/>
        <v>0</v>
      </c>
    </row>
    <row r="1022" spans="2:32" x14ac:dyDescent="0.3">
      <c r="B1022" s="46" t="str">
        <f>IFERROR(VLOOKUP($H1022,매장구분!$B:$Z,2,0),"")</f>
        <v/>
      </c>
      <c r="C1022" s="46" t="str">
        <f>IFERROR(VLOOKUP($H1022,매장구분!$B:$Z,3,0),"")</f>
        <v/>
      </c>
      <c r="D1022" s="46" t="str">
        <f>IFERROR(VLOOKUP($H1022,매장구분!$B:$Z,5,0),"")</f>
        <v/>
      </c>
      <c r="E1022" s="46" t="str">
        <f>IFERROR(VLOOKUP($H1022,매장구분!$B:$Z,9,0),"")</f>
        <v/>
      </c>
      <c r="AF1022" s="47">
        <f t="shared" si="15"/>
        <v>0</v>
      </c>
    </row>
    <row r="1023" spans="2:32" x14ac:dyDescent="0.3">
      <c r="B1023" s="46" t="str">
        <f>IFERROR(VLOOKUP($H1023,매장구분!$B:$Z,2,0),"")</f>
        <v/>
      </c>
      <c r="C1023" s="46" t="str">
        <f>IFERROR(VLOOKUP($H1023,매장구분!$B:$Z,3,0),"")</f>
        <v/>
      </c>
      <c r="D1023" s="46" t="str">
        <f>IFERROR(VLOOKUP($H1023,매장구분!$B:$Z,5,0),"")</f>
        <v/>
      </c>
      <c r="E1023" s="46" t="str">
        <f>IFERROR(VLOOKUP($H1023,매장구분!$B:$Z,9,0),"")</f>
        <v/>
      </c>
      <c r="AF1023" s="47">
        <f t="shared" si="15"/>
        <v>0</v>
      </c>
    </row>
    <row r="1024" spans="2:32" x14ac:dyDescent="0.3">
      <c r="B1024" s="46" t="str">
        <f>IFERROR(VLOOKUP($H1024,매장구분!$B:$Z,2,0),"")</f>
        <v/>
      </c>
      <c r="C1024" s="46" t="str">
        <f>IFERROR(VLOOKUP($H1024,매장구분!$B:$Z,3,0),"")</f>
        <v/>
      </c>
      <c r="D1024" s="46" t="str">
        <f>IFERROR(VLOOKUP($H1024,매장구분!$B:$Z,5,0),"")</f>
        <v/>
      </c>
      <c r="E1024" s="46" t="str">
        <f>IFERROR(VLOOKUP($H1024,매장구분!$B:$Z,9,0),"")</f>
        <v/>
      </c>
      <c r="AF1024" s="47">
        <f t="shared" si="15"/>
        <v>0</v>
      </c>
    </row>
    <row r="1025" spans="2:32" x14ac:dyDescent="0.3">
      <c r="B1025" s="46" t="str">
        <f>IFERROR(VLOOKUP($H1025,매장구분!$B:$Z,2,0),"")</f>
        <v/>
      </c>
      <c r="C1025" s="46" t="str">
        <f>IFERROR(VLOOKUP($H1025,매장구분!$B:$Z,3,0),"")</f>
        <v/>
      </c>
      <c r="D1025" s="46" t="str">
        <f>IFERROR(VLOOKUP($H1025,매장구분!$B:$Z,5,0),"")</f>
        <v/>
      </c>
      <c r="E1025" s="46" t="str">
        <f>IFERROR(VLOOKUP($H1025,매장구분!$B:$Z,9,0),"")</f>
        <v/>
      </c>
      <c r="AF1025" s="47">
        <f t="shared" si="15"/>
        <v>0</v>
      </c>
    </row>
    <row r="1026" spans="2:32" x14ac:dyDescent="0.3">
      <c r="B1026" s="46" t="str">
        <f>IFERROR(VLOOKUP($H1026,매장구분!$B:$Z,2,0),"")</f>
        <v/>
      </c>
      <c r="C1026" s="46" t="str">
        <f>IFERROR(VLOOKUP($H1026,매장구분!$B:$Z,3,0),"")</f>
        <v/>
      </c>
      <c r="D1026" s="46" t="str">
        <f>IFERROR(VLOOKUP($H1026,매장구분!$B:$Z,5,0),"")</f>
        <v/>
      </c>
      <c r="E1026" s="46" t="str">
        <f>IFERROR(VLOOKUP($H1026,매장구분!$B:$Z,9,0),"")</f>
        <v/>
      </c>
      <c r="AF1026" s="47">
        <f t="shared" si="15"/>
        <v>0</v>
      </c>
    </row>
    <row r="1027" spans="2:32" x14ac:dyDescent="0.3">
      <c r="B1027" s="46" t="str">
        <f>IFERROR(VLOOKUP($H1027,매장구분!$B:$Z,2,0),"")</f>
        <v/>
      </c>
      <c r="C1027" s="46" t="str">
        <f>IFERROR(VLOOKUP($H1027,매장구분!$B:$Z,3,0),"")</f>
        <v/>
      </c>
      <c r="D1027" s="46" t="str">
        <f>IFERROR(VLOOKUP($H1027,매장구분!$B:$Z,5,0),"")</f>
        <v/>
      </c>
      <c r="E1027" s="46" t="str">
        <f>IFERROR(VLOOKUP($H1027,매장구분!$B:$Z,9,0),"")</f>
        <v/>
      </c>
      <c r="AF1027" s="47">
        <f t="shared" ref="AF1027:AF1090" si="16">IFERROR(AC1027-Y1027,"")</f>
        <v>0</v>
      </c>
    </row>
    <row r="1028" spans="2:32" x14ac:dyDescent="0.3">
      <c r="B1028" s="46" t="str">
        <f>IFERROR(VLOOKUP($H1028,매장구분!$B:$Z,2,0),"")</f>
        <v/>
      </c>
      <c r="C1028" s="46" t="str">
        <f>IFERROR(VLOOKUP($H1028,매장구분!$B:$Z,3,0),"")</f>
        <v/>
      </c>
      <c r="D1028" s="46" t="str">
        <f>IFERROR(VLOOKUP($H1028,매장구분!$B:$Z,5,0),"")</f>
        <v/>
      </c>
      <c r="E1028" s="46" t="str">
        <f>IFERROR(VLOOKUP($H1028,매장구분!$B:$Z,9,0),"")</f>
        <v/>
      </c>
      <c r="AF1028" s="47">
        <f t="shared" si="16"/>
        <v>0</v>
      </c>
    </row>
    <row r="1029" spans="2:32" x14ac:dyDescent="0.3">
      <c r="B1029" s="46" t="str">
        <f>IFERROR(VLOOKUP($H1029,매장구분!$B:$Z,2,0),"")</f>
        <v/>
      </c>
      <c r="C1029" s="46" t="str">
        <f>IFERROR(VLOOKUP($H1029,매장구분!$B:$Z,3,0),"")</f>
        <v/>
      </c>
      <c r="D1029" s="46" t="str">
        <f>IFERROR(VLOOKUP($H1029,매장구분!$B:$Z,5,0),"")</f>
        <v/>
      </c>
      <c r="E1029" s="46" t="str">
        <f>IFERROR(VLOOKUP($H1029,매장구분!$B:$Z,9,0),"")</f>
        <v/>
      </c>
      <c r="AF1029" s="47">
        <f t="shared" si="16"/>
        <v>0</v>
      </c>
    </row>
    <row r="1030" spans="2:32" x14ac:dyDescent="0.3">
      <c r="B1030" s="46" t="str">
        <f>IFERROR(VLOOKUP($H1030,매장구분!$B:$Z,2,0),"")</f>
        <v/>
      </c>
      <c r="C1030" s="46" t="str">
        <f>IFERROR(VLOOKUP($H1030,매장구분!$B:$Z,3,0),"")</f>
        <v/>
      </c>
      <c r="D1030" s="46" t="str">
        <f>IFERROR(VLOOKUP($H1030,매장구분!$B:$Z,5,0),"")</f>
        <v/>
      </c>
      <c r="E1030" s="46" t="str">
        <f>IFERROR(VLOOKUP($H1030,매장구분!$B:$Z,9,0),"")</f>
        <v/>
      </c>
      <c r="AF1030" s="47">
        <f t="shared" si="16"/>
        <v>0</v>
      </c>
    </row>
    <row r="1031" spans="2:32" x14ac:dyDescent="0.3">
      <c r="B1031" s="46" t="str">
        <f>IFERROR(VLOOKUP($H1031,매장구분!$B:$Z,2,0),"")</f>
        <v/>
      </c>
      <c r="C1031" s="46" t="str">
        <f>IFERROR(VLOOKUP($H1031,매장구분!$B:$Z,3,0),"")</f>
        <v/>
      </c>
      <c r="D1031" s="46" t="str">
        <f>IFERROR(VLOOKUP($H1031,매장구분!$B:$Z,5,0),"")</f>
        <v/>
      </c>
      <c r="E1031" s="46" t="str">
        <f>IFERROR(VLOOKUP($H1031,매장구분!$B:$Z,9,0),"")</f>
        <v/>
      </c>
      <c r="AF1031" s="47">
        <f t="shared" si="16"/>
        <v>0</v>
      </c>
    </row>
    <row r="1032" spans="2:32" x14ac:dyDescent="0.3">
      <c r="AF1032" s="47">
        <f t="shared" si="16"/>
        <v>0</v>
      </c>
    </row>
    <row r="1033" spans="2:32" x14ac:dyDescent="0.3">
      <c r="AF1033" s="47">
        <f t="shared" si="16"/>
        <v>0</v>
      </c>
    </row>
    <row r="1034" spans="2:32" x14ac:dyDescent="0.3">
      <c r="AF1034" s="47">
        <f t="shared" si="16"/>
        <v>0</v>
      </c>
    </row>
    <row r="1035" spans="2:32" x14ac:dyDescent="0.3">
      <c r="AF1035" s="47">
        <f t="shared" si="16"/>
        <v>0</v>
      </c>
    </row>
    <row r="1036" spans="2:32" x14ac:dyDescent="0.3">
      <c r="AF1036" s="47">
        <f t="shared" si="16"/>
        <v>0</v>
      </c>
    </row>
    <row r="1037" spans="2:32" x14ac:dyDescent="0.3">
      <c r="AF1037" s="47">
        <f t="shared" si="16"/>
        <v>0</v>
      </c>
    </row>
    <row r="1038" spans="2:32" x14ac:dyDescent="0.3">
      <c r="AF1038" s="47">
        <f t="shared" si="16"/>
        <v>0</v>
      </c>
    </row>
    <row r="1039" spans="2:32" x14ac:dyDescent="0.3">
      <c r="AF1039" s="47">
        <f t="shared" si="16"/>
        <v>0</v>
      </c>
    </row>
    <row r="1040" spans="2:32" x14ac:dyDescent="0.3">
      <c r="AF1040" s="47">
        <f t="shared" si="16"/>
        <v>0</v>
      </c>
    </row>
    <row r="1041" spans="32:32" x14ac:dyDescent="0.3">
      <c r="AF1041" s="47">
        <f t="shared" si="16"/>
        <v>0</v>
      </c>
    </row>
    <row r="1042" spans="32:32" x14ac:dyDescent="0.3">
      <c r="AF1042" s="47">
        <f t="shared" si="16"/>
        <v>0</v>
      </c>
    </row>
    <row r="1043" spans="32:32" x14ac:dyDescent="0.3">
      <c r="AF1043" s="47">
        <f t="shared" si="16"/>
        <v>0</v>
      </c>
    </row>
    <row r="1044" spans="32:32" x14ac:dyDescent="0.3">
      <c r="AF1044" s="47">
        <f t="shared" si="16"/>
        <v>0</v>
      </c>
    </row>
    <row r="1045" spans="32:32" x14ac:dyDescent="0.3">
      <c r="AF1045" s="47">
        <f t="shared" si="16"/>
        <v>0</v>
      </c>
    </row>
    <row r="1046" spans="32:32" x14ac:dyDescent="0.3">
      <c r="AF1046" s="47">
        <f t="shared" si="16"/>
        <v>0</v>
      </c>
    </row>
    <row r="1047" spans="32:32" x14ac:dyDescent="0.3">
      <c r="AF1047" s="47">
        <f t="shared" si="16"/>
        <v>0</v>
      </c>
    </row>
    <row r="1048" spans="32:32" x14ac:dyDescent="0.3">
      <c r="AF1048" s="47">
        <f t="shared" si="16"/>
        <v>0</v>
      </c>
    </row>
    <row r="1049" spans="32:32" x14ac:dyDescent="0.3">
      <c r="AF1049" s="47">
        <f t="shared" si="16"/>
        <v>0</v>
      </c>
    </row>
    <row r="1050" spans="32:32" x14ac:dyDescent="0.3">
      <c r="AF1050" s="47">
        <f t="shared" si="16"/>
        <v>0</v>
      </c>
    </row>
    <row r="1051" spans="32:32" x14ac:dyDescent="0.3">
      <c r="AF1051" s="47">
        <f t="shared" si="16"/>
        <v>0</v>
      </c>
    </row>
    <row r="1052" spans="32:32" x14ac:dyDescent="0.3">
      <c r="AF1052" s="47">
        <f t="shared" si="16"/>
        <v>0</v>
      </c>
    </row>
    <row r="1053" spans="32:32" x14ac:dyDescent="0.3">
      <c r="AF1053" s="47">
        <f t="shared" si="16"/>
        <v>0</v>
      </c>
    </row>
    <row r="1054" spans="32:32" x14ac:dyDescent="0.3">
      <c r="AF1054" s="47">
        <f t="shared" si="16"/>
        <v>0</v>
      </c>
    </row>
    <row r="1055" spans="32:32" x14ac:dyDescent="0.3">
      <c r="AF1055" s="47">
        <f t="shared" si="16"/>
        <v>0</v>
      </c>
    </row>
    <row r="1056" spans="32:32" x14ac:dyDescent="0.3">
      <c r="AF1056" s="47">
        <f t="shared" si="16"/>
        <v>0</v>
      </c>
    </row>
    <row r="1057" spans="32:32" x14ac:dyDescent="0.3">
      <c r="AF1057" s="47">
        <f t="shared" si="16"/>
        <v>0</v>
      </c>
    </row>
    <row r="1058" spans="32:32" x14ac:dyDescent="0.3">
      <c r="AF1058" s="47">
        <f t="shared" si="16"/>
        <v>0</v>
      </c>
    </row>
    <row r="1059" spans="32:32" x14ac:dyDescent="0.3">
      <c r="AF1059" s="47">
        <f t="shared" si="16"/>
        <v>0</v>
      </c>
    </row>
    <row r="1060" spans="32:32" x14ac:dyDescent="0.3">
      <c r="AF1060" s="47">
        <f t="shared" si="16"/>
        <v>0</v>
      </c>
    </row>
    <row r="1061" spans="32:32" x14ac:dyDescent="0.3">
      <c r="AF1061" s="47">
        <f t="shared" si="16"/>
        <v>0</v>
      </c>
    </row>
    <row r="1062" spans="32:32" x14ac:dyDescent="0.3">
      <c r="AF1062" s="47">
        <f t="shared" si="16"/>
        <v>0</v>
      </c>
    </row>
    <row r="1063" spans="32:32" x14ac:dyDescent="0.3">
      <c r="AF1063" s="47">
        <f t="shared" si="16"/>
        <v>0</v>
      </c>
    </row>
    <row r="1064" spans="32:32" x14ac:dyDescent="0.3">
      <c r="AF1064" s="47">
        <f t="shared" si="16"/>
        <v>0</v>
      </c>
    </row>
    <row r="1065" spans="32:32" x14ac:dyDescent="0.3">
      <c r="AF1065" s="47">
        <f t="shared" si="16"/>
        <v>0</v>
      </c>
    </row>
    <row r="1066" spans="32:32" x14ac:dyDescent="0.3">
      <c r="AF1066" s="47">
        <f t="shared" si="16"/>
        <v>0</v>
      </c>
    </row>
    <row r="1067" spans="32:32" x14ac:dyDescent="0.3">
      <c r="AF1067" s="47">
        <f t="shared" si="16"/>
        <v>0</v>
      </c>
    </row>
    <row r="1068" spans="32:32" x14ac:dyDescent="0.3">
      <c r="AF1068" s="47">
        <f t="shared" si="16"/>
        <v>0</v>
      </c>
    </row>
    <row r="1069" spans="32:32" x14ac:dyDescent="0.3">
      <c r="AF1069" s="47">
        <f t="shared" si="16"/>
        <v>0</v>
      </c>
    </row>
    <row r="1070" spans="32:32" x14ac:dyDescent="0.3">
      <c r="AF1070" s="47">
        <f t="shared" si="16"/>
        <v>0</v>
      </c>
    </row>
    <row r="1071" spans="32:32" x14ac:dyDescent="0.3">
      <c r="AF1071" s="47">
        <f t="shared" si="16"/>
        <v>0</v>
      </c>
    </row>
    <row r="1072" spans="32:32" x14ac:dyDescent="0.3">
      <c r="AF1072" s="47">
        <f t="shared" si="16"/>
        <v>0</v>
      </c>
    </row>
    <row r="1073" spans="32:32" x14ac:dyDescent="0.3">
      <c r="AF1073" s="47">
        <f t="shared" si="16"/>
        <v>0</v>
      </c>
    </row>
    <row r="1074" spans="32:32" x14ac:dyDescent="0.3">
      <c r="AF1074" s="47">
        <f t="shared" si="16"/>
        <v>0</v>
      </c>
    </row>
    <row r="1075" spans="32:32" x14ac:dyDescent="0.3">
      <c r="AF1075" s="47">
        <f t="shared" si="16"/>
        <v>0</v>
      </c>
    </row>
    <row r="1076" spans="32:32" x14ac:dyDescent="0.3">
      <c r="AF1076" s="47">
        <f t="shared" si="16"/>
        <v>0</v>
      </c>
    </row>
    <row r="1077" spans="32:32" x14ac:dyDescent="0.3">
      <c r="AF1077" s="47">
        <f t="shared" si="16"/>
        <v>0</v>
      </c>
    </row>
    <row r="1078" spans="32:32" x14ac:dyDescent="0.3">
      <c r="AF1078" s="47">
        <f t="shared" si="16"/>
        <v>0</v>
      </c>
    </row>
    <row r="1079" spans="32:32" x14ac:dyDescent="0.3">
      <c r="AF1079" s="47">
        <f t="shared" si="16"/>
        <v>0</v>
      </c>
    </row>
    <row r="1080" spans="32:32" x14ac:dyDescent="0.3">
      <c r="AF1080" s="47">
        <f t="shared" si="16"/>
        <v>0</v>
      </c>
    </row>
    <row r="1081" spans="32:32" x14ac:dyDescent="0.3">
      <c r="AF1081" s="47">
        <f t="shared" si="16"/>
        <v>0</v>
      </c>
    </row>
    <row r="1082" spans="32:32" x14ac:dyDescent="0.3">
      <c r="AF1082" s="47">
        <f t="shared" si="16"/>
        <v>0</v>
      </c>
    </row>
    <row r="1083" spans="32:32" x14ac:dyDescent="0.3">
      <c r="AF1083" s="47">
        <f t="shared" si="16"/>
        <v>0</v>
      </c>
    </row>
    <row r="1084" spans="32:32" x14ac:dyDescent="0.3">
      <c r="AF1084" s="47">
        <f t="shared" si="16"/>
        <v>0</v>
      </c>
    </row>
    <row r="1085" spans="32:32" x14ac:dyDescent="0.3">
      <c r="AF1085" s="47">
        <f t="shared" si="16"/>
        <v>0</v>
      </c>
    </row>
    <row r="1086" spans="32:32" x14ac:dyDescent="0.3">
      <c r="AF1086" s="47">
        <f t="shared" si="16"/>
        <v>0</v>
      </c>
    </row>
    <row r="1087" spans="32:32" x14ac:dyDescent="0.3">
      <c r="AF1087" s="47">
        <f t="shared" si="16"/>
        <v>0</v>
      </c>
    </row>
    <row r="1088" spans="32:32" x14ac:dyDescent="0.3">
      <c r="AF1088" s="47">
        <f t="shared" si="16"/>
        <v>0</v>
      </c>
    </row>
    <row r="1089" spans="32:32" x14ac:dyDescent="0.3">
      <c r="AF1089" s="47">
        <f t="shared" si="16"/>
        <v>0</v>
      </c>
    </row>
    <row r="1090" spans="32:32" x14ac:dyDescent="0.3">
      <c r="AF1090" s="47">
        <f t="shared" si="16"/>
        <v>0</v>
      </c>
    </row>
    <row r="1091" spans="32:32" x14ac:dyDescent="0.3">
      <c r="AF1091" s="47">
        <f t="shared" ref="AF1091:AF1154" si="17">IFERROR(AC1091-Y1091,"")</f>
        <v>0</v>
      </c>
    </row>
    <row r="1092" spans="32:32" x14ac:dyDescent="0.3">
      <c r="AF1092" s="47">
        <f t="shared" si="17"/>
        <v>0</v>
      </c>
    </row>
    <row r="1093" spans="32:32" x14ac:dyDescent="0.3">
      <c r="AF1093" s="47">
        <f t="shared" si="17"/>
        <v>0</v>
      </c>
    </row>
    <row r="1094" spans="32:32" x14ac:dyDescent="0.3">
      <c r="AF1094" s="47">
        <f t="shared" si="17"/>
        <v>0</v>
      </c>
    </row>
    <row r="1095" spans="32:32" x14ac:dyDescent="0.3">
      <c r="AF1095" s="47">
        <f t="shared" si="17"/>
        <v>0</v>
      </c>
    </row>
    <row r="1096" spans="32:32" x14ac:dyDescent="0.3">
      <c r="AF1096" s="47">
        <f t="shared" si="17"/>
        <v>0</v>
      </c>
    </row>
    <row r="1097" spans="32:32" x14ac:dyDescent="0.3">
      <c r="AF1097" s="47">
        <f t="shared" si="17"/>
        <v>0</v>
      </c>
    </row>
    <row r="1098" spans="32:32" x14ac:dyDescent="0.3">
      <c r="AF1098" s="47">
        <f t="shared" si="17"/>
        <v>0</v>
      </c>
    </row>
    <row r="1099" spans="32:32" x14ac:dyDescent="0.3">
      <c r="AF1099" s="47">
        <f t="shared" si="17"/>
        <v>0</v>
      </c>
    </row>
    <row r="1100" spans="32:32" x14ac:dyDescent="0.3">
      <c r="AF1100" s="47">
        <f t="shared" si="17"/>
        <v>0</v>
      </c>
    </row>
    <row r="1101" spans="32:32" x14ac:dyDescent="0.3">
      <c r="AF1101" s="47">
        <f t="shared" si="17"/>
        <v>0</v>
      </c>
    </row>
    <row r="1102" spans="32:32" x14ac:dyDescent="0.3">
      <c r="AF1102" s="47">
        <f t="shared" si="17"/>
        <v>0</v>
      </c>
    </row>
    <row r="1103" spans="32:32" x14ac:dyDescent="0.3">
      <c r="AF1103" s="47">
        <f t="shared" si="17"/>
        <v>0</v>
      </c>
    </row>
    <row r="1104" spans="32:32" x14ac:dyDescent="0.3">
      <c r="AF1104" s="47">
        <f t="shared" si="17"/>
        <v>0</v>
      </c>
    </row>
    <row r="1105" spans="32:32" x14ac:dyDescent="0.3">
      <c r="AF1105" s="47">
        <f t="shared" si="17"/>
        <v>0</v>
      </c>
    </row>
    <row r="1106" spans="32:32" x14ac:dyDescent="0.3">
      <c r="AF1106" s="47">
        <f t="shared" si="17"/>
        <v>0</v>
      </c>
    </row>
    <row r="1107" spans="32:32" x14ac:dyDescent="0.3">
      <c r="AF1107" s="47">
        <f t="shared" si="17"/>
        <v>0</v>
      </c>
    </row>
    <row r="1108" spans="32:32" x14ac:dyDescent="0.3">
      <c r="AF1108" s="47">
        <f t="shared" si="17"/>
        <v>0</v>
      </c>
    </row>
    <row r="1109" spans="32:32" x14ac:dyDescent="0.3">
      <c r="AF1109" s="47">
        <f t="shared" si="17"/>
        <v>0</v>
      </c>
    </row>
    <row r="1110" spans="32:32" x14ac:dyDescent="0.3">
      <c r="AF1110" s="47">
        <f t="shared" si="17"/>
        <v>0</v>
      </c>
    </row>
    <row r="1111" spans="32:32" x14ac:dyDescent="0.3">
      <c r="AF1111" s="47">
        <f t="shared" si="17"/>
        <v>0</v>
      </c>
    </row>
    <row r="1112" spans="32:32" x14ac:dyDescent="0.3">
      <c r="AF1112" s="47">
        <f t="shared" si="17"/>
        <v>0</v>
      </c>
    </row>
    <row r="1113" spans="32:32" x14ac:dyDescent="0.3">
      <c r="AF1113" s="47">
        <f t="shared" si="17"/>
        <v>0</v>
      </c>
    </row>
    <row r="1114" spans="32:32" x14ac:dyDescent="0.3">
      <c r="AF1114" s="47">
        <f t="shared" si="17"/>
        <v>0</v>
      </c>
    </row>
    <row r="1115" spans="32:32" x14ac:dyDescent="0.3">
      <c r="AF1115" s="47">
        <f t="shared" si="17"/>
        <v>0</v>
      </c>
    </row>
    <row r="1116" spans="32:32" x14ac:dyDescent="0.3">
      <c r="AF1116" s="47">
        <f t="shared" si="17"/>
        <v>0</v>
      </c>
    </row>
    <row r="1117" spans="32:32" x14ac:dyDescent="0.3">
      <c r="AF1117" s="47">
        <f t="shared" si="17"/>
        <v>0</v>
      </c>
    </row>
    <row r="1118" spans="32:32" x14ac:dyDescent="0.3">
      <c r="AF1118" s="47">
        <f t="shared" si="17"/>
        <v>0</v>
      </c>
    </row>
    <row r="1119" spans="32:32" x14ac:dyDescent="0.3">
      <c r="AF1119" s="47">
        <f t="shared" si="17"/>
        <v>0</v>
      </c>
    </row>
    <row r="1120" spans="32:32" x14ac:dyDescent="0.3">
      <c r="AF1120" s="47">
        <f t="shared" si="17"/>
        <v>0</v>
      </c>
    </row>
    <row r="1121" spans="32:32" x14ac:dyDescent="0.3">
      <c r="AF1121" s="47">
        <f t="shared" si="17"/>
        <v>0</v>
      </c>
    </row>
    <row r="1122" spans="32:32" x14ac:dyDescent="0.3">
      <c r="AF1122" s="47">
        <f t="shared" si="17"/>
        <v>0</v>
      </c>
    </row>
    <row r="1123" spans="32:32" x14ac:dyDescent="0.3">
      <c r="AF1123" s="47">
        <f t="shared" si="17"/>
        <v>0</v>
      </c>
    </row>
    <row r="1124" spans="32:32" x14ac:dyDescent="0.3">
      <c r="AF1124" s="47">
        <f t="shared" si="17"/>
        <v>0</v>
      </c>
    </row>
    <row r="1125" spans="32:32" x14ac:dyDescent="0.3">
      <c r="AF1125" s="47">
        <f t="shared" si="17"/>
        <v>0</v>
      </c>
    </row>
    <row r="1126" spans="32:32" x14ac:dyDescent="0.3">
      <c r="AF1126" s="47">
        <f t="shared" si="17"/>
        <v>0</v>
      </c>
    </row>
    <row r="1127" spans="32:32" x14ac:dyDescent="0.3">
      <c r="AF1127" s="47">
        <f t="shared" si="17"/>
        <v>0</v>
      </c>
    </row>
    <row r="1128" spans="32:32" x14ac:dyDescent="0.3">
      <c r="AF1128" s="47">
        <f t="shared" si="17"/>
        <v>0</v>
      </c>
    </row>
    <row r="1129" spans="32:32" x14ac:dyDescent="0.3">
      <c r="AF1129" s="47">
        <f t="shared" si="17"/>
        <v>0</v>
      </c>
    </row>
    <row r="1130" spans="32:32" x14ac:dyDescent="0.3">
      <c r="AF1130" s="47">
        <f t="shared" si="17"/>
        <v>0</v>
      </c>
    </row>
    <row r="1131" spans="32:32" x14ac:dyDescent="0.3">
      <c r="AF1131" s="47">
        <f t="shared" si="17"/>
        <v>0</v>
      </c>
    </row>
    <row r="1132" spans="32:32" x14ac:dyDescent="0.3">
      <c r="AF1132" s="47">
        <f t="shared" si="17"/>
        <v>0</v>
      </c>
    </row>
    <row r="1133" spans="32:32" x14ac:dyDescent="0.3">
      <c r="AF1133" s="47">
        <f t="shared" si="17"/>
        <v>0</v>
      </c>
    </row>
    <row r="1134" spans="32:32" x14ac:dyDescent="0.3">
      <c r="AF1134" s="47">
        <f t="shared" si="17"/>
        <v>0</v>
      </c>
    </row>
    <row r="1135" spans="32:32" x14ac:dyDescent="0.3">
      <c r="AF1135" s="47">
        <f t="shared" si="17"/>
        <v>0</v>
      </c>
    </row>
    <row r="1136" spans="32:32" x14ac:dyDescent="0.3">
      <c r="AF1136" s="47">
        <f t="shared" si="17"/>
        <v>0</v>
      </c>
    </row>
    <row r="1137" spans="32:32" x14ac:dyDescent="0.3">
      <c r="AF1137" s="47">
        <f t="shared" si="17"/>
        <v>0</v>
      </c>
    </row>
    <row r="1138" spans="32:32" x14ac:dyDescent="0.3">
      <c r="AF1138" s="47">
        <f t="shared" si="17"/>
        <v>0</v>
      </c>
    </row>
    <row r="1139" spans="32:32" x14ac:dyDescent="0.3">
      <c r="AF1139" s="47">
        <f t="shared" si="17"/>
        <v>0</v>
      </c>
    </row>
    <row r="1140" spans="32:32" x14ac:dyDescent="0.3">
      <c r="AF1140" s="47">
        <f t="shared" si="17"/>
        <v>0</v>
      </c>
    </row>
    <row r="1141" spans="32:32" x14ac:dyDescent="0.3">
      <c r="AF1141" s="47">
        <f t="shared" si="17"/>
        <v>0</v>
      </c>
    </row>
    <row r="1142" spans="32:32" x14ac:dyDescent="0.3">
      <c r="AF1142" s="47">
        <f t="shared" si="17"/>
        <v>0</v>
      </c>
    </row>
    <row r="1143" spans="32:32" x14ac:dyDescent="0.3">
      <c r="AF1143" s="47">
        <f t="shared" si="17"/>
        <v>0</v>
      </c>
    </row>
    <row r="1144" spans="32:32" x14ac:dyDescent="0.3">
      <c r="AF1144" s="47">
        <f t="shared" si="17"/>
        <v>0</v>
      </c>
    </row>
    <row r="1145" spans="32:32" x14ac:dyDescent="0.3">
      <c r="AF1145" s="47">
        <f t="shared" si="17"/>
        <v>0</v>
      </c>
    </row>
    <row r="1146" spans="32:32" x14ac:dyDescent="0.3">
      <c r="AF1146" s="47">
        <f t="shared" si="17"/>
        <v>0</v>
      </c>
    </row>
    <row r="1147" spans="32:32" x14ac:dyDescent="0.3">
      <c r="AF1147" s="47">
        <f t="shared" si="17"/>
        <v>0</v>
      </c>
    </row>
    <row r="1148" spans="32:32" x14ac:dyDescent="0.3">
      <c r="AF1148" s="47">
        <f t="shared" si="17"/>
        <v>0</v>
      </c>
    </row>
    <row r="1149" spans="32:32" x14ac:dyDescent="0.3">
      <c r="AF1149" s="47">
        <f t="shared" si="17"/>
        <v>0</v>
      </c>
    </row>
    <row r="1150" spans="32:32" x14ac:dyDescent="0.3">
      <c r="AF1150" s="47">
        <f t="shared" si="17"/>
        <v>0</v>
      </c>
    </row>
    <row r="1151" spans="32:32" x14ac:dyDescent="0.3">
      <c r="AF1151" s="47">
        <f t="shared" si="17"/>
        <v>0</v>
      </c>
    </row>
    <row r="1152" spans="32:32" x14ac:dyDescent="0.3">
      <c r="AF1152" s="47">
        <f t="shared" si="17"/>
        <v>0</v>
      </c>
    </row>
    <row r="1153" spans="32:32" x14ac:dyDescent="0.3">
      <c r="AF1153" s="47">
        <f t="shared" si="17"/>
        <v>0</v>
      </c>
    </row>
    <row r="1154" spans="32:32" x14ac:dyDescent="0.3">
      <c r="AF1154" s="47">
        <f t="shared" si="17"/>
        <v>0</v>
      </c>
    </row>
    <row r="1155" spans="32:32" x14ac:dyDescent="0.3">
      <c r="AF1155" s="47">
        <f t="shared" ref="AF1155:AF1218" si="18">IFERROR(AC1155-Y1155,"")</f>
        <v>0</v>
      </c>
    </row>
    <row r="1156" spans="32:32" x14ac:dyDescent="0.3">
      <c r="AF1156" s="47">
        <f t="shared" si="18"/>
        <v>0</v>
      </c>
    </row>
    <row r="1157" spans="32:32" x14ac:dyDescent="0.3">
      <c r="AF1157" s="47">
        <f t="shared" si="18"/>
        <v>0</v>
      </c>
    </row>
    <row r="1158" spans="32:32" x14ac:dyDescent="0.3">
      <c r="AF1158" s="47">
        <f t="shared" si="18"/>
        <v>0</v>
      </c>
    </row>
    <row r="1159" spans="32:32" x14ac:dyDescent="0.3">
      <c r="AF1159" s="47">
        <f t="shared" si="18"/>
        <v>0</v>
      </c>
    </row>
    <row r="1160" spans="32:32" x14ac:dyDescent="0.3">
      <c r="AF1160" s="47">
        <f t="shared" si="18"/>
        <v>0</v>
      </c>
    </row>
    <row r="1161" spans="32:32" x14ac:dyDescent="0.3">
      <c r="AF1161" s="47">
        <f t="shared" si="18"/>
        <v>0</v>
      </c>
    </row>
    <row r="1162" spans="32:32" x14ac:dyDescent="0.3">
      <c r="AF1162" s="47">
        <f t="shared" si="18"/>
        <v>0</v>
      </c>
    </row>
    <row r="1163" spans="32:32" x14ac:dyDescent="0.3">
      <c r="AF1163" s="47">
        <f t="shared" si="18"/>
        <v>0</v>
      </c>
    </row>
    <row r="1164" spans="32:32" x14ac:dyDescent="0.3">
      <c r="AF1164" s="47">
        <f t="shared" si="18"/>
        <v>0</v>
      </c>
    </row>
    <row r="1165" spans="32:32" x14ac:dyDescent="0.3">
      <c r="AF1165" s="47">
        <f t="shared" si="18"/>
        <v>0</v>
      </c>
    </row>
    <row r="1166" spans="32:32" x14ac:dyDescent="0.3">
      <c r="AF1166" s="47">
        <f t="shared" si="18"/>
        <v>0</v>
      </c>
    </row>
    <row r="1167" spans="32:32" x14ac:dyDescent="0.3">
      <c r="AF1167" s="47">
        <f t="shared" si="18"/>
        <v>0</v>
      </c>
    </row>
    <row r="1168" spans="32:32" x14ac:dyDescent="0.3">
      <c r="AF1168" s="47">
        <f t="shared" si="18"/>
        <v>0</v>
      </c>
    </row>
    <row r="1169" spans="32:32" x14ac:dyDescent="0.3">
      <c r="AF1169" s="47">
        <f t="shared" si="18"/>
        <v>0</v>
      </c>
    </row>
    <row r="1170" spans="32:32" x14ac:dyDescent="0.3">
      <c r="AF1170" s="47">
        <f t="shared" si="18"/>
        <v>0</v>
      </c>
    </row>
    <row r="1171" spans="32:32" x14ac:dyDescent="0.3">
      <c r="AF1171" s="47">
        <f t="shared" si="18"/>
        <v>0</v>
      </c>
    </row>
    <row r="1172" spans="32:32" x14ac:dyDescent="0.3">
      <c r="AF1172" s="47">
        <f t="shared" si="18"/>
        <v>0</v>
      </c>
    </row>
    <row r="1173" spans="32:32" x14ac:dyDescent="0.3">
      <c r="AF1173" s="47">
        <f t="shared" si="18"/>
        <v>0</v>
      </c>
    </row>
    <row r="1174" spans="32:32" x14ac:dyDescent="0.3">
      <c r="AF1174" s="47">
        <f t="shared" si="18"/>
        <v>0</v>
      </c>
    </row>
    <row r="1175" spans="32:32" x14ac:dyDescent="0.3">
      <c r="AF1175" s="47">
        <f t="shared" si="18"/>
        <v>0</v>
      </c>
    </row>
    <row r="1176" spans="32:32" x14ac:dyDescent="0.3">
      <c r="AF1176" s="47">
        <f t="shared" si="18"/>
        <v>0</v>
      </c>
    </row>
    <row r="1177" spans="32:32" x14ac:dyDescent="0.3">
      <c r="AF1177" s="47">
        <f t="shared" si="18"/>
        <v>0</v>
      </c>
    </row>
    <row r="1178" spans="32:32" x14ac:dyDescent="0.3">
      <c r="AF1178" s="47">
        <f t="shared" si="18"/>
        <v>0</v>
      </c>
    </row>
    <row r="1179" spans="32:32" x14ac:dyDescent="0.3">
      <c r="AF1179" s="47">
        <f t="shared" si="18"/>
        <v>0</v>
      </c>
    </row>
    <row r="1180" spans="32:32" x14ac:dyDescent="0.3">
      <c r="AF1180" s="47">
        <f t="shared" si="18"/>
        <v>0</v>
      </c>
    </row>
    <row r="1181" spans="32:32" x14ac:dyDescent="0.3">
      <c r="AF1181" s="47">
        <f t="shared" si="18"/>
        <v>0</v>
      </c>
    </row>
    <row r="1182" spans="32:32" x14ac:dyDescent="0.3">
      <c r="AF1182" s="47">
        <f t="shared" si="18"/>
        <v>0</v>
      </c>
    </row>
    <row r="1183" spans="32:32" x14ac:dyDescent="0.3">
      <c r="AF1183" s="47">
        <f t="shared" si="18"/>
        <v>0</v>
      </c>
    </row>
    <row r="1184" spans="32:32" x14ac:dyDescent="0.3">
      <c r="AF1184" s="47">
        <f t="shared" si="18"/>
        <v>0</v>
      </c>
    </row>
    <row r="1185" spans="32:32" x14ac:dyDescent="0.3">
      <c r="AF1185" s="47">
        <f t="shared" si="18"/>
        <v>0</v>
      </c>
    </row>
    <row r="1186" spans="32:32" x14ac:dyDescent="0.3">
      <c r="AF1186" s="47">
        <f t="shared" si="18"/>
        <v>0</v>
      </c>
    </row>
    <row r="1187" spans="32:32" x14ac:dyDescent="0.3">
      <c r="AF1187" s="47">
        <f t="shared" si="18"/>
        <v>0</v>
      </c>
    </row>
    <row r="1188" spans="32:32" x14ac:dyDescent="0.3">
      <c r="AF1188" s="47">
        <f t="shared" si="18"/>
        <v>0</v>
      </c>
    </row>
    <row r="1189" spans="32:32" x14ac:dyDescent="0.3">
      <c r="AF1189" s="47">
        <f t="shared" si="18"/>
        <v>0</v>
      </c>
    </row>
    <row r="1190" spans="32:32" x14ac:dyDescent="0.3">
      <c r="AF1190" s="47">
        <f t="shared" si="18"/>
        <v>0</v>
      </c>
    </row>
    <row r="1191" spans="32:32" x14ac:dyDescent="0.3">
      <c r="AF1191" s="47">
        <f t="shared" si="18"/>
        <v>0</v>
      </c>
    </row>
    <row r="1192" spans="32:32" x14ac:dyDescent="0.3">
      <c r="AF1192" s="47">
        <f t="shared" si="18"/>
        <v>0</v>
      </c>
    </row>
    <row r="1193" spans="32:32" x14ac:dyDescent="0.3">
      <c r="AF1193" s="47">
        <f t="shared" si="18"/>
        <v>0</v>
      </c>
    </row>
    <row r="1194" spans="32:32" x14ac:dyDescent="0.3">
      <c r="AF1194" s="47">
        <f t="shared" si="18"/>
        <v>0</v>
      </c>
    </row>
    <row r="1195" spans="32:32" x14ac:dyDescent="0.3">
      <c r="AF1195" s="47">
        <f t="shared" si="18"/>
        <v>0</v>
      </c>
    </row>
    <row r="1196" spans="32:32" x14ac:dyDescent="0.3">
      <c r="AF1196" s="47">
        <f t="shared" si="18"/>
        <v>0</v>
      </c>
    </row>
    <row r="1197" spans="32:32" x14ac:dyDescent="0.3">
      <c r="AF1197" s="47">
        <f t="shared" si="18"/>
        <v>0</v>
      </c>
    </row>
    <row r="1198" spans="32:32" x14ac:dyDescent="0.3">
      <c r="AF1198" s="47">
        <f t="shared" si="18"/>
        <v>0</v>
      </c>
    </row>
    <row r="1199" spans="32:32" x14ac:dyDescent="0.3">
      <c r="AF1199" s="47">
        <f t="shared" si="18"/>
        <v>0</v>
      </c>
    </row>
    <row r="1200" spans="32:32" x14ac:dyDescent="0.3">
      <c r="AF1200" s="47">
        <f t="shared" si="18"/>
        <v>0</v>
      </c>
    </row>
    <row r="1201" spans="32:32" x14ac:dyDescent="0.3">
      <c r="AF1201" s="47">
        <f t="shared" si="18"/>
        <v>0</v>
      </c>
    </row>
    <row r="1202" spans="32:32" x14ac:dyDescent="0.3">
      <c r="AF1202" s="47">
        <f t="shared" si="18"/>
        <v>0</v>
      </c>
    </row>
    <row r="1203" spans="32:32" x14ac:dyDescent="0.3">
      <c r="AF1203" s="47">
        <f t="shared" si="18"/>
        <v>0</v>
      </c>
    </row>
    <row r="1204" spans="32:32" x14ac:dyDescent="0.3">
      <c r="AF1204" s="47">
        <f t="shared" si="18"/>
        <v>0</v>
      </c>
    </row>
    <row r="1205" spans="32:32" x14ac:dyDescent="0.3">
      <c r="AF1205" s="47">
        <f t="shared" si="18"/>
        <v>0</v>
      </c>
    </row>
    <row r="1206" spans="32:32" x14ac:dyDescent="0.3">
      <c r="AF1206" s="47">
        <f t="shared" si="18"/>
        <v>0</v>
      </c>
    </row>
    <row r="1207" spans="32:32" x14ac:dyDescent="0.3">
      <c r="AF1207" s="47">
        <f t="shared" si="18"/>
        <v>0</v>
      </c>
    </row>
    <row r="1208" spans="32:32" x14ac:dyDescent="0.3">
      <c r="AF1208" s="47">
        <f t="shared" si="18"/>
        <v>0</v>
      </c>
    </row>
    <row r="1209" spans="32:32" x14ac:dyDescent="0.3">
      <c r="AF1209" s="47">
        <f t="shared" si="18"/>
        <v>0</v>
      </c>
    </row>
    <row r="1210" spans="32:32" x14ac:dyDescent="0.3">
      <c r="AF1210" s="47">
        <f t="shared" si="18"/>
        <v>0</v>
      </c>
    </row>
    <row r="1211" spans="32:32" x14ac:dyDescent="0.3">
      <c r="AF1211" s="47">
        <f t="shared" si="18"/>
        <v>0</v>
      </c>
    </row>
    <row r="1212" spans="32:32" x14ac:dyDescent="0.3">
      <c r="AF1212" s="47">
        <f t="shared" si="18"/>
        <v>0</v>
      </c>
    </row>
    <row r="1213" spans="32:32" x14ac:dyDescent="0.3">
      <c r="AF1213" s="47">
        <f t="shared" si="18"/>
        <v>0</v>
      </c>
    </row>
    <row r="1214" spans="32:32" x14ac:dyDescent="0.3">
      <c r="AF1214" s="47">
        <f t="shared" si="18"/>
        <v>0</v>
      </c>
    </row>
    <row r="1215" spans="32:32" x14ac:dyDescent="0.3">
      <c r="AF1215" s="47">
        <f t="shared" si="18"/>
        <v>0</v>
      </c>
    </row>
    <row r="1216" spans="32:32" x14ac:dyDescent="0.3">
      <c r="AF1216" s="47">
        <f t="shared" si="18"/>
        <v>0</v>
      </c>
    </row>
    <row r="1217" spans="32:32" x14ac:dyDescent="0.3">
      <c r="AF1217" s="47">
        <f t="shared" si="18"/>
        <v>0</v>
      </c>
    </row>
    <row r="1218" spans="32:32" x14ac:dyDescent="0.3">
      <c r="AF1218" s="47">
        <f t="shared" si="18"/>
        <v>0</v>
      </c>
    </row>
    <row r="1219" spans="32:32" x14ac:dyDescent="0.3">
      <c r="AF1219" s="47">
        <f t="shared" ref="AF1219:AF1282" si="19">IFERROR(AC1219-Y1219,"")</f>
        <v>0</v>
      </c>
    </row>
    <row r="1220" spans="32:32" x14ac:dyDescent="0.3">
      <c r="AF1220" s="47">
        <f t="shared" si="19"/>
        <v>0</v>
      </c>
    </row>
    <row r="1221" spans="32:32" x14ac:dyDescent="0.3">
      <c r="AF1221" s="47">
        <f t="shared" si="19"/>
        <v>0</v>
      </c>
    </row>
    <row r="1222" spans="32:32" x14ac:dyDescent="0.3">
      <c r="AF1222" s="47">
        <f t="shared" si="19"/>
        <v>0</v>
      </c>
    </row>
    <row r="1223" spans="32:32" x14ac:dyDescent="0.3">
      <c r="AF1223" s="47">
        <f t="shared" si="19"/>
        <v>0</v>
      </c>
    </row>
    <row r="1224" spans="32:32" x14ac:dyDescent="0.3">
      <c r="AF1224" s="47">
        <f t="shared" si="19"/>
        <v>0</v>
      </c>
    </row>
    <row r="1225" spans="32:32" x14ac:dyDescent="0.3">
      <c r="AF1225" s="47">
        <f t="shared" si="19"/>
        <v>0</v>
      </c>
    </row>
    <row r="1226" spans="32:32" x14ac:dyDescent="0.3">
      <c r="AF1226" s="47">
        <f t="shared" si="19"/>
        <v>0</v>
      </c>
    </row>
    <row r="1227" spans="32:32" x14ac:dyDescent="0.3">
      <c r="AF1227" s="47">
        <f t="shared" si="19"/>
        <v>0</v>
      </c>
    </row>
    <row r="1228" spans="32:32" x14ac:dyDescent="0.3">
      <c r="AF1228" s="47">
        <f t="shared" si="19"/>
        <v>0</v>
      </c>
    </row>
    <row r="1229" spans="32:32" x14ac:dyDescent="0.3">
      <c r="AF1229" s="47">
        <f t="shared" si="19"/>
        <v>0</v>
      </c>
    </row>
    <row r="1230" spans="32:32" x14ac:dyDescent="0.3">
      <c r="AF1230" s="47">
        <f t="shared" si="19"/>
        <v>0</v>
      </c>
    </row>
    <row r="1231" spans="32:32" x14ac:dyDescent="0.3">
      <c r="AF1231" s="47">
        <f t="shared" si="19"/>
        <v>0</v>
      </c>
    </row>
    <row r="1232" spans="32:32" x14ac:dyDescent="0.3">
      <c r="AF1232" s="47">
        <f t="shared" si="19"/>
        <v>0</v>
      </c>
    </row>
    <row r="1233" spans="32:32" x14ac:dyDescent="0.3">
      <c r="AF1233" s="47">
        <f t="shared" si="19"/>
        <v>0</v>
      </c>
    </row>
    <row r="1234" spans="32:32" x14ac:dyDescent="0.3">
      <c r="AF1234" s="47">
        <f t="shared" si="19"/>
        <v>0</v>
      </c>
    </row>
    <row r="1235" spans="32:32" x14ac:dyDescent="0.3">
      <c r="AF1235" s="47">
        <f t="shared" si="19"/>
        <v>0</v>
      </c>
    </row>
    <row r="1236" spans="32:32" x14ac:dyDescent="0.3">
      <c r="AF1236" s="47">
        <f t="shared" si="19"/>
        <v>0</v>
      </c>
    </row>
    <row r="1237" spans="32:32" x14ac:dyDescent="0.3">
      <c r="AF1237" s="47">
        <f t="shared" si="19"/>
        <v>0</v>
      </c>
    </row>
    <row r="1238" spans="32:32" x14ac:dyDescent="0.3">
      <c r="AF1238" s="47">
        <f t="shared" si="19"/>
        <v>0</v>
      </c>
    </row>
    <row r="1239" spans="32:32" x14ac:dyDescent="0.3">
      <c r="AF1239" s="47">
        <f t="shared" si="19"/>
        <v>0</v>
      </c>
    </row>
    <row r="1240" spans="32:32" x14ac:dyDescent="0.3">
      <c r="AF1240" s="47">
        <f t="shared" si="19"/>
        <v>0</v>
      </c>
    </row>
    <row r="1241" spans="32:32" x14ac:dyDescent="0.3">
      <c r="AF1241" s="47">
        <f t="shared" si="19"/>
        <v>0</v>
      </c>
    </row>
    <row r="1242" spans="32:32" x14ac:dyDescent="0.3">
      <c r="AF1242" s="47">
        <f t="shared" si="19"/>
        <v>0</v>
      </c>
    </row>
    <row r="1243" spans="32:32" x14ac:dyDescent="0.3">
      <c r="AF1243" s="47">
        <f t="shared" si="19"/>
        <v>0</v>
      </c>
    </row>
    <row r="1244" spans="32:32" x14ac:dyDescent="0.3">
      <c r="AF1244" s="47">
        <f t="shared" si="19"/>
        <v>0</v>
      </c>
    </row>
    <row r="1245" spans="32:32" x14ac:dyDescent="0.3">
      <c r="AF1245" s="47">
        <f t="shared" si="19"/>
        <v>0</v>
      </c>
    </row>
    <row r="1246" spans="32:32" x14ac:dyDescent="0.3">
      <c r="AF1246" s="47">
        <f t="shared" si="19"/>
        <v>0</v>
      </c>
    </row>
    <row r="1247" spans="32:32" x14ac:dyDescent="0.3">
      <c r="AF1247" s="47">
        <f t="shared" si="19"/>
        <v>0</v>
      </c>
    </row>
    <row r="1248" spans="32:32" x14ac:dyDescent="0.3">
      <c r="AF1248" s="47">
        <f t="shared" si="19"/>
        <v>0</v>
      </c>
    </row>
    <row r="1249" spans="32:32" x14ac:dyDescent="0.3">
      <c r="AF1249" s="47">
        <f t="shared" si="19"/>
        <v>0</v>
      </c>
    </row>
    <row r="1250" spans="32:32" x14ac:dyDescent="0.3">
      <c r="AF1250" s="47">
        <f t="shared" si="19"/>
        <v>0</v>
      </c>
    </row>
    <row r="1251" spans="32:32" x14ac:dyDescent="0.3">
      <c r="AF1251" s="47">
        <f t="shared" si="19"/>
        <v>0</v>
      </c>
    </row>
    <row r="1252" spans="32:32" x14ac:dyDescent="0.3">
      <c r="AF1252" s="47">
        <f t="shared" si="19"/>
        <v>0</v>
      </c>
    </row>
    <row r="1253" spans="32:32" x14ac:dyDescent="0.3">
      <c r="AF1253" s="47">
        <f t="shared" si="19"/>
        <v>0</v>
      </c>
    </row>
    <row r="1254" spans="32:32" x14ac:dyDescent="0.3">
      <c r="AF1254" s="47">
        <f t="shared" si="19"/>
        <v>0</v>
      </c>
    </row>
    <row r="1255" spans="32:32" x14ac:dyDescent="0.3">
      <c r="AF1255" s="47">
        <f t="shared" si="19"/>
        <v>0</v>
      </c>
    </row>
    <row r="1256" spans="32:32" x14ac:dyDescent="0.3">
      <c r="AF1256" s="47">
        <f t="shared" si="19"/>
        <v>0</v>
      </c>
    </row>
    <row r="1257" spans="32:32" x14ac:dyDescent="0.3">
      <c r="AF1257" s="47">
        <f t="shared" si="19"/>
        <v>0</v>
      </c>
    </row>
    <row r="1258" spans="32:32" x14ac:dyDescent="0.3">
      <c r="AF1258" s="47">
        <f t="shared" si="19"/>
        <v>0</v>
      </c>
    </row>
    <row r="1259" spans="32:32" x14ac:dyDescent="0.3">
      <c r="AF1259" s="47">
        <f t="shared" si="19"/>
        <v>0</v>
      </c>
    </row>
    <row r="1260" spans="32:32" x14ac:dyDescent="0.3">
      <c r="AF1260" s="47">
        <f t="shared" si="19"/>
        <v>0</v>
      </c>
    </row>
    <row r="1261" spans="32:32" x14ac:dyDescent="0.3">
      <c r="AF1261" s="47">
        <f t="shared" si="19"/>
        <v>0</v>
      </c>
    </row>
    <row r="1262" spans="32:32" x14ac:dyDescent="0.3">
      <c r="AF1262" s="47">
        <f t="shared" si="19"/>
        <v>0</v>
      </c>
    </row>
    <row r="1263" spans="32:32" x14ac:dyDescent="0.3">
      <c r="AF1263" s="47">
        <f t="shared" si="19"/>
        <v>0</v>
      </c>
    </row>
    <row r="1264" spans="32:32" x14ac:dyDescent="0.3">
      <c r="AF1264" s="47">
        <f t="shared" si="19"/>
        <v>0</v>
      </c>
    </row>
    <row r="1265" spans="32:32" x14ac:dyDescent="0.3">
      <c r="AF1265" s="47">
        <f t="shared" si="19"/>
        <v>0</v>
      </c>
    </row>
    <row r="1266" spans="32:32" x14ac:dyDescent="0.3">
      <c r="AF1266" s="47">
        <f t="shared" si="19"/>
        <v>0</v>
      </c>
    </row>
    <row r="1267" spans="32:32" x14ac:dyDescent="0.3">
      <c r="AF1267" s="47">
        <f t="shared" si="19"/>
        <v>0</v>
      </c>
    </row>
    <row r="1268" spans="32:32" x14ac:dyDescent="0.3">
      <c r="AF1268" s="47">
        <f t="shared" si="19"/>
        <v>0</v>
      </c>
    </row>
    <row r="1269" spans="32:32" x14ac:dyDescent="0.3">
      <c r="AF1269" s="47">
        <f t="shared" si="19"/>
        <v>0</v>
      </c>
    </row>
    <row r="1270" spans="32:32" x14ac:dyDescent="0.3">
      <c r="AF1270" s="47">
        <f t="shared" si="19"/>
        <v>0</v>
      </c>
    </row>
    <row r="1271" spans="32:32" x14ac:dyDescent="0.3">
      <c r="AF1271" s="47">
        <f t="shared" si="19"/>
        <v>0</v>
      </c>
    </row>
    <row r="1272" spans="32:32" x14ac:dyDescent="0.3">
      <c r="AF1272" s="47">
        <f t="shared" si="19"/>
        <v>0</v>
      </c>
    </row>
    <row r="1273" spans="32:32" x14ac:dyDescent="0.3">
      <c r="AF1273" s="47">
        <f t="shared" si="19"/>
        <v>0</v>
      </c>
    </row>
    <row r="1274" spans="32:32" x14ac:dyDescent="0.3">
      <c r="AF1274" s="47">
        <f t="shared" si="19"/>
        <v>0</v>
      </c>
    </row>
    <row r="1275" spans="32:32" x14ac:dyDescent="0.3">
      <c r="AF1275" s="47">
        <f t="shared" si="19"/>
        <v>0</v>
      </c>
    </row>
    <row r="1276" spans="32:32" x14ac:dyDescent="0.3">
      <c r="AF1276" s="47">
        <f t="shared" si="19"/>
        <v>0</v>
      </c>
    </row>
    <row r="1277" spans="32:32" x14ac:dyDescent="0.3">
      <c r="AF1277" s="47">
        <f t="shared" si="19"/>
        <v>0</v>
      </c>
    </row>
    <row r="1278" spans="32:32" x14ac:dyDescent="0.3">
      <c r="AF1278" s="47">
        <f t="shared" si="19"/>
        <v>0</v>
      </c>
    </row>
    <row r="1279" spans="32:32" x14ac:dyDescent="0.3">
      <c r="AF1279" s="47">
        <f t="shared" si="19"/>
        <v>0</v>
      </c>
    </row>
    <row r="1280" spans="32:32" x14ac:dyDescent="0.3">
      <c r="AF1280" s="47">
        <f t="shared" si="19"/>
        <v>0</v>
      </c>
    </row>
    <row r="1281" spans="32:32" x14ac:dyDescent="0.3">
      <c r="AF1281" s="47">
        <f t="shared" si="19"/>
        <v>0</v>
      </c>
    </row>
    <row r="1282" spans="32:32" x14ac:dyDescent="0.3">
      <c r="AF1282" s="47">
        <f t="shared" si="19"/>
        <v>0</v>
      </c>
    </row>
    <row r="1283" spans="32:32" x14ac:dyDescent="0.3">
      <c r="AF1283" s="47">
        <f t="shared" ref="AF1283:AF1346" si="20">IFERROR(AC1283-Y1283,"")</f>
        <v>0</v>
      </c>
    </row>
    <row r="1284" spans="32:32" x14ac:dyDescent="0.3">
      <c r="AF1284" s="47">
        <f t="shared" si="20"/>
        <v>0</v>
      </c>
    </row>
    <row r="1285" spans="32:32" x14ac:dyDescent="0.3">
      <c r="AF1285" s="47">
        <f t="shared" si="20"/>
        <v>0</v>
      </c>
    </row>
    <row r="1286" spans="32:32" x14ac:dyDescent="0.3">
      <c r="AF1286" s="47">
        <f t="shared" si="20"/>
        <v>0</v>
      </c>
    </row>
    <row r="1287" spans="32:32" x14ac:dyDescent="0.3">
      <c r="AF1287" s="47">
        <f t="shared" si="20"/>
        <v>0</v>
      </c>
    </row>
    <row r="1288" spans="32:32" x14ac:dyDescent="0.3">
      <c r="AF1288" s="47">
        <f t="shared" si="20"/>
        <v>0</v>
      </c>
    </row>
    <row r="1289" spans="32:32" x14ac:dyDescent="0.3">
      <c r="AF1289" s="47">
        <f t="shared" si="20"/>
        <v>0</v>
      </c>
    </row>
    <row r="1290" spans="32:32" x14ac:dyDescent="0.3">
      <c r="AF1290" s="47">
        <f t="shared" si="20"/>
        <v>0</v>
      </c>
    </row>
    <row r="1291" spans="32:32" x14ac:dyDescent="0.3">
      <c r="AF1291" s="47">
        <f t="shared" si="20"/>
        <v>0</v>
      </c>
    </row>
    <row r="1292" spans="32:32" x14ac:dyDescent="0.3">
      <c r="AF1292" s="47">
        <f t="shared" si="20"/>
        <v>0</v>
      </c>
    </row>
    <row r="1293" spans="32:32" x14ac:dyDescent="0.3">
      <c r="AF1293" s="47">
        <f t="shared" si="20"/>
        <v>0</v>
      </c>
    </row>
    <row r="1294" spans="32:32" x14ac:dyDescent="0.3">
      <c r="AF1294" s="47">
        <f t="shared" si="20"/>
        <v>0</v>
      </c>
    </row>
    <row r="1295" spans="32:32" x14ac:dyDescent="0.3">
      <c r="AF1295" s="47">
        <f t="shared" si="20"/>
        <v>0</v>
      </c>
    </row>
    <row r="1296" spans="32:32" x14ac:dyDescent="0.3">
      <c r="AF1296" s="47">
        <f t="shared" si="20"/>
        <v>0</v>
      </c>
    </row>
    <row r="1297" spans="32:32" x14ac:dyDescent="0.3">
      <c r="AF1297" s="47">
        <f t="shared" si="20"/>
        <v>0</v>
      </c>
    </row>
    <row r="1298" spans="32:32" x14ac:dyDescent="0.3">
      <c r="AF1298" s="47">
        <f t="shared" si="20"/>
        <v>0</v>
      </c>
    </row>
    <row r="1299" spans="32:32" x14ac:dyDescent="0.3">
      <c r="AF1299" s="47">
        <f t="shared" si="20"/>
        <v>0</v>
      </c>
    </row>
    <row r="1300" spans="32:32" x14ac:dyDescent="0.3">
      <c r="AF1300" s="47">
        <f t="shared" si="20"/>
        <v>0</v>
      </c>
    </row>
    <row r="1301" spans="32:32" x14ac:dyDescent="0.3">
      <c r="AF1301" s="47">
        <f t="shared" si="20"/>
        <v>0</v>
      </c>
    </row>
    <row r="1302" spans="32:32" x14ac:dyDescent="0.3">
      <c r="AF1302" s="47">
        <f t="shared" si="20"/>
        <v>0</v>
      </c>
    </row>
    <row r="1303" spans="32:32" x14ac:dyDescent="0.3">
      <c r="AF1303" s="47">
        <f t="shared" si="20"/>
        <v>0</v>
      </c>
    </row>
    <row r="1304" spans="32:32" x14ac:dyDescent="0.3">
      <c r="AF1304" s="47">
        <f t="shared" si="20"/>
        <v>0</v>
      </c>
    </row>
    <row r="1305" spans="32:32" x14ac:dyDescent="0.3">
      <c r="AF1305" s="47">
        <f t="shared" si="20"/>
        <v>0</v>
      </c>
    </row>
    <row r="1306" spans="32:32" x14ac:dyDescent="0.3">
      <c r="AF1306" s="47">
        <f t="shared" si="20"/>
        <v>0</v>
      </c>
    </row>
    <row r="1307" spans="32:32" x14ac:dyDescent="0.3">
      <c r="AF1307" s="47">
        <f t="shared" si="20"/>
        <v>0</v>
      </c>
    </row>
    <row r="1308" spans="32:32" x14ac:dyDescent="0.3">
      <c r="AF1308" s="47">
        <f t="shared" si="20"/>
        <v>0</v>
      </c>
    </row>
    <row r="1309" spans="32:32" x14ac:dyDescent="0.3">
      <c r="AF1309" s="47">
        <f t="shared" si="20"/>
        <v>0</v>
      </c>
    </row>
    <row r="1310" spans="32:32" x14ac:dyDescent="0.3">
      <c r="AF1310" s="47">
        <f t="shared" si="20"/>
        <v>0</v>
      </c>
    </row>
    <row r="1311" spans="32:32" x14ac:dyDescent="0.3">
      <c r="AF1311" s="47">
        <f t="shared" si="20"/>
        <v>0</v>
      </c>
    </row>
    <row r="1312" spans="32:32" x14ac:dyDescent="0.3">
      <c r="AF1312" s="47">
        <f t="shared" si="20"/>
        <v>0</v>
      </c>
    </row>
    <row r="1313" spans="32:32" x14ac:dyDescent="0.3">
      <c r="AF1313" s="47">
        <f t="shared" si="20"/>
        <v>0</v>
      </c>
    </row>
    <row r="1314" spans="32:32" x14ac:dyDescent="0.3">
      <c r="AF1314" s="47">
        <f t="shared" si="20"/>
        <v>0</v>
      </c>
    </row>
    <row r="1315" spans="32:32" x14ac:dyDescent="0.3">
      <c r="AF1315" s="47">
        <f t="shared" si="20"/>
        <v>0</v>
      </c>
    </row>
    <row r="1316" spans="32:32" x14ac:dyDescent="0.3">
      <c r="AF1316" s="47">
        <f t="shared" si="20"/>
        <v>0</v>
      </c>
    </row>
    <row r="1317" spans="32:32" x14ac:dyDescent="0.3">
      <c r="AF1317" s="47">
        <f t="shared" si="20"/>
        <v>0</v>
      </c>
    </row>
    <row r="1318" spans="32:32" x14ac:dyDescent="0.3">
      <c r="AF1318" s="47">
        <f t="shared" si="20"/>
        <v>0</v>
      </c>
    </row>
    <row r="1319" spans="32:32" x14ac:dyDescent="0.3">
      <c r="AF1319" s="47">
        <f t="shared" si="20"/>
        <v>0</v>
      </c>
    </row>
    <row r="1320" spans="32:32" x14ac:dyDescent="0.3">
      <c r="AF1320" s="47">
        <f t="shared" si="20"/>
        <v>0</v>
      </c>
    </row>
    <row r="1321" spans="32:32" x14ac:dyDescent="0.3">
      <c r="AF1321" s="47">
        <f t="shared" si="20"/>
        <v>0</v>
      </c>
    </row>
    <row r="1322" spans="32:32" x14ac:dyDescent="0.3">
      <c r="AF1322" s="47">
        <f t="shared" si="20"/>
        <v>0</v>
      </c>
    </row>
    <row r="1323" spans="32:32" x14ac:dyDescent="0.3">
      <c r="AF1323" s="47">
        <f t="shared" si="20"/>
        <v>0</v>
      </c>
    </row>
    <row r="1324" spans="32:32" x14ac:dyDescent="0.3">
      <c r="AF1324" s="47">
        <f t="shared" si="20"/>
        <v>0</v>
      </c>
    </row>
    <row r="1325" spans="32:32" x14ac:dyDescent="0.3">
      <c r="AF1325" s="47">
        <f t="shared" si="20"/>
        <v>0</v>
      </c>
    </row>
    <row r="1326" spans="32:32" x14ac:dyDescent="0.3">
      <c r="AF1326" s="47">
        <f t="shared" si="20"/>
        <v>0</v>
      </c>
    </row>
    <row r="1327" spans="32:32" x14ac:dyDescent="0.3">
      <c r="AF1327" s="47">
        <f t="shared" si="20"/>
        <v>0</v>
      </c>
    </row>
    <row r="1328" spans="32:32" x14ac:dyDescent="0.3">
      <c r="AF1328" s="47">
        <f t="shared" si="20"/>
        <v>0</v>
      </c>
    </row>
    <row r="1329" spans="32:32" x14ac:dyDescent="0.3">
      <c r="AF1329" s="47">
        <f t="shared" si="20"/>
        <v>0</v>
      </c>
    </row>
    <row r="1330" spans="32:32" x14ac:dyDescent="0.3">
      <c r="AF1330" s="47">
        <f t="shared" si="20"/>
        <v>0</v>
      </c>
    </row>
    <row r="1331" spans="32:32" x14ac:dyDescent="0.3">
      <c r="AF1331" s="47">
        <f t="shared" si="20"/>
        <v>0</v>
      </c>
    </row>
    <row r="1332" spans="32:32" x14ac:dyDescent="0.3">
      <c r="AF1332" s="47">
        <f t="shared" si="20"/>
        <v>0</v>
      </c>
    </row>
    <row r="1333" spans="32:32" x14ac:dyDescent="0.3">
      <c r="AF1333" s="47">
        <f t="shared" si="20"/>
        <v>0</v>
      </c>
    </row>
    <row r="1334" spans="32:32" x14ac:dyDescent="0.3">
      <c r="AF1334" s="47">
        <f t="shared" si="20"/>
        <v>0</v>
      </c>
    </row>
    <row r="1335" spans="32:32" x14ac:dyDescent="0.3">
      <c r="AF1335" s="47">
        <f t="shared" si="20"/>
        <v>0</v>
      </c>
    </row>
    <row r="1336" spans="32:32" x14ac:dyDescent="0.3">
      <c r="AF1336" s="47">
        <f t="shared" si="20"/>
        <v>0</v>
      </c>
    </row>
    <row r="1337" spans="32:32" x14ac:dyDescent="0.3">
      <c r="AF1337" s="47">
        <f t="shared" si="20"/>
        <v>0</v>
      </c>
    </row>
    <row r="1338" spans="32:32" x14ac:dyDescent="0.3">
      <c r="AF1338" s="47">
        <f t="shared" si="20"/>
        <v>0</v>
      </c>
    </row>
    <row r="1339" spans="32:32" x14ac:dyDescent="0.3">
      <c r="AF1339" s="47">
        <f t="shared" si="20"/>
        <v>0</v>
      </c>
    </row>
    <row r="1340" spans="32:32" x14ac:dyDescent="0.3">
      <c r="AF1340" s="47">
        <f t="shared" si="20"/>
        <v>0</v>
      </c>
    </row>
    <row r="1341" spans="32:32" x14ac:dyDescent="0.3">
      <c r="AF1341" s="47">
        <f t="shared" si="20"/>
        <v>0</v>
      </c>
    </row>
    <row r="1342" spans="32:32" x14ac:dyDescent="0.3">
      <c r="AF1342" s="47">
        <f t="shared" si="20"/>
        <v>0</v>
      </c>
    </row>
    <row r="1343" spans="32:32" x14ac:dyDescent="0.3">
      <c r="AF1343" s="47">
        <f t="shared" si="20"/>
        <v>0</v>
      </c>
    </row>
    <row r="1344" spans="32:32" x14ac:dyDescent="0.3">
      <c r="AF1344" s="47">
        <f t="shared" si="20"/>
        <v>0</v>
      </c>
    </row>
    <row r="1345" spans="32:32" x14ac:dyDescent="0.3">
      <c r="AF1345" s="47">
        <f t="shared" si="20"/>
        <v>0</v>
      </c>
    </row>
    <row r="1346" spans="32:32" x14ac:dyDescent="0.3">
      <c r="AF1346" s="47">
        <f t="shared" si="20"/>
        <v>0</v>
      </c>
    </row>
    <row r="1347" spans="32:32" x14ac:dyDescent="0.3">
      <c r="AF1347" s="47">
        <f t="shared" ref="AF1347:AF1410" si="21">IFERROR(AC1347-Y1347,"")</f>
        <v>0</v>
      </c>
    </row>
    <row r="1348" spans="32:32" x14ac:dyDescent="0.3">
      <c r="AF1348" s="47">
        <f t="shared" si="21"/>
        <v>0</v>
      </c>
    </row>
    <row r="1349" spans="32:32" x14ac:dyDescent="0.3">
      <c r="AF1349" s="47">
        <f t="shared" si="21"/>
        <v>0</v>
      </c>
    </row>
    <row r="1350" spans="32:32" x14ac:dyDescent="0.3">
      <c r="AF1350" s="47">
        <f t="shared" si="21"/>
        <v>0</v>
      </c>
    </row>
    <row r="1351" spans="32:32" x14ac:dyDescent="0.3">
      <c r="AF1351" s="47">
        <f t="shared" si="21"/>
        <v>0</v>
      </c>
    </row>
    <row r="1352" spans="32:32" x14ac:dyDescent="0.3">
      <c r="AF1352" s="47">
        <f t="shared" si="21"/>
        <v>0</v>
      </c>
    </row>
    <row r="1353" spans="32:32" x14ac:dyDescent="0.3">
      <c r="AF1353" s="47">
        <f t="shared" si="21"/>
        <v>0</v>
      </c>
    </row>
    <row r="1354" spans="32:32" x14ac:dyDescent="0.3">
      <c r="AF1354" s="47">
        <f t="shared" si="21"/>
        <v>0</v>
      </c>
    </row>
    <row r="1355" spans="32:32" x14ac:dyDescent="0.3">
      <c r="AF1355" s="47">
        <f t="shared" si="21"/>
        <v>0</v>
      </c>
    </row>
    <row r="1356" spans="32:32" x14ac:dyDescent="0.3">
      <c r="AF1356" s="47">
        <f t="shared" si="21"/>
        <v>0</v>
      </c>
    </row>
    <row r="1357" spans="32:32" x14ac:dyDescent="0.3">
      <c r="AF1357" s="47">
        <f t="shared" si="21"/>
        <v>0</v>
      </c>
    </row>
    <row r="1358" spans="32:32" x14ac:dyDescent="0.3">
      <c r="AF1358" s="47">
        <f t="shared" si="21"/>
        <v>0</v>
      </c>
    </row>
    <row r="1359" spans="32:32" x14ac:dyDescent="0.3">
      <c r="AF1359" s="47">
        <f t="shared" si="21"/>
        <v>0</v>
      </c>
    </row>
    <row r="1360" spans="32:32" x14ac:dyDescent="0.3">
      <c r="AF1360" s="47">
        <f t="shared" si="21"/>
        <v>0</v>
      </c>
    </row>
    <row r="1361" spans="32:32" x14ac:dyDescent="0.3">
      <c r="AF1361" s="47">
        <f t="shared" si="21"/>
        <v>0</v>
      </c>
    </row>
    <row r="1362" spans="32:32" x14ac:dyDescent="0.3">
      <c r="AF1362" s="47">
        <f t="shared" si="21"/>
        <v>0</v>
      </c>
    </row>
    <row r="1363" spans="32:32" x14ac:dyDescent="0.3">
      <c r="AF1363" s="47">
        <f t="shared" si="21"/>
        <v>0</v>
      </c>
    </row>
    <row r="1364" spans="32:32" x14ac:dyDescent="0.3">
      <c r="AF1364" s="47">
        <f t="shared" si="21"/>
        <v>0</v>
      </c>
    </row>
    <row r="1365" spans="32:32" x14ac:dyDescent="0.3">
      <c r="AF1365" s="47">
        <f t="shared" si="21"/>
        <v>0</v>
      </c>
    </row>
    <row r="1366" spans="32:32" x14ac:dyDescent="0.3">
      <c r="AF1366" s="47">
        <f t="shared" si="21"/>
        <v>0</v>
      </c>
    </row>
    <row r="1367" spans="32:32" x14ac:dyDescent="0.3">
      <c r="AF1367" s="47">
        <f t="shared" si="21"/>
        <v>0</v>
      </c>
    </row>
    <row r="1368" spans="32:32" x14ac:dyDescent="0.3">
      <c r="AF1368" s="47">
        <f t="shared" si="21"/>
        <v>0</v>
      </c>
    </row>
    <row r="1369" spans="32:32" x14ac:dyDescent="0.3">
      <c r="AF1369" s="47">
        <f t="shared" si="21"/>
        <v>0</v>
      </c>
    </row>
    <row r="1370" spans="32:32" x14ac:dyDescent="0.3">
      <c r="AF1370" s="47">
        <f t="shared" si="21"/>
        <v>0</v>
      </c>
    </row>
    <row r="1371" spans="32:32" x14ac:dyDescent="0.3">
      <c r="AF1371" s="47">
        <f t="shared" si="21"/>
        <v>0</v>
      </c>
    </row>
    <row r="1372" spans="32:32" x14ac:dyDescent="0.3">
      <c r="AF1372" s="47">
        <f t="shared" si="21"/>
        <v>0</v>
      </c>
    </row>
    <row r="1373" spans="32:32" x14ac:dyDescent="0.3">
      <c r="AF1373" s="47">
        <f t="shared" si="21"/>
        <v>0</v>
      </c>
    </row>
    <row r="1374" spans="32:32" x14ac:dyDescent="0.3">
      <c r="AF1374" s="47">
        <f t="shared" si="21"/>
        <v>0</v>
      </c>
    </row>
    <row r="1375" spans="32:32" x14ac:dyDescent="0.3">
      <c r="AF1375" s="47">
        <f t="shared" si="21"/>
        <v>0</v>
      </c>
    </row>
    <row r="1376" spans="32:32" x14ac:dyDescent="0.3">
      <c r="AF1376" s="47">
        <f t="shared" si="21"/>
        <v>0</v>
      </c>
    </row>
    <row r="1377" spans="32:32" x14ac:dyDescent="0.3">
      <c r="AF1377" s="47">
        <f t="shared" si="21"/>
        <v>0</v>
      </c>
    </row>
    <row r="1378" spans="32:32" x14ac:dyDescent="0.3">
      <c r="AF1378" s="47">
        <f t="shared" si="21"/>
        <v>0</v>
      </c>
    </row>
    <row r="1379" spans="32:32" x14ac:dyDescent="0.3">
      <c r="AF1379" s="47">
        <f t="shared" si="21"/>
        <v>0</v>
      </c>
    </row>
    <row r="1380" spans="32:32" x14ac:dyDescent="0.3">
      <c r="AF1380" s="47">
        <f t="shared" si="21"/>
        <v>0</v>
      </c>
    </row>
    <row r="1381" spans="32:32" x14ac:dyDescent="0.3">
      <c r="AF1381" s="47">
        <f t="shared" si="21"/>
        <v>0</v>
      </c>
    </row>
    <row r="1382" spans="32:32" x14ac:dyDescent="0.3">
      <c r="AF1382" s="47">
        <f t="shared" si="21"/>
        <v>0</v>
      </c>
    </row>
    <row r="1383" spans="32:32" x14ac:dyDescent="0.3">
      <c r="AF1383" s="47">
        <f t="shared" si="21"/>
        <v>0</v>
      </c>
    </row>
    <row r="1384" spans="32:32" x14ac:dyDescent="0.3">
      <c r="AF1384" s="47">
        <f t="shared" si="21"/>
        <v>0</v>
      </c>
    </row>
    <row r="1385" spans="32:32" x14ac:dyDescent="0.3">
      <c r="AF1385" s="47">
        <f t="shared" si="21"/>
        <v>0</v>
      </c>
    </row>
    <row r="1386" spans="32:32" x14ac:dyDescent="0.3">
      <c r="AF1386" s="47">
        <f t="shared" si="21"/>
        <v>0</v>
      </c>
    </row>
    <row r="1387" spans="32:32" x14ac:dyDescent="0.3">
      <c r="AF1387" s="47">
        <f t="shared" si="21"/>
        <v>0</v>
      </c>
    </row>
    <row r="1388" spans="32:32" x14ac:dyDescent="0.3">
      <c r="AF1388" s="47">
        <f t="shared" si="21"/>
        <v>0</v>
      </c>
    </row>
    <row r="1389" spans="32:32" x14ac:dyDescent="0.3">
      <c r="AF1389" s="47">
        <f t="shared" si="21"/>
        <v>0</v>
      </c>
    </row>
    <row r="1390" spans="32:32" x14ac:dyDescent="0.3">
      <c r="AF1390" s="47">
        <f t="shared" si="21"/>
        <v>0</v>
      </c>
    </row>
    <row r="1391" spans="32:32" x14ac:dyDescent="0.3">
      <c r="AF1391" s="47">
        <f t="shared" si="21"/>
        <v>0</v>
      </c>
    </row>
    <row r="1392" spans="32:32" x14ac:dyDescent="0.3">
      <c r="AF1392" s="47">
        <f t="shared" si="21"/>
        <v>0</v>
      </c>
    </row>
    <row r="1393" spans="32:32" x14ac:dyDescent="0.3">
      <c r="AF1393" s="47">
        <f t="shared" si="21"/>
        <v>0</v>
      </c>
    </row>
    <row r="1394" spans="32:32" x14ac:dyDescent="0.3">
      <c r="AF1394" s="47">
        <f t="shared" si="21"/>
        <v>0</v>
      </c>
    </row>
    <row r="1395" spans="32:32" x14ac:dyDescent="0.3">
      <c r="AF1395" s="47">
        <f t="shared" si="21"/>
        <v>0</v>
      </c>
    </row>
    <row r="1396" spans="32:32" x14ac:dyDescent="0.3">
      <c r="AF1396" s="47">
        <f t="shared" si="21"/>
        <v>0</v>
      </c>
    </row>
    <row r="1397" spans="32:32" x14ac:dyDescent="0.3">
      <c r="AF1397" s="47">
        <f t="shared" si="21"/>
        <v>0</v>
      </c>
    </row>
    <row r="1398" spans="32:32" x14ac:dyDescent="0.3">
      <c r="AF1398" s="47">
        <f t="shared" si="21"/>
        <v>0</v>
      </c>
    </row>
    <row r="1399" spans="32:32" x14ac:dyDescent="0.3">
      <c r="AF1399" s="47">
        <f t="shared" si="21"/>
        <v>0</v>
      </c>
    </row>
    <row r="1400" spans="32:32" x14ac:dyDescent="0.3">
      <c r="AF1400" s="47">
        <f t="shared" si="21"/>
        <v>0</v>
      </c>
    </row>
    <row r="1401" spans="32:32" x14ac:dyDescent="0.3">
      <c r="AF1401" s="47">
        <f t="shared" si="21"/>
        <v>0</v>
      </c>
    </row>
    <row r="1402" spans="32:32" x14ac:dyDescent="0.3">
      <c r="AF1402" s="47">
        <f t="shared" si="21"/>
        <v>0</v>
      </c>
    </row>
    <row r="1403" spans="32:32" x14ac:dyDescent="0.3">
      <c r="AF1403" s="47">
        <f t="shared" si="21"/>
        <v>0</v>
      </c>
    </row>
    <row r="1404" spans="32:32" x14ac:dyDescent="0.3">
      <c r="AF1404" s="47">
        <f t="shared" si="21"/>
        <v>0</v>
      </c>
    </row>
    <row r="1405" spans="32:32" x14ac:dyDescent="0.3">
      <c r="AF1405" s="47">
        <f t="shared" si="21"/>
        <v>0</v>
      </c>
    </row>
    <row r="1406" spans="32:32" x14ac:dyDescent="0.3">
      <c r="AF1406" s="47">
        <f t="shared" si="21"/>
        <v>0</v>
      </c>
    </row>
    <row r="1407" spans="32:32" x14ac:dyDescent="0.3">
      <c r="AF1407" s="47">
        <f t="shared" si="21"/>
        <v>0</v>
      </c>
    </row>
    <row r="1408" spans="32:32" x14ac:dyDescent="0.3">
      <c r="AF1408" s="47">
        <f t="shared" si="21"/>
        <v>0</v>
      </c>
    </row>
    <row r="1409" spans="32:32" x14ac:dyDescent="0.3">
      <c r="AF1409" s="47">
        <f t="shared" si="21"/>
        <v>0</v>
      </c>
    </row>
    <row r="1410" spans="32:32" x14ac:dyDescent="0.3">
      <c r="AF1410" s="47">
        <f t="shared" si="21"/>
        <v>0</v>
      </c>
    </row>
    <row r="1411" spans="32:32" x14ac:dyDescent="0.3">
      <c r="AF1411" s="47">
        <f t="shared" ref="AF1411:AF1474" si="22">IFERROR(AC1411-Y1411,"")</f>
        <v>0</v>
      </c>
    </row>
    <row r="1412" spans="32:32" x14ac:dyDescent="0.3">
      <c r="AF1412" s="47">
        <f t="shared" si="22"/>
        <v>0</v>
      </c>
    </row>
    <row r="1413" spans="32:32" x14ac:dyDescent="0.3">
      <c r="AF1413" s="47">
        <f t="shared" si="22"/>
        <v>0</v>
      </c>
    </row>
    <row r="1414" spans="32:32" x14ac:dyDescent="0.3">
      <c r="AF1414" s="47">
        <f t="shared" si="22"/>
        <v>0</v>
      </c>
    </row>
    <row r="1415" spans="32:32" x14ac:dyDescent="0.3">
      <c r="AF1415" s="47">
        <f t="shared" si="22"/>
        <v>0</v>
      </c>
    </row>
    <row r="1416" spans="32:32" x14ac:dyDescent="0.3">
      <c r="AF1416" s="47">
        <f t="shared" si="22"/>
        <v>0</v>
      </c>
    </row>
    <row r="1417" spans="32:32" x14ac:dyDescent="0.3">
      <c r="AF1417" s="47">
        <f t="shared" si="22"/>
        <v>0</v>
      </c>
    </row>
    <row r="1418" spans="32:32" x14ac:dyDescent="0.3">
      <c r="AF1418" s="47">
        <f t="shared" si="22"/>
        <v>0</v>
      </c>
    </row>
    <row r="1419" spans="32:32" x14ac:dyDescent="0.3">
      <c r="AF1419" s="47">
        <f t="shared" si="22"/>
        <v>0</v>
      </c>
    </row>
    <row r="1420" spans="32:32" x14ac:dyDescent="0.3">
      <c r="AF1420" s="47">
        <f t="shared" si="22"/>
        <v>0</v>
      </c>
    </row>
    <row r="1421" spans="32:32" x14ac:dyDescent="0.3">
      <c r="AF1421" s="47">
        <f t="shared" si="22"/>
        <v>0</v>
      </c>
    </row>
    <row r="1422" spans="32:32" x14ac:dyDescent="0.3">
      <c r="AF1422" s="47">
        <f t="shared" si="22"/>
        <v>0</v>
      </c>
    </row>
    <row r="1423" spans="32:32" x14ac:dyDescent="0.3">
      <c r="AF1423" s="47">
        <f t="shared" si="22"/>
        <v>0</v>
      </c>
    </row>
    <row r="1424" spans="32:32" x14ac:dyDescent="0.3">
      <c r="AF1424" s="47">
        <f t="shared" si="22"/>
        <v>0</v>
      </c>
    </row>
    <row r="1425" spans="32:32" x14ac:dyDescent="0.3">
      <c r="AF1425" s="47">
        <f t="shared" si="22"/>
        <v>0</v>
      </c>
    </row>
    <row r="1426" spans="32:32" x14ac:dyDescent="0.3">
      <c r="AF1426" s="47">
        <f t="shared" si="22"/>
        <v>0</v>
      </c>
    </row>
    <row r="1427" spans="32:32" x14ac:dyDescent="0.3">
      <c r="AF1427" s="47">
        <f t="shared" si="22"/>
        <v>0</v>
      </c>
    </row>
    <row r="1428" spans="32:32" x14ac:dyDescent="0.3">
      <c r="AF1428" s="47">
        <f t="shared" si="22"/>
        <v>0</v>
      </c>
    </row>
    <row r="1429" spans="32:32" x14ac:dyDescent="0.3">
      <c r="AF1429" s="47">
        <f t="shared" si="22"/>
        <v>0</v>
      </c>
    </row>
    <row r="1430" spans="32:32" x14ac:dyDescent="0.3">
      <c r="AF1430" s="47">
        <f t="shared" si="22"/>
        <v>0</v>
      </c>
    </row>
    <row r="1431" spans="32:32" x14ac:dyDescent="0.3">
      <c r="AF1431" s="47">
        <f t="shared" si="22"/>
        <v>0</v>
      </c>
    </row>
    <row r="1432" spans="32:32" x14ac:dyDescent="0.3">
      <c r="AF1432" s="47">
        <f t="shared" si="22"/>
        <v>0</v>
      </c>
    </row>
    <row r="1433" spans="32:32" x14ac:dyDescent="0.3">
      <c r="AF1433" s="47">
        <f t="shared" si="22"/>
        <v>0</v>
      </c>
    </row>
    <row r="1434" spans="32:32" x14ac:dyDescent="0.3">
      <c r="AF1434" s="47">
        <f t="shared" si="22"/>
        <v>0</v>
      </c>
    </row>
    <row r="1435" spans="32:32" x14ac:dyDescent="0.3">
      <c r="AF1435" s="47">
        <f t="shared" si="22"/>
        <v>0</v>
      </c>
    </row>
    <row r="1436" spans="32:32" x14ac:dyDescent="0.3">
      <c r="AF1436" s="47">
        <f t="shared" si="22"/>
        <v>0</v>
      </c>
    </row>
    <row r="1437" spans="32:32" x14ac:dyDescent="0.3">
      <c r="AF1437" s="47">
        <f t="shared" si="22"/>
        <v>0</v>
      </c>
    </row>
    <row r="1438" spans="32:32" x14ac:dyDescent="0.3">
      <c r="AF1438" s="47">
        <f t="shared" si="22"/>
        <v>0</v>
      </c>
    </row>
    <row r="1439" spans="32:32" x14ac:dyDescent="0.3">
      <c r="AF1439" s="47">
        <f t="shared" si="22"/>
        <v>0</v>
      </c>
    </row>
    <row r="1440" spans="32:32" x14ac:dyDescent="0.3">
      <c r="AF1440" s="47">
        <f t="shared" si="22"/>
        <v>0</v>
      </c>
    </row>
    <row r="1441" spans="32:32" x14ac:dyDescent="0.3">
      <c r="AF1441" s="47">
        <f t="shared" si="22"/>
        <v>0</v>
      </c>
    </row>
    <row r="1442" spans="32:32" x14ac:dyDescent="0.3">
      <c r="AF1442" s="47">
        <f t="shared" si="22"/>
        <v>0</v>
      </c>
    </row>
    <row r="1443" spans="32:32" x14ac:dyDescent="0.3">
      <c r="AF1443" s="47">
        <f t="shared" si="22"/>
        <v>0</v>
      </c>
    </row>
    <row r="1444" spans="32:32" x14ac:dyDescent="0.3">
      <c r="AF1444" s="47">
        <f t="shared" si="22"/>
        <v>0</v>
      </c>
    </row>
    <row r="1445" spans="32:32" x14ac:dyDescent="0.3">
      <c r="AF1445" s="47">
        <f t="shared" si="22"/>
        <v>0</v>
      </c>
    </row>
    <row r="1446" spans="32:32" x14ac:dyDescent="0.3">
      <c r="AF1446" s="47">
        <f t="shared" si="22"/>
        <v>0</v>
      </c>
    </row>
    <row r="1447" spans="32:32" x14ac:dyDescent="0.3">
      <c r="AF1447" s="47">
        <f t="shared" si="22"/>
        <v>0</v>
      </c>
    </row>
    <row r="1448" spans="32:32" x14ac:dyDescent="0.3">
      <c r="AF1448" s="47">
        <f t="shared" si="22"/>
        <v>0</v>
      </c>
    </row>
    <row r="1449" spans="32:32" x14ac:dyDescent="0.3">
      <c r="AF1449" s="47">
        <f t="shared" si="22"/>
        <v>0</v>
      </c>
    </row>
    <row r="1450" spans="32:32" x14ac:dyDescent="0.3">
      <c r="AF1450" s="47">
        <f t="shared" si="22"/>
        <v>0</v>
      </c>
    </row>
    <row r="1451" spans="32:32" x14ac:dyDescent="0.3">
      <c r="AF1451" s="47">
        <f t="shared" si="22"/>
        <v>0</v>
      </c>
    </row>
    <row r="1452" spans="32:32" x14ac:dyDescent="0.3">
      <c r="AF1452" s="47">
        <f t="shared" si="22"/>
        <v>0</v>
      </c>
    </row>
    <row r="1453" spans="32:32" x14ac:dyDescent="0.3">
      <c r="AF1453" s="47">
        <f t="shared" si="22"/>
        <v>0</v>
      </c>
    </row>
    <row r="1454" spans="32:32" x14ac:dyDescent="0.3">
      <c r="AF1454" s="47">
        <f t="shared" si="22"/>
        <v>0</v>
      </c>
    </row>
    <row r="1455" spans="32:32" x14ac:dyDescent="0.3">
      <c r="AF1455" s="47">
        <f t="shared" si="22"/>
        <v>0</v>
      </c>
    </row>
    <row r="1456" spans="32:32" x14ac:dyDescent="0.3">
      <c r="AF1456" s="47">
        <f t="shared" si="22"/>
        <v>0</v>
      </c>
    </row>
    <row r="1457" spans="32:32" x14ac:dyDescent="0.3">
      <c r="AF1457" s="47">
        <f t="shared" si="22"/>
        <v>0</v>
      </c>
    </row>
    <row r="1458" spans="32:32" x14ac:dyDescent="0.3">
      <c r="AF1458" s="47">
        <f t="shared" si="22"/>
        <v>0</v>
      </c>
    </row>
    <row r="1459" spans="32:32" x14ac:dyDescent="0.3">
      <c r="AF1459" s="47">
        <f t="shared" si="22"/>
        <v>0</v>
      </c>
    </row>
    <row r="1460" spans="32:32" x14ac:dyDescent="0.3">
      <c r="AF1460" s="47">
        <f t="shared" si="22"/>
        <v>0</v>
      </c>
    </row>
    <row r="1461" spans="32:32" x14ac:dyDescent="0.3">
      <c r="AF1461" s="47">
        <f t="shared" si="22"/>
        <v>0</v>
      </c>
    </row>
    <row r="1462" spans="32:32" x14ac:dyDescent="0.3">
      <c r="AF1462" s="47">
        <f t="shared" si="22"/>
        <v>0</v>
      </c>
    </row>
    <row r="1463" spans="32:32" x14ac:dyDescent="0.3">
      <c r="AF1463" s="47">
        <f t="shared" si="22"/>
        <v>0</v>
      </c>
    </row>
    <row r="1464" spans="32:32" x14ac:dyDescent="0.3">
      <c r="AF1464" s="47">
        <f t="shared" si="22"/>
        <v>0</v>
      </c>
    </row>
    <row r="1465" spans="32:32" x14ac:dyDescent="0.3">
      <c r="AF1465" s="47">
        <f t="shared" si="22"/>
        <v>0</v>
      </c>
    </row>
    <row r="1466" spans="32:32" x14ac:dyDescent="0.3">
      <c r="AF1466" s="47">
        <f t="shared" si="22"/>
        <v>0</v>
      </c>
    </row>
    <row r="1467" spans="32:32" x14ac:dyDescent="0.3">
      <c r="AF1467" s="47">
        <f t="shared" si="22"/>
        <v>0</v>
      </c>
    </row>
    <row r="1468" spans="32:32" x14ac:dyDescent="0.3">
      <c r="AF1468" s="47">
        <f t="shared" si="22"/>
        <v>0</v>
      </c>
    </row>
    <row r="1469" spans="32:32" x14ac:dyDescent="0.3">
      <c r="AF1469" s="47">
        <f t="shared" si="22"/>
        <v>0</v>
      </c>
    </row>
    <row r="1470" spans="32:32" x14ac:dyDescent="0.3">
      <c r="AF1470" s="47">
        <f t="shared" si="22"/>
        <v>0</v>
      </c>
    </row>
    <row r="1471" spans="32:32" x14ac:dyDescent="0.3">
      <c r="AF1471" s="47">
        <f t="shared" si="22"/>
        <v>0</v>
      </c>
    </row>
    <row r="1472" spans="32:32" x14ac:dyDescent="0.3">
      <c r="AF1472" s="47">
        <f t="shared" si="22"/>
        <v>0</v>
      </c>
    </row>
    <row r="1473" spans="32:32" x14ac:dyDescent="0.3">
      <c r="AF1473" s="47">
        <f t="shared" si="22"/>
        <v>0</v>
      </c>
    </row>
    <row r="1474" spans="32:32" x14ac:dyDescent="0.3">
      <c r="AF1474" s="47">
        <f t="shared" si="22"/>
        <v>0</v>
      </c>
    </row>
    <row r="1475" spans="32:32" x14ac:dyDescent="0.3">
      <c r="AF1475" s="47">
        <f t="shared" ref="AF1475:AF1538" si="23">IFERROR(AC1475-Y1475,"")</f>
        <v>0</v>
      </c>
    </row>
    <row r="1476" spans="32:32" x14ac:dyDescent="0.3">
      <c r="AF1476" s="47">
        <f t="shared" si="23"/>
        <v>0</v>
      </c>
    </row>
    <row r="1477" spans="32:32" x14ac:dyDescent="0.3">
      <c r="AF1477" s="47">
        <f t="shared" si="23"/>
        <v>0</v>
      </c>
    </row>
    <row r="1478" spans="32:32" x14ac:dyDescent="0.3">
      <c r="AF1478" s="47">
        <f t="shared" si="23"/>
        <v>0</v>
      </c>
    </row>
    <row r="1479" spans="32:32" x14ac:dyDescent="0.3">
      <c r="AF1479" s="47">
        <f t="shared" si="23"/>
        <v>0</v>
      </c>
    </row>
    <row r="1480" spans="32:32" x14ac:dyDescent="0.3">
      <c r="AF1480" s="47">
        <f t="shared" si="23"/>
        <v>0</v>
      </c>
    </row>
    <row r="1481" spans="32:32" x14ac:dyDescent="0.3">
      <c r="AF1481" s="47">
        <f t="shared" si="23"/>
        <v>0</v>
      </c>
    </row>
    <row r="1482" spans="32:32" x14ac:dyDescent="0.3">
      <c r="AF1482" s="47">
        <f t="shared" si="23"/>
        <v>0</v>
      </c>
    </row>
    <row r="1483" spans="32:32" x14ac:dyDescent="0.3">
      <c r="AF1483" s="47">
        <f t="shared" si="23"/>
        <v>0</v>
      </c>
    </row>
    <row r="1484" spans="32:32" x14ac:dyDescent="0.3">
      <c r="AF1484" s="47">
        <f t="shared" si="23"/>
        <v>0</v>
      </c>
    </row>
    <row r="1485" spans="32:32" x14ac:dyDescent="0.3">
      <c r="AF1485" s="47">
        <f t="shared" si="23"/>
        <v>0</v>
      </c>
    </row>
    <row r="1486" spans="32:32" x14ac:dyDescent="0.3">
      <c r="AF1486" s="47">
        <f t="shared" si="23"/>
        <v>0</v>
      </c>
    </row>
    <row r="1487" spans="32:32" x14ac:dyDescent="0.3">
      <c r="AF1487" s="47">
        <f t="shared" si="23"/>
        <v>0</v>
      </c>
    </row>
    <row r="1488" spans="32:32" x14ac:dyDescent="0.3">
      <c r="AF1488" s="47">
        <f t="shared" si="23"/>
        <v>0</v>
      </c>
    </row>
    <row r="1489" spans="32:32" x14ac:dyDescent="0.3">
      <c r="AF1489" s="47">
        <f t="shared" si="23"/>
        <v>0</v>
      </c>
    </row>
    <row r="1490" spans="32:32" x14ac:dyDescent="0.3">
      <c r="AF1490" s="47">
        <f t="shared" si="23"/>
        <v>0</v>
      </c>
    </row>
    <row r="1491" spans="32:32" x14ac:dyDescent="0.3">
      <c r="AF1491" s="47">
        <f t="shared" si="23"/>
        <v>0</v>
      </c>
    </row>
    <row r="1492" spans="32:32" x14ac:dyDescent="0.3">
      <c r="AF1492" s="47">
        <f t="shared" si="23"/>
        <v>0</v>
      </c>
    </row>
    <row r="1493" spans="32:32" x14ac:dyDescent="0.3">
      <c r="AF1493" s="47">
        <f t="shared" si="23"/>
        <v>0</v>
      </c>
    </row>
    <row r="1494" spans="32:32" x14ac:dyDescent="0.3">
      <c r="AF1494" s="47">
        <f t="shared" si="23"/>
        <v>0</v>
      </c>
    </row>
    <row r="1495" spans="32:32" x14ac:dyDescent="0.3">
      <c r="AF1495" s="47">
        <f t="shared" si="23"/>
        <v>0</v>
      </c>
    </row>
    <row r="1496" spans="32:32" x14ac:dyDescent="0.3">
      <c r="AF1496" s="47">
        <f t="shared" si="23"/>
        <v>0</v>
      </c>
    </row>
    <row r="1497" spans="32:32" x14ac:dyDescent="0.3">
      <c r="AF1497" s="47">
        <f t="shared" si="23"/>
        <v>0</v>
      </c>
    </row>
    <row r="1498" spans="32:32" x14ac:dyDescent="0.3">
      <c r="AF1498" s="47">
        <f t="shared" si="23"/>
        <v>0</v>
      </c>
    </row>
    <row r="1499" spans="32:32" x14ac:dyDescent="0.3">
      <c r="AF1499" s="47">
        <f t="shared" si="23"/>
        <v>0</v>
      </c>
    </row>
    <row r="1500" spans="32:32" x14ac:dyDescent="0.3">
      <c r="AF1500" s="47">
        <f t="shared" si="23"/>
        <v>0</v>
      </c>
    </row>
    <row r="1501" spans="32:32" x14ac:dyDescent="0.3">
      <c r="AF1501" s="47">
        <f t="shared" si="23"/>
        <v>0</v>
      </c>
    </row>
    <row r="1502" spans="32:32" x14ac:dyDescent="0.3">
      <c r="AF1502" s="47">
        <f t="shared" si="23"/>
        <v>0</v>
      </c>
    </row>
    <row r="1503" spans="32:32" x14ac:dyDescent="0.3">
      <c r="AF1503" s="47">
        <f t="shared" si="23"/>
        <v>0</v>
      </c>
    </row>
    <row r="1504" spans="32:32" x14ac:dyDescent="0.3">
      <c r="AF1504" s="47">
        <f t="shared" si="23"/>
        <v>0</v>
      </c>
    </row>
    <row r="1505" spans="32:32" x14ac:dyDescent="0.3">
      <c r="AF1505" s="47">
        <f t="shared" si="23"/>
        <v>0</v>
      </c>
    </row>
    <row r="1506" spans="32:32" x14ac:dyDescent="0.3">
      <c r="AF1506" s="47">
        <f t="shared" si="23"/>
        <v>0</v>
      </c>
    </row>
    <row r="1507" spans="32:32" x14ac:dyDescent="0.3">
      <c r="AF1507" s="47">
        <f t="shared" si="23"/>
        <v>0</v>
      </c>
    </row>
    <row r="1508" spans="32:32" x14ac:dyDescent="0.3">
      <c r="AF1508" s="47">
        <f t="shared" si="23"/>
        <v>0</v>
      </c>
    </row>
    <row r="1509" spans="32:32" x14ac:dyDescent="0.3">
      <c r="AF1509" s="47">
        <f t="shared" si="23"/>
        <v>0</v>
      </c>
    </row>
    <row r="1510" spans="32:32" x14ac:dyDescent="0.3">
      <c r="AF1510" s="47">
        <f t="shared" si="23"/>
        <v>0</v>
      </c>
    </row>
    <row r="1511" spans="32:32" x14ac:dyDescent="0.3">
      <c r="AF1511" s="47">
        <f t="shared" si="23"/>
        <v>0</v>
      </c>
    </row>
    <row r="1512" spans="32:32" x14ac:dyDescent="0.3">
      <c r="AF1512" s="47">
        <f t="shared" si="23"/>
        <v>0</v>
      </c>
    </row>
    <row r="1513" spans="32:32" x14ac:dyDescent="0.3">
      <c r="AF1513" s="47">
        <f t="shared" si="23"/>
        <v>0</v>
      </c>
    </row>
    <row r="1514" spans="32:32" x14ac:dyDescent="0.3">
      <c r="AF1514" s="47">
        <f t="shared" si="23"/>
        <v>0</v>
      </c>
    </row>
    <row r="1515" spans="32:32" x14ac:dyDescent="0.3">
      <c r="AF1515" s="47">
        <f t="shared" si="23"/>
        <v>0</v>
      </c>
    </row>
    <row r="1516" spans="32:32" x14ac:dyDescent="0.3">
      <c r="AF1516" s="47">
        <f t="shared" si="23"/>
        <v>0</v>
      </c>
    </row>
    <row r="1517" spans="32:32" x14ac:dyDescent="0.3">
      <c r="AF1517" s="47">
        <f t="shared" si="23"/>
        <v>0</v>
      </c>
    </row>
    <row r="1518" spans="32:32" x14ac:dyDescent="0.3">
      <c r="AF1518" s="47">
        <f t="shared" si="23"/>
        <v>0</v>
      </c>
    </row>
    <row r="1519" spans="32:32" x14ac:dyDescent="0.3">
      <c r="AF1519" s="47">
        <f t="shared" si="23"/>
        <v>0</v>
      </c>
    </row>
    <row r="1520" spans="32:32" x14ac:dyDescent="0.3">
      <c r="AF1520" s="47">
        <f t="shared" si="23"/>
        <v>0</v>
      </c>
    </row>
    <row r="1521" spans="32:32" x14ac:dyDescent="0.3">
      <c r="AF1521" s="47">
        <f t="shared" si="23"/>
        <v>0</v>
      </c>
    </row>
    <row r="1522" spans="32:32" x14ac:dyDescent="0.3">
      <c r="AF1522" s="47">
        <f t="shared" si="23"/>
        <v>0</v>
      </c>
    </row>
    <row r="1523" spans="32:32" x14ac:dyDescent="0.3">
      <c r="AF1523" s="47">
        <f t="shared" si="23"/>
        <v>0</v>
      </c>
    </row>
    <row r="1524" spans="32:32" x14ac:dyDescent="0.3">
      <c r="AF1524" s="47">
        <f t="shared" si="23"/>
        <v>0</v>
      </c>
    </row>
    <row r="1525" spans="32:32" x14ac:dyDescent="0.3">
      <c r="AF1525" s="47">
        <f t="shared" si="23"/>
        <v>0</v>
      </c>
    </row>
    <row r="1526" spans="32:32" x14ac:dyDescent="0.3">
      <c r="AF1526" s="47">
        <f t="shared" si="23"/>
        <v>0</v>
      </c>
    </row>
    <row r="1527" spans="32:32" x14ac:dyDescent="0.3">
      <c r="AF1527" s="47">
        <f t="shared" si="23"/>
        <v>0</v>
      </c>
    </row>
    <row r="1528" spans="32:32" x14ac:dyDescent="0.3">
      <c r="AF1528" s="47">
        <f t="shared" si="23"/>
        <v>0</v>
      </c>
    </row>
    <row r="1529" spans="32:32" x14ac:dyDescent="0.3">
      <c r="AF1529" s="47">
        <f t="shared" si="23"/>
        <v>0</v>
      </c>
    </row>
    <row r="1530" spans="32:32" x14ac:dyDescent="0.3">
      <c r="AF1530" s="47">
        <f t="shared" si="23"/>
        <v>0</v>
      </c>
    </row>
    <row r="1531" spans="32:32" x14ac:dyDescent="0.3">
      <c r="AF1531" s="47">
        <f t="shared" si="23"/>
        <v>0</v>
      </c>
    </row>
    <row r="1532" spans="32:32" x14ac:dyDescent="0.3">
      <c r="AF1532" s="47">
        <f t="shared" si="23"/>
        <v>0</v>
      </c>
    </row>
    <row r="1533" spans="32:32" x14ac:dyDescent="0.3">
      <c r="AF1533" s="47">
        <f t="shared" si="23"/>
        <v>0</v>
      </c>
    </row>
    <row r="1534" spans="32:32" x14ac:dyDescent="0.3">
      <c r="AF1534" s="47">
        <f t="shared" si="23"/>
        <v>0</v>
      </c>
    </row>
    <row r="1535" spans="32:32" x14ac:dyDescent="0.3">
      <c r="AF1535" s="47">
        <f t="shared" si="23"/>
        <v>0</v>
      </c>
    </row>
    <row r="1536" spans="32:32" x14ac:dyDescent="0.3">
      <c r="AF1536" s="47">
        <f t="shared" si="23"/>
        <v>0</v>
      </c>
    </row>
    <row r="1537" spans="32:32" x14ac:dyDescent="0.3">
      <c r="AF1537" s="47">
        <f t="shared" si="23"/>
        <v>0</v>
      </c>
    </row>
    <row r="1538" spans="32:32" x14ac:dyDescent="0.3">
      <c r="AF1538" s="47">
        <f t="shared" si="23"/>
        <v>0</v>
      </c>
    </row>
    <row r="1539" spans="32:32" x14ac:dyDescent="0.3">
      <c r="AF1539" s="47">
        <f t="shared" ref="AF1539:AF1602" si="24">IFERROR(AC1539-Y1539,"")</f>
        <v>0</v>
      </c>
    </row>
    <row r="1540" spans="32:32" x14ac:dyDescent="0.3">
      <c r="AF1540" s="47">
        <f t="shared" si="24"/>
        <v>0</v>
      </c>
    </row>
    <row r="1541" spans="32:32" x14ac:dyDescent="0.3">
      <c r="AF1541" s="47">
        <f t="shared" si="24"/>
        <v>0</v>
      </c>
    </row>
    <row r="1542" spans="32:32" x14ac:dyDescent="0.3">
      <c r="AF1542" s="47">
        <f t="shared" si="24"/>
        <v>0</v>
      </c>
    </row>
    <row r="1543" spans="32:32" x14ac:dyDescent="0.3">
      <c r="AF1543" s="47">
        <f t="shared" si="24"/>
        <v>0</v>
      </c>
    </row>
    <row r="1544" spans="32:32" x14ac:dyDescent="0.3">
      <c r="AF1544" s="47">
        <f t="shared" si="24"/>
        <v>0</v>
      </c>
    </row>
    <row r="1545" spans="32:32" x14ac:dyDescent="0.3">
      <c r="AF1545" s="47">
        <f t="shared" si="24"/>
        <v>0</v>
      </c>
    </row>
    <row r="1546" spans="32:32" x14ac:dyDescent="0.3">
      <c r="AF1546" s="47">
        <f t="shared" si="24"/>
        <v>0</v>
      </c>
    </row>
    <row r="1547" spans="32:32" x14ac:dyDescent="0.3">
      <c r="AF1547" s="47">
        <f t="shared" si="24"/>
        <v>0</v>
      </c>
    </row>
    <row r="1548" spans="32:32" x14ac:dyDescent="0.3">
      <c r="AF1548" s="47">
        <f t="shared" si="24"/>
        <v>0</v>
      </c>
    </row>
    <row r="1549" spans="32:32" x14ac:dyDescent="0.3">
      <c r="AF1549" s="47">
        <f t="shared" si="24"/>
        <v>0</v>
      </c>
    </row>
    <row r="1550" spans="32:32" x14ac:dyDescent="0.3">
      <c r="AF1550" s="47">
        <f t="shared" si="24"/>
        <v>0</v>
      </c>
    </row>
    <row r="1551" spans="32:32" x14ac:dyDescent="0.3">
      <c r="AF1551" s="47">
        <f t="shared" si="24"/>
        <v>0</v>
      </c>
    </row>
    <row r="1552" spans="32:32" x14ac:dyDescent="0.3">
      <c r="AF1552" s="47">
        <f t="shared" si="24"/>
        <v>0</v>
      </c>
    </row>
    <row r="1553" spans="32:32" x14ac:dyDescent="0.3">
      <c r="AF1553" s="47">
        <f t="shared" si="24"/>
        <v>0</v>
      </c>
    </row>
    <row r="1554" spans="32:32" x14ac:dyDescent="0.3">
      <c r="AF1554" s="47">
        <f t="shared" si="24"/>
        <v>0</v>
      </c>
    </row>
    <row r="1555" spans="32:32" x14ac:dyDescent="0.3">
      <c r="AF1555" s="47">
        <f t="shared" si="24"/>
        <v>0</v>
      </c>
    </row>
    <row r="1556" spans="32:32" x14ac:dyDescent="0.3">
      <c r="AF1556" s="47">
        <f t="shared" si="24"/>
        <v>0</v>
      </c>
    </row>
    <row r="1557" spans="32:32" x14ac:dyDescent="0.3">
      <c r="AF1557" s="47">
        <f t="shared" si="24"/>
        <v>0</v>
      </c>
    </row>
    <row r="1558" spans="32:32" x14ac:dyDescent="0.3">
      <c r="AF1558" s="47">
        <f t="shared" si="24"/>
        <v>0</v>
      </c>
    </row>
    <row r="1559" spans="32:32" x14ac:dyDescent="0.3">
      <c r="AF1559" s="47">
        <f t="shared" si="24"/>
        <v>0</v>
      </c>
    </row>
    <row r="1560" spans="32:32" x14ac:dyDescent="0.3">
      <c r="AF1560" s="47">
        <f t="shared" si="24"/>
        <v>0</v>
      </c>
    </row>
    <row r="1561" spans="32:32" x14ac:dyDescent="0.3">
      <c r="AF1561" s="47">
        <f t="shared" si="24"/>
        <v>0</v>
      </c>
    </row>
    <row r="1562" spans="32:32" x14ac:dyDescent="0.3">
      <c r="AF1562" s="47">
        <f t="shared" si="24"/>
        <v>0</v>
      </c>
    </row>
    <row r="1563" spans="32:32" x14ac:dyDescent="0.3">
      <c r="AF1563" s="47">
        <f t="shared" si="24"/>
        <v>0</v>
      </c>
    </row>
    <row r="1564" spans="32:32" x14ac:dyDescent="0.3">
      <c r="AF1564" s="47">
        <f t="shared" si="24"/>
        <v>0</v>
      </c>
    </row>
    <row r="1565" spans="32:32" x14ac:dyDescent="0.3">
      <c r="AF1565" s="47">
        <f t="shared" si="24"/>
        <v>0</v>
      </c>
    </row>
    <row r="1566" spans="32:32" x14ac:dyDescent="0.3">
      <c r="AF1566" s="47">
        <f t="shared" si="24"/>
        <v>0</v>
      </c>
    </row>
    <row r="1567" spans="32:32" x14ac:dyDescent="0.3">
      <c r="AF1567" s="47">
        <f t="shared" si="24"/>
        <v>0</v>
      </c>
    </row>
    <row r="1568" spans="32:32" x14ac:dyDescent="0.3">
      <c r="AF1568" s="47">
        <f t="shared" si="24"/>
        <v>0</v>
      </c>
    </row>
    <row r="1569" spans="32:32" x14ac:dyDescent="0.3">
      <c r="AF1569" s="47">
        <f t="shared" si="24"/>
        <v>0</v>
      </c>
    </row>
    <row r="1570" spans="32:32" x14ac:dyDescent="0.3">
      <c r="AF1570" s="47">
        <f t="shared" si="24"/>
        <v>0</v>
      </c>
    </row>
    <row r="1571" spans="32:32" x14ac:dyDescent="0.3">
      <c r="AF1571" s="47">
        <f t="shared" si="24"/>
        <v>0</v>
      </c>
    </row>
    <row r="1572" spans="32:32" x14ac:dyDescent="0.3">
      <c r="AF1572" s="47">
        <f t="shared" si="24"/>
        <v>0</v>
      </c>
    </row>
    <row r="1573" spans="32:32" x14ac:dyDescent="0.3">
      <c r="AF1573" s="47">
        <f t="shared" si="24"/>
        <v>0</v>
      </c>
    </row>
    <row r="1574" spans="32:32" x14ac:dyDescent="0.3">
      <c r="AF1574" s="47">
        <f t="shared" si="24"/>
        <v>0</v>
      </c>
    </row>
    <row r="1575" spans="32:32" x14ac:dyDescent="0.3">
      <c r="AF1575" s="47">
        <f t="shared" si="24"/>
        <v>0</v>
      </c>
    </row>
    <row r="1576" spans="32:32" x14ac:dyDescent="0.3">
      <c r="AF1576" s="47">
        <f t="shared" si="24"/>
        <v>0</v>
      </c>
    </row>
    <row r="1577" spans="32:32" x14ac:dyDescent="0.3">
      <c r="AF1577" s="47">
        <f t="shared" si="24"/>
        <v>0</v>
      </c>
    </row>
    <row r="1578" spans="32:32" x14ac:dyDescent="0.3">
      <c r="AF1578" s="47">
        <f t="shared" si="24"/>
        <v>0</v>
      </c>
    </row>
    <row r="1579" spans="32:32" x14ac:dyDescent="0.3">
      <c r="AF1579" s="47">
        <f t="shared" si="24"/>
        <v>0</v>
      </c>
    </row>
    <row r="1580" spans="32:32" x14ac:dyDescent="0.3">
      <c r="AF1580" s="47">
        <f t="shared" si="24"/>
        <v>0</v>
      </c>
    </row>
    <row r="1581" spans="32:32" x14ac:dyDescent="0.3">
      <c r="AF1581" s="47">
        <f t="shared" si="24"/>
        <v>0</v>
      </c>
    </row>
    <row r="1582" spans="32:32" x14ac:dyDescent="0.3">
      <c r="AF1582" s="47">
        <f t="shared" si="24"/>
        <v>0</v>
      </c>
    </row>
    <row r="1583" spans="32:32" x14ac:dyDescent="0.3">
      <c r="AF1583" s="47">
        <f t="shared" si="24"/>
        <v>0</v>
      </c>
    </row>
    <row r="1584" spans="32:32" x14ac:dyDescent="0.3">
      <c r="AF1584" s="47">
        <f t="shared" si="24"/>
        <v>0</v>
      </c>
    </row>
    <row r="1585" spans="32:32" x14ac:dyDescent="0.3">
      <c r="AF1585" s="47">
        <f t="shared" si="24"/>
        <v>0</v>
      </c>
    </row>
    <row r="1586" spans="32:32" x14ac:dyDescent="0.3">
      <c r="AF1586" s="47">
        <f t="shared" si="24"/>
        <v>0</v>
      </c>
    </row>
    <row r="1587" spans="32:32" x14ac:dyDescent="0.3">
      <c r="AF1587" s="47">
        <f t="shared" si="24"/>
        <v>0</v>
      </c>
    </row>
    <row r="1588" spans="32:32" x14ac:dyDescent="0.3">
      <c r="AF1588" s="47">
        <f t="shared" si="24"/>
        <v>0</v>
      </c>
    </row>
    <row r="1589" spans="32:32" x14ac:dyDescent="0.3">
      <c r="AF1589" s="47">
        <f t="shared" si="24"/>
        <v>0</v>
      </c>
    </row>
    <row r="1590" spans="32:32" x14ac:dyDescent="0.3">
      <c r="AF1590" s="47">
        <f t="shared" si="24"/>
        <v>0</v>
      </c>
    </row>
    <row r="1591" spans="32:32" x14ac:dyDescent="0.3">
      <c r="AF1591" s="47">
        <f t="shared" si="24"/>
        <v>0</v>
      </c>
    </row>
    <row r="1592" spans="32:32" x14ac:dyDescent="0.3">
      <c r="AF1592" s="47">
        <f t="shared" si="24"/>
        <v>0</v>
      </c>
    </row>
    <row r="1593" spans="32:32" x14ac:dyDescent="0.3">
      <c r="AF1593" s="47">
        <f t="shared" si="24"/>
        <v>0</v>
      </c>
    </row>
    <row r="1594" spans="32:32" x14ac:dyDescent="0.3">
      <c r="AF1594" s="47">
        <f t="shared" si="24"/>
        <v>0</v>
      </c>
    </row>
    <row r="1595" spans="32:32" x14ac:dyDescent="0.3">
      <c r="AF1595" s="47">
        <f t="shared" si="24"/>
        <v>0</v>
      </c>
    </row>
    <row r="1596" spans="32:32" x14ac:dyDescent="0.3">
      <c r="AF1596" s="47">
        <f t="shared" si="24"/>
        <v>0</v>
      </c>
    </row>
    <row r="1597" spans="32:32" x14ac:dyDescent="0.3">
      <c r="AF1597" s="47">
        <f t="shared" si="24"/>
        <v>0</v>
      </c>
    </row>
    <row r="1598" spans="32:32" x14ac:dyDescent="0.3">
      <c r="AF1598" s="47">
        <f t="shared" si="24"/>
        <v>0</v>
      </c>
    </row>
    <row r="1599" spans="32:32" x14ac:dyDescent="0.3">
      <c r="AF1599" s="47">
        <f t="shared" si="24"/>
        <v>0</v>
      </c>
    </row>
    <row r="1600" spans="32:32" x14ac:dyDescent="0.3">
      <c r="AF1600" s="47">
        <f t="shared" si="24"/>
        <v>0</v>
      </c>
    </row>
    <row r="1601" spans="32:32" x14ac:dyDescent="0.3">
      <c r="AF1601" s="47">
        <f t="shared" si="24"/>
        <v>0</v>
      </c>
    </row>
    <row r="1602" spans="32:32" x14ac:dyDescent="0.3">
      <c r="AF1602" s="47">
        <f t="shared" si="24"/>
        <v>0</v>
      </c>
    </row>
    <row r="1603" spans="32:32" x14ac:dyDescent="0.3">
      <c r="AF1603" s="47">
        <f t="shared" ref="AF1603:AF1666" si="25">IFERROR(AC1603-Y1603,"")</f>
        <v>0</v>
      </c>
    </row>
    <row r="1604" spans="32:32" x14ac:dyDescent="0.3">
      <c r="AF1604" s="47">
        <f t="shared" si="25"/>
        <v>0</v>
      </c>
    </row>
    <row r="1605" spans="32:32" x14ac:dyDescent="0.3">
      <c r="AF1605" s="47">
        <f t="shared" si="25"/>
        <v>0</v>
      </c>
    </row>
    <row r="1606" spans="32:32" x14ac:dyDescent="0.3">
      <c r="AF1606" s="47">
        <f t="shared" si="25"/>
        <v>0</v>
      </c>
    </row>
    <row r="1607" spans="32:32" x14ac:dyDescent="0.3">
      <c r="AF1607" s="47">
        <f t="shared" si="25"/>
        <v>0</v>
      </c>
    </row>
    <row r="1608" spans="32:32" x14ac:dyDescent="0.3">
      <c r="AF1608" s="47">
        <f t="shared" si="25"/>
        <v>0</v>
      </c>
    </row>
    <row r="1609" spans="32:32" x14ac:dyDescent="0.3">
      <c r="AF1609" s="47">
        <f t="shared" si="25"/>
        <v>0</v>
      </c>
    </row>
    <row r="1610" spans="32:32" x14ac:dyDescent="0.3">
      <c r="AF1610" s="47">
        <f t="shared" si="25"/>
        <v>0</v>
      </c>
    </row>
    <row r="1611" spans="32:32" x14ac:dyDescent="0.3">
      <c r="AF1611" s="47">
        <f t="shared" si="25"/>
        <v>0</v>
      </c>
    </row>
    <row r="1612" spans="32:32" x14ac:dyDescent="0.3">
      <c r="AF1612" s="47">
        <f t="shared" si="25"/>
        <v>0</v>
      </c>
    </row>
    <row r="1613" spans="32:32" x14ac:dyDescent="0.3">
      <c r="AF1613" s="47">
        <f t="shared" si="25"/>
        <v>0</v>
      </c>
    </row>
    <row r="1614" spans="32:32" x14ac:dyDescent="0.3">
      <c r="AF1614" s="47">
        <f t="shared" si="25"/>
        <v>0</v>
      </c>
    </row>
    <row r="1615" spans="32:32" x14ac:dyDescent="0.3">
      <c r="AF1615" s="47">
        <f t="shared" si="25"/>
        <v>0</v>
      </c>
    </row>
    <row r="1616" spans="32:32" x14ac:dyDescent="0.3">
      <c r="AF1616" s="47">
        <f t="shared" si="25"/>
        <v>0</v>
      </c>
    </row>
    <row r="1617" spans="32:32" x14ac:dyDescent="0.3">
      <c r="AF1617" s="47">
        <f t="shared" si="25"/>
        <v>0</v>
      </c>
    </row>
    <row r="1618" spans="32:32" x14ac:dyDescent="0.3">
      <c r="AF1618" s="47">
        <f t="shared" si="25"/>
        <v>0</v>
      </c>
    </row>
    <row r="1619" spans="32:32" x14ac:dyDescent="0.3">
      <c r="AF1619" s="47">
        <f t="shared" si="25"/>
        <v>0</v>
      </c>
    </row>
    <row r="1620" spans="32:32" x14ac:dyDescent="0.3">
      <c r="AF1620" s="47">
        <f t="shared" si="25"/>
        <v>0</v>
      </c>
    </row>
    <row r="1621" spans="32:32" x14ac:dyDescent="0.3">
      <c r="AF1621" s="47">
        <f t="shared" si="25"/>
        <v>0</v>
      </c>
    </row>
    <row r="1622" spans="32:32" x14ac:dyDescent="0.3">
      <c r="AF1622" s="47">
        <f t="shared" si="25"/>
        <v>0</v>
      </c>
    </row>
    <row r="1623" spans="32:32" x14ac:dyDescent="0.3">
      <c r="AF1623" s="47">
        <f t="shared" si="25"/>
        <v>0</v>
      </c>
    </row>
    <row r="1624" spans="32:32" x14ac:dyDescent="0.3">
      <c r="AF1624" s="47">
        <f t="shared" si="25"/>
        <v>0</v>
      </c>
    </row>
    <row r="1625" spans="32:32" x14ac:dyDescent="0.3">
      <c r="AF1625" s="47">
        <f t="shared" si="25"/>
        <v>0</v>
      </c>
    </row>
    <row r="1626" spans="32:32" x14ac:dyDescent="0.3">
      <c r="AF1626" s="47">
        <f t="shared" si="25"/>
        <v>0</v>
      </c>
    </row>
    <row r="1627" spans="32:32" x14ac:dyDescent="0.3">
      <c r="AF1627" s="47">
        <f t="shared" si="25"/>
        <v>0</v>
      </c>
    </row>
    <row r="1628" spans="32:32" x14ac:dyDescent="0.3">
      <c r="AF1628" s="47">
        <f t="shared" si="25"/>
        <v>0</v>
      </c>
    </row>
    <row r="1629" spans="32:32" x14ac:dyDescent="0.3">
      <c r="AF1629" s="47">
        <f t="shared" si="25"/>
        <v>0</v>
      </c>
    </row>
    <row r="1630" spans="32:32" x14ac:dyDescent="0.3">
      <c r="AF1630" s="47">
        <f t="shared" si="25"/>
        <v>0</v>
      </c>
    </row>
    <row r="1631" spans="32:32" x14ac:dyDescent="0.3">
      <c r="AF1631" s="47">
        <f t="shared" si="25"/>
        <v>0</v>
      </c>
    </row>
    <row r="1632" spans="32:32" x14ac:dyDescent="0.3">
      <c r="AF1632" s="47">
        <f t="shared" si="25"/>
        <v>0</v>
      </c>
    </row>
    <row r="1633" spans="32:32" x14ac:dyDescent="0.3">
      <c r="AF1633" s="47">
        <f t="shared" si="25"/>
        <v>0</v>
      </c>
    </row>
    <row r="1634" spans="32:32" x14ac:dyDescent="0.3">
      <c r="AF1634" s="47">
        <f t="shared" si="25"/>
        <v>0</v>
      </c>
    </row>
    <row r="1635" spans="32:32" x14ac:dyDescent="0.3">
      <c r="AF1635" s="47">
        <f t="shared" si="25"/>
        <v>0</v>
      </c>
    </row>
    <row r="1636" spans="32:32" x14ac:dyDescent="0.3">
      <c r="AF1636" s="47">
        <f t="shared" si="25"/>
        <v>0</v>
      </c>
    </row>
    <row r="1637" spans="32:32" x14ac:dyDescent="0.3">
      <c r="AF1637" s="47">
        <f t="shared" si="25"/>
        <v>0</v>
      </c>
    </row>
    <row r="1638" spans="32:32" x14ac:dyDescent="0.3">
      <c r="AF1638" s="47">
        <f t="shared" si="25"/>
        <v>0</v>
      </c>
    </row>
    <row r="1639" spans="32:32" x14ac:dyDescent="0.3">
      <c r="AF1639" s="47">
        <f t="shared" si="25"/>
        <v>0</v>
      </c>
    </row>
    <row r="1640" spans="32:32" x14ac:dyDescent="0.3">
      <c r="AF1640" s="47">
        <f t="shared" si="25"/>
        <v>0</v>
      </c>
    </row>
    <row r="1641" spans="32:32" x14ac:dyDescent="0.3">
      <c r="AF1641" s="47">
        <f t="shared" si="25"/>
        <v>0</v>
      </c>
    </row>
    <row r="1642" spans="32:32" x14ac:dyDescent="0.3">
      <c r="AF1642" s="47">
        <f t="shared" si="25"/>
        <v>0</v>
      </c>
    </row>
    <row r="1643" spans="32:32" x14ac:dyDescent="0.3">
      <c r="AF1643" s="47">
        <f t="shared" si="25"/>
        <v>0</v>
      </c>
    </row>
    <row r="1644" spans="32:32" x14ac:dyDescent="0.3">
      <c r="AF1644" s="47">
        <f t="shared" si="25"/>
        <v>0</v>
      </c>
    </row>
    <row r="1645" spans="32:32" x14ac:dyDescent="0.3">
      <c r="AF1645" s="47">
        <f t="shared" si="25"/>
        <v>0</v>
      </c>
    </row>
    <row r="1646" spans="32:32" x14ac:dyDescent="0.3">
      <c r="AF1646" s="47">
        <f t="shared" si="25"/>
        <v>0</v>
      </c>
    </row>
    <row r="1647" spans="32:32" x14ac:dyDescent="0.3">
      <c r="AF1647" s="47">
        <f t="shared" si="25"/>
        <v>0</v>
      </c>
    </row>
    <row r="1648" spans="32:32" x14ac:dyDescent="0.3">
      <c r="AF1648" s="47">
        <f t="shared" si="25"/>
        <v>0</v>
      </c>
    </row>
    <row r="1649" spans="32:32" x14ac:dyDescent="0.3">
      <c r="AF1649" s="47">
        <f t="shared" si="25"/>
        <v>0</v>
      </c>
    </row>
    <row r="1650" spans="32:32" x14ac:dyDescent="0.3">
      <c r="AF1650" s="47">
        <f t="shared" si="25"/>
        <v>0</v>
      </c>
    </row>
    <row r="1651" spans="32:32" x14ac:dyDescent="0.3">
      <c r="AF1651" s="47">
        <f t="shared" si="25"/>
        <v>0</v>
      </c>
    </row>
    <row r="1652" spans="32:32" x14ac:dyDescent="0.3">
      <c r="AF1652" s="47">
        <f t="shared" si="25"/>
        <v>0</v>
      </c>
    </row>
    <row r="1653" spans="32:32" x14ac:dyDescent="0.3">
      <c r="AF1653" s="47">
        <f t="shared" si="25"/>
        <v>0</v>
      </c>
    </row>
    <row r="1654" spans="32:32" x14ac:dyDescent="0.3">
      <c r="AF1654" s="47">
        <f t="shared" si="25"/>
        <v>0</v>
      </c>
    </row>
    <row r="1655" spans="32:32" x14ac:dyDescent="0.3">
      <c r="AF1655" s="47">
        <f t="shared" si="25"/>
        <v>0</v>
      </c>
    </row>
    <row r="1656" spans="32:32" x14ac:dyDescent="0.3">
      <c r="AF1656" s="47">
        <f t="shared" si="25"/>
        <v>0</v>
      </c>
    </row>
    <row r="1657" spans="32:32" x14ac:dyDescent="0.3">
      <c r="AF1657" s="47">
        <f t="shared" si="25"/>
        <v>0</v>
      </c>
    </row>
    <row r="1658" spans="32:32" x14ac:dyDescent="0.3">
      <c r="AF1658" s="47">
        <f t="shared" si="25"/>
        <v>0</v>
      </c>
    </row>
    <row r="1659" spans="32:32" x14ac:dyDescent="0.3">
      <c r="AF1659" s="47">
        <f t="shared" si="25"/>
        <v>0</v>
      </c>
    </row>
    <row r="1660" spans="32:32" x14ac:dyDescent="0.3">
      <c r="AF1660" s="47">
        <f t="shared" si="25"/>
        <v>0</v>
      </c>
    </row>
    <row r="1661" spans="32:32" x14ac:dyDescent="0.3">
      <c r="AF1661" s="47">
        <f t="shared" si="25"/>
        <v>0</v>
      </c>
    </row>
    <row r="1662" spans="32:32" x14ac:dyDescent="0.3">
      <c r="AF1662" s="47">
        <f t="shared" si="25"/>
        <v>0</v>
      </c>
    </row>
    <row r="1663" spans="32:32" x14ac:dyDescent="0.3">
      <c r="AF1663" s="47">
        <f t="shared" si="25"/>
        <v>0</v>
      </c>
    </row>
    <row r="1664" spans="32:32" x14ac:dyDescent="0.3">
      <c r="AF1664" s="47">
        <f t="shared" si="25"/>
        <v>0</v>
      </c>
    </row>
    <row r="1665" spans="32:32" x14ac:dyDescent="0.3">
      <c r="AF1665" s="47">
        <f t="shared" si="25"/>
        <v>0</v>
      </c>
    </row>
    <row r="1666" spans="32:32" x14ac:dyDescent="0.3">
      <c r="AF1666" s="47">
        <f t="shared" si="25"/>
        <v>0</v>
      </c>
    </row>
    <row r="1667" spans="32:32" x14ac:dyDescent="0.3">
      <c r="AF1667" s="47">
        <f t="shared" ref="AF1667:AF1730" si="26">IFERROR(AC1667-Y1667,"")</f>
        <v>0</v>
      </c>
    </row>
    <row r="1668" spans="32:32" x14ac:dyDescent="0.3">
      <c r="AF1668" s="47">
        <f t="shared" si="26"/>
        <v>0</v>
      </c>
    </row>
    <row r="1669" spans="32:32" x14ac:dyDescent="0.3">
      <c r="AF1669" s="47">
        <f t="shared" si="26"/>
        <v>0</v>
      </c>
    </row>
    <row r="1670" spans="32:32" x14ac:dyDescent="0.3">
      <c r="AF1670" s="47">
        <f t="shared" si="26"/>
        <v>0</v>
      </c>
    </row>
    <row r="1671" spans="32:32" x14ac:dyDescent="0.3">
      <c r="AF1671" s="47">
        <f t="shared" si="26"/>
        <v>0</v>
      </c>
    </row>
    <row r="1672" spans="32:32" x14ac:dyDescent="0.3">
      <c r="AF1672" s="47">
        <f t="shared" si="26"/>
        <v>0</v>
      </c>
    </row>
    <row r="1673" spans="32:32" x14ac:dyDescent="0.3">
      <c r="AF1673" s="47">
        <f t="shared" si="26"/>
        <v>0</v>
      </c>
    </row>
    <row r="1674" spans="32:32" x14ac:dyDescent="0.3">
      <c r="AF1674" s="47">
        <f t="shared" si="26"/>
        <v>0</v>
      </c>
    </row>
    <row r="1675" spans="32:32" x14ac:dyDescent="0.3">
      <c r="AF1675" s="47">
        <f t="shared" si="26"/>
        <v>0</v>
      </c>
    </row>
    <row r="1676" spans="32:32" x14ac:dyDescent="0.3">
      <c r="AF1676" s="47">
        <f t="shared" si="26"/>
        <v>0</v>
      </c>
    </row>
    <row r="1677" spans="32:32" x14ac:dyDescent="0.3">
      <c r="AF1677" s="47">
        <f t="shared" si="26"/>
        <v>0</v>
      </c>
    </row>
    <row r="1678" spans="32:32" x14ac:dyDescent="0.3">
      <c r="AF1678" s="47">
        <f t="shared" si="26"/>
        <v>0</v>
      </c>
    </row>
    <row r="1679" spans="32:32" x14ac:dyDescent="0.3">
      <c r="AF1679" s="47">
        <f t="shared" si="26"/>
        <v>0</v>
      </c>
    </row>
    <row r="1680" spans="32:32" x14ac:dyDescent="0.3">
      <c r="AF1680" s="47">
        <f t="shared" si="26"/>
        <v>0</v>
      </c>
    </row>
    <row r="1681" spans="32:32" x14ac:dyDescent="0.3">
      <c r="AF1681" s="47">
        <f t="shared" si="26"/>
        <v>0</v>
      </c>
    </row>
    <row r="1682" spans="32:32" x14ac:dyDescent="0.3">
      <c r="AF1682" s="47">
        <f t="shared" si="26"/>
        <v>0</v>
      </c>
    </row>
    <row r="1683" spans="32:32" x14ac:dyDescent="0.3">
      <c r="AF1683" s="47">
        <f t="shared" si="26"/>
        <v>0</v>
      </c>
    </row>
    <row r="1684" spans="32:32" x14ac:dyDescent="0.3">
      <c r="AF1684" s="47">
        <f t="shared" si="26"/>
        <v>0</v>
      </c>
    </row>
    <row r="1685" spans="32:32" x14ac:dyDescent="0.3">
      <c r="AF1685" s="47">
        <f t="shared" si="26"/>
        <v>0</v>
      </c>
    </row>
    <row r="1686" spans="32:32" x14ac:dyDescent="0.3">
      <c r="AF1686" s="47">
        <f t="shared" si="26"/>
        <v>0</v>
      </c>
    </row>
    <row r="1687" spans="32:32" x14ac:dyDescent="0.3">
      <c r="AF1687" s="47">
        <f t="shared" si="26"/>
        <v>0</v>
      </c>
    </row>
    <row r="1688" spans="32:32" x14ac:dyDescent="0.3">
      <c r="AF1688" s="47">
        <f t="shared" si="26"/>
        <v>0</v>
      </c>
    </row>
    <row r="1689" spans="32:32" x14ac:dyDescent="0.3">
      <c r="AF1689" s="47">
        <f t="shared" si="26"/>
        <v>0</v>
      </c>
    </row>
    <row r="1690" spans="32:32" x14ac:dyDescent="0.3">
      <c r="AF1690" s="47">
        <f t="shared" si="26"/>
        <v>0</v>
      </c>
    </row>
    <row r="1691" spans="32:32" x14ac:dyDescent="0.3">
      <c r="AF1691" s="47">
        <f t="shared" si="26"/>
        <v>0</v>
      </c>
    </row>
    <row r="1692" spans="32:32" x14ac:dyDescent="0.3">
      <c r="AF1692" s="47">
        <f t="shared" si="26"/>
        <v>0</v>
      </c>
    </row>
    <row r="1693" spans="32:32" x14ac:dyDescent="0.3">
      <c r="AF1693" s="47">
        <f t="shared" si="26"/>
        <v>0</v>
      </c>
    </row>
    <row r="1694" spans="32:32" x14ac:dyDescent="0.3">
      <c r="AF1694" s="47">
        <f t="shared" si="26"/>
        <v>0</v>
      </c>
    </row>
    <row r="1695" spans="32:32" x14ac:dyDescent="0.3">
      <c r="AF1695" s="47">
        <f t="shared" si="26"/>
        <v>0</v>
      </c>
    </row>
    <row r="1696" spans="32:32" x14ac:dyDescent="0.3">
      <c r="AF1696" s="47">
        <f t="shared" si="26"/>
        <v>0</v>
      </c>
    </row>
    <row r="1697" spans="32:32" x14ac:dyDescent="0.3">
      <c r="AF1697" s="47">
        <f t="shared" si="26"/>
        <v>0</v>
      </c>
    </row>
    <row r="1698" spans="32:32" x14ac:dyDescent="0.3">
      <c r="AF1698" s="47">
        <f t="shared" si="26"/>
        <v>0</v>
      </c>
    </row>
    <row r="1699" spans="32:32" x14ac:dyDescent="0.3">
      <c r="AF1699" s="47">
        <f t="shared" si="26"/>
        <v>0</v>
      </c>
    </row>
    <row r="1700" spans="32:32" x14ac:dyDescent="0.3">
      <c r="AF1700" s="47">
        <f t="shared" si="26"/>
        <v>0</v>
      </c>
    </row>
    <row r="1701" spans="32:32" x14ac:dyDescent="0.3">
      <c r="AF1701" s="47">
        <f t="shared" si="26"/>
        <v>0</v>
      </c>
    </row>
    <row r="1702" spans="32:32" x14ac:dyDescent="0.3">
      <c r="AF1702" s="47">
        <f t="shared" si="26"/>
        <v>0</v>
      </c>
    </row>
    <row r="1703" spans="32:32" x14ac:dyDescent="0.3">
      <c r="AF1703" s="47">
        <f t="shared" si="26"/>
        <v>0</v>
      </c>
    </row>
    <row r="1704" spans="32:32" x14ac:dyDescent="0.3">
      <c r="AF1704" s="47">
        <f t="shared" si="26"/>
        <v>0</v>
      </c>
    </row>
    <row r="1705" spans="32:32" x14ac:dyDescent="0.3">
      <c r="AF1705" s="47">
        <f t="shared" si="26"/>
        <v>0</v>
      </c>
    </row>
    <row r="1706" spans="32:32" x14ac:dyDescent="0.3">
      <c r="AF1706" s="47">
        <f t="shared" si="26"/>
        <v>0</v>
      </c>
    </row>
    <row r="1707" spans="32:32" x14ac:dyDescent="0.3">
      <c r="AF1707" s="47">
        <f t="shared" si="26"/>
        <v>0</v>
      </c>
    </row>
    <row r="1708" spans="32:32" x14ac:dyDescent="0.3">
      <c r="AF1708" s="47">
        <f t="shared" si="26"/>
        <v>0</v>
      </c>
    </row>
    <row r="1709" spans="32:32" x14ac:dyDescent="0.3">
      <c r="AF1709" s="47">
        <f t="shared" si="26"/>
        <v>0</v>
      </c>
    </row>
    <row r="1710" spans="32:32" x14ac:dyDescent="0.3">
      <c r="AF1710" s="47">
        <f t="shared" si="26"/>
        <v>0</v>
      </c>
    </row>
    <row r="1711" spans="32:32" x14ac:dyDescent="0.3">
      <c r="AF1711" s="47">
        <f t="shared" si="26"/>
        <v>0</v>
      </c>
    </row>
    <row r="1712" spans="32:32" x14ac:dyDescent="0.3">
      <c r="AF1712" s="47">
        <f t="shared" si="26"/>
        <v>0</v>
      </c>
    </row>
    <row r="1713" spans="32:32" x14ac:dyDescent="0.3">
      <c r="AF1713" s="47">
        <f t="shared" si="26"/>
        <v>0</v>
      </c>
    </row>
    <row r="1714" spans="32:32" x14ac:dyDescent="0.3">
      <c r="AF1714" s="47">
        <f t="shared" si="26"/>
        <v>0</v>
      </c>
    </row>
    <row r="1715" spans="32:32" x14ac:dyDescent="0.3">
      <c r="AF1715" s="47">
        <f t="shared" si="26"/>
        <v>0</v>
      </c>
    </row>
    <row r="1716" spans="32:32" x14ac:dyDescent="0.3">
      <c r="AF1716" s="47">
        <f t="shared" si="26"/>
        <v>0</v>
      </c>
    </row>
    <row r="1717" spans="32:32" x14ac:dyDescent="0.3">
      <c r="AF1717" s="47">
        <f t="shared" si="26"/>
        <v>0</v>
      </c>
    </row>
    <row r="1718" spans="32:32" x14ac:dyDescent="0.3">
      <c r="AF1718" s="47">
        <f t="shared" si="26"/>
        <v>0</v>
      </c>
    </row>
    <row r="1719" spans="32:32" x14ac:dyDescent="0.3">
      <c r="AF1719" s="47">
        <f t="shared" si="26"/>
        <v>0</v>
      </c>
    </row>
    <row r="1720" spans="32:32" x14ac:dyDescent="0.3">
      <c r="AF1720" s="47">
        <f t="shared" si="26"/>
        <v>0</v>
      </c>
    </row>
    <row r="1721" spans="32:32" x14ac:dyDescent="0.3">
      <c r="AF1721" s="47">
        <f t="shared" si="26"/>
        <v>0</v>
      </c>
    </row>
    <row r="1722" spans="32:32" x14ac:dyDescent="0.3">
      <c r="AF1722" s="47">
        <f t="shared" si="26"/>
        <v>0</v>
      </c>
    </row>
    <row r="1723" spans="32:32" x14ac:dyDescent="0.3">
      <c r="AF1723" s="47">
        <f t="shared" si="26"/>
        <v>0</v>
      </c>
    </row>
    <row r="1724" spans="32:32" x14ac:dyDescent="0.3">
      <c r="AF1724" s="47">
        <f t="shared" si="26"/>
        <v>0</v>
      </c>
    </row>
    <row r="1725" spans="32:32" x14ac:dyDescent="0.3">
      <c r="AF1725" s="47">
        <f t="shared" si="26"/>
        <v>0</v>
      </c>
    </row>
    <row r="1726" spans="32:32" x14ac:dyDescent="0.3">
      <c r="AF1726" s="47">
        <f t="shared" si="26"/>
        <v>0</v>
      </c>
    </row>
    <row r="1727" spans="32:32" x14ac:dyDescent="0.3">
      <c r="AF1727" s="47">
        <f t="shared" si="26"/>
        <v>0</v>
      </c>
    </row>
    <row r="1728" spans="32:32" x14ac:dyDescent="0.3">
      <c r="AF1728" s="47">
        <f t="shared" si="26"/>
        <v>0</v>
      </c>
    </row>
    <row r="1729" spans="32:32" x14ac:dyDescent="0.3">
      <c r="AF1729" s="47">
        <f t="shared" si="26"/>
        <v>0</v>
      </c>
    </row>
    <row r="1730" spans="32:32" x14ac:dyDescent="0.3">
      <c r="AF1730" s="47">
        <f t="shared" si="26"/>
        <v>0</v>
      </c>
    </row>
    <row r="1731" spans="32:32" x14ac:dyDescent="0.3">
      <c r="AF1731" s="47">
        <f t="shared" ref="AF1731:AF1794" si="27">IFERROR(AC1731-Y1731,"")</f>
        <v>0</v>
      </c>
    </row>
    <row r="1732" spans="32:32" x14ac:dyDescent="0.3">
      <c r="AF1732" s="47">
        <f t="shared" si="27"/>
        <v>0</v>
      </c>
    </row>
    <row r="1733" spans="32:32" x14ac:dyDescent="0.3">
      <c r="AF1733" s="47">
        <f t="shared" si="27"/>
        <v>0</v>
      </c>
    </row>
    <row r="1734" spans="32:32" x14ac:dyDescent="0.3">
      <c r="AF1734" s="47">
        <f t="shared" si="27"/>
        <v>0</v>
      </c>
    </row>
    <row r="1735" spans="32:32" x14ac:dyDescent="0.3">
      <c r="AF1735" s="47">
        <f t="shared" si="27"/>
        <v>0</v>
      </c>
    </row>
    <row r="1736" spans="32:32" x14ac:dyDescent="0.3">
      <c r="AF1736" s="47">
        <f t="shared" si="27"/>
        <v>0</v>
      </c>
    </row>
    <row r="1737" spans="32:32" x14ac:dyDescent="0.3">
      <c r="AF1737" s="47">
        <f t="shared" si="27"/>
        <v>0</v>
      </c>
    </row>
    <row r="1738" spans="32:32" x14ac:dyDescent="0.3">
      <c r="AF1738" s="47">
        <f t="shared" si="27"/>
        <v>0</v>
      </c>
    </row>
    <row r="1739" spans="32:32" x14ac:dyDescent="0.3">
      <c r="AF1739" s="47">
        <f t="shared" si="27"/>
        <v>0</v>
      </c>
    </row>
    <row r="1740" spans="32:32" x14ac:dyDescent="0.3">
      <c r="AF1740" s="47">
        <f t="shared" si="27"/>
        <v>0</v>
      </c>
    </row>
    <row r="1741" spans="32:32" x14ac:dyDescent="0.3">
      <c r="AF1741" s="47">
        <f t="shared" si="27"/>
        <v>0</v>
      </c>
    </row>
    <row r="1742" spans="32:32" x14ac:dyDescent="0.3">
      <c r="AF1742" s="47">
        <f t="shared" si="27"/>
        <v>0</v>
      </c>
    </row>
    <row r="1743" spans="32:32" x14ac:dyDescent="0.3">
      <c r="AF1743" s="47">
        <f t="shared" si="27"/>
        <v>0</v>
      </c>
    </row>
    <row r="1744" spans="32:32" x14ac:dyDescent="0.3">
      <c r="AF1744" s="47">
        <f t="shared" si="27"/>
        <v>0</v>
      </c>
    </row>
    <row r="1745" spans="32:32" x14ac:dyDescent="0.3">
      <c r="AF1745" s="47">
        <f t="shared" si="27"/>
        <v>0</v>
      </c>
    </row>
    <row r="1746" spans="32:32" x14ac:dyDescent="0.3">
      <c r="AF1746" s="47">
        <f t="shared" si="27"/>
        <v>0</v>
      </c>
    </row>
    <row r="1747" spans="32:32" x14ac:dyDescent="0.3">
      <c r="AF1747" s="47">
        <f t="shared" si="27"/>
        <v>0</v>
      </c>
    </row>
    <row r="1748" spans="32:32" x14ac:dyDescent="0.3">
      <c r="AF1748" s="47">
        <f t="shared" si="27"/>
        <v>0</v>
      </c>
    </row>
    <row r="1749" spans="32:32" x14ac:dyDescent="0.3">
      <c r="AF1749" s="47">
        <f t="shared" si="27"/>
        <v>0</v>
      </c>
    </row>
    <row r="1750" spans="32:32" x14ac:dyDescent="0.3">
      <c r="AF1750" s="47">
        <f t="shared" si="27"/>
        <v>0</v>
      </c>
    </row>
    <row r="1751" spans="32:32" x14ac:dyDescent="0.3">
      <c r="AF1751" s="47">
        <f t="shared" si="27"/>
        <v>0</v>
      </c>
    </row>
    <row r="1752" spans="32:32" x14ac:dyDescent="0.3">
      <c r="AF1752" s="47">
        <f t="shared" si="27"/>
        <v>0</v>
      </c>
    </row>
    <row r="1753" spans="32:32" x14ac:dyDescent="0.3">
      <c r="AF1753" s="47">
        <f t="shared" si="27"/>
        <v>0</v>
      </c>
    </row>
    <row r="1754" spans="32:32" x14ac:dyDescent="0.3">
      <c r="AF1754" s="47">
        <f t="shared" si="27"/>
        <v>0</v>
      </c>
    </row>
    <row r="1755" spans="32:32" x14ac:dyDescent="0.3">
      <c r="AF1755" s="47">
        <f t="shared" si="27"/>
        <v>0</v>
      </c>
    </row>
    <row r="1756" spans="32:32" x14ac:dyDescent="0.3">
      <c r="AF1756" s="47">
        <f t="shared" si="27"/>
        <v>0</v>
      </c>
    </row>
    <row r="1757" spans="32:32" x14ac:dyDescent="0.3">
      <c r="AF1757" s="47">
        <f t="shared" si="27"/>
        <v>0</v>
      </c>
    </row>
    <row r="1758" spans="32:32" x14ac:dyDescent="0.3">
      <c r="AF1758" s="47">
        <f t="shared" si="27"/>
        <v>0</v>
      </c>
    </row>
    <row r="1759" spans="32:32" x14ac:dyDescent="0.3">
      <c r="AF1759" s="47">
        <f t="shared" si="27"/>
        <v>0</v>
      </c>
    </row>
    <row r="1760" spans="32:32" x14ac:dyDescent="0.3">
      <c r="AF1760" s="47">
        <f t="shared" si="27"/>
        <v>0</v>
      </c>
    </row>
    <row r="1761" spans="32:32" x14ac:dyDescent="0.3">
      <c r="AF1761" s="47">
        <f t="shared" si="27"/>
        <v>0</v>
      </c>
    </row>
    <row r="1762" spans="32:32" x14ac:dyDescent="0.3">
      <c r="AF1762" s="47">
        <f t="shared" si="27"/>
        <v>0</v>
      </c>
    </row>
    <row r="1763" spans="32:32" x14ac:dyDescent="0.3">
      <c r="AF1763" s="47">
        <f t="shared" si="27"/>
        <v>0</v>
      </c>
    </row>
    <row r="1764" spans="32:32" x14ac:dyDescent="0.3">
      <c r="AF1764" s="47">
        <f t="shared" si="27"/>
        <v>0</v>
      </c>
    </row>
    <row r="1765" spans="32:32" x14ac:dyDescent="0.3">
      <c r="AF1765" s="47">
        <f t="shared" si="27"/>
        <v>0</v>
      </c>
    </row>
    <row r="1766" spans="32:32" x14ac:dyDescent="0.3">
      <c r="AF1766" s="47">
        <f t="shared" si="27"/>
        <v>0</v>
      </c>
    </row>
    <row r="1767" spans="32:32" x14ac:dyDescent="0.3">
      <c r="AF1767" s="47">
        <f t="shared" si="27"/>
        <v>0</v>
      </c>
    </row>
    <row r="1768" spans="32:32" x14ac:dyDescent="0.3">
      <c r="AF1768" s="47">
        <f t="shared" si="27"/>
        <v>0</v>
      </c>
    </row>
    <row r="1769" spans="32:32" x14ac:dyDescent="0.3">
      <c r="AF1769" s="47">
        <f t="shared" si="27"/>
        <v>0</v>
      </c>
    </row>
    <row r="1770" spans="32:32" x14ac:dyDescent="0.3">
      <c r="AF1770" s="47">
        <f t="shared" si="27"/>
        <v>0</v>
      </c>
    </row>
    <row r="1771" spans="32:32" x14ac:dyDescent="0.3">
      <c r="AF1771" s="47">
        <f t="shared" si="27"/>
        <v>0</v>
      </c>
    </row>
    <row r="1772" spans="32:32" x14ac:dyDescent="0.3">
      <c r="AF1772" s="47">
        <f t="shared" si="27"/>
        <v>0</v>
      </c>
    </row>
    <row r="1773" spans="32:32" x14ac:dyDescent="0.3">
      <c r="AF1773" s="47">
        <f t="shared" si="27"/>
        <v>0</v>
      </c>
    </row>
    <row r="1774" spans="32:32" x14ac:dyDescent="0.3">
      <c r="AF1774" s="47">
        <f t="shared" si="27"/>
        <v>0</v>
      </c>
    </row>
    <row r="1775" spans="32:32" x14ac:dyDescent="0.3">
      <c r="AF1775" s="47">
        <f t="shared" si="27"/>
        <v>0</v>
      </c>
    </row>
    <row r="1776" spans="32:32" x14ac:dyDescent="0.3">
      <c r="AF1776" s="47">
        <f t="shared" si="27"/>
        <v>0</v>
      </c>
    </row>
    <row r="1777" spans="32:32" x14ac:dyDescent="0.3">
      <c r="AF1777" s="47">
        <f t="shared" si="27"/>
        <v>0</v>
      </c>
    </row>
    <row r="1778" spans="32:32" x14ac:dyDescent="0.3">
      <c r="AF1778" s="47">
        <f t="shared" si="27"/>
        <v>0</v>
      </c>
    </row>
    <row r="1779" spans="32:32" x14ac:dyDescent="0.3">
      <c r="AF1779" s="47">
        <f t="shared" si="27"/>
        <v>0</v>
      </c>
    </row>
    <row r="1780" spans="32:32" x14ac:dyDescent="0.3">
      <c r="AF1780" s="47">
        <f t="shared" si="27"/>
        <v>0</v>
      </c>
    </row>
    <row r="1781" spans="32:32" x14ac:dyDescent="0.3">
      <c r="AF1781" s="47">
        <f t="shared" si="27"/>
        <v>0</v>
      </c>
    </row>
    <row r="1782" spans="32:32" x14ac:dyDescent="0.3">
      <c r="AF1782" s="47">
        <f t="shared" si="27"/>
        <v>0</v>
      </c>
    </row>
    <row r="1783" spans="32:32" x14ac:dyDescent="0.3">
      <c r="AF1783" s="47">
        <f t="shared" si="27"/>
        <v>0</v>
      </c>
    </row>
    <row r="1784" spans="32:32" x14ac:dyDescent="0.3">
      <c r="AF1784" s="47">
        <f t="shared" si="27"/>
        <v>0</v>
      </c>
    </row>
    <row r="1785" spans="32:32" x14ac:dyDescent="0.3">
      <c r="AF1785" s="47">
        <f t="shared" si="27"/>
        <v>0</v>
      </c>
    </row>
    <row r="1786" spans="32:32" x14ac:dyDescent="0.3">
      <c r="AF1786" s="47">
        <f t="shared" si="27"/>
        <v>0</v>
      </c>
    </row>
    <row r="1787" spans="32:32" x14ac:dyDescent="0.3">
      <c r="AF1787" s="47">
        <f t="shared" si="27"/>
        <v>0</v>
      </c>
    </row>
    <row r="1788" spans="32:32" x14ac:dyDescent="0.3">
      <c r="AF1788" s="47">
        <f t="shared" si="27"/>
        <v>0</v>
      </c>
    </row>
    <row r="1789" spans="32:32" x14ac:dyDescent="0.3">
      <c r="AF1789" s="47">
        <f t="shared" si="27"/>
        <v>0</v>
      </c>
    </row>
    <row r="1790" spans="32:32" x14ac:dyDescent="0.3">
      <c r="AF1790" s="47">
        <f t="shared" si="27"/>
        <v>0</v>
      </c>
    </row>
    <row r="1791" spans="32:32" x14ac:dyDescent="0.3">
      <c r="AF1791" s="47">
        <f t="shared" si="27"/>
        <v>0</v>
      </c>
    </row>
    <row r="1792" spans="32:32" x14ac:dyDescent="0.3">
      <c r="AF1792" s="47">
        <f t="shared" si="27"/>
        <v>0</v>
      </c>
    </row>
    <row r="1793" spans="32:32" x14ac:dyDescent="0.3">
      <c r="AF1793" s="47">
        <f t="shared" si="27"/>
        <v>0</v>
      </c>
    </row>
    <row r="1794" spans="32:32" x14ac:dyDescent="0.3">
      <c r="AF1794" s="47">
        <f t="shared" si="27"/>
        <v>0</v>
      </c>
    </row>
    <row r="1795" spans="32:32" x14ac:dyDescent="0.3">
      <c r="AF1795" s="47">
        <f t="shared" ref="AF1795:AF1858" si="28">IFERROR(AC1795-Y1795,"")</f>
        <v>0</v>
      </c>
    </row>
    <row r="1796" spans="32:32" x14ac:dyDescent="0.3">
      <c r="AF1796" s="47">
        <f t="shared" si="28"/>
        <v>0</v>
      </c>
    </row>
    <row r="1797" spans="32:32" x14ac:dyDescent="0.3">
      <c r="AF1797" s="47">
        <f t="shared" si="28"/>
        <v>0</v>
      </c>
    </row>
    <row r="1798" spans="32:32" x14ac:dyDescent="0.3">
      <c r="AF1798" s="47">
        <f t="shared" si="28"/>
        <v>0</v>
      </c>
    </row>
    <row r="1799" spans="32:32" x14ac:dyDescent="0.3">
      <c r="AF1799" s="47">
        <f t="shared" si="28"/>
        <v>0</v>
      </c>
    </row>
    <row r="1800" spans="32:32" x14ac:dyDescent="0.3">
      <c r="AF1800" s="47">
        <f t="shared" si="28"/>
        <v>0</v>
      </c>
    </row>
    <row r="1801" spans="32:32" x14ac:dyDescent="0.3">
      <c r="AF1801" s="47">
        <f t="shared" si="28"/>
        <v>0</v>
      </c>
    </row>
    <row r="1802" spans="32:32" x14ac:dyDescent="0.3">
      <c r="AF1802" s="47">
        <f t="shared" si="28"/>
        <v>0</v>
      </c>
    </row>
    <row r="1803" spans="32:32" x14ac:dyDescent="0.3">
      <c r="AF1803" s="47">
        <f t="shared" si="28"/>
        <v>0</v>
      </c>
    </row>
    <row r="1804" spans="32:32" x14ac:dyDescent="0.3">
      <c r="AF1804" s="47">
        <f t="shared" si="28"/>
        <v>0</v>
      </c>
    </row>
    <row r="1805" spans="32:32" x14ac:dyDescent="0.3">
      <c r="AF1805" s="47">
        <f t="shared" si="28"/>
        <v>0</v>
      </c>
    </row>
    <row r="1806" spans="32:32" x14ac:dyDescent="0.3">
      <c r="AF1806" s="47">
        <f t="shared" si="28"/>
        <v>0</v>
      </c>
    </row>
    <row r="1807" spans="32:32" x14ac:dyDescent="0.3">
      <c r="AF1807" s="47">
        <f t="shared" si="28"/>
        <v>0</v>
      </c>
    </row>
    <row r="1808" spans="32:32" x14ac:dyDescent="0.3">
      <c r="AF1808" s="47">
        <f t="shared" si="28"/>
        <v>0</v>
      </c>
    </row>
    <row r="1809" spans="32:32" x14ac:dyDescent="0.3">
      <c r="AF1809" s="47">
        <f t="shared" si="28"/>
        <v>0</v>
      </c>
    </row>
    <row r="1810" spans="32:32" x14ac:dyDescent="0.3">
      <c r="AF1810" s="47">
        <f t="shared" si="28"/>
        <v>0</v>
      </c>
    </row>
    <row r="1811" spans="32:32" x14ac:dyDescent="0.3">
      <c r="AF1811" s="47">
        <f t="shared" si="28"/>
        <v>0</v>
      </c>
    </row>
    <row r="1812" spans="32:32" x14ac:dyDescent="0.3">
      <c r="AF1812" s="47">
        <f t="shared" si="28"/>
        <v>0</v>
      </c>
    </row>
    <row r="1813" spans="32:32" x14ac:dyDescent="0.3">
      <c r="AF1813" s="47">
        <f t="shared" si="28"/>
        <v>0</v>
      </c>
    </row>
    <row r="1814" spans="32:32" x14ac:dyDescent="0.3">
      <c r="AF1814" s="47">
        <f t="shared" si="28"/>
        <v>0</v>
      </c>
    </row>
    <row r="1815" spans="32:32" x14ac:dyDescent="0.3">
      <c r="AF1815" s="47">
        <f t="shared" si="28"/>
        <v>0</v>
      </c>
    </row>
    <row r="1816" spans="32:32" x14ac:dyDescent="0.3">
      <c r="AF1816" s="47">
        <f t="shared" si="28"/>
        <v>0</v>
      </c>
    </row>
    <row r="1817" spans="32:32" x14ac:dyDescent="0.3">
      <c r="AF1817" s="47">
        <f t="shared" si="28"/>
        <v>0</v>
      </c>
    </row>
    <row r="1818" spans="32:32" x14ac:dyDescent="0.3">
      <c r="AF1818" s="47">
        <f t="shared" si="28"/>
        <v>0</v>
      </c>
    </row>
    <row r="1819" spans="32:32" x14ac:dyDescent="0.3">
      <c r="AF1819" s="47">
        <f t="shared" si="28"/>
        <v>0</v>
      </c>
    </row>
    <row r="1820" spans="32:32" x14ac:dyDescent="0.3">
      <c r="AF1820" s="47">
        <f t="shared" si="28"/>
        <v>0</v>
      </c>
    </row>
    <row r="1821" spans="32:32" x14ac:dyDescent="0.3">
      <c r="AF1821" s="47">
        <f t="shared" si="28"/>
        <v>0</v>
      </c>
    </row>
    <row r="1822" spans="32:32" x14ac:dyDescent="0.3">
      <c r="AF1822" s="47">
        <f t="shared" si="28"/>
        <v>0</v>
      </c>
    </row>
    <row r="1823" spans="32:32" x14ac:dyDescent="0.3">
      <c r="AF1823" s="47">
        <f t="shared" si="28"/>
        <v>0</v>
      </c>
    </row>
    <row r="1824" spans="32:32" x14ac:dyDescent="0.3">
      <c r="AF1824" s="47">
        <f t="shared" si="28"/>
        <v>0</v>
      </c>
    </row>
    <row r="1825" spans="32:32" x14ac:dyDescent="0.3">
      <c r="AF1825" s="47">
        <f t="shared" si="28"/>
        <v>0</v>
      </c>
    </row>
    <row r="1826" spans="32:32" x14ac:dyDescent="0.3">
      <c r="AF1826" s="47">
        <f t="shared" si="28"/>
        <v>0</v>
      </c>
    </row>
    <row r="1827" spans="32:32" x14ac:dyDescent="0.3">
      <c r="AF1827" s="47">
        <f t="shared" si="28"/>
        <v>0</v>
      </c>
    </row>
    <row r="1828" spans="32:32" x14ac:dyDescent="0.3">
      <c r="AF1828" s="47">
        <f t="shared" si="28"/>
        <v>0</v>
      </c>
    </row>
    <row r="1829" spans="32:32" x14ac:dyDescent="0.3">
      <c r="AF1829" s="47">
        <f t="shared" si="28"/>
        <v>0</v>
      </c>
    </row>
    <row r="1830" spans="32:32" x14ac:dyDescent="0.3">
      <c r="AF1830" s="47">
        <f t="shared" si="28"/>
        <v>0</v>
      </c>
    </row>
    <row r="1831" spans="32:32" x14ac:dyDescent="0.3">
      <c r="AF1831" s="47">
        <f t="shared" si="28"/>
        <v>0</v>
      </c>
    </row>
    <row r="1832" spans="32:32" x14ac:dyDescent="0.3">
      <c r="AF1832" s="47">
        <f t="shared" si="28"/>
        <v>0</v>
      </c>
    </row>
    <row r="1833" spans="32:32" x14ac:dyDescent="0.3">
      <c r="AF1833" s="47">
        <f t="shared" si="28"/>
        <v>0</v>
      </c>
    </row>
    <row r="1834" spans="32:32" x14ac:dyDescent="0.3">
      <c r="AF1834" s="47">
        <f t="shared" si="28"/>
        <v>0</v>
      </c>
    </row>
    <row r="1835" spans="32:32" x14ac:dyDescent="0.3">
      <c r="AF1835" s="47">
        <f t="shared" si="28"/>
        <v>0</v>
      </c>
    </row>
    <row r="1836" spans="32:32" x14ac:dyDescent="0.3">
      <c r="AF1836" s="47">
        <f t="shared" si="28"/>
        <v>0</v>
      </c>
    </row>
    <row r="1837" spans="32:32" x14ac:dyDescent="0.3">
      <c r="AF1837" s="47">
        <f t="shared" si="28"/>
        <v>0</v>
      </c>
    </row>
    <row r="1838" spans="32:32" x14ac:dyDescent="0.3">
      <c r="AF1838" s="47">
        <f t="shared" si="28"/>
        <v>0</v>
      </c>
    </row>
    <row r="1839" spans="32:32" x14ac:dyDescent="0.3">
      <c r="AF1839" s="47">
        <f t="shared" si="28"/>
        <v>0</v>
      </c>
    </row>
    <row r="1840" spans="32:32" x14ac:dyDescent="0.3">
      <c r="AF1840" s="47">
        <f t="shared" si="28"/>
        <v>0</v>
      </c>
    </row>
    <row r="1841" spans="32:32" x14ac:dyDescent="0.3">
      <c r="AF1841" s="47">
        <f t="shared" si="28"/>
        <v>0</v>
      </c>
    </row>
    <row r="1842" spans="32:32" x14ac:dyDescent="0.3">
      <c r="AF1842" s="47">
        <f t="shared" si="28"/>
        <v>0</v>
      </c>
    </row>
    <row r="1843" spans="32:32" x14ac:dyDescent="0.3">
      <c r="AF1843" s="47">
        <f t="shared" si="28"/>
        <v>0</v>
      </c>
    </row>
    <row r="1844" spans="32:32" x14ac:dyDescent="0.3">
      <c r="AF1844" s="47">
        <f t="shared" si="28"/>
        <v>0</v>
      </c>
    </row>
    <row r="1845" spans="32:32" x14ac:dyDescent="0.3">
      <c r="AF1845" s="47">
        <f t="shared" si="28"/>
        <v>0</v>
      </c>
    </row>
    <row r="1846" spans="32:32" x14ac:dyDescent="0.3">
      <c r="AF1846" s="47">
        <f t="shared" si="28"/>
        <v>0</v>
      </c>
    </row>
    <row r="1847" spans="32:32" x14ac:dyDescent="0.3">
      <c r="AF1847" s="47">
        <f t="shared" si="28"/>
        <v>0</v>
      </c>
    </row>
    <row r="1848" spans="32:32" x14ac:dyDescent="0.3">
      <c r="AF1848" s="47">
        <f t="shared" si="28"/>
        <v>0</v>
      </c>
    </row>
    <row r="1849" spans="32:32" x14ac:dyDescent="0.3">
      <c r="AF1849" s="47">
        <f t="shared" si="28"/>
        <v>0</v>
      </c>
    </row>
    <row r="1850" spans="32:32" x14ac:dyDescent="0.3">
      <c r="AF1850" s="47">
        <f t="shared" si="28"/>
        <v>0</v>
      </c>
    </row>
    <row r="1851" spans="32:32" x14ac:dyDescent="0.3">
      <c r="AF1851" s="47">
        <f t="shared" si="28"/>
        <v>0</v>
      </c>
    </row>
    <row r="1852" spans="32:32" x14ac:dyDescent="0.3">
      <c r="AF1852" s="47">
        <f t="shared" si="28"/>
        <v>0</v>
      </c>
    </row>
    <row r="1853" spans="32:32" x14ac:dyDescent="0.3">
      <c r="AF1853" s="47">
        <f t="shared" si="28"/>
        <v>0</v>
      </c>
    </row>
    <row r="1854" spans="32:32" x14ac:dyDescent="0.3">
      <c r="AF1854" s="47">
        <f t="shared" si="28"/>
        <v>0</v>
      </c>
    </row>
    <row r="1855" spans="32:32" x14ac:dyDescent="0.3">
      <c r="AF1855" s="47">
        <f t="shared" si="28"/>
        <v>0</v>
      </c>
    </row>
    <row r="1856" spans="32:32" x14ac:dyDescent="0.3">
      <c r="AF1856" s="47">
        <f t="shared" si="28"/>
        <v>0</v>
      </c>
    </row>
    <row r="1857" spans="32:32" x14ac:dyDescent="0.3">
      <c r="AF1857" s="47">
        <f t="shared" si="28"/>
        <v>0</v>
      </c>
    </row>
    <row r="1858" spans="32:32" x14ac:dyDescent="0.3">
      <c r="AF1858" s="47">
        <f t="shared" si="28"/>
        <v>0</v>
      </c>
    </row>
    <row r="1859" spans="32:32" x14ac:dyDescent="0.3">
      <c r="AF1859" s="47">
        <f t="shared" ref="AF1859:AF1922" si="29">IFERROR(AC1859-Y1859,"")</f>
        <v>0</v>
      </c>
    </row>
    <row r="1860" spans="32:32" x14ac:dyDescent="0.3">
      <c r="AF1860" s="47">
        <f t="shared" si="29"/>
        <v>0</v>
      </c>
    </row>
    <row r="1861" spans="32:32" x14ac:dyDescent="0.3">
      <c r="AF1861" s="47">
        <f t="shared" si="29"/>
        <v>0</v>
      </c>
    </row>
    <row r="1862" spans="32:32" x14ac:dyDescent="0.3">
      <c r="AF1862" s="47">
        <f t="shared" si="29"/>
        <v>0</v>
      </c>
    </row>
    <row r="1863" spans="32:32" x14ac:dyDescent="0.3">
      <c r="AF1863" s="47">
        <f t="shared" si="29"/>
        <v>0</v>
      </c>
    </row>
    <row r="1864" spans="32:32" x14ac:dyDescent="0.3">
      <c r="AF1864" s="47">
        <f t="shared" si="29"/>
        <v>0</v>
      </c>
    </row>
    <row r="1865" spans="32:32" x14ac:dyDescent="0.3">
      <c r="AF1865" s="47">
        <f t="shared" si="29"/>
        <v>0</v>
      </c>
    </row>
    <row r="1866" spans="32:32" x14ac:dyDescent="0.3">
      <c r="AF1866" s="47">
        <f t="shared" si="29"/>
        <v>0</v>
      </c>
    </row>
    <row r="1867" spans="32:32" x14ac:dyDescent="0.3">
      <c r="AF1867" s="47">
        <f t="shared" si="29"/>
        <v>0</v>
      </c>
    </row>
    <row r="1868" spans="32:32" x14ac:dyDescent="0.3">
      <c r="AF1868" s="47">
        <f t="shared" si="29"/>
        <v>0</v>
      </c>
    </row>
    <row r="1869" spans="32:32" x14ac:dyDescent="0.3">
      <c r="AF1869" s="47">
        <f t="shared" si="29"/>
        <v>0</v>
      </c>
    </row>
    <row r="1870" spans="32:32" x14ac:dyDescent="0.3">
      <c r="AF1870" s="47">
        <f t="shared" si="29"/>
        <v>0</v>
      </c>
    </row>
    <row r="1871" spans="32:32" x14ac:dyDescent="0.3">
      <c r="AF1871" s="47">
        <f t="shared" si="29"/>
        <v>0</v>
      </c>
    </row>
    <row r="1872" spans="32:32" x14ac:dyDescent="0.3">
      <c r="AF1872" s="47">
        <f t="shared" si="29"/>
        <v>0</v>
      </c>
    </row>
    <row r="1873" spans="32:32" x14ac:dyDescent="0.3">
      <c r="AF1873" s="47">
        <f t="shared" si="29"/>
        <v>0</v>
      </c>
    </row>
    <row r="1874" spans="32:32" x14ac:dyDescent="0.3">
      <c r="AF1874" s="47">
        <f t="shared" si="29"/>
        <v>0</v>
      </c>
    </row>
    <row r="1875" spans="32:32" x14ac:dyDescent="0.3">
      <c r="AF1875" s="47">
        <f t="shared" si="29"/>
        <v>0</v>
      </c>
    </row>
    <row r="1876" spans="32:32" x14ac:dyDescent="0.3">
      <c r="AF1876" s="47">
        <f t="shared" si="29"/>
        <v>0</v>
      </c>
    </row>
    <row r="1877" spans="32:32" x14ac:dyDescent="0.3">
      <c r="AF1877" s="47">
        <f t="shared" si="29"/>
        <v>0</v>
      </c>
    </row>
    <row r="1878" spans="32:32" x14ac:dyDescent="0.3">
      <c r="AF1878" s="47">
        <f t="shared" si="29"/>
        <v>0</v>
      </c>
    </row>
    <row r="1879" spans="32:32" x14ac:dyDescent="0.3">
      <c r="AF1879" s="47">
        <f t="shared" si="29"/>
        <v>0</v>
      </c>
    </row>
    <row r="1880" spans="32:32" x14ac:dyDescent="0.3">
      <c r="AF1880" s="47">
        <f t="shared" si="29"/>
        <v>0</v>
      </c>
    </row>
    <row r="1881" spans="32:32" x14ac:dyDescent="0.3">
      <c r="AF1881" s="47">
        <f t="shared" si="29"/>
        <v>0</v>
      </c>
    </row>
    <row r="1882" spans="32:32" x14ac:dyDescent="0.3">
      <c r="AF1882" s="47">
        <f t="shared" si="29"/>
        <v>0</v>
      </c>
    </row>
    <row r="1883" spans="32:32" x14ac:dyDescent="0.3">
      <c r="AF1883" s="47">
        <f t="shared" si="29"/>
        <v>0</v>
      </c>
    </row>
    <row r="1884" spans="32:32" x14ac:dyDescent="0.3">
      <c r="AF1884" s="47">
        <f t="shared" si="29"/>
        <v>0</v>
      </c>
    </row>
    <row r="1885" spans="32:32" x14ac:dyDescent="0.3">
      <c r="AF1885" s="47">
        <f t="shared" si="29"/>
        <v>0</v>
      </c>
    </row>
    <row r="1886" spans="32:32" x14ac:dyDescent="0.3">
      <c r="AF1886" s="47">
        <f t="shared" si="29"/>
        <v>0</v>
      </c>
    </row>
    <row r="1887" spans="32:32" x14ac:dyDescent="0.3">
      <c r="AF1887" s="47">
        <f t="shared" si="29"/>
        <v>0</v>
      </c>
    </row>
    <row r="1888" spans="32:32" x14ac:dyDescent="0.3">
      <c r="AF1888" s="47">
        <f t="shared" si="29"/>
        <v>0</v>
      </c>
    </row>
    <row r="1889" spans="32:32" x14ac:dyDescent="0.3">
      <c r="AF1889" s="47">
        <f t="shared" si="29"/>
        <v>0</v>
      </c>
    </row>
    <row r="1890" spans="32:32" x14ac:dyDescent="0.3">
      <c r="AF1890" s="47">
        <f t="shared" si="29"/>
        <v>0</v>
      </c>
    </row>
    <row r="1891" spans="32:32" x14ac:dyDescent="0.3">
      <c r="AF1891" s="47">
        <f t="shared" si="29"/>
        <v>0</v>
      </c>
    </row>
    <row r="1892" spans="32:32" x14ac:dyDescent="0.3">
      <c r="AF1892" s="47">
        <f t="shared" si="29"/>
        <v>0</v>
      </c>
    </row>
    <row r="1893" spans="32:32" x14ac:dyDescent="0.3">
      <c r="AF1893" s="47">
        <f t="shared" si="29"/>
        <v>0</v>
      </c>
    </row>
    <row r="1894" spans="32:32" x14ac:dyDescent="0.3">
      <c r="AF1894" s="47">
        <f t="shared" si="29"/>
        <v>0</v>
      </c>
    </row>
    <row r="1895" spans="32:32" x14ac:dyDescent="0.3">
      <c r="AF1895" s="47">
        <f t="shared" si="29"/>
        <v>0</v>
      </c>
    </row>
    <row r="1896" spans="32:32" x14ac:dyDescent="0.3">
      <c r="AF1896" s="47">
        <f t="shared" si="29"/>
        <v>0</v>
      </c>
    </row>
    <row r="1897" spans="32:32" x14ac:dyDescent="0.3">
      <c r="AF1897" s="47">
        <f t="shared" si="29"/>
        <v>0</v>
      </c>
    </row>
    <row r="1898" spans="32:32" x14ac:dyDescent="0.3">
      <c r="AF1898" s="47">
        <f t="shared" si="29"/>
        <v>0</v>
      </c>
    </row>
    <row r="1899" spans="32:32" x14ac:dyDescent="0.3">
      <c r="AF1899" s="47">
        <f t="shared" si="29"/>
        <v>0</v>
      </c>
    </row>
    <row r="1900" spans="32:32" x14ac:dyDescent="0.3">
      <c r="AF1900" s="47">
        <f t="shared" si="29"/>
        <v>0</v>
      </c>
    </row>
    <row r="1901" spans="32:32" x14ac:dyDescent="0.3">
      <c r="AF1901" s="47">
        <f t="shared" si="29"/>
        <v>0</v>
      </c>
    </row>
    <row r="1902" spans="32:32" x14ac:dyDescent="0.3">
      <c r="AF1902" s="47">
        <f t="shared" si="29"/>
        <v>0</v>
      </c>
    </row>
    <row r="1903" spans="32:32" x14ac:dyDescent="0.3">
      <c r="AF1903" s="47">
        <f t="shared" si="29"/>
        <v>0</v>
      </c>
    </row>
    <row r="1904" spans="32:32" x14ac:dyDescent="0.3">
      <c r="AF1904" s="47">
        <f t="shared" si="29"/>
        <v>0</v>
      </c>
    </row>
    <row r="1905" spans="32:32" x14ac:dyDescent="0.3">
      <c r="AF1905" s="47">
        <f t="shared" si="29"/>
        <v>0</v>
      </c>
    </row>
    <row r="1906" spans="32:32" x14ac:dyDescent="0.3">
      <c r="AF1906" s="47">
        <f t="shared" si="29"/>
        <v>0</v>
      </c>
    </row>
    <row r="1907" spans="32:32" x14ac:dyDescent="0.3">
      <c r="AF1907" s="47">
        <f t="shared" si="29"/>
        <v>0</v>
      </c>
    </row>
    <row r="1908" spans="32:32" x14ac:dyDescent="0.3">
      <c r="AF1908" s="47">
        <f t="shared" si="29"/>
        <v>0</v>
      </c>
    </row>
    <row r="1909" spans="32:32" x14ac:dyDescent="0.3">
      <c r="AF1909" s="47">
        <f t="shared" si="29"/>
        <v>0</v>
      </c>
    </row>
    <row r="1910" spans="32:32" x14ac:dyDescent="0.3">
      <c r="AF1910" s="47">
        <f t="shared" si="29"/>
        <v>0</v>
      </c>
    </row>
    <row r="1911" spans="32:32" x14ac:dyDescent="0.3">
      <c r="AF1911" s="47">
        <f t="shared" si="29"/>
        <v>0</v>
      </c>
    </row>
    <row r="1912" spans="32:32" x14ac:dyDescent="0.3">
      <c r="AF1912" s="47">
        <f t="shared" si="29"/>
        <v>0</v>
      </c>
    </row>
    <row r="1913" spans="32:32" x14ac:dyDescent="0.3">
      <c r="AF1913" s="47">
        <f t="shared" si="29"/>
        <v>0</v>
      </c>
    </row>
    <row r="1914" spans="32:32" x14ac:dyDescent="0.3">
      <c r="AF1914" s="47">
        <f t="shared" si="29"/>
        <v>0</v>
      </c>
    </row>
    <row r="1915" spans="32:32" x14ac:dyDescent="0.3">
      <c r="AF1915" s="47">
        <f t="shared" si="29"/>
        <v>0</v>
      </c>
    </row>
    <row r="1916" spans="32:32" x14ac:dyDescent="0.3">
      <c r="AF1916" s="47">
        <f t="shared" si="29"/>
        <v>0</v>
      </c>
    </row>
    <row r="1917" spans="32:32" x14ac:dyDescent="0.3">
      <c r="AF1917" s="47">
        <f t="shared" si="29"/>
        <v>0</v>
      </c>
    </row>
    <row r="1918" spans="32:32" x14ac:dyDescent="0.3">
      <c r="AF1918" s="47">
        <f t="shared" si="29"/>
        <v>0</v>
      </c>
    </row>
    <row r="1919" spans="32:32" x14ac:dyDescent="0.3">
      <c r="AF1919" s="47">
        <f t="shared" si="29"/>
        <v>0</v>
      </c>
    </row>
    <row r="1920" spans="32:32" x14ac:dyDescent="0.3">
      <c r="AF1920" s="47">
        <f t="shared" si="29"/>
        <v>0</v>
      </c>
    </row>
    <row r="1921" spans="32:32" x14ac:dyDescent="0.3">
      <c r="AF1921" s="47">
        <f t="shared" si="29"/>
        <v>0</v>
      </c>
    </row>
    <row r="1922" spans="32:32" x14ac:dyDescent="0.3">
      <c r="AF1922" s="47">
        <f t="shared" si="29"/>
        <v>0</v>
      </c>
    </row>
    <row r="1923" spans="32:32" x14ac:dyDescent="0.3">
      <c r="AF1923" s="47">
        <f t="shared" ref="AF1923:AF1945" si="30">IFERROR(AC1923-Y1923,"")</f>
        <v>0</v>
      </c>
    </row>
    <row r="1924" spans="32:32" x14ac:dyDescent="0.3">
      <c r="AF1924" s="47">
        <f t="shared" si="30"/>
        <v>0</v>
      </c>
    </row>
    <row r="1925" spans="32:32" x14ac:dyDescent="0.3">
      <c r="AF1925" s="47">
        <f t="shared" si="30"/>
        <v>0</v>
      </c>
    </row>
    <row r="1926" spans="32:32" x14ac:dyDescent="0.3">
      <c r="AF1926" s="47">
        <f t="shared" si="30"/>
        <v>0</v>
      </c>
    </row>
    <row r="1927" spans="32:32" x14ac:dyDescent="0.3">
      <c r="AF1927" s="47">
        <f t="shared" si="30"/>
        <v>0</v>
      </c>
    </row>
    <row r="1928" spans="32:32" x14ac:dyDescent="0.3">
      <c r="AF1928" s="47">
        <f t="shared" si="30"/>
        <v>0</v>
      </c>
    </row>
    <row r="1929" spans="32:32" x14ac:dyDescent="0.3">
      <c r="AF1929" s="47">
        <f t="shared" si="30"/>
        <v>0</v>
      </c>
    </row>
    <row r="1930" spans="32:32" x14ac:dyDescent="0.3">
      <c r="AF1930" s="47">
        <f t="shared" si="30"/>
        <v>0</v>
      </c>
    </row>
    <row r="1931" spans="32:32" x14ac:dyDescent="0.3">
      <c r="AF1931" s="47">
        <f t="shared" si="30"/>
        <v>0</v>
      </c>
    </row>
    <row r="1932" spans="32:32" x14ac:dyDescent="0.3">
      <c r="AF1932" s="47">
        <f t="shared" si="30"/>
        <v>0</v>
      </c>
    </row>
    <row r="1933" spans="32:32" x14ac:dyDescent="0.3">
      <c r="AF1933" s="47">
        <f t="shared" si="30"/>
        <v>0</v>
      </c>
    </row>
    <row r="1934" spans="32:32" x14ac:dyDescent="0.3">
      <c r="AF1934" s="47">
        <f t="shared" si="30"/>
        <v>0</v>
      </c>
    </row>
    <row r="1935" spans="32:32" x14ac:dyDescent="0.3">
      <c r="AF1935" s="47">
        <f t="shared" si="30"/>
        <v>0</v>
      </c>
    </row>
    <row r="1936" spans="32:32" x14ac:dyDescent="0.3">
      <c r="AF1936" s="47">
        <f t="shared" si="30"/>
        <v>0</v>
      </c>
    </row>
    <row r="1937" spans="32:32" x14ac:dyDescent="0.3">
      <c r="AF1937" s="47">
        <f t="shared" si="30"/>
        <v>0</v>
      </c>
    </row>
    <row r="1938" spans="32:32" x14ac:dyDescent="0.3">
      <c r="AF1938" s="47">
        <f t="shared" si="30"/>
        <v>0</v>
      </c>
    </row>
    <row r="1939" spans="32:32" x14ac:dyDescent="0.3">
      <c r="AF1939" s="47">
        <f t="shared" si="30"/>
        <v>0</v>
      </c>
    </row>
    <row r="1940" spans="32:32" x14ac:dyDescent="0.3">
      <c r="AF1940" s="47">
        <f t="shared" si="30"/>
        <v>0</v>
      </c>
    </row>
    <row r="1941" spans="32:32" x14ac:dyDescent="0.3">
      <c r="AF1941" s="47">
        <f t="shared" si="30"/>
        <v>0</v>
      </c>
    </row>
    <row r="1942" spans="32:32" x14ac:dyDescent="0.3">
      <c r="AF1942" s="47">
        <f t="shared" si="30"/>
        <v>0</v>
      </c>
    </row>
    <row r="1943" spans="32:32" x14ac:dyDescent="0.3">
      <c r="AF1943" s="47">
        <f t="shared" si="30"/>
        <v>0</v>
      </c>
    </row>
    <row r="1944" spans="32:32" x14ac:dyDescent="0.3">
      <c r="AF1944" s="47">
        <f t="shared" si="30"/>
        <v>0</v>
      </c>
    </row>
    <row r="1945" spans="32:32" x14ac:dyDescent="0.3">
      <c r="AF1945" s="47">
        <f t="shared" si="30"/>
        <v>0</v>
      </c>
    </row>
  </sheetData>
  <autoFilter ref="A2:BG2" xr:uid="{9006E399-D133-48D0-AC9A-21A6E4C304E9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5671A-9E61-4605-88DE-5551D9E5762A}">
  <dimension ref="A2:BG1945"/>
  <sheetViews>
    <sheetView zoomScale="70" zoomScaleNormal="70" workbookViewId="0">
      <pane xSplit="8" ySplit="2" topLeftCell="I3" activePane="bottomRight" state="frozen"/>
      <selection pane="topRight" activeCell="A827" sqref="A827:A1017"/>
      <selection pane="bottomLeft" activeCell="A827" sqref="A827:A1017"/>
      <selection pane="bottomRight" activeCell="G3" sqref="G3:AD202"/>
    </sheetView>
  </sheetViews>
  <sheetFormatPr defaultRowHeight="16.5" x14ac:dyDescent="0.3"/>
  <cols>
    <col min="1" max="4" width="9" style="46"/>
    <col min="5" max="5" width="20.75" style="46" bestFit="1" customWidth="1"/>
    <col min="6" max="7" width="9" style="46" bestFit="1" customWidth="1"/>
    <col min="8" max="8" width="20.375" style="46" bestFit="1" customWidth="1"/>
    <col min="9" max="9" width="9" style="46" bestFit="1" customWidth="1"/>
    <col min="10" max="10" width="9.875" style="46" bestFit="1" customWidth="1"/>
    <col min="11" max="13" width="9" style="46" bestFit="1" customWidth="1"/>
    <col min="14" max="14" width="11.625" style="46" bestFit="1" customWidth="1"/>
    <col min="15" max="15" width="11.5" style="46" bestFit="1" customWidth="1"/>
    <col min="16" max="20" width="9.375" style="46" bestFit="1" customWidth="1"/>
    <col min="21" max="21" width="10.25" style="46" bestFit="1" customWidth="1"/>
    <col min="22" max="24" width="9.375" style="46" bestFit="1" customWidth="1"/>
    <col min="25" max="25" width="11.625" style="48" bestFit="1" customWidth="1"/>
    <col min="26" max="28" width="9.375" style="46" bestFit="1" customWidth="1"/>
    <col min="29" max="29" width="11.625" style="46" bestFit="1" customWidth="1"/>
    <col min="30" max="30" width="9.125" style="46" bestFit="1" customWidth="1"/>
    <col min="31" max="31" width="9" style="46" bestFit="1" customWidth="1"/>
    <col min="32" max="32" width="12.625" style="48" customWidth="1"/>
    <col min="33" max="59" width="9" style="46"/>
  </cols>
  <sheetData>
    <row r="2" spans="1:32" x14ac:dyDescent="0.3">
      <c r="A2" s="46" t="s">
        <v>136</v>
      </c>
      <c r="B2" s="46" t="s">
        <v>137</v>
      </c>
      <c r="C2" s="46" t="s">
        <v>138</v>
      </c>
      <c r="D2" s="46" t="s">
        <v>139</v>
      </c>
      <c r="E2" s="46" t="s">
        <v>140</v>
      </c>
      <c r="F2" s="49" t="s">
        <v>141</v>
      </c>
      <c r="G2" s="50" t="s">
        <v>142</v>
      </c>
      <c r="H2" s="50" t="s">
        <v>143</v>
      </c>
      <c r="I2" s="50" t="s">
        <v>144</v>
      </c>
      <c r="J2" s="50" t="s">
        <v>145</v>
      </c>
      <c r="K2" s="50" t="s">
        <v>146</v>
      </c>
      <c r="L2" s="50" t="s">
        <v>147</v>
      </c>
      <c r="M2" s="50" t="s">
        <v>148</v>
      </c>
      <c r="N2" s="50" t="s">
        <v>149</v>
      </c>
      <c r="O2" s="50" t="s">
        <v>150</v>
      </c>
      <c r="P2" s="50" t="s">
        <v>151</v>
      </c>
      <c r="Q2" s="50" t="s">
        <v>152</v>
      </c>
      <c r="R2" s="50" t="s">
        <v>153</v>
      </c>
      <c r="S2" s="50" t="s">
        <v>154</v>
      </c>
      <c r="T2" s="50" t="s">
        <v>155</v>
      </c>
      <c r="U2" s="50" t="s">
        <v>156</v>
      </c>
      <c r="V2" s="50" t="s">
        <v>157</v>
      </c>
      <c r="W2" s="50" t="s">
        <v>158</v>
      </c>
      <c r="X2" s="50" t="s">
        <v>159</v>
      </c>
      <c r="Y2" s="50" t="s">
        <v>160</v>
      </c>
      <c r="Z2" s="50" t="s">
        <v>161</v>
      </c>
      <c r="AA2" s="50" t="s">
        <v>162</v>
      </c>
      <c r="AB2" s="50" t="s">
        <v>163</v>
      </c>
      <c r="AC2" s="50" t="s">
        <v>164</v>
      </c>
      <c r="AD2" s="51" t="s">
        <v>165</v>
      </c>
      <c r="AF2" s="52" t="s">
        <v>166</v>
      </c>
    </row>
    <row r="3" spans="1:32" x14ac:dyDescent="0.3">
      <c r="B3" s="46" t="str">
        <f>IFERROR(VLOOKUP($H3,매장구분!$B:$Z,2,0),"")</f>
        <v>리테일채널팀</v>
      </c>
      <c r="C3" s="46" t="str">
        <f>IFERROR(VLOOKUP($H3,매장구분!$B:$Z,3,0),"")</f>
        <v>국내</v>
      </c>
      <c r="D3" s="46" t="str">
        <f>IFERROR(VLOOKUP($H3,매장구분!$B:$Z,5,0),"")</f>
        <v>상설(위탁)</v>
      </c>
      <c r="E3" s="46" t="str">
        <f>IFERROR(VLOOKUP($H3,매장구분!$B:$Z,9,0),"")</f>
        <v>LF스퀘어광양(상-위)</v>
      </c>
      <c r="F3" s="53"/>
      <c r="G3" s="54" t="s">
        <v>167</v>
      </c>
      <c r="H3" s="55" t="s">
        <v>168</v>
      </c>
      <c r="I3" s="55" t="s">
        <v>169</v>
      </c>
      <c r="J3" s="55" t="s">
        <v>79</v>
      </c>
      <c r="K3" s="55" t="s">
        <v>170</v>
      </c>
      <c r="L3" s="55" t="s">
        <v>171</v>
      </c>
      <c r="M3" s="55" t="s">
        <v>77</v>
      </c>
      <c r="N3" s="55" t="s">
        <v>172</v>
      </c>
      <c r="O3" s="55">
        <v>5436000</v>
      </c>
      <c r="P3" s="55">
        <v>151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6">
        <v>0</v>
      </c>
      <c r="Z3" s="55">
        <v>0</v>
      </c>
      <c r="AA3" s="55">
        <v>0</v>
      </c>
      <c r="AB3" s="55">
        <v>0</v>
      </c>
      <c r="AC3" s="55">
        <v>5436000</v>
      </c>
      <c r="AD3" s="57">
        <v>151</v>
      </c>
      <c r="AF3" s="47">
        <f t="shared" ref="AF3:AF66" si="0">IFERROR(AC3-Y3,"")</f>
        <v>5436000</v>
      </c>
    </row>
    <row r="4" spans="1:32" x14ac:dyDescent="0.3">
      <c r="B4" s="46" t="str">
        <f>IFERROR(VLOOKUP($H4,매장구분!$B:$Z,2,0),"")</f>
        <v>파트너채널팀</v>
      </c>
      <c r="C4" s="46" t="str">
        <f>IFERROR(VLOOKUP($H4,매장구분!$B:$Z,3,0),"")</f>
        <v>면세</v>
      </c>
      <c r="D4" s="46" t="str">
        <f>IFERROR(VLOOKUP($H4,매장구분!$B:$Z,5,0),"")</f>
        <v>면세</v>
      </c>
      <c r="E4" s="46" t="str">
        <f>IFERROR(VLOOKUP($H4,매장구분!$B:$Z,9,0),"")</f>
        <v>롯데면세월드</v>
      </c>
      <c r="F4" s="58"/>
      <c r="G4" s="59" t="s">
        <v>213</v>
      </c>
      <c r="H4" s="60" t="s">
        <v>214</v>
      </c>
      <c r="I4" s="60" t="s">
        <v>169</v>
      </c>
      <c r="J4" s="60" t="s">
        <v>175</v>
      </c>
      <c r="K4" s="60" t="s">
        <v>170</v>
      </c>
      <c r="L4" s="60" t="s">
        <v>171</v>
      </c>
      <c r="M4" s="60" t="s">
        <v>176</v>
      </c>
      <c r="N4" s="60" t="s">
        <v>177</v>
      </c>
      <c r="O4" s="60">
        <v>33343000</v>
      </c>
      <c r="P4" s="60">
        <v>483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1">
        <v>491559600</v>
      </c>
      <c r="Z4" s="60">
        <v>3370</v>
      </c>
      <c r="AA4" s="60">
        <v>0</v>
      </c>
      <c r="AB4" s="60">
        <v>0</v>
      </c>
      <c r="AC4" s="60">
        <v>524902600</v>
      </c>
      <c r="AD4" s="62">
        <v>3853</v>
      </c>
      <c r="AF4" s="47">
        <f t="shared" si="0"/>
        <v>33343000</v>
      </c>
    </row>
    <row r="5" spans="1:32" x14ac:dyDescent="0.3">
      <c r="B5" s="46" t="str">
        <f>IFERROR(VLOOKUP($H5,매장구분!$B:$Z,2,0),"")</f>
        <v>E-biz</v>
      </c>
      <c r="C5" s="46" t="str">
        <f>IFERROR(VLOOKUP($H5,매장구분!$B:$Z,3,0),"")</f>
        <v>국내</v>
      </c>
      <c r="D5" s="46" t="str">
        <f>IFERROR(VLOOKUP($H5,매장구분!$B:$Z,5,0),"")</f>
        <v>온(제휴몰)</v>
      </c>
      <c r="E5" s="46" t="str">
        <f>IFERROR(VLOOKUP($H5,매장구분!$B:$Z,9,0),"")</f>
        <v>네이버스토어(제휴몰)</v>
      </c>
      <c r="F5" s="53"/>
      <c r="G5" s="54" t="s">
        <v>207</v>
      </c>
      <c r="H5" s="55" t="s">
        <v>208</v>
      </c>
      <c r="I5" s="55" t="s">
        <v>169</v>
      </c>
      <c r="J5" s="55" t="s">
        <v>180</v>
      </c>
      <c r="K5" s="55" t="s">
        <v>170</v>
      </c>
      <c r="L5" s="55" t="s">
        <v>181</v>
      </c>
      <c r="M5" s="55" t="s">
        <v>181</v>
      </c>
      <c r="N5" s="55" t="s">
        <v>185</v>
      </c>
      <c r="O5" s="55">
        <v>430060500</v>
      </c>
      <c r="P5" s="55">
        <v>4969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6">
        <v>0</v>
      </c>
      <c r="Z5" s="55">
        <v>0</v>
      </c>
      <c r="AA5" s="55">
        <v>0</v>
      </c>
      <c r="AB5" s="55">
        <v>0</v>
      </c>
      <c r="AC5" s="55">
        <v>430060500</v>
      </c>
      <c r="AD5" s="57">
        <v>4969</v>
      </c>
      <c r="AF5" s="47">
        <f t="shared" si="0"/>
        <v>430060500</v>
      </c>
    </row>
    <row r="6" spans="1:32" x14ac:dyDescent="0.3">
      <c r="B6" s="46" t="str">
        <f>IFERROR(VLOOKUP($H6,매장구분!$B:$Z,2,0),"")</f>
        <v>파트너채널팀</v>
      </c>
      <c r="C6" s="46" t="str">
        <f>IFERROR(VLOOKUP($H6,매장구분!$B:$Z,3,0),"")</f>
        <v>국내</v>
      </c>
      <c r="D6" s="46" t="str">
        <f>IFERROR(VLOOKUP($H6,매장구분!$B:$Z,5,0),"")</f>
        <v>백화점</v>
      </c>
      <c r="E6" s="46" t="str">
        <f>IFERROR(VLOOKUP($H6,매장구분!$B:$Z,9,0),"")</f>
        <v>롯데안산</v>
      </c>
      <c r="F6" s="58"/>
      <c r="G6" s="59" t="s">
        <v>200</v>
      </c>
      <c r="H6" s="60" t="s">
        <v>201</v>
      </c>
      <c r="I6" s="60" t="s">
        <v>169</v>
      </c>
      <c r="J6" s="60" t="s">
        <v>175</v>
      </c>
      <c r="K6" s="60" t="s">
        <v>170</v>
      </c>
      <c r="L6" s="60" t="s">
        <v>171</v>
      </c>
      <c r="M6" s="60" t="s">
        <v>77</v>
      </c>
      <c r="N6" s="60" t="s">
        <v>172</v>
      </c>
      <c r="O6" s="60">
        <v>37323800</v>
      </c>
      <c r="P6" s="60">
        <v>370</v>
      </c>
      <c r="Q6" s="60">
        <v>0</v>
      </c>
      <c r="R6" s="60">
        <v>0</v>
      </c>
      <c r="S6" s="60">
        <v>0</v>
      </c>
      <c r="T6" s="60">
        <v>0</v>
      </c>
      <c r="U6" s="60">
        <v>6037900</v>
      </c>
      <c r="V6" s="60">
        <v>35</v>
      </c>
      <c r="W6" s="60">
        <v>0</v>
      </c>
      <c r="X6" s="60">
        <v>0</v>
      </c>
      <c r="Y6" s="61">
        <v>35602000</v>
      </c>
      <c r="Z6" s="60">
        <v>158</v>
      </c>
      <c r="AA6" s="60">
        <v>0</v>
      </c>
      <c r="AB6" s="60">
        <v>0</v>
      </c>
      <c r="AC6" s="60">
        <v>78963700</v>
      </c>
      <c r="AD6" s="62">
        <v>563</v>
      </c>
      <c r="AF6" s="47">
        <f t="shared" si="0"/>
        <v>43361700</v>
      </c>
    </row>
    <row r="7" spans="1:32" x14ac:dyDescent="0.3">
      <c r="B7" s="46" t="str">
        <f>IFERROR(VLOOKUP($H7,매장구분!$B:$Z,2,0),"")</f>
        <v>E-biz</v>
      </c>
      <c r="C7" s="46" t="str">
        <f>IFERROR(VLOOKUP($H7,매장구분!$B:$Z,3,0),"")</f>
        <v>국내</v>
      </c>
      <c r="D7" s="46" t="str">
        <f>IFERROR(VLOOKUP($H7,매장구분!$B:$Z,5,0),"")</f>
        <v>온(자사몰)</v>
      </c>
      <c r="E7" s="46" t="str">
        <f>IFERROR(VLOOKUP($H7,매장구분!$B:$Z,9,0),"")</f>
        <v>온라인쇼핑몰</v>
      </c>
      <c r="F7" s="53"/>
      <c r="G7" s="54" t="s">
        <v>178</v>
      </c>
      <c r="H7" s="55" t="s">
        <v>179</v>
      </c>
      <c r="I7" s="55" t="s">
        <v>169</v>
      </c>
      <c r="J7" s="55" t="s">
        <v>180</v>
      </c>
      <c r="K7" s="55" t="s">
        <v>170</v>
      </c>
      <c r="L7" s="55" t="s">
        <v>181</v>
      </c>
      <c r="M7" s="55" t="s">
        <v>181</v>
      </c>
      <c r="N7" s="55" t="s">
        <v>182</v>
      </c>
      <c r="O7" s="55">
        <v>643541830</v>
      </c>
      <c r="P7" s="55">
        <v>7313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56">
        <v>0</v>
      </c>
      <c r="Z7" s="55">
        <v>0</v>
      </c>
      <c r="AA7" s="55">
        <v>0</v>
      </c>
      <c r="AB7" s="55">
        <v>0</v>
      </c>
      <c r="AC7" s="55">
        <v>643541830</v>
      </c>
      <c r="AD7" s="57">
        <v>7313</v>
      </c>
      <c r="AF7" s="47">
        <f t="shared" si="0"/>
        <v>643541830</v>
      </c>
    </row>
    <row r="8" spans="1:32" x14ac:dyDescent="0.3">
      <c r="B8" s="46" t="str">
        <f>IFERROR(VLOOKUP($H8,매장구분!$B:$Z,2,0),"")</f>
        <v>리테일채널팀</v>
      </c>
      <c r="C8" s="46" t="str">
        <f>IFERROR(VLOOKUP($H8,매장구분!$B:$Z,3,0),"")</f>
        <v>국내</v>
      </c>
      <c r="D8" s="46" t="str">
        <f>IFERROR(VLOOKUP($H8,매장구분!$B:$Z,5,0),"")</f>
        <v>대리점</v>
      </c>
      <c r="E8" s="46" t="str">
        <f>IFERROR(VLOOKUP($H8,매장구분!$B:$Z,9,0),"")</f>
        <v>천안쌍용(대-위)</v>
      </c>
      <c r="F8" s="58"/>
      <c r="G8" s="59" t="s">
        <v>574</v>
      </c>
      <c r="H8" s="60" t="s">
        <v>575</v>
      </c>
      <c r="I8" s="60" t="s">
        <v>169</v>
      </c>
      <c r="J8" s="60" t="s">
        <v>79</v>
      </c>
      <c r="K8" s="60" t="s">
        <v>170</v>
      </c>
      <c r="L8" s="60" t="s">
        <v>171</v>
      </c>
      <c r="M8" s="60" t="s">
        <v>196</v>
      </c>
      <c r="N8" s="60" t="s">
        <v>197</v>
      </c>
      <c r="O8" s="60">
        <v>14138900</v>
      </c>
      <c r="P8" s="60">
        <v>145</v>
      </c>
      <c r="Q8" s="60">
        <v>0</v>
      </c>
      <c r="R8" s="60">
        <v>0</v>
      </c>
      <c r="S8" s="60">
        <v>0</v>
      </c>
      <c r="T8" s="60">
        <v>0</v>
      </c>
      <c r="U8" s="60">
        <v>2876700</v>
      </c>
      <c r="V8" s="60">
        <v>15</v>
      </c>
      <c r="W8" s="60">
        <v>0</v>
      </c>
      <c r="X8" s="60">
        <v>0</v>
      </c>
      <c r="Y8" s="61">
        <v>5037100</v>
      </c>
      <c r="Z8" s="60">
        <v>45</v>
      </c>
      <c r="AA8" s="60">
        <v>0</v>
      </c>
      <c r="AB8" s="60">
        <v>0</v>
      </c>
      <c r="AC8" s="60">
        <v>22052700</v>
      </c>
      <c r="AD8" s="62">
        <v>205</v>
      </c>
      <c r="AF8" s="47">
        <f t="shared" si="0"/>
        <v>17015600</v>
      </c>
    </row>
    <row r="9" spans="1:32" x14ac:dyDescent="0.3">
      <c r="B9" s="46" t="str">
        <f>IFERROR(VLOOKUP($H9,매장구분!$B:$Z,2,0),"")</f>
        <v>리테일채널팀</v>
      </c>
      <c r="C9" s="46" t="str">
        <f>IFERROR(VLOOKUP($H9,매장구분!$B:$Z,3,0),"")</f>
        <v>국내</v>
      </c>
      <c r="D9" s="46" t="str">
        <f>IFERROR(VLOOKUP($H9,매장구분!$B:$Z,5,0),"")</f>
        <v>대리점</v>
      </c>
      <c r="E9" s="46" t="str">
        <f>IFERROR(VLOOKUP($H9,매장구분!$B:$Z,9,0),"")</f>
        <v>여수(대-위)</v>
      </c>
      <c r="F9" s="53"/>
      <c r="G9" s="54" t="s">
        <v>198</v>
      </c>
      <c r="H9" s="55" t="s">
        <v>199</v>
      </c>
      <c r="I9" s="55" t="s">
        <v>169</v>
      </c>
      <c r="J9" s="55" t="s">
        <v>79</v>
      </c>
      <c r="K9" s="55" t="s">
        <v>170</v>
      </c>
      <c r="L9" s="55" t="s">
        <v>171</v>
      </c>
      <c r="M9" s="55" t="s">
        <v>196</v>
      </c>
      <c r="N9" s="55" t="s">
        <v>197</v>
      </c>
      <c r="O9" s="55">
        <v>33277200</v>
      </c>
      <c r="P9" s="55">
        <v>324</v>
      </c>
      <c r="Q9" s="55">
        <v>0</v>
      </c>
      <c r="R9" s="55">
        <v>0</v>
      </c>
      <c r="S9" s="55">
        <v>0</v>
      </c>
      <c r="T9" s="55">
        <v>0</v>
      </c>
      <c r="U9" s="55">
        <v>3632600</v>
      </c>
      <c r="V9" s="55">
        <v>20</v>
      </c>
      <c r="W9" s="55">
        <v>0</v>
      </c>
      <c r="X9" s="55">
        <v>0</v>
      </c>
      <c r="Y9" s="56">
        <v>0</v>
      </c>
      <c r="Z9" s="55">
        <v>0</v>
      </c>
      <c r="AA9" s="55">
        <v>0</v>
      </c>
      <c r="AB9" s="55">
        <v>0</v>
      </c>
      <c r="AC9" s="55">
        <v>36909800</v>
      </c>
      <c r="AD9" s="57">
        <v>344</v>
      </c>
      <c r="AF9" s="47">
        <f t="shared" si="0"/>
        <v>36909800</v>
      </c>
    </row>
    <row r="10" spans="1:32" x14ac:dyDescent="0.3">
      <c r="B10" s="46" t="str">
        <f>IFERROR(VLOOKUP($H10,매장구분!$B:$Z,2,0),"")</f>
        <v>파트너채널팀</v>
      </c>
      <c r="C10" s="46" t="str">
        <f>IFERROR(VLOOKUP($H10,매장구분!$B:$Z,3,0),"")</f>
        <v>국내</v>
      </c>
      <c r="D10" s="46" t="str">
        <f>IFERROR(VLOOKUP($H10,매장구분!$B:$Z,5,0),"")</f>
        <v>백화점</v>
      </c>
      <c r="E10" s="46" t="str">
        <f>IFERROR(VLOOKUP($H10,매장구분!$B:$Z,9,0),"")</f>
        <v>롯데영등포</v>
      </c>
      <c r="F10" s="58"/>
      <c r="G10" s="59" t="s">
        <v>202</v>
      </c>
      <c r="H10" s="60" t="s">
        <v>203</v>
      </c>
      <c r="I10" s="60" t="s">
        <v>169</v>
      </c>
      <c r="J10" s="60" t="s">
        <v>175</v>
      </c>
      <c r="K10" s="60" t="s">
        <v>170</v>
      </c>
      <c r="L10" s="60" t="s">
        <v>171</v>
      </c>
      <c r="M10" s="60" t="s">
        <v>77</v>
      </c>
      <c r="N10" s="60" t="s">
        <v>172</v>
      </c>
      <c r="O10" s="60">
        <v>41482568</v>
      </c>
      <c r="P10" s="60">
        <v>356</v>
      </c>
      <c r="Q10" s="60">
        <v>24193300</v>
      </c>
      <c r="R10" s="60">
        <v>316</v>
      </c>
      <c r="S10" s="60">
        <v>0</v>
      </c>
      <c r="T10" s="60">
        <v>0</v>
      </c>
      <c r="U10" s="60">
        <v>2934932</v>
      </c>
      <c r="V10" s="60">
        <v>16</v>
      </c>
      <c r="W10" s="60">
        <v>0</v>
      </c>
      <c r="X10" s="60">
        <v>0</v>
      </c>
      <c r="Y10" s="61">
        <v>0</v>
      </c>
      <c r="Z10" s="60">
        <v>0</v>
      </c>
      <c r="AA10" s="60">
        <v>0</v>
      </c>
      <c r="AB10" s="60">
        <v>0</v>
      </c>
      <c r="AC10" s="60">
        <v>68610800</v>
      </c>
      <c r="AD10" s="62">
        <v>688</v>
      </c>
      <c r="AF10" s="47">
        <f t="shared" si="0"/>
        <v>68610800</v>
      </c>
    </row>
    <row r="11" spans="1:32" x14ac:dyDescent="0.3">
      <c r="B11" s="46" t="str">
        <f>IFERROR(VLOOKUP($H11,매장구분!$B:$Z,2,0),"")</f>
        <v>파트너채널팀</v>
      </c>
      <c r="C11" s="46" t="str">
        <f>IFERROR(VLOOKUP($H11,매장구분!$B:$Z,3,0),"")</f>
        <v>국내</v>
      </c>
      <c r="D11" s="46" t="str">
        <f>IFERROR(VLOOKUP($H11,매장구분!$B:$Z,5,0),"")</f>
        <v>백화점</v>
      </c>
      <c r="E11" s="46" t="str">
        <f>IFERROR(VLOOKUP($H11,매장구분!$B:$Z,9,0),"")</f>
        <v>신세계대구</v>
      </c>
      <c r="F11" s="53"/>
      <c r="G11" s="54" t="s">
        <v>192</v>
      </c>
      <c r="H11" s="55" t="s">
        <v>193</v>
      </c>
      <c r="I11" s="55" t="s">
        <v>169</v>
      </c>
      <c r="J11" s="55" t="s">
        <v>175</v>
      </c>
      <c r="K11" s="55" t="s">
        <v>170</v>
      </c>
      <c r="L11" s="55" t="s">
        <v>171</v>
      </c>
      <c r="M11" s="55" t="s">
        <v>77</v>
      </c>
      <c r="N11" s="55" t="s">
        <v>172</v>
      </c>
      <c r="O11" s="55">
        <v>110402300</v>
      </c>
      <c r="P11" s="55">
        <v>1127</v>
      </c>
      <c r="Q11" s="55">
        <v>0</v>
      </c>
      <c r="R11" s="55">
        <v>0</v>
      </c>
      <c r="S11" s="55">
        <v>0</v>
      </c>
      <c r="T11" s="55">
        <v>0</v>
      </c>
      <c r="U11" s="55">
        <v>5345100</v>
      </c>
      <c r="V11" s="55">
        <v>34</v>
      </c>
      <c r="W11" s="55">
        <v>0</v>
      </c>
      <c r="X11" s="55">
        <v>0</v>
      </c>
      <c r="Y11" s="56">
        <v>27849000</v>
      </c>
      <c r="Z11" s="55">
        <v>201</v>
      </c>
      <c r="AA11" s="55">
        <v>0</v>
      </c>
      <c r="AB11" s="55">
        <v>0</v>
      </c>
      <c r="AC11" s="55">
        <v>143596400</v>
      </c>
      <c r="AD11" s="57">
        <v>1362</v>
      </c>
      <c r="AF11" s="47">
        <f t="shared" si="0"/>
        <v>115747400</v>
      </c>
    </row>
    <row r="12" spans="1:32" x14ac:dyDescent="0.3">
      <c r="B12" s="46" t="str">
        <f>IFERROR(VLOOKUP($H12,매장구분!$B:$Z,2,0),"")</f>
        <v>리테일채널팀</v>
      </c>
      <c r="C12" s="46" t="str">
        <f>IFERROR(VLOOKUP($H12,매장구분!$B:$Z,3,0),"")</f>
        <v>국내</v>
      </c>
      <c r="D12" s="46" t="str">
        <f>IFERROR(VLOOKUP($H12,매장구분!$B:$Z,5,0),"")</f>
        <v>직영점</v>
      </c>
      <c r="E12" s="46" t="str">
        <f>IFERROR(VLOOKUP($H12,매장구분!$B:$Z,9,0),"")</f>
        <v>동성로</v>
      </c>
      <c r="F12" s="58"/>
      <c r="G12" s="59" t="s">
        <v>204</v>
      </c>
      <c r="H12" s="60" t="s">
        <v>205</v>
      </c>
      <c r="I12" s="60" t="s">
        <v>169</v>
      </c>
      <c r="J12" s="60" t="s">
        <v>180</v>
      </c>
      <c r="K12" s="60" t="s">
        <v>170</v>
      </c>
      <c r="L12" s="60" t="s">
        <v>171</v>
      </c>
      <c r="M12" s="60" t="s">
        <v>196</v>
      </c>
      <c r="N12" s="60" t="s">
        <v>206</v>
      </c>
      <c r="O12" s="60">
        <v>53306800</v>
      </c>
      <c r="P12" s="60">
        <v>660</v>
      </c>
      <c r="Q12" s="60">
        <v>0</v>
      </c>
      <c r="R12" s="60">
        <v>0</v>
      </c>
      <c r="S12" s="60">
        <v>0</v>
      </c>
      <c r="T12" s="60">
        <v>0</v>
      </c>
      <c r="U12" s="60">
        <v>4212600</v>
      </c>
      <c r="V12" s="60">
        <v>20</v>
      </c>
      <c r="W12" s="60">
        <v>0</v>
      </c>
      <c r="X12" s="60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57519400</v>
      </c>
      <c r="AD12" s="62">
        <v>680</v>
      </c>
      <c r="AF12" s="47">
        <f t="shared" si="0"/>
        <v>57519400</v>
      </c>
    </row>
    <row r="13" spans="1:32" x14ac:dyDescent="0.3">
      <c r="B13" s="46" t="str">
        <f>IFERROR(VLOOKUP($H13,매장구분!$B:$Z,2,0),"")</f>
        <v>리테일채널팀</v>
      </c>
      <c r="C13" s="46" t="str">
        <f>IFERROR(VLOOKUP($H13,매장구분!$B:$Z,3,0),"")</f>
        <v>국내</v>
      </c>
      <c r="D13" s="46" t="str">
        <f>IFERROR(VLOOKUP($H13,매장구분!$B:$Z,5,0),"")</f>
        <v>대리점</v>
      </c>
      <c r="E13" s="46" t="str">
        <f>IFERROR(VLOOKUP($H13,매장구분!$B:$Z,9,0),"")</f>
        <v>인천(대-위)</v>
      </c>
      <c r="F13" s="53"/>
      <c r="G13" s="54" t="s">
        <v>215</v>
      </c>
      <c r="H13" s="55" t="s">
        <v>216</v>
      </c>
      <c r="I13" s="55" t="s">
        <v>169</v>
      </c>
      <c r="J13" s="55" t="s">
        <v>79</v>
      </c>
      <c r="K13" s="55" t="s">
        <v>170</v>
      </c>
      <c r="L13" s="55" t="s">
        <v>171</v>
      </c>
      <c r="M13" s="55" t="s">
        <v>196</v>
      </c>
      <c r="N13" s="55" t="s">
        <v>197</v>
      </c>
      <c r="O13" s="55">
        <v>28638056</v>
      </c>
      <c r="P13" s="55">
        <v>240</v>
      </c>
      <c r="Q13" s="55">
        <v>0</v>
      </c>
      <c r="R13" s="55">
        <v>0</v>
      </c>
      <c r="S13" s="55">
        <v>0</v>
      </c>
      <c r="T13" s="55">
        <v>0</v>
      </c>
      <c r="U13" s="55">
        <v>8595344</v>
      </c>
      <c r="V13" s="55">
        <v>43</v>
      </c>
      <c r="W13" s="55">
        <v>0</v>
      </c>
      <c r="X13" s="55">
        <v>0</v>
      </c>
      <c r="Y13" s="56">
        <v>0</v>
      </c>
      <c r="Z13" s="55">
        <v>0</v>
      </c>
      <c r="AA13" s="55">
        <v>0</v>
      </c>
      <c r="AB13" s="55">
        <v>0</v>
      </c>
      <c r="AC13" s="55">
        <v>37233400</v>
      </c>
      <c r="AD13" s="57">
        <v>283</v>
      </c>
      <c r="AF13" s="47">
        <f t="shared" si="0"/>
        <v>37233400</v>
      </c>
    </row>
    <row r="14" spans="1:32" x14ac:dyDescent="0.3">
      <c r="B14" s="46" t="str">
        <f>IFERROR(VLOOKUP($H14,매장구분!$B:$Z,2,0),"")</f>
        <v>파트너채널팀</v>
      </c>
      <c r="C14" s="46" t="str">
        <f>IFERROR(VLOOKUP($H14,매장구분!$B:$Z,3,0),"")</f>
        <v>면세</v>
      </c>
      <c r="D14" s="46" t="str">
        <f>IFERROR(VLOOKUP($H14,매장구분!$B:$Z,5,0),"")</f>
        <v>면세</v>
      </c>
      <c r="E14" s="46" t="str">
        <f>IFERROR(VLOOKUP($H14,매장구분!$B:$Z,9,0),"")</f>
        <v>신세계면세명동</v>
      </c>
      <c r="F14" s="58"/>
      <c r="G14" s="59" t="s">
        <v>173</v>
      </c>
      <c r="H14" s="60" t="s">
        <v>174</v>
      </c>
      <c r="I14" s="60" t="s">
        <v>169</v>
      </c>
      <c r="J14" s="60" t="s">
        <v>175</v>
      </c>
      <c r="K14" s="60" t="s">
        <v>170</v>
      </c>
      <c r="L14" s="60" t="s">
        <v>171</v>
      </c>
      <c r="M14" s="60" t="s">
        <v>176</v>
      </c>
      <c r="N14" s="60" t="s">
        <v>177</v>
      </c>
      <c r="O14" s="60">
        <v>498359500</v>
      </c>
      <c r="P14" s="60">
        <v>7362</v>
      </c>
      <c r="Q14" s="60">
        <v>0</v>
      </c>
      <c r="R14" s="60">
        <v>0</v>
      </c>
      <c r="S14" s="60">
        <v>0</v>
      </c>
      <c r="T14" s="60">
        <v>0</v>
      </c>
      <c r="U14" s="60">
        <v>0</v>
      </c>
      <c r="V14" s="60">
        <v>0</v>
      </c>
      <c r="W14" s="60">
        <v>0</v>
      </c>
      <c r="X14" s="60">
        <v>0</v>
      </c>
      <c r="Y14" s="61">
        <v>426192500</v>
      </c>
      <c r="Z14" s="60">
        <v>6470</v>
      </c>
      <c r="AA14" s="60">
        <v>0</v>
      </c>
      <c r="AB14" s="60">
        <v>0</v>
      </c>
      <c r="AC14" s="60">
        <v>924552000</v>
      </c>
      <c r="AD14" s="62">
        <v>13832</v>
      </c>
      <c r="AF14" s="47">
        <f t="shared" si="0"/>
        <v>498359500</v>
      </c>
    </row>
    <row r="15" spans="1:32" x14ac:dyDescent="0.3">
      <c r="B15" s="46" t="str">
        <f>IFERROR(VLOOKUP($H15,매장구분!$B:$Z,2,0),"")</f>
        <v>E-biz</v>
      </c>
      <c r="C15" s="46" t="str">
        <f>IFERROR(VLOOKUP($H15,매장구분!$B:$Z,3,0),"")</f>
        <v>국내</v>
      </c>
      <c r="D15" s="46" t="str">
        <f>IFERROR(VLOOKUP($H15,매장구분!$B:$Z,5,0),"")</f>
        <v>온(제휴몰)</v>
      </c>
      <c r="E15" s="46" t="str">
        <f>IFERROR(VLOOKUP($H15,매장구분!$B:$Z,9,0),"")</f>
        <v>무신사(제휴몰)</v>
      </c>
      <c r="F15" s="53"/>
      <c r="G15" s="54" t="s">
        <v>183</v>
      </c>
      <c r="H15" s="55" t="s">
        <v>184</v>
      </c>
      <c r="I15" s="55" t="s">
        <v>169</v>
      </c>
      <c r="J15" s="55" t="s">
        <v>180</v>
      </c>
      <c r="K15" s="55" t="s">
        <v>170</v>
      </c>
      <c r="L15" s="55" t="s">
        <v>181</v>
      </c>
      <c r="M15" s="55" t="s">
        <v>181</v>
      </c>
      <c r="N15" s="55" t="s">
        <v>185</v>
      </c>
      <c r="O15" s="55">
        <v>582372900</v>
      </c>
      <c r="P15" s="55">
        <v>7051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6">
        <v>0</v>
      </c>
      <c r="Z15" s="55">
        <v>0</v>
      </c>
      <c r="AA15" s="55">
        <v>0</v>
      </c>
      <c r="AB15" s="55">
        <v>0</v>
      </c>
      <c r="AC15" s="55">
        <v>582372900</v>
      </c>
      <c r="AD15" s="57">
        <v>7051</v>
      </c>
      <c r="AF15" s="47">
        <f t="shared" si="0"/>
        <v>582372900</v>
      </c>
    </row>
    <row r="16" spans="1:32" x14ac:dyDescent="0.3">
      <c r="B16" s="46" t="str">
        <f>IFERROR(VLOOKUP($H16,매장구분!$B:$Z,2,0),"")</f>
        <v>E-biz</v>
      </c>
      <c r="C16" s="46" t="str">
        <f>IFERROR(VLOOKUP($H16,매장구분!$B:$Z,3,0),"")</f>
        <v>국내</v>
      </c>
      <c r="D16" s="46" t="str">
        <f>IFERROR(VLOOKUP($H16,매장구분!$B:$Z,5,0),"")</f>
        <v>온(제휴몰)</v>
      </c>
      <c r="E16" s="46" t="str">
        <f>IFERROR(VLOOKUP($H16,매장구분!$B:$Z,9,0),"")</f>
        <v>카카오선물하기(제휴몰)</v>
      </c>
      <c r="F16" s="58"/>
      <c r="G16" s="59" t="s">
        <v>209</v>
      </c>
      <c r="H16" s="60" t="s">
        <v>210</v>
      </c>
      <c r="I16" s="60" t="s">
        <v>169</v>
      </c>
      <c r="J16" s="60" t="s">
        <v>180</v>
      </c>
      <c r="K16" s="60" t="s">
        <v>170</v>
      </c>
      <c r="L16" s="60" t="s">
        <v>181</v>
      </c>
      <c r="M16" s="60" t="s">
        <v>181</v>
      </c>
      <c r="N16" s="60" t="s">
        <v>185</v>
      </c>
      <c r="O16" s="60">
        <v>161576700</v>
      </c>
      <c r="P16" s="60">
        <v>4181</v>
      </c>
      <c r="Q16" s="60">
        <v>0</v>
      </c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1">
        <v>0</v>
      </c>
      <c r="Z16" s="60">
        <v>0</v>
      </c>
      <c r="AA16" s="60">
        <v>0</v>
      </c>
      <c r="AB16" s="60">
        <v>0</v>
      </c>
      <c r="AC16" s="60">
        <v>161576700</v>
      </c>
      <c r="AD16" s="62">
        <v>4181</v>
      </c>
      <c r="AF16" s="47">
        <f t="shared" si="0"/>
        <v>161576700</v>
      </c>
    </row>
    <row r="17" spans="2:32" x14ac:dyDescent="0.3">
      <c r="B17" s="46" t="str">
        <f>IFERROR(VLOOKUP($H17,매장구분!$B:$Z,2,0),"")</f>
        <v>리테일채널팀</v>
      </c>
      <c r="C17" s="46" t="str">
        <f>IFERROR(VLOOKUP($H17,매장구분!$B:$Z,3,0),"")</f>
        <v>국내</v>
      </c>
      <c r="D17" s="46" t="str">
        <f>IFERROR(VLOOKUP($H17,매장구분!$B:$Z,5,0),"")</f>
        <v>직영점</v>
      </c>
      <c r="E17" s="46" t="str">
        <f>IFERROR(VLOOKUP($H17,매장구분!$B:$Z,9,0),"")</f>
        <v>타임스퀘어영등포(직)</v>
      </c>
      <c r="F17" s="53"/>
      <c r="G17" s="54" t="s">
        <v>186</v>
      </c>
      <c r="H17" s="55" t="s">
        <v>187</v>
      </c>
      <c r="I17" s="55" t="s">
        <v>169</v>
      </c>
      <c r="J17" s="55" t="s">
        <v>180</v>
      </c>
      <c r="K17" s="55" t="s">
        <v>170</v>
      </c>
      <c r="L17" s="55" t="s">
        <v>171</v>
      </c>
      <c r="M17" s="55" t="s">
        <v>188</v>
      </c>
      <c r="N17" s="55" t="s">
        <v>189</v>
      </c>
      <c r="O17" s="55">
        <v>81025760</v>
      </c>
      <c r="P17" s="55">
        <v>877</v>
      </c>
      <c r="Q17" s="55">
        <v>0</v>
      </c>
      <c r="R17" s="55">
        <v>0</v>
      </c>
      <c r="S17" s="55">
        <v>0</v>
      </c>
      <c r="T17" s="55">
        <v>0</v>
      </c>
      <c r="U17" s="55">
        <v>2480040</v>
      </c>
      <c r="V17" s="55">
        <v>17</v>
      </c>
      <c r="W17" s="55">
        <v>0</v>
      </c>
      <c r="X17" s="55">
        <v>0</v>
      </c>
      <c r="Y17" s="56">
        <v>0</v>
      </c>
      <c r="Z17" s="55">
        <v>0</v>
      </c>
      <c r="AA17" s="55">
        <v>0</v>
      </c>
      <c r="AB17" s="55">
        <v>0</v>
      </c>
      <c r="AC17" s="55">
        <v>83505800</v>
      </c>
      <c r="AD17" s="57">
        <v>894</v>
      </c>
      <c r="AF17" s="47">
        <f t="shared" si="0"/>
        <v>83505800</v>
      </c>
    </row>
    <row r="18" spans="2:32" x14ac:dyDescent="0.3">
      <c r="B18" s="46" t="str">
        <f>IFERROR(VLOOKUP($H18,매장구분!$B:$Z,2,0),"")</f>
        <v>파트너채널팀</v>
      </c>
      <c r="C18" s="46" t="str">
        <f>IFERROR(VLOOKUP($H18,매장구분!$B:$Z,3,0),"")</f>
        <v>국내</v>
      </c>
      <c r="D18" s="46" t="str">
        <f>IFERROR(VLOOKUP($H18,매장구분!$B:$Z,5,0),"")</f>
        <v>백화점</v>
      </c>
      <c r="E18" s="46" t="str">
        <f>IFERROR(VLOOKUP($H18,매장구분!$B:$Z,9,0),"")</f>
        <v>롯데김포</v>
      </c>
      <c r="F18" s="58"/>
      <c r="G18" s="59" t="s">
        <v>190</v>
      </c>
      <c r="H18" s="60" t="s">
        <v>191</v>
      </c>
      <c r="I18" s="60" t="s">
        <v>169</v>
      </c>
      <c r="J18" s="60" t="s">
        <v>175</v>
      </c>
      <c r="K18" s="60" t="s">
        <v>170</v>
      </c>
      <c r="L18" s="60" t="s">
        <v>171</v>
      </c>
      <c r="M18" s="60" t="s">
        <v>77</v>
      </c>
      <c r="N18" s="60" t="s">
        <v>172</v>
      </c>
      <c r="O18" s="60">
        <v>80593110</v>
      </c>
      <c r="P18" s="60">
        <v>931</v>
      </c>
      <c r="Q18" s="60">
        <v>0</v>
      </c>
      <c r="R18" s="60">
        <v>0</v>
      </c>
      <c r="S18" s="60">
        <v>0</v>
      </c>
      <c r="T18" s="60">
        <v>0</v>
      </c>
      <c r="U18" s="60">
        <v>11952600</v>
      </c>
      <c r="V18" s="60">
        <v>63</v>
      </c>
      <c r="W18" s="60">
        <v>0</v>
      </c>
      <c r="X18" s="60">
        <v>0</v>
      </c>
      <c r="Y18" s="61">
        <v>0</v>
      </c>
      <c r="Z18" s="60">
        <v>0</v>
      </c>
      <c r="AA18" s="60">
        <v>0</v>
      </c>
      <c r="AB18" s="60">
        <v>0</v>
      </c>
      <c r="AC18" s="60">
        <v>92545710</v>
      </c>
      <c r="AD18" s="62">
        <v>994</v>
      </c>
      <c r="AF18" s="47">
        <f t="shared" si="0"/>
        <v>92545710</v>
      </c>
    </row>
    <row r="19" spans="2:32" x14ac:dyDescent="0.3">
      <c r="B19" s="46" t="str">
        <f>IFERROR(VLOOKUP($H19,매장구분!$B:$Z,2,0),"")</f>
        <v>파트너채널팀</v>
      </c>
      <c r="C19" s="46" t="str">
        <f>IFERROR(VLOOKUP($H19,매장구분!$B:$Z,3,0),"")</f>
        <v>도매</v>
      </c>
      <c r="D19" s="46" t="str">
        <f>IFERROR(VLOOKUP($H19,매장구분!$B:$Z,5,0),"")</f>
        <v>도매</v>
      </c>
      <c r="E19" s="46" t="str">
        <f>IFERROR(VLOOKUP($H19,매장구분!$B:$Z,9,0),"")</f>
        <v>온라인완주</v>
      </c>
      <c r="F19" s="53"/>
      <c r="G19" s="54" t="s">
        <v>566</v>
      </c>
      <c r="H19" s="55" t="s">
        <v>567</v>
      </c>
      <c r="I19" s="55" t="s">
        <v>169</v>
      </c>
      <c r="J19" s="55" t="s">
        <v>180</v>
      </c>
      <c r="K19" s="55" t="s">
        <v>170</v>
      </c>
      <c r="L19" s="55" t="s">
        <v>568</v>
      </c>
      <c r="M19" s="55" t="s">
        <v>181</v>
      </c>
      <c r="N19" s="55" t="s">
        <v>568</v>
      </c>
      <c r="O19" s="55">
        <v>217153566</v>
      </c>
      <c r="P19" s="55">
        <v>7457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6">
        <v>0</v>
      </c>
      <c r="Z19" s="55">
        <v>0</v>
      </c>
      <c r="AA19" s="55">
        <v>0</v>
      </c>
      <c r="AB19" s="55">
        <v>0</v>
      </c>
      <c r="AC19" s="55">
        <v>217153566</v>
      </c>
      <c r="AD19" s="57">
        <v>7457</v>
      </c>
      <c r="AF19" s="47">
        <f t="shared" si="0"/>
        <v>217153566</v>
      </c>
    </row>
    <row r="20" spans="2:32" x14ac:dyDescent="0.3">
      <c r="B20" s="46" t="str">
        <f>IFERROR(VLOOKUP($H20,매장구분!$B:$Z,2,0),"")</f>
        <v>파트너채널팀</v>
      </c>
      <c r="C20" s="46" t="str">
        <f>IFERROR(VLOOKUP($H20,매장구분!$B:$Z,3,0),"")</f>
        <v>국내</v>
      </c>
      <c r="D20" s="46" t="str">
        <f>IFERROR(VLOOKUP($H20,매장구분!$B:$Z,5,0),"")</f>
        <v>백화점</v>
      </c>
      <c r="E20" s="46" t="str">
        <f>IFERROR(VLOOKUP($H20,매장구분!$B:$Z,9,0),"")</f>
        <v>모다아울렛대전</v>
      </c>
      <c r="F20" s="58"/>
      <c r="G20" s="59" t="s">
        <v>236</v>
      </c>
      <c r="H20" s="60" t="s">
        <v>571</v>
      </c>
      <c r="I20" s="60" t="s">
        <v>169</v>
      </c>
      <c r="J20" s="60" t="s">
        <v>175</v>
      </c>
      <c r="K20" s="60" t="s">
        <v>170</v>
      </c>
      <c r="L20" s="60" t="s">
        <v>171</v>
      </c>
      <c r="M20" s="60" t="s">
        <v>77</v>
      </c>
      <c r="N20" s="60" t="s">
        <v>238</v>
      </c>
      <c r="O20" s="60">
        <v>62570900</v>
      </c>
      <c r="P20" s="60">
        <v>547</v>
      </c>
      <c r="Q20" s="60">
        <v>0</v>
      </c>
      <c r="R20" s="60">
        <v>0</v>
      </c>
      <c r="S20" s="60">
        <v>0</v>
      </c>
      <c r="T20" s="60">
        <v>0</v>
      </c>
      <c r="U20" s="60">
        <v>4869900</v>
      </c>
      <c r="V20" s="60">
        <v>32</v>
      </c>
      <c r="W20" s="60">
        <v>0</v>
      </c>
      <c r="X20" s="60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67440800</v>
      </c>
      <c r="AD20" s="62">
        <v>579</v>
      </c>
      <c r="AF20" s="47">
        <f t="shared" si="0"/>
        <v>67440800</v>
      </c>
    </row>
    <row r="21" spans="2:32" x14ac:dyDescent="0.3">
      <c r="B21" s="46" t="str">
        <f>IFERROR(VLOOKUP($H21,매장구분!$B:$Z,2,0),"")</f>
        <v>리테일채널팀</v>
      </c>
      <c r="C21" s="46" t="str">
        <f>IFERROR(VLOOKUP($H21,매장구분!$B:$Z,3,0),"")</f>
        <v>국내</v>
      </c>
      <c r="D21" s="46" t="str">
        <f>IFERROR(VLOOKUP($H21,매장구분!$B:$Z,5,0),"")</f>
        <v>대리점</v>
      </c>
      <c r="E21" s="46" t="str">
        <f>IFERROR(VLOOKUP($H21,매장구분!$B:$Z,9,0),"")</f>
        <v>아산(대-위)</v>
      </c>
      <c r="F21" s="53"/>
      <c r="G21" s="54" t="s">
        <v>194</v>
      </c>
      <c r="H21" s="55" t="s">
        <v>195</v>
      </c>
      <c r="I21" s="55" t="s">
        <v>169</v>
      </c>
      <c r="J21" s="55" t="s">
        <v>79</v>
      </c>
      <c r="K21" s="55" t="s">
        <v>170</v>
      </c>
      <c r="L21" s="55" t="s">
        <v>171</v>
      </c>
      <c r="M21" s="55" t="s">
        <v>196</v>
      </c>
      <c r="N21" s="55" t="s">
        <v>197</v>
      </c>
      <c r="O21" s="55">
        <v>38696405</v>
      </c>
      <c r="P21" s="55">
        <v>355</v>
      </c>
      <c r="Q21" s="55">
        <v>0</v>
      </c>
      <c r="R21" s="55">
        <v>0</v>
      </c>
      <c r="S21" s="55">
        <v>0</v>
      </c>
      <c r="T21" s="55">
        <v>0</v>
      </c>
      <c r="U21" s="55">
        <v>10616763</v>
      </c>
      <c r="V21" s="55">
        <v>84</v>
      </c>
      <c r="W21" s="55">
        <v>0</v>
      </c>
      <c r="X21" s="55">
        <v>0</v>
      </c>
      <c r="Y21" s="56">
        <v>0</v>
      </c>
      <c r="Z21" s="55">
        <v>0</v>
      </c>
      <c r="AA21" s="55">
        <v>0</v>
      </c>
      <c r="AB21" s="55">
        <v>0</v>
      </c>
      <c r="AC21" s="55">
        <v>49313168</v>
      </c>
      <c r="AD21" s="57">
        <v>439</v>
      </c>
      <c r="AF21" s="47">
        <f t="shared" si="0"/>
        <v>49313168</v>
      </c>
    </row>
    <row r="22" spans="2:32" x14ac:dyDescent="0.3">
      <c r="B22" s="46" t="str">
        <f>IFERROR(VLOOKUP($H22,매장구분!$B:$Z,2,0),"")</f>
        <v>파트너채널팀</v>
      </c>
      <c r="C22" s="46" t="str">
        <f>IFERROR(VLOOKUP($H22,매장구분!$B:$Z,3,0),"")</f>
        <v>면세</v>
      </c>
      <c r="D22" s="46" t="str">
        <f>IFERROR(VLOOKUP($H22,매장구분!$B:$Z,5,0),"")</f>
        <v>면세</v>
      </c>
      <c r="E22" s="46" t="str">
        <f>IFERROR(VLOOKUP($H22,매장구분!$B:$Z,9,0),"")</f>
        <v>현대면세동대문</v>
      </c>
      <c r="F22" s="58"/>
      <c r="G22" s="59" t="s">
        <v>572</v>
      </c>
      <c r="H22" s="60" t="s">
        <v>573</v>
      </c>
      <c r="I22" s="60" t="s">
        <v>169</v>
      </c>
      <c r="J22" s="60" t="s">
        <v>175</v>
      </c>
      <c r="K22" s="60" t="s">
        <v>170</v>
      </c>
      <c r="L22" s="60" t="s">
        <v>171</v>
      </c>
      <c r="M22" s="60" t="s">
        <v>176</v>
      </c>
      <c r="N22" s="60" t="s">
        <v>177</v>
      </c>
      <c r="O22" s="60">
        <v>424352000</v>
      </c>
      <c r="P22" s="60">
        <v>5891</v>
      </c>
      <c r="Q22" s="60">
        <v>0</v>
      </c>
      <c r="R22" s="60">
        <v>0</v>
      </c>
      <c r="S22" s="60">
        <v>0</v>
      </c>
      <c r="T22" s="60">
        <v>0</v>
      </c>
      <c r="U22" s="60">
        <v>0</v>
      </c>
      <c r="V22" s="60">
        <v>0</v>
      </c>
      <c r="W22" s="60">
        <v>0</v>
      </c>
      <c r="X22" s="60">
        <v>0</v>
      </c>
      <c r="Y22" s="61">
        <v>684101600</v>
      </c>
      <c r="Z22" s="60">
        <v>9023</v>
      </c>
      <c r="AA22" s="60">
        <v>0</v>
      </c>
      <c r="AB22" s="60">
        <v>0</v>
      </c>
      <c r="AC22" s="60">
        <v>1108453600</v>
      </c>
      <c r="AD22" s="62">
        <v>14914</v>
      </c>
      <c r="AF22" s="47">
        <f t="shared" si="0"/>
        <v>424352000</v>
      </c>
    </row>
    <row r="23" spans="2:32" x14ac:dyDescent="0.3">
      <c r="B23" s="46" t="str">
        <f>IFERROR(VLOOKUP($H23,매장구분!$B:$Z,2,0),"")</f>
        <v>리테일채널팀</v>
      </c>
      <c r="C23" s="46" t="str">
        <f>IFERROR(VLOOKUP($H23,매장구분!$B:$Z,3,0),"")</f>
        <v>국내</v>
      </c>
      <c r="D23" s="46" t="str">
        <f>IFERROR(VLOOKUP($H23,매장구분!$B:$Z,5,0),"")</f>
        <v>대리점</v>
      </c>
      <c r="E23" s="46" t="str">
        <f>IFERROR(VLOOKUP($H23,매장구분!$B:$Z,9,0),"")</f>
        <v>보령(대-위)</v>
      </c>
      <c r="F23" s="53"/>
      <c r="G23" s="54" t="s">
        <v>211</v>
      </c>
      <c r="H23" s="55" t="s">
        <v>212</v>
      </c>
      <c r="I23" s="55" t="s">
        <v>169</v>
      </c>
      <c r="J23" s="55" t="s">
        <v>79</v>
      </c>
      <c r="K23" s="55" t="s">
        <v>170</v>
      </c>
      <c r="L23" s="55" t="s">
        <v>171</v>
      </c>
      <c r="M23" s="55" t="s">
        <v>196</v>
      </c>
      <c r="N23" s="55" t="s">
        <v>197</v>
      </c>
      <c r="O23" s="55">
        <v>21876600</v>
      </c>
      <c r="P23" s="55">
        <v>195</v>
      </c>
      <c r="Q23" s="55">
        <v>0</v>
      </c>
      <c r="R23" s="55">
        <v>0</v>
      </c>
      <c r="S23" s="55">
        <v>0</v>
      </c>
      <c r="T23" s="55">
        <v>0</v>
      </c>
      <c r="U23" s="55">
        <v>663000</v>
      </c>
      <c r="V23" s="55">
        <v>7</v>
      </c>
      <c r="W23" s="55">
        <v>0</v>
      </c>
      <c r="X23" s="55">
        <v>0</v>
      </c>
      <c r="Y23" s="56">
        <v>0</v>
      </c>
      <c r="Z23" s="55">
        <v>0</v>
      </c>
      <c r="AA23" s="55">
        <v>0</v>
      </c>
      <c r="AB23" s="55">
        <v>0</v>
      </c>
      <c r="AC23" s="55">
        <v>22539600</v>
      </c>
      <c r="AD23" s="57">
        <v>202</v>
      </c>
      <c r="AF23" s="47">
        <f t="shared" si="0"/>
        <v>22539600</v>
      </c>
    </row>
    <row r="24" spans="2:32" x14ac:dyDescent="0.3">
      <c r="B24" s="46" t="str">
        <f>IFERROR(VLOOKUP($H24,매장구분!$B:$Z,2,0),"")</f>
        <v>리테일채널팀</v>
      </c>
      <c r="C24" s="46" t="str">
        <f>IFERROR(VLOOKUP($H24,매장구분!$B:$Z,3,0),"")</f>
        <v>국내</v>
      </c>
      <c r="D24" s="46" t="str">
        <f>IFERROR(VLOOKUP($H24,매장구분!$B:$Z,5,0),"")</f>
        <v>상설(위탁)</v>
      </c>
      <c r="E24" s="46" t="str">
        <f>IFERROR(VLOOKUP($H24,매장구분!$B:$Z,9,0),"")</f>
        <v>롯데아울렛봉무(상-위)</v>
      </c>
      <c r="F24" s="58"/>
      <c r="G24" s="59" t="s">
        <v>220</v>
      </c>
      <c r="H24" s="60" t="s">
        <v>221</v>
      </c>
      <c r="I24" s="60" t="s">
        <v>169</v>
      </c>
      <c r="J24" s="60" t="s">
        <v>79</v>
      </c>
      <c r="K24" s="60" t="s">
        <v>170</v>
      </c>
      <c r="L24" s="60" t="s">
        <v>171</v>
      </c>
      <c r="M24" s="60" t="s">
        <v>219</v>
      </c>
      <c r="N24" s="60" t="s">
        <v>219</v>
      </c>
      <c r="O24" s="60">
        <v>10152000</v>
      </c>
      <c r="P24" s="60">
        <v>282</v>
      </c>
      <c r="Q24" s="60">
        <v>0</v>
      </c>
      <c r="R24" s="60">
        <v>0</v>
      </c>
      <c r="S24" s="60">
        <v>0</v>
      </c>
      <c r="T24" s="60">
        <v>0</v>
      </c>
      <c r="U24" s="60">
        <v>0</v>
      </c>
      <c r="V24" s="60">
        <v>0</v>
      </c>
      <c r="W24" s="60">
        <v>0</v>
      </c>
      <c r="X24" s="60">
        <v>0</v>
      </c>
      <c r="Y24" s="61">
        <v>0</v>
      </c>
      <c r="Z24" s="60">
        <v>0</v>
      </c>
      <c r="AA24" s="60">
        <v>0</v>
      </c>
      <c r="AB24" s="60">
        <v>0</v>
      </c>
      <c r="AC24" s="60">
        <v>10152000</v>
      </c>
      <c r="AD24" s="62">
        <v>282</v>
      </c>
      <c r="AF24" s="47">
        <f t="shared" si="0"/>
        <v>10152000</v>
      </c>
    </row>
    <row r="25" spans="2:32" x14ac:dyDescent="0.3">
      <c r="B25" s="46" t="str">
        <f>IFERROR(VLOOKUP($H25,매장구분!$B:$Z,2,0),"")</f>
        <v>파트너채널팀</v>
      </c>
      <c r="C25" s="46" t="str">
        <f>IFERROR(VLOOKUP($H25,매장구분!$B:$Z,3,0),"")</f>
        <v>국내</v>
      </c>
      <c r="D25" s="46" t="str">
        <f>IFERROR(VLOOKUP($H25,매장구분!$B:$Z,5,0),"")</f>
        <v>백화점</v>
      </c>
      <c r="E25" s="46" t="str">
        <f>IFERROR(VLOOKUP($H25,매장구분!$B:$Z,9,0),"")</f>
        <v>롯데동래</v>
      </c>
      <c r="F25" s="53"/>
      <c r="G25" s="54" t="s">
        <v>239</v>
      </c>
      <c r="H25" s="55" t="s">
        <v>240</v>
      </c>
      <c r="I25" s="55" t="s">
        <v>169</v>
      </c>
      <c r="J25" s="55" t="s">
        <v>175</v>
      </c>
      <c r="K25" s="55" t="s">
        <v>170</v>
      </c>
      <c r="L25" s="55" t="s">
        <v>171</v>
      </c>
      <c r="M25" s="55" t="s">
        <v>77</v>
      </c>
      <c r="N25" s="55" t="s">
        <v>172</v>
      </c>
      <c r="O25" s="55">
        <v>70810392</v>
      </c>
      <c r="P25" s="55">
        <v>590</v>
      </c>
      <c r="Q25" s="55">
        <v>0</v>
      </c>
      <c r="R25" s="55">
        <v>0</v>
      </c>
      <c r="S25" s="55">
        <v>0</v>
      </c>
      <c r="T25" s="55">
        <v>0</v>
      </c>
      <c r="U25" s="55">
        <v>9226108</v>
      </c>
      <c r="V25" s="55">
        <v>54</v>
      </c>
      <c r="W25" s="55">
        <v>0</v>
      </c>
      <c r="X25" s="55">
        <v>0</v>
      </c>
      <c r="Y25" s="56">
        <v>20572000</v>
      </c>
      <c r="Z25" s="55">
        <v>228</v>
      </c>
      <c r="AA25" s="55">
        <v>0</v>
      </c>
      <c r="AB25" s="55">
        <v>0</v>
      </c>
      <c r="AC25" s="55">
        <v>100608500</v>
      </c>
      <c r="AD25" s="57">
        <v>872</v>
      </c>
      <c r="AF25" s="47">
        <f t="shared" si="0"/>
        <v>80036500</v>
      </c>
    </row>
    <row r="26" spans="2:32" x14ac:dyDescent="0.3">
      <c r="B26" s="46" t="str">
        <f>IFERROR(VLOOKUP($H26,매장구분!$B:$Z,2,0),"")</f>
        <v>파트너채널팀</v>
      </c>
      <c r="C26" s="46" t="str">
        <f>IFERROR(VLOOKUP($H26,매장구분!$B:$Z,3,0),"")</f>
        <v>국내</v>
      </c>
      <c r="D26" s="46" t="str">
        <f>IFERROR(VLOOKUP($H26,매장구분!$B:$Z,5,0),"")</f>
        <v>백화점</v>
      </c>
      <c r="E26" s="46" t="str">
        <f>IFERROR(VLOOKUP($H26,매장구분!$B:$Z,9,0),"")</f>
        <v>롯데포항</v>
      </c>
      <c r="F26" s="58"/>
      <c r="G26" s="59" t="s">
        <v>249</v>
      </c>
      <c r="H26" s="60" t="s">
        <v>250</v>
      </c>
      <c r="I26" s="60" t="s">
        <v>169</v>
      </c>
      <c r="J26" s="60" t="s">
        <v>175</v>
      </c>
      <c r="K26" s="60" t="s">
        <v>170</v>
      </c>
      <c r="L26" s="60" t="s">
        <v>171</v>
      </c>
      <c r="M26" s="60" t="s">
        <v>77</v>
      </c>
      <c r="N26" s="60" t="s">
        <v>172</v>
      </c>
      <c r="O26" s="60">
        <v>37810130</v>
      </c>
      <c r="P26" s="60">
        <v>363</v>
      </c>
      <c r="Q26" s="60">
        <v>0</v>
      </c>
      <c r="R26" s="60">
        <v>0</v>
      </c>
      <c r="S26" s="60">
        <v>0</v>
      </c>
      <c r="T26" s="60">
        <v>0</v>
      </c>
      <c r="U26" s="60">
        <v>8579980</v>
      </c>
      <c r="V26" s="60">
        <v>51</v>
      </c>
      <c r="W26" s="60">
        <v>0</v>
      </c>
      <c r="X26" s="60">
        <v>0</v>
      </c>
      <c r="Y26" s="61">
        <v>0</v>
      </c>
      <c r="Z26" s="60">
        <v>0</v>
      </c>
      <c r="AA26" s="60">
        <v>0</v>
      </c>
      <c r="AB26" s="60">
        <v>0</v>
      </c>
      <c r="AC26" s="60">
        <v>46390110</v>
      </c>
      <c r="AD26" s="62">
        <v>414</v>
      </c>
      <c r="AF26" s="47">
        <f t="shared" si="0"/>
        <v>46390110</v>
      </c>
    </row>
    <row r="27" spans="2:32" x14ac:dyDescent="0.3">
      <c r="B27" s="46" t="str">
        <f>IFERROR(VLOOKUP($H27,매장구분!$B:$Z,2,0),"")</f>
        <v>파트너채널팀</v>
      </c>
      <c r="C27" s="46" t="str">
        <f>IFERROR(VLOOKUP($H27,매장구분!$B:$Z,3,0),"")</f>
        <v>국내</v>
      </c>
      <c r="D27" s="46" t="str">
        <f>IFERROR(VLOOKUP($H27,매장구분!$B:$Z,5,0),"")</f>
        <v>백화점</v>
      </c>
      <c r="E27" s="46" t="str">
        <f>IFERROR(VLOOKUP($H27,매장구분!$B:$Z,9,0),"")</f>
        <v>신세계대전</v>
      </c>
      <c r="F27" s="53"/>
      <c r="G27" s="54" t="s">
        <v>263</v>
      </c>
      <c r="H27" s="55" t="s">
        <v>264</v>
      </c>
      <c r="I27" s="55" t="s">
        <v>169</v>
      </c>
      <c r="J27" s="55" t="s">
        <v>175</v>
      </c>
      <c r="K27" s="55" t="s">
        <v>170</v>
      </c>
      <c r="L27" s="55" t="s">
        <v>171</v>
      </c>
      <c r="M27" s="55" t="s">
        <v>77</v>
      </c>
      <c r="N27" s="55" t="s">
        <v>172</v>
      </c>
      <c r="O27" s="55">
        <v>45929319</v>
      </c>
      <c r="P27" s="55">
        <v>508</v>
      </c>
      <c r="Q27" s="55">
        <v>0</v>
      </c>
      <c r="R27" s="55">
        <v>0</v>
      </c>
      <c r="S27" s="55">
        <v>0</v>
      </c>
      <c r="T27" s="55">
        <v>0</v>
      </c>
      <c r="U27" s="55">
        <v>23203681</v>
      </c>
      <c r="V27" s="55">
        <v>144</v>
      </c>
      <c r="W27" s="55">
        <v>0</v>
      </c>
      <c r="X27" s="55">
        <v>0</v>
      </c>
      <c r="Y27" s="56">
        <v>10485000</v>
      </c>
      <c r="Z27" s="55">
        <v>65</v>
      </c>
      <c r="AA27" s="55">
        <v>0</v>
      </c>
      <c r="AB27" s="55">
        <v>0</v>
      </c>
      <c r="AC27" s="55">
        <v>79618000</v>
      </c>
      <c r="AD27" s="57">
        <v>717</v>
      </c>
      <c r="AF27" s="47">
        <f t="shared" si="0"/>
        <v>69133000</v>
      </c>
    </row>
    <row r="28" spans="2:32" x14ac:dyDescent="0.3">
      <c r="B28" s="46" t="str">
        <f>IFERROR(VLOOKUP($H28,매장구분!$B:$Z,2,0),"")</f>
        <v>파트너채널팀</v>
      </c>
      <c r="C28" s="46" t="str">
        <f>IFERROR(VLOOKUP($H28,매장구분!$B:$Z,3,0),"")</f>
        <v>국내</v>
      </c>
      <c r="D28" s="46" t="str">
        <f>IFERROR(VLOOKUP($H28,매장구분!$B:$Z,5,0),"")</f>
        <v>백화점</v>
      </c>
      <c r="E28" s="46" t="str">
        <f>IFERROR(VLOOKUP($H28,매장구분!$B:$Z,9,0),"")</f>
        <v>롯데인천</v>
      </c>
      <c r="F28" s="58"/>
      <c r="G28" s="59" t="s">
        <v>245</v>
      </c>
      <c r="H28" s="60" t="s">
        <v>246</v>
      </c>
      <c r="I28" s="60" t="s">
        <v>169</v>
      </c>
      <c r="J28" s="60" t="s">
        <v>175</v>
      </c>
      <c r="K28" s="60" t="s">
        <v>170</v>
      </c>
      <c r="L28" s="60" t="s">
        <v>171</v>
      </c>
      <c r="M28" s="60" t="s">
        <v>77</v>
      </c>
      <c r="N28" s="60" t="s">
        <v>172</v>
      </c>
      <c r="O28" s="60">
        <v>87176161</v>
      </c>
      <c r="P28" s="60">
        <v>813</v>
      </c>
      <c r="Q28" s="60">
        <v>36000</v>
      </c>
      <c r="R28" s="60">
        <v>1</v>
      </c>
      <c r="S28" s="60">
        <v>0</v>
      </c>
      <c r="T28" s="60">
        <v>0</v>
      </c>
      <c r="U28" s="60">
        <v>13979339</v>
      </c>
      <c r="V28" s="60">
        <v>71</v>
      </c>
      <c r="W28" s="60">
        <v>0</v>
      </c>
      <c r="X28" s="60">
        <v>0</v>
      </c>
      <c r="Y28" s="61">
        <v>65354000</v>
      </c>
      <c r="Z28" s="60">
        <v>371</v>
      </c>
      <c r="AA28" s="60">
        <v>0</v>
      </c>
      <c r="AB28" s="60">
        <v>0</v>
      </c>
      <c r="AC28" s="60">
        <v>166545500</v>
      </c>
      <c r="AD28" s="62">
        <v>1256</v>
      </c>
      <c r="AF28" s="47">
        <f t="shared" si="0"/>
        <v>101191500</v>
      </c>
    </row>
    <row r="29" spans="2:32" x14ac:dyDescent="0.3">
      <c r="B29" s="46" t="str">
        <f>IFERROR(VLOOKUP($H29,매장구분!$B:$Z,2,0),"")</f>
        <v>파트너채널팀</v>
      </c>
      <c r="C29" s="46" t="str">
        <f>IFERROR(VLOOKUP($H29,매장구분!$B:$Z,3,0),"")</f>
        <v>국내</v>
      </c>
      <c r="D29" s="46" t="str">
        <f>IFERROR(VLOOKUP($H29,매장구분!$B:$Z,5,0),"")</f>
        <v>백화점</v>
      </c>
      <c r="E29" s="46" t="str">
        <f>IFERROR(VLOOKUP($H29,매장구분!$B:$Z,9,0),"")</f>
        <v>현대판교</v>
      </c>
      <c r="F29" s="53"/>
      <c r="G29" s="54" t="s">
        <v>257</v>
      </c>
      <c r="H29" s="55" t="s">
        <v>258</v>
      </c>
      <c r="I29" s="55" t="s">
        <v>169</v>
      </c>
      <c r="J29" s="55" t="s">
        <v>175</v>
      </c>
      <c r="K29" s="55" t="s">
        <v>170</v>
      </c>
      <c r="L29" s="55" t="s">
        <v>171</v>
      </c>
      <c r="M29" s="55" t="s">
        <v>77</v>
      </c>
      <c r="N29" s="55" t="s">
        <v>172</v>
      </c>
      <c r="O29" s="55">
        <v>60725530</v>
      </c>
      <c r="P29" s="55">
        <v>607</v>
      </c>
      <c r="Q29" s="55">
        <v>6281000</v>
      </c>
      <c r="R29" s="55">
        <v>46</v>
      </c>
      <c r="S29" s="55">
        <v>0</v>
      </c>
      <c r="T29" s="55">
        <v>0</v>
      </c>
      <c r="U29" s="55">
        <v>10536100</v>
      </c>
      <c r="V29" s="55">
        <v>54</v>
      </c>
      <c r="W29" s="55">
        <v>0</v>
      </c>
      <c r="X29" s="55">
        <v>0</v>
      </c>
      <c r="Y29" s="56">
        <v>130799900</v>
      </c>
      <c r="Z29" s="55">
        <v>949</v>
      </c>
      <c r="AA29" s="55">
        <v>0</v>
      </c>
      <c r="AB29" s="55">
        <v>0</v>
      </c>
      <c r="AC29" s="55">
        <v>208342530</v>
      </c>
      <c r="AD29" s="57">
        <v>1656</v>
      </c>
      <c r="AF29" s="47">
        <f t="shared" si="0"/>
        <v>77542630</v>
      </c>
    </row>
    <row r="30" spans="2:32" x14ac:dyDescent="0.3">
      <c r="B30" s="46" t="str">
        <f>IFERROR(VLOOKUP($H30,매장구분!$B:$Z,2,0),"")</f>
        <v>파트너채널팀</v>
      </c>
      <c r="C30" s="46" t="str">
        <f>IFERROR(VLOOKUP($H30,매장구분!$B:$Z,3,0),"")</f>
        <v>국내</v>
      </c>
      <c r="D30" s="46" t="str">
        <f>IFERROR(VLOOKUP($H30,매장구분!$B:$Z,5,0),"")</f>
        <v>백화점</v>
      </c>
      <c r="E30" s="46" t="str">
        <f>IFERROR(VLOOKUP($H30,매장구분!$B:$Z,9,0),"")</f>
        <v>롯데구리</v>
      </c>
      <c r="F30" s="58"/>
      <c r="G30" s="59" t="s">
        <v>232</v>
      </c>
      <c r="H30" s="60" t="s">
        <v>233</v>
      </c>
      <c r="I30" s="60" t="s">
        <v>169</v>
      </c>
      <c r="J30" s="60" t="s">
        <v>175</v>
      </c>
      <c r="K30" s="60" t="s">
        <v>170</v>
      </c>
      <c r="L30" s="60" t="s">
        <v>171</v>
      </c>
      <c r="M30" s="60" t="s">
        <v>77</v>
      </c>
      <c r="N30" s="60" t="s">
        <v>172</v>
      </c>
      <c r="O30" s="60">
        <v>37638190</v>
      </c>
      <c r="P30" s="60">
        <v>395</v>
      </c>
      <c r="Q30" s="60">
        <v>6549300</v>
      </c>
      <c r="R30" s="60">
        <v>93</v>
      </c>
      <c r="S30" s="60">
        <v>0</v>
      </c>
      <c r="T30" s="60">
        <v>0</v>
      </c>
      <c r="U30" s="60">
        <v>6221500</v>
      </c>
      <c r="V30" s="60">
        <v>43</v>
      </c>
      <c r="W30" s="60">
        <v>0</v>
      </c>
      <c r="X30" s="60">
        <v>0</v>
      </c>
      <c r="Y30" s="61">
        <v>8631900</v>
      </c>
      <c r="Z30" s="60">
        <v>50</v>
      </c>
      <c r="AA30" s="60">
        <v>0</v>
      </c>
      <c r="AB30" s="60">
        <v>0</v>
      </c>
      <c r="AC30" s="60">
        <v>59040890</v>
      </c>
      <c r="AD30" s="62">
        <v>581</v>
      </c>
      <c r="AF30" s="47">
        <f t="shared" si="0"/>
        <v>50408990</v>
      </c>
    </row>
    <row r="31" spans="2:32" x14ac:dyDescent="0.3">
      <c r="B31" s="46" t="str">
        <f>IFERROR(VLOOKUP($H31,매장구분!$B:$Z,2,0),"")</f>
        <v>리테일채널팀</v>
      </c>
      <c r="C31" s="46" t="str">
        <f>IFERROR(VLOOKUP($H31,매장구분!$B:$Z,3,0),"")</f>
        <v>국내</v>
      </c>
      <c r="D31" s="46" t="str">
        <f>IFERROR(VLOOKUP($H31,매장구분!$B:$Z,5,0),"")</f>
        <v>직영점</v>
      </c>
      <c r="E31" s="46" t="str">
        <f>IFERROR(VLOOKUP($H31,매장구분!$B:$Z,9,0),"")</f>
        <v>트리플스트리트(직)</v>
      </c>
      <c r="F31" s="53"/>
      <c r="G31" s="54" t="s">
        <v>576</v>
      </c>
      <c r="H31" s="55" t="s">
        <v>577</v>
      </c>
      <c r="I31" s="55" t="s">
        <v>169</v>
      </c>
      <c r="J31" s="55" t="s">
        <v>180</v>
      </c>
      <c r="K31" s="55" t="s">
        <v>170</v>
      </c>
      <c r="L31" s="55" t="s">
        <v>171</v>
      </c>
      <c r="M31" s="55" t="s">
        <v>188</v>
      </c>
      <c r="N31" s="55" t="s">
        <v>317</v>
      </c>
      <c r="O31" s="55">
        <v>44224729</v>
      </c>
      <c r="P31" s="55">
        <v>593</v>
      </c>
      <c r="Q31" s="55">
        <v>0</v>
      </c>
      <c r="R31" s="55">
        <v>0</v>
      </c>
      <c r="S31" s="55">
        <v>0</v>
      </c>
      <c r="T31" s="55">
        <v>0</v>
      </c>
      <c r="U31" s="55">
        <v>11816872</v>
      </c>
      <c r="V31" s="55">
        <v>48</v>
      </c>
      <c r="W31" s="55">
        <v>0</v>
      </c>
      <c r="X31" s="55">
        <v>0</v>
      </c>
      <c r="Y31" s="56">
        <v>0</v>
      </c>
      <c r="Z31" s="55">
        <v>0</v>
      </c>
      <c r="AA31" s="55">
        <v>0</v>
      </c>
      <c r="AB31" s="55">
        <v>0</v>
      </c>
      <c r="AC31" s="55">
        <v>56041601</v>
      </c>
      <c r="AD31" s="57">
        <v>641</v>
      </c>
      <c r="AF31" s="47">
        <f t="shared" si="0"/>
        <v>56041601</v>
      </c>
    </row>
    <row r="32" spans="2:32" x14ac:dyDescent="0.3">
      <c r="B32" s="46" t="str">
        <f>IFERROR(VLOOKUP($H32,매장구분!$B:$Z,2,0),"")</f>
        <v>E-biz</v>
      </c>
      <c r="C32" s="46" t="str">
        <f>IFERROR(VLOOKUP($H32,매장구분!$B:$Z,3,0),"")</f>
        <v>국내</v>
      </c>
      <c r="D32" s="46" t="str">
        <f>IFERROR(VLOOKUP($H32,매장구분!$B:$Z,5,0),"")</f>
        <v>온(제휴몰)</v>
      </c>
      <c r="E32" s="46" t="str">
        <f>IFERROR(VLOOKUP($H32,매장구분!$B:$Z,9,0),"")</f>
        <v>롯데ON(제휴몰)</v>
      </c>
      <c r="F32" s="58"/>
      <c r="G32" s="59" t="s">
        <v>253</v>
      </c>
      <c r="H32" s="60" t="s">
        <v>254</v>
      </c>
      <c r="I32" s="60" t="s">
        <v>169</v>
      </c>
      <c r="J32" s="60" t="s">
        <v>180</v>
      </c>
      <c r="K32" s="60" t="s">
        <v>170</v>
      </c>
      <c r="L32" s="60" t="s">
        <v>181</v>
      </c>
      <c r="M32" s="60" t="s">
        <v>181</v>
      </c>
      <c r="N32" s="60" t="s">
        <v>185</v>
      </c>
      <c r="O32" s="60">
        <v>92641400</v>
      </c>
      <c r="P32" s="60">
        <v>1026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1">
        <v>0</v>
      </c>
      <c r="Z32" s="60">
        <v>0</v>
      </c>
      <c r="AA32" s="60">
        <v>0</v>
      </c>
      <c r="AB32" s="60">
        <v>0</v>
      </c>
      <c r="AC32" s="60">
        <v>92641400</v>
      </c>
      <c r="AD32" s="62">
        <v>1026</v>
      </c>
      <c r="AF32" s="47">
        <f t="shared" si="0"/>
        <v>92641400</v>
      </c>
    </row>
    <row r="33" spans="2:32" x14ac:dyDescent="0.3">
      <c r="B33" s="46" t="str">
        <f>IFERROR(VLOOKUP($H33,매장구분!$B:$Z,2,0),"")</f>
        <v>E-biz</v>
      </c>
      <c r="C33" s="46" t="str">
        <f>IFERROR(VLOOKUP($H33,매장구분!$B:$Z,3,0),"")</f>
        <v>국내</v>
      </c>
      <c r="D33" s="46" t="str">
        <f>IFERROR(VLOOKUP($H33,매장구분!$B:$Z,5,0),"")</f>
        <v>온(제휴몰)</v>
      </c>
      <c r="E33" s="46" t="str">
        <f>IFERROR(VLOOKUP($H33,매장구분!$B:$Z,9,0),"")</f>
        <v>MLB 글로벌</v>
      </c>
      <c r="F33" s="53"/>
      <c r="G33" s="54" t="s">
        <v>578</v>
      </c>
      <c r="H33" s="55" t="s">
        <v>579</v>
      </c>
      <c r="I33" s="55" t="s">
        <v>169</v>
      </c>
      <c r="J33" s="55" t="s">
        <v>180</v>
      </c>
      <c r="K33" s="55" t="s">
        <v>170</v>
      </c>
      <c r="L33" s="55" t="s">
        <v>181</v>
      </c>
      <c r="M33" s="55" t="s">
        <v>181</v>
      </c>
      <c r="N33" s="55" t="s">
        <v>182</v>
      </c>
      <c r="O33" s="55">
        <v>5726069</v>
      </c>
      <c r="P33" s="55">
        <v>54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6">
        <v>0</v>
      </c>
      <c r="Z33" s="55">
        <v>0</v>
      </c>
      <c r="AA33" s="55">
        <v>0</v>
      </c>
      <c r="AB33" s="55">
        <v>0</v>
      </c>
      <c r="AC33" s="55">
        <v>5726069</v>
      </c>
      <c r="AD33" s="57">
        <v>54</v>
      </c>
      <c r="AF33" s="47">
        <f t="shared" si="0"/>
        <v>5726069</v>
      </c>
    </row>
    <row r="34" spans="2:32" x14ac:dyDescent="0.3">
      <c r="B34" s="46" t="str">
        <f>IFERROR(VLOOKUP($H34,매장구분!$B:$Z,2,0),"")</f>
        <v>파트너채널팀</v>
      </c>
      <c r="C34" s="46" t="str">
        <f>IFERROR(VLOOKUP($H34,매장구분!$B:$Z,3,0),"")</f>
        <v>국내</v>
      </c>
      <c r="D34" s="46" t="str">
        <f>IFERROR(VLOOKUP($H34,매장구분!$B:$Z,5,0),"")</f>
        <v>백화점</v>
      </c>
      <c r="E34" s="46" t="str">
        <f>IFERROR(VLOOKUP($H34,매장구분!$B:$Z,9,0),"")</f>
        <v>신세계하남</v>
      </c>
      <c r="F34" s="58"/>
      <c r="G34" s="59" t="s">
        <v>243</v>
      </c>
      <c r="H34" s="60" t="s">
        <v>244</v>
      </c>
      <c r="I34" s="60" t="s">
        <v>169</v>
      </c>
      <c r="J34" s="60" t="s">
        <v>175</v>
      </c>
      <c r="K34" s="60" t="s">
        <v>170</v>
      </c>
      <c r="L34" s="60" t="s">
        <v>171</v>
      </c>
      <c r="M34" s="60" t="s">
        <v>77</v>
      </c>
      <c r="N34" s="60" t="s">
        <v>172</v>
      </c>
      <c r="O34" s="60">
        <v>59538500</v>
      </c>
      <c r="P34" s="60">
        <v>567</v>
      </c>
      <c r="Q34" s="60">
        <v>6292500</v>
      </c>
      <c r="R34" s="60">
        <v>64</v>
      </c>
      <c r="S34" s="60">
        <v>0</v>
      </c>
      <c r="T34" s="60">
        <v>0</v>
      </c>
      <c r="U34" s="60">
        <v>8253800</v>
      </c>
      <c r="V34" s="60">
        <v>40</v>
      </c>
      <c r="W34" s="60">
        <v>0</v>
      </c>
      <c r="X34" s="60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74084800</v>
      </c>
      <c r="AD34" s="62">
        <v>671</v>
      </c>
      <c r="AF34" s="47">
        <f t="shared" si="0"/>
        <v>74084800</v>
      </c>
    </row>
    <row r="35" spans="2:32" x14ac:dyDescent="0.3">
      <c r="B35" s="46" t="str">
        <f>IFERROR(VLOOKUP($H35,매장구분!$B:$Z,2,0),"")</f>
        <v>리테일채널팀</v>
      </c>
      <c r="C35" s="46" t="str">
        <f>IFERROR(VLOOKUP($H35,매장구분!$B:$Z,3,0),"")</f>
        <v>국내</v>
      </c>
      <c r="D35" s="46" t="str">
        <f>IFERROR(VLOOKUP($H35,매장구분!$B:$Z,5,0),"")</f>
        <v>대리점</v>
      </c>
      <c r="E35" s="46" t="str">
        <f>IFERROR(VLOOKUP($H35,매장구분!$B:$Z,9,0),"")</f>
        <v>울산무거(대-위)</v>
      </c>
      <c r="F35" s="53"/>
      <c r="G35" s="54" t="s">
        <v>241</v>
      </c>
      <c r="H35" s="55" t="s">
        <v>242</v>
      </c>
      <c r="I35" s="55" t="s">
        <v>169</v>
      </c>
      <c r="J35" s="55" t="s">
        <v>79</v>
      </c>
      <c r="K35" s="55" t="s">
        <v>170</v>
      </c>
      <c r="L35" s="55" t="s">
        <v>171</v>
      </c>
      <c r="M35" s="55" t="s">
        <v>196</v>
      </c>
      <c r="N35" s="55" t="s">
        <v>197</v>
      </c>
      <c r="O35" s="55">
        <v>11959193</v>
      </c>
      <c r="P35" s="55">
        <v>139</v>
      </c>
      <c r="Q35" s="55">
        <v>0</v>
      </c>
      <c r="R35" s="55">
        <v>0</v>
      </c>
      <c r="S35" s="55">
        <v>0</v>
      </c>
      <c r="T35" s="55">
        <v>0</v>
      </c>
      <c r="U35" s="55">
        <v>18500507</v>
      </c>
      <c r="V35" s="55">
        <v>126</v>
      </c>
      <c r="W35" s="55">
        <v>0</v>
      </c>
      <c r="X35" s="55">
        <v>0</v>
      </c>
      <c r="Y35" s="56">
        <v>235800</v>
      </c>
      <c r="Z35" s="55">
        <v>2</v>
      </c>
      <c r="AA35" s="55">
        <v>0</v>
      </c>
      <c r="AB35" s="55">
        <v>0</v>
      </c>
      <c r="AC35" s="55">
        <v>30695500</v>
      </c>
      <c r="AD35" s="57">
        <v>267</v>
      </c>
      <c r="AF35" s="47">
        <f t="shared" si="0"/>
        <v>30459700</v>
      </c>
    </row>
    <row r="36" spans="2:32" x14ac:dyDescent="0.3">
      <c r="B36" s="46" t="str">
        <f>IFERROR(VLOOKUP($H36,매장구분!$B:$Z,2,0),"")</f>
        <v>파트너채널팀</v>
      </c>
      <c r="C36" s="46" t="str">
        <f>IFERROR(VLOOKUP($H36,매장구분!$B:$Z,3,0),"")</f>
        <v>국내</v>
      </c>
      <c r="D36" s="46" t="str">
        <f>IFERROR(VLOOKUP($H36,매장구분!$B:$Z,5,0),"")</f>
        <v>백화점</v>
      </c>
      <c r="E36" s="46" t="str">
        <f>IFERROR(VLOOKUP($H36,매장구분!$B:$Z,9,0),"")</f>
        <v>AK평택</v>
      </c>
      <c r="F36" s="58"/>
      <c r="G36" s="59" t="s">
        <v>251</v>
      </c>
      <c r="H36" s="60" t="s">
        <v>252</v>
      </c>
      <c r="I36" s="60" t="s">
        <v>169</v>
      </c>
      <c r="J36" s="60" t="s">
        <v>175</v>
      </c>
      <c r="K36" s="60" t="s">
        <v>170</v>
      </c>
      <c r="L36" s="60" t="s">
        <v>171</v>
      </c>
      <c r="M36" s="60" t="s">
        <v>77</v>
      </c>
      <c r="N36" s="60" t="s">
        <v>172</v>
      </c>
      <c r="O36" s="60">
        <v>71084300</v>
      </c>
      <c r="P36" s="60">
        <v>758</v>
      </c>
      <c r="Q36" s="60">
        <v>0</v>
      </c>
      <c r="R36" s="60">
        <v>0</v>
      </c>
      <c r="S36" s="60">
        <v>0</v>
      </c>
      <c r="T36" s="60">
        <v>0</v>
      </c>
      <c r="U36" s="60">
        <v>4341700</v>
      </c>
      <c r="V36" s="60">
        <v>33</v>
      </c>
      <c r="W36" s="60">
        <v>0</v>
      </c>
      <c r="X36" s="60">
        <v>0</v>
      </c>
      <c r="Y36" s="61">
        <v>2071000</v>
      </c>
      <c r="Z36" s="60">
        <v>19</v>
      </c>
      <c r="AA36" s="60">
        <v>0</v>
      </c>
      <c r="AB36" s="60">
        <v>0</v>
      </c>
      <c r="AC36" s="60">
        <v>77497000</v>
      </c>
      <c r="AD36" s="62">
        <v>810</v>
      </c>
      <c r="AF36" s="47">
        <f t="shared" si="0"/>
        <v>75426000</v>
      </c>
    </row>
    <row r="37" spans="2:32" x14ac:dyDescent="0.3">
      <c r="B37" s="46" t="str">
        <f>IFERROR(VLOOKUP($H37,매장구분!$B:$Z,2,0),"")</f>
        <v>파트너채널팀</v>
      </c>
      <c r="C37" s="46" t="str">
        <f>IFERROR(VLOOKUP($H37,매장구분!$B:$Z,3,0),"")</f>
        <v>국내</v>
      </c>
      <c r="D37" s="46" t="str">
        <f>IFERROR(VLOOKUP($H37,매장구분!$B:$Z,5,0),"")</f>
        <v>백화점</v>
      </c>
      <c r="E37" s="46" t="str">
        <f>IFERROR(VLOOKUP($H37,매장구분!$B:$Z,9,0),"")</f>
        <v>갤러리아광교</v>
      </c>
      <c r="F37" s="53"/>
      <c r="G37" s="54" t="s">
        <v>261</v>
      </c>
      <c r="H37" s="55" t="s">
        <v>262</v>
      </c>
      <c r="I37" s="55" t="s">
        <v>169</v>
      </c>
      <c r="J37" s="55" t="s">
        <v>175</v>
      </c>
      <c r="K37" s="55" t="s">
        <v>170</v>
      </c>
      <c r="L37" s="55" t="s">
        <v>171</v>
      </c>
      <c r="M37" s="55" t="s">
        <v>77</v>
      </c>
      <c r="N37" s="55" t="s">
        <v>172</v>
      </c>
      <c r="O37" s="55">
        <v>15570200</v>
      </c>
      <c r="P37" s="55">
        <v>164</v>
      </c>
      <c r="Q37" s="55">
        <v>8690000</v>
      </c>
      <c r="R37" s="55">
        <v>119</v>
      </c>
      <c r="S37" s="55">
        <v>0</v>
      </c>
      <c r="T37" s="55">
        <v>0</v>
      </c>
      <c r="U37" s="55">
        <v>1283000</v>
      </c>
      <c r="V37" s="55">
        <v>7</v>
      </c>
      <c r="W37" s="55">
        <v>0</v>
      </c>
      <c r="X37" s="55">
        <v>0</v>
      </c>
      <c r="Y37" s="56">
        <v>25460000</v>
      </c>
      <c r="Z37" s="55">
        <v>166</v>
      </c>
      <c r="AA37" s="55">
        <v>0</v>
      </c>
      <c r="AB37" s="55">
        <v>0</v>
      </c>
      <c r="AC37" s="55">
        <v>51003200</v>
      </c>
      <c r="AD37" s="57">
        <v>456</v>
      </c>
      <c r="AF37" s="47">
        <f t="shared" si="0"/>
        <v>25543200</v>
      </c>
    </row>
    <row r="38" spans="2:32" x14ac:dyDescent="0.3">
      <c r="B38" s="46" t="str">
        <f>IFERROR(VLOOKUP($H38,매장구분!$B:$Z,2,0),"")</f>
        <v>리테일채널팀</v>
      </c>
      <c r="C38" s="46" t="str">
        <f>IFERROR(VLOOKUP($H38,매장구분!$B:$Z,3,0),"")</f>
        <v>국내</v>
      </c>
      <c r="D38" s="46" t="str">
        <f>IFERROR(VLOOKUP($H38,매장구분!$B:$Z,5,0),"")</f>
        <v>대리점</v>
      </c>
      <c r="E38" s="46" t="str">
        <f>IFERROR(VLOOKUP($H38,매장구분!$B:$Z,9,0),"")</f>
        <v>원주(대-위)</v>
      </c>
      <c r="F38" s="58"/>
      <c r="G38" s="59" t="s">
        <v>224</v>
      </c>
      <c r="H38" s="60" t="s">
        <v>225</v>
      </c>
      <c r="I38" s="60" t="s">
        <v>169</v>
      </c>
      <c r="J38" s="60" t="s">
        <v>79</v>
      </c>
      <c r="K38" s="60" t="s">
        <v>170</v>
      </c>
      <c r="L38" s="60" t="s">
        <v>171</v>
      </c>
      <c r="M38" s="60" t="s">
        <v>196</v>
      </c>
      <c r="N38" s="60" t="s">
        <v>197</v>
      </c>
      <c r="O38" s="60">
        <v>74618208</v>
      </c>
      <c r="P38" s="60">
        <v>637</v>
      </c>
      <c r="Q38" s="60">
        <v>0</v>
      </c>
      <c r="R38" s="60">
        <v>0</v>
      </c>
      <c r="S38" s="60">
        <v>0</v>
      </c>
      <c r="T38" s="60">
        <v>0</v>
      </c>
      <c r="U38" s="60">
        <v>6469348</v>
      </c>
      <c r="V38" s="60">
        <v>31</v>
      </c>
      <c r="W38" s="60">
        <v>0</v>
      </c>
      <c r="X38" s="60">
        <v>0</v>
      </c>
      <c r="Y38" s="61">
        <v>0</v>
      </c>
      <c r="Z38" s="60">
        <v>0</v>
      </c>
      <c r="AA38" s="60">
        <v>0</v>
      </c>
      <c r="AB38" s="60">
        <v>0</v>
      </c>
      <c r="AC38" s="60">
        <v>81087556</v>
      </c>
      <c r="AD38" s="62">
        <v>668</v>
      </c>
      <c r="AF38" s="47">
        <f t="shared" si="0"/>
        <v>81087556</v>
      </c>
    </row>
    <row r="39" spans="2:32" x14ac:dyDescent="0.3">
      <c r="B39" s="46" t="str">
        <f>IFERROR(VLOOKUP($H39,매장구분!$B:$Z,2,0),"")</f>
        <v>파트너채널팀</v>
      </c>
      <c r="C39" s="46" t="str">
        <f>IFERROR(VLOOKUP($H39,매장구분!$B:$Z,3,0),"")</f>
        <v>국내</v>
      </c>
      <c r="D39" s="46" t="str">
        <f>IFERROR(VLOOKUP($H39,매장구분!$B:$Z,5,0),"")</f>
        <v>백화점</v>
      </c>
      <c r="E39" s="46" t="str">
        <f>IFERROR(VLOOKUP($H39,매장구분!$B:$Z,9,0),"")</f>
        <v>롯데잠실</v>
      </c>
      <c r="F39" s="53"/>
      <c r="G39" s="54" t="s">
        <v>247</v>
      </c>
      <c r="H39" s="55" t="s">
        <v>248</v>
      </c>
      <c r="I39" s="55" t="s">
        <v>169</v>
      </c>
      <c r="J39" s="55" t="s">
        <v>175</v>
      </c>
      <c r="K39" s="55" t="s">
        <v>170</v>
      </c>
      <c r="L39" s="55" t="s">
        <v>171</v>
      </c>
      <c r="M39" s="55" t="s">
        <v>77</v>
      </c>
      <c r="N39" s="55" t="s">
        <v>172</v>
      </c>
      <c r="O39" s="55">
        <v>110634120</v>
      </c>
      <c r="P39" s="55">
        <v>968</v>
      </c>
      <c r="Q39" s="55">
        <v>32327800</v>
      </c>
      <c r="R39" s="55">
        <v>318</v>
      </c>
      <c r="S39" s="55">
        <v>0</v>
      </c>
      <c r="T39" s="55">
        <v>0</v>
      </c>
      <c r="U39" s="55">
        <v>33012928</v>
      </c>
      <c r="V39" s="55">
        <v>202</v>
      </c>
      <c r="W39" s="55">
        <v>0</v>
      </c>
      <c r="X39" s="55">
        <v>0</v>
      </c>
      <c r="Y39" s="56">
        <v>37644552</v>
      </c>
      <c r="Z39" s="55">
        <v>265</v>
      </c>
      <c r="AA39" s="55">
        <v>-33300</v>
      </c>
      <c r="AB39" s="55">
        <v>-1</v>
      </c>
      <c r="AC39" s="55">
        <v>213586100</v>
      </c>
      <c r="AD39" s="57">
        <v>1752</v>
      </c>
      <c r="AF39" s="47">
        <f t="shared" si="0"/>
        <v>175941548</v>
      </c>
    </row>
    <row r="40" spans="2:32" x14ac:dyDescent="0.3">
      <c r="B40" s="46" t="str">
        <f>IFERROR(VLOOKUP($H40,매장구분!$B:$Z,2,0),"")</f>
        <v>리테일채널팀</v>
      </c>
      <c r="C40" s="46" t="str">
        <f>IFERROR(VLOOKUP($H40,매장구분!$B:$Z,3,0),"")</f>
        <v>국내</v>
      </c>
      <c r="D40" s="46" t="str">
        <f>IFERROR(VLOOKUP($H40,매장구분!$B:$Z,5,0),"")</f>
        <v>대리점</v>
      </c>
      <c r="E40" s="46" t="str">
        <f>IFERROR(VLOOKUP($H40,매장구분!$B:$Z,9,0),"")</f>
        <v>성남신흥(대-위)</v>
      </c>
      <c r="F40" s="58"/>
      <c r="G40" s="59" t="s">
        <v>228</v>
      </c>
      <c r="H40" s="60" t="s">
        <v>229</v>
      </c>
      <c r="I40" s="60" t="s">
        <v>169</v>
      </c>
      <c r="J40" s="60" t="s">
        <v>79</v>
      </c>
      <c r="K40" s="60" t="s">
        <v>170</v>
      </c>
      <c r="L40" s="60" t="s">
        <v>171</v>
      </c>
      <c r="M40" s="60" t="s">
        <v>196</v>
      </c>
      <c r="N40" s="60" t="s">
        <v>197</v>
      </c>
      <c r="O40" s="60">
        <v>73291528</v>
      </c>
      <c r="P40" s="60">
        <v>516</v>
      </c>
      <c r="Q40" s="60">
        <v>0</v>
      </c>
      <c r="R40" s="60">
        <v>0</v>
      </c>
      <c r="S40" s="60">
        <v>0</v>
      </c>
      <c r="T40" s="60">
        <v>0</v>
      </c>
      <c r="U40" s="60">
        <v>1555505</v>
      </c>
      <c r="V40" s="60">
        <v>10</v>
      </c>
      <c r="W40" s="60">
        <v>0</v>
      </c>
      <c r="X40" s="60">
        <v>0</v>
      </c>
      <c r="Y40" s="61">
        <v>79205495</v>
      </c>
      <c r="Z40" s="60">
        <v>417</v>
      </c>
      <c r="AA40" s="60">
        <v>0</v>
      </c>
      <c r="AB40" s="60">
        <v>0</v>
      </c>
      <c r="AC40" s="60">
        <v>154052528</v>
      </c>
      <c r="AD40" s="62">
        <v>943</v>
      </c>
      <c r="AF40" s="47">
        <f t="shared" si="0"/>
        <v>74847033</v>
      </c>
    </row>
    <row r="41" spans="2:32" x14ac:dyDescent="0.3">
      <c r="B41" s="46" t="str">
        <f>IFERROR(VLOOKUP($H41,매장구분!$B:$Z,2,0),"")</f>
        <v>파트너채널팀</v>
      </c>
      <c r="C41" s="46" t="str">
        <f>IFERROR(VLOOKUP($H41,매장구분!$B:$Z,3,0),"")</f>
        <v>국내</v>
      </c>
      <c r="D41" s="46" t="str">
        <f>IFERROR(VLOOKUP($H41,매장구분!$B:$Z,5,0),"")</f>
        <v>백화점</v>
      </c>
      <c r="E41" s="46" t="str">
        <f>IFERROR(VLOOKUP($H41,매장구분!$B:$Z,9,0),"")</f>
        <v>신세계천안아산</v>
      </c>
      <c r="F41" s="53"/>
      <c r="G41" s="54" t="s">
        <v>271</v>
      </c>
      <c r="H41" s="55" t="s">
        <v>272</v>
      </c>
      <c r="I41" s="55" t="s">
        <v>169</v>
      </c>
      <c r="J41" s="55" t="s">
        <v>175</v>
      </c>
      <c r="K41" s="55" t="s">
        <v>170</v>
      </c>
      <c r="L41" s="55" t="s">
        <v>171</v>
      </c>
      <c r="M41" s="55" t="s">
        <v>77</v>
      </c>
      <c r="N41" s="55" t="s">
        <v>172</v>
      </c>
      <c r="O41" s="55">
        <v>55785940</v>
      </c>
      <c r="P41" s="55">
        <v>619</v>
      </c>
      <c r="Q41" s="55">
        <v>0</v>
      </c>
      <c r="R41" s="55">
        <v>0</v>
      </c>
      <c r="S41" s="55">
        <v>0</v>
      </c>
      <c r="T41" s="55">
        <v>0</v>
      </c>
      <c r="U41" s="55">
        <v>9329660</v>
      </c>
      <c r="V41" s="55">
        <v>49</v>
      </c>
      <c r="W41" s="55">
        <v>0</v>
      </c>
      <c r="X41" s="55">
        <v>0</v>
      </c>
      <c r="Y41" s="56">
        <v>0</v>
      </c>
      <c r="Z41" s="55">
        <v>0</v>
      </c>
      <c r="AA41" s="55">
        <v>0</v>
      </c>
      <c r="AB41" s="55">
        <v>0</v>
      </c>
      <c r="AC41" s="55">
        <v>65115600</v>
      </c>
      <c r="AD41" s="57">
        <v>668</v>
      </c>
      <c r="AF41" s="47">
        <f t="shared" si="0"/>
        <v>65115600</v>
      </c>
    </row>
    <row r="42" spans="2:32" x14ac:dyDescent="0.3">
      <c r="B42" s="46" t="str">
        <f>IFERROR(VLOOKUP($H42,매장구분!$B:$Z,2,0),"")</f>
        <v>파트너채널팀</v>
      </c>
      <c r="C42" s="46" t="str">
        <f>IFERROR(VLOOKUP($H42,매장구분!$B:$Z,3,0),"")</f>
        <v>국내</v>
      </c>
      <c r="D42" s="46" t="str">
        <f>IFERROR(VLOOKUP($H42,매장구분!$B:$Z,5,0),"")</f>
        <v>백화점</v>
      </c>
      <c r="E42" s="46" t="str">
        <f>IFERROR(VLOOKUP($H42,매장구분!$B:$Z,9,0),"")</f>
        <v>롯데청량리</v>
      </c>
      <c r="F42" s="58"/>
      <c r="G42" s="59" t="s">
        <v>255</v>
      </c>
      <c r="H42" s="60" t="s">
        <v>256</v>
      </c>
      <c r="I42" s="60" t="s">
        <v>169</v>
      </c>
      <c r="J42" s="60" t="s">
        <v>175</v>
      </c>
      <c r="K42" s="60" t="s">
        <v>170</v>
      </c>
      <c r="L42" s="60" t="s">
        <v>171</v>
      </c>
      <c r="M42" s="60" t="s">
        <v>77</v>
      </c>
      <c r="N42" s="60" t="s">
        <v>172</v>
      </c>
      <c r="O42" s="60">
        <v>34022700</v>
      </c>
      <c r="P42" s="60">
        <v>395</v>
      </c>
      <c r="Q42" s="60">
        <v>4310000</v>
      </c>
      <c r="R42" s="60">
        <v>45</v>
      </c>
      <c r="S42" s="60">
        <v>0</v>
      </c>
      <c r="T42" s="60">
        <v>0</v>
      </c>
      <c r="U42" s="60">
        <v>1975000</v>
      </c>
      <c r="V42" s="60">
        <v>12</v>
      </c>
      <c r="W42" s="60">
        <v>0</v>
      </c>
      <c r="X42" s="60">
        <v>0</v>
      </c>
      <c r="Y42" s="61">
        <v>1290000</v>
      </c>
      <c r="Z42" s="60">
        <v>10</v>
      </c>
      <c r="AA42" s="60">
        <v>0</v>
      </c>
      <c r="AB42" s="60">
        <v>0</v>
      </c>
      <c r="AC42" s="60">
        <v>41597700</v>
      </c>
      <c r="AD42" s="62">
        <v>462</v>
      </c>
      <c r="AF42" s="47">
        <f t="shared" si="0"/>
        <v>40307700</v>
      </c>
    </row>
    <row r="43" spans="2:32" x14ac:dyDescent="0.3">
      <c r="B43" s="46" t="str">
        <f>IFERROR(VLOOKUP($H43,매장구분!$B:$Z,2,0),"")</f>
        <v>리테일채널팀</v>
      </c>
      <c r="C43" s="46" t="str">
        <f>IFERROR(VLOOKUP($H43,매장구분!$B:$Z,3,0),"")</f>
        <v>국내</v>
      </c>
      <c r="D43" s="46" t="str">
        <f>IFERROR(VLOOKUP($H43,매장구분!$B:$Z,5,0),"")</f>
        <v>대리점</v>
      </c>
      <c r="E43" s="46" t="str">
        <f>IFERROR(VLOOKUP($H43,매장구분!$B:$Z,9,0),"")</f>
        <v>오산(대-위)</v>
      </c>
      <c r="F43" s="53"/>
      <c r="G43" s="54" t="s">
        <v>226</v>
      </c>
      <c r="H43" s="55" t="s">
        <v>227</v>
      </c>
      <c r="I43" s="55" t="s">
        <v>169</v>
      </c>
      <c r="J43" s="55" t="s">
        <v>79</v>
      </c>
      <c r="K43" s="55" t="s">
        <v>170</v>
      </c>
      <c r="L43" s="55" t="s">
        <v>171</v>
      </c>
      <c r="M43" s="55" t="s">
        <v>196</v>
      </c>
      <c r="N43" s="55" t="s">
        <v>197</v>
      </c>
      <c r="O43" s="55">
        <v>49601740</v>
      </c>
      <c r="P43" s="55">
        <v>401</v>
      </c>
      <c r="Q43" s="55">
        <v>0</v>
      </c>
      <c r="R43" s="55">
        <v>0</v>
      </c>
      <c r="S43" s="55">
        <v>0</v>
      </c>
      <c r="T43" s="55">
        <v>0</v>
      </c>
      <c r="U43" s="55">
        <v>5170636</v>
      </c>
      <c r="V43" s="55">
        <v>29</v>
      </c>
      <c r="W43" s="55">
        <v>0</v>
      </c>
      <c r="X43" s="55">
        <v>0</v>
      </c>
      <c r="Y43" s="56">
        <v>0</v>
      </c>
      <c r="Z43" s="55">
        <v>0</v>
      </c>
      <c r="AA43" s="55">
        <v>0</v>
      </c>
      <c r="AB43" s="55">
        <v>0</v>
      </c>
      <c r="AC43" s="55">
        <v>54772376</v>
      </c>
      <c r="AD43" s="57">
        <v>430</v>
      </c>
      <c r="AF43" s="47">
        <f t="shared" si="0"/>
        <v>54772376</v>
      </c>
    </row>
    <row r="44" spans="2:32" x14ac:dyDescent="0.3">
      <c r="B44" s="46" t="str">
        <f>IFERROR(VLOOKUP($H44,매장구분!$B:$Z,2,0),"")</f>
        <v>리테일채널팀</v>
      </c>
      <c r="C44" s="46" t="str">
        <f>IFERROR(VLOOKUP($H44,매장구분!$B:$Z,3,0),"")</f>
        <v>국내</v>
      </c>
      <c r="D44" s="46" t="str">
        <f>IFERROR(VLOOKUP($H44,매장구분!$B:$Z,5,0),"")</f>
        <v>대리점</v>
      </c>
      <c r="E44" s="46" t="str">
        <f>IFERROR(VLOOKUP($H44,매장구분!$B:$Z,9,0),"")</f>
        <v>화성봉담(대-위)</v>
      </c>
      <c r="F44" s="58"/>
      <c r="G44" s="59" t="s">
        <v>273</v>
      </c>
      <c r="H44" s="60" t="s">
        <v>274</v>
      </c>
      <c r="I44" s="60" t="s">
        <v>169</v>
      </c>
      <c r="J44" s="60" t="s">
        <v>79</v>
      </c>
      <c r="K44" s="60" t="s">
        <v>170</v>
      </c>
      <c r="L44" s="60" t="s">
        <v>171</v>
      </c>
      <c r="M44" s="60" t="s">
        <v>196</v>
      </c>
      <c r="N44" s="60" t="s">
        <v>197</v>
      </c>
      <c r="O44" s="60">
        <v>34371871</v>
      </c>
      <c r="P44" s="60">
        <v>273</v>
      </c>
      <c r="Q44" s="60">
        <v>0</v>
      </c>
      <c r="R44" s="60">
        <v>0</v>
      </c>
      <c r="S44" s="60">
        <v>0</v>
      </c>
      <c r="T44" s="60">
        <v>0</v>
      </c>
      <c r="U44" s="60">
        <v>4988148</v>
      </c>
      <c r="V44" s="60">
        <v>26</v>
      </c>
      <c r="W44" s="60">
        <v>0</v>
      </c>
      <c r="X44" s="60">
        <v>0</v>
      </c>
      <c r="Y44" s="61">
        <v>52438400</v>
      </c>
      <c r="Z44" s="60">
        <v>529</v>
      </c>
      <c r="AA44" s="60">
        <v>0</v>
      </c>
      <c r="AB44" s="60">
        <v>0</v>
      </c>
      <c r="AC44" s="60">
        <v>91798419</v>
      </c>
      <c r="AD44" s="62">
        <v>828</v>
      </c>
      <c r="AF44" s="47">
        <f t="shared" si="0"/>
        <v>39360019</v>
      </c>
    </row>
    <row r="45" spans="2:32" x14ac:dyDescent="0.3">
      <c r="B45" s="46" t="str">
        <f>IFERROR(VLOOKUP($H45,매장구분!$B:$Z,2,0),"")</f>
        <v>E-biz</v>
      </c>
      <c r="C45" s="46" t="str">
        <f>IFERROR(VLOOKUP($H45,매장구분!$B:$Z,3,0),"")</f>
        <v>국내</v>
      </c>
      <c r="D45" s="46" t="str">
        <f>IFERROR(VLOOKUP($H45,매장구분!$B:$Z,5,0),"")</f>
        <v>온(제휴몰)</v>
      </c>
      <c r="E45" s="46" t="str">
        <f>IFERROR(VLOOKUP($H45,매장구분!$B:$Z,9,0),"")</f>
        <v>CJ온스타일(제휴몰)</v>
      </c>
      <c r="F45" s="53"/>
      <c r="G45" s="54" t="s">
        <v>279</v>
      </c>
      <c r="H45" s="55" t="s">
        <v>280</v>
      </c>
      <c r="I45" s="55" t="s">
        <v>169</v>
      </c>
      <c r="J45" s="55" t="s">
        <v>180</v>
      </c>
      <c r="K45" s="55" t="s">
        <v>170</v>
      </c>
      <c r="L45" s="55" t="s">
        <v>181</v>
      </c>
      <c r="M45" s="55" t="s">
        <v>181</v>
      </c>
      <c r="N45" s="55" t="s">
        <v>185</v>
      </c>
      <c r="O45" s="55">
        <v>13550400</v>
      </c>
      <c r="P45" s="55">
        <v>188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  <c r="X45" s="55">
        <v>0</v>
      </c>
      <c r="Y45" s="56">
        <v>0</v>
      </c>
      <c r="Z45" s="55">
        <v>0</v>
      </c>
      <c r="AA45" s="55">
        <v>0</v>
      </c>
      <c r="AB45" s="55">
        <v>0</v>
      </c>
      <c r="AC45" s="55">
        <v>13550400</v>
      </c>
      <c r="AD45" s="57">
        <v>188</v>
      </c>
      <c r="AF45" s="47">
        <f t="shared" si="0"/>
        <v>13550400</v>
      </c>
    </row>
    <row r="46" spans="2:32" x14ac:dyDescent="0.3">
      <c r="B46" s="46" t="str">
        <f>IFERROR(VLOOKUP($H46,매장구분!$B:$Z,2,0),"")</f>
        <v>리테일채널팀</v>
      </c>
      <c r="C46" s="46" t="str">
        <f>IFERROR(VLOOKUP($H46,매장구분!$B:$Z,3,0),"")</f>
        <v>국내</v>
      </c>
      <c r="D46" s="46" t="str">
        <f>IFERROR(VLOOKUP($H46,매장구분!$B:$Z,5,0),"")</f>
        <v>대리점</v>
      </c>
      <c r="E46" s="46" t="str">
        <f>IFERROR(VLOOKUP($H46,매장구분!$B:$Z,9,0),"")</f>
        <v>강릉(대-위)</v>
      </c>
      <c r="F46" s="58"/>
      <c r="G46" s="59" t="s">
        <v>230</v>
      </c>
      <c r="H46" s="60" t="s">
        <v>231</v>
      </c>
      <c r="I46" s="60" t="s">
        <v>169</v>
      </c>
      <c r="J46" s="60" t="s">
        <v>79</v>
      </c>
      <c r="K46" s="60" t="s">
        <v>170</v>
      </c>
      <c r="L46" s="60" t="s">
        <v>171</v>
      </c>
      <c r="M46" s="60" t="s">
        <v>196</v>
      </c>
      <c r="N46" s="60" t="s">
        <v>197</v>
      </c>
      <c r="O46" s="60">
        <v>34385914</v>
      </c>
      <c r="P46" s="60">
        <v>333</v>
      </c>
      <c r="Q46" s="60">
        <v>0</v>
      </c>
      <c r="R46" s="60">
        <v>0</v>
      </c>
      <c r="S46" s="60">
        <v>0</v>
      </c>
      <c r="T46" s="60">
        <v>0</v>
      </c>
      <c r="U46" s="60">
        <v>19310790</v>
      </c>
      <c r="V46" s="60">
        <v>116</v>
      </c>
      <c r="W46" s="60">
        <v>0</v>
      </c>
      <c r="X46" s="60">
        <v>0</v>
      </c>
      <c r="Y46" s="61">
        <v>0</v>
      </c>
      <c r="Z46" s="60">
        <v>0</v>
      </c>
      <c r="AA46" s="60">
        <v>0</v>
      </c>
      <c r="AB46" s="60">
        <v>0</v>
      </c>
      <c r="AC46" s="60">
        <v>53696704</v>
      </c>
      <c r="AD46" s="62">
        <v>449</v>
      </c>
      <c r="AF46" s="47">
        <f t="shared" si="0"/>
        <v>53696704</v>
      </c>
    </row>
    <row r="47" spans="2:32" x14ac:dyDescent="0.3">
      <c r="B47" s="46" t="str">
        <f>IFERROR(VLOOKUP($H47,매장구분!$B:$Z,2,0),"")</f>
        <v>리테일채널팀</v>
      </c>
      <c r="C47" s="46" t="str">
        <f>IFERROR(VLOOKUP($H47,매장구분!$B:$Z,3,0),"")</f>
        <v>국내</v>
      </c>
      <c r="D47" s="46" t="str">
        <f>IFERROR(VLOOKUP($H47,매장구분!$B:$Z,5,0),"")</f>
        <v>상설(위탁)</v>
      </c>
      <c r="E47" s="46" t="str">
        <f>IFERROR(VLOOKUP($H47,매장구분!$B:$Z,9,0),"")</f>
        <v>신세계아울렛기장(상-위)</v>
      </c>
      <c r="F47" s="53"/>
      <c r="G47" s="54" t="s">
        <v>277</v>
      </c>
      <c r="H47" s="55" t="s">
        <v>278</v>
      </c>
      <c r="I47" s="55" t="s">
        <v>169</v>
      </c>
      <c r="J47" s="55" t="s">
        <v>79</v>
      </c>
      <c r="K47" s="55" t="s">
        <v>170</v>
      </c>
      <c r="L47" s="55" t="s">
        <v>171</v>
      </c>
      <c r="M47" s="55" t="s">
        <v>219</v>
      </c>
      <c r="N47" s="55" t="s">
        <v>219</v>
      </c>
      <c r="O47" s="55">
        <v>7884000</v>
      </c>
      <c r="P47" s="55">
        <v>219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  <c r="X47" s="55">
        <v>0</v>
      </c>
      <c r="Y47" s="56">
        <v>0</v>
      </c>
      <c r="Z47" s="55">
        <v>0</v>
      </c>
      <c r="AA47" s="55">
        <v>0</v>
      </c>
      <c r="AB47" s="55">
        <v>0</v>
      </c>
      <c r="AC47" s="55">
        <v>7884000</v>
      </c>
      <c r="AD47" s="57">
        <v>219</v>
      </c>
      <c r="AF47" s="47">
        <f t="shared" si="0"/>
        <v>7884000</v>
      </c>
    </row>
    <row r="48" spans="2:32" x14ac:dyDescent="0.3">
      <c r="B48" s="46" t="str">
        <f>IFERROR(VLOOKUP($H48,매장구분!$B:$Z,2,0),"")</f>
        <v>파트너채널팀</v>
      </c>
      <c r="C48" s="46" t="str">
        <f>IFERROR(VLOOKUP($H48,매장구분!$B:$Z,3,0),"")</f>
        <v>국내</v>
      </c>
      <c r="D48" s="46" t="str">
        <f>IFERROR(VLOOKUP($H48,매장구분!$B:$Z,5,0),"")</f>
        <v>백화점</v>
      </c>
      <c r="E48" s="46" t="str">
        <f>IFERROR(VLOOKUP($H48,매장구분!$B:$Z,9,0),"")</f>
        <v>모다아울렛천안</v>
      </c>
      <c r="F48" s="58"/>
      <c r="G48" s="59" t="s">
        <v>267</v>
      </c>
      <c r="H48" s="60" t="s">
        <v>268</v>
      </c>
      <c r="I48" s="60" t="s">
        <v>169</v>
      </c>
      <c r="J48" s="60" t="s">
        <v>175</v>
      </c>
      <c r="K48" s="60" t="s">
        <v>170</v>
      </c>
      <c r="L48" s="60" t="s">
        <v>171</v>
      </c>
      <c r="M48" s="60" t="s">
        <v>77</v>
      </c>
      <c r="N48" s="60" t="s">
        <v>238</v>
      </c>
      <c r="O48" s="60">
        <v>28704022</v>
      </c>
      <c r="P48" s="60">
        <v>334</v>
      </c>
      <c r="Q48" s="60">
        <v>0</v>
      </c>
      <c r="R48" s="60">
        <v>0</v>
      </c>
      <c r="S48" s="60">
        <v>0</v>
      </c>
      <c r="T48" s="60">
        <v>0</v>
      </c>
      <c r="U48" s="60">
        <v>2114078</v>
      </c>
      <c r="V48" s="60">
        <v>15</v>
      </c>
      <c r="W48" s="60">
        <v>0</v>
      </c>
      <c r="X48" s="60">
        <v>0</v>
      </c>
      <c r="Y48" s="61">
        <v>0</v>
      </c>
      <c r="Z48" s="60">
        <v>0</v>
      </c>
      <c r="AA48" s="60">
        <v>0</v>
      </c>
      <c r="AB48" s="60">
        <v>0</v>
      </c>
      <c r="AC48" s="60">
        <v>30818100</v>
      </c>
      <c r="AD48" s="62">
        <v>349</v>
      </c>
      <c r="AF48" s="47">
        <f t="shared" si="0"/>
        <v>30818100</v>
      </c>
    </row>
    <row r="49" spans="2:32" x14ac:dyDescent="0.3">
      <c r="B49" s="46" t="str">
        <f>IFERROR(VLOOKUP($H49,매장구분!$B:$Z,2,0),"")</f>
        <v>리테일채널팀</v>
      </c>
      <c r="C49" s="46" t="str">
        <f>IFERROR(VLOOKUP($H49,매장구분!$B:$Z,3,0),"")</f>
        <v>국내</v>
      </c>
      <c r="D49" s="46" t="str">
        <f>IFERROR(VLOOKUP($H49,매장구분!$B:$Z,5,0),"")</f>
        <v>대리점</v>
      </c>
      <c r="E49" s="46" t="str">
        <f>IFERROR(VLOOKUP($H49,매장구분!$B:$Z,9,0),"")</f>
        <v>청주(대-위)</v>
      </c>
      <c r="F49" s="53"/>
      <c r="G49" s="54" t="s">
        <v>265</v>
      </c>
      <c r="H49" s="55" t="s">
        <v>266</v>
      </c>
      <c r="I49" s="55" t="s">
        <v>169</v>
      </c>
      <c r="J49" s="55" t="s">
        <v>79</v>
      </c>
      <c r="K49" s="55" t="s">
        <v>170</v>
      </c>
      <c r="L49" s="55" t="s">
        <v>171</v>
      </c>
      <c r="M49" s="55" t="s">
        <v>196</v>
      </c>
      <c r="N49" s="55" t="s">
        <v>197</v>
      </c>
      <c r="O49" s="55">
        <v>134106932</v>
      </c>
      <c r="P49" s="55">
        <v>889</v>
      </c>
      <c r="Q49" s="55">
        <v>0</v>
      </c>
      <c r="R49" s="55">
        <v>0</v>
      </c>
      <c r="S49" s="55">
        <v>0</v>
      </c>
      <c r="T49" s="55">
        <v>0</v>
      </c>
      <c r="U49" s="55">
        <v>13514712</v>
      </c>
      <c r="V49" s="55">
        <v>42</v>
      </c>
      <c r="W49" s="55">
        <v>0</v>
      </c>
      <c r="X49" s="55">
        <v>0</v>
      </c>
      <c r="Y49" s="56">
        <v>20212000</v>
      </c>
      <c r="Z49" s="55">
        <v>188</v>
      </c>
      <c r="AA49" s="55">
        <v>0</v>
      </c>
      <c r="AB49" s="55">
        <v>0</v>
      </c>
      <c r="AC49" s="55">
        <v>167833644</v>
      </c>
      <c r="AD49" s="57">
        <v>1119</v>
      </c>
      <c r="AF49" s="47">
        <f t="shared" si="0"/>
        <v>147621644</v>
      </c>
    </row>
    <row r="50" spans="2:32" x14ac:dyDescent="0.3">
      <c r="B50" s="46" t="str">
        <f>IFERROR(VLOOKUP($H50,매장구분!$B:$Z,2,0),"")</f>
        <v>파트너채널팀</v>
      </c>
      <c r="C50" s="46" t="str">
        <f>IFERROR(VLOOKUP($H50,매장구분!$B:$Z,3,0),"")</f>
        <v>국내</v>
      </c>
      <c r="D50" s="46" t="str">
        <f>IFERROR(VLOOKUP($H50,매장구분!$B:$Z,5,0),"")</f>
        <v>백화점</v>
      </c>
      <c r="E50" s="46" t="str">
        <f>IFERROR(VLOOKUP($H50,매장구분!$B:$Z,9,0),"")</f>
        <v>신세계강남</v>
      </c>
      <c r="F50" s="58"/>
      <c r="G50" s="59" t="s">
        <v>234</v>
      </c>
      <c r="H50" s="60" t="s">
        <v>235</v>
      </c>
      <c r="I50" s="60" t="s">
        <v>169</v>
      </c>
      <c r="J50" s="60" t="s">
        <v>175</v>
      </c>
      <c r="K50" s="60" t="s">
        <v>170</v>
      </c>
      <c r="L50" s="60" t="s">
        <v>171</v>
      </c>
      <c r="M50" s="60" t="s">
        <v>77</v>
      </c>
      <c r="N50" s="60" t="s">
        <v>172</v>
      </c>
      <c r="O50" s="60">
        <v>118245410</v>
      </c>
      <c r="P50" s="60">
        <v>1180</v>
      </c>
      <c r="Q50" s="60">
        <v>50417000</v>
      </c>
      <c r="R50" s="60">
        <v>491</v>
      </c>
      <c r="S50" s="60">
        <v>0</v>
      </c>
      <c r="T50" s="60">
        <v>0</v>
      </c>
      <c r="U50" s="60">
        <v>9770700</v>
      </c>
      <c r="V50" s="60">
        <v>63</v>
      </c>
      <c r="W50" s="60">
        <v>0</v>
      </c>
      <c r="X50" s="60">
        <v>0</v>
      </c>
      <c r="Y50" s="61">
        <v>0</v>
      </c>
      <c r="Z50" s="60">
        <v>0</v>
      </c>
      <c r="AA50" s="60">
        <v>0</v>
      </c>
      <c r="AB50" s="60">
        <v>0</v>
      </c>
      <c r="AC50" s="60">
        <v>178433110</v>
      </c>
      <c r="AD50" s="62">
        <v>1734</v>
      </c>
      <c r="AF50" s="47">
        <f t="shared" si="0"/>
        <v>178433110</v>
      </c>
    </row>
    <row r="51" spans="2:32" x14ac:dyDescent="0.3">
      <c r="B51" s="46" t="str">
        <f>IFERROR(VLOOKUP($H51,매장구분!$B:$Z,2,0),"")</f>
        <v>파트너채널팀</v>
      </c>
      <c r="C51" s="46" t="str">
        <f>IFERROR(VLOOKUP($H51,매장구분!$B:$Z,3,0),"")</f>
        <v>RF</v>
      </c>
      <c r="D51" s="46" t="str">
        <f>IFERROR(VLOOKUP($H51,매장구분!$B:$Z,5,0),"")</f>
        <v>백화점</v>
      </c>
      <c r="E51" s="46" t="str">
        <f>IFERROR(VLOOKUP($H51,매장구분!$B:$Z,9,0),"")</f>
        <v>롯데본점</v>
      </c>
      <c r="F51" s="53"/>
      <c r="G51" s="54" t="s">
        <v>269</v>
      </c>
      <c r="H51" s="55" t="s">
        <v>270</v>
      </c>
      <c r="I51" s="55" t="s">
        <v>169</v>
      </c>
      <c r="J51" s="55" t="s">
        <v>175</v>
      </c>
      <c r="K51" s="55" t="s">
        <v>170</v>
      </c>
      <c r="L51" s="55" t="s">
        <v>171</v>
      </c>
      <c r="M51" s="55" t="s">
        <v>77</v>
      </c>
      <c r="N51" s="55" t="s">
        <v>172</v>
      </c>
      <c r="O51" s="55">
        <v>35867800</v>
      </c>
      <c r="P51" s="55">
        <v>560</v>
      </c>
      <c r="Q51" s="55">
        <v>2052000</v>
      </c>
      <c r="R51" s="55">
        <v>38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6">
        <v>317589400</v>
      </c>
      <c r="Z51" s="55">
        <v>1898</v>
      </c>
      <c r="AA51" s="55">
        <v>0</v>
      </c>
      <c r="AB51" s="55">
        <v>0</v>
      </c>
      <c r="AC51" s="55">
        <v>355509200</v>
      </c>
      <c r="AD51" s="57">
        <v>2496</v>
      </c>
      <c r="AF51" s="47">
        <f t="shared" si="0"/>
        <v>37919800</v>
      </c>
    </row>
    <row r="52" spans="2:32" x14ac:dyDescent="0.3">
      <c r="B52" s="46" t="str">
        <f>IFERROR(VLOOKUP($H52,매장구분!$B:$Z,2,0),"")</f>
        <v>파트너채널팀</v>
      </c>
      <c r="C52" s="46" t="str">
        <f>IFERROR(VLOOKUP($H52,매장구분!$B:$Z,3,0),"")</f>
        <v>국내</v>
      </c>
      <c r="D52" s="46" t="str">
        <f>IFERROR(VLOOKUP($H52,매장구분!$B:$Z,5,0),"")</f>
        <v>백화점</v>
      </c>
      <c r="E52" s="46" t="str">
        <f>IFERROR(VLOOKUP($H52,매장구분!$B:$Z,9,0),"")</f>
        <v>갤러리아센터시티</v>
      </c>
      <c r="F52" s="58"/>
      <c r="G52" s="59" t="s">
        <v>259</v>
      </c>
      <c r="H52" s="60" t="s">
        <v>260</v>
      </c>
      <c r="I52" s="60" t="s">
        <v>169</v>
      </c>
      <c r="J52" s="60" t="s">
        <v>175</v>
      </c>
      <c r="K52" s="60" t="s">
        <v>170</v>
      </c>
      <c r="L52" s="60" t="s">
        <v>171</v>
      </c>
      <c r="M52" s="60" t="s">
        <v>77</v>
      </c>
      <c r="N52" s="60" t="s">
        <v>172</v>
      </c>
      <c r="O52" s="60">
        <v>29331400</v>
      </c>
      <c r="P52" s="60">
        <v>249</v>
      </c>
      <c r="Q52" s="60">
        <v>3482000</v>
      </c>
      <c r="R52" s="60">
        <v>42</v>
      </c>
      <c r="S52" s="60">
        <v>0</v>
      </c>
      <c r="T52" s="60">
        <v>0</v>
      </c>
      <c r="U52" s="60">
        <v>6336000</v>
      </c>
      <c r="V52" s="60">
        <v>36</v>
      </c>
      <c r="W52" s="60">
        <v>0</v>
      </c>
      <c r="X52" s="60">
        <v>0</v>
      </c>
      <c r="Y52" s="61">
        <v>9635000</v>
      </c>
      <c r="Z52" s="60">
        <v>56</v>
      </c>
      <c r="AA52" s="60">
        <v>0</v>
      </c>
      <c r="AB52" s="60">
        <v>0</v>
      </c>
      <c r="AC52" s="60">
        <v>48784400</v>
      </c>
      <c r="AD52" s="62">
        <v>383</v>
      </c>
      <c r="AF52" s="47">
        <f t="shared" si="0"/>
        <v>39149400</v>
      </c>
    </row>
    <row r="53" spans="2:32" x14ac:dyDescent="0.3">
      <c r="B53" s="46" t="str">
        <f>IFERROR(VLOOKUP($H53,매장구분!$B:$Z,2,0),"")</f>
        <v>파트너채널팀</v>
      </c>
      <c r="C53" s="46" t="str">
        <f>IFERROR(VLOOKUP($H53,매장구분!$B:$Z,3,0),"")</f>
        <v>국내</v>
      </c>
      <c r="D53" s="46" t="str">
        <f>IFERROR(VLOOKUP($H53,매장구분!$B:$Z,5,0),"")</f>
        <v>백화점</v>
      </c>
      <c r="E53" s="46" t="str">
        <f>IFERROR(VLOOKUP($H53,매장구분!$B:$Z,9,0),"")</f>
        <v>롯데강남</v>
      </c>
      <c r="F53" s="53"/>
      <c r="G53" s="54" t="s">
        <v>275</v>
      </c>
      <c r="H53" s="55" t="s">
        <v>276</v>
      </c>
      <c r="I53" s="55" t="s">
        <v>169</v>
      </c>
      <c r="J53" s="55" t="s">
        <v>175</v>
      </c>
      <c r="K53" s="55" t="s">
        <v>170</v>
      </c>
      <c r="L53" s="55" t="s">
        <v>171</v>
      </c>
      <c r="M53" s="55" t="s">
        <v>77</v>
      </c>
      <c r="N53" s="55" t="s">
        <v>172</v>
      </c>
      <c r="O53" s="55">
        <v>21411300</v>
      </c>
      <c r="P53" s="55">
        <v>241</v>
      </c>
      <c r="Q53" s="55">
        <v>12375000</v>
      </c>
      <c r="R53" s="55">
        <v>125</v>
      </c>
      <c r="S53" s="55">
        <v>0</v>
      </c>
      <c r="T53" s="55">
        <v>0</v>
      </c>
      <c r="U53" s="55">
        <v>4643400</v>
      </c>
      <c r="V53" s="55">
        <v>23</v>
      </c>
      <c r="W53" s="55">
        <v>0</v>
      </c>
      <c r="X53" s="55">
        <v>0</v>
      </c>
      <c r="Y53" s="56">
        <v>0</v>
      </c>
      <c r="Z53" s="55">
        <v>0</v>
      </c>
      <c r="AA53" s="55">
        <v>0</v>
      </c>
      <c r="AB53" s="55">
        <v>0</v>
      </c>
      <c r="AC53" s="55">
        <v>38429700</v>
      </c>
      <c r="AD53" s="57">
        <v>389</v>
      </c>
      <c r="AF53" s="47">
        <f t="shared" si="0"/>
        <v>38429700</v>
      </c>
    </row>
    <row r="54" spans="2:32" x14ac:dyDescent="0.3">
      <c r="B54" s="46" t="str">
        <f>IFERROR(VLOOKUP($H54,매장구분!$B:$Z,2,0),"")</f>
        <v>리테일채널팀</v>
      </c>
      <c r="C54" s="46" t="str">
        <f>IFERROR(VLOOKUP($H54,매장구분!$B:$Z,3,0),"")</f>
        <v>국내</v>
      </c>
      <c r="D54" s="46" t="str">
        <f>IFERROR(VLOOKUP($H54,매장구분!$B:$Z,5,0),"")</f>
        <v>상설(위탁)</v>
      </c>
      <c r="E54" s="46" t="str">
        <f>IFERROR(VLOOKUP($H54,매장구분!$B:$Z,9,0),"")</f>
        <v>롯데아울렛부여(상-위)</v>
      </c>
      <c r="F54" s="58"/>
      <c r="G54" s="59" t="s">
        <v>281</v>
      </c>
      <c r="H54" s="60" t="s">
        <v>282</v>
      </c>
      <c r="I54" s="60" t="s">
        <v>169</v>
      </c>
      <c r="J54" s="60" t="s">
        <v>79</v>
      </c>
      <c r="K54" s="60" t="s">
        <v>170</v>
      </c>
      <c r="L54" s="60" t="s">
        <v>171</v>
      </c>
      <c r="M54" s="60" t="s">
        <v>219</v>
      </c>
      <c r="N54" s="60" t="s">
        <v>219</v>
      </c>
      <c r="O54" s="60">
        <v>7740000</v>
      </c>
      <c r="P54" s="60">
        <v>215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1">
        <v>0</v>
      </c>
      <c r="Z54" s="60">
        <v>0</v>
      </c>
      <c r="AA54" s="60">
        <v>0</v>
      </c>
      <c r="AB54" s="60">
        <v>0</v>
      </c>
      <c r="AC54" s="60">
        <v>7740000</v>
      </c>
      <c r="AD54" s="62">
        <v>215</v>
      </c>
      <c r="AF54" s="47">
        <f t="shared" si="0"/>
        <v>7740000</v>
      </c>
    </row>
    <row r="55" spans="2:32" x14ac:dyDescent="0.3">
      <c r="B55" s="46" t="str">
        <f>IFERROR(VLOOKUP($H55,매장구분!$B:$Z,2,0),"")</f>
        <v>리테일채널팀</v>
      </c>
      <c r="C55" s="46" t="str">
        <f>IFERROR(VLOOKUP($H55,매장구분!$B:$Z,3,0),"")</f>
        <v>국내</v>
      </c>
      <c r="D55" s="46" t="str">
        <f>IFERROR(VLOOKUP($H55,매장구분!$B:$Z,5,0),"")</f>
        <v>상설(위탁)</v>
      </c>
      <c r="E55" s="46" t="str">
        <f>IFERROR(VLOOKUP($H55,매장구분!$B:$Z,9,0),"")</f>
        <v>LF스퀘어양주(상-위)</v>
      </c>
      <c r="F55" s="53"/>
      <c r="G55" s="54" t="s">
        <v>283</v>
      </c>
      <c r="H55" s="55" t="s">
        <v>284</v>
      </c>
      <c r="I55" s="55" t="s">
        <v>169</v>
      </c>
      <c r="J55" s="55" t="s">
        <v>79</v>
      </c>
      <c r="K55" s="55" t="s">
        <v>170</v>
      </c>
      <c r="L55" s="55" t="s">
        <v>171</v>
      </c>
      <c r="M55" s="55" t="s">
        <v>77</v>
      </c>
      <c r="N55" s="55" t="s">
        <v>172</v>
      </c>
      <c r="O55" s="55">
        <v>4860000</v>
      </c>
      <c r="P55" s="55">
        <v>135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6">
        <v>0</v>
      </c>
      <c r="Z55" s="55">
        <v>0</v>
      </c>
      <c r="AA55" s="55">
        <v>0</v>
      </c>
      <c r="AB55" s="55">
        <v>0</v>
      </c>
      <c r="AC55" s="55">
        <v>4860000</v>
      </c>
      <c r="AD55" s="57">
        <v>135</v>
      </c>
      <c r="AF55" s="47">
        <f t="shared" si="0"/>
        <v>4860000</v>
      </c>
    </row>
    <row r="56" spans="2:32" x14ac:dyDescent="0.3">
      <c r="B56" s="46" t="str">
        <f>IFERROR(VLOOKUP($H56,매장구분!$B:$Z,2,0),"")</f>
        <v>리테일채널팀</v>
      </c>
      <c r="C56" s="46" t="str">
        <f>IFERROR(VLOOKUP($H56,매장구분!$B:$Z,3,0),"")</f>
        <v>국내</v>
      </c>
      <c r="D56" s="46" t="str">
        <f>IFERROR(VLOOKUP($H56,매장구분!$B:$Z,5,0),"")</f>
        <v>상설(위탁)</v>
      </c>
      <c r="E56" s="46" t="str">
        <f>IFERROR(VLOOKUP($H56,매장구분!$B:$Z,9,0),"")</f>
        <v>현대아울렛가산(상-위)</v>
      </c>
      <c r="F56" s="58"/>
      <c r="G56" s="59" t="s">
        <v>285</v>
      </c>
      <c r="H56" s="60" t="s">
        <v>286</v>
      </c>
      <c r="I56" s="60" t="s">
        <v>169</v>
      </c>
      <c r="J56" s="60" t="s">
        <v>79</v>
      </c>
      <c r="K56" s="60" t="s">
        <v>170</v>
      </c>
      <c r="L56" s="60" t="s">
        <v>171</v>
      </c>
      <c r="M56" s="60" t="s">
        <v>219</v>
      </c>
      <c r="N56" s="60" t="s">
        <v>219</v>
      </c>
      <c r="O56" s="60">
        <v>2340000</v>
      </c>
      <c r="P56" s="60">
        <v>65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0</v>
      </c>
      <c r="X56" s="60">
        <v>0</v>
      </c>
      <c r="Y56" s="61">
        <v>0</v>
      </c>
      <c r="Z56" s="60">
        <v>0</v>
      </c>
      <c r="AA56" s="60">
        <v>0</v>
      </c>
      <c r="AB56" s="60">
        <v>0</v>
      </c>
      <c r="AC56" s="60">
        <v>2340000</v>
      </c>
      <c r="AD56" s="62">
        <v>65</v>
      </c>
      <c r="AF56" s="47">
        <f t="shared" si="0"/>
        <v>2340000</v>
      </c>
    </row>
    <row r="57" spans="2:32" x14ac:dyDescent="0.3">
      <c r="B57" s="46" t="str">
        <f>IFERROR(VLOOKUP($H57,매장구분!$B:$Z,2,0),"")</f>
        <v>리테일채널팀</v>
      </c>
      <c r="C57" s="46" t="str">
        <f>IFERROR(VLOOKUP($H57,매장구분!$B:$Z,3,0),"")</f>
        <v>국내</v>
      </c>
      <c r="D57" s="46" t="str">
        <f>IFERROR(VLOOKUP($H57,매장구분!$B:$Z,5,0),"")</f>
        <v>대리점</v>
      </c>
      <c r="E57" s="46" t="str">
        <f>IFERROR(VLOOKUP($H57,매장구분!$B:$Z,9,0),"")</f>
        <v>충주(대-위)</v>
      </c>
      <c r="F57" s="53"/>
      <c r="G57" s="54" t="s">
        <v>322</v>
      </c>
      <c r="H57" s="55" t="s">
        <v>323</v>
      </c>
      <c r="I57" s="55" t="s">
        <v>169</v>
      </c>
      <c r="J57" s="55" t="s">
        <v>79</v>
      </c>
      <c r="K57" s="55" t="s">
        <v>170</v>
      </c>
      <c r="L57" s="55" t="s">
        <v>171</v>
      </c>
      <c r="M57" s="55" t="s">
        <v>196</v>
      </c>
      <c r="N57" s="55" t="s">
        <v>197</v>
      </c>
      <c r="O57" s="55">
        <v>29736656</v>
      </c>
      <c r="P57" s="55">
        <v>290</v>
      </c>
      <c r="Q57" s="55">
        <v>0</v>
      </c>
      <c r="R57" s="55">
        <v>0</v>
      </c>
      <c r="S57" s="55">
        <v>0</v>
      </c>
      <c r="T57" s="55">
        <v>0</v>
      </c>
      <c r="U57" s="55">
        <v>0</v>
      </c>
      <c r="V57" s="55">
        <v>0</v>
      </c>
      <c r="W57" s="55">
        <v>0</v>
      </c>
      <c r="X57" s="55">
        <v>0</v>
      </c>
      <c r="Y57" s="56">
        <v>39326637</v>
      </c>
      <c r="Z57" s="55">
        <v>307</v>
      </c>
      <c r="AA57" s="55">
        <v>0</v>
      </c>
      <c r="AB57" s="55">
        <v>0</v>
      </c>
      <c r="AC57" s="55">
        <v>69063293</v>
      </c>
      <c r="AD57" s="57">
        <v>597</v>
      </c>
      <c r="AF57" s="47">
        <f t="shared" si="0"/>
        <v>29736656</v>
      </c>
    </row>
    <row r="58" spans="2:32" x14ac:dyDescent="0.3">
      <c r="B58" s="46" t="str">
        <f>IFERROR(VLOOKUP($H58,매장구분!$B:$Z,2,0),"")</f>
        <v>파트너채널팀</v>
      </c>
      <c r="C58" s="46" t="str">
        <f>IFERROR(VLOOKUP($H58,매장구분!$B:$Z,3,0),"")</f>
        <v>국내</v>
      </c>
      <c r="D58" s="46" t="str">
        <f>IFERROR(VLOOKUP($H58,매장구분!$B:$Z,5,0),"")</f>
        <v>백화점</v>
      </c>
      <c r="E58" s="46" t="str">
        <f>IFERROR(VLOOKUP($H58,매장구분!$B:$Z,9,0),"")</f>
        <v>갤러리아대전</v>
      </c>
      <c r="F58" s="58"/>
      <c r="G58" s="59" t="s">
        <v>303</v>
      </c>
      <c r="H58" s="60" t="s">
        <v>304</v>
      </c>
      <c r="I58" s="60" t="s">
        <v>169</v>
      </c>
      <c r="J58" s="60" t="s">
        <v>175</v>
      </c>
      <c r="K58" s="60" t="s">
        <v>170</v>
      </c>
      <c r="L58" s="60" t="s">
        <v>171</v>
      </c>
      <c r="M58" s="60" t="s">
        <v>77</v>
      </c>
      <c r="N58" s="60" t="s">
        <v>172</v>
      </c>
      <c r="O58" s="60">
        <v>55241220</v>
      </c>
      <c r="P58" s="60">
        <v>459</v>
      </c>
      <c r="Q58" s="60">
        <v>2922800</v>
      </c>
      <c r="R58" s="60">
        <v>40</v>
      </c>
      <c r="S58" s="60">
        <v>0</v>
      </c>
      <c r="T58" s="60">
        <v>0</v>
      </c>
      <c r="U58" s="60">
        <v>9763400</v>
      </c>
      <c r="V58" s="60">
        <v>55</v>
      </c>
      <c r="W58" s="60">
        <v>0</v>
      </c>
      <c r="X58" s="60">
        <v>0</v>
      </c>
      <c r="Y58" s="61">
        <v>46392000</v>
      </c>
      <c r="Z58" s="60">
        <v>318</v>
      </c>
      <c r="AA58" s="60">
        <v>0</v>
      </c>
      <c r="AB58" s="60">
        <v>0</v>
      </c>
      <c r="AC58" s="60">
        <v>114319420</v>
      </c>
      <c r="AD58" s="62">
        <v>872</v>
      </c>
      <c r="AF58" s="47">
        <f t="shared" si="0"/>
        <v>67927420</v>
      </c>
    </row>
    <row r="59" spans="2:32" x14ac:dyDescent="0.3">
      <c r="B59" s="46" t="str">
        <f>IFERROR(VLOOKUP($H59,매장구분!$B:$Z,2,0),"")</f>
        <v>파트너채널팀</v>
      </c>
      <c r="C59" s="46" t="str">
        <f>IFERROR(VLOOKUP($H59,매장구분!$B:$Z,3,0),"")</f>
        <v>국내</v>
      </c>
      <c r="D59" s="46" t="str">
        <f>IFERROR(VLOOKUP($H59,매장구분!$B:$Z,5,0),"")</f>
        <v>백화점</v>
      </c>
      <c r="E59" s="46" t="str">
        <f>IFERROR(VLOOKUP($H59,매장구분!$B:$Z,9,0),"")</f>
        <v>신세계센텀</v>
      </c>
      <c r="F59" s="53"/>
      <c r="G59" s="54" t="s">
        <v>301</v>
      </c>
      <c r="H59" s="55" t="s">
        <v>302</v>
      </c>
      <c r="I59" s="55" t="s">
        <v>169</v>
      </c>
      <c r="J59" s="55" t="s">
        <v>175</v>
      </c>
      <c r="K59" s="55" t="s">
        <v>170</v>
      </c>
      <c r="L59" s="55" t="s">
        <v>171</v>
      </c>
      <c r="M59" s="55" t="s">
        <v>77</v>
      </c>
      <c r="N59" s="55" t="s">
        <v>172</v>
      </c>
      <c r="O59" s="55">
        <v>140438700</v>
      </c>
      <c r="P59" s="55">
        <v>1327</v>
      </c>
      <c r="Q59" s="55">
        <v>0</v>
      </c>
      <c r="R59" s="55">
        <v>0</v>
      </c>
      <c r="S59" s="55">
        <v>0</v>
      </c>
      <c r="T59" s="55">
        <v>0</v>
      </c>
      <c r="U59" s="55">
        <v>2468300</v>
      </c>
      <c r="V59" s="55">
        <v>11</v>
      </c>
      <c r="W59" s="55">
        <v>0</v>
      </c>
      <c r="X59" s="55">
        <v>0</v>
      </c>
      <c r="Y59" s="56">
        <v>0</v>
      </c>
      <c r="Z59" s="55">
        <v>0</v>
      </c>
      <c r="AA59" s="55">
        <v>0</v>
      </c>
      <c r="AB59" s="55">
        <v>0</v>
      </c>
      <c r="AC59" s="55">
        <v>142907000</v>
      </c>
      <c r="AD59" s="57">
        <v>1338</v>
      </c>
      <c r="AF59" s="47">
        <f t="shared" si="0"/>
        <v>142907000</v>
      </c>
    </row>
    <row r="60" spans="2:32" x14ac:dyDescent="0.3">
      <c r="B60" s="46" t="str">
        <f>IFERROR(VLOOKUP($H60,매장구분!$B:$Z,2,0),"")</f>
        <v>리테일채널팀</v>
      </c>
      <c r="C60" s="46" t="str">
        <f>IFERROR(VLOOKUP($H60,매장구분!$B:$Z,3,0),"")</f>
        <v>국내</v>
      </c>
      <c r="D60" s="46" t="str">
        <f>IFERROR(VLOOKUP($H60,매장구분!$B:$Z,5,0),"")</f>
        <v>대리점</v>
      </c>
      <c r="E60" s="46" t="str">
        <f>IFERROR(VLOOKUP($H60,매장구분!$B:$Z,9,0),"")</f>
        <v>시흥(대-위)</v>
      </c>
      <c r="F60" s="58"/>
      <c r="G60" s="59" t="s">
        <v>330</v>
      </c>
      <c r="H60" s="60" t="s">
        <v>331</v>
      </c>
      <c r="I60" s="60" t="s">
        <v>169</v>
      </c>
      <c r="J60" s="60" t="s">
        <v>79</v>
      </c>
      <c r="K60" s="60" t="s">
        <v>170</v>
      </c>
      <c r="L60" s="60" t="s">
        <v>171</v>
      </c>
      <c r="M60" s="60" t="s">
        <v>196</v>
      </c>
      <c r="N60" s="60" t="s">
        <v>197</v>
      </c>
      <c r="O60" s="60">
        <v>26400567</v>
      </c>
      <c r="P60" s="60">
        <v>242</v>
      </c>
      <c r="Q60" s="60">
        <v>0</v>
      </c>
      <c r="R60" s="60">
        <v>0</v>
      </c>
      <c r="S60" s="60">
        <v>0</v>
      </c>
      <c r="T60" s="60">
        <v>0</v>
      </c>
      <c r="U60" s="60">
        <v>1100192</v>
      </c>
      <c r="V60" s="60">
        <v>7</v>
      </c>
      <c r="W60" s="60">
        <v>0</v>
      </c>
      <c r="X60" s="60">
        <v>0</v>
      </c>
      <c r="Y60" s="61">
        <v>0</v>
      </c>
      <c r="Z60" s="60">
        <v>0</v>
      </c>
      <c r="AA60" s="60">
        <v>0</v>
      </c>
      <c r="AB60" s="60">
        <v>0</v>
      </c>
      <c r="AC60" s="60">
        <v>27500759</v>
      </c>
      <c r="AD60" s="62">
        <v>249</v>
      </c>
      <c r="AF60" s="47">
        <f t="shared" si="0"/>
        <v>27500759</v>
      </c>
    </row>
    <row r="61" spans="2:32" x14ac:dyDescent="0.3">
      <c r="B61" s="46" t="str">
        <f>IFERROR(VLOOKUP($H61,매장구분!$B:$Z,2,0),"")</f>
        <v>리테일채널팀</v>
      </c>
      <c r="C61" s="46" t="str">
        <f>IFERROR(VLOOKUP($H61,매장구분!$B:$Z,3,0),"")</f>
        <v>국내</v>
      </c>
      <c r="D61" s="46" t="str">
        <f>IFERROR(VLOOKUP($H61,매장구분!$B:$Z,5,0),"")</f>
        <v>대리점</v>
      </c>
      <c r="E61" s="46" t="str">
        <f>IFERROR(VLOOKUP($H61,매장구분!$B:$Z,9,0),"")</f>
        <v>안산시화(대-위)</v>
      </c>
      <c r="F61" s="53"/>
      <c r="G61" s="54" t="s">
        <v>291</v>
      </c>
      <c r="H61" s="55" t="s">
        <v>292</v>
      </c>
      <c r="I61" s="55" t="s">
        <v>169</v>
      </c>
      <c r="J61" s="55" t="s">
        <v>79</v>
      </c>
      <c r="K61" s="55" t="s">
        <v>170</v>
      </c>
      <c r="L61" s="55" t="s">
        <v>171</v>
      </c>
      <c r="M61" s="55" t="s">
        <v>196</v>
      </c>
      <c r="N61" s="55" t="s">
        <v>197</v>
      </c>
      <c r="O61" s="55">
        <v>84519406</v>
      </c>
      <c r="P61" s="55">
        <v>624</v>
      </c>
      <c r="Q61" s="55">
        <v>0</v>
      </c>
      <c r="R61" s="55">
        <v>0</v>
      </c>
      <c r="S61" s="55">
        <v>0</v>
      </c>
      <c r="T61" s="55">
        <v>0</v>
      </c>
      <c r="U61" s="55">
        <v>7896626</v>
      </c>
      <c r="V61" s="55">
        <v>49</v>
      </c>
      <c r="W61" s="55">
        <v>0</v>
      </c>
      <c r="X61" s="55">
        <v>0</v>
      </c>
      <c r="Y61" s="56">
        <v>0</v>
      </c>
      <c r="Z61" s="55">
        <v>0</v>
      </c>
      <c r="AA61" s="55">
        <v>0</v>
      </c>
      <c r="AB61" s="55">
        <v>0</v>
      </c>
      <c r="AC61" s="55">
        <v>92416032</v>
      </c>
      <c r="AD61" s="57">
        <v>673</v>
      </c>
      <c r="AF61" s="47">
        <f t="shared" si="0"/>
        <v>92416032</v>
      </c>
    </row>
    <row r="62" spans="2:32" x14ac:dyDescent="0.3">
      <c r="B62" s="46" t="str">
        <f>IFERROR(VLOOKUP($H62,매장구분!$B:$Z,2,0),"")</f>
        <v>리테일채널팀</v>
      </c>
      <c r="C62" s="46" t="str">
        <f>IFERROR(VLOOKUP($H62,매장구분!$B:$Z,3,0),"")</f>
        <v>국내</v>
      </c>
      <c r="D62" s="46" t="str">
        <f>IFERROR(VLOOKUP($H62,매장구분!$B:$Z,5,0),"")</f>
        <v>대리점</v>
      </c>
      <c r="E62" s="46" t="str">
        <f>IFERROR(VLOOKUP($H62,매장구분!$B:$Z,9,0),"")</f>
        <v>서귀포(대-위)</v>
      </c>
      <c r="F62" s="58"/>
      <c r="G62" s="59" t="s">
        <v>313</v>
      </c>
      <c r="H62" s="60" t="s">
        <v>314</v>
      </c>
      <c r="I62" s="60" t="s">
        <v>169</v>
      </c>
      <c r="J62" s="60" t="s">
        <v>79</v>
      </c>
      <c r="K62" s="60" t="s">
        <v>170</v>
      </c>
      <c r="L62" s="60" t="s">
        <v>171</v>
      </c>
      <c r="M62" s="60" t="s">
        <v>196</v>
      </c>
      <c r="N62" s="60" t="s">
        <v>197</v>
      </c>
      <c r="O62" s="60">
        <v>30671826</v>
      </c>
      <c r="P62" s="60">
        <v>373</v>
      </c>
      <c r="Q62" s="60">
        <v>0</v>
      </c>
      <c r="R62" s="60">
        <v>0</v>
      </c>
      <c r="S62" s="60">
        <v>0</v>
      </c>
      <c r="T62" s="60">
        <v>0</v>
      </c>
      <c r="U62" s="60">
        <v>12493600</v>
      </c>
      <c r="V62" s="60">
        <v>78</v>
      </c>
      <c r="W62" s="60">
        <v>0</v>
      </c>
      <c r="X62" s="60">
        <v>0</v>
      </c>
      <c r="Y62" s="61">
        <v>0</v>
      </c>
      <c r="Z62" s="60">
        <v>0</v>
      </c>
      <c r="AA62" s="60">
        <v>0</v>
      </c>
      <c r="AB62" s="60">
        <v>0</v>
      </c>
      <c r="AC62" s="60">
        <v>43165426</v>
      </c>
      <c r="AD62" s="62">
        <v>451</v>
      </c>
      <c r="AF62" s="47">
        <f t="shared" si="0"/>
        <v>43165426</v>
      </c>
    </row>
    <row r="63" spans="2:32" x14ac:dyDescent="0.3">
      <c r="B63" s="46" t="str">
        <f>IFERROR(VLOOKUP($H63,매장구분!$B:$Z,2,0),"")</f>
        <v>리테일채널팀</v>
      </c>
      <c r="C63" s="46" t="str">
        <f>IFERROR(VLOOKUP($H63,매장구분!$B:$Z,3,0),"")</f>
        <v>국내</v>
      </c>
      <c r="D63" s="46" t="str">
        <f>IFERROR(VLOOKUP($H63,매장구분!$B:$Z,5,0),"")</f>
        <v>대리점</v>
      </c>
      <c r="E63" s="46" t="str">
        <f>IFERROR(VLOOKUP($H63,매장구분!$B:$Z,9,0),"")</f>
        <v>안성(대-위)</v>
      </c>
      <c r="F63" s="53"/>
      <c r="G63" s="54" t="s">
        <v>309</v>
      </c>
      <c r="H63" s="55" t="s">
        <v>310</v>
      </c>
      <c r="I63" s="55" t="s">
        <v>169</v>
      </c>
      <c r="J63" s="55" t="s">
        <v>79</v>
      </c>
      <c r="K63" s="55" t="s">
        <v>170</v>
      </c>
      <c r="L63" s="55" t="s">
        <v>171</v>
      </c>
      <c r="M63" s="55" t="s">
        <v>196</v>
      </c>
      <c r="N63" s="55" t="s">
        <v>197</v>
      </c>
      <c r="O63" s="55">
        <v>86761191</v>
      </c>
      <c r="P63" s="55">
        <v>807</v>
      </c>
      <c r="Q63" s="55">
        <v>0</v>
      </c>
      <c r="R63" s="55">
        <v>0</v>
      </c>
      <c r="S63" s="55">
        <v>0</v>
      </c>
      <c r="T63" s="55">
        <v>0</v>
      </c>
      <c r="U63" s="55">
        <v>1673200</v>
      </c>
      <c r="V63" s="55">
        <v>11</v>
      </c>
      <c r="W63" s="55">
        <v>0</v>
      </c>
      <c r="X63" s="55">
        <v>0</v>
      </c>
      <c r="Y63" s="56">
        <v>0</v>
      </c>
      <c r="Z63" s="55">
        <v>0</v>
      </c>
      <c r="AA63" s="55">
        <v>0</v>
      </c>
      <c r="AB63" s="55">
        <v>0</v>
      </c>
      <c r="AC63" s="55">
        <v>88434391</v>
      </c>
      <c r="AD63" s="57">
        <v>818</v>
      </c>
      <c r="AF63" s="47">
        <f t="shared" si="0"/>
        <v>88434391</v>
      </c>
    </row>
    <row r="64" spans="2:32" x14ac:dyDescent="0.3">
      <c r="B64" s="46" t="str">
        <f>IFERROR(VLOOKUP($H64,매장구분!$B:$Z,2,0),"")</f>
        <v>파트너채널팀</v>
      </c>
      <c r="C64" s="46" t="str">
        <f>IFERROR(VLOOKUP($H64,매장구분!$B:$Z,3,0),"")</f>
        <v>국내</v>
      </c>
      <c r="D64" s="46" t="str">
        <f>IFERROR(VLOOKUP($H64,매장구분!$B:$Z,5,0),"")</f>
        <v>백화점</v>
      </c>
      <c r="E64" s="46" t="str">
        <f>IFERROR(VLOOKUP($H64,매장구분!$B:$Z,9,0),"")</f>
        <v>현대천호</v>
      </c>
      <c r="F64" s="58"/>
      <c r="G64" s="59" t="s">
        <v>305</v>
      </c>
      <c r="H64" s="60" t="s">
        <v>306</v>
      </c>
      <c r="I64" s="60" t="s">
        <v>169</v>
      </c>
      <c r="J64" s="60" t="s">
        <v>175</v>
      </c>
      <c r="K64" s="60" t="s">
        <v>170</v>
      </c>
      <c r="L64" s="60" t="s">
        <v>171</v>
      </c>
      <c r="M64" s="60" t="s">
        <v>77</v>
      </c>
      <c r="N64" s="60" t="s">
        <v>172</v>
      </c>
      <c r="O64" s="60">
        <v>27103800</v>
      </c>
      <c r="P64" s="60">
        <v>300</v>
      </c>
      <c r="Q64" s="60">
        <v>8085000</v>
      </c>
      <c r="R64" s="60">
        <v>63</v>
      </c>
      <c r="S64" s="60">
        <v>0</v>
      </c>
      <c r="T64" s="60">
        <v>0</v>
      </c>
      <c r="U64" s="60">
        <v>3518900</v>
      </c>
      <c r="V64" s="60">
        <v>26</v>
      </c>
      <c r="W64" s="60">
        <v>0</v>
      </c>
      <c r="X64" s="60">
        <v>0</v>
      </c>
      <c r="Y64" s="61">
        <v>31211100</v>
      </c>
      <c r="Z64" s="60">
        <v>268</v>
      </c>
      <c r="AA64" s="60">
        <v>0</v>
      </c>
      <c r="AB64" s="60">
        <v>0</v>
      </c>
      <c r="AC64" s="60">
        <v>69918800</v>
      </c>
      <c r="AD64" s="62">
        <v>657</v>
      </c>
      <c r="AF64" s="47">
        <f t="shared" si="0"/>
        <v>38707700</v>
      </c>
    </row>
    <row r="65" spans="2:32" x14ac:dyDescent="0.3">
      <c r="B65" s="46" t="str">
        <f>IFERROR(VLOOKUP($H65,매장구분!$B:$Z,2,0),"")</f>
        <v>리테일채널팀</v>
      </c>
      <c r="C65" s="46" t="str">
        <f>IFERROR(VLOOKUP($H65,매장구분!$B:$Z,3,0),"")</f>
        <v>국내</v>
      </c>
      <c r="D65" s="46" t="str">
        <f>IFERROR(VLOOKUP($H65,매장구분!$B:$Z,5,0),"")</f>
        <v>대리점</v>
      </c>
      <c r="E65" s="46" t="str">
        <f>IFERROR(VLOOKUP($H65,매장구분!$B:$Z,9,0),"")</f>
        <v>나주(대-위)</v>
      </c>
      <c r="F65" s="53"/>
      <c r="G65" s="54" t="s">
        <v>324</v>
      </c>
      <c r="H65" s="55" t="s">
        <v>325</v>
      </c>
      <c r="I65" s="55" t="s">
        <v>169</v>
      </c>
      <c r="J65" s="55" t="s">
        <v>79</v>
      </c>
      <c r="K65" s="55" t="s">
        <v>170</v>
      </c>
      <c r="L65" s="55" t="s">
        <v>171</v>
      </c>
      <c r="M65" s="55" t="s">
        <v>196</v>
      </c>
      <c r="N65" s="55" t="s">
        <v>197</v>
      </c>
      <c r="O65" s="55">
        <v>46389903</v>
      </c>
      <c r="P65" s="55">
        <v>433</v>
      </c>
      <c r="Q65" s="55">
        <v>0</v>
      </c>
      <c r="R65" s="55">
        <v>0</v>
      </c>
      <c r="S65" s="55">
        <v>0</v>
      </c>
      <c r="T65" s="55">
        <v>0</v>
      </c>
      <c r="U65" s="55">
        <v>6798502</v>
      </c>
      <c r="V65" s="55">
        <v>46</v>
      </c>
      <c r="W65" s="55">
        <v>0</v>
      </c>
      <c r="X65" s="55">
        <v>0</v>
      </c>
      <c r="Y65" s="56">
        <v>0</v>
      </c>
      <c r="Z65" s="55">
        <v>0</v>
      </c>
      <c r="AA65" s="55">
        <v>0</v>
      </c>
      <c r="AB65" s="55">
        <v>0</v>
      </c>
      <c r="AC65" s="55">
        <v>53188405</v>
      </c>
      <c r="AD65" s="57">
        <v>479</v>
      </c>
      <c r="AF65" s="47">
        <f t="shared" si="0"/>
        <v>53188405</v>
      </c>
    </row>
    <row r="66" spans="2:32" x14ac:dyDescent="0.3">
      <c r="B66" s="46" t="str">
        <f>IFERROR(VLOOKUP($H66,매장구분!$B:$Z,2,0),"")</f>
        <v>파트너채널팀</v>
      </c>
      <c r="C66" s="46" t="str">
        <f>IFERROR(VLOOKUP($H66,매장구분!$B:$Z,3,0),"")</f>
        <v>국내</v>
      </c>
      <c r="D66" s="46" t="str">
        <f>IFERROR(VLOOKUP($H66,매장구분!$B:$Z,5,0),"")</f>
        <v>백화점</v>
      </c>
      <c r="E66" s="46" t="str">
        <f>IFERROR(VLOOKUP($H66,매장구분!$B:$Z,9,0),"")</f>
        <v>현대신촌</v>
      </c>
      <c r="F66" s="58"/>
      <c r="G66" s="59" t="s">
        <v>297</v>
      </c>
      <c r="H66" s="60" t="s">
        <v>298</v>
      </c>
      <c r="I66" s="60" t="s">
        <v>169</v>
      </c>
      <c r="J66" s="60" t="s">
        <v>175</v>
      </c>
      <c r="K66" s="60" t="s">
        <v>170</v>
      </c>
      <c r="L66" s="60" t="s">
        <v>171</v>
      </c>
      <c r="M66" s="60" t="s">
        <v>77</v>
      </c>
      <c r="N66" s="60" t="s">
        <v>172</v>
      </c>
      <c r="O66" s="60">
        <v>31846300</v>
      </c>
      <c r="P66" s="60">
        <v>402</v>
      </c>
      <c r="Q66" s="60">
        <v>3550000</v>
      </c>
      <c r="R66" s="60">
        <v>97</v>
      </c>
      <c r="S66" s="60">
        <v>0</v>
      </c>
      <c r="T66" s="60">
        <v>0</v>
      </c>
      <c r="U66" s="60">
        <v>2373400</v>
      </c>
      <c r="V66" s="60">
        <v>18</v>
      </c>
      <c r="W66" s="60">
        <v>0</v>
      </c>
      <c r="X66" s="60">
        <v>0</v>
      </c>
      <c r="Y66" s="61">
        <v>71541600</v>
      </c>
      <c r="Z66" s="60">
        <v>415</v>
      </c>
      <c r="AA66" s="60">
        <v>0</v>
      </c>
      <c r="AB66" s="60">
        <v>0</v>
      </c>
      <c r="AC66" s="60">
        <v>109311300</v>
      </c>
      <c r="AD66" s="62">
        <v>932</v>
      </c>
      <c r="AF66" s="47">
        <f t="shared" si="0"/>
        <v>37769700</v>
      </c>
    </row>
    <row r="67" spans="2:32" x14ac:dyDescent="0.3">
      <c r="B67" s="46" t="str">
        <f>IFERROR(VLOOKUP($H67,매장구분!$B:$Z,2,0),"")</f>
        <v>리테일채널팀</v>
      </c>
      <c r="C67" s="46" t="str">
        <f>IFERROR(VLOOKUP($H67,매장구분!$B:$Z,3,0),"")</f>
        <v>국내</v>
      </c>
      <c r="D67" s="46" t="str">
        <f>IFERROR(VLOOKUP($H67,매장구분!$B:$Z,5,0),"")</f>
        <v>대리점</v>
      </c>
      <c r="E67" s="46" t="str">
        <f>IFERROR(VLOOKUP($H67,매장구분!$B:$Z,9,0),"")</f>
        <v>전주중앙(대-위)</v>
      </c>
      <c r="F67" s="53"/>
      <c r="G67" s="54" t="s">
        <v>293</v>
      </c>
      <c r="H67" s="55" t="s">
        <v>294</v>
      </c>
      <c r="I67" s="55" t="s">
        <v>169</v>
      </c>
      <c r="J67" s="55" t="s">
        <v>79</v>
      </c>
      <c r="K67" s="55" t="s">
        <v>170</v>
      </c>
      <c r="L67" s="55" t="s">
        <v>171</v>
      </c>
      <c r="M67" s="55" t="s">
        <v>196</v>
      </c>
      <c r="N67" s="55" t="s">
        <v>197</v>
      </c>
      <c r="O67" s="55">
        <v>50842420</v>
      </c>
      <c r="P67" s="55">
        <v>468</v>
      </c>
      <c r="Q67" s="55">
        <v>0</v>
      </c>
      <c r="R67" s="55">
        <v>0</v>
      </c>
      <c r="S67" s="55">
        <v>0</v>
      </c>
      <c r="T67" s="55">
        <v>0</v>
      </c>
      <c r="U67" s="55">
        <v>3238880</v>
      </c>
      <c r="V67" s="55">
        <v>20</v>
      </c>
      <c r="W67" s="55">
        <v>0</v>
      </c>
      <c r="X67" s="55">
        <v>0</v>
      </c>
      <c r="Y67" s="56">
        <v>0</v>
      </c>
      <c r="Z67" s="55">
        <v>0</v>
      </c>
      <c r="AA67" s="55">
        <v>0</v>
      </c>
      <c r="AB67" s="55">
        <v>0</v>
      </c>
      <c r="AC67" s="55">
        <v>54081300</v>
      </c>
      <c r="AD67" s="57">
        <v>488</v>
      </c>
      <c r="AF67" s="47">
        <f t="shared" ref="AF67:AF130" si="1">IFERROR(AC67-Y67,"")</f>
        <v>54081300</v>
      </c>
    </row>
    <row r="68" spans="2:32" x14ac:dyDescent="0.3">
      <c r="B68" s="46" t="str">
        <f>IFERROR(VLOOKUP($H68,매장구분!$B:$Z,2,0),"")</f>
        <v>리테일채널팀</v>
      </c>
      <c r="C68" s="46" t="str">
        <f>IFERROR(VLOOKUP($H68,매장구분!$B:$Z,3,0),"")</f>
        <v>국내</v>
      </c>
      <c r="D68" s="46" t="str">
        <f>IFERROR(VLOOKUP($H68,매장구분!$B:$Z,5,0),"")</f>
        <v>대리점</v>
      </c>
      <c r="E68" s="46" t="str">
        <f>IFERROR(VLOOKUP($H68,매장구분!$B:$Z,9,0),"")</f>
        <v>안산중앙(대-위)</v>
      </c>
      <c r="F68" s="58"/>
      <c r="G68" s="59" t="s">
        <v>307</v>
      </c>
      <c r="H68" s="60" t="s">
        <v>308</v>
      </c>
      <c r="I68" s="60" t="s">
        <v>169</v>
      </c>
      <c r="J68" s="60" t="s">
        <v>79</v>
      </c>
      <c r="K68" s="60" t="s">
        <v>170</v>
      </c>
      <c r="L68" s="60" t="s">
        <v>171</v>
      </c>
      <c r="M68" s="60" t="s">
        <v>196</v>
      </c>
      <c r="N68" s="60" t="s">
        <v>197</v>
      </c>
      <c r="O68" s="60">
        <v>60230981</v>
      </c>
      <c r="P68" s="60">
        <v>523</v>
      </c>
      <c r="Q68" s="60">
        <v>0</v>
      </c>
      <c r="R68" s="60">
        <v>0</v>
      </c>
      <c r="S68" s="60">
        <v>0</v>
      </c>
      <c r="T68" s="60">
        <v>0</v>
      </c>
      <c r="U68" s="60">
        <v>2468453</v>
      </c>
      <c r="V68" s="60">
        <v>12</v>
      </c>
      <c r="W68" s="60">
        <v>0</v>
      </c>
      <c r="X68" s="60">
        <v>0</v>
      </c>
      <c r="Y68" s="61">
        <v>37290000</v>
      </c>
      <c r="Z68" s="60">
        <v>260</v>
      </c>
      <c r="AA68" s="60">
        <v>0</v>
      </c>
      <c r="AB68" s="60">
        <v>0</v>
      </c>
      <c r="AC68" s="60">
        <v>99989434</v>
      </c>
      <c r="AD68" s="62">
        <v>795</v>
      </c>
      <c r="AF68" s="47">
        <f t="shared" si="1"/>
        <v>62699434</v>
      </c>
    </row>
    <row r="69" spans="2:32" x14ac:dyDescent="0.3">
      <c r="B69" s="46" t="str">
        <f>IFERROR(VLOOKUP($H69,매장구분!$B:$Z,2,0),"")</f>
        <v>파트너채널팀</v>
      </c>
      <c r="C69" s="46" t="str">
        <f>IFERROR(VLOOKUP($H69,매장구분!$B:$Z,3,0),"")</f>
        <v>국내</v>
      </c>
      <c r="D69" s="46" t="str">
        <f>IFERROR(VLOOKUP($H69,매장구분!$B:$Z,5,0),"")</f>
        <v>백화점</v>
      </c>
      <c r="E69" s="46" t="str">
        <f>IFERROR(VLOOKUP($H69,매장구분!$B:$Z,9,0),"")</f>
        <v>AK분당</v>
      </c>
      <c r="F69" s="53"/>
      <c r="G69" s="54" t="s">
        <v>582</v>
      </c>
      <c r="H69" s="55" t="s">
        <v>583</v>
      </c>
      <c r="I69" s="55" t="s">
        <v>169</v>
      </c>
      <c r="J69" s="55" t="s">
        <v>175</v>
      </c>
      <c r="K69" s="55" t="s">
        <v>170</v>
      </c>
      <c r="L69" s="55" t="s">
        <v>171</v>
      </c>
      <c r="M69" s="55" t="s">
        <v>77</v>
      </c>
      <c r="N69" s="55" t="s">
        <v>172</v>
      </c>
      <c r="O69" s="55">
        <v>36364800</v>
      </c>
      <c r="P69" s="55">
        <v>237</v>
      </c>
      <c r="Q69" s="55">
        <v>129000</v>
      </c>
      <c r="R69" s="55">
        <v>1</v>
      </c>
      <c r="S69" s="55">
        <v>0</v>
      </c>
      <c r="T69" s="55">
        <v>0</v>
      </c>
      <c r="U69" s="55">
        <v>1396200</v>
      </c>
      <c r="V69" s="55">
        <v>10</v>
      </c>
      <c r="W69" s="55">
        <v>0</v>
      </c>
      <c r="X69" s="55">
        <v>0</v>
      </c>
      <c r="Y69" s="56">
        <v>5643000</v>
      </c>
      <c r="Z69" s="55">
        <v>51</v>
      </c>
      <c r="AA69" s="55">
        <v>0</v>
      </c>
      <c r="AB69" s="55">
        <v>0</v>
      </c>
      <c r="AC69" s="55">
        <v>43533000</v>
      </c>
      <c r="AD69" s="57">
        <v>299</v>
      </c>
      <c r="AF69" s="47">
        <f t="shared" si="1"/>
        <v>37890000</v>
      </c>
    </row>
    <row r="70" spans="2:32" x14ac:dyDescent="0.3">
      <c r="B70" s="46" t="str">
        <f>IFERROR(VLOOKUP($H70,매장구분!$B:$Z,2,0),"")</f>
        <v>리테일채널팀</v>
      </c>
      <c r="C70" s="46" t="str">
        <f>IFERROR(VLOOKUP($H70,매장구분!$B:$Z,3,0),"")</f>
        <v>국내</v>
      </c>
      <c r="D70" s="46" t="str">
        <f>IFERROR(VLOOKUP($H70,매장구분!$B:$Z,5,0),"")</f>
        <v>대리점</v>
      </c>
      <c r="E70" s="46" t="str">
        <f>IFERROR(VLOOKUP($H70,매장구분!$B:$Z,9,0),"")</f>
        <v>춘천(대-위)</v>
      </c>
      <c r="F70" s="58"/>
      <c r="G70" s="59" t="s">
        <v>320</v>
      </c>
      <c r="H70" s="60" t="s">
        <v>321</v>
      </c>
      <c r="I70" s="60" t="s">
        <v>169</v>
      </c>
      <c r="J70" s="60" t="s">
        <v>79</v>
      </c>
      <c r="K70" s="60" t="s">
        <v>170</v>
      </c>
      <c r="L70" s="60" t="s">
        <v>171</v>
      </c>
      <c r="M70" s="60" t="s">
        <v>196</v>
      </c>
      <c r="N70" s="60" t="s">
        <v>197</v>
      </c>
      <c r="O70" s="60">
        <v>51470586</v>
      </c>
      <c r="P70" s="60">
        <v>600</v>
      </c>
      <c r="Q70" s="60">
        <v>0</v>
      </c>
      <c r="R70" s="60">
        <v>0</v>
      </c>
      <c r="S70" s="60">
        <v>0</v>
      </c>
      <c r="T70" s="60">
        <v>0</v>
      </c>
      <c r="U70" s="60">
        <v>1913056</v>
      </c>
      <c r="V70" s="60">
        <v>12</v>
      </c>
      <c r="W70" s="60">
        <v>0</v>
      </c>
      <c r="X70" s="60">
        <v>0</v>
      </c>
      <c r="Y70" s="61">
        <v>0</v>
      </c>
      <c r="Z70" s="60">
        <v>0</v>
      </c>
      <c r="AA70" s="60">
        <v>0</v>
      </c>
      <c r="AB70" s="60">
        <v>0</v>
      </c>
      <c r="AC70" s="60">
        <v>53383642</v>
      </c>
      <c r="AD70" s="62">
        <v>612</v>
      </c>
      <c r="AF70" s="47">
        <f t="shared" si="1"/>
        <v>53383642</v>
      </c>
    </row>
    <row r="71" spans="2:32" x14ac:dyDescent="0.3">
      <c r="B71" s="46" t="str">
        <f>IFERROR(VLOOKUP($H71,매장구분!$B:$Z,2,0),"")</f>
        <v>리테일채널팀</v>
      </c>
      <c r="C71" s="46" t="str">
        <f>IFERROR(VLOOKUP($H71,매장구분!$B:$Z,3,0),"")</f>
        <v>국내</v>
      </c>
      <c r="D71" s="46" t="str">
        <f>IFERROR(VLOOKUP($H71,매장구분!$B:$Z,5,0),"")</f>
        <v>대리점</v>
      </c>
      <c r="E71" s="46" t="str">
        <f>IFERROR(VLOOKUP($H71,매장구분!$B:$Z,9,0),"")</f>
        <v>일산덕이(대-위)</v>
      </c>
      <c r="F71" s="53"/>
      <c r="G71" s="54" t="s">
        <v>580</v>
      </c>
      <c r="H71" s="55" t="s">
        <v>581</v>
      </c>
      <c r="I71" s="55" t="s">
        <v>169</v>
      </c>
      <c r="J71" s="55" t="s">
        <v>79</v>
      </c>
      <c r="K71" s="55" t="s">
        <v>170</v>
      </c>
      <c r="L71" s="55" t="s">
        <v>171</v>
      </c>
      <c r="M71" s="55" t="s">
        <v>196</v>
      </c>
      <c r="N71" s="55" t="s">
        <v>197</v>
      </c>
      <c r="O71" s="55">
        <v>20424949</v>
      </c>
      <c r="P71" s="55">
        <v>162</v>
      </c>
      <c r="Q71" s="55">
        <v>0</v>
      </c>
      <c r="R71" s="55">
        <v>0</v>
      </c>
      <c r="S71" s="55">
        <v>0</v>
      </c>
      <c r="T71" s="55">
        <v>0</v>
      </c>
      <c r="U71" s="55">
        <v>1119300</v>
      </c>
      <c r="V71" s="55">
        <v>7</v>
      </c>
      <c r="W71" s="55">
        <v>0</v>
      </c>
      <c r="X71" s="55">
        <v>0</v>
      </c>
      <c r="Y71" s="56">
        <v>0</v>
      </c>
      <c r="Z71" s="55">
        <v>0</v>
      </c>
      <c r="AA71" s="55">
        <v>0</v>
      </c>
      <c r="AB71" s="55">
        <v>0</v>
      </c>
      <c r="AC71" s="55">
        <v>21544249</v>
      </c>
      <c r="AD71" s="57">
        <v>169</v>
      </c>
      <c r="AF71" s="47">
        <f t="shared" si="1"/>
        <v>21544249</v>
      </c>
    </row>
    <row r="72" spans="2:32" x14ac:dyDescent="0.3">
      <c r="B72" s="46" t="str">
        <f>IFERROR(VLOOKUP($H72,매장구분!$B:$Z,2,0),"")</f>
        <v>파트너채널팀</v>
      </c>
      <c r="C72" s="46" t="str">
        <f>IFERROR(VLOOKUP($H72,매장구분!$B:$Z,3,0),"")</f>
        <v>면세</v>
      </c>
      <c r="D72" s="46" t="str">
        <f>IFERROR(VLOOKUP($H72,매장구분!$B:$Z,5,0),"")</f>
        <v>면세</v>
      </c>
      <c r="E72" s="46" t="str">
        <f>IFERROR(VLOOKUP($H72,매장구분!$B:$Z,9,0),"")</f>
        <v>신라면세장충</v>
      </c>
      <c r="F72" s="58"/>
      <c r="G72" s="59" t="s">
        <v>299</v>
      </c>
      <c r="H72" s="60" t="s">
        <v>300</v>
      </c>
      <c r="I72" s="60" t="s">
        <v>169</v>
      </c>
      <c r="J72" s="60" t="s">
        <v>175</v>
      </c>
      <c r="K72" s="60" t="s">
        <v>170</v>
      </c>
      <c r="L72" s="60" t="s">
        <v>171</v>
      </c>
      <c r="M72" s="60" t="s">
        <v>176</v>
      </c>
      <c r="N72" s="60" t="s">
        <v>177</v>
      </c>
      <c r="O72" s="60">
        <v>424342000</v>
      </c>
      <c r="P72" s="60">
        <v>4009</v>
      </c>
      <c r="Q72" s="60">
        <v>0</v>
      </c>
      <c r="R72" s="60">
        <v>0</v>
      </c>
      <c r="S72" s="60">
        <v>0</v>
      </c>
      <c r="T72" s="60">
        <v>0</v>
      </c>
      <c r="U72" s="60">
        <v>0</v>
      </c>
      <c r="V72" s="60">
        <v>0</v>
      </c>
      <c r="W72" s="60">
        <v>0</v>
      </c>
      <c r="X72" s="60">
        <v>0</v>
      </c>
      <c r="Y72" s="61">
        <v>1228248100</v>
      </c>
      <c r="Z72" s="60">
        <v>25092</v>
      </c>
      <c r="AA72" s="60">
        <v>0</v>
      </c>
      <c r="AB72" s="60">
        <v>0</v>
      </c>
      <c r="AC72" s="60">
        <v>1652590100</v>
      </c>
      <c r="AD72" s="62">
        <v>29101</v>
      </c>
      <c r="AF72" s="47">
        <f t="shared" si="1"/>
        <v>424342000</v>
      </c>
    </row>
    <row r="73" spans="2:32" x14ac:dyDescent="0.3">
      <c r="B73" s="46" t="str">
        <f>IFERROR(VLOOKUP($H73,매장구분!$B:$Z,2,0),"")</f>
        <v>리테일채널팀</v>
      </c>
      <c r="C73" s="46" t="str">
        <f>IFERROR(VLOOKUP($H73,매장구분!$B:$Z,3,0),"")</f>
        <v>RF</v>
      </c>
      <c r="D73" s="46" t="str">
        <f>IFERROR(VLOOKUP($H73,매장구분!$B:$Z,5,0),"")</f>
        <v>대리점</v>
      </c>
      <c r="E73" s="46" t="str">
        <f>IFERROR(VLOOKUP($H73,매장구분!$B:$Z,9,0),"")</f>
        <v>부산광복(대-위)</v>
      </c>
      <c r="F73" s="53"/>
      <c r="G73" s="54" t="s">
        <v>326</v>
      </c>
      <c r="H73" s="55" t="s">
        <v>327</v>
      </c>
      <c r="I73" s="55" t="s">
        <v>169</v>
      </c>
      <c r="J73" s="55" t="s">
        <v>79</v>
      </c>
      <c r="K73" s="55" t="s">
        <v>170</v>
      </c>
      <c r="L73" s="55" t="s">
        <v>171</v>
      </c>
      <c r="M73" s="55" t="s">
        <v>196</v>
      </c>
      <c r="N73" s="55" t="s">
        <v>197</v>
      </c>
      <c r="O73" s="55">
        <v>23438100</v>
      </c>
      <c r="P73" s="55">
        <v>435</v>
      </c>
      <c r="Q73" s="55">
        <v>0</v>
      </c>
      <c r="R73" s="55">
        <v>0</v>
      </c>
      <c r="S73" s="55">
        <v>0</v>
      </c>
      <c r="T73" s="55">
        <v>0</v>
      </c>
      <c r="U73" s="55">
        <v>11655000</v>
      </c>
      <c r="V73" s="55">
        <v>109</v>
      </c>
      <c r="W73" s="55">
        <v>0</v>
      </c>
      <c r="X73" s="55">
        <v>0</v>
      </c>
      <c r="Y73" s="56">
        <v>100537600</v>
      </c>
      <c r="Z73" s="55">
        <v>925</v>
      </c>
      <c r="AA73" s="55">
        <v>0</v>
      </c>
      <c r="AB73" s="55">
        <v>0</v>
      </c>
      <c r="AC73" s="55">
        <v>135630700</v>
      </c>
      <c r="AD73" s="57">
        <v>1469</v>
      </c>
      <c r="AF73" s="47">
        <f t="shared" si="1"/>
        <v>35093100</v>
      </c>
    </row>
    <row r="74" spans="2:32" x14ac:dyDescent="0.3">
      <c r="B74" s="46" t="str">
        <f>IFERROR(VLOOKUP($H74,매장구분!$B:$Z,2,0),"")</f>
        <v>리테일채널팀</v>
      </c>
      <c r="C74" s="46" t="str">
        <f>IFERROR(VLOOKUP($H74,매장구분!$B:$Z,3,0),"")</f>
        <v>국내</v>
      </c>
      <c r="D74" s="46" t="str">
        <f>IFERROR(VLOOKUP($H74,매장구분!$B:$Z,5,0),"")</f>
        <v>대리점</v>
      </c>
      <c r="E74" s="46" t="str">
        <f>IFERROR(VLOOKUP($H74,매장구분!$B:$Z,9,0),"")</f>
        <v>안산한대(대-위)</v>
      </c>
      <c r="F74" s="58"/>
      <c r="G74" s="59" t="s">
        <v>295</v>
      </c>
      <c r="H74" s="60" t="s">
        <v>296</v>
      </c>
      <c r="I74" s="60" t="s">
        <v>169</v>
      </c>
      <c r="J74" s="60" t="s">
        <v>79</v>
      </c>
      <c r="K74" s="60" t="s">
        <v>170</v>
      </c>
      <c r="L74" s="60" t="s">
        <v>171</v>
      </c>
      <c r="M74" s="60" t="s">
        <v>196</v>
      </c>
      <c r="N74" s="60" t="s">
        <v>197</v>
      </c>
      <c r="O74" s="60">
        <v>55927518</v>
      </c>
      <c r="P74" s="60">
        <v>488</v>
      </c>
      <c r="Q74" s="60">
        <v>0</v>
      </c>
      <c r="R74" s="60">
        <v>0</v>
      </c>
      <c r="S74" s="60">
        <v>0</v>
      </c>
      <c r="T74" s="60">
        <v>0</v>
      </c>
      <c r="U74" s="60">
        <v>6308186</v>
      </c>
      <c r="V74" s="60">
        <v>37</v>
      </c>
      <c r="W74" s="60">
        <v>0</v>
      </c>
      <c r="X74" s="60">
        <v>0</v>
      </c>
      <c r="Y74" s="61">
        <v>0</v>
      </c>
      <c r="Z74" s="60">
        <v>0</v>
      </c>
      <c r="AA74" s="60">
        <v>0</v>
      </c>
      <c r="AB74" s="60">
        <v>0</v>
      </c>
      <c r="AC74" s="60">
        <v>62235704</v>
      </c>
      <c r="AD74" s="62">
        <v>525</v>
      </c>
      <c r="AF74" s="47">
        <f t="shared" si="1"/>
        <v>62235704</v>
      </c>
    </row>
    <row r="75" spans="2:32" x14ac:dyDescent="0.3">
      <c r="B75" s="46" t="str">
        <f>IFERROR(VLOOKUP($H75,매장구분!$B:$Z,2,0),"")</f>
        <v>리테일채널팀</v>
      </c>
      <c r="C75" s="46" t="str">
        <f>IFERROR(VLOOKUP($H75,매장구분!$B:$Z,3,0),"")</f>
        <v>국내</v>
      </c>
      <c r="D75" s="46" t="str">
        <f>IFERROR(VLOOKUP($H75,매장구분!$B:$Z,5,0),"")</f>
        <v>대리점</v>
      </c>
      <c r="E75" s="46" t="str">
        <f>IFERROR(VLOOKUP($H75,매장구분!$B:$Z,9,0),"")</f>
        <v>포천(대-위)</v>
      </c>
      <c r="F75" s="53"/>
      <c r="G75" s="54" t="s">
        <v>289</v>
      </c>
      <c r="H75" s="55" t="s">
        <v>290</v>
      </c>
      <c r="I75" s="55" t="s">
        <v>169</v>
      </c>
      <c r="J75" s="55" t="s">
        <v>79</v>
      </c>
      <c r="K75" s="55" t="s">
        <v>170</v>
      </c>
      <c r="L75" s="55" t="s">
        <v>171</v>
      </c>
      <c r="M75" s="55" t="s">
        <v>196</v>
      </c>
      <c r="N75" s="55" t="s">
        <v>197</v>
      </c>
      <c r="O75" s="55">
        <v>27117500</v>
      </c>
      <c r="P75" s="55">
        <v>243</v>
      </c>
      <c r="Q75" s="55">
        <v>0</v>
      </c>
      <c r="R75" s="55">
        <v>0</v>
      </c>
      <c r="S75" s="55">
        <v>0</v>
      </c>
      <c r="T75" s="55">
        <v>0</v>
      </c>
      <c r="U75" s="55">
        <v>1574400</v>
      </c>
      <c r="V75" s="55">
        <v>12</v>
      </c>
      <c r="W75" s="55">
        <v>0</v>
      </c>
      <c r="X75" s="55">
        <v>0</v>
      </c>
      <c r="Y75" s="56">
        <v>0</v>
      </c>
      <c r="Z75" s="55">
        <v>0</v>
      </c>
      <c r="AA75" s="55">
        <v>0</v>
      </c>
      <c r="AB75" s="55">
        <v>0</v>
      </c>
      <c r="AC75" s="55">
        <v>28691900</v>
      </c>
      <c r="AD75" s="57">
        <v>255</v>
      </c>
      <c r="AF75" s="47">
        <f t="shared" si="1"/>
        <v>28691900</v>
      </c>
    </row>
    <row r="76" spans="2:32" x14ac:dyDescent="0.3">
      <c r="B76" s="46" t="str">
        <f>IFERROR(VLOOKUP($H76,매장구분!$B:$Z,2,0),"")</f>
        <v>리테일채널팀</v>
      </c>
      <c r="C76" s="46" t="str">
        <f>IFERROR(VLOOKUP($H76,매장구분!$B:$Z,3,0),"")</f>
        <v>국내</v>
      </c>
      <c r="D76" s="46" t="str">
        <f>IFERROR(VLOOKUP($H76,매장구분!$B:$Z,5,0),"")</f>
        <v>대리점</v>
      </c>
      <c r="E76" s="46" t="str">
        <f>IFERROR(VLOOKUP($H76,매장구분!$B:$Z,9,0),"")</f>
        <v>정읍(대-위)</v>
      </c>
      <c r="F76" s="58"/>
      <c r="G76" s="59" t="s">
        <v>318</v>
      </c>
      <c r="H76" s="60" t="s">
        <v>319</v>
      </c>
      <c r="I76" s="60" t="s">
        <v>169</v>
      </c>
      <c r="J76" s="60" t="s">
        <v>79</v>
      </c>
      <c r="K76" s="60" t="s">
        <v>170</v>
      </c>
      <c r="L76" s="60" t="s">
        <v>171</v>
      </c>
      <c r="M76" s="60" t="s">
        <v>196</v>
      </c>
      <c r="N76" s="60" t="s">
        <v>197</v>
      </c>
      <c r="O76" s="60">
        <v>27883880</v>
      </c>
      <c r="P76" s="60">
        <v>274</v>
      </c>
      <c r="Q76" s="60">
        <v>0</v>
      </c>
      <c r="R76" s="60">
        <v>0</v>
      </c>
      <c r="S76" s="60">
        <v>0</v>
      </c>
      <c r="T76" s="60">
        <v>0</v>
      </c>
      <c r="U76" s="60">
        <v>2361100</v>
      </c>
      <c r="V76" s="60">
        <v>15</v>
      </c>
      <c r="W76" s="60">
        <v>0</v>
      </c>
      <c r="X76" s="60">
        <v>0</v>
      </c>
      <c r="Y76" s="61">
        <v>0</v>
      </c>
      <c r="Z76" s="60">
        <v>0</v>
      </c>
      <c r="AA76" s="60">
        <v>0</v>
      </c>
      <c r="AB76" s="60">
        <v>0</v>
      </c>
      <c r="AC76" s="60">
        <v>30244980</v>
      </c>
      <c r="AD76" s="62">
        <v>289</v>
      </c>
      <c r="AF76" s="47">
        <f t="shared" si="1"/>
        <v>30244980</v>
      </c>
    </row>
    <row r="77" spans="2:32" x14ac:dyDescent="0.3">
      <c r="B77" s="46" t="str">
        <f>IFERROR(VLOOKUP($H77,매장구분!$B:$Z,2,0),"")</f>
        <v>리테일채널팀</v>
      </c>
      <c r="C77" s="46" t="str">
        <f>IFERROR(VLOOKUP($H77,매장구분!$B:$Z,3,0),"")</f>
        <v>국내</v>
      </c>
      <c r="D77" s="46" t="str">
        <f>IFERROR(VLOOKUP($H77,매장구분!$B:$Z,5,0),"")</f>
        <v>대리점</v>
      </c>
      <c r="E77" s="46" t="str">
        <f>IFERROR(VLOOKUP($H77,매장구분!$B:$Z,9,0),"")</f>
        <v>제천(대-위)</v>
      </c>
      <c r="F77" s="53"/>
      <c r="G77" s="54" t="s">
        <v>311</v>
      </c>
      <c r="H77" s="55" t="s">
        <v>312</v>
      </c>
      <c r="I77" s="55" t="s">
        <v>169</v>
      </c>
      <c r="J77" s="55" t="s">
        <v>79</v>
      </c>
      <c r="K77" s="55" t="s">
        <v>170</v>
      </c>
      <c r="L77" s="55" t="s">
        <v>171</v>
      </c>
      <c r="M77" s="55" t="s">
        <v>196</v>
      </c>
      <c r="N77" s="55" t="s">
        <v>197</v>
      </c>
      <c r="O77" s="55">
        <v>33622310</v>
      </c>
      <c r="P77" s="55">
        <v>309</v>
      </c>
      <c r="Q77" s="55">
        <v>0</v>
      </c>
      <c r="R77" s="55">
        <v>0</v>
      </c>
      <c r="S77" s="55">
        <v>0</v>
      </c>
      <c r="T77" s="55">
        <v>0</v>
      </c>
      <c r="U77" s="55">
        <v>3008200</v>
      </c>
      <c r="V77" s="55">
        <v>13</v>
      </c>
      <c r="W77" s="55">
        <v>0</v>
      </c>
      <c r="X77" s="55">
        <v>0</v>
      </c>
      <c r="Y77" s="56">
        <v>7988400</v>
      </c>
      <c r="Z77" s="55">
        <v>84</v>
      </c>
      <c r="AA77" s="55">
        <v>0</v>
      </c>
      <c r="AB77" s="55">
        <v>0</v>
      </c>
      <c r="AC77" s="55">
        <v>44618910</v>
      </c>
      <c r="AD77" s="57">
        <v>406</v>
      </c>
      <c r="AF77" s="47">
        <f t="shared" si="1"/>
        <v>36630510</v>
      </c>
    </row>
    <row r="78" spans="2:32" x14ac:dyDescent="0.3">
      <c r="B78" s="46" t="str">
        <f>IFERROR(VLOOKUP($H78,매장구분!$B:$Z,2,0),"")</f>
        <v>리테일채널팀</v>
      </c>
      <c r="C78" s="46" t="str">
        <f>IFERROR(VLOOKUP($H78,매장구분!$B:$Z,3,0),"")</f>
        <v>국내</v>
      </c>
      <c r="D78" s="46" t="str">
        <f>IFERROR(VLOOKUP($H78,매장구분!$B:$Z,5,0),"")</f>
        <v>대리점</v>
      </c>
      <c r="E78" s="46" t="str">
        <f>IFERROR(VLOOKUP($H78,매장구분!$B:$Z,9,0),"")</f>
        <v>아이즈빌부평(대-위)</v>
      </c>
      <c r="F78" s="58"/>
      <c r="G78" s="59" t="s">
        <v>315</v>
      </c>
      <c r="H78" s="60" t="s">
        <v>316</v>
      </c>
      <c r="I78" s="60" t="s">
        <v>169</v>
      </c>
      <c r="J78" s="60" t="s">
        <v>79</v>
      </c>
      <c r="K78" s="60" t="s">
        <v>170</v>
      </c>
      <c r="L78" s="60" t="s">
        <v>171</v>
      </c>
      <c r="M78" s="60" t="s">
        <v>188</v>
      </c>
      <c r="N78" s="60" t="s">
        <v>317</v>
      </c>
      <c r="O78" s="60">
        <v>73767133</v>
      </c>
      <c r="P78" s="60">
        <v>575</v>
      </c>
      <c r="Q78" s="60">
        <v>0</v>
      </c>
      <c r="R78" s="60">
        <v>0</v>
      </c>
      <c r="S78" s="60">
        <v>0</v>
      </c>
      <c r="T78" s="60">
        <v>0</v>
      </c>
      <c r="U78" s="60">
        <v>3305617</v>
      </c>
      <c r="V78" s="60">
        <v>21</v>
      </c>
      <c r="W78" s="60">
        <v>0</v>
      </c>
      <c r="X78" s="60">
        <v>0</v>
      </c>
      <c r="Y78" s="61">
        <v>0</v>
      </c>
      <c r="Z78" s="60">
        <v>0</v>
      </c>
      <c r="AA78" s="60">
        <v>0</v>
      </c>
      <c r="AB78" s="60">
        <v>0</v>
      </c>
      <c r="AC78" s="60">
        <v>77072750</v>
      </c>
      <c r="AD78" s="62">
        <v>596</v>
      </c>
      <c r="AF78" s="47">
        <f t="shared" si="1"/>
        <v>77072750</v>
      </c>
    </row>
    <row r="79" spans="2:32" x14ac:dyDescent="0.3">
      <c r="B79" s="46" t="str">
        <f>IFERROR(VLOOKUP($H79,매장구분!$B:$Z,2,0),"")</f>
        <v>파트너채널팀</v>
      </c>
      <c r="C79" s="46" t="str">
        <f>IFERROR(VLOOKUP($H79,매장구분!$B:$Z,3,0),"")</f>
        <v>국내</v>
      </c>
      <c r="D79" s="46" t="str">
        <f>IFERROR(VLOOKUP($H79,매장구분!$B:$Z,5,0),"")</f>
        <v>백화점</v>
      </c>
      <c r="E79" s="46" t="str">
        <f>IFERROR(VLOOKUP($H79,매장구분!$B:$Z,9,0),"")</f>
        <v>에버세이브청주</v>
      </c>
      <c r="F79" s="53"/>
      <c r="G79" s="54" t="s">
        <v>328</v>
      </c>
      <c r="H79" s="55" t="s">
        <v>329</v>
      </c>
      <c r="I79" s="55" t="s">
        <v>169</v>
      </c>
      <c r="J79" s="55" t="s">
        <v>175</v>
      </c>
      <c r="K79" s="55" t="s">
        <v>170</v>
      </c>
      <c r="L79" s="55" t="s">
        <v>171</v>
      </c>
      <c r="M79" s="55" t="s">
        <v>77</v>
      </c>
      <c r="N79" s="55" t="s">
        <v>238</v>
      </c>
      <c r="O79" s="55">
        <v>42186813</v>
      </c>
      <c r="P79" s="55">
        <v>393</v>
      </c>
      <c r="Q79" s="55">
        <v>0</v>
      </c>
      <c r="R79" s="55">
        <v>0</v>
      </c>
      <c r="S79" s="55">
        <v>0</v>
      </c>
      <c r="T79" s="55">
        <v>0</v>
      </c>
      <c r="U79" s="55">
        <v>3888687</v>
      </c>
      <c r="V79" s="55">
        <v>21</v>
      </c>
      <c r="W79" s="55">
        <v>0</v>
      </c>
      <c r="X79" s="55">
        <v>0</v>
      </c>
      <c r="Y79" s="56">
        <v>0</v>
      </c>
      <c r="Z79" s="55">
        <v>0</v>
      </c>
      <c r="AA79" s="55">
        <v>0</v>
      </c>
      <c r="AB79" s="55">
        <v>0</v>
      </c>
      <c r="AC79" s="55">
        <v>46075500</v>
      </c>
      <c r="AD79" s="57">
        <v>414</v>
      </c>
      <c r="AF79" s="47">
        <f t="shared" si="1"/>
        <v>46075500</v>
      </c>
    </row>
    <row r="80" spans="2:32" x14ac:dyDescent="0.3">
      <c r="B80" s="46" t="str">
        <f>IFERROR(VLOOKUP($H80,매장구분!$B:$Z,2,0),"")</f>
        <v>리테일채널팀</v>
      </c>
      <c r="C80" s="46" t="str">
        <f>IFERROR(VLOOKUP($H80,매장구분!$B:$Z,3,0),"")</f>
        <v>국내</v>
      </c>
      <c r="D80" s="46" t="str">
        <f>IFERROR(VLOOKUP($H80,매장구분!$B:$Z,5,0),"")</f>
        <v>상설(위탁)</v>
      </c>
      <c r="E80" s="46" t="str">
        <f>IFERROR(VLOOKUP($H80,매장구분!$B:$Z,9,0),"")</f>
        <v>NC송파(상-위)</v>
      </c>
      <c r="F80" s="58"/>
      <c r="G80" s="59" t="s">
        <v>378</v>
      </c>
      <c r="H80" s="60" t="s">
        <v>379</v>
      </c>
      <c r="I80" s="60" t="s">
        <v>169</v>
      </c>
      <c r="J80" s="60" t="s">
        <v>79</v>
      </c>
      <c r="K80" s="60" t="s">
        <v>170</v>
      </c>
      <c r="L80" s="60" t="s">
        <v>171</v>
      </c>
      <c r="M80" s="60" t="s">
        <v>77</v>
      </c>
      <c r="N80" s="60" t="s">
        <v>238</v>
      </c>
      <c r="O80" s="60">
        <v>2556000</v>
      </c>
      <c r="P80" s="60">
        <v>71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1">
        <v>0</v>
      </c>
      <c r="Z80" s="60">
        <v>0</v>
      </c>
      <c r="AA80" s="60">
        <v>0</v>
      </c>
      <c r="AB80" s="60">
        <v>0</v>
      </c>
      <c r="AC80" s="60">
        <v>2556000</v>
      </c>
      <c r="AD80" s="62">
        <v>71</v>
      </c>
      <c r="AF80" s="47">
        <f t="shared" si="1"/>
        <v>2556000</v>
      </c>
    </row>
    <row r="81" spans="2:32" x14ac:dyDescent="0.3">
      <c r="B81" s="46" t="str">
        <f>IFERROR(VLOOKUP($H81,매장구분!$B:$Z,2,0),"")</f>
        <v>리테일채널팀</v>
      </c>
      <c r="C81" s="46" t="str">
        <f>IFERROR(VLOOKUP($H81,매장구분!$B:$Z,3,0),"")</f>
        <v>국내</v>
      </c>
      <c r="D81" s="46" t="str">
        <f>IFERROR(VLOOKUP($H81,매장구분!$B:$Z,5,0),"")</f>
        <v>상설(위탁)</v>
      </c>
      <c r="E81" s="46" t="str">
        <f>IFERROR(VLOOKUP($H81,매장구분!$B:$Z,9,0),"")</f>
        <v>신세계아울렛여주(상-위)</v>
      </c>
      <c r="F81" s="53"/>
      <c r="G81" s="54" t="s">
        <v>380</v>
      </c>
      <c r="H81" s="55" t="s">
        <v>381</v>
      </c>
      <c r="I81" s="55" t="s">
        <v>169</v>
      </c>
      <c r="J81" s="55" t="s">
        <v>79</v>
      </c>
      <c r="K81" s="55" t="s">
        <v>170</v>
      </c>
      <c r="L81" s="55" t="s">
        <v>171</v>
      </c>
      <c r="M81" s="55" t="s">
        <v>219</v>
      </c>
      <c r="N81" s="55" t="s">
        <v>219</v>
      </c>
      <c r="O81" s="55">
        <v>13824000</v>
      </c>
      <c r="P81" s="55">
        <v>384</v>
      </c>
      <c r="Q81" s="55">
        <v>0</v>
      </c>
      <c r="R81" s="55">
        <v>0</v>
      </c>
      <c r="S81" s="55">
        <v>0</v>
      </c>
      <c r="T81" s="55">
        <v>0</v>
      </c>
      <c r="U81" s="55">
        <v>0</v>
      </c>
      <c r="V81" s="55">
        <v>0</v>
      </c>
      <c r="W81" s="55">
        <v>0</v>
      </c>
      <c r="X81" s="55">
        <v>0</v>
      </c>
      <c r="Y81" s="56">
        <v>0</v>
      </c>
      <c r="Z81" s="55">
        <v>0</v>
      </c>
      <c r="AA81" s="55">
        <v>0</v>
      </c>
      <c r="AB81" s="55">
        <v>0</v>
      </c>
      <c r="AC81" s="55">
        <v>13824000</v>
      </c>
      <c r="AD81" s="57">
        <v>384</v>
      </c>
      <c r="AF81" s="47">
        <f t="shared" si="1"/>
        <v>13824000</v>
      </c>
    </row>
    <row r="82" spans="2:32" x14ac:dyDescent="0.3">
      <c r="B82" s="46" t="str">
        <f>IFERROR(VLOOKUP($H82,매장구분!$B:$Z,2,0),"")</f>
        <v>리테일채널팀</v>
      </c>
      <c r="C82" s="46" t="str">
        <f>IFERROR(VLOOKUP($H82,매장구분!$B:$Z,3,0),"")</f>
        <v>RF</v>
      </c>
      <c r="D82" s="46" t="str">
        <f>IFERROR(VLOOKUP($H82,매장구분!$B:$Z,5,0),"")</f>
        <v>대리점</v>
      </c>
      <c r="E82" s="46" t="str">
        <f>IFERROR(VLOOKUP($H82,매장구분!$B:$Z,9,0),"")</f>
        <v>신제주(대-위)</v>
      </c>
      <c r="F82" s="58"/>
      <c r="G82" s="59" t="s">
        <v>340</v>
      </c>
      <c r="H82" s="60" t="s">
        <v>341</v>
      </c>
      <c r="I82" s="60" t="s">
        <v>169</v>
      </c>
      <c r="J82" s="60" t="s">
        <v>79</v>
      </c>
      <c r="K82" s="60" t="s">
        <v>170</v>
      </c>
      <c r="L82" s="60" t="s">
        <v>171</v>
      </c>
      <c r="M82" s="60" t="s">
        <v>196</v>
      </c>
      <c r="N82" s="60" t="s">
        <v>197</v>
      </c>
      <c r="O82" s="60">
        <v>70058200</v>
      </c>
      <c r="P82" s="60">
        <v>722</v>
      </c>
      <c r="Q82" s="60">
        <v>0</v>
      </c>
      <c r="R82" s="60">
        <v>0</v>
      </c>
      <c r="S82" s="60">
        <v>0</v>
      </c>
      <c r="T82" s="60">
        <v>0</v>
      </c>
      <c r="U82" s="60">
        <v>466000</v>
      </c>
      <c r="V82" s="60">
        <v>4</v>
      </c>
      <c r="W82" s="60">
        <v>0</v>
      </c>
      <c r="X82" s="60">
        <v>0</v>
      </c>
      <c r="Y82" s="61">
        <v>55150400</v>
      </c>
      <c r="Z82" s="60">
        <v>837</v>
      </c>
      <c r="AA82" s="60">
        <v>0</v>
      </c>
      <c r="AB82" s="60">
        <v>0</v>
      </c>
      <c r="AC82" s="60">
        <v>125674600</v>
      </c>
      <c r="AD82" s="62">
        <v>1563</v>
      </c>
      <c r="AF82" s="47">
        <f t="shared" si="1"/>
        <v>70524200</v>
      </c>
    </row>
    <row r="83" spans="2:32" x14ac:dyDescent="0.3">
      <c r="B83" s="46" t="str">
        <f>IFERROR(VLOOKUP($H83,매장구분!$B:$Z,2,0),"")</f>
        <v>리테일채널팀</v>
      </c>
      <c r="C83" s="46" t="str">
        <f>IFERROR(VLOOKUP($H83,매장구분!$B:$Z,3,0),"")</f>
        <v>국내</v>
      </c>
      <c r="D83" s="46" t="str">
        <f>IFERROR(VLOOKUP($H83,매장구분!$B:$Z,5,0),"")</f>
        <v>대리점</v>
      </c>
      <c r="E83" s="46" t="str">
        <f>IFERROR(VLOOKUP($H83,매장구분!$B:$Z,9,0),"")</f>
        <v>경기광주(대-위)</v>
      </c>
      <c r="F83" s="53"/>
      <c r="G83" s="54" t="s">
        <v>362</v>
      </c>
      <c r="H83" s="55" t="s">
        <v>363</v>
      </c>
      <c r="I83" s="55" t="s">
        <v>169</v>
      </c>
      <c r="J83" s="55" t="s">
        <v>79</v>
      </c>
      <c r="K83" s="55" t="s">
        <v>170</v>
      </c>
      <c r="L83" s="55" t="s">
        <v>171</v>
      </c>
      <c r="M83" s="55" t="s">
        <v>196</v>
      </c>
      <c r="N83" s="55" t="s">
        <v>197</v>
      </c>
      <c r="O83" s="55">
        <v>32275421</v>
      </c>
      <c r="P83" s="55">
        <v>317</v>
      </c>
      <c r="Q83" s="55">
        <v>0</v>
      </c>
      <c r="R83" s="55">
        <v>0</v>
      </c>
      <c r="S83" s="55">
        <v>0</v>
      </c>
      <c r="T83" s="55">
        <v>0</v>
      </c>
      <c r="U83" s="55">
        <v>1719000</v>
      </c>
      <c r="V83" s="55">
        <v>11</v>
      </c>
      <c r="W83" s="55">
        <v>0</v>
      </c>
      <c r="X83" s="55">
        <v>0</v>
      </c>
      <c r="Y83" s="56">
        <v>0</v>
      </c>
      <c r="Z83" s="55">
        <v>0</v>
      </c>
      <c r="AA83" s="55">
        <v>0</v>
      </c>
      <c r="AB83" s="55">
        <v>0</v>
      </c>
      <c r="AC83" s="55">
        <v>33994421</v>
      </c>
      <c r="AD83" s="57">
        <v>328</v>
      </c>
      <c r="AF83" s="47">
        <f t="shared" si="1"/>
        <v>33994421</v>
      </c>
    </row>
    <row r="84" spans="2:32" x14ac:dyDescent="0.3">
      <c r="B84" s="46" t="str">
        <f>IFERROR(VLOOKUP($H84,매장구분!$B:$Z,2,0),"")</f>
        <v>E-biz</v>
      </c>
      <c r="C84" s="46" t="str">
        <f>IFERROR(VLOOKUP($H84,매장구분!$B:$Z,3,0),"")</f>
        <v>국내</v>
      </c>
      <c r="D84" s="46" t="str">
        <f>IFERROR(VLOOKUP($H84,매장구분!$B:$Z,5,0),"")</f>
        <v>온(제휴몰)</v>
      </c>
      <c r="E84" s="46" t="str">
        <f>IFERROR(VLOOKUP($H84,매장구분!$B:$Z,9,0),"")</f>
        <v>SSF샵(제휴몰)</v>
      </c>
      <c r="F84" s="58"/>
      <c r="G84" s="59" t="s">
        <v>342</v>
      </c>
      <c r="H84" s="60" t="s">
        <v>343</v>
      </c>
      <c r="I84" s="60" t="s">
        <v>169</v>
      </c>
      <c r="J84" s="60" t="s">
        <v>180</v>
      </c>
      <c r="K84" s="60" t="s">
        <v>170</v>
      </c>
      <c r="L84" s="60" t="s">
        <v>181</v>
      </c>
      <c r="M84" s="60" t="s">
        <v>181</v>
      </c>
      <c r="N84" s="60" t="s">
        <v>185</v>
      </c>
      <c r="O84" s="60">
        <v>36872200</v>
      </c>
      <c r="P84" s="60">
        <v>260</v>
      </c>
      <c r="Q84" s="60">
        <v>0</v>
      </c>
      <c r="R84" s="60">
        <v>0</v>
      </c>
      <c r="S84" s="60">
        <v>0</v>
      </c>
      <c r="T84" s="60">
        <v>0</v>
      </c>
      <c r="U84" s="60">
        <v>0</v>
      </c>
      <c r="V84" s="60">
        <v>0</v>
      </c>
      <c r="W84" s="60">
        <v>0</v>
      </c>
      <c r="X84" s="60">
        <v>0</v>
      </c>
      <c r="Y84" s="61">
        <v>0</v>
      </c>
      <c r="Z84" s="60">
        <v>0</v>
      </c>
      <c r="AA84" s="60">
        <v>0</v>
      </c>
      <c r="AB84" s="60">
        <v>0</v>
      </c>
      <c r="AC84" s="60">
        <v>36872200</v>
      </c>
      <c r="AD84" s="62">
        <v>260</v>
      </c>
      <c r="AF84" s="47">
        <f t="shared" si="1"/>
        <v>36872200</v>
      </c>
    </row>
    <row r="85" spans="2:32" x14ac:dyDescent="0.3">
      <c r="B85" s="46" t="str">
        <f>IFERROR(VLOOKUP($H85,매장구분!$B:$Z,2,0),"")</f>
        <v>리테일채널팀</v>
      </c>
      <c r="C85" s="46" t="str">
        <f>IFERROR(VLOOKUP($H85,매장구분!$B:$Z,3,0),"")</f>
        <v>국내</v>
      </c>
      <c r="D85" s="46" t="str">
        <f>IFERROR(VLOOKUP($H85,매장구분!$B:$Z,5,0),"")</f>
        <v>대리점</v>
      </c>
      <c r="E85" s="46" t="str">
        <f>IFERROR(VLOOKUP($H85,매장구분!$B:$Z,9,0),"")</f>
        <v>부평(대-위)</v>
      </c>
      <c r="F85" s="53"/>
      <c r="G85" s="54" t="s">
        <v>588</v>
      </c>
      <c r="H85" s="55" t="s">
        <v>589</v>
      </c>
      <c r="I85" s="55" t="s">
        <v>169</v>
      </c>
      <c r="J85" s="55" t="s">
        <v>79</v>
      </c>
      <c r="K85" s="55" t="s">
        <v>170</v>
      </c>
      <c r="L85" s="55" t="s">
        <v>171</v>
      </c>
      <c r="M85" s="55" t="s">
        <v>196</v>
      </c>
      <c r="N85" s="55" t="s">
        <v>197</v>
      </c>
      <c r="O85" s="55">
        <v>48203600</v>
      </c>
      <c r="P85" s="55">
        <v>486</v>
      </c>
      <c r="Q85" s="55">
        <v>0</v>
      </c>
      <c r="R85" s="55">
        <v>0</v>
      </c>
      <c r="S85" s="55">
        <v>0</v>
      </c>
      <c r="T85" s="55">
        <v>0</v>
      </c>
      <c r="U85" s="55">
        <v>5628600</v>
      </c>
      <c r="V85" s="55">
        <v>31</v>
      </c>
      <c r="W85" s="55">
        <v>0</v>
      </c>
      <c r="X85" s="55">
        <v>0</v>
      </c>
      <c r="Y85" s="56">
        <v>0</v>
      </c>
      <c r="Z85" s="55">
        <v>0</v>
      </c>
      <c r="AA85" s="55">
        <v>0</v>
      </c>
      <c r="AB85" s="55">
        <v>0</v>
      </c>
      <c r="AC85" s="55">
        <v>53832200</v>
      </c>
      <c r="AD85" s="57">
        <v>517</v>
      </c>
      <c r="AF85" s="47">
        <f t="shared" si="1"/>
        <v>53832200</v>
      </c>
    </row>
    <row r="86" spans="2:32" x14ac:dyDescent="0.3">
      <c r="B86" s="46" t="str">
        <f>IFERROR(VLOOKUP($H86,매장구분!$B:$Z,2,0),"")</f>
        <v>리테일채널팀</v>
      </c>
      <c r="C86" s="46" t="str">
        <f>IFERROR(VLOOKUP($H86,매장구분!$B:$Z,3,0),"")</f>
        <v>국내</v>
      </c>
      <c r="D86" s="46" t="str">
        <f>IFERROR(VLOOKUP($H86,매장구분!$B:$Z,5,0),"")</f>
        <v>대리점</v>
      </c>
      <c r="E86" s="46" t="str">
        <f>IFERROR(VLOOKUP($H86,매장구분!$B:$Z,9,0),"")</f>
        <v>서산(대-위)</v>
      </c>
      <c r="F86" s="58"/>
      <c r="G86" s="59" t="s">
        <v>336</v>
      </c>
      <c r="H86" s="60" t="s">
        <v>337</v>
      </c>
      <c r="I86" s="60" t="s">
        <v>169</v>
      </c>
      <c r="J86" s="60" t="s">
        <v>79</v>
      </c>
      <c r="K86" s="60" t="s">
        <v>170</v>
      </c>
      <c r="L86" s="60" t="s">
        <v>171</v>
      </c>
      <c r="M86" s="60" t="s">
        <v>196</v>
      </c>
      <c r="N86" s="60" t="s">
        <v>197</v>
      </c>
      <c r="O86" s="60">
        <v>31567700</v>
      </c>
      <c r="P86" s="60">
        <v>312</v>
      </c>
      <c r="Q86" s="60">
        <v>0</v>
      </c>
      <c r="R86" s="60">
        <v>0</v>
      </c>
      <c r="S86" s="60">
        <v>0</v>
      </c>
      <c r="T86" s="60">
        <v>0</v>
      </c>
      <c r="U86" s="60">
        <v>2957700</v>
      </c>
      <c r="V86" s="60">
        <v>22</v>
      </c>
      <c r="W86" s="60">
        <v>0</v>
      </c>
      <c r="X86" s="60">
        <v>0</v>
      </c>
      <c r="Y86" s="61">
        <v>0</v>
      </c>
      <c r="Z86" s="60">
        <v>0</v>
      </c>
      <c r="AA86" s="60">
        <v>0</v>
      </c>
      <c r="AB86" s="60">
        <v>0</v>
      </c>
      <c r="AC86" s="60">
        <v>34525400</v>
      </c>
      <c r="AD86" s="62">
        <v>334</v>
      </c>
      <c r="AF86" s="47">
        <f t="shared" si="1"/>
        <v>34525400</v>
      </c>
    </row>
    <row r="87" spans="2:32" x14ac:dyDescent="0.3">
      <c r="B87" s="46" t="str">
        <f>IFERROR(VLOOKUP($H87,매장구분!$B:$Z,2,0),"")</f>
        <v>파트너채널팀</v>
      </c>
      <c r="C87" s="46" t="str">
        <f>IFERROR(VLOOKUP($H87,매장구분!$B:$Z,3,0),"")</f>
        <v>면세</v>
      </c>
      <c r="D87" s="46" t="str">
        <f>IFERROR(VLOOKUP($H87,매장구분!$B:$Z,5,0),"")</f>
        <v>면세</v>
      </c>
      <c r="E87" s="46" t="str">
        <f>IFERROR(VLOOKUP($H87,매장구분!$B:$Z,9,0),"")</f>
        <v>신라면세제주</v>
      </c>
      <c r="F87" s="53"/>
      <c r="G87" s="54" t="s">
        <v>334</v>
      </c>
      <c r="H87" s="55" t="s">
        <v>335</v>
      </c>
      <c r="I87" s="55" t="s">
        <v>169</v>
      </c>
      <c r="J87" s="55" t="s">
        <v>175</v>
      </c>
      <c r="K87" s="55" t="s">
        <v>170</v>
      </c>
      <c r="L87" s="55" t="s">
        <v>171</v>
      </c>
      <c r="M87" s="55" t="s">
        <v>176</v>
      </c>
      <c r="N87" s="55" t="s">
        <v>177</v>
      </c>
      <c r="O87" s="55">
        <v>409570800</v>
      </c>
      <c r="P87" s="55">
        <v>7386</v>
      </c>
      <c r="Q87" s="55">
        <v>0</v>
      </c>
      <c r="R87" s="55">
        <v>0</v>
      </c>
      <c r="S87" s="55">
        <v>0</v>
      </c>
      <c r="T87" s="55">
        <v>0</v>
      </c>
      <c r="U87" s="55">
        <v>0</v>
      </c>
      <c r="V87" s="55">
        <v>0</v>
      </c>
      <c r="W87" s="55">
        <v>0</v>
      </c>
      <c r="X87" s="55">
        <v>0</v>
      </c>
      <c r="Y87" s="56">
        <v>5969000</v>
      </c>
      <c r="Z87" s="55">
        <v>81</v>
      </c>
      <c r="AA87" s="55">
        <v>0</v>
      </c>
      <c r="AB87" s="55">
        <v>0</v>
      </c>
      <c r="AC87" s="55">
        <v>415539800</v>
      </c>
      <c r="AD87" s="57">
        <v>7467</v>
      </c>
      <c r="AF87" s="47">
        <f t="shared" si="1"/>
        <v>409570800</v>
      </c>
    </row>
    <row r="88" spans="2:32" x14ac:dyDescent="0.3">
      <c r="B88" s="46" t="str">
        <f>IFERROR(VLOOKUP($H88,매장구분!$B:$Z,2,0),"")</f>
        <v>파트너채널팀</v>
      </c>
      <c r="C88" s="46" t="str">
        <f>IFERROR(VLOOKUP($H88,매장구분!$B:$Z,3,0),"")</f>
        <v>국내</v>
      </c>
      <c r="D88" s="46" t="str">
        <f>IFERROR(VLOOKUP($H88,매장구분!$B:$Z,5,0),"")</f>
        <v>백화점</v>
      </c>
      <c r="E88" s="46" t="str">
        <f>IFERROR(VLOOKUP($H88,매장구분!$B:$Z,9,0),"")</f>
        <v>신세계경기</v>
      </c>
      <c r="F88" s="58"/>
      <c r="G88" s="59" t="s">
        <v>356</v>
      </c>
      <c r="H88" s="60" t="s">
        <v>357</v>
      </c>
      <c r="I88" s="60" t="s">
        <v>169</v>
      </c>
      <c r="J88" s="60" t="s">
        <v>175</v>
      </c>
      <c r="K88" s="60" t="s">
        <v>170</v>
      </c>
      <c r="L88" s="60" t="s">
        <v>171</v>
      </c>
      <c r="M88" s="60" t="s">
        <v>77</v>
      </c>
      <c r="N88" s="60" t="s">
        <v>172</v>
      </c>
      <c r="O88" s="60">
        <v>87771300</v>
      </c>
      <c r="P88" s="60">
        <v>811</v>
      </c>
      <c r="Q88" s="60">
        <v>0</v>
      </c>
      <c r="R88" s="60">
        <v>0</v>
      </c>
      <c r="S88" s="60">
        <v>0</v>
      </c>
      <c r="T88" s="60">
        <v>0</v>
      </c>
      <c r="U88" s="60">
        <v>814000</v>
      </c>
      <c r="V88" s="60">
        <v>6</v>
      </c>
      <c r="W88" s="60">
        <v>0</v>
      </c>
      <c r="X88" s="60">
        <v>0</v>
      </c>
      <c r="Y88" s="61">
        <v>0</v>
      </c>
      <c r="Z88" s="60">
        <v>0</v>
      </c>
      <c r="AA88" s="60">
        <v>0</v>
      </c>
      <c r="AB88" s="60">
        <v>0</v>
      </c>
      <c r="AC88" s="60">
        <v>88585300</v>
      </c>
      <c r="AD88" s="62">
        <v>817</v>
      </c>
      <c r="AF88" s="47">
        <f t="shared" si="1"/>
        <v>88585300</v>
      </c>
    </row>
    <row r="89" spans="2:32" x14ac:dyDescent="0.3">
      <c r="B89" s="46" t="str">
        <f>IFERROR(VLOOKUP($H89,매장구분!$B:$Z,2,0),"")</f>
        <v>리테일채널팀</v>
      </c>
      <c r="C89" s="46" t="str">
        <f>IFERROR(VLOOKUP($H89,매장구분!$B:$Z,3,0),"")</f>
        <v>국내</v>
      </c>
      <c r="D89" s="46" t="str">
        <f>IFERROR(VLOOKUP($H89,매장구분!$B:$Z,5,0),"")</f>
        <v>대리점</v>
      </c>
      <c r="E89" s="46" t="str">
        <f>IFERROR(VLOOKUP($H89,매장구분!$B:$Z,9,0),"")</f>
        <v>남양주삼패(대-위)</v>
      </c>
      <c r="F89" s="53"/>
      <c r="G89" s="54" t="s">
        <v>586</v>
      </c>
      <c r="H89" s="55" t="s">
        <v>587</v>
      </c>
      <c r="I89" s="55" t="s">
        <v>169</v>
      </c>
      <c r="J89" s="55" t="s">
        <v>79</v>
      </c>
      <c r="K89" s="55" t="s">
        <v>170</v>
      </c>
      <c r="L89" s="55" t="s">
        <v>171</v>
      </c>
      <c r="M89" s="55" t="s">
        <v>196</v>
      </c>
      <c r="N89" s="55" t="s">
        <v>197</v>
      </c>
      <c r="O89" s="55">
        <v>15319576</v>
      </c>
      <c r="P89" s="55">
        <v>159</v>
      </c>
      <c r="Q89" s="55">
        <v>0</v>
      </c>
      <c r="R89" s="55">
        <v>0</v>
      </c>
      <c r="S89" s="55">
        <v>0</v>
      </c>
      <c r="T89" s="55">
        <v>0</v>
      </c>
      <c r="U89" s="55">
        <v>8311424</v>
      </c>
      <c r="V89" s="55">
        <v>71</v>
      </c>
      <c r="W89" s="55">
        <v>0</v>
      </c>
      <c r="X89" s="55">
        <v>0</v>
      </c>
      <c r="Y89" s="56">
        <v>128860500</v>
      </c>
      <c r="Z89" s="55">
        <v>1068</v>
      </c>
      <c r="AA89" s="55">
        <v>0</v>
      </c>
      <c r="AB89" s="55">
        <v>0</v>
      </c>
      <c r="AC89" s="55">
        <v>152491500</v>
      </c>
      <c r="AD89" s="57">
        <v>1298</v>
      </c>
      <c r="AF89" s="47">
        <f t="shared" si="1"/>
        <v>23631000</v>
      </c>
    </row>
    <row r="90" spans="2:32" x14ac:dyDescent="0.3">
      <c r="B90" s="46" t="str">
        <f>IFERROR(VLOOKUP($H90,매장구분!$B:$Z,2,0),"")</f>
        <v>리테일채널팀</v>
      </c>
      <c r="C90" s="46" t="str">
        <f>IFERROR(VLOOKUP($H90,매장구분!$B:$Z,3,0),"")</f>
        <v>국내</v>
      </c>
      <c r="D90" s="46" t="str">
        <f>IFERROR(VLOOKUP($H90,매장구분!$B:$Z,5,0),"")</f>
        <v>대리점</v>
      </c>
      <c r="E90" s="46" t="str">
        <f>IFERROR(VLOOKUP($H90,매장구분!$B:$Z,9,0),"")</f>
        <v>포항(대-위)</v>
      </c>
      <c r="F90" s="58"/>
      <c r="G90" s="59" t="s">
        <v>338</v>
      </c>
      <c r="H90" s="60" t="s">
        <v>339</v>
      </c>
      <c r="I90" s="60" t="s">
        <v>169</v>
      </c>
      <c r="J90" s="60" t="s">
        <v>79</v>
      </c>
      <c r="K90" s="60" t="s">
        <v>170</v>
      </c>
      <c r="L90" s="60" t="s">
        <v>171</v>
      </c>
      <c r="M90" s="60" t="s">
        <v>196</v>
      </c>
      <c r="N90" s="60" t="s">
        <v>197</v>
      </c>
      <c r="O90" s="60">
        <v>61892510</v>
      </c>
      <c r="P90" s="60">
        <v>549</v>
      </c>
      <c r="Q90" s="60">
        <v>0</v>
      </c>
      <c r="R90" s="60">
        <v>0</v>
      </c>
      <c r="S90" s="60">
        <v>0</v>
      </c>
      <c r="T90" s="60">
        <v>0</v>
      </c>
      <c r="U90" s="60">
        <v>1328900</v>
      </c>
      <c r="V90" s="60">
        <v>10</v>
      </c>
      <c r="W90" s="60">
        <v>0</v>
      </c>
      <c r="X90" s="60">
        <v>0</v>
      </c>
      <c r="Y90" s="61">
        <v>0</v>
      </c>
      <c r="Z90" s="60">
        <v>0</v>
      </c>
      <c r="AA90" s="60">
        <v>0</v>
      </c>
      <c r="AB90" s="60">
        <v>0</v>
      </c>
      <c r="AC90" s="60">
        <v>63221410</v>
      </c>
      <c r="AD90" s="62">
        <v>559</v>
      </c>
      <c r="AF90" s="47">
        <f t="shared" si="1"/>
        <v>63221410</v>
      </c>
    </row>
    <row r="91" spans="2:32" x14ac:dyDescent="0.3">
      <c r="B91" s="46" t="str">
        <f>IFERROR(VLOOKUP($H91,매장구분!$B:$Z,2,0),"")</f>
        <v>파트너채널팀</v>
      </c>
      <c r="C91" s="46" t="str">
        <f>IFERROR(VLOOKUP($H91,매장구분!$B:$Z,3,0),"")</f>
        <v>국내</v>
      </c>
      <c r="D91" s="46" t="str">
        <f>IFERROR(VLOOKUP($H91,매장구분!$B:$Z,5,0),"")</f>
        <v>백화점</v>
      </c>
      <c r="E91" s="46" t="str">
        <f>IFERROR(VLOOKUP($H91,매장구분!$B:$Z,9,0),"")</f>
        <v>현대울산</v>
      </c>
      <c r="F91" s="53"/>
      <c r="G91" s="54" t="s">
        <v>344</v>
      </c>
      <c r="H91" s="55" t="s">
        <v>345</v>
      </c>
      <c r="I91" s="55" t="s">
        <v>169</v>
      </c>
      <c r="J91" s="55" t="s">
        <v>175</v>
      </c>
      <c r="K91" s="55" t="s">
        <v>170</v>
      </c>
      <c r="L91" s="55" t="s">
        <v>171</v>
      </c>
      <c r="M91" s="55" t="s">
        <v>77</v>
      </c>
      <c r="N91" s="55" t="s">
        <v>172</v>
      </c>
      <c r="O91" s="55">
        <v>95634897</v>
      </c>
      <c r="P91" s="55">
        <v>790</v>
      </c>
      <c r="Q91" s="55">
        <v>0</v>
      </c>
      <c r="R91" s="55">
        <v>0</v>
      </c>
      <c r="S91" s="55">
        <v>0</v>
      </c>
      <c r="T91" s="55">
        <v>0</v>
      </c>
      <c r="U91" s="55">
        <v>7160303</v>
      </c>
      <c r="V91" s="55">
        <v>56</v>
      </c>
      <c r="W91" s="55">
        <v>0</v>
      </c>
      <c r="X91" s="55">
        <v>0</v>
      </c>
      <c r="Y91" s="56">
        <v>26681100</v>
      </c>
      <c r="Z91" s="55">
        <v>206</v>
      </c>
      <c r="AA91" s="55">
        <v>0</v>
      </c>
      <c r="AB91" s="55">
        <v>0</v>
      </c>
      <c r="AC91" s="55">
        <v>129476300</v>
      </c>
      <c r="AD91" s="57">
        <v>1052</v>
      </c>
      <c r="AF91" s="47">
        <f t="shared" si="1"/>
        <v>102795200</v>
      </c>
    </row>
    <row r="92" spans="2:32" x14ac:dyDescent="0.3">
      <c r="B92" s="46" t="str">
        <f>IFERROR(VLOOKUP($H92,매장구분!$B:$Z,2,0),"")</f>
        <v>파트너채널팀</v>
      </c>
      <c r="C92" s="46" t="str">
        <f>IFERROR(VLOOKUP($H92,매장구분!$B:$Z,3,0),"")</f>
        <v>국내</v>
      </c>
      <c r="D92" s="46" t="str">
        <f>IFERROR(VLOOKUP($H92,매장구분!$B:$Z,5,0),"")</f>
        <v>백화점</v>
      </c>
      <c r="E92" s="46" t="str">
        <f>IFERROR(VLOOKUP($H92,매장구분!$B:$Z,9,0),"")</f>
        <v>현대디큐브시티</v>
      </c>
      <c r="F92" s="58"/>
      <c r="G92" s="59" t="s">
        <v>584</v>
      </c>
      <c r="H92" s="60" t="s">
        <v>585</v>
      </c>
      <c r="I92" s="60" t="s">
        <v>169</v>
      </c>
      <c r="J92" s="60" t="s">
        <v>175</v>
      </c>
      <c r="K92" s="60" t="s">
        <v>170</v>
      </c>
      <c r="L92" s="60" t="s">
        <v>171</v>
      </c>
      <c r="M92" s="60" t="s">
        <v>77</v>
      </c>
      <c r="N92" s="60" t="s">
        <v>172</v>
      </c>
      <c r="O92" s="60">
        <v>21697112</v>
      </c>
      <c r="P92" s="60">
        <v>261</v>
      </c>
      <c r="Q92" s="60">
        <v>479000</v>
      </c>
      <c r="R92" s="60">
        <v>5</v>
      </c>
      <c r="S92" s="60">
        <v>0</v>
      </c>
      <c r="T92" s="60">
        <v>0</v>
      </c>
      <c r="U92" s="60">
        <v>3309500</v>
      </c>
      <c r="V92" s="60">
        <v>17</v>
      </c>
      <c r="W92" s="60">
        <v>0</v>
      </c>
      <c r="X92" s="60">
        <v>0</v>
      </c>
      <c r="Y92" s="61">
        <v>47848188</v>
      </c>
      <c r="Z92" s="60">
        <v>814</v>
      </c>
      <c r="AA92" s="60">
        <v>0</v>
      </c>
      <c r="AB92" s="60">
        <v>0</v>
      </c>
      <c r="AC92" s="60">
        <v>73333800</v>
      </c>
      <c r="AD92" s="62">
        <v>1097</v>
      </c>
      <c r="AF92" s="47">
        <f t="shared" si="1"/>
        <v>25485612</v>
      </c>
    </row>
    <row r="93" spans="2:32" x14ac:dyDescent="0.3">
      <c r="B93" s="46" t="str">
        <f>IFERROR(VLOOKUP($H93,매장구분!$B:$Z,2,0),"")</f>
        <v>리테일채널팀</v>
      </c>
      <c r="C93" s="46" t="str">
        <f>IFERROR(VLOOKUP($H93,매장구분!$B:$Z,3,0),"")</f>
        <v>국내</v>
      </c>
      <c r="D93" s="46" t="str">
        <f>IFERROR(VLOOKUP($H93,매장구분!$B:$Z,5,0),"")</f>
        <v>대리점</v>
      </c>
      <c r="E93" s="46" t="str">
        <f>IFERROR(VLOOKUP($H93,매장구분!$B:$Z,9,0),"")</f>
        <v>대구칠곡(대-위)</v>
      </c>
      <c r="F93" s="53"/>
      <c r="G93" s="54" t="s">
        <v>364</v>
      </c>
      <c r="H93" s="55" t="s">
        <v>365</v>
      </c>
      <c r="I93" s="55" t="s">
        <v>169</v>
      </c>
      <c r="J93" s="55" t="s">
        <v>79</v>
      </c>
      <c r="K93" s="55" t="s">
        <v>170</v>
      </c>
      <c r="L93" s="55" t="s">
        <v>171</v>
      </c>
      <c r="M93" s="55" t="s">
        <v>196</v>
      </c>
      <c r="N93" s="55" t="s">
        <v>197</v>
      </c>
      <c r="O93" s="55">
        <v>23561167</v>
      </c>
      <c r="P93" s="55">
        <v>216</v>
      </c>
      <c r="Q93" s="55">
        <v>0</v>
      </c>
      <c r="R93" s="55">
        <v>0</v>
      </c>
      <c r="S93" s="55">
        <v>0</v>
      </c>
      <c r="T93" s="55">
        <v>0</v>
      </c>
      <c r="U93" s="55">
        <v>3040022</v>
      </c>
      <c r="V93" s="55">
        <v>14</v>
      </c>
      <c r="W93" s="55">
        <v>0</v>
      </c>
      <c r="X93" s="55">
        <v>0</v>
      </c>
      <c r="Y93" s="56">
        <v>0</v>
      </c>
      <c r="Z93" s="55">
        <v>0</v>
      </c>
      <c r="AA93" s="55">
        <v>0</v>
      </c>
      <c r="AB93" s="55">
        <v>0</v>
      </c>
      <c r="AC93" s="55">
        <v>26601189</v>
      </c>
      <c r="AD93" s="57">
        <v>230</v>
      </c>
      <c r="AF93" s="47">
        <f t="shared" si="1"/>
        <v>26601189</v>
      </c>
    </row>
    <row r="94" spans="2:32" x14ac:dyDescent="0.3">
      <c r="B94" s="46" t="str">
        <f>IFERROR(VLOOKUP($H94,매장구분!$B:$Z,2,0),"")</f>
        <v>파트너채널팀</v>
      </c>
      <c r="C94" s="46" t="str">
        <f>IFERROR(VLOOKUP($H94,매장구분!$B:$Z,3,0),"")</f>
        <v>국내</v>
      </c>
      <c r="D94" s="46" t="str">
        <f>IFERROR(VLOOKUP($H94,매장구분!$B:$Z,5,0),"")</f>
        <v>백화점</v>
      </c>
      <c r="E94" s="46" t="str">
        <f>IFERROR(VLOOKUP($H94,매장구분!$B:$Z,9,0),"")</f>
        <v>롯데아울렛의왕(직)</v>
      </c>
      <c r="F94" s="58"/>
      <c r="G94" s="59" t="s">
        <v>352</v>
      </c>
      <c r="H94" s="60" t="s">
        <v>353</v>
      </c>
      <c r="I94" s="60" t="s">
        <v>169</v>
      </c>
      <c r="J94" s="60" t="s">
        <v>180</v>
      </c>
      <c r="K94" s="60" t="s">
        <v>170</v>
      </c>
      <c r="L94" s="60" t="s">
        <v>171</v>
      </c>
      <c r="M94" s="60" t="s">
        <v>219</v>
      </c>
      <c r="N94" s="60" t="s">
        <v>219</v>
      </c>
      <c r="O94" s="60">
        <v>38074800</v>
      </c>
      <c r="P94" s="60">
        <v>471</v>
      </c>
      <c r="Q94" s="60">
        <v>0</v>
      </c>
      <c r="R94" s="60">
        <v>0</v>
      </c>
      <c r="S94" s="60">
        <v>0</v>
      </c>
      <c r="T94" s="60">
        <v>0</v>
      </c>
      <c r="U94" s="60">
        <v>4865100</v>
      </c>
      <c r="V94" s="60">
        <v>29</v>
      </c>
      <c r="W94" s="60">
        <v>0</v>
      </c>
      <c r="X94" s="60">
        <v>0</v>
      </c>
      <c r="Y94" s="61">
        <v>0</v>
      </c>
      <c r="Z94" s="60">
        <v>0</v>
      </c>
      <c r="AA94" s="60">
        <v>0</v>
      </c>
      <c r="AB94" s="60">
        <v>0</v>
      </c>
      <c r="AC94" s="60">
        <v>42939900</v>
      </c>
      <c r="AD94" s="62">
        <v>500</v>
      </c>
      <c r="AF94" s="47">
        <f t="shared" si="1"/>
        <v>42939900</v>
      </c>
    </row>
    <row r="95" spans="2:32" x14ac:dyDescent="0.3">
      <c r="B95" s="46" t="str">
        <f>IFERROR(VLOOKUP($H95,매장구분!$B:$Z,2,0),"")</f>
        <v>리테일채널팀</v>
      </c>
      <c r="C95" s="46" t="str">
        <f>IFERROR(VLOOKUP($H95,매장구분!$B:$Z,3,0),"")</f>
        <v>국내</v>
      </c>
      <c r="D95" s="46" t="str">
        <f>IFERROR(VLOOKUP($H95,매장구분!$B:$Z,5,0),"")</f>
        <v>대리점</v>
      </c>
      <c r="E95" s="46" t="str">
        <f>IFERROR(VLOOKUP($H95,매장구분!$B:$Z,9,0),"")</f>
        <v>세정광주(대-위)</v>
      </c>
      <c r="F95" s="53"/>
      <c r="G95" s="54" t="s">
        <v>346</v>
      </c>
      <c r="H95" s="55" t="s">
        <v>347</v>
      </c>
      <c r="I95" s="55" t="s">
        <v>169</v>
      </c>
      <c r="J95" s="55" t="s">
        <v>79</v>
      </c>
      <c r="K95" s="55" t="s">
        <v>170</v>
      </c>
      <c r="L95" s="55" t="s">
        <v>171</v>
      </c>
      <c r="M95" s="55" t="s">
        <v>196</v>
      </c>
      <c r="N95" s="55" t="s">
        <v>197</v>
      </c>
      <c r="O95" s="55">
        <v>64477335</v>
      </c>
      <c r="P95" s="55">
        <v>583</v>
      </c>
      <c r="Q95" s="55">
        <v>0</v>
      </c>
      <c r="R95" s="55">
        <v>0</v>
      </c>
      <c r="S95" s="55">
        <v>0</v>
      </c>
      <c r="T95" s="55">
        <v>0</v>
      </c>
      <c r="U95" s="55">
        <v>2834665</v>
      </c>
      <c r="V95" s="55">
        <v>20</v>
      </c>
      <c r="W95" s="55">
        <v>0</v>
      </c>
      <c r="X95" s="55">
        <v>0</v>
      </c>
      <c r="Y95" s="56">
        <v>15505000</v>
      </c>
      <c r="Z95" s="55">
        <v>135</v>
      </c>
      <c r="AA95" s="55">
        <v>0</v>
      </c>
      <c r="AB95" s="55">
        <v>0</v>
      </c>
      <c r="AC95" s="55">
        <v>82817000</v>
      </c>
      <c r="AD95" s="57">
        <v>738</v>
      </c>
      <c r="AF95" s="47">
        <f t="shared" si="1"/>
        <v>67312000</v>
      </c>
    </row>
    <row r="96" spans="2:32" x14ac:dyDescent="0.3">
      <c r="B96" s="46" t="str">
        <f>IFERROR(VLOOKUP($H96,매장구분!$B:$Z,2,0),"")</f>
        <v>파트너채널팀</v>
      </c>
      <c r="C96" s="46" t="str">
        <f>IFERROR(VLOOKUP($H96,매장구분!$B:$Z,3,0),"")</f>
        <v>국내</v>
      </c>
      <c r="D96" s="46" t="str">
        <f>IFERROR(VLOOKUP($H96,매장구분!$B:$Z,5,0),"")</f>
        <v>백화점</v>
      </c>
      <c r="E96" s="46" t="str">
        <f>IFERROR(VLOOKUP($H96,매장구분!$B:$Z,9,0),"")</f>
        <v>현대충청</v>
      </c>
      <c r="F96" s="58"/>
      <c r="G96" s="59" t="s">
        <v>358</v>
      </c>
      <c r="H96" s="60" t="s">
        <v>359</v>
      </c>
      <c r="I96" s="60" t="s">
        <v>169</v>
      </c>
      <c r="J96" s="60" t="s">
        <v>175</v>
      </c>
      <c r="K96" s="60" t="s">
        <v>170</v>
      </c>
      <c r="L96" s="60" t="s">
        <v>171</v>
      </c>
      <c r="M96" s="60" t="s">
        <v>77</v>
      </c>
      <c r="N96" s="60" t="s">
        <v>172</v>
      </c>
      <c r="O96" s="60">
        <v>97402700</v>
      </c>
      <c r="P96" s="60">
        <v>766</v>
      </c>
      <c r="Q96" s="60">
        <v>0</v>
      </c>
      <c r="R96" s="60">
        <v>0</v>
      </c>
      <c r="S96" s="60">
        <v>0</v>
      </c>
      <c r="T96" s="60">
        <v>0</v>
      </c>
      <c r="U96" s="60">
        <v>109000</v>
      </c>
      <c r="V96" s="60">
        <v>1</v>
      </c>
      <c r="W96" s="60">
        <v>0</v>
      </c>
      <c r="X96" s="60">
        <v>0</v>
      </c>
      <c r="Y96" s="61">
        <v>56476300</v>
      </c>
      <c r="Z96" s="60">
        <v>407</v>
      </c>
      <c r="AA96" s="60">
        <v>0</v>
      </c>
      <c r="AB96" s="60">
        <v>0</v>
      </c>
      <c r="AC96" s="60">
        <v>153988000</v>
      </c>
      <c r="AD96" s="62">
        <v>1174</v>
      </c>
      <c r="AF96" s="47">
        <f t="shared" si="1"/>
        <v>97511700</v>
      </c>
    </row>
    <row r="97" spans="2:32" x14ac:dyDescent="0.3">
      <c r="B97" s="46" t="str">
        <f>IFERROR(VLOOKUP($H97,매장구분!$B:$Z,2,0),"")</f>
        <v>리테일채널팀</v>
      </c>
      <c r="C97" s="46" t="str">
        <f>IFERROR(VLOOKUP($H97,매장구분!$B:$Z,3,0),"")</f>
        <v>국내</v>
      </c>
      <c r="D97" s="46" t="str">
        <f>IFERROR(VLOOKUP($H97,매장구분!$B:$Z,5,0),"")</f>
        <v>직영점</v>
      </c>
      <c r="E97" s="46" t="str">
        <f>IFERROR(VLOOKUP($H97,매장구분!$B:$Z,9,0),"")</f>
        <v>타임스트림신림(직)</v>
      </c>
      <c r="F97" s="53"/>
      <c r="G97" s="54" t="s">
        <v>360</v>
      </c>
      <c r="H97" s="55" t="s">
        <v>361</v>
      </c>
      <c r="I97" s="55" t="s">
        <v>169</v>
      </c>
      <c r="J97" s="55" t="s">
        <v>180</v>
      </c>
      <c r="K97" s="55" t="s">
        <v>170</v>
      </c>
      <c r="L97" s="55" t="s">
        <v>171</v>
      </c>
      <c r="M97" s="55" t="s">
        <v>188</v>
      </c>
      <c r="N97" s="55" t="s">
        <v>317</v>
      </c>
      <c r="O97" s="55">
        <v>26237200</v>
      </c>
      <c r="P97" s="55">
        <v>320</v>
      </c>
      <c r="Q97" s="55">
        <v>0</v>
      </c>
      <c r="R97" s="55">
        <v>0</v>
      </c>
      <c r="S97" s="55">
        <v>0</v>
      </c>
      <c r="T97" s="55">
        <v>0</v>
      </c>
      <c r="U97" s="55">
        <v>3242400</v>
      </c>
      <c r="V97" s="55">
        <v>23</v>
      </c>
      <c r="W97" s="55">
        <v>0</v>
      </c>
      <c r="X97" s="55">
        <v>0</v>
      </c>
      <c r="Y97" s="56">
        <v>0</v>
      </c>
      <c r="Z97" s="55">
        <v>0</v>
      </c>
      <c r="AA97" s="55">
        <v>0</v>
      </c>
      <c r="AB97" s="55">
        <v>0</v>
      </c>
      <c r="AC97" s="55">
        <v>29479600</v>
      </c>
      <c r="AD97" s="57">
        <v>343</v>
      </c>
      <c r="AF97" s="47">
        <f t="shared" si="1"/>
        <v>29479600</v>
      </c>
    </row>
    <row r="98" spans="2:32" x14ac:dyDescent="0.3">
      <c r="B98" s="46" t="str">
        <f>IFERROR(VLOOKUP($H98,매장구분!$B:$Z,2,0),"")</f>
        <v>파트너채널팀</v>
      </c>
      <c r="C98" s="46" t="str">
        <f>IFERROR(VLOOKUP($H98,매장구분!$B:$Z,3,0),"")</f>
        <v>국내</v>
      </c>
      <c r="D98" s="46" t="str">
        <f>IFERROR(VLOOKUP($H98,매장구분!$B:$Z,5,0),"")</f>
        <v>백화점</v>
      </c>
      <c r="E98" s="46" t="str">
        <f>IFERROR(VLOOKUP($H98,매장구분!$B:$Z,9,0),"")</f>
        <v>롯데건대</v>
      </c>
      <c r="F98" s="58"/>
      <c r="G98" s="59" t="s">
        <v>354</v>
      </c>
      <c r="H98" s="60" t="s">
        <v>355</v>
      </c>
      <c r="I98" s="60" t="s">
        <v>169</v>
      </c>
      <c r="J98" s="60" t="s">
        <v>175</v>
      </c>
      <c r="K98" s="60" t="s">
        <v>170</v>
      </c>
      <c r="L98" s="60" t="s">
        <v>171</v>
      </c>
      <c r="M98" s="60" t="s">
        <v>77</v>
      </c>
      <c r="N98" s="60" t="s">
        <v>172</v>
      </c>
      <c r="O98" s="60">
        <v>54338500</v>
      </c>
      <c r="P98" s="60">
        <v>460</v>
      </c>
      <c r="Q98" s="60">
        <v>0</v>
      </c>
      <c r="R98" s="60">
        <v>0</v>
      </c>
      <c r="S98" s="60">
        <v>0</v>
      </c>
      <c r="T98" s="60">
        <v>0</v>
      </c>
      <c r="U98" s="60">
        <v>2914300</v>
      </c>
      <c r="V98" s="60">
        <v>21</v>
      </c>
      <c r="W98" s="60">
        <v>0</v>
      </c>
      <c r="X98" s="60">
        <v>0</v>
      </c>
      <c r="Y98" s="61">
        <v>22074700</v>
      </c>
      <c r="Z98" s="60">
        <v>148</v>
      </c>
      <c r="AA98" s="60">
        <v>0</v>
      </c>
      <c r="AB98" s="60">
        <v>0</v>
      </c>
      <c r="AC98" s="60">
        <v>79327500</v>
      </c>
      <c r="AD98" s="62">
        <v>629</v>
      </c>
      <c r="AF98" s="47">
        <f t="shared" si="1"/>
        <v>57252800</v>
      </c>
    </row>
    <row r="99" spans="2:32" x14ac:dyDescent="0.3">
      <c r="B99" s="46" t="str">
        <f>IFERROR(VLOOKUP($H99,매장구분!$B:$Z,2,0),"")</f>
        <v>파트너채널팀</v>
      </c>
      <c r="C99" s="46" t="str">
        <f>IFERROR(VLOOKUP($H99,매장구분!$B:$Z,3,0),"")</f>
        <v>국내</v>
      </c>
      <c r="D99" s="46" t="str">
        <f>IFERROR(VLOOKUP($H99,매장구분!$B:$Z,5,0),"")</f>
        <v>백화점</v>
      </c>
      <c r="E99" s="46" t="str">
        <f>IFERROR(VLOOKUP($H99,매장구분!$B:$Z,9,0),"")</f>
        <v>롯데미아</v>
      </c>
      <c r="F99" s="53"/>
      <c r="G99" s="54" t="s">
        <v>350</v>
      </c>
      <c r="H99" s="55" t="s">
        <v>351</v>
      </c>
      <c r="I99" s="55" t="s">
        <v>169</v>
      </c>
      <c r="J99" s="55" t="s">
        <v>175</v>
      </c>
      <c r="K99" s="55" t="s">
        <v>170</v>
      </c>
      <c r="L99" s="55" t="s">
        <v>171</v>
      </c>
      <c r="M99" s="55" t="s">
        <v>77</v>
      </c>
      <c r="N99" s="55" t="s">
        <v>172</v>
      </c>
      <c r="O99" s="55">
        <v>80966900</v>
      </c>
      <c r="P99" s="55">
        <v>629</v>
      </c>
      <c r="Q99" s="55">
        <v>0</v>
      </c>
      <c r="R99" s="55">
        <v>0</v>
      </c>
      <c r="S99" s="55">
        <v>0</v>
      </c>
      <c r="T99" s="55">
        <v>0</v>
      </c>
      <c r="U99" s="55">
        <v>0</v>
      </c>
      <c r="V99" s="55">
        <v>0</v>
      </c>
      <c r="W99" s="55">
        <v>0</v>
      </c>
      <c r="X99" s="55">
        <v>0</v>
      </c>
      <c r="Y99" s="56">
        <v>0</v>
      </c>
      <c r="Z99" s="55">
        <v>0</v>
      </c>
      <c r="AA99" s="55">
        <v>0</v>
      </c>
      <c r="AB99" s="55">
        <v>0</v>
      </c>
      <c r="AC99" s="55">
        <v>80966900</v>
      </c>
      <c r="AD99" s="57">
        <v>629</v>
      </c>
      <c r="AF99" s="47">
        <f t="shared" si="1"/>
        <v>80966900</v>
      </c>
    </row>
    <row r="100" spans="2:32" x14ac:dyDescent="0.3">
      <c r="B100" s="46" t="str">
        <f>IFERROR(VLOOKUP($H100,매장구분!$B:$Z,2,0),"")</f>
        <v>파트너채널팀</v>
      </c>
      <c r="C100" s="46" t="str">
        <f>IFERROR(VLOOKUP($H100,매장구분!$B:$Z,3,0),"")</f>
        <v>국내</v>
      </c>
      <c r="D100" s="46" t="str">
        <f>IFERROR(VLOOKUP($H100,매장구분!$B:$Z,5,0),"")</f>
        <v>백화점</v>
      </c>
      <c r="E100" s="46" t="str">
        <f>IFERROR(VLOOKUP($H100,매장구분!$B:$Z,9,0),"")</f>
        <v>롯데상인</v>
      </c>
      <c r="F100" s="58"/>
      <c r="G100" s="59" t="s">
        <v>348</v>
      </c>
      <c r="H100" s="60" t="s">
        <v>349</v>
      </c>
      <c r="I100" s="60" t="s">
        <v>169</v>
      </c>
      <c r="J100" s="60" t="s">
        <v>175</v>
      </c>
      <c r="K100" s="60" t="s">
        <v>170</v>
      </c>
      <c r="L100" s="60" t="s">
        <v>171</v>
      </c>
      <c r="M100" s="60" t="s">
        <v>77</v>
      </c>
      <c r="N100" s="60" t="s">
        <v>172</v>
      </c>
      <c r="O100" s="60">
        <v>22158506</v>
      </c>
      <c r="P100" s="60">
        <v>259</v>
      </c>
      <c r="Q100" s="60">
        <v>2277800</v>
      </c>
      <c r="R100" s="60">
        <v>34</v>
      </c>
      <c r="S100" s="60">
        <v>0</v>
      </c>
      <c r="T100" s="60">
        <v>0</v>
      </c>
      <c r="U100" s="60">
        <v>14852994</v>
      </c>
      <c r="V100" s="60">
        <v>88</v>
      </c>
      <c r="W100" s="60">
        <v>0</v>
      </c>
      <c r="X100" s="60">
        <v>0</v>
      </c>
      <c r="Y100" s="61">
        <v>2810000</v>
      </c>
      <c r="Z100" s="60">
        <v>20</v>
      </c>
      <c r="AA100" s="60">
        <v>-779800</v>
      </c>
      <c r="AB100" s="60">
        <v>-8</v>
      </c>
      <c r="AC100" s="60">
        <v>41319500</v>
      </c>
      <c r="AD100" s="62">
        <v>393</v>
      </c>
      <c r="AF100" s="47">
        <f t="shared" si="1"/>
        <v>38509500</v>
      </c>
    </row>
    <row r="101" spans="2:32" x14ac:dyDescent="0.3">
      <c r="B101" s="46" t="str">
        <f>IFERROR(VLOOKUP($H101,매장구분!$B:$Z,2,0),"")</f>
        <v>리테일채널팀</v>
      </c>
      <c r="C101" s="46" t="str">
        <f>IFERROR(VLOOKUP($H101,매장구분!$B:$Z,3,0),"")</f>
        <v>국내</v>
      </c>
      <c r="D101" s="46" t="str">
        <f>IFERROR(VLOOKUP($H101,매장구분!$B:$Z,5,0),"")</f>
        <v>상설(위탁)</v>
      </c>
      <c r="E101" s="46" t="str">
        <f>IFERROR(VLOOKUP($H101,매장구분!$B:$Z,9,0),"")</f>
        <v>롯데아울렛김해(상-위)</v>
      </c>
      <c r="F101" s="53"/>
      <c r="G101" s="54" t="s">
        <v>370</v>
      </c>
      <c r="H101" s="55" t="s">
        <v>371</v>
      </c>
      <c r="I101" s="55" t="s">
        <v>169</v>
      </c>
      <c r="J101" s="55" t="s">
        <v>79</v>
      </c>
      <c r="K101" s="55" t="s">
        <v>170</v>
      </c>
      <c r="L101" s="55" t="s">
        <v>171</v>
      </c>
      <c r="M101" s="55" t="s">
        <v>219</v>
      </c>
      <c r="N101" s="55" t="s">
        <v>219</v>
      </c>
      <c r="O101" s="55">
        <v>15588000</v>
      </c>
      <c r="P101" s="55">
        <v>433</v>
      </c>
      <c r="Q101" s="55">
        <v>0</v>
      </c>
      <c r="R101" s="55">
        <v>0</v>
      </c>
      <c r="S101" s="55">
        <v>0</v>
      </c>
      <c r="T101" s="55">
        <v>0</v>
      </c>
      <c r="U101" s="55">
        <v>0</v>
      </c>
      <c r="V101" s="55">
        <v>0</v>
      </c>
      <c r="W101" s="55">
        <v>0</v>
      </c>
      <c r="X101" s="55">
        <v>0</v>
      </c>
      <c r="Y101" s="56">
        <v>0</v>
      </c>
      <c r="Z101" s="55">
        <v>0</v>
      </c>
      <c r="AA101" s="55">
        <v>0</v>
      </c>
      <c r="AB101" s="55">
        <v>0</v>
      </c>
      <c r="AC101" s="55">
        <v>15588000</v>
      </c>
      <c r="AD101" s="57">
        <v>433</v>
      </c>
      <c r="AF101" s="47">
        <f t="shared" si="1"/>
        <v>15588000</v>
      </c>
    </row>
    <row r="102" spans="2:32" x14ac:dyDescent="0.3">
      <c r="B102" s="46" t="str">
        <f>IFERROR(VLOOKUP($H102,매장구분!$B:$Z,2,0),"")</f>
        <v>리테일채널팀</v>
      </c>
      <c r="C102" s="46" t="str">
        <f>IFERROR(VLOOKUP($H102,매장구분!$B:$Z,3,0),"")</f>
        <v>국내</v>
      </c>
      <c r="D102" s="46" t="str">
        <f>IFERROR(VLOOKUP($H102,매장구분!$B:$Z,5,0),"")</f>
        <v>상설(위탁)</v>
      </c>
      <c r="E102" s="46" t="str">
        <f>IFERROR(VLOOKUP($H102,매장구분!$B:$Z,9,0),"")</f>
        <v>모다경주(상-위)</v>
      </c>
      <c r="F102" s="58"/>
      <c r="G102" s="59" t="s">
        <v>374</v>
      </c>
      <c r="H102" s="60" t="s">
        <v>375</v>
      </c>
      <c r="I102" s="60" t="s">
        <v>169</v>
      </c>
      <c r="J102" s="60" t="s">
        <v>79</v>
      </c>
      <c r="K102" s="60" t="s">
        <v>170</v>
      </c>
      <c r="L102" s="60" t="s">
        <v>171</v>
      </c>
      <c r="M102" s="60" t="s">
        <v>77</v>
      </c>
      <c r="N102" s="60" t="s">
        <v>238</v>
      </c>
      <c r="O102" s="60">
        <v>1908000</v>
      </c>
      <c r="P102" s="60">
        <v>53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1">
        <v>0</v>
      </c>
      <c r="Z102" s="60">
        <v>0</v>
      </c>
      <c r="AA102" s="60">
        <v>0</v>
      </c>
      <c r="AB102" s="60">
        <v>0</v>
      </c>
      <c r="AC102" s="60">
        <v>1908000</v>
      </c>
      <c r="AD102" s="62">
        <v>53</v>
      </c>
      <c r="AF102" s="47">
        <f t="shared" si="1"/>
        <v>1908000</v>
      </c>
    </row>
    <row r="103" spans="2:32" x14ac:dyDescent="0.3">
      <c r="B103" s="46" t="str">
        <f>IFERROR(VLOOKUP($H103,매장구분!$B:$Z,2,0),"")</f>
        <v>리테일채널팀</v>
      </c>
      <c r="C103" s="46" t="str">
        <f>IFERROR(VLOOKUP($H103,매장구분!$B:$Z,3,0),"")</f>
        <v>국내</v>
      </c>
      <c r="D103" s="46" t="str">
        <f>IFERROR(VLOOKUP($H103,매장구분!$B:$Z,5,0),"")</f>
        <v>상설(위탁)</v>
      </c>
      <c r="E103" s="46" t="str">
        <f>IFERROR(VLOOKUP($H103,매장구분!$B:$Z,9,0),"")</f>
        <v>현대아울렛가든5(상-위)</v>
      </c>
      <c r="F103" s="53"/>
      <c r="G103" s="54" t="s">
        <v>372</v>
      </c>
      <c r="H103" s="55" t="s">
        <v>373</v>
      </c>
      <c r="I103" s="55" t="s">
        <v>169</v>
      </c>
      <c r="J103" s="55" t="s">
        <v>79</v>
      </c>
      <c r="K103" s="55" t="s">
        <v>170</v>
      </c>
      <c r="L103" s="55" t="s">
        <v>171</v>
      </c>
      <c r="M103" s="55" t="s">
        <v>219</v>
      </c>
      <c r="N103" s="55" t="s">
        <v>219</v>
      </c>
      <c r="O103" s="55">
        <v>3384000</v>
      </c>
      <c r="P103" s="55">
        <v>94</v>
      </c>
      <c r="Q103" s="55">
        <v>0</v>
      </c>
      <c r="R103" s="55">
        <v>0</v>
      </c>
      <c r="S103" s="55">
        <v>0</v>
      </c>
      <c r="T103" s="55">
        <v>0</v>
      </c>
      <c r="U103" s="55">
        <v>0</v>
      </c>
      <c r="V103" s="55">
        <v>0</v>
      </c>
      <c r="W103" s="55">
        <v>0</v>
      </c>
      <c r="X103" s="55">
        <v>0</v>
      </c>
      <c r="Y103" s="56">
        <v>0</v>
      </c>
      <c r="Z103" s="55">
        <v>0</v>
      </c>
      <c r="AA103" s="55">
        <v>0</v>
      </c>
      <c r="AB103" s="55">
        <v>0</v>
      </c>
      <c r="AC103" s="55">
        <v>3384000</v>
      </c>
      <c r="AD103" s="57">
        <v>94</v>
      </c>
      <c r="AF103" s="47">
        <f t="shared" si="1"/>
        <v>3384000</v>
      </c>
    </row>
    <row r="104" spans="2:32" x14ac:dyDescent="0.3">
      <c r="B104" s="46" t="str">
        <f>IFERROR(VLOOKUP($H104,매장구분!$B:$Z,2,0),"")</f>
        <v>리테일채널팀</v>
      </c>
      <c r="C104" s="46" t="str">
        <f>IFERROR(VLOOKUP($H104,매장구분!$B:$Z,3,0),"")</f>
        <v>국내</v>
      </c>
      <c r="D104" s="46" t="str">
        <f>IFERROR(VLOOKUP($H104,매장구분!$B:$Z,5,0),"")</f>
        <v>상설(위탁)</v>
      </c>
      <c r="E104" s="46" t="str">
        <f>IFERROR(VLOOKUP($H104,매장구분!$B:$Z,9,0),"")</f>
        <v>현대아울렛대구(상-위)</v>
      </c>
      <c r="F104" s="58"/>
      <c r="G104" s="59" t="s">
        <v>590</v>
      </c>
      <c r="H104" s="60" t="s">
        <v>591</v>
      </c>
      <c r="I104" s="60" t="s">
        <v>169</v>
      </c>
      <c r="J104" s="60" t="s">
        <v>79</v>
      </c>
      <c r="K104" s="60" t="s">
        <v>170</v>
      </c>
      <c r="L104" s="60" t="s">
        <v>171</v>
      </c>
      <c r="M104" s="60" t="s">
        <v>219</v>
      </c>
      <c r="N104" s="60" t="s">
        <v>219</v>
      </c>
      <c r="O104" s="60">
        <v>1908000</v>
      </c>
      <c r="P104" s="60">
        <v>53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1">
        <v>0</v>
      </c>
      <c r="Z104" s="60">
        <v>0</v>
      </c>
      <c r="AA104" s="60">
        <v>0</v>
      </c>
      <c r="AB104" s="60">
        <v>0</v>
      </c>
      <c r="AC104" s="60">
        <v>1908000</v>
      </c>
      <c r="AD104" s="62">
        <v>53</v>
      </c>
      <c r="AF104" s="47">
        <f t="shared" si="1"/>
        <v>1908000</v>
      </c>
    </row>
    <row r="105" spans="2:32" x14ac:dyDescent="0.3">
      <c r="B105" s="46" t="str">
        <f>IFERROR(VLOOKUP($H105,매장구분!$B:$Z,2,0),"")</f>
        <v>리테일채널팀</v>
      </c>
      <c r="C105" s="46" t="str">
        <f>IFERROR(VLOOKUP($H105,매장구분!$B:$Z,3,0),"")</f>
        <v>국내</v>
      </c>
      <c r="D105" s="46" t="str">
        <f>IFERROR(VLOOKUP($H105,매장구분!$B:$Z,5,0),"")</f>
        <v>상설(위탁)</v>
      </c>
      <c r="E105" s="46" t="str">
        <f>IFERROR(VLOOKUP($H105,매장구분!$B:$Z,9,0),"")</f>
        <v>롯데아울렛동부산(상-위)</v>
      </c>
      <c r="F105" s="53"/>
      <c r="G105" s="54" t="s">
        <v>366</v>
      </c>
      <c r="H105" s="55" t="s">
        <v>367</v>
      </c>
      <c r="I105" s="55" t="s">
        <v>169</v>
      </c>
      <c r="J105" s="55" t="s">
        <v>79</v>
      </c>
      <c r="K105" s="55" t="s">
        <v>170</v>
      </c>
      <c r="L105" s="55" t="s">
        <v>171</v>
      </c>
      <c r="M105" s="55" t="s">
        <v>219</v>
      </c>
      <c r="N105" s="55" t="s">
        <v>219</v>
      </c>
      <c r="O105" s="55">
        <v>14040000</v>
      </c>
      <c r="P105" s="55">
        <v>390</v>
      </c>
      <c r="Q105" s="55">
        <v>0</v>
      </c>
      <c r="R105" s="55">
        <v>0</v>
      </c>
      <c r="S105" s="55">
        <v>0</v>
      </c>
      <c r="T105" s="55">
        <v>0</v>
      </c>
      <c r="U105" s="55">
        <v>0</v>
      </c>
      <c r="V105" s="55">
        <v>0</v>
      </c>
      <c r="W105" s="55">
        <v>0</v>
      </c>
      <c r="X105" s="55">
        <v>0</v>
      </c>
      <c r="Y105" s="56">
        <v>0</v>
      </c>
      <c r="Z105" s="55">
        <v>0</v>
      </c>
      <c r="AA105" s="55">
        <v>0</v>
      </c>
      <c r="AB105" s="55">
        <v>0</v>
      </c>
      <c r="AC105" s="55">
        <v>14040000</v>
      </c>
      <c r="AD105" s="57">
        <v>390</v>
      </c>
      <c r="AF105" s="47">
        <f t="shared" si="1"/>
        <v>14040000</v>
      </c>
    </row>
    <row r="106" spans="2:32" x14ac:dyDescent="0.3">
      <c r="B106" s="46" t="str">
        <f>IFERROR(VLOOKUP($H106,매장구분!$B:$Z,2,0),"")</f>
        <v>리테일채널팀</v>
      </c>
      <c r="C106" s="46" t="str">
        <f>IFERROR(VLOOKUP($H106,매장구분!$B:$Z,3,0),"")</f>
        <v>국내</v>
      </c>
      <c r="D106" s="46" t="str">
        <f>IFERROR(VLOOKUP($H106,매장구분!$B:$Z,5,0),"")</f>
        <v>상설(위탁)</v>
      </c>
      <c r="E106" s="46" t="str">
        <f>IFERROR(VLOOKUP($H106,매장구분!$B:$Z,9,0),"")</f>
        <v>NC강서(상-위)</v>
      </c>
      <c r="F106" s="58"/>
      <c r="G106" s="59" t="s">
        <v>376</v>
      </c>
      <c r="H106" s="60" t="s">
        <v>377</v>
      </c>
      <c r="I106" s="60" t="s">
        <v>169</v>
      </c>
      <c r="J106" s="60" t="s">
        <v>79</v>
      </c>
      <c r="K106" s="60" t="s">
        <v>170</v>
      </c>
      <c r="L106" s="60" t="s">
        <v>171</v>
      </c>
      <c r="M106" s="60" t="s">
        <v>77</v>
      </c>
      <c r="N106" s="60" t="s">
        <v>238</v>
      </c>
      <c r="O106" s="60">
        <v>3780000</v>
      </c>
      <c r="P106" s="60">
        <v>105</v>
      </c>
      <c r="Q106" s="60">
        <v>0</v>
      </c>
      <c r="R106" s="60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0">
        <v>0</v>
      </c>
      <c r="Y106" s="61">
        <v>0</v>
      </c>
      <c r="Z106" s="60">
        <v>0</v>
      </c>
      <c r="AA106" s="60">
        <v>0</v>
      </c>
      <c r="AB106" s="60">
        <v>0</v>
      </c>
      <c r="AC106" s="60">
        <v>3780000</v>
      </c>
      <c r="AD106" s="62">
        <v>105</v>
      </c>
      <c r="AF106" s="47">
        <f t="shared" si="1"/>
        <v>3780000</v>
      </c>
    </row>
    <row r="107" spans="2:32" x14ac:dyDescent="0.3">
      <c r="B107" s="46" t="str">
        <f>IFERROR(VLOOKUP($H107,매장구분!$B:$Z,2,0),"")</f>
        <v>리테일채널팀</v>
      </c>
      <c r="C107" s="46" t="str">
        <f>IFERROR(VLOOKUP($H107,매장구분!$B:$Z,3,0),"")</f>
        <v>국내</v>
      </c>
      <c r="D107" s="46" t="str">
        <f>IFERROR(VLOOKUP($H107,매장구분!$B:$Z,5,0),"")</f>
        <v>대리점</v>
      </c>
      <c r="E107" s="46" t="str">
        <f>IFERROR(VLOOKUP($H107,매장구분!$B:$Z,9,0),"")</f>
        <v>상주(대-위)</v>
      </c>
      <c r="F107" s="53"/>
      <c r="G107" s="54" t="s">
        <v>388</v>
      </c>
      <c r="H107" s="55" t="s">
        <v>389</v>
      </c>
      <c r="I107" s="55" t="s">
        <v>169</v>
      </c>
      <c r="J107" s="55" t="s">
        <v>79</v>
      </c>
      <c r="K107" s="55" t="s">
        <v>170</v>
      </c>
      <c r="L107" s="55" t="s">
        <v>171</v>
      </c>
      <c r="M107" s="55" t="s">
        <v>196</v>
      </c>
      <c r="N107" s="55" t="s">
        <v>197</v>
      </c>
      <c r="O107" s="55">
        <v>25551899</v>
      </c>
      <c r="P107" s="55">
        <v>213</v>
      </c>
      <c r="Q107" s="55">
        <v>0</v>
      </c>
      <c r="R107" s="55">
        <v>0</v>
      </c>
      <c r="S107" s="55">
        <v>0</v>
      </c>
      <c r="T107" s="55">
        <v>0</v>
      </c>
      <c r="U107" s="55">
        <v>2471760</v>
      </c>
      <c r="V107" s="55">
        <v>20</v>
      </c>
      <c r="W107" s="55">
        <v>0</v>
      </c>
      <c r="X107" s="55">
        <v>0</v>
      </c>
      <c r="Y107" s="56">
        <v>0</v>
      </c>
      <c r="Z107" s="55">
        <v>0</v>
      </c>
      <c r="AA107" s="55">
        <v>0</v>
      </c>
      <c r="AB107" s="55">
        <v>0</v>
      </c>
      <c r="AC107" s="55">
        <v>28023659</v>
      </c>
      <c r="AD107" s="57">
        <v>233</v>
      </c>
      <c r="AF107" s="47">
        <f t="shared" si="1"/>
        <v>28023659</v>
      </c>
    </row>
    <row r="108" spans="2:32" x14ac:dyDescent="0.3">
      <c r="B108" s="46" t="str">
        <f>IFERROR(VLOOKUP($H108,매장구분!$B:$Z,2,0),"")</f>
        <v>리테일채널팀</v>
      </c>
      <c r="C108" s="46" t="str">
        <f>IFERROR(VLOOKUP($H108,매장구분!$B:$Z,3,0),"")</f>
        <v>국내</v>
      </c>
      <c r="D108" s="46" t="str">
        <f>IFERROR(VLOOKUP($H108,매장구분!$B:$Z,5,0),"")</f>
        <v>직영점</v>
      </c>
      <c r="E108" s="46" t="str">
        <f>IFERROR(VLOOKUP($H108,매장구분!$B:$Z,9,0),"")</f>
        <v>스타필드하남(직)</v>
      </c>
      <c r="F108" s="58"/>
      <c r="G108" s="59" t="s">
        <v>394</v>
      </c>
      <c r="H108" s="60" t="s">
        <v>395</v>
      </c>
      <c r="I108" s="60" t="s">
        <v>169</v>
      </c>
      <c r="J108" s="60" t="s">
        <v>180</v>
      </c>
      <c r="K108" s="60" t="s">
        <v>170</v>
      </c>
      <c r="L108" s="60" t="s">
        <v>171</v>
      </c>
      <c r="M108" s="60" t="s">
        <v>188</v>
      </c>
      <c r="N108" s="60" t="s">
        <v>189</v>
      </c>
      <c r="O108" s="60">
        <v>77895900</v>
      </c>
      <c r="P108" s="60">
        <v>852</v>
      </c>
      <c r="Q108" s="60">
        <v>0</v>
      </c>
      <c r="R108" s="60">
        <v>0</v>
      </c>
      <c r="S108" s="60">
        <v>0</v>
      </c>
      <c r="T108" s="60">
        <v>0</v>
      </c>
      <c r="U108" s="60">
        <v>11441000</v>
      </c>
      <c r="V108" s="60">
        <v>49</v>
      </c>
      <c r="W108" s="60">
        <v>0</v>
      </c>
      <c r="X108" s="60">
        <v>0</v>
      </c>
      <c r="Y108" s="61">
        <v>0</v>
      </c>
      <c r="Z108" s="60">
        <v>0</v>
      </c>
      <c r="AA108" s="60">
        <v>0</v>
      </c>
      <c r="AB108" s="60">
        <v>0</v>
      </c>
      <c r="AC108" s="60">
        <v>89336900</v>
      </c>
      <c r="AD108" s="62">
        <v>901</v>
      </c>
      <c r="AF108" s="47">
        <f t="shared" si="1"/>
        <v>89336900</v>
      </c>
    </row>
    <row r="109" spans="2:32" x14ac:dyDescent="0.3">
      <c r="B109" s="46" t="str">
        <f>IFERROR(VLOOKUP($H109,매장구분!$B:$Z,2,0),"")</f>
        <v>리테일채널팀</v>
      </c>
      <c r="C109" s="46" t="str">
        <f>IFERROR(VLOOKUP($H109,매장구분!$B:$Z,3,0),"")</f>
        <v>국내</v>
      </c>
      <c r="D109" s="46" t="str">
        <f>IFERROR(VLOOKUP($H109,매장구분!$B:$Z,5,0),"")</f>
        <v>대리점</v>
      </c>
      <c r="E109" s="46" t="str">
        <f>IFERROR(VLOOKUP($H109,매장구분!$B:$Z,9,0),"")</f>
        <v>군산수송(대-위)</v>
      </c>
      <c r="F109" s="53"/>
      <c r="G109" s="54" t="s">
        <v>594</v>
      </c>
      <c r="H109" s="55" t="s">
        <v>595</v>
      </c>
      <c r="I109" s="55" t="s">
        <v>169</v>
      </c>
      <c r="J109" s="55" t="s">
        <v>79</v>
      </c>
      <c r="K109" s="55" t="s">
        <v>170</v>
      </c>
      <c r="L109" s="55" t="s">
        <v>171</v>
      </c>
      <c r="M109" s="55" t="s">
        <v>196</v>
      </c>
      <c r="N109" s="55" t="s">
        <v>197</v>
      </c>
      <c r="O109" s="55">
        <v>8104600</v>
      </c>
      <c r="P109" s="55">
        <v>94</v>
      </c>
      <c r="Q109" s="55">
        <v>0</v>
      </c>
      <c r="R109" s="55">
        <v>0</v>
      </c>
      <c r="S109" s="55">
        <v>0</v>
      </c>
      <c r="T109" s="55">
        <v>0</v>
      </c>
      <c r="U109" s="55">
        <v>456300</v>
      </c>
      <c r="V109" s="55">
        <v>2</v>
      </c>
      <c r="W109" s="55">
        <v>0</v>
      </c>
      <c r="X109" s="55">
        <v>0</v>
      </c>
      <c r="Y109" s="56">
        <v>7149000</v>
      </c>
      <c r="Z109" s="55">
        <v>73</v>
      </c>
      <c r="AA109" s="55">
        <v>0</v>
      </c>
      <c r="AB109" s="55">
        <v>0</v>
      </c>
      <c r="AC109" s="55">
        <v>15709900</v>
      </c>
      <c r="AD109" s="57">
        <v>169</v>
      </c>
      <c r="AF109" s="47">
        <f t="shared" si="1"/>
        <v>8560900</v>
      </c>
    </row>
    <row r="110" spans="2:32" x14ac:dyDescent="0.3">
      <c r="B110" s="46" t="str">
        <f>IFERROR(VLOOKUP($H110,매장구분!$B:$Z,2,0),"")</f>
        <v>리테일채널팀</v>
      </c>
      <c r="C110" s="46" t="str">
        <f>IFERROR(VLOOKUP($H110,매장구분!$B:$Z,3,0),"")</f>
        <v>국내</v>
      </c>
      <c r="D110" s="46" t="str">
        <f>IFERROR(VLOOKUP($H110,매장구분!$B:$Z,5,0),"")</f>
        <v>직영점</v>
      </c>
      <c r="E110" s="46" t="str">
        <f>IFERROR(VLOOKUP($H110,매장구분!$B:$Z,9,0),"")</f>
        <v>타임테라스동탄(직)</v>
      </c>
      <c r="F110" s="58"/>
      <c r="G110" s="59" t="s">
        <v>408</v>
      </c>
      <c r="H110" s="60" t="s">
        <v>409</v>
      </c>
      <c r="I110" s="60" t="s">
        <v>169</v>
      </c>
      <c r="J110" s="60" t="s">
        <v>180</v>
      </c>
      <c r="K110" s="60" t="s">
        <v>170</v>
      </c>
      <c r="L110" s="60" t="s">
        <v>171</v>
      </c>
      <c r="M110" s="60" t="s">
        <v>188</v>
      </c>
      <c r="N110" s="60" t="s">
        <v>317</v>
      </c>
      <c r="O110" s="60">
        <v>22714380</v>
      </c>
      <c r="P110" s="60">
        <v>253</v>
      </c>
      <c r="Q110" s="60">
        <v>0</v>
      </c>
      <c r="R110" s="60">
        <v>0</v>
      </c>
      <c r="S110" s="60">
        <v>0</v>
      </c>
      <c r="T110" s="60">
        <v>0</v>
      </c>
      <c r="U110" s="60">
        <v>5654620</v>
      </c>
      <c r="V110" s="60">
        <v>45</v>
      </c>
      <c r="W110" s="60">
        <v>0</v>
      </c>
      <c r="X110" s="60">
        <v>0</v>
      </c>
      <c r="Y110" s="61">
        <v>0</v>
      </c>
      <c r="Z110" s="60">
        <v>0</v>
      </c>
      <c r="AA110" s="60">
        <v>0</v>
      </c>
      <c r="AB110" s="60">
        <v>0</v>
      </c>
      <c r="AC110" s="60">
        <v>28369000</v>
      </c>
      <c r="AD110" s="62">
        <v>298</v>
      </c>
      <c r="AF110" s="47">
        <f t="shared" si="1"/>
        <v>28369000</v>
      </c>
    </row>
    <row r="111" spans="2:32" x14ac:dyDescent="0.3">
      <c r="B111" s="46" t="str">
        <f>IFERROR(VLOOKUP($H111,매장구분!$B:$Z,2,0),"")</f>
        <v>리테일채널팀</v>
      </c>
      <c r="C111" s="46" t="str">
        <f>IFERROR(VLOOKUP($H111,매장구분!$B:$Z,3,0),"")</f>
        <v>RF</v>
      </c>
      <c r="D111" s="46" t="str">
        <f>IFERROR(VLOOKUP($H111,매장구분!$B:$Z,5,0),"")</f>
        <v>직영점</v>
      </c>
      <c r="E111" s="46" t="str">
        <f>IFERROR(VLOOKUP($H111,매장구분!$B:$Z,9,0),"")</f>
        <v>가로수길(직)</v>
      </c>
      <c r="F111" s="53"/>
      <c r="G111" s="54" t="s">
        <v>398</v>
      </c>
      <c r="H111" s="55" t="s">
        <v>399</v>
      </c>
      <c r="I111" s="55" t="s">
        <v>169</v>
      </c>
      <c r="J111" s="55" t="s">
        <v>180</v>
      </c>
      <c r="K111" s="55" t="s">
        <v>170</v>
      </c>
      <c r="L111" s="55" t="s">
        <v>171</v>
      </c>
      <c r="M111" s="55" t="s">
        <v>196</v>
      </c>
      <c r="N111" s="55" t="s">
        <v>206</v>
      </c>
      <c r="O111" s="55">
        <v>320886000</v>
      </c>
      <c r="P111" s="55">
        <v>2686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  <c r="V111" s="55">
        <v>0</v>
      </c>
      <c r="W111" s="55">
        <v>0</v>
      </c>
      <c r="X111" s="55">
        <v>0</v>
      </c>
      <c r="Y111" s="56">
        <v>0</v>
      </c>
      <c r="Z111" s="55">
        <v>0</v>
      </c>
      <c r="AA111" s="55">
        <v>0</v>
      </c>
      <c r="AB111" s="55">
        <v>0</v>
      </c>
      <c r="AC111" s="55">
        <v>320886000</v>
      </c>
      <c r="AD111" s="57">
        <v>2686</v>
      </c>
      <c r="AF111" s="47">
        <f t="shared" si="1"/>
        <v>320886000</v>
      </c>
    </row>
    <row r="112" spans="2:32" x14ac:dyDescent="0.3">
      <c r="B112" s="46" t="str">
        <f>IFERROR(VLOOKUP($H112,매장구분!$B:$Z,2,0),"")</f>
        <v>리테일채널팀</v>
      </c>
      <c r="C112" s="46" t="str">
        <f>IFERROR(VLOOKUP($H112,매장구분!$B:$Z,3,0),"")</f>
        <v>RF</v>
      </c>
      <c r="D112" s="46" t="str">
        <f>IFERROR(VLOOKUP($H112,매장구분!$B:$Z,5,0),"")</f>
        <v>직영점</v>
      </c>
      <c r="E112" s="46" t="str">
        <f>IFERROR(VLOOKUP($H112,매장구분!$B:$Z,9,0),"")</f>
        <v>홍대(직)</v>
      </c>
      <c r="F112" s="58"/>
      <c r="G112" s="59" t="s">
        <v>386</v>
      </c>
      <c r="H112" s="60" t="s">
        <v>387</v>
      </c>
      <c r="I112" s="60" t="s">
        <v>169</v>
      </c>
      <c r="J112" s="60" t="s">
        <v>180</v>
      </c>
      <c r="K112" s="60" t="s">
        <v>170</v>
      </c>
      <c r="L112" s="60" t="s">
        <v>171</v>
      </c>
      <c r="M112" s="60" t="s">
        <v>196</v>
      </c>
      <c r="N112" s="60" t="s">
        <v>206</v>
      </c>
      <c r="O112" s="60">
        <v>121221400</v>
      </c>
      <c r="P112" s="60">
        <v>1349</v>
      </c>
      <c r="Q112" s="60">
        <v>0</v>
      </c>
      <c r="R112" s="60">
        <v>0</v>
      </c>
      <c r="S112" s="60">
        <v>0</v>
      </c>
      <c r="T112" s="60">
        <v>0</v>
      </c>
      <c r="U112" s="60">
        <v>159000</v>
      </c>
      <c r="V112" s="60">
        <v>1</v>
      </c>
      <c r="W112" s="60">
        <v>0</v>
      </c>
      <c r="X112" s="60">
        <v>0</v>
      </c>
      <c r="Y112" s="61">
        <v>0</v>
      </c>
      <c r="Z112" s="60">
        <v>0</v>
      </c>
      <c r="AA112" s="60">
        <v>0</v>
      </c>
      <c r="AB112" s="60">
        <v>0</v>
      </c>
      <c r="AC112" s="60">
        <v>121380400</v>
      </c>
      <c r="AD112" s="62">
        <v>1350</v>
      </c>
      <c r="AF112" s="47">
        <f t="shared" si="1"/>
        <v>121380400</v>
      </c>
    </row>
    <row r="113" spans="2:32" x14ac:dyDescent="0.3">
      <c r="B113" s="46" t="str">
        <f>IFERROR(VLOOKUP($H113,매장구분!$B:$Z,2,0),"")</f>
        <v>파트너채널팀</v>
      </c>
      <c r="C113" s="46" t="str">
        <f>IFERROR(VLOOKUP($H113,매장구분!$B:$Z,3,0),"")</f>
        <v>국내</v>
      </c>
      <c r="D113" s="46" t="str">
        <f>IFERROR(VLOOKUP($H113,매장구분!$B:$Z,5,0),"")</f>
        <v>백화점</v>
      </c>
      <c r="E113" s="46" t="str">
        <f>IFERROR(VLOOKUP($H113,매장구분!$B:$Z,9,0),"")</f>
        <v>롯데수원</v>
      </c>
      <c r="F113" s="53"/>
      <c r="G113" s="54" t="s">
        <v>402</v>
      </c>
      <c r="H113" s="55" t="s">
        <v>403</v>
      </c>
      <c r="I113" s="55" t="s">
        <v>169</v>
      </c>
      <c r="J113" s="55" t="s">
        <v>175</v>
      </c>
      <c r="K113" s="55" t="s">
        <v>170</v>
      </c>
      <c r="L113" s="55" t="s">
        <v>171</v>
      </c>
      <c r="M113" s="55" t="s">
        <v>77</v>
      </c>
      <c r="N113" s="55" t="s">
        <v>172</v>
      </c>
      <c r="O113" s="55">
        <v>124882500</v>
      </c>
      <c r="P113" s="55">
        <v>1054</v>
      </c>
      <c r="Q113" s="55">
        <v>11480700</v>
      </c>
      <c r="R113" s="55">
        <v>153</v>
      </c>
      <c r="S113" s="55">
        <v>0</v>
      </c>
      <c r="T113" s="55">
        <v>0</v>
      </c>
      <c r="U113" s="55">
        <v>7640100</v>
      </c>
      <c r="V113" s="55">
        <v>25</v>
      </c>
      <c r="W113" s="55">
        <v>0</v>
      </c>
      <c r="X113" s="55">
        <v>0</v>
      </c>
      <c r="Y113" s="56">
        <v>0</v>
      </c>
      <c r="Z113" s="55">
        <v>0</v>
      </c>
      <c r="AA113" s="55">
        <v>-4323000</v>
      </c>
      <c r="AB113" s="55">
        <v>-17</v>
      </c>
      <c r="AC113" s="55">
        <v>139680300</v>
      </c>
      <c r="AD113" s="57">
        <v>1215</v>
      </c>
      <c r="AF113" s="47">
        <f t="shared" si="1"/>
        <v>139680300</v>
      </c>
    </row>
    <row r="114" spans="2:32" x14ac:dyDescent="0.3">
      <c r="B114" s="46" t="str">
        <f>IFERROR(VLOOKUP($H114,매장구분!$B:$Z,2,0),"")</f>
        <v>파트너채널팀</v>
      </c>
      <c r="C114" s="46" t="str">
        <f>IFERROR(VLOOKUP($H114,매장구분!$B:$Z,3,0),"")</f>
        <v>면세</v>
      </c>
      <c r="D114" s="46" t="str">
        <f>IFERROR(VLOOKUP($H114,매장구분!$B:$Z,5,0),"")</f>
        <v>면세</v>
      </c>
      <c r="E114" s="46" t="str">
        <f>IFERROR(VLOOKUP($H114,매장구분!$B:$Z,9,0),"")</f>
        <v>롯데면세소공</v>
      </c>
      <c r="F114" s="58"/>
      <c r="G114" s="59" t="s">
        <v>384</v>
      </c>
      <c r="H114" s="60" t="s">
        <v>385</v>
      </c>
      <c r="I114" s="60" t="s">
        <v>169</v>
      </c>
      <c r="J114" s="60" t="s">
        <v>175</v>
      </c>
      <c r="K114" s="60" t="s">
        <v>170</v>
      </c>
      <c r="L114" s="60" t="s">
        <v>171</v>
      </c>
      <c r="M114" s="60" t="s">
        <v>176</v>
      </c>
      <c r="N114" s="60" t="s">
        <v>177</v>
      </c>
      <c r="O114" s="60">
        <v>521344400</v>
      </c>
      <c r="P114" s="60">
        <v>7526</v>
      </c>
      <c r="Q114" s="60">
        <v>0</v>
      </c>
      <c r="R114" s="60">
        <v>0</v>
      </c>
      <c r="S114" s="60">
        <v>0</v>
      </c>
      <c r="T114" s="60">
        <v>0</v>
      </c>
      <c r="U114" s="60">
        <v>0</v>
      </c>
      <c r="V114" s="60">
        <v>0</v>
      </c>
      <c r="W114" s="60">
        <v>0</v>
      </c>
      <c r="X114" s="60">
        <v>0</v>
      </c>
      <c r="Y114" s="61">
        <v>1103818500</v>
      </c>
      <c r="Z114" s="60">
        <v>18814</v>
      </c>
      <c r="AA114" s="60">
        <v>0</v>
      </c>
      <c r="AB114" s="60">
        <v>0</v>
      </c>
      <c r="AC114" s="60">
        <v>1625162900</v>
      </c>
      <c r="AD114" s="62">
        <v>26340</v>
      </c>
      <c r="AF114" s="47">
        <f t="shared" si="1"/>
        <v>521344400</v>
      </c>
    </row>
    <row r="115" spans="2:32" x14ac:dyDescent="0.3">
      <c r="B115" s="46" t="str">
        <f>IFERROR(VLOOKUP($H115,매장구분!$B:$Z,2,0),"")</f>
        <v>리테일채널팀</v>
      </c>
      <c r="C115" s="46" t="str">
        <f>IFERROR(VLOOKUP($H115,매장구분!$B:$Z,3,0),"")</f>
        <v>국내</v>
      </c>
      <c r="D115" s="46" t="str">
        <f>IFERROR(VLOOKUP($H115,매장구분!$B:$Z,5,0),"")</f>
        <v>대리점</v>
      </c>
      <c r="E115" s="46" t="str">
        <f>IFERROR(VLOOKUP($H115,매장구분!$B:$Z,9,0),"")</f>
        <v>순천연향(대-위)</v>
      </c>
      <c r="F115" s="53"/>
      <c r="G115" s="54" t="s">
        <v>390</v>
      </c>
      <c r="H115" s="55" t="s">
        <v>391</v>
      </c>
      <c r="I115" s="55" t="s">
        <v>169</v>
      </c>
      <c r="J115" s="55" t="s">
        <v>79</v>
      </c>
      <c r="K115" s="55" t="s">
        <v>170</v>
      </c>
      <c r="L115" s="55" t="s">
        <v>171</v>
      </c>
      <c r="M115" s="55" t="s">
        <v>196</v>
      </c>
      <c r="N115" s="55" t="s">
        <v>197</v>
      </c>
      <c r="O115" s="55">
        <v>86005486</v>
      </c>
      <c r="P115" s="55">
        <v>759</v>
      </c>
      <c r="Q115" s="55">
        <v>0</v>
      </c>
      <c r="R115" s="55">
        <v>0</v>
      </c>
      <c r="S115" s="55">
        <v>0</v>
      </c>
      <c r="T115" s="55">
        <v>0</v>
      </c>
      <c r="U115" s="55">
        <v>8321538</v>
      </c>
      <c r="V115" s="55">
        <v>45</v>
      </c>
      <c r="W115" s="55">
        <v>0</v>
      </c>
      <c r="X115" s="55">
        <v>0</v>
      </c>
      <c r="Y115" s="56">
        <v>0</v>
      </c>
      <c r="Z115" s="55">
        <v>0</v>
      </c>
      <c r="AA115" s="55">
        <v>0</v>
      </c>
      <c r="AB115" s="55">
        <v>0</v>
      </c>
      <c r="AC115" s="55">
        <v>94327024</v>
      </c>
      <c r="AD115" s="57">
        <v>804</v>
      </c>
      <c r="AF115" s="47">
        <f t="shared" si="1"/>
        <v>94327024</v>
      </c>
    </row>
    <row r="116" spans="2:32" x14ac:dyDescent="0.3">
      <c r="B116" s="46" t="str">
        <f>IFERROR(VLOOKUP($H116,매장구분!$B:$Z,2,0),"")</f>
        <v>파트너채널팀</v>
      </c>
      <c r="C116" s="46" t="str">
        <f>IFERROR(VLOOKUP($H116,매장구분!$B:$Z,3,0),"")</f>
        <v>국내</v>
      </c>
      <c r="D116" s="46" t="str">
        <f>IFERROR(VLOOKUP($H116,매장구분!$B:$Z,5,0),"")</f>
        <v>백화점</v>
      </c>
      <c r="E116" s="46" t="str">
        <f>IFERROR(VLOOKUP($H116,매장구분!$B:$Z,9,0),"")</f>
        <v>롯데평촌</v>
      </c>
      <c r="F116" s="58"/>
      <c r="G116" s="59" t="s">
        <v>412</v>
      </c>
      <c r="H116" s="60" t="s">
        <v>413</v>
      </c>
      <c r="I116" s="60" t="s">
        <v>169</v>
      </c>
      <c r="J116" s="60" t="s">
        <v>175</v>
      </c>
      <c r="K116" s="60" t="s">
        <v>170</v>
      </c>
      <c r="L116" s="60" t="s">
        <v>171</v>
      </c>
      <c r="M116" s="60" t="s">
        <v>77</v>
      </c>
      <c r="N116" s="60" t="s">
        <v>172</v>
      </c>
      <c r="O116" s="60">
        <v>60871960</v>
      </c>
      <c r="P116" s="60">
        <v>624</v>
      </c>
      <c r="Q116" s="60">
        <v>996000</v>
      </c>
      <c r="R116" s="60">
        <v>8</v>
      </c>
      <c r="S116" s="60">
        <v>0</v>
      </c>
      <c r="T116" s="60">
        <v>0</v>
      </c>
      <c r="U116" s="60">
        <v>5464440</v>
      </c>
      <c r="V116" s="60">
        <v>41</v>
      </c>
      <c r="W116" s="60">
        <v>0</v>
      </c>
      <c r="X116" s="60">
        <v>0</v>
      </c>
      <c r="Y116" s="61">
        <v>71510300</v>
      </c>
      <c r="Z116" s="60">
        <v>468</v>
      </c>
      <c r="AA116" s="60">
        <v>0</v>
      </c>
      <c r="AB116" s="60">
        <v>0</v>
      </c>
      <c r="AC116" s="60">
        <v>138842700</v>
      </c>
      <c r="AD116" s="62">
        <v>1141</v>
      </c>
      <c r="AF116" s="47">
        <f t="shared" si="1"/>
        <v>67332400</v>
      </c>
    </row>
    <row r="117" spans="2:32" x14ac:dyDescent="0.3">
      <c r="B117" s="46" t="str">
        <f>IFERROR(VLOOKUP($H117,매장구분!$B:$Z,2,0),"")</f>
        <v>리테일채널팀</v>
      </c>
      <c r="C117" s="46" t="str">
        <f>IFERROR(VLOOKUP($H117,매장구분!$B:$Z,3,0),"")</f>
        <v>국내</v>
      </c>
      <c r="D117" s="46" t="str">
        <f>IFERROR(VLOOKUP($H117,매장구분!$B:$Z,5,0),"")</f>
        <v>대리점</v>
      </c>
      <c r="E117" s="46" t="str">
        <f>IFERROR(VLOOKUP($H117,매장구분!$B:$Z,9,0),"")</f>
        <v>전주송천(대-위)</v>
      </c>
      <c r="F117" s="53"/>
      <c r="G117" s="54" t="s">
        <v>428</v>
      </c>
      <c r="H117" s="55" t="s">
        <v>429</v>
      </c>
      <c r="I117" s="55" t="s">
        <v>169</v>
      </c>
      <c r="J117" s="55" t="s">
        <v>79</v>
      </c>
      <c r="K117" s="55" t="s">
        <v>170</v>
      </c>
      <c r="L117" s="55" t="s">
        <v>171</v>
      </c>
      <c r="M117" s="55" t="s">
        <v>196</v>
      </c>
      <c r="N117" s="55" t="s">
        <v>197</v>
      </c>
      <c r="O117" s="55">
        <v>25932234</v>
      </c>
      <c r="P117" s="55">
        <v>232</v>
      </c>
      <c r="Q117" s="55">
        <v>0</v>
      </c>
      <c r="R117" s="55">
        <v>0</v>
      </c>
      <c r="S117" s="55">
        <v>0</v>
      </c>
      <c r="T117" s="55">
        <v>0</v>
      </c>
      <c r="U117" s="55">
        <v>1556841</v>
      </c>
      <c r="V117" s="55">
        <v>13</v>
      </c>
      <c r="W117" s="55">
        <v>0</v>
      </c>
      <c r="X117" s="55">
        <v>0</v>
      </c>
      <c r="Y117" s="56">
        <v>47369900</v>
      </c>
      <c r="Z117" s="55">
        <v>377</v>
      </c>
      <c r="AA117" s="55">
        <v>0</v>
      </c>
      <c r="AB117" s="55">
        <v>0</v>
      </c>
      <c r="AC117" s="55">
        <v>74858975</v>
      </c>
      <c r="AD117" s="57">
        <v>622</v>
      </c>
      <c r="AF117" s="47">
        <f t="shared" si="1"/>
        <v>27489075</v>
      </c>
    </row>
    <row r="118" spans="2:32" x14ac:dyDescent="0.3">
      <c r="B118" s="46" t="str">
        <f>IFERROR(VLOOKUP($H118,매장구분!$B:$Z,2,0),"")</f>
        <v>리테일채널팀</v>
      </c>
      <c r="C118" s="46" t="str">
        <f>IFERROR(VLOOKUP($H118,매장구분!$B:$Z,3,0),"")</f>
        <v>국내</v>
      </c>
      <c r="D118" s="46" t="str">
        <f>IFERROR(VLOOKUP($H118,매장구분!$B:$Z,5,0),"")</f>
        <v>직영점</v>
      </c>
      <c r="E118" s="46" t="str">
        <f>IFERROR(VLOOKUP($H118,매장구분!$B:$Z,9,0),"")</f>
        <v>스타필드고양</v>
      </c>
      <c r="F118" s="58"/>
      <c r="G118" s="59" t="s">
        <v>592</v>
      </c>
      <c r="H118" s="60" t="s">
        <v>593</v>
      </c>
      <c r="I118" s="60" t="s">
        <v>169</v>
      </c>
      <c r="J118" s="60" t="s">
        <v>180</v>
      </c>
      <c r="K118" s="60" t="s">
        <v>170</v>
      </c>
      <c r="L118" s="60" t="s">
        <v>171</v>
      </c>
      <c r="M118" s="60" t="s">
        <v>188</v>
      </c>
      <c r="N118" s="60" t="s">
        <v>189</v>
      </c>
      <c r="O118" s="60">
        <v>74939349</v>
      </c>
      <c r="P118" s="60">
        <v>973</v>
      </c>
      <c r="Q118" s="60">
        <v>0</v>
      </c>
      <c r="R118" s="60">
        <v>0</v>
      </c>
      <c r="S118" s="60">
        <v>0</v>
      </c>
      <c r="T118" s="60">
        <v>0</v>
      </c>
      <c r="U118" s="60">
        <v>10683451</v>
      </c>
      <c r="V118" s="60">
        <v>56</v>
      </c>
      <c r="W118" s="60">
        <v>0</v>
      </c>
      <c r="X118" s="60">
        <v>0</v>
      </c>
      <c r="Y118" s="61">
        <v>0</v>
      </c>
      <c r="Z118" s="60">
        <v>0</v>
      </c>
      <c r="AA118" s="60">
        <v>0</v>
      </c>
      <c r="AB118" s="60">
        <v>0</v>
      </c>
      <c r="AC118" s="60">
        <v>85622800</v>
      </c>
      <c r="AD118" s="62">
        <v>1029</v>
      </c>
      <c r="AF118" s="47">
        <f t="shared" si="1"/>
        <v>85622800</v>
      </c>
    </row>
    <row r="119" spans="2:32" x14ac:dyDescent="0.3">
      <c r="B119" s="46" t="str">
        <f>IFERROR(VLOOKUP($H119,매장구분!$B:$Z,2,0),"")</f>
        <v>파트너채널팀</v>
      </c>
      <c r="C119" s="46" t="str">
        <f>IFERROR(VLOOKUP($H119,매장구분!$B:$Z,3,0),"")</f>
        <v>국내</v>
      </c>
      <c r="D119" s="46" t="str">
        <f>IFERROR(VLOOKUP($H119,매장구분!$B:$Z,5,0),"")</f>
        <v>백화점</v>
      </c>
      <c r="E119" s="46" t="str">
        <f>IFERROR(VLOOKUP($H119,매장구분!$B:$Z,9,0),"")</f>
        <v>엔터식스안양</v>
      </c>
      <c r="F119" s="53"/>
      <c r="G119" s="54" t="s">
        <v>414</v>
      </c>
      <c r="H119" s="55" t="s">
        <v>415</v>
      </c>
      <c r="I119" s="55" t="s">
        <v>169</v>
      </c>
      <c r="J119" s="55" t="s">
        <v>175</v>
      </c>
      <c r="K119" s="55" t="s">
        <v>170</v>
      </c>
      <c r="L119" s="55" t="s">
        <v>171</v>
      </c>
      <c r="M119" s="55" t="s">
        <v>188</v>
      </c>
      <c r="N119" s="55" t="s">
        <v>317</v>
      </c>
      <c r="O119" s="55">
        <v>43063500</v>
      </c>
      <c r="P119" s="55">
        <v>540</v>
      </c>
      <c r="Q119" s="55">
        <v>17051000</v>
      </c>
      <c r="R119" s="55">
        <v>103</v>
      </c>
      <c r="S119" s="55">
        <v>0</v>
      </c>
      <c r="T119" s="55">
        <v>0</v>
      </c>
      <c r="U119" s="55">
        <v>3079400</v>
      </c>
      <c r="V119" s="55">
        <v>23</v>
      </c>
      <c r="W119" s="55">
        <v>0</v>
      </c>
      <c r="X119" s="55">
        <v>0</v>
      </c>
      <c r="Y119" s="56">
        <v>0</v>
      </c>
      <c r="Z119" s="55">
        <v>0</v>
      </c>
      <c r="AA119" s="55">
        <v>0</v>
      </c>
      <c r="AB119" s="55">
        <v>0</v>
      </c>
      <c r="AC119" s="55">
        <v>63193900</v>
      </c>
      <c r="AD119" s="57">
        <v>666</v>
      </c>
      <c r="AF119" s="47">
        <f t="shared" si="1"/>
        <v>63193900</v>
      </c>
    </row>
    <row r="120" spans="2:32" x14ac:dyDescent="0.3">
      <c r="B120" s="46" t="str">
        <f>IFERROR(VLOOKUP($H120,매장구분!$B:$Z,2,0),"")</f>
        <v>파트너채널팀</v>
      </c>
      <c r="C120" s="46" t="str">
        <f>IFERROR(VLOOKUP($H120,매장구분!$B:$Z,3,0),"")</f>
        <v>국내</v>
      </c>
      <c r="D120" s="46" t="str">
        <f>IFERROR(VLOOKUP($H120,매장구분!$B:$Z,5,0),"")</f>
        <v>백화점</v>
      </c>
      <c r="E120" s="46" t="str">
        <f>IFERROR(VLOOKUP($H120,매장구분!$B:$Z,9,0),"")</f>
        <v>신세계마산</v>
      </c>
      <c r="F120" s="58"/>
      <c r="G120" s="59" t="s">
        <v>426</v>
      </c>
      <c r="H120" s="60" t="s">
        <v>427</v>
      </c>
      <c r="I120" s="60" t="s">
        <v>169</v>
      </c>
      <c r="J120" s="60" t="s">
        <v>175</v>
      </c>
      <c r="K120" s="60" t="s">
        <v>170</v>
      </c>
      <c r="L120" s="60" t="s">
        <v>171</v>
      </c>
      <c r="M120" s="60" t="s">
        <v>77</v>
      </c>
      <c r="N120" s="60" t="s">
        <v>172</v>
      </c>
      <c r="O120" s="60">
        <v>32146534</v>
      </c>
      <c r="P120" s="60">
        <v>282</v>
      </c>
      <c r="Q120" s="60">
        <v>0</v>
      </c>
      <c r="R120" s="60">
        <v>0</v>
      </c>
      <c r="S120" s="60">
        <v>0</v>
      </c>
      <c r="T120" s="60">
        <v>0</v>
      </c>
      <c r="U120" s="60">
        <v>4504266</v>
      </c>
      <c r="V120" s="60">
        <v>29</v>
      </c>
      <c r="W120" s="60">
        <v>0</v>
      </c>
      <c r="X120" s="60">
        <v>0</v>
      </c>
      <c r="Y120" s="61">
        <v>0</v>
      </c>
      <c r="Z120" s="60">
        <v>0</v>
      </c>
      <c r="AA120" s="60">
        <v>0</v>
      </c>
      <c r="AB120" s="60">
        <v>0</v>
      </c>
      <c r="AC120" s="60">
        <v>36650800</v>
      </c>
      <c r="AD120" s="62">
        <v>311</v>
      </c>
      <c r="AF120" s="47">
        <f t="shared" si="1"/>
        <v>36650800</v>
      </c>
    </row>
    <row r="121" spans="2:32" x14ac:dyDescent="0.3">
      <c r="B121" s="46" t="str">
        <f>IFERROR(VLOOKUP($H121,매장구분!$B:$Z,2,0),"")</f>
        <v>리테일채널팀</v>
      </c>
      <c r="C121" s="46" t="str">
        <f>IFERROR(VLOOKUP($H121,매장구분!$B:$Z,3,0),"")</f>
        <v>국내</v>
      </c>
      <c r="D121" s="46" t="str">
        <f>IFERROR(VLOOKUP($H121,매장구분!$B:$Z,5,0),"")</f>
        <v>대리점</v>
      </c>
      <c r="E121" s="46" t="str">
        <f>IFERROR(VLOOKUP($H121,매장구분!$B:$Z,9,0),"")</f>
        <v>김포장기(대-위)</v>
      </c>
      <c r="F121" s="53"/>
      <c r="G121" s="54" t="s">
        <v>400</v>
      </c>
      <c r="H121" s="55" t="s">
        <v>401</v>
      </c>
      <c r="I121" s="55" t="s">
        <v>169</v>
      </c>
      <c r="J121" s="55" t="s">
        <v>79</v>
      </c>
      <c r="K121" s="55" t="s">
        <v>170</v>
      </c>
      <c r="L121" s="55" t="s">
        <v>171</v>
      </c>
      <c r="M121" s="55" t="s">
        <v>196</v>
      </c>
      <c r="N121" s="55" t="s">
        <v>197</v>
      </c>
      <c r="O121" s="55">
        <v>49216179</v>
      </c>
      <c r="P121" s="55">
        <v>425</v>
      </c>
      <c r="Q121" s="55">
        <v>0</v>
      </c>
      <c r="R121" s="55">
        <v>0</v>
      </c>
      <c r="S121" s="55">
        <v>0</v>
      </c>
      <c r="T121" s="55">
        <v>0</v>
      </c>
      <c r="U121" s="55">
        <v>3350821</v>
      </c>
      <c r="V121" s="55">
        <v>25</v>
      </c>
      <c r="W121" s="55">
        <v>0</v>
      </c>
      <c r="X121" s="55">
        <v>0</v>
      </c>
      <c r="Y121" s="56">
        <v>0</v>
      </c>
      <c r="Z121" s="55">
        <v>0</v>
      </c>
      <c r="AA121" s="55">
        <v>0</v>
      </c>
      <c r="AB121" s="55">
        <v>0</v>
      </c>
      <c r="AC121" s="55">
        <v>52567000</v>
      </c>
      <c r="AD121" s="57">
        <v>450</v>
      </c>
      <c r="AF121" s="47">
        <f t="shared" si="1"/>
        <v>52567000</v>
      </c>
    </row>
    <row r="122" spans="2:32" x14ac:dyDescent="0.3">
      <c r="B122" s="46" t="str">
        <f>IFERROR(VLOOKUP($H122,매장구분!$B:$Z,2,0),"")</f>
        <v>파트너채널팀</v>
      </c>
      <c r="C122" s="46" t="str">
        <f>IFERROR(VLOOKUP($H122,매장구분!$B:$Z,3,0),"")</f>
        <v>국내</v>
      </c>
      <c r="D122" s="46" t="str">
        <f>IFERROR(VLOOKUP($H122,매장구분!$B:$Z,5,0),"")</f>
        <v>백화점</v>
      </c>
      <c r="E122" s="46" t="str">
        <f>IFERROR(VLOOKUP($H122,매장구분!$B:$Z,9,0),"")</f>
        <v>더현대서울</v>
      </c>
      <c r="F122" s="58"/>
      <c r="G122" s="59" t="s">
        <v>422</v>
      </c>
      <c r="H122" s="60" t="s">
        <v>423</v>
      </c>
      <c r="I122" s="60" t="s">
        <v>169</v>
      </c>
      <c r="J122" s="60" t="s">
        <v>175</v>
      </c>
      <c r="K122" s="60" t="s">
        <v>170</v>
      </c>
      <c r="L122" s="60" t="s">
        <v>171</v>
      </c>
      <c r="M122" s="60" t="s">
        <v>188</v>
      </c>
      <c r="N122" s="60" t="s">
        <v>189</v>
      </c>
      <c r="O122" s="60">
        <v>138926410</v>
      </c>
      <c r="P122" s="60">
        <v>1615</v>
      </c>
      <c r="Q122" s="60">
        <v>0</v>
      </c>
      <c r="R122" s="60">
        <v>0</v>
      </c>
      <c r="S122" s="60">
        <v>0</v>
      </c>
      <c r="T122" s="60">
        <v>0</v>
      </c>
      <c r="U122" s="60">
        <v>7881000</v>
      </c>
      <c r="V122" s="60">
        <v>50</v>
      </c>
      <c r="W122" s="60">
        <v>0</v>
      </c>
      <c r="X122" s="60">
        <v>0</v>
      </c>
      <c r="Y122" s="61">
        <v>111200000</v>
      </c>
      <c r="Z122" s="60">
        <v>800</v>
      </c>
      <c r="AA122" s="60">
        <v>0</v>
      </c>
      <c r="AB122" s="60">
        <v>0</v>
      </c>
      <c r="AC122" s="60">
        <v>258007410</v>
      </c>
      <c r="AD122" s="62">
        <v>2465</v>
      </c>
      <c r="AF122" s="47">
        <f t="shared" si="1"/>
        <v>146807410</v>
      </c>
    </row>
    <row r="123" spans="2:32" x14ac:dyDescent="0.3">
      <c r="B123" s="46" t="str">
        <f>IFERROR(VLOOKUP($H123,매장구분!$B:$Z,2,0),"")</f>
        <v>파트너채널팀</v>
      </c>
      <c r="C123" s="46" t="str">
        <f>IFERROR(VLOOKUP($H123,매장구분!$B:$Z,3,0),"")</f>
        <v>국내</v>
      </c>
      <c r="D123" s="46" t="str">
        <f>IFERROR(VLOOKUP($H123,매장구분!$B:$Z,5,0),"")</f>
        <v>백화점</v>
      </c>
      <c r="E123" s="46" t="str">
        <f>IFERROR(VLOOKUP($H123,매장구분!$B:$Z,9,0),"")</f>
        <v>롯데동탄</v>
      </c>
      <c r="F123" s="53"/>
      <c r="G123" s="54" t="s">
        <v>406</v>
      </c>
      <c r="H123" s="55" t="s">
        <v>407</v>
      </c>
      <c r="I123" s="55" t="s">
        <v>169</v>
      </c>
      <c r="J123" s="55" t="s">
        <v>175</v>
      </c>
      <c r="K123" s="55" t="s">
        <v>170</v>
      </c>
      <c r="L123" s="55" t="s">
        <v>171</v>
      </c>
      <c r="M123" s="55" t="s">
        <v>77</v>
      </c>
      <c r="N123" s="55" t="s">
        <v>172</v>
      </c>
      <c r="O123" s="55">
        <v>36728100</v>
      </c>
      <c r="P123" s="55">
        <v>415</v>
      </c>
      <c r="Q123" s="55">
        <v>0</v>
      </c>
      <c r="R123" s="55">
        <v>0</v>
      </c>
      <c r="S123" s="55">
        <v>0</v>
      </c>
      <c r="T123" s="55">
        <v>0</v>
      </c>
      <c r="U123" s="55">
        <v>6431600</v>
      </c>
      <c r="V123" s="55">
        <v>31</v>
      </c>
      <c r="W123" s="55">
        <v>0</v>
      </c>
      <c r="X123" s="55">
        <v>0</v>
      </c>
      <c r="Y123" s="56">
        <v>0</v>
      </c>
      <c r="Z123" s="55">
        <v>0</v>
      </c>
      <c r="AA123" s="55">
        <v>0</v>
      </c>
      <c r="AB123" s="55">
        <v>0</v>
      </c>
      <c r="AC123" s="55">
        <v>43159700</v>
      </c>
      <c r="AD123" s="57">
        <v>446</v>
      </c>
      <c r="AF123" s="47">
        <f t="shared" si="1"/>
        <v>43159700</v>
      </c>
    </row>
    <row r="124" spans="2:32" x14ac:dyDescent="0.3">
      <c r="B124" s="46" t="str">
        <f>IFERROR(VLOOKUP($H124,매장구분!$B:$Z,2,0),"")</f>
        <v>리테일채널팀</v>
      </c>
      <c r="C124" s="46" t="str">
        <f>IFERROR(VLOOKUP($H124,매장구분!$B:$Z,3,0),"")</f>
        <v>국내</v>
      </c>
      <c r="D124" s="46" t="str">
        <f>IFERROR(VLOOKUP($H124,매장구분!$B:$Z,5,0),"")</f>
        <v>대리점</v>
      </c>
      <c r="E124" s="46" t="str">
        <f>IFERROR(VLOOKUP($H124,매장구분!$B:$Z,9,0),"")</f>
        <v>홍성(대-위)</v>
      </c>
      <c r="F124" s="58"/>
      <c r="G124" s="59" t="s">
        <v>418</v>
      </c>
      <c r="H124" s="60" t="s">
        <v>419</v>
      </c>
      <c r="I124" s="60" t="s">
        <v>169</v>
      </c>
      <c r="J124" s="60" t="s">
        <v>79</v>
      </c>
      <c r="K124" s="60" t="s">
        <v>170</v>
      </c>
      <c r="L124" s="60" t="s">
        <v>171</v>
      </c>
      <c r="M124" s="60" t="s">
        <v>196</v>
      </c>
      <c r="N124" s="60" t="s">
        <v>197</v>
      </c>
      <c r="O124" s="60">
        <v>42254841</v>
      </c>
      <c r="P124" s="60">
        <v>321</v>
      </c>
      <c r="Q124" s="60">
        <v>0</v>
      </c>
      <c r="R124" s="60">
        <v>0</v>
      </c>
      <c r="S124" s="60">
        <v>0</v>
      </c>
      <c r="T124" s="60">
        <v>0</v>
      </c>
      <c r="U124" s="60">
        <v>2025593</v>
      </c>
      <c r="V124" s="60">
        <v>9</v>
      </c>
      <c r="W124" s="60">
        <v>0</v>
      </c>
      <c r="X124" s="60">
        <v>0</v>
      </c>
      <c r="Y124" s="61">
        <v>5079728</v>
      </c>
      <c r="Z124" s="60">
        <v>42</v>
      </c>
      <c r="AA124" s="60">
        <v>0</v>
      </c>
      <c r="AB124" s="60">
        <v>0</v>
      </c>
      <c r="AC124" s="60">
        <v>49360162</v>
      </c>
      <c r="AD124" s="62">
        <v>372</v>
      </c>
      <c r="AF124" s="47">
        <f t="shared" si="1"/>
        <v>44280434</v>
      </c>
    </row>
    <row r="125" spans="2:32" x14ac:dyDescent="0.3">
      <c r="B125" s="46" t="str">
        <f>IFERROR(VLOOKUP($H125,매장구분!$B:$Z,2,0),"")</f>
        <v>리테일채널팀</v>
      </c>
      <c r="C125" s="46" t="str">
        <f>IFERROR(VLOOKUP($H125,매장구분!$B:$Z,3,0),"")</f>
        <v>국내</v>
      </c>
      <c r="D125" s="46" t="str">
        <f>IFERROR(VLOOKUP($H125,매장구분!$B:$Z,5,0),"")</f>
        <v>대리점</v>
      </c>
      <c r="E125" s="46" t="str">
        <f>IFERROR(VLOOKUP($H125,매장구분!$B:$Z,9,0),"")</f>
        <v>남원(대-위)</v>
      </c>
      <c r="F125" s="53"/>
      <c r="G125" s="54" t="s">
        <v>410</v>
      </c>
      <c r="H125" s="55" t="s">
        <v>411</v>
      </c>
      <c r="I125" s="55" t="s">
        <v>169</v>
      </c>
      <c r="J125" s="55" t="s">
        <v>79</v>
      </c>
      <c r="K125" s="55" t="s">
        <v>170</v>
      </c>
      <c r="L125" s="55" t="s">
        <v>171</v>
      </c>
      <c r="M125" s="55" t="s">
        <v>196</v>
      </c>
      <c r="N125" s="55" t="s">
        <v>197</v>
      </c>
      <c r="O125" s="55">
        <v>24118174</v>
      </c>
      <c r="P125" s="55">
        <v>213</v>
      </c>
      <c r="Q125" s="55">
        <v>0</v>
      </c>
      <c r="R125" s="55">
        <v>0</v>
      </c>
      <c r="S125" s="55">
        <v>0</v>
      </c>
      <c r="T125" s="55">
        <v>0</v>
      </c>
      <c r="U125" s="55">
        <v>1921100</v>
      </c>
      <c r="V125" s="55">
        <v>12</v>
      </c>
      <c r="W125" s="55">
        <v>0</v>
      </c>
      <c r="X125" s="55">
        <v>0</v>
      </c>
      <c r="Y125" s="56">
        <v>0</v>
      </c>
      <c r="Z125" s="55">
        <v>0</v>
      </c>
      <c r="AA125" s="55">
        <v>0</v>
      </c>
      <c r="AB125" s="55">
        <v>0</v>
      </c>
      <c r="AC125" s="55">
        <v>26039274</v>
      </c>
      <c r="AD125" s="57">
        <v>225</v>
      </c>
      <c r="AF125" s="47">
        <f t="shared" si="1"/>
        <v>26039274</v>
      </c>
    </row>
    <row r="126" spans="2:32" x14ac:dyDescent="0.3">
      <c r="B126" s="46" t="str">
        <f>IFERROR(VLOOKUP($H126,매장구분!$B:$Z,2,0),"")</f>
        <v>리테일채널팀</v>
      </c>
      <c r="C126" s="46" t="str">
        <f>IFERROR(VLOOKUP($H126,매장구분!$B:$Z,3,0),"")</f>
        <v>국내</v>
      </c>
      <c r="D126" s="46" t="str">
        <f>IFERROR(VLOOKUP($H126,매장구분!$B:$Z,5,0),"")</f>
        <v>대리점</v>
      </c>
      <c r="E126" s="46" t="str">
        <f>IFERROR(VLOOKUP($H126,매장구분!$B:$Z,9,0),"")</f>
        <v>영주(대-위)</v>
      </c>
      <c r="F126" s="58"/>
      <c r="G126" s="59" t="s">
        <v>392</v>
      </c>
      <c r="H126" s="60" t="s">
        <v>393</v>
      </c>
      <c r="I126" s="60" t="s">
        <v>169</v>
      </c>
      <c r="J126" s="60" t="s">
        <v>79</v>
      </c>
      <c r="K126" s="60" t="s">
        <v>170</v>
      </c>
      <c r="L126" s="60" t="s">
        <v>171</v>
      </c>
      <c r="M126" s="60" t="s">
        <v>196</v>
      </c>
      <c r="N126" s="60" t="s">
        <v>197</v>
      </c>
      <c r="O126" s="60">
        <v>24179282</v>
      </c>
      <c r="P126" s="60">
        <v>225</v>
      </c>
      <c r="Q126" s="60">
        <v>0</v>
      </c>
      <c r="R126" s="60">
        <v>0</v>
      </c>
      <c r="S126" s="60">
        <v>0</v>
      </c>
      <c r="T126" s="60">
        <v>0</v>
      </c>
      <c r="U126" s="60">
        <v>8204752</v>
      </c>
      <c r="V126" s="60">
        <v>41</v>
      </c>
      <c r="W126" s="60">
        <v>0</v>
      </c>
      <c r="X126" s="60">
        <v>0</v>
      </c>
      <c r="Y126" s="61">
        <v>0</v>
      </c>
      <c r="Z126" s="60">
        <v>0</v>
      </c>
      <c r="AA126" s="60">
        <v>0</v>
      </c>
      <c r="AB126" s="60">
        <v>0</v>
      </c>
      <c r="AC126" s="60">
        <v>32384034</v>
      </c>
      <c r="AD126" s="62">
        <v>266</v>
      </c>
      <c r="AF126" s="47">
        <f t="shared" si="1"/>
        <v>32384034</v>
      </c>
    </row>
    <row r="127" spans="2:32" x14ac:dyDescent="0.3">
      <c r="B127" s="46" t="str">
        <f>IFERROR(VLOOKUP($H127,매장구분!$B:$Z,2,0),"")</f>
        <v>리테일채널팀</v>
      </c>
      <c r="C127" s="46" t="str">
        <f>IFERROR(VLOOKUP($H127,매장구분!$B:$Z,3,0),"")</f>
        <v>국내</v>
      </c>
      <c r="D127" s="46" t="str">
        <f>IFERROR(VLOOKUP($H127,매장구분!$B:$Z,5,0),"")</f>
        <v>대리점</v>
      </c>
      <c r="E127" s="46" t="str">
        <f>IFERROR(VLOOKUP($H127,매장구분!$B:$Z,9,0),"")</f>
        <v>안동(대-위)</v>
      </c>
      <c r="F127" s="53"/>
      <c r="G127" s="54" t="s">
        <v>424</v>
      </c>
      <c r="H127" s="55" t="s">
        <v>425</v>
      </c>
      <c r="I127" s="55" t="s">
        <v>169</v>
      </c>
      <c r="J127" s="55" t="s">
        <v>79</v>
      </c>
      <c r="K127" s="55" t="s">
        <v>170</v>
      </c>
      <c r="L127" s="55" t="s">
        <v>171</v>
      </c>
      <c r="M127" s="55" t="s">
        <v>196</v>
      </c>
      <c r="N127" s="55" t="s">
        <v>197</v>
      </c>
      <c r="O127" s="55">
        <v>23431020</v>
      </c>
      <c r="P127" s="55">
        <v>232</v>
      </c>
      <c r="Q127" s="55">
        <v>0</v>
      </c>
      <c r="R127" s="55">
        <v>0</v>
      </c>
      <c r="S127" s="55">
        <v>0</v>
      </c>
      <c r="T127" s="55">
        <v>0</v>
      </c>
      <c r="U127" s="55">
        <v>2355600</v>
      </c>
      <c r="V127" s="55">
        <v>15</v>
      </c>
      <c r="W127" s="55">
        <v>0</v>
      </c>
      <c r="X127" s="55">
        <v>0</v>
      </c>
      <c r="Y127" s="56">
        <v>0</v>
      </c>
      <c r="Z127" s="55">
        <v>0</v>
      </c>
      <c r="AA127" s="55">
        <v>0</v>
      </c>
      <c r="AB127" s="55">
        <v>0</v>
      </c>
      <c r="AC127" s="55">
        <v>25786620</v>
      </c>
      <c r="AD127" s="57">
        <v>247</v>
      </c>
      <c r="AF127" s="47">
        <f t="shared" si="1"/>
        <v>25786620</v>
      </c>
    </row>
    <row r="128" spans="2:32" x14ac:dyDescent="0.3">
      <c r="B128" s="46" t="str">
        <f>IFERROR(VLOOKUP($H128,매장구분!$B:$Z,2,0),"")</f>
        <v>파트너채널팀</v>
      </c>
      <c r="C128" s="46" t="str">
        <f>IFERROR(VLOOKUP($H128,매장구분!$B:$Z,3,0),"")</f>
        <v>국내</v>
      </c>
      <c r="D128" s="46" t="str">
        <f>IFERROR(VLOOKUP($H128,매장구분!$B:$Z,5,0),"")</f>
        <v>백화점</v>
      </c>
      <c r="E128" s="46" t="str">
        <f>IFERROR(VLOOKUP($H128,매장구분!$B:$Z,9,0),"")</f>
        <v>신세계영등포</v>
      </c>
      <c r="F128" s="58"/>
      <c r="G128" s="59" t="s">
        <v>416</v>
      </c>
      <c r="H128" s="60" t="s">
        <v>417</v>
      </c>
      <c r="I128" s="60" t="s">
        <v>169</v>
      </c>
      <c r="J128" s="60" t="s">
        <v>175</v>
      </c>
      <c r="K128" s="60" t="s">
        <v>170</v>
      </c>
      <c r="L128" s="60" t="s">
        <v>171</v>
      </c>
      <c r="M128" s="60" t="s">
        <v>77</v>
      </c>
      <c r="N128" s="60" t="s">
        <v>172</v>
      </c>
      <c r="O128" s="60">
        <v>38523099</v>
      </c>
      <c r="P128" s="60">
        <v>371</v>
      </c>
      <c r="Q128" s="60">
        <v>0</v>
      </c>
      <c r="R128" s="60">
        <v>0</v>
      </c>
      <c r="S128" s="60">
        <v>0</v>
      </c>
      <c r="T128" s="60">
        <v>0</v>
      </c>
      <c r="U128" s="60">
        <v>6457501</v>
      </c>
      <c r="V128" s="60">
        <v>34</v>
      </c>
      <c r="W128" s="60">
        <v>0</v>
      </c>
      <c r="X128" s="60">
        <v>0</v>
      </c>
      <c r="Y128" s="61">
        <v>8858000</v>
      </c>
      <c r="Z128" s="60">
        <v>44</v>
      </c>
      <c r="AA128" s="60">
        <v>0</v>
      </c>
      <c r="AB128" s="60">
        <v>0</v>
      </c>
      <c r="AC128" s="60">
        <v>53838600</v>
      </c>
      <c r="AD128" s="62">
        <v>449</v>
      </c>
      <c r="AF128" s="47">
        <f t="shared" si="1"/>
        <v>44980600</v>
      </c>
    </row>
    <row r="129" spans="2:32" x14ac:dyDescent="0.3">
      <c r="B129" s="46" t="str">
        <f>IFERROR(VLOOKUP($H129,매장구분!$B:$Z,2,0),"")</f>
        <v>파트너채널팀</v>
      </c>
      <c r="C129" s="46" t="str">
        <f>IFERROR(VLOOKUP($H129,매장구분!$B:$Z,3,0),"")</f>
        <v>국내</v>
      </c>
      <c r="D129" s="46" t="str">
        <f>IFERROR(VLOOKUP($H129,매장구분!$B:$Z,5,0),"")</f>
        <v>백화점</v>
      </c>
      <c r="E129" s="46" t="str">
        <f>IFERROR(VLOOKUP($H129,매장구분!$B:$Z,9,0),"")</f>
        <v>NC신구로</v>
      </c>
      <c r="F129" s="53"/>
      <c r="G129" s="54" t="s">
        <v>596</v>
      </c>
      <c r="H129" s="55" t="s">
        <v>597</v>
      </c>
      <c r="I129" s="55" t="s">
        <v>169</v>
      </c>
      <c r="J129" s="55" t="s">
        <v>175</v>
      </c>
      <c r="K129" s="55" t="s">
        <v>170</v>
      </c>
      <c r="L129" s="55" t="s">
        <v>171</v>
      </c>
      <c r="M129" s="55" t="s">
        <v>77</v>
      </c>
      <c r="N129" s="55" t="s">
        <v>238</v>
      </c>
      <c r="O129" s="55">
        <v>22793600</v>
      </c>
      <c r="P129" s="55">
        <v>278</v>
      </c>
      <c r="Q129" s="55">
        <v>6476300</v>
      </c>
      <c r="R129" s="55">
        <v>101</v>
      </c>
      <c r="S129" s="55">
        <v>0</v>
      </c>
      <c r="T129" s="55">
        <v>0</v>
      </c>
      <c r="U129" s="55">
        <v>4158400</v>
      </c>
      <c r="V129" s="55">
        <v>25</v>
      </c>
      <c r="W129" s="55">
        <v>0</v>
      </c>
      <c r="X129" s="55">
        <v>0</v>
      </c>
      <c r="Y129" s="56">
        <v>0</v>
      </c>
      <c r="Z129" s="55">
        <v>0</v>
      </c>
      <c r="AA129" s="55">
        <v>0</v>
      </c>
      <c r="AB129" s="55">
        <v>0</v>
      </c>
      <c r="AC129" s="55">
        <v>33428300</v>
      </c>
      <c r="AD129" s="57">
        <v>404</v>
      </c>
      <c r="AF129" s="47">
        <f t="shared" si="1"/>
        <v>33428300</v>
      </c>
    </row>
    <row r="130" spans="2:32" x14ac:dyDescent="0.3">
      <c r="B130" s="46" t="str">
        <f>IFERROR(VLOOKUP($H130,매장구분!$B:$Z,2,0),"")</f>
        <v>리테일채널팀</v>
      </c>
      <c r="C130" s="46" t="str">
        <f>IFERROR(VLOOKUP($H130,매장구분!$B:$Z,3,0),"")</f>
        <v>국내</v>
      </c>
      <c r="D130" s="46" t="str">
        <f>IFERROR(VLOOKUP($H130,매장구분!$B:$Z,5,0),"")</f>
        <v>대리점</v>
      </c>
      <c r="E130" s="46" t="str">
        <f>IFERROR(VLOOKUP($H130,매장구분!$B:$Z,9,0),"")</f>
        <v>광명(대-위)</v>
      </c>
      <c r="F130" s="58"/>
      <c r="G130" s="59" t="s">
        <v>420</v>
      </c>
      <c r="H130" s="60" t="s">
        <v>421</v>
      </c>
      <c r="I130" s="60" t="s">
        <v>169</v>
      </c>
      <c r="J130" s="60" t="s">
        <v>79</v>
      </c>
      <c r="K130" s="60" t="s">
        <v>170</v>
      </c>
      <c r="L130" s="60" t="s">
        <v>171</v>
      </c>
      <c r="M130" s="60" t="s">
        <v>196</v>
      </c>
      <c r="N130" s="60" t="s">
        <v>197</v>
      </c>
      <c r="O130" s="60">
        <v>40628361</v>
      </c>
      <c r="P130" s="60">
        <v>411</v>
      </c>
      <c r="Q130" s="60">
        <v>0</v>
      </c>
      <c r="R130" s="60">
        <v>0</v>
      </c>
      <c r="S130" s="60">
        <v>0</v>
      </c>
      <c r="T130" s="60">
        <v>0</v>
      </c>
      <c r="U130" s="60">
        <v>2700439</v>
      </c>
      <c r="V130" s="60">
        <v>18</v>
      </c>
      <c r="W130" s="60">
        <v>0</v>
      </c>
      <c r="X130" s="60">
        <v>0</v>
      </c>
      <c r="Y130" s="61">
        <v>116534000</v>
      </c>
      <c r="Z130" s="60">
        <v>784</v>
      </c>
      <c r="AA130" s="60">
        <v>0</v>
      </c>
      <c r="AB130" s="60">
        <v>0</v>
      </c>
      <c r="AC130" s="60">
        <v>159862800</v>
      </c>
      <c r="AD130" s="62">
        <v>1213</v>
      </c>
      <c r="AF130" s="47">
        <f t="shared" si="1"/>
        <v>43328800</v>
      </c>
    </row>
    <row r="131" spans="2:32" x14ac:dyDescent="0.3">
      <c r="B131" s="46" t="str">
        <f>IFERROR(VLOOKUP($H131,매장구분!$B:$Z,2,0),"")</f>
        <v>파트너채널팀</v>
      </c>
      <c r="C131" s="46" t="str">
        <f>IFERROR(VLOOKUP($H131,매장구분!$B:$Z,3,0),"")</f>
        <v>국내</v>
      </c>
      <c r="D131" s="46" t="str">
        <f>IFERROR(VLOOKUP($H131,매장구분!$B:$Z,5,0),"")</f>
        <v>백화점</v>
      </c>
      <c r="E131" s="46" t="str">
        <f>IFERROR(VLOOKUP($H131,매장구분!$B:$Z,9,0),"")</f>
        <v>AK원주</v>
      </c>
      <c r="F131" s="53"/>
      <c r="G131" s="54" t="s">
        <v>396</v>
      </c>
      <c r="H131" s="55" t="s">
        <v>397</v>
      </c>
      <c r="I131" s="55" t="s">
        <v>169</v>
      </c>
      <c r="J131" s="55" t="s">
        <v>175</v>
      </c>
      <c r="K131" s="55" t="s">
        <v>170</v>
      </c>
      <c r="L131" s="55" t="s">
        <v>171</v>
      </c>
      <c r="M131" s="55" t="s">
        <v>77</v>
      </c>
      <c r="N131" s="55" t="s">
        <v>172</v>
      </c>
      <c r="O131" s="55">
        <v>88079100</v>
      </c>
      <c r="P131" s="55">
        <v>712</v>
      </c>
      <c r="Q131" s="55">
        <v>0</v>
      </c>
      <c r="R131" s="55">
        <v>0</v>
      </c>
      <c r="S131" s="55">
        <v>0</v>
      </c>
      <c r="T131" s="55">
        <v>0</v>
      </c>
      <c r="U131" s="55">
        <v>0</v>
      </c>
      <c r="V131" s="55">
        <v>0</v>
      </c>
      <c r="W131" s="55">
        <v>0</v>
      </c>
      <c r="X131" s="55">
        <v>0</v>
      </c>
      <c r="Y131" s="56">
        <v>22565100</v>
      </c>
      <c r="Z131" s="55">
        <v>89</v>
      </c>
      <c r="AA131" s="55">
        <v>0</v>
      </c>
      <c r="AB131" s="55">
        <v>0</v>
      </c>
      <c r="AC131" s="55">
        <v>110644200</v>
      </c>
      <c r="AD131" s="57">
        <v>801</v>
      </c>
      <c r="AF131" s="47">
        <f t="shared" ref="AF131:AF194" si="2">IFERROR(AC131-Y131,"")</f>
        <v>88079100</v>
      </c>
    </row>
    <row r="132" spans="2:32" x14ac:dyDescent="0.3">
      <c r="B132" s="46" t="str">
        <f>IFERROR(VLOOKUP($H132,매장구분!$B:$Z,2,0),"")</f>
        <v>파트너채널팀</v>
      </c>
      <c r="C132" s="46" t="str">
        <f>IFERROR(VLOOKUP($H132,매장구분!$B:$Z,3,0),"")</f>
        <v>국내</v>
      </c>
      <c r="D132" s="46" t="str">
        <f>IFERROR(VLOOKUP($H132,매장구분!$B:$Z,5,0),"")</f>
        <v>백화점</v>
      </c>
      <c r="E132" s="46" t="str">
        <f>IFERROR(VLOOKUP($H132,매장구분!$B:$Z,9,0),"")</f>
        <v>롯데광주</v>
      </c>
      <c r="F132" s="58"/>
      <c r="G132" s="59" t="s">
        <v>404</v>
      </c>
      <c r="H132" s="60" t="s">
        <v>405</v>
      </c>
      <c r="I132" s="60" t="s">
        <v>169</v>
      </c>
      <c r="J132" s="60" t="s">
        <v>175</v>
      </c>
      <c r="K132" s="60" t="s">
        <v>170</v>
      </c>
      <c r="L132" s="60" t="s">
        <v>171</v>
      </c>
      <c r="M132" s="60" t="s">
        <v>77</v>
      </c>
      <c r="N132" s="60" t="s">
        <v>172</v>
      </c>
      <c r="O132" s="60">
        <v>38974015</v>
      </c>
      <c r="P132" s="60">
        <v>376</v>
      </c>
      <c r="Q132" s="60">
        <v>0</v>
      </c>
      <c r="R132" s="60">
        <v>0</v>
      </c>
      <c r="S132" s="60">
        <v>0</v>
      </c>
      <c r="T132" s="60">
        <v>0</v>
      </c>
      <c r="U132" s="60">
        <v>6091385</v>
      </c>
      <c r="V132" s="60">
        <v>42</v>
      </c>
      <c r="W132" s="60">
        <v>0</v>
      </c>
      <c r="X132" s="60">
        <v>0</v>
      </c>
      <c r="Y132" s="61">
        <v>7600900</v>
      </c>
      <c r="Z132" s="60">
        <v>62</v>
      </c>
      <c r="AA132" s="60">
        <v>0</v>
      </c>
      <c r="AB132" s="60">
        <v>0</v>
      </c>
      <c r="AC132" s="60">
        <v>52666300</v>
      </c>
      <c r="AD132" s="62">
        <v>480</v>
      </c>
      <c r="AF132" s="47">
        <f t="shared" si="2"/>
        <v>45065400</v>
      </c>
    </row>
    <row r="133" spans="2:32" x14ac:dyDescent="0.3">
      <c r="B133" s="46" t="str">
        <f>IFERROR(VLOOKUP($H133,매장구분!$B:$Z,2,0),"")</f>
        <v>리테일채널팀</v>
      </c>
      <c r="C133" s="46" t="str">
        <f>IFERROR(VLOOKUP($H133,매장구분!$B:$Z,3,0),"")</f>
        <v>국내</v>
      </c>
      <c r="D133" s="46" t="str">
        <f>IFERROR(VLOOKUP($H133,매장구분!$B:$Z,5,0),"")</f>
        <v>상설(위탁)</v>
      </c>
      <c r="E133" s="46" t="str">
        <f>IFERROR(VLOOKUP($H133,매장구분!$B:$Z,9,0),"")</f>
        <v>롯데아울렛파주(상-위)</v>
      </c>
      <c r="F133" s="53"/>
      <c r="G133" s="54" t="s">
        <v>598</v>
      </c>
      <c r="H133" s="55" t="s">
        <v>599</v>
      </c>
      <c r="I133" s="55" t="s">
        <v>169</v>
      </c>
      <c r="J133" s="55" t="s">
        <v>79</v>
      </c>
      <c r="K133" s="55" t="s">
        <v>170</v>
      </c>
      <c r="L133" s="55" t="s">
        <v>171</v>
      </c>
      <c r="M133" s="55" t="s">
        <v>219</v>
      </c>
      <c r="N133" s="55" t="s">
        <v>219</v>
      </c>
      <c r="O133" s="55">
        <v>7416000</v>
      </c>
      <c r="P133" s="55">
        <v>206</v>
      </c>
      <c r="Q133" s="55">
        <v>0</v>
      </c>
      <c r="R133" s="55">
        <v>0</v>
      </c>
      <c r="S133" s="55">
        <v>0</v>
      </c>
      <c r="T133" s="55">
        <v>0</v>
      </c>
      <c r="U133" s="55">
        <v>0</v>
      </c>
      <c r="V133" s="55">
        <v>0</v>
      </c>
      <c r="W133" s="55">
        <v>0</v>
      </c>
      <c r="X133" s="55">
        <v>0</v>
      </c>
      <c r="Y133" s="56">
        <v>0</v>
      </c>
      <c r="Z133" s="55">
        <v>0</v>
      </c>
      <c r="AA133" s="55">
        <v>0</v>
      </c>
      <c r="AB133" s="55">
        <v>0</v>
      </c>
      <c r="AC133" s="55">
        <v>7416000</v>
      </c>
      <c r="AD133" s="57">
        <v>206</v>
      </c>
      <c r="AF133" s="47">
        <f t="shared" si="2"/>
        <v>7416000</v>
      </c>
    </row>
    <row r="134" spans="2:32" x14ac:dyDescent="0.3">
      <c r="B134" s="46" t="str">
        <f>IFERROR(VLOOKUP($H134,매장구분!$B:$Z,2,0),"")</f>
        <v>리테일채널팀</v>
      </c>
      <c r="C134" s="46" t="str">
        <f>IFERROR(VLOOKUP($H134,매장구분!$B:$Z,3,0),"")</f>
        <v>국내</v>
      </c>
      <c r="D134" s="46" t="str">
        <f>IFERROR(VLOOKUP($H134,매장구분!$B:$Z,5,0),"")</f>
        <v>상설(위탁)</v>
      </c>
      <c r="E134" s="46" t="str">
        <f>IFERROR(VLOOKUP($H134,매장구분!$B:$Z,9,0),"")</f>
        <v>콜렉티드(상-위)</v>
      </c>
      <c r="F134" s="58"/>
      <c r="G134" s="59" t="s">
        <v>434</v>
      </c>
      <c r="H134" s="60" t="s">
        <v>435</v>
      </c>
      <c r="I134" s="60" t="s">
        <v>169</v>
      </c>
      <c r="J134" s="60" t="s">
        <v>79</v>
      </c>
      <c r="K134" s="60" t="s">
        <v>170</v>
      </c>
      <c r="L134" s="60" t="s">
        <v>171</v>
      </c>
      <c r="M134" s="60" t="s">
        <v>219</v>
      </c>
      <c r="N134" s="60" t="s">
        <v>219</v>
      </c>
      <c r="O134" s="60">
        <v>648000</v>
      </c>
      <c r="P134" s="60">
        <v>18</v>
      </c>
      <c r="Q134" s="60">
        <v>0</v>
      </c>
      <c r="R134" s="60">
        <v>0</v>
      </c>
      <c r="S134" s="60">
        <v>0</v>
      </c>
      <c r="T134" s="60">
        <v>0</v>
      </c>
      <c r="U134" s="60">
        <v>0</v>
      </c>
      <c r="V134" s="60">
        <v>0</v>
      </c>
      <c r="W134" s="60">
        <v>0</v>
      </c>
      <c r="X134" s="60">
        <v>0</v>
      </c>
      <c r="Y134" s="61">
        <v>0</v>
      </c>
      <c r="Z134" s="60">
        <v>0</v>
      </c>
      <c r="AA134" s="60">
        <v>0</v>
      </c>
      <c r="AB134" s="60">
        <v>0</v>
      </c>
      <c r="AC134" s="60">
        <v>648000</v>
      </c>
      <c r="AD134" s="62">
        <v>18</v>
      </c>
      <c r="AF134" s="47">
        <f t="shared" si="2"/>
        <v>648000</v>
      </c>
    </row>
    <row r="135" spans="2:32" x14ac:dyDescent="0.3">
      <c r="B135" s="46" t="str">
        <f>IFERROR(VLOOKUP($H135,매장구분!$B:$Z,2,0),"")</f>
        <v>리테일채널팀</v>
      </c>
      <c r="C135" s="46" t="str">
        <f>IFERROR(VLOOKUP($H135,매장구분!$B:$Z,3,0),"")</f>
        <v>국내</v>
      </c>
      <c r="D135" s="46" t="str">
        <f>IFERROR(VLOOKUP($H135,매장구분!$B:$Z,5,0),"")</f>
        <v>상설(위탁)</v>
      </c>
      <c r="E135" s="46" t="str">
        <f>IFERROR(VLOOKUP($H135,매장구분!$B:$Z,9,0),"")</f>
        <v>신세계아울렛파주(상-위)</v>
      </c>
      <c r="F135" s="53"/>
      <c r="G135" s="54" t="s">
        <v>432</v>
      </c>
      <c r="H135" s="55" t="s">
        <v>433</v>
      </c>
      <c r="I135" s="55" t="s">
        <v>169</v>
      </c>
      <c r="J135" s="55" t="s">
        <v>79</v>
      </c>
      <c r="K135" s="55" t="s">
        <v>170</v>
      </c>
      <c r="L135" s="55" t="s">
        <v>171</v>
      </c>
      <c r="M135" s="55" t="s">
        <v>219</v>
      </c>
      <c r="N135" s="55" t="s">
        <v>219</v>
      </c>
      <c r="O135" s="55">
        <v>11376000</v>
      </c>
      <c r="P135" s="55">
        <v>316</v>
      </c>
      <c r="Q135" s="55">
        <v>0</v>
      </c>
      <c r="R135" s="55">
        <v>0</v>
      </c>
      <c r="S135" s="55">
        <v>0</v>
      </c>
      <c r="T135" s="55">
        <v>0</v>
      </c>
      <c r="U135" s="55">
        <v>0</v>
      </c>
      <c r="V135" s="55">
        <v>0</v>
      </c>
      <c r="W135" s="55">
        <v>0</v>
      </c>
      <c r="X135" s="55">
        <v>0</v>
      </c>
      <c r="Y135" s="56">
        <v>0</v>
      </c>
      <c r="Z135" s="55">
        <v>0</v>
      </c>
      <c r="AA135" s="55">
        <v>0</v>
      </c>
      <c r="AB135" s="55">
        <v>0</v>
      </c>
      <c r="AC135" s="55">
        <v>11376000</v>
      </c>
      <c r="AD135" s="57">
        <v>316</v>
      </c>
      <c r="AF135" s="47">
        <f t="shared" si="2"/>
        <v>11376000</v>
      </c>
    </row>
    <row r="136" spans="2:32" x14ac:dyDescent="0.3">
      <c r="B136" s="46" t="str">
        <f>IFERROR(VLOOKUP($H136,매장구분!$B:$Z,2,0),"")</f>
        <v>리테일채널팀</v>
      </c>
      <c r="C136" s="46" t="str">
        <f>IFERROR(VLOOKUP($H136,매장구분!$B:$Z,3,0),"")</f>
        <v>국내</v>
      </c>
      <c r="D136" s="46" t="str">
        <f>IFERROR(VLOOKUP($H136,매장구분!$B:$Z,5,0),"")</f>
        <v>상설(위탁)</v>
      </c>
      <c r="E136" s="46" t="str">
        <f>IFERROR(VLOOKUP($H136,매장구분!$B:$Z,9,0),"")</f>
        <v>롯데아울렛수완(상-위)</v>
      </c>
      <c r="F136" s="58"/>
      <c r="G136" s="59" t="s">
        <v>430</v>
      </c>
      <c r="H136" s="60" t="s">
        <v>431</v>
      </c>
      <c r="I136" s="60" t="s">
        <v>169</v>
      </c>
      <c r="J136" s="60" t="s">
        <v>79</v>
      </c>
      <c r="K136" s="60" t="s">
        <v>170</v>
      </c>
      <c r="L136" s="60" t="s">
        <v>171</v>
      </c>
      <c r="M136" s="60" t="s">
        <v>219</v>
      </c>
      <c r="N136" s="60" t="s">
        <v>219</v>
      </c>
      <c r="O136" s="60">
        <v>8172000</v>
      </c>
      <c r="P136" s="60">
        <v>227</v>
      </c>
      <c r="Q136" s="60">
        <v>0</v>
      </c>
      <c r="R136" s="60">
        <v>0</v>
      </c>
      <c r="S136" s="60">
        <v>0</v>
      </c>
      <c r="T136" s="60">
        <v>0</v>
      </c>
      <c r="U136" s="60">
        <v>0</v>
      </c>
      <c r="V136" s="60">
        <v>0</v>
      </c>
      <c r="W136" s="60">
        <v>0</v>
      </c>
      <c r="X136" s="60">
        <v>0</v>
      </c>
      <c r="Y136" s="61">
        <v>0</v>
      </c>
      <c r="Z136" s="60">
        <v>0</v>
      </c>
      <c r="AA136" s="60">
        <v>0</v>
      </c>
      <c r="AB136" s="60">
        <v>0</v>
      </c>
      <c r="AC136" s="60">
        <v>8172000</v>
      </c>
      <c r="AD136" s="62">
        <v>227</v>
      </c>
      <c r="AF136" s="47">
        <f t="shared" si="2"/>
        <v>8172000</v>
      </c>
    </row>
    <row r="137" spans="2:32" x14ac:dyDescent="0.3">
      <c r="B137" s="46" t="str">
        <f>IFERROR(VLOOKUP($H137,매장구분!$B:$Z,2,0),"")</f>
        <v>리테일채널팀</v>
      </c>
      <c r="C137" s="46" t="str">
        <f>IFERROR(VLOOKUP($H137,매장구분!$B:$Z,3,0),"")</f>
        <v>국내</v>
      </c>
      <c r="D137" s="46" t="str">
        <f>IFERROR(VLOOKUP($H137,매장구분!$B:$Z,5,0),"")</f>
        <v>상설(위탁)</v>
      </c>
      <c r="E137" s="46" t="str">
        <f>IFERROR(VLOOKUP($H137,매장구분!$B:$Z,9,0),"")</f>
        <v>롯데아울렛청주(상-위)</v>
      </c>
      <c r="F137" s="53"/>
      <c r="G137" s="54" t="s">
        <v>478</v>
      </c>
      <c r="H137" s="55" t="s">
        <v>479</v>
      </c>
      <c r="I137" s="55" t="s">
        <v>169</v>
      </c>
      <c r="J137" s="55" t="s">
        <v>79</v>
      </c>
      <c r="K137" s="55" t="s">
        <v>170</v>
      </c>
      <c r="L137" s="55" t="s">
        <v>171</v>
      </c>
      <c r="M137" s="55" t="s">
        <v>219</v>
      </c>
      <c r="N137" s="55" t="s">
        <v>219</v>
      </c>
      <c r="O137" s="55">
        <v>5220000</v>
      </c>
      <c r="P137" s="55">
        <v>145</v>
      </c>
      <c r="Q137" s="55">
        <v>0</v>
      </c>
      <c r="R137" s="55">
        <v>0</v>
      </c>
      <c r="S137" s="55">
        <v>0</v>
      </c>
      <c r="T137" s="55">
        <v>0</v>
      </c>
      <c r="U137" s="55">
        <v>0</v>
      </c>
      <c r="V137" s="55">
        <v>0</v>
      </c>
      <c r="W137" s="55">
        <v>0</v>
      </c>
      <c r="X137" s="55">
        <v>0</v>
      </c>
      <c r="Y137" s="56">
        <v>0</v>
      </c>
      <c r="Z137" s="55">
        <v>0</v>
      </c>
      <c r="AA137" s="55">
        <v>0</v>
      </c>
      <c r="AB137" s="55">
        <v>0</v>
      </c>
      <c r="AC137" s="55">
        <v>5220000</v>
      </c>
      <c r="AD137" s="57">
        <v>145</v>
      </c>
      <c r="AF137" s="47">
        <f t="shared" si="2"/>
        <v>5220000</v>
      </c>
    </row>
    <row r="138" spans="2:32" x14ac:dyDescent="0.3">
      <c r="B138" s="46" t="str">
        <f>IFERROR(VLOOKUP($H138,매장구분!$B:$Z,2,0),"")</f>
        <v>리테일채널팀</v>
      </c>
      <c r="C138" s="46" t="str">
        <f>IFERROR(VLOOKUP($H138,매장구분!$B:$Z,3,0),"")</f>
        <v>국내</v>
      </c>
      <c r="D138" s="46" t="str">
        <f>IFERROR(VLOOKUP($H138,매장구분!$B:$Z,5,0),"")</f>
        <v>대리점</v>
      </c>
      <c r="E138" s="46" t="str">
        <f>IFERROR(VLOOKUP($H138,매장구분!$B:$Z,9,0),"")</f>
        <v>퍼스트빌리지(대-위)</v>
      </c>
      <c r="F138" s="58"/>
      <c r="G138" s="59" t="s">
        <v>440</v>
      </c>
      <c r="H138" s="60" t="s">
        <v>441</v>
      </c>
      <c r="I138" s="60" t="s">
        <v>169</v>
      </c>
      <c r="J138" s="60" t="s">
        <v>79</v>
      </c>
      <c r="K138" s="60" t="s">
        <v>170</v>
      </c>
      <c r="L138" s="60" t="s">
        <v>171</v>
      </c>
      <c r="M138" s="60" t="s">
        <v>196</v>
      </c>
      <c r="N138" s="60" t="s">
        <v>197</v>
      </c>
      <c r="O138" s="60">
        <v>66172527</v>
      </c>
      <c r="P138" s="60">
        <v>595</v>
      </c>
      <c r="Q138" s="60">
        <v>0</v>
      </c>
      <c r="R138" s="60">
        <v>0</v>
      </c>
      <c r="S138" s="60">
        <v>0</v>
      </c>
      <c r="T138" s="60">
        <v>0</v>
      </c>
      <c r="U138" s="60">
        <v>5115318</v>
      </c>
      <c r="V138" s="60">
        <v>35</v>
      </c>
      <c r="W138" s="60">
        <v>0</v>
      </c>
      <c r="X138" s="60">
        <v>0</v>
      </c>
      <c r="Y138" s="61">
        <v>0</v>
      </c>
      <c r="Z138" s="60">
        <v>0</v>
      </c>
      <c r="AA138" s="60">
        <v>0</v>
      </c>
      <c r="AB138" s="60">
        <v>0</v>
      </c>
      <c r="AC138" s="60">
        <v>71287845</v>
      </c>
      <c r="AD138" s="62">
        <v>630</v>
      </c>
      <c r="AF138" s="47">
        <f t="shared" si="2"/>
        <v>71287845</v>
      </c>
    </row>
    <row r="139" spans="2:32" x14ac:dyDescent="0.3">
      <c r="B139" s="46" t="str">
        <f>IFERROR(VLOOKUP($H139,매장구분!$B:$Z,2,0),"")</f>
        <v>리테일채널팀</v>
      </c>
      <c r="C139" s="46" t="str">
        <f>IFERROR(VLOOKUP($H139,매장구분!$B:$Z,3,0),"")</f>
        <v>국내</v>
      </c>
      <c r="D139" s="46" t="str">
        <f>IFERROR(VLOOKUP($H139,매장구분!$B:$Z,5,0),"")</f>
        <v>직영점</v>
      </c>
      <c r="E139" s="46" t="str">
        <f>IFERROR(VLOOKUP($H139,매장구분!$B:$Z,9,0),"")</f>
        <v>강남사옥(직)</v>
      </c>
      <c r="F139" s="53"/>
      <c r="G139" s="54" t="s">
        <v>482</v>
      </c>
      <c r="H139" s="55" t="s">
        <v>483</v>
      </c>
      <c r="I139" s="55" t="s">
        <v>169</v>
      </c>
      <c r="J139" s="55" t="s">
        <v>180</v>
      </c>
      <c r="K139" s="55" t="s">
        <v>170</v>
      </c>
      <c r="L139" s="55" t="s">
        <v>171</v>
      </c>
      <c r="M139" s="55" t="s">
        <v>196</v>
      </c>
      <c r="N139" s="55" t="s">
        <v>206</v>
      </c>
      <c r="O139" s="55">
        <v>97492724</v>
      </c>
      <c r="P139" s="55">
        <v>975</v>
      </c>
      <c r="Q139" s="55">
        <v>0</v>
      </c>
      <c r="R139" s="55">
        <v>0</v>
      </c>
      <c r="S139" s="55">
        <v>0</v>
      </c>
      <c r="T139" s="55">
        <v>0</v>
      </c>
      <c r="U139" s="55">
        <v>4118460</v>
      </c>
      <c r="V139" s="55">
        <v>49</v>
      </c>
      <c r="W139" s="55">
        <v>0</v>
      </c>
      <c r="X139" s="55">
        <v>0</v>
      </c>
      <c r="Y139" s="56">
        <v>0</v>
      </c>
      <c r="Z139" s="55">
        <v>0</v>
      </c>
      <c r="AA139" s="55">
        <v>0</v>
      </c>
      <c r="AB139" s="55">
        <v>0</v>
      </c>
      <c r="AC139" s="55">
        <v>101611184</v>
      </c>
      <c r="AD139" s="57">
        <v>1024</v>
      </c>
      <c r="AF139" s="47">
        <f t="shared" si="2"/>
        <v>101611184</v>
      </c>
    </row>
    <row r="140" spans="2:32" x14ac:dyDescent="0.3">
      <c r="B140" s="46" t="str">
        <f>IFERROR(VLOOKUP($H140,매장구분!$B:$Z,2,0),"")</f>
        <v>리테일채널팀</v>
      </c>
      <c r="C140" s="46" t="str">
        <f>IFERROR(VLOOKUP($H140,매장구분!$B:$Z,3,0),"")</f>
        <v>국내</v>
      </c>
      <c r="D140" s="46" t="str">
        <f>IFERROR(VLOOKUP($H140,매장구분!$B:$Z,5,0),"")</f>
        <v>대리점</v>
      </c>
      <c r="E140" s="46" t="str">
        <f>IFERROR(VLOOKUP($H140,매장구분!$B:$Z,9,0),"")</f>
        <v>제주(대-위)</v>
      </c>
      <c r="F140" s="58"/>
      <c r="G140" s="59" t="s">
        <v>474</v>
      </c>
      <c r="H140" s="60" t="s">
        <v>475</v>
      </c>
      <c r="I140" s="60" t="s">
        <v>169</v>
      </c>
      <c r="J140" s="60" t="s">
        <v>79</v>
      </c>
      <c r="K140" s="60" t="s">
        <v>170</v>
      </c>
      <c r="L140" s="60" t="s">
        <v>171</v>
      </c>
      <c r="M140" s="60" t="s">
        <v>196</v>
      </c>
      <c r="N140" s="60" t="s">
        <v>197</v>
      </c>
      <c r="O140" s="60">
        <v>49258400</v>
      </c>
      <c r="P140" s="60">
        <v>486</v>
      </c>
      <c r="Q140" s="60">
        <v>0</v>
      </c>
      <c r="R140" s="60">
        <v>0</v>
      </c>
      <c r="S140" s="60">
        <v>0</v>
      </c>
      <c r="T140" s="60">
        <v>0</v>
      </c>
      <c r="U140" s="60">
        <v>2574860</v>
      </c>
      <c r="V140" s="60">
        <v>15</v>
      </c>
      <c r="W140" s="60">
        <v>0</v>
      </c>
      <c r="X140" s="60">
        <v>0</v>
      </c>
      <c r="Y140" s="61">
        <v>12005600</v>
      </c>
      <c r="Z140" s="60">
        <v>202</v>
      </c>
      <c r="AA140" s="60">
        <v>0</v>
      </c>
      <c r="AB140" s="60">
        <v>0</v>
      </c>
      <c r="AC140" s="60">
        <v>63838860</v>
      </c>
      <c r="AD140" s="62">
        <v>703</v>
      </c>
      <c r="AF140" s="47">
        <f t="shared" si="2"/>
        <v>51833260</v>
      </c>
    </row>
    <row r="141" spans="2:32" x14ac:dyDescent="0.3">
      <c r="B141" s="46" t="str">
        <f>IFERROR(VLOOKUP($H141,매장구분!$B:$Z,2,0),"")</f>
        <v>파트너채널팀</v>
      </c>
      <c r="C141" s="46" t="str">
        <f>IFERROR(VLOOKUP($H141,매장구분!$B:$Z,3,0),"")</f>
        <v>국내</v>
      </c>
      <c r="D141" s="46" t="str">
        <f>IFERROR(VLOOKUP($H141,매장구분!$B:$Z,5,0),"")</f>
        <v>백화점</v>
      </c>
      <c r="E141" s="46" t="str">
        <f>IFERROR(VLOOKUP($H141,매장구분!$B:$Z,9,0),"")</f>
        <v>롯데분당</v>
      </c>
      <c r="F141" s="53"/>
      <c r="G141" s="54" t="s">
        <v>470</v>
      </c>
      <c r="H141" s="55" t="s">
        <v>471</v>
      </c>
      <c r="I141" s="55" t="s">
        <v>169</v>
      </c>
      <c r="J141" s="55" t="s">
        <v>175</v>
      </c>
      <c r="K141" s="55" t="s">
        <v>170</v>
      </c>
      <c r="L141" s="55" t="s">
        <v>171</v>
      </c>
      <c r="M141" s="55" t="s">
        <v>77</v>
      </c>
      <c r="N141" s="55" t="s">
        <v>172</v>
      </c>
      <c r="O141" s="55">
        <v>13936600</v>
      </c>
      <c r="P141" s="55">
        <v>177</v>
      </c>
      <c r="Q141" s="55">
        <v>3261000</v>
      </c>
      <c r="R141" s="55">
        <v>64</v>
      </c>
      <c r="S141" s="55">
        <v>0</v>
      </c>
      <c r="T141" s="55">
        <v>0</v>
      </c>
      <c r="U141" s="55">
        <v>2969900</v>
      </c>
      <c r="V141" s="55">
        <v>32</v>
      </c>
      <c r="W141" s="55">
        <v>0</v>
      </c>
      <c r="X141" s="55">
        <v>0</v>
      </c>
      <c r="Y141" s="56">
        <v>45500</v>
      </c>
      <c r="Z141" s="55">
        <v>1</v>
      </c>
      <c r="AA141" s="55">
        <v>-33000</v>
      </c>
      <c r="AB141" s="55">
        <v>-1</v>
      </c>
      <c r="AC141" s="55">
        <v>20180000</v>
      </c>
      <c r="AD141" s="57">
        <v>273</v>
      </c>
      <c r="AF141" s="47">
        <f t="shared" si="2"/>
        <v>20134500</v>
      </c>
    </row>
    <row r="142" spans="2:32" x14ac:dyDescent="0.3">
      <c r="B142" s="46" t="str">
        <f>IFERROR(VLOOKUP($H142,매장구분!$B:$Z,2,0),"")</f>
        <v>파트너채널팀</v>
      </c>
      <c r="C142" s="46" t="str">
        <f>IFERROR(VLOOKUP($H142,매장구분!$B:$Z,3,0),"")</f>
        <v>국내</v>
      </c>
      <c r="D142" s="46" t="str">
        <f>IFERROR(VLOOKUP($H142,매장구분!$B:$Z,5,0),"")</f>
        <v>백화점</v>
      </c>
      <c r="E142" s="46" t="str">
        <f>IFERROR(VLOOKUP($H142,매장구분!$B:$Z,9,0),"")</f>
        <v>롯데대전</v>
      </c>
      <c r="F142" s="58"/>
      <c r="G142" s="59" t="s">
        <v>476</v>
      </c>
      <c r="H142" s="60" t="s">
        <v>477</v>
      </c>
      <c r="I142" s="60" t="s">
        <v>169</v>
      </c>
      <c r="J142" s="60" t="s">
        <v>175</v>
      </c>
      <c r="K142" s="60" t="s">
        <v>170</v>
      </c>
      <c r="L142" s="60" t="s">
        <v>171</v>
      </c>
      <c r="M142" s="60" t="s">
        <v>77</v>
      </c>
      <c r="N142" s="60" t="s">
        <v>172</v>
      </c>
      <c r="O142" s="60">
        <v>39293700</v>
      </c>
      <c r="P142" s="60">
        <v>332</v>
      </c>
      <c r="Q142" s="60">
        <v>0</v>
      </c>
      <c r="R142" s="60">
        <v>0</v>
      </c>
      <c r="S142" s="60">
        <v>0</v>
      </c>
      <c r="T142" s="60">
        <v>0</v>
      </c>
      <c r="U142" s="60">
        <v>4245600</v>
      </c>
      <c r="V142" s="60">
        <v>19</v>
      </c>
      <c r="W142" s="60">
        <v>0</v>
      </c>
      <c r="X142" s="60">
        <v>0</v>
      </c>
      <c r="Y142" s="61">
        <v>0</v>
      </c>
      <c r="Z142" s="60">
        <v>0</v>
      </c>
      <c r="AA142" s="60">
        <v>0</v>
      </c>
      <c r="AB142" s="60">
        <v>0</v>
      </c>
      <c r="AC142" s="60">
        <v>43539300</v>
      </c>
      <c r="AD142" s="62">
        <v>351</v>
      </c>
      <c r="AF142" s="47">
        <f t="shared" si="2"/>
        <v>43539300</v>
      </c>
    </row>
    <row r="143" spans="2:32" x14ac:dyDescent="0.3">
      <c r="B143" s="46" t="str">
        <f>IFERROR(VLOOKUP($H143,매장구분!$B:$Z,2,0),"")</f>
        <v>파트너채널팀</v>
      </c>
      <c r="C143" s="46" t="str">
        <f>IFERROR(VLOOKUP($H143,매장구분!$B:$Z,3,0),"")</f>
        <v>국내</v>
      </c>
      <c r="D143" s="46" t="str">
        <f>IFERROR(VLOOKUP($H143,매장구분!$B:$Z,5,0),"")</f>
        <v>백화점</v>
      </c>
      <c r="E143" s="46" t="str">
        <f>IFERROR(VLOOKUP($H143,매장구분!$B:$Z,9,0),"")</f>
        <v>신세계김해</v>
      </c>
      <c r="F143" s="53"/>
      <c r="G143" s="54" t="s">
        <v>454</v>
      </c>
      <c r="H143" s="55" t="s">
        <v>455</v>
      </c>
      <c r="I143" s="55" t="s">
        <v>169</v>
      </c>
      <c r="J143" s="55" t="s">
        <v>175</v>
      </c>
      <c r="K143" s="55" t="s">
        <v>170</v>
      </c>
      <c r="L143" s="55" t="s">
        <v>171</v>
      </c>
      <c r="M143" s="55" t="s">
        <v>77</v>
      </c>
      <c r="N143" s="55" t="s">
        <v>172</v>
      </c>
      <c r="O143" s="55">
        <v>35378300</v>
      </c>
      <c r="P143" s="55">
        <v>386</v>
      </c>
      <c r="Q143" s="55">
        <v>0</v>
      </c>
      <c r="R143" s="55">
        <v>0</v>
      </c>
      <c r="S143" s="55">
        <v>0</v>
      </c>
      <c r="T143" s="55">
        <v>0</v>
      </c>
      <c r="U143" s="55">
        <v>2429700</v>
      </c>
      <c r="V143" s="55">
        <v>15</v>
      </c>
      <c r="W143" s="55">
        <v>0</v>
      </c>
      <c r="X143" s="55">
        <v>0</v>
      </c>
      <c r="Y143" s="56">
        <v>0</v>
      </c>
      <c r="Z143" s="55">
        <v>0</v>
      </c>
      <c r="AA143" s="55">
        <v>0</v>
      </c>
      <c r="AB143" s="55">
        <v>0</v>
      </c>
      <c r="AC143" s="55">
        <v>37808000</v>
      </c>
      <c r="AD143" s="57">
        <v>401</v>
      </c>
      <c r="AF143" s="47">
        <f t="shared" si="2"/>
        <v>37808000</v>
      </c>
    </row>
    <row r="144" spans="2:32" x14ac:dyDescent="0.3">
      <c r="B144" s="46" t="str">
        <f>IFERROR(VLOOKUP($H144,매장구분!$B:$Z,2,0),"")</f>
        <v>리테일채널팀</v>
      </c>
      <c r="C144" s="46" t="str">
        <f>IFERROR(VLOOKUP($H144,매장구분!$B:$Z,3,0),"")</f>
        <v>국내</v>
      </c>
      <c r="D144" s="46" t="str">
        <f>IFERROR(VLOOKUP($H144,매장구분!$B:$Z,5,0),"")</f>
        <v>대리점</v>
      </c>
      <c r="E144" s="46" t="str">
        <f>IFERROR(VLOOKUP($H144,매장구분!$B:$Z,9,0),"")</f>
        <v>구미(대-위)</v>
      </c>
      <c r="F144" s="58"/>
      <c r="G144" s="59" t="s">
        <v>458</v>
      </c>
      <c r="H144" s="60" t="s">
        <v>459</v>
      </c>
      <c r="I144" s="60" t="s">
        <v>169</v>
      </c>
      <c r="J144" s="60" t="s">
        <v>79</v>
      </c>
      <c r="K144" s="60" t="s">
        <v>170</v>
      </c>
      <c r="L144" s="60" t="s">
        <v>171</v>
      </c>
      <c r="M144" s="60" t="s">
        <v>196</v>
      </c>
      <c r="N144" s="60" t="s">
        <v>197</v>
      </c>
      <c r="O144" s="60">
        <v>57184800</v>
      </c>
      <c r="P144" s="60">
        <v>550</v>
      </c>
      <c r="Q144" s="60">
        <v>0</v>
      </c>
      <c r="R144" s="60">
        <v>0</v>
      </c>
      <c r="S144" s="60">
        <v>0</v>
      </c>
      <c r="T144" s="60">
        <v>0</v>
      </c>
      <c r="U144" s="60">
        <v>7946100</v>
      </c>
      <c r="V144" s="60">
        <v>48</v>
      </c>
      <c r="W144" s="60">
        <v>0</v>
      </c>
      <c r="X144" s="60">
        <v>0</v>
      </c>
      <c r="Y144" s="61">
        <v>0</v>
      </c>
      <c r="Z144" s="60">
        <v>0</v>
      </c>
      <c r="AA144" s="60">
        <v>0</v>
      </c>
      <c r="AB144" s="60">
        <v>0</v>
      </c>
      <c r="AC144" s="60">
        <v>65130900</v>
      </c>
      <c r="AD144" s="62">
        <v>598</v>
      </c>
      <c r="AF144" s="47">
        <f t="shared" si="2"/>
        <v>65130900</v>
      </c>
    </row>
    <row r="145" spans="2:32" x14ac:dyDescent="0.3">
      <c r="B145" s="46" t="str">
        <f>IFERROR(VLOOKUP($H145,매장구분!$B:$Z,2,0),"")</f>
        <v>파트너채널팀</v>
      </c>
      <c r="C145" s="46" t="str">
        <f>IFERROR(VLOOKUP($H145,매장구분!$B:$Z,3,0),"")</f>
        <v>국내</v>
      </c>
      <c r="D145" s="46" t="str">
        <f>IFERROR(VLOOKUP($H145,매장구분!$B:$Z,5,0),"")</f>
        <v>백화점</v>
      </c>
      <c r="E145" s="46" t="str">
        <f>IFERROR(VLOOKUP($H145,매장구분!$B:$Z,9,0),"")</f>
        <v>롯데울산</v>
      </c>
      <c r="F145" s="53"/>
      <c r="G145" s="54" t="s">
        <v>460</v>
      </c>
      <c r="H145" s="55" t="s">
        <v>461</v>
      </c>
      <c r="I145" s="55" t="s">
        <v>169</v>
      </c>
      <c r="J145" s="55" t="s">
        <v>175</v>
      </c>
      <c r="K145" s="55" t="s">
        <v>170</v>
      </c>
      <c r="L145" s="55" t="s">
        <v>171</v>
      </c>
      <c r="M145" s="55" t="s">
        <v>77</v>
      </c>
      <c r="N145" s="55" t="s">
        <v>172</v>
      </c>
      <c r="O145" s="55">
        <v>77438400</v>
      </c>
      <c r="P145" s="55">
        <v>678</v>
      </c>
      <c r="Q145" s="55">
        <v>0</v>
      </c>
      <c r="R145" s="55">
        <v>0</v>
      </c>
      <c r="S145" s="55">
        <v>0</v>
      </c>
      <c r="T145" s="55">
        <v>0</v>
      </c>
      <c r="U145" s="55">
        <v>18328800</v>
      </c>
      <c r="V145" s="55">
        <v>104</v>
      </c>
      <c r="W145" s="55">
        <v>0</v>
      </c>
      <c r="X145" s="55">
        <v>0</v>
      </c>
      <c r="Y145" s="56">
        <v>1490000</v>
      </c>
      <c r="Z145" s="55">
        <v>10</v>
      </c>
      <c r="AA145" s="55">
        <v>0</v>
      </c>
      <c r="AB145" s="55">
        <v>0</v>
      </c>
      <c r="AC145" s="55">
        <v>97257200</v>
      </c>
      <c r="AD145" s="57">
        <v>792</v>
      </c>
      <c r="AF145" s="47">
        <f t="shared" si="2"/>
        <v>95767200</v>
      </c>
    </row>
    <row r="146" spans="2:32" x14ac:dyDescent="0.3">
      <c r="B146" s="46" t="str">
        <f>IFERROR(VLOOKUP($H146,매장구분!$B:$Z,2,0),"")</f>
        <v>파트너채널팀</v>
      </c>
      <c r="C146" s="46" t="str">
        <f>IFERROR(VLOOKUP($H146,매장구분!$B:$Z,3,0),"")</f>
        <v>RF</v>
      </c>
      <c r="D146" s="46" t="str">
        <f>IFERROR(VLOOKUP($H146,매장구분!$B:$Z,5,0),"")</f>
        <v>백화점</v>
      </c>
      <c r="E146" s="46" t="str">
        <f>IFERROR(VLOOKUP($H146,매장구분!$B:$Z,9,0),"")</f>
        <v>신세계본점</v>
      </c>
      <c r="F146" s="58"/>
      <c r="G146" s="59" t="s">
        <v>450</v>
      </c>
      <c r="H146" s="60" t="s">
        <v>451</v>
      </c>
      <c r="I146" s="60" t="s">
        <v>169</v>
      </c>
      <c r="J146" s="60" t="s">
        <v>175</v>
      </c>
      <c r="K146" s="60" t="s">
        <v>170</v>
      </c>
      <c r="L146" s="60" t="s">
        <v>171</v>
      </c>
      <c r="M146" s="60" t="s">
        <v>77</v>
      </c>
      <c r="N146" s="60" t="s">
        <v>172</v>
      </c>
      <c r="O146" s="60">
        <v>155353522</v>
      </c>
      <c r="P146" s="60">
        <v>1028</v>
      </c>
      <c r="Q146" s="60">
        <v>1184000</v>
      </c>
      <c r="R146" s="60">
        <v>19</v>
      </c>
      <c r="S146" s="60">
        <v>0</v>
      </c>
      <c r="T146" s="60">
        <v>0</v>
      </c>
      <c r="U146" s="60">
        <v>3253008</v>
      </c>
      <c r="V146" s="60">
        <v>16</v>
      </c>
      <c r="W146" s="60">
        <v>0</v>
      </c>
      <c r="X146" s="60">
        <v>0</v>
      </c>
      <c r="Y146" s="61">
        <v>0</v>
      </c>
      <c r="Z146" s="60">
        <v>0</v>
      </c>
      <c r="AA146" s="60">
        <v>0</v>
      </c>
      <c r="AB146" s="60">
        <v>0</v>
      </c>
      <c r="AC146" s="60">
        <v>159790530</v>
      </c>
      <c r="AD146" s="62">
        <v>1063</v>
      </c>
      <c r="AF146" s="47">
        <f t="shared" si="2"/>
        <v>159790530</v>
      </c>
    </row>
    <row r="147" spans="2:32" x14ac:dyDescent="0.3">
      <c r="B147" s="46" t="str">
        <f>IFERROR(VLOOKUP($H147,매장구분!$B:$Z,2,0),"")</f>
        <v>리테일채널팀</v>
      </c>
      <c r="C147" s="46" t="str">
        <f>IFERROR(VLOOKUP($H147,매장구분!$B:$Z,3,0),"")</f>
        <v>국내</v>
      </c>
      <c r="D147" s="46" t="str">
        <f>IFERROR(VLOOKUP($H147,매장구분!$B:$Z,5,0),"")</f>
        <v>대리점</v>
      </c>
      <c r="E147" s="46" t="str">
        <f>IFERROR(VLOOKUP($H147,매장구분!$B:$Z,9,0),"")</f>
        <v>당진(대-위)</v>
      </c>
      <c r="F147" s="53"/>
      <c r="G147" s="54" t="s">
        <v>462</v>
      </c>
      <c r="H147" s="55" t="s">
        <v>463</v>
      </c>
      <c r="I147" s="55" t="s">
        <v>169</v>
      </c>
      <c r="J147" s="55" t="s">
        <v>79</v>
      </c>
      <c r="K147" s="55" t="s">
        <v>170</v>
      </c>
      <c r="L147" s="55" t="s">
        <v>171</v>
      </c>
      <c r="M147" s="55" t="s">
        <v>196</v>
      </c>
      <c r="N147" s="55" t="s">
        <v>197</v>
      </c>
      <c r="O147" s="55">
        <v>42831861</v>
      </c>
      <c r="P147" s="55">
        <v>392</v>
      </c>
      <c r="Q147" s="55">
        <v>0</v>
      </c>
      <c r="R147" s="55">
        <v>0</v>
      </c>
      <c r="S147" s="55">
        <v>0</v>
      </c>
      <c r="T147" s="55">
        <v>0</v>
      </c>
      <c r="U147" s="55">
        <v>4055000</v>
      </c>
      <c r="V147" s="55">
        <v>25</v>
      </c>
      <c r="W147" s="55">
        <v>0</v>
      </c>
      <c r="X147" s="55">
        <v>0</v>
      </c>
      <c r="Y147" s="56">
        <v>10623000</v>
      </c>
      <c r="Z147" s="55">
        <v>97</v>
      </c>
      <c r="AA147" s="55">
        <v>0</v>
      </c>
      <c r="AB147" s="55">
        <v>0</v>
      </c>
      <c r="AC147" s="55">
        <v>57509861</v>
      </c>
      <c r="AD147" s="57">
        <v>514</v>
      </c>
      <c r="AF147" s="47">
        <f t="shared" si="2"/>
        <v>46886861</v>
      </c>
    </row>
    <row r="148" spans="2:32" x14ac:dyDescent="0.3">
      <c r="B148" s="46" t="str">
        <f>IFERROR(VLOOKUP($H148,매장구분!$B:$Z,2,0),"")</f>
        <v>리테일채널팀</v>
      </c>
      <c r="C148" s="46" t="str">
        <f>IFERROR(VLOOKUP($H148,매장구분!$B:$Z,3,0),"")</f>
        <v>국내</v>
      </c>
      <c r="D148" s="46" t="str">
        <f>IFERROR(VLOOKUP($H148,매장구분!$B:$Z,5,0),"")</f>
        <v>직영점</v>
      </c>
      <c r="E148" s="46" t="str">
        <f>IFERROR(VLOOKUP($H148,매장구분!$B:$Z,9,0),"")</f>
        <v>스타필드수원(직)</v>
      </c>
      <c r="F148" s="58"/>
      <c r="G148" s="59" t="s">
        <v>468</v>
      </c>
      <c r="H148" s="60" t="s">
        <v>469</v>
      </c>
      <c r="I148" s="60" t="s">
        <v>169</v>
      </c>
      <c r="J148" s="60" t="s">
        <v>180</v>
      </c>
      <c r="K148" s="60" t="s">
        <v>170</v>
      </c>
      <c r="L148" s="60" t="s">
        <v>171</v>
      </c>
      <c r="M148" s="60" t="s">
        <v>188</v>
      </c>
      <c r="N148" s="60" t="s">
        <v>189</v>
      </c>
      <c r="O148" s="60">
        <v>54561700</v>
      </c>
      <c r="P148" s="60">
        <v>675</v>
      </c>
      <c r="Q148" s="60">
        <v>0</v>
      </c>
      <c r="R148" s="60">
        <v>0</v>
      </c>
      <c r="S148" s="60">
        <v>0</v>
      </c>
      <c r="T148" s="60">
        <v>0</v>
      </c>
      <c r="U148" s="60">
        <v>5933100</v>
      </c>
      <c r="V148" s="60">
        <v>33</v>
      </c>
      <c r="W148" s="60">
        <v>0</v>
      </c>
      <c r="X148" s="60">
        <v>0</v>
      </c>
      <c r="Y148" s="61">
        <v>0</v>
      </c>
      <c r="Z148" s="60">
        <v>0</v>
      </c>
      <c r="AA148" s="60">
        <v>0</v>
      </c>
      <c r="AB148" s="60">
        <v>0</v>
      </c>
      <c r="AC148" s="60">
        <v>60494800</v>
      </c>
      <c r="AD148" s="62">
        <v>708</v>
      </c>
      <c r="AF148" s="47">
        <f t="shared" si="2"/>
        <v>60494800</v>
      </c>
    </row>
    <row r="149" spans="2:32" x14ac:dyDescent="0.3">
      <c r="B149" s="46" t="str">
        <f>IFERROR(VLOOKUP($H149,매장구분!$B:$Z,2,0),"")</f>
        <v>파트너채널팀</v>
      </c>
      <c r="C149" s="46" t="str">
        <f>IFERROR(VLOOKUP($H149,매장구분!$B:$Z,3,0),"")</f>
        <v>국내</v>
      </c>
      <c r="D149" s="46" t="str">
        <f>IFERROR(VLOOKUP($H149,매장구분!$B:$Z,5,0),"")</f>
        <v>백화점</v>
      </c>
      <c r="E149" s="46" t="str">
        <f>IFERROR(VLOOKUP($H149,매장구분!$B:$Z,9,0),"")</f>
        <v>롯데노원</v>
      </c>
      <c r="F149" s="53"/>
      <c r="G149" s="54" t="s">
        <v>472</v>
      </c>
      <c r="H149" s="55" t="s">
        <v>473</v>
      </c>
      <c r="I149" s="55" t="s">
        <v>169</v>
      </c>
      <c r="J149" s="55" t="s">
        <v>175</v>
      </c>
      <c r="K149" s="55" t="s">
        <v>170</v>
      </c>
      <c r="L149" s="55" t="s">
        <v>171</v>
      </c>
      <c r="M149" s="55" t="s">
        <v>77</v>
      </c>
      <c r="N149" s="55" t="s">
        <v>172</v>
      </c>
      <c r="O149" s="55">
        <v>126860375</v>
      </c>
      <c r="P149" s="55">
        <v>1087</v>
      </c>
      <c r="Q149" s="55">
        <v>72000</v>
      </c>
      <c r="R149" s="55">
        <v>2</v>
      </c>
      <c r="S149" s="55">
        <v>0</v>
      </c>
      <c r="T149" s="55">
        <v>0</v>
      </c>
      <c r="U149" s="55">
        <v>18597200</v>
      </c>
      <c r="V149" s="55">
        <v>122</v>
      </c>
      <c r="W149" s="55">
        <v>0</v>
      </c>
      <c r="X149" s="55">
        <v>0</v>
      </c>
      <c r="Y149" s="56">
        <v>222725</v>
      </c>
      <c r="Z149" s="55">
        <v>3</v>
      </c>
      <c r="AA149" s="55">
        <v>0</v>
      </c>
      <c r="AB149" s="55">
        <v>0</v>
      </c>
      <c r="AC149" s="55">
        <v>145752300</v>
      </c>
      <c r="AD149" s="57">
        <v>1214</v>
      </c>
      <c r="AF149" s="47">
        <f t="shared" si="2"/>
        <v>145529575</v>
      </c>
    </row>
    <row r="150" spans="2:32" x14ac:dyDescent="0.3">
      <c r="B150" s="46" t="str">
        <f>IFERROR(VLOOKUP($H150,매장구분!$B:$Z,2,0),"")</f>
        <v>파트너채널팀</v>
      </c>
      <c r="C150" s="46" t="str">
        <f>IFERROR(VLOOKUP($H150,매장구분!$B:$Z,3,0),"")</f>
        <v>국내</v>
      </c>
      <c r="D150" s="46" t="str">
        <f>IFERROR(VLOOKUP($H150,매장구분!$B:$Z,5,0),"")</f>
        <v>백화점</v>
      </c>
      <c r="E150" s="46" t="str">
        <f>IFERROR(VLOOKUP($H150,매장구분!$B:$Z,9,0),"")</f>
        <v>현대울산동구</v>
      </c>
      <c r="F150" s="58"/>
      <c r="G150" s="59" t="s">
        <v>480</v>
      </c>
      <c r="H150" s="60" t="s">
        <v>481</v>
      </c>
      <c r="I150" s="60" t="s">
        <v>169</v>
      </c>
      <c r="J150" s="60" t="s">
        <v>175</v>
      </c>
      <c r="K150" s="60" t="s">
        <v>170</v>
      </c>
      <c r="L150" s="60" t="s">
        <v>171</v>
      </c>
      <c r="M150" s="60" t="s">
        <v>77</v>
      </c>
      <c r="N150" s="60" t="s">
        <v>172</v>
      </c>
      <c r="O150" s="60">
        <v>30450400</v>
      </c>
      <c r="P150" s="60">
        <v>296</v>
      </c>
      <c r="Q150" s="60">
        <v>0</v>
      </c>
      <c r="R150" s="60">
        <v>0</v>
      </c>
      <c r="S150" s="60">
        <v>0</v>
      </c>
      <c r="T150" s="60">
        <v>0</v>
      </c>
      <c r="U150" s="60">
        <v>3240400</v>
      </c>
      <c r="V150" s="60">
        <v>22</v>
      </c>
      <c r="W150" s="60">
        <v>0</v>
      </c>
      <c r="X150" s="60">
        <v>0</v>
      </c>
      <c r="Y150" s="61">
        <v>6789000</v>
      </c>
      <c r="Z150" s="60">
        <v>51</v>
      </c>
      <c r="AA150" s="60">
        <v>0</v>
      </c>
      <c r="AB150" s="60">
        <v>0</v>
      </c>
      <c r="AC150" s="60">
        <v>40479800</v>
      </c>
      <c r="AD150" s="62">
        <v>369</v>
      </c>
      <c r="AF150" s="47">
        <f t="shared" si="2"/>
        <v>33690800</v>
      </c>
    </row>
    <row r="151" spans="2:32" x14ac:dyDescent="0.3">
      <c r="B151" s="46" t="str">
        <f>IFERROR(VLOOKUP($H151,매장구분!$B:$Z,2,0),"")</f>
        <v>파트너채널팀</v>
      </c>
      <c r="C151" s="46" t="str">
        <f>IFERROR(VLOOKUP($H151,매장구분!$B:$Z,3,0),"")</f>
        <v>국내</v>
      </c>
      <c r="D151" s="46" t="str">
        <f>IFERROR(VLOOKUP($H151,매장구분!$B:$Z,5,0),"")</f>
        <v>백화점</v>
      </c>
      <c r="E151" s="46" t="str">
        <f>IFERROR(VLOOKUP($H151,매장구분!$B:$Z,9,0),"")</f>
        <v>엔터식스왕십리</v>
      </c>
      <c r="F151" s="53"/>
      <c r="G151" s="54" t="s">
        <v>444</v>
      </c>
      <c r="H151" s="55" t="s">
        <v>445</v>
      </c>
      <c r="I151" s="55" t="s">
        <v>169</v>
      </c>
      <c r="J151" s="55" t="s">
        <v>175</v>
      </c>
      <c r="K151" s="55" t="s">
        <v>170</v>
      </c>
      <c r="L151" s="55" t="s">
        <v>171</v>
      </c>
      <c r="M151" s="55" t="s">
        <v>77</v>
      </c>
      <c r="N151" s="55" t="s">
        <v>238</v>
      </c>
      <c r="O151" s="55">
        <v>24802100</v>
      </c>
      <c r="P151" s="55">
        <v>253</v>
      </c>
      <c r="Q151" s="55">
        <v>131000</v>
      </c>
      <c r="R151" s="55">
        <v>3</v>
      </c>
      <c r="S151" s="55">
        <v>0</v>
      </c>
      <c r="T151" s="55">
        <v>0</v>
      </c>
      <c r="U151" s="55">
        <v>13810200</v>
      </c>
      <c r="V151" s="55">
        <v>86</v>
      </c>
      <c r="W151" s="55">
        <v>0</v>
      </c>
      <c r="X151" s="55">
        <v>0</v>
      </c>
      <c r="Y151" s="56">
        <v>0</v>
      </c>
      <c r="Z151" s="55">
        <v>0</v>
      </c>
      <c r="AA151" s="55">
        <v>0</v>
      </c>
      <c r="AB151" s="55">
        <v>0</v>
      </c>
      <c r="AC151" s="55">
        <v>38743300</v>
      </c>
      <c r="AD151" s="57">
        <v>342</v>
      </c>
      <c r="AF151" s="47">
        <f t="shared" si="2"/>
        <v>38743300</v>
      </c>
    </row>
    <row r="152" spans="2:32" x14ac:dyDescent="0.3">
      <c r="B152" s="46" t="str">
        <f>IFERROR(VLOOKUP($H152,매장구분!$B:$Z,2,0),"")</f>
        <v>파트너채널팀</v>
      </c>
      <c r="C152" s="46" t="str">
        <f>IFERROR(VLOOKUP($H152,매장구분!$B:$Z,3,0),"")</f>
        <v>면세</v>
      </c>
      <c r="D152" s="46" t="str">
        <f>IFERROR(VLOOKUP($H152,매장구분!$B:$Z,5,0),"")</f>
        <v>면세</v>
      </c>
      <c r="E152" s="46" t="str">
        <f>IFERROR(VLOOKUP($H152,매장구분!$B:$Z,9,0),"")</f>
        <v>현대면세무역</v>
      </c>
      <c r="F152" s="58"/>
      <c r="G152" s="59" t="s">
        <v>466</v>
      </c>
      <c r="H152" s="60" t="s">
        <v>467</v>
      </c>
      <c r="I152" s="60" t="s">
        <v>169</v>
      </c>
      <c r="J152" s="60" t="s">
        <v>175</v>
      </c>
      <c r="K152" s="60" t="s">
        <v>170</v>
      </c>
      <c r="L152" s="60" t="s">
        <v>171</v>
      </c>
      <c r="M152" s="60" t="s">
        <v>176</v>
      </c>
      <c r="N152" s="60" t="s">
        <v>177</v>
      </c>
      <c r="O152" s="60">
        <v>241719500</v>
      </c>
      <c r="P152" s="60">
        <v>2460</v>
      </c>
      <c r="Q152" s="60">
        <v>0</v>
      </c>
      <c r="R152" s="60">
        <v>0</v>
      </c>
      <c r="S152" s="60">
        <v>0</v>
      </c>
      <c r="T152" s="60">
        <v>0</v>
      </c>
      <c r="U152" s="60">
        <v>0</v>
      </c>
      <c r="V152" s="60">
        <v>0</v>
      </c>
      <c r="W152" s="60">
        <v>0</v>
      </c>
      <c r="X152" s="60">
        <v>0</v>
      </c>
      <c r="Y152" s="61">
        <v>634690000</v>
      </c>
      <c r="Z152" s="60">
        <v>6524</v>
      </c>
      <c r="AA152" s="60">
        <v>0</v>
      </c>
      <c r="AB152" s="60">
        <v>0</v>
      </c>
      <c r="AC152" s="60">
        <v>876409500</v>
      </c>
      <c r="AD152" s="62">
        <v>8984</v>
      </c>
      <c r="AF152" s="47">
        <f t="shared" si="2"/>
        <v>241719500</v>
      </c>
    </row>
    <row r="153" spans="2:32" x14ac:dyDescent="0.3">
      <c r="B153" s="46" t="str">
        <f>IFERROR(VLOOKUP($H153,매장구분!$B:$Z,2,0),"")</f>
        <v>파트너채널팀</v>
      </c>
      <c r="C153" s="46" t="str">
        <f>IFERROR(VLOOKUP($H153,매장구분!$B:$Z,3,0),"")</f>
        <v>국내</v>
      </c>
      <c r="D153" s="46" t="str">
        <f>IFERROR(VLOOKUP($H153,매장구분!$B:$Z,5,0),"")</f>
        <v>백화점</v>
      </c>
      <c r="E153" s="46" t="str">
        <f>IFERROR(VLOOKUP($H153,매장구분!$B:$Z,9,0),"")</f>
        <v>롯데부산</v>
      </c>
      <c r="F153" s="53"/>
      <c r="G153" s="54" t="s">
        <v>452</v>
      </c>
      <c r="H153" s="55" t="s">
        <v>453</v>
      </c>
      <c r="I153" s="55" t="s">
        <v>169</v>
      </c>
      <c r="J153" s="55" t="s">
        <v>175</v>
      </c>
      <c r="K153" s="55" t="s">
        <v>170</v>
      </c>
      <c r="L153" s="55" t="s">
        <v>171</v>
      </c>
      <c r="M153" s="55" t="s">
        <v>77</v>
      </c>
      <c r="N153" s="55" t="s">
        <v>172</v>
      </c>
      <c r="O153" s="55">
        <v>77691576</v>
      </c>
      <c r="P153" s="55">
        <v>865</v>
      </c>
      <c r="Q153" s="55">
        <v>0</v>
      </c>
      <c r="R153" s="55">
        <v>0</v>
      </c>
      <c r="S153" s="55">
        <v>0</v>
      </c>
      <c r="T153" s="55">
        <v>0</v>
      </c>
      <c r="U153" s="55">
        <v>5468534</v>
      </c>
      <c r="V153" s="55">
        <v>33</v>
      </c>
      <c r="W153" s="55">
        <v>0</v>
      </c>
      <c r="X153" s="55">
        <v>0</v>
      </c>
      <c r="Y153" s="56">
        <v>248263600</v>
      </c>
      <c r="Z153" s="55">
        <v>1804</v>
      </c>
      <c r="AA153" s="55">
        <v>0</v>
      </c>
      <c r="AB153" s="55">
        <v>0</v>
      </c>
      <c r="AC153" s="55">
        <v>331423710</v>
      </c>
      <c r="AD153" s="57">
        <v>2702</v>
      </c>
      <c r="AF153" s="47">
        <f t="shared" si="2"/>
        <v>83160110</v>
      </c>
    </row>
    <row r="154" spans="2:32" x14ac:dyDescent="0.3">
      <c r="B154" s="46" t="str">
        <f>IFERROR(VLOOKUP($H154,매장구분!$B:$Z,2,0),"")</f>
        <v>파트너채널팀</v>
      </c>
      <c r="C154" s="46" t="str">
        <f>IFERROR(VLOOKUP($H154,매장구분!$B:$Z,3,0),"")</f>
        <v>국내</v>
      </c>
      <c r="D154" s="46" t="str">
        <f>IFERROR(VLOOKUP($H154,매장구분!$B:$Z,5,0),"")</f>
        <v>백화점</v>
      </c>
      <c r="E154" s="46" t="str">
        <f>IFERROR(VLOOKUP($H154,매장구분!$B:$Z,9,0),"")</f>
        <v>롯데전주</v>
      </c>
      <c r="F154" s="58"/>
      <c r="G154" s="59" t="s">
        <v>446</v>
      </c>
      <c r="H154" s="60" t="s">
        <v>447</v>
      </c>
      <c r="I154" s="60" t="s">
        <v>169</v>
      </c>
      <c r="J154" s="60" t="s">
        <v>175</v>
      </c>
      <c r="K154" s="60" t="s">
        <v>170</v>
      </c>
      <c r="L154" s="60" t="s">
        <v>171</v>
      </c>
      <c r="M154" s="60" t="s">
        <v>77</v>
      </c>
      <c r="N154" s="60" t="s">
        <v>172</v>
      </c>
      <c r="O154" s="60">
        <v>38149500</v>
      </c>
      <c r="P154" s="60">
        <v>424</v>
      </c>
      <c r="Q154" s="60">
        <v>438000</v>
      </c>
      <c r="R154" s="60">
        <v>4</v>
      </c>
      <c r="S154" s="60">
        <v>0</v>
      </c>
      <c r="T154" s="60">
        <v>0</v>
      </c>
      <c r="U154" s="60">
        <v>5374600</v>
      </c>
      <c r="V154" s="60">
        <v>28</v>
      </c>
      <c r="W154" s="60">
        <v>0</v>
      </c>
      <c r="X154" s="60">
        <v>0</v>
      </c>
      <c r="Y154" s="61">
        <v>0</v>
      </c>
      <c r="Z154" s="60">
        <v>0</v>
      </c>
      <c r="AA154" s="60">
        <v>0</v>
      </c>
      <c r="AB154" s="60">
        <v>0</v>
      </c>
      <c r="AC154" s="60">
        <v>43962100</v>
      </c>
      <c r="AD154" s="62">
        <v>456</v>
      </c>
      <c r="AF154" s="47">
        <f t="shared" si="2"/>
        <v>43962100</v>
      </c>
    </row>
    <row r="155" spans="2:32" x14ac:dyDescent="0.3">
      <c r="B155" s="46" t="str">
        <f>IFERROR(VLOOKUP($H155,매장구분!$B:$Z,2,0),"")</f>
        <v>파트너채널팀</v>
      </c>
      <c r="C155" s="46" t="str">
        <f>IFERROR(VLOOKUP($H155,매장구분!$B:$Z,3,0),"")</f>
        <v>국내</v>
      </c>
      <c r="D155" s="46" t="str">
        <f>IFERROR(VLOOKUP($H155,매장구분!$B:$Z,5,0),"")</f>
        <v>백화점</v>
      </c>
      <c r="E155" s="46" t="str">
        <f>IFERROR(VLOOKUP($H155,매장구분!$B:$Z,9,0),"")</f>
        <v>현대킨텍스</v>
      </c>
      <c r="F155" s="53"/>
      <c r="G155" s="54" t="s">
        <v>442</v>
      </c>
      <c r="H155" s="55" t="s">
        <v>443</v>
      </c>
      <c r="I155" s="55" t="s">
        <v>169</v>
      </c>
      <c r="J155" s="55" t="s">
        <v>175</v>
      </c>
      <c r="K155" s="55" t="s">
        <v>170</v>
      </c>
      <c r="L155" s="55" t="s">
        <v>171</v>
      </c>
      <c r="M155" s="55" t="s">
        <v>77</v>
      </c>
      <c r="N155" s="55" t="s">
        <v>172</v>
      </c>
      <c r="O155" s="55">
        <v>20298500</v>
      </c>
      <c r="P155" s="55">
        <v>189</v>
      </c>
      <c r="Q155" s="55">
        <v>560000</v>
      </c>
      <c r="R155" s="55">
        <v>8</v>
      </c>
      <c r="S155" s="55">
        <v>0</v>
      </c>
      <c r="T155" s="55">
        <v>0</v>
      </c>
      <c r="U155" s="55">
        <v>3976400</v>
      </c>
      <c r="V155" s="55">
        <v>21</v>
      </c>
      <c r="W155" s="55">
        <v>0</v>
      </c>
      <c r="X155" s="55">
        <v>0</v>
      </c>
      <c r="Y155" s="56">
        <v>40649900</v>
      </c>
      <c r="Z155" s="55">
        <v>307</v>
      </c>
      <c r="AA155" s="55">
        <v>0</v>
      </c>
      <c r="AB155" s="55">
        <v>0</v>
      </c>
      <c r="AC155" s="55">
        <v>65484800</v>
      </c>
      <c r="AD155" s="57">
        <v>525</v>
      </c>
      <c r="AF155" s="47">
        <f t="shared" si="2"/>
        <v>24834900</v>
      </c>
    </row>
    <row r="156" spans="2:32" x14ac:dyDescent="0.3">
      <c r="B156" s="46" t="str">
        <f>IFERROR(VLOOKUP($H156,매장구분!$B:$Z,2,0),"")</f>
        <v>리테일채널팀</v>
      </c>
      <c r="C156" s="46" t="str">
        <f>IFERROR(VLOOKUP($H156,매장구분!$B:$Z,3,0),"")</f>
        <v>국내</v>
      </c>
      <c r="D156" s="46" t="str">
        <f>IFERROR(VLOOKUP($H156,매장구분!$B:$Z,5,0),"")</f>
        <v>대리점</v>
      </c>
      <c r="E156" s="46" t="str">
        <f>IFERROR(VLOOKUP($H156,매장구분!$B:$Z,9,0),"")</f>
        <v>대전은행(대-위)</v>
      </c>
      <c r="F156" s="58"/>
      <c r="G156" s="59" t="s">
        <v>456</v>
      </c>
      <c r="H156" s="60" t="s">
        <v>457</v>
      </c>
      <c r="I156" s="60" t="s">
        <v>169</v>
      </c>
      <c r="J156" s="60" t="s">
        <v>79</v>
      </c>
      <c r="K156" s="60" t="s">
        <v>170</v>
      </c>
      <c r="L156" s="60" t="s">
        <v>171</v>
      </c>
      <c r="M156" s="60" t="s">
        <v>196</v>
      </c>
      <c r="N156" s="60" t="s">
        <v>197</v>
      </c>
      <c r="O156" s="60">
        <v>43747289</v>
      </c>
      <c r="P156" s="60">
        <v>510</v>
      </c>
      <c r="Q156" s="60">
        <v>0</v>
      </c>
      <c r="R156" s="60">
        <v>0</v>
      </c>
      <c r="S156" s="60">
        <v>0</v>
      </c>
      <c r="T156" s="60">
        <v>0</v>
      </c>
      <c r="U156" s="60">
        <v>1485964</v>
      </c>
      <c r="V156" s="60">
        <v>10</v>
      </c>
      <c r="W156" s="60">
        <v>0</v>
      </c>
      <c r="X156" s="60">
        <v>0</v>
      </c>
      <c r="Y156" s="61">
        <v>32980000</v>
      </c>
      <c r="Z156" s="60">
        <v>320</v>
      </c>
      <c r="AA156" s="60">
        <v>0</v>
      </c>
      <c r="AB156" s="60">
        <v>0</v>
      </c>
      <c r="AC156" s="60">
        <v>78213253</v>
      </c>
      <c r="AD156" s="62">
        <v>840</v>
      </c>
      <c r="AF156" s="47">
        <f t="shared" si="2"/>
        <v>45233253</v>
      </c>
    </row>
    <row r="157" spans="2:32" x14ac:dyDescent="0.3">
      <c r="B157" s="46" t="str">
        <f>IFERROR(VLOOKUP($H157,매장구분!$B:$Z,2,0),"")</f>
        <v>파트너채널팀</v>
      </c>
      <c r="C157" s="46" t="str">
        <f>IFERROR(VLOOKUP($H157,매장구분!$B:$Z,3,0),"")</f>
        <v>국내</v>
      </c>
      <c r="D157" s="46" t="str">
        <f>IFERROR(VLOOKUP($H157,매장구분!$B:$Z,5,0),"")</f>
        <v>백화점</v>
      </c>
      <c r="E157" s="46" t="str">
        <f>IFERROR(VLOOKUP($H157,매장구분!$B:$Z,9,0),"")</f>
        <v>롯데광복</v>
      </c>
      <c r="F157" s="53"/>
      <c r="G157" s="54" t="s">
        <v>448</v>
      </c>
      <c r="H157" s="55" t="s">
        <v>449</v>
      </c>
      <c r="I157" s="55" t="s">
        <v>169</v>
      </c>
      <c r="J157" s="55" t="s">
        <v>175</v>
      </c>
      <c r="K157" s="55" t="s">
        <v>170</v>
      </c>
      <c r="L157" s="55" t="s">
        <v>171</v>
      </c>
      <c r="M157" s="55" t="s">
        <v>77</v>
      </c>
      <c r="N157" s="55" t="s">
        <v>172</v>
      </c>
      <c r="O157" s="55">
        <v>30368682</v>
      </c>
      <c r="P157" s="55">
        <v>404</v>
      </c>
      <c r="Q157" s="55">
        <v>0</v>
      </c>
      <c r="R157" s="55">
        <v>0</v>
      </c>
      <c r="S157" s="55">
        <v>0</v>
      </c>
      <c r="T157" s="55">
        <v>0</v>
      </c>
      <c r="U157" s="55">
        <v>3379118</v>
      </c>
      <c r="V157" s="55">
        <v>23</v>
      </c>
      <c r="W157" s="55">
        <v>0</v>
      </c>
      <c r="X157" s="55">
        <v>0</v>
      </c>
      <c r="Y157" s="56">
        <v>22822700</v>
      </c>
      <c r="Z157" s="55">
        <v>252</v>
      </c>
      <c r="AA157" s="55">
        <v>0</v>
      </c>
      <c r="AB157" s="55">
        <v>0</v>
      </c>
      <c r="AC157" s="55">
        <v>56570500</v>
      </c>
      <c r="AD157" s="57">
        <v>679</v>
      </c>
      <c r="AF157" s="47">
        <f t="shared" si="2"/>
        <v>33747800</v>
      </c>
    </row>
    <row r="158" spans="2:32" x14ac:dyDescent="0.3">
      <c r="B158" s="46" t="str">
        <f>IFERROR(VLOOKUP($H158,매장구분!$B:$Z,2,0),"")</f>
        <v>파트너채널팀</v>
      </c>
      <c r="C158" s="46" t="str">
        <f>IFERROR(VLOOKUP($H158,매장구분!$B:$Z,3,0),"")</f>
        <v>면세</v>
      </c>
      <c r="D158" s="46" t="str">
        <f>IFERROR(VLOOKUP($H158,매장구분!$B:$Z,5,0),"")</f>
        <v>면세</v>
      </c>
      <c r="E158" s="46" t="str">
        <f>IFERROR(VLOOKUP($H158,매장구분!$B:$Z,9,0),"")</f>
        <v>롯데면세제주</v>
      </c>
      <c r="F158" s="58"/>
      <c r="G158" s="59" t="s">
        <v>464</v>
      </c>
      <c r="H158" s="60" t="s">
        <v>465</v>
      </c>
      <c r="I158" s="60" t="s">
        <v>169</v>
      </c>
      <c r="J158" s="60" t="s">
        <v>175</v>
      </c>
      <c r="K158" s="60" t="s">
        <v>170</v>
      </c>
      <c r="L158" s="60" t="s">
        <v>171</v>
      </c>
      <c r="M158" s="60" t="s">
        <v>176</v>
      </c>
      <c r="N158" s="60" t="s">
        <v>177</v>
      </c>
      <c r="O158" s="60">
        <v>280612000</v>
      </c>
      <c r="P158" s="60">
        <v>3666</v>
      </c>
      <c r="Q158" s="60">
        <v>0</v>
      </c>
      <c r="R158" s="60">
        <v>0</v>
      </c>
      <c r="S158" s="60">
        <v>0</v>
      </c>
      <c r="T158" s="60">
        <v>0</v>
      </c>
      <c r="U158" s="60">
        <v>0</v>
      </c>
      <c r="V158" s="60">
        <v>0</v>
      </c>
      <c r="W158" s="60">
        <v>0</v>
      </c>
      <c r="X158" s="60">
        <v>0</v>
      </c>
      <c r="Y158" s="61">
        <v>0</v>
      </c>
      <c r="Z158" s="60">
        <v>0</v>
      </c>
      <c r="AA158" s="60">
        <v>0</v>
      </c>
      <c r="AB158" s="60">
        <v>0</v>
      </c>
      <c r="AC158" s="60">
        <v>280612000</v>
      </c>
      <c r="AD158" s="62">
        <v>3666</v>
      </c>
      <c r="AF158" s="47">
        <f t="shared" si="2"/>
        <v>280612000</v>
      </c>
    </row>
    <row r="159" spans="2:32" x14ac:dyDescent="0.3">
      <c r="B159" s="46" t="str">
        <f>IFERROR(VLOOKUP($H159,매장구분!$B:$Z,2,0),"")</f>
        <v>파트너채널팀</v>
      </c>
      <c r="C159" s="46" t="str">
        <f>IFERROR(VLOOKUP($H159,매장구분!$B:$Z,3,0),"")</f>
        <v>국내</v>
      </c>
      <c r="D159" s="46" t="str">
        <f>IFERROR(VLOOKUP($H159,매장구분!$B:$Z,5,0),"")</f>
        <v>백화점</v>
      </c>
      <c r="E159" s="46" t="str">
        <f>IFERROR(VLOOKUP($H159,매장구분!$B:$Z,9,0),"")</f>
        <v>신세계의정부</v>
      </c>
      <c r="F159" s="53"/>
      <c r="G159" s="54" t="s">
        <v>438</v>
      </c>
      <c r="H159" s="55" t="s">
        <v>439</v>
      </c>
      <c r="I159" s="55" t="s">
        <v>169</v>
      </c>
      <c r="J159" s="55" t="s">
        <v>175</v>
      </c>
      <c r="K159" s="55" t="s">
        <v>170</v>
      </c>
      <c r="L159" s="55" t="s">
        <v>171</v>
      </c>
      <c r="M159" s="55" t="s">
        <v>77</v>
      </c>
      <c r="N159" s="55" t="s">
        <v>172</v>
      </c>
      <c r="O159" s="55">
        <v>63047800</v>
      </c>
      <c r="P159" s="55">
        <v>616</v>
      </c>
      <c r="Q159" s="55">
        <v>0</v>
      </c>
      <c r="R159" s="55">
        <v>0</v>
      </c>
      <c r="S159" s="55">
        <v>0</v>
      </c>
      <c r="T159" s="55">
        <v>0</v>
      </c>
      <c r="U159" s="55">
        <v>8910900</v>
      </c>
      <c r="V159" s="55">
        <v>48</v>
      </c>
      <c r="W159" s="55">
        <v>0</v>
      </c>
      <c r="X159" s="55">
        <v>0</v>
      </c>
      <c r="Y159" s="56">
        <v>0</v>
      </c>
      <c r="Z159" s="55">
        <v>0</v>
      </c>
      <c r="AA159" s="55">
        <v>0</v>
      </c>
      <c r="AB159" s="55">
        <v>0</v>
      </c>
      <c r="AC159" s="55">
        <v>71958700</v>
      </c>
      <c r="AD159" s="57">
        <v>664</v>
      </c>
      <c r="AF159" s="47">
        <f t="shared" si="2"/>
        <v>71958700</v>
      </c>
    </row>
    <row r="160" spans="2:32" x14ac:dyDescent="0.3">
      <c r="B160" s="46" t="str">
        <f>IFERROR(VLOOKUP($H160,매장구분!$B:$Z,2,0),"")</f>
        <v>리테일채널팀</v>
      </c>
      <c r="C160" s="46" t="str">
        <f>IFERROR(VLOOKUP($H160,매장구분!$B:$Z,3,0),"")</f>
        <v>RF</v>
      </c>
      <c r="D160" s="46" t="str">
        <f>IFERROR(VLOOKUP($H160,매장구분!$B:$Z,5,0),"")</f>
        <v>직영점</v>
      </c>
      <c r="E160" s="46" t="str">
        <f>IFERROR(VLOOKUP($H160,매장구분!$B:$Z,9,0),"")</f>
        <v>한남(직)</v>
      </c>
      <c r="F160" s="58"/>
      <c r="G160" s="59" t="s">
        <v>436</v>
      </c>
      <c r="H160" s="60" t="s">
        <v>437</v>
      </c>
      <c r="I160" s="60" t="s">
        <v>169</v>
      </c>
      <c r="J160" s="60" t="s">
        <v>180</v>
      </c>
      <c r="K160" s="60" t="s">
        <v>170</v>
      </c>
      <c r="L160" s="60" t="s">
        <v>171</v>
      </c>
      <c r="M160" s="60" t="s">
        <v>196</v>
      </c>
      <c r="N160" s="60" t="s">
        <v>206</v>
      </c>
      <c r="O160" s="60">
        <v>73297100</v>
      </c>
      <c r="P160" s="60">
        <v>1053</v>
      </c>
      <c r="Q160" s="60">
        <v>0</v>
      </c>
      <c r="R160" s="60">
        <v>0</v>
      </c>
      <c r="S160" s="60">
        <v>0</v>
      </c>
      <c r="T160" s="60">
        <v>0</v>
      </c>
      <c r="U160" s="60">
        <v>336000</v>
      </c>
      <c r="V160" s="60">
        <v>4</v>
      </c>
      <c r="W160" s="60">
        <v>0</v>
      </c>
      <c r="X160" s="60">
        <v>0</v>
      </c>
      <c r="Y160" s="61">
        <v>0</v>
      </c>
      <c r="Z160" s="60">
        <v>0</v>
      </c>
      <c r="AA160" s="60">
        <v>0</v>
      </c>
      <c r="AB160" s="60">
        <v>0</v>
      </c>
      <c r="AC160" s="60">
        <v>73633100</v>
      </c>
      <c r="AD160" s="62">
        <v>1057</v>
      </c>
      <c r="AF160" s="47">
        <f t="shared" si="2"/>
        <v>73633100</v>
      </c>
    </row>
    <row r="161" spans="2:32" x14ac:dyDescent="0.3">
      <c r="B161" s="46" t="str">
        <f>IFERROR(VLOOKUP($H161,매장구분!$B:$Z,2,0),"")</f>
        <v>리테일채널팀</v>
      </c>
      <c r="C161" s="46" t="str">
        <f>IFERROR(VLOOKUP($H161,매장구분!$B:$Z,3,0),"")</f>
        <v>RF</v>
      </c>
      <c r="D161" s="46" t="str">
        <f>IFERROR(VLOOKUP($H161,매장구분!$B:$Z,5,0),"")</f>
        <v>대리점</v>
      </c>
      <c r="E161" s="46" t="str">
        <f>IFERROR(VLOOKUP($H161,매장구분!$B:$Z,9,0),"")</f>
        <v>두타(대-위)</v>
      </c>
      <c r="F161" s="53"/>
      <c r="G161" s="54" t="s">
        <v>600</v>
      </c>
      <c r="H161" s="55" t="s">
        <v>601</v>
      </c>
      <c r="I161" s="55" t="s">
        <v>169</v>
      </c>
      <c r="J161" s="55" t="s">
        <v>79</v>
      </c>
      <c r="K161" s="55" t="s">
        <v>170</v>
      </c>
      <c r="L161" s="55" t="s">
        <v>171</v>
      </c>
      <c r="M161" s="55" t="s">
        <v>196</v>
      </c>
      <c r="N161" s="55" t="s">
        <v>197</v>
      </c>
      <c r="O161" s="55">
        <v>38495296</v>
      </c>
      <c r="P161" s="55">
        <v>384</v>
      </c>
      <c r="Q161" s="55">
        <v>0</v>
      </c>
      <c r="R161" s="55">
        <v>0</v>
      </c>
      <c r="S161" s="55">
        <v>0</v>
      </c>
      <c r="T161" s="55">
        <v>0</v>
      </c>
      <c r="U161" s="55">
        <v>1278104</v>
      </c>
      <c r="V161" s="55">
        <v>5</v>
      </c>
      <c r="W161" s="55">
        <v>0</v>
      </c>
      <c r="X161" s="55">
        <v>0</v>
      </c>
      <c r="Y161" s="56">
        <v>27387200</v>
      </c>
      <c r="Z161" s="55">
        <v>160</v>
      </c>
      <c r="AA161" s="55">
        <v>0</v>
      </c>
      <c r="AB161" s="55">
        <v>0</v>
      </c>
      <c r="AC161" s="55">
        <v>67160600</v>
      </c>
      <c r="AD161" s="57">
        <v>549</v>
      </c>
      <c r="AF161" s="47">
        <f t="shared" si="2"/>
        <v>39773400</v>
      </c>
    </row>
    <row r="162" spans="2:32" x14ac:dyDescent="0.3">
      <c r="B162" s="46" t="str">
        <f>IFERROR(VLOOKUP($H162,매장구분!$B:$Z,2,0),"")</f>
        <v>리테일채널팀</v>
      </c>
      <c r="C162" s="46" t="str">
        <f>IFERROR(VLOOKUP($H162,매장구분!$B:$Z,3,0),"")</f>
        <v>국내</v>
      </c>
      <c r="D162" s="46" t="str">
        <f>IFERROR(VLOOKUP($H162,매장구분!$B:$Z,5,0),"")</f>
        <v>상설(위탁)</v>
      </c>
      <c r="E162" s="46" t="str">
        <f>IFERROR(VLOOKUP($H162,매장구분!$B:$Z,9,0),"")</f>
        <v>롯데아울렛군산(상-위)</v>
      </c>
      <c r="F162" s="58"/>
      <c r="G162" s="59" t="s">
        <v>602</v>
      </c>
      <c r="H162" s="60" t="s">
        <v>603</v>
      </c>
      <c r="I162" s="60" t="s">
        <v>169</v>
      </c>
      <c r="J162" s="60" t="s">
        <v>79</v>
      </c>
      <c r="K162" s="60" t="s">
        <v>170</v>
      </c>
      <c r="L162" s="60" t="s">
        <v>171</v>
      </c>
      <c r="M162" s="60" t="s">
        <v>219</v>
      </c>
      <c r="N162" s="60" t="s">
        <v>219</v>
      </c>
      <c r="O162" s="60">
        <v>2340000</v>
      </c>
      <c r="P162" s="60">
        <v>65</v>
      </c>
      <c r="Q162" s="60">
        <v>0</v>
      </c>
      <c r="R162" s="60">
        <v>0</v>
      </c>
      <c r="S162" s="60">
        <v>0</v>
      </c>
      <c r="T162" s="60">
        <v>0</v>
      </c>
      <c r="U162" s="60">
        <v>0</v>
      </c>
      <c r="V162" s="60">
        <v>0</v>
      </c>
      <c r="W162" s="60">
        <v>0</v>
      </c>
      <c r="X162" s="60">
        <v>0</v>
      </c>
      <c r="Y162" s="61">
        <v>0</v>
      </c>
      <c r="Z162" s="60">
        <v>0</v>
      </c>
      <c r="AA162" s="60">
        <v>0</v>
      </c>
      <c r="AB162" s="60">
        <v>0</v>
      </c>
      <c r="AC162" s="60">
        <v>2340000</v>
      </c>
      <c r="AD162" s="62">
        <v>65</v>
      </c>
      <c r="AF162" s="47">
        <f t="shared" si="2"/>
        <v>2340000</v>
      </c>
    </row>
    <row r="163" spans="2:32" x14ac:dyDescent="0.3">
      <c r="B163" s="46" t="str">
        <f>IFERROR(VLOOKUP($H163,매장구분!$B:$Z,2,0),"")</f>
        <v>리테일채널팀</v>
      </c>
      <c r="C163" s="46" t="str">
        <f>IFERROR(VLOOKUP($H163,매장구분!$B:$Z,3,0),"")</f>
        <v>국내</v>
      </c>
      <c r="D163" s="46" t="str">
        <f>IFERROR(VLOOKUP($H163,매장구분!$B:$Z,5,0),"")</f>
        <v>대리점</v>
      </c>
      <c r="E163" s="46" t="str">
        <f>IFERROR(VLOOKUP($H163,매장구분!$B:$Z,9,0),"")</f>
        <v>여천(대-위)</v>
      </c>
      <c r="F163" s="53"/>
      <c r="G163" s="54" t="s">
        <v>500</v>
      </c>
      <c r="H163" s="55" t="s">
        <v>501</v>
      </c>
      <c r="I163" s="55" t="s">
        <v>169</v>
      </c>
      <c r="J163" s="55" t="s">
        <v>79</v>
      </c>
      <c r="K163" s="55" t="s">
        <v>170</v>
      </c>
      <c r="L163" s="55" t="s">
        <v>171</v>
      </c>
      <c r="M163" s="55" t="s">
        <v>196</v>
      </c>
      <c r="N163" s="55" t="s">
        <v>197</v>
      </c>
      <c r="O163" s="55">
        <v>24365153</v>
      </c>
      <c r="P163" s="55">
        <v>263</v>
      </c>
      <c r="Q163" s="55">
        <v>0</v>
      </c>
      <c r="R163" s="55">
        <v>0</v>
      </c>
      <c r="S163" s="55">
        <v>0</v>
      </c>
      <c r="T163" s="55">
        <v>0</v>
      </c>
      <c r="U163" s="55">
        <v>3230613</v>
      </c>
      <c r="V163" s="55">
        <v>23</v>
      </c>
      <c r="W163" s="55">
        <v>0</v>
      </c>
      <c r="X163" s="55">
        <v>0</v>
      </c>
      <c r="Y163" s="56">
        <v>0</v>
      </c>
      <c r="Z163" s="55">
        <v>0</v>
      </c>
      <c r="AA163" s="55">
        <v>0</v>
      </c>
      <c r="AB163" s="55">
        <v>0</v>
      </c>
      <c r="AC163" s="55">
        <v>27595766</v>
      </c>
      <c r="AD163" s="57">
        <v>286</v>
      </c>
      <c r="AF163" s="47">
        <f t="shared" si="2"/>
        <v>27595766</v>
      </c>
    </row>
    <row r="164" spans="2:32" x14ac:dyDescent="0.3">
      <c r="B164" s="46" t="str">
        <f>IFERROR(VLOOKUP($H164,매장구분!$B:$Z,2,0),"")</f>
        <v>리테일채널팀</v>
      </c>
      <c r="C164" s="46" t="str">
        <f>IFERROR(VLOOKUP($H164,매장구분!$B:$Z,3,0),"")</f>
        <v>국내</v>
      </c>
      <c r="D164" s="46" t="str">
        <f>IFERROR(VLOOKUP($H164,매장구분!$B:$Z,5,0),"")</f>
        <v>대리점</v>
      </c>
      <c r="E164" s="46" t="str">
        <f>IFERROR(VLOOKUP($H164,매장구분!$B:$Z,9,0),"")</f>
        <v>통영(대-위)</v>
      </c>
      <c r="F164" s="58"/>
      <c r="G164" s="59" t="s">
        <v>506</v>
      </c>
      <c r="H164" s="60" t="s">
        <v>507</v>
      </c>
      <c r="I164" s="60" t="s">
        <v>169</v>
      </c>
      <c r="J164" s="60" t="s">
        <v>79</v>
      </c>
      <c r="K164" s="60" t="s">
        <v>170</v>
      </c>
      <c r="L164" s="60" t="s">
        <v>171</v>
      </c>
      <c r="M164" s="60" t="s">
        <v>196</v>
      </c>
      <c r="N164" s="60" t="s">
        <v>197</v>
      </c>
      <c r="O164" s="60">
        <v>23131110</v>
      </c>
      <c r="P164" s="60">
        <v>233</v>
      </c>
      <c r="Q164" s="60">
        <v>0</v>
      </c>
      <c r="R164" s="60">
        <v>0</v>
      </c>
      <c r="S164" s="60">
        <v>0</v>
      </c>
      <c r="T164" s="60">
        <v>0</v>
      </c>
      <c r="U164" s="60">
        <v>2990000</v>
      </c>
      <c r="V164" s="60">
        <v>20</v>
      </c>
      <c r="W164" s="60">
        <v>0</v>
      </c>
      <c r="X164" s="60">
        <v>0</v>
      </c>
      <c r="Y164" s="61">
        <v>0</v>
      </c>
      <c r="Z164" s="60">
        <v>0</v>
      </c>
      <c r="AA164" s="60">
        <v>0</v>
      </c>
      <c r="AB164" s="60">
        <v>0</v>
      </c>
      <c r="AC164" s="60">
        <v>26121110</v>
      </c>
      <c r="AD164" s="62">
        <v>253</v>
      </c>
      <c r="AF164" s="47">
        <f t="shared" si="2"/>
        <v>26121110</v>
      </c>
    </row>
    <row r="165" spans="2:32" x14ac:dyDescent="0.3">
      <c r="B165" s="46" t="str">
        <f>IFERROR(VLOOKUP($H165,매장구분!$B:$Z,2,0),"")</f>
        <v>리테일채널팀</v>
      </c>
      <c r="C165" s="46" t="str">
        <f>IFERROR(VLOOKUP($H165,매장구분!$B:$Z,3,0),"")</f>
        <v>국내</v>
      </c>
      <c r="D165" s="46" t="str">
        <f>IFERROR(VLOOKUP($H165,매장구분!$B:$Z,5,0),"")</f>
        <v>대리점</v>
      </c>
      <c r="E165" s="46" t="str">
        <f>IFERROR(VLOOKUP($H165,매장구분!$B:$Z,9,0),"")</f>
        <v>해남(대-위)</v>
      </c>
      <c r="F165" s="53"/>
      <c r="G165" s="54" t="s">
        <v>514</v>
      </c>
      <c r="H165" s="55" t="s">
        <v>515</v>
      </c>
      <c r="I165" s="55" t="s">
        <v>169</v>
      </c>
      <c r="J165" s="55" t="s">
        <v>79</v>
      </c>
      <c r="K165" s="55" t="s">
        <v>170</v>
      </c>
      <c r="L165" s="55" t="s">
        <v>171</v>
      </c>
      <c r="M165" s="55" t="s">
        <v>196</v>
      </c>
      <c r="N165" s="55" t="s">
        <v>197</v>
      </c>
      <c r="O165" s="55">
        <v>45010729</v>
      </c>
      <c r="P165" s="55">
        <v>417</v>
      </c>
      <c r="Q165" s="55">
        <v>0</v>
      </c>
      <c r="R165" s="55">
        <v>0</v>
      </c>
      <c r="S165" s="55">
        <v>0</v>
      </c>
      <c r="T165" s="55">
        <v>0</v>
      </c>
      <c r="U165" s="55">
        <v>10079571</v>
      </c>
      <c r="V165" s="55">
        <v>70</v>
      </c>
      <c r="W165" s="55">
        <v>0</v>
      </c>
      <c r="X165" s="55">
        <v>0</v>
      </c>
      <c r="Y165" s="56">
        <v>0</v>
      </c>
      <c r="Z165" s="55">
        <v>0</v>
      </c>
      <c r="AA165" s="55">
        <v>0</v>
      </c>
      <c r="AB165" s="55">
        <v>0</v>
      </c>
      <c r="AC165" s="55">
        <v>55090300</v>
      </c>
      <c r="AD165" s="57">
        <v>487</v>
      </c>
      <c r="AF165" s="47">
        <f t="shared" si="2"/>
        <v>55090300</v>
      </c>
    </row>
    <row r="166" spans="2:32" x14ac:dyDescent="0.3">
      <c r="B166" s="46" t="str">
        <f>IFERROR(VLOOKUP($H166,매장구분!$B:$Z,2,0),"")</f>
        <v>리테일채널팀</v>
      </c>
      <c r="C166" s="46" t="str">
        <f>IFERROR(VLOOKUP($H166,매장구분!$B:$Z,3,0),"")</f>
        <v>국내</v>
      </c>
      <c r="D166" s="46" t="str">
        <f>IFERROR(VLOOKUP($H166,매장구분!$B:$Z,5,0),"")</f>
        <v>대리점</v>
      </c>
      <c r="E166" s="46" t="str">
        <f>IFERROR(VLOOKUP($H166,매장구분!$B:$Z,9,0),"")</f>
        <v>대구성서(대-위)</v>
      </c>
      <c r="F166" s="58"/>
      <c r="G166" s="59" t="s">
        <v>492</v>
      </c>
      <c r="H166" s="60" t="s">
        <v>493</v>
      </c>
      <c r="I166" s="60" t="s">
        <v>169</v>
      </c>
      <c r="J166" s="60" t="s">
        <v>79</v>
      </c>
      <c r="K166" s="60" t="s">
        <v>170</v>
      </c>
      <c r="L166" s="60" t="s">
        <v>171</v>
      </c>
      <c r="M166" s="60" t="s">
        <v>196</v>
      </c>
      <c r="N166" s="60" t="s">
        <v>197</v>
      </c>
      <c r="O166" s="60">
        <v>60682739</v>
      </c>
      <c r="P166" s="60">
        <v>484</v>
      </c>
      <c r="Q166" s="60">
        <v>0</v>
      </c>
      <c r="R166" s="60">
        <v>0</v>
      </c>
      <c r="S166" s="60">
        <v>0</v>
      </c>
      <c r="T166" s="60">
        <v>0</v>
      </c>
      <c r="U166" s="60">
        <v>5396300</v>
      </c>
      <c r="V166" s="60">
        <v>27</v>
      </c>
      <c r="W166" s="60">
        <v>0</v>
      </c>
      <c r="X166" s="60">
        <v>0</v>
      </c>
      <c r="Y166" s="61">
        <v>0</v>
      </c>
      <c r="Z166" s="60">
        <v>0</v>
      </c>
      <c r="AA166" s="60">
        <v>0</v>
      </c>
      <c r="AB166" s="60">
        <v>0</v>
      </c>
      <c r="AC166" s="60">
        <v>66079039</v>
      </c>
      <c r="AD166" s="62">
        <v>511</v>
      </c>
      <c r="AF166" s="47">
        <f t="shared" si="2"/>
        <v>66079039</v>
      </c>
    </row>
    <row r="167" spans="2:32" x14ac:dyDescent="0.3">
      <c r="B167" s="46" t="str">
        <f>IFERROR(VLOOKUP($H167,매장구분!$B:$Z,2,0),"")</f>
        <v>리테일채널팀</v>
      </c>
      <c r="C167" s="46" t="str">
        <f>IFERROR(VLOOKUP($H167,매장구분!$B:$Z,3,0),"")</f>
        <v>국내</v>
      </c>
      <c r="D167" s="46" t="str">
        <f>IFERROR(VLOOKUP($H167,매장구분!$B:$Z,5,0),"")</f>
        <v>대리점</v>
      </c>
      <c r="E167" s="46" t="str">
        <f>IFERROR(VLOOKUP($H167,매장구분!$B:$Z,9,0),"")</f>
        <v>광주용봉(대-위)</v>
      </c>
      <c r="F167" s="53"/>
      <c r="G167" s="54" t="s">
        <v>606</v>
      </c>
      <c r="H167" s="55" t="s">
        <v>607</v>
      </c>
      <c r="I167" s="55" t="s">
        <v>169</v>
      </c>
      <c r="J167" s="55" t="s">
        <v>79</v>
      </c>
      <c r="K167" s="55" t="s">
        <v>170</v>
      </c>
      <c r="L167" s="55" t="s">
        <v>171</v>
      </c>
      <c r="M167" s="55" t="s">
        <v>196</v>
      </c>
      <c r="N167" s="55" t="s">
        <v>197</v>
      </c>
      <c r="O167" s="55">
        <v>12121700</v>
      </c>
      <c r="P167" s="55">
        <v>138</v>
      </c>
      <c r="Q167" s="55">
        <v>0</v>
      </c>
      <c r="R167" s="55">
        <v>0</v>
      </c>
      <c r="S167" s="55">
        <v>0</v>
      </c>
      <c r="T167" s="55">
        <v>0</v>
      </c>
      <c r="U167" s="55">
        <v>9102300</v>
      </c>
      <c r="V167" s="55">
        <v>56</v>
      </c>
      <c r="W167" s="55">
        <v>0</v>
      </c>
      <c r="X167" s="55">
        <v>0</v>
      </c>
      <c r="Y167" s="56">
        <v>0</v>
      </c>
      <c r="Z167" s="55">
        <v>0</v>
      </c>
      <c r="AA167" s="55">
        <v>0</v>
      </c>
      <c r="AB167" s="55">
        <v>0</v>
      </c>
      <c r="AC167" s="55">
        <v>21224000</v>
      </c>
      <c r="AD167" s="57">
        <v>194</v>
      </c>
      <c r="AF167" s="47">
        <f t="shared" si="2"/>
        <v>21224000</v>
      </c>
    </row>
    <row r="168" spans="2:32" x14ac:dyDescent="0.3">
      <c r="B168" s="46" t="str">
        <f>IFERROR(VLOOKUP($H168,매장구분!$B:$Z,2,0),"")</f>
        <v>파트너채널팀</v>
      </c>
      <c r="C168" s="46" t="str">
        <f>IFERROR(VLOOKUP($H168,매장구분!$B:$Z,3,0),"")</f>
        <v>국내</v>
      </c>
      <c r="D168" s="46" t="str">
        <f>IFERROR(VLOOKUP($H168,매장구분!$B:$Z,5,0),"")</f>
        <v>백화점</v>
      </c>
      <c r="E168" s="46" t="str">
        <f>IFERROR(VLOOKUP($H168,매장구분!$B:$Z,9,0),"")</f>
        <v>현대미아</v>
      </c>
      <c r="F168" s="58"/>
      <c r="G168" s="59" t="s">
        <v>512</v>
      </c>
      <c r="H168" s="60" t="s">
        <v>513</v>
      </c>
      <c r="I168" s="60" t="s">
        <v>169</v>
      </c>
      <c r="J168" s="60" t="s">
        <v>175</v>
      </c>
      <c r="K168" s="60" t="s">
        <v>170</v>
      </c>
      <c r="L168" s="60" t="s">
        <v>171</v>
      </c>
      <c r="M168" s="60" t="s">
        <v>77</v>
      </c>
      <c r="N168" s="60" t="s">
        <v>172</v>
      </c>
      <c r="O168" s="60">
        <v>13050000</v>
      </c>
      <c r="P168" s="60">
        <v>124</v>
      </c>
      <c r="Q168" s="60">
        <v>89000</v>
      </c>
      <c r="R168" s="60">
        <v>1</v>
      </c>
      <c r="S168" s="60">
        <v>0</v>
      </c>
      <c r="T168" s="60">
        <v>0</v>
      </c>
      <c r="U168" s="60">
        <v>3440700</v>
      </c>
      <c r="V168" s="60">
        <v>17</v>
      </c>
      <c r="W168" s="60">
        <v>0</v>
      </c>
      <c r="X168" s="60">
        <v>0</v>
      </c>
      <c r="Y168" s="61">
        <v>12602500</v>
      </c>
      <c r="Z168" s="60">
        <v>103</v>
      </c>
      <c r="AA168" s="60">
        <v>12837500</v>
      </c>
      <c r="AB168" s="60">
        <v>92</v>
      </c>
      <c r="AC168" s="60">
        <v>42019700</v>
      </c>
      <c r="AD168" s="62">
        <v>337</v>
      </c>
      <c r="AF168" s="47">
        <f t="shared" si="2"/>
        <v>29417200</v>
      </c>
    </row>
    <row r="169" spans="2:32" x14ac:dyDescent="0.3">
      <c r="B169" s="46" t="str">
        <f>IFERROR(VLOOKUP($H169,매장구분!$B:$Z,2,0),"")</f>
        <v>파트너채널팀</v>
      </c>
      <c r="C169" s="46" t="str">
        <f>IFERROR(VLOOKUP($H169,매장구분!$B:$Z,3,0),"")</f>
        <v>국내</v>
      </c>
      <c r="D169" s="46" t="str">
        <f>IFERROR(VLOOKUP($H169,매장구분!$B:$Z,5,0),"")</f>
        <v>백화점</v>
      </c>
      <c r="E169" s="46" t="str">
        <f>IFERROR(VLOOKUP($H169,매장구분!$B:$Z,9,0),"")</f>
        <v>신세계광주</v>
      </c>
      <c r="F169" s="53"/>
      <c r="G169" s="54" t="s">
        <v>504</v>
      </c>
      <c r="H169" s="55" t="s">
        <v>505</v>
      </c>
      <c r="I169" s="55" t="s">
        <v>169</v>
      </c>
      <c r="J169" s="55" t="s">
        <v>175</v>
      </c>
      <c r="K169" s="55" t="s">
        <v>170</v>
      </c>
      <c r="L169" s="55" t="s">
        <v>171</v>
      </c>
      <c r="M169" s="55" t="s">
        <v>77</v>
      </c>
      <c r="N169" s="55" t="s">
        <v>172</v>
      </c>
      <c r="O169" s="55">
        <v>59275218</v>
      </c>
      <c r="P169" s="55">
        <v>633</v>
      </c>
      <c r="Q169" s="55">
        <v>0</v>
      </c>
      <c r="R169" s="55">
        <v>0</v>
      </c>
      <c r="S169" s="55">
        <v>0</v>
      </c>
      <c r="T169" s="55">
        <v>0</v>
      </c>
      <c r="U169" s="55">
        <v>8387082</v>
      </c>
      <c r="V169" s="55">
        <v>49</v>
      </c>
      <c r="W169" s="55">
        <v>0</v>
      </c>
      <c r="X169" s="55">
        <v>0</v>
      </c>
      <c r="Y169" s="56">
        <v>0</v>
      </c>
      <c r="Z169" s="55">
        <v>0</v>
      </c>
      <c r="AA169" s="55">
        <v>0</v>
      </c>
      <c r="AB169" s="55">
        <v>0</v>
      </c>
      <c r="AC169" s="55">
        <v>67662300</v>
      </c>
      <c r="AD169" s="57">
        <v>682</v>
      </c>
      <c r="AF169" s="47">
        <f t="shared" si="2"/>
        <v>67662300</v>
      </c>
    </row>
    <row r="170" spans="2:32" x14ac:dyDescent="0.3">
      <c r="B170" s="46" t="str">
        <f>IFERROR(VLOOKUP($H170,매장구분!$B:$Z,2,0),"")</f>
        <v>파트너채널팀</v>
      </c>
      <c r="C170" s="46" t="str">
        <f>IFERROR(VLOOKUP($H170,매장구분!$B:$Z,3,0),"")</f>
        <v>국내</v>
      </c>
      <c r="D170" s="46" t="str">
        <f>IFERROR(VLOOKUP($H170,매장구분!$B:$Z,5,0),"")</f>
        <v>백화점</v>
      </c>
      <c r="E170" s="46" t="str">
        <f>IFERROR(VLOOKUP($H170,매장구분!$B:$Z,9,0),"")</f>
        <v>현대목동</v>
      </c>
      <c r="F170" s="58"/>
      <c r="G170" s="59" t="s">
        <v>604</v>
      </c>
      <c r="H170" s="60" t="s">
        <v>605</v>
      </c>
      <c r="I170" s="60" t="s">
        <v>169</v>
      </c>
      <c r="J170" s="60" t="s">
        <v>175</v>
      </c>
      <c r="K170" s="60" t="s">
        <v>170</v>
      </c>
      <c r="L170" s="60" t="s">
        <v>171</v>
      </c>
      <c r="M170" s="60" t="s">
        <v>77</v>
      </c>
      <c r="N170" s="60" t="s">
        <v>172</v>
      </c>
      <c r="O170" s="60">
        <v>49390110</v>
      </c>
      <c r="P170" s="60">
        <v>426</v>
      </c>
      <c r="Q170" s="60">
        <v>15296600</v>
      </c>
      <c r="R170" s="60">
        <v>367</v>
      </c>
      <c r="S170" s="60">
        <v>0</v>
      </c>
      <c r="T170" s="60">
        <v>0</v>
      </c>
      <c r="U170" s="60">
        <v>10920700</v>
      </c>
      <c r="V170" s="60">
        <v>52</v>
      </c>
      <c r="W170" s="60">
        <v>0</v>
      </c>
      <c r="X170" s="60">
        <v>0</v>
      </c>
      <c r="Y170" s="61">
        <v>98563000</v>
      </c>
      <c r="Z170" s="60">
        <v>627</v>
      </c>
      <c r="AA170" s="60">
        <v>0</v>
      </c>
      <c r="AB170" s="60">
        <v>0</v>
      </c>
      <c r="AC170" s="60">
        <v>174170410</v>
      </c>
      <c r="AD170" s="62">
        <v>1472</v>
      </c>
      <c r="AF170" s="47">
        <f t="shared" si="2"/>
        <v>75607410</v>
      </c>
    </row>
    <row r="171" spans="2:32" x14ac:dyDescent="0.3">
      <c r="B171" s="46" t="str">
        <f>IFERROR(VLOOKUP($H171,매장구분!$B:$Z,2,0),"")</f>
        <v>리테일채널팀</v>
      </c>
      <c r="C171" s="46" t="str">
        <f>IFERROR(VLOOKUP($H171,매장구분!$B:$Z,3,0),"")</f>
        <v>국내</v>
      </c>
      <c r="D171" s="46" t="str">
        <f>IFERROR(VLOOKUP($H171,매장구분!$B:$Z,5,0),"")</f>
        <v>대리점</v>
      </c>
      <c r="E171" s="46" t="str">
        <f>IFERROR(VLOOKUP($H171,매장구분!$B:$Z,9,0),"")</f>
        <v>거제(대-위)</v>
      </c>
      <c r="F171" s="53"/>
      <c r="G171" s="54" t="s">
        <v>502</v>
      </c>
      <c r="H171" s="55" t="s">
        <v>503</v>
      </c>
      <c r="I171" s="55" t="s">
        <v>169</v>
      </c>
      <c r="J171" s="55" t="s">
        <v>79</v>
      </c>
      <c r="K171" s="55" t="s">
        <v>170</v>
      </c>
      <c r="L171" s="55" t="s">
        <v>171</v>
      </c>
      <c r="M171" s="55" t="s">
        <v>196</v>
      </c>
      <c r="N171" s="55" t="s">
        <v>197</v>
      </c>
      <c r="O171" s="55">
        <v>42498126</v>
      </c>
      <c r="P171" s="55">
        <v>424</v>
      </c>
      <c r="Q171" s="55">
        <v>0</v>
      </c>
      <c r="R171" s="55">
        <v>0</v>
      </c>
      <c r="S171" s="55">
        <v>0</v>
      </c>
      <c r="T171" s="55">
        <v>0</v>
      </c>
      <c r="U171" s="55">
        <v>6013174</v>
      </c>
      <c r="V171" s="55">
        <v>37</v>
      </c>
      <c r="W171" s="55">
        <v>0</v>
      </c>
      <c r="X171" s="55">
        <v>0</v>
      </c>
      <c r="Y171" s="56">
        <v>0</v>
      </c>
      <c r="Z171" s="55">
        <v>0</v>
      </c>
      <c r="AA171" s="55">
        <v>0</v>
      </c>
      <c r="AB171" s="55">
        <v>0</v>
      </c>
      <c r="AC171" s="55">
        <v>48511300</v>
      </c>
      <c r="AD171" s="57">
        <v>461</v>
      </c>
      <c r="AF171" s="47">
        <f t="shared" si="2"/>
        <v>48511300</v>
      </c>
    </row>
    <row r="172" spans="2:32" x14ac:dyDescent="0.3">
      <c r="B172" s="46" t="str">
        <f>IFERROR(VLOOKUP($H172,매장구분!$B:$Z,2,0),"")</f>
        <v>리테일채널팀</v>
      </c>
      <c r="C172" s="46" t="str">
        <f>IFERROR(VLOOKUP($H172,매장구분!$B:$Z,3,0),"")</f>
        <v>국내</v>
      </c>
      <c r="D172" s="46" t="str">
        <f>IFERROR(VLOOKUP($H172,매장구분!$B:$Z,5,0),"")</f>
        <v>대리점</v>
      </c>
      <c r="E172" s="46" t="str">
        <f>IFERROR(VLOOKUP($H172,매장구분!$B:$Z,9,0),"")</f>
        <v>속초(대-위)</v>
      </c>
      <c r="F172" s="58"/>
      <c r="G172" s="59" t="s">
        <v>488</v>
      </c>
      <c r="H172" s="60" t="s">
        <v>489</v>
      </c>
      <c r="I172" s="60" t="s">
        <v>169</v>
      </c>
      <c r="J172" s="60" t="s">
        <v>79</v>
      </c>
      <c r="K172" s="60" t="s">
        <v>170</v>
      </c>
      <c r="L172" s="60" t="s">
        <v>171</v>
      </c>
      <c r="M172" s="60" t="s">
        <v>196</v>
      </c>
      <c r="N172" s="60" t="s">
        <v>197</v>
      </c>
      <c r="O172" s="60">
        <v>49559382</v>
      </c>
      <c r="P172" s="60">
        <v>483</v>
      </c>
      <c r="Q172" s="60">
        <v>0</v>
      </c>
      <c r="R172" s="60">
        <v>0</v>
      </c>
      <c r="S172" s="60">
        <v>0</v>
      </c>
      <c r="T172" s="60">
        <v>0</v>
      </c>
      <c r="U172" s="60">
        <v>8872487</v>
      </c>
      <c r="V172" s="60">
        <v>52</v>
      </c>
      <c r="W172" s="60">
        <v>0</v>
      </c>
      <c r="X172" s="60">
        <v>0</v>
      </c>
      <c r="Y172" s="61">
        <v>0</v>
      </c>
      <c r="Z172" s="60">
        <v>0</v>
      </c>
      <c r="AA172" s="60">
        <v>0</v>
      </c>
      <c r="AB172" s="60">
        <v>0</v>
      </c>
      <c r="AC172" s="60">
        <v>58431869</v>
      </c>
      <c r="AD172" s="62">
        <v>535</v>
      </c>
      <c r="AF172" s="47">
        <f t="shared" si="2"/>
        <v>58431869</v>
      </c>
    </row>
    <row r="173" spans="2:32" x14ac:dyDescent="0.3">
      <c r="B173" s="46" t="str">
        <f>IFERROR(VLOOKUP($H173,매장구분!$B:$Z,2,0),"")</f>
        <v>파트너채널팀</v>
      </c>
      <c r="C173" s="46" t="str">
        <f>IFERROR(VLOOKUP($H173,매장구분!$B:$Z,3,0),"")</f>
        <v>국내</v>
      </c>
      <c r="D173" s="46" t="str">
        <f>IFERROR(VLOOKUP($H173,매장구분!$B:$Z,5,0),"")</f>
        <v>백화점</v>
      </c>
      <c r="E173" s="46" t="str">
        <f>IFERROR(VLOOKUP($H173,매장구분!$B:$Z,9,0),"")</f>
        <v>현대중동</v>
      </c>
      <c r="F173" s="53"/>
      <c r="G173" s="54" t="s">
        <v>494</v>
      </c>
      <c r="H173" s="55" t="s">
        <v>495</v>
      </c>
      <c r="I173" s="55" t="s">
        <v>169</v>
      </c>
      <c r="J173" s="55" t="s">
        <v>175</v>
      </c>
      <c r="K173" s="55" t="s">
        <v>170</v>
      </c>
      <c r="L173" s="55" t="s">
        <v>171</v>
      </c>
      <c r="M173" s="55" t="s">
        <v>77</v>
      </c>
      <c r="N173" s="55" t="s">
        <v>172</v>
      </c>
      <c r="O173" s="55">
        <v>103580400</v>
      </c>
      <c r="P173" s="55">
        <v>820</v>
      </c>
      <c r="Q173" s="55">
        <v>458000</v>
      </c>
      <c r="R173" s="55">
        <v>6</v>
      </c>
      <c r="S173" s="55">
        <v>0</v>
      </c>
      <c r="T173" s="55">
        <v>0</v>
      </c>
      <c r="U173" s="55">
        <v>5080900</v>
      </c>
      <c r="V173" s="55">
        <v>34</v>
      </c>
      <c r="W173" s="55">
        <v>0</v>
      </c>
      <c r="X173" s="55">
        <v>0</v>
      </c>
      <c r="Y173" s="56">
        <v>3596600</v>
      </c>
      <c r="Z173" s="55">
        <v>40</v>
      </c>
      <c r="AA173" s="55">
        <v>0</v>
      </c>
      <c r="AB173" s="55">
        <v>0</v>
      </c>
      <c r="AC173" s="55">
        <v>112715900</v>
      </c>
      <c r="AD173" s="57">
        <v>900</v>
      </c>
      <c r="AF173" s="47">
        <f t="shared" si="2"/>
        <v>109119300</v>
      </c>
    </row>
    <row r="174" spans="2:32" x14ac:dyDescent="0.3">
      <c r="B174" s="46" t="str">
        <f>IFERROR(VLOOKUP($H174,매장구분!$B:$Z,2,0),"")</f>
        <v>파트너채널팀</v>
      </c>
      <c r="C174" s="46" t="str">
        <f>IFERROR(VLOOKUP($H174,매장구분!$B:$Z,3,0),"")</f>
        <v>국내</v>
      </c>
      <c r="D174" s="46" t="str">
        <f>IFERROR(VLOOKUP($H174,매장구분!$B:$Z,5,0),"")</f>
        <v>백화점</v>
      </c>
      <c r="E174" s="46" t="str">
        <f>IFERROR(VLOOKUP($H174,매장구분!$B:$Z,9,0),"")</f>
        <v>갤러리아진주</v>
      </c>
      <c r="F174" s="58"/>
      <c r="G174" s="59" t="s">
        <v>516</v>
      </c>
      <c r="H174" s="60" t="s">
        <v>517</v>
      </c>
      <c r="I174" s="60" t="s">
        <v>169</v>
      </c>
      <c r="J174" s="60" t="s">
        <v>175</v>
      </c>
      <c r="K174" s="60" t="s">
        <v>170</v>
      </c>
      <c r="L174" s="60" t="s">
        <v>171</v>
      </c>
      <c r="M174" s="60" t="s">
        <v>77</v>
      </c>
      <c r="N174" s="60" t="s">
        <v>172</v>
      </c>
      <c r="O174" s="60">
        <v>27887600</v>
      </c>
      <c r="P174" s="60">
        <v>258</v>
      </c>
      <c r="Q174" s="60">
        <v>4692300</v>
      </c>
      <c r="R174" s="60">
        <v>47</v>
      </c>
      <c r="S174" s="60">
        <v>0</v>
      </c>
      <c r="T174" s="60">
        <v>0</v>
      </c>
      <c r="U174" s="60">
        <v>4056400</v>
      </c>
      <c r="V174" s="60">
        <v>31</v>
      </c>
      <c r="W174" s="60">
        <v>0</v>
      </c>
      <c r="X174" s="60">
        <v>0</v>
      </c>
      <c r="Y174" s="61">
        <v>4578000</v>
      </c>
      <c r="Z174" s="60">
        <v>42</v>
      </c>
      <c r="AA174" s="60">
        <v>0</v>
      </c>
      <c r="AB174" s="60">
        <v>0</v>
      </c>
      <c r="AC174" s="60">
        <v>41214300</v>
      </c>
      <c r="AD174" s="62">
        <v>378</v>
      </c>
      <c r="AF174" s="47">
        <f t="shared" si="2"/>
        <v>36636300</v>
      </c>
    </row>
    <row r="175" spans="2:32" x14ac:dyDescent="0.3">
      <c r="B175" s="46" t="str">
        <f>IFERROR(VLOOKUP($H175,매장구분!$B:$Z,2,0),"")</f>
        <v>리테일채널팀</v>
      </c>
      <c r="C175" s="46" t="str">
        <f>IFERROR(VLOOKUP($H175,매장구분!$B:$Z,3,0),"")</f>
        <v>국내</v>
      </c>
      <c r="D175" s="46" t="str">
        <f>IFERROR(VLOOKUP($H175,매장구분!$B:$Z,5,0),"")</f>
        <v>대리점</v>
      </c>
      <c r="E175" s="46" t="str">
        <f>IFERROR(VLOOKUP($H175,매장구분!$B:$Z,9,0),"")</f>
        <v>익산(대-위)</v>
      </c>
      <c r="F175" s="53"/>
      <c r="G175" s="54" t="s">
        <v>490</v>
      </c>
      <c r="H175" s="55" t="s">
        <v>491</v>
      </c>
      <c r="I175" s="55" t="s">
        <v>169</v>
      </c>
      <c r="J175" s="55" t="s">
        <v>79</v>
      </c>
      <c r="K175" s="55" t="s">
        <v>170</v>
      </c>
      <c r="L175" s="55" t="s">
        <v>171</v>
      </c>
      <c r="M175" s="55" t="s">
        <v>196</v>
      </c>
      <c r="N175" s="55" t="s">
        <v>197</v>
      </c>
      <c r="O175" s="55">
        <v>45577166</v>
      </c>
      <c r="P175" s="55">
        <v>450</v>
      </c>
      <c r="Q175" s="55">
        <v>0</v>
      </c>
      <c r="R175" s="55">
        <v>0</v>
      </c>
      <c r="S175" s="55">
        <v>0</v>
      </c>
      <c r="T175" s="55">
        <v>0</v>
      </c>
      <c r="U175" s="55">
        <v>6157405</v>
      </c>
      <c r="V175" s="55">
        <v>38</v>
      </c>
      <c r="W175" s="55">
        <v>0</v>
      </c>
      <c r="X175" s="55">
        <v>0</v>
      </c>
      <c r="Y175" s="56">
        <v>34924000</v>
      </c>
      <c r="Z175" s="55">
        <v>296</v>
      </c>
      <c r="AA175" s="55">
        <v>0</v>
      </c>
      <c r="AB175" s="55">
        <v>0</v>
      </c>
      <c r="AC175" s="55">
        <v>86658571</v>
      </c>
      <c r="AD175" s="57">
        <v>784</v>
      </c>
      <c r="AF175" s="47">
        <f t="shared" si="2"/>
        <v>51734571</v>
      </c>
    </row>
    <row r="176" spans="2:32" x14ac:dyDescent="0.3">
      <c r="B176" s="46" t="str">
        <f>IFERROR(VLOOKUP($H176,매장구분!$B:$Z,2,0),"")</f>
        <v>파트너채널팀</v>
      </c>
      <c r="C176" s="46" t="str">
        <f>IFERROR(VLOOKUP($H176,매장구분!$B:$Z,3,0),"")</f>
        <v>국내</v>
      </c>
      <c r="D176" s="46" t="str">
        <f>IFERROR(VLOOKUP($H176,매장구분!$B:$Z,5,0),"")</f>
        <v>백화점</v>
      </c>
      <c r="E176" s="46" t="str">
        <f>IFERROR(VLOOKUP($H176,매장구분!$B:$Z,9,0),"")</f>
        <v>롯데중동</v>
      </c>
      <c r="F176" s="58"/>
      <c r="G176" s="59" t="s">
        <v>510</v>
      </c>
      <c r="H176" s="60" t="s">
        <v>511</v>
      </c>
      <c r="I176" s="60" t="s">
        <v>169</v>
      </c>
      <c r="J176" s="60" t="s">
        <v>175</v>
      </c>
      <c r="K176" s="60" t="s">
        <v>170</v>
      </c>
      <c r="L176" s="60" t="s">
        <v>171</v>
      </c>
      <c r="M176" s="60" t="s">
        <v>77</v>
      </c>
      <c r="N176" s="60" t="s">
        <v>172</v>
      </c>
      <c r="O176" s="60">
        <v>40673700</v>
      </c>
      <c r="P176" s="60">
        <v>372</v>
      </c>
      <c r="Q176" s="60">
        <v>1905000</v>
      </c>
      <c r="R176" s="60">
        <v>17</v>
      </c>
      <c r="S176" s="60">
        <v>0</v>
      </c>
      <c r="T176" s="60">
        <v>0</v>
      </c>
      <c r="U176" s="60">
        <v>7465700</v>
      </c>
      <c r="V176" s="60">
        <v>43</v>
      </c>
      <c r="W176" s="60">
        <v>0</v>
      </c>
      <c r="X176" s="60">
        <v>0</v>
      </c>
      <c r="Y176" s="61">
        <v>0</v>
      </c>
      <c r="Z176" s="60">
        <v>0</v>
      </c>
      <c r="AA176" s="60">
        <v>0</v>
      </c>
      <c r="AB176" s="60">
        <v>0</v>
      </c>
      <c r="AC176" s="60">
        <v>50044400</v>
      </c>
      <c r="AD176" s="62">
        <v>432</v>
      </c>
      <c r="AF176" s="47">
        <f t="shared" si="2"/>
        <v>50044400</v>
      </c>
    </row>
    <row r="177" spans="2:32" x14ac:dyDescent="0.3">
      <c r="B177" s="46" t="str">
        <f>IFERROR(VLOOKUP($H177,매장구분!$B:$Z,2,0),"")</f>
        <v>파트너채널팀</v>
      </c>
      <c r="C177" s="46" t="str">
        <f>IFERROR(VLOOKUP($H177,매장구분!$B:$Z,3,0),"")</f>
        <v>국내</v>
      </c>
      <c r="D177" s="46" t="str">
        <f>IFERROR(VLOOKUP($H177,매장구분!$B:$Z,5,0),"")</f>
        <v>백화점</v>
      </c>
      <c r="E177" s="46" t="str">
        <f>IFERROR(VLOOKUP($H177,매장구분!$B:$Z,9,0),"")</f>
        <v>롯데일산</v>
      </c>
      <c r="F177" s="53"/>
      <c r="G177" s="54" t="s">
        <v>508</v>
      </c>
      <c r="H177" s="55" t="s">
        <v>509</v>
      </c>
      <c r="I177" s="55" t="s">
        <v>169</v>
      </c>
      <c r="J177" s="55" t="s">
        <v>175</v>
      </c>
      <c r="K177" s="55" t="s">
        <v>170</v>
      </c>
      <c r="L177" s="55" t="s">
        <v>171</v>
      </c>
      <c r="M177" s="55" t="s">
        <v>77</v>
      </c>
      <c r="N177" s="55" t="s">
        <v>172</v>
      </c>
      <c r="O177" s="55">
        <v>49970600</v>
      </c>
      <c r="P177" s="55">
        <v>461</v>
      </c>
      <c r="Q177" s="55">
        <v>43000</v>
      </c>
      <c r="R177" s="55">
        <v>1</v>
      </c>
      <c r="S177" s="55">
        <v>0</v>
      </c>
      <c r="T177" s="55">
        <v>0</v>
      </c>
      <c r="U177" s="55">
        <v>2601800</v>
      </c>
      <c r="V177" s="55">
        <v>21</v>
      </c>
      <c r="W177" s="55">
        <v>0</v>
      </c>
      <c r="X177" s="55">
        <v>0</v>
      </c>
      <c r="Y177" s="56">
        <v>21369100</v>
      </c>
      <c r="Z177" s="55">
        <v>169</v>
      </c>
      <c r="AA177" s="55">
        <v>0</v>
      </c>
      <c r="AB177" s="55">
        <v>0</v>
      </c>
      <c r="AC177" s="55">
        <v>73984500</v>
      </c>
      <c r="AD177" s="57">
        <v>652</v>
      </c>
      <c r="AF177" s="47">
        <f t="shared" si="2"/>
        <v>52615400</v>
      </c>
    </row>
    <row r="178" spans="2:32" x14ac:dyDescent="0.3">
      <c r="B178" s="46" t="str">
        <f>IFERROR(VLOOKUP($H178,매장구분!$B:$Z,2,0),"")</f>
        <v>E-biz</v>
      </c>
      <c r="C178" s="46" t="str">
        <f>IFERROR(VLOOKUP($H178,매장구분!$B:$Z,3,0),"")</f>
        <v>국내</v>
      </c>
      <c r="D178" s="46" t="str">
        <f>IFERROR(VLOOKUP($H178,매장구분!$B:$Z,5,0),"")</f>
        <v>온(제휴몰)</v>
      </c>
      <c r="E178" s="46" t="str">
        <f>IFERROR(VLOOKUP($H178,매장구분!$B:$Z,9,0),"")</f>
        <v>SSG닷컴(제휴몰)</v>
      </c>
      <c r="F178" s="58"/>
      <c r="G178" s="59" t="s">
        <v>498</v>
      </c>
      <c r="H178" s="60" t="s">
        <v>499</v>
      </c>
      <c r="I178" s="60" t="s">
        <v>169</v>
      </c>
      <c r="J178" s="60" t="s">
        <v>180</v>
      </c>
      <c r="K178" s="60" t="s">
        <v>170</v>
      </c>
      <c r="L178" s="60" t="s">
        <v>181</v>
      </c>
      <c r="M178" s="60" t="s">
        <v>181</v>
      </c>
      <c r="N178" s="60" t="s">
        <v>185</v>
      </c>
      <c r="O178" s="60">
        <v>63012900</v>
      </c>
      <c r="P178" s="60">
        <v>702</v>
      </c>
      <c r="Q178" s="60">
        <v>0</v>
      </c>
      <c r="R178" s="60">
        <v>0</v>
      </c>
      <c r="S178" s="60">
        <v>0</v>
      </c>
      <c r="T178" s="60">
        <v>0</v>
      </c>
      <c r="U178" s="60">
        <v>0</v>
      </c>
      <c r="V178" s="60">
        <v>0</v>
      </c>
      <c r="W178" s="60">
        <v>0</v>
      </c>
      <c r="X178" s="60">
        <v>0</v>
      </c>
      <c r="Y178" s="61">
        <v>0</v>
      </c>
      <c r="Z178" s="60">
        <v>0</v>
      </c>
      <c r="AA178" s="60">
        <v>0</v>
      </c>
      <c r="AB178" s="60">
        <v>0</v>
      </c>
      <c r="AC178" s="60">
        <v>63012900</v>
      </c>
      <c r="AD178" s="62">
        <v>702</v>
      </c>
      <c r="AF178" s="47">
        <f t="shared" si="2"/>
        <v>63012900</v>
      </c>
    </row>
    <row r="179" spans="2:32" x14ac:dyDescent="0.3">
      <c r="B179" s="46" t="str">
        <f>IFERROR(VLOOKUP($H179,매장구분!$B:$Z,2,0),"")</f>
        <v>파트너채널팀</v>
      </c>
      <c r="C179" s="46" t="str">
        <f>IFERROR(VLOOKUP($H179,매장구분!$B:$Z,3,0),"")</f>
        <v>국내</v>
      </c>
      <c r="D179" s="46" t="str">
        <f>IFERROR(VLOOKUP($H179,매장구분!$B:$Z,5,0),"")</f>
        <v>백화점</v>
      </c>
      <c r="E179" s="46" t="str">
        <f>IFERROR(VLOOKUP($H179,매장구분!$B:$Z,9,0),"")</f>
        <v>아이파크용산</v>
      </c>
      <c r="F179" s="53"/>
      <c r="G179" s="54" t="s">
        <v>496</v>
      </c>
      <c r="H179" s="55" t="s">
        <v>497</v>
      </c>
      <c r="I179" s="55" t="s">
        <v>169</v>
      </c>
      <c r="J179" s="55" t="s">
        <v>175</v>
      </c>
      <c r="K179" s="55" t="s">
        <v>170</v>
      </c>
      <c r="L179" s="55" t="s">
        <v>171</v>
      </c>
      <c r="M179" s="55" t="s">
        <v>188</v>
      </c>
      <c r="N179" s="55" t="s">
        <v>317</v>
      </c>
      <c r="O179" s="55">
        <v>34671922</v>
      </c>
      <c r="P179" s="55">
        <v>321</v>
      </c>
      <c r="Q179" s="55">
        <v>0</v>
      </c>
      <c r="R179" s="55">
        <v>0</v>
      </c>
      <c r="S179" s="55">
        <v>0</v>
      </c>
      <c r="T179" s="55">
        <v>0</v>
      </c>
      <c r="U179" s="55">
        <v>873050</v>
      </c>
      <c r="V179" s="55">
        <v>5</v>
      </c>
      <c r="W179" s="55">
        <v>0</v>
      </c>
      <c r="X179" s="55">
        <v>0</v>
      </c>
      <c r="Y179" s="56">
        <v>85636628</v>
      </c>
      <c r="Z179" s="55">
        <v>837</v>
      </c>
      <c r="AA179" s="55">
        <v>0</v>
      </c>
      <c r="AB179" s="55">
        <v>0</v>
      </c>
      <c r="AC179" s="55">
        <v>121181600</v>
      </c>
      <c r="AD179" s="57">
        <v>1163</v>
      </c>
      <c r="AF179" s="47">
        <f t="shared" si="2"/>
        <v>35544972</v>
      </c>
    </row>
    <row r="180" spans="2:32" x14ac:dyDescent="0.3">
      <c r="B180" s="46" t="str">
        <f>IFERROR(VLOOKUP($H180,매장구분!$B:$Z,2,0),"")</f>
        <v>리테일채널팀</v>
      </c>
      <c r="C180" s="46" t="str">
        <f>IFERROR(VLOOKUP($H180,매장구분!$B:$Z,3,0),"")</f>
        <v>국내</v>
      </c>
      <c r="D180" s="46" t="str">
        <f>IFERROR(VLOOKUP($H180,매장구분!$B:$Z,5,0),"")</f>
        <v>대리점</v>
      </c>
      <c r="E180" s="46" t="str">
        <f>IFERROR(VLOOKUP($H180,매장구분!$B:$Z,9,0),"")</f>
        <v>목포하당(대-위)</v>
      </c>
      <c r="F180" s="58"/>
      <c r="G180" s="59" t="s">
        <v>486</v>
      </c>
      <c r="H180" s="60" t="s">
        <v>487</v>
      </c>
      <c r="I180" s="60" t="s">
        <v>169</v>
      </c>
      <c r="J180" s="60" t="s">
        <v>79</v>
      </c>
      <c r="K180" s="60" t="s">
        <v>170</v>
      </c>
      <c r="L180" s="60" t="s">
        <v>171</v>
      </c>
      <c r="M180" s="60" t="s">
        <v>196</v>
      </c>
      <c r="N180" s="60" t="s">
        <v>197</v>
      </c>
      <c r="O180" s="60">
        <v>101898828</v>
      </c>
      <c r="P180" s="60">
        <v>834</v>
      </c>
      <c r="Q180" s="60">
        <v>0</v>
      </c>
      <c r="R180" s="60">
        <v>0</v>
      </c>
      <c r="S180" s="60">
        <v>0</v>
      </c>
      <c r="T180" s="60">
        <v>0</v>
      </c>
      <c r="U180" s="60">
        <v>4135018</v>
      </c>
      <c r="V180" s="60">
        <v>28</v>
      </c>
      <c r="W180" s="60">
        <v>0</v>
      </c>
      <c r="X180" s="60">
        <v>0</v>
      </c>
      <c r="Y180" s="61">
        <v>0</v>
      </c>
      <c r="Z180" s="60">
        <v>0</v>
      </c>
      <c r="AA180" s="60">
        <v>0</v>
      </c>
      <c r="AB180" s="60">
        <v>0</v>
      </c>
      <c r="AC180" s="60">
        <v>106033846</v>
      </c>
      <c r="AD180" s="62">
        <v>862</v>
      </c>
      <c r="AF180" s="47">
        <f t="shared" si="2"/>
        <v>106033846</v>
      </c>
    </row>
    <row r="181" spans="2:32" x14ac:dyDescent="0.3">
      <c r="B181" s="46" t="str">
        <f>IFERROR(VLOOKUP($H181,매장구분!$B:$Z,2,0),"")</f>
        <v>E-biz</v>
      </c>
      <c r="C181" s="46" t="str">
        <f>IFERROR(VLOOKUP($H181,매장구분!$B:$Z,3,0),"")</f>
        <v>국내</v>
      </c>
      <c r="D181" s="46" t="str">
        <f>IFERROR(VLOOKUP($H181,매장구분!$B:$Z,5,0),"")</f>
        <v>온(제휴몰)</v>
      </c>
      <c r="E181" s="46" t="str">
        <f>IFERROR(VLOOKUP($H181,매장구분!$B:$Z,9,0),"")</f>
        <v>29CM(제휴몰)</v>
      </c>
      <c r="F181" s="53"/>
      <c r="G181" s="54" t="s">
        <v>518</v>
      </c>
      <c r="H181" s="55" t="s">
        <v>519</v>
      </c>
      <c r="I181" s="55" t="s">
        <v>169</v>
      </c>
      <c r="J181" s="55" t="s">
        <v>180</v>
      </c>
      <c r="K181" s="55" t="s">
        <v>170</v>
      </c>
      <c r="L181" s="55" t="s">
        <v>181</v>
      </c>
      <c r="M181" s="55" t="s">
        <v>181</v>
      </c>
      <c r="N181" s="55" t="s">
        <v>185</v>
      </c>
      <c r="O181" s="55">
        <v>68250900</v>
      </c>
      <c r="P181" s="55">
        <v>1206</v>
      </c>
      <c r="Q181" s="55">
        <v>0</v>
      </c>
      <c r="R181" s="55">
        <v>0</v>
      </c>
      <c r="S181" s="55">
        <v>0</v>
      </c>
      <c r="T181" s="55">
        <v>0</v>
      </c>
      <c r="U181" s="55">
        <v>0</v>
      </c>
      <c r="V181" s="55">
        <v>0</v>
      </c>
      <c r="W181" s="55">
        <v>0</v>
      </c>
      <c r="X181" s="55">
        <v>0</v>
      </c>
      <c r="Y181" s="56">
        <v>0</v>
      </c>
      <c r="Z181" s="55">
        <v>0</v>
      </c>
      <c r="AA181" s="55">
        <v>0</v>
      </c>
      <c r="AB181" s="55">
        <v>0</v>
      </c>
      <c r="AC181" s="55">
        <v>68250900</v>
      </c>
      <c r="AD181" s="57">
        <v>1206</v>
      </c>
      <c r="AF181" s="47">
        <f t="shared" si="2"/>
        <v>68250900</v>
      </c>
    </row>
    <row r="182" spans="2:32" x14ac:dyDescent="0.3">
      <c r="B182" s="46" t="str">
        <f>IFERROR(VLOOKUP($H182,매장구분!$B:$Z,2,0),"")</f>
        <v>리테일채널팀</v>
      </c>
      <c r="C182" s="46" t="str">
        <f>IFERROR(VLOOKUP($H182,매장구분!$B:$Z,3,0),"")</f>
        <v>국내</v>
      </c>
      <c r="D182" s="46" t="str">
        <f>IFERROR(VLOOKUP($H182,매장구분!$B:$Z,5,0),"")</f>
        <v>상설(위탁)</v>
      </c>
      <c r="E182" s="46" t="str">
        <f>IFERROR(VLOOKUP($H182,매장구분!$B:$Z,9,0),"")</f>
        <v>신세계아울렛시흥(상-위)</v>
      </c>
      <c r="F182" s="58"/>
      <c r="G182" s="59" t="s">
        <v>524</v>
      </c>
      <c r="H182" s="60" t="s">
        <v>525</v>
      </c>
      <c r="I182" s="60" t="s">
        <v>169</v>
      </c>
      <c r="J182" s="60" t="s">
        <v>79</v>
      </c>
      <c r="K182" s="60" t="s">
        <v>170</v>
      </c>
      <c r="L182" s="60" t="s">
        <v>171</v>
      </c>
      <c r="M182" s="60" t="s">
        <v>219</v>
      </c>
      <c r="N182" s="60" t="s">
        <v>219</v>
      </c>
      <c r="O182" s="60">
        <v>12708000</v>
      </c>
      <c r="P182" s="60">
        <v>353</v>
      </c>
      <c r="Q182" s="60">
        <v>0</v>
      </c>
      <c r="R182" s="60">
        <v>0</v>
      </c>
      <c r="S182" s="60">
        <v>0</v>
      </c>
      <c r="T182" s="60">
        <v>0</v>
      </c>
      <c r="U182" s="60">
        <v>0</v>
      </c>
      <c r="V182" s="60">
        <v>0</v>
      </c>
      <c r="W182" s="60">
        <v>0</v>
      </c>
      <c r="X182" s="60">
        <v>0</v>
      </c>
      <c r="Y182" s="61">
        <v>0</v>
      </c>
      <c r="Z182" s="60">
        <v>0</v>
      </c>
      <c r="AA182" s="60">
        <v>0</v>
      </c>
      <c r="AB182" s="60">
        <v>0</v>
      </c>
      <c r="AC182" s="60">
        <v>12708000</v>
      </c>
      <c r="AD182" s="62">
        <v>353</v>
      </c>
      <c r="AF182" s="47">
        <f t="shared" si="2"/>
        <v>12708000</v>
      </c>
    </row>
    <row r="183" spans="2:32" x14ac:dyDescent="0.3">
      <c r="B183" s="46" t="str">
        <f>IFERROR(VLOOKUP($H183,매장구분!$B:$Z,2,0),"")</f>
        <v>리테일채널팀</v>
      </c>
      <c r="C183" s="46" t="str">
        <f>IFERROR(VLOOKUP($H183,매장구분!$B:$Z,3,0),"")</f>
        <v>국내</v>
      </c>
      <c r="D183" s="46" t="str">
        <f>IFERROR(VLOOKUP($H183,매장구분!$B:$Z,5,0),"")</f>
        <v>상설(위탁)</v>
      </c>
      <c r="E183" s="46" t="str">
        <f>IFERROR(VLOOKUP($H183,매장구분!$B:$Z,9,0),"")</f>
        <v>현대아울렛동대문(상-위)</v>
      </c>
      <c r="F183" s="53"/>
      <c r="G183" s="54" t="s">
        <v>526</v>
      </c>
      <c r="H183" s="55" t="s">
        <v>527</v>
      </c>
      <c r="I183" s="55" t="s">
        <v>169</v>
      </c>
      <c r="J183" s="55" t="s">
        <v>79</v>
      </c>
      <c r="K183" s="55" t="s">
        <v>170</v>
      </c>
      <c r="L183" s="55" t="s">
        <v>171</v>
      </c>
      <c r="M183" s="55" t="s">
        <v>219</v>
      </c>
      <c r="N183" s="55" t="s">
        <v>219</v>
      </c>
      <c r="O183" s="55">
        <v>4932000</v>
      </c>
      <c r="P183" s="55">
        <v>137</v>
      </c>
      <c r="Q183" s="55">
        <v>0</v>
      </c>
      <c r="R183" s="55">
        <v>0</v>
      </c>
      <c r="S183" s="55">
        <v>0</v>
      </c>
      <c r="T183" s="55">
        <v>0</v>
      </c>
      <c r="U183" s="55">
        <v>0</v>
      </c>
      <c r="V183" s="55">
        <v>0</v>
      </c>
      <c r="W183" s="55">
        <v>0</v>
      </c>
      <c r="X183" s="55">
        <v>0</v>
      </c>
      <c r="Y183" s="56">
        <v>0</v>
      </c>
      <c r="Z183" s="55">
        <v>0</v>
      </c>
      <c r="AA183" s="55">
        <v>0</v>
      </c>
      <c r="AB183" s="55">
        <v>0</v>
      </c>
      <c r="AC183" s="55">
        <v>4932000</v>
      </c>
      <c r="AD183" s="57">
        <v>137</v>
      </c>
      <c r="AF183" s="47">
        <f t="shared" si="2"/>
        <v>4932000</v>
      </c>
    </row>
    <row r="184" spans="2:32" x14ac:dyDescent="0.3">
      <c r="B184" s="46" t="str">
        <f>IFERROR(VLOOKUP($H184,매장구분!$B:$Z,2,0),"")</f>
        <v>리테일채널팀</v>
      </c>
      <c r="C184" s="46" t="str">
        <f>IFERROR(VLOOKUP($H184,매장구분!$B:$Z,3,0),"")</f>
        <v>국내</v>
      </c>
      <c r="D184" s="46" t="str">
        <f>IFERROR(VLOOKUP($H184,매장구분!$B:$Z,5,0),"")</f>
        <v>상설(위탁)</v>
      </c>
      <c r="E184" s="46" t="str">
        <f>IFERROR(VLOOKUP($H184,매장구분!$B:$Z,9,0),"")</f>
        <v>롯데아울렛진주(상-위)</v>
      </c>
      <c r="F184" s="58"/>
      <c r="G184" s="59" t="s">
        <v>528</v>
      </c>
      <c r="H184" s="60" t="s">
        <v>529</v>
      </c>
      <c r="I184" s="60" t="s">
        <v>169</v>
      </c>
      <c r="J184" s="60" t="s">
        <v>79</v>
      </c>
      <c r="K184" s="60" t="s">
        <v>170</v>
      </c>
      <c r="L184" s="60" t="s">
        <v>171</v>
      </c>
      <c r="M184" s="60" t="s">
        <v>219</v>
      </c>
      <c r="N184" s="60" t="s">
        <v>219</v>
      </c>
      <c r="O184" s="60">
        <v>4140000</v>
      </c>
      <c r="P184" s="60">
        <v>115</v>
      </c>
      <c r="Q184" s="60">
        <v>0</v>
      </c>
      <c r="R184" s="60">
        <v>0</v>
      </c>
      <c r="S184" s="60">
        <v>0</v>
      </c>
      <c r="T184" s="60">
        <v>0</v>
      </c>
      <c r="U184" s="60">
        <v>0</v>
      </c>
      <c r="V184" s="60">
        <v>0</v>
      </c>
      <c r="W184" s="60">
        <v>0</v>
      </c>
      <c r="X184" s="60">
        <v>0</v>
      </c>
      <c r="Y184" s="61">
        <v>0</v>
      </c>
      <c r="Z184" s="60">
        <v>0</v>
      </c>
      <c r="AA184" s="60">
        <v>0</v>
      </c>
      <c r="AB184" s="60">
        <v>0</v>
      </c>
      <c r="AC184" s="60">
        <v>4140000</v>
      </c>
      <c r="AD184" s="62">
        <v>115</v>
      </c>
      <c r="AF184" s="47">
        <f t="shared" si="2"/>
        <v>4140000</v>
      </c>
    </row>
    <row r="185" spans="2:32" x14ac:dyDescent="0.3">
      <c r="B185" s="46" t="str">
        <f>IFERROR(VLOOKUP($H185,매장구분!$B:$Z,2,0),"")</f>
        <v>리테일채널팀</v>
      </c>
      <c r="C185" s="46" t="str">
        <f>IFERROR(VLOOKUP($H185,매장구분!$B:$Z,3,0),"")</f>
        <v>국내</v>
      </c>
      <c r="D185" s="46" t="str">
        <f>IFERROR(VLOOKUP($H185,매장구분!$B:$Z,5,0),"")</f>
        <v>상설(위탁)</v>
      </c>
      <c r="E185" s="46" t="str">
        <f>IFERROR(VLOOKUP($H185,매장구분!$B:$Z,9,0),"")</f>
        <v>현대아울렛대전(상-위)</v>
      </c>
      <c r="F185" s="53"/>
      <c r="G185" s="54" t="s">
        <v>608</v>
      </c>
      <c r="H185" s="55" t="s">
        <v>609</v>
      </c>
      <c r="I185" s="55" t="s">
        <v>169</v>
      </c>
      <c r="J185" s="55" t="s">
        <v>79</v>
      </c>
      <c r="K185" s="55" t="s">
        <v>170</v>
      </c>
      <c r="L185" s="55" t="s">
        <v>171</v>
      </c>
      <c r="M185" s="55" t="s">
        <v>219</v>
      </c>
      <c r="N185" s="55" t="s">
        <v>219</v>
      </c>
      <c r="O185" s="55">
        <v>5292000</v>
      </c>
      <c r="P185" s="55">
        <v>147</v>
      </c>
      <c r="Q185" s="55">
        <v>0</v>
      </c>
      <c r="R185" s="55">
        <v>0</v>
      </c>
      <c r="S185" s="55">
        <v>0</v>
      </c>
      <c r="T185" s="55">
        <v>0</v>
      </c>
      <c r="U185" s="55">
        <v>0</v>
      </c>
      <c r="V185" s="55">
        <v>0</v>
      </c>
      <c r="W185" s="55">
        <v>0</v>
      </c>
      <c r="X185" s="55">
        <v>0</v>
      </c>
      <c r="Y185" s="56">
        <v>0</v>
      </c>
      <c r="Z185" s="55">
        <v>0</v>
      </c>
      <c r="AA185" s="55">
        <v>0</v>
      </c>
      <c r="AB185" s="55">
        <v>0</v>
      </c>
      <c r="AC185" s="55">
        <v>5292000</v>
      </c>
      <c r="AD185" s="57">
        <v>147</v>
      </c>
      <c r="AF185" s="47">
        <f t="shared" si="2"/>
        <v>5292000</v>
      </c>
    </row>
    <row r="186" spans="2:32" x14ac:dyDescent="0.3">
      <c r="B186" s="46" t="str">
        <f>IFERROR(VLOOKUP($H186,매장구분!$B:$Z,2,0),"")</f>
        <v>리테일채널팀</v>
      </c>
      <c r="C186" s="46" t="str">
        <f>IFERROR(VLOOKUP($H186,매장구분!$B:$Z,3,0),"")</f>
        <v>국내</v>
      </c>
      <c r="D186" s="46" t="str">
        <f>IFERROR(VLOOKUP($H186,매장구분!$B:$Z,5,0),"")</f>
        <v>상설(위탁)</v>
      </c>
      <c r="E186" s="46" t="str">
        <f>IFERROR(VLOOKUP($H186,매장구분!$B:$Z,9,0),"")</f>
        <v>롯데아울렛율하(상-위)</v>
      </c>
      <c r="F186" s="58"/>
      <c r="G186" s="59" t="s">
        <v>610</v>
      </c>
      <c r="H186" s="60" t="s">
        <v>611</v>
      </c>
      <c r="I186" s="60" t="s">
        <v>169</v>
      </c>
      <c r="J186" s="60" t="s">
        <v>79</v>
      </c>
      <c r="K186" s="60" t="s">
        <v>170</v>
      </c>
      <c r="L186" s="60" t="s">
        <v>171</v>
      </c>
      <c r="M186" s="60" t="s">
        <v>219</v>
      </c>
      <c r="N186" s="60" t="s">
        <v>219</v>
      </c>
      <c r="O186" s="60">
        <v>3024000</v>
      </c>
      <c r="P186" s="60">
        <v>84</v>
      </c>
      <c r="Q186" s="60">
        <v>0</v>
      </c>
      <c r="R186" s="60">
        <v>0</v>
      </c>
      <c r="S186" s="60">
        <v>0</v>
      </c>
      <c r="T186" s="60">
        <v>0</v>
      </c>
      <c r="U186" s="60">
        <v>0</v>
      </c>
      <c r="V186" s="60">
        <v>0</v>
      </c>
      <c r="W186" s="60">
        <v>0</v>
      </c>
      <c r="X186" s="60">
        <v>0</v>
      </c>
      <c r="Y186" s="61">
        <v>0</v>
      </c>
      <c r="Z186" s="60">
        <v>0</v>
      </c>
      <c r="AA186" s="60">
        <v>0</v>
      </c>
      <c r="AB186" s="60">
        <v>0</v>
      </c>
      <c r="AC186" s="60">
        <v>3024000</v>
      </c>
      <c r="AD186" s="62">
        <v>84</v>
      </c>
      <c r="AF186" s="47">
        <f t="shared" si="2"/>
        <v>3024000</v>
      </c>
    </row>
    <row r="187" spans="2:32" x14ac:dyDescent="0.3">
      <c r="B187" s="46" t="str">
        <f>IFERROR(VLOOKUP($H187,매장구분!$B:$Z,2,0),"")</f>
        <v>리테일채널팀</v>
      </c>
      <c r="C187" s="46" t="str">
        <f>IFERROR(VLOOKUP($H187,매장구분!$B:$Z,3,0),"")</f>
        <v>RF</v>
      </c>
      <c r="D187" s="46" t="str">
        <f>IFERROR(VLOOKUP($H187,매장구분!$B:$Z,5,0),"")</f>
        <v>직영점</v>
      </c>
      <c r="E187" s="46" t="str">
        <f>IFERROR(VLOOKUP($H187,매장구분!$B:$Z,9,0),"")</f>
        <v>명동중앙(직)</v>
      </c>
      <c r="F187" s="53"/>
      <c r="G187" s="54" t="s">
        <v>538</v>
      </c>
      <c r="H187" s="55" t="s">
        <v>539</v>
      </c>
      <c r="I187" s="55" t="s">
        <v>169</v>
      </c>
      <c r="J187" s="55" t="s">
        <v>180</v>
      </c>
      <c r="K187" s="55" t="s">
        <v>170</v>
      </c>
      <c r="L187" s="55" t="s">
        <v>171</v>
      </c>
      <c r="M187" s="55" t="s">
        <v>196</v>
      </c>
      <c r="N187" s="55" t="s">
        <v>206</v>
      </c>
      <c r="O187" s="55">
        <v>752447200</v>
      </c>
      <c r="P187" s="55">
        <v>10198</v>
      </c>
      <c r="Q187" s="55">
        <v>0</v>
      </c>
      <c r="R187" s="55">
        <v>0</v>
      </c>
      <c r="S187" s="55">
        <v>0</v>
      </c>
      <c r="T187" s="55">
        <v>0</v>
      </c>
      <c r="U187" s="55">
        <v>4919300</v>
      </c>
      <c r="V187" s="55">
        <v>12</v>
      </c>
      <c r="W187" s="55">
        <v>0</v>
      </c>
      <c r="X187" s="55">
        <v>0</v>
      </c>
      <c r="Y187" s="56">
        <v>0</v>
      </c>
      <c r="Z187" s="55">
        <v>0</v>
      </c>
      <c r="AA187" s="55">
        <v>0</v>
      </c>
      <c r="AB187" s="55">
        <v>0</v>
      </c>
      <c r="AC187" s="55">
        <v>757366500</v>
      </c>
      <c r="AD187" s="57">
        <v>10210</v>
      </c>
      <c r="AF187" s="47">
        <f t="shared" si="2"/>
        <v>757366500</v>
      </c>
    </row>
    <row r="188" spans="2:32" x14ac:dyDescent="0.3">
      <c r="B188" s="46" t="str">
        <f>IFERROR(VLOOKUP($H188,매장구분!$B:$Z,2,0),"")</f>
        <v>파트너채널팀</v>
      </c>
      <c r="C188" s="46" t="str">
        <f>IFERROR(VLOOKUP($H188,매장구분!$B:$Z,3,0),"")</f>
        <v>국내</v>
      </c>
      <c r="D188" s="46" t="str">
        <f>IFERROR(VLOOKUP($H188,매장구분!$B:$Z,5,0),"")</f>
        <v>백화점</v>
      </c>
      <c r="E188" s="46" t="str">
        <f>IFERROR(VLOOKUP($H188,매장구분!$B:$Z,9,0),"")</f>
        <v>AK수원</v>
      </c>
      <c r="F188" s="58"/>
      <c r="G188" s="59" t="s">
        <v>552</v>
      </c>
      <c r="H188" s="60" t="s">
        <v>553</v>
      </c>
      <c r="I188" s="60" t="s">
        <v>169</v>
      </c>
      <c r="J188" s="60" t="s">
        <v>175</v>
      </c>
      <c r="K188" s="60" t="s">
        <v>170</v>
      </c>
      <c r="L188" s="60" t="s">
        <v>171</v>
      </c>
      <c r="M188" s="60" t="s">
        <v>77</v>
      </c>
      <c r="N188" s="60" t="s">
        <v>172</v>
      </c>
      <c r="O188" s="60">
        <v>55001800</v>
      </c>
      <c r="P188" s="60">
        <v>664</v>
      </c>
      <c r="Q188" s="60">
        <v>0</v>
      </c>
      <c r="R188" s="60">
        <v>0</v>
      </c>
      <c r="S188" s="60">
        <v>0</v>
      </c>
      <c r="T188" s="60">
        <v>0</v>
      </c>
      <c r="U188" s="60">
        <v>7670600</v>
      </c>
      <c r="V188" s="60">
        <v>69</v>
      </c>
      <c r="W188" s="60">
        <v>0</v>
      </c>
      <c r="X188" s="60">
        <v>0</v>
      </c>
      <c r="Y188" s="61">
        <v>45102000</v>
      </c>
      <c r="Z188" s="60">
        <v>276</v>
      </c>
      <c r="AA188" s="60">
        <v>0</v>
      </c>
      <c r="AB188" s="60">
        <v>0</v>
      </c>
      <c r="AC188" s="60">
        <v>107774400</v>
      </c>
      <c r="AD188" s="62">
        <v>1009</v>
      </c>
      <c r="AF188" s="47">
        <f t="shared" si="2"/>
        <v>62672400</v>
      </c>
    </row>
    <row r="189" spans="2:32" x14ac:dyDescent="0.3">
      <c r="B189" s="46" t="str">
        <f>IFERROR(VLOOKUP($H189,매장구분!$B:$Z,2,0),"")</f>
        <v>E-biz</v>
      </c>
      <c r="C189" s="46" t="str">
        <f>IFERROR(VLOOKUP($H189,매장구분!$B:$Z,3,0),"")</f>
        <v>국내</v>
      </c>
      <c r="D189" s="46" t="str">
        <f>IFERROR(VLOOKUP($H189,매장구분!$B:$Z,5,0),"")</f>
        <v>온(제휴몰)</v>
      </c>
      <c r="E189" s="46" t="str">
        <f>IFERROR(VLOOKUP($H189,매장구분!$B:$Z,9,0),"")</f>
        <v>GS SHOP(제휴몰)</v>
      </c>
      <c r="F189" s="53"/>
      <c r="G189" s="54" t="s">
        <v>550</v>
      </c>
      <c r="H189" s="55" t="s">
        <v>551</v>
      </c>
      <c r="I189" s="55" t="s">
        <v>169</v>
      </c>
      <c r="J189" s="55" t="s">
        <v>180</v>
      </c>
      <c r="K189" s="55" t="s">
        <v>170</v>
      </c>
      <c r="L189" s="55" t="s">
        <v>181</v>
      </c>
      <c r="M189" s="55" t="s">
        <v>181</v>
      </c>
      <c r="N189" s="55" t="s">
        <v>185</v>
      </c>
      <c r="O189" s="55">
        <v>61374600</v>
      </c>
      <c r="P189" s="55">
        <v>582</v>
      </c>
      <c r="Q189" s="55">
        <v>0</v>
      </c>
      <c r="R189" s="55">
        <v>0</v>
      </c>
      <c r="S189" s="55">
        <v>0</v>
      </c>
      <c r="T189" s="55">
        <v>0</v>
      </c>
      <c r="U189" s="55">
        <v>0</v>
      </c>
      <c r="V189" s="55">
        <v>0</v>
      </c>
      <c r="W189" s="55">
        <v>0</v>
      </c>
      <c r="X189" s="55">
        <v>0</v>
      </c>
      <c r="Y189" s="56">
        <v>0</v>
      </c>
      <c r="Z189" s="55">
        <v>0</v>
      </c>
      <c r="AA189" s="55">
        <v>0</v>
      </c>
      <c r="AB189" s="55">
        <v>0</v>
      </c>
      <c r="AC189" s="55">
        <v>61374600</v>
      </c>
      <c r="AD189" s="57">
        <v>582</v>
      </c>
      <c r="AF189" s="47">
        <f t="shared" si="2"/>
        <v>61374600</v>
      </c>
    </row>
    <row r="190" spans="2:32" x14ac:dyDescent="0.3">
      <c r="B190" s="46" t="str">
        <f>IFERROR(VLOOKUP($H190,매장구분!$B:$Z,2,0),"")</f>
        <v>파트너채널팀</v>
      </c>
      <c r="C190" s="46" t="str">
        <f>IFERROR(VLOOKUP($H190,매장구분!$B:$Z,3,0),"")</f>
        <v>국내</v>
      </c>
      <c r="D190" s="46" t="str">
        <f>IFERROR(VLOOKUP($H190,매장구분!$B:$Z,5,0),"")</f>
        <v>백화점</v>
      </c>
      <c r="E190" s="46" t="str">
        <f>IFERROR(VLOOKUP($H190,매장구분!$B:$Z,9,0),"")</f>
        <v>롯데창원</v>
      </c>
      <c r="F190" s="58"/>
      <c r="G190" s="59" t="s">
        <v>548</v>
      </c>
      <c r="H190" s="60" t="s">
        <v>549</v>
      </c>
      <c r="I190" s="60" t="s">
        <v>169</v>
      </c>
      <c r="J190" s="60" t="s">
        <v>175</v>
      </c>
      <c r="K190" s="60" t="s">
        <v>170</v>
      </c>
      <c r="L190" s="60" t="s">
        <v>171</v>
      </c>
      <c r="M190" s="60" t="s">
        <v>77</v>
      </c>
      <c r="N190" s="60" t="s">
        <v>172</v>
      </c>
      <c r="O190" s="60">
        <v>77227800</v>
      </c>
      <c r="P190" s="60">
        <v>743</v>
      </c>
      <c r="Q190" s="60">
        <v>0</v>
      </c>
      <c r="R190" s="60">
        <v>0</v>
      </c>
      <c r="S190" s="60">
        <v>0</v>
      </c>
      <c r="T190" s="60">
        <v>0</v>
      </c>
      <c r="U190" s="60">
        <v>5641700</v>
      </c>
      <c r="V190" s="60">
        <v>32</v>
      </c>
      <c r="W190" s="60">
        <v>0</v>
      </c>
      <c r="X190" s="60">
        <v>0</v>
      </c>
      <c r="Y190" s="61">
        <v>0</v>
      </c>
      <c r="Z190" s="60">
        <v>0</v>
      </c>
      <c r="AA190" s="60">
        <v>0</v>
      </c>
      <c r="AB190" s="60">
        <v>0</v>
      </c>
      <c r="AC190" s="60">
        <v>82869500</v>
      </c>
      <c r="AD190" s="62">
        <v>775</v>
      </c>
      <c r="AF190" s="47">
        <f t="shared" si="2"/>
        <v>82869500</v>
      </c>
    </row>
    <row r="191" spans="2:32" x14ac:dyDescent="0.3">
      <c r="B191" s="46" t="str">
        <f>IFERROR(VLOOKUP($H191,매장구분!$B:$Z,2,0),"")</f>
        <v>리테일채널팀</v>
      </c>
      <c r="C191" s="46" t="str">
        <f>IFERROR(VLOOKUP($H191,매장구분!$B:$Z,3,0),"")</f>
        <v>국내</v>
      </c>
      <c r="D191" s="46" t="str">
        <f>IFERROR(VLOOKUP($H191,매장구분!$B:$Z,5,0),"")</f>
        <v>대리점</v>
      </c>
      <c r="E191" s="46" t="str">
        <f>IFERROR(VLOOKUP($H191,매장구분!$B:$Z,9,0),"")</f>
        <v>동해(대-위)</v>
      </c>
      <c r="F191" s="53"/>
      <c r="G191" s="54" t="s">
        <v>534</v>
      </c>
      <c r="H191" s="55" t="s">
        <v>535</v>
      </c>
      <c r="I191" s="55" t="s">
        <v>169</v>
      </c>
      <c r="J191" s="55" t="s">
        <v>79</v>
      </c>
      <c r="K191" s="55" t="s">
        <v>170</v>
      </c>
      <c r="L191" s="55" t="s">
        <v>171</v>
      </c>
      <c r="M191" s="55" t="s">
        <v>196</v>
      </c>
      <c r="N191" s="55" t="s">
        <v>197</v>
      </c>
      <c r="O191" s="55">
        <v>42809812</v>
      </c>
      <c r="P191" s="55">
        <v>403</v>
      </c>
      <c r="Q191" s="55">
        <v>0</v>
      </c>
      <c r="R191" s="55">
        <v>0</v>
      </c>
      <c r="S191" s="55">
        <v>0</v>
      </c>
      <c r="T191" s="55">
        <v>0</v>
      </c>
      <c r="U191" s="55">
        <v>14676975</v>
      </c>
      <c r="V191" s="55">
        <v>115</v>
      </c>
      <c r="W191" s="55">
        <v>0</v>
      </c>
      <c r="X191" s="55">
        <v>0</v>
      </c>
      <c r="Y191" s="56">
        <v>0</v>
      </c>
      <c r="Z191" s="55">
        <v>0</v>
      </c>
      <c r="AA191" s="55">
        <v>0</v>
      </c>
      <c r="AB191" s="55">
        <v>0</v>
      </c>
      <c r="AC191" s="55">
        <v>57486787</v>
      </c>
      <c r="AD191" s="57">
        <v>518</v>
      </c>
      <c r="AF191" s="47">
        <f t="shared" si="2"/>
        <v>57486787</v>
      </c>
    </row>
    <row r="192" spans="2:32" x14ac:dyDescent="0.3">
      <c r="B192" s="46" t="str">
        <f>IFERROR(VLOOKUP($H192,매장구분!$B:$Z,2,0),"")</f>
        <v>파트너채널팀</v>
      </c>
      <c r="C192" s="46" t="str">
        <f>IFERROR(VLOOKUP($H192,매장구분!$B:$Z,3,0),"")</f>
        <v>면세</v>
      </c>
      <c r="D192" s="46" t="str">
        <f>IFERROR(VLOOKUP($H192,매장구분!$B:$Z,5,0),"")</f>
        <v>면세</v>
      </c>
      <c r="E192" s="46" t="str">
        <f>IFERROR(VLOOKUP($H192,매장구분!$B:$Z,9,0),"")</f>
        <v>신라면세용산</v>
      </c>
      <c r="F192" s="58"/>
      <c r="G192" s="59" t="s">
        <v>542</v>
      </c>
      <c r="H192" s="60" t="s">
        <v>543</v>
      </c>
      <c r="I192" s="60" t="s">
        <v>169</v>
      </c>
      <c r="J192" s="60" t="s">
        <v>175</v>
      </c>
      <c r="K192" s="60" t="s">
        <v>170</v>
      </c>
      <c r="L192" s="60" t="s">
        <v>171</v>
      </c>
      <c r="M192" s="60" t="s">
        <v>176</v>
      </c>
      <c r="N192" s="60" t="s">
        <v>177</v>
      </c>
      <c r="O192" s="60">
        <v>3287300</v>
      </c>
      <c r="P192" s="60">
        <v>66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0">
        <v>0</v>
      </c>
      <c r="W192" s="60">
        <v>0</v>
      </c>
      <c r="X192" s="60">
        <v>0</v>
      </c>
      <c r="Y192" s="61">
        <v>1075320100</v>
      </c>
      <c r="Z192" s="60">
        <v>19243</v>
      </c>
      <c r="AA192" s="60">
        <v>0</v>
      </c>
      <c r="AB192" s="60">
        <v>0</v>
      </c>
      <c r="AC192" s="60">
        <v>1078607400</v>
      </c>
      <c r="AD192" s="62">
        <v>19309</v>
      </c>
      <c r="AF192" s="47">
        <f t="shared" si="2"/>
        <v>3287300</v>
      </c>
    </row>
    <row r="193" spans="2:32" x14ac:dyDescent="0.3">
      <c r="B193" s="46" t="str">
        <f>IFERROR(VLOOKUP($H193,매장구분!$B:$Z,2,0),"")</f>
        <v>리테일채널팀</v>
      </c>
      <c r="C193" s="46" t="str">
        <f>IFERROR(VLOOKUP($H193,매장구분!$B:$Z,3,0),"")</f>
        <v>국내</v>
      </c>
      <c r="D193" s="46" t="str">
        <f>IFERROR(VLOOKUP($H193,매장구분!$B:$Z,5,0),"")</f>
        <v>대리점</v>
      </c>
      <c r="E193" s="46" t="str">
        <f>IFERROR(VLOOKUP($H193,매장구분!$B:$Z,9,0),"")</f>
        <v>경산(대-위)</v>
      </c>
      <c r="F193" s="53"/>
      <c r="G193" s="54" t="s">
        <v>556</v>
      </c>
      <c r="H193" s="55" t="s">
        <v>557</v>
      </c>
      <c r="I193" s="55" t="s">
        <v>169</v>
      </c>
      <c r="J193" s="55" t="s">
        <v>79</v>
      </c>
      <c r="K193" s="55" t="s">
        <v>170</v>
      </c>
      <c r="L193" s="55" t="s">
        <v>171</v>
      </c>
      <c r="M193" s="55" t="s">
        <v>196</v>
      </c>
      <c r="N193" s="55" t="s">
        <v>197</v>
      </c>
      <c r="O193" s="55">
        <v>34386480</v>
      </c>
      <c r="P193" s="55">
        <v>288</v>
      </c>
      <c r="Q193" s="55">
        <v>0</v>
      </c>
      <c r="R193" s="55">
        <v>0</v>
      </c>
      <c r="S193" s="55">
        <v>0</v>
      </c>
      <c r="T193" s="55">
        <v>0</v>
      </c>
      <c r="U193" s="55">
        <v>3680720</v>
      </c>
      <c r="V193" s="55">
        <v>25</v>
      </c>
      <c r="W193" s="55">
        <v>0</v>
      </c>
      <c r="X193" s="55">
        <v>0</v>
      </c>
      <c r="Y193" s="56">
        <v>0</v>
      </c>
      <c r="Z193" s="55">
        <v>0</v>
      </c>
      <c r="AA193" s="55">
        <v>0</v>
      </c>
      <c r="AB193" s="55">
        <v>0</v>
      </c>
      <c r="AC193" s="55">
        <v>38067200</v>
      </c>
      <c r="AD193" s="57">
        <v>313</v>
      </c>
      <c r="AF193" s="47">
        <f t="shared" si="2"/>
        <v>38067200</v>
      </c>
    </row>
    <row r="194" spans="2:32" x14ac:dyDescent="0.3">
      <c r="B194" s="46" t="str">
        <f>IFERROR(VLOOKUP($H194,매장구분!$B:$Z,2,0),"")</f>
        <v>리테일채널팀</v>
      </c>
      <c r="C194" s="46" t="str">
        <f>IFERROR(VLOOKUP($H194,매장구분!$B:$Z,3,0),"")</f>
        <v>국내</v>
      </c>
      <c r="D194" s="46" t="str">
        <f>IFERROR(VLOOKUP($H194,매장구분!$B:$Z,5,0),"")</f>
        <v>대리점</v>
      </c>
      <c r="E194" s="46" t="str">
        <f>IFERROR(VLOOKUP($H194,매장구분!$B:$Z,9,0),"")</f>
        <v>구미인동(대-위)</v>
      </c>
      <c r="F194" s="58"/>
      <c r="G194" s="59" t="s">
        <v>558</v>
      </c>
      <c r="H194" s="60" t="s">
        <v>559</v>
      </c>
      <c r="I194" s="60" t="s">
        <v>169</v>
      </c>
      <c r="J194" s="60" t="s">
        <v>79</v>
      </c>
      <c r="K194" s="60" t="s">
        <v>170</v>
      </c>
      <c r="L194" s="60" t="s">
        <v>171</v>
      </c>
      <c r="M194" s="60" t="s">
        <v>196</v>
      </c>
      <c r="N194" s="60" t="s">
        <v>197</v>
      </c>
      <c r="O194" s="60">
        <v>24595683</v>
      </c>
      <c r="P194" s="60">
        <v>237</v>
      </c>
      <c r="Q194" s="60">
        <v>0</v>
      </c>
      <c r="R194" s="60">
        <v>0</v>
      </c>
      <c r="S194" s="60">
        <v>0</v>
      </c>
      <c r="T194" s="60">
        <v>0</v>
      </c>
      <c r="U194" s="60">
        <v>2690951</v>
      </c>
      <c r="V194" s="60">
        <v>14</v>
      </c>
      <c r="W194" s="60">
        <v>0</v>
      </c>
      <c r="X194" s="60">
        <v>0</v>
      </c>
      <c r="Y194" s="61">
        <v>0</v>
      </c>
      <c r="Z194" s="60">
        <v>0</v>
      </c>
      <c r="AA194" s="60">
        <v>0</v>
      </c>
      <c r="AB194" s="60">
        <v>0</v>
      </c>
      <c r="AC194" s="60">
        <v>27286634</v>
      </c>
      <c r="AD194" s="62">
        <v>251</v>
      </c>
      <c r="AF194" s="47">
        <f t="shared" si="2"/>
        <v>27286634</v>
      </c>
    </row>
    <row r="195" spans="2:32" x14ac:dyDescent="0.3">
      <c r="B195" s="46" t="str">
        <f>IFERROR(VLOOKUP($H195,매장구분!$B:$Z,2,0),"")</f>
        <v>파트너채널팀</v>
      </c>
      <c r="C195" s="46" t="str">
        <f>IFERROR(VLOOKUP($H195,매장구분!$B:$Z,3,0),"")</f>
        <v>국내</v>
      </c>
      <c r="D195" s="46" t="str">
        <f>IFERROR(VLOOKUP($H195,매장구분!$B:$Z,5,0),"")</f>
        <v>백화점</v>
      </c>
      <c r="E195" s="46" t="str">
        <f>IFERROR(VLOOKUP($H195,매장구분!$B:$Z,9,0),"")</f>
        <v>롯데대구</v>
      </c>
      <c r="F195" s="53"/>
      <c r="G195" s="54" t="s">
        <v>536</v>
      </c>
      <c r="H195" s="55" t="s">
        <v>537</v>
      </c>
      <c r="I195" s="55" t="s">
        <v>169</v>
      </c>
      <c r="J195" s="55" t="s">
        <v>175</v>
      </c>
      <c r="K195" s="55" t="s">
        <v>170</v>
      </c>
      <c r="L195" s="55" t="s">
        <v>171</v>
      </c>
      <c r="M195" s="55" t="s">
        <v>77</v>
      </c>
      <c r="N195" s="55" t="s">
        <v>172</v>
      </c>
      <c r="O195" s="55">
        <v>34670121</v>
      </c>
      <c r="P195" s="55">
        <v>317</v>
      </c>
      <c r="Q195" s="55">
        <v>9521900</v>
      </c>
      <c r="R195" s="55">
        <v>63</v>
      </c>
      <c r="S195" s="55">
        <v>0</v>
      </c>
      <c r="T195" s="55">
        <v>0</v>
      </c>
      <c r="U195" s="55">
        <v>2302179</v>
      </c>
      <c r="V195" s="55">
        <v>18</v>
      </c>
      <c r="W195" s="55">
        <v>0</v>
      </c>
      <c r="X195" s="55">
        <v>0</v>
      </c>
      <c r="Y195" s="56">
        <v>0</v>
      </c>
      <c r="Z195" s="55">
        <v>0</v>
      </c>
      <c r="AA195" s="55">
        <v>0</v>
      </c>
      <c r="AB195" s="55">
        <v>0</v>
      </c>
      <c r="AC195" s="55">
        <v>46494200</v>
      </c>
      <c r="AD195" s="57">
        <v>398</v>
      </c>
      <c r="AF195" s="47">
        <f t="shared" ref="AF195:AF258" si="3">IFERROR(AC195-Y195,"")</f>
        <v>46494200</v>
      </c>
    </row>
    <row r="196" spans="2:32" x14ac:dyDescent="0.3">
      <c r="B196" s="46" t="str">
        <f>IFERROR(VLOOKUP($H196,매장구분!$B:$Z,2,0),"")</f>
        <v>리테일채널팀</v>
      </c>
      <c r="C196" s="46" t="str">
        <f>IFERROR(VLOOKUP($H196,매장구분!$B:$Z,3,0),"")</f>
        <v>국내</v>
      </c>
      <c r="D196" s="46" t="str">
        <f>IFERROR(VLOOKUP($H196,매장구분!$B:$Z,5,0),"")</f>
        <v>대리점</v>
      </c>
      <c r="E196" s="46" t="str">
        <f>IFERROR(VLOOKUP($H196,매장구분!$B:$Z,9,0),"")</f>
        <v>부천(대-위)</v>
      </c>
      <c r="F196" s="58"/>
      <c r="G196" s="59" t="s">
        <v>530</v>
      </c>
      <c r="H196" s="60" t="s">
        <v>531</v>
      </c>
      <c r="I196" s="60" t="s">
        <v>169</v>
      </c>
      <c r="J196" s="60" t="s">
        <v>79</v>
      </c>
      <c r="K196" s="60" t="s">
        <v>170</v>
      </c>
      <c r="L196" s="60" t="s">
        <v>171</v>
      </c>
      <c r="M196" s="60" t="s">
        <v>196</v>
      </c>
      <c r="N196" s="60" t="s">
        <v>197</v>
      </c>
      <c r="O196" s="60">
        <v>50780300</v>
      </c>
      <c r="P196" s="60">
        <v>424</v>
      </c>
      <c r="Q196" s="60">
        <v>0</v>
      </c>
      <c r="R196" s="60">
        <v>0</v>
      </c>
      <c r="S196" s="60">
        <v>0</v>
      </c>
      <c r="T196" s="60">
        <v>0</v>
      </c>
      <c r="U196" s="60">
        <v>21763000</v>
      </c>
      <c r="V196" s="60">
        <v>47</v>
      </c>
      <c r="W196" s="60">
        <v>0</v>
      </c>
      <c r="X196" s="60">
        <v>0</v>
      </c>
      <c r="Y196" s="61">
        <v>16860000</v>
      </c>
      <c r="Z196" s="60">
        <v>144</v>
      </c>
      <c r="AA196" s="60">
        <v>0</v>
      </c>
      <c r="AB196" s="60">
        <v>0</v>
      </c>
      <c r="AC196" s="60">
        <v>89403300</v>
      </c>
      <c r="AD196" s="62">
        <v>615</v>
      </c>
      <c r="AF196" s="47">
        <f t="shared" si="3"/>
        <v>72543300</v>
      </c>
    </row>
    <row r="197" spans="2:32" x14ac:dyDescent="0.3">
      <c r="B197" s="46" t="str">
        <f>IFERROR(VLOOKUP($H197,매장구분!$B:$Z,2,0),"")</f>
        <v>리테일채널팀</v>
      </c>
      <c r="C197" s="46" t="str">
        <f>IFERROR(VLOOKUP($H197,매장구분!$B:$Z,3,0),"")</f>
        <v>국내</v>
      </c>
      <c r="D197" s="46" t="str">
        <f>IFERROR(VLOOKUP($H197,매장구분!$B:$Z,5,0),"")</f>
        <v>직영점</v>
      </c>
      <c r="E197" s="46" t="str">
        <f>IFERROR(VLOOKUP($H197,매장구분!$B:$Z,9,0),"")</f>
        <v>스타필드안성(직)</v>
      </c>
      <c r="F197" s="53"/>
      <c r="G197" s="54" t="s">
        <v>554</v>
      </c>
      <c r="H197" s="55" t="s">
        <v>555</v>
      </c>
      <c r="I197" s="55" t="s">
        <v>169</v>
      </c>
      <c r="J197" s="55" t="s">
        <v>180</v>
      </c>
      <c r="K197" s="55" t="s">
        <v>170</v>
      </c>
      <c r="L197" s="55" t="s">
        <v>171</v>
      </c>
      <c r="M197" s="55" t="s">
        <v>188</v>
      </c>
      <c r="N197" s="55" t="s">
        <v>189</v>
      </c>
      <c r="O197" s="55">
        <v>53227700</v>
      </c>
      <c r="P197" s="55">
        <v>585</v>
      </c>
      <c r="Q197" s="55">
        <v>0</v>
      </c>
      <c r="R197" s="55">
        <v>0</v>
      </c>
      <c r="S197" s="55">
        <v>0</v>
      </c>
      <c r="T197" s="55">
        <v>0</v>
      </c>
      <c r="U197" s="55">
        <v>9916200</v>
      </c>
      <c r="V197" s="55">
        <v>57</v>
      </c>
      <c r="W197" s="55">
        <v>0</v>
      </c>
      <c r="X197" s="55">
        <v>0</v>
      </c>
      <c r="Y197" s="56">
        <v>0</v>
      </c>
      <c r="Z197" s="55">
        <v>0</v>
      </c>
      <c r="AA197" s="55">
        <v>0</v>
      </c>
      <c r="AB197" s="55">
        <v>0</v>
      </c>
      <c r="AC197" s="55">
        <v>63143900</v>
      </c>
      <c r="AD197" s="57">
        <v>642</v>
      </c>
      <c r="AF197" s="47">
        <f t="shared" si="3"/>
        <v>63143900</v>
      </c>
    </row>
    <row r="198" spans="2:32" x14ac:dyDescent="0.3">
      <c r="B198" s="46" t="str">
        <f>IFERROR(VLOOKUP($H198,매장구분!$B:$Z,2,0),"")</f>
        <v>리테일채널팀</v>
      </c>
      <c r="C198" s="46" t="str">
        <f>IFERROR(VLOOKUP($H198,매장구분!$B:$Z,3,0),"")</f>
        <v>국내</v>
      </c>
      <c r="D198" s="46" t="str">
        <f>IFERROR(VLOOKUP($H198,매장구분!$B:$Z,5,0),"")</f>
        <v>직영점</v>
      </c>
      <c r="E198" s="46" t="str">
        <f>IFERROR(VLOOKUP($H198,매장구분!$B:$Z,9,0),"")</f>
        <v>충장로</v>
      </c>
      <c r="F198" s="58"/>
      <c r="G198" s="59" t="s">
        <v>544</v>
      </c>
      <c r="H198" s="60" t="s">
        <v>545</v>
      </c>
      <c r="I198" s="60" t="s">
        <v>169</v>
      </c>
      <c r="J198" s="60" t="s">
        <v>180</v>
      </c>
      <c r="K198" s="60" t="s">
        <v>170</v>
      </c>
      <c r="L198" s="60" t="s">
        <v>171</v>
      </c>
      <c r="M198" s="60" t="s">
        <v>196</v>
      </c>
      <c r="N198" s="60" t="s">
        <v>206</v>
      </c>
      <c r="O198" s="60">
        <v>86635610</v>
      </c>
      <c r="P198" s="60">
        <v>861</v>
      </c>
      <c r="Q198" s="60">
        <v>0</v>
      </c>
      <c r="R198" s="60">
        <v>0</v>
      </c>
      <c r="S198" s="60">
        <v>0</v>
      </c>
      <c r="T198" s="60">
        <v>0</v>
      </c>
      <c r="U198" s="60">
        <v>3743600</v>
      </c>
      <c r="V198" s="60">
        <v>23</v>
      </c>
      <c r="W198" s="60">
        <v>0</v>
      </c>
      <c r="X198" s="60">
        <v>0</v>
      </c>
      <c r="Y198" s="61">
        <v>0</v>
      </c>
      <c r="Z198" s="60">
        <v>0</v>
      </c>
      <c r="AA198" s="60">
        <v>0</v>
      </c>
      <c r="AB198" s="60">
        <v>0</v>
      </c>
      <c r="AC198" s="60">
        <v>90379210</v>
      </c>
      <c r="AD198" s="62">
        <v>884</v>
      </c>
      <c r="AF198" s="47">
        <f t="shared" si="3"/>
        <v>90379210</v>
      </c>
    </row>
    <row r="199" spans="2:32" x14ac:dyDescent="0.3">
      <c r="B199" s="46" t="str">
        <f>IFERROR(VLOOKUP($H199,매장구분!$B:$Z,2,0),"")</f>
        <v>리테일채널팀</v>
      </c>
      <c r="C199" s="46" t="str">
        <f>IFERROR(VLOOKUP($H199,매장구분!$B:$Z,3,0),"")</f>
        <v>국내</v>
      </c>
      <c r="D199" s="46" t="str">
        <f>IFERROR(VLOOKUP($H199,매장구분!$B:$Z,5,0),"")</f>
        <v>대리점</v>
      </c>
      <c r="E199" s="46" t="str">
        <f>IFERROR(VLOOKUP($H199,매장구분!$B:$Z,9,0),"")</f>
        <v>마산합성(대-위)</v>
      </c>
      <c r="F199" s="53"/>
      <c r="G199" s="54" t="s">
        <v>546</v>
      </c>
      <c r="H199" s="55" t="s">
        <v>547</v>
      </c>
      <c r="I199" s="55" t="s">
        <v>169</v>
      </c>
      <c r="J199" s="55" t="s">
        <v>79</v>
      </c>
      <c r="K199" s="55" t="s">
        <v>170</v>
      </c>
      <c r="L199" s="55" t="s">
        <v>171</v>
      </c>
      <c r="M199" s="55" t="s">
        <v>196</v>
      </c>
      <c r="N199" s="55" t="s">
        <v>197</v>
      </c>
      <c r="O199" s="55">
        <v>41208591</v>
      </c>
      <c r="P199" s="55">
        <v>330</v>
      </c>
      <c r="Q199" s="55">
        <v>0</v>
      </c>
      <c r="R199" s="55">
        <v>0</v>
      </c>
      <c r="S199" s="55">
        <v>0</v>
      </c>
      <c r="T199" s="55">
        <v>0</v>
      </c>
      <c r="U199" s="55">
        <v>8000665</v>
      </c>
      <c r="V199" s="55">
        <v>51</v>
      </c>
      <c r="W199" s="55">
        <v>0</v>
      </c>
      <c r="X199" s="55">
        <v>0</v>
      </c>
      <c r="Y199" s="56">
        <v>0</v>
      </c>
      <c r="Z199" s="55">
        <v>0</v>
      </c>
      <c r="AA199" s="55">
        <v>0</v>
      </c>
      <c r="AB199" s="55">
        <v>0</v>
      </c>
      <c r="AC199" s="55">
        <v>49209256</v>
      </c>
      <c r="AD199" s="57">
        <v>381</v>
      </c>
      <c r="AF199" s="47">
        <f t="shared" si="3"/>
        <v>49209256</v>
      </c>
    </row>
    <row r="200" spans="2:32" x14ac:dyDescent="0.3">
      <c r="B200" s="46" t="str">
        <f>IFERROR(VLOOKUP($H200,매장구분!$B:$Z,2,0),"")</f>
        <v>리테일채널팀</v>
      </c>
      <c r="C200" s="46" t="str">
        <f>IFERROR(VLOOKUP($H200,매장구분!$B:$Z,3,0),"")</f>
        <v>국내</v>
      </c>
      <c r="D200" s="46" t="str">
        <f>IFERROR(VLOOKUP($H200,매장구분!$B:$Z,5,0),"")</f>
        <v>대리점</v>
      </c>
      <c r="E200" s="46" t="str">
        <f>IFERROR(VLOOKUP($H200,매장구분!$B:$Z,9,0),"")</f>
        <v>스퀘어원인천(대-위)</v>
      </c>
      <c r="F200" s="58"/>
      <c r="G200" s="59" t="s">
        <v>532</v>
      </c>
      <c r="H200" s="60" t="s">
        <v>533</v>
      </c>
      <c r="I200" s="60" t="s">
        <v>169</v>
      </c>
      <c r="J200" s="60" t="s">
        <v>79</v>
      </c>
      <c r="K200" s="60" t="s">
        <v>170</v>
      </c>
      <c r="L200" s="60" t="s">
        <v>171</v>
      </c>
      <c r="M200" s="60" t="s">
        <v>188</v>
      </c>
      <c r="N200" s="60" t="s">
        <v>317</v>
      </c>
      <c r="O200" s="60">
        <v>74281354</v>
      </c>
      <c r="P200" s="60">
        <v>667</v>
      </c>
      <c r="Q200" s="60">
        <v>0</v>
      </c>
      <c r="R200" s="60">
        <v>0</v>
      </c>
      <c r="S200" s="60">
        <v>0</v>
      </c>
      <c r="T200" s="60">
        <v>0</v>
      </c>
      <c r="U200" s="60">
        <v>4460751</v>
      </c>
      <c r="V200" s="60">
        <v>24</v>
      </c>
      <c r="W200" s="60">
        <v>0</v>
      </c>
      <c r="X200" s="60">
        <v>0</v>
      </c>
      <c r="Y200" s="61">
        <v>25126000</v>
      </c>
      <c r="Z200" s="60">
        <v>204</v>
      </c>
      <c r="AA200" s="60">
        <v>0</v>
      </c>
      <c r="AB200" s="60">
        <v>0</v>
      </c>
      <c r="AC200" s="60">
        <v>103868105</v>
      </c>
      <c r="AD200" s="62">
        <v>895</v>
      </c>
      <c r="AF200" s="47">
        <f t="shared" si="3"/>
        <v>78742105</v>
      </c>
    </row>
    <row r="201" spans="2:32" x14ac:dyDescent="0.3">
      <c r="B201" s="46" t="str">
        <f>IFERROR(VLOOKUP($H201,매장구분!$B:$Z,2,0),"")</f>
        <v>파트너채널팀</v>
      </c>
      <c r="C201" s="46" t="str">
        <f>IFERROR(VLOOKUP($H201,매장구분!$B:$Z,3,0),"")</f>
        <v>국내</v>
      </c>
      <c r="D201" s="46" t="str">
        <f>IFERROR(VLOOKUP($H201,매장구분!$B:$Z,5,0),"")</f>
        <v>백화점</v>
      </c>
      <c r="E201" s="46" t="str">
        <f>IFERROR(VLOOKUP($H201,매장구분!$B:$Z,9,0),"")</f>
        <v>현대대구</v>
      </c>
      <c r="F201" s="53"/>
      <c r="G201" s="54" t="s">
        <v>540</v>
      </c>
      <c r="H201" s="55" t="s">
        <v>541</v>
      </c>
      <c r="I201" s="55" t="s">
        <v>169</v>
      </c>
      <c r="J201" s="55" t="s">
        <v>175</v>
      </c>
      <c r="K201" s="55" t="s">
        <v>170</v>
      </c>
      <c r="L201" s="55" t="s">
        <v>171</v>
      </c>
      <c r="M201" s="55" t="s">
        <v>77</v>
      </c>
      <c r="N201" s="55" t="s">
        <v>172</v>
      </c>
      <c r="O201" s="55">
        <v>54256522</v>
      </c>
      <c r="P201" s="55">
        <v>638</v>
      </c>
      <c r="Q201" s="55">
        <v>15037000</v>
      </c>
      <c r="R201" s="55">
        <v>125</v>
      </c>
      <c r="S201" s="55">
        <v>0</v>
      </c>
      <c r="T201" s="55">
        <v>0</v>
      </c>
      <c r="U201" s="55">
        <v>8020208</v>
      </c>
      <c r="V201" s="55">
        <v>49</v>
      </c>
      <c r="W201" s="55">
        <v>0</v>
      </c>
      <c r="X201" s="55">
        <v>0</v>
      </c>
      <c r="Y201" s="56">
        <v>0</v>
      </c>
      <c r="Z201" s="55">
        <v>0</v>
      </c>
      <c r="AA201" s="55">
        <v>0</v>
      </c>
      <c r="AB201" s="55">
        <v>0</v>
      </c>
      <c r="AC201" s="55">
        <v>77313730</v>
      </c>
      <c r="AD201" s="57">
        <v>812</v>
      </c>
      <c r="AF201" s="47">
        <f t="shared" si="3"/>
        <v>77313730</v>
      </c>
    </row>
    <row r="202" spans="2:32" x14ac:dyDescent="0.3">
      <c r="B202" s="46" t="str">
        <f>IFERROR(VLOOKUP($H202,매장구분!$B:$Z,2,0),"")</f>
        <v>리테일채널팀</v>
      </c>
      <c r="C202" s="46" t="str">
        <f>IFERROR(VLOOKUP($H202,매장구분!$B:$Z,3,0),"")</f>
        <v>국내</v>
      </c>
      <c r="D202" s="46" t="str">
        <f>IFERROR(VLOOKUP($H202,매장구분!$B:$Z,5,0),"")</f>
        <v>상설(위탁)</v>
      </c>
      <c r="E202" s="46" t="str">
        <f>IFERROR(VLOOKUP($H202,매장구분!$B:$Z,9,0),"")</f>
        <v>마리오(상-위)</v>
      </c>
      <c r="F202" s="58"/>
      <c r="G202" s="59" t="s">
        <v>564</v>
      </c>
      <c r="H202" s="60" t="s">
        <v>565</v>
      </c>
      <c r="I202" s="60" t="s">
        <v>169</v>
      </c>
      <c r="J202" s="60" t="s">
        <v>79</v>
      </c>
      <c r="K202" s="60" t="s">
        <v>170</v>
      </c>
      <c r="L202" s="60" t="s">
        <v>171</v>
      </c>
      <c r="M202" s="60" t="s">
        <v>77</v>
      </c>
      <c r="N202" s="60" t="s">
        <v>238</v>
      </c>
      <c r="O202" s="60">
        <v>4932000</v>
      </c>
      <c r="P202" s="60">
        <v>137</v>
      </c>
      <c r="Q202" s="60">
        <v>0</v>
      </c>
      <c r="R202" s="60">
        <v>0</v>
      </c>
      <c r="S202" s="60">
        <v>0</v>
      </c>
      <c r="T202" s="60">
        <v>0</v>
      </c>
      <c r="U202" s="60">
        <v>0</v>
      </c>
      <c r="V202" s="60">
        <v>0</v>
      </c>
      <c r="W202" s="60">
        <v>0</v>
      </c>
      <c r="X202" s="60">
        <v>0</v>
      </c>
      <c r="Y202" s="61">
        <v>0</v>
      </c>
      <c r="Z202" s="60">
        <v>0</v>
      </c>
      <c r="AA202" s="60">
        <v>0</v>
      </c>
      <c r="AB202" s="60">
        <v>0</v>
      </c>
      <c r="AC202" s="60">
        <v>4932000</v>
      </c>
      <c r="AD202" s="62">
        <v>137</v>
      </c>
      <c r="AF202" s="47">
        <f t="shared" si="3"/>
        <v>4932000</v>
      </c>
    </row>
    <row r="203" spans="2:32" x14ac:dyDescent="0.3">
      <c r="B203" s="46" t="str">
        <f>IFERROR(VLOOKUP($H203,매장구분!$B:$Z,2,0),"")</f>
        <v/>
      </c>
      <c r="C203" s="46" t="str">
        <f>IFERROR(VLOOKUP($H203,매장구분!$B:$Z,3,0),"")</f>
        <v/>
      </c>
      <c r="D203" s="46" t="str">
        <f>IFERROR(VLOOKUP($H203,매장구분!$B:$Z,5,0),"")</f>
        <v/>
      </c>
      <c r="E203" s="46" t="str">
        <f>IFERROR(VLOOKUP($H203,매장구분!$B:$Z,9,0),"")</f>
        <v/>
      </c>
      <c r="F203" s="53"/>
      <c r="G203" s="54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6"/>
      <c r="Z203" s="55"/>
      <c r="AA203" s="55"/>
      <c r="AB203" s="55"/>
      <c r="AC203" s="55"/>
      <c r="AD203" s="57"/>
      <c r="AF203" s="47">
        <f t="shared" si="3"/>
        <v>0</v>
      </c>
    </row>
    <row r="204" spans="2:32" x14ac:dyDescent="0.3">
      <c r="B204" s="46" t="str">
        <f>IFERROR(VLOOKUP($H204,매장구분!$B:$Z,2,0),"")</f>
        <v/>
      </c>
      <c r="C204" s="46" t="str">
        <f>IFERROR(VLOOKUP($H204,매장구분!$B:$Z,3,0),"")</f>
        <v/>
      </c>
      <c r="D204" s="46" t="str">
        <f>IFERROR(VLOOKUP($H204,매장구분!$B:$Z,5,0),"")</f>
        <v/>
      </c>
      <c r="E204" s="46" t="str">
        <f>IFERROR(VLOOKUP($H204,매장구분!$B:$Z,9,0),"")</f>
        <v/>
      </c>
      <c r="F204" s="58"/>
      <c r="G204" s="59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1"/>
      <c r="Z204" s="60"/>
      <c r="AA204" s="60"/>
      <c r="AB204" s="60"/>
      <c r="AC204" s="60"/>
      <c r="AD204" s="62"/>
      <c r="AF204" s="47">
        <f t="shared" si="3"/>
        <v>0</v>
      </c>
    </row>
    <row r="205" spans="2:32" x14ac:dyDescent="0.3">
      <c r="B205" s="46" t="str">
        <f>IFERROR(VLOOKUP($H205,매장구분!$B:$Z,2,0),"")</f>
        <v/>
      </c>
      <c r="C205" s="46" t="str">
        <f>IFERROR(VLOOKUP($H205,매장구분!$B:$Z,3,0),"")</f>
        <v/>
      </c>
      <c r="D205" s="46" t="str">
        <f>IFERROR(VLOOKUP($H205,매장구분!$B:$Z,5,0),"")</f>
        <v/>
      </c>
      <c r="E205" s="46" t="str">
        <f>IFERROR(VLOOKUP($H205,매장구분!$B:$Z,9,0),"")</f>
        <v/>
      </c>
      <c r="F205" s="53"/>
      <c r="G205" s="54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6"/>
      <c r="Z205" s="55"/>
      <c r="AA205" s="55"/>
      <c r="AB205" s="55"/>
      <c r="AC205" s="55"/>
      <c r="AD205" s="57"/>
      <c r="AF205" s="47">
        <f t="shared" si="3"/>
        <v>0</v>
      </c>
    </row>
    <row r="206" spans="2:32" x14ac:dyDescent="0.3">
      <c r="B206" s="46" t="str">
        <f>IFERROR(VLOOKUP($H206,매장구분!$B:$Z,2,0),"")</f>
        <v/>
      </c>
      <c r="C206" s="46" t="str">
        <f>IFERROR(VLOOKUP($H206,매장구분!$B:$Z,3,0),"")</f>
        <v/>
      </c>
      <c r="D206" s="46" t="str">
        <f>IFERROR(VLOOKUP($H206,매장구분!$B:$Z,5,0),"")</f>
        <v/>
      </c>
      <c r="E206" s="46" t="str">
        <f>IFERROR(VLOOKUP($H206,매장구분!$B:$Z,9,0),"")</f>
        <v/>
      </c>
      <c r="F206" s="58"/>
      <c r="G206" s="59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1"/>
      <c r="Z206" s="60"/>
      <c r="AA206" s="60"/>
      <c r="AB206" s="60"/>
      <c r="AC206" s="60"/>
      <c r="AD206" s="62"/>
      <c r="AF206" s="47">
        <f t="shared" si="3"/>
        <v>0</v>
      </c>
    </row>
    <row r="207" spans="2:32" x14ac:dyDescent="0.3">
      <c r="B207" s="46" t="str">
        <f>IFERROR(VLOOKUP($H207,매장구분!$B:$Z,2,0),"")</f>
        <v/>
      </c>
      <c r="C207" s="46" t="str">
        <f>IFERROR(VLOOKUP($H207,매장구분!$B:$Z,3,0),"")</f>
        <v/>
      </c>
      <c r="D207" s="46" t="str">
        <f>IFERROR(VLOOKUP($H207,매장구분!$B:$Z,5,0),"")</f>
        <v/>
      </c>
      <c r="E207" s="46" t="str">
        <f>IFERROR(VLOOKUP($H207,매장구분!$B:$Z,9,0),"")</f>
        <v/>
      </c>
      <c r="F207" s="53"/>
      <c r="G207" s="54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6"/>
      <c r="Z207" s="55"/>
      <c r="AA207" s="55"/>
      <c r="AB207" s="55"/>
      <c r="AC207" s="55"/>
      <c r="AD207" s="57"/>
      <c r="AF207" s="47">
        <f t="shared" si="3"/>
        <v>0</v>
      </c>
    </row>
    <row r="208" spans="2:32" x14ac:dyDescent="0.3">
      <c r="B208" s="46" t="str">
        <f>IFERROR(VLOOKUP($H208,매장구분!$B:$Z,2,0),"")</f>
        <v/>
      </c>
      <c r="C208" s="46" t="str">
        <f>IFERROR(VLOOKUP($H208,매장구분!$B:$Z,3,0),"")</f>
        <v/>
      </c>
      <c r="D208" s="46" t="str">
        <f>IFERROR(VLOOKUP($H208,매장구분!$B:$Z,5,0),"")</f>
        <v/>
      </c>
      <c r="E208" s="46" t="str">
        <f>IFERROR(VLOOKUP($H208,매장구분!$B:$Z,9,0),"")</f>
        <v/>
      </c>
      <c r="F208" s="58"/>
      <c r="G208" s="59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1"/>
      <c r="Z208" s="60"/>
      <c r="AA208" s="60"/>
      <c r="AB208" s="60"/>
      <c r="AC208" s="60"/>
      <c r="AD208" s="62"/>
      <c r="AF208" s="47">
        <f t="shared" si="3"/>
        <v>0</v>
      </c>
    </row>
    <row r="209" spans="2:32" x14ac:dyDescent="0.3">
      <c r="B209" s="46" t="str">
        <f>IFERROR(VLOOKUP($H209,매장구분!$B:$Z,2,0),"")</f>
        <v/>
      </c>
      <c r="C209" s="46" t="str">
        <f>IFERROR(VLOOKUP($H209,매장구분!$B:$Z,3,0),"")</f>
        <v/>
      </c>
      <c r="D209" s="46" t="str">
        <f>IFERROR(VLOOKUP($H209,매장구분!$B:$Z,5,0),"")</f>
        <v/>
      </c>
      <c r="E209" s="46" t="str">
        <f>IFERROR(VLOOKUP($H209,매장구분!$B:$Z,9,0),"")</f>
        <v/>
      </c>
      <c r="F209" s="53"/>
      <c r="G209" s="54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6"/>
      <c r="Z209" s="55"/>
      <c r="AA209" s="55"/>
      <c r="AB209" s="55"/>
      <c r="AC209" s="55"/>
      <c r="AD209" s="57"/>
      <c r="AF209" s="47">
        <f t="shared" si="3"/>
        <v>0</v>
      </c>
    </row>
    <row r="210" spans="2:32" x14ac:dyDescent="0.3">
      <c r="B210" s="46" t="str">
        <f>IFERROR(VLOOKUP($H210,매장구분!$B:$Z,2,0),"")</f>
        <v/>
      </c>
      <c r="C210" s="46" t="str">
        <f>IFERROR(VLOOKUP($H210,매장구분!$B:$Z,3,0),"")</f>
        <v/>
      </c>
      <c r="D210" s="46" t="str">
        <f>IFERROR(VLOOKUP($H210,매장구분!$B:$Z,5,0),"")</f>
        <v/>
      </c>
      <c r="E210" s="46" t="str">
        <f>IFERROR(VLOOKUP($H210,매장구분!$B:$Z,9,0),"")</f>
        <v/>
      </c>
      <c r="AF210" s="47">
        <f t="shared" si="3"/>
        <v>0</v>
      </c>
    </row>
    <row r="211" spans="2:32" x14ac:dyDescent="0.3">
      <c r="B211" s="46" t="str">
        <f>IFERROR(VLOOKUP($H211,매장구분!$B:$Z,2,0),"")</f>
        <v/>
      </c>
      <c r="C211" s="46" t="str">
        <f>IFERROR(VLOOKUP($H211,매장구분!$B:$Z,3,0),"")</f>
        <v/>
      </c>
      <c r="D211" s="46" t="str">
        <f>IFERROR(VLOOKUP($H211,매장구분!$B:$Z,5,0),"")</f>
        <v/>
      </c>
      <c r="E211" s="46" t="str">
        <f>IFERROR(VLOOKUP($H211,매장구분!$B:$Z,9,0),"")</f>
        <v/>
      </c>
      <c r="AF211" s="47">
        <f t="shared" si="3"/>
        <v>0</v>
      </c>
    </row>
    <row r="212" spans="2:32" x14ac:dyDescent="0.3">
      <c r="B212" s="46" t="str">
        <f>IFERROR(VLOOKUP($H212,매장구분!$B:$Z,2,0),"")</f>
        <v/>
      </c>
      <c r="C212" s="46" t="str">
        <f>IFERROR(VLOOKUP($H212,매장구분!$B:$Z,3,0),"")</f>
        <v/>
      </c>
      <c r="D212" s="46" t="str">
        <f>IFERROR(VLOOKUP($H212,매장구분!$B:$Z,5,0),"")</f>
        <v/>
      </c>
      <c r="E212" s="46" t="str">
        <f>IFERROR(VLOOKUP($H212,매장구분!$B:$Z,9,0),"")</f>
        <v/>
      </c>
      <c r="AF212" s="47">
        <f t="shared" si="3"/>
        <v>0</v>
      </c>
    </row>
    <row r="213" spans="2:32" x14ac:dyDescent="0.3">
      <c r="B213" s="46" t="str">
        <f>IFERROR(VLOOKUP($H213,매장구분!$B:$Z,2,0),"")</f>
        <v/>
      </c>
      <c r="C213" s="46" t="str">
        <f>IFERROR(VLOOKUP($H213,매장구분!$B:$Z,3,0),"")</f>
        <v/>
      </c>
      <c r="D213" s="46" t="str">
        <f>IFERROR(VLOOKUP($H213,매장구분!$B:$Z,5,0),"")</f>
        <v/>
      </c>
      <c r="E213" s="46" t="str">
        <f>IFERROR(VLOOKUP($H213,매장구분!$B:$Z,9,0),"")</f>
        <v/>
      </c>
      <c r="AF213" s="47">
        <f t="shared" si="3"/>
        <v>0</v>
      </c>
    </row>
    <row r="214" spans="2:32" x14ac:dyDescent="0.3">
      <c r="B214" s="46" t="str">
        <f>IFERROR(VLOOKUP($H214,매장구분!$B:$Z,2,0),"")</f>
        <v/>
      </c>
      <c r="C214" s="46" t="str">
        <f>IFERROR(VLOOKUP($H214,매장구분!$B:$Z,3,0),"")</f>
        <v/>
      </c>
      <c r="D214" s="46" t="str">
        <f>IFERROR(VLOOKUP($H214,매장구분!$B:$Z,5,0),"")</f>
        <v/>
      </c>
      <c r="E214" s="46" t="str">
        <f>IFERROR(VLOOKUP($H214,매장구분!$B:$Z,9,0),"")</f>
        <v/>
      </c>
      <c r="AF214" s="47">
        <f t="shared" si="3"/>
        <v>0</v>
      </c>
    </row>
    <row r="215" spans="2:32" x14ac:dyDescent="0.3">
      <c r="B215" s="46" t="str">
        <f>IFERROR(VLOOKUP($H215,매장구분!$B:$Z,2,0),"")</f>
        <v/>
      </c>
      <c r="C215" s="46" t="str">
        <f>IFERROR(VLOOKUP($H215,매장구분!$B:$Z,3,0),"")</f>
        <v/>
      </c>
      <c r="D215" s="46" t="str">
        <f>IFERROR(VLOOKUP($H215,매장구분!$B:$Z,5,0),"")</f>
        <v/>
      </c>
      <c r="E215" s="46" t="str">
        <f>IFERROR(VLOOKUP($H215,매장구분!$B:$Z,9,0),"")</f>
        <v/>
      </c>
      <c r="AF215" s="47">
        <f t="shared" si="3"/>
        <v>0</v>
      </c>
    </row>
    <row r="216" spans="2:32" x14ac:dyDescent="0.3">
      <c r="B216" s="46" t="str">
        <f>IFERROR(VLOOKUP($H216,매장구분!$B:$Z,2,0),"")</f>
        <v/>
      </c>
      <c r="C216" s="46" t="str">
        <f>IFERROR(VLOOKUP($H216,매장구분!$B:$Z,3,0),"")</f>
        <v/>
      </c>
      <c r="D216" s="46" t="str">
        <f>IFERROR(VLOOKUP($H216,매장구분!$B:$Z,5,0),"")</f>
        <v/>
      </c>
      <c r="E216" s="46" t="str">
        <f>IFERROR(VLOOKUP($H216,매장구분!$B:$Z,9,0),"")</f>
        <v/>
      </c>
      <c r="AF216" s="47">
        <f t="shared" si="3"/>
        <v>0</v>
      </c>
    </row>
    <row r="217" spans="2:32" x14ac:dyDescent="0.3">
      <c r="B217" s="46" t="str">
        <f>IFERROR(VLOOKUP($H217,매장구분!$B:$Z,2,0),"")</f>
        <v/>
      </c>
      <c r="C217" s="46" t="str">
        <f>IFERROR(VLOOKUP($H217,매장구분!$B:$Z,3,0),"")</f>
        <v/>
      </c>
      <c r="D217" s="46" t="str">
        <f>IFERROR(VLOOKUP($H217,매장구분!$B:$Z,5,0),"")</f>
        <v/>
      </c>
      <c r="E217" s="46" t="str">
        <f>IFERROR(VLOOKUP($H217,매장구분!$B:$Z,9,0),"")</f>
        <v/>
      </c>
      <c r="AF217" s="47">
        <f t="shared" si="3"/>
        <v>0</v>
      </c>
    </row>
    <row r="218" spans="2:32" x14ac:dyDescent="0.3">
      <c r="B218" s="46" t="str">
        <f>IFERROR(VLOOKUP($H218,매장구분!$B:$Z,2,0),"")</f>
        <v/>
      </c>
      <c r="C218" s="46" t="str">
        <f>IFERROR(VLOOKUP($H218,매장구분!$B:$Z,3,0),"")</f>
        <v/>
      </c>
      <c r="D218" s="46" t="str">
        <f>IFERROR(VLOOKUP($H218,매장구분!$B:$Z,5,0),"")</f>
        <v/>
      </c>
      <c r="E218" s="46" t="str">
        <f>IFERROR(VLOOKUP($H218,매장구분!$B:$Z,9,0),"")</f>
        <v/>
      </c>
      <c r="AF218" s="47">
        <f t="shared" si="3"/>
        <v>0</v>
      </c>
    </row>
    <row r="219" spans="2:32" x14ac:dyDescent="0.3">
      <c r="B219" s="46" t="str">
        <f>IFERROR(VLOOKUP($H219,매장구분!$B:$Z,2,0),"")</f>
        <v/>
      </c>
      <c r="C219" s="46" t="str">
        <f>IFERROR(VLOOKUP($H219,매장구분!$B:$Z,3,0),"")</f>
        <v/>
      </c>
      <c r="D219" s="46" t="str">
        <f>IFERROR(VLOOKUP($H219,매장구분!$B:$Z,5,0),"")</f>
        <v/>
      </c>
      <c r="E219" s="46" t="str">
        <f>IFERROR(VLOOKUP($H219,매장구분!$B:$Z,9,0),"")</f>
        <v/>
      </c>
      <c r="AF219" s="47">
        <f t="shared" si="3"/>
        <v>0</v>
      </c>
    </row>
    <row r="220" spans="2:32" x14ac:dyDescent="0.3">
      <c r="B220" s="46" t="str">
        <f>IFERROR(VLOOKUP($H220,매장구분!$B:$Z,2,0),"")</f>
        <v/>
      </c>
      <c r="C220" s="46" t="str">
        <f>IFERROR(VLOOKUP($H220,매장구분!$B:$Z,3,0),"")</f>
        <v/>
      </c>
      <c r="D220" s="46" t="str">
        <f>IFERROR(VLOOKUP($H220,매장구분!$B:$Z,5,0),"")</f>
        <v/>
      </c>
      <c r="E220" s="46" t="str">
        <f>IFERROR(VLOOKUP($H220,매장구분!$B:$Z,9,0),"")</f>
        <v/>
      </c>
      <c r="AF220" s="47">
        <f t="shared" si="3"/>
        <v>0</v>
      </c>
    </row>
    <row r="221" spans="2:32" x14ac:dyDescent="0.3">
      <c r="AF221" s="47">
        <f t="shared" si="3"/>
        <v>0</v>
      </c>
    </row>
    <row r="222" spans="2:32" x14ac:dyDescent="0.3">
      <c r="AF222" s="47">
        <f t="shared" si="3"/>
        <v>0</v>
      </c>
    </row>
    <row r="223" spans="2:32" x14ac:dyDescent="0.3">
      <c r="AF223" s="47">
        <f t="shared" si="3"/>
        <v>0</v>
      </c>
    </row>
    <row r="224" spans="2:32" x14ac:dyDescent="0.3">
      <c r="AF224" s="47">
        <f t="shared" si="3"/>
        <v>0</v>
      </c>
    </row>
    <row r="225" spans="32:32" x14ac:dyDescent="0.3">
      <c r="AF225" s="47">
        <f t="shared" si="3"/>
        <v>0</v>
      </c>
    </row>
    <row r="226" spans="32:32" x14ac:dyDescent="0.3">
      <c r="AF226" s="47">
        <f t="shared" si="3"/>
        <v>0</v>
      </c>
    </row>
    <row r="227" spans="32:32" x14ac:dyDescent="0.3">
      <c r="AF227" s="47">
        <f t="shared" si="3"/>
        <v>0</v>
      </c>
    </row>
    <row r="228" spans="32:32" x14ac:dyDescent="0.3">
      <c r="AF228" s="47">
        <f t="shared" si="3"/>
        <v>0</v>
      </c>
    </row>
    <row r="229" spans="32:32" x14ac:dyDescent="0.3">
      <c r="AF229" s="47">
        <f t="shared" si="3"/>
        <v>0</v>
      </c>
    </row>
    <row r="230" spans="32:32" x14ac:dyDescent="0.3">
      <c r="AF230" s="47">
        <f t="shared" si="3"/>
        <v>0</v>
      </c>
    </row>
    <row r="231" spans="32:32" x14ac:dyDescent="0.3">
      <c r="AF231" s="47">
        <f t="shared" si="3"/>
        <v>0</v>
      </c>
    </row>
    <row r="232" spans="32:32" x14ac:dyDescent="0.3">
      <c r="AF232" s="47">
        <f t="shared" si="3"/>
        <v>0</v>
      </c>
    </row>
    <row r="233" spans="32:32" x14ac:dyDescent="0.3">
      <c r="AF233" s="47">
        <f t="shared" si="3"/>
        <v>0</v>
      </c>
    </row>
    <row r="234" spans="32:32" x14ac:dyDescent="0.3">
      <c r="AF234" s="47">
        <f t="shared" si="3"/>
        <v>0</v>
      </c>
    </row>
    <row r="235" spans="32:32" x14ac:dyDescent="0.3">
      <c r="AF235" s="47">
        <f t="shared" si="3"/>
        <v>0</v>
      </c>
    </row>
    <row r="236" spans="32:32" x14ac:dyDescent="0.3">
      <c r="AF236" s="47">
        <f t="shared" si="3"/>
        <v>0</v>
      </c>
    </row>
    <row r="237" spans="32:32" x14ac:dyDescent="0.3">
      <c r="AF237" s="47">
        <f t="shared" si="3"/>
        <v>0</v>
      </c>
    </row>
    <row r="238" spans="32:32" x14ac:dyDescent="0.3">
      <c r="AF238" s="47">
        <f t="shared" si="3"/>
        <v>0</v>
      </c>
    </row>
    <row r="239" spans="32:32" x14ac:dyDescent="0.3">
      <c r="AF239" s="47">
        <f t="shared" si="3"/>
        <v>0</v>
      </c>
    </row>
    <row r="240" spans="32:32" x14ac:dyDescent="0.3">
      <c r="AF240" s="47">
        <f t="shared" si="3"/>
        <v>0</v>
      </c>
    </row>
    <row r="241" spans="32:32" x14ac:dyDescent="0.3">
      <c r="AF241" s="47">
        <f t="shared" si="3"/>
        <v>0</v>
      </c>
    </row>
    <row r="242" spans="32:32" x14ac:dyDescent="0.3">
      <c r="AF242" s="47">
        <f t="shared" si="3"/>
        <v>0</v>
      </c>
    </row>
    <row r="243" spans="32:32" x14ac:dyDescent="0.3">
      <c r="AF243" s="47">
        <f t="shared" si="3"/>
        <v>0</v>
      </c>
    </row>
    <row r="244" spans="32:32" x14ac:dyDescent="0.3">
      <c r="AF244" s="47">
        <f t="shared" si="3"/>
        <v>0</v>
      </c>
    </row>
    <row r="245" spans="32:32" x14ac:dyDescent="0.3">
      <c r="AF245" s="47">
        <f t="shared" si="3"/>
        <v>0</v>
      </c>
    </row>
    <row r="246" spans="32:32" x14ac:dyDescent="0.3">
      <c r="AF246" s="47">
        <f t="shared" si="3"/>
        <v>0</v>
      </c>
    </row>
    <row r="247" spans="32:32" x14ac:dyDescent="0.3">
      <c r="AF247" s="47">
        <f t="shared" si="3"/>
        <v>0</v>
      </c>
    </row>
    <row r="248" spans="32:32" x14ac:dyDescent="0.3">
      <c r="AF248" s="47">
        <f t="shared" si="3"/>
        <v>0</v>
      </c>
    </row>
    <row r="249" spans="32:32" x14ac:dyDescent="0.3">
      <c r="AF249" s="47">
        <f t="shared" si="3"/>
        <v>0</v>
      </c>
    </row>
    <row r="250" spans="32:32" x14ac:dyDescent="0.3">
      <c r="AF250" s="47">
        <f t="shared" si="3"/>
        <v>0</v>
      </c>
    </row>
    <row r="251" spans="32:32" x14ac:dyDescent="0.3">
      <c r="AF251" s="47">
        <f t="shared" si="3"/>
        <v>0</v>
      </c>
    </row>
    <row r="252" spans="32:32" x14ac:dyDescent="0.3">
      <c r="AF252" s="47">
        <f t="shared" si="3"/>
        <v>0</v>
      </c>
    </row>
    <row r="253" spans="32:32" x14ac:dyDescent="0.3">
      <c r="AF253" s="47">
        <f t="shared" si="3"/>
        <v>0</v>
      </c>
    </row>
    <row r="254" spans="32:32" x14ac:dyDescent="0.3">
      <c r="AF254" s="47">
        <f t="shared" si="3"/>
        <v>0</v>
      </c>
    </row>
    <row r="255" spans="32:32" x14ac:dyDescent="0.3">
      <c r="AF255" s="47">
        <f t="shared" si="3"/>
        <v>0</v>
      </c>
    </row>
    <row r="256" spans="32:32" x14ac:dyDescent="0.3">
      <c r="AF256" s="47">
        <f t="shared" si="3"/>
        <v>0</v>
      </c>
    </row>
    <row r="257" spans="32:32" x14ac:dyDescent="0.3">
      <c r="AF257" s="47">
        <f t="shared" si="3"/>
        <v>0</v>
      </c>
    </row>
    <row r="258" spans="32:32" x14ac:dyDescent="0.3">
      <c r="AF258" s="47">
        <f t="shared" si="3"/>
        <v>0</v>
      </c>
    </row>
    <row r="259" spans="32:32" x14ac:dyDescent="0.3">
      <c r="AF259" s="47">
        <f t="shared" ref="AF259:AF322" si="4">IFERROR(AC259-Y259,"")</f>
        <v>0</v>
      </c>
    </row>
    <row r="260" spans="32:32" x14ac:dyDescent="0.3">
      <c r="AF260" s="47">
        <f t="shared" si="4"/>
        <v>0</v>
      </c>
    </row>
    <row r="261" spans="32:32" x14ac:dyDescent="0.3">
      <c r="AF261" s="47">
        <f t="shared" si="4"/>
        <v>0</v>
      </c>
    </row>
    <row r="262" spans="32:32" x14ac:dyDescent="0.3">
      <c r="AF262" s="47">
        <f t="shared" si="4"/>
        <v>0</v>
      </c>
    </row>
    <row r="263" spans="32:32" x14ac:dyDescent="0.3">
      <c r="AF263" s="47">
        <f t="shared" si="4"/>
        <v>0</v>
      </c>
    </row>
    <row r="264" spans="32:32" x14ac:dyDescent="0.3">
      <c r="AF264" s="47">
        <f t="shared" si="4"/>
        <v>0</v>
      </c>
    </row>
    <row r="265" spans="32:32" x14ac:dyDescent="0.3">
      <c r="AF265" s="47">
        <f t="shared" si="4"/>
        <v>0</v>
      </c>
    </row>
    <row r="266" spans="32:32" x14ac:dyDescent="0.3">
      <c r="AF266" s="47">
        <f t="shared" si="4"/>
        <v>0</v>
      </c>
    </row>
    <row r="267" spans="32:32" x14ac:dyDescent="0.3">
      <c r="AF267" s="47">
        <f t="shared" si="4"/>
        <v>0</v>
      </c>
    </row>
    <row r="268" spans="32:32" x14ac:dyDescent="0.3">
      <c r="AF268" s="47">
        <f t="shared" si="4"/>
        <v>0</v>
      </c>
    </row>
    <row r="269" spans="32:32" x14ac:dyDescent="0.3">
      <c r="AF269" s="47">
        <f t="shared" si="4"/>
        <v>0</v>
      </c>
    </row>
    <row r="270" spans="32:32" x14ac:dyDescent="0.3">
      <c r="AF270" s="47">
        <f t="shared" si="4"/>
        <v>0</v>
      </c>
    </row>
    <row r="271" spans="32:32" x14ac:dyDescent="0.3">
      <c r="AF271" s="47">
        <f t="shared" si="4"/>
        <v>0</v>
      </c>
    </row>
    <row r="272" spans="32:32" x14ac:dyDescent="0.3">
      <c r="AF272" s="47">
        <f t="shared" si="4"/>
        <v>0</v>
      </c>
    </row>
    <row r="273" spans="32:32" x14ac:dyDescent="0.3">
      <c r="AF273" s="47">
        <f t="shared" si="4"/>
        <v>0</v>
      </c>
    </row>
    <row r="274" spans="32:32" x14ac:dyDescent="0.3">
      <c r="AF274" s="47">
        <f t="shared" si="4"/>
        <v>0</v>
      </c>
    </row>
    <row r="275" spans="32:32" x14ac:dyDescent="0.3">
      <c r="AF275" s="47">
        <f t="shared" si="4"/>
        <v>0</v>
      </c>
    </row>
    <row r="276" spans="32:32" x14ac:dyDescent="0.3">
      <c r="AF276" s="47">
        <f t="shared" si="4"/>
        <v>0</v>
      </c>
    </row>
    <row r="277" spans="32:32" x14ac:dyDescent="0.3">
      <c r="AF277" s="47">
        <f t="shared" si="4"/>
        <v>0</v>
      </c>
    </row>
    <row r="278" spans="32:32" x14ac:dyDescent="0.3">
      <c r="AF278" s="47">
        <f t="shared" si="4"/>
        <v>0</v>
      </c>
    </row>
    <row r="279" spans="32:32" x14ac:dyDescent="0.3">
      <c r="AF279" s="47">
        <f t="shared" si="4"/>
        <v>0</v>
      </c>
    </row>
    <row r="280" spans="32:32" x14ac:dyDescent="0.3">
      <c r="AF280" s="47">
        <f t="shared" si="4"/>
        <v>0</v>
      </c>
    </row>
    <row r="281" spans="32:32" x14ac:dyDescent="0.3">
      <c r="AF281" s="47">
        <f t="shared" si="4"/>
        <v>0</v>
      </c>
    </row>
    <row r="282" spans="32:32" x14ac:dyDescent="0.3">
      <c r="AF282" s="47">
        <f t="shared" si="4"/>
        <v>0</v>
      </c>
    </row>
    <row r="283" spans="32:32" x14ac:dyDescent="0.3">
      <c r="AF283" s="47">
        <f t="shared" si="4"/>
        <v>0</v>
      </c>
    </row>
    <row r="284" spans="32:32" x14ac:dyDescent="0.3">
      <c r="AF284" s="47">
        <f t="shared" si="4"/>
        <v>0</v>
      </c>
    </row>
    <row r="285" spans="32:32" x14ac:dyDescent="0.3">
      <c r="AF285" s="47">
        <f t="shared" si="4"/>
        <v>0</v>
      </c>
    </row>
    <row r="286" spans="32:32" x14ac:dyDescent="0.3">
      <c r="AF286" s="47">
        <f t="shared" si="4"/>
        <v>0</v>
      </c>
    </row>
    <row r="287" spans="32:32" x14ac:dyDescent="0.3">
      <c r="AF287" s="47">
        <f t="shared" si="4"/>
        <v>0</v>
      </c>
    </row>
    <row r="288" spans="32:32" x14ac:dyDescent="0.3">
      <c r="AF288" s="47">
        <f t="shared" si="4"/>
        <v>0</v>
      </c>
    </row>
    <row r="289" spans="32:32" x14ac:dyDescent="0.3">
      <c r="AF289" s="47">
        <f t="shared" si="4"/>
        <v>0</v>
      </c>
    </row>
    <row r="290" spans="32:32" x14ac:dyDescent="0.3">
      <c r="AF290" s="47">
        <f t="shared" si="4"/>
        <v>0</v>
      </c>
    </row>
    <row r="291" spans="32:32" x14ac:dyDescent="0.3">
      <c r="AF291" s="47">
        <f t="shared" si="4"/>
        <v>0</v>
      </c>
    </row>
    <row r="292" spans="32:32" x14ac:dyDescent="0.3">
      <c r="AF292" s="47">
        <f t="shared" si="4"/>
        <v>0</v>
      </c>
    </row>
    <row r="293" spans="32:32" x14ac:dyDescent="0.3">
      <c r="AF293" s="47">
        <f t="shared" si="4"/>
        <v>0</v>
      </c>
    </row>
    <row r="294" spans="32:32" x14ac:dyDescent="0.3">
      <c r="AF294" s="47">
        <f t="shared" si="4"/>
        <v>0</v>
      </c>
    </row>
    <row r="295" spans="32:32" x14ac:dyDescent="0.3">
      <c r="AF295" s="47">
        <f t="shared" si="4"/>
        <v>0</v>
      </c>
    </row>
    <row r="296" spans="32:32" x14ac:dyDescent="0.3">
      <c r="AF296" s="47">
        <f t="shared" si="4"/>
        <v>0</v>
      </c>
    </row>
    <row r="297" spans="32:32" x14ac:dyDescent="0.3">
      <c r="AF297" s="47">
        <f t="shared" si="4"/>
        <v>0</v>
      </c>
    </row>
    <row r="298" spans="32:32" x14ac:dyDescent="0.3">
      <c r="AF298" s="47">
        <f t="shared" si="4"/>
        <v>0</v>
      </c>
    </row>
    <row r="299" spans="32:32" x14ac:dyDescent="0.3">
      <c r="AF299" s="47">
        <f t="shared" si="4"/>
        <v>0</v>
      </c>
    </row>
    <row r="300" spans="32:32" x14ac:dyDescent="0.3">
      <c r="AF300" s="47">
        <f t="shared" si="4"/>
        <v>0</v>
      </c>
    </row>
    <row r="301" spans="32:32" x14ac:dyDescent="0.3">
      <c r="AF301" s="47">
        <f t="shared" si="4"/>
        <v>0</v>
      </c>
    </row>
    <row r="302" spans="32:32" x14ac:dyDescent="0.3">
      <c r="AF302" s="47">
        <f t="shared" si="4"/>
        <v>0</v>
      </c>
    </row>
    <row r="303" spans="32:32" x14ac:dyDescent="0.3">
      <c r="AF303" s="47">
        <f t="shared" si="4"/>
        <v>0</v>
      </c>
    </row>
    <row r="304" spans="32:32" x14ac:dyDescent="0.3">
      <c r="AF304" s="47">
        <f t="shared" si="4"/>
        <v>0</v>
      </c>
    </row>
    <row r="305" spans="32:32" x14ac:dyDescent="0.3">
      <c r="AF305" s="47">
        <f t="shared" si="4"/>
        <v>0</v>
      </c>
    </row>
    <row r="306" spans="32:32" x14ac:dyDescent="0.3">
      <c r="AF306" s="47">
        <f t="shared" si="4"/>
        <v>0</v>
      </c>
    </row>
    <row r="307" spans="32:32" x14ac:dyDescent="0.3">
      <c r="AF307" s="47">
        <f t="shared" si="4"/>
        <v>0</v>
      </c>
    </row>
    <row r="308" spans="32:32" x14ac:dyDescent="0.3">
      <c r="AF308" s="47">
        <f t="shared" si="4"/>
        <v>0</v>
      </c>
    </row>
    <row r="309" spans="32:32" x14ac:dyDescent="0.3">
      <c r="AF309" s="47">
        <f t="shared" si="4"/>
        <v>0</v>
      </c>
    </row>
    <row r="310" spans="32:32" x14ac:dyDescent="0.3">
      <c r="AF310" s="47">
        <f t="shared" si="4"/>
        <v>0</v>
      </c>
    </row>
    <row r="311" spans="32:32" x14ac:dyDescent="0.3">
      <c r="AF311" s="47">
        <f t="shared" si="4"/>
        <v>0</v>
      </c>
    </row>
    <row r="312" spans="32:32" x14ac:dyDescent="0.3">
      <c r="AF312" s="47">
        <f t="shared" si="4"/>
        <v>0</v>
      </c>
    </row>
    <row r="313" spans="32:32" x14ac:dyDescent="0.3">
      <c r="AF313" s="47">
        <f t="shared" si="4"/>
        <v>0</v>
      </c>
    </row>
    <row r="314" spans="32:32" x14ac:dyDescent="0.3">
      <c r="AF314" s="47">
        <f t="shared" si="4"/>
        <v>0</v>
      </c>
    </row>
    <row r="315" spans="32:32" x14ac:dyDescent="0.3">
      <c r="AF315" s="47">
        <f t="shared" si="4"/>
        <v>0</v>
      </c>
    </row>
    <row r="316" spans="32:32" x14ac:dyDescent="0.3">
      <c r="AF316" s="47">
        <f t="shared" si="4"/>
        <v>0</v>
      </c>
    </row>
    <row r="317" spans="32:32" x14ac:dyDescent="0.3">
      <c r="AF317" s="47">
        <f t="shared" si="4"/>
        <v>0</v>
      </c>
    </row>
    <row r="318" spans="32:32" x14ac:dyDescent="0.3">
      <c r="AF318" s="47">
        <f t="shared" si="4"/>
        <v>0</v>
      </c>
    </row>
    <row r="319" spans="32:32" x14ac:dyDescent="0.3">
      <c r="AF319" s="47">
        <f t="shared" si="4"/>
        <v>0</v>
      </c>
    </row>
    <row r="320" spans="32:32" x14ac:dyDescent="0.3">
      <c r="AF320" s="47">
        <f t="shared" si="4"/>
        <v>0</v>
      </c>
    </row>
    <row r="321" spans="32:32" x14ac:dyDescent="0.3">
      <c r="AF321" s="47">
        <f t="shared" si="4"/>
        <v>0</v>
      </c>
    </row>
    <row r="322" spans="32:32" x14ac:dyDescent="0.3">
      <c r="AF322" s="47">
        <f t="shared" si="4"/>
        <v>0</v>
      </c>
    </row>
    <row r="323" spans="32:32" x14ac:dyDescent="0.3">
      <c r="AF323" s="47">
        <f t="shared" ref="AF323:AF386" si="5">IFERROR(AC323-Y323,"")</f>
        <v>0</v>
      </c>
    </row>
    <row r="324" spans="32:32" x14ac:dyDescent="0.3">
      <c r="AF324" s="47">
        <f t="shared" si="5"/>
        <v>0</v>
      </c>
    </row>
    <row r="325" spans="32:32" x14ac:dyDescent="0.3">
      <c r="AF325" s="47">
        <f t="shared" si="5"/>
        <v>0</v>
      </c>
    </row>
    <row r="326" spans="32:32" x14ac:dyDescent="0.3">
      <c r="AF326" s="47">
        <f t="shared" si="5"/>
        <v>0</v>
      </c>
    </row>
    <row r="327" spans="32:32" x14ac:dyDescent="0.3">
      <c r="AF327" s="47">
        <f t="shared" si="5"/>
        <v>0</v>
      </c>
    </row>
    <row r="328" spans="32:32" x14ac:dyDescent="0.3">
      <c r="AF328" s="47">
        <f t="shared" si="5"/>
        <v>0</v>
      </c>
    </row>
    <row r="329" spans="32:32" x14ac:dyDescent="0.3">
      <c r="AF329" s="47">
        <f t="shared" si="5"/>
        <v>0</v>
      </c>
    </row>
    <row r="330" spans="32:32" x14ac:dyDescent="0.3">
      <c r="AF330" s="47">
        <f t="shared" si="5"/>
        <v>0</v>
      </c>
    </row>
    <row r="331" spans="32:32" x14ac:dyDescent="0.3">
      <c r="AF331" s="47">
        <f t="shared" si="5"/>
        <v>0</v>
      </c>
    </row>
    <row r="332" spans="32:32" x14ac:dyDescent="0.3">
      <c r="AF332" s="47">
        <f t="shared" si="5"/>
        <v>0</v>
      </c>
    </row>
    <row r="333" spans="32:32" x14ac:dyDescent="0.3">
      <c r="AF333" s="47">
        <f t="shared" si="5"/>
        <v>0</v>
      </c>
    </row>
    <row r="334" spans="32:32" x14ac:dyDescent="0.3">
      <c r="AF334" s="47">
        <f t="shared" si="5"/>
        <v>0</v>
      </c>
    </row>
    <row r="335" spans="32:32" x14ac:dyDescent="0.3">
      <c r="AF335" s="47">
        <f t="shared" si="5"/>
        <v>0</v>
      </c>
    </row>
    <row r="336" spans="32:32" x14ac:dyDescent="0.3">
      <c r="AF336" s="47">
        <f t="shared" si="5"/>
        <v>0</v>
      </c>
    </row>
    <row r="337" spans="32:32" x14ac:dyDescent="0.3">
      <c r="AF337" s="47">
        <f t="shared" si="5"/>
        <v>0</v>
      </c>
    </row>
    <row r="338" spans="32:32" x14ac:dyDescent="0.3">
      <c r="AF338" s="47">
        <f t="shared" si="5"/>
        <v>0</v>
      </c>
    </row>
    <row r="339" spans="32:32" x14ac:dyDescent="0.3">
      <c r="AF339" s="47">
        <f t="shared" si="5"/>
        <v>0</v>
      </c>
    </row>
    <row r="340" spans="32:32" x14ac:dyDescent="0.3">
      <c r="AF340" s="47">
        <f t="shared" si="5"/>
        <v>0</v>
      </c>
    </row>
    <row r="341" spans="32:32" x14ac:dyDescent="0.3">
      <c r="AF341" s="47">
        <f t="shared" si="5"/>
        <v>0</v>
      </c>
    </row>
    <row r="342" spans="32:32" x14ac:dyDescent="0.3">
      <c r="AF342" s="47">
        <f t="shared" si="5"/>
        <v>0</v>
      </c>
    </row>
    <row r="343" spans="32:32" x14ac:dyDescent="0.3">
      <c r="AF343" s="47">
        <f t="shared" si="5"/>
        <v>0</v>
      </c>
    </row>
    <row r="344" spans="32:32" x14ac:dyDescent="0.3">
      <c r="AF344" s="47">
        <f t="shared" si="5"/>
        <v>0</v>
      </c>
    </row>
    <row r="345" spans="32:32" x14ac:dyDescent="0.3">
      <c r="AF345" s="47">
        <f t="shared" si="5"/>
        <v>0</v>
      </c>
    </row>
    <row r="346" spans="32:32" x14ac:dyDescent="0.3">
      <c r="AF346" s="47">
        <f t="shared" si="5"/>
        <v>0</v>
      </c>
    </row>
    <row r="347" spans="32:32" x14ac:dyDescent="0.3">
      <c r="AF347" s="47">
        <f t="shared" si="5"/>
        <v>0</v>
      </c>
    </row>
    <row r="348" spans="32:32" x14ac:dyDescent="0.3">
      <c r="AF348" s="47">
        <f t="shared" si="5"/>
        <v>0</v>
      </c>
    </row>
    <row r="349" spans="32:32" x14ac:dyDescent="0.3">
      <c r="AF349" s="47">
        <f t="shared" si="5"/>
        <v>0</v>
      </c>
    </row>
    <row r="350" spans="32:32" x14ac:dyDescent="0.3">
      <c r="AF350" s="47">
        <f t="shared" si="5"/>
        <v>0</v>
      </c>
    </row>
    <row r="351" spans="32:32" x14ac:dyDescent="0.3">
      <c r="AF351" s="47">
        <f t="shared" si="5"/>
        <v>0</v>
      </c>
    </row>
    <row r="352" spans="32:32" x14ac:dyDescent="0.3">
      <c r="AF352" s="47">
        <f t="shared" si="5"/>
        <v>0</v>
      </c>
    </row>
    <row r="353" spans="32:32" x14ac:dyDescent="0.3">
      <c r="AF353" s="47">
        <f t="shared" si="5"/>
        <v>0</v>
      </c>
    </row>
    <row r="354" spans="32:32" x14ac:dyDescent="0.3">
      <c r="AF354" s="47">
        <f t="shared" si="5"/>
        <v>0</v>
      </c>
    </row>
    <row r="355" spans="32:32" x14ac:dyDescent="0.3">
      <c r="AF355" s="47">
        <f t="shared" si="5"/>
        <v>0</v>
      </c>
    </row>
    <row r="356" spans="32:32" x14ac:dyDescent="0.3">
      <c r="AF356" s="47">
        <f t="shared" si="5"/>
        <v>0</v>
      </c>
    </row>
    <row r="357" spans="32:32" x14ac:dyDescent="0.3">
      <c r="AF357" s="47">
        <f t="shared" si="5"/>
        <v>0</v>
      </c>
    </row>
    <row r="358" spans="32:32" x14ac:dyDescent="0.3">
      <c r="AF358" s="47">
        <f t="shared" si="5"/>
        <v>0</v>
      </c>
    </row>
    <row r="359" spans="32:32" x14ac:dyDescent="0.3">
      <c r="AF359" s="47">
        <f t="shared" si="5"/>
        <v>0</v>
      </c>
    </row>
    <row r="360" spans="32:32" x14ac:dyDescent="0.3">
      <c r="AF360" s="47">
        <f t="shared" si="5"/>
        <v>0</v>
      </c>
    </row>
    <row r="361" spans="32:32" x14ac:dyDescent="0.3">
      <c r="AF361" s="47">
        <f t="shared" si="5"/>
        <v>0</v>
      </c>
    </row>
    <row r="362" spans="32:32" x14ac:dyDescent="0.3">
      <c r="AF362" s="47">
        <f t="shared" si="5"/>
        <v>0</v>
      </c>
    </row>
    <row r="363" spans="32:32" x14ac:dyDescent="0.3">
      <c r="AF363" s="47">
        <f t="shared" si="5"/>
        <v>0</v>
      </c>
    </row>
    <row r="364" spans="32:32" x14ac:dyDescent="0.3">
      <c r="AF364" s="47">
        <f t="shared" si="5"/>
        <v>0</v>
      </c>
    </row>
    <row r="365" spans="32:32" x14ac:dyDescent="0.3">
      <c r="AF365" s="47">
        <f t="shared" si="5"/>
        <v>0</v>
      </c>
    </row>
    <row r="366" spans="32:32" x14ac:dyDescent="0.3">
      <c r="AF366" s="47">
        <f t="shared" si="5"/>
        <v>0</v>
      </c>
    </row>
    <row r="367" spans="32:32" x14ac:dyDescent="0.3">
      <c r="AF367" s="47">
        <f t="shared" si="5"/>
        <v>0</v>
      </c>
    </row>
    <row r="368" spans="32:32" x14ac:dyDescent="0.3">
      <c r="AF368" s="47">
        <f t="shared" si="5"/>
        <v>0</v>
      </c>
    </row>
    <row r="369" spans="32:32" x14ac:dyDescent="0.3">
      <c r="AF369" s="47">
        <f t="shared" si="5"/>
        <v>0</v>
      </c>
    </row>
    <row r="370" spans="32:32" x14ac:dyDescent="0.3">
      <c r="AF370" s="47">
        <f t="shared" si="5"/>
        <v>0</v>
      </c>
    </row>
    <row r="371" spans="32:32" x14ac:dyDescent="0.3">
      <c r="AF371" s="47">
        <f t="shared" si="5"/>
        <v>0</v>
      </c>
    </row>
    <row r="372" spans="32:32" x14ac:dyDescent="0.3">
      <c r="AF372" s="47">
        <f t="shared" si="5"/>
        <v>0</v>
      </c>
    </row>
    <row r="373" spans="32:32" x14ac:dyDescent="0.3">
      <c r="AF373" s="47">
        <f t="shared" si="5"/>
        <v>0</v>
      </c>
    </row>
    <row r="374" spans="32:32" x14ac:dyDescent="0.3">
      <c r="AF374" s="47">
        <f t="shared" si="5"/>
        <v>0</v>
      </c>
    </row>
    <row r="375" spans="32:32" x14ac:dyDescent="0.3">
      <c r="AF375" s="47">
        <f t="shared" si="5"/>
        <v>0</v>
      </c>
    </row>
    <row r="376" spans="32:32" x14ac:dyDescent="0.3">
      <c r="AF376" s="47">
        <f t="shared" si="5"/>
        <v>0</v>
      </c>
    </row>
    <row r="377" spans="32:32" x14ac:dyDescent="0.3">
      <c r="AF377" s="47">
        <f t="shared" si="5"/>
        <v>0</v>
      </c>
    </row>
    <row r="378" spans="32:32" x14ac:dyDescent="0.3">
      <c r="AF378" s="47">
        <f t="shared" si="5"/>
        <v>0</v>
      </c>
    </row>
    <row r="379" spans="32:32" x14ac:dyDescent="0.3">
      <c r="AF379" s="47">
        <f t="shared" si="5"/>
        <v>0</v>
      </c>
    </row>
    <row r="380" spans="32:32" x14ac:dyDescent="0.3">
      <c r="AF380" s="47">
        <f t="shared" si="5"/>
        <v>0</v>
      </c>
    </row>
    <row r="381" spans="32:32" x14ac:dyDescent="0.3">
      <c r="AF381" s="47">
        <f t="shared" si="5"/>
        <v>0</v>
      </c>
    </row>
    <row r="382" spans="32:32" x14ac:dyDescent="0.3">
      <c r="AF382" s="47">
        <f t="shared" si="5"/>
        <v>0</v>
      </c>
    </row>
    <row r="383" spans="32:32" x14ac:dyDescent="0.3">
      <c r="AF383" s="47">
        <f t="shared" si="5"/>
        <v>0</v>
      </c>
    </row>
    <row r="384" spans="32:32" x14ac:dyDescent="0.3">
      <c r="AF384" s="47">
        <f t="shared" si="5"/>
        <v>0</v>
      </c>
    </row>
    <row r="385" spans="32:32" x14ac:dyDescent="0.3">
      <c r="AF385" s="47">
        <f t="shared" si="5"/>
        <v>0</v>
      </c>
    </row>
    <row r="386" spans="32:32" x14ac:dyDescent="0.3">
      <c r="AF386" s="47">
        <f t="shared" si="5"/>
        <v>0</v>
      </c>
    </row>
    <row r="387" spans="32:32" x14ac:dyDescent="0.3">
      <c r="AF387" s="47">
        <f t="shared" ref="AF387:AF450" si="6">IFERROR(AC387-Y387,"")</f>
        <v>0</v>
      </c>
    </row>
    <row r="388" spans="32:32" x14ac:dyDescent="0.3">
      <c r="AF388" s="47">
        <f t="shared" si="6"/>
        <v>0</v>
      </c>
    </row>
    <row r="389" spans="32:32" x14ac:dyDescent="0.3">
      <c r="AF389" s="47">
        <f t="shared" si="6"/>
        <v>0</v>
      </c>
    </row>
    <row r="390" spans="32:32" x14ac:dyDescent="0.3">
      <c r="AF390" s="47">
        <f t="shared" si="6"/>
        <v>0</v>
      </c>
    </row>
    <row r="391" spans="32:32" x14ac:dyDescent="0.3">
      <c r="AF391" s="47">
        <f t="shared" si="6"/>
        <v>0</v>
      </c>
    </row>
    <row r="392" spans="32:32" x14ac:dyDescent="0.3">
      <c r="AF392" s="47">
        <f t="shared" si="6"/>
        <v>0</v>
      </c>
    </row>
    <row r="393" spans="32:32" x14ac:dyDescent="0.3">
      <c r="AF393" s="47">
        <f t="shared" si="6"/>
        <v>0</v>
      </c>
    </row>
    <row r="394" spans="32:32" x14ac:dyDescent="0.3">
      <c r="AF394" s="47">
        <f t="shared" si="6"/>
        <v>0</v>
      </c>
    </row>
    <row r="395" spans="32:32" x14ac:dyDescent="0.3">
      <c r="AF395" s="47">
        <f t="shared" si="6"/>
        <v>0</v>
      </c>
    </row>
    <row r="396" spans="32:32" x14ac:dyDescent="0.3">
      <c r="AF396" s="47">
        <f t="shared" si="6"/>
        <v>0</v>
      </c>
    </row>
    <row r="397" spans="32:32" x14ac:dyDescent="0.3">
      <c r="AF397" s="47">
        <f t="shared" si="6"/>
        <v>0</v>
      </c>
    </row>
    <row r="398" spans="32:32" x14ac:dyDescent="0.3">
      <c r="AF398" s="47">
        <f t="shared" si="6"/>
        <v>0</v>
      </c>
    </row>
    <row r="399" spans="32:32" x14ac:dyDescent="0.3">
      <c r="AF399" s="47">
        <f t="shared" si="6"/>
        <v>0</v>
      </c>
    </row>
    <row r="400" spans="32:32" x14ac:dyDescent="0.3">
      <c r="AF400" s="47">
        <f t="shared" si="6"/>
        <v>0</v>
      </c>
    </row>
    <row r="401" spans="32:32" x14ac:dyDescent="0.3">
      <c r="AF401" s="47">
        <f t="shared" si="6"/>
        <v>0</v>
      </c>
    </row>
    <row r="402" spans="32:32" x14ac:dyDescent="0.3">
      <c r="AF402" s="47">
        <f t="shared" si="6"/>
        <v>0</v>
      </c>
    </row>
    <row r="403" spans="32:32" x14ac:dyDescent="0.3">
      <c r="AF403" s="47">
        <f t="shared" si="6"/>
        <v>0</v>
      </c>
    </row>
    <row r="404" spans="32:32" x14ac:dyDescent="0.3">
      <c r="AF404" s="47">
        <f t="shared" si="6"/>
        <v>0</v>
      </c>
    </row>
    <row r="405" spans="32:32" x14ac:dyDescent="0.3">
      <c r="AF405" s="47">
        <f t="shared" si="6"/>
        <v>0</v>
      </c>
    </row>
    <row r="406" spans="32:32" x14ac:dyDescent="0.3">
      <c r="AF406" s="47">
        <f t="shared" si="6"/>
        <v>0</v>
      </c>
    </row>
    <row r="407" spans="32:32" x14ac:dyDescent="0.3">
      <c r="AF407" s="47">
        <f t="shared" si="6"/>
        <v>0</v>
      </c>
    </row>
    <row r="408" spans="32:32" x14ac:dyDescent="0.3">
      <c r="AF408" s="47">
        <f t="shared" si="6"/>
        <v>0</v>
      </c>
    </row>
    <row r="409" spans="32:32" x14ac:dyDescent="0.3">
      <c r="AF409" s="47">
        <f t="shared" si="6"/>
        <v>0</v>
      </c>
    </row>
    <row r="410" spans="32:32" x14ac:dyDescent="0.3">
      <c r="AF410" s="47">
        <f t="shared" si="6"/>
        <v>0</v>
      </c>
    </row>
    <row r="411" spans="32:32" x14ac:dyDescent="0.3">
      <c r="AF411" s="47">
        <f t="shared" si="6"/>
        <v>0</v>
      </c>
    </row>
    <row r="412" spans="32:32" x14ac:dyDescent="0.3">
      <c r="AF412" s="47">
        <f t="shared" si="6"/>
        <v>0</v>
      </c>
    </row>
    <row r="413" spans="32:32" x14ac:dyDescent="0.3">
      <c r="AF413" s="47">
        <f t="shared" si="6"/>
        <v>0</v>
      </c>
    </row>
    <row r="414" spans="32:32" x14ac:dyDescent="0.3">
      <c r="AF414" s="47">
        <f t="shared" si="6"/>
        <v>0</v>
      </c>
    </row>
    <row r="415" spans="32:32" x14ac:dyDescent="0.3">
      <c r="AF415" s="47">
        <f t="shared" si="6"/>
        <v>0</v>
      </c>
    </row>
    <row r="416" spans="32:32" x14ac:dyDescent="0.3">
      <c r="AF416" s="47">
        <f t="shared" si="6"/>
        <v>0</v>
      </c>
    </row>
    <row r="417" spans="32:32" x14ac:dyDescent="0.3">
      <c r="AF417" s="47">
        <f t="shared" si="6"/>
        <v>0</v>
      </c>
    </row>
    <row r="418" spans="32:32" x14ac:dyDescent="0.3">
      <c r="AF418" s="47">
        <f t="shared" si="6"/>
        <v>0</v>
      </c>
    </row>
    <row r="419" spans="32:32" x14ac:dyDescent="0.3">
      <c r="AF419" s="47">
        <f t="shared" si="6"/>
        <v>0</v>
      </c>
    </row>
    <row r="420" spans="32:32" x14ac:dyDescent="0.3">
      <c r="AF420" s="47">
        <f t="shared" si="6"/>
        <v>0</v>
      </c>
    </row>
    <row r="421" spans="32:32" x14ac:dyDescent="0.3">
      <c r="AF421" s="47">
        <f t="shared" si="6"/>
        <v>0</v>
      </c>
    </row>
    <row r="422" spans="32:32" x14ac:dyDescent="0.3">
      <c r="AF422" s="47">
        <f t="shared" si="6"/>
        <v>0</v>
      </c>
    </row>
    <row r="423" spans="32:32" x14ac:dyDescent="0.3">
      <c r="AF423" s="47">
        <f t="shared" si="6"/>
        <v>0</v>
      </c>
    </row>
    <row r="424" spans="32:32" x14ac:dyDescent="0.3">
      <c r="AF424" s="47">
        <f t="shared" si="6"/>
        <v>0</v>
      </c>
    </row>
    <row r="425" spans="32:32" x14ac:dyDescent="0.3">
      <c r="AF425" s="47">
        <f t="shared" si="6"/>
        <v>0</v>
      </c>
    </row>
    <row r="426" spans="32:32" x14ac:dyDescent="0.3">
      <c r="AF426" s="47">
        <f t="shared" si="6"/>
        <v>0</v>
      </c>
    </row>
    <row r="427" spans="32:32" x14ac:dyDescent="0.3">
      <c r="AF427" s="47">
        <f t="shared" si="6"/>
        <v>0</v>
      </c>
    </row>
    <row r="428" spans="32:32" x14ac:dyDescent="0.3">
      <c r="AF428" s="47">
        <f t="shared" si="6"/>
        <v>0</v>
      </c>
    </row>
    <row r="429" spans="32:32" x14ac:dyDescent="0.3">
      <c r="AF429" s="47">
        <f t="shared" si="6"/>
        <v>0</v>
      </c>
    </row>
    <row r="430" spans="32:32" x14ac:dyDescent="0.3">
      <c r="AF430" s="47">
        <f t="shared" si="6"/>
        <v>0</v>
      </c>
    </row>
    <row r="431" spans="32:32" x14ac:dyDescent="0.3">
      <c r="AF431" s="47">
        <f t="shared" si="6"/>
        <v>0</v>
      </c>
    </row>
    <row r="432" spans="32:32" x14ac:dyDescent="0.3">
      <c r="AF432" s="47">
        <f t="shared" si="6"/>
        <v>0</v>
      </c>
    </row>
    <row r="433" spans="32:32" x14ac:dyDescent="0.3">
      <c r="AF433" s="47">
        <f t="shared" si="6"/>
        <v>0</v>
      </c>
    </row>
    <row r="434" spans="32:32" x14ac:dyDescent="0.3">
      <c r="AF434" s="47">
        <f t="shared" si="6"/>
        <v>0</v>
      </c>
    </row>
    <row r="435" spans="32:32" x14ac:dyDescent="0.3">
      <c r="AF435" s="47">
        <f t="shared" si="6"/>
        <v>0</v>
      </c>
    </row>
    <row r="436" spans="32:32" x14ac:dyDescent="0.3">
      <c r="AF436" s="47">
        <f t="shared" si="6"/>
        <v>0</v>
      </c>
    </row>
    <row r="437" spans="32:32" x14ac:dyDescent="0.3">
      <c r="AF437" s="47">
        <f t="shared" si="6"/>
        <v>0</v>
      </c>
    </row>
    <row r="438" spans="32:32" x14ac:dyDescent="0.3">
      <c r="AF438" s="47">
        <f t="shared" si="6"/>
        <v>0</v>
      </c>
    </row>
    <row r="439" spans="32:32" x14ac:dyDescent="0.3">
      <c r="AF439" s="47">
        <f t="shared" si="6"/>
        <v>0</v>
      </c>
    </row>
    <row r="440" spans="32:32" x14ac:dyDescent="0.3">
      <c r="AF440" s="47">
        <f t="shared" si="6"/>
        <v>0</v>
      </c>
    </row>
    <row r="441" spans="32:32" x14ac:dyDescent="0.3">
      <c r="AF441" s="47">
        <f t="shared" si="6"/>
        <v>0</v>
      </c>
    </row>
    <row r="442" spans="32:32" x14ac:dyDescent="0.3">
      <c r="AF442" s="47">
        <f t="shared" si="6"/>
        <v>0</v>
      </c>
    </row>
    <row r="443" spans="32:32" x14ac:dyDescent="0.3">
      <c r="AF443" s="47">
        <f t="shared" si="6"/>
        <v>0</v>
      </c>
    </row>
    <row r="444" spans="32:32" x14ac:dyDescent="0.3">
      <c r="AF444" s="47">
        <f t="shared" si="6"/>
        <v>0</v>
      </c>
    </row>
    <row r="445" spans="32:32" x14ac:dyDescent="0.3">
      <c r="AF445" s="47">
        <f t="shared" si="6"/>
        <v>0</v>
      </c>
    </row>
    <row r="446" spans="32:32" x14ac:dyDescent="0.3">
      <c r="AF446" s="47">
        <f t="shared" si="6"/>
        <v>0</v>
      </c>
    </row>
    <row r="447" spans="32:32" x14ac:dyDescent="0.3">
      <c r="AF447" s="47">
        <f t="shared" si="6"/>
        <v>0</v>
      </c>
    </row>
    <row r="448" spans="32:32" x14ac:dyDescent="0.3">
      <c r="AF448" s="47">
        <f t="shared" si="6"/>
        <v>0</v>
      </c>
    </row>
    <row r="449" spans="32:32" x14ac:dyDescent="0.3">
      <c r="AF449" s="47">
        <f t="shared" si="6"/>
        <v>0</v>
      </c>
    </row>
    <row r="450" spans="32:32" x14ac:dyDescent="0.3">
      <c r="AF450" s="47">
        <f t="shared" si="6"/>
        <v>0</v>
      </c>
    </row>
    <row r="451" spans="32:32" x14ac:dyDescent="0.3">
      <c r="AF451" s="47">
        <f t="shared" ref="AF451:AF514" si="7">IFERROR(AC451-Y451,"")</f>
        <v>0</v>
      </c>
    </row>
    <row r="452" spans="32:32" x14ac:dyDescent="0.3">
      <c r="AF452" s="47">
        <f t="shared" si="7"/>
        <v>0</v>
      </c>
    </row>
    <row r="453" spans="32:32" x14ac:dyDescent="0.3">
      <c r="AF453" s="47">
        <f t="shared" si="7"/>
        <v>0</v>
      </c>
    </row>
    <row r="454" spans="32:32" x14ac:dyDescent="0.3">
      <c r="AF454" s="47">
        <f t="shared" si="7"/>
        <v>0</v>
      </c>
    </row>
    <row r="455" spans="32:32" x14ac:dyDescent="0.3">
      <c r="AF455" s="47">
        <f t="shared" si="7"/>
        <v>0</v>
      </c>
    </row>
    <row r="456" spans="32:32" x14ac:dyDescent="0.3">
      <c r="AF456" s="47">
        <f t="shared" si="7"/>
        <v>0</v>
      </c>
    </row>
    <row r="457" spans="32:32" x14ac:dyDescent="0.3">
      <c r="AF457" s="47">
        <f t="shared" si="7"/>
        <v>0</v>
      </c>
    </row>
    <row r="458" spans="32:32" x14ac:dyDescent="0.3">
      <c r="AF458" s="47">
        <f t="shared" si="7"/>
        <v>0</v>
      </c>
    </row>
    <row r="459" spans="32:32" x14ac:dyDescent="0.3">
      <c r="AF459" s="47">
        <f t="shared" si="7"/>
        <v>0</v>
      </c>
    </row>
    <row r="460" spans="32:32" x14ac:dyDescent="0.3">
      <c r="AF460" s="47">
        <f t="shared" si="7"/>
        <v>0</v>
      </c>
    </row>
    <row r="461" spans="32:32" x14ac:dyDescent="0.3">
      <c r="AF461" s="47">
        <f t="shared" si="7"/>
        <v>0</v>
      </c>
    </row>
    <row r="462" spans="32:32" x14ac:dyDescent="0.3">
      <c r="AF462" s="47">
        <f t="shared" si="7"/>
        <v>0</v>
      </c>
    </row>
    <row r="463" spans="32:32" x14ac:dyDescent="0.3">
      <c r="AF463" s="47">
        <f t="shared" si="7"/>
        <v>0</v>
      </c>
    </row>
    <row r="464" spans="32:32" x14ac:dyDescent="0.3">
      <c r="AF464" s="47">
        <f t="shared" si="7"/>
        <v>0</v>
      </c>
    </row>
    <row r="465" spans="32:32" x14ac:dyDescent="0.3">
      <c r="AF465" s="47">
        <f t="shared" si="7"/>
        <v>0</v>
      </c>
    </row>
    <row r="466" spans="32:32" x14ac:dyDescent="0.3">
      <c r="AF466" s="47">
        <f t="shared" si="7"/>
        <v>0</v>
      </c>
    </row>
    <row r="467" spans="32:32" x14ac:dyDescent="0.3">
      <c r="AF467" s="47">
        <f t="shared" si="7"/>
        <v>0</v>
      </c>
    </row>
    <row r="468" spans="32:32" x14ac:dyDescent="0.3">
      <c r="AF468" s="47">
        <f t="shared" si="7"/>
        <v>0</v>
      </c>
    </row>
    <row r="469" spans="32:32" x14ac:dyDescent="0.3">
      <c r="AF469" s="47">
        <f t="shared" si="7"/>
        <v>0</v>
      </c>
    </row>
    <row r="470" spans="32:32" x14ac:dyDescent="0.3">
      <c r="AF470" s="47">
        <f t="shared" si="7"/>
        <v>0</v>
      </c>
    </row>
    <row r="471" spans="32:32" x14ac:dyDescent="0.3">
      <c r="AF471" s="47">
        <f t="shared" si="7"/>
        <v>0</v>
      </c>
    </row>
    <row r="472" spans="32:32" x14ac:dyDescent="0.3">
      <c r="AF472" s="47">
        <f t="shared" si="7"/>
        <v>0</v>
      </c>
    </row>
    <row r="473" spans="32:32" x14ac:dyDescent="0.3">
      <c r="AF473" s="47">
        <f t="shared" si="7"/>
        <v>0</v>
      </c>
    </row>
    <row r="474" spans="32:32" x14ac:dyDescent="0.3">
      <c r="AF474" s="47">
        <f t="shared" si="7"/>
        <v>0</v>
      </c>
    </row>
    <row r="475" spans="32:32" x14ac:dyDescent="0.3">
      <c r="AF475" s="47">
        <f t="shared" si="7"/>
        <v>0</v>
      </c>
    </row>
    <row r="476" spans="32:32" x14ac:dyDescent="0.3">
      <c r="AF476" s="47">
        <f t="shared" si="7"/>
        <v>0</v>
      </c>
    </row>
    <row r="477" spans="32:32" x14ac:dyDescent="0.3">
      <c r="AF477" s="47">
        <f t="shared" si="7"/>
        <v>0</v>
      </c>
    </row>
    <row r="478" spans="32:32" x14ac:dyDescent="0.3">
      <c r="AF478" s="47">
        <f t="shared" si="7"/>
        <v>0</v>
      </c>
    </row>
    <row r="479" spans="32:32" x14ac:dyDescent="0.3">
      <c r="AF479" s="47">
        <f t="shared" si="7"/>
        <v>0</v>
      </c>
    </row>
    <row r="480" spans="32:32" x14ac:dyDescent="0.3">
      <c r="AF480" s="47">
        <f t="shared" si="7"/>
        <v>0</v>
      </c>
    </row>
    <row r="481" spans="32:32" x14ac:dyDescent="0.3">
      <c r="AF481" s="47">
        <f t="shared" si="7"/>
        <v>0</v>
      </c>
    </row>
    <row r="482" spans="32:32" x14ac:dyDescent="0.3">
      <c r="AF482" s="47">
        <f t="shared" si="7"/>
        <v>0</v>
      </c>
    </row>
    <row r="483" spans="32:32" x14ac:dyDescent="0.3">
      <c r="AF483" s="47">
        <f t="shared" si="7"/>
        <v>0</v>
      </c>
    </row>
    <row r="484" spans="32:32" x14ac:dyDescent="0.3">
      <c r="AF484" s="47">
        <f t="shared" si="7"/>
        <v>0</v>
      </c>
    </row>
    <row r="485" spans="32:32" x14ac:dyDescent="0.3">
      <c r="AF485" s="47">
        <f t="shared" si="7"/>
        <v>0</v>
      </c>
    </row>
    <row r="486" spans="32:32" x14ac:dyDescent="0.3">
      <c r="AF486" s="47">
        <f t="shared" si="7"/>
        <v>0</v>
      </c>
    </row>
    <row r="487" spans="32:32" x14ac:dyDescent="0.3">
      <c r="AF487" s="47">
        <f t="shared" si="7"/>
        <v>0</v>
      </c>
    </row>
    <row r="488" spans="32:32" x14ac:dyDescent="0.3">
      <c r="AF488" s="47">
        <f t="shared" si="7"/>
        <v>0</v>
      </c>
    </row>
    <row r="489" spans="32:32" x14ac:dyDescent="0.3">
      <c r="AF489" s="47">
        <f t="shared" si="7"/>
        <v>0</v>
      </c>
    </row>
    <row r="490" spans="32:32" x14ac:dyDescent="0.3">
      <c r="AF490" s="47">
        <f t="shared" si="7"/>
        <v>0</v>
      </c>
    </row>
    <row r="491" spans="32:32" x14ac:dyDescent="0.3">
      <c r="AF491" s="47">
        <f t="shared" si="7"/>
        <v>0</v>
      </c>
    </row>
    <row r="492" spans="32:32" x14ac:dyDescent="0.3">
      <c r="AF492" s="47">
        <f t="shared" si="7"/>
        <v>0</v>
      </c>
    </row>
    <row r="493" spans="32:32" x14ac:dyDescent="0.3">
      <c r="AF493" s="47">
        <f t="shared" si="7"/>
        <v>0</v>
      </c>
    </row>
    <row r="494" spans="32:32" x14ac:dyDescent="0.3">
      <c r="AF494" s="47">
        <f t="shared" si="7"/>
        <v>0</v>
      </c>
    </row>
    <row r="495" spans="32:32" x14ac:dyDescent="0.3">
      <c r="AF495" s="47">
        <f t="shared" si="7"/>
        <v>0</v>
      </c>
    </row>
    <row r="496" spans="32:32" x14ac:dyDescent="0.3">
      <c r="AF496" s="47">
        <f t="shared" si="7"/>
        <v>0</v>
      </c>
    </row>
    <row r="497" spans="32:32" x14ac:dyDescent="0.3">
      <c r="AF497" s="47">
        <f t="shared" si="7"/>
        <v>0</v>
      </c>
    </row>
    <row r="498" spans="32:32" x14ac:dyDescent="0.3">
      <c r="AF498" s="47">
        <f t="shared" si="7"/>
        <v>0</v>
      </c>
    </row>
    <row r="499" spans="32:32" x14ac:dyDescent="0.3">
      <c r="AF499" s="47">
        <f t="shared" si="7"/>
        <v>0</v>
      </c>
    </row>
    <row r="500" spans="32:32" x14ac:dyDescent="0.3">
      <c r="AF500" s="47">
        <f t="shared" si="7"/>
        <v>0</v>
      </c>
    </row>
    <row r="501" spans="32:32" x14ac:dyDescent="0.3">
      <c r="AF501" s="47">
        <f t="shared" si="7"/>
        <v>0</v>
      </c>
    </row>
    <row r="502" spans="32:32" x14ac:dyDescent="0.3">
      <c r="AF502" s="47">
        <f t="shared" si="7"/>
        <v>0</v>
      </c>
    </row>
    <row r="503" spans="32:32" x14ac:dyDescent="0.3">
      <c r="AF503" s="47">
        <f t="shared" si="7"/>
        <v>0</v>
      </c>
    </row>
    <row r="504" spans="32:32" x14ac:dyDescent="0.3">
      <c r="AF504" s="47">
        <f t="shared" si="7"/>
        <v>0</v>
      </c>
    </row>
    <row r="505" spans="32:32" x14ac:dyDescent="0.3">
      <c r="AF505" s="47">
        <f t="shared" si="7"/>
        <v>0</v>
      </c>
    </row>
    <row r="506" spans="32:32" x14ac:dyDescent="0.3">
      <c r="AF506" s="47">
        <f t="shared" si="7"/>
        <v>0</v>
      </c>
    </row>
    <row r="507" spans="32:32" x14ac:dyDescent="0.3">
      <c r="AF507" s="47">
        <f t="shared" si="7"/>
        <v>0</v>
      </c>
    </row>
    <row r="508" spans="32:32" x14ac:dyDescent="0.3">
      <c r="AF508" s="47">
        <f t="shared" si="7"/>
        <v>0</v>
      </c>
    </row>
    <row r="509" spans="32:32" x14ac:dyDescent="0.3">
      <c r="AF509" s="47">
        <f t="shared" si="7"/>
        <v>0</v>
      </c>
    </row>
    <row r="510" spans="32:32" x14ac:dyDescent="0.3">
      <c r="AF510" s="47">
        <f t="shared" si="7"/>
        <v>0</v>
      </c>
    </row>
    <row r="511" spans="32:32" x14ac:dyDescent="0.3">
      <c r="AF511" s="47">
        <f t="shared" si="7"/>
        <v>0</v>
      </c>
    </row>
    <row r="512" spans="32:32" x14ac:dyDescent="0.3">
      <c r="AF512" s="47">
        <f t="shared" si="7"/>
        <v>0</v>
      </c>
    </row>
    <row r="513" spans="32:32" x14ac:dyDescent="0.3">
      <c r="AF513" s="47">
        <f t="shared" si="7"/>
        <v>0</v>
      </c>
    </row>
    <row r="514" spans="32:32" x14ac:dyDescent="0.3">
      <c r="AF514" s="47">
        <f t="shared" si="7"/>
        <v>0</v>
      </c>
    </row>
    <row r="515" spans="32:32" x14ac:dyDescent="0.3">
      <c r="AF515" s="47">
        <f t="shared" ref="AF515:AF578" si="8">IFERROR(AC515-Y515,"")</f>
        <v>0</v>
      </c>
    </row>
    <row r="516" spans="32:32" x14ac:dyDescent="0.3">
      <c r="AF516" s="47">
        <f t="shared" si="8"/>
        <v>0</v>
      </c>
    </row>
    <row r="517" spans="32:32" x14ac:dyDescent="0.3">
      <c r="AF517" s="47">
        <f t="shared" si="8"/>
        <v>0</v>
      </c>
    </row>
    <row r="518" spans="32:32" x14ac:dyDescent="0.3">
      <c r="AF518" s="47">
        <f t="shared" si="8"/>
        <v>0</v>
      </c>
    </row>
    <row r="519" spans="32:32" x14ac:dyDescent="0.3">
      <c r="AF519" s="47">
        <f t="shared" si="8"/>
        <v>0</v>
      </c>
    </row>
    <row r="520" spans="32:32" x14ac:dyDescent="0.3">
      <c r="AF520" s="47">
        <f t="shared" si="8"/>
        <v>0</v>
      </c>
    </row>
    <row r="521" spans="32:32" x14ac:dyDescent="0.3">
      <c r="AF521" s="47">
        <f t="shared" si="8"/>
        <v>0</v>
      </c>
    </row>
    <row r="522" spans="32:32" x14ac:dyDescent="0.3">
      <c r="AF522" s="47">
        <f t="shared" si="8"/>
        <v>0</v>
      </c>
    </row>
    <row r="523" spans="32:32" x14ac:dyDescent="0.3">
      <c r="AF523" s="47">
        <f t="shared" si="8"/>
        <v>0</v>
      </c>
    </row>
    <row r="524" spans="32:32" x14ac:dyDescent="0.3">
      <c r="AF524" s="47">
        <f t="shared" si="8"/>
        <v>0</v>
      </c>
    </row>
    <row r="525" spans="32:32" x14ac:dyDescent="0.3">
      <c r="AF525" s="47">
        <f t="shared" si="8"/>
        <v>0</v>
      </c>
    </row>
    <row r="526" spans="32:32" x14ac:dyDescent="0.3">
      <c r="AF526" s="47">
        <f t="shared" si="8"/>
        <v>0</v>
      </c>
    </row>
    <row r="527" spans="32:32" x14ac:dyDescent="0.3">
      <c r="AF527" s="47">
        <f t="shared" si="8"/>
        <v>0</v>
      </c>
    </row>
    <row r="528" spans="32:32" x14ac:dyDescent="0.3">
      <c r="AF528" s="47">
        <f t="shared" si="8"/>
        <v>0</v>
      </c>
    </row>
    <row r="529" spans="32:32" x14ac:dyDescent="0.3">
      <c r="AF529" s="47">
        <f t="shared" si="8"/>
        <v>0</v>
      </c>
    </row>
    <row r="530" spans="32:32" x14ac:dyDescent="0.3">
      <c r="AF530" s="47">
        <f t="shared" si="8"/>
        <v>0</v>
      </c>
    </row>
    <row r="531" spans="32:32" x14ac:dyDescent="0.3">
      <c r="AF531" s="47">
        <f t="shared" si="8"/>
        <v>0</v>
      </c>
    </row>
    <row r="532" spans="32:32" x14ac:dyDescent="0.3">
      <c r="AF532" s="47">
        <f t="shared" si="8"/>
        <v>0</v>
      </c>
    </row>
    <row r="533" spans="32:32" x14ac:dyDescent="0.3">
      <c r="AF533" s="47">
        <f t="shared" si="8"/>
        <v>0</v>
      </c>
    </row>
    <row r="534" spans="32:32" x14ac:dyDescent="0.3">
      <c r="AF534" s="47">
        <f t="shared" si="8"/>
        <v>0</v>
      </c>
    </row>
    <row r="535" spans="32:32" x14ac:dyDescent="0.3">
      <c r="AF535" s="47">
        <f t="shared" si="8"/>
        <v>0</v>
      </c>
    </row>
    <row r="536" spans="32:32" x14ac:dyDescent="0.3">
      <c r="AF536" s="47">
        <f t="shared" si="8"/>
        <v>0</v>
      </c>
    </row>
    <row r="537" spans="32:32" x14ac:dyDescent="0.3">
      <c r="AF537" s="47">
        <f t="shared" si="8"/>
        <v>0</v>
      </c>
    </row>
    <row r="538" spans="32:32" x14ac:dyDescent="0.3">
      <c r="AF538" s="47">
        <f t="shared" si="8"/>
        <v>0</v>
      </c>
    </row>
    <row r="539" spans="32:32" x14ac:dyDescent="0.3">
      <c r="AF539" s="47">
        <f t="shared" si="8"/>
        <v>0</v>
      </c>
    </row>
    <row r="540" spans="32:32" x14ac:dyDescent="0.3">
      <c r="AF540" s="47">
        <f t="shared" si="8"/>
        <v>0</v>
      </c>
    </row>
    <row r="541" spans="32:32" x14ac:dyDescent="0.3">
      <c r="AF541" s="47">
        <f t="shared" si="8"/>
        <v>0</v>
      </c>
    </row>
    <row r="542" spans="32:32" x14ac:dyDescent="0.3">
      <c r="AF542" s="47">
        <f t="shared" si="8"/>
        <v>0</v>
      </c>
    </row>
    <row r="543" spans="32:32" x14ac:dyDescent="0.3">
      <c r="AF543" s="47">
        <f t="shared" si="8"/>
        <v>0</v>
      </c>
    </row>
    <row r="544" spans="32:32" x14ac:dyDescent="0.3">
      <c r="AF544" s="47">
        <f t="shared" si="8"/>
        <v>0</v>
      </c>
    </row>
    <row r="545" spans="32:32" x14ac:dyDescent="0.3">
      <c r="AF545" s="47">
        <f t="shared" si="8"/>
        <v>0</v>
      </c>
    </row>
    <row r="546" spans="32:32" x14ac:dyDescent="0.3">
      <c r="AF546" s="47">
        <f t="shared" si="8"/>
        <v>0</v>
      </c>
    </row>
    <row r="547" spans="32:32" x14ac:dyDescent="0.3">
      <c r="AF547" s="47">
        <f t="shared" si="8"/>
        <v>0</v>
      </c>
    </row>
    <row r="548" spans="32:32" x14ac:dyDescent="0.3">
      <c r="AF548" s="47">
        <f t="shared" si="8"/>
        <v>0</v>
      </c>
    </row>
    <row r="549" spans="32:32" x14ac:dyDescent="0.3">
      <c r="AF549" s="47">
        <f t="shared" si="8"/>
        <v>0</v>
      </c>
    </row>
    <row r="550" spans="32:32" x14ac:dyDescent="0.3">
      <c r="AF550" s="47">
        <f t="shared" si="8"/>
        <v>0</v>
      </c>
    </row>
    <row r="551" spans="32:32" x14ac:dyDescent="0.3">
      <c r="AF551" s="47">
        <f t="shared" si="8"/>
        <v>0</v>
      </c>
    </row>
    <row r="552" spans="32:32" x14ac:dyDescent="0.3">
      <c r="AF552" s="47">
        <f t="shared" si="8"/>
        <v>0</v>
      </c>
    </row>
    <row r="553" spans="32:32" x14ac:dyDescent="0.3">
      <c r="AF553" s="47">
        <f t="shared" si="8"/>
        <v>0</v>
      </c>
    </row>
    <row r="554" spans="32:32" x14ac:dyDescent="0.3">
      <c r="AF554" s="47">
        <f t="shared" si="8"/>
        <v>0</v>
      </c>
    </row>
    <row r="555" spans="32:32" x14ac:dyDescent="0.3">
      <c r="AF555" s="47">
        <f t="shared" si="8"/>
        <v>0</v>
      </c>
    </row>
    <row r="556" spans="32:32" x14ac:dyDescent="0.3">
      <c r="AF556" s="47">
        <f t="shared" si="8"/>
        <v>0</v>
      </c>
    </row>
    <row r="557" spans="32:32" x14ac:dyDescent="0.3">
      <c r="AF557" s="47">
        <f t="shared" si="8"/>
        <v>0</v>
      </c>
    </row>
    <row r="558" spans="32:32" x14ac:dyDescent="0.3">
      <c r="AF558" s="47">
        <f t="shared" si="8"/>
        <v>0</v>
      </c>
    </row>
    <row r="559" spans="32:32" x14ac:dyDescent="0.3">
      <c r="AF559" s="47">
        <f t="shared" si="8"/>
        <v>0</v>
      </c>
    </row>
    <row r="560" spans="32:32" x14ac:dyDescent="0.3">
      <c r="AF560" s="47">
        <f t="shared" si="8"/>
        <v>0</v>
      </c>
    </row>
    <row r="561" spans="32:32" x14ac:dyDescent="0.3">
      <c r="AF561" s="47">
        <f t="shared" si="8"/>
        <v>0</v>
      </c>
    </row>
    <row r="562" spans="32:32" x14ac:dyDescent="0.3">
      <c r="AF562" s="47">
        <f t="shared" si="8"/>
        <v>0</v>
      </c>
    </row>
    <row r="563" spans="32:32" x14ac:dyDescent="0.3">
      <c r="AF563" s="47">
        <f t="shared" si="8"/>
        <v>0</v>
      </c>
    </row>
    <row r="564" spans="32:32" x14ac:dyDescent="0.3">
      <c r="AF564" s="47">
        <f t="shared" si="8"/>
        <v>0</v>
      </c>
    </row>
    <row r="565" spans="32:32" x14ac:dyDescent="0.3">
      <c r="AF565" s="47">
        <f t="shared" si="8"/>
        <v>0</v>
      </c>
    </row>
    <row r="566" spans="32:32" x14ac:dyDescent="0.3">
      <c r="AF566" s="47">
        <f t="shared" si="8"/>
        <v>0</v>
      </c>
    </row>
    <row r="567" spans="32:32" x14ac:dyDescent="0.3">
      <c r="AF567" s="47">
        <f t="shared" si="8"/>
        <v>0</v>
      </c>
    </row>
    <row r="568" spans="32:32" x14ac:dyDescent="0.3">
      <c r="AF568" s="47">
        <f t="shared" si="8"/>
        <v>0</v>
      </c>
    </row>
    <row r="569" spans="32:32" x14ac:dyDescent="0.3">
      <c r="AF569" s="47">
        <f t="shared" si="8"/>
        <v>0</v>
      </c>
    </row>
    <row r="570" spans="32:32" x14ac:dyDescent="0.3">
      <c r="AF570" s="47">
        <f t="shared" si="8"/>
        <v>0</v>
      </c>
    </row>
    <row r="571" spans="32:32" x14ac:dyDescent="0.3">
      <c r="AF571" s="47">
        <f t="shared" si="8"/>
        <v>0</v>
      </c>
    </row>
    <row r="572" spans="32:32" x14ac:dyDescent="0.3">
      <c r="AF572" s="47">
        <f t="shared" si="8"/>
        <v>0</v>
      </c>
    </row>
    <row r="573" spans="32:32" x14ac:dyDescent="0.3">
      <c r="AF573" s="47">
        <f t="shared" si="8"/>
        <v>0</v>
      </c>
    </row>
    <row r="574" spans="32:32" x14ac:dyDescent="0.3">
      <c r="AF574" s="47">
        <f t="shared" si="8"/>
        <v>0</v>
      </c>
    </row>
    <row r="575" spans="32:32" x14ac:dyDescent="0.3">
      <c r="AF575" s="47">
        <f t="shared" si="8"/>
        <v>0</v>
      </c>
    </row>
    <row r="576" spans="32:32" x14ac:dyDescent="0.3">
      <c r="AF576" s="47">
        <f t="shared" si="8"/>
        <v>0</v>
      </c>
    </row>
    <row r="577" spans="32:32" x14ac:dyDescent="0.3">
      <c r="AF577" s="47">
        <f t="shared" si="8"/>
        <v>0</v>
      </c>
    </row>
    <row r="578" spans="32:32" x14ac:dyDescent="0.3">
      <c r="AF578" s="47">
        <f t="shared" si="8"/>
        <v>0</v>
      </c>
    </row>
    <row r="579" spans="32:32" x14ac:dyDescent="0.3">
      <c r="AF579" s="47">
        <f t="shared" ref="AF579:AF642" si="9">IFERROR(AC579-Y579,"")</f>
        <v>0</v>
      </c>
    </row>
    <row r="580" spans="32:32" x14ac:dyDescent="0.3">
      <c r="AF580" s="47">
        <f t="shared" si="9"/>
        <v>0</v>
      </c>
    </row>
    <row r="581" spans="32:32" x14ac:dyDescent="0.3">
      <c r="AF581" s="47">
        <f t="shared" si="9"/>
        <v>0</v>
      </c>
    </row>
    <row r="582" spans="32:32" x14ac:dyDescent="0.3">
      <c r="AF582" s="47">
        <f t="shared" si="9"/>
        <v>0</v>
      </c>
    </row>
    <row r="583" spans="32:32" x14ac:dyDescent="0.3">
      <c r="AF583" s="47">
        <f t="shared" si="9"/>
        <v>0</v>
      </c>
    </row>
    <row r="584" spans="32:32" x14ac:dyDescent="0.3">
      <c r="AF584" s="47">
        <f t="shared" si="9"/>
        <v>0</v>
      </c>
    </row>
    <row r="585" spans="32:32" x14ac:dyDescent="0.3">
      <c r="AF585" s="47">
        <f t="shared" si="9"/>
        <v>0</v>
      </c>
    </row>
    <row r="586" spans="32:32" x14ac:dyDescent="0.3">
      <c r="AF586" s="47">
        <f t="shared" si="9"/>
        <v>0</v>
      </c>
    </row>
    <row r="587" spans="32:32" x14ac:dyDescent="0.3">
      <c r="AF587" s="47">
        <f t="shared" si="9"/>
        <v>0</v>
      </c>
    </row>
    <row r="588" spans="32:32" x14ac:dyDescent="0.3">
      <c r="AF588" s="47">
        <f t="shared" si="9"/>
        <v>0</v>
      </c>
    </row>
    <row r="589" spans="32:32" x14ac:dyDescent="0.3">
      <c r="AF589" s="47">
        <f t="shared" si="9"/>
        <v>0</v>
      </c>
    </row>
    <row r="590" spans="32:32" x14ac:dyDescent="0.3">
      <c r="AF590" s="47">
        <f t="shared" si="9"/>
        <v>0</v>
      </c>
    </row>
    <row r="591" spans="32:32" x14ac:dyDescent="0.3">
      <c r="AF591" s="47">
        <f t="shared" si="9"/>
        <v>0</v>
      </c>
    </row>
    <row r="592" spans="32:32" x14ac:dyDescent="0.3">
      <c r="AF592" s="47">
        <f t="shared" si="9"/>
        <v>0</v>
      </c>
    </row>
    <row r="593" spans="32:32" x14ac:dyDescent="0.3">
      <c r="AF593" s="47">
        <f t="shared" si="9"/>
        <v>0</v>
      </c>
    </row>
    <row r="594" spans="32:32" x14ac:dyDescent="0.3">
      <c r="AF594" s="47">
        <f t="shared" si="9"/>
        <v>0</v>
      </c>
    </row>
    <row r="595" spans="32:32" x14ac:dyDescent="0.3">
      <c r="AF595" s="47">
        <f t="shared" si="9"/>
        <v>0</v>
      </c>
    </row>
    <row r="596" spans="32:32" x14ac:dyDescent="0.3">
      <c r="AF596" s="47">
        <f t="shared" si="9"/>
        <v>0</v>
      </c>
    </row>
    <row r="597" spans="32:32" x14ac:dyDescent="0.3">
      <c r="AF597" s="47">
        <f t="shared" si="9"/>
        <v>0</v>
      </c>
    </row>
    <row r="598" spans="32:32" x14ac:dyDescent="0.3">
      <c r="AF598" s="47">
        <f t="shared" si="9"/>
        <v>0</v>
      </c>
    </row>
    <row r="599" spans="32:32" x14ac:dyDescent="0.3">
      <c r="AF599" s="47">
        <f t="shared" si="9"/>
        <v>0</v>
      </c>
    </row>
    <row r="600" spans="32:32" x14ac:dyDescent="0.3">
      <c r="AF600" s="47">
        <f t="shared" si="9"/>
        <v>0</v>
      </c>
    </row>
    <row r="601" spans="32:32" x14ac:dyDescent="0.3">
      <c r="AF601" s="47">
        <f t="shared" si="9"/>
        <v>0</v>
      </c>
    </row>
    <row r="602" spans="32:32" x14ac:dyDescent="0.3">
      <c r="AF602" s="47">
        <f t="shared" si="9"/>
        <v>0</v>
      </c>
    </row>
    <row r="603" spans="32:32" x14ac:dyDescent="0.3">
      <c r="AF603" s="47">
        <f t="shared" si="9"/>
        <v>0</v>
      </c>
    </row>
    <row r="604" spans="32:32" x14ac:dyDescent="0.3">
      <c r="AF604" s="47">
        <f t="shared" si="9"/>
        <v>0</v>
      </c>
    </row>
    <row r="605" spans="32:32" x14ac:dyDescent="0.3">
      <c r="AF605" s="47">
        <f t="shared" si="9"/>
        <v>0</v>
      </c>
    </row>
    <row r="606" spans="32:32" x14ac:dyDescent="0.3">
      <c r="AF606" s="47">
        <f t="shared" si="9"/>
        <v>0</v>
      </c>
    </row>
    <row r="607" spans="32:32" x14ac:dyDescent="0.3">
      <c r="AF607" s="47">
        <f t="shared" si="9"/>
        <v>0</v>
      </c>
    </row>
    <row r="608" spans="32:32" x14ac:dyDescent="0.3">
      <c r="AF608" s="47">
        <f t="shared" si="9"/>
        <v>0</v>
      </c>
    </row>
    <row r="609" spans="32:32" x14ac:dyDescent="0.3">
      <c r="AF609" s="47">
        <f t="shared" si="9"/>
        <v>0</v>
      </c>
    </row>
    <row r="610" spans="32:32" x14ac:dyDescent="0.3">
      <c r="AF610" s="47">
        <f t="shared" si="9"/>
        <v>0</v>
      </c>
    </row>
    <row r="611" spans="32:32" x14ac:dyDescent="0.3">
      <c r="AF611" s="47">
        <f t="shared" si="9"/>
        <v>0</v>
      </c>
    </row>
    <row r="612" spans="32:32" x14ac:dyDescent="0.3">
      <c r="AF612" s="47">
        <f t="shared" si="9"/>
        <v>0</v>
      </c>
    </row>
    <row r="613" spans="32:32" x14ac:dyDescent="0.3">
      <c r="AF613" s="47">
        <f t="shared" si="9"/>
        <v>0</v>
      </c>
    </row>
    <row r="614" spans="32:32" x14ac:dyDescent="0.3">
      <c r="AF614" s="47">
        <f t="shared" si="9"/>
        <v>0</v>
      </c>
    </row>
    <row r="615" spans="32:32" x14ac:dyDescent="0.3">
      <c r="AF615" s="47">
        <f t="shared" si="9"/>
        <v>0</v>
      </c>
    </row>
    <row r="616" spans="32:32" x14ac:dyDescent="0.3">
      <c r="AF616" s="47">
        <f t="shared" si="9"/>
        <v>0</v>
      </c>
    </row>
    <row r="617" spans="32:32" x14ac:dyDescent="0.3">
      <c r="AF617" s="47">
        <f t="shared" si="9"/>
        <v>0</v>
      </c>
    </row>
    <row r="618" spans="32:32" x14ac:dyDescent="0.3">
      <c r="AF618" s="47">
        <f t="shared" si="9"/>
        <v>0</v>
      </c>
    </row>
    <row r="619" spans="32:32" x14ac:dyDescent="0.3">
      <c r="AF619" s="47">
        <f t="shared" si="9"/>
        <v>0</v>
      </c>
    </row>
    <row r="620" spans="32:32" x14ac:dyDescent="0.3">
      <c r="AF620" s="47">
        <f t="shared" si="9"/>
        <v>0</v>
      </c>
    </row>
    <row r="621" spans="32:32" x14ac:dyDescent="0.3">
      <c r="AF621" s="47">
        <f t="shared" si="9"/>
        <v>0</v>
      </c>
    </row>
    <row r="622" spans="32:32" x14ac:dyDescent="0.3">
      <c r="AF622" s="47">
        <f t="shared" si="9"/>
        <v>0</v>
      </c>
    </row>
    <row r="623" spans="32:32" x14ac:dyDescent="0.3">
      <c r="AF623" s="47">
        <f t="shared" si="9"/>
        <v>0</v>
      </c>
    </row>
    <row r="624" spans="32:32" x14ac:dyDescent="0.3">
      <c r="AF624" s="47">
        <f t="shared" si="9"/>
        <v>0</v>
      </c>
    </row>
    <row r="625" spans="32:32" x14ac:dyDescent="0.3">
      <c r="AF625" s="47">
        <f t="shared" si="9"/>
        <v>0</v>
      </c>
    </row>
    <row r="626" spans="32:32" x14ac:dyDescent="0.3">
      <c r="AF626" s="47">
        <f t="shared" si="9"/>
        <v>0</v>
      </c>
    </row>
    <row r="627" spans="32:32" x14ac:dyDescent="0.3">
      <c r="AF627" s="47">
        <f t="shared" si="9"/>
        <v>0</v>
      </c>
    </row>
    <row r="628" spans="32:32" x14ac:dyDescent="0.3">
      <c r="AF628" s="47">
        <f t="shared" si="9"/>
        <v>0</v>
      </c>
    </row>
    <row r="629" spans="32:32" x14ac:dyDescent="0.3">
      <c r="AF629" s="47">
        <f t="shared" si="9"/>
        <v>0</v>
      </c>
    </row>
    <row r="630" spans="32:32" x14ac:dyDescent="0.3">
      <c r="AF630" s="47">
        <f t="shared" si="9"/>
        <v>0</v>
      </c>
    </row>
    <row r="631" spans="32:32" x14ac:dyDescent="0.3">
      <c r="AF631" s="47">
        <f t="shared" si="9"/>
        <v>0</v>
      </c>
    </row>
    <row r="632" spans="32:32" x14ac:dyDescent="0.3">
      <c r="AF632" s="47">
        <f t="shared" si="9"/>
        <v>0</v>
      </c>
    </row>
    <row r="633" spans="32:32" x14ac:dyDescent="0.3">
      <c r="AF633" s="47">
        <f t="shared" si="9"/>
        <v>0</v>
      </c>
    </row>
    <row r="634" spans="32:32" x14ac:dyDescent="0.3">
      <c r="AF634" s="47">
        <f t="shared" si="9"/>
        <v>0</v>
      </c>
    </row>
    <row r="635" spans="32:32" x14ac:dyDescent="0.3">
      <c r="AF635" s="47">
        <f t="shared" si="9"/>
        <v>0</v>
      </c>
    </row>
    <row r="636" spans="32:32" x14ac:dyDescent="0.3">
      <c r="AF636" s="47">
        <f t="shared" si="9"/>
        <v>0</v>
      </c>
    </row>
    <row r="637" spans="32:32" x14ac:dyDescent="0.3">
      <c r="AF637" s="47">
        <f t="shared" si="9"/>
        <v>0</v>
      </c>
    </row>
    <row r="638" spans="32:32" x14ac:dyDescent="0.3">
      <c r="AF638" s="47">
        <f t="shared" si="9"/>
        <v>0</v>
      </c>
    </row>
    <row r="639" spans="32:32" x14ac:dyDescent="0.3">
      <c r="AF639" s="47">
        <f t="shared" si="9"/>
        <v>0</v>
      </c>
    </row>
    <row r="640" spans="32:32" x14ac:dyDescent="0.3">
      <c r="AF640" s="47">
        <f t="shared" si="9"/>
        <v>0</v>
      </c>
    </row>
    <row r="641" spans="32:32" x14ac:dyDescent="0.3">
      <c r="AF641" s="47">
        <f t="shared" si="9"/>
        <v>0</v>
      </c>
    </row>
    <row r="642" spans="32:32" x14ac:dyDescent="0.3">
      <c r="AF642" s="47">
        <f t="shared" si="9"/>
        <v>0</v>
      </c>
    </row>
    <row r="643" spans="32:32" x14ac:dyDescent="0.3">
      <c r="AF643" s="47">
        <f t="shared" ref="AF643:AF706" si="10">IFERROR(AC643-Y643,"")</f>
        <v>0</v>
      </c>
    </row>
    <row r="644" spans="32:32" x14ac:dyDescent="0.3">
      <c r="AF644" s="47">
        <f t="shared" si="10"/>
        <v>0</v>
      </c>
    </row>
    <row r="645" spans="32:32" x14ac:dyDescent="0.3">
      <c r="AF645" s="47">
        <f t="shared" si="10"/>
        <v>0</v>
      </c>
    </row>
    <row r="646" spans="32:32" x14ac:dyDescent="0.3">
      <c r="AF646" s="47">
        <f t="shared" si="10"/>
        <v>0</v>
      </c>
    </row>
    <row r="647" spans="32:32" x14ac:dyDescent="0.3">
      <c r="AF647" s="47">
        <f t="shared" si="10"/>
        <v>0</v>
      </c>
    </row>
    <row r="648" spans="32:32" x14ac:dyDescent="0.3">
      <c r="AF648" s="47">
        <f t="shared" si="10"/>
        <v>0</v>
      </c>
    </row>
    <row r="649" spans="32:32" x14ac:dyDescent="0.3">
      <c r="AF649" s="47">
        <f t="shared" si="10"/>
        <v>0</v>
      </c>
    </row>
    <row r="650" spans="32:32" x14ac:dyDescent="0.3">
      <c r="AF650" s="47">
        <f t="shared" si="10"/>
        <v>0</v>
      </c>
    </row>
    <row r="651" spans="32:32" x14ac:dyDescent="0.3">
      <c r="AF651" s="47">
        <f t="shared" si="10"/>
        <v>0</v>
      </c>
    </row>
    <row r="652" spans="32:32" x14ac:dyDescent="0.3">
      <c r="AF652" s="47">
        <f t="shared" si="10"/>
        <v>0</v>
      </c>
    </row>
    <row r="653" spans="32:32" x14ac:dyDescent="0.3">
      <c r="AF653" s="47">
        <f t="shared" si="10"/>
        <v>0</v>
      </c>
    </row>
    <row r="654" spans="32:32" x14ac:dyDescent="0.3">
      <c r="AF654" s="47">
        <f t="shared" si="10"/>
        <v>0</v>
      </c>
    </row>
    <row r="655" spans="32:32" x14ac:dyDescent="0.3">
      <c r="AF655" s="47">
        <f t="shared" si="10"/>
        <v>0</v>
      </c>
    </row>
    <row r="656" spans="32:32" x14ac:dyDescent="0.3">
      <c r="AF656" s="47">
        <f t="shared" si="10"/>
        <v>0</v>
      </c>
    </row>
    <row r="657" spans="32:32" x14ac:dyDescent="0.3">
      <c r="AF657" s="47">
        <f t="shared" si="10"/>
        <v>0</v>
      </c>
    </row>
    <row r="658" spans="32:32" x14ac:dyDescent="0.3">
      <c r="AF658" s="47">
        <f t="shared" si="10"/>
        <v>0</v>
      </c>
    </row>
    <row r="659" spans="32:32" x14ac:dyDescent="0.3">
      <c r="AF659" s="47">
        <f t="shared" si="10"/>
        <v>0</v>
      </c>
    </row>
    <row r="660" spans="32:32" x14ac:dyDescent="0.3">
      <c r="AF660" s="47">
        <f t="shared" si="10"/>
        <v>0</v>
      </c>
    </row>
    <row r="661" spans="32:32" x14ac:dyDescent="0.3">
      <c r="AF661" s="47">
        <f t="shared" si="10"/>
        <v>0</v>
      </c>
    </row>
    <row r="662" spans="32:32" x14ac:dyDescent="0.3">
      <c r="AF662" s="47">
        <f t="shared" si="10"/>
        <v>0</v>
      </c>
    </row>
    <row r="663" spans="32:32" x14ac:dyDescent="0.3">
      <c r="AF663" s="47">
        <f t="shared" si="10"/>
        <v>0</v>
      </c>
    </row>
    <row r="664" spans="32:32" x14ac:dyDescent="0.3">
      <c r="AF664" s="47">
        <f t="shared" si="10"/>
        <v>0</v>
      </c>
    </row>
    <row r="665" spans="32:32" x14ac:dyDescent="0.3">
      <c r="AF665" s="47">
        <f t="shared" si="10"/>
        <v>0</v>
      </c>
    </row>
    <row r="666" spans="32:32" x14ac:dyDescent="0.3">
      <c r="AF666" s="47">
        <f t="shared" si="10"/>
        <v>0</v>
      </c>
    </row>
    <row r="667" spans="32:32" x14ac:dyDescent="0.3">
      <c r="AF667" s="47">
        <f t="shared" si="10"/>
        <v>0</v>
      </c>
    </row>
    <row r="668" spans="32:32" x14ac:dyDescent="0.3">
      <c r="AF668" s="47">
        <f t="shared" si="10"/>
        <v>0</v>
      </c>
    </row>
    <row r="669" spans="32:32" x14ac:dyDescent="0.3">
      <c r="AF669" s="47">
        <f t="shared" si="10"/>
        <v>0</v>
      </c>
    </row>
    <row r="670" spans="32:32" x14ac:dyDescent="0.3">
      <c r="AF670" s="47">
        <f t="shared" si="10"/>
        <v>0</v>
      </c>
    </row>
    <row r="671" spans="32:32" x14ac:dyDescent="0.3">
      <c r="AF671" s="47">
        <f t="shared" si="10"/>
        <v>0</v>
      </c>
    </row>
    <row r="672" spans="32:32" x14ac:dyDescent="0.3">
      <c r="AF672" s="47">
        <f t="shared" si="10"/>
        <v>0</v>
      </c>
    </row>
    <row r="673" spans="32:32" x14ac:dyDescent="0.3">
      <c r="AF673" s="47">
        <f t="shared" si="10"/>
        <v>0</v>
      </c>
    </row>
    <row r="674" spans="32:32" x14ac:dyDescent="0.3">
      <c r="AF674" s="47">
        <f t="shared" si="10"/>
        <v>0</v>
      </c>
    </row>
    <row r="675" spans="32:32" x14ac:dyDescent="0.3">
      <c r="AF675" s="47">
        <f t="shared" si="10"/>
        <v>0</v>
      </c>
    </row>
    <row r="676" spans="32:32" x14ac:dyDescent="0.3">
      <c r="AF676" s="47">
        <f t="shared" si="10"/>
        <v>0</v>
      </c>
    </row>
    <row r="677" spans="32:32" x14ac:dyDescent="0.3">
      <c r="AF677" s="47">
        <f t="shared" si="10"/>
        <v>0</v>
      </c>
    </row>
    <row r="678" spans="32:32" x14ac:dyDescent="0.3">
      <c r="AF678" s="47">
        <f t="shared" si="10"/>
        <v>0</v>
      </c>
    </row>
    <row r="679" spans="32:32" x14ac:dyDescent="0.3">
      <c r="AF679" s="47">
        <f t="shared" si="10"/>
        <v>0</v>
      </c>
    </row>
    <row r="680" spans="32:32" x14ac:dyDescent="0.3">
      <c r="AF680" s="47">
        <f t="shared" si="10"/>
        <v>0</v>
      </c>
    </row>
    <row r="681" spans="32:32" x14ac:dyDescent="0.3">
      <c r="AF681" s="47">
        <f t="shared" si="10"/>
        <v>0</v>
      </c>
    </row>
    <row r="682" spans="32:32" x14ac:dyDescent="0.3">
      <c r="AF682" s="47">
        <f t="shared" si="10"/>
        <v>0</v>
      </c>
    </row>
    <row r="683" spans="32:32" x14ac:dyDescent="0.3">
      <c r="AF683" s="47">
        <f t="shared" si="10"/>
        <v>0</v>
      </c>
    </row>
    <row r="684" spans="32:32" x14ac:dyDescent="0.3">
      <c r="AF684" s="47">
        <f t="shared" si="10"/>
        <v>0</v>
      </c>
    </row>
    <row r="685" spans="32:32" x14ac:dyDescent="0.3">
      <c r="AF685" s="47">
        <f t="shared" si="10"/>
        <v>0</v>
      </c>
    </row>
    <row r="686" spans="32:32" x14ac:dyDescent="0.3">
      <c r="AF686" s="47">
        <f t="shared" si="10"/>
        <v>0</v>
      </c>
    </row>
    <row r="687" spans="32:32" x14ac:dyDescent="0.3">
      <c r="AF687" s="47">
        <f t="shared" si="10"/>
        <v>0</v>
      </c>
    </row>
    <row r="688" spans="32:32" x14ac:dyDescent="0.3">
      <c r="AF688" s="47">
        <f t="shared" si="10"/>
        <v>0</v>
      </c>
    </row>
    <row r="689" spans="32:32" x14ac:dyDescent="0.3">
      <c r="AF689" s="47">
        <f t="shared" si="10"/>
        <v>0</v>
      </c>
    </row>
    <row r="690" spans="32:32" x14ac:dyDescent="0.3">
      <c r="AF690" s="47">
        <f t="shared" si="10"/>
        <v>0</v>
      </c>
    </row>
    <row r="691" spans="32:32" x14ac:dyDescent="0.3">
      <c r="AF691" s="47">
        <f t="shared" si="10"/>
        <v>0</v>
      </c>
    </row>
    <row r="692" spans="32:32" x14ac:dyDescent="0.3">
      <c r="AF692" s="47">
        <f t="shared" si="10"/>
        <v>0</v>
      </c>
    </row>
    <row r="693" spans="32:32" x14ac:dyDescent="0.3">
      <c r="AF693" s="47">
        <f t="shared" si="10"/>
        <v>0</v>
      </c>
    </row>
    <row r="694" spans="32:32" x14ac:dyDescent="0.3">
      <c r="AF694" s="47">
        <f t="shared" si="10"/>
        <v>0</v>
      </c>
    </row>
    <row r="695" spans="32:32" x14ac:dyDescent="0.3">
      <c r="AF695" s="47">
        <f t="shared" si="10"/>
        <v>0</v>
      </c>
    </row>
    <row r="696" spans="32:32" x14ac:dyDescent="0.3">
      <c r="AF696" s="47">
        <f t="shared" si="10"/>
        <v>0</v>
      </c>
    </row>
    <row r="697" spans="32:32" x14ac:dyDescent="0.3">
      <c r="AF697" s="47">
        <f t="shared" si="10"/>
        <v>0</v>
      </c>
    </row>
    <row r="698" spans="32:32" x14ac:dyDescent="0.3">
      <c r="AF698" s="47">
        <f t="shared" si="10"/>
        <v>0</v>
      </c>
    </row>
    <row r="699" spans="32:32" x14ac:dyDescent="0.3">
      <c r="AF699" s="47">
        <f t="shared" si="10"/>
        <v>0</v>
      </c>
    </row>
    <row r="700" spans="32:32" x14ac:dyDescent="0.3">
      <c r="AF700" s="47">
        <f t="shared" si="10"/>
        <v>0</v>
      </c>
    </row>
    <row r="701" spans="32:32" x14ac:dyDescent="0.3">
      <c r="AF701" s="47">
        <f t="shared" si="10"/>
        <v>0</v>
      </c>
    </row>
    <row r="702" spans="32:32" x14ac:dyDescent="0.3">
      <c r="AF702" s="47">
        <f t="shared" si="10"/>
        <v>0</v>
      </c>
    </row>
    <row r="703" spans="32:32" x14ac:dyDescent="0.3">
      <c r="AF703" s="47">
        <f t="shared" si="10"/>
        <v>0</v>
      </c>
    </row>
    <row r="704" spans="32:32" x14ac:dyDescent="0.3">
      <c r="AF704" s="47">
        <f t="shared" si="10"/>
        <v>0</v>
      </c>
    </row>
    <row r="705" spans="32:32" x14ac:dyDescent="0.3">
      <c r="AF705" s="47">
        <f t="shared" si="10"/>
        <v>0</v>
      </c>
    </row>
    <row r="706" spans="32:32" x14ac:dyDescent="0.3">
      <c r="AF706" s="47">
        <f t="shared" si="10"/>
        <v>0</v>
      </c>
    </row>
    <row r="707" spans="32:32" x14ac:dyDescent="0.3">
      <c r="AF707" s="47">
        <f t="shared" ref="AF707:AF770" si="11">IFERROR(AC707-Y707,"")</f>
        <v>0</v>
      </c>
    </row>
    <row r="708" spans="32:32" x14ac:dyDescent="0.3">
      <c r="AF708" s="47">
        <f t="shared" si="11"/>
        <v>0</v>
      </c>
    </row>
    <row r="709" spans="32:32" x14ac:dyDescent="0.3">
      <c r="AF709" s="47">
        <f t="shared" si="11"/>
        <v>0</v>
      </c>
    </row>
    <row r="710" spans="32:32" x14ac:dyDescent="0.3">
      <c r="AF710" s="47">
        <f t="shared" si="11"/>
        <v>0</v>
      </c>
    </row>
    <row r="711" spans="32:32" x14ac:dyDescent="0.3">
      <c r="AF711" s="47">
        <f t="shared" si="11"/>
        <v>0</v>
      </c>
    </row>
    <row r="712" spans="32:32" x14ac:dyDescent="0.3">
      <c r="AF712" s="47">
        <f t="shared" si="11"/>
        <v>0</v>
      </c>
    </row>
    <row r="713" spans="32:32" x14ac:dyDescent="0.3">
      <c r="AF713" s="47">
        <f t="shared" si="11"/>
        <v>0</v>
      </c>
    </row>
    <row r="714" spans="32:32" x14ac:dyDescent="0.3">
      <c r="AF714" s="47">
        <f t="shared" si="11"/>
        <v>0</v>
      </c>
    </row>
    <row r="715" spans="32:32" x14ac:dyDescent="0.3">
      <c r="AF715" s="47">
        <f t="shared" si="11"/>
        <v>0</v>
      </c>
    </row>
    <row r="716" spans="32:32" x14ac:dyDescent="0.3">
      <c r="AF716" s="47">
        <f t="shared" si="11"/>
        <v>0</v>
      </c>
    </row>
    <row r="717" spans="32:32" x14ac:dyDescent="0.3">
      <c r="AF717" s="47">
        <f t="shared" si="11"/>
        <v>0</v>
      </c>
    </row>
    <row r="718" spans="32:32" x14ac:dyDescent="0.3">
      <c r="AF718" s="47">
        <f t="shared" si="11"/>
        <v>0</v>
      </c>
    </row>
    <row r="719" spans="32:32" x14ac:dyDescent="0.3">
      <c r="AF719" s="47">
        <f t="shared" si="11"/>
        <v>0</v>
      </c>
    </row>
    <row r="720" spans="32:32" x14ac:dyDescent="0.3">
      <c r="AF720" s="47">
        <f t="shared" si="11"/>
        <v>0</v>
      </c>
    </row>
    <row r="721" spans="32:32" x14ac:dyDescent="0.3">
      <c r="AF721" s="47">
        <f t="shared" si="11"/>
        <v>0</v>
      </c>
    </row>
    <row r="722" spans="32:32" x14ac:dyDescent="0.3">
      <c r="AF722" s="47">
        <f t="shared" si="11"/>
        <v>0</v>
      </c>
    </row>
    <row r="723" spans="32:32" x14ac:dyDescent="0.3">
      <c r="AF723" s="47">
        <f t="shared" si="11"/>
        <v>0</v>
      </c>
    </row>
    <row r="724" spans="32:32" x14ac:dyDescent="0.3">
      <c r="AF724" s="47">
        <f t="shared" si="11"/>
        <v>0</v>
      </c>
    </row>
    <row r="725" spans="32:32" x14ac:dyDescent="0.3">
      <c r="AF725" s="47">
        <f t="shared" si="11"/>
        <v>0</v>
      </c>
    </row>
    <row r="726" spans="32:32" x14ac:dyDescent="0.3">
      <c r="AF726" s="47">
        <f t="shared" si="11"/>
        <v>0</v>
      </c>
    </row>
    <row r="727" spans="32:32" x14ac:dyDescent="0.3">
      <c r="AF727" s="47">
        <f t="shared" si="11"/>
        <v>0</v>
      </c>
    </row>
    <row r="728" spans="32:32" x14ac:dyDescent="0.3">
      <c r="AF728" s="47">
        <f t="shared" si="11"/>
        <v>0</v>
      </c>
    </row>
    <row r="729" spans="32:32" x14ac:dyDescent="0.3">
      <c r="AF729" s="47">
        <f t="shared" si="11"/>
        <v>0</v>
      </c>
    </row>
    <row r="730" spans="32:32" x14ac:dyDescent="0.3">
      <c r="AF730" s="47">
        <f t="shared" si="11"/>
        <v>0</v>
      </c>
    </row>
    <row r="731" spans="32:32" x14ac:dyDescent="0.3">
      <c r="AF731" s="47">
        <f t="shared" si="11"/>
        <v>0</v>
      </c>
    </row>
    <row r="732" spans="32:32" x14ac:dyDescent="0.3">
      <c r="AF732" s="47">
        <f t="shared" si="11"/>
        <v>0</v>
      </c>
    </row>
    <row r="733" spans="32:32" x14ac:dyDescent="0.3">
      <c r="AF733" s="47">
        <f t="shared" si="11"/>
        <v>0</v>
      </c>
    </row>
    <row r="734" spans="32:32" x14ac:dyDescent="0.3">
      <c r="AF734" s="47">
        <f t="shared" si="11"/>
        <v>0</v>
      </c>
    </row>
    <row r="735" spans="32:32" x14ac:dyDescent="0.3">
      <c r="AF735" s="47">
        <f t="shared" si="11"/>
        <v>0</v>
      </c>
    </row>
    <row r="736" spans="32:32" x14ac:dyDescent="0.3">
      <c r="AF736" s="47">
        <f t="shared" si="11"/>
        <v>0</v>
      </c>
    </row>
    <row r="737" spans="32:32" x14ac:dyDescent="0.3">
      <c r="AF737" s="47">
        <f t="shared" si="11"/>
        <v>0</v>
      </c>
    </row>
    <row r="738" spans="32:32" x14ac:dyDescent="0.3">
      <c r="AF738" s="47">
        <f t="shared" si="11"/>
        <v>0</v>
      </c>
    </row>
    <row r="739" spans="32:32" x14ac:dyDescent="0.3">
      <c r="AF739" s="47">
        <f t="shared" si="11"/>
        <v>0</v>
      </c>
    </row>
    <row r="740" spans="32:32" x14ac:dyDescent="0.3">
      <c r="AF740" s="47">
        <f t="shared" si="11"/>
        <v>0</v>
      </c>
    </row>
    <row r="741" spans="32:32" x14ac:dyDescent="0.3">
      <c r="AF741" s="47">
        <f t="shared" si="11"/>
        <v>0</v>
      </c>
    </row>
    <row r="742" spans="32:32" x14ac:dyDescent="0.3">
      <c r="AF742" s="47">
        <f t="shared" si="11"/>
        <v>0</v>
      </c>
    </row>
    <row r="743" spans="32:32" x14ac:dyDescent="0.3">
      <c r="AF743" s="47">
        <f t="shared" si="11"/>
        <v>0</v>
      </c>
    </row>
    <row r="744" spans="32:32" x14ac:dyDescent="0.3">
      <c r="AF744" s="47">
        <f t="shared" si="11"/>
        <v>0</v>
      </c>
    </row>
    <row r="745" spans="32:32" x14ac:dyDescent="0.3">
      <c r="AF745" s="47">
        <f t="shared" si="11"/>
        <v>0</v>
      </c>
    </row>
    <row r="746" spans="32:32" x14ac:dyDescent="0.3">
      <c r="AF746" s="47">
        <f t="shared" si="11"/>
        <v>0</v>
      </c>
    </row>
    <row r="747" spans="32:32" x14ac:dyDescent="0.3">
      <c r="AF747" s="47">
        <f t="shared" si="11"/>
        <v>0</v>
      </c>
    </row>
    <row r="748" spans="32:32" x14ac:dyDescent="0.3">
      <c r="AF748" s="47">
        <f t="shared" si="11"/>
        <v>0</v>
      </c>
    </row>
    <row r="749" spans="32:32" x14ac:dyDescent="0.3">
      <c r="AF749" s="47">
        <f t="shared" si="11"/>
        <v>0</v>
      </c>
    </row>
    <row r="750" spans="32:32" x14ac:dyDescent="0.3">
      <c r="AF750" s="47">
        <f t="shared" si="11"/>
        <v>0</v>
      </c>
    </row>
    <row r="751" spans="32:32" x14ac:dyDescent="0.3">
      <c r="AF751" s="47">
        <f t="shared" si="11"/>
        <v>0</v>
      </c>
    </row>
    <row r="752" spans="32:32" x14ac:dyDescent="0.3">
      <c r="AF752" s="47">
        <f t="shared" si="11"/>
        <v>0</v>
      </c>
    </row>
    <row r="753" spans="32:32" x14ac:dyDescent="0.3">
      <c r="AF753" s="47">
        <f t="shared" si="11"/>
        <v>0</v>
      </c>
    </row>
    <row r="754" spans="32:32" x14ac:dyDescent="0.3">
      <c r="AF754" s="47">
        <f t="shared" si="11"/>
        <v>0</v>
      </c>
    </row>
    <row r="755" spans="32:32" x14ac:dyDescent="0.3">
      <c r="AF755" s="47">
        <f t="shared" si="11"/>
        <v>0</v>
      </c>
    </row>
    <row r="756" spans="32:32" x14ac:dyDescent="0.3">
      <c r="AF756" s="47">
        <f t="shared" si="11"/>
        <v>0</v>
      </c>
    </row>
    <row r="757" spans="32:32" x14ac:dyDescent="0.3">
      <c r="AF757" s="47">
        <f t="shared" si="11"/>
        <v>0</v>
      </c>
    </row>
    <row r="758" spans="32:32" x14ac:dyDescent="0.3">
      <c r="AF758" s="47">
        <f t="shared" si="11"/>
        <v>0</v>
      </c>
    </row>
    <row r="759" spans="32:32" x14ac:dyDescent="0.3">
      <c r="AF759" s="47">
        <f t="shared" si="11"/>
        <v>0</v>
      </c>
    </row>
    <row r="760" spans="32:32" x14ac:dyDescent="0.3">
      <c r="AF760" s="47">
        <f t="shared" si="11"/>
        <v>0</v>
      </c>
    </row>
    <row r="761" spans="32:32" x14ac:dyDescent="0.3">
      <c r="AF761" s="47">
        <f t="shared" si="11"/>
        <v>0</v>
      </c>
    </row>
    <row r="762" spans="32:32" x14ac:dyDescent="0.3">
      <c r="AF762" s="47">
        <f t="shared" si="11"/>
        <v>0</v>
      </c>
    </row>
    <row r="763" spans="32:32" x14ac:dyDescent="0.3">
      <c r="AF763" s="47">
        <f t="shared" si="11"/>
        <v>0</v>
      </c>
    </row>
    <row r="764" spans="32:32" x14ac:dyDescent="0.3">
      <c r="AF764" s="47">
        <f t="shared" si="11"/>
        <v>0</v>
      </c>
    </row>
    <row r="765" spans="32:32" x14ac:dyDescent="0.3">
      <c r="AF765" s="47">
        <f t="shared" si="11"/>
        <v>0</v>
      </c>
    </row>
    <row r="766" spans="32:32" x14ac:dyDescent="0.3">
      <c r="AF766" s="47">
        <f t="shared" si="11"/>
        <v>0</v>
      </c>
    </row>
    <row r="767" spans="32:32" x14ac:dyDescent="0.3">
      <c r="AF767" s="47">
        <f t="shared" si="11"/>
        <v>0</v>
      </c>
    </row>
    <row r="768" spans="32:32" x14ac:dyDescent="0.3">
      <c r="AF768" s="47">
        <f t="shared" si="11"/>
        <v>0</v>
      </c>
    </row>
    <row r="769" spans="32:32" x14ac:dyDescent="0.3">
      <c r="AF769" s="47">
        <f t="shared" si="11"/>
        <v>0</v>
      </c>
    </row>
    <row r="770" spans="32:32" x14ac:dyDescent="0.3">
      <c r="AF770" s="47">
        <f t="shared" si="11"/>
        <v>0</v>
      </c>
    </row>
    <row r="771" spans="32:32" x14ac:dyDescent="0.3">
      <c r="AF771" s="47">
        <f t="shared" ref="AF771:AF834" si="12">IFERROR(AC771-Y771,"")</f>
        <v>0</v>
      </c>
    </row>
    <row r="772" spans="32:32" x14ac:dyDescent="0.3">
      <c r="AF772" s="47">
        <f t="shared" si="12"/>
        <v>0</v>
      </c>
    </row>
    <row r="773" spans="32:32" x14ac:dyDescent="0.3">
      <c r="AF773" s="47">
        <f t="shared" si="12"/>
        <v>0</v>
      </c>
    </row>
    <row r="774" spans="32:32" x14ac:dyDescent="0.3">
      <c r="AF774" s="47">
        <f t="shared" si="12"/>
        <v>0</v>
      </c>
    </row>
    <row r="775" spans="32:32" x14ac:dyDescent="0.3">
      <c r="AF775" s="47">
        <f t="shared" si="12"/>
        <v>0</v>
      </c>
    </row>
    <row r="776" spans="32:32" x14ac:dyDescent="0.3">
      <c r="AF776" s="47">
        <f t="shared" si="12"/>
        <v>0</v>
      </c>
    </row>
    <row r="777" spans="32:32" x14ac:dyDescent="0.3">
      <c r="AF777" s="47">
        <f t="shared" si="12"/>
        <v>0</v>
      </c>
    </row>
    <row r="778" spans="32:32" x14ac:dyDescent="0.3">
      <c r="AF778" s="47">
        <f t="shared" si="12"/>
        <v>0</v>
      </c>
    </row>
    <row r="779" spans="32:32" x14ac:dyDescent="0.3">
      <c r="AF779" s="47">
        <f t="shared" si="12"/>
        <v>0</v>
      </c>
    </row>
    <row r="780" spans="32:32" x14ac:dyDescent="0.3">
      <c r="AF780" s="47">
        <f t="shared" si="12"/>
        <v>0</v>
      </c>
    </row>
    <row r="781" spans="32:32" x14ac:dyDescent="0.3">
      <c r="AF781" s="47">
        <f t="shared" si="12"/>
        <v>0</v>
      </c>
    </row>
    <row r="782" spans="32:32" x14ac:dyDescent="0.3">
      <c r="AF782" s="47">
        <f t="shared" si="12"/>
        <v>0</v>
      </c>
    </row>
    <row r="783" spans="32:32" x14ac:dyDescent="0.3">
      <c r="AF783" s="47">
        <f t="shared" si="12"/>
        <v>0</v>
      </c>
    </row>
    <row r="784" spans="32:32" x14ac:dyDescent="0.3">
      <c r="AF784" s="47">
        <f t="shared" si="12"/>
        <v>0</v>
      </c>
    </row>
    <row r="785" spans="32:32" x14ac:dyDescent="0.3">
      <c r="AF785" s="47">
        <f t="shared" si="12"/>
        <v>0</v>
      </c>
    </row>
    <row r="786" spans="32:32" x14ac:dyDescent="0.3">
      <c r="AF786" s="47">
        <f t="shared" si="12"/>
        <v>0</v>
      </c>
    </row>
    <row r="787" spans="32:32" x14ac:dyDescent="0.3">
      <c r="AF787" s="47">
        <f t="shared" si="12"/>
        <v>0</v>
      </c>
    </row>
    <row r="788" spans="32:32" x14ac:dyDescent="0.3">
      <c r="AF788" s="47">
        <f t="shared" si="12"/>
        <v>0</v>
      </c>
    </row>
    <row r="789" spans="32:32" x14ac:dyDescent="0.3">
      <c r="AF789" s="47">
        <f t="shared" si="12"/>
        <v>0</v>
      </c>
    </row>
    <row r="790" spans="32:32" x14ac:dyDescent="0.3">
      <c r="AF790" s="47">
        <f t="shared" si="12"/>
        <v>0</v>
      </c>
    </row>
    <row r="791" spans="32:32" x14ac:dyDescent="0.3">
      <c r="AF791" s="47">
        <f t="shared" si="12"/>
        <v>0</v>
      </c>
    </row>
    <row r="792" spans="32:32" x14ac:dyDescent="0.3">
      <c r="AF792" s="47">
        <f t="shared" si="12"/>
        <v>0</v>
      </c>
    </row>
    <row r="793" spans="32:32" x14ac:dyDescent="0.3">
      <c r="AF793" s="47">
        <f t="shared" si="12"/>
        <v>0</v>
      </c>
    </row>
    <row r="794" spans="32:32" x14ac:dyDescent="0.3">
      <c r="AF794" s="47">
        <f t="shared" si="12"/>
        <v>0</v>
      </c>
    </row>
    <row r="795" spans="32:32" x14ac:dyDescent="0.3">
      <c r="AF795" s="47">
        <f t="shared" si="12"/>
        <v>0</v>
      </c>
    </row>
    <row r="796" spans="32:32" x14ac:dyDescent="0.3">
      <c r="AF796" s="47">
        <f t="shared" si="12"/>
        <v>0</v>
      </c>
    </row>
    <row r="797" spans="32:32" x14ac:dyDescent="0.3">
      <c r="AF797" s="47">
        <f t="shared" si="12"/>
        <v>0</v>
      </c>
    </row>
    <row r="798" spans="32:32" x14ac:dyDescent="0.3">
      <c r="AF798" s="47">
        <f t="shared" si="12"/>
        <v>0</v>
      </c>
    </row>
    <row r="799" spans="32:32" x14ac:dyDescent="0.3">
      <c r="AF799" s="47">
        <f t="shared" si="12"/>
        <v>0</v>
      </c>
    </row>
    <row r="800" spans="32:32" x14ac:dyDescent="0.3">
      <c r="AF800" s="47">
        <f t="shared" si="12"/>
        <v>0</v>
      </c>
    </row>
    <row r="801" spans="32:32" x14ac:dyDescent="0.3">
      <c r="AF801" s="47">
        <f t="shared" si="12"/>
        <v>0</v>
      </c>
    </row>
    <row r="802" spans="32:32" x14ac:dyDescent="0.3">
      <c r="AF802" s="47">
        <f t="shared" si="12"/>
        <v>0</v>
      </c>
    </row>
    <row r="803" spans="32:32" x14ac:dyDescent="0.3">
      <c r="AF803" s="47">
        <f t="shared" si="12"/>
        <v>0</v>
      </c>
    </row>
    <row r="804" spans="32:32" x14ac:dyDescent="0.3">
      <c r="AF804" s="47">
        <f t="shared" si="12"/>
        <v>0</v>
      </c>
    </row>
    <row r="805" spans="32:32" x14ac:dyDescent="0.3">
      <c r="AF805" s="47">
        <f t="shared" si="12"/>
        <v>0</v>
      </c>
    </row>
    <row r="806" spans="32:32" x14ac:dyDescent="0.3">
      <c r="AF806" s="47">
        <f t="shared" si="12"/>
        <v>0</v>
      </c>
    </row>
    <row r="807" spans="32:32" x14ac:dyDescent="0.3">
      <c r="AF807" s="47">
        <f t="shared" si="12"/>
        <v>0</v>
      </c>
    </row>
    <row r="808" spans="32:32" x14ac:dyDescent="0.3">
      <c r="AF808" s="47">
        <f t="shared" si="12"/>
        <v>0</v>
      </c>
    </row>
    <row r="809" spans="32:32" x14ac:dyDescent="0.3">
      <c r="AF809" s="47">
        <f t="shared" si="12"/>
        <v>0</v>
      </c>
    </row>
    <row r="810" spans="32:32" x14ac:dyDescent="0.3">
      <c r="AF810" s="47">
        <f t="shared" si="12"/>
        <v>0</v>
      </c>
    </row>
    <row r="811" spans="32:32" x14ac:dyDescent="0.3">
      <c r="AF811" s="47">
        <f t="shared" si="12"/>
        <v>0</v>
      </c>
    </row>
    <row r="812" spans="32:32" x14ac:dyDescent="0.3">
      <c r="AF812" s="47">
        <f t="shared" si="12"/>
        <v>0</v>
      </c>
    </row>
    <row r="813" spans="32:32" x14ac:dyDescent="0.3">
      <c r="AF813" s="47">
        <f t="shared" si="12"/>
        <v>0</v>
      </c>
    </row>
    <row r="814" spans="32:32" x14ac:dyDescent="0.3">
      <c r="AF814" s="47">
        <f t="shared" si="12"/>
        <v>0</v>
      </c>
    </row>
    <row r="815" spans="32:32" x14ac:dyDescent="0.3">
      <c r="AF815" s="47">
        <f t="shared" si="12"/>
        <v>0</v>
      </c>
    </row>
    <row r="816" spans="32:32" x14ac:dyDescent="0.3">
      <c r="AF816" s="47">
        <f t="shared" si="12"/>
        <v>0</v>
      </c>
    </row>
    <row r="817" spans="32:32" x14ac:dyDescent="0.3">
      <c r="AF817" s="47">
        <f t="shared" si="12"/>
        <v>0</v>
      </c>
    </row>
    <row r="818" spans="32:32" x14ac:dyDescent="0.3">
      <c r="AF818" s="47">
        <f t="shared" si="12"/>
        <v>0</v>
      </c>
    </row>
    <row r="819" spans="32:32" x14ac:dyDescent="0.3">
      <c r="AF819" s="47">
        <f t="shared" si="12"/>
        <v>0</v>
      </c>
    </row>
    <row r="820" spans="32:32" x14ac:dyDescent="0.3">
      <c r="AF820" s="47">
        <f t="shared" si="12"/>
        <v>0</v>
      </c>
    </row>
    <row r="821" spans="32:32" x14ac:dyDescent="0.3">
      <c r="AF821" s="47">
        <f t="shared" si="12"/>
        <v>0</v>
      </c>
    </row>
    <row r="822" spans="32:32" x14ac:dyDescent="0.3">
      <c r="AF822" s="47">
        <f t="shared" si="12"/>
        <v>0</v>
      </c>
    </row>
    <row r="823" spans="32:32" x14ac:dyDescent="0.3">
      <c r="AF823" s="47">
        <f t="shared" si="12"/>
        <v>0</v>
      </c>
    </row>
    <row r="824" spans="32:32" x14ac:dyDescent="0.3">
      <c r="AF824" s="47">
        <f t="shared" si="12"/>
        <v>0</v>
      </c>
    </row>
    <row r="825" spans="32:32" x14ac:dyDescent="0.3">
      <c r="AF825" s="47">
        <f t="shared" si="12"/>
        <v>0</v>
      </c>
    </row>
    <row r="826" spans="32:32" x14ac:dyDescent="0.3">
      <c r="AF826" s="47">
        <f t="shared" si="12"/>
        <v>0</v>
      </c>
    </row>
    <row r="827" spans="32:32" x14ac:dyDescent="0.3">
      <c r="AF827" s="47">
        <f t="shared" si="12"/>
        <v>0</v>
      </c>
    </row>
    <row r="828" spans="32:32" x14ac:dyDescent="0.3">
      <c r="AF828" s="47">
        <f t="shared" si="12"/>
        <v>0</v>
      </c>
    </row>
    <row r="829" spans="32:32" x14ac:dyDescent="0.3">
      <c r="AF829" s="47">
        <f t="shared" si="12"/>
        <v>0</v>
      </c>
    </row>
    <row r="830" spans="32:32" x14ac:dyDescent="0.3">
      <c r="AF830" s="47">
        <f t="shared" si="12"/>
        <v>0</v>
      </c>
    </row>
    <row r="831" spans="32:32" x14ac:dyDescent="0.3">
      <c r="AF831" s="47">
        <f t="shared" si="12"/>
        <v>0</v>
      </c>
    </row>
    <row r="832" spans="32:32" x14ac:dyDescent="0.3">
      <c r="AF832" s="47">
        <f t="shared" si="12"/>
        <v>0</v>
      </c>
    </row>
    <row r="833" spans="32:32" x14ac:dyDescent="0.3">
      <c r="AF833" s="47">
        <f t="shared" si="12"/>
        <v>0</v>
      </c>
    </row>
    <row r="834" spans="32:32" x14ac:dyDescent="0.3">
      <c r="AF834" s="47">
        <f t="shared" si="12"/>
        <v>0</v>
      </c>
    </row>
    <row r="835" spans="32:32" x14ac:dyDescent="0.3">
      <c r="AF835" s="47">
        <f t="shared" ref="AF835:AF898" si="13">IFERROR(AC835-Y835,"")</f>
        <v>0</v>
      </c>
    </row>
    <row r="836" spans="32:32" x14ac:dyDescent="0.3">
      <c r="AF836" s="47">
        <f t="shared" si="13"/>
        <v>0</v>
      </c>
    </row>
    <row r="837" spans="32:32" x14ac:dyDescent="0.3">
      <c r="AF837" s="47">
        <f t="shared" si="13"/>
        <v>0</v>
      </c>
    </row>
    <row r="838" spans="32:32" x14ac:dyDescent="0.3">
      <c r="AF838" s="47">
        <f t="shared" si="13"/>
        <v>0</v>
      </c>
    </row>
    <row r="839" spans="32:32" x14ac:dyDescent="0.3">
      <c r="AF839" s="47">
        <f t="shared" si="13"/>
        <v>0</v>
      </c>
    </row>
    <row r="840" spans="32:32" x14ac:dyDescent="0.3">
      <c r="AF840" s="47">
        <f t="shared" si="13"/>
        <v>0</v>
      </c>
    </row>
    <row r="841" spans="32:32" x14ac:dyDescent="0.3">
      <c r="AF841" s="47">
        <f t="shared" si="13"/>
        <v>0</v>
      </c>
    </row>
    <row r="842" spans="32:32" x14ac:dyDescent="0.3">
      <c r="AF842" s="47">
        <f t="shared" si="13"/>
        <v>0</v>
      </c>
    </row>
    <row r="843" spans="32:32" x14ac:dyDescent="0.3">
      <c r="AF843" s="47">
        <f t="shared" si="13"/>
        <v>0</v>
      </c>
    </row>
    <row r="844" spans="32:32" x14ac:dyDescent="0.3">
      <c r="AF844" s="47">
        <f t="shared" si="13"/>
        <v>0</v>
      </c>
    </row>
    <row r="845" spans="32:32" x14ac:dyDescent="0.3">
      <c r="AF845" s="47">
        <f t="shared" si="13"/>
        <v>0</v>
      </c>
    </row>
    <row r="846" spans="32:32" x14ac:dyDescent="0.3">
      <c r="AF846" s="47">
        <f t="shared" si="13"/>
        <v>0</v>
      </c>
    </row>
    <row r="847" spans="32:32" x14ac:dyDescent="0.3">
      <c r="AF847" s="47">
        <f t="shared" si="13"/>
        <v>0</v>
      </c>
    </row>
    <row r="848" spans="32:32" x14ac:dyDescent="0.3">
      <c r="AF848" s="47">
        <f t="shared" si="13"/>
        <v>0</v>
      </c>
    </row>
    <row r="849" spans="32:32" x14ac:dyDescent="0.3">
      <c r="AF849" s="47">
        <f t="shared" si="13"/>
        <v>0</v>
      </c>
    </row>
    <row r="850" spans="32:32" x14ac:dyDescent="0.3">
      <c r="AF850" s="47">
        <f t="shared" si="13"/>
        <v>0</v>
      </c>
    </row>
    <row r="851" spans="32:32" x14ac:dyDescent="0.3">
      <c r="AF851" s="47">
        <f t="shared" si="13"/>
        <v>0</v>
      </c>
    </row>
    <row r="852" spans="32:32" x14ac:dyDescent="0.3">
      <c r="AF852" s="47">
        <f t="shared" si="13"/>
        <v>0</v>
      </c>
    </row>
    <row r="853" spans="32:32" x14ac:dyDescent="0.3">
      <c r="AF853" s="47">
        <f t="shared" si="13"/>
        <v>0</v>
      </c>
    </row>
    <row r="854" spans="32:32" x14ac:dyDescent="0.3">
      <c r="AF854" s="47">
        <f t="shared" si="13"/>
        <v>0</v>
      </c>
    </row>
    <row r="855" spans="32:32" x14ac:dyDescent="0.3">
      <c r="AF855" s="47">
        <f t="shared" si="13"/>
        <v>0</v>
      </c>
    </row>
    <row r="856" spans="32:32" x14ac:dyDescent="0.3">
      <c r="AF856" s="47">
        <f t="shared" si="13"/>
        <v>0</v>
      </c>
    </row>
    <row r="857" spans="32:32" x14ac:dyDescent="0.3">
      <c r="AF857" s="47">
        <f t="shared" si="13"/>
        <v>0</v>
      </c>
    </row>
    <row r="858" spans="32:32" x14ac:dyDescent="0.3">
      <c r="AF858" s="47">
        <f t="shared" si="13"/>
        <v>0</v>
      </c>
    </row>
    <row r="859" spans="32:32" x14ac:dyDescent="0.3">
      <c r="AF859" s="47">
        <f t="shared" si="13"/>
        <v>0</v>
      </c>
    </row>
    <row r="860" spans="32:32" x14ac:dyDescent="0.3">
      <c r="AF860" s="47">
        <f t="shared" si="13"/>
        <v>0</v>
      </c>
    </row>
    <row r="861" spans="32:32" x14ac:dyDescent="0.3">
      <c r="AF861" s="47">
        <f t="shared" si="13"/>
        <v>0</v>
      </c>
    </row>
    <row r="862" spans="32:32" x14ac:dyDescent="0.3">
      <c r="AF862" s="47">
        <f t="shared" si="13"/>
        <v>0</v>
      </c>
    </row>
    <row r="863" spans="32:32" x14ac:dyDescent="0.3">
      <c r="AF863" s="47">
        <f t="shared" si="13"/>
        <v>0</v>
      </c>
    </row>
    <row r="864" spans="32:32" x14ac:dyDescent="0.3">
      <c r="AF864" s="47">
        <f t="shared" si="13"/>
        <v>0</v>
      </c>
    </row>
    <row r="865" spans="32:32" x14ac:dyDescent="0.3">
      <c r="AF865" s="47">
        <f t="shared" si="13"/>
        <v>0</v>
      </c>
    </row>
    <row r="866" spans="32:32" x14ac:dyDescent="0.3">
      <c r="AF866" s="47">
        <f t="shared" si="13"/>
        <v>0</v>
      </c>
    </row>
    <row r="867" spans="32:32" x14ac:dyDescent="0.3">
      <c r="AF867" s="47">
        <f t="shared" si="13"/>
        <v>0</v>
      </c>
    </row>
    <row r="868" spans="32:32" x14ac:dyDescent="0.3">
      <c r="AF868" s="47">
        <f t="shared" si="13"/>
        <v>0</v>
      </c>
    </row>
    <row r="869" spans="32:32" x14ac:dyDescent="0.3">
      <c r="AF869" s="47">
        <f t="shared" si="13"/>
        <v>0</v>
      </c>
    </row>
    <row r="870" spans="32:32" x14ac:dyDescent="0.3">
      <c r="AF870" s="47">
        <f t="shared" si="13"/>
        <v>0</v>
      </c>
    </row>
    <row r="871" spans="32:32" x14ac:dyDescent="0.3">
      <c r="AF871" s="47">
        <f t="shared" si="13"/>
        <v>0</v>
      </c>
    </row>
    <row r="872" spans="32:32" x14ac:dyDescent="0.3">
      <c r="AF872" s="47">
        <f t="shared" si="13"/>
        <v>0</v>
      </c>
    </row>
    <row r="873" spans="32:32" x14ac:dyDescent="0.3">
      <c r="AF873" s="47">
        <f t="shared" si="13"/>
        <v>0</v>
      </c>
    </row>
    <row r="874" spans="32:32" x14ac:dyDescent="0.3">
      <c r="AF874" s="47">
        <f t="shared" si="13"/>
        <v>0</v>
      </c>
    </row>
    <row r="875" spans="32:32" x14ac:dyDescent="0.3">
      <c r="AF875" s="47">
        <f t="shared" si="13"/>
        <v>0</v>
      </c>
    </row>
    <row r="876" spans="32:32" x14ac:dyDescent="0.3">
      <c r="AF876" s="47">
        <f t="shared" si="13"/>
        <v>0</v>
      </c>
    </row>
    <row r="877" spans="32:32" x14ac:dyDescent="0.3">
      <c r="AF877" s="47">
        <f t="shared" si="13"/>
        <v>0</v>
      </c>
    </row>
    <row r="878" spans="32:32" x14ac:dyDescent="0.3">
      <c r="AF878" s="47">
        <f t="shared" si="13"/>
        <v>0</v>
      </c>
    </row>
    <row r="879" spans="32:32" x14ac:dyDescent="0.3">
      <c r="AF879" s="47">
        <f t="shared" si="13"/>
        <v>0</v>
      </c>
    </row>
    <row r="880" spans="32:32" x14ac:dyDescent="0.3">
      <c r="AF880" s="47">
        <f t="shared" si="13"/>
        <v>0</v>
      </c>
    </row>
    <row r="881" spans="32:32" x14ac:dyDescent="0.3">
      <c r="AF881" s="47">
        <f t="shared" si="13"/>
        <v>0</v>
      </c>
    </row>
    <row r="882" spans="32:32" x14ac:dyDescent="0.3">
      <c r="AF882" s="47">
        <f t="shared" si="13"/>
        <v>0</v>
      </c>
    </row>
    <row r="883" spans="32:32" x14ac:dyDescent="0.3">
      <c r="AF883" s="47">
        <f t="shared" si="13"/>
        <v>0</v>
      </c>
    </row>
    <row r="884" spans="32:32" x14ac:dyDescent="0.3">
      <c r="AF884" s="47">
        <f t="shared" si="13"/>
        <v>0</v>
      </c>
    </row>
    <row r="885" spans="32:32" x14ac:dyDescent="0.3">
      <c r="AF885" s="47">
        <f t="shared" si="13"/>
        <v>0</v>
      </c>
    </row>
    <row r="886" spans="32:32" x14ac:dyDescent="0.3">
      <c r="AF886" s="47">
        <f t="shared" si="13"/>
        <v>0</v>
      </c>
    </row>
    <row r="887" spans="32:32" x14ac:dyDescent="0.3">
      <c r="AF887" s="47">
        <f t="shared" si="13"/>
        <v>0</v>
      </c>
    </row>
    <row r="888" spans="32:32" x14ac:dyDescent="0.3">
      <c r="AF888" s="47">
        <f t="shared" si="13"/>
        <v>0</v>
      </c>
    </row>
    <row r="889" spans="32:32" x14ac:dyDescent="0.3">
      <c r="AF889" s="47">
        <f t="shared" si="13"/>
        <v>0</v>
      </c>
    </row>
    <row r="890" spans="32:32" x14ac:dyDescent="0.3">
      <c r="AF890" s="47">
        <f t="shared" si="13"/>
        <v>0</v>
      </c>
    </row>
    <row r="891" spans="32:32" x14ac:dyDescent="0.3">
      <c r="AF891" s="47">
        <f t="shared" si="13"/>
        <v>0</v>
      </c>
    </row>
    <row r="892" spans="32:32" x14ac:dyDescent="0.3">
      <c r="AF892" s="47">
        <f t="shared" si="13"/>
        <v>0</v>
      </c>
    </row>
    <row r="893" spans="32:32" x14ac:dyDescent="0.3">
      <c r="AF893" s="47">
        <f t="shared" si="13"/>
        <v>0</v>
      </c>
    </row>
    <row r="894" spans="32:32" x14ac:dyDescent="0.3">
      <c r="AF894" s="47">
        <f t="shared" si="13"/>
        <v>0</v>
      </c>
    </row>
    <row r="895" spans="32:32" x14ac:dyDescent="0.3">
      <c r="AF895" s="47">
        <f t="shared" si="13"/>
        <v>0</v>
      </c>
    </row>
    <row r="896" spans="32:32" x14ac:dyDescent="0.3">
      <c r="AF896" s="47">
        <f t="shared" si="13"/>
        <v>0</v>
      </c>
    </row>
    <row r="897" spans="32:32" x14ac:dyDescent="0.3">
      <c r="AF897" s="47">
        <f t="shared" si="13"/>
        <v>0</v>
      </c>
    </row>
    <row r="898" spans="32:32" x14ac:dyDescent="0.3">
      <c r="AF898" s="47">
        <f t="shared" si="13"/>
        <v>0</v>
      </c>
    </row>
    <row r="899" spans="32:32" x14ac:dyDescent="0.3">
      <c r="AF899" s="47">
        <f t="shared" ref="AF899:AF962" si="14">IFERROR(AC899-Y899,"")</f>
        <v>0</v>
      </c>
    </row>
    <row r="900" spans="32:32" x14ac:dyDescent="0.3">
      <c r="AF900" s="47">
        <f t="shared" si="14"/>
        <v>0</v>
      </c>
    </row>
    <row r="901" spans="32:32" x14ac:dyDescent="0.3">
      <c r="AF901" s="47">
        <f t="shared" si="14"/>
        <v>0</v>
      </c>
    </row>
    <row r="902" spans="32:32" x14ac:dyDescent="0.3">
      <c r="AF902" s="47">
        <f t="shared" si="14"/>
        <v>0</v>
      </c>
    </row>
    <row r="903" spans="32:32" x14ac:dyDescent="0.3">
      <c r="AF903" s="47">
        <f t="shared" si="14"/>
        <v>0</v>
      </c>
    </row>
    <row r="904" spans="32:32" x14ac:dyDescent="0.3">
      <c r="AF904" s="47">
        <f t="shared" si="14"/>
        <v>0</v>
      </c>
    </row>
    <row r="905" spans="32:32" x14ac:dyDescent="0.3">
      <c r="AF905" s="47">
        <f t="shared" si="14"/>
        <v>0</v>
      </c>
    </row>
    <row r="906" spans="32:32" x14ac:dyDescent="0.3">
      <c r="AF906" s="47">
        <f t="shared" si="14"/>
        <v>0</v>
      </c>
    </row>
    <row r="907" spans="32:32" x14ac:dyDescent="0.3">
      <c r="AF907" s="47">
        <f t="shared" si="14"/>
        <v>0</v>
      </c>
    </row>
    <row r="908" spans="32:32" x14ac:dyDescent="0.3">
      <c r="AF908" s="47">
        <f t="shared" si="14"/>
        <v>0</v>
      </c>
    </row>
    <row r="909" spans="32:32" x14ac:dyDescent="0.3">
      <c r="AF909" s="47">
        <f t="shared" si="14"/>
        <v>0</v>
      </c>
    </row>
    <row r="910" spans="32:32" x14ac:dyDescent="0.3">
      <c r="AF910" s="47">
        <f t="shared" si="14"/>
        <v>0</v>
      </c>
    </row>
    <row r="911" spans="32:32" x14ac:dyDescent="0.3">
      <c r="AF911" s="47">
        <f t="shared" si="14"/>
        <v>0</v>
      </c>
    </row>
    <row r="912" spans="32:32" x14ac:dyDescent="0.3">
      <c r="AF912" s="47">
        <f t="shared" si="14"/>
        <v>0</v>
      </c>
    </row>
    <row r="913" spans="32:32" x14ac:dyDescent="0.3">
      <c r="AF913" s="47">
        <f t="shared" si="14"/>
        <v>0</v>
      </c>
    </row>
    <row r="914" spans="32:32" x14ac:dyDescent="0.3">
      <c r="AF914" s="47">
        <f t="shared" si="14"/>
        <v>0</v>
      </c>
    </row>
    <row r="915" spans="32:32" x14ac:dyDescent="0.3">
      <c r="AF915" s="47">
        <f t="shared" si="14"/>
        <v>0</v>
      </c>
    </row>
    <row r="916" spans="32:32" x14ac:dyDescent="0.3">
      <c r="AF916" s="47">
        <f t="shared" si="14"/>
        <v>0</v>
      </c>
    </row>
    <row r="917" spans="32:32" x14ac:dyDescent="0.3">
      <c r="AF917" s="47">
        <f t="shared" si="14"/>
        <v>0</v>
      </c>
    </row>
    <row r="918" spans="32:32" x14ac:dyDescent="0.3">
      <c r="AF918" s="47">
        <f t="shared" si="14"/>
        <v>0</v>
      </c>
    </row>
    <row r="919" spans="32:32" x14ac:dyDescent="0.3">
      <c r="AF919" s="47">
        <f t="shared" si="14"/>
        <v>0</v>
      </c>
    </row>
    <row r="920" spans="32:32" x14ac:dyDescent="0.3">
      <c r="AF920" s="47">
        <f t="shared" si="14"/>
        <v>0</v>
      </c>
    </row>
    <row r="921" spans="32:32" x14ac:dyDescent="0.3">
      <c r="AF921" s="47">
        <f t="shared" si="14"/>
        <v>0</v>
      </c>
    </row>
    <row r="922" spans="32:32" x14ac:dyDescent="0.3">
      <c r="AF922" s="47">
        <f t="shared" si="14"/>
        <v>0</v>
      </c>
    </row>
    <row r="923" spans="32:32" x14ac:dyDescent="0.3">
      <c r="AF923" s="47">
        <f t="shared" si="14"/>
        <v>0</v>
      </c>
    </row>
    <row r="924" spans="32:32" x14ac:dyDescent="0.3">
      <c r="AF924" s="47">
        <f t="shared" si="14"/>
        <v>0</v>
      </c>
    </row>
    <row r="925" spans="32:32" x14ac:dyDescent="0.3">
      <c r="AF925" s="47">
        <f t="shared" si="14"/>
        <v>0</v>
      </c>
    </row>
    <row r="926" spans="32:32" x14ac:dyDescent="0.3">
      <c r="AF926" s="47">
        <f t="shared" si="14"/>
        <v>0</v>
      </c>
    </row>
    <row r="927" spans="32:32" x14ac:dyDescent="0.3">
      <c r="AF927" s="47">
        <f t="shared" si="14"/>
        <v>0</v>
      </c>
    </row>
    <row r="928" spans="32:32" x14ac:dyDescent="0.3">
      <c r="AF928" s="47">
        <f t="shared" si="14"/>
        <v>0</v>
      </c>
    </row>
    <row r="929" spans="32:32" x14ac:dyDescent="0.3">
      <c r="AF929" s="47">
        <f t="shared" si="14"/>
        <v>0</v>
      </c>
    </row>
    <row r="930" spans="32:32" x14ac:dyDescent="0.3">
      <c r="AF930" s="47">
        <f t="shared" si="14"/>
        <v>0</v>
      </c>
    </row>
    <row r="931" spans="32:32" x14ac:dyDescent="0.3">
      <c r="AF931" s="47">
        <f t="shared" si="14"/>
        <v>0</v>
      </c>
    </row>
    <row r="932" spans="32:32" x14ac:dyDescent="0.3">
      <c r="AF932" s="47">
        <f t="shared" si="14"/>
        <v>0</v>
      </c>
    </row>
    <row r="933" spans="32:32" x14ac:dyDescent="0.3">
      <c r="AF933" s="47">
        <f t="shared" si="14"/>
        <v>0</v>
      </c>
    </row>
    <row r="934" spans="32:32" x14ac:dyDescent="0.3">
      <c r="AF934" s="47">
        <f t="shared" si="14"/>
        <v>0</v>
      </c>
    </row>
    <row r="935" spans="32:32" x14ac:dyDescent="0.3">
      <c r="AF935" s="47">
        <f t="shared" si="14"/>
        <v>0</v>
      </c>
    </row>
    <row r="936" spans="32:32" x14ac:dyDescent="0.3">
      <c r="AF936" s="47">
        <f t="shared" si="14"/>
        <v>0</v>
      </c>
    </row>
    <row r="937" spans="32:32" x14ac:dyDescent="0.3">
      <c r="AF937" s="47">
        <f t="shared" si="14"/>
        <v>0</v>
      </c>
    </row>
    <row r="938" spans="32:32" x14ac:dyDescent="0.3">
      <c r="AF938" s="47">
        <f t="shared" si="14"/>
        <v>0</v>
      </c>
    </row>
    <row r="939" spans="32:32" x14ac:dyDescent="0.3">
      <c r="AF939" s="47">
        <f t="shared" si="14"/>
        <v>0</v>
      </c>
    </row>
    <row r="940" spans="32:32" x14ac:dyDescent="0.3">
      <c r="AF940" s="47">
        <f t="shared" si="14"/>
        <v>0</v>
      </c>
    </row>
    <row r="941" spans="32:32" x14ac:dyDescent="0.3">
      <c r="AF941" s="47">
        <f t="shared" si="14"/>
        <v>0</v>
      </c>
    </row>
    <row r="942" spans="32:32" x14ac:dyDescent="0.3">
      <c r="AF942" s="47">
        <f t="shared" si="14"/>
        <v>0</v>
      </c>
    </row>
    <row r="943" spans="32:32" x14ac:dyDescent="0.3">
      <c r="AF943" s="47">
        <f t="shared" si="14"/>
        <v>0</v>
      </c>
    </row>
    <row r="944" spans="32:32" x14ac:dyDescent="0.3">
      <c r="AF944" s="47">
        <f t="shared" si="14"/>
        <v>0</v>
      </c>
    </row>
    <row r="945" spans="32:32" x14ac:dyDescent="0.3">
      <c r="AF945" s="47">
        <f t="shared" si="14"/>
        <v>0</v>
      </c>
    </row>
    <row r="946" spans="32:32" x14ac:dyDescent="0.3">
      <c r="AF946" s="47">
        <f t="shared" si="14"/>
        <v>0</v>
      </c>
    </row>
    <row r="947" spans="32:32" x14ac:dyDescent="0.3">
      <c r="AF947" s="47">
        <f t="shared" si="14"/>
        <v>0</v>
      </c>
    </row>
    <row r="948" spans="32:32" x14ac:dyDescent="0.3">
      <c r="AF948" s="47">
        <f t="shared" si="14"/>
        <v>0</v>
      </c>
    </row>
    <row r="949" spans="32:32" x14ac:dyDescent="0.3">
      <c r="AF949" s="47">
        <f t="shared" si="14"/>
        <v>0</v>
      </c>
    </row>
    <row r="950" spans="32:32" x14ac:dyDescent="0.3">
      <c r="AF950" s="47">
        <f t="shared" si="14"/>
        <v>0</v>
      </c>
    </row>
    <row r="951" spans="32:32" x14ac:dyDescent="0.3">
      <c r="AF951" s="47">
        <f t="shared" si="14"/>
        <v>0</v>
      </c>
    </row>
    <row r="952" spans="32:32" x14ac:dyDescent="0.3">
      <c r="AF952" s="47">
        <f t="shared" si="14"/>
        <v>0</v>
      </c>
    </row>
    <row r="953" spans="32:32" x14ac:dyDescent="0.3">
      <c r="AF953" s="47">
        <f t="shared" si="14"/>
        <v>0</v>
      </c>
    </row>
    <row r="954" spans="32:32" x14ac:dyDescent="0.3">
      <c r="AF954" s="47">
        <f t="shared" si="14"/>
        <v>0</v>
      </c>
    </row>
    <row r="955" spans="32:32" x14ac:dyDescent="0.3">
      <c r="AF955" s="47">
        <f t="shared" si="14"/>
        <v>0</v>
      </c>
    </row>
    <row r="956" spans="32:32" x14ac:dyDescent="0.3">
      <c r="AF956" s="47">
        <f t="shared" si="14"/>
        <v>0</v>
      </c>
    </row>
    <row r="957" spans="32:32" x14ac:dyDescent="0.3">
      <c r="AF957" s="47">
        <f t="shared" si="14"/>
        <v>0</v>
      </c>
    </row>
    <row r="958" spans="32:32" x14ac:dyDescent="0.3">
      <c r="AF958" s="47">
        <f t="shared" si="14"/>
        <v>0</v>
      </c>
    </row>
    <row r="959" spans="32:32" x14ac:dyDescent="0.3">
      <c r="AF959" s="47">
        <f t="shared" si="14"/>
        <v>0</v>
      </c>
    </row>
    <row r="960" spans="32:32" x14ac:dyDescent="0.3">
      <c r="AF960" s="47">
        <f t="shared" si="14"/>
        <v>0</v>
      </c>
    </row>
    <row r="961" spans="32:32" x14ac:dyDescent="0.3">
      <c r="AF961" s="47">
        <f t="shared" si="14"/>
        <v>0</v>
      </c>
    </row>
    <row r="962" spans="32:32" x14ac:dyDescent="0.3">
      <c r="AF962" s="47">
        <f t="shared" si="14"/>
        <v>0</v>
      </c>
    </row>
    <row r="963" spans="32:32" x14ac:dyDescent="0.3">
      <c r="AF963" s="47">
        <f t="shared" ref="AF963:AF1026" si="15">IFERROR(AC963-Y963,"")</f>
        <v>0</v>
      </c>
    </row>
    <row r="964" spans="32:32" x14ac:dyDescent="0.3">
      <c r="AF964" s="47">
        <f t="shared" si="15"/>
        <v>0</v>
      </c>
    </row>
    <row r="965" spans="32:32" x14ac:dyDescent="0.3">
      <c r="AF965" s="47">
        <f t="shared" si="15"/>
        <v>0</v>
      </c>
    </row>
    <row r="966" spans="32:32" x14ac:dyDescent="0.3">
      <c r="AF966" s="47">
        <f t="shared" si="15"/>
        <v>0</v>
      </c>
    </row>
    <row r="967" spans="32:32" x14ac:dyDescent="0.3">
      <c r="AF967" s="47">
        <f t="shared" si="15"/>
        <v>0</v>
      </c>
    </row>
    <row r="968" spans="32:32" x14ac:dyDescent="0.3">
      <c r="AF968" s="47">
        <f t="shared" si="15"/>
        <v>0</v>
      </c>
    </row>
    <row r="969" spans="32:32" x14ac:dyDescent="0.3">
      <c r="AF969" s="47">
        <f t="shared" si="15"/>
        <v>0</v>
      </c>
    </row>
    <row r="970" spans="32:32" x14ac:dyDescent="0.3">
      <c r="AF970" s="47">
        <f t="shared" si="15"/>
        <v>0</v>
      </c>
    </row>
    <row r="971" spans="32:32" x14ac:dyDescent="0.3">
      <c r="AF971" s="47">
        <f t="shared" si="15"/>
        <v>0</v>
      </c>
    </row>
    <row r="972" spans="32:32" x14ac:dyDescent="0.3">
      <c r="AF972" s="47">
        <f t="shared" si="15"/>
        <v>0</v>
      </c>
    </row>
    <row r="973" spans="32:32" x14ac:dyDescent="0.3">
      <c r="AF973" s="47">
        <f t="shared" si="15"/>
        <v>0</v>
      </c>
    </row>
    <row r="974" spans="32:32" x14ac:dyDescent="0.3">
      <c r="AF974" s="47">
        <f t="shared" si="15"/>
        <v>0</v>
      </c>
    </row>
    <row r="975" spans="32:32" x14ac:dyDescent="0.3">
      <c r="AF975" s="47">
        <f t="shared" si="15"/>
        <v>0</v>
      </c>
    </row>
    <row r="976" spans="32:32" x14ac:dyDescent="0.3">
      <c r="AF976" s="47">
        <f t="shared" si="15"/>
        <v>0</v>
      </c>
    </row>
    <row r="977" spans="32:32" x14ac:dyDescent="0.3">
      <c r="AF977" s="47">
        <f t="shared" si="15"/>
        <v>0</v>
      </c>
    </row>
    <row r="978" spans="32:32" x14ac:dyDescent="0.3">
      <c r="AF978" s="47">
        <f t="shared" si="15"/>
        <v>0</v>
      </c>
    </row>
    <row r="979" spans="32:32" x14ac:dyDescent="0.3">
      <c r="AF979" s="47">
        <f t="shared" si="15"/>
        <v>0</v>
      </c>
    </row>
    <row r="980" spans="32:32" x14ac:dyDescent="0.3">
      <c r="AF980" s="47">
        <f t="shared" si="15"/>
        <v>0</v>
      </c>
    </row>
    <row r="981" spans="32:32" x14ac:dyDescent="0.3">
      <c r="AF981" s="47">
        <f t="shared" si="15"/>
        <v>0</v>
      </c>
    </row>
    <row r="982" spans="32:32" x14ac:dyDescent="0.3">
      <c r="AF982" s="47">
        <f t="shared" si="15"/>
        <v>0</v>
      </c>
    </row>
    <row r="983" spans="32:32" x14ac:dyDescent="0.3">
      <c r="AF983" s="47">
        <f t="shared" si="15"/>
        <v>0</v>
      </c>
    </row>
    <row r="984" spans="32:32" x14ac:dyDescent="0.3">
      <c r="AF984" s="47">
        <f t="shared" si="15"/>
        <v>0</v>
      </c>
    </row>
    <row r="985" spans="32:32" x14ac:dyDescent="0.3">
      <c r="AF985" s="47">
        <f t="shared" si="15"/>
        <v>0</v>
      </c>
    </row>
    <row r="986" spans="32:32" x14ac:dyDescent="0.3">
      <c r="AF986" s="47">
        <f t="shared" si="15"/>
        <v>0</v>
      </c>
    </row>
    <row r="987" spans="32:32" x14ac:dyDescent="0.3">
      <c r="AF987" s="47">
        <f t="shared" si="15"/>
        <v>0</v>
      </c>
    </row>
    <row r="988" spans="32:32" x14ac:dyDescent="0.3">
      <c r="AF988" s="47">
        <f t="shared" si="15"/>
        <v>0</v>
      </c>
    </row>
    <row r="989" spans="32:32" x14ac:dyDescent="0.3">
      <c r="AF989" s="47">
        <f t="shared" si="15"/>
        <v>0</v>
      </c>
    </row>
    <row r="990" spans="32:32" x14ac:dyDescent="0.3">
      <c r="AF990" s="47">
        <f t="shared" si="15"/>
        <v>0</v>
      </c>
    </row>
    <row r="991" spans="32:32" x14ac:dyDescent="0.3">
      <c r="AF991" s="47">
        <f t="shared" si="15"/>
        <v>0</v>
      </c>
    </row>
    <row r="992" spans="32:32" x14ac:dyDescent="0.3">
      <c r="AF992" s="47">
        <f t="shared" si="15"/>
        <v>0</v>
      </c>
    </row>
    <row r="993" spans="32:32" x14ac:dyDescent="0.3">
      <c r="AF993" s="47">
        <f t="shared" si="15"/>
        <v>0</v>
      </c>
    </row>
    <row r="994" spans="32:32" x14ac:dyDescent="0.3">
      <c r="AF994" s="47">
        <f t="shared" si="15"/>
        <v>0</v>
      </c>
    </row>
    <row r="995" spans="32:32" x14ac:dyDescent="0.3">
      <c r="AF995" s="47">
        <f t="shared" si="15"/>
        <v>0</v>
      </c>
    </row>
    <row r="996" spans="32:32" x14ac:dyDescent="0.3">
      <c r="AF996" s="47">
        <f t="shared" si="15"/>
        <v>0</v>
      </c>
    </row>
    <row r="997" spans="32:32" x14ac:dyDescent="0.3">
      <c r="AF997" s="47">
        <f t="shared" si="15"/>
        <v>0</v>
      </c>
    </row>
    <row r="998" spans="32:32" x14ac:dyDescent="0.3">
      <c r="AF998" s="47">
        <f t="shared" si="15"/>
        <v>0</v>
      </c>
    </row>
    <row r="999" spans="32:32" x14ac:dyDescent="0.3">
      <c r="AF999" s="47">
        <f t="shared" si="15"/>
        <v>0</v>
      </c>
    </row>
    <row r="1000" spans="32:32" x14ac:dyDescent="0.3">
      <c r="AF1000" s="47">
        <f t="shared" si="15"/>
        <v>0</v>
      </c>
    </row>
    <row r="1001" spans="32:32" x14ac:dyDescent="0.3">
      <c r="AF1001" s="47">
        <f t="shared" si="15"/>
        <v>0</v>
      </c>
    </row>
    <row r="1002" spans="32:32" x14ac:dyDescent="0.3">
      <c r="AF1002" s="47">
        <f t="shared" si="15"/>
        <v>0</v>
      </c>
    </row>
    <row r="1003" spans="32:32" x14ac:dyDescent="0.3">
      <c r="AF1003" s="47">
        <f t="shared" si="15"/>
        <v>0</v>
      </c>
    </row>
    <row r="1004" spans="32:32" x14ac:dyDescent="0.3">
      <c r="AF1004" s="47">
        <f t="shared" si="15"/>
        <v>0</v>
      </c>
    </row>
    <row r="1005" spans="32:32" x14ac:dyDescent="0.3">
      <c r="AF1005" s="47">
        <f t="shared" si="15"/>
        <v>0</v>
      </c>
    </row>
    <row r="1006" spans="32:32" x14ac:dyDescent="0.3">
      <c r="AF1006" s="47">
        <f t="shared" si="15"/>
        <v>0</v>
      </c>
    </row>
    <row r="1007" spans="32:32" x14ac:dyDescent="0.3">
      <c r="AF1007" s="47">
        <f t="shared" si="15"/>
        <v>0</v>
      </c>
    </row>
    <row r="1008" spans="32:32" x14ac:dyDescent="0.3">
      <c r="AF1008" s="47">
        <f t="shared" si="15"/>
        <v>0</v>
      </c>
    </row>
    <row r="1009" spans="32:32" x14ac:dyDescent="0.3">
      <c r="AF1009" s="47">
        <f t="shared" si="15"/>
        <v>0</v>
      </c>
    </row>
    <row r="1010" spans="32:32" x14ac:dyDescent="0.3">
      <c r="AF1010" s="47">
        <f t="shared" si="15"/>
        <v>0</v>
      </c>
    </row>
    <row r="1011" spans="32:32" x14ac:dyDescent="0.3">
      <c r="AF1011" s="47">
        <f t="shared" si="15"/>
        <v>0</v>
      </c>
    </row>
    <row r="1012" spans="32:32" x14ac:dyDescent="0.3">
      <c r="AF1012" s="47">
        <f t="shared" si="15"/>
        <v>0</v>
      </c>
    </row>
    <row r="1013" spans="32:32" x14ac:dyDescent="0.3">
      <c r="AF1013" s="47">
        <f t="shared" si="15"/>
        <v>0</v>
      </c>
    </row>
    <row r="1014" spans="32:32" x14ac:dyDescent="0.3">
      <c r="AF1014" s="47">
        <f t="shared" si="15"/>
        <v>0</v>
      </c>
    </row>
    <row r="1015" spans="32:32" x14ac:dyDescent="0.3">
      <c r="AF1015" s="47">
        <f t="shared" si="15"/>
        <v>0</v>
      </c>
    </row>
    <row r="1016" spans="32:32" x14ac:dyDescent="0.3">
      <c r="AF1016" s="47">
        <f t="shared" si="15"/>
        <v>0</v>
      </c>
    </row>
    <row r="1017" spans="32:32" x14ac:dyDescent="0.3">
      <c r="AF1017" s="47">
        <f t="shared" si="15"/>
        <v>0</v>
      </c>
    </row>
    <row r="1018" spans="32:32" x14ac:dyDescent="0.3">
      <c r="AF1018" s="47">
        <f t="shared" si="15"/>
        <v>0</v>
      </c>
    </row>
    <row r="1019" spans="32:32" x14ac:dyDescent="0.3">
      <c r="AF1019" s="47">
        <f t="shared" si="15"/>
        <v>0</v>
      </c>
    </row>
    <row r="1020" spans="32:32" x14ac:dyDescent="0.3">
      <c r="AF1020" s="47">
        <f t="shared" si="15"/>
        <v>0</v>
      </c>
    </row>
    <row r="1021" spans="32:32" x14ac:dyDescent="0.3">
      <c r="AF1021" s="47">
        <f t="shared" si="15"/>
        <v>0</v>
      </c>
    </row>
    <row r="1022" spans="32:32" x14ac:dyDescent="0.3">
      <c r="AF1022" s="47">
        <f t="shared" si="15"/>
        <v>0</v>
      </c>
    </row>
    <row r="1023" spans="32:32" x14ac:dyDescent="0.3">
      <c r="AF1023" s="47">
        <f t="shared" si="15"/>
        <v>0</v>
      </c>
    </row>
    <row r="1024" spans="32:32" x14ac:dyDescent="0.3">
      <c r="AF1024" s="47">
        <f t="shared" si="15"/>
        <v>0</v>
      </c>
    </row>
    <row r="1025" spans="32:32" x14ac:dyDescent="0.3">
      <c r="AF1025" s="47">
        <f t="shared" si="15"/>
        <v>0</v>
      </c>
    </row>
    <row r="1026" spans="32:32" x14ac:dyDescent="0.3">
      <c r="AF1026" s="47">
        <f t="shared" si="15"/>
        <v>0</v>
      </c>
    </row>
    <row r="1027" spans="32:32" x14ac:dyDescent="0.3">
      <c r="AF1027" s="47">
        <f t="shared" ref="AF1027:AF1090" si="16">IFERROR(AC1027-Y1027,"")</f>
        <v>0</v>
      </c>
    </row>
    <row r="1028" spans="32:32" x14ac:dyDescent="0.3">
      <c r="AF1028" s="47">
        <f t="shared" si="16"/>
        <v>0</v>
      </c>
    </row>
    <row r="1029" spans="32:32" x14ac:dyDescent="0.3">
      <c r="AF1029" s="47">
        <f t="shared" si="16"/>
        <v>0</v>
      </c>
    </row>
    <row r="1030" spans="32:32" x14ac:dyDescent="0.3">
      <c r="AF1030" s="47">
        <f t="shared" si="16"/>
        <v>0</v>
      </c>
    </row>
    <row r="1031" spans="32:32" x14ac:dyDescent="0.3">
      <c r="AF1031" s="47">
        <f t="shared" si="16"/>
        <v>0</v>
      </c>
    </row>
    <row r="1032" spans="32:32" x14ac:dyDescent="0.3">
      <c r="AF1032" s="47">
        <f t="shared" si="16"/>
        <v>0</v>
      </c>
    </row>
    <row r="1033" spans="32:32" x14ac:dyDescent="0.3">
      <c r="AF1033" s="47">
        <f t="shared" si="16"/>
        <v>0</v>
      </c>
    </row>
    <row r="1034" spans="32:32" x14ac:dyDescent="0.3">
      <c r="AF1034" s="47">
        <f t="shared" si="16"/>
        <v>0</v>
      </c>
    </row>
    <row r="1035" spans="32:32" x14ac:dyDescent="0.3">
      <c r="AF1035" s="47">
        <f t="shared" si="16"/>
        <v>0</v>
      </c>
    </row>
    <row r="1036" spans="32:32" x14ac:dyDescent="0.3">
      <c r="AF1036" s="47">
        <f t="shared" si="16"/>
        <v>0</v>
      </c>
    </row>
    <row r="1037" spans="32:32" x14ac:dyDescent="0.3">
      <c r="AF1037" s="47">
        <f t="shared" si="16"/>
        <v>0</v>
      </c>
    </row>
    <row r="1038" spans="32:32" x14ac:dyDescent="0.3">
      <c r="AF1038" s="47">
        <f t="shared" si="16"/>
        <v>0</v>
      </c>
    </row>
    <row r="1039" spans="32:32" x14ac:dyDescent="0.3">
      <c r="AF1039" s="47">
        <f t="shared" si="16"/>
        <v>0</v>
      </c>
    </row>
    <row r="1040" spans="32:32" x14ac:dyDescent="0.3">
      <c r="AF1040" s="47">
        <f t="shared" si="16"/>
        <v>0</v>
      </c>
    </row>
    <row r="1041" spans="32:32" x14ac:dyDescent="0.3">
      <c r="AF1041" s="47">
        <f t="shared" si="16"/>
        <v>0</v>
      </c>
    </row>
    <row r="1042" spans="32:32" x14ac:dyDescent="0.3">
      <c r="AF1042" s="47">
        <f t="shared" si="16"/>
        <v>0</v>
      </c>
    </row>
    <row r="1043" spans="32:32" x14ac:dyDescent="0.3">
      <c r="AF1043" s="47">
        <f t="shared" si="16"/>
        <v>0</v>
      </c>
    </row>
    <row r="1044" spans="32:32" x14ac:dyDescent="0.3">
      <c r="AF1044" s="47">
        <f t="shared" si="16"/>
        <v>0</v>
      </c>
    </row>
    <row r="1045" spans="32:32" x14ac:dyDescent="0.3">
      <c r="AF1045" s="47">
        <f t="shared" si="16"/>
        <v>0</v>
      </c>
    </row>
    <row r="1046" spans="32:32" x14ac:dyDescent="0.3">
      <c r="AF1046" s="47">
        <f t="shared" si="16"/>
        <v>0</v>
      </c>
    </row>
    <row r="1047" spans="32:32" x14ac:dyDescent="0.3">
      <c r="AF1047" s="47">
        <f t="shared" si="16"/>
        <v>0</v>
      </c>
    </row>
    <row r="1048" spans="32:32" x14ac:dyDescent="0.3">
      <c r="AF1048" s="47">
        <f t="shared" si="16"/>
        <v>0</v>
      </c>
    </row>
    <row r="1049" spans="32:32" x14ac:dyDescent="0.3">
      <c r="AF1049" s="47">
        <f t="shared" si="16"/>
        <v>0</v>
      </c>
    </row>
    <row r="1050" spans="32:32" x14ac:dyDescent="0.3">
      <c r="AF1050" s="47">
        <f t="shared" si="16"/>
        <v>0</v>
      </c>
    </row>
    <row r="1051" spans="32:32" x14ac:dyDescent="0.3">
      <c r="AF1051" s="47">
        <f t="shared" si="16"/>
        <v>0</v>
      </c>
    </row>
    <row r="1052" spans="32:32" x14ac:dyDescent="0.3">
      <c r="AF1052" s="47">
        <f t="shared" si="16"/>
        <v>0</v>
      </c>
    </row>
    <row r="1053" spans="32:32" x14ac:dyDescent="0.3">
      <c r="AF1053" s="47">
        <f t="shared" si="16"/>
        <v>0</v>
      </c>
    </row>
    <row r="1054" spans="32:32" x14ac:dyDescent="0.3">
      <c r="AF1054" s="47">
        <f t="shared" si="16"/>
        <v>0</v>
      </c>
    </row>
    <row r="1055" spans="32:32" x14ac:dyDescent="0.3">
      <c r="AF1055" s="47">
        <f t="shared" si="16"/>
        <v>0</v>
      </c>
    </row>
    <row r="1056" spans="32:32" x14ac:dyDescent="0.3">
      <c r="AF1056" s="47">
        <f t="shared" si="16"/>
        <v>0</v>
      </c>
    </row>
    <row r="1057" spans="32:32" x14ac:dyDescent="0.3">
      <c r="AF1057" s="47">
        <f t="shared" si="16"/>
        <v>0</v>
      </c>
    </row>
    <row r="1058" spans="32:32" x14ac:dyDescent="0.3">
      <c r="AF1058" s="47">
        <f t="shared" si="16"/>
        <v>0</v>
      </c>
    </row>
    <row r="1059" spans="32:32" x14ac:dyDescent="0.3">
      <c r="AF1059" s="47">
        <f t="shared" si="16"/>
        <v>0</v>
      </c>
    </row>
    <row r="1060" spans="32:32" x14ac:dyDescent="0.3">
      <c r="AF1060" s="47">
        <f t="shared" si="16"/>
        <v>0</v>
      </c>
    </row>
    <row r="1061" spans="32:32" x14ac:dyDescent="0.3">
      <c r="AF1061" s="47">
        <f t="shared" si="16"/>
        <v>0</v>
      </c>
    </row>
    <row r="1062" spans="32:32" x14ac:dyDescent="0.3">
      <c r="AF1062" s="47">
        <f t="shared" si="16"/>
        <v>0</v>
      </c>
    </row>
    <row r="1063" spans="32:32" x14ac:dyDescent="0.3">
      <c r="AF1063" s="47">
        <f t="shared" si="16"/>
        <v>0</v>
      </c>
    </row>
    <row r="1064" spans="32:32" x14ac:dyDescent="0.3">
      <c r="AF1064" s="47">
        <f t="shared" si="16"/>
        <v>0</v>
      </c>
    </row>
    <row r="1065" spans="32:32" x14ac:dyDescent="0.3">
      <c r="AF1065" s="47">
        <f t="shared" si="16"/>
        <v>0</v>
      </c>
    </row>
    <row r="1066" spans="32:32" x14ac:dyDescent="0.3">
      <c r="AF1066" s="47">
        <f t="shared" si="16"/>
        <v>0</v>
      </c>
    </row>
    <row r="1067" spans="32:32" x14ac:dyDescent="0.3">
      <c r="AF1067" s="47">
        <f t="shared" si="16"/>
        <v>0</v>
      </c>
    </row>
    <row r="1068" spans="32:32" x14ac:dyDescent="0.3">
      <c r="AF1068" s="47">
        <f t="shared" si="16"/>
        <v>0</v>
      </c>
    </row>
    <row r="1069" spans="32:32" x14ac:dyDescent="0.3">
      <c r="AF1069" s="47">
        <f t="shared" si="16"/>
        <v>0</v>
      </c>
    </row>
    <row r="1070" spans="32:32" x14ac:dyDescent="0.3">
      <c r="AF1070" s="47">
        <f t="shared" si="16"/>
        <v>0</v>
      </c>
    </row>
    <row r="1071" spans="32:32" x14ac:dyDescent="0.3">
      <c r="AF1071" s="47">
        <f t="shared" si="16"/>
        <v>0</v>
      </c>
    </row>
    <row r="1072" spans="32:32" x14ac:dyDescent="0.3">
      <c r="AF1072" s="47">
        <f t="shared" si="16"/>
        <v>0</v>
      </c>
    </row>
    <row r="1073" spans="32:32" x14ac:dyDescent="0.3">
      <c r="AF1073" s="47">
        <f t="shared" si="16"/>
        <v>0</v>
      </c>
    </row>
    <row r="1074" spans="32:32" x14ac:dyDescent="0.3">
      <c r="AF1074" s="47">
        <f t="shared" si="16"/>
        <v>0</v>
      </c>
    </row>
    <row r="1075" spans="32:32" x14ac:dyDescent="0.3">
      <c r="AF1075" s="47">
        <f t="shared" si="16"/>
        <v>0</v>
      </c>
    </row>
    <row r="1076" spans="32:32" x14ac:dyDescent="0.3">
      <c r="AF1076" s="47">
        <f t="shared" si="16"/>
        <v>0</v>
      </c>
    </row>
    <row r="1077" spans="32:32" x14ac:dyDescent="0.3">
      <c r="AF1077" s="47">
        <f t="shared" si="16"/>
        <v>0</v>
      </c>
    </row>
    <row r="1078" spans="32:32" x14ac:dyDescent="0.3">
      <c r="AF1078" s="47">
        <f t="shared" si="16"/>
        <v>0</v>
      </c>
    </row>
    <row r="1079" spans="32:32" x14ac:dyDescent="0.3">
      <c r="AF1079" s="47">
        <f t="shared" si="16"/>
        <v>0</v>
      </c>
    </row>
    <row r="1080" spans="32:32" x14ac:dyDescent="0.3">
      <c r="AF1080" s="47">
        <f t="shared" si="16"/>
        <v>0</v>
      </c>
    </row>
    <row r="1081" spans="32:32" x14ac:dyDescent="0.3">
      <c r="AF1081" s="47">
        <f t="shared" si="16"/>
        <v>0</v>
      </c>
    </row>
    <row r="1082" spans="32:32" x14ac:dyDescent="0.3">
      <c r="AF1082" s="47">
        <f t="shared" si="16"/>
        <v>0</v>
      </c>
    </row>
    <row r="1083" spans="32:32" x14ac:dyDescent="0.3">
      <c r="AF1083" s="47">
        <f t="shared" si="16"/>
        <v>0</v>
      </c>
    </row>
    <row r="1084" spans="32:32" x14ac:dyDescent="0.3">
      <c r="AF1084" s="47">
        <f t="shared" si="16"/>
        <v>0</v>
      </c>
    </row>
    <row r="1085" spans="32:32" x14ac:dyDescent="0.3">
      <c r="AF1085" s="47">
        <f t="shared" si="16"/>
        <v>0</v>
      </c>
    </row>
    <row r="1086" spans="32:32" x14ac:dyDescent="0.3">
      <c r="AF1086" s="47">
        <f t="shared" si="16"/>
        <v>0</v>
      </c>
    </row>
    <row r="1087" spans="32:32" x14ac:dyDescent="0.3">
      <c r="AF1087" s="47">
        <f t="shared" si="16"/>
        <v>0</v>
      </c>
    </row>
    <row r="1088" spans="32:32" x14ac:dyDescent="0.3">
      <c r="AF1088" s="47">
        <f t="shared" si="16"/>
        <v>0</v>
      </c>
    </row>
    <row r="1089" spans="32:32" x14ac:dyDescent="0.3">
      <c r="AF1089" s="47">
        <f t="shared" si="16"/>
        <v>0</v>
      </c>
    </row>
    <row r="1090" spans="32:32" x14ac:dyDescent="0.3">
      <c r="AF1090" s="47">
        <f t="shared" si="16"/>
        <v>0</v>
      </c>
    </row>
    <row r="1091" spans="32:32" x14ac:dyDescent="0.3">
      <c r="AF1091" s="47">
        <f t="shared" ref="AF1091:AF1154" si="17">IFERROR(AC1091-Y1091,"")</f>
        <v>0</v>
      </c>
    </row>
    <row r="1092" spans="32:32" x14ac:dyDescent="0.3">
      <c r="AF1092" s="47">
        <f t="shared" si="17"/>
        <v>0</v>
      </c>
    </row>
    <row r="1093" spans="32:32" x14ac:dyDescent="0.3">
      <c r="AF1093" s="47">
        <f t="shared" si="17"/>
        <v>0</v>
      </c>
    </row>
    <row r="1094" spans="32:32" x14ac:dyDescent="0.3">
      <c r="AF1094" s="47">
        <f t="shared" si="17"/>
        <v>0</v>
      </c>
    </row>
    <row r="1095" spans="32:32" x14ac:dyDescent="0.3">
      <c r="AF1095" s="47">
        <f t="shared" si="17"/>
        <v>0</v>
      </c>
    </row>
    <row r="1096" spans="32:32" x14ac:dyDescent="0.3">
      <c r="AF1096" s="47">
        <f t="shared" si="17"/>
        <v>0</v>
      </c>
    </row>
    <row r="1097" spans="32:32" x14ac:dyDescent="0.3">
      <c r="AF1097" s="47">
        <f t="shared" si="17"/>
        <v>0</v>
      </c>
    </row>
    <row r="1098" spans="32:32" x14ac:dyDescent="0.3">
      <c r="AF1098" s="47">
        <f t="shared" si="17"/>
        <v>0</v>
      </c>
    </row>
    <row r="1099" spans="32:32" x14ac:dyDescent="0.3">
      <c r="AF1099" s="47">
        <f t="shared" si="17"/>
        <v>0</v>
      </c>
    </row>
    <row r="1100" spans="32:32" x14ac:dyDescent="0.3">
      <c r="AF1100" s="47">
        <f t="shared" si="17"/>
        <v>0</v>
      </c>
    </row>
    <row r="1101" spans="32:32" x14ac:dyDescent="0.3">
      <c r="AF1101" s="47">
        <f t="shared" si="17"/>
        <v>0</v>
      </c>
    </row>
    <row r="1102" spans="32:32" x14ac:dyDescent="0.3">
      <c r="AF1102" s="47">
        <f t="shared" si="17"/>
        <v>0</v>
      </c>
    </row>
    <row r="1103" spans="32:32" x14ac:dyDescent="0.3">
      <c r="AF1103" s="47">
        <f t="shared" si="17"/>
        <v>0</v>
      </c>
    </row>
    <row r="1104" spans="32:32" x14ac:dyDescent="0.3">
      <c r="AF1104" s="47">
        <f t="shared" si="17"/>
        <v>0</v>
      </c>
    </row>
    <row r="1105" spans="32:32" x14ac:dyDescent="0.3">
      <c r="AF1105" s="47">
        <f t="shared" si="17"/>
        <v>0</v>
      </c>
    </row>
    <row r="1106" spans="32:32" x14ac:dyDescent="0.3">
      <c r="AF1106" s="47">
        <f t="shared" si="17"/>
        <v>0</v>
      </c>
    </row>
    <row r="1107" spans="32:32" x14ac:dyDescent="0.3">
      <c r="AF1107" s="47">
        <f t="shared" si="17"/>
        <v>0</v>
      </c>
    </row>
    <row r="1108" spans="32:32" x14ac:dyDescent="0.3">
      <c r="AF1108" s="47">
        <f t="shared" si="17"/>
        <v>0</v>
      </c>
    </row>
    <row r="1109" spans="32:32" x14ac:dyDescent="0.3">
      <c r="AF1109" s="47">
        <f t="shared" si="17"/>
        <v>0</v>
      </c>
    </row>
    <row r="1110" spans="32:32" x14ac:dyDescent="0.3">
      <c r="AF1110" s="47">
        <f t="shared" si="17"/>
        <v>0</v>
      </c>
    </row>
    <row r="1111" spans="32:32" x14ac:dyDescent="0.3">
      <c r="AF1111" s="47">
        <f t="shared" si="17"/>
        <v>0</v>
      </c>
    </row>
    <row r="1112" spans="32:32" x14ac:dyDescent="0.3">
      <c r="AF1112" s="47">
        <f t="shared" si="17"/>
        <v>0</v>
      </c>
    </row>
    <row r="1113" spans="32:32" x14ac:dyDescent="0.3">
      <c r="AF1113" s="47">
        <f t="shared" si="17"/>
        <v>0</v>
      </c>
    </row>
    <row r="1114" spans="32:32" x14ac:dyDescent="0.3">
      <c r="AF1114" s="47">
        <f t="shared" si="17"/>
        <v>0</v>
      </c>
    </row>
    <row r="1115" spans="32:32" x14ac:dyDescent="0.3">
      <c r="AF1115" s="47">
        <f t="shared" si="17"/>
        <v>0</v>
      </c>
    </row>
    <row r="1116" spans="32:32" x14ac:dyDescent="0.3">
      <c r="AF1116" s="47">
        <f t="shared" si="17"/>
        <v>0</v>
      </c>
    </row>
    <row r="1117" spans="32:32" x14ac:dyDescent="0.3">
      <c r="AF1117" s="47">
        <f t="shared" si="17"/>
        <v>0</v>
      </c>
    </row>
    <row r="1118" spans="32:32" x14ac:dyDescent="0.3">
      <c r="AF1118" s="47">
        <f t="shared" si="17"/>
        <v>0</v>
      </c>
    </row>
    <row r="1119" spans="32:32" x14ac:dyDescent="0.3">
      <c r="AF1119" s="47">
        <f t="shared" si="17"/>
        <v>0</v>
      </c>
    </row>
    <row r="1120" spans="32:32" x14ac:dyDescent="0.3">
      <c r="AF1120" s="47">
        <f t="shared" si="17"/>
        <v>0</v>
      </c>
    </row>
    <row r="1121" spans="32:32" x14ac:dyDescent="0.3">
      <c r="AF1121" s="47">
        <f t="shared" si="17"/>
        <v>0</v>
      </c>
    </row>
    <row r="1122" spans="32:32" x14ac:dyDescent="0.3">
      <c r="AF1122" s="47">
        <f t="shared" si="17"/>
        <v>0</v>
      </c>
    </row>
    <row r="1123" spans="32:32" x14ac:dyDescent="0.3">
      <c r="AF1123" s="47">
        <f t="shared" si="17"/>
        <v>0</v>
      </c>
    </row>
    <row r="1124" spans="32:32" x14ac:dyDescent="0.3">
      <c r="AF1124" s="47">
        <f t="shared" si="17"/>
        <v>0</v>
      </c>
    </row>
    <row r="1125" spans="32:32" x14ac:dyDescent="0.3">
      <c r="AF1125" s="47">
        <f t="shared" si="17"/>
        <v>0</v>
      </c>
    </row>
    <row r="1126" spans="32:32" x14ac:dyDescent="0.3">
      <c r="AF1126" s="47">
        <f t="shared" si="17"/>
        <v>0</v>
      </c>
    </row>
    <row r="1127" spans="32:32" x14ac:dyDescent="0.3">
      <c r="AF1127" s="47">
        <f t="shared" si="17"/>
        <v>0</v>
      </c>
    </row>
    <row r="1128" spans="32:32" x14ac:dyDescent="0.3">
      <c r="AF1128" s="47">
        <f t="shared" si="17"/>
        <v>0</v>
      </c>
    </row>
    <row r="1129" spans="32:32" x14ac:dyDescent="0.3">
      <c r="AF1129" s="47">
        <f t="shared" si="17"/>
        <v>0</v>
      </c>
    </row>
    <row r="1130" spans="32:32" x14ac:dyDescent="0.3">
      <c r="AF1130" s="47">
        <f t="shared" si="17"/>
        <v>0</v>
      </c>
    </row>
    <row r="1131" spans="32:32" x14ac:dyDescent="0.3">
      <c r="AF1131" s="47">
        <f t="shared" si="17"/>
        <v>0</v>
      </c>
    </row>
    <row r="1132" spans="32:32" x14ac:dyDescent="0.3">
      <c r="AF1132" s="47">
        <f t="shared" si="17"/>
        <v>0</v>
      </c>
    </row>
    <row r="1133" spans="32:32" x14ac:dyDescent="0.3">
      <c r="AF1133" s="47">
        <f t="shared" si="17"/>
        <v>0</v>
      </c>
    </row>
    <row r="1134" spans="32:32" x14ac:dyDescent="0.3">
      <c r="AF1134" s="47">
        <f t="shared" si="17"/>
        <v>0</v>
      </c>
    </row>
    <row r="1135" spans="32:32" x14ac:dyDescent="0.3">
      <c r="AF1135" s="47">
        <f t="shared" si="17"/>
        <v>0</v>
      </c>
    </row>
    <row r="1136" spans="32:32" x14ac:dyDescent="0.3">
      <c r="AF1136" s="47">
        <f t="shared" si="17"/>
        <v>0</v>
      </c>
    </row>
    <row r="1137" spans="32:32" x14ac:dyDescent="0.3">
      <c r="AF1137" s="47">
        <f t="shared" si="17"/>
        <v>0</v>
      </c>
    </row>
    <row r="1138" spans="32:32" x14ac:dyDescent="0.3">
      <c r="AF1138" s="47">
        <f t="shared" si="17"/>
        <v>0</v>
      </c>
    </row>
    <row r="1139" spans="32:32" x14ac:dyDescent="0.3">
      <c r="AF1139" s="47">
        <f t="shared" si="17"/>
        <v>0</v>
      </c>
    </row>
    <row r="1140" spans="32:32" x14ac:dyDescent="0.3">
      <c r="AF1140" s="47">
        <f t="shared" si="17"/>
        <v>0</v>
      </c>
    </row>
    <row r="1141" spans="32:32" x14ac:dyDescent="0.3">
      <c r="AF1141" s="47">
        <f t="shared" si="17"/>
        <v>0</v>
      </c>
    </row>
    <row r="1142" spans="32:32" x14ac:dyDescent="0.3">
      <c r="AF1142" s="47">
        <f t="shared" si="17"/>
        <v>0</v>
      </c>
    </row>
    <row r="1143" spans="32:32" x14ac:dyDescent="0.3">
      <c r="AF1143" s="47">
        <f t="shared" si="17"/>
        <v>0</v>
      </c>
    </row>
    <row r="1144" spans="32:32" x14ac:dyDescent="0.3">
      <c r="AF1144" s="47">
        <f t="shared" si="17"/>
        <v>0</v>
      </c>
    </row>
    <row r="1145" spans="32:32" x14ac:dyDescent="0.3">
      <c r="AF1145" s="47">
        <f t="shared" si="17"/>
        <v>0</v>
      </c>
    </row>
    <row r="1146" spans="32:32" x14ac:dyDescent="0.3">
      <c r="AF1146" s="47">
        <f t="shared" si="17"/>
        <v>0</v>
      </c>
    </row>
    <row r="1147" spans="32:32" x14ac:dyDescent="0.3">
      <c r="AF1147" s="47">
        <f t="shared" si="17"/>
        <v>0</v>
      </c>
    </row>
    <row r="1148" spans="32:32" x14ac:dyDescent="0.3">
      <c r="AF1148" s="47">
        <f t="shared" si="17"/>
        <v>0</v>
      </c>
    </row>
    <row r="1149" spans="32:32" x14ac:dyDescent="0.3">
      <c r="AF1149" s="47">
        <f t="shared" si="17"/>
        <v>0</v>
      </c>
    </row>
    <row r="1150" spans="32:32" x14ac:dyDescent="0.3">
      <c r="AF1150" s="47">
        <f t="shared" si="17"/>
        <v>0</v>
      </c>
    </row>
    <row r="1151" spans="32:32" x14ac:dyDescent="0.3">
      <c r="AF1151" s="47">
        <f t="shared" si="17"/>
        <v>0</v>
      </c>
    </row>
    <row r="1152" spans="32:32" x14ac:dyDescent="0.3">
      <c r="AF1152" s="47">
        <f t="shared" si="17"/>
        <v>0</v>
      </c>
    </row>
    <row r="1153" spans="32:32" x14ac:dyDescent="0.3">
      <c r="AF1153" s="47">
        <f t="shared" si="17"/>
        <v>0</v>
      </c>
    </row>
    <row r="1154" spans="32:32" x14ac:dyDescent="0.3">
      <c r="AF1154" s="47">
        <f t="shared" si="17"/>
        <v>0</v>
      </c>
    </row>
    <row r="1155" spans="32:32" x14ac:dyDescent="0.3">
      <c r="AF1155" s="47">
        <f t="shared" ref="AF1155:AF1218" si="18">IFERROR(AC1155-Y1155,"")</f>
        <v>0</v>
      </c>
    </row>
    <row r="1156" spans="32:32" x14ac:dyDescent="0.3">
      <c r="AF1156" s="47">
        <f t="shared" si="18"/>
        <v>0</v>
      </c>
    </row>
    <row r="1157" spans="32:32" x14ac:dyDescent="0.3">
      <c r="AF1157" s="47">
        <f t="shared" si="18"/>
        <v>0</v>
      </c>
    </row>
    <row r="1158" spans="32:32" x14ac:dyDescent="0.3">
      <c r="AF1158" s="47">
        <f t="shared" si="18"/>
        <v>0</v>
      </c>
    </row>
    <row r="1159" spans="32:32" x14ac:dyDescent="0.3">
      <c r="AF1159" s="47">
        <f t="shared" si="18"/>
        <v>0</v>
      </c>
    </row>
    <row r="1160" spans="32:32" x14ac:dyDescent="0.3">
      <c r="AF1160" s="47">
        <f t="shared" si="18"/>
        <v>0</v>
      </c>
    </row>
    <row r="1161" spans="32:32" x14ac:dyDescent="0.3">
      <c r="AF1161" s="47">
        <f t="shared" si="18"/>
        <v>0</v>
      </c>
    </row>
    <row r="1162" spans="32:32" x14ac:dyDescent="0.3">
      <c r="AF1162" s="47">
        <f t="shared" si="18"/>
        <v>0</v>
      </c>
    </row>
    <row r="1163" spans="32:32" x14ac:dyDescent="0.3">
      <c r="AF1163" s="47">
        <f t="shared" si="18"/>
        <v>0</v>
      </c>
    </row>
    <row r="1164" spans="32:32" x14ac:dyDescent="0.3">
      <c r="AF1164" s="47">
        <f t="shared" si="18"/>
        <v>0</v>
      </c>
    </row>
    <row r="1165" spans="32:32" x14ac:dyDescent="0.3">
      <c r="AF1165" s="47">
        <f t="shared" si="18"/>
        <v>0</v>
      </c>
    </row>
    <row r="1166" spans="32:32" x14ac:dyDescent="0.3">
      <c r="AF1166" s="47">
        <f t="shared" si="18"/>
        <v>0</v>
      </c>
    </row>
    <row r="1167" spans="32:32" x14ac:dyDescent="0.3">
      <c r="AF1167" s="47">
        <f t="shared" si="18"/>
        <v>0</v>
      </c>
    </row>
    <row r="1168" spans="32:32" x14ac:dyDescent="0.3">
      <c r="AF1168" s="47">
        <f t="shared" si="18"/>
        <v>0</v>
      </c>
    </row>
    <row r="1169" spans="32:32" x14ac:dyDescent="0.3">
      <c r="AF1169" s="47">
        <f t="shared" si="18"/>
        <v>0</v>
      </c>
    </row>
    <row r="1170" spans="32:32" x14ac:dyDescent="0.3">
      <c r="AF1170" s="47">
        <f t="shared" si="18"/>
        <v>0</v>
      </c>
    </row>
    <row r="1171" spans="32:32" x14ac:dyDescent="0.3">
      <c r="AF1171" s="47">
        <f t="shared" si="18"/>
        <v>0</v>
      </c>
    </row>
    <row r="1172" spans="32:32" x14ac:dyDescent="0.3">
      <c r="AF1172" s="47">
        <f t="shared" si="18"/>
        <v>0</v>
      </c>
    </row>
    <row r="1173" spans="32:32" x14ac:dyDescent="0.3">
      <c r="AF1173" s="47">
        <f t="shared" si="18"/>
        <v>0</v>
      </c>
    </row>
    <row r="1174" spans="32:32" x14ac:dyDescent="0.3">
      <c r="AF1174" s="47">
        <f t="shared" si="18"/>
        <v>0</v>
      </c>
    </row>
    <row r="1175" spans="32:32" x14ac:dyDescent="0.3">
      <c r="AF1175" s="47">
        <f t="shared" si="18"/>
        <v>0</v>
      </c>
    </row>
    <row r="1176" spans="32:32" x14ac:dyDescent="0.3">
      <c r="AF1176" s="47">
        <f t="shared" si="18"/>
        <v>0</v>
      </c>
    </row>
    <row r="1177" spans="32:32" x14ac:dyDescent="0.3">
      <c r="AF1177" s="47">
        <f t="shared" si="18"/>
        <v>0</v>
      </c>
    </row>
    <row r="1178" spans="32:32" x14ac:dyDescent="0.3">
      <c r="AF1178" s="47">
        <f t="shared" si="18"/>
        <v>0</v>
      </c>
    </row>
    <row r="1179" spans="32:32" x14ac:dyDescent="0.3">
      <c r="AF1179" s="47">
        <f t="shared" si="18"/>
        <v>0</v>
      </c>
    </row>
    <row r="1180" spans="32:32" x14ac:dyDescent="0.3">
      <c r="AF1180" s="47">
        <f t="shared" si="18"/>
        <v>0</v>
      </c>
    </row>
    <row r="1181" spans="32:32" x14ac:dyDescent="0.3">
      <c r="AF1181" s="47">
        <f t="shared" si="18"/>
        <v>0</v>
      </c>
    </row>
    <row r="1182" spans="32:32" x14ac:dyDescent="0.3">
      <c r="AF1182" s="47">
        <f t="shared" si="18"/>
        <v>0</v>
      </c>
    </row>
    <row r="1183" spans="32:32" x14ac:dyDescent="0.3">
      <c r="AF1183" s="47">
        <f t="shared" si="18"/>
        <v>0</v>
      </c>
    </row>
    <row r="1184" spans="32:32" x14ac:dyDescent="0.3">
      <c r="AF1184" s="47">
        <f t="shared" si="18"/>
        <v>0</v>
      </c>
    </row>
    <row r="1185" spans="32:32" x14ac:dyDescent="0.3">
      <c r="AF1185" s="47">
        <f t="shared" si="18"/>
        <v>0</v>
      </c>
    </row>
    <row r="1186" spans="32:32" x14ac:dyDescent="0.3">
      <c r="AF1186" s="47">
        <f t="shared" si="18"/>
        <v>0</v>
      </c>
    </row>
    <row r="1187" spans="32:32" x14ac:dyDescent="0.3">
      <c r="AF1187" s="47">
        <f t="shared" si="18"/>
        <v>0</v>
      </c>
    </row>
    <row r="1188" spans="32:32" x14ac:dyDescent="0.3">
      <c r="AF1188" s="47">
        <f t="shared" si="18"/>
        <v>0</v>
      </c>
    </row>
    <row r="1189" spans="32:32" x14ac:dyDescent="0.3">
      <c r="AF1189" s="47">
        <f t="shared" si="18"/>
        <v>0</v>
      </c>
    </row>
    <row r="1190" spans="32:32" x14ac:dyDescent="0.3">
      <c r="AF1190" s="47">
        <f t="shared" si="18"/>
        <v>0</v>
      </c>
    </row>
    <row r="1191" spans="32:32" x14ac:dyDescent="0.3">
      <c r="AF1191" s="47">
        <f t="shared" si="18"/>
        <v>0</v>
      </c>
    </row>
    <row r="1192" spans="32:32" x14ac:dyDescent="0.3">
      <c r="AF1192" s="47">
        <f t="shared" si="18"/>
        <v>0</v>
      </c>
    </row>
    <row r="1193" spans="32:32" x14ac:dyDescent="0.3">
      <c r="AF1193" s="47">
        <f t="shared" si="18"/>
        <v>0</v>
      </c>
    </row>
    <row r="1194" spans="32:32" x14ac:dyDescent="0.3">
      <c r="AF1194" s="47">
        <f t="shared" si="18"/>
        <v>0</v>
      </c>
    </row>
    <row r="1195" spans="32:32" x14ac:dyDescent="0.3">
      <c r="AF1195" s="47">
        <f t="shared" si="18"/>
        <v>0</v>
      </c>
    </row>
    <row r="1196" spans="32:32" x14ac:dyDescent="0.3">
      <c r="AF1196" s="47">
        <f t="shared" si="18"/>
        <v>0</v>
      </c>
    </row>
    <row r="1197" spans="32:32" x14ac:dyDescent="0.3">
      <c r="AF1197" s="47">
        <f t="shared" si="18"/>
        <v>0</v>
      </c>
    </row>
    <row r="1198" spans="32:32" x14ac:dyDescent="0.3">
      <c r="AF1198" s="47">
        <f t="shared" si="18"/>
        <v>0</v>
      </c>
    </row>
    <row r="1199" spans="32:32" x14ac:dyDescent="0.3">
      <c r="AF1199" s="47">
        <f t="shared" si="18"/>
        <v>0</v>
      </c>
    </row>
    <row r="1200" spans="32:32" x14ac:dyDescent="0.3">
      <c r="AF1200" s="47">
        <f t="shared" si="18"/>
        <v>0</v>
      </c>
    </row>
    <row r="1201" spans="32:32" x14ac:dyDescent="0.3">
      <c r="AF1201" s="47">
        <f t="shared" si="18"/>
        <v>0</v>
      </c>
    </row>
    <row r="1202" spans="32:32" x14ac:dyDescent="0.3">
      <c r="AF1202" s="47">
        <f t="shared" si="18"/>
        <v>0</v>
      </c>
    </row>
    <row r="1203" spans="32:32" x14ac:dyDescent="0.3">
      <c r="AF1203" s="47">
        <f t="shared" si="18"/>
        <v>0</v>
      </c>
    </row>
    <row r="1204" spans="32:32" x14ac:dyDescent="0.3">
      <c r="AF1204" s="47">
        <f t="shared" si="18"/>
        <v>0</v>
      </c>
    </row>
    <row r="1205" spans="32:32" x14ac:dyDescent="0.3">
      <c r="AF1205" s="47">
        <f t="shared" si="18"/>
        <v>0</v>
      </c>
    </row>
    <row r="1206" spans="32:32" x14ac:dyDescent="0.3">
      <c r="AF1206" s="47">
        <f t="shared" si="18"/>
        <v>0</v>
      </c>
    </row>
    <row r="1207" spans="32:32" x14ac:dyDescent="0.3">
      <c r="AF1207" s="47">
        <f t="shared" si="18"/>
        <v>0</v>
      </c>
    </row>
    <row r="1208" spans="32:32" x14ac:dyDescent="0.3">
      <c r="AF1208" s="47">
        <f t="shared" si="18"/>
        <v>0</v>
      </c>
    </row>
    <row r="1209" spans="32:32" x14ac:dyDescent="0.3">
      <c r="AF1209" s="47">
        <f t="shared" si="18"/>
        <v>0</v>
      </c>
    </row>
    <row r="1210" spans="32:32" x14ac:dyDescent="0.3">
      <c r="AF1210" s="47">
        <f t="shared" si="18"/>
        <v>0</v>
      </c>
    </row>
    <row r="1211" spans="32:32" x14ac:dyDescent="0.3">
      <c r="AF1211" s="47">
        <f t="shared" si="18"/>
        <v>0</v>
      </c>
    </row>
    <row r="1212" spans="32:32" x14ac:dyDescent="0.3">
      <c r="AF1212" s="47">
        <f t="shared" si="18"/>
        <v>0</v>
      </c>
    </row>
    <row r="1213" spans="32:32" x14ac:dyDescent="0.3">
      <c r="AF1213" s="47">
        <f t="shared" si="18"/>
        <v>0</v>
      </c>
    </row>
    <row r="1214" spans="32:32" x14ac:dyDescent="0.3">
      <c r="AF1214" s="47">
        <f t="shared" si="18"/>
        <v>0</v>
      </c>
    </row>
    <row r="1215" spans="32:32" x14ac:dyDescent="0.3">
      <c r="AF1215" s="47">
        <f t="shared" si="18"/>
        <v>0</v>
      </c>
    </row>
    <row r="1216" spans="32:32" x14ac:dyDescent="0.3">
      <c r="AF1216" s="47">
        <f t="shared" si="18"/>
        <v>0</v>
      </c>
    </row>
    <row r="1217" spans="32:32" x14ac:dyDescent="0.3">
      <c r="AF1217" s="47">
        <f t="shared" si="18"/>
        <v>0</v>
      </c>
    </row>
    <row r="1218" spans="32:32" x14ac:dyDescent="0.3">
      <c r="AF1218" s="47">
        <f t="shared" si="18"/>
        <v>0</v>
      </c>
    </row>
    <row r="1219" spans="32:32" x14ac:dyDescent="0.3">
      <c r="AF1219" s="47">
        <f t="shared" ref="AF1219:AF1282" si="19">IFERROR(AC1219-Y1219,"")</f>
        <v>0</v>
      </c>
    </row>
    <row r="1220" spans="32:32" x14ac:dyDescent="0.3">
      <c r="AF1220" s="47">
        <f t="shared" si="19"/>
        <v>0</v>
      </c>
    </row>
    <row r="1221" spans="32:32" x14ac:dyDescent="0.3">
      <c r="AF1221" s="47">
        <f t="shared" si="19"/>
        <v>0</v>
      </c>
    </row>
    <row r="1222" spans="32:32" x14ac:dyDescent="0.3">
      <c r="AF1222" s="47">
        <f t="shared" si="19"/>
        <v>0</v>
      </c>
    </row>
    <row r="1223" spans="32:32" x14ac:dyDescent="0.3">
      <c r="AF1223" s="47">
        <f t="shared" si="19"/>
        <v>0</v>
      </c>
    </row>
    <row r="1224" spans="32:32" x14ac:dyDescent="0.3">
      <c r="AF1224" s="47">
        <f t="shared" si="19"/>
        <v>0</v>
      </c>
    </row>
    <row r="1225" spans="32:32" x14ac:dyDescent="0.3">
      <c r="AF1225" s="47">
        <f t="shared" si="19"/>
        <v>0</v>
      </c>
    </row>
    <row r="1226" spans="32:32" x14ac:dyDescent="0.3">
      <c r="AF1226" s="47">
        <f t="shared" si="19"/>
        <v>0</v>
      </c>
    </row>
    <row r="1227" spans="32:32" x14ac:dyDescent="0.3">
      <c r="AF1227" s="47">
        <f t="shared" si="19"/>
        <v>0</v>
      </c>
    </row>
    <row r="1228" spans="32:32" x14ac:dyDescent="0.3">
      <c r="AF1228" s="47">
        <f t="shared" si="19"/>
        <v>0</v>
      </c>
    </row>
    <row r="1229" spans="32:32" x14ac:dyDescent="0.3">
      <c r="AF1229" s="47">
        <f t="shared" si="19"/>
        <v>0</v>
      </c>
    </row>
    <row r="1230" spans="32:32" x14ac:dyDescent="0.3">
      <c r="AF1230" s="47">
        <f t="shared" si="19"/>
        <v>0</v>
      </c>
    </row>
    <row r="1231" spans="32:32" x14ac:dyDescent="0.3">
      <c r="AF1231" s="47">
        <f t="shared" si="19"/>
        <v>0</v>
      </c>
    </row>
    <row r="1232" spans="32:32" x14ac:dyDescent="0.3">
      <c r="AF1232" s="47">
        <f t="shared" si="19"/>
        <v>0</v>
      </c>
    </row>
    <row r="1233" spans="32:32" x14ac:dyDescent="0.3">
      <c r="AF1233" s="47">
        <f t="shared" si="19"/>
        <v>0</v>
      </c>
    </row>
    <row r="1234" spans="32:32" x14ac:dyDescent="0.3">
      <c r="AF1234" s="47">
        <f t="shared" si="19"/>
        <v>0</v>
      </c>
    </row>
    <row r="1235" spans="32:32" x14ac:dyDescent="0.3">
      <c r="AF1235" s="47">
        <f t="shared" si="19"/>
        <v>0</v>
      </c>
    </row>
    <row r="1236" spans="32:32" x14ac:dyDescent="0.3">
      <c r="AF1236" s="47">
        <f t="shared" si="19"/>
        <v>0</v>
      </c>
    </row>
    <row r="1237" spans="32:32" x14ac:dyDescent="0.3">
      <c r="AF1237" s="47">
        <f t="shared" si="19"/>
        <v>0</v>
      </c>
    </row>
    <row r="1238" spans="32:32" x14ac:dyDescent="0.3">
      <c r="AF1238" s="47">
        <f t="shared" si="19"/>
        <v>0</v>
      </c>
    </row>
    <row r="1239" spans="32:32" x14ac:dyDescent="0.3">
      <c r="AF1239" s="47">
        <f t="shared" si="19"/>
        <v>0</v>
      </c>
    </row>
    <row r="1240" spans="32:32" x14ac:dyDescent="0.3">
      <c r="AF1240" s="47">
        <f t="shared" si="19"/>
        <v>0</v>
      </c>
    </row>
    <row r="1241" spans="32:32" x14ac:dyDescent="0.3">
      <c r="AF1241" s="47">
        <f t="shared" si="19"/>
        <v>0</v>
      </c>
    </row>
    <row r="1242" spans="32:32" x14ac:dyDescent="0.3">
      <c r="AF1242" s="47">
        <f t="shared" si="19"/>
        <v>0</v>
      </c>
    </row>
    <row r="1243" spans="32:32" x14ac:dyDescent="0.3">
      <c r="AF1243" s="47">
        <f t="shared" si="19"/>
        <v>0</v>
      </c>
    </row>
    <row r="1244" spans="32:32" x14ac:dyDescent="0.3">
      <c r="AF1244" s="47">
        <f t="shared" si="19"/>
        <v>0</v>
      </c>
    </row>
    <row r="1245" spans="32:32" x14ac:dyDescent="0.3">
      <c r="AF1245" s="47">
        <f t="shared" si="19"/>
        <v>0</v>
      </c>
    </row>
    <row r="1246" spans="32:32" x14ac:dyDescent="0.3">
      <c r="AF1246" s="47">
        <f t="shared" si="19"/>
        <v>0</v>
      </c>
    </row>
    <row r="1247" spans="32:32" x14ac:dyDescent="0.3">
      <c r="AF1247" s="47">
        <f t="shared" si="19"/>
        <v>0</v>
      </c>
    </row>
    <row r="1248" spans="32:32" x14ac:dyDescent="0.3">
      <c r="AF1248" s="47">
        <f t="shared" si="19"/>
        <v>0</v>
      </c>
    </row>
    <row r="1249" spans="32:32" x14ac:dyDescent="0.3">
      <c r="AF1249" s="47">
        <f t="shared" si="19"/>
        <v>0</v>
      </c>
    </row>
    <row r="1250" spans="32:32" x14ac:dyDescent="0.3">
      <c r="AF1250" s="47">
        <f t="shared" si="19"/>
        <v>0</v>
      </c>
    </row>
    <row r="1251" spans="32:32" x14ac:dyDescent="0.3">
      <c r="AF1251" s="47">
        <f t="shared" si="19"/>
        <v>0</v>
      </c>
    </row>
    <row r="1252" spans="32:32" x14ac:dyDescent="0.3">
      <c r="AF1252" s="47">
        <f t="shared" si="19"/>
        <v>0</v>
      </c>
    </row>
    <row r="1253" spans="32:32" x14ac:dyDescent="0.3">
      <c r="AF1253" s="47">
        <f t="shared" si="19"/>
        <v>0</v>
      </c>
    </row>
    <row r="1254" spans="32:32" x14ac:dyDescent="0.3">
      <c r="AF1254" s="47">
        <f t="shared" si="19"/>
        <v>0</v>
      </c>
    </row>
    <row r="1255" spans="32:32" x14ac:dyDescent="0.3">
      <c r="AF1255" s="47">
        <f t="shared" si="19"/>
        <v>0</v>
      </c>
    </row>
    <row r="1256" spans="32:32" x14ac:dyDescent="0.3">
      <c r="AF1256" s="47">
        <f t="shared" si="19"/>
        <v>0</v>
      </c>
    </row>
    <row r="1257" spans="32:32" x14ac:dyDescent="0.3">
      <c r="AF1257" s="47">
        <f t="shared" si="19"/>
        <v>0</v>
      </c>
    </row>
    <row r="1258" spans="32:32" x14ac:dyDescent="0.3">
      <c r="AF1258" s="47">
        <f t="shared" si="19"/>
        <v>0</v>
      </c>
    </row>
    <row r="1259" spans="32:32" x14ac:dyDescent="0.3">
      <c r="AF1259" s="47">
        <f t="shared" si="19"/>
        <v>0</v>
      </c>
    </row>
    <row r="1260" spans="32:32" x14ac:dyDescent="0.3">
      <c r="AF1260" s="47">
        <f t="shared" si="19"/>
        <v>0</v>
      </c>
    </row>
    <row r="1261" spans="32:32" x14ac:dyDescent="0.3">
      <c r="AF1261" s="47">
        <f t="shared" si="19"/>
        <v>0</v>
      </c>
    </row>
    <row r="1262" spans="32:32" x14ac:dyDescent="0.3">
      <c r="AF1262" s="47">
        <f t="shared" si="19"/>
        <v>0</v>
      </c>
    </row>
    <row r="1263" spans="32:32" x14ac:dyDescent="0.3">
      <c r="AF1263" s="47">
        <f t="shared" si="19"/>
        <v>0</v>
      </c>
    </row>
    <row r="1264" spans="32:32" x14ac:dyDescent="0.3">
      <c r="AF1264" s="47">
        <f t="shared" si="19"/>
        <v>0</v>
      </c>
    </row>
    <row r="1265" spans="32:32" x14ac:dyDescent="0.3">
      <c r="AF1265" s="47">
        <f t="shared" si="19"/>
        <v>0</v>
      </c>
    </row>
    <row r="1266" spans="32:32" x14ac:dyDescent="0.3">
      <c r="AF1266" s="47">
        <f t="shared" si="19"/>
        <v>0</v>
      </c>
    </row>
    <row r="1267" spans="32:32" x14ac:dyDescent="0.3">
      <c r="AF1267" s="47">
        <f t="shared" si="19"/>
        <v>0</v>
      </c>
    </row>
    <row r="1268" spans="32:32" x14ac:dyDescent="0.3">
      <c r="AF1268" s="47">
        <f t="shared" si="19"/>
        <v>0</v>
      </c>
    </row>
    <row r="1269" spans="32:32" x14ac:dyDescent="0.3">
      <c r="AF1269" s="47">
        <f t="shared" si="19"/>
        <v>0</v>
      </c>
    </row>
    <row r="1270" spans="32:32" x14ac:dyDescent="0.3">
      <c r="AF1270" s="47">
        <f t="shared" si="19"/>
        <v>0</v>
      </c>
    </row>
    <row r="1271" spans="32:32" x14ac:dyDescent="0.3">
      <c r="AF1271" s="47">
        <f t="shared" si="19"/>
        <v>0</v>
      </c>
    </row>
    <row r="1272" spans="32:32" x14ac:dyDescent="0.3">
      <c r="AF1272" s="47">
        <f t="shared" si="19"/>
        <v>0</v>
      </c>
    </row>
    <row r="1273" spans="32:32" x14ac:dyDescent="0.3">
      <c r="AF1273" s="47">
        <f t="shared" si="19"/>
        <v>0</v>
      </c>
    </row>
    <row r="1274" spans="32:32" x14ac:dyDescent="0.3">
      <c r="AF1274" s="47">
        <f t="shared" si="19"/>
        <v>0</v>
      </c>
    </row>
    <row r="1275" spans="32:32" x14ac:dyDescent="0.3">
      <c r="AF1275" s="47">
        <f t="shared" si="19"/>
        <v>0</v>
      </c>
    </row>
    <row r="1276" spans="32:32" x14ac:dyDescent="0.3">
      <c r="AF1276" s="47">
        <f t="shared" si="19"/>
        <v>0</v>
      </c>
    </row>
    <row r="1277" spans="32:32" x14ac:dyDescent="0.3">
      <c r="AF1277" s="47">
        <f t="shared" si="19"/>
        <v>0</v>
      </c>
    </row>
    <row r="1278" spans="32:32" x14ac:dyDescent="0.3">
      <c r="AF1278" s="47">
        <f t="shared" si="19"/>
        <v>0</v>
      </c>
    </row>
    <row r="1279" spans="32:32" x14ac:dyDescent="0.3">
      <c r="AF1279" s="47">
        <f t="shared" si="19"/>
        <v>0</v>
      </c>
    </row>
    <row r="1280" spans="32:32" x14ac:dyDescent="0.3">
      <c r="AF1280" s="47">
        <f t="shared" si="19"/>
        <v>0</v>
      </c>
    </row>
    <row r="1281" spans="32:32" x14ac:dyDescent="0.3">
      <c r="AF1281" s="47">
        <f t="shared" si="19"/>
        <v>0</v>
      </c>
    </row>
    <row r="1282" spans="32:32" x14ac:dyDescent="0.3">
      <c r="AF1282" s="47">
        <f t="shared" si="19"/>
        <v>0</v>
      </c>
    </row>
    <row r="1283" spans="32:32" x14ac:dyDescent="0.3">
      <c r="AF1283" s="47">
        <f t="shared" ref="AF1283:AF1346" si="20">IFERROR(AC1283-Y1283,"")</f>
        <v>0</v>
      </c>
    </row>
    <row r="1284" spans="32:32" x14ac:dyDescent="0.3">
      <c r="AF1284" s="47">
        <f t="shared" si="20"/>
        <v>0</v>
      </c>
    </row>
    <row r="1285" spans="32:32" x14ac:dyDescent="0.3">
      <c r="AF1285" s="47">
        <f t="shared" si="20"/>
        <v>0</v>
      </c>
    </row>
    <row r="1286" spans="32:32" x14ac:dyDescent="0.3">
      <c r="AF1286" s="47">
        <f t="shared" si="20"/>
        <v>0</v>
      </c>
    </row>
    <row r="1287" spans="32:32" x14ac:dyDescent="0.3">
      <c r="AF1287" s="47">
        <f t="shared" si="20"/>
        <v>0</v>
      </c>
    </row>
    <row r="1288" spans="32:32" x14ac:dyDescent="0.3">
      <c r="AF1288" s="47">
        <f t="shared" si="20"/>
        <v>0</v>
      </c>
    </row>
    <row r="1289" spans="32:32" x14ac:dyDescent="0.3">
      <c r="AF1289" s="47">
        <f t="shared" si="20"/>
        <v>0</v>
      </c>
    </row>
    <row r="1290" spans="32:32" x14ac:dyDescent="0.3">
      <c r="AF1290" s="47">
        <f t="shared" si="20"/>
        <v>0</v>
      </c>
    </row>
    <row r="1291" spans="32:32" x14ac:dyDescent="0.3">
      <c r="AF1291" s="47">
        <f t="shared" si="20"/>
        <v>0</v>
      </c>
    </row>
    <row r="1292" spans="32:32" x14ac:dyDescent="0.3">
      <c r="AF1292" s="47">
        <f t="shared" si="20"/>
        <v>0</v>
      </c>
    </row>
    <row r="1293" spans="32:32" x14ac:dyDescent="0.3">
      <c r="AF1293" s="47">
        <f t="shared" si="20"/>
        <v>0</v>
      </c>
    </row>
    <row r="1294" spans="32:32" x14ac:dyDescent="0.3">
      <c r="AF1294" s="47">
        <f t="shared" si="20"/>
        <v>0</v>
      </c>
    </row>
    <row r="1295" spans="32:32" x14ac:dyDescent="0.3">
      <c r="AF1295" s="47">
        <f t="shared" si="20"/>
        <v>0</v>
      </c>
    </row>
    <row r="1296" spans="32:32" x14ac:dyDescent="0.3">
      <c r="AF1296" s="47">
        <f t="shared" si="20"/>
        <v>0</v>
      </c>
    </row>
    <row r="1297" spans="32:32" x14ac:dyDescent="0.3">
      <c r="AF1297" s="47">
        <f t="shared" si="20"/>
        <v>0</v>
      </c>
    </row>
    <row r="1298" spans="32:32" x14ac:dyDescent="0.3">
      <c r="AF1298" s="47">
        <f t="shared" si="20"/>
        <v>0</v>
      </c>
    </row>
    <row r="1299" spans="32:32" x14ac:dyDescent="0.3">
      <c r="AF1299" s="47">
        <f t="shared" si="20"/>
        <v>0</v>
      </c>
    </row>
    <row r="1300" spans="32:32" x14ac:dyDescent="0.3">
      <c r="AF1300" s="47">
        <f t="shared" si="20"/>
        <v>0</v>
      </c>
    </row>
    <row r="1301" spans="32:32" x14ac:dyDescent="0.3">
      <c r="AF1301" s="47">
        <f t="shared" si="20"/>
        <v>0</v>
      </c>
    </row>
    <row r="1302" spans="32:32" x14ac:dyDescent="0.3">
      <c r="AF1302" s="47">
        <f t="shared" si="20"/>
        <v>0</v>
      </c>
    </row>
    <row r="1303" spans="32:32" x14ac:dyDescent="0.3">
      <c r="AF1303" s="47">
        <f t="shared" si="20"/>
        <v>0</v>
      </c>
    </row>
    <row r="1304" spans="32:32" x14ac:dyDescent="0.3">
      <c r="AF1304" s="47">
        <f t="shared" si="20"/>
        <v>0</v>
      </c>
    </row>
    <row r="1305" spans="32:32" x14ac:dyDescent="0.3">
      <c r="AF1305" s="47">
        <f t="shared" si="20"/>
        <v>0</v>
      </c>
    </row>
    <row r="1306" spans="32:32" x14ac:dyDescent="0.3">
      <c r="AF1306" s="47">
        <f t="shared" si="20"/>
        <v>0</v>
      </c>
    </row>
    <row r="1307" spans="32:32" x14ac:dyDescent="0.3">
      <c r="AF1307" s="47">
        <f t="shared" si="20"/>
        <v>0</v>
      </c>
    </row>
    <row r="1308" spans="32:32" x14ac:dyDescent="0.3">
      <c r="AF1308" s="47">
        <f t="shared" si="20"/>
        <v>0</v>
      </c>
    </row>
    <row r="1309" spans="32:32" x14ac:dyDescent="0.3">
      <c r="AF1309" s="47">
        <f t="shared" si="20"/>
        <v>0</v>
      </c>
    </row>
    <row r="1310" spans="32:32" x14ac:dyDescent="0.3">
      <c r="AF1310" s="47">
        <f t="shared" si="20"/>
        <v>0</v>
      </c>
    </row>
    <row r="1311" spans="32:32" x14ac:dyDescent="0.3">
      <c r="AF1311" s="47">
        <f t="shared" si="20"/>
        <v>0</v>
      </c>
    </row>
    <row r="1312" spans="32:32" x14ac:dyDescent="0.3">
      <c r="AF1312" s="47">
        <f t="shared" si="20"/>
        <v>0</v>
      </c>
    </row>
    <row r="1313" spans="32:32" x14ac:dyDescent="0.3">
      <c r="AF1313" s="47">
        <f t="shared" si="20"/>
        <v>0</v>
      </c>
    </row>
    <row r="1314" spans="32:32" x14ac:dyDescent="0.3">
      <c r="AF1314" s="47">
        <f t="shared" si="20"/>
        <v>0</v>
      </c>
    </row>
    <row r="1315" spans="32:32" x14ac:dyDescent="0.3">
      <c r="AF1315" s="47">
        <f t="shared" si="20"/>
        <v>0</v>
      </c>
    </row>
    <row r="1316" spans="32:32" x14ac:dyDescent="0.3">
      <c r="AF1316" s="47">
        <f t="shared" si="20"/>
        <v>0</v>
      </c>
    </row>
    <row r="1317" spans="32:32" x14ac:dyDescent="0.3">
      <c r="AF1317" s="47">
        <f t="shared" si="20"/>
        <v>0</v>
      </c>
    </row>
    <row r="1318" spans="32:32" x14ac:dyDescent="0.3">
      <c r="AF1318" s="47">
        <f t="shared" si="20"/>
        <v>0</v>
      </c>
    </row>
    <row r="1319" spans="32:32" x14ac:dyDescent="0.3">
      <c r="AF1319" s="47">
        <f t="shared" si="20"/>
        <v>0</v>
      </c>
    </row>
    <row r="1320" spans="32:32" x14ac:dyDescent="0.3">
      <c r="AF1320" s="47">
        <f t="shared" si="20"/>
        <v>0</v>
      </c>
    </row>
    <row r="1321" spans="32:32" x14ac:dyDescent="0.3">
      <c r="AF1321" s="47">
        <f t="shared" si="20"/>
        <v>0</v>
      </c>
    </row>
    <row r="1322" spans="32:32" x14ac:dyDescent="0.3">
      <c r="AF1322" s="47">
        <f t="shared" si="20"/>
        <v>0</v>
      </c>
    </row>
    <row r="1323" spans="32:32" x14ac:dyDescent="0.3">
      <c r="AF1323" s="47">
        <f t="shared" si="20"/>
        <v>0</v>
      </c>
    </row>
    <row r="1324" spans="32:32" x14ac:dyDescent="0.3">
      <c r="AF1324" s="47">
        <f t="shared" si="20"/>
        <v>0</v>
      </c>
    </row>
    <row r="1325" spans="32:32" x14ac:dyDescent="0.3">
      <c r="AF1325" s="47">
        <f t="shared" si="20"/>
        <v>0</v>
      </c>
    </row>
    <row r="1326" spans="32:32" x14ac:dyDescent="0.3">
      <c r="AF1326" s="47">
        <f t="shared" si="20"/>
        <v>0</v>
      </c>
    </row>
    <row r="1327" spans="32:32" x14ac:dyDescent="0.3">
      <c r="AF1327" s="47">
        <f t="shared" si="20"/>
        <v>0</v>
      </c>
    </row>
    <row r="1328" spans="32:32" x14ac:dyDescent="0.3">
      <c r="AF1328" s="47">
        <f t="shared" si="20"/>
        <v>0</v>
      </c>
    </row>
    <row r="1329" spans="32:32" x14ac:dyDescent="0.3">
      <c r="AF1329" s="47">
        <f t="shared" si="20"/>
        <v>0</v>
      </c>
    </row>
    <row r="1330" spans="32:32" x14ac:dyDescent="0.3">
      <c r="AF1330" s="47">
        <f t="shared" si="20"/>
        <v>0</v>
      </c>
    </row>
    <row r="1331" spans="32:32" x14ac:dyDescent="0.3">
      <c r="AF1331" s="47">
        <f t="shared" si="20"/>
        <v>0</v>
      </c>
    </row>
    <row r="1332" spans="32:32" x14ac:dyDescent="0.3">
      <c r="AF1332" s="47">
        <f t="shared" si="20"/>
        <v>0</v>
      </c>
    </row>
    <row r="1333" spans="32:32" x14ac:dyDescent="0.3">
      <c r="AF1333" s="47">
        <f t="shared" si="20"/>
        <v>0</v>
      </c>
    </row>
    <row r="1334" spans="32:32" x14ac:dyDescent="0.3">
      <c r="AF1334" s="47">
        <f t="shared" si="20"/>
        <v>0</v>
      </c>
    </row>
    <row r="1335" spans="32:32" x14ac:dyDescent="0.3">
      <c r="AF1335" s="47">
        <f t="shared" si="20"/>
        <v>0</v>
      </c>
    </row>
    <row r="1336" spans="32:32" x14ac:dyDescent="0.3">
      <c r="AF1336" s="47">
        <f t="shared" si="20"/>
        <v>0</v>
      </c>
    </row>
    <row r="1337" spans="32:32" x14ac:dyDescent="0.3">
      <c r="AF1337" s="47">
        <f t="shared" si="20"/>
        <v>0</v>
      </c>
    </row>
    <row r="1338" spans="32:32" x14ac:dyDescent="0.3">
      <c r="AF1338" s="47">
        <f t="shared" si="20"/>
        <v>0</v>
      </c>
    </row>
    <row r="1339" spans="32:32" x14ac:dyDescent="0.3">
      <c r="AF1339" s="47">
        <f t="shared" si="20"/>
        <v>0</v>
      </c>
    </row>
    <row r="1340" spans="32:32" x14ac:dyDescent="0.3">
      <c r="AF1340" s="47">
        <f t="shared" si="20"/>
        <v>0</v>
      </c>
    </row>
    <row r="1341" spans="32:32" x14ac:dyDescent="0.3">
      <c r="AF1341" s="47">
        <f t="shared" si="20"/>
        <v>0</v>
      </c>
    </row>
    <row r="1342" spans="32:32" x14ac:dyDescent="0.3">
      <c r="AF1342" s="47">
        <f t="shared" si="20"/>
        <v>0</v>
      </c>
    </row>
    <row r="1343" spans="32:32" x14ac:dyDescent="0.3">
      <c r="AF1343" s="47">
        <f t="shared" si="20"/>
        <v>0</v>
      </c>
    </row>
    <row r="1344" spans="32:32" x14ac:dyDescent="0.3">
      <c r="AF1344" s="47">
        <f t="shared" si="20"/>
        <v>0</v>
      </c>
    </row>
    <row r="1345" spans="32:32" x14ac:dyDescent="0.3">
      <c r="AF1345" s="47">
        <f t="shared" si="20"/>
        <v>0</v>
      </c>
    </row>
    <row r="1346" spans="32:32" x14ac:dyDescent="0.3">
      <c r="AF1346" s="47">
        <f t="shared" si="20"/>
        <v>0</v>
      </c>
    </row>
    <row r="1347" spans="32:32" x14ac:dyDescent="0.3">
      <c r="AF1347" s="47">
        <f t="shared" ref="AF1347:AF1410" si="21">IFERROR(AC1347-Y1347,"")</f>
        <v>0</v>
      </c>
    </row>
    <row r="1348" spans="32:32" x14ac:dyDescent="0.3">
      <c r="AF1348" s="47">
        <f t="shared" si="21"/>
        <v>0</v>
      </c>
    </row>
    <row r="1349" spans="32:32" x14ac:dyDescent="0.3">
      <c r="AF1349" s="47">
        <f t="shared" si="21"/>
        <v>0</v>
      </c>
    </row>
    <row r="1350" spans="32:32" x14ac:dyDescent="0.3">
      <c r="AF1350" s="47">
        <f t="shared" si="21"/>
        <v>0</v>
      </c>
    </row>
    <row r="1351" spans="32:32" x14ac:dyDescent="0.3">
      <c r="AF1351" s="47">
        <f t="shared" si="21"/>
        <v>0</v>
      </c>
    </row>
    <row r="1352" spans="32:32" x14ac:dyDescent="0.3">
      <c r="AF1352" s="47">
        <f t="shared" si="21"/>
        <v>0</v>
      </c>
    </row>
    <row r="1353" spans="32:32" x14ac:dyDescent="0.3">
      <c r="AF1353" s="47">
        <f t="shared" si="21"/>
        <v>0</v>
      </c>
    </row>
    <row r="1354" spans="32:32" x14ac:dyDescent="0.3">
      <c r="AF1354" s="47">
        <f t="shared" si="21"/>
        <v>0</v>
      </c>
    </row>
    <row r="1355" spans="32:32" x14ac:dyDescent="0.3">
      <c r="AF1355" s="47">
        <f t="shared" si="21"/>
        <v>0</v>
      </c>
    </row>
    <row r="1356" spans="32:32" x14ac:dyDescent="0.3">
      <c r="AF1356" s="47">
        <f t="shared" si="21"/>
        <v>0</v>
      </c>
    </row>
    <row r="1357" spans="32:32" x14ac:dyDescent="0.3">
      <c r="AF1357" s="47">
        <f t="shared" si="21"/>
        <v>0</v>
      </c>
    </row>
    <row r="1358" spans="32:32" x14ac:dyDescent="0.3">
      <c r="AF1358" s="47">
        <f t="shared" si="21"/>
        <v>0</v>
      </c>
    </row>
    <row r="1359" spans="32:32" x14ac:dyDescent="0.3">
      <c r="AF1359" s="47">
        <f t="shared" si="21"/>
        <v>0</v>
      </c>
    </row>
    <row r="1360" spans="32:32" x14ac:dyDescent="0.3">
      <c r="AF1360" s="47">
        <f t="shared" si="21"/>
        <v>0</v>
      </c>
    </row>
    <row r="1361" spans="32:32" x14ac:dyDescent="0.3">
      <c r="AF1361" s="47">
        <f t="shared" si="21"/>
        <v>0</v>
      </c>
    </row>
    <row r="1362" spans="32:32" x14ac:dyDescent="0.3">
      <c r="AF1362" s="47">
        <f t="shared" si="21"/>
        <v>0</v>
      </c>
    </row>
    <row r="1363" spans="32:32" x14ac:dyDescent="0.3">
      <c r="AF1363" s="47">
        <f t="shared" si="21"/>
        <v>0</v>
      </c>
    </row>
    <row r="1364" spans="32:32" x14ac:dyDescent="0.3">
      <c r="AF1364" s="47">
        <f t="shared" si="21"/>
        <v>0</v>
      </c>
    </row>
    <row r="1365" spans="32:32" x14ac:dyDescent="0.3">
      <c r="AF1365" s="47">
        <f t="shared" si="21"/>
        <v>0</v>
      </c>
    </row>
    <row r="1366" spans="32:32" x14ac:dyDescent="0.3">
      <c r="AF1366" s="47">
        <f t="shared" si="21"/>
        <v>0</v>
      </c>
    </row>
    <row r="1367" spans="32:32" x14ac:dyDescent="0.3">
      <c r="AF1367" s="47">
        <f t="shared" si="21"/>
        <v>0</v>
      </c>
    </row>
    <row r="1368" spans="32:32" x14ac:dyDescent="0.3">
      <c r="AF1368" s="47">
        <f t="shared" si="21"/>
        <v>0</v>
      </c>
    </row>
    <row r="1369" spans="32:32" x14ac:dyDescent="0.3">
      <c r="AF1369" s="47">
        <f t="shared" si="21"/>
        <v>0</v>
      </c>
    </row>
    <row r="1370" spans="32:32" x14ac:dyDescent="0.3">
      <c r="AF1370" s="47">
        <f t="shared" si="21"/>
        <v>0</v>
      </c>
    </row>
    <row r="1371" spans="32:32" x14ac:dyDescent="0.3">
      <c r="AF1371" s="47">
        <f t="shared" si="21"/>
        <v>0</v>
      </c>
    </row>
    <row r="1372" spans="32:32" x14ac:dyDescent="0.3">
      <c r="AF1372" s="47">
        <f t="shared" si="21"/>
        <v>0</v>
      </c>
    </row>
    <row r="1373" spans="32:32" x14ac:dyDescent="0.3">
      <c r="AF1373" s="47">
        <f t="shared" si="21"/>
        <v>0</v>
      </c>
    </row>
    <row r="1374" spans="32:32" x14ac:dyDescent="0.3">
      <c r="AF1374" s="47">
        <f t="shared" si="21"/>
        <v>0</v>
      </c>
    </row>
    <row r="1375" spans="32:32" x14ac:dyDescent="0.3">
      <c r="AF1375" s="47">
        <f t="shared" si="21"/>
        <v>0</v>
      </c>
    </row>
    <row r="1376" spans="32:32" x14ac:dyDescent="0.3">
      <c r="AF1376" s="47">
        <f t="shared" si="21"/>
        <v>0</v>
      </c>
    </row>
    <row r="1377" spans="32:32" x14ac:dyDescent="0.3">
      <c r="AF1377" s="47">
        <f t="shared" si="21"/>
        <v>0</v>
      </c>
    </row>
    <row r="1378" spans="32:32" x14ac:dyDescent="0.3">
      <c r="AF1378" s="47">
        <f t="shared" si="21"/>
        <v>0</v>
      </c>
    </row>
    <row r="1379" spans="32:32" x14ac:dyDescent="0.3">
      <c r="AF1379" s="47">
        <f t="shared" si="21"/>
        <v>0</v>
      </c>
    </row>
    <row r="1380" spans="32:32" x14ac:dyDescent="0.3">
      <c r="AF1380" s="47">
        <f t="shared" si="21"/>
        <v>0</v>
      </c>
    </row>
    <row r="1381" spans="32:32" x14ac:dyDescent="0.3">
      <c r="AF1381" s="47">
        <f t="shared" si="21"/>
        <v>0</v>
      </c>
    </row>
    <row r="1382" spans="32:32" x14ac:dyDescent="0.3">
      <c r="AF1382" s="47">
        <f t="shared" si="21"/>
        <v>0</v>
      </c>
    </row>
    <row r="1383" spans="32:32" x14ac:dyDescent="0.3">
      <c r="AF1383" s="47">
        <f t="shared" si="21"/>
        <v>0</v>
      </c>
    </row>
    <row r="1384" spans="32:32" x14ac:dyDescent="0.3">
      <c r="AF1384" s="47">
        <f t="shared" si="21"/>
        <v>0</v>
      </c>
    </row>
    <row r="1385" spans="32:32" x14ac:dyDescent="0.3">
      <c r="AF1385" s="47">
        <f t="shared" si="21"/>
        <v>0</v>
      </c>
    </row>
    <row r="1386" spans="32:32" x14ac:dyDescent="0.3">
      <c r="AF1386" s="47">
        <f t="shared" si="21"/>
        <v>0</v>
      </c>
    </row>
    <row r="1387" spans="32:32" x14ac:dyDescent="0.3">
      <c r="AF1387" s="47">
        <f t="shared" si="21"/>
        <v>0</v>
      </c>
    </row>
    <row r="1388" spans="32:32" x14ac:dyDescent="0.3">
      <c r="AF1388" s="47">
        <f t="shared" si="21"/>
        <v>0</v>
      </c>
    </row>
    <row r="1389" spans="32:32" x14ac:dyDescent="0.3">
      <c r="AF1389" s="47">
        <f t="shared" si="21"/>
        <v>0</v>
      </c>
    </row>
    <row r="1390" spans="32:32" x14ac:dyDescent="0.3">
      <c r="AF1390" s="47">
        <f t="shared" si="21"/>
        <v>0</v>
      </c>
    </row>
    <row r="1391" spans="32:32" x14ac:dyDescent="0.3">
      <c r="AF1391" s="47">
        <f t="shared" si="21"/>
        <v>0</v>
      </c>
    </row>
    <row r="1392" spans="32:32" x14ac:dyDescent="0.3">
      <c r="AF1392" s="47">
        <f t="shared" si="21"/>
        <v>0</v>
      </c>
    </row>
    <row r="1393" spans="32:32" x14ac:dyDescent="0.3">
      <c r="AF1393" s="47">
        <f t="shared" si="21"/>
        <v>0</v>
      </c>
    </row>
    <row r="1394" spans="32:32" x14ac:dyDescent="0.3">
      <c r="AF1394" s="47">
        <f t="shared" si="21"/>
        <v>0</v>
      </c>
    </row>
    <row r="1395" spans="32:32" x14ac:dyDescent="0.3">
      <c r="AF1395" s="47">
        <f t="shared" si="21"/>
        <v>0</v>
      </c>
    </row>
    <row r="1396" spans="32:32" x14ac:dyDescent="0.3">
      <c r="AF1396" s="47">
        <f t="shared" si="21"/>
        <v>0</v>
      </c>
    </row>
    <row r="1397" spans="32:32" x14ac:dyDescent="0.3">
      <c r="AF1397" s="47">
        <f t="shared" si="21"/>
        <v>0</v>
      </c>
    </row>
    <row r="1398" spans="32:32" x14ac:dyDescent="0.3">
      <c r="AF1398" s="47">
        <f t="shared" si="21"/>
        <v>0</v>
      </c>
    </row>
    <row r="1399" spans="32:32" x14ac:dyDescent="0.3">
      <c r="AF1399" s="47">
        <f t="shared" si="21"/>
        <v>0</v>
      </c>
    </row>
    <row r="1400" spans="32:32" x14ac:dyDescent="0.3">
      <c r="AF1400" s="47">
        <f t="shared" si="21"/>
        <v>0</v>
      </c>
    </row>
    <row r="1401" spans="32:32" x14ac:dyDescent="0.3">
      <c r="AF1401" s="47">
        <f t="shared" si="21"/>
        <v>0</v>
      </c>
    </row>
    <row r="1402" spans="32:32" x14ac:dyDescent="0.3">
      <c r="AF1402" s="47">
        <f t="shared" si="21"/>
        <v>0</v>
      </c>
    </row>
    <row r="1403" spans="32:32" x14ac:dyDescent="0.3">
      <c r="AF1403" s="47">
        <f t="shared" si="21"/>
        <v>0</v>
      </c>
    </row>
    <row r="1404" spans="32:32" x14ac:dyDescent="0.3">
      <c r="AF1404" s="47">
        <f t="shared" si="21"/>
        <v>0</v>
      </c>
    </row>
    <row r="1405" spans="32:32" x14ac:dyDescent="0.3">
      <c r="AF1405" s="47">
        <f t="shared" si="21"/>
        <v>0</v>
      </c>
    </row>
    <row r="1406" spans="32:32" x14ac:dyDescent="0.3">
      <c r="AF1406" s="47">
        <f t="shared" si="21"/>
        <v>0</v>
      </c>
    </row>
    <row r="1407" spans="32:32" x14ac:dyDescent="0.3">
      <c r="AF1407" s="47">
        <f t="shared" si="21"/>
        <v>0</v>
      </c>
    </row>
    <row r="1408" spans="32:32" x14ac:dyDescent="0.3">
      <c r="AF1408" s="47">
        <f t="shared" si="21"/>
        <v>0</v>
      </c>
    </row>
    <row r="1409" spans="32:32" x14ac:dyDescent="0.3">
      <c r="AF1409" s="47">
        <f t="shared" si="21"/>
        <v>0</v>
      </c>
    </row>
    <row r="1410" spans="32:32" x14ac:dyDescent="0.3">
      <c r="AF1410" s="47">
        <f t="shared" si="21"/>
        <v>0</v>
      </c>
    </row>
    <row r="1411" spans="32:32" x14ac:dyDescent="0.3">
      <c r="AF1411" s="47">
        <f t="shared" ref="AF1411:AF1474" si="22">IFERROR(AC1411-Y1411,"")</f>
        <v>0</v>
      </c>
    </row>
    <row r="1412" spans="32:32" x14ac:dyDescent="0.3">
      <c r="AF1412" s="47">
        <f t="shared" si="22"/>
        <v>0</v>
      </c>
    </row>
    <row r="1413" spans="32:32" x14ac:dyDescent="0.3">
      <c r="AF1413" s="47">
        <f t="shared" si="22"/>
        <v>0</v>
      </c>
    </row>
    <row r="1414" spans="32:32" x14ac:dyDescent="0.3">
      <c r="AF1414" s="47">
        <f t="shared" si="22"/>
        <v>0</v>
      </c>
    </row>
    <row r="1415" spans="32:32" x14ac:dyDescent="0.3">
      <c r="AF1415" s="47">
        <f t="shared" si="22"/>
        <v>0</v>
      </c>
    </row>
    <row r="1416" spans="32:32" x14ac:dyDescent="0.3">
      <c r="AF1416" s="47">
        <f t="shared" si="22"/>
        <v>0</v>
      </c>
    </row>
    <row r="1417" spans="32:32" x14ac:dyDescent="0.3">
      <c r="AF1417" s="47">
        <f t="shared" si="22"/>
        <v>0</v>
      </c>
    </row>
    <row r="1418" spans="32:32" x14ac:dyDescent="0.3">
      <c r="AF1418" s="47">
        <f t="shared" si="22"/>
        <v>0</v>
      </c>
    </row>
    <row r="1419" spans="32:32" x14ac:dyDescent="0.3">
      <c r="AF1419" s="47">
        <f t="shared" si="22"/>
        <v>0</v>
      </c>
    </row>
    <row r="1420" spans="32:32" x14ac:dyDescent="0.3">
      <c r="AF1420" s="47">
        <f t="shared" si="22"/>
        <v>0</v>
      </c>
    </row>
    <row r="1421" spans="32:32" x14ac:dyDescent="0.3">
      <c r="AF1421" s="47">
        <f t="shared" si="22"/>
        <v>0</v>
      </c>
    </row>
    <row r="1422" spans="32:32" x14ac:dyDescent="0.3">
      <c r="AF1422" s="47">
        <f t="shared" si="22"/>
        <v>0</v>
      </c>
    </row>
    <row r="1423" spans="32:32" x14ac:dyDescent="0.3">
      <c r="AF1423" s="47">
        <f t="shared" si="22"/>
        <v>0</v>
      </c>
    </row>
    <row r="1424" spans="32:32" x14ac:dyDescent="0.3">
      <c r="AF1424" s="47">
        <f t="shared" si="22"/>
        <v>0</v>
      </c>
    </row>
    <row r="1425" spans="32:32" x14ac:dyDescent="0.3">
      <c r="AF1425" s="47">
        <f t="shared" si="22"/>
        <v>0</v>
      </c>
    </row>
    <row r="1426" spans="32:32" x14ac:dyDescent="0.3">
      <c r="AF1426" s="47">
        <f t="shared" si="22"/>
        <v>0</v>
      </c>
    </row>
    <row r="1427" spans="32:32" x14ac:dyDescent="0.3">
      <c r="AF1427" s="47">
        <f t="shared" si="22"/>
        <v>0</v>
      </c>
    </row>
    <row r="1428" spans="32:32" x14ac:dyDescent="0.3">
      <c r="AF1428" s="47">
        <f t="shared" si="22"/>
        <v>0</v>
      </c>
    </row>
    <row r="1429" spans="32:32" x14ac:dyDescent="0.3">
      <c r="AF1429" s="47">
        <f t="shared" si="22"/>
        <v>0</v>
      </c>
    </row>
    <row r="1430" spans="32:32" x14ac:dyDescent="0.3">
      <c r="AF1430" s="47">
        <f t="shared" si="22"/>
        <v>0</v>
      </c>
    </row>
    <row r="1431" spans="32:32" x14ac:dyDescent="0.3">
      <c r="AF1431" s="47">
        <f t="shared" si="22"/>
        <v>0</v>
      </c>
    </row>
    <row r="1432" spans="32:32" x14ac:dyDescent="0.3">
      <c r="AF1432" s="47">
        <f t="shared" si="22"/>
        <v>0</v>
      </c>
    </row>
    <row r="1433" spans="32:32" x14ac:dyDescent="0.3">
      <c r="AF1433" s="47">
        <f t="shared" si="22"/>
        <v>0</v>
      </c>
    </row>
    <row r="1434" spans="32:32" x14ac:dyDescent="0.3">
      <c r="AF1434" s="47">
        <f t="shared" si="22"/>
        <v>0</v>
      </c>
    </row>
    <row r="1435" spans="32:32" x14ac:dyDescent="0.3">
      <c r="AF1435" s="47">
        <f t="shared" si="22"/>
        <v>0</v>
      </c>
    </row>
    <row r="1436" spans="32:32" x14ac:dyDescent="0.3">
      <c r="AF1436" s="47">
        <f t="shared" si="22"/>
        <v>0</v>
      </c>
    </row>
    <row r="1437" spans="32:32" x14ac:dyDescent="0.3">
      <c r="AF1437" s="47">
        <f t="shared" si="22"/>
        <v>0</v>
      </c>
    </row>
    <row r="1438" spans="32:32" x14ac:dyDescent="0.3">
      <c r="AF1438" s="47">
        <f t="shared" si="22"/>
        <v>0</v>
      </c>
    </row>
    <row r="1439" spans="32:32" x14ac:dyDescent="0.3">
      <c r="AF1439" s="47">
        <f t="shared" si="22"/>
        <v>0</v>
      </c>
    </row>
    <row r="1440" spans="32:32" x14ac:dyDescent="0.3">
      <c r="AF1440" s="47">
        <f t="shared" si="22"/>
        <v>0</v>
      </c>
    </row>
    <row r="1441" spans="32:32" x14ac:dyDescent="0.3">
      <c r="AF1441" s="47">
        <f t="shared" si="22"/>
        <v>0</v>
      </c>
    </row>
    <row r="1442" spans="32:32" x14ac:dyDescent="0.3">
      <c r="AF1442" s="47">
        <f t="shared" si="22"/>
        <v>0</v>
      </c>
    </row>
    <row r="1443" spans="32:32" x14ac:dyDescent="0.3">
      <c r="AF1443" s="47">
        <f t="shared" si="22"/>
        <v>0</v>
      </c>
    </row>
    <row r="1444" spans="32:32" x14ac:dyDescent="0.3">
      <c r="AF1444" s="47">
        <f t="shared" si="22"/>
        <v>0</v>
      </c>
    </row>
    <row r="1445" spans="32:32" x14ac:dyDescent="0.3">
      <c r="AF1445" s="47">
        <f t="shared" si="22"/>
        <v>0</v>
      </c>
    </row>
    <row r="1446" spans="32:32" x14ac:dyDescent="0.3">
      <c r="AF1446" s="47">
        <f t="shared" si="22"/>
        <v>0</v>
      </c>
    </row>
    <row r="1447" spans="32:32" x14ac:dyDescent="0.3">
      <c r="AF1447" s="47">
        <f t="shared" si="22"/>
        <v>0</v>
      </c>
    </row>
    <row r="1448" spans="32:32" x14ac:dyDescent="0.3">
      <c r="AF1448" s="47">
        <f t="shared" si="22"/>
        <v>0</v>
      </c>
    </row>
    <row r="1449" spans="32:32" x14ac:dyDescent="0.3">
      <c r="AF1449" s="47">
        <f t="shared" si="22"/>
        <v>0</v>
      </c>
    </row>
    <row r="1450" spans="32:32" x14ac:dyDescent="0.3">
      <c r="AF1450" s="47">
        <f t="shared" si="22"/>
        <v>0</v>
      </c>
    </row>
    <row r="1451" spans="32:32" x14ac:dyDescent="0.3">
      <c r="AF1451" s="47">
        <f t="shared" si="22"/>
        <v>0</v>
      </c>
    </row>
    <row r="1452" spans="32:32" x14ac:dyDescent="0.3">
      <c r="AF1452" s="47">
        <f t="shared" si="22"/>
        <v>0</v>
      </c>
    </row>
    <row r="1453" spans="32:32" x14ac:dyDescent="0.3">
      <c r="AF1453" s="47">
        <f t="shared" si="22"/>
        <v>0</v>
      </c>
    </row>
    <row r="1454" spans="32:32" x14ac:dyDescent="0.3">
      <c r="AF1454" s="47">
        <f t="shared" si="22"/>
        <v>0</v>
      </c>
    </row>
    <row r="1455" spans="32:32" x14ac:dyDescent="0.3">
      <c r="AF1455" s="47">
        <f t="shared" si="22"/>
        <v>0</v>
      </c>
    </row>
    <row r="1456" spans="32:32" x14ac:dyDescent="0.3">
      <c r="AF1456" s="47">
        <f t="shared" si="22"/>
        <v>0</v>
      </c>
    </row>
    <row r="1457" spans="32:32" x14ac:dyDescent="0.3">
      <c r="AF1457" s="47">
        <f t="shared" si="22"/>
        <v>0</v>
      </c>
    </row>
    <row r="1458" spans="32:32" x14ac:dyDescent="0.3">
      <c r="AF1458" s="47">
        <f t="shared" si="22"/>
        <v>0</v>
      </c>
    </row>
    <row r="1459" spans="32:32" x14ac:dyDescent="0.3">
      <c r="AF1459" s="47">
        <f t="shared" si="22"/>
        <v>0</v>
      </c>
    </row>
    <row r="1460" spans="32:32" x14ac:dyDescent="0.3">
      <c r="AF1460" s="47">
        <f t="shared" si="22"/>
        <v>0</v>
      </c>
    </row>
    <row r="1461" spans="32:32" x14ac:dyDescent="0.3">
      <c r="AF1461" s="47">
        <f t="shared" si="22"/>
        <v>0</v>
      </c>
    </row>
    <row r="1462" spans="32:32" x14ac:dyDescent="0.3">
      <c r="AF1462" s="47">
        <f t="shared" si="22"/>
        <v>0</v>
      </c>
    </row>
    <row r="1463" spans="32:32" x14ac:dyDescent="0.3">
      <c r="AF1463" s="47">
        <f t="shared" si="22"/>
        <v>0</v>
      </c>
    </row>
    <row r="1464" spans="32:32" x14ac:dyDescent="0.3">
      <c r="AF1464" s="47">
        <f t="shared" si="22"/>
        <v>0</v>
      </c>
    </row>
    <row r="1465" spans="32:32" x14ac:dyDescent="0.3">
      <c r="AF1465" s="47">
        <f t="shared" si="22"/>
        <v>0</v>
      </c>
    </row>
    <row r="1466" spans="32:32" x14ac:dyDescent="0.3">
      <c r="AF1466" s="47">
        <f t="shared" si="22"/>
        <v>0</v>
      </c>
    </row>
    <row r="1467" spans="32:32" x14ac:dyDescent="0.3">
      <c r="AF1467" s="47">
        <f t="shared" si="22"/>
        <v>0</v>
      </c>
    </row>
    <row r="1468" spans="32:32" x14ac:dyDescent="0.3">
      <c r="AF1468" s="47">
        <f t="shared" si="22"/>
        <v>0</v>
      </c>
    </row>
    <row r="1469" spans="32:32" x14ac:dyDescent="0.3">
      <c r="AF1469" s="47">
        <f t="shared" si="22"/>
        <v>0</v>
      </c>
    </row>
    <row r="1470" spans="32:32" x14ac:dyDescent="0.3">
      <c r="AF1470" s="47">
        <f t="shared" si="22"/>
        <v>0</v>
      </c>
    </row>
    <row r="1471" spans="32:32" x14ac:dyDescent="0.3">
      <c r="AF1471" s="47">
        <f t="shared" si="22"/>
        <v>0</v>
      </c>
    </row>
    <row r="1472" spans="32:32" x14ac:dyDescent="0.3">
      <c r="AF1472" s="47">
        <f t="shared" si="22"/>
        <v>0</v>
      </c>
    </row>
    <row r="1473" spans="32:32" x14ac:dyDescent="0.3">
      <c r="AF1473" s="47">
        <f t="shared" si="22"/>
        <v>0</v>
      </c>
    </row>
    <row r="1474" spans="32:32" x14ac:dyDescent="0.3">
      <c r="AF1474" s="47">
        <f t="shared" si="22"/>
        <v>0</v>
      </c>
    </row>
    <row r="1475" spans="32:32" x14ac:dyDescent="0.3">
      <c r="AF1475" s="47">
        <f t="shared" ref="AF1475:AF1538" si="23">IFERROR(AC1475-Y1475,"")</f>
        <v>0</v>
      </c>
    </row>
    <row r="1476" spans="32:32" x14ac:dyDescent="0.3">
      <c r="AF1476" s="47">
        <f t="shared" si="23"/>
        <v>0</v>
      </c>
    </row>
    <row r="1477" spans="32:32" x14ac:dyDescent="0.3">
      <c r="AF1477" s="47">
        <f t="shared" si="23"/>
        <v>0</v>
      </c>
    </row>
    <row r="1478" spans="32:32" x14ac:dyDescent="0.3">
      <c r="AF1478" s="47">
        <f t="shared" si="23"/>
        <v>0</v>
      </c>
    </row>
    <row r="1479" spans="32:32" x14ac:dyDescent="0.3">
      <c r="AF1479" s="47">
        <f t="shared" si="23"/>
        <v>0</v>
      </c>
    </row>
    <row r="1480" spans="32:32" x14ac:dyDescent="0.3">
      <c r="AF1480" s="47">
        <f t="shared" si="23"/>
        <v>0</v>
      </c>
    </row>
    <row r="1481" spans="32:32" x14ac:dyDescent="0.3">
      <c r="AF1481" s="47">
        <f t="shared" si="23"/>
        <v>0</v>
      </c>
    </row>
    <row r="1482" spans="32:32" x14ac:dyDescent="0.3">
      <c r="AF1482" s="47">
        <f t="shared" si="23"/>
        <v>0</v>
      </c>
    </row>
    <row r="1483" spans="32:32" x14ac:dyDescent="0.3">
      <c r="AF1483" s="47">
        <f t="shared" si="23"/>
        <v>0</v>
      </c>
    </row>
    <row r="1484" spans="32:32" x14ac:dyDescent="0.3">
      <c r="AF1484" s="47">
        <f t="shared" si="23"/>
        <v>0</v>
      </c>
    </row>
    <row r="1485" spans="32:32" x14ac:dyDescent="0.3">
      <c r="AF1485" s="47">
        <f t="shared" si="23"/>
        <v>0</v>
      </c>
    </row>
    <row r="1486" spans="32:32" x14ac:dyDescent="0.3">
      <c r="AF1486" s="47">
        <f t="shared" si="23"/>
        <v>0</v>
      </c>
    </row>
    <row r="1487" spans="32:32" x14ac:dyDescent="0.3">
      <c r="AF1487" s="47">
        <f t="shared" si="23"/>
        <v>0</v>
      </c>
    </row>
    <row r="1488" spans="32:32" x14ac:dyDescent="0.3">
      <c r="AF1488" s="47">
        <f t="shared" si="23"/>
        <v>0</v>
      </c>
    </row>
    <row r="1489" spans="32:32" x14ac:dyDescent="0.3">
      <c r="AF1489" s="47">
        <f t="shared" si="23"/>
        <v>0</v>
      </c>
    </row>
    <row r="1490" spans="32:32" x14ac:dyDescent="0.3">
      <c r="AF1490" s="47">
        <f t="shared" si="23"/>
        <v>0</v>
      </c>
    </row>
    <row r="1491" spans="32:32" x14ac:dyDescent="0.3">
      <c r="AF1491" s="47">
        <f t="shared" si="23"/>
        <v>0</v>
      </c>
    </row>
    <row r="1492" spans="32:32" x14ac:dyDescent="0.3">
      <c r="AF1492" s="47">
        <f t="shared" si="23"/>
        <v>0</v>
      </c>
    </row>
    <row r="1493" spans="32:32" x14ac:dyDescent="0.3">
      <c r="AF1493" s="47">
        <f t="shared" si="23"/>
        <v>0</v>
      </c>
    </row>
    <row r="1494" spans="32:32" x14ac:dyDescent="0.3">
      <c r="AF1494" s="47">
        <f t="shared" si="23"/>
        <v>0</v>
      </c>
    </row>
    <row r="1495" spans="32:32" x14ac:dyDescent="0.3">
      <c r="AF1495" s="47">
        <f t="shared" si="23"/>
        <v>0</v>
      </c>
    </row>
    <row r="1496" spans="32:32" x14ac:dyDescent="0.3">
      <c r="AF1496" s="47">
        <f t="shared" si="23"/>
        <v>0</v>
      </c>
    </row>
    <row r="1497" spans="32:32" x14ac:dyDescent="0.3">
      <c r="AF1497" s="47">
        <f t="shared" si="23"/>
        <v>0</v>
      </c>
    </row>
    <row r="1498" spans="32:32" x14ac:dyDescent="0.3">
      <c r="AF1498" s="47">
        <f t="shared" si="23"/>
        <v>0</v>
      </c>
    </row>
    <row r="1499" spans="32:32" x14ac:dyDescent="0.3">
      <c r="AF1499" s="47">
        <f t="shared" si="23"/>
        <v>0</v>
      </c>
    </row>
    <row r="1500" spans="32:32" x14ac:dyDescent="0.3">
      <c r="AF1500" s="47">
        <f t="shared" si="23"/>
        <v>0</v>
      </c>
    </row>
    <row r="1501" spans="32:32" x14ac:dyDescent="0.3">
      <c r="AF1501" s="47">
        <f t="shared" si="23"/>
        <v>0</v>
      </c>
    </row>
    <row r="1502" spans="32:32" x14ac:dyDescent="0.3">
      <c r="AF1502" s="47">
        <f t="shared" si="23"/>
        <v>0</v>
      </c>
    </row>
    <row r="1503" spans="32:32" x14ac:dyDescent="0.3">
      <c r="AF1503" s="47">
        <f t="shared" si="23"/>
        <v>0</v>
      </c>
    </row>
    <row r="1504" spans="32:32" x14ac:dyDescent="0.3">
      <c r="AF1504" s="47">
        <f t="shared" si="23"/>
        <v>0</v>
      </c>
    </row>
    <row r="1505" spans="32:32" x14ac:dyDescent="0.3">
      <c r="AF1505" s="47">
        <f t="shared" si="23"/>
        <v>0</v>
      </c>
    </row>
    <row r="1506" spans="32:32" x14ac:dyDescent="0.3">
      <c r="AF1506" s="47">
        <f t="shared" si="23"/>
        <v>0</v>
      </c>
    </row>
    <row r="1507" spans="32:32" x14ac:dyDescent="0.3">
      <c r="AF1507" s="47">
        <f t="shared" si="23"/>
        <v>0</v>
      </c>
    </row>
    <row r="1508" spans="32:32" x14ac:dyDescent="0.3">
      <c r="AF1508" s="47">
        <f t="shared" si="23"/>
        <v>0</v>
      </c>
    </row>
    <row r="1509" spans="32:32" x14ac:dyDescent="0.3">
      <c r="AF1509" s="47">
        <f t="shared" si="23"/>
        <v>0</v>
      </c>
    </row>
    <row r="1510" spans="32:32" x14ac:dyDescent="0.3">
      <c r="AF1510" s="47">
        <f t="shared" si="23"/>
        <v>0</v>
      </c>
    </row>
    <row r="1511" spans="32:32" x14ac:dyDescent="0.3">
      <c r="AF1511" s="47">
        <f t="shared" si="23"/>
        <v>0</v>
      </c>
    </row>
    <row r="1512" spans="32:32" x14ac:dyDescent="0.3">
      <c r="AF1512" s="47">
        <f t="shared" si="23"/>
        <v>0</v>
      </c>
    </row>
    <row r="1513" spans="32:32" x14ac:dyDescent="0.3">
      <c r="AF1513" s="47">
        <f t="shared" si="23"/>
        <v>0</v>
      </c>
    </row>
    <row r="1514" spans="32:32" x14ac:dyDescent="0.3">
      <c r="AF1514" s="47">
        <f t="shared" si="23"/>
        <v>0</v>
      </c>
    </row>
    <row r="1515" spans="32:32" x14ac:dyDescent="0.3">
      <c r="AF1515" s="47">
        <f t="shared" si="23"/>
        <v>0</v>
      </c>
    </row>
    <row r="1516" spans="32:32" x14ac:dyDescent="0.3">
      <c r="AF1516" s="47">
        <f t="shared" si="23"/>
        <v>0</v>
      </c>
    </row>
    <row r="1517" spans="32:32" x14ac:dyDescent="0.3">
      <c r="AF1517" s="47">
        <f t="shared" si="23"/>
        <v>0</v>
      </c>
    </row>
    <row r="1518" spans="32:32" x14ac:dyDescent="0.3">
      <c r="AF1518" s="47">
        <f t="shared" si="23"/>
        <v>0</v>
      </c>
    </row>
    <row r="1519" spans="32:32" x14ac:dyDescent="0.3">
      <c r="AF1519" s="47">
        <f t="shared" si="23"/>
        <v>0</v>
      </c>
    </row>
    <row r="1520" spans="32:32" x14ac:dyDescent="0.3">
      <c r="AF1520" s="47">
        <f t="shared" si="23"/>
        <v>0</v>
      </c>
    </row>
    <row r="1521" spans="32:32" x14ac:dyDescent="0.3">
      <c r="AF1521" s="47">
        <f t="shared" si="23"/>
        <v>0</v>
      </c>
    </row>
    <row r="1522" spans="32:32" x14ac:dyDescent="0.3">
      <c r="AF1522" s="47">
        <f t="shared" si="23"/>
        <v>0</v>
      </c>
    </row>
    <row r="1523" spans="32:32" x14ac:dyDescent="0.3">
      <c r="AF1523" s="47">
        <f t="shared" si="23"/>
        <v>0</v>
      </c>
    </row>
    <row r="1524" spans="32:32" x14ac:dyDescent="0.3">
      <c r="AF1524" s="47">
        <f t="shared" si="23"/>
        <v>0</v>
      </c>
    </row>
    <row r="1525" spans="32:32" x14ac:dyDescent="0.3">
      <c r="AF1525" s="47">
        <f t="shared" si="23"/>
        <v>0</v>
      </c>
    </row>
    <row r="1526" spans="32:32" x14ac:dyDescent="0.3">
      <c r="AF1526" s="47">
        <f t="shared" si="23"/>
        <v>0</v>
      </c>
    </row>
    <row r="1527" spans="32:32" x14ac:dyDescent="0.3">
      <c r="AF1527" s="47">
        <f t="shared" si="23"/>
        <v>0</v>
      </c>
    </row>
    <row r="1528" spans="32:32" x14ac:dyDescent="0.3">
      <c r="AF1528" s="47">
        <f t="shared" si="23"/>
        <v>0</v>
      </c>
    </row>
    <row r="1529" spans="32:32" x14ac:dyDescent="0.3">
      <c r="AF1529" s="47">
        <f t="shared" si="23"/>
        <v>0</v>
      </c>
    </row>
    <row r="1530" spans="32:32" x14ac:dyDescent="0.3">
      <c r="AF1530" s="47">
        <f t="shared" si="23"/>
        <v>0</v>
      </c>
    </row>
    <row r="1531" spans="32:32" x14ac:dyDescent="0.3">
      <c r="AF1531" s="47">
        <f t="shared" si="23"/>
        <v>0</v>
      </c>
    </row>
    <row r="1532" spans="32:32" x14ac:dyDescent="0.3">
      <c r="AF1532" s="47">
        <f t="shared" si="23"/>
        <v>0</v>
      </c>
    </row>
    <row r="1533" spans="32:32" x14ac:dyDescent="0.3">
      <c r="AF1533" s="47">
        <f t="shared" si="23"/>
        <v>0</v>
      </c>
    </row>
    <row r="1534" spans="32:32" x14ac:dyDescent="0.3">
      <c r="AF1534" s="47">
        <f t="shared" si="23"/>
        <v>0</v>
      </c>
    </row>
    <row r="1535" spans="32:32" x14ac:dyDescent="0.3">
      <c r="AF1535" s="47">
        <f t="shared" si="23"/>
        <v>0</v>
      </c>
    </row>
    <row r="1536" spans="32:32" x14ac:dyDescent="0.3">
      <c r="AF1536" s="47">
        <f t="shared" si="23"/>
        <v>0</v>
      </c>
    </row>
    <row r="1537" spans="32:32" x14ac:dyDescent="0.3">
      <c r="AF1537" s="47">
        <f t="shared" si="23"/>
        <v>0</v>
      </c>
    </row>
    <row r="1538" spans="32:32" x14ac:dyDescent="0.3">
      <c r="AF1538" s="47">
        <f t="shared" si="23"/>
        <v>0</v>
      </c>
    </row>
    <row r="1539" spans="32:32" x14ac:dyDescent="0.3">
      <c r="AF1539" s="47">
        <f t="shared" ref="AF1539:AF1602" si="24">IFERROR(AC1539-Y1539,"")</f>
        <v>0</v>
      </c>
    </row>
    <row r="1540" spans="32:32" x14ac:dyDescent="0.3">
      <c r="AF1540" s="47">
        <f t="shared" si="24"/>
        <v>0</v>
      </c>
    </row>
    <row r="1541" spans="32:32" x14ac:dyDescent="0.3">
      <c r="AF1541" s="47">
        <f t="shared" si="24"/>
        <v>0</v>
      </c>
    </row>
    <row r="1542" spans="32:32" x14ac:dyDescent="0.3">
      <c r="AF1542" s="47">
        <f t="shared" si="24"/>
        <v>0</v>
      </c>
    </row>
    <row r="1543" spans="32:32" x14ac:dyDescent="0.3">
      <c r="AF1543" s="47">
        <f t="shared" si="24"/>
        <v>0</v>
      </c>
    </row>
    <row r="1544" spans="32:32" x14ac:dyDescent="0.3">
      <c r="AF1544" s="47">
        <f t="shared" si="24"/>
        <v>0</v>
      </c>
    </row>
    <row r="1545" spans="32:32" x14ac:dyDescent="0.3">
      <c r="AF1545" s="47">
        <f t="shared" si="24"/>
        <v>0</v>
      </c>
    </row>
    <row r="1546" spans="32:32" x14ac:dyDescent="0.3">
      <c r="AF1546" s="47">
        <f t="shared" si="24"/>
        <v>0</v>
      </c>
    </row>
    <row r="1547" spans="32:32" x14ac:dyDescent="0.3">
      <c r="AF1547" s="47">
        <f t="shared" si="24"/>
        <v>0</v>
      </c>
    </row>
    <row r="1548" spans="32:32" x14ac:dyDescent="0.3">
      <c r="AF1548" s="47">
        <f t="shared" si="24"/>
        <v>0</v>
      </c>
    </row>
    <row r="1549" spans="32:32" x14ac:dyDescent="0.3">
      <c r="AF1549" s="47">
        <f t="shared" si="24"/>
        <v>0</v>
      </c>
    </row>
    <row r="1550" spans="32:32" x14ac:dyDescent="0.3">
      <c r="AF1550" s="47">
        <f t="shared" si="24"/>
        <v>0</v>
      </c>
    </row>
    <row r="1551" spans="32:32" x14ac:dyDescent="0.3">
      <c r="AF1551" s="47">
        <f t="shared" si="24"/>
        <v>0</v>
      </c>
    </row>
    <row r="1552" spans="32:32" x14ac:dyDescent="0.3">
      <c r="AF1552" s="47">
        <f t="shared" si="24"/>
        <v>0</v>
      </c>
    </row>
    <row r="1553" spans="32:32" x14ac:dyDescent="0.3">
      <c r="AF1553" s="47">
        <f t="shared" si="24"/>
        <v>0</v>
      </c>
    </row>
    <row r="1554" spans="32:32" x14ac:dyDescent="0.3">
      <c r="AF1554" s="47">
        <f t="shared" si="24"/>
        <v>0</v>
      </c>
    </row>
    <row r="1555" spans="32:32" x14ac:dyDescent="0.3">
      <c r="AF1555" s="47">
        <f t="shared" si="24"/>
        <v>0</v>
      </c>
    </row>
    <row r="1556" spans="32:32" x14ac:dyDescent="0.3">
      <c r="AF1556" s="47">
        <f t="shared" si="24"/>
        <v>0</v>
      </c>
    </row>
    <row r="1557" spans="32:32" x14ac:dyDescent="0.3">
      <c r="AF1557" s="47">
        <f t="shared" si="24"/>
        <v>0</v>
      </c>
    </row>
    <row r="1558" spans="32:32" x14ac:dyDescent="0.3">
      <c r="AF1558" s="47">
        <f t="shared" si="24"/>
        <v>0</v>
      </c>
    </row>
    <row r="1559" spans="32:32" x14ac:dyDescent="0.3">
      <c r="AF1559" s="47">
        <f t="shared" si="24"/>
        <v>0</v>
      </c>
    </row>
    <row r="1560" spans="32:32" x14ac:dyDescent="0.3">
      <c r="AF1560" s="47">
        <f t="shared" si="24"/>
        <v>0</v>
      </c>
    </row>
    <row r="1561" spans="32:32" x14ac:dyDescent="0.3">
      <c r="AF1561" s="47">
        <f t="shared" si="24"/>
        <v>0</v>
      </c>
    </row>
    <row r="1562" spans="32:32" x14ac:dyDescent="0.3">
      <c r="AF1562" s="47">
        <f t="shared" si="24"/>
        <v>0</v>
      </c>
    </row>
    <row r="1563" spans="32:32" x14ac:dyDescent="0.3">
      <c r="AF1563" s="47">
        <f t="shared" si="24"/>
        <v>0</v>
      </c>
    </row>
    <row r="1564" spans="32:32" x14ac:dyDescent="0.3">
      <c r="AF1564" s="47">
        <f t="shared" si="24"/>
        <v>0</v>
      </c>
    </row>
    <row r="1565" spans="32:32" x14ac:dyDescent="0.3">
      <c r="AF1565" s="47">
        <f t="shared" si="24"/>
        <v>0</v>
      </c>
    </row>
    <row r="1566" spans="32:32" x14ac:dyDescent="0.3">
      <c r="AF1566" s="47">
        <f t="shared" si="24"/>
        <v>0</v>
      </c>
    </row>
    <row r="1567" spans="32:32" x14ac:dyDescent="0.3">
      <c r="AF1567" s="47">
        <f t="shared" si="24"/>
        <v>0</v>
      </c>
    </row>
    <row r="1568" spans="32:32" x14ac:dyDescent="0.3">
      <c r="AF1568" s="47">
        <f t="shared" si="24"/>
        <v>0</v>
      </c>
    </row>
    <row r="1569" spans="32:32" x14ac:dyDescent="0.3">
      <c r="AF1569" s="47">
        <f t="shared" si="24"/>
        <v>0</v>
      </c>
    </row>
    <row r="1570" spans="32:32" x14ac:dyDescent="0.3">
      <c r="AF1570" s="47">
        <f t="shared" si="24"/>
        <v>0</v>
      </c>
    </row>
    <row r="1571" spans="32:32" x14ac:dyDescent="0.3">
      <c r="AF1571" s="47">
        <f t="shared" si="24"/>
        <v>0</v>
      </c>
    </row>
    <row r="1572" spans="32:32" x14ac:dyDescent="0.3">
      <c r="AF1572" s="47">
        <f t="shared" si="24"/>
        <v>0</v>
      </c>
    </row>
    <row r="1573" spans="32:32" x14ac:dyDescent="0.3">
      <c r="AF1573" s="47">
        <f t="shared" si="24"/>
        <v>0</v>
      </c>
    </row>
    <row r="1574" spans="32:32" x14ac:dyDescent="0.3">
      <c r="AF1574" s="47">
        <f t="shared" si="24"/>
        <v>0</v>
      </c>
    </row>
    <row r="1575" spans="32:32" x14ac:dyDescent="0.3">
      <c r="AF1575" s="47">
        <f t="shared" si="24"/>
        <v>0</v>
      </c>
    </row>
    <row r="1576" spans="32:32" x14ac:dyDescent="0.3">
      <c r="AF1576" s="47">
        <f t="shared" si="24"/>
        <v>0</v>
      </c>
    </row>
    <row r="1577" spans="32:32" x14ac:dyDescent="0.3">
      <c r="AF1577" s="47">
        <f t="shared" si="24"/>
        <v>0</v>
      </c>
    </row>
    <row r="1578" spans="32:32" x14ac:dyDescent="0.3">
      <c r="AF1578" s="47">
        <f t="shared" si="24"/>
        <v>0</v>
      </c>
    </row>
    <row r="1579" spans="32:32" x14ac:dyDescent="0.3">
      <c r="AF1579" s="47">
        <f t="shared" si="24"/>
        <v>0</v>
      </c>
    </row>
    <row r="1580" spans="32:32" x14ac:dyDescent="0.3">
      <c r="AF1580" s="47">
        <f t="shared" si="24"/>
        <v>0</v>
      </c>
    </row>
    <row r="1581" spans="32:32" x14ac:dyDescent="0.3">
      <c r="AF1581" s="47">
        <f t="shared" si="24"/>
        <v>0</v>
      </c>
    </row>
    <row r="1582" spans="32:32" x14ac:dyDescent="0.3">
      <c r="AF1582" s="47">
        <f t="shared" si="24"/>
        <v>0</v>
      </c>
    </row>
    <row r="1583" spans="32:32" x14ac:dyDescent="0.3">
      <c r="AF1583" s="47">
        <f t="shared" si="24"/>
        <v>0</v>
      </c>
    </row>
    <row r="1584" spans="32:32" x14ac:dyDescent="0.3">
      <c r="AF1584" s="47">
        <f t="shared" si="24"/>
        <v>0</v>
      </c>
    </row>
    <row r="1585" spans="32:32" x14ac:dyDescent="0.3">
      <c r="AF1585" s="47">
        <f t="shared" si="24"/>
        <v>0</v>
      </c>
    </row>
    <row r="1586" spans="32:32" x14ac:dyDescent="0.3">
      <c r="AF1586" s="47">
        <f t="shared" si="24"/>
        <v>0</v>
      </c>
    </row>
    <row r="1587" spans="32:32" x14ac:dyDescent="0.3">
      <c r="AF1587" s="47">
        <f t="shared" si="24"/>
        <v>0</v>
      </c>
    </row>
    <row r="1588" spans="32:32" x14ac:dyDescent="0.3">
      <c r="AF1588" s="47">
        <f t="shared" si="24"/>
        <v>0</v>
      </c>
    </row>
    <row r="1589" spans="32:32" x14ac:dyDescent="0.3">
      <c r="AF1589" s="47">
        <f t="shared" si="24"/>
        <v>0</v>
      </c>
    </row>
    <row r="1590" spans="32:32" x14ac:dyDescent="0.3">
      <c r="AF1590" s="47">
        <f t="shared" si="24"/>
        <v>0</v>
      </c>
    </row>
    <row r="1591" spans="32:32" x14ac:dyDescent="0.3">
      <c r="AF1591" s="47">
        <f t="shared" si="24"/>
        <v>0</v>
      </c>
    </row>
    <row r="1592" spans="32:32" x14ac:dyDescent="0.3">
      <c r="AF1592" s="47">
        <f t="shared" si="24"/>
        <v>0</v>
      </c>
    </row>
    <row r="1593" spans="32:32" x14ac:dyDescent="0.3">
      <c r="AF1593" s="47">
        <f t="shared" si="24"/>
        <v>0</v>
      </c>
    </row>
    <row r="1594" spans="32:32" x14ac:dyDescent="0.3">
      <c r="AF1594" s="47">
        <f t="shared" si="24"/>
        <v>0</v>
      </c>
    </row>
    <row r="1595" spans="32:32" x14ac:dyDescent="0.3">
      <c r="AF1595" s="47">
        <f t="shared" si="24"/>
        <v>0</v>
      </c>
    </row>
    <row r="1596" spans="32:32" x14ac:dyDescent="0.3">
      <c r="AF1596" s="47">
        <f t="shared" si="24"/>
        <v>0</v>
      </c>
    </row>
    <row r="1597" spans="32:32" x14ac:dyDescent="0.3">
      <c r="AF1597" s="47">
        <f t="shared" si="24"/>
        <v>0</v>
      </c>
    </row>
    <row r="1598" spans="32:32" x14ac:dyDescent="0.3">
      <c r="AF1598" s="47">
        <f t="shared" si="24"/>
        <v>0</v>
      </c>
    </row>
    <row r="1599" spans="32:32" x14ac:dyDescent="0.3">
      <c r="AF1599" s="47">
        <f t="shared" si="24"/>
        <v>0</v>
      </c>
    </row>
    <row r="1600" spans="32:32" x14ac:dyDescent="0.3">
      <c r="AF1600" s="47">
        <f t="shared" si="24"/>
        <v>0</v>
      </c>
    </row>
    <row r="1601" spans="32:32" x14ac:dyDescent="0.3">
      <c r="AF1601" s="47">
        <f t="shared" si="24"/>
        <v>0</v>
      </c>
    </row>
    <row r="1602" spans="32:32" x14ac:dyDescent="0.3">
      <c r="AF1602" s="47">
        <f t="shared" si="24"/>
        <v>0</v>
      </c>
    </row>
    <row r="1603" spans="32:32" x14ac:dyDescent="0.3">
      <c r="AF1603" s="47">
        <f t="shared" ref="AF1603:AF1666" si="25">IFERROR(AC1603-Y1603,"")</f>
        <v>0</v>
      </c>
    </row>
    <row r="1604" spans="32:32" x14ac:dyDescent="0.3">
      <c r="AF1604" s="47">
        <f t="shared" si="25"/>
        <v>0</v>
      </c>
    </row>
    <row r="1605" spans="32:32" x14ac:dyDescent="0.3">
      <c r="AF1605" s="47">
        <f t="shared" si="25"/>
        <v>0</v>
      </c>
    </row>
    <row r="1606" spans="32:32" x14ac:dyDescent="0.3">
      <c r="AF1606" s="47">
        <f t="shared" si="25"/>
        <v>0</v>
      </c>
    </row>
    <row r="1607" spans="32:32" x14ac:dyDescent="0.3">
      <c r="AF1607" s="47">
        <f t="shared" si="25"/>
        <v>0</v>
      </c>
    </row>
    <row r="1608" spans="32:32" x14ac:dyDescent="0.3">
      <c r="AF1608" s="47">
        <f t="shared" si="25"/>
        <v>0</v>
      </c>
    </row>
    <row r="1609" spans="32:32" x14ac:dyDescent="0.3">
      <c r="AF1609" s="47">
        <f t="shared" si="25"/>
        <v>0</v>
      </c>
    </row>
    <row r="1610" spans="32:32" x14ac:dyDescent="0.3">
      <c r="AF1610" s="47">
        <f t="shared" si="25"/>
        <v>0</v>
      </c>
    </row>
    <row r="1611" spans="32:32" x14ac:dyDescent="0.3">
      <c r="AF1611" s="47">
        <f t="shared" si="25"/>
        <v>0</v>
      </c>
    </row>
    <row r="1612" spans="32:32" x14ac:dyDescent="0.3">
      <c r="AF1612" s="47">
        <f t="shared" si="25"/>
        <v>0</v>
      </c>
    </row>
    <row r="1613" spans="32:32" x14ac:dyDescent="0.3">
      <c r="AF1613" s="47">
        <f t="shared" si="25"/>
        <v>0</v>
      </c>
    </row>
    <row r="1614" spans="32:32" x14ac:dyDescent="0.3">
      <c r="AF1614" s="47">
        <f t="shared" si="25"/>
        <v>0</v>
      </c>
    </row>
    <row r="1615" spans="32:32" x14ac:dyDescent="0.3">
      <c r="AF1615" s="47">
        <f t="shared" si="25"/>
        <v>0</v>
      </c>
    </row>
    <row r="1616" spans="32:32" x14ac:dyDescent="0.3">
      <c r="AF1616" s="47">
        <f t="shared" si="25"/>
        <v>0</v>
      </c>
    </row>
    <row r="1617" spans="32:32" x14ac:dyDescent="0.3">
      <c r="AF1617" s="47">
        <f t="shared" si="25"/>
        <v>0</v>
      </c>
    </row>
    <row r="1618" spans="32:32" x14ac:dyDescent="0.3">
      <c r="AF1618" s="47">
        <f t="shared" si="25"/>
        <v>0</v>
      </c>
    </row>
    <row r="1619" spans="32:32" x14ac:dyDescent="0.3">
      <c r="AF1619" s="47">
        <f t="shared" si="25"/>
        <v>0</v>
      </c>
    </row>
    <row r="1620" spans="32:32" x14ac:dyDescent="0.3">
      <c r="AF1620" s="47">
        <f t="shared" si="25"/>
        <v>0</v>
      </c>
    </row>
    <row r="1621" spans="32:32" x14ac:dyDescent="0.3">
      <c r="AF1621" s="47">
        <f t="shared" si="25"/>
        <v>0</v>
      </c>
    </row>
    <row r="1622" spans="32:32" x14ac:dyDescent="0.3">
      <c r="AF1622" s="47">
        <f t="shared" si="25"/>
        <v>0</v>
      </c>
    </row>
    <row r="1623" spans="32:32" x14ac:dyDescent="0.3">
      <c r="AF1623" s="47">
        <f t="shared" si="25"/>
        <v>0</v>
      </c>
    </row>
    <row r="1624" spans="32:32" x14ac:dyDescent="0.3">
      <c r="AF1624" s="47">
        <f t="shared" si="25"/>
        <v>0</v>
      </c>
    </row>
    <row r="1625" spans="32:32" x14ac:dyDescent="0.3">
      <c r="AF1625" s="47">
        <f t="shared" si="25"/>
        <v>0</v>
      </c>
    </row>
    <row r="1626" spans="32:32" x14ac:dyDescent="0.3">
      <c r="AF1626" s="47">
        <f t="shared" si="25"/>
        <v>0</v>
      </c>
    </row>
    <row r="1627" spans="32:32" x14ac:dyDescent="0.3">
      <c r="AF1627" s="47">
        <f t="shared" si="25"/>
        <v>0</v>
      </c>
    </row>
    <row r="1628" spans="32:32" x14ac:dyDescent="0.3">
      <c r="AF1628" s="47">
        <f t="shared" si="25"/>
        <v>0</v>
      </c>
    </row>
    <row r="1629" spans="32:32" x14ac:dyDescent="0.3">
      <c r="AF1629" s="47">
        <f t="shared" si="25"/>
        <v>0</v>
      </c>
    </row>
    <row r="1630" spans="32:32" x14ac:dyDescent="0.3">
      <c r="AF1630" s="47">
        <f t="shared" si="25"/>
        <v>0</v>
      </c>
    </row>
    <row r="1631" spans="32:32" x14ac:dyDescent="0.3">
      <c r="AF1631" s="47">
        <f t="shared" si="25"/>
        <v>0</v>
      </c>
    </row>
    <row r="1632" spans="32:32" x14ac:dyDescent="0.3">
      <c r="AF1632" s="47">
        <f t="shared" si="25"/>
        <v>0</v>
      </c>
    </row>
    <row r="1633" spans="32:32" x14ac:dyDescent="0.3">
      <c r="AF1633" s="47">
        <f t="shared" si="25"/>
        <v>0</v>
      </c>
    </row>
    <row r="1634" spans="32:32" x14ac:dyDescent="0.3">
      <c r="AF1634" s="47">
        <f t="shared" si="25"/>
        <v>0</v>
      </c>
    </row>
    <row r="1635" spans="32:32" x14ac:dyDescent="0.3">
      <c r="AF1635" s="47">
        <f t="shared" si="25"/>
        <v>0</v>
      </c>
    </row>
    <row r="1636" spans="32:32" x14ac:dyDescent="0.3">
      <c r="AF1636" s="47">
        <f t="shared" si="25"/>
        <v>0</v>
      </c>
    </row>
    <row r="1637" spans="32:32" x14ac:dyDescent="0.3">
      <c r="AF1637" s="47">
        <f t="shared" si="25"/>
        <v>0</v>
      </c>
    </row>
    <row r="1638" spans="32:32" x14ac:dyDescent="0.3">
      <c r="AF1638" s="47">
        <f t="shared" si="25"/>
        <v>0</v>
      </c>
    </row>
    <row r="1639" spans="32:32" x14ac:dyDescent="0.3">
      <c r="AF1639" s="47">
        <f t="shared" si="25"/>
        <v>0</v>
      </c>
    </row>
    <row r="1640" spans="32:32" x14ac:dyDescent="0.3">
      <c r="AF1640" s="47">
        <f t="shared" si="25"/>
        <v>0</v>
      </c>
    </row>
    <row r="1641" spans="32:32" x14ac:dyDescent="0.3">
      <c r="AF1641" s="47">
        <f t="shared" si="25"/>
        <v>0</v>
      </c>
    </row>
    <row r="1642" spans="32:32" x14ac:dyDescent="0.3">
      <c r="AF1642" s="47">
        <f t="shared" si="25"/>
        <v>0</v>
      </c>
    </row>
    <row r="1643" spans="32:32" x14ac:dyDescent="0.3">
      <c r="AF1643" s="47">
        <f t="shared" si="25"/>
        <v>0</v>
      </c>
    </row>
    <row r="1644" spans="32:32" x14ac:dyDescent="0.3">
      <c r="AF1644" s="47">
        <f t="shared" si="25"/>
        <v>0</v>
      </c>
    </row>
    <row r="1645" spans="32:32" x14ac:dyDescent="0.3">
      <c r="AF1645" s="47">
        <f t="shared" si="25"/>
        <v>0</v>
      </c>
    </row>
    <row r="1646" spans="32:32" x14ac:dyDescent="0.3">
      <c r="AF1646" s="47">
        <f t="shared" si="25"/>
        <v>0</v>
      </c>
    </row>
    <row r="1647" spans="32:32" x14ac:dyDescent="0.3">
      <c r="AF1647" s="47">
        <f t="shared" si="25"/>
        <v>0</v>
      </c>
    </row>
    <row r="1648" spans="32:32" x14ac:dyDescent="0.3">
      <c r="AF1648" s="47">
        <f t="shared" si="25"/>
        <v>0</v>
      </c>
    </row>
    <row r="1649" spans="32:32" x14ac:dyDescent="0.3">
      <c r="AF1649" s="47">
        <f t="shared" si="25"/>
        <v>0</v>
      </c>
    </row>
    <row r="1650" spans="32:32" x14ac:dyDescent="0.3">
      <c r="AF1650" s="47">
        <f t="shared" si="25"/>
        <v>0</v>
      </c>
    </row>
    <row r="1651" spans="32:32" x14ac:dyDescent="0.3">
      <c r="AF1651" s="47">
        <f t="shared" si="25"/>
        <v>0</v>
      </c>
    </row>
    <row r="1652" spans="32:32" x14ac:dyDescent="0.3">
      <c r="AF1652" s="47">
        <f t="shared" si="25"/>
        <v>0</v>
      </c>
    </row>
    <row r="1653" spans="32:32" x14ac:dyDescent="0.3">
      <c r="AF1653" s="47">
        <f t="shared" si="25"/>
        <v>0</v>
      </c>
    </row>
    <row r="1654" spans="32:32" x14ac:dyDescent="0.3">
      <c r="AF1654" s="47">
        <f t="shared" si="25"/>
        <v>0</v>
      </c>
    </row>
    <row r="1655" spans="32:32" x14ac:dyDescent="0.3">
      <c r="AF1655" s="47">
        <f t="shared" si="25"/>
        <v>0</v>
      </c>
    </row>
    <row r="1656" spans="32:32" x14ac:dyDescent="0.3">
      <c r="AF1656" s="47">
        <f t="shared" si="25"/>
        <v>0</v>
      </c>
    </row>
    <row r="1657" spans="32:32" x14ac:dyDescent="0.3">
      <c r="AF1657" s="47">
        <f t="shared" si="25"/>
        <v>0</v>
      </c>
    </row>
    <row r="1658" spans="32:32" x14ac:dyDescent="0.3">
      <c r="AF1658" s="47">
        <f t="shared" si="25"/>
        <v>0</v>
      </c>
    </row>
    <row r="1659" spans="32:32" x14ac:dyDescent="0.3">
      <c r="AF1659" s="47">
        <f t="shared" si="25"/>
        <v>0</v>
      </c>
    </row>
    <row r="1660" spans="32:32" x14ac:dyDescent="0.3">
      <c r="AF1660" s="47">
        <f t="shared" si="25"/>
        <v>0</v>
      </c>
    </row>
    <row r="1661" spans="32:32" x14ac:dyDescent="0.3">
      <c r="AF1661" s="47">
        <f t="shared" si="25"/>
        <v>0</v>
      </c>
    </row>
    <row r="1662" spans="32:32" x14ac:dyDescent="0.3">
      <c r="AF1662" s="47">
        <f t="shared" si="25"/>
        <v>0</v>
      </c>
    </row>
    <row r="1663" spans="32:32" x14ac:dyDescent="0.3">
      <c r="AF1663" s="47">
        <f t="shared" si="25"/>
        <v>0</v>
      </c>
    </row>
    <row r="1664" spans="32:32" x14ac:dyDescent="0.3">
      <c r="AF1664" s="47">
        <f t="shared" si="25"/>
        <v>0</v>
      </c>
    </row>
    <row r="1665" spans="32:32" x14ac:dyDescent="0.3">
      <c r="AF1665" s="47">
        <f t="shared" si="25"/>
        <v>0</v>
      </c>
    </row>
    <row r="1666" spans="32:32" x14ac:dyDescent="0.3">
      <c r="AF1666" s="47">
        <f t="shared" si="25"/>
        <v>0</v>
      </c>
    </row>
    <row r="1667" spans="32:32" x14ac:dyDescent="0.3">
      <c r="AF1667" s="47">
        <f t="shared" ref="AF1667:AF1730" si="26">IFERROR(AC1667-Y1667,"")</f>
        <v>0</v>
      </c>
    </row>
    <row r="1668" spans="32:32" x14ac:dyDescent="0.3">
      <c r="AF1668" s="47">
        <f t="shared" si="26"/>
        <v>0</v>
      </c>
    </row>
    <row r="1669" spans="32:32" x14ac:dyDescent="0.3">
      <c r="AF1669" s="47">
        <f t="shared" si="26"/>
        <v>0</v>
      </c>
    </row>
    <row r="1670" spans="32:32" x14ac:dyDescent="0.3">
      <c r="AF1670" s="47">
        <f t="shared" si="26"/>
        <v>0</v>
      </c>
    </row>
    <row r="1671" spans="32:32" x14ac:dyDescent="0.3">
      <c r="AF1671" s="47">
        <f t="shared" si="26"/>
        <v>0</v>
      </c>
    </row>
    <row r="1672" spans="32:32" x14ac:dyDescent="0.3">
      <c r="AF1672" s="47">
        <f t="shared" si="26"/>
        <v>0</v>
      </c>
    </row>
    <row r="1673" spans="32:32" x14ac:dyDescent="0.3">
      <c r="AF1673" s="47">
        <f t="shared" si="26"/>
        <v>0</v>
      </c>
    </row>
    <row r="1674" spans="32:32" x14ac:dyDescent="0.3">
      <c r="AF1674" s="47">
        <f t="shared" si="26"/>
        <v>0</v>
      </c>
    </row>
    <row r="1675" spans="32:32" x14ac:dyDescent="0.3">
      <c r="AF1675" s="47">
        <f t="shared" si="26"/>
        <v>0</v>
      </c>
    </row>
    <row r="1676" spans="32:32" x14ac:dyDescent="0.3">
      <c r="AF1676" s="47">
        <f t="shared" si="26"/>
        <v>0</v>
      </c>
    </row>
    <row r="1677" spans="32:32" x14ac:dyDescent="0.3">
      <c r="AF1677" s="47">
        <f t="shared" si="26"/>
        <v>0</v>
      </c>
    </row>
    <row r="1678" spans="32:32" x14ac:dyDescent="0.3">
      <c r="AF1678" s="47">
        <f t="shared" si="26"/>
        <v>0</v>
      </c>
    </row>
    <row r="1679" spans="32:32" x14ac:dyDescent="0.3">
      <c r="AF1679" s="47">
        <f t="shared" si="26"/>
        <v>0</v>
      </c>
    </row>
    <row r="1680" spans="32:32" x14ac:dyDescent="0.3">
      <c r="AF1680" s="47">
        <f t="shared" si="26"/>
        <v>0</v>
      </c>
    </row>
    <row r="1681" spans="32:32" x14ac:dyDescent="0.3">
      <c r="AF1681" s="47">
        <f t="shared" si="26"/>
        <v>0</v>
      </c>
    </row>
    <row r="1682" spans="32:32" x14ac:dyDescent="0.3">
      <c r="AF1682" s="47">
        <f t="shared" si="26"/>
        <v>0</v>
      </c>
    </row>
    <row r="1683" spans="32:32" x14ac:dyDescent="0.3">
      <c r="AF1683" s="47">
        <f t="shared" si="26"/>
        <v>0</v>
      </c>
    </row>
    <row r="1684" spans="32:32" x14ac:dyDescent="0.3">
      <c r="AF1684" s="47">
        <f t="shared" si="26"/>
        <v>0</v>
      </c>
    </row>
    <row r="1685" spans="32:32" x14ac:dyDescent="0.3">
      <c r="AF1685" s="47">
        <f t="shared" si="26"/>
        <v>0</v>
      </c>
    </row>
    <row r="1686" spans="32:32" x14ac:dyDescent="0.3">
      <c r="AF1686" s="47">
        <f t="shared" si="26"/>
        <v>0</v>
      </c>
    </row>
    <row r="1687" spans="32:32" x14ac:dyDescent="0.3">
      <c r="AF1687" s="47">
        <f t="shared" si="26"/>
        <v>0</v>
      </c>
    </row>
    <row r="1688" spans="32:32" x14ac:dyDescent="0.3">
      <c r="AF1688" s="47">
        <f t="shared" si="26"/>
        <v>0</v>
      </c>
    </row>
    <row r="1689" spans="32:32" x14ac:dyDescent="0.3">
      <c r="AF1689" s="47">
        <f t="shared" si="26"/>
        <v>0</v>
      </c>
    </row>
    <row r="1690" spans="32:32" x14ac:dyDescent="0.3">
      <c r="AF1690" s="47">
        <f t="shared" si="26"/>
        <v>0</v>
      </c>
    </row>
    <row r="1691" spans="32:32" x14ac:dyDescent="0.3">
      <c r="AF1691" s="47">
        <f t="shared" si="26"/>
        <v>0</v>
      </c>
    </row>
    <row r="1692" spans="32:32" x14ac:dyDescent="0.3">
      <c r="AF1692" s="47">
        <f t="shared" si="26"/>
        <v>0</v>
      </c>
    </row>
    <row r="1693" spans="32:32" x14ac:dyDescent="0.3">
      <c r="AF1693" s="47">
        <f t="shared" si="26"/>
        <v>0</v>
      </c>
    </row>
    <row r="1694" spans="32:32" x14ac:dyDescent="0.3">
      <c r="AF1694" s="47">
        <f t="shared" si="26"/>
        <v>0</v>
      </c>
    </row>
    <row r="1695" spans="32:32" x14ac:dyDescent="0.3">
      <c r="AF1695" s="47">
        <f t="shared" si="26"/>
        <v>0</v>
      </c>
    </row>
    <row r="1696" spans="32:32" x14ac:dyDescent="0.3">
      <c r="AF1696" s="47">
        <f t="shared" si="26"/>
        <v>0</v>
      </c>
    </row>
    <row r="1697" spans="32:32" x14ac:dyDescent="0.3">
      <c r="AF1697" s="47">
        <f t="shared" si="26"/>
        <v>0</v>
      </c>
    </row>
    <row r="1698" spans="32:32" x14ac:dyDescent="0.3">
      <c r="AF1698" s="47">
        <f t="shared" si="26"/>
        <v>0</v>
      </c>
    </row>
    <row r="1699" spans="32:32" x14ac:dyDescent="0.3">
      <c r="AF1699" s="47">
        <f t="shared" si="26"/>
        <v>0</v>
      </c>
    </row>
    <row r="1700" spans="32:32" x14ac:dyDescent="0.3">
      <c r="AF1700" s="47">
        <f t="shared" si="26"/>
        <v>0</v>
      </c>
    </row>
    <row r="1701" spans="32:32" x14ac:dyDescent="0.3">
      <c r="AF1701" s="47">
        <f t="shared" si="26"/>
        <v>0</v>
      </c>
    </row>
    <row r="1702" spans="32:32" x14ac:dyDescent="0.3">
      <c r="AF1702" s="47">
        <f t="shared" si="26"/>
        <v>0</v>
      </c>
    </row>
    <row r="1703" spans="32:32" x14ac:dyDescent="0.3">
      <c r="AF1703" s="47">
        <f t="shared" si="26"/>
        <v>0</v>
      </c>
    </row>
    <row r="1704" spans="32:32" x14ac:dyDescent="0.3">
      <c r="AF1704" s="47">
        <f t="shared" si="26"/>
        <v>0</v>
      </c>
    </row>
    <row r="1705" spans="32:32" x14ac:dyDescent="0.3">
      <c r="AF1705" s="47">
        <f t="shared" si="26"/>
        <v>0</v>
      </c>
    </row>
    <row r="1706" spans="32:32" x14ac:dyDescent="0.3">
      <c r="AF1706" s="47">
        <f t="shared" si="26"/>
        <v>0</v>
      </c>
    </row>
    <row r="1707" spans="32:32" x14ac:dyDescent="0.3">
      <c r="AF1707" s="47">
        <f t="shared" si="26"/>
        <v>0</v>
      </c>
    </row>
    <row r="1708" spans="32:32" x14ac:dyDescent="0.3">
      <c r="AF1708" s="47">
        <f t="shared" si="26"/>
        <v>0</v>
      </c>
    </row>
    <row r="1709" spans="32:32" x14ac:dyDescent="0.3">
      <c r="AF1709" s="47">
        <f t="shared" si="26"/>
        <v>0</v>
      </c>
    </row>
    <row r="1710" spans="32:32" x14ac:dyDescent="0.3">
      <c r="AF1710" s="47">
        <f t="shared" si="26"/>
        <v>0</v>
      </c>
    </row>
    <row r="1711" spans="32:32" x14ac:dyDescent="0.3">
      <c r="AF1711" s="47">
        <f t="shared" si="26"/>
        <v>0</v>
      </c>
    </row>
    <row r="1712" spans="32:32" x14ac:dyDescent="0.3">
      <c r="AF1712" s="47">
        <f t="shared" si="26"/>
        <v>0</v>
      </c>
    </row>
    <row r="1713" spans="32:32" x14ac:dyDescent="0.3">
      <c r="AF1713" s="47">
        <f t="shared" si="26"/>
        <v>0</v>
      </c>
    </row>
    <row r="1714" spans="32:32" x14ac:dyDescent="0.3">
      <c r="AF1714" s="47">
        <f t="shared" si="26"/>
        <v>0</v>
      </c>
    </row>
    <row r="1715" spans="32:32" x14ac:dyDescent="0.3">
      <c r="AF1715" s="47">
        <f t="shared" si="26"/>
        <v>0</v>
      </c>
    </row>
    <row r="1716" spans="32:32" x14ac:dyDescent="0.3">
      <c r="AF1716" s="47">
        <f t="shared" si="26"/>
        <v>0</v>
      </c>
    </row>
    <row r="1717" spans="32:32" x14ac:dyDescent="0.3">
      <c r="AF1717" s="47">
        <f t="shared" si="26"/>
        <v>0</v>
      </c>
    </row>
    <row r="1718" spans="32:32" x14ac:dyDescent="0.3">
      <c r="AF1718" s="47">
        <f t="shared" si="26"/>
        <v>0</v>
      </c>
    </row>
    <row r="1719" spans="32:32" x14ac:dyDescent="0.3">
      <c r="AF1719" s="47">
        <f t="shared" si="26"/>
        <v>0</v>
      </c>
    </row>
    <row r="1720" spans="32:32" x14ac:dyDescent="0.3">
      <c r="AF1720" s="47">
        <f t="shared" si="26"/>
        <v>0</v>
      </c>
    </row>
    <row r="1721" spans="32:32" x14ac:dyDescent="0.3">
      <c r="AF1721" s="47">
        <f t="shared" si="26"/>
        <v>0</v>
      </c>
    </row>
    <row r="1722" spans="32:32" x14ac:dyDescent="0.3">
      <c r="AF1722" s="47">
        <f t="shared" si="26"/>
        <v>0</v>
      </c>
    </row>
    <row r="1723" spans="32:32" x14ac:dyDescent="0.3">
      <c r="AF1723" s="47">
        <f t="shared" si="26"/>
        <v>0</v>
      </c>
    </row>
    <row r="1724" spans="32:32" x14ac:dyDescent="0.3">
      <c r="AF1724" s="47">
        <f t="shared" si="26"/>
        <v>0</v>
      </c>
    </row>
    <row r="1725" spans="32:32" x14ac:dyDescent="0.3">
      <c r="AF1725" s="47">
        <f t="shared" si="26"/>
        <v>0</v>
      </c>
    </row>
    <row r="1726" spans="32:32" x14ac:dyDescent="0.3">
      <c r="AF1726" s="47">
        <f t="shared" si="26"/>
        <v>0</v>
      </c>
    </row>
    <row r="1727" spans="32:32" x14ac:dyDescent="0.3">
      <c r="AF1727" s="47">
        <f t="shared" si="26"/>
        <v>0</v>
      </c>
    </row>
    <row r="1728" spans="32:32" x14ac:dyDescent="0.3">
      <c r="AF1728" s="47">
        <f t="shared" si="26"/>
        <v>0</v>
      </c>
    </row>
    <row r="1729" spans="32:32" x14ac:dyDescent="0.3">
      <c r="AF1729" s="47">
        <f t="shared" si="26"/>
        <v>0</v>
      </c>
    </row>
    <row r="1730" spans="32:32" x14ac:dyDescent="0.3">
      <c r="AF1730" s="47">
        <f t="shared" si="26"/>
        <v>0</v>
      </c>
    </row>
    <row r="1731" spans="32:32" x14ac:dyDescent="0.3">
      <c r="AF1731" s="47">
        <f t="shared" ref="AF1731:AF1794" si="27">IFERROR(AC1731-Y1731,"")</f>
        <v>0</v>
      </c>
    </row>
    <row r="1732" spans="32:32" x14ac:dyDescent="0.3">
      <c r="AF1732" s="47">
        <f t="shared" si="27"/>
        <v>0</v>
      </c>
    </row>
    <row r="1733" spans="32:32" x14ac:dyDescent="0.3">
      <c r="AF1733" s="47">
        <f t="shared" si="27"/>
        <v>0</v>
      </c>
    </row>
    <row r="1734" spans="32:32" x14ac:dyDescent="0.3">
      <c r="AF1734" s="47">
        <f t="shared" si="27"/>
        <v>0</v>
      </c>
    </row>
    <row r="1735" spans="32:32" x14ac:dyDescent="0.3">
      <c r="AF1735" s="47">
        <f t="shared" si="27"/>
        <v>0</v>
      </c>
    </row>
    <row r="1736" spans="32:32" x14ac:dyDescent="0.3">
      <c r="AF1736" s="47">
        <f t="shared" si="27"/>
        <v>0</v>
      </c>
    </row>
    <row r="1737" spans="32:32" x14ac:dyDescent="0.3">
      <c r="AF1737" s="47">
        <f t="shared" si="27"/>
        <v>0</v>
      </c>
    </row>
    <row r="1738" spans="32:32" x14ac:dyDescent="0.3">
      <c r="AF1738" s="47">
        <f t="shared" si="27"/>
        <v>0</v>
      </c>
    </row>
    <row r="1739" spans="32:32" x14ac:dyDescent="0.3">
      <c r="AF1739" s="47">
        <f t="shared" si="27"/>
        <v>0</v>
      </c>
    </row>
    <row r="1740" spans="32:32" x14ac:dyDescent="0.3">
      <c r="AF1740" s="47">
        <f t="shared" si="27"/>
        <v>0</v>
      </c>
    </row>
    <row r="1741" spans="32:32" x14ac:dyDescent="0.3">
      <c r="AF1741" s="47">
        <f t="shared" si="27"/>
        <v>0</v>
      </c>
    </row>
    <row r="1742" spans="32:32" x14ac:dyDescent="0.3">
      <c r="AF1742" s="47">
        <f t="shared" si="27"/>
        <v>0</v>
      </c>
    </row>
    <row r="1743" spans="32:32" x14ac:dyDescent="0.3">
      <c r="AF1743" s="47">
        <f t="shared" si="27"/>
        <v>0</v>
      </c>
    </row>
    <row r="1744" spans="32:32" x14ac:dyDescent="0.3">
      <c r="AF1744" s="47">
        <f t="shared" si="27"/>
        <v>0</v>
      </c>
    </row>
    <row r="1745" spans="32:32" x14ac:dyDescent="0.3">
      <c r="AF1745" s="47">
        <f t="shared" si="27"/>
        <v>0</v>
      </c>
    </row>
    <row r="1746" spans="32:32" x14ac:dyDescent="0.3">
      <c r="AF1746" s="47">
        <f t="shared" si="27"/>
        <v>0</v>
      </c>
    </row>
    <row r="1747" spans="32:32" x14ac:dyDescent="0.3">
      <c r="AF1747" s="47">
        <f t="shared" si="27"/>
        <v>0</v>
      </c>
    </row>
    <row r="1748" spans="32:32" x14ac:dyDescent="0.3">
      <c r="AF1748" s="47">
        <f t="shared" si="27"/>
        <v>0</v>
      </c>
    </row>
    <row r="1749" spans="32:32" x14ac:dyDescent="0.3">
      <c r="AF1749" s="47">
        <f t="shared" si="27"/>
        <v>0</v>
      </c>
    </row>
    <row r="1750" spans="32:32" x14ac:dyDescent="0.3">
      <c r="AF1750" s="47">
        <f t="shared" si="27"/>
        <v>0</v>
      </c>
    </row>
    <row r="1751" spans="32:32" x14ac:dyDescent="0.3">
      <c r="AF1751" s="47">
        <f t="shared" si="27"/>
        <v>0</v>
      </c>
    </row>
    <row r="1752" spans="32:32" x14ac:dyDescent="0.3">
      <c r="AF1752" s="47">
        <f t="shared" si="27"/>
        <v>0</v>
      </c>
    </row>
    <row r="1753" spans="32:32" x14ac:dyDescent="0.3">
      <c r="AF1753" s="47">
        <f t="shared" si="27"/>
        <v>0</v>
      </c>
    </row>
    <row r="1754" spans="32:32" x14ac:dyDescent="0.3">
      <c r="AF1754" s="47">
        <f t="shared" si="27"/>
        <v>0</v>
      </c>
    </row>
    <row r="1755" spans="32:32" x14ac:dyDescent="0.3">
      <c r="AF1755" s="47">
        <f t="shared" si="27"/>
        <v>0</v>
      </c>
    </row>
    <row r="1756" spans="32:32" x14ac:dyDescent="0.3">
      <c r="AF1756" s="47">
        <f t="shared" si="27"/>
        <v>0</v>
      </c>
    </row>
    <row r="1757" spans="32:32" x14ac:dyDescent="0.3">
      <c r="AF1757" s="47">
        <f t="shared" si="27"/>
        <v>0</v>
      </c>
    </row>
    <row r="1758" spans="32:32" x14ac:dyDescent="0.3">
      <c r="AF1758" s="47">
        <f t="shared" si="27"/>
        <v>0</v>
      </c>
    </row>
    <row r="1759" spans="32:32" x14ac:dyDescent="0.3">
      <c r="AF1759" s="47">
        <f t="shared" si="27"/>
        <v>0</v>
      </c>
    </row>
    <row r="1760" spans="32:32" x14ac:dyDescent="0.3">
      <c r="AF1760" s="47">
        <f t="shared" si="27"/>
        <v>0</v>
      </c>
    </row>
    <row r="1761" spans="32:32" x14ac:dyDescent="0.3">
      <c r="AF1761" s="47">
        <f t="shared" si="27"/>
        <v>0</v>
      </c>
    </row>
    <row r="1762" spans="32:32" x14ac:dyDescent="0.3">
      <c r="AF1762" s="47">
        <f t="shared" si="27"/>
        <v>0</v>
      </c>
    </row>
    <row r="1763" spans="32:32" x14ac:dyDescent="0.3">
      <c r="AF1763" s="47">
        <f t="shared" si="27"/>
        <v>0</v>
      </c>
    </row>
    <row r="1764" spans="32:32" x14ac:dyDescent="0.3">
      <c r="AF1764" s="47">
        <f t="shared" si="27"/>
        <v>0</v>
      </c>
    </row>
    <row r="1765" spans="32:32" x14ac:dyDescent="0.3">
      <c r="AF1765" s="47">
        <f t="shared" si="27"/>
        <v>0</v>
      </c>
    </row>
    <row r="1766" spans="32:32" x14ac:dyDescent="0.3">
      <c r="AF1766" s="47">
        <f t="shared" si="27"/>
        <v>0</v>
      </c>
    </row>
    <row r="1767" spans="32:32" x14ac:dyDescent="0.3">
      <c r="AF1767" s="47">
        <f t="shared" si="27"/>
        <v>0</v>
      </c>
    </row>
    <row r="1768" spans="32:32" x14ac:dyDescent="0.3">
      <c r="AF1768" s="47">
        <f t="shared" si="27"/>
        <v>0</v>
      </c>
    </row>
    <row r="1769" spans="32:32" x14ac:dyDescent="0.3">
      <c r="AF1769" s="47">
        <f t="shared" si="27"/>
        <v>0</v>
      </c>
    </row>
    <row r="1770" spans="32:32" x14ac:dyDescent="0.3">
      <c r="AF1770" s="47">
        <f t="shared" si="27"/>
        <v>0</v>
      </c>
    </row>
    <row r="1771" spans="32:32" x14ac:dyDescent="0.3">
      <c r="AF1771" s="47">
        <f t="shared" si="27"/>
        <v>0</v>
      </c>
    </row>
    <row r="1772" spans="32:32" x14ac:dyDescent="0.3">
      <c r="AF1772" s="47">
        <f t="shared" si="27"/>
        <v>0</v>
      </c>
    </row>
    <row r="1773" spans="32:32" x14ac:dyDescent="0.3">
      <c r="AF1773" s="47">
        <f t="shared" si="27"/>
        <v>0</v>
      </c>
    </row>
    <row r="1774" spans="32:32" x14ac:dyDescent="0.3">
      <c r="AF1774" s="47">
        <f t="shared" si="27"/>
        <v>0</v>
      </c>
    </row>
    <row r="1775" spans="32:32" x14ac:dyDescent="0.3">
      <c r="AF1775" s="47">
        <f t="shared" si="27"/>
        <v>0</v>
      </c>
    </row>
    <row r="1776" spans="32:32" x14ac:dyDescent="0.3">
      <c r="AF1776" s="47">
        <f t="shared" si="27"/>
        <v>0</v>
      </c>
    </row>
    <row r="1777" spans="32:32" x14ac:dyDescent="0.3">
      <c r="AF1777" s="47">
        <f t="shared" si="27"/>
        <v>0</v>
      </c>
    </row>
    <row r="1778" spans="32:32" x14ac:dyDescent="0.3">
      <c r="AF1778" s="47">
        <f t="shared" si="27"/>
        <v>0</v>
      </c>
    </row>
    <row r="1779" spans="32:32" x14ac:dyDescent="0.3">
      <c r="AF1779" s="47">
        <f t="shared" si="27"/>
        <v>0</v>
      </c>
    </row>
    <row r="1780" spans="32:32" x14ac:dyDescent="0.3">
      <c r="AF1780" s="47">
        <f t="shared" si="27"/>
        <v>0</v>
      </c>
    </row>
    <row r="1781" spans="32:32" x14ac:dyDescent="0.3">
      <c r="AF1781" s="47">
        <f t="shared" si="27"/>
        <v>0</v>
      </c>
    </row>
    <row r="1782" spans="32:32" x14ac:dyDescent="0.3">
      <c r="AF1782" s="47">
        <f t="shared" si="27"/>
        <v>0</v>
      </c>
    </row>
    <row r="1783" spans="32:32" x14ac:dyDescent="0.3">
      <c r="AF1783" s="47">
        <f t="shared" si="27"/>
        <v>0</v>
      </c>
    </row>
    <row r="1784" spans="32:32" x14ac:dyDescent="0.3">
      <c r="AF1784" s="47">
        <f t="shared" si="27"/>
        <v>0</v>
      </c>
    </row>
    <row r="1785" spans="32:32" x14ac:dyDescent="0.3">
      <c r="AF1785" s="47">
        <f t="shared" si="27"/>
        <v>0</v>
      </c>
    </row>
    <row r="1786" spans="32:32" x14ac:dyDescent="0.3">
      <c r="AF1786" s="47">
        <f t="shared" si="27"/>
        <v>0</v>
      </c>
    </row>
    <row r="1787" spans="32:32" x14ac:dyDescent="0.3">
      <c r="AF1787" s="47">
        <f t="shared" si="27"/>
        <v>0</v>
      </c>
    </row>
    <row r="1788" spans="32:32" x14ac:dyDescent="0.3">
      <c r="AF1788" s="47">
        <f t="shared" si="27"/>
        <v>0</v>
      </c>
    </row>
    <row r="1789" spans="32:32" x14ac:dyDescent="0.3">
      <c r="AF1789" s="47">
        <f t="shared" si="27"/>
        <v>0</v>
      </c>
    </row>
    <row r="1790" spans="32:32" x14ac:dyDescent="0.3">
      <c r="AF1790" s="47">
        <f t="shared" si="27"/>
        <v>0</v>
      </c>
    </row>
    <row r="1791" spans="32:32" x14ac:dyDescent="0.3">
      <c r="AF1791" s="47">
        <f t="shared" si="27"/>
        <v>0</v>
      </c>
    </row>
    <row r="1792" spans="32:32" x14ac:dyDescent="0.3">
      <c r="AF1792" s="47">
        <f t="shared" si="27"/>
        <v>0</v>
      </c>
    </row>
    <row r="1793" spans="32:32" x14ac:dyDescent="0.3">
      <c r="AF1793" s="47">
        <f t="shared" si="27"/>
        <v>0</v>
      </c>
    </row>
    <row r="1794" spans="32:32" x14ac:dyDescent="0.3">
      <c r="AF1794" s="47">
        <f t="shared" si="27"/>
        <v>0</v>
      </c>
    </row>
    <row r="1795" spans="32:32" x14ac:dyDescent="0.3">
      <c r="AF1795" s="47">
        <f t="shared" ref="AF1795:AF1858" si="28">IFERROR(AC1795-Y1795,"")</f>
        <v>0</v>
      </c>
    </row>
    <row r="1796" spans="32:32" x14ac:dyDescent="0.3">
      <c r="AF1796" s="47">
        <f t="shared" si="28"/>
        <v>0</v>
      </c>
    </row>
    <row r="1797" spans="32:32" x14ac:dyDescent="0.3">
      <c r="AF1797" s="47">
        <f t="shared" si="28"/>
        <v>0</v>
      </c>
    </row>
    <row r="1798" spans="32:32" x14ac:dyDescent="0.3">
      <c r="AF1798" s="47">
        <f t="shared" si="28"/>
        <v>0</v>
      </c>
    </row>
    <row r="1799" spans="32:32" x14ac:dyDescent="0.3">
      <c r="AF1799" s="47">
        <f t="shared" si="28"/>
        <v>0</v>
      </c>
    </row>
    <row r="1800" spans="32:32" x14ac:dyDescent="0.3">
      <c r="AF1800" s="47">
        <f t="shared" si="28"/>
        <v>0</v>
      </c>
    </row>
    <row r="1801" spans="32:32" x14ac:dyDescent="0.3">
      <c r="AF1801" s="47">
        <f t="shared" si="28"/>
        <v>0</v>
      </c>
    </row>
    <row r="1802" spans="32:32" x14ac:dyDescent="0.3">
      <c r="AF1802" s="47">
        <f t="shared" si="28"/>
        <v>0</v>
      </c>
    </row>
    <row r="1803" spans="32:32" x14ac:dyDescent="0.3">
      <c r="AF1803" s="47">
        <f t="shared" si="28"/>
        <v>0</v>
      </c>
    </row>
    <row r="1804" spans="32:32" x14ac:dyDescent="0.3">
      <c r="AF1804" s="47">
        <f t="shared" si="28"/>
        <v>0</v>
      </c>
    </row>
    <row r="1805" spans="32:32" x14ac:dyDescent="0.3">
      <c r="AF1805" s="47">
        <f t="shared" si="28"/>
        <v>0</v>
      </c>
    </row>
    <row r="1806" spans="32:32" x14ac:dyDescent="0.3">
      <c r="AF1806" s="47">
        <f t="shared" si="28"/>
        <v>0</v>
      </c>
    </row>
    <row r="1807" spans="32:32" x14ac:dyDescent="0.3">
      <c r="AF1807" s="47">
        <f t="shared" si="28"/>
        <v>0</v>
      </c>
    </row>
    <row r="1808" spans="32:32" x14ac:dyDescent="0.3">
      <c r="AF1808" s="47">
        <f t="shared" si="28"/>
        <v>0</v>
      </c>
    </row>
    <row r="1809" spans="32:32" x14ac:dyDescent="0.3">
      <c r="AF1809" s="47">
        <f t="shared" si="28"/>
        <v>0</v>
      </c>
    </row>
    <row r="1810" spans="32:32" x14ac:dyDescent="0.3">
      <c r="AF1810" s="47">
        <f t="shared" si="28"/>
        <v>0</v>
      </c>
    </row>
    <row r="1811" spans="32:32" x14ac:dyDescent="0.3">
      <c r="AF1811" s="47">
        <f t="shared" si="28"/>
        <v>0</v>
      </c>
    </row>
    <row r="1812" spans="32:32" x14ac:dyDescent="0.3">
      <c r="AF1812" s="47">
        <f t="shared" si="28"/>
        <v>0</v>
      </c>
    </row>
    <row r="1813" spans="32:32" x14ac:dyDescent="0.3">
      <c r="AF1813" s="47">
        <f t="shared" si="28"/>
        <v>0</v>
      </c>
    </row>
    <row r="1814" spans="32:32" x14ac:dyDescent="0.3">
      <c r="AF1814" s="47">
        <f t="shared" si="28"/>
        <v>0</v>
      </c>
    </row>
    <row r="1815" spans="32:32" x14ac:dyDescent="0.3">
      <c r="AF1815" s="47">
        <f t="shared" si="28"/>
        <v>0</v>
      </c>
    </row>
    <row r="1816" spans="32:32" x14ac:dyDescent="0.3">
      <c r="AF1816" s="47">
        <f t="shared" si="28"/>
        <v>0</v>
      </c>
    </row>
    <row r="1817" spans="32:32" x14ac:dyDescent="0.3">
      <c r="AF1817" s="47">
        <f t="shared" si="28"/>
        <v>0</v>
      </c>
    </row>
    <row r="1818" spans="32:32" x14ac:dyDescent="0.3">
      <c r="AF1818" s="47">
        <f t="shared" si="28"/>
        <v>0</v>
      </c>
    </row>
    <row r="1819" spans="32:32" x14ac:dyDescent="0.3">
      <c r="AF1819" s="47">
        <f t="shared" si="28"/>
        <v>0</v>
      </c>
    </row>
    <row r="1820" spans="32:32" x14ac:dyDescent="0.3">
      <c r="AF1820" s="47">
        <f t="shared" si="28"/>
        <v>0</v>
      </c>
    </row>
    <row r="1821" spans="32:32" x14ac:dyDescent="0.3">
      <c r="AF1821" s="47">
        <f t="shared" si="28"/>
        <v>0</v>
      </c>
    </row>
    <row r="1822" spans="32:32" x14ac:dyDescent="0.3">
      <c r="AF1822" s="47">
        <f t="shared" si="28"/>
        <v>0</v>
      </c>
    </row>
    <row r="1823" spans="32:32" x14ac:dyDescent="0.3">
      <c r="AF1823" s="47">
        <f t="shared" si="28"/>
        <v>0</v>
      </c>
    </row>
    <row r="1824" spans="32:32" x14ac:dyDescent="0.3">
      <c r="AF1824" s="47">
        <f t="shared" si="28"/>
        <v>0</v>
      </c>
    </row>
    <row r="1825" spans="32:32" x14ac:dyDescent="0.3">
      <c r="AF1825" s="47">
        <f t="shared" si="28"/>
        <v>0</v>
      </c>
    </row>
    <row r="1826" spans="32:32" x14ac:dyDescent="0.3">
      <c r="AF1826" s="47">
        <f t="shared" si="28"/>
        <v>0</v>
      </c>
    </row>
    <row r="1827" spans="32:32" x14ac:dyDescent="0.3">
      <c r="AF1827" s="47">
        <f t="shared" si="28"/>
        <v>0</v>
      </c>
    </row>
    <row r="1828" spans="32:32" x14ac:dyDescent="0.3">
      <c r="AF1828" s="47">
        <f t="shared" si="28"/>
        <v>0</v>
      </c>
    </row>
    <row r="1829" spans="32:32" x14ac:dyDescent="0.3">
      <c r="AF1829" s="47">
        <f t="shared" si="28"/>
        <v>0</v>
      </c>
    </row>
    <row r="1830" spans="32:32" x14ac:dyDescent="0.3">
      <c r="AF1830" s="47">
        <f t="shared" si="28"/>
        <v>0</v>
      </c>
    </row>
    <row r="1831" spans="32:32" x14ac:dyDescent="0.3">
      <c r="AF1831" s="47">
        <f t="shared" si="28"/>
        <v>0</v>
      </c>
    </row>
    <row r="1832" spans="32:32" x14ac:dyDescent="0.3">
      <c r="AF1832" s="47">
        <f t="shared" si="28"/>
        <v>0</v>
      </c>
    </row>
    <row r="1833" spans="32:32" x14ac:dyDescent="0.3">
      <c r="AF1833" s="47">
        <f t="shared" si="28"/>
        <v>0</v>
      </c>
    </row>
    <row r="1834" spans="32:32" x14ac:dyDescent="0.3">
      <c r="AF1834" s="47">
        <f t="shared" si="28"/>
        <v>0</v>
      </c>
    </row>
    <row r="1835" spans="32:32" x14ac:dyDescent="0.3">
      <c r="AF1835" s="47">
        <f t="shared" si="28"/>
        <v>0</v>
      </c>
    </row>
    <row r="1836" spans="32:32" x14ac:dyDescent="0.3">
      <c r="AF1836" s="47">
        <f t="shared" si="28"/>
        <v>0</v>
      </c>
    </row>
    <row r="1837" spans="32:32" x14ac:dyDescent="0.3">
      <c r="AF1837" s="47">
        <f t="shared" si="28"/>
        <v>0</v>
      </c>
    </row>
    <row r="1838" spans="32:32" x14ac:dyDescent="0.3">
      <c r="AF1838" s="47">
        <f t="shared" si="28"/>
        <v>0</v>
      </c>
    </row>
    <row r="1839" spans="32:32" x14ac:dyDescent="0.3">
      <c r="AF1839" s="47">
        <f t="shared" si="28"/>
        <v>0</v>
      </c>
    </row>
    <row r="1840" spans="32:32" x14ac:dyDescent="0.3">
      <c r="AF1840" s="47">
        <f t="shared" si="28"/>
        <v>0</v>
      </c>
    </row>
    <row r="1841" spans="32:32" x14ac:dyDescent="0.3">
      <c r="AF1841" s="47">
        <f t="shared" si="28"/>
        <v>0</v>
      </c>
    </row>
    <row r="1842" spans="32:32" x14ac:dyDescent="0.3">
      <c r="AF1842" s="47">
        <f t="shared" si="28"/>
        <v>0</v>
      </c>
    </row>
    <row r="1843" spans="32:32" x14ac:dyDescent="0.3">
      <c r="AF1843" s="47">
        <f t="shared" si="28"/>
        <v>0</v>
      </c>
    </row>
    <row r="1844" spans="32:32" x14ac:dyDescent="0.3">
      <c r="AF1844" s="47">
        <f t="shared" si="28"/>
        <v>0</v>
      </c>
    </row>
    <row r="1845" spans="32:32" x14ac:dyDescent="0.3">
      <c r="AF1845" s="47">
        <f t="shared" si="28"/>
        <v>0</v>
      </c>
    </row>
    <row r="1846" spans="32:32" x14ac:dyDescent="0.3">
      <c r="AF1846" s="47">
        <f t="shared" si="28"/>
        <v>0</v>
      </c>
    </row>
    <row r="1847" spans="32:32" x14ac:dyDescent="0.3">
      <c r="AF1847" s="47">
        <f t="shared" si="28"/>
        <v>0</v>
      </c>
    </row>
    <row r="1848" spans="32:32" x14ac:dyDescent="0.3">
      <c r="AF1848" s="47">
        <f t="shared" si="28"/>
        <v>0</v>
      </c>
    </row>
    <row r="1849" spans="32:32" x14ac:dyDescent="0.3">
      <c r="AF1849" s="47">
        <f t="shared" si="28"/>
        <v>0</v>
      </c>
    </row>
    <row r="1850" spans="32:32" x14ac:dyDescent="0.3">
      <c r="AF1850" s="47">
        <f t="shared" si="28"/>
        <v>0</v>
      </c>
    </row>
    <row r="1851" spans="32:32" x14ac:dyDescent="0.3">
      <c r="AF1851" s="47">
        <f t="shared" si="28"/>
        <v>0</v>
      </c>
    </row>
    <row r="1852" spans="32:32" x14ac:dyDescent="0.3">
      <c r="AF1852" s="47">
        <f t="shared" si="28"/>
        <v>0</v>
      </c>
    </row>
    <row r="1853" spans="32:32" x14ac:dyDescent="0.3">
      <c r="AF1853" s="47">
        <f t="shared" si="28"/>
        <v>0</v>
      </c>
    </row>
    <row r="1854" spans="32:32" x14ac:dyDescent="0.3">
      <c r="AF1854" s="47">
        <f t="shared" si="28"/>
        <v>0</v>
      </c>
    </row>
    <row r="1855" spans="32:32" x14ac:dyDescent="0.3">
      <c r="AF1855" s="47">
        <f t="shared" si="28"/>
        <v>0</v>
      </c>
    </row>
    <row r="1856" spans="32:32" x14ac:dyDescent="0.3">
      <c r="AF1856" s="47">
        <f t="shared" si="28"/>
        <v>0</v>
      </c>
    </row>
    <row r="1857" spans="32:32" x14ac:dyDescent="0.3">
      <c r="AF1857" s="47">
        <f t="shared" si="28"/>
        <v>0</v>
      </c>
    </row>
    <row r="1858" spans="32:32" x14ac:dyDescent="0.3">
      <c r="AF1858" s="47">
        <f t="shared" si="28"/>
        <v>0</v>
      </c>
    </row>
    <row r="1859" spans="32:32" x14ac:dyDescent="0.3">
      <c r="AF1859" s="47">
        <f t="shared" ref="AF1859:AF1922" si="29">IFERROR(AC1859-Y1859,"")</f>
        <v>0</v>
      </c>
    </row>
    <row r="1860" spans="32:32" x14ac:dyDescent="0.3">
      <c r="AF1860" s="47">
        <f t="shared" si="29"/>
        <v>0</v>
      </c>
    </row>
    <row r="1861" spans="32:32" x14ac:dyDescent="0.3">
      <c r="AF1861" s="47">
        <f t="shared" si="29"/>
        <v>0</v>
      </c>
    </row>
    <row r="1862" spans="32:32" x14ac:dyDescent="0.3">
      <c r="AF1862" s="47">
        <f t="shared" si="29"/>
        <v>0</v>
      </c>
    </row>
    <row r="1863" spans="32:32" x14ac:dyDescent="0.3">
      <c r="AF1863" s="47">
        <f t="shared" si="29"/>
        <v>0</v>
      </c>
    </row>
    <row r="1864" spans="32:32" x14ac:dyDescent="0.3">
      <c r="AF1864" s="47">
        <f t="shared" si="29"/>
        <v>0</v>
      </c>
    </row>
    <row r="1865" spans="32:32" x14ac:dyDescent="0.3">
      <c r="AF1865" s="47">
        <f t="shared" si="29"/>
        <v>0</v>
      </c>
    </row>
    <row r="1866" spans="32:32" x14ac:dyDescent="0.3">
      <c r="AF1866" s="47">
        <f t="shared" si="29"/>
        <v>0</v>
      </c>
    </row>
    <row r="1867" spans="32:32" x14ac:dyDescent="0.3">
      <c r="AF1867" s="47">
        <f t="shared" si="29"/>
        <v>0</v>
      </c>
    </row>
    <row r="1868" spans="32:32" x14ac:dyDescent="0.3">
      <c r="AF1868" s="47">
        <f t="shared" si="29"/>
        <v>0</v>
      </c>
    </row>
    <row r="1869" spans="32:32" x14ac:dyDescent="0.3">
      <c r="AF1869" s="47">
        <f t="shared" si="29"/>
        <v>0</v>
      </c>
    </row>
    <row r="1870" spans="32:32" x14ac:dyDescent="0.3">
      <c r="AF1870" s="47">
        <f t="shared" si="29"/>
        <v>0</v>
      </c>
    </row>
    <row r="1871" spans="32:32" x14ac:dyDescent="0.3">
      <c r="AF1871" s="47">
        <f t="shared" si="29"/>
        <v>0</v>
      </c>
    </row>
    <row r="1872" spans="32:32" x14ac:dyDescent="0.3">
      <c r="AF1872" s="47">
        <f t="shared" si="29"/>
        <v>0</v>
      </c>
    </row>
    <row r="1873" spans="32:32" x14ac:dyDescent="0.3">
      <c r="AF1873" s="47">
        <f t="shared" si="29"/>
        <v>0</v>
      </c>
    </row>
    <row r="1874" spans="32:32" x14ac:dyDescent="0.3">
      <c r="AF1874" s="47">
        <f t="shared" si="29"/>
        <v>0</v>
      </c>
    </row>
    <row r="1875" spans="32:32" x14ac:dyDescent="0.3">
      <c r="AF1875" s="47">
        <f t="shared" si="29"/>
        <v>0</v>
      </c>
    </row>
    <row r="1876" spans="32:32" x14ac:dyDescent="0.3">
      <c r="AF1876" s="47">
        <f t="shared" si="29"/>
        <v>0</v>
      </c>
    </row>
    <row r="1877" spans="32:32" x14ac:dyDescent="0.3">
      <c r="AF1877" s="47">
        <f t="shared" si="29"/>
        <v>0</v>
      </c>
    </row>
    <row r="1878" spans="32:32" x14ac:dyDescent="0.3">
      <c r="AF1878" s="47">
        <f t="shared" si="29"/>
        <v>0</v>
      </c>
    </row>
    <row r="1879" spans="32:32" x14ac:dyDescent="0.3">
      <c r="AF1879" s="47">
        <f t="shared" si="29"/>
        <v>0</v>
      </c>
    </row>
    <row r="1880" spans="32:32" x14ac:dyDescent="0.3">
      <c r="AF1880" s="47">
        <f t="shared" si="29"/>
        <v>0</v>
      </c>
    </row>
    <row r="1881" spans="32:32" x14ac:dyDescent="0.3">
      <c r="AF1881" s="47">
        <f t="shared" si="29"/>
        <v>0</v>
      </c>
    </row>
    <row r="1882" spans="32:32" x14ac:dyDescent="0.3">
      <c r="AF1882" s="47">
        <f t="shared" si="29"/>
        <v>0</v>
      </c>
    </row>
    <row r="1883" spans="32:32" x14ac:dyDescent="0.3">
      <c r="AF1883" s="47">
        <f t="shared" si="29"/>
        <v>0</v>
      </c>
    </row>
    <row r="1884" spans="32:32" x14ac:dyDescent="0.3">
      <c r="AF1884" s="47">
        <f t="shared" si="29"/>
        <v>0</v>
      </c>
    </row>
    <row r="1885" spans="32:32" x14ac:dyDescent="0.3">
      <c r="AF1885" s="47">
        <f t="shared" si="29"/>
        <v>0</v>
      </c>
    </row>
    <row r="1886" spans="32:32" x14ac:dyDescent="0.3">
      <c r="AF1886" s="47">
        <f t="shared" si="29"/>
        <v>0</v>
      </c>
    </row>
    <row r="1887" spans="32:32" x14ac:dyDescent="0.3">
      <c r="AF1887" s="47">
        <f t="shared" si="29"/>
        <v>0</v>
      </c>
    </row>
    <row r="1888" spans="32:32" x14ac:dyDescent="0.3">
      <c r="AF1888" s="47">
        <f t="shared" si="29"/>
        <v>0</v>
      </c>
    </row>
    <row r="1889" spans="32:32" x14ac:dyDescent="0.3">
      <c r="AF1889" s="47">
        <f t="shared" si="29"/>
        <v>0</v>
      </c>
    </row>
    <row r="1890" spans="32:32" x14ac:dyDescent="0.3">
      <c r="AF1890" s="47">
        <f t="shared" si="29"/>
        <v>0</v>
      </c>
    </row>
    <row r="1891" spans="32:32" x14ac:dyDescent="0.3">
      <c r="AF1891" s="47">
        <f t="shared" si="29"/>
        <v>0</v>
      </c>
    </row>
    <row r="1892" spans="32:32" x14ac:dyDescent="0.3">
      <c r="AF1892" s="47">
        <f t="shared" si="29"/>
        <v>0</v>
      </c>
    </row>
    <row r="1893" spans="32:32" x14ac:dyDescent="0.3">
      <c r="AF1893" s="47">
        <f t="shared" si="29"/>
        <v>0</v>
      </c>
    </row>
    <row r="1894" spans="32:32" x14ac:dyDescent="0.3">
      <c r="AF1894" s="47">
        <f t="shared" si="29"/>
        <v>0</v>
      </c>
    </row>
    <row r="1895" spans="32:32" x14ac:dyDescent="0.3">
      <c r="AF1895" s="47">
        <f t="shared" si="29"/>
        <v>0</v>
      </c>
    </row>
    <row r="1896" spans="32:32" x14ac:dyDescent="0.3">
      <c r="AF1896" s="47">
        <f t="shared" si="29"/>
        <v>0</v>
      </c>
    </row>
    <row r="1897" spans="32:32" x14ac:dyDescent="0.3">
      <c r="AF1897" s="47">
        <f t="shared" si="29"/>
        <v>0</v>
      </c>
    </row>
    <row r="1898" spans="32:32" x14ac:dyDescent="0.3">
      <c r="AF1898" s="47">
        <f t="shared" si="29"/>
        <v>0</v>
      </c>
    </row>
    <row r="1899" spans="32:32" x14ac:dyDescent="0.3">
      <c r="AF1899" s="47">
        <f t="shared" si="29"/>
        <v>0</v>
      </c>
    </row>
    <row r="1900" spans="32:32" x14ac:dyDescent="0.3">
      <c r="AF1900" s="47">
        <f t="shared" si="29"/>
        <v>0</v>
      </c>
    </row>
    <row r="1901" spans="32:32" x14ac:dyDescent="0.3">
      <c r="AF1901" s="47">
        <f t="shared" si="29"/>
        <v>0</v>
      </c>
    </row>
    <row r="1902" spans="32:32" x14ac:dyDescent="0.3">
      <c r="AF1902" s="47">
        <f t="shared" si="29"/>
        <v>0</v>
      </c>
    </row>
    <row r="1903" spans="32:32" x14ac:dyDescent="0.3">
      <c r="AF1903" s="47">
        <f t="shared" si="29"/>
        <v>0</v>
      </c>
    </row>
    <row r="1904" spans="32:32" x14ac:dyDescent="0.3">
      <c r="AF1904" s="47">
        <f t="shared" si="29"/>
        <v>0</v>
      </c>
    </row>
    <row r="1905" spans="32:32" x14ac:dyDescent="0.3">
      <c r="AF1905" s="47">
        <f t="shared" si="29"/>
        <v>0</v>
      </c>
    </row>
    <row r="1906" spans="32:32" x14ac:dyDescent="0.3">
      <c r="AF1906" s="47">
        <f t="shared" si="29"/>
        <v>0</v>
      </c>
    </row>
    <row r="1907" spans="32:32" x14ac:dyDescent="0.3">
      <c r="AF1907" s="47">
        <f t="shared" si="29"/>
        <v>0</v>
      </c>
    </row>
    <row r="1908" spans="32:32" x14ac:dyDescent="0.3">
      <c r="AF1908" s="47">
        <f t="shared" si="29"/>
        <v>0</v>
      </c>
    </row>
    <row r="1909" spans="32:32" x14ac:dyDescent="0.3">
      <c r="AF1909" s="47">
        <f t="shared" si="29"/>
        <v>0</v>
      </c>
    </row>
    <row r="1910" spans="32:32" x14ac:dyDescent="0.3">
      <c r="AF1910" s="47">
        <f t="shared" si="29"/>
        <v>0</v>
      </c>
    </row>
    <row r="1911" spans="32:32" x14ac:dyDescent="0.3">
      <c r="AF1911" s="47">
        <f t="shared" si="29"/>
        <v>0</v>
      </c>
    </row>
    <row r="1912" spans="32:32" x14ac:dyDescent="0.3">
      <c r="AF1912" s="47">
        <f t="shared" si="29"/>
        <v>0</v>
      </c>
    </row>
    <row r="1913" spans="32:32" x14ac:dyDescent="0.3">
      <c r="AF1913" s="47">
        <f t="shared" si="29"/>
        <v>0</v>
      </c>
    </row>
    <row r="1914" spans="32:32" x14ac:dyDescent="0.3">
      <c r="AF1914" s="47">
        <f t="shared" si="29"/>
        <v>0</v>
      </c>
    </row>
    <row r="1915" spans="32:32" x14ac:dyDescent="0.3">
      <c r="AF1915" s="47">
        <f t="shared" si="29"/>
        <v>0</v>
      </c>
    </row>
    <row r="1916" spans="32:32" x14ac:dyDescent="0.3">
      <c r="AF1916" s="47">
        <f t="shared" si="29"/>
        <v>0</v>
      </c>
    </row>
    <row r="1917" spans="32:32" x14ac:dyDescent="0.3">
      <c r="AF1917" s="47">
        <f t="shared" si="29"/>
        <v>0</v>
      </c>
    </row>
    <row r="1918" spans="32:32" x14ac:dyDescent="0.3">
      <c r="AF1918" s="47">
        <f t="shared" si="29"/>
        <v>0</v>
      </c>
    </row>
    <row r="1919" spans="32:32" x14ac:dyDescent="0.3">
      <c r="AF1919" s="47">
        <f t="shared" si="29"/>
        <v>0</v>
      </c>
    </row>
    <row r="1920" spans="32:32" x14ac:dyDescent="0.3">
      <c r="AF1920" s="47">
        <f t="shared" si="29"/>
        <v>0</v>
      </c>
    </row>
    <row r="1921" spans="32:32" x14ac:dyDescent="0.3">
      <c r="AF1921" s="47">
        <f t="shared" si="29"/>
        <v>0</v>
      </c>
    </row>
    <row r="1922" spans="32:32" x14ac:dyDescent="0.3">
      <c r="AF1922" s="47">
        <f t="shared" si="29"/>
        <v>0</v>
      </c>
    </row>
    <row r="1923" spans="32:32" x14ac:dyDescent="0.3">
      <c r="AF1923" s="47">
        <f t="shared" ref="AF1923:AF1945" si="30">IFERROR(AC1923-Y1923,"")</f>
        <v>0</v>
      </c>
    </row>
    <row r="1924" spans="32:32" x14ac:dyDescent="0.3">
      <c r="AF1924" s="47">
        <f t="shared" si="30"/>
        <v>0</v>
      </c>
    </row>
    <row r="1925" spans="32:32" x14ac:dyDescent="0.3">
      <c r="AF1925" s="47">
        <f t="shared" si="30"/>
        <v>0</v>
      </c>
    </row>
    <row r="1926" spans="32:32" x14ac:dyDescent="0.3">
      <c r="AF1926" s="47">
        <f t="shared" si="30"/>
        <v>0</v>
      </c>
    </row>
    <row r="1927" spans="32:32" x14ac:dyDescent="0.3">
      <c r="AF1927" s="47">
        <f t="shared" si="30"/>
        <v>0</v>
      </c>
    </row>
    <row r="1928" spans="32:32" x14ac:dyDescent="0.3">
      <c r="AF1928" s="47">
        <f t="shared" si="30"/>
        <v>0</v>
      </c>
    </row>
    <row r="1929" spans="32:32" x14ac:dyDescent="0.3">
      <c r="AF1929" s="47">
        <f t="shared" si="30"/>
        <v>0</v>
      </c>
    </row>
    <row r="1930" spans="32:32" x14ac:dyDescent="0.3">
      <c r="AF1930" s="47">
        <f t="shared" si="30"/>
        <v>0</v>
      </c>
    </row>
    <row r="1931" spans="32:32" x14ac:dyDescent="0.3">
      <c r="AF1931" s="47">
        <f t="shared" si="30"/>
        <v>0</v>
      </c>
    </row>
    <row r="1932" spans="32:32" x14ac:dyDescent="0.3">
      <c r="AF1932" s="47">
        <f t="shared" si="30"/>
        <v>0</v>
      </c>
    </row>
    <row r="1933" spans="32:32" x14ac:dyDescent="0.3">
      <c r="AF1933" s="47">
        <f t="shared" si="30"/>
        <v>0</v>
      </c>
    </row>
    <row r="1934" spans="32:32" x14ac:dyDescent="0.3">
      <c r="AF1934" s="47">
        <f t="shared" si="30"/>
        <v>0</v>
      </c>
    </row>
    <row r="1935" spans="32:32" x14ac:dyDescent="0.3">
      <c r="AF1935" s="47">
        <f t="shared" si="30"/>
        <v>0</v>
      </c>
    </row>
    <row r="1936" spans="32:32" x14ac:dyDescent="0.3">
      <c r="AF1936" s="47">
        <f t="shared" si="30"/>
        <v>0</v>
      </c>
    </row>
    <row r="1937" spans="32:32" x14ac:dyDescent="0.3">
      <c r="AF1937" s="47">
        <f t="shared" si="30"/>
        <v>0</v>
      </c>
    </row>
    <row r="1938" spans="32:32" x14ac:dyDescent="0.3">
      <c r="AF1938" s="47">
        <f t="shared" si="30"/>
        <v>0</v>
      </c>
    </row>
    <row r="1939" spans="32:32" x14ac:dyDescent="0.3">
      <c r="AF1939" s="47">
        <f t="shared" si="30"/>
        <v>0</v>
      </c>
    </row>
    <row r="1940" spans="32:32" x14ac:dyDescent="0.3">
      <c r="AF1940" s="47">
        <f t="shared" si="30"/>
        <v>0</v>
      </c>
    </row>
    <row r="1941" spans="32:32" x14ac:dyDescent="0.3">
      <c r="AF1941" s="47">
        <f t="shared" si="30"/>
        <v>0</v>
      </c>
    </row>
    <row r="1942" spans="32:32" x14ac:dyDescent="0.3">
      <c r="AF1942" s="47">
        <f t="shared" si="30"/>
        <v>0</v>
      </c>
    </row>
    <row r="1943" spans="32:32" x14ac:dyDescent="0.3">
      <c r="AF1943" s="47">
        <f t="shared" si="30"/>
        <v>0</v>
      </c>
    </row>
    <row r="1944" spans="32:32" x14ac:dyDescent="0.3">
      <c r="AF1944" s="47">
        <f t="shared" si="30"/>
        <v>0</v>
      </c>
    </row>
    <row r="1945" spans="32:32" x14ac:dyDescent="0.3">
      <c r="AF1945" s="47">
        <f t="shared" si="30"/>
        <v>0</v>
      </c>
    </row>
  </sheetData>
  <autoFilter ref="A2:BG220" xr:uid="{D745671A-9E61-4605-88DE-5551D9E5762A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F320-398C-417A-92BF-7706B2CC007E}">
  <sheetPr filterMode="1">
    <tabColor rgb="FFFF0000"/>
  </sheetPr>
  <dimension ref="A2:BG1945"/>
  <sheetViews>
    <sheetView zoomScale="70" zoomScaleNormal="70" workbookViewId="0">
      <pane xSplit="8" ySplit="2" topLeftCell="I3" activePane="bottomRight" state="frozen"/>
      <selection pane="topRight" activeCell="A827" sqref="A827:A1017"/>
      <selection pane="bottomLeft" activeCell="A827" sqref="A827:A1017"/>
      <selection pane="bottomRight" activeCell="AC991" sqref="AC3:AC991"/>
    </sheetView>
  </sheetViews>
  <sheetFormatPr defaultRowHeight="16.5" x14ac:dyDescent="0.3"/>
  <cols>
    <col min="1" max="4" width="9" style="46"/>
    <col min="5" max="5" width="20.75" style="46" bestFit="1" customWidth="1"/>
    <col min="6" max="7" width="9" style="46" bestFit="1" customWidth="1"/>
    <col min="8" max="8" width="20.375" style="46" bestFit="1" customWidth="1"/>
    <col min="9" max="9" width="9" style="46" bestFit="1" customWidth="1"/>
    <col min="10" max="10" width="9.875" style="46" bestFit="1" customWidth="1"/>
    <col min="11" max="13" width="9" style="46" bestFit="1" customWidth="1"/>
    <col min="14" max="14" width="11.625" style="46" bestFit="1" customWidth="1"/>
    <col min="15" max="15" width="11.5" style="46" bestFit="1" customWidth="1"/>
    <col min="16" max="20" width="9.375" style="46" bestFit="1" customWidth="1"/>
    <col min="21" max="21" width="10.25" style="46" bestFit="1" customWidth="1"/>
    <col min="22" max="24" width="9.375" style="46" bestFit="1" customWidth="1"/>
    <col min="25" max="25" width="11.625" style="48" bestFit="1" customWidth="1"/>
    <col min="26" max="28" width="9.375" style="46" bestFit="1" customWidth="1"/>
    <col min="29" max="29" width="11.625" style="46" bestFit="1" customWidth="1"/>
    <col min="30" max="30" width="9.125" style="46" bestFit="1" customWidth="1"/>
    <col min="31" max="31" width="9" style="46" bestFit="1" customWidth="1"/>
    <col min="32" max="32" width="12.625" style="48" customWidth="1"/>
    <col min="33" max="59" width="9" style="46"/>
  </cols>
  <sheetData>
    <row r="2" spans="1:32" x14ac:dyDescent="0.3">
      <c r="A2" s="46" t="s">
        <v>136</v>
      </c>
      <c r="B2" s="46" t="s">
        <v>137</v>
      </c>
      <c r="C2" s="46" t="s">
        <v>138</v>
      </c>
      <c r="D2" s="46" t="s">
        <v>139</v>
      </c>
      <c r="E2" s="46" t="s">
        <v>140</v>
      </c>
      <c r="F2" s="49" t="s">
        <v>141</v>
      </c>
      <c r="G2" s="50" t="s">
        <v>142</v>
      </c>
      <c r="H2" s="50" t="s">
        <v>143</v>
      </c>
      <c r="I2" s="50" t="s">
        <v>144</v>
      </c>
      <c r="J2" s="50" t="s">
        <v>145</v>
      </c>
      <c r="K2" s="50" t="s">
        <v>146</v>
      </c>
      <c r="L2" s="50" t="s">
        <v>147</v>
      </c>
      <c r="M2" s="50" t="s">
        <v>148</v>
      </c>
      <c r="N2" s="50" t="s">
        <v>149</v>
      </c>
      <c r="O2" s="50" t="s">
        <v>150</v>
      </c>
      <c r="P2" s="50" t="s">
        <v>151</v>
      </c>
      <c r="Q2" s="50" t="s">
        <v>152</v>
      </c>
      <c r="R2" s="50" t="s">
        <v>153</v>
      </c>
      <c r="S2" s="50" t="s">
        <v>154</v>
      </c>
      <c r="T2" s="50" t="s">
        <v>155</v>
      </c>
      <c r="U2" s="50" t="s">
        <v>156</v>
      </c>
      <c r="V2" s="50" t="s">
        <v>157</v>
      </c>
      <c r="W2" s="50" t="s">
        <v>158</v>
      </c>
      <c r="X2" s="50" t="s">
        <v>159</v>
      </c>
      <c r="Y2" s="50" t="s">
        <v>160</v>
      </c>
      <c r="Z2" s="50" t="s">
        <v>161</v>
      </c>
      <c r="AA2" s="50" t="s">
        <v>162</v>
      </c>
      <c r="AB2" s="50" t="s">
        <v>163</v>
      </c>
      <c r="AC2" s="50" t="s">
        <v>164</v>
      </c>
      <c r="AD2" s="51" t="s">
        <v>165</v>
      </c>
      <c r="AF2" s="52" t="s">
        <v>166</v>
      </c>
    </row>
    <row r="3" spans="1:32" x14ac:dyDescent="0.3">
      <c r="A3" s="46" t="s">
        <v>0</v>
      </c>
      <c r="B3" s="46" t="str">
        <f>IFERROR(VLOOKUP($H3,매장구분!$B:$Z,2,0),"")</f>
        <v>리테일채널팀</v>
      </c>
      <c r="C3" s="46" t="str">
        <f>IFERROR(VLOOKUP($H3,매장구분!$B:$Z,3,0),"")</f>
        <v>국내</v>
      </c>
      <c r="D3" s="46" t="str">
        <f>IFERROR(VLOOKUP($H3,매장구분!$B:$Z,5,0),"")</f>
        <v>상설(위탁)</v>
      </c>
      <c r="E3" s="46" t="str">
        <f>IFERROR(VLOOKUP($H3,매장구분!$B:$Z,9,0),"")</f>
        <v>LF스퀘어광양(상-위)</v>
      </c>
      <c r="F3" s="53"/>
      <c r="G3" s="54" t="s">
        <v>167</v>
      </c>
      <c r="H3" s="55" t="s">
        <v>168</v>
      </c>
      <c r="I3" s="55" t="s">
        <v>169</v>
      </c>
      <c r="J3" s="55" t="s">
        <v>79</v>
      </c>
      <c r="K3" s="55" t="s">
        <v>170</v>
      </c>
      <c r="L3" s="55" t="s">
        <v>171</v>
      </c>
      <c r="M3" s="55" t="s">
        <v>77</v>
      </c>
      <c r="N3" s="55" t="s">
        <v>172</v>
      </c>
      <c r="O3" s="55">
        <v>936000</v>
      </c>
      <c r="P3" s="55">
        <v>26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6">
        <v>0</v>
      </c>
      <c r="Z3" s="55">
        <v>0</v>
      </c>
      <c r="AA3" s="55">
        <v>0</v>
      </c>
      <c r="AB3" s="55">
        <v>0</v>
      </c>
      <c r="AC3" s="55">
        <v>936000</v>
      </c>
      <c r="AD3" s="57">
        <v>26</v>
      </c>
      <c r="AF3" s="47">
        <f t="shared" ref="AF3:AF66" si="0">IFERROR(AC3-Y3,"")</f>
        <v>936000</v>
      </c>
    </row>
    <row r="4" spans="1:32" x14ac:dyDescent="0.3">
      <c r="A4" s="46" t="s">
        <v>0</v>
      </c>
      <c r="B4" s="46" t="str">
        <f>IFERROR(VLOOKUP($H4,매장구분!$B:$Z,2,0),"")</f>
        <v>리테일채널팀</v>
      </c>
      <c r="C4" s="46" t="str">
        <f>IFERROR(VLOOKUP($H4,매장구분!$B:$Z,3,0),"")</f>
        <v>국내</v>
      </c>
      <c r="D4" s="46" t="str">
        <f>IFERROR(VLOOKUP($H4,매장구분!$B:$Z,5,0),"")</f>
        <v>상설(위탁)</v>
      </c>
      <c r="E4" s="46" t="str">
        <f>IFERROR(VLOOKUP($H4,매장구분!$B:$Z,9,0),"")</f>
        <v>콜렉티드(상-위)</v>
      </c>
      <c r="F4" s="58"/>
      <c r="G4" s="59" t="s">
        <v>434</v>
      </c>
      <c r="H4" s="60" t="s">
        <v>435</v>
      </c>
      <c r="I4" s="60" t="s">
        <v>169</v>
      </c>
      <c r="J4" s="60" t="s">
        <v>79</v>
      </c>
      <c r="K4" s="60" t="s">
        <v>170</v>
      </c>
      <c r="L4" s="60" t="s">
        <v>171</v>
      </c>
      <c r="M4" s="60" t="s">
        <v>219</v>
      </c>
      <c r="N4" s="60" t="s">
        <v>219</v>
      </c>
      <c r="O4" s="60">
        <v>144000</v>
      </c>
      <c r="P4" s="60">
        <v>4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1">
        <v>0</v>
      </c>
      <c r="Z4" s="60">
        <v>0</v>
      </c>
      <c r="AA4" s="60">
        <v>0</v>
      </c>
      <c r="AB4" s="60">
        <v>0</v>
      </c>
      <c r="AC4" s="60">
        <v>144000</v>
      </c>
      <c r="AD4" s="62">
        <v>4</v>
      </c>
      <c r="AF4" s="47">
        <f t="shared" si="0"/>
        <v>144000</v>
      </c>
    </row>
    <row r="5" spans="1:32" hidden="1" x14ac:dyDescent="0.3">
      <c r="A5" s="46" t="s">
        <v>0</v>
      </c>
      <c r="B5" s="46" t="str">
        <f>IFERROR(VLOOKUP($H5,매장구분!$B:$Z,2,0),"")</f>
        <v>파트너채널팀</v>
      </c>
      <c r="C5" s="46" t="str">
        <f>IFERROR(VLOOKUP($H5,매장구분!$B:$Z,3,0),"")</f>
        <v>면세</v>
      </c>
      <c r="D5" s="46" t="str">
        <f>IFERROR(VLOOKUP($H5,매장구분!$B:$Z,5,0),"")</f>
        <v>면세</v>
      </c>
      <c r="E5" s="46" t="str">
        <f>IFERROR(VLOOKUP($H5,매장구분!$B:$Z,9,0),"")</f>
        <v>롯데면세월드</v>
      </c>
      <c r="F5" s="53"/>
      <c r="G5" s="54" t="s">
        <v>213</v>
      </c>
      <c r="H5" s="55" t="s">
        <v>214</v>
      </c>
      <c r="I5" s="55" t="s">
        <v>169</v>
      </c>
      <c r="J5" s="55" t="s">
        <v>175</v>
      </c>
      <c r="K5" s="55" t="s">
        <v>170</v>
      </c>
      <c r="L5" s="55" t="s">
        <v>171</v>
      </c>
      <c r="M5" s="55" t="s">
        <v>176</v>
      </c>
      <c r="N5" s="55" t="s">
        <v>177</v>
      </c>
      <c r="O5" s="55">
        <v>10907000</v>
      </c>
      <c r="P5" s="55">
        <v>204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6">
        <v>74695000</v>
      </c>
      <c r="Z5" s="55">
        <v>299</v>
      </c>
      <c r="AA5" s="55">
        <v>0</v>
      </c>
      <c r="AB5" s="55">
        <v>0</v>
      </c>
      <c r="AC5" s="55">
        <v>85602000</v>
      </c>
      <c r="AD5" s="57">
        <v>503</v>
      </c>
      <c r="AF5" s="47">
        <f t="shared" si="0"/>
        <v>10907000</v>
      </c>
    </row>
    <row r="6" spans="1:32" hidden="1" x14ac:dyDescent="0.3">
      <c r="A6" s="46" t="s">
        <v>0</v>
      </c>
      <c r="B6" s="46" t="str">
        <f>IFERROR(VLOOKUP($H6,매장구분!$B:$Z,2,0),"")</f>
        <v>파트너채널팀</v>
      </c>
      <c r="C6" s="46" t="str">
        <f>IFERROR(VLOOKUP($H6,매장구분!$B:$Z,3,0),"")</f>
        <v>면세</v>
      </c>
      <c r="D6" s="46" t="str">
        <f>IFERROR(VLOOKUP($H6,매장구분!$B:$Z,5,0),"")</f>
        <v>면세</v>
      </c>
      <c r="E6" s="46" t="str">
        <f>IFERROR(VLOOKUP($H6,매장구분!$B:$Z,9,0),"")</f>
        <v>롯데면세소공</v>
      </c>
      <c r="F6" s="58"/>
      <c r="G6" s="59" t="s">
        <v>384</v>
      </c>
      <c r="H6" s="60" t="s">
        <v>385</v>
      </c>
      <c r="I6" s="60" t="s">
        <v>169</v>
      </c>
      <c r="J6" s="60" t="s">
        <v>175</v>
      </c>
      <c r="K6" s="60" t="s">
        <v>170</v>
      </c>
      <c r="L6" s="60" t="s">
        <v>171</v>
      </c>
      <c r="M6" s="60" t="s">
        <v>176</v>
      </c>
      <c r="N6" s="60" t="s">
        <v>177</v>
      </c>
      <c r="O6" s="60">
        <v>38728000</v>
      </c>
      <c r="P6" s="60">
        <v>583</v>
      </c>
      <c r="Q6" s="60">
        <v>0</v>
      </c>
      <c r="R6" s="60">
        <v>0</v>
      </c>
      <c r="S6" s="60">
        <v>0</v>
      </c>
      <c r="T6" s="60">
        <v>0</v>
      </c>
      <c r="U6" s="60">
        <v>0</v>
      </c>
      <c r="V6" s="60">
        <v>0</v>
      </c>
      <c r="W6" s="60">
        <v>0</v>
      </c>
      <c r="X6" s="60">
        <v>0</v>
      </c>
      <c r="Y6" s="61">
        <v>57765000</v>
      </c>
      <c r="Z6" s="60">
        <v>881</v>
      </c>
      <c r="AA6" s="60">
        <v>0</v>
      </c>
      <c r="AB6" s="60">
        <v>0</v>
      </c>
      <c r="AC6" s="60">
        <v>96493000</v>
      </c>
      <c r="AD6" s="62">
        <v>1464</v>
      </c>
      <c r="AF6" s="47">
        <f t="shared" si="0"/>
        <v>38728000</v>
      </c>
    </row>
    <row r="7" spans="1:32" hidden="1" x14ac:dyDescent="0.3">
      <c r="A7" s="46" t="s">
        <v>0</v>
      </c>
      <c r="B7" s="46" t="str">
        <f>IFERROR(VLOOKUP($H7,매장구분!$B:$Z,2,0),"")</f>
        <v>파트너채널팀</v>
      </c>
      <c r="C7" s="46" t="str">
        <f>IFERROR(VLOOKUP($H7,매장구분!$B:$Z,3,0),"")</f>
        <v>면세</v>
      </c>
      <c r="D7" s="46" t="str">
        <f>IFERROR(VLOOKUP($H7,매장구분!$B:$Z,5,0),"")</f>
        <v>면세</v>
      </c>
      <c r="E7" s="46" t="str">
        <f>IFERROR(VLOOKUP($H7,매장구분!$B:$Z,9,0),"")</f>
        <v>신세계면세명동</v>
      </c>
      <c r="F7" s="53"/>
      <c r="G7" s="54" t="s">
        <v>173</v>
      </c>
      <c r="H7" s="55" t="s">
        <v>174</v>
      </c>
      <c r="I7" s="55" t="s">
        <v>169</v>
      </c>
      <c r="J7" s="55" t="s">
        <v>175</v>
      </c>
      <c r="K7" s="55" t="s">
        <v>170</v>
      </c>
      <c r="L7" s="55" t="s">
        <v>171</v>
      </c>
      <c r="M7" s="55" t="s">
        <v>176</v>
      </c>
      <c r="N7" s="55" t="s">
        <v>177</v>
      </c>
      <c r="O7" s="55">
        <v>30227800</v>
      </c>
      <c r="P7" s="55">
        <v>458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56">
        <v>17477000</v>
      </c>
      <c r="Z7" s="55">
        <v>276</v>
      </c>
      <c r="AA7" s="55">
        <v>0</v>
      </c>
      <c r="AB7" s="55">
        <v>0</v>
      </c>
      <c r="AC7" s="55">
        <v>47704800</v>
      </c>
      <c r="AD7" s="57">
        <v>734</v>
      </c>
      <c r="AF7" s="47">
        <f t="shared" si="0"/>
        <v>30227800</v>
      </c>
    </row>
    <row r="8" spans="1:32" hidden="1" x14ac:dyDescent="0.3">
      <c r="A8" s="46" t="s">
        <v>0</v>
      </c>
      <c r="B8" s="46" t="str">
        <f>IFERROR(VLOOKUP($H8,매장구분!$B:$Z,2,0),"")</f>
        <v>파트너채널팀</v>
      </c>
      <c r="C8" s="46" t="str">
        <f>IFERROR(VLOOKUP($H8,매장구분!$B:$Z,3,0),"")</f>
        <v>면세</v>
      </c>
      <c r="D8" s="46" t="str">
        <f>IFERROR(VLOOKUP($H8,매장구분!$B:$Z,5,0),"")</f>
        <v>면세</v>
      </c>
      <c r="E8" s="46" t="str">
        <f>IFERROR(VLOOKUP($H8,매장구분!$B:$Z,9,0),"")</f>
        <v>현대면세동대문</v>
      </c>
      <c r="F8" s="58"/>
      <c r="G8" s="59" t="s">
        <v>572</v>
      </c>
      <c r="H8" s="60" t="s">
        <v>573</v>
      </c>
      <c r="I8" s="60" t="s">
        <v>169</v>
      </c>
      <c r="J8" s="60" t="s">
        <v>175</v>
      </c>
      <c r="K8" s="60" t="s">
        <v>170</v>
      </c>
      <c r="L8" s="60" t="s">
        <v>171</v>
      </c>
      <c r="M8" s="60" t="s">
        <v>176</v>
      </c>
      <c r="N8" s="60" t="s">
        <v>177</v>
      </c>
      <c r="O8" s="60">
        <v>23847900</v>
      </c>
      <c r="P8" s="60">
        <v>349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1">
        <v>54288900</v>
      </c>
      <c r="Z8" s="60">
        <v>743</v>
      </c>
      <c r="AA8" s="60">
        <v>0</v>
      </c>
      <c r="AB8" s="60">
        <v>0</v>
      </c>
      <c r="AC8" s="60">
        <v>78136800</v>
      </c>
      <c r="AD8" s="62">
        <v>1092</v>
      </c>
      <c r="AF8" s="47">
        <f t="shared" si="0"/>
        <v>23847900</v>
      </c>
    </row>
    <row r="9" spans="1:32" x14ac:dyDescent="0.3">
      <c r="A9" s="46" t="s">
        <v>0</v>
      </c>
      <c r="B9" s="46" t="str">
        <f>IFERROR(VLOOKUP($H9,매장구분!$B:$Z,2,0),"")</f>
        <v>E-biz</v>
      </c>
      <c r="C9" s="46" t="str">
        <f>IFERROR(VLOOKUP($H9,매장구분!$B:$Z,3,0),"")</f>
        <v>국내</v>
      </c>
      <c r="D9" s="46" t="str">
        <f>IFERROR(VLOOKUP($H9,매장구분!$B:$Z,5,0),"")</f>
        <v>온(자사몰)</v>
      </c>
      <c r="E9" s="46" t="str">
        <f>IFERROR(VLOOKUP($H9,매장구분!$B:$Z,9,0),"")</f>
        <v>온라인쇼핑몰</v>
      </c>
      <c r="F9" s="53"/>
      <c r="G9" s="54" t="s">
        <v>178</v>
      </c>
      <c r="H9" s="55" t="s">
        <v>179</v>
      </c>
      <c r="I9" s="55" t="s">
        <v>169</v>
      </c>
      <c r="J9" s="55" t="s">
        <v>180</v>
      </c>
      <c r="K9" s="55" t="s">
        <v>170</v>
      </c>
      <c r="L9" s="55" t="s">
        <v>181</v>
      </c>
      <c r="M9" s="55" t="s">
        <v>181</v>
      </c>
      <c r="N9" s="55" t="s">
        <v>182</v>
      </c>
      <c r="O9" s="55">
        <v>45397850</v>
      </c>
      <c r="P9" s="55">
        <v>598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6">
        <v>0</v>
      </c>
      <c r="Z9" s="55">
        <v>0</v>
      </c>
      <c r="AA9" s="55">
        <v>0</v>
      </c>
      <c r="AB9" s="55">
        <v>0</v>
      </c>
      <c r="AC9" s="55">
        <v>45397850</v>
      </c>
      <c r="AD9" s="57">
        <v>598</v>
      </c>
      <c r="AF9" s="47">
        <f t="shared" si="0"/>
        <v>45397850</v>
      </c>
    </row>
    <row r="10" spans="1:32" hidden="1" x14ac:dyDescent="0.3">
      <c r="A10" s="46" t="s">
        <v>0</v>
      </c>
      <c r="B10" s="46" t="str">
        <f>IFERROR(VLOOKUP($H10,매장구분!$B:$Z,2,0),"")</f>
        <v>리테일채널팀</v>
      </c>
      <c r="C10" s="46" t="str">
        <f>IFERROR(VLOOKUP($H10,매장구분!$B:$Z,3,0),"")</f>
        <v>RF</v>
      </c>
      <c r="D10" s="46" t="str">
        <f>IFERROR(VLOOKUP($H10,매장구분!$B:$Z,5,0),"")</f>
        <v>직영점</v>
      </c>
      <c r="E10" s="46" t="str">
        <f>IFERROR(VLOOKUP($H10,매장구분!$B:$Z,9,0),"")</f>
        <v>가로수길(직)</v>
      </c>
      <c r="F10" s="58"/>
      <c r="G10" s="59" t="s">
        <v>398</v>
      </c>
      <c r="H10" s="60" t="s">
        <v>399</v>
      </c>
      <c r="I10" s="60" t="s">
        <v>169</v>
      </c>
      <c r="J10" s="60" t="s">
        <v>180</v>
      </c>
      <c r="K10" s="60" t="s">
        <v>170</v>
      </c>
      <c r="L10" s="60" t="s">
        <v>171</v>
      </c>
      <c r="M10" s="60" t="s">
        <v>196</v>
      </c>
      <c r="N10" s="60" t="s">
        <v>206</v>
      </c>
      <c r="O10" s="60">
        <v>9419000</v>
      </c>
      <c r="P10" s="60">
        <v>116</v>
      </c>
      <c r="Q10" s="60">
        <v>0</v>
      </c>
      <c r="R10" s="60">
        <v>0</v>
      </c>
      <c r="S10" s="60">
        <v>0</v>
      </c>
      <c r="T10" s="60">
        <v>0</v>
      </c>
      <c r="U10" s="60">
        <v>59000</v>
      </c>
      <c r="V10" s="60">
        <v>1</v>
      </c>
      <c r="W10" s="60">
        <v>0</v>
      </c>
      <c r="X10" s="60">
        <v>0</v>
      </c>
      <c r="Y10" s="61">
        <v>0</v>
      </c>
      <c r="Z10" s="60">
        <v>0</v>
      </c>
      <c r="AA10" s="60">
        <v>0</v>
      </c>
      <c r="AB10" s="60">
        <v>0</v>
      </c>
      <c r="AC10" s="60">
        <v>9478000</v>
      </c>
      <c r="AD10" s="62">
        <v>117</v>
      </c>
      <c r="AF10" s="47">
        <f t="shared" si="0"/>
        <v>9478000</v>
      </c>
    </row>
    <row r="11" spans="1:32" x14ac:dyDescent="0.3">
      <c r="A11" s="46" t="s">
        <v>0</v>
      </c>
      <c r="B11" s="46" t="str">
        <f>IFERROR(VLOOKUP($H11,매장구분!$B:$Z,2,0),"")</f>
        <v>리테일채널팀</v>
      </c>
      <c r="C11" s="46" t="str">
        <f>IFERROR(VLOOKUP($H11,매장구분!$B:$Z,3,0),"")</f>
        <v>국내</v>
      </c>
      <c r="D11" s="46" t="str">
        <f>IFERROR(VLOOKUP($H11,매장구분!$B:$Z,5,0),"")</f>
        <v>직영점</v>
      </c>
      <c r="E11" s="46" t="str">
        <f>IFERROR(VLOOKUP($H11,매장구분!$B:$Z,9,0),"")</f>
        <v>스타필드하남(직)</v>
      </c>
      <c r="F11" s="53"/>
      <c r="G11" s="54" t="s">
        <v>394</v>
      </c>
      <c r="H11" s="55" t="s">
        <v>395</v>
      </c>
      <c r="I11" s="55" t="s">
        <v>169</v>
      </c>
      <c r="J11" s="55" t="s">
        <v>180</v>
      </c>
      <c r="K11" s="55" t="s">
        <v>170</v>
      </c>
      <c r="L11" s="55" t="s">
        <v>171</v>
      </c>
      <c r="M11" s="55" t="s">
        <v>188</v>
      </c>
      <c r="N11" s="55" t="s">
        <v>189</v>
      </c>
      <c r="O11" s="55">
        <v>7779100</v>
      </c>
      <c r="P11" s="55">
        <v>122</v>
      </c>
      <c r="Q11" s="55">
        <v>0</v>
      </c>
      <c r="R11" s="55">
        <v>0</v>
      </c>
      <c r="S11" s="55">
        <v>0</v>
      </c>
      <c r="T11" s="55">
        <v>0</v>
      </c>
      <c r="U11" s="55">
        <v>955000</v>
      </c>
      <c r="V11" s="55">
        <v>5</v>
      </c>
      <c r="W11" s="55">
        <v>0</v>
      </c>
      <c r="X11" s="55">
        <v>0</v>
      </c>
      <c r="Y11" s="56">
        <v>0</v>
      </c>
      <c r="Z11" s="55">
        <v>0</v>
      </c>
      <c r="AA11" s="55">
        <v>0</v>
      </c>
      <c r="AB11" s="55">
        <v>0</v>
      </c>
      <c r="AC11" s="55">
        <v>8734100</v>
      </c>
      <c r="AD11" s="57">
        <v>127</v>
      </c>
      <c r="AF11" s="47">
        <f t="shared" si="0"/>
        <v>8734100</v>
      </c>
    </row>
    <row r="12" spans="1:32" x14ac:dyDescent="0.3">
      <c r="A12" s="46" t="s">
        <v>0</v>
      </c>
      <c r="B12" s="46" t="str">
        <f>IFERROR(VLOOKUP($H12,매장구분!$B:$Z,2,0),"")</f>
        <v>리테일채널팀</v>
      </c>
      <c r="C12" s="46" t="str">
        <f>IFERROR(VLOOKUP($H12,매장구분!$B:$Z,3,0),"")</f>
        <v>국내</v>
      </c>
      <c r="D12" s="46" t="str">
        <f>IFERROR(VLOOKUP($H12,매장구분!$B:$Z,5,0),"")</f>
        <v>직영점</v>
      </c>
      <c r="E12" s="46" t="str">
        <f>IFERROR(VLOOKUP($H12,매장구분!$B:$Z,9,0),"")</f>
        <v>동성로</v>
      </c>
      <c r="F12" s="58"/>
      <c r="G12" s="59" t="s">
        <v>204</v>
      </c>
      <c r="H12" s="60" t="s">
        <v>205</v>
      </c>
      <c r="I12" s="60" t="s">
        <v>169</v>
      </c>
      <c r="J12" s="60" t="s">
        <v>180</v>
      </c>
      <c r="K12" s="60" t="s">
        <v>170</v>
      </c>
      <c r="L12" s="60" t="s">
        <v>171</v>
      </c>
      <c r="M12" s="60" t="s">
        <v>196</v>
      </c>
      <c r="N12" s="60" t="s">
        <v>206</v>
      </c>
      <c r="O12" s="60">
        <v>9396900</v>
      </c>
      <c r="P12" s="60">
        <v>115</v>
      </c>
      <c r="Q12" s="60">
        <v>0</v>
      </c>
      <c r="R12" s="60">
        <v>0</v>
      </c>
      <c r="S12" s="60">
        <v>0</v>
      </c>
      <c r="T12" s="60">
        <v>0</v>
      </c>
      <c r="U12" s="60">
        <v>735300</v>
      </c>
      <c r="V12" s="60">
        <v>3</v>
      </c>
      <c r="W12" s="60">
        <v>0</v>
      </c>
      <c r="X12" s="60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10132200</v>
      </c>
      <c r="AD12" s="62">
        <v>118</v>
      </c>
      <c r="AF12" s="47">
        <f t="shared" si="0"/>
        <v>10132200</v>
      </c>
    </row>
    <row r="13" spans="1:32" x14ac:dyDescent="0.3">
      <c r="A13" s="46" t="s">
        <v>0</v>
      </c>
      <c r="B13" s="46" t="str">
        <f>IFERROR(VLOOKUP($H13,매장구분!$B:$Z,2,0),"")</f>
        <v>리테일채널팀</v>
      </c>
      <c r="C13" s="46" t="str">
        <f>IFERROR(VLOOKUP($H13,매장구분!$B:$Z,3,0),"")</f>
        <v>국내</v>
      </c>
      <c r="D13" s="46" t="str">
        <f>IFERROR(VLOOKUP($H13,매장구분!$B:$Z,5,0),"")</f>
        <v>대리점</v>
      </c>
      <c r="E13" s="46" t="str">
        <f>IFERROR(VLOOKUP($H13,매장구분!$B:$Z,9,0),"")</f>
        <v>보령(대-위)</v>
      </c>
      <c r="F13" s="53"/>
      <c r="G13" s="54" t="s">
        <v>211</v>
      </c>
      <c r="H13" s="55" t="s">
        <v>212</v>
      </c>
      <c r="I13" s="55" t="s">
        <v>169</v>
      </c>
      <c r="J13" s="55" t="s">
        <v>79</v>
      </c>
      <c r="K13" s="55" t="s">
        <v>170</v>
      </c>
      <c r="L13" s="55" t="s">
        <v>171</v>
      </c>
      <c r="M13" s="55" t="s">
        <v>196</v>
      </c>
      <c r="N13" s="55" t="s">
        <v>197</v>
      </c>
      <c r="O13" s="55">
        <v>2397000</v>
      </c>
      <c r="P13" s="55">
        <v>21</v>
      </c>
      <c r="Q13" s="55">
        <v>0</v>
      </c>
      <c r="R13" s="55">
        <v>0</v>
      </c>
      <c r="S13" s="55">
        <v>0</v>
      </c>
      <c r="T13" s="55">
        <v>0</v>
      </c>
      <c r="U13" s="55">
        <v>-239000</v>
      </c>
      <c r="V13" s="55">
        <v>-1</v>
      </c>
      <c r="W13" s="55">
        <v>0</v>
      </c>
      <c r="X13" s="55">
        <v>0</v>
      </c>
      <c r="Y13" s="56">
        <v>0</v>
      </c>
      <c r="Z13" s="55">
        <v>0</v>
      </c>
      <c r="AA13" s="55">
        <v>0</v>
      </c>
      <c r="AB13" s="55">
        <v>0</v>
      </c>
      <c r="AC13" s="55">
        <v>2158000</v>
      </c>
      <c r="AD13" s="57">
        <v>20</v>
      </c>
      <c r="AF13" s="47">
        <f t="shared" si="0"/>
        <v>2158000</v>
      </c>
    </row>
    <row r="14" spans="1:32" x14ac:dyDescent="0.3">
      <c r="A14" s="46" t="s">
        <v>0</v>
      </c>
      <c r="B14" s="46" t="str">
        <f>IFERROR(VLOOKUP($H14,매장구분!$B:$Z,2,0),"")</f>
        <v>리테일채널팀</v>
      </c>
      <c r="C14" s="46" t="str">
        <f>IFERROR(VLOOKUP($H14,매장구분!$B:$Z,3,0),"")</f>
        <v>국내</v>
      </c>
      <c r="D14" s="46" t="str">
        <f>IFERROR(VLOOKUP($H14,매장구분!$B:$Z,5,0),"")</f>
        <v>직영점</v>
      </c>
      <c r="E14" s="46" t="str">
        <f>IFERROR(VLOOKUP($H14,매장구분!$B:$Z,9,0),"")</f>
        <v>스타필드고양</v>
      </c>
      <c r="F14" s="58"/>
      <c r="G14" s="59" t="s">
        <v>592</v>
      </c>
      <c r="H14" s="60" t="s">
        <v>593</v>
      </c>
      <c r="I14" s="60" t="s">
        <v>169</v>
      </c>
      <c r="J14" s="60" t="s">
        <v>180</v>
      </c>
      <c r="K14" s="60" t="s">
        <v>170</v>
      </c>
      <c r="L14" s="60" t="s">
        <v>171</v>
      </c>
      <c r="M14" s="60" t="s">
        <v>188</v>
      </c>
      <c r="N14" s="60" t="s">
        <v>189</v>
      </c>
      <c r="O14" s="60">
        <v>9902300</v>
      </c>
      <c r="P14" s="60">
        <v>155</v>
      </c>
      <c r="Q14" s="60">
        <v>0</v>
      </c>
      <c r="R14" s="60">
        <v>0</v>
      </c>
      <c r="S14" s="60">
        <v>0</v>
      </c>
      <c r="T14" s="60">
        <v>0</v>
      </c>
      <c r="U14" s="60">
        <v>1384800</v>
      </c>
      <c r="V14" s="60">
        <v>9</v>
      </c>
      <c r="W14" s="60">
        <v>0</v>
      </c>
      <c r="X14" s="60">
        <v>0</v>
      </c>
      <c r="Y14" s="61">
        <v>0</v>
      </c>
      <c r="Z14" s="60">
        <v>0</v>
      </c>
      <c r="AA14" s="60">
        <v>0</v>
      </c>
      <c r="AB14" s="60">
        <v>0</v>
      </c>
      <c r="AC14" s="60">
        <v>11287100</v>
      </c>
      <c r="AD14" s="62">
        <v>164</v>
      </c>
      <c r="AF14" s="47">
        <f t="shared" si="0"/>
        <v>11287100</v>
      </c>
    </row>
    <row r="15" spans="1:32" x14ac:dyDescent="0.3">
      <c r="A15" s="46" t="s">
        <v>0</v>
      </c>
      <c r="B15" s="46" t="str">
        <f>IFERROR(VLOOKUP($H15,매장구분!$B:$Z,2,0),"")</f>
        <v>리테일채널팀</v>
      </c>
      <c r="C15" s="46" t="str">
        <f>IFERROR(VLOOKUP($H15,매장구분!$B:$Z,3,0),"")</f>
        <v>국내</v>
      </c>
      <c r="D15" s="46" t="str">
        <f>IFERROR(VLOOKUP($H15,매장구분!$B:$Z,5,0),"")</f>
        <v>대리점</v>
      </c>
      <c r="E15" s="46" t="str">
        <f>IFERROR(VLOOKUP($H15,매장구분!$B:$Z,9,0),"")</f>
        <v>홍성(대-위)</v>
      </c>
      <c r="F15" s="53"/>
      <c r="G15" s="54" t="s">
        <v>418</v>
      </c>
      <c r="H15" s="55" t="s">
        <v>419</v>
      </c>
      <c r="I15" s="55" t="s">
        <v>169</v>
      </c>
      <c r="J15" s="55" t="s">
        <v>79</v>
      </c>
      <c r="K15" s="55" t="s">
        <v>170</v>
      </c>
      <c r="L15" s="55" t="s">
        <v>171</v>
      </c>
      <c r="M15" s="55" t="s">
        <v>196</v>
      </c>
      <c r="N15" s="55" t="s">
        <v>197</v>
      </c>
      <c r="O15" s="55">
        <v>1249293</v>
      </c>
      <c r="P15" s="55">
        <v>14</v>
      </c>
      <c r="Q15" s="55">
        <v>0</v>
      </c>
      <c r="R15" s="55">
        <v>0</v>
      </c>
      <c r="S15" s="55">
        <v>0</v>
      </c>
      <c r="T15" s="55">
        <v>0</v>
      </c>
      <c r="U15" s="55">
        <v>3066859</v>
      </c>
      <c r="V15" s="55">
        <v>18</v>
      </c>
      <c r="W15" s="55">
        <v>0</v>
      </c>
      <c r="X15" s="55">
        <v>0</v>
      </c>
      <c r="Y15" s="56">
        <v>1772100</v>
      </c>
      <c r="Z15" s="55">
        <v>11</v>
      </c>
      <c r="AA15" s="55">
        <v>0</v>
      </c>
      <c r="AB15" s="55">
        <v>0</v>
      </c>
      <c r="AC15" s="55">
        <v>6088252</v>
      </c>
      <c r="AD15" s="57">
        <v>43</v>
      </c>
      <c r="AF15" s="47">
        <f t="shared" si="0"/>
        <v>4316152</v>
      </c>
    </row>
    <row r="16" spans="1:32" x14ac:dyDescent="0.3">
      <c r="A16" s="46" t="s">
        <v>0</v>
      </c>
      <c r="B16" s="46" t="str">
        <f>IFERROR(VLOOKUP($H16,매장구분!$B:$Z,2,0),"")</f>
        <v>리테일채널팀</v>
      </c>
      <c r="C16" s="46" t="str">
        <f>IFERROR(VLOOKUP($H16,매장구분!$B:$Z,3,0),"")</f>
        <v>국내</v>
      </c>
      <c r="D16" s="46" t="str">
        <f>IFERROR(VLOOKUP($H16,매장구분!$B:$Z,5,0),"")</f>
        <v>대리점</v>
      </c>
      <c r="E16" s="46" t="str">
        <f>IFERROR(VLOOKUP($H16,매장구분!$B:$Z,9,0),"")</f>
        <v>남원(대-위)</v>
      </c>
      <c r="F16" s="58"/>
      <c r="G16" s="59" t="s">
        <v>410</v>
      </c>
      <c r="H16" s="60" t="s">
        <v>411</v>
      </c>
      <c r="I16" s="60" t="s">
        <v>169</v>
      </c>
      <c r="J16" s="60" t="s">
        <v>79</v>
      </c>
      <c r="K16" s="60" t="s">
        <v>170</v>
      </c>
      <c r="L16" s="60" t="s">
        <v>171</v>
      </c>
      <c r="M16" s="60" t="s">
        <v>196</v>
      </c>
      <c r="N16" s="60" t="s">
        <v>197</v>
      </c>
      <c r="O16" s="60">
        <v>2578000</v>
      </c>
      <c r="P16" s="60">
        <v>21</v>
      </c>
      <c r="Q16" s="60">
        <v>0</v>
      </c>
      <c r="R16" s="60">
        <v>0</v>
      </c>
      <c r="S16" s="60">
        <v>0</v>
      </c>
      <c r="T16" s="60">
        <v>0</v>
      </c>
      <c r="U16" s="60">
        <v>2100</v>
      </c>
      <c r="V16" s="60">
        <v>1</v>
      </c>
      <c r="W16" s="60">
        <v>0</v>
      </c>
      <c r="X16" s="60">
        <v>0</v>
      </c>
      <c r="Y16" s="61">
        <v>0</v>
      </c>
      <c r="Z16" s="60">
        <v>0</v>
      </c>
      <c r="AA16" s="60">
        <v>0</v>
      </c>
      <c r="AB16" s="60">
        <v>0</v>
      </c>
      <c r="AC16" s="60">
        <v>2580100</v>
      </c>
      <c r="AD16" s="62">
        <v>22</v>
      </c>
      <c r="AF16" s="47">
        <f t="shared" si="0"/>
        <v>2580100</v>
      </c>
    </row>
    <row r="17" spans="1:32" x14ac:dyDescent="0.3">
      <c r="A17" s="46" t="s">
        <v>0</v>
      </c>
      <c r="B17" s="46" t="str">
        <f>IFERROR(VLOOKUP($H17,매장구분!$B:$Z,2,0),"")</f>
        <v>파트너채널팀</v>
      </c>
      <c r="C17" s="46" t="str">
        <f>IFERROR(VLOOKUP($H17,매장구분!$B:$Z,3,0),"")</f>
        <v>국내</v>
      </c>
      <c r="D17" s="46" t="str">
        <f>IFERROR(VLOOKUP($H17,매장구분!$B:$Z,5,0),"")</f>
        <v>백화점</v>
      </c>
      <c r="E17" s="46" t="str">
        <f>IFERROR(VLOOKUP($H17,매장구분!$B:$Z,9,0),"")</f>
        <v>더현대서울</v>
      </c>
      <c r="F17" s="53"/>
      <c r="G17" s="54" t="s">
        <v>422</v>
      </c>
      <c r="H17" s="55" t="s">
        <v>423</v>
      </c>
      <c r="I17" s="55" t="s">
        <v>169</v>
      </c>
      <c r="J17" s="55" t="s">
        <v>175</v>
      </c>
      <c r="K17" s="55" t="s">
        <v>170</v>
      </c>
      <c r="L17" s="55" t="s">
        <v>171</v>
      </c>
      <c r="M17" s="55" t="s">
        <v>188</v>
      </c>
      <c r="N17" s="55" t="s">
        <v>189</v>
      </c>
      <c r="O17" s="55">
        <v>15495200</v>
      </c>
      <c r="P17" s="55">
        <v>202</v>
      </c>
      <c r="Q17" s="55">
        <v>0</v>
      </c>
      <c r="R17" s="55">
        <v>0</v>
      </c>
      <c r="S17" s="55">
        <v>0</v>
      </c>
      <c r="T17" s="55">
        <v>0</v>
      </c>
      <c r="U17" s="55">
        <v>1110700</v>
      </c>
      <c r="V17" s="55">
        <v>8</v>
      </c>
      <c r="W17" s="55">
        <v>0</v>
      </c>
      <c r="X17" s="55">
        <v>0</v>
      </c>
      <c r="Y17" s="56">
        <v>0</v>
      </c>
      <c r="Z17" s="55">
        <v>0</v>
      </c>
      <c r="AA17" s="55">
        <v>0</v>
      </c>
      <c r="AB17" s="55">
        <v>0</v>
      </c>
      <c r="AC17" s="55">
        <v>16605900</v>
      </c>
      <c r="AD17" s="57">
        <v>210</v>
      </c>
      <c r="AF17" s="47">
        <f t="shared" si="0"/>
        <v>16605900</v>
      </c>
    </row>
    <row r="18" spans="1:32" hidden="1" x14ac:dyDescent="0.3">
      <c r="A18" s="46" t="s">
        <v>0</v>
      </c>
      <c r="B18" s="46" t="str">
        <f>IFERROR(VLOOKUP($H18,매장구분!$B:$Z,2,0),"")</f>
        <v>리테일채널팀</v>
      </c>
      <c r="C18" s="46" t="str">
        <f>IFERROR(VLOOKUP($H18,매장구분!$B:$Z,3,0),"")</f>
        <v>RF</v>
      </c>
      <c r="D18" s="46" t="str">
        <f>IFERROR(VLOOKUP($H18,매장구분!$B:$Z,5,0),"")</f>
        <v>직영점</v>
      </c>
      <c r="E18" s="46" t="str">
        <f>IFERROR(VLOOKUP($H18,매장구분!$B:$Z,9,0),"")</f>
        <v>홍대(직)</v>
      </c>
      <c r="F18" s="58"/>
      <c r="G18" s="59" t="s">
        <v>386</v>
      </c>
      <c r="H18" s="60" t="s">
        <v>387</v>
      </c>
      <c r="I18" s="60" t="s">
        <v>169</v>
      </c>
      <c r="J18" s="60" t="s">
        <v>180</v>
      </c>
      <c r="K18" s="60" t="s">
        <v>170</v>
      </c>
      <c r="L18" s="60" t="s">
        <v>171</v>
      </c>
      <c r="M18" s="60" t="s">
        <v>196</v>
      </c>
      <c r="N18" s="60" t="s">
        <v>206</v>
      </c>
      <c r="O18" s="60">
        <v>12089100</v>
      </c>
      <c r="P18" s="60">
        <v>161</v>
      </c>
      <c r="Q18" s="60">
        <v>0</v>
      </c>
      <c r="R18" s="60">
        <v>0</v>
      </c>
      <c r="S18" s="60">
        <v>0</v>
      </c>
      <c r="T18" s="60">
        <v>0</v>
      </c>
      <c r="U18" s="60">
        <v>0</v>
      </c>
      <c r="V18" s="60">
        <v>0</v>
      </c>
      <c r="W18" s="60">
        <v>0</v>
      </c>
      <c r="X18" s="60">
        <v>0</v>
      </c>
      <c r="Y18" s="61">
        <v>0</v>
      </c>
      <c r="Z18" s="60">
        <v>0</v>
      </c>
      <c r="AA18" s="60">
        <v>0</v>
      </c>
      <c r="AB18" s="60">
        <v>0</v>
      </c>
      <c r="AC18" s="60">
        <v>12089100</v>
      </c>
      <c r="AD18" s="62">
        <v>161</v>
      </c>
      <c r="AF18" s="47">
        <f t="shared" si="0"/>
        <v>12089100</v>
      </c>
    </row>
    <row r="19" spans="1:32" x14ac:dyDescent="0.3">
      <c r="A19" s="46" t="s">
        <v>0</v>
      </c>
      <c r="B19" s="46" t="str">
        <f>IFERROR(VLOOKUP($H19,매장구분!$B:$Z,2,0),"")</f>
        <v>리테일채널팀</v>
      </c>
      <c r="C19" s="46" t="str">
        <f>IFERROR(VLOOKUP($H19,매장구분!$B:$Z,3,0),"")</f>
        <v>국내</v>
      </c>
      <c r="D19" s="46" t="str">
        <f>IFERROR(VLOOKUP($H19,매장구분!$B:$Z,5,0),"")</f>
        <v>직영점</v>
      </c>
      <c r="E19" s="46" t="str">
        <f>IFERROR(VLOOKUP($H19,매장구분!$B:$Z,9,0),"")</f>
        <v>타임테라스동탄(직)</v>
      </c>
      <c r="F19" s="53"/>
      <c r="G19" s="54" t="s">
        <v>408</v>
      </c>
      <c r="H19" s="55" t="s">
        <v>409</v>
      </c>
      <c r="I19" s="55" t="s">
        <v>169</v>
      </c>
      <c r="J19" s="55" t="s">
        <v>180</v>
      </c>
      <c r="K19" s="55" t="s">
        <v>170</v>
      </c>
      <c r="L19" s="55" t="s">
        <v>171</v>
      </c>
      <c r="M19" s="55" t="s">
        <v>188</v>
      </c>
      <c r="N19" s="55" t="s">
        <v>317</v>
      </c>
      <c r="O19" s="55">
        <v>2734900</v>
      </c>
      <c r="P19" s="55">
        <v>40</v>
      </c>
      <c r="Q19" s="55">
        <v>0</v>
      </c>
      <c r="R19" s="55">
        <v>0</v>
      </c>
      <c r="S19" s="55">
        <v>0</v>
      </c>
      <c r="T19" s="55">
        <v>0</v>
      </c>
      <c r="U19" s="55">
        <v>-36400</v>
      </c>
      <c r="V19" s="55">
        <v>0</v>
      </c>
      <c r="W19" s="55">
        <v>0</v>
      </c>
      <c r="X19" s="55">
        <v>0</v>
      </c>
      <c r="Y19" s="56">
        <v>0</v>
      </c>
      <c r="Z19" s="55">
        <v>0</v>
      </c>
      <c r="AA19" s="55">
        <v>0</v>
      </c>
      <c r="AB19" s="55">
        <v>0</v>
      </c>
      <c r="AC19" s="55">
        <v>2698500</v>
      </c>
      <c r="AD19" s="57">
        <v>40</v>
      </c>
      <c r="AF19" s="47">
        <f t="shared" si="0"/>
        <v>2698500</v>
      </c>
    </row>
    <row r="20" spans="1:32" x14ac:dyDescent="0.3">
      <c r="A20" s="46" t="s">
        <v>0</v>
      </c>
      <c r="B20" s="46" t="str">
        <f>IFERROR(VLOOKUP($H20,매장구분!$B:$Z,2,0),"")</f>
        <v>리테일채널팀</v>
      </c>
      <c r="C20" s="46" t="str">
        <f>IFERROR(VLOOKUP($H20,매장구분!$B:$Z,3,0),"")</f>
        <v>국내</v>
      </c>
      <c r="D20" s="46" t="str">
        <f>IFERROR(VLOOKUP($H20,매장구분!$B:$Z,5,0),"")</f>
        <v>대리점</v>
      </c>
      <c r="E20" s="46" t="str">
        <f>IFERROR(VLOOKUP($H20,매장구분!$B:$Z,9,0),"")</f>
        <v>아산(대-위)</v>
      </c>
      <c r="F20" s="58"/>
      <c r="G20" s="59" t="s">
        <v>194</v>
      </c>
      <c r="H20" s="60" t="s">
        <v>195</v>
      </c>
      <c r="I20" s="60" t="s">
        <v>169</v>
      </c>
      <c r="J20" s="60" t="s">
        <v>79</v>
      </c>
      <c r="K20" s="60" t="s">
        <v>170</v>
      </c>
      <c r="L20" s="60" t="s">
        <v>171</v>
      </c>
      <c r="M20" s="60" t="s">
        <v>196</v>
      </c>
      <c r="N20" s="60" t="s">
        <v>197</v>
      </c>
      <c r="O20" s="60">
        <v>3810710</v>
      </c>
      <c r="P20" s="60">
        <v>36</v>
      </c>
      <c r="Q20" s="60">
        <v>0</v>
      </c>
      <c r="R20" s="60">
        <v>0</v>
      </c>
      <c r="S20" s="60">
        <v>0</v>
      </c>
      <c r="T20" s="60">
        <v>0</v>
      </c>
      <c r="U20" s="60">
        <v>468290</v>
      </c>
      <c r="V20" s="60">
        <v>4</v>
      </c>
      <c r="W20" s="60">
        <v>0</v>
      </c>
      <c r="X20" s="60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4279000</v>
      </c>
      <c r="AD20" s="62">
        <v>40</v>
      </c>
      <c r="AF20" s="47">
        <f t="shared" si="0"/>
        <v>4279000</v>
      </c>
    </row>
    <row r="21" spans="1:32" x14ac:dyDescent="0.3">
      <c r="A21" s="46" t="s">
        <v>0</v>
      </c>
      <c r="B21" s="46" t="str">
        <f>IFERROR(VLOOKUP($H21,매장구분!$B:$Z,2,0),"")</f>
        <v>리테일채널팀</v>
      </c>
      <c r="C21" s="46" t="str">
        <f>IFERROR(VLOOKUP($H21,매장구분!$B:$Z,3,0),"")</f>
        <v>국내</v>
      </c>
      <c r="D21" s="46" t="str">
        <f>IFERROR(VLOOKUP($H21,매장구분!$B:$Z,5,0),"")</f>
        <v>대리점</v>
      </c>
      <c r="E21" s="46" t="str">
        <f>IFERROR(VLOOKUP($H21,매장구분!$B:$Z,9,0),"")</f>
        <v>영주(대-위)</v>
      </c>
      <c r="F21" s="53"/>
      <c r="G21" s="54" t="s">
        <v>392</v>
      </c>
      <c r="H21" s="55" t="s">
        <v>393</v>
      </c>
      <c r="I21" s="55" t="s">
        <v>169</v>
      </c>
      <c r="J21" s="55" t="s">
        <v>79</v>
      </c>
      <c r="K21" s="55" t="s">
        <v>170</v>
      </c>
      <c r="L21" s="55" t="s">
        <v>171</v>
      </c>
      <c r="M21" s="55" t="s">
        <v>196</v>
      </c>
      <c r="N21" s="55" t="s">
        <v>197</v>
      </c>
      <c r="O21" s="55">
        <v>2926000</v>
      </c>
      <c r="P21" s="55">
        <v>27</v>
      </c>
      <c r="Q21" s="55">
        <v>0</v>
      </c>
      <c r="R21" s="55">
        <v>0</v>
      </c>
      <c r="S21" s="55">
        <v>0</v>
      </c>
      <c r="T21" s="55">
        <v>0</v>
      </c>
      <c r="U21" s="55">
        <v>287600</v>
      </c>
      <c r="V21" s="55">
        <v>2</v>
      </c>
      <c r="W21" s="55">
        <v>0</v>
      </c>
      <c r="X21" s="55">
        <v>0</v>
      </c>
      <c r="Y21" s="56">
        <v>0</v>
      </c>
      <c r="Z21" s="55">
        <v>0</v>
      </c>
      <c r="AA21" s="55">
        <v>0</v>
      </c>
      <c r="AB21" s="55">
        <v>0</v>
      </c>
      <c r="AC21" s="55">
        <v>3213600</v>
      </c>
      <c r="AD21" s="57">
        <v>29</v>
      </c>
      <c r="AF21" s="47">
        <f t="shared" si="0"/>
        <v>3213600</v>
      </c>
    </row>
    <row r="22" spans="1:32" x14ac:dyDescent="0.3">
      <c r="A22" s="46" t="s">
        <v>0</v>
      </c>
      <c r="B22" s="46" t="str">
        <f>IFERROR(VLOOKUP($H22,매장구분!$B:$Z,2,0),"")</f>
        <v>리테일채널팀</v>
      </c>
      <c r="C22" s="46" t="str">
        <f>IFERROR(VLOOKUP($H22,매장구분!$B:$Z,3,0),"")</f>
        <v>국내</v>
      </c>
      <c r="D22" s="46" t="str">
        <f>IFERROR(VLOOKUP($H22,매장구분!$B:$Z,5,0),"")</f>
        <v>대리점</v>
      </c>
      <c r="E22" s="46" t="str">
        <f>IFERROR(VLOOKUP($H22,매장구분!$B:$Z,9,0),"")</f>
        <v>전주송천(대-위)</v>
      </c>
      <c r="F22" s="58"/>
      <c r="G22" s="59" t="s">
        <v>428</v>
      </c>
      <c r="H22" s="60" t="s">
        <v>429</v>
      </c>
      <c r="I22" s="60" t="s">
        <v>169</v>
      </c>
      <c r="J22" s="60" t="s">
        <v>79</v>
      </c>
      <c r="K22" s="60" t="s">
        <v>170</v>
      </c>
      <c r="L22" s="60" t="s">
        <v>171</v>
      </c>
      <c r="M22" s="60" t="s">
        <v>196</v>
      </c>
      <c r="N22" s="60" t="s">
        <v>197</v>
      </c>
      <c r="O22" s="60">
        <v>2972400</v>
      </c>
      <c r="P22" s="60">
        <v>33</v>
      </c>
      <c r="Q22" s="60">
        <v>0</v>
      </c>
      <c r="R22" s="60">
        <v>0</v>
      </c>
      <c r="S22" s="60">
        <v>0</v>
      </c>
      <c r="T22" s="60">
        <v>0</v>
      </c>
      <c r="U22" s="60">
        <v>372300</v>
      </c>
      <c r="V22" s="60">
        <v>4</v>
      </c>
      <c r="W22" s="60">
        <v>0</v>
      </c>
      <c r="X22" s="60">
        <v>0</v>
      </c>
      <c r="Y22" s="61">
        <v>0</v>
      </c>
      <c r="Z22" s="60">
        <v>0</v>
      </c>
      <c r="AA22" s="60">
        <v>0</v>
      </c>
      <c r="AB22" s="60">
        <v>0</v>
      </c>
      <c r="AC22" s="60">
        <v>3344700</v>
      </c>
      <c r="AD22" s="62">
        <v>37</v>
      </c>
      <c r="AF22" s="47">
        <f t="shared" si="0"/>
        <v>3344700</v>
      </c>
    </row>
    <row r="23" spans="1:32" x14ac:dyDescent="0.3">
      <c r="A23" s="46" t="s">
        <v>0</v>
      </c>
      <c r="B23" s="46" t="str">
        <f>IFERROR(VLOOKUP($H23,매장구분!$B:$Z,2,0),"")</f>
        <v>파트너채널팀</v>
      </c>
      <c r="C23" s="46" t="str">
        <f>IFERROR(VLOOKUP($H23,매장구분!$B:$Z,3,0),"")</f>
        <v>국내</v>
      </c>
      <c r="D23" s="46" t="str">
        <f>IFERROR(VLOOKUP($H23,매장구분!$B:$Z,5,0),"")</f>
        <v>백화점</v>
      </c>
      <c r="E23" s="46" t="str">
        <f>IFERROR(VLOOKUP($H23,매장구분!$B:$Z,9,0),"")</f>
        <v>롯데평촌</v>
      </c>
      <c r="F23" s="53"/>
      <c r="G23" s="54" t="s">
        <v>412</v>
      </c>
      <c r="H23" s="55" t="s">
        <v>413</v>
      </c>
      <c r="I23" s="55" t="s">
        <v>169</v>
      </c>
      <c r="J23" s="55" t="s">
        <v>175</v>
      </c>
      <c r="K23" s="55" t="s">
        <v>170</v>
      </c>
      <c r="L23" s="55" t="s">
        <v>171</v>
      </c>
      <c r="M23" s="55" t="s">
        <v>77</v>
      </c>
      <c r="N23" s="55" t="s">
        <v>172</v>
      </c>
      <c r="O23" s="55">
        <v>8494000</v>
      </c>
      <c r="P23" s="55">
        <v>85</v>
      </c>
      <c r="Q23" s="55">
        <v>291000</v>
      </c>
      <c r="R23" s="55">
        <v>3</v>
      </c>
      <c r="S23" s="55">
        <v>0</v>
      </c>
      <c r="T23" s="55">
        <v>0</v>
      </c>
      <c r="U23" s="55">
        <v>763400</v>
      </c>
      <c r="V23" s="55">
        <v>8</v>
      </c>
      <c r="W23" s="55">
        <v>0</v>
      </c>
      <c r="X23" s="55">
        <v>0</v>
      </c>
      <c r="Y23" s="56">
        <v>0</v>
      </c>
      <c r="Z23" s="55">
        <v>0</v>
      </c>
      <c r="AA23" s="55">
        <v>0</v>
      </c>
      <c r="AB23" s="55">
        <v>0</v>
      </c>
      <c r="AC23" s="55">
        <v>9548400</v>
      </c>
      <c r="AD23" s="57">
        <v>96</v>
      </c>
      <c r="AF23" s="47">
        <f t="shared" si="0"/>
        <v>9548400</v>
      </c>
    </row>
    <row r="24" spans="1:32" x14ac:dyDescent="0.3">
      <c r="A24" s="46" t="s">
        <v>0</v>
      </c>
      <c r="B24" s="46" t="str">
        <f>IFERROR(VLOOKUP($H24,매장구분!$B:$Z,2,0),"")</f>
        <v>파트너채널팀</v>
      </c>
      <c r="C24" s="46" t="str">
        <f>IFERROR(VLOOKUP($H24,매장구분!$B:$Z,3,0),"")</f>
        <v>국내</v>
      </c>
      <c r="D24" s="46" t="str">
        <f>IFERROR(VLOOKUP($H24,매장구분!$B:$Z,5,0),"")</f>
        <v>백화점</v>
      </c>
      <c r="E24" s="46" t="str">
        <f>IFERROR(VLOOKUP($H24,매장구분!$B:$Z,9,0),"")</f>
        <v>롯데수원</v>
      </c>
      <c r="F24" s="58"/>
      <c r="G24" s="59" t="s">
        <v>402</v>
      </c>
      <c r="H24" s="60" t="s">
        <v>403</v>
      </c>
      <c r="I24" s="60" t="s">
        <v>169</v>
      </c>
      <c r="J24" s="60" t="s">
        <v>175</v>
      </c>
      <c r="K24" s="60" t="s">
        <v>170</v>
      </c>
      <c r="L24" s="60" t="s">
        <v>171</v>
      </c>
      <c r="M24" s="60" t="s">
        <v>77</v>
      </c>
      <c r="N24" s="60" t="s">
        <v>172</v>
      </c>
      <c r="O24" s="60">
        <v>7958100</v>
      </c>
      <c r="P24" s="60">
        <v>103</v>
      </c>
      <c r="Q24" s="60">
        <v>691000</v>
      </c>
      <c r="R24" s="60">
        <v>19</v>
      </c>
      <c r="S24" s="60">
        <v>0</v>
      </c>
      <c r="T24" s="60">
        <v>0</v>
      </c>
      <c r="U24" s="60">
        <v>379000</v>
      </c>
      <c r="V24" s="60">
        <v>1</v>
      </c>
      <c r="W24" s="60">
        <v>0</v>
      </c>
      <c r="X24" s="60">
        <v>0</v>
      </c>
      <c r="Y24" s="61">
        <v>0</v>
      </c>
      <c r="Z24" s="60">
        <v>0</v>
      </c>
      <c r="AA24" s="60">
        <v>0</v>
      </c>
      <c r="AB24" s="60">
        <v>0</v>
      </c>
      <c r="AC24" s="60">
        <v>9028100</v>
      </c>
      <c r="AD24" s="62">
        <v>123</v>
      </c>
      <c r="AF24" s="47">
        <f t="shared" si="0"/>
        <v>9028100</v>
      </c>
    </row>
    <row r="25" spans="1:32" x14ac:dyDescent="0.3">
      <c r="A25" s="46" t="s">
        <v>0</v>
      </c>
      <c r="B25" s="46" t="str">
        <f>IFERROR(VLOOKUP($H25,매장구분!$B:$Z,2,0),"")</f>
        <v>파트너채널팀</v>
      </c>
      <c r="C25" s="46" t="str">
        <f>IFERROR(VLOOKUP($H25,매장구분!$B:$Z,3,0),"")</f>
        <v>국내</v>
      </c>
      <c r="D25" s="46" t="str">
        <f>IFERROR(VLOOKUP($H25,매장구분!$B:$Z,5,0),"")</f>
        <v>백화점</v>
      </c>
      <c r="E25" s="46" t="str">
        <f>IFERROR(VLOOKUP($H25,매장구분!$B:$Z,9,0),"")</f>
        <v>엔터식스안양</v>
      </c>
      <c r="F25" s="53"/>
      <c r="G25" s="54" t="s">
        <v>414</v>
      </c>
      <c r="H25" s="55" t="s">
        <v>415</v>
      </c>
      <c r="I25" s="55" t="s">
        <v>169</v>
      </c>
      <c r="J25" s="55" t="s">
        <v>175</v>
      </c>
      <c r="K25" s="55" t="s">
        <v>170</v>
      </c>
      <c r="L25" s="55" t="s">
        <v>171</v>
      </c>
      <c r="M25" s="55" t="s">
        <v>188</v>
      </c>
      <c r="N25" s="55" t="s">
        <v>317</v>
      </c>
      <c r="O25" s="55">
        <v>5025700</v>
      </c>
      <c r="P25" s="55">
        <v>58</v>
      </c>
      <c r="Q25" s="55">
        <v>0</v>
      </c>
      <c r="R25" s="55">
        <v>0</v>
      </c>
      <c r="S25" s="55">
        <v>0</v>
      </c>
      <c r="T25" s="55">
        <v>0</v>
      </c>
      <c r="U25" s="55">
        <v>107200</v>
      </c>
      <c r="V25" s="55">
        <v>2</v>
      </c>
      <c r="W25" s="55">
        <v>0</v>
      </c>
      <c r="X25" s="55">
        <v>0</v>
      </c>
      <c r="Y25" s="56">
        <v>0</v>
      </c>
      <c r="Z25" s="55">
        <v>0</v>
      </c>
      <c r="AA25" s="55">
        <v>0</v>
      </c>
      <c r="AB25" s="55">
        <v>0</v>
      </c>
      <c r="AC25" s="55">
        <v>5132900</v>
      </c>
      <c r="AD25" s="57">
        <v>60</v>
      </c>
      <c r="AF25" s="47">
        <f t="shared" si="0"/>
        <v>5132900</v>
      </c>
    </row>
    <row r="26" spans="1:32" x14ac:dyDescent="0.3">
      <c r="A26" s="46" t="s">
        <v>0</v>
      </c>
      <c r="B26" s="46" t="str">
        <f>IFERROR(VLOOKUP($H26,매장구분!$B:$Z,2,0),"")</f>
        <v>파트너채널팀</v>
      </c>
      <c r="C26" s="46" t="str">
        <f>IFERROR(VLOOKUP($H26,매장구분!$B:$Z,3,0),"")</f>
        <v>국내</v>
      </c>
      <c r="D26" s="46" t="str">
        <f>IFERROR(VLOOKUP($H26,매장구분!$B:$Z,5,0),"")</f>
        <v>백화점</v>
      </c>
      <c r="E26" s="46" t="str">
        <f>IFERROR(VLOOKUP($H26,매장구분!$B:$Z,9,0),"")</f>
        <v>롯데영등포</v>
      </c>
      <c r="F26" s="58"/>
      <c r="G26" s="59" t="s">
        <v>202</v>
      </c>
      <c r="H26" s="60" t="s">
        <v>203</v>
      </c>
      <c r="I26" s="60" t="s">
        <v>169</v>
      </c>
      <c r="J26" s="60" t="s">
        <v>175</v>
      </c>
      <c r="K26" s="60" t="s">
        <v>170</v>
      </c>
      <c r="L26" s="60" t="s">
        <v>171</v>
      </c>
      <c r="M26" s="60" t="s">
        <v>77</v>
      </c>
      <c r="N26" s="60" t="s">
        <v>172</v>
      </c>
      <c r="O26" s="60">
        <v>6384668</v>
      </c>
      <c r="P26" s="60">
        <v>56</v>
      </c>
      <c r="Q26" s="60">
        <v>1175200</v>
      </c>
      <c r="R26" s="60">
        <v>19</v>
      </c>
      <c r="S26" s="60">
        <v>0</v>
      </c>
      <c r="T26" s="60">
        <v>0</v>
      </c>
      <c r="U26" s="60">
        <v>927932</v>
      </c>
      <c r="V26" s="60">
        <v>3</v>
      </c>
      <c r="W26" s="60">
        <v>0</v>
      </c>
      <c r="X26" s="60">
        <v>0</v>
      </c>
      <c r="Y26" s="61">
        <v>0</v>
      </c>
      <c r="Z26" s="60">
        <v>0</v>
      </c>
      <c r="AA26" s="60">
        <v>0</v>
      </c>
      <c r="AB26" s="60">
        <v>0</v>
      </c>
      <c r="AC26" s="60">
        <v>8487800</v>
      </c>
      <c r="AD26" s="62">
        <v>78</v>
      </c>
      <c r="AF26" s="47">
        <f t="shared" si="0"/>
        <v>8487800</v>
      </c>
    </row>
    <row r="27" spans="1:32" x14ac:dyDescent="0.3">
      <c r="A27" s="46" t="s">
        <v>0</v>
      </c>
      <c r="B27" s="46" t="str">
        <f>IFERROR(VLOOKUP($H27,매장구분!$B:$Z,2,0),"")</f>
        <v>파트너채널팀</v>
      </c>
      <c r="C27" s="46" t="str">
        <f>IFERROR(VLOOKUP($H27,매장구분!$B:$Z,3,0),"")</f>
        <v>국내</v>
      </c>
      <c r="D27" s="46" t="str">
        <f>IFERROR(VLOOKUP($H27,매장구분!$B:$Z,5,0),"")</f>
        <v>백화점</v>
      </c>
      <c r="E27" s="46" t="str">
        <f>IFERROR(VLOOKUP($H27,매장구분!$B:$Z,9,0),"")</f>
        <v>신세계마산</v>
      </c>
      <c r="F27" s="53"/>
      <c r="G27" s="54" t="s">
        <v>426</v>
      </c>
      <c r="H27" s="55" t="s">
        <v>427</v>
      </c>
      <c r="I27" s="55" t="s">
        <v>169</v>
      </c>
      <c r="J27" s="55" t="s">
        <v>175</v>
      </c>
      <c r="K27" s="55" t="s">
        <v>170</v>
      </c>
      <c r="L27" s="55" t="s">
        <v>171</v>
      </c>
      <c r="M27" s="55" t="s">
        <v>77</v>
      </c>
      <c r="N27" s="55" t="s">
        <v>172</v>
      </c>
      <c r="O27" s="55">
        <v>3614700</v>
      </c>
      <c r="P27" s="55">
        <v>40</v>
      </c>
      <c r="Q27" s="55">
        <v>0</v>
      </c>
      <c r="R27" s="55">
        <v>0</v>
      </c>
      <c r="S27" s="55">
        <v>0</v>
      </c>
      <c r="T27" s="55">
        <v>0</v>
      </c>
      <c r="U27" s="55">
        <v>809400</v>
      </c>
      <c r="V27" s="55">
        <v>5</v>
      </c>
      <c r="W27" s="55">
        <v>0</v>
      </c>
      <c r="X27" s="55">
        <v>0</v>
      </c>
      <c r="Y27" s="56">
        <v>0</v>
      </c>
      <c r="Z27" s="55">
        <v>0</v>
      </c>
      <c r="AA27" s="55">
        <v>0</v>
      </c>
      <c r="AB27" s="55">
        <v>0</v>
      </c>
      <c r="AC27" s="55">
        <v>4424100</v>
      </c>
      <c r="AD27" s="57">
        <v>45</v>
      </c>
      <c r="AF27" s="47">
        <f t="shared" si="0"/>
        <v>4424100</v>
      </c>
    </row>
    <row r="28" spans="1:32" x14ac:dyDescent="0.3">
      <c r="A28" s="46" t="s">
        <v>0</v>
      </c>
      <c r="B28" s="46" t="str">
        <f>IFERROR(VLOOKUP($H28,매장구분!$B:$Z,2,0),"")</f>
        <v>파트너채널팀</v>
      </c>
      <c r="C28" s="46" t="str">
        <f>IFERROR(VLOOKUP($H28,매장구분!$B:$Z,3,0),"")</f>
        <v>국내</v>
      </c>
      <c r="D28" s="46" t="str">
        <f>IFERROR(VLOOKUP($H28,매장구분!$B:$Z,5,0),"")</f>
        <v>백화점</v>
      </c>
      <c r="E28" s="46" t="str">
        <f>IFERROR(VLOOKUP($H28,매장구분!$B:$Z,9,0),"")</f>
        <v>NC신구로</v>
      </c>
      <c r="F28" s="58"/>
      <c r="G28" s="59" t="s">
        <v>596</v>
      </c>
      <c r="H28" s="60" t="s">
        <v>597</v>
      </c>
      <c r="I28" s="60" t="s">
        <v>169</v>
      </c>
      <c r="J28" s="60" t="s">
        <v>175</v>
      </c>
      <c r="K28" s="60" t="s">
        <v>170</v>
      </c>
      <c r="L28" s="60" t="s">
        <v>171</v>
      </c>
      <c r="M28" s="60" t="s">
        <v>77</v>
      </c>
      <c r="N28" s="60" t="s">
        <v>238</v>
      </c>
      <c r="O28" s="60">
        <v>1777300</v>
      </c>
      <c r="P28" s="60">
        <v>29</v>
      </c>
      <c r="Q28" s="60">
        <v>0</v>
      </c>
      <c r="R28" s="60">
        <v>0</v>
      </c>
      <c r="S28" s="60">
        <v>0</v>
      </c>
      <c r="T28" s="60">
        <v>0</v>
      </c>
      <c r="U28" s="60">
        <v>99000</v>
      </c>
      <c r="V28" s="60">
        <v>1</v>
      </c>
      <c r="W28" s="60">
        <v>0</v>
      </c>
      <c r="X28" s="60">
        <v>0</v>
      </c>
      <c r="Y28" s="61">
        <v>0</v>
      </c>
      <c r="Z28" s="60">
        <v>0</v>
      </c>
      <c r="AA28" s="60">
        <v>0</v>
      </c>
      <c r="AB28" s="60">
        <v>0</v>
      </c>
      <c r="AC28" s="60">
        <v>1876300</v>
      </c>
      <c r="AD28" s="62">
        <v>30</v>
      </c>
      <c r="AF28" s="47">
        <f t="shared" si="0"/>
        <v>1876300</v>
      </c>
    </row>
    <row r="29" spans="1:32" x14ac:dyDescent="0.3">
      <c r="A29" s="46" t="s">
        <v>0</v>
      </c>
      <c r="B29" s="46" t="str">
        <f>IFERROR(VLOOKUP($H29,매장구분!$B:$Z,2,0),"")</f>
        <v>리테일채널팀</v>
      </c>
      <c r="C29" s="46" t="str">
        <f>IFERROR(VLOOKUP($H29,매장구분!$B:$Z,3,0),"")</f>
        <v>국내</v>
      </c>
      <c r="D29" s="46" t="str">
        <f>IFERROR(VLOOKUP($H29,매장구분!$B:$Z,5,0),"")</f>
        <v>대리점</v>
      </c>
      <c r="E29" s="46" t="str">
        <f>IFERROR(VLOOKUP($H29,매장구분!$B:$Z,9,0),"")</f>
        <v>순천연향(대-위)</v>
      </c>
      <c r="F29" s="53"/>
      <c r="G29" s="54" t="s">
        <v>390</v>
      </c>
      <c r="H29" s="55" t="s">
        <v>391</v>
      </c>
      <c r="I29" s="55" t="s">
        <v>169</v>
      </c>
      <c r="J29" s="55" t="s">
        <v>79</v>
      </c>
      <c r="K29" s="55" t="s">
        <v>170</v>
      </c>
      <c r="L29" s="55" t="s">
        <v>171</v>
      </c>
      <c r="M29" s="55" t="s">
        <v>196</v>
      </c>
      <c r="N29" s="55" t="s">
        <v>197</v>
      </c>
      <c r="O29" s="55">
        <v>5294100</v>
      </c>
      <c r="P29" s="55">
        <v>55</v>
      </c>
      <c r="Q29" s="55">
        <v>0</v>
      </c>
      <c r="R29" s="55">
        <v>0</v>
      </c>
      <c r="S29" s="55">
        <v>0</v>
      </c>
      <c r="T29" s="55">
        <v>0</v>
      </c>
      <c r="U29" s="55">
        <v>-815800</v>
      </c>
      <c r="V29" s="55">
        <v>-4</v>
      </c>
      <c r="W29" s="55">
        <v>0</v>
      </c>
      <c r="X29" s="55">
        <v>0</v>
      </c>
      <c r="Y29" s="56">
        <v>0</v>
      </c>
      <c r="Z29" s="55">
        <v>0</v>
      </c>
      <c r="AA29" s="55">
        <v>0</v>
      </c>
      <c r="AB29" s="55">
        <v>0</v>
      </c>
      <c r="AC29" s="55">
        <v>4478300</v>
      </c>
      <c r="AD29" s="57">
        <v>51</v>
      </c>
      <c r="AF29" s="47">
        <f t="shared" si="0"/>
        <v>4478300</v>
      </c>
    </row>
    <row r="30" spans="1:32" x14ac:dyDescent="0.3">
      <c r="A30" s="46" t="s">
        <v>0</v>
      </c>
      <c r="B30" s="46" t="str">
        <f>IFERROR(VLOOKUP($H30,매장구분!$B:$Z,2,0),"")</f>
        <v>리테일채널팀</v>
      </c>
      <c r="C30" s="46" t="str">
        <f>IFERROR(VLOOKUP($H30,매장구분!$B:$Z,3,0),"")</f>
        <v>국내</v>
      </c>
      <c r="D30" s="46" t="str">
        <f>IFERROR(VLOOKUP($H30,매장구분!$B:$Z,5,0),"")</f>
        <v>대리점</v>
      </c>
      <c r="E30" s="46" t="str">
        <f>IFERROR(VLOOKUP($H30,매장구분!$B:$Z,9,0),"")</f>
        <v>광명(대-위)</v>
      </c>
      <c r="F30" s="58"/>
      <c r="G30" s="59" t="s">
        <v>420</v>
      </c>
      <c r="H30" s="60" t="s">
        <v>421</v>
      </c>
      <c r="I30" s="60" t="s">
        <v>169</v>
      </c>
      <c r="J30" s="60" t="s">
        <v>79</v>
      </c>
      <c r="K30" s="60" t="s">
        <v>170</v>
      </c>
      <c r="L30" s="60" t="s">
        <v>171</v>
      </c>
      <c r="M30" s="60" t="s">
        <v>196</v>
      </c>
      <c r="N30" s="60" t="s">
        <v>197</v>
      </c>
      <c r="O30" s="60">
        <v>4272800</v>
      </c>
      <c r="P30" s="60">
        <v>48</v>
      </c>
      <c r="Q30" s="60">
        <v>0</v>
      </c>
      <c r="R30" s="60">
        <v>0</v>
      </c>
      <c r="S30" s="60">
        <v>0</v>
      </c>
      <c r="T30" s="60">
        <v>0</v>
      </c>
      <c r="U30" s="60">
        <v>500000</v>
      </c>
      <c r="V30" s="60">
        <v>3</v>
      </c>
      <c r="W30" s="60">
        <v>0</v>
      </c>
      <c r="X30" s="60">
        <v>0</v>
      </c>
      <c r="Y30" s="61">
        <v>16159000</v>
      </c>
      <c r="Z30" s="60">
        <v>81</v>
      </c>
      <c r="AA30" s="60">
        <v>0</v>
      </c>
      <c r="AB30" s="60">
        <v>0</v>
      </c>
      <c r="AC30" s="60">
        <v>20931800</v>
      </c>
      <c r="AD30" s="62">
        <v>132</v>
      </c>
      <c r="AF30" s="47">
        <f t="shared" si="0"/>
        <v>4772800</v>
      </c>
    </row>
    <row r="31" spans="1:32" x14ac:dyDescent="0.3">
      <c r="A31" s="46" t="s">
        <v>0</v>
      </c>
      <c r="B31" s="46" t="str">
        <f>IFERROR(VLOOKUP($H31,매장구분!$B:$Z,2,0),"")</f>
        <v>리테일채널팀</v>
      </c>
      <c r="C31" s="46" t="str">
        <f>IFERROR(VLOOKUP($H31,매장구분!$B:$Z,3,0),"")</f>
        <v>국내</v>
      </c>
      <c r="D31" s="46" t="str">
        <f>IFERROR(VLOOKUP($H31,매장구분!$B:$Z,5,0),"")</f>
        <v>대리점</v>
      </c>
      <c r="E31" s="46" t="str">
        <f>IFERROR(VLOOKUP($H31,매장구분!$B:$Z,9,0),"")</f>
        <v>여수(대-위)</v>
      </c>
      <c r="F31" s="53"/>
      <c r="G31" s="54" t="s">
        <v>198</v>
      </c>
      <c r="H31" s="55" t="s">
        <v>199</v>
      </c>
      <c r="I31" s="55" t="s">
        <v>169</v>
      </c>
      <c r="J31" s="55" t="s">
        <v>79</v>
      </c>
      <c r="K31" s="55" t="s">
        <v>170</v>
      </c>
      <c r="L31" s="55" t="s">
        <v>171</v>
      </c>
      <c r="M31" s="55" t="s">
        <v>196</v>
      </c>
      <c r="N31" s="55" t="s">
        <v>197</v>
      </c>
      <c r="O31" s="55">
        <v>5369400</v>
      </c>
      <c r="P31" s="55">
        <v>45</v>
      </c>
      <c r="Q31" s="55">
        <v>0</v>
      </c>
      <c r="R31" s="55">
        <v>0</v>
      </c>
      <c r="S31" s="55">
        <v>0</v>
      </c>
      <c r="T31" s="55">
        <v>0</v>
      </c>
      <c r="U31" s="55">
        <v>762400</v>
      </c>
      <c r="V31" s="55">
        <v>6</v>
      </c>
      <c r="W31" s="55">
        <v>0</v>
      </c>
      <c r="X31" s="55">
        <v>0</v>
      </c>
      <c r="Y31" s="56">
        <v>0</v>
      </c>
      <c r="Z31" s="55">
        <v>0</v>
      </c>
      <c r="AA31" s="55">
        <v>0</v>
      </c>
      <c r="AB31" s="55">
        <v>0</v>
      </c>
      <c r="AC31" s="55">
        <v>6131800</v>
      </c>
      <c r="AD31" s="57">
        <v>51</v>
      </c>
      <c r="AF31" s="47">
        <f t="shared" si="0"/>
        <v>6131800</v>
      </c>
    </row>
    <row r="32" spans="1:32" x14ac:dyDescent="0.3">
      <c r="A32" s="46" t="s">
        <v>0</v>
      </c>
      <c r="B32" s="46" t="str">
        <f>IFERROR(VLOOKUP($H32,매장구분!$B:$Z,2,0),"")</f>
        <v>파트너채널팀</v>
      </c>
      <c r="C32" s="46" t="str">
        <f>IFERROR(VLOOKUP($H32,매장구분!$B:$Z,3,0),"")</f>
        <v>국내</v>
      </c>
      <c r="D32" s="46" t="str">
        <f>IFERROR(VLOOKUP($H32,매장구분!$B:$Z,5,0),"")</f>
        <v>백화점</v>
      </c>
      <c r="E32" s="46" t="str">
        <f>IFERROR(VLOOKUP($H32,매장구분!$B:$Z,9,0),"")</f>
        <v>AK원주</v>
      </c>
      <c r="F32" s="58"/>
      <c r="G32" s="59" t="s">
        <v>396</v>
      </c>
      <c r="H32" s="60" t="s">
        <v>397</v>
      </c>
      <c r="I32" s="60" t="s">
        <v>169</v>
      </c>
      <c r="J32" s="60" t="s">
        <v>175</v>
      </c>
      <c r="K32" s="60" t="s">
        <v>170</v>
      </c>
      <c r="L32" s="60" t="s">
        <v>171</v>
      </c>
      <c r="M32" s="60" t="s">
        <v>77</v>
      </c>
      <c r="N32" s="60" t="s">
        <v>172</v>
      </c>
      <c r="O32" s="60">
        <v>13360000</v>
      </c>
      <c r="P32" s="60">
        <v>112</v>
      </c>
      <c r="Q32" s="60">
        <v>0</v>
      </c>
      <c r="R32" s="60">
        <v>0</v>
      </c>
      <c r="S32" s="60">
        <v>0</v>
      </c>
      <c r="T32" s="60">
        <v>0</v>
      </c>
      <c r="U32" s="60">
        <v>0</v>
      </c>
      <c r="V32" s="60">
        <v>0</v>
      </c>
      <c r="W32" s="60">
        <v>0</v>
      </c>
      <c r="X32" s="60">
        <v>0</v>
      </c>
      <c r="Y32" s="61">
        <v>125100</v>
      </c>
      <c r="Z32" s="60">
        <v>1</v>
      </c>
      <c r="AA32" s="60">
        <v>0</v>
      </c>
      <c r="AB32" s="60">
        <v>0</v>
      </c>
      <c r="AC32" s="60">
        <v>13485100</v>
      </c>
      <c r="AD32" s="62">
        <v>113</v>
      </c>
      <c r="AF32" s="47">
        <f t="shared" si="0"/>
        <v>13360000</v>
      </c>
    </row>
    <row r="33" spans="1:32" x14ac:dyDescent="0.3">
      <c r="A33" s="46" t="s">
        <v>0</v>
      </c>
      <c r="B33" s="46" t="str">
        <f>IFERROR(VLOOKUP($H33,매장구분!$B:$Z,2,0),"")</f>
        <v>리테일채널팀</v>
      </c>
      <c r="C33" s="46" t="str">
        <f>IFERROR(VLOOKUP($H33,매장구분!$B:$Z,3,0),"")</f>
        <v>국내</v>
      </c>
      <c r="D33" s="46" t="str">
        <f>IFERROR(VLOOKUP($H33,매장구분!$B:$Z,5,0),"")</f>
        <v>대리점</v>
      </c>
      <c r="E33" s="46" t="str">
        <f>IFERROR(VLOOKUP($H33,매장구분!$B:$Z,9,0),"")</f>
        <v>인천(대-위)</v>
      </c>
      <c r="F33" s="53"/>
      <c r="G33" s="54" t="s">
        <v>215</v>
      </c>
      <c r="H33" s="55" t="s">
        <v>216</v>
      </c>
      <c r="I33" s="55" t="s">
        <v>169</v>
      </c>
      <c r="J33" s="55" t="s">
        <v>79</v>
      </c>
      <c r="K33" s="55" t="s">
        <v>170</v>
      </c>
      <c r="L33" s="55" t="s">
        <v>171</v>
      </c>
      <c r="M33" s="55" t="s">
        <v>196</v>
      </c>
      <c r="N33" s="55" t="s">
        <v>197</v>
      </c>
      <c r="O33" s="55">
        <v>2471100</v>
      </c>
      <c r="P33" s="55">
        <v>32</v>
      </c>
      <c r="Q33" s="55">
        <v>0</v>
      </c>
      <c r="R33" s="55">
        <v>0</v>
      </c>
      <c r="S33" s="55">
        <v>0</v>
      </c>
      <c r="T33" s="55">
        <v>0</v>
      </c>
      <c r="U33" s="55">
        <v>0</v>
      </c>
      <c r="V33" s="55">
        <v>0</v>
      </c>
      <c r="W33" s="55">
        <v>0</v>
      </c>
      <c r="X33" s="55">
        <v>0</v>
      </c>
      <c r="Y33" s="56">
        <v>0</v>
      </c>
      <c r="Z33" s="55">
        <v>0</v>
      </c>
      <c r="AA33" s="55">
        <v>0</v>
      </c>
      <c r="AB33" s="55">
        <v>0</v>
      </c>
      <c r="AC33" s="55">
        <v>2471100</v>
      </c>
      <c r="AD33" s="57">
        <v>32</v>
      </c>
      <c r="AF33" s="47">
        <f t="shared" si="0"/>
        <v>2471100</v>
      </c>
    </row>
    <row r="34" spans="1:32" x14ac:dyDescent="0.3">
      <c r="A34" s="46" t="s">
        <v>0</v>
      </c>
      <c r="B34" s="46" t="str">
        <f>IFERROR(VLOOKUP($H34,매장구분!$B:$Z,2,0),"")</f>
        <v>리테일채널팀</v>
      </c>
      <c r="C34" s="46" t="str">
        <f>IFERROR(VLOOKUP($H34,매장구분!$B:$Z,3,0),"")</f>
        <v>국내</v>
      </c>
      <c r="D34" s="46" t="str">
        <f>IFERROR(VLOOKUP($H34,매장구분!$B:$Z,5,0),"")</f>
        <v>상설(위탁)</v>
      </c>
      <c r="E34" s="46" t="str">
        <f>IFERROR(VLOOKUP($H34,매장구분!$B:$Z,9,0),"")</f>
        <v>롯데아울렛수완(상-위)</v>
      </c>
      <c r="F34" s="58"/>
      <c r="G34" s="59" t="s">
        <v>430</v>
      </c>
      <c r="H34" s="60" t="s">
        <v>431</v>
      </c>
      <c r="I34" s="60" t="s">
        <v>169</v>
      </c>
      <c r="J34" s="60" t="s">
        <v>79</v>
      </c>
      <c r="K34" s="60" t="s">
        <v>170</v>
      </c>
      <c r="L34" s="60" t="s">
        <v>171</v>
      </c>
      <c r="M34" s="60" t="s">
        <v>219</v>
      </c>
      <c r="N34" s="60" t="s">
        <v>219</v>
      </c>
      <c r="O34" s="60">
        <v>1836000</v>
      </c>
      <c r="P34" s="60">
        <v>51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0</v>
      </c>
      <c r="X34" s="60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1836000</v>
      </c>
      <c r="AD34" s="62">
        <v>51</v>
      </c>
      <c r="AF34" s="47">
        <f t="shared" si="0"/>
        <v>1836000</v>
      </c>
    </row>
    <row r="35" spans="1:32" x14ac:dyDescent="0.3">
      <c r="A35" s="46" t="s">
        <v>0</v>
      </c>
      <c r="B35" s="46" t="str">
        <f>IFERROR(VLOOKUP($H35,매장구분!$B:$Z,2,0),"")</f>
        <v>파트너채널팀</v>
      </c>
      <c r="C35" s="46" t="str">
        <f>IFERROR(VLOOKUP($H35,매장구분!$B:$Z,3,0),"")</f>
        <v>국내</v>
      </c>
      <c r="D35" s="46" t="str">
        <f>IFERROR(VLOOKUP($H35,매장구분!$B:$Z,5,0),"")</f>
        <v>백화점</v>
      </c>
      <c r="E35" s="46" t="str">
        <f>IFERROR(VLOOKUP($H35,매장구분!$B:$Z,9,0),"")</f>
        <v>롯데안산</v>
      </c>
      <c r="F35" s="53"/>
      <c r="G35" s="54" t="s">
        <v>200</v>
      </c>
      <c r="H35" s="55" t="s">
        <v>201</v>
      </c>
      <c r="I35" s="55" t="s">
        <v>169</v>
      </c>
      <c r="J35" s="55" t="s">
        <v>175</v>
      </c>
      <c r="K35" s="55" t="s">
        <v>170</v>
      </c>
      <c r="L35" s="55" t="s">
        <v>171</v>
      </c>
      <c r="M35" s="55" t="s">
        <v>77</v>
      </c>
      <c r="N35" s="55" t="s">
        <v>172</v>
      </c>
      <c r="O35" s="55">
        <v>3891900</v>
      </c>
      <c r="P35" s="55">
        <v>45</v>
      </c>
      <c r="Q35" s="55">
        <v>0</v>
      </c>
      <c r="R35" s="55">
        <v>0</v>
      </c>
      <c r="S35" s="55">
        <v>0</v>
      </c>
      <c r="T35" s="55">
        <v>0</v>
      </c>
      <c r="U35" s="55">
        <v>982800</v>
      </c>
      <c r="V35" s="55">
        <v>8</v>
      </c>
      <c r="W35" s="55">
        <v>0</v>
      </c>
      <c r="X35" s="55">
        <v>0</v>
      </c>
      <c r="Y35" s="56">
        <v>0</v>
      </c>
      <c r="Z35" s="55">
        <v>0</v>
      </c>
      <c r="AA35" s="55">
        <v>0</v>
      </c>
      <c r="AB35" s="55">
        <v>0</v>
      </c>
      <c r="AC35" s="55">
        <v>4874700</v>
      </c>
      <c r="AD35" s="57">
        <v>53</v>
      </c>
      <c r="AF35" s="47">
        <f t="shared" si="0"/>
        <v>4874700</v>
      </c>
    </row>
    <row r="36" spans="1:32" x14ac:dyDescent="0.3">
      <c r="A36" s="46" t="s">
        <v>0</v>
      </c>
      <c r="B36" s="46" t="str">
        <f>IFERROR(VLOOKUP($H36,매장구분!$B:$Z,2,0),"")</f>
        <v>파트너채널팀</v>
      </c>
      <c r="C36" s="46" t="str">
        <f>IFERROR(VLOOKUP($H36,매장구분!$B:$Z,3,0),"")</f>
        <v>국내</v>
      </c>
      <c r="D36" s="46" t="str">
        <f>IFERROR(VLOOKUP($H36,매장구분!$B:$Z,5,0),"")</f>
        <v>백화점</v>
      </c>
      <c r="E36" s="46" t="str">
        <f>IFERROR(VLOOKUP($H36,매장구분!$B:$Z,9,0),"")</f>
        <v>신세계영등포</v>
      </c>
      <c r="F36" s="58"/>
      <c r="G36" s="59" t="s">
        <v>416</v>
      </c>
      <c r="H36" s="60" t="s">
        <v>417</v>
      </c>
      <c r="I36" s="60" t="s">
        <v>169</v>
      </c>
      <c r="J36" s="60" t="s">
        <v>175</v>
      </c>
      <c r="K36" s="60" t="s">
        <v>170</v>
      </c>
      <c r="L36" s="60" t="s">
        <v>171</v>
      </c>
      <c r="M36" s="60" t="s">
        <v>77</v>
      </c>
      <c r="N36" s="60" t="s">
        <v>172</v>
      </c>
      <c r="O36" s="60">
        <v>5652500</v>
      </c>
      <c r="P36" s="60">
        <v>70</v>
      </c>
      <c r="Q36" s="60">
        <v>0</v>
      </c>
      <c r="R36" s="60">
        <v>0</v>
      </c>
      <c r="S36" s="60">
        <v>0</v>
      </c>
      <c r="T36" s="60">
        <v>0</v>
      </c>
      <c r="U36" s="60">
        <v>1112400</v>
      </c>
      <c r="V36" s="60">
        <v>4</v>
      </c>
      <c r="W36" s="60">
        <v>0</v>
      </c>
      <c r="X36" s="60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6764900</v>
      </c>
      <c r="AD36" s="62">
        <v>74</v>
      </c>
      <c r="AF36" s="47">
        <f t="shared" si="0"/>
        <v>6764900</v>
      </c>
    </row>
    <row r="37" spans="1:32" x14ac:dyDescent="0.3">
      <c r="A37" s="46" t="s">
        <v>0</v>
      </c>
      <c r="B37" s="46" t="str">
        <f>IFERROR(VLOOKUP($H37,매장구분!$B:$Z,2,0),"")</f>
        <v>리테일채널팀</v>
      </c>
      <c r="C37" s="46" t="str">
        <f>IFERROR(VLOOKUP($H37,매장구분!$B:$Z,3,0),"")</f>
        <v>국내</v>
      </c>
      <c r="D37" s="46" t="str">
        <f>IFERROR(VLOOKUP($H37,매장구분!$B:$Z,5,0),"")</f>
        <v>대리점</v>
      </c>
      <c r="E37" s="46" t="str">
        <f>IFERROR(VLOOKUP($H37,매장구분!$B:$Z,9,0),"")</f>
        <v>천안쌍용(대-위)</v>
      </c>
      <c r="F37" s="53"/>
      <c r="G37" s="54" t="s">
        <v>574</v>
      </c>
      <c r="H37" s="55" t="s">
        <v>575</v>
      </c>
      <c r="I37" s="55" t="s">
        <v>169</v>
      </c>
      <c r="J37" s="55" t="s">
        <v>79</v>
      </c>
      <c r="K37" s="55" t="s">
        <v>170</v>
      </c>
      <c r="L37" s="55" t="s">
        <v>171</v>
      </c>
      <c r="M37" s="55" t="s">
        <v>196</v>
      </c>
      <c r="N37" s="55" t="s">
        <v>197</v>
      </c>
      <c r="O37" s="55">
        <v>1047600</v>
      </c>
      <c r="P37" s="55">
        <v>10</v>
      </c>
      <c r="Q37" s="55">
        <v>0</v>
      </c>
      <c r="R37" s="55">
        <v>0</v>
      </c>
      <c r="S37" s="55">
        <v>0</v>
      </c>
      <c r="T37" s="55">
        <v>0</v>
      </c>
      <c r="U37" s="55">
        <v>0</v>
      </c>
      <c r="V37" s="55">
        <v>0</v>
      </c>
      <c r="W37" s="55">
        <v>0</v>
      </c>
      <c r="X37" s="55">
        <v>0</v>
      </c>
      <c r="Y37" s="56">
        <v>0</v>
      </c>
      <c r="Z37" s="55">
        <v>0</v>
      </c>
      <c r="AA37" s="55">
        <v>0</v>
      </c>
      <c r="AB37" s="55">
        <v>0</v>
      </c>
      <c r="AC37" s="55">
        <v>1047600</v>
      </c>
      <c r="AD37" s="57">
        <v>10</v>
      </c>
      <c r="AF37" s="47">
        <f t="shared" si="0"/>
        <v>1047600</v>
      </c>
    </row>
    <row r="38" spans="1:32" x14ac:dyDescent="0.3">
      <c r="A38" s="46" t="s">
        <v>0</v>
      </c>
      <c r="B38" s="46" t="str">
        <f>IFERROR(VLOOKUP($H38,매장구분!$B:$Z,2,0),"")</f>
        <v>파트너채널팀</v>
      </c>
      <c r="C38" s="46" t="str">
        <f>IFERROR(VLOOKUP($H38,매장구분!$B:$Z,3,0),"")</f>
        <v>국내</v>
      </c>
      <c r="D38" s="46" t="str">
        <f>IFERROR(VLOOKUP($H38,매장구분!$B:$Z,5,0),"")</f>
        <v>백화점</v>
      </c>
      <c r="E38" s="46" t="str">
        <f>IFERROR(VLOOKUP($H38,매장구분!$B:$Z,9,0),"")</f>
        <v>롯데김포</v>
      </c>
      <c r="F38" s="58"/>
      <c r="G38" s="59" t="s">
        <v>190</v>
      </c>
      <c r="H38" s="60" t="s">
        <v>191</v>
      </c>
      <c r="I38" s="60" t="s">
        <v>169</v>
      </c>
      <c r="J38" s="60" t="s">
        <v>175</v>
      </c>
      <c r="K38" s="60" t="s">
        <v>170</v>
      </c>
      <c r="L38" s="60" t="s">
        <v>171</v>
      </c>
      <c r="M38" s="60" t="s">
        <v>77</v>
      </c>
      <c r="N38" s="60" t="s">
        <v>172</v>
      </c>
      <c r="O38" s="60">
        <v>9271400</v>
      </c>
      <c r="P38" s="60">
        <v>115</v>
      </c>
      <c r="Q38" s="60">
        <v>0</v>
      </c>
      <c r="R38" s="60">
        <v>0</v>
      </c>
      <c r="S38" s="60">
        <v>0</v>
      </c>
      <c r="T38" s="60">
        <v>0</v>
      </c>
      <c r="U38" s="60">
        <v>800200</v>
      </c>
      <c r="V38" s="60">
        <v>4</v>
      </c>
      <c r="W38" s="60">
        <v>0</v>
      </c>
      <c r="X38" s="60">
        <v>0</v>
      </c>
      <c r="Y38" s="61">
        <v>0</v>
      </c>
      <c r="Z38" s="60">
        <v>0</v>
      </c>
      <c r="AA38" s="60">
        <v>0</v>
      </c>
      <c r="AB38" s="60">
        <v>0</v>
      </c>
      <c r="AC38" s="60">
        <v>10071600</v>
      </c>
      <c r="AD38" s="62">
        <v>119</v>
      </c>
      <c r="AF38" s="47">
        <f t="shared" si="0"/>
        <v>10071600</v>
      </c>
    </row>
    <row r="39" spans="1:32" x14ac:dyDescent="0.3">
      <c r="A39" s="46" t="s">
        <v>0</v>
      </c>
      <c r="B39" s="46" t="str">
        <f>IFERROR(VLOOKUP($H39,매장구분!$B:$Z,2,0),"")</f>
        <v>파트너채널팀</v>
      </c>
      <c r="C39" s="46" t="str">
        <f>IFERROR(VLOOKUP($H39,매장구분!$B:$Z,3,0),"")</f>
        <v>국내</v>
      </c>
      <c r="D39" s="46" t="str">
        <f>IFERROR(VLOOKUP($H39,매장구분!$B:$Z,5,0),"")</f>
        <v>백화점</v>
      </c>
      <c r="E39" s="46" t="str">
        <f>IFERROR(VLOOKUP($H39,매장구분!$B:$Z,9,0),"")</f>
        <v>롯데동탄</v>
      </c>
      <c r="F39" s="53"/>
      <c r="G39" s="54" t="s">
        <v>406</v>
      </c>
      <c r="H39" s="55" t="s">
        <v>407</v>
      </c>
      <c r="I39" s="55" t="s">
        <v>169</v>
      </c>
      <c r="J39" s="55" t="s">
        <v>175</v>
      </c>
      <c r="K39" s="55" t="s">
        <v>170</v>
      </c>
      <c r="L39" s="55" t="s">
        <v>171</v>
      </c>
      <c r="M39" s="55" t="s">
        <v>77</v>
      </c>
      <c r="N39" s="55" t="s">
        <v>172</v>
      </c>
      <c r="O39" s="55">
        <v>4591300</v>
      </c>
      <c r="P39" s="55">
        <v>60</v>
      </c>
      <c r="Q39" s="55">
        <v>0</v>
      </c>
      <c r="R39" s="55">
        <v>0</v>
      </c>
      <c r="S39" s="55">
        <v>0</v>
      </c>
      <c r="T39" s="55">
        <v>0</v>
      </c>
      <c r="U39" s="55">
        <v>510300</v>
      </c>
      <c r="V39" s="55">
        <v>3</v>
      </c>
      <c r="W39" s="55">
        <v>0</v>
      </c>
      <c r="X39" s="55">
        <v>0</v>
      </c>
      <c r="Y39" s="56">
        <v>0</v>
      </c>
      <c r="Z39" s="55">
        <v>0</v>
      </c>
      <c r="AA39" s="55">
        <v>0</v>
      </c>
      <c r="AB39" s="55">
        <v>0</v>
      </c>
      <c r="AC39" s="55">
        <v>5101600</v>
      </c>
      <c r="AD39" s="57">
        <v>63</v>
      </c>
      <c r="AF39" s="47">
        <f t="shared" si="0"/>
        <v>5101600</v>
      </c>
    </row>
    <row r="40" spans="1:32" x14ac:dyDescent="0.3">
      <c r="A40" s="46" t="s">
        <v>0</v>
      </c>
      <c r="B40" s="46" t="str">
        <f>IFERROR(VLOOKUP($H40,매장구분!$B:$Z,2,0),"")</f>
        <v>파트너채널팀</v>
      </c>
      <c r="C40" s="46" t="str">
        <f>IFERROR(VLOOKUP($H40,매장구분!$B:$Z,3,0),"")</f>
        <v>국내</v>
      </c>
      <c r="D40" s="46" t="str">
        <f>IFERROR(VLOOKUP($H40,매장구분!$B:$Z,5,0),"")</f>
        <v>백화점</v>
      </c>
      <c r="E40" s="46" t="str">
        <f>IFERROR(VLOOKUP($H40,매장구분!$B:$Z,9,0),"")</f>
        <v>롯데광주</v>
      </c>
      <c r="F40" s="58"/>
      <c r="G40" s="59" t="s">
        <v>404</v>
      </c>
      <c r="H40" s="60" t="s">
        <v>405</v>
      </c>
      <c r="I40" s="60" t="s">
        <v>169</v>
      </c>
      <c r="J40" s="60" t="s">
        <v>175</v>
      </c>
      <c r="K40" s="60" t="s">
        <v>170</v>
      </c>
      <c r="L40" s="60" t="s">
        <v>171</v>
      </c>
      <c r="M40" s="60" t="s">
        <v>77</v>
      </c>
      <c r="N40" s="60" t="s">
        <v>172</v>
      </c>
      <c r="O40" s="60">
        <v>6634500</v>
      </c>
      <c r="P40" s="60">
        <v>64</v>
      </c>
      <c r="Q40" s="60">
        <v>0</v>
      </c>
      <c r="R40" s="60">
        <v>0</v>
      </c>
      <c r="S40" s="60">
        <v>0</v>
      </c>
      <c r="T40" s="60">
        <v>0</v>
      </c>
      <c r="U40" s="60">
        <v>262100</v>
      </c>
      <c r="V40" s="60">
        <v>2</v>
      </c>
      <c r="W40" s="60">
        <v>0</v>
      </c>
      <c r="X40" s="60">
        <v>0</v>
      </c>
      <c r="Y40" s="61">
        <v>0</v>
      </c>
      <c r="Z40" s="60">
        <v>0</v>
      </c>
      <c r="AA40" s="60">
        <v>0</v>
      </c>
      <c r="AB40" s="60">
        <v>0</v>
      </c>
      <c r="AC40" s="60">
        <v>6896600</v>
      </c>
      <c r="AD40" s="62">
        <v>66</v>
      </c>
      <c r="AF40" s="47">
        <f t="shared" si="0"/>
        <v>6896600</v>
      </c>
    </row>
    <row r="41" spans="1:32" x14ac:dyDescent="0.3">
      <c r="A41" s="46" t="s">
        <v>0</v>
      </c>
      <c r="B41" s="46" t="str">
        <f>IFERROR(VLOOKUP($H41,매장구분!$B:$Z,2,0),"")</f>
        <v>리테일채널팀</v>
      </c>
      <c r="C41" s="46" t="str">
        <f>IFERROR(VLOOKUP($H41,매장구분!$B:$Z,3,0),"")</f>
        <v>국내</v>
      </c>
      <c r="D41" s="46" t="str">
        <f>IFERROR(VLOOKUP($H41,매장구분!$B:$Z,5,0),"")</f>
        <v>대리점</v>
      </c>
      <c r="E41" s="46" t="str">
        <f>IFERROR(VLOOKUP($H41,매장구분!$B:$Z,9,0),"")</f>
        <v>김포장기(대-위)</v>
      </c>
      <c r="F41" s="53"/>
      <c r="G41" s="54" t="s">
        <v>400</v>
      </c>
      <c r="H41" s="55" t="s">
        <v>401</v>
      </c>
      <c r="I41" s="55" t="s">
        <v>169</v>
      </c>
      <c r="J41" s="55" t="s">
        <v>79</v>
      </c>
      <c r="K41" s="55" t="s">
        <v>170</v>
      </c>
      <c r="L41" s="55" t="s">
        <v>171</v>
      </c>
      <c r="M41" s="55" t="s">
        <v>196</v>
      </c>
      <c r="N41" s="55" t="s">
        <v>197</v>
      </c>
      <c r="O41" s="55">
        <v>3058000</v>
      </c>
      <c r="P41" s="55">
        <v>38</v>
      </c>
      <c r="Q41" s="55">
        <v>0</v>
      </c>
      <c r="R41" s="55">
        <v>0</v>
      </c>
      <c r="S41" s="55">
        <v>0</v>
      </c>
      <c r="T41" s="55">
        <v>0</v>
      </c>
      <c r="U41" s="55">
        <v>298000</v>
      </c>
      <c r="V41" s="55">
        <v>2</v>
      </c>
      <c r="W41" s="55">
        <v>0</v>
      </c>
      <c r="X41" s="55">
        <v>0</v>
      </c>
      <c r="Y41" s="56">
        <v>0</v>
      </c>
      <c r="Z41" s="55">
        <v>0</v>
      </c>
      <c r="AA41" s="55">
        <v>0</v>
      </c>
      <c r="AB41" s="55">
        <v>0</v>
      </c>
      <c r="AC41" s="55">
        <v>3356000</v>
      </c>
      <c r="AD41" s="57">
        <v>40</v>
      </c>
      <c r="AF41" s="47">
        <f t="shared" si="0"/>
        <v>3356000</v>
      </c>
    </row>
    <row r="42" spans="1:32" x14ac:dyDescent="0.3">
      <c r="A42" s="46" t="s">
        <v>0</v>
      </c>
      <c r="B42" s="46" t="str">
        <f>IFERROR(VLOOKUP($H42,매장구분!$B:$Z,2,0),"")</f>
        <v>파트너채널팀</v>
      </c>
      <c r="C42" s="46" t="str">
        <f>IFERROR(VLOOKUP($H42,매장구분!$B:$Z,3,0),"")</f>
        <v>국내</v>
      </c>
      <c r="D42" s="46" t="str">
        <f>IFERROR(VLOOKUP($H42,매장구분!$B:$Z,5,0),"")</f>
        <v>백화점</v>
      </c>
      <c r="E42" s="46" t="str">
        <f>IFERROR(VLOOKUP($H42,매장구분!$B:$Z,9,0),"")</f>
        <v>신세계대구</v>
      </c>
      <c r="F42" s="58"/>
      <c r="G42" s="59" t="s">
        <v>192</v>
      </c>
      <c r="H42" s="60" t="s">
        <v>193</v>
      </c>
      <c r="I42" s="60" t="s">
        <v>169</v>
      </c>
      <c r="J42" s="60" t="s">
        <v>175</v>
      </c>
      <c r="K42" s="60" t="s">
        <v>170</v>
      </c>
      <c r="L42" s="60" t="s">
        <v>171</v>
      </c>
      <c r="M42" s="60" t="s">
        <v>77</v>
      </c>
      <c r="N42" s="60" t="s">
        <v>172</v>
      </c>
      <c r="O42" s="60">
        <v>14249900</v>
      </c>
      <c r="P42" s="60">
        <v>177</v>
      </c>
      <c r="Q42" s="60">
        <v>0</v>
      </c>
      <c r="R42" s="60">
        <v>0</v>
      </c>
      <c r="S42" s="60">
        <v>0</v>
      </c>
      <c r="T42" s="60">
        <v>0</v>
      </c>
      <c r="U42" s="60">
        <v>430200</v>
      </c>
      <c r="V42" s="60">
        <v>2</v>
      </c>
      <c r="W42" s="60">
        <v>0</v>
      </c>
      <c r="X42" s="60">
        <v>0</v>
      </c>
      <c r="Y42" s="61">
        <v>0</v>
      </c>
      <c r="Z42" s="60">
        <v>0</v>
      </c>
      <c r="AA42" s="60">
        <v>0</v>
      </c>
      <c r="AB42" s="60">
        <v>0</v>
      </c>
      <c r="AC42" s="60">
        <v>14680100</v>
      </c>
      <c r="AD42" s="62">
        <v>179</v>
      </c>
      <c r="AF42" s="47">
        <f t="shared" si="0"/>
        <v>14680100</v>
      </c>
    </row>
    <row r="43" spans="1:32" x14ac:dyDescent="0.3">
      <c r="A43" s="46" t="s">
        <v>0</v>
      </c>
      <c r="B43" s="46" t="str">
        <f>IFERROR(VLOOKUP($H43,매장구분!$B:$Z,2,0),"")</f>
        <v>리테일채널팀</v>
      </c>
      <c r="C43" s="46" t="str">
        <f>IFERROR(VLOOKUP($H43,매장구분!$B:$Z,3,0),"")</f>
        <v>국내</v>
      </c>
      <c r="D43" s="46" t="str">
        <f>IFERROR(VLOOKUP($H43,매장구분!$B:$Z,5,0),"")</f>
        <v>직영점</v>
      </c>
      <c r="E43" s="46" t="str">
        <f>IFERROR(VLOOKUP($H43,매장구분!$B:$Z,9,0),"")</f>
        <v>타임스퀘어영등포(직)</v>
      </c>
      <c r="F43" s="53"/>
      <c r="G43" s="54" t="s">
        <v>186</v>
      </c>
      <c r="H43" s="55" t="s">
        <v>187</v>
      </c>
      <c r="I43" s="55" t="s">
        <v>169</v>
      </c>
      <c r="J43" s="55" t="s">
        <v>180</v>
      </c>
      <c r="K43" s="55" t="s">
        <v>170</v>
      </c>
      <c r="L43" s="55" t="s">
        <v>171</v>
      </c>
      <c r="M43" s="55" t="s">
        <v>188</v>
      </c>
      <c r="N43" s="55" t="s">
        <v>189</v>
      </c>
      <c r="O43" s="55">
        <v>10386300</v>
      </c>
      <c r="P43" s="55">
        <v>117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6">
        <v>0</v>
      </c>
      <c r="Z43" s="55">
        <v>0</v>
      </c>
      <c r="AA43" s="55">
        <v>0</v>
      </c>
      <c r="AB43" s="55">
        <v>0</v>
      </c>
      <c r="AC43" s="55">
        <v>10386300</v>
      </c>
      <c r="AD43" s="57">
        <v>117</v>
      </c>
      <c r="AF43" s="47">
        <f t="shared" si="0"/>
        <v>10386300</v>
      </c>
    </row>
    <row r="44" spans="1:32" x14ac:dyDescent="0.3">
      <c r="A44" s="46" t="s">
        <v>0</v>
      </c>
      <c r="B44" s="46" t="str">
        <f>IFERROR(VLOOKUP($H44,매장구분!$B:$Z,2,0),"")</f>
        <v>리테일채널팀</v>
      </c>
      <c r="C44" s="46" t="str">
        <f>IFERROR(VLOOKUP($H44,매장구분!$B:$Z,3,0),"")</f>
        <v>국내</v>
      </c>
      <c r="D44" s="46" t="str">
        <f>IFERROR(VLOOKUP($H44,매장구분!$B:$Z,5,0),"")</f>
        <v>대리점</v>
      </c>
      <c r="E44" s="46" t="str">
        <f>IFERROR(VLOOKUP($H44,매장구분!$B:$Z,9,0),"")</f>
        <v>안동(대-위)</v>
      </c>
      <c r="F44" s="58"/>
      <c r="G44" s="59" t="s">
        <v>424</v>
      </c>
      <c r="H44" s="60" t="s">
        <v>425</v>
      </c>
      <c r="I44" s="60" t="s">
        <v>169</v>
      </c>
      <c r="J44" s="60" t="s">
        <v>79</v>
      </c>
      <c r="K44" s="60" t="s">
        <v>170</v>
      </c>
      <c r="L44" s="60" t="s">
        <v>171</v>
      </c>
      <c r="M44" s="60" t="s">
        <v>196</v>
      </c>
      <c r="N44" s="60" t="s">
        <v>197</v>
      </c>
      <c r="O44" s="60">
        <v>3113700</v>
      </c>
      <c r="P44" s="60">
        <v>28</v>
      </c>
      <c r="Q44" s="60">
        <v>0</v>
      </c>
      <c r="R44" s="60">
        <v>0</v>
      </c>
      <c r="S44" s="60">
        <v>0</v>
      </c>
      <c r="T44" s="60">
        <v>0</v>
      </c>
      <c r="U44" s="60">
        <v>116100</v>
      </c>
      <c r="V44" s="60">
        <v>1</v>
      </c>
      <c r="W44" s="60">
        <v>0</v>
      </c>
      <c r="X44" s="60">
        <v>0</v>
      </c>
      <c r="Y44" s="61">
        <v>0</v>
      </c>
      <c r="Z44" s="60">
        <v>0</v>
      </c>
      <c r="AA44" s="60">
        <v>0</v>
      </c>
      <c r="AB44" s="60">
        <v>0</v>
      </c>
      <c r="AC44" s="60">
        <v>3229800</v>
      </c>
      <c r="AD44" s="62">
        <v>29</v>
      </c>
      <c r="AF44" s="47">
        <f t="shared" si="0"/>
        <v>3229800</v>
      </c>
    </row>
    <row r="45" spans="1:32" x14ac:dyDescent="0.3">
      <c r="A45" s="46" t="s">
        <v>0</v>
      </c>
      <c r="B45" s="46" t="str">
        <f>IFERROR(VLOOKUP($H45,매장구분!$B:$Z,2,0),"")</f>
        <v>리테일채널팀</v>
      </c>
      <c r="C45" s="46" t="str">
        <f>IFERROR(VLOOKUP($H45,매장구분!$B:$Z,3,0),"")</f>
        <v>국내</v>
      </c>
      <c r="D45" s="46" t="str">
        <f>IFERROR(VLOOKUP($H45,매장구분!$B:$Z,5,0),"")</f>
        <v>대리점</v>
      </c>
      <c r="E45" s="46" t="str">
        <f>IFERROR(VLOOKUP($H45,매장구분!$B:$Z,9,0),"")</f>
        <v>상주(대-위)</v>
      </c>
      <c r="F45" s="53"/>
      <c r="G45" s="54" t="s">
        <v>388</v>
      </c>
      <c r="H45" s="55" t="s">
        <v>389</v>
      </c>
      <c r="I45" s="55" t="s">
        <v>169</v>
      </c>
      <c r="J45" s="55" t="s">
        <v>79</v>
      </c>
      <c r="K45" s="55" t="s">
        <v>170</v>
      </c>
      <c r="L45" s="55" t="s">
        <v>171</v>
      </c>
      <c r="M45" s="55" t="s">
        <v>196</v>
      </c>
      <c r="N45" s="55" t="s">
        <v>197</v>
      </c>
      <c r="O45" s="55">
        <v>1619840</v>
      </c>
      <c r="P45" s="55">
        <v>21</v>
      </c>
      <c r="Q45" s="55">
        <v>0</v>
      </c>
      <c r="R45" s="55">
        <v>0</v>
      </c>
      <c r="S45" s="55">
        <v>0</v>
      </c>
      <c r="T45" s="55">
        <v>0</v>
      </c>
      <c r="U45" s="55">
        <v>124360</v>
      </c>
      <c r="V45" s="55">
        <v>1</v>
      </c>
      <c r="W45" s="55">
        <v>0</v>
      </c>
      <c r="X45" s="55">
        <v>0</v>
      </c>
      <c r="Y45" s="56">
        <v>0</v>
      </c>
      <c r="Z45" s="55">
        <v>0</v>
      </c>
      <c r="AA45" s="55">
        <v>0</v>
      </c>
      <c r="AB45" s="55">
        <v>0</v>
      </c>
      <c r="AC45" s="55">
        <v>1744200</v>
      </c>
      <c r="AD45" s="57">
        <v>22</v>
      </c>
      <c r="AF45" s="47">
        <f t="shared" si="0"/>
        <v>1744200</v>
      </c>
    </row>
    <row r="46" spans="1:32" x14ac:dyDescent="0.3">
      <c r="A46" s="46" t="s">
        <v>0</v>
      </c>
      <c r="B46" s="46" t="str">
        <f>IFERROR(VLOOKUP($H46,매장구분!$B:$Z,2,0),"")</f>
        <v>리테일채널팀</v>
      </c>
      <c r="C46" s="46" t="str">
        <f>IFERROR(VLOOKUP($H46,매장구분!$B:$Z,3,0),"")</f>
        <v>국내</v>
      </c>
      <c r="D46" s="46" t="str">
        <f>IFERROR(VLOOKUP($H46,매장구분!$B:$Z,5,0),"")</f>
        <v>대리점</v>
      </c>
      <c r="E46" s="46" t="str">
        <f>IFERROR(VLOOKUP($H46,매장구분!$B:$Z,9,0),"")</f>
        <v>군산수송(대-위)</v>
      </c>
      <c r="F46" s="58"/>
      <c r="G46" s="59" t="s">
        <v>594</v>
      </c>
      <c r="H46" s="60" t="s">
        <v>595</v>
      </c>
      <c r="I46" s="60" t="s">
        <v>169</v>
      </c>
      <c r="J46" s="60" t="s">
        <v>79</v>
      </c>
      <c r="K46" s="60" t="s">
        <v>170</v>
      </c>
      <c r="L46" s="60" t="s">
        <v>171</v>
      </c>
      <c r="M46" s="60" t="s">
        <v>196</v>
      </c>
      <c r="N46" s="60" t="s">
        <v>197</v>
      </c>
      <c r="O46" s="60">
        <v>1238000</v>
      </c>
      <c r="P46" s="60">
        <v>10</v>
      </c>
      <c r="Q46" s="60">
        <v>0</v>
      </c>
      <c r="R46" s="60">
        <v>0</v>
      </c>
      <c r="S46" s="60">
        <v>0</v>
      </c>
      <c r="T46" s="60">
        <v>0</v>
      </c>
      <c r="U46" s="60">
        <v>0</v>
      </c>
      <c r="V46" s="60">
        <v>0</v>
      </c>
      <c r="W46" s="60">
        <v>0</v>
      </c>
      <c r="X46" s="60">
        <v>0</v>
      </c>
      <c r="Y46" s="61">
        <v>0</v>
      </c>
      <c r="Z46" s="60">
        <v>0</v>
      </c>
      <c r="AA46" s="60">
        <v>0</v>
      </c>
      <c r="AB46" s="60">
        <v>0</v>
      </c>
      <c r="AC46" s="60">
        <v>1238000</v>
      </c>
      <c r="AD46" s="62">
        <v>10</v>
      </c>
      <c r="AF46" s="47">
        <f t="shared" si="0"/>
        <v>1238000</v>
      </c>
    </row>
    <row r="47" spans="1:32" x14ac:dyDescent="0.3">
      <c r="A47" s="46" t="s">
        <v>0</v>
      </c>
      <c r="B47" s="46" t="str">
        <f>IFERROR(VLOOKUP($H47,매장구분!$B:$Z,2,0),"")</f>
        <v>리테일채널팀</v>
      </c>
      <c r="C47" s="46" t="str">
        <f>IFERROR(VLOOKUP($H47,매장구분!$B:$Z,3,0),"")</f>
        <v>국내</v>
      </c>
      <c r="D47" s="46" t="str">
        <f>IFERROR(VLOOKUP($H47,매장구분!$B:$Z,5,0),"")</f>
        <v>상설(위탁)</v>
      </c>
      <c r="E47" s="46" t="str">
        <f>IFERROR(VLOOKUP($H47,매장구분!$B:$Z,9,0),"")</f>
        <v>신세계아울렛파주(상-위)</v>
      </c>
      <c r="F47" s="53"/>
      <c r="G47" s="54" t="s">
        <v>432</v>
      </c>
      <c r="H47" s="55" t="s">
        <v>433</v>
      </c>
      <c r="I47" s="55" t="s">
        <v>169</v>
      </c>
      <c r="J47" s="55" t="s">
        <v>79</v>
      </c>
      <c r="K47" s="55" t="s">
        <v>170</v>
      </c>
      <c r="L47" s="55" t="s">
        <v>171</v>
      </c>
      <c r="M47" s="55" t="s">
        <v>219</v>
      </c>
      <c r="N47" s="55" t="s">
        <v>219</v>
      </c>
      <c r="O47" s="55">
        <v>2916000</v>
      </c>
      <c r="P47" s="55">
        <v>81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  <c r="X47" s="55">
        <v>0</v>
      </c>
      <c r="Y47" s="56">
        <v>0</v>
      </c>
      <c r="Z47" s="55">
        <v>0</v>
      </c>
      <c r="AA47" s="55">
        <v>0</v>
      </c>
      <c r="AB47" s="55">
        <v>0</v>
      </c>
      <c r="AC47" s="55">
        <v>2916000</v>
      </c>
      <c r="AD47" s="57">
        <v>81</v>
      </c>
      <c r="AF47" s="47">
        <f t="shared" si="0"/>
        <v>2916000</v>
      </c>
    </row>
    <row r="48" spans="1:32" x14ac:dyDescent="0.3">
      <c r="A48" s="46" t="s">
        <v>0</v>
      </c>
      <c r="B48" s="46" t="str">
        <f>IFERROR(VLOOKUP($H48,매장구분!$B:$Z,2,0),"")</f>
        <v>리테일채널팀</v>
      </c>
      <c r="C48" s="46" t="str">
        <f>IFERROR(VLOOKUP($H48,매장구분!$B:$Z,3,0),"")</f>
        <v>국내</v>
      </c>
      <c r="D48" s="46" t="str">
        <f>IFERROR(VLOOKUP($H48,매장구분!$B:$Z,5,0),"")</f>
        <v>상설(위탁)</v>
      </c>
      <c r="E48" s="46" t="str">
        <f>IFERROR(VLOOKUP($H48,매장구분!$B:$Z,9,0),"")</f>
        <v>롯데아울렛파주(상-위)</v>
      </c>
      <c r="F48" s="58"/>
      <c r="G48" s="59" t="s">
        <v>598</v>
      </c>
      <c r="H48" s="60" t="s">
        <v>599</v>
      </c>
      <c r="I48" s="60" t="s">
        <v>169</v>
      </c>
      <c r="J48" s="60" t="s">
        <v>79</v>
      </c>
      <c r="K48" s="60" t="s">
        <v>170</v>
      </c>
      <c r="L48" s="60" t="s">
        <v>171</v>
      </c>
      <c r="M48" s="60" t="s">
        <v>219</v>
      </c>
      <c r="N48" s="60" t="s">
        <v>219</v>
      </c>
      <c r="O48" s="60">
        <v>1368000</v>
      </c>
      <c r="P48" s="60">
        <v>38</v>
      </c>
      <c r="Q48" s="60">
        <v>0</v>
      </c>
      <c r="R48" s="60">
        <v>0</v>
      </c>
      <c r="S48" s="60">
        <v>0</v>
      </c>
      <c r="T48" s="60">
        <v>0</v>
      </c>
      <c r="U48" s="60">
        <v>0</v>
      </c>
      <c r="V48" s="60">
        <v>0</v>
      </c>
      <c r="W48" s="60">
        <v>0</v>
      </c>
      <c r="X48" s="60">
        <v>0</v>
      </c>
      <c r="Y48" s="61">
        <v>0</v>
      </c>
      <c r="Z48" s="60">
        <v>0</v>
      </c>
      <c r="AA48" s="60">
        <v>0</v>
      </c>
      <c r="AB48" s="60">
        <v>0</v>
      </c>
      <c r="AC48" s="60">
        <v>1368000</v>
      </c>
      <c r="AD48" s="62">
        <v>38</v>
      </c>
      <c r="AF48" s="47">
        <f t="shared" si="0"/>
        <v>1368000</v>
      </c>
    </row>
    <row r="49" spans="1:32" x14ac:dyDescent="0.3">
      <c r="A49" s="46" t="s">
        <v>0</v>
      </c>
      <c r="B49" s="46" t="str">
        <f>IFERROR(VLOOKUP($H49,매장구분!$B:$Z,2,0),"")</f>
        <v>리테일채널팀</v>
      </c>
      <c r="C49" s="46" t="str">
        <f>IFERROR(VLOOKUP($H49,매장구분!$B:$Z,3,0),"")</f>
        <v>국내</v>
      </c>
      <c r="D49" s="46" t="str">
        <f>IFERROR(VLOOKUP($H49,매장구분!$B:$Z,5,0),"")</f>
        <v>상설(위탁)</v>
      </c>
      <c r="E49" s="46" t="str">
        <f>IFERROR(VLOOKUP($H49,매장구분!$B:$Z,9,0),"")</f>
        <v>롯데아울렛봉무(상-위)</v>
      </c>
      <c r="F49" s="53"/>
      <c r="G49" s="54" t="s">
        <v>220</v>
      </c>
      <c r="H49" s="55" t="s">
        <v>221</v>
      </c>
      <c r="I49" s="55" t="s">
        <v>169</v>
      </c>
      <c r="J49" s="55" t="s">
        <v>79</v>
      </c>
      <c r="K49" s="55" t="s">
        <v>170</v>
      </c>
      <c r="L49" s="55" t="s">
        <v>171</v>
      </c>
      <c r="M49" s="55" t="s">
        <v>219</v>
      </c>
      <c r="N49" s="55" t="s">
        <v>219</v>
      </c>
      <c r="O49" s="55">
        <v>2448000</v>
      </c>
      <c r="P49" s="55">
        <v>68</v>
      </c>
      <c r="Q49" s="55">
        <v>0</v>
      </c>
      <c r="R49" s="55">
        <v>0</v>
      </c>
      <c r="S49" s="55">
        <v>0</v>
      </c>
      <c r="T49" s="55">
        <v>0</v>
      </c>
      <c r="U49" s="55">
        <v>0</v>
      </c>
      <c r="V49" s="55">
        <v>0</v>
      </c>
      <c r="W49" s="55">
        <v>0</v>
      </c>
      <c r="X49" s="55">
        <v>0</v>
      </c>
      <c r="Y49" s="56">
        <v>0</v>
      </c>
      <c r="Z49" s="55">
        <v>0</v>
      </c>
      <c r="AA49" s="55">
        <v>0</v>
      </c>
      <c r="AB49" s="55">
        <v>0</v>
      </c>
      <c r="AC49" s="55">
        <v>2448000</v>
      </c>
      <c r="AD49" s="57">
        <v>68</v>
      </c>
      <c r="AF49" s="47">
        <f t="shared" si="0"/>
        <v>2448000</v>
      </c>
    </row>
    <row r="50" spans="1:32" x14ac:dyDescent="0.3">
      <c r="A50" s="46" t="s">
        <v>0</v>
      </c>
      <c r="B50" s="46" t="str">
        <f>IFERROR(VLOOKUP($H50,매장구분!$B:$Z,2,0),"")</f>
        <v>리테일채널팀</v>
      </c>
      <c r="C50" s="46" t="str">
        <f>IFERROR(VLOOKUP($H50,매장구분!$B:$Z,3,0),"")</f>
        <v>국내</v>
      </c>
      <c r="D50" s="46" t="str">
        <f>IFERROR(VLOOKUP($H50,매장구분!$B:$Z,5,0),"")</f>
        <v>상설(위탁)</v>
      </c>
      <c r="E50" s="46" t="str">
        <f>IFERROR(VLOOKUP($H50,매장구분!$B:$Z,9,0),"")</f>
        <v>LF스퀘어양주(상-위)</v>
      </c>
      <c r="F50" s="58"/>
      <c r="G50" s="59" t="s">
        <v>283</v>
      </c>
      <c r="H50" s="60" t="s">
        <v>284</v>
      </c>
      <c r="I50" s="60" t="s">
        <v>169</v>
      </c>
      <c r="J50" s="60" t="s">
        <v>79</v>
      </c>
      <c r="K50" s="60" t="s">
        <v>170</v>
      </c>
      <c r="L50" s="60" t="s">
        <v>171</v>
      </c>
      <c r="M50" s="60" t="s">
        <v>77</v>
      </c>
      <c r="N50" s="60" t="s">
        <v>172</v>
      </c>
      <c r="O50" s="60">
        <v>1044000</v>
      </c>
      <c r="P50" s="60">
        <v>29</v>
      </c>
      <c r="Q50" s="60">
        <v>0</v>
      </c>
      <c r="R50" s="60">
        <v>0</v>
      </c>
      <c r="S50" s="60">
        <v>0</v>
      </c>
      <c r="T50" s="60">
        <v>0</v>
      </c>
      <c r="U50" s="60">
        <v>0</v>
      </c>
      <c r="V50" s="60">
        <v>0</v>
      </c>
      <c r="W50" s="60">
        <v>0</v>
      </c>
      <c r="X50" s="60">
        <v>0</v>
      </c>
      <c r="Y50" s="61">
        <v>0</v>
      </c>
      <c r="Z50" s="60">
        <v>0</v>
      </c>
      <c r="AA50" s="60">
        <v>0</v>
      </c>
      <c r="AB50" s="60">
        <v>0</v>
      </c>
      <c r="AC50" s="60">
        <v>1044000</v>
      </c>
      <c r="AD50" s="62">
        <v>29</v>
      </c>
      <c r="AF50" s="47">
        <f t="shared" si="0"/>
        <v>1044000</v>
      </c>
    </row>
    <row r="51" spans="1:32" x14ac:dyDescent="0.3">
      <c r="A51" s="46" t="s">
        <v>0</v>
      </c>
      <c r="B51" s="46" t="str">
        <f>IFERROR(VLOOKUP($H51,매장구분!$B:$Z,2,0),"")</f>
        <v>리테일채널팀</v>
      </c>
      <c r="C51" s="46" t="str">
        <f>IFERROR(VLOOKUP($H51,매장구분!$B:$Z,3,0),"")</f>
        <v>국내</v>
      </c>
      <c r="D51" s="46" t="str">
        <f>IFERROR(VLOOKUP($H51,매장구분!$B:$Z,5,0),"")</f>
        <v>상설(위탁)</v>
      </c>
      <c r="E51" s="46" t="str">
        <f>IFERROR(VLOOKUP($H51,매장구분!$B:$Z,9,0),"")</f>
        <v>롯데아울렛부여(상-위)</v>
      </c>
      <c r="F51" s="53"/>
      <c r="G51" s="54" t="s">
        <v>281</v>
      </c>
      <c r="H51" s="55" t="s">
        <v>282</v>
      </c>
      <c r="I51" s="55" t="s">
        <v>169</v>
      </c>
      <c r="J51" s="55" t="s">
        <v>79</v>
      </c>
      <c r="K51" s="55" t="s">
        <v>170</v>
      </c>
      <c r="L51" s="55" t="s">
        <v>171</v>
      </c>
      <c r="M51" s="55" t="s">
        <v>219</v>
      </c>
      <c r="N51" s="55" t="s">
        <v>219</v>
      </c>
      <c r="O51" s="55">
        <v>1584000</v>
      </c>
      <c r="P51" s="55">
        <v>44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6">
        <v>0</v>
      </c>
      <c r="Z51" s="55">
        <v>0</v>
      </c>
      <c r="AA51" s="55">
        <v>0</v>
      </c>
      <c r="AB51" s="55">
        <v>0</v>
      </c>
      <c r="AC51" s="55">
        <v>1584000</v>
      </c>
      <c r="AD51" s="57">
        <v>44</v>
      </c>
      <c r="AF51" s="47">
        <f t="shared" si="0"/>
        <v>1584000</v>
      </c>
    </row>
    <row r="52" spans="1:32" x14ac:dyDescent="0.3">
      <c r="A52" s="46" t="s">
        <v>0</v>
      </c>
      <c r="B52" s="46" t="str">
        <f>IFERROR(VLOOKUP($H52,매장구분!$B:$Z,2,0),"")</f>
        <v>리테일채널팀</v>
      </c>
      <c r="C52" s="46" t="str">
        <f>IFERROR(VLOOKUP($H52,매장구분!$B:$Z,3,0),"")</f>
        <v>국내</v>
      </c>
      <c r="D52" s="46" t="str">
        <f>IFERROR(VLOOKUP($H52,매장구분!$B:$Z,5,0),"")</f>
        <v>상설(위탁)</v>
      </c>
      <c r="E52" s="46" t="str">
        <f>IFERROR(VLOOKUP($H52,매장구분!$B:$Z,9,0),"")</f>
        <v>롯데아울렛청주(상-위)</v>
      </c>
      <c r="F52" s="58"/>
      <c r="G52" s="59" t="s">
        <v>478</v>
      </c>
      <c r="H52" s="60" t="s">
        <v>479</v>
      </c>
      <c r="I52" s="60" t="s">
        <v>169</v>
      </c>
      <c r="J52" s="60" t="s">
        <v>79</v>
      </c>
      <c r="K52" s="60" t="s">
        <v>170</v>
      </c>
      <c r="L52" s="60" t="s">
        <v>171</v>
      </c>
      <c r="M52" s="60" t="s">
        <v>219</v>
      </c>
      <c r="N52" s="60" t="s">
        <v>219</v>
      </c>
      <c r="O52" s="60">
        <v>756000</v>
      </c>
      <c r="P52" s="60">
        <v>21</v>
      </c>
      <c r="Q52" s="60">
        <v>0</v>
      </c>
      <c r="R52" s="60">
        <v>0</v>
      </c>
      <c r="S52" s="60">
        <v>0</v>
      </c>
      <c r="T52" s="60">
        <v>0</v>
      </c>
      <c r="U52" s="60">
        <v>0</v>
      </c>
      <c r="V52" s="60">
        <v>0</v>
      </c>
      <c r="W52" s="60">
        <v>0</v>
      </c>
      <c r="X52" s="60">
        <v>0</v>
      </c>
      <c r="Y52" s="61">
        <v>0</v>
      </c>
      <c r="Z52" s="60">
        <v>0</v>
      </c>
      <c r="AA52" s="60">
        <v>0</v>
      </c>
      <c r="AB52" s="60">
        <v>0</v>
      </c>
      <c r="AC52" s="60">
        <v>756000</v>
      </c>
      <c r="AD52" s="62">
        <v>21</v>
      </c>
      <c r="AF52" s="47">
        <f t="shared" si="0"/>
        <v>756000</v>
      </c>
    </row>
    <row r="53" spans="1:32" hidden="1" x14ac:dyDescent="0.3">
      <c r="A53" s="46" t="s">
        <v>0</v>
      </c>
      <c r="B53" s="46" t="str">
        <f>IFERROR(VLOOKUP($H53,매장구분!$B:$Z,2,0),"")</f>
        <v>파트너채널팀</v>
      </c>
      <c r="C53" s="46" t="str">
        <f>IFERROR(VLOOKUP($H53,매장구분!$B:$Z,3,0),"")</f>
        <v>면세</v>
      </c>
      <c r="D53" s="46" t="str">
        <f>IFERROR(VLOOKUP($H53,매장구분!$B:$Z,5,0),"")</f>
        <v>면세</v>
      </c>
      <c r="E53" s="46" t="str">
        <f>IFERROR(VLOOKUP($H53,매장구분!$B:$Z,9,0),"")</f>
        <v>롯데면세제주</v>
      </c>
      <c r="F53" s="53"/>
      <c r="G53" s="54" t="s">
        <v>464</v>
      </c>
      <c r="H53" s="55" t="s">
        <v>465</v>
      </c>
      <c r="I53" s="55" t="s">
        <v>169</v>
      </c>
      <c r="J53" s="55" t="s">
        <v>175</v>
      </c>
      <c r="K53" s="55" t="s">
        <v>170</v>
      </c>
      <c r="L53" s="55" t="s">
        <v>171</v>
      </c>
      <c r="M53" s="55" t="s">
        <v>176</v>
      </c>
      <c r="N53" s="55" t="s">
        <v>177</v>
      </c>
      <c r="O53" s="55">
        <v>17119100</v>
      </c>
      <c r="P53" s="55">
        <v>330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6">
        <v>0</v>
      </c>
      <c r="Z53" s="55">
        <v>0</v>
      </c>
      <c r="AA53" s="55">
        <v>0</v>
      </c>
      <c r="AB53" s="55">
        <v>0</v>
      </c>
      <c r="AC53" s="55">
        <v>17119100</v>
      </c>
      <c r="AD53" s="57">
        <v>330</v>
      </c>
      <c r="AF53" s="47">
        <f t="shared" si="0"/>
        <v>17119100</v>
      </c>
    </row>
    <row r="54" spans="1:32" hidden="1" x14ac:dyDescent="0.3">
      <c r="A54" s="46" t="s">
        <v>0</v>
      </c>
      <c r="B54" s="46" t="str">
        <f>IFERROR(VLOOKUP($H54,매장구분!$B:$Z,2,0),"")</f>
        <v>리테일채널팀</v>
      </c>
      <c r="C54" s="46" t="str">
        <f>IFERROR(VLOOKUP($H54,매장구분!$B:$Z,3,0),"")</f>
        <v>RF</v>
      </c>
      <c r="D54" s="46" t="str">
        <f>IFERROR(VLOOKUP($H54,매장구분!$B:$Z,5,0),"")</f>
        <v>직영점</v>
      </c>
      <c r="E54" s="46" t="str">
        <f>IFERROR(VLOOKUP($H54,매장구분!$B:$Z,9,0),"")</f>
        <v>한남(직)</v>
      </c>
      <c r="F54" s="58"/>
      <c r="G54" s="59" t="s">
        <v>436</v>
      </c>
      <c r="H54" s="60" t="s">
        <v>437</v>
      </c>
      <c r="I54" s="60" t="s">
        <v>169</v>
      </c>
      <c r="J54" s="60" t="s">
        <v>180</v>
      </c>
      <c r="K54" s="60" t="s">
        <v>170</v>
      </c>
      <c r="L54" s="60" t="s">
        <v>171</v>
      </c>
      <c r="M54" s="60" t="s">
        <v>196</v>
      </c>
      <c r="N54" s="60" t="s">
        <v>206</v>
      </c>
      <c r="O54" s="60">
        <v>11195300</v>
      </c>
      <c r="P54" s="60">
        <v>155</v>
      </c>
      <c r="Q54" s="60">
        <v>0</v>
      </c>
      <c r="R54" s="60">
        <v>0</v>
      </c>
      <c r="S54" s="60">
        <v>0</v>
      </c>
      <c r="T54" s="60">
        <v>0</v>
      </c>
      <c r="U54" s="60">
        <v>237000</v>
      </c>
      <c r="V54" s="60">
        <v>3</v>
      </c>
      <c r="W54" s="60">
        <v>0</v>
      </c>
      <c r="X54" s="60">
        <v>0</v>
      </c>
      <c r="Y54" s="61">
        <v>0</v>
      </c>
      <c r="Z54" s="60">
        <v>0</v>
      </c>
      <c r="AA54" s="60">
        <v>0</v>
      </c>
      <c r="AB54" s="60">
        <v>0</v>
      </c>
      <c r="AC54" s="60">
        <v>11432300</v>
      </c>
      <c r="AD54" s="62">
        <v>158</v>
      </c>
      <c r="AF54" s="47">
        <f t="shared" si="0"/>
        <v>11432300</v>
      </c>
    </row>
    <row r="55" spans="1:32" hidden="1" x14ac:dyDescent="0.3">
      <c r="A55" s="46" t="s">
        <v>0</v>
      </c>
      <c r="B55" s="46" t="str">
        <f>IFERROR(VLOOKUP($H55,매장구분!$B:$Z,2,0),"")</f>
        <v>파트너채널팀</v>
      </c>
      <c r="C55" s="46" t="str">
        <f>IFERROR(VLOOKUP($H55,매장구분!$B:$Z,3,0),"")</f>
        <v>면세</v>
      </c>
      <c r="D55" s="46" t="str">
        <f>IFERROR(VLOOKUP($H55,매장구분!$B:$Z,5,0),"")</f>
        <v>면세</v>
      </c>
      <c r="E55" s="46" t="str">
        <f>IFERROR(VLOOKUP($H55,매장구분!$B:$Z,9,0),"")</f>
        <v>현대면세무역</v>
      </c>
      <c r="F55" s="53"/>
      <c r="G55" s="54" t="s">
        <v>466</v>
      </c>
      <c r="H55" s="55" t="s">
        <v>467</v>
      </c>
      <c r="I55" s="55" t="s">
        <v>169</v>
      </c>
      <c r="J55" s="55" t="s">
        <v>175</v>
      </c>
      <c r="K55" s="55" t="s">
        <v>170</v>
      </c>
      <c r="L55" s="55" t="s">
        <v>171</v>
      </c>
      <c r="M55" s="55" t="s">
        <v>176</v>
      </c>
      <c r="N55" s="55" t="s">
        <v>177</v>
      </c>
      <c r="O55" s="55">
        <v>6296900</v>
      </c>
      <c r="P55" s="55">
        <v>80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6">
        <v>219690000</v>
      </c>
      <c r="Z55" s="55">
        <v>2360</v>
      </c>
      <c r="AA55" s="55">
        <v>0</v>
      </c>
      <c r="AB55" s="55">
        <v>0</v>
      </c>
      <c r="AC55" s="55">
        <v>225986900</v>
      </c>
      <c r="AD55" s="57">
        <v>2440</v>
      </c>
      <c r="AF55" s="47">
        <f t="shared" si="0"/>
        <v>6296900</v>
      </c>
    </row>
    <row r="56" spans="1:32" x14ac:dyDescent="0.3">
      <c r="A56" s="46" t="s">
        <v>0</v>
      </c>
      <c r="B56" s="46" t="str">
        <f>IFERROR(VLOOKUP($H56,매장구분!$B:$Z,2,0),"")</f>
        <v>리테일채널팀</v>
      </c>
      <c r="C56" s="46" t="str">
        <f>IFERROR(VLOOKUP($H56,매장구분!$B:$Z,3,0),"")</f>
        <v>국내</v>
      </c>
      <c r="D56" s="46" t="str">
        <f>IFERROR(VLOOKUP($H56,매장구분!$B:$Z,5,0),"")</f>
        <v>직영점</v>
      </c>
      <c r="E56" s="46" t="str">
        <f>IFERROR(VLOOKUP($H56,매장구분!$B:$Z,9,0),"")</f>
        <v>스타필드수원(직)</v>
      </c>
      <c r="F56" s="58"/>
      <c r="G56" s="59" t="s">
        <v>468</v>
      </c>
      <c r="H56" s="60" t="s">
        <v>469</v>
      </c>
      <c r="I56" s="60" t="s">
        <v>169</v>
      </c>
      <c r="J56" s="60" t="s">
        <v>180</v>
      </c>
      <c r="K56" s="60" t="s">
        <v>170</v>
      </c>
      <c r="L56" s="60" t="s">
        <v>171</v>
      </c>
      <c r="M56" s="60" t="s">
        <v>188</v>
      </c>
      <c r="N56" s="60" t="s">
        <v>189</v>
      </c>
      <c r="O56" s="60">
        <v>7770600</v>
      </c>
      <c r="P56" s="60">
        <v>115</v>
      </c>
      <c r="Q56" s="60">
        <v>0</v>
      </c>
      <c r="R56" s="60">
        <v>0</v>
      </c>
      <c r="S56" s="60">
        <v>0</v>
      </c>
      <c r="T56" s="60">
        <v>0</v>
      </c>
      <c r="U56" s="60">
        <v>1436100</v>
      </c>
      <c r="V56" s="60">
        <v>6</v>
      </c>
      <c r="W56" s="60">
        <v>0</v>
      </c>
      <c r="X56" s="60">
        <v>0</v>
      </c>
      <c r="Y56" s="61">
        <v>0</v>
      </c>
      <c r="Z56" s="60">
        <v>0</v>
      </c>
      <c r="AA56" s="60">
        <v>0</v>
      </c>
      <c r="AB56" s="60">
        <v>0</v>
      </c>
      <c r="AC56" s="60">
        <v>9206700</v>
      </c>
      <c r="AD56" s="62">
        <v>121</v>
      </c>
      <c r="AF56" s="47">
        <f t="shared" si="0"/>
        <v>9206700</v>
      </c>
    </row>
    <row r="57" spans="1:32" x14ac:dyDescent="0.3">
      <c r="A57" s="46" t="s">
        <v>0</v>
      </c>
      <c r="B57" s="46" t="str">
        <f>IFERROR(VLOOKUP($H57,매장구분!$B:$Z,2,0),"")</f>
        <v>리테일채널팀</v>
      </c>
      <c r="C57" s="46" t="str">
        <f>IFERROR(VLOOKUP($H57,매장구분!$B:$Z,3,0),"")</f>
        <v>국내</v>
      </c>
      <c r="D57" s="46" t="str">
        <f>IFERROR(VLOOKUP($H57,매장구분!$B:$Z,5,0),"")</f>
        <v>대리점</v>
      </c>
      <c r="E57" s="46" t="str">
        <f>IFERROR(VLOOKUP($H57,매장구분!$B:$Z,9,0),"")</f>
        <v>원주(대-위)</v>
      </c>
      <c r="F57" s="53"/>
      <c r="G57" s="54" t="s">
        <v>224</v>
      </c>
      <c r="H57" s="55" t="s">
        <v>225</v>
      </c>
      <c r="I57" s="55" t="s">
        <v>169</v>
      </c>
      <c r="J57" s="55" t="s">
        <v>79</v>
      </c>
      <c r="K57" s="55" t="s">
        <v>170</v>
      </c>
      <c r="L57" s="55" t="s">
        <v>171</v>
      </c>
      <c r="M57" s="55" t="s">
        <v>196</v>
      </c>
      <c r="N57" s="55" t="s">
        <v>197</v>
      </c>
      <c r="O57" s="55">
        <v>3494500</v>
      </c>
      <c r="P57" s="55">
        <v>45</v>
      </c>
      <c r="Q57" s="55">
        <v>0</v>
      </c>
      <c r="R57" s="55">
        <v>0</v>
      </c>
      <c r="S57" s="55">
        <v>0</v>
      </c>
      <c r="T57" s="55">
        <v>0</v>
      </c>
      <c r="U57" s="55">
        <v>170100</v>
      </c>
      <c r="V57" s="55">
        <v>1</v>
      </c>
      <c r="W57" s="55">
        <v>0</v>
      </c>
      <c r="X57" s="55">
        <v>0</v>
      </c>
      <c r="Y57" s="56">
        <v>0</v>
      </c>
      <c r="Z57" s="55">
        <v>0</v>
      </c>
      <c r="AA57" s="55">
        <v>0</v>
      </c>
      <c r="AB57" s="55">
        <v>0</v>
      </c>
      <c r="AC57" s="55">
        <v>3664600</v>
      </c>
      <c r="AD57" s="57">
        <v>46</v>
      </c>
      <c r="AF57" s="47">
        <f t="shared" si="0"/>
        <v>3664600</v>
      </c>
    </row>
    <row r="58" spans="1:32" x14ac:dyDescent="0.3">
      <c r="A58" s="46" t="s">
        <v>0</v>
      </c>
      <c r="B58" s="46" t="str">
        <f>IFERROR(VLOOKUP($H58,매장구분!$B:$Z,2,0),"")</f>
        <v>리테일채널팀</v>
      </c>
      <c r="C58" s="46" t="str">
        <f>IFERROR(VLOOKUP($H58,매장구분!$B:$Z,3,0),"")</f>
        <v>국내</v>
      </c>
      <c r="D58" s="46" t="str">
        <f>IFERROR(VLOOKUP($H58,매장구분!$B:$Z,5,0),"")</f>
        <v>대리점</v>
      </c>
      <c r="E58" s="46" t="str">
        <f>IFERROR(VLOOKUP($H58,매장구분!$B:$Z,9,0),"")</f>
        <v>청주(대-위)</v>
      </c>
      <c r="F58" s="58"/>
      <c r="G58" s="59" t="s">
        <v>265</v>
      </c>
      <c r="H58" s="60" t="s">
        <v>266</v>
      </c>
      <c r="I58" s="60" t="s">
        <v>169</v>
      </c>
      <c r="J58" s="60" t="s">
        <v>79</v>
      </c>
      <c r="K58" s="60" t="s">
        <v>170</v>
      </c>
      <c r="L58" s="60" t="s">
        <v>171</v>
      </c>
      <c r="M58" s="60" t="s">
        <v>196</v>
      </c>
      <c r="N58" s="60" t="s">
        <v>197</v>
      </c>
      <c r="O58" s="60">
        <v>8315511</v>
      </c>
      <c r="P58" s="60">
        <v>90</v>
      </c>
      <c r="Q58" s="60">
        <v>0</v>
      </c>
      <c r="R58" s="60">
        <v>0</v>
      </c>
      <c r="S58" s="60">
        <v>0</v>
      </c>
      <c r="T58" s="60">
        <v>0</v>
      </c>
      <c r="U58" s="60">
        <v>0</v>
      </c>
      <c r="V58" s="60">
        <v>0</v>
      </c>
      <c r="W58" s="60">
        <v>0</v>
      </c>
      <c r="X58" s="60">
        <v>0</v>
      </c>
      <c r="Y58" s="61">
        <v>0</v>
      </c>
      <c r="Z58" s="60">
        <v>0</v>
      </c>
      <c r="AA58" s="60">
        <v>0</v>
      </c>
      <c r="AB58" s="60">
        <v>0</v>
      </c>
      <c r="AC58" s="60">
        <v>8315511</v>
      </c>
      <c r="AD58" s="62">
        <v>90</v>
      </c>
      <c r="AF58" s="47">
        <f t="shared" si="0"/>
        <v>8315511</v>
      </c>
    </row>
    <row r="59" spans="1:32" x14ac:dyDescent="0.3">
      <c r="A59" s="46" t="s">
        <v>0</v>
      </c>
      <c r="B59" s="46" t="str">
        <f>IFERROR(VLOOKUP($H59,매장구분!$B:$Z,2,0),"")</f>
        <v>파트너채널팀</v>
      </c>
      <c r="C59" s="46" t="str">
        <f>IFERROR(VLOOKUP($H59,매장구분!$B:$Z,3,0),"")</f>
        <v>국내</v>
      </c>
      <c r="D59" s="46" t="str">
        <f>IFERROR(VLOOKUP($H59,매장구분!$B:$Z,5,0),"")</f>
        <v>백화점</v>
      </c>
      <c r="E59" s="46" t="str">
        <f>IFERROR(VLOOKUP($H59,매장구분!$B:$Z,9,0),"")</f>
        <v>AK평택</v>
      </c>
      <c r="F59" s="53"/>
      <c r="G59" s="54" t="s">
        <v>251</v>
      </c>
      <c r="H59" s="55" t="s">
        <v>252</v>
      </c>
      <c r="I59" s="55" t="s">
        <v>169</v>
      </c>
      <c r="J59" s="55" t="s">
        <v>175</v>
      </c>
      <c r="K59" s="55" t="s">
        <v>170</v>
      </c>
      <c r="L59" s="55" t="s">
        <v>171</v>
      </c>
      <c r="M59" s="55" t="s">
        <v>77</v>
      </c>
      <c r="N59" s="55" t="s">
        <v>172</v>
      </c>
      <c r="O59" s="55">
        <v>6900300</v>
      </c>
      <c r="P59" s="55">
        <v>87</v>
      </c>
      <c r="Q59" s="55">
        <v>0</v>
      </c>
      <c r="R59" s="55">
        <v>0</v>
      </c>
      <c r="S59" s="55">
        <v>0</v>
      </c>
      <c r="T59" s="55">
        <v>0</v>
      </c>
      <c r="U59" s="55">
        <v>143500</v>
      </c>
      <c r="V59" s="55">
        <v>1</v>
      </c>
      <c r="W59" s="55">
        <v>0</v>
      </c>
      <c r="X59" s="55">
        <v>0</v>
      </c>
      <c r="Y59" s="56">
        <v>0</v>
      </c>
      <c r="Z59" s="55">
        <v>0</v>
      </c>
      <c r="AA59" s="55">
        <v>0</v>
      </c>
      <c r="AB59" s="55">
        <v>0</v>
      </c>
      <c r="AC59" s="55">
        <v>7043800</v>
      </c>
      <c r="AD59" s="57">
        <v>88</v>
      </c>
      <c r="AF59" s="47">
        <f t="shared" si="0"/>
        <v>7043800</v>
      </c>
    </row>
    <row r="60" spans="1:32" x14ac:dyDescent="0.3">
      <c r="A60" s="46" t="s">
        <v>0</v>
      </c>
      <c r="B60" s="46" t="str">
        <f>IFERROR(VLOOKUP($H60,매장구분!$B:$Z,2,0),"")</f>
        <v>리테일채널팀</v>
      </c>
      <c r="C60" s="46" t="str">
        <f>IFERROR(VLOOKUP($H60,매장구분!$B:$Z,3,0),"")</f>
        <v>국내</v>
      </c>
      <c r="D60" s="46" t="str">
        <f>IFERROR(VLOOKUP($H60,매장구분!$B:$Z,5,0),"")</f>
        <v>직영점</v>
      </c>
      <c r="E60" s="46" t="str">
        <f>IFERROR(VLOOKUP($H60,매장구분!$B:$Z,9,0),"")</f>
        <v>트리플스트리트(직)</v>
      </c>
      <c r="F60" s="58"/>
      <c r="G60" s="59" t="s">
        <v>576</v>
      </c>
      <c r="H60" s="60" t="s">
        <v>577</v>
      </c>
      <c r="I60" s="60" t="s">
        <v>169</v>
      </c>
      <c r="J60" s="60" t="s">
        <v>180</v>
      </c>
      <c r="K60" s="60" t="s">
        <v>170</v>
      </c>
      <c r="L60" s="60" t="s">
        <v>171</v>
      </c>
      <c r="M60" s="60" t="s">
        <v>188</v>
      </c>
      <c r="N60" s="60" t="s">
        <v>317</v>
      </c>
      <c r="O60" s="60">
        <v>6932700</v>
      </c>
      <c r="P60" s="60">
        <v>101</v>
      </c>
      <c r="Q60" s="60">
        <v>0</v>
      </c>
      <c r="R60" s="60">
        <v>0</v>
      </c>
      <c r="S60" s="60">
        <v>0</v>
      </c>
      <c r="T60" s="60">
        <v>0</v>
      </c>
      <c r="U60" s="60">
        <v>995400</v>
      </c>
      <c r="V60" s="60">
        <v>4</v>
      </c>
      <c r="W60" s="60">
        <v>0</v>
      </c>
      <c r="X60" s="60">
        <v>0</v>
      </c>
      <c r="Y60" s="61">
        <v>0</v>
      </c>
      <c r="Z60" s="60">
        <v>0</v>
      </c>
      <c r="AA60" s="60">
        <v>0</v>
      </c>
      <c r="AB60" s="60">
        <v>0</v>
      </c>
      <c r="AC60" s="60">
        <v>7928100</v>
      </c>
      <c r="AD60" s="62">
        <v>105</v>
      </c>
      <c r="AF60" s="47">
        <f t="shared" si="0"/>
        <v>7928100</v>
      </c>
    </row>
    <row r="61" spans="1:32" x14ac:dyDescent="0.3">
      <c r="A61" s="46" t="s">
        <v>0</v>
      </c>
      <c r="B61" s="46" t="str">
        <f>IFERROR(VLOOKUP($H61,매장구분!$B:$Z,2,0),"")</f>
        <v>리테일채널팀</v>
      </c>
      <c r="C61" s="46" t="str">
        <f>IFERROR(VLOOKUP($H61,매장구분!$B:$Z,3,0),"")</f>
        <v>국내</v>
      </c>
      <c r="D61" s="46" t="str">
        <f>IFERROR(VLOOKUP($H61,매장구분!$B:$Z,5,0),"")</f>
        <v>대리점</v>
      </c>
      <c r="E61" s="46" t="str">
        <f>IFERROR(VLOOKUP($H61,매장구분!$B:$Z,9,0),"")</f>
        <v>대전은행(대-위)</v>
      </c>
      <c r="F61" s="53"/>
      <c r="G61" s="54" t="s">
        <v>456</v>
      </c>
      <c r="H61" s="55" t="s">
        <v>457</v>
      </c>
      <c r="I61" s="55" t="s">
        <v>169</v>
      </c>
      <c r="J61" s="55" t="s">
        <v>79</v>
      </c>
      <c r="K61" s="55" t="s">
        <v>170</v>
      </c>
      <c r="L61" s="55" t="s">
        <v>171</v>
      </c>
      <c r="M61" s="55" t="s">
        <v>196</v>
      </c>
      <c r="N61" s="55" t="s">
        <v>197</v>
      </c>
      <c r="O61" s="55">
        <v>3886100</v>
      </c>
      <c r="P61" s="55">
        <v>53</v>
      </c>
      <c r="Q61" s="55">
        <v>0</v>
      </c>
      <c r="R61" s="55">
        <v>0</v>
      </c>
      <c r="S61" s="55">
        <v>0</v>
      </c>
      <c r="T61" s="55">
        <v>0</v>
      </c>
      <c r="U61" s="55">
        <v>-109000</v>
      </c>
      <c r="V61" s="55">
        <v>-1</v>
      </c>
      <c r="W61" s="55">
        <v>0</v>
      </c>
      <c r="X61" s="55">
        <v>0</v>
      </c>
      <c r="Y61" s="56">
        <v>0</v>
      </c>
      <c r="Z61" s="55">
        <v>0</v>
      </c>
      <c r="AA61" s="55">
        <v>0</v>
      </c>
      <c r="AB61" s="55">
        <v>0</v>
      </c>
      <c r="AC61" s="55">
        <v>3777100</v>
      </c>
      <c r="AD61" s="57">
        <v>52</v>
      </c>
      <c r="AF61" s="47">
        <f t="shared" si="0"/>
        <v>3777100</v>
      </c>
    </row>
    <row r="62" spans="1:32" x14ac:dyDescent="0.3">
      <c r="A62" s="46" t="s">
        <v>0</v>
      </c>
      <c r="B62" s="46" t="str">
        <f>IFERROR(VLOOKUP($H62,매장구분!$B:$Z,2,0),"")</f>
        <v>리테일채널팀</v>
      </c>
      <c r="C62" s="46" t="str">
        <f>IFERROR(VLOOKUP($H62,매장구분!$B:$Z,3,0),"")</f>
        <v>국내</v>
      </c>
      <c r="D62" s="46" t="str">
        <f>IFERROR(VLOOKUP($H62,매장구분!$B:$Z,5,0),"")</f>
        <v>대리점</v>
      </c>
      <c r="E62" s="46" t="str">
        <f>IFERROR(VLOOKUP($H62,매장구분!$B:$Z,9,0),"")</f>
        <v>구미(대-위)</v>
      </c>
      <c r="F62" s="58"/>
      <c r="G62" s="59" t="s">
        <v>458</v>
      </c>
      <c r="H62" s="60" t="s">
        <v>459</v>
      </c>
      <c r="I62" s="60" t="s">
        <v>169</v>
      </c>
      <c r="J62" s="60" t="s">
        <v>79</v>
      </c>
      <c r="K62" s="60" t="s">
        <v>170</v>
      </c>
      <c r="L62" s="60" t="s">
        <v>171</v>
      </c>
      <c r="M62" s="60" t="s">
        <v>196</v>
      </c>
      <c r="N62" s="60" t="s">
        <v>197</v>
      </c>
      <c r="O62" s="60">
        <v>10286300</v>
      </c>
      <c r="P62" s="60">
        <v>94</v>
      </c>
      <c r="Q62" s="60">
        <v>0</v>
      </c>
      <c r="R62" s="60">
        <v>0</v>
      </c>
      <c r="S62" s="60">
        <v>0</v>
      </c>
      <c r="T62" s="60">
        <v>0</v>
      </c>
      <c r="U62" s="60">
        <v>1950300</v>
      </c>
      <c r="V62" s="60">
        <v>13</v>
      </c>
      <c r="W62" s="60">
        <v>0</v>
      </c>
      <c r="X62" s="60">
        <v>0</v>
      </c>
      <c r="Y62" s="61">
        <v>0</v>
      </c>
      <c r="Z62" s="60">
        <v>0</v>
      </c>
      <c r="AA62" s="60">
        <v>0</v>
      </c>
      <c r="AB62" s="60">
        <v>0</v>
      </c>
      <c r="AC62" s="60">
        <v>12236600</v>
      </c>
      <c r="AD62" s="62">
        <v>107</v>
      </c>
      <c r="AF62" s="47">
        <f t="shared" si="0"/>
        <v>12236600</v>
      </c>
    </row>
    <row r="63" spans="1:32" x14ac:dyDescent="0.3">
      <c r="A63" s="46" t="s">
        <v>0</v>
      </c>
      <c r="B63" s="46" t="str">
        <f>IFERROR(VLOOKUP($H63,매장구분!$B:$Z,2,0),"")</f>
        <v>파트너채널팀</v>
      </c>
      <c r="C63" s="46" t="str">
        <f>IFERROR(VLOOKUP($H63,매장구분!$B:$Z,3,0),"")</f>
        <v>국내</v>
      </c>
      <c r="D63" s="46" t="str">
        <f>IFERROR(VLOOKUP($H63,매장구분!$B:$Z,5,0),"")</f>
        <v>백화점</v>
      </c>
      <c r="E63" s="46" t="str">
        <f>IFERROR(VLOOKUP($H63,매장구분!$B:$Z,9,0),"")</f>
        <v>롯데구리</v>
      </c>
      <c r="F63" s="53"/>
      <c r="G63" s="54" t="s">
        <v>232</v>
      </c>
      <c r="H63" s="55" t="s">
        <v>233</v>
      </c>
      <c r="I63" s="55" t="s">
        <v>169</v>
      </c>
      <c r="J63" s="55" t="s">
        <v>175</v>
      </c>
      <c r="K63" s="55" t="s">
        <v>170</v>
      </c>
      <c r="L63" s="55" t="s">
        <v>171</v>
      </c>
      <c r="M63" s="55" t="s">
        <v>77</v>
      </c>
      <c r="N63" s="55" t="s">
        <v>172</v>
      </c>
      <c r="O63" s="55">
        <v>3344910</v>
      </c>
      <c r="P63" s="55">
        <v>29</v>
      </c>
      <c r="Q63" s="55">
        <v>243500</v>
      </c>
      <c r="R63" s="55">
        <v>3</v>
      </c>
      <c r="S63" s="55">
        <v>0</v>
      </c>
      <c r="T63" s="55">
        <v>0</v>
      </c>
      <c r="U63" s="55">
        <v>107100</v>
      </c>
      <c r="V63" s="55">
        <v>1</v>
      </c>
      <c r="W63" s="55">
        <v>0</v>
      </c>
      <c r="X63" s="55">
        <v>0</v>
      </c>
      <c r="Y63" s="56">
        <v>0</v>
      </c>
      <c r="Z63" s="55">
        <v>0</v>
      </c>
      <c r="AA63" s="55">
        <v>0</v>
      </c>
      <c r="AB63" s="55">
        <v>0</v>
      </c>
      <c r="AC63" s="55">
        <v>3695510</v>
      </c>
      <c r="AD63" s="57">
        <v>33</v>
      </c>
      <c r="AF63" s="47">
        <f t="shared" si="0"/>
        <v>3695510</v>
      </c>
    </row>
    <row r="64" spans="1:32" x14ac:dyDescent="0.3">
      <c r="A64" s="46" t="s">
        <v>0</v>
      </c>
      <c r="B64" s="46" t="str">
        <f>IFERROR(VLOOKUP($H64,매장구분!$B:$Z,2,0),"")</f>
        <v>파트너채널팀</v>
      </c>
      <c r="C64" s="46" t="str">
        <f>IFERROR(VLOOKUP($H64,매장구분!$B:$Z,3,0),"")</f>
        <v>국내</v>
      </c>
      <c r="D64" s="46" t="str">
        <f>IFERROR(VLOOKUP($H64,매장구분!$B:$Z,5,0),"")</f>
        <v>백화점</v>
      </c>
      <c r="E64" s="46" t="str">
        <f>IFERROR(VLOOKUP($H64,매장구분!$B:$Z,9,0),"")</f>
        <v>롯데노원</v>
      </c>
      <c r="F64" s="58"/>
      <c r="G64" s="59" t="s">
        <v>472</v>
      </c>
      <c r="H64" s="60" t="s">
        <v>473</v>
      </c>
      <c r="I64" s="60" t="s">
        <v>169</v>
      </c>
      <c r="J64" s="60" t="s">
        <v>175</v>
      </c>
      <c r="K64" s="60" t="s">
        <v>170</v>
      </c>
      <c r="L64" s="60" t="s">
        <v>171</v>
      </c>
      <c r="M64" s="60" t="s">
        <v>77</v>
      </c>
      <c r="N64" s="60" t="s">
        <v>172</v>
      </c>
      <c r="O64" s="60">
        <v>14121000</v>
      </c>
      <c r="P64" s="60">
        <v>161</v>
      </c>
      <c r="Q64" s="60">
        <v>0</v>
      </c>
      <c r="R64" s="60">
        <v>0</v>
      </c>
      <c r="S64" s="60">
        <v>0</v>
      </c>
      <c r="T64" s="60">
        <v>0</v>
      </c>
      <c r="U64" s="60">
        <v>1498500</v>
      </c>
      <c r="V64" s="60">
        <v>11</v>
      </c>
      <c r="W64" s="60">
        <v>0</v>
      </c>
      <c r="X64" s="60">
        <v>0</v>
      </c>
      <c r="Y64" s="61">
        <v>0</v>
      </c>
      <c r="Z64" s="60">
        <v>0</v>
      </c>
      <c r="AA64" s="60">
        <v>0</v>
      </c>
      <c r="AB64" s="60">
        <v>0</v>
      </c>
      <c r="AC64" s="60">
        <v>15619500</v>
      </c>
      <c r="AD64" s="62">
        <v>172</v>
      </c>
      <c r="AF64" s="47">
        <f t="shared" si="0"/>
        <v>15619500</v>
      </c>
    </row>
    <row r="65" spans="1:32" x14ac:dyDescent="0.3">
      <c r="A65" s="46" t="s">
        <v>0</v>
      </c>
      <c r="B65" s="46" t="str">
        <f>IFERROR(VLOOKUP($H65,매장구분!$B:$Z,2,0),"")</f>
        <v>파트너채널팀</v>
      </c>
      <c r="C65" s="46" t="str">
        <f>IFERROR(VLOOKUP($H65,매장구분!$B:$Z,3,0),"")</f>
        <v>국내</v>
      </c>
      <c r="D65" s="46" t="str">
        <f>IFERROR(VLOOKUP($H65,매장구분!$B:$Z,5,0),"")</f>
        <v>백화점</v>
      </c>
      <c r="E65" s="46" t="str">
        <f>IFERROR(VLOOKUP($H65,매장구분!$B:$Z,9,0),"")</f>
        <v>갤러리아광교</v>
      </c>
      <c r="F65" s="53"/>
      <c r="G65" s="54" t="s">
        <v>261</v>
      </c>
      <c r="H65" s="55" t="s">
        <v>262</v>
      </c>
      <c r="I65" s="55" t="s">
        <v>169</v>
      </c>
      <c r="J65" s="55" t="s">
        <v>175</v>
      </c>
      <c r="K65" s="55" t="s">
        <v>170</v>
      </c>
      <c r="L65" s="55" t="s">
        <v>171</v>
      </c>
      <c r="M65" s="55" t="s">
        <v>77</v>
      </c>
      <c r="N65" s="55" t="s">
        <v>172</v>
      </c>
      <c r="O65" s="55">
        <v>2385300</v>
      </c>
      <c r="P65" s="55">
        <v>33</v>
      </c>
      <c r="Q65" s="55">
        <v>177000</v>
      </c>
      <c r="R65" s="55">
        <v>4</v>
      </c>
      <c r="S65" s="55">
        <v>0</v>
      </c>
      <c r="T65" s="55">
        <v>0</v>
      </c>
      <c r="U65" s="55">
        <v>209000</v>
      </c>
      <c r="V65" s="55">
        <v>1</v>
      </c>
      <c r="W65" s="55">
        <v>0</v>
      </c>
      <c r="X65" s="55">
        <v>0</v>
      </c>
      <c r="Y65" s="56">
        <v>0</v>
      </c>
      <c r="Z65" s="55">
        <v>0</v>
      </c>
      <c r="AA65" s="55">
        <v>0</v>
      </c>
      <c r="AB65" s="55">
        <v>0</v>
      </c>
      <c r="AC65" s="55">
        <v>2771300</v>
      </c>
      <c r="AD65" s="57">
        <v>38</v>
      </c>
      <c r="AF65" s="47">
        <f t="shared" si="0"/>
        <v>2771300</v>
      </c>
    </row>
    <row r="66" spans="1:32" x14ac:dyDescent="0.3">
      <c r="A66" s="46" t="s">
        <v>0</v>
      </c>
      <c r="B66" s="46" t="str">
        <f>IFERROR(VLOOKUP($H66,매장구분!$B:$Z,2,0),"")</f>
        <v>파트너채널팀</v>
      </c>
      <c r="C66" s="46" t="str">
        <f>IFERROR(VLOOKUP($H66,매장구분!$B:$Z,3,0),"")</f>
        <v>국내</v>
      </c>
      <c r="D66" s="46" t="str">
        <f>IFERROR(VLOOKUP($H66,매장구분!$B:$Z,5,0),"")</f>
        <v>백화점</v>
      </c>
      <c r="E66" s="46" t="str">
        <f>IFERROR(VLOOKUP($H66,매장구분!$B:$Z,9,0),"")</f>
        <v>롯데대전</v>
      </c>
      <c r="F66" s="58"/>
      <c r="G66" s="59" t="s">
        <v>476</v>
      </c>
      <c r="H66" s="60" t="s">
        <v>477</v>
      </c>
      <c r="I66" s="60" t="s">
        <v>169</v>
      </c>
      <c r="J66" s="60" t="s">
        <v>175</v>
      </c>
      <c r="K66" s="60" t="s">
        <v>170</v>
      </c>
      <c r="L66" s="60" t="s">
        <v>171</v>
      </c>
      <c r="M66" s="60" t="s">
        <v>77</v>
      </c>
      <c r="N66" s="60" t="s">
        <v>172</v>
      </c>
      <c r="O66" s="60">
        <v>3859300</v>
      </c>
      <c r="P66" s="60">
        <v>37</v>
      </c>
      <c r="Q66" s="60">
        <v>0</v>
      </c>
      <c r="R66" s="60">
        <v>0</v>
      </c>
      <c r="S66" s="60">
        <v>0</v>
      </c>
      <c r="T66" s="60">
        <v>0</v>
      </c>
      <c r="U66" s="60">
        <v>125100</v>
      </c>
      <c r="V66" s="60">
        <v>1</v>
      </c>
      <c r="W66" s="60">
        <v>0</v>
      </c>
      <c r="X66" s="60">
        <v>0</v>
      </c>
      <c r="Y66" s="61">
        <v>0</v>
      </c>
      <c r="Z66" s="60">
        <v>0</v>
      </c>
      <c r="AA66" s="60">
        <v>0</v>
      </c>
      <c r="AB66" s="60">
        <v>0</v>
      </c>
      <c r="AC66" s="60">
        <v>3984400</v>
      </c>
      <c r="AD66" s="62">
        <v>38</v>
      </c>
      <c r="AF66" s="47">
        <f t="shared" si="0"/>
        <v>3984400</v>
      </c>
    </row>
    <row r="67" spans="1:32" x14ac:dyDescent="0.3">
      <c r="A67" s="46" t="s">
        <v>0</v>
      </c>
      <c r="B67" s="46" t="str">
        <f>IFERROR(VLOOKUP($H67,매장구분!$B:$Z,2,0),"")</f>
        <v>파트너채널팀</v>
      </c>
      <c r="C67" s="46" t="str">
        <f>IFERROR(VLOOKUP($H67,매장구분!$B:$Z,3,0),"")</f>
        <v>국내</v>
      </c>
      <c r="D67" s="46" t="str">
        <f>IFERROR(VLOOKUP($H67,매장구분!$B:$Z,5,0),"")</f>
        <v>백화점</v>
      </c>
      <c r="E67" s="46" t="str">
        <f>IFERROR(VLOOKUP($H67,매장구분!$B:$Z,9,0),"")</f>
        <v>롯데울산</v>
      </c>
      <c r="F67" s="53"/>
      <c r="G67" s="54" t="s">
        <v>460</v>
      </c>
      <c r="H67" s="55" t="s">
        <v>461</v>
      </c>
      <c r="I67" s="55" t="s">
        <v>169</v>
      </c>
      <c r="J67" s="55" t="s">
        <v>175</v>
      </c>
      <c r="K67" s="55" t="s">
        <v>170</v>
      </c>
      <c r="L67" s="55" t="s">
        <v>171</v>
      </c>
      <c r="M67" s="55" t="s">
        <v>77</v>
      </c>
      <c r="N67" s="55" t="s">
        <v>172</v>
      </c>
      <c r="O67" s="55">
        <v>8759000</v>
      </c>
      <c r="P67" s="55">
        <v>83</v>
      </c>
      <c r="Q67" s="55">
        <v>0</v>
      </c>
      <c r="R67" s="55">
        <v>0</v>
      </c>
      <c r="S67" s="55">
        <v>0</v>
      </c>
      <c r="T67" s="55">
        <v>0</v>
      </c>
      <c r="U67" s="55">
        <v>939600</v>
      </c>
      <c r="V67" s="55">
        <v>6</v>
      </c>
      <c r="W67" s="55">
        <v>0</v>
      </c>
      <c r="X67" s="55">
        <v>0</v>
      </c>
      <c r="Y67" s="56">
        <v>0</v>
      </c>
      <c r="Z67" s="55">
        <v>0</v>
      </c>
      <c r="AA67" s="55">
        <v>0</v>
      </c>
      <c r="AB67" s="55">
        <v>0</v>
      </c>
      <c r="AC67" s="55">
        <v>9698600</v>
      </c>
      <c r="AD67" s="57">
        <v>89</v>
      </c>
      <c r="AF67" s="47">
        <f t="shared" ref="AF67:AF130" si="1">IFERROR(AC67-Y67,"")</f>
        <v>9698600</v>
      </c>
    </row>
    <row r="68" spans="1:32" x14ac:dyDescent="0.3">
      <c r="A68" s="46" t="s">
        <v>0</v>
      </c>
      <c r="B68" s="46" t="str">
        <f>IFERROR(VLOOKUP($H68,매장구분!$B:$Z,2,0),"")</f>
        <v>파트너채널팀</v>
      </c>
      <c r="C68" s="46" t="str">
        <f>IFERROR(VLOOKUP($H68,매장구분!$B:$Z,3,0),"")</f>
        <v>국내</v>
      </c>
      <c r="D68" s="46" t="str">
        <f>IFERROR(VLOOKUP($H68,매장구분!$B:$Z,5,0),"")</f>
        <v>백화점</v>
      </c>
      <c r="E68" s="46" t="str">
        <f>IFERROR(VLOOKUP($H68,매장구분!$B:$Z,9,0),"")</f>
        <v>신세계김해</v>
      </c>
      <c r="F68" s="58"/>
      <c r="G68" s="59" t="s">
        <v>454</v>
      </c>
      <c r="H68" s="60" t="s">
        <v>455</v>
      </c>
      <c r="I68" s="60" t="s">
        <v>169</v>
      </c>
      <c r="J68" s="60" t="s">
        <v>175</v>
      </c>
      <c r="K68" s="60" t="s">
        <v>170</v>
      </c>
      <c r="L68" s="60" t="s">
        <v>171</v>
      </c>
      <c r="M68" s="60" t="s">
        <v>77</v>
      </c>
      <c r="N68" s="60" t="s">
        <v>172</v>
      </c>
      <c r="O68" s="60">
        <v>5310000</v>
      </c>
      <c r="P68" s="60">
        <v>72</v>
      </c>
      <c r="Q68" s="60">
        <v>0</v>
      </c>
      <c r="R68" s="60">
        <v>0</v>
      </c>
      <c r="S68" s="60">
        <v>0</v>
      </c>
      <c r="T68" s="60">
        <v>0</v>
      </c>
      <c r="U68" s="60">
        <v>556200</v>
      </c>
      <c r="V68" s="60">
        <v>2</v>
      </c>
      <c r="W68" s="60">
        <v>0</v>
      </c>
      <c r="X68" s="60">
        <v>0</v>
      </c>
      <c r="Y68" s="61">
        <v>0</v>
      </c>
      <c r="Z68" s="60">
        <v>0</v>
      </c>
      <c r="AA68" s="60">
        <v>0</v>
      </c>
      <c r="AB68" s="60">
        <v>0</v>
      </c>
      <c r="AC68" s="60">
        <v>5866200</v>
      </c>
      <c r="AD68" s="62">
        <v>74</v>
      </c>
      <c r="AF68" s="47">
        <f t="shared" si="1"/>
        <v>5866200</v>
      </c>
    </row>
    <row r="69" spans="1:32" x14ac:dyDescent="0.3">
      <c r="A69" s="46" t="s">
        <v>0</v>
      </c>
      <c r="B69" s="46" t="str">
        <f>IFERROR(VLOOKUP($H69,매장구분!$B:$Z,2,0),"")</f>
        <v>파트너채널팀</v>
      </c>
      <c r="C69" s="46" t="str">
        <f>IFERROR(VLOOKUP($H69,매장구분!$B:$Z,3,0),"")</f>
        <v>국내</v>
      </c>
      <c r="D69" s="46" t="str">
        <f>IFERROR(VLOOKUP($H69,매장구분!$B:$Z,5,0),"")</f>
        <v>백화점</v>
      </c>
      <c r="E69" s="46" t="str">
        <f>IFERROR(VLOOKUP($H69,매장구분!$B:$Z,9,0),"")</f>
        <v>신세계천안아산</v>
      </c>
      <c r="F69" s="53"/>
      <c r="G69" s="54" t="s">
        <v>271</v>
      </c>
      <c r="H69" s="55" t="s">
        <v>272</v>
      </c>
      <c r="I69" s="55" t="s">
        <v>169</v>
      </c>
      <c r="J69" s="55" t="s">
        <v>175</v>
      </c>
      <c r="K69" s="55" t="s">
        <v>170</v>
      </c>
      <c r="L69" s="55" t="s">
        <v>171</v>
      </c>
      <c r="M69" s="55" t="s">
        <v>77</v>
      </c>
      <c r="N69" s="55" t="s">
        <v>172</v>
      </c>
      <c r="O69" s="55">
        <v>8008000</v>
      </c>
      <c r="P69" s="55">
        <v>94</v>
      </c>
      <c r="Q69" s="55">
        <v>0</v>
      </c>
      <c r="R69" s="55">
        <v>0</v>
      </c>
      <c r="S69" s="55">
        <v>0</v>
      </c>
      <c r="T69" s="55">
        <v>0</v>
      </c>
      <c r="U69" s="55">
        <v>1462100</v>
      </c>
      <c r="V69" s="55">
        <v>8</v>
      </c>
      <c r="W69" s="55">
        <v>0</v>
      </c>
      <c r="X69" s="55">
        <v>0</v>
      </c>
      <c r="Y69" s="56">
        <v>0</v>
      </c>
      <c r="Z69" s="55">
        <v>0</v>
      </c>
      <c r="AA69" s="55">
        <v>0</v>
      </c>
      <c r="AB69" s="55">
        <v>0</v>
      </c>
      <c r="AC69" s="55">
        <v>9470100</v>
      </c>
      <c r="AD69" s="57">
        <v>102</v>
      </c>
      <c r="AF69" s="47">
        <f t="shared" si="1"/>
        <v>9470100</v>
      </c>
    </row>
    <row r="70" spans="1:32" x14ac:dyDescent="0.3">
      <c r="A70" s="46" t="s">
        <v>0</v>
      </c>
      <c r="B70" s="46" t="str">
        <f>IFERROR(VLOOKUP($H70,매장구분!$B:$Z,2,0),"")</f>
        <v>리테일채널팀</v>
      </c>
      <c r="C70" s="46" t="str">
        <f>IFERROR(VLOOKUP($H70,매장구분!$B:$Z,3,0),"")</f>
        <v>국내</v>
      </c>
      <c r="D70" s="46" t="str">
        <f>IFERROR(VLOOKUP($H70,매장구분!$B:$Z,5,0),"")</f>
        <v>대리점</v>
      </c>
      <c r="E70" s="46" t="str">
        <f>IFERROR(VLOOKUP($H70,매장구분!$B:$Z,9,0),"")</f>
        <v>울산무거(대-위)</v>
      </c>
      <c r="F70" s="58"/>
      <c r="G70" s="59" t="s">
        <v>241</v>
      </c>
      <c r="H70" s="60" t="s">
        <v>242</v>
      </c>
      <c r="I70" s="60" t="s">
        <v>169</v>
      </c>
      <c r="J70" s="60" t="s">
        <v>79</v>
      </c>
      <c r="K70" s="60" t="s">
        <v>170</v>
      </c>
      <c r="L70" s="60" t="s">
        <v>171</v>
      </c>
      <c r="M70" s="60" t="s">
        <v>196</v>
      </c>
      <c r="N70" s="60" t="s">
        <v>197</v>
      </c>
      <c r="O70" s="60">
        <v>1214600</v>
      </c>
      <c r="P70" s="60">
        <v>13</v>
      </c>
      <c r="Q70" s="60">
        <v>0</v>
      </c>
      <c r="R70" s="60">
        <v>0</v>
      </c>
      <c r="S70" s="60">
        <v>0</v>
      </c>
      <c r="T70" s="60">
        <v>0</v>
      </c>
      <c r="U70" s="60">
        <v>644500</v>
      </c>
      <c r="V70" s="60">
        <v>6</v>
      </c>
      <c r="W70" s="60">
        <v>0</v>
      </c>
      <c r="X70" s="60">
        <v>0</v>
      </c>
      <c r="Y70" s="61">
        <v>0</v>
      </c>
      <c r="Z70" s="60">
        <v>0</v>
      </c>
      <c r="AA70" s="60">
        <v>0</v>
      </c>
      <c r="AB70" s="60">
        <v>0</v>
      </c>
      <c r="AC70" s="60">
        <v>1859100</v>
      </c>
      <c r="AD70" s="62">
        <v>19</v>
      </c>
      <c r="AF70" s="47">
        <f t="shared" si="1"/>
        <v>1859100</v>
      </c>
    </row>
    <row r="71" spans="1:32" x14ac:dyDescent="0.3">
      <c r="A71" s="46" t="s">
        <v>0</v>
      </c>
      <c r="B71" s="46" t="str">
        <f>IFERROR(VLOOKUP($H71,매장구분!$B:$Z,2,0),"")</f>
        <v>리테일채널팀</v>
      </c>
      <c r="C71" s="46" t="str">
        <f>IFERROR(VLOOKUP($H71,매장구분!$B:$Z,3,0),"")</f>
        <v>국내</v>
      </c>
      <c r="D71" s="46" t="str">
        <f>IFERROR(VLOOKUP($H71,매장구분!$B:$Z,5,0),"")</f>
        <v>직영점</v>
      </c>
      <c r="E71" s="46" t="str">
        <f>IFERROR(VLOOKUP($H71,매장구분!$B:$Z,9,0),"")</f>
        <v>강남사옥(직)</v>
      </c>
      <c r="F71" s="53"/>
      <c r="G71" s="54" t="s">
        <v>482</v>
      </c>
      <c r="H71" s="55" t="s">
        <v>483</v>
      </c>
      <c r="I71" s="55" t="s">
        <v>169</v>
      </c>
      <c r="J71" s="55" t="s">
        <v>180</v>
      </c>
      <c r="K71" s="55" t="s">
        <v>170</v>
      </c>
      <c r="L71" s="55" t="s">
        <v>171</v>
      </c>
      <c r="M71" s="55" t="s">
        <v>196</v>
      </c>
      <c r="N71" s="55" t="s">
        <v>206</v>
      </c>
      <c r="O71" s="55">
        <v>6058884</v>
      </c>
      <c r="P71" s="55">
        <v>57</v>
      </c>
      <c r="Q71" s="55">
        <v>0</v>
      </c>
      <c r="R71" s="55">
        <v>0</v>
      </c>
      <c r="S71" s="55">
        <v>0</v>
      </c>
      <c r="T71" s="55">
        <v>0</v>
      </c>
      <c r="U71" s="55">
        <v>0</v>
      </c>
      <c r="V71" s="55">
        <v>0</v>
      </c>
      <c r="W71" s="55">
        <v>0</v>
      </c>
      <c r="X71" s="55">
        <v>0</v>
      </c>
      <c r="Y71" s="56">
        <v>0</v>
      </c>
      <c r="Z71" s="55">
        <v>0</v>
      </c>
      <c r="AA71" s="55">
        <v>0</v>
      </c>
      <c r="AB71" s="55">
        <v>0</v>
      </c>
      <c r="AC71" s="55">
        <v>6058884</v>
      </c>
      <c r="AD71" s="57">
        <v>57</v>
      </c>
      <c r="AF71" s="47">
        <f t="shared" si="1"/>
        <v>6058884</v>
      </c>
    </row>
    <row r="72" spans="1:32" x14ac:dyDescent="0.3">
      <c r="A72" s="46" t="s">
        <v>0</v>
      </c>
      <c r="B72" s="46" t="str">
        <f>IFERROR(VLOOKUP($H72,매장구분!$B:$Z,2,0),"")</f>
        <v>리테일채널팀</v>
      </c>
      <c r="C72" s="46" t="str">
        <f>IFERROR(VLOOKUP($H72,매장구분!$B:$Z,3,0),"")</f>
        <v>국내</v>
      </c>
      <c r="D72" s="46" t="str">
        <f>IFERROR(VLOOKUP($H72,매장구분!$B:$Z,5,0),"")</f>
        <v>대리점</v>
      </c>
      <c r="E72" s="46" t="str">
        <f>IFERROR(VLOOKUP($H72,매장구분!$B:$Z,9,0),"")</f>
        <v>퍼스트빌리지(대-위)</v>
      </c>
      <c r="F72" s="58"/>
      <c r="G72" s="59" t="s">
        <v>440</v>
      </c>
      <c r="H72" s="60" t="s">
        <v>441</v>
      </c>
      <c r="I72" s="60" t="s">
        <v>169</v>
      </c>
      <c r="J72" s="60" t="s">
        <v>79</v>
      </c>
      <c r="K72" s="60" t="s">
        <v>170</v>
      </c>
      <c r="L72" s="60" t="s">
        <v>171</v>
      </c>
      <c r="M72" s="60" t="s">
        <v>196</v>
      </c>
      <c r="N72" s="60" t="s">
        <v>197</v>
      </c>
      <c r="O72" s="60">
        <v>10320000</v>
      </c>
      <c r="P72" s="60">
        <v>112</v>
      </c>
      <c r="Q72" s="60">
        <v>0</v>
      </c>
      <c r="R72" s="60">
        <v>0</v>
      </c>
      <c r="S72" s="60">
        <v>0</v>
      </c>
      <c r="T72" s="60">
        <v>0</v>
      </c>
      <c r="U72" s="60">
        <v>1148500</v>
      </c>
      <c r="V72" s="60">
        <v>6</v>
      </c>
      <c r="W72" s="60">
        <v>0</v>
      </c>
      <c r="X72" s="60">
        <v>0</v>
      </c>
      <c r="Y72" s="61">
        <v>0</v>
      </c>
      <c r="Z72" s="60">
        <v>0</v>
      </c>
      <c r="AA72" s="60">
        <v>0</v>
      </c>
      <c r="AB72" s="60">
        <v>0</v>
      </c>
      <c r="AC72" s="60">
        <v>11468500</v>
      </c>
      <c r="AD72" s="62">
        <v>118</v>
      </c>
      <c r="AF72" s="47">
        <f t="shared" si="1"/>
        <v>11468500</v>
      </c>
    </row>
    <row r="73" spans="1:32" x14ac:dyDescent="0.3">
      <c r="A73" s="46" t="s">
        <v>0</v>
      </c>
      <c r="B73" s="46" t="str">
        <f>IFERROR(VLOOKUP($H73,매장구분!$B:$Z,2,0),"")</f>
        <v>파트너채널팀</v>
      </c>
      <c r="C73" s="46" t="str">
        <f>IFERROR(VLOOKUP($H73,매장구분!$B:$Z,3,0),"")</f>
        <v>국내</v>
      </c>
      <c r="D73" s="46" t="str">
        <f>IFERROR(VLOOKUP($H73,매장구분!$B:$Z,5,0),"")</f>
        <v>백화점</v>
      </c>
      <c r="E73" s="46" t="str">
        <f>IFERROR(VLOOKUP($H73,매장구분!$B:$Z,9,0),"")</f>
        <v>롯데광복</v>
      </c>
      <c r="F73" s="53"/>
      <c r="G73" s="54" t="s">
        <v>448</v>
      </c>
      <c r="H73" s="55" t="s">
        <v>449</v>
      </c>
      <c r="I73" s="55" t="s">
        <v>169</v>
      </c>
      <c r="J73" s="55" t="s">
        <v>175</v>
      </c>
      <c r="K73" s="55" t="s">
        <v>170</v>
      </c>
      <c r="L73" s="55" t="s">
        <v>171</v>
      </c>
      <c r="M73" s="55" t="s">
        <v>77</v>
      </c>
      <c r="N73" s="55" t="s">
        <v>172</v>
      </c>
      <c r="O73" s="55">
        <v>3959500</v>
      </c>
      <c r="P73" s="55">
        <v>52</v>
      </c>
      <c r="Q73" s="55">
        <v>0</v>
      </c>
      <c r="R73" s="55">
        <v>0</v>
      </c>
      <c r="S73" s="55">
        <v>0</v>
      </c>
      <c r="T73" s="55">
        <v>0</v>
      </c>
      <c r="U73" s="55">
        <v>825300</v>
      </c>
      <c r="V73" s="55">
        <v>3</v>
      </c>
      <c r="W73" s="55">
        <v>0</v>
      </c>
      <c r="X73" s="55">
        <v>0</v>
      </c>
      <c r="Y73" s="56">
        <v>2034300</v>
      </c>
      <c r="Z73" s="55">
        <v>34</v>
      </c>
      <c r="AA73" s="55">
        <v>0</v>
      </c>
      <c r="AB73" s="55">
        <v>0</v>
      </c>
      <c r="AC73" s="55">
        <v>6819100</v>
      </c>
      <c r="AD73" s="57">
        <v>89</v>
      </c>
      <c r="AF73" s="47">
        <f t="shared" si="1"/>
        <v>4784800</v>
      </c>
    </row>
    <row r="74" spans="1:32" x14ac:dyDescent="0.3">
      <c r="A74" s="46" t="s">
        <v>0</v>
      </c>
      <c r="B74" s="46" t="str">
        <f>IFERROR(VLOOKUP($H74,매장구분!$B:$Z,2,0),"")</f>
        <v>파트너채널팀</v>
      </c>
      <c r="C74" s="46" t="str">
        <f>IFERROR(VLOOKUP($H74,매장구분!$B:$Z,3,0),"")</f>
        <v>국내</v>
      </c>
      <c r="D74" s="46" t="str">
        <f>IFERROR(VLOOKUP($H74,매장구분!$B:$Z,5,0),"")</f>
        <v>백화점</v>
      </c>
      <c r="E74" s="46" t="str">
        <f>IFERROR(VLOOKUP($H74,매장구분!$B:$Z,9,0),"")</f>
        <v>현대킨텍스</v>
      </c>
      <c r="F74" s="58"/>
      <c r="G74" s="59" t="s">
        <v>442</v>
      </c>
      <c r="H74" s="60" t="s">
        <v>443</v>
      </c>
      <c r="I74" s="60" t="s">
        <v>169</v>
      </c>
      <c r="J74" s="60" t="s">
        <v>175</v>
      </c>
      <c r="K74" s="60" t="s">
        <v>170</v>
      </c>
      <c r="L74" s="60" t="s">
        <v>171</v>
      </c>
      <c r="M74" s="60" t="s">
        <v>77</v>
      </c>
      <c r="N74" s="60" t="s">
        <v>172</v>
      </c>
      <c r="O74" s="60">
        <v>1727700</v>
      </c>
      <c r="P74" s="60">
        <v>20</v>
      </c>
      <c r="Q74" s="60">
        <v>0</v>
      </c>
      <c r="R74" s="60">
        <v>0</v>
      </c>
      <c r="S74" s="60">
        <v>0</v>
      </c>
      <c r="T74" s="60">
        <v>0</v>
      </c>
      <c r="U74" s="60">
        <v>298000</v>
      </c>
      <c r="V74" s="60">
        <v>2</v>
      </c>
      <c r="W74" s="60">
        <v>0</v>
      </c>
      <c r="X74" s="60">
        <v>0</v>
      </c>
      <c r="Y74" s="61">
        <v>0</v>
      </c>
      <c r="Z74" s="60">
        <v>0</v>
      </c>
      <c r="AA74" s="60">
        <v>0</v>
      </c>
      <c r="AB74" s="60">
        <v>0</v>
      </c>
      <c r="AC74" s="60">
        <v>2025700</v>
      </c>
      <c r="AD74" s="62">
        <v>22</v>
      </c>
      <c r="AF74" s="47">
        <f t="shared" si="1"/>
        <v>2025700</v>
      </c>
    </row>
    <row r="75" spans="1:32" x14ac:dyDescent="0.3">
      <c r="A75" s="46" t="s">
        <v>0</v>
      </c>
      <c r="B75" s="46" t="str">
        <f>IFERROR(VLOOKUP($H75,매장구분!$B:$Z,2,0),"")</f>
        <v>파트너채널팀</v>
      </c>
      <c r="C75" s="46" t="str">
        <f>IFERROR(VLOOKUP($H75,매장구분!$B:$Z,3,0),"")</f>
        <v>국내</v>
      </c>
      <c r="D75" s="46" t="str">
        <f>IFERROR(VLOOKUP($H75,매장구분!$B:$Z,5,0),"")</f>
        <v>백화점</v>
      </c>
      <c r="E75" s="46" t="str">
        <f>IFERROR(VLOOKUP($H75,매장구분!$B:$Z,9,0),"")</f>
        <v>갤러리아센터시티</v>
      </c>
      <c r="F75" s="53"/>
      <c r="G75" s="54" t="s">
        <v>259</v>
      </c>
      <c r="H75" s="55" t="s">
        <v>260</v>
      </c>
      <c r="I75" s="55" t="s">
        <v>169</v>
      </c>
      <c r="J75" s="55" t="s">
        <v>175</v>
      </c>
      <c r="K75" s="55" t="s">
        <v>170</v>
      </c>
      <c r="L75" s="55" t="s">
        <v>171</v>
      </c>
      <c r="M75" s="55" t="s">
        <v>77</v>
      </c>
      <c r="N75" s="55" t="s">
        <v>172</v>
      </c>
      <c r="O75" s="55">
        <v>3816000</v>
      </c>
      <c r="P75" s="55">
        <v>40</v>
      </c>
      <c r="Q75" s="55">
        <v>0</v>
      </c>
      <c r="R75" s="55">
        <v>0</v>
      </c>
      <c r="S75" s="55">
        <v>0</v>
      </c>
      <c r="T75" s="55">
        <v>0</v>
      </c>
      <c r="U75" s="55">
        <v>378000</v>
      </c>
      <c r="V75" s="55">
        <v>2</v>
      </c>
      <c r="W75" s="55">
        <v>0</v>
      </c>
      <c r="X75" s="55">
        <v>0</v>
      </c>
      <c r="Y75" s="56">
        <v>0</v>
      </c>
      <c r="Z75" s="55">
        <v>0</v>
      </c>
      <c r="AA75" s="55">
        <v>0</v>
      </c>
      <c r="AB75" s="55">
        <v>0</v>
      </c>
      <c r="AC75" s="55">
        <v>4194000</v>
      </c>
      <c r="AD75" s="57">
        <v>42</v>
      </c>
      <c r="AF75" s="47">
        <f t="shared" si="1"/>
        <v>4194000</v>
      </c>
    </row>
    <row r="76" spans="1:32" x14ac:dyDescent="0.3">
      <c r="A76" s="46" t="s">
        <v>0</v>
      </c>
      <c r="B76" s="46" t="str">
        <f>IFERROR(VLOOKUP($H76,매장구분!$B:$Z,2,0),"")</f>
        <v>파트너채널팀</v>
      </c>
      <c r="C76" s="46" t="str">
        <f>IFERROR(VLOOKUP($H76,매장구분!$B:$Z,3,0),"")</f>
        <v>국내</v>
      </c>
      <c r="D76" s="46" t="str">
        <f>IFERROR(VLOOKUP($H76,매장구분!$B:$Z,5,0),"")</f>
        <v>백화점</v>
      </c>
      <c r="E76" s="46" t="str">
        <f>IFERROR(VLOOKUP($H76,매장구분!$B:$Z,9,0),"")</f>
        <v>롯데청량리</v>
      </c>
      <c r="F76" s="58"/>
      <c r="G76" s="59" t="s">
        <v>255</v>
      </c>
      <c r="H76" s="60" t="s">
        <v>256</v>
      </c>
      <c r="I76" s="60" t="s">
        <v>169</v>
      </c>
      <c r="J76" s="60" t="s">
        <v>175</v>
      </c>
      <c r="K76" s="60" t="s">
        <v>170</v>
      </c>
      <c r="L76" s="60" t="s">
        <v>171</v>
      </c>
      <c r="M76" s="60" t="s">
        <v>77</v>
      </c>
      <c r="N76" s="60" t="s">
        <v>172</v>
      </c>
      <c r="O76" s="60">
        <v>3200800</v>
      </c>
      <c r="P76" s="60">
        <v>41</v>
      </c>
      <c r="Q76" s="60">
        <v>644500</v>
      </c>
      <c r="R76" s="60">
        <v>5</v>
      </c>
      <c r="S76" s="60">
        <v>0</v>
      </c>
      <c r="T76" s="60">
        <v>0</v>
      </c>
      <c r="U76" s="60">
        <v>349200</v>
      </c>
      <c r="V76" s="60">
        <v>2</v>
      </c>
      <c r="W76" s="60">
        <v>0</v>
      </c>
      <c r="X76" s="60">
        <v>0</v>
      </c>
      <c r="Y76" s="61">
        <v>0</v>
      </c>
      <c r="Z76" s="60">
        <v>0</v>
      </c>
      <c r="AA76" s="60">
        <v>0</v>
      </c>
      <c r="AB76" s="60">
        <v>0</v>
      </c>
      <c r="AC76" s="60">
        <v>4194500</v>
      </c>
      <c r="AD76" s="62">
        <v>48</v>
      </c>
      <c r="AF76" s="47">
        <f t="shared" si="1"/>
        <v>4194500</v>
      </c>
    </row>
    <row r="77" spans="1:32" x14ac:dyDescent="0.3">
      <c r="A77" s="46" t="s">
        <v>0</v>
      </c>
      <c r="B77" s="46" t="str">
        <f>IFERROR(VLOOKUP($H77,매장구분!$B:$Z,2,0),"")</f>
        <v>파트너채널팀</v>
      </c>
      <c r="C77" s="46" t="str">
        <f>IFERROR(VLOOKUP($H77,매장구분!$B:$Z,3,0),"")</f>
        <v>국내</v>
      </c>
      <c r="D77" s="46" t="str">
        <f>IFERROR(VLOOKUP($H77,매장구분!$B:$Z,5,0),"")</f>
        <v>백화점</v>
      </c>
      <c r="E77" s="46" t="str">
        <f>IFERROR(VLOOKUP($H77,매장구분!$B:$Z,9,0),"")</f>
        <v>신세계의정부</v>
      </c>
      <c r="F77" s="53"/>
      <c r="G77" s="54" t="s">
        <v>438</v>
      </c>
      <c r="H77" s="55" t="s">
        <v>439</v>
      </c>
      <c r="I77" s="55" t="s">
        <v>169</v>
      </c>
      <c r="J77" s="55" t="s">
        <v>175</v>
      </c>
      <c r="K77" s="55" t="s">
        <v>170</v>
      </c>
      <c r="L77" s="55" t="s">
        <v>171</v>
      </c>
      <c r="M77" s="55" t="s">
        <v>77</v>
      </c>
      <c r="N77" s="55" t="s">
        <v>172</v>
      </c>
      <c r="O77" s="55">
        <v>7675500</v>
      </c>
      <c r="P77" s="55">
        <v>86</v>
      </c>
      <c r="Q77" s="55">
        <v>0</v>
      </c>
      <c r="R77" s="55">
        <v>0</v>
      </c>
      <c r="S77" s="55">
        <v>0</v>
      </c>
      <c r="T77" s="55">
        <v>0</v>
      </c>
      <c r="U77" s="55">
        <v>1278600</v>
      </c>
      <c r="V77" s="55">
        <v>7</v>
      </c>
      <c r="W77" s="55">
        <v>0</v>
      </c>
      <c r="X77" s="55">
        <v>0</v>
      </c>
      <c r="Y77" s="56">
        <v>0</v>
      </c>
      <c r="Z77" s="55">
        <v>0</v>
      </c>
      <c r="AA77" s="55">
        <v>0</v>
      </c>
      <c r="AB77" s="55">
        <v>0</v>
      </c>
      <c r="AC77" s="55">
        <v>8954100</v>
      </c>
      <c r="AD77" s="57">
        <v>93</v>
      </c>
      <c r="AF77" s="47">
        <f t="shared" si="1"/>
        <v>8954100</v>
      </c>
    </row>
    <row r="78" spans="1:32" x14ac:dyDescent="0.3">
      <c r="A78" s="46" t="s">
        <v>0</v>
      </c>
      <c r="B78" s="46" t="str">
        <f>IFERROR(VLOOKUP($H78,매장구분!$B:$Z,2,0),"")</f>
        <v>파트너채널팀</v>
      </c>
      <c r="C78" s="46" t="str">
        <f>IFERROR(VLOOKUP($H78,매장구분!$B:$Z,3,0),"")</f>
        <v>국내</v>
      </c>
      <c r="D78" s="46" t="str">
        <f>IFERROR(VLOOKUP($H78,매장구분!$B:$Z,5,0),"")</f>
        <v>백화점</v>
      </c>
      <c r="E78" s="46" t="str">
        <f>IFERROR(VLOOKUP($H78,매장구분!$B:$Z,9,0),"")</f>
        <v>모다아울렛대전</v>
      </c>
      <c r="F78" s="58"/>
      <c r="G78" s="59" t="s">
        <v>236</v>
      </c>
      <c r="H78" s="60" t="s">
        <v>237</v>
      </c>
      <c r="I78" s="60" t="s">
        <v>169</v>
      </c>
      <c r="J78" s="60" t="s">
        <v>175</v>
      </c>
      <c r="K78" s="60" t="s">
        <v>170</v>
      </c>
      <c r="L78" s="60" t="s">
        <v>171</v>
      </c>
      <c r="M78" s="60" t="s">
        <v>77</v>
      </c>
      <c r="N78" s="60" t="s">
        <v>238</v>
      </c>
      <c r="O78" s="60">
        <v>10232200</v>
      </c>
      <c r="P78" s="60">
        <v>102</v>
      </c>
      <c r="Q78" s="60">
        <v>0</v>
      </c>
      <c r="R78" s="60">
        <v>0</v>
      </c>
      <c r="S78" s="60">
        <v>0</v>
      </c>
      <c r="T78" s="60">
        <v>0</v>
      </c>
      <c r="U78" s="60">
        <v>564100</v>
      </c>
      <c r="V78" s="60">
        <v>4</v>
      </c>
      <c r="W78" s="60">
        <v>0</v>
      </c>
      <c r="X78" s="60">
        <v>0</v>
      </c>
      <c r="Y78" s="61">
        <v>0</v>
      </c>
      <c r="Z78" s="60">
        <v>0</v>
      </c>
      <c r="AA78" s="60">
        <v>0</v>
      </c>
      <c r="AB78" s="60">
        <v>0</v>
      </c>
      <c r="AC78" s="60">
        <v>10796300</v>
      </c>
      <c r="AD78" s="62">
        <v>106</v>
      </c>
      <c r="AF78" s="47">
        <f t="shared" si="1"/>
        <v>10796300</v>
      </c>
    </row>
    <row r="79" spans="1:32" x14ac:dyDescent="0.3">
      <c r="A79" s="46" t="s">
        <v>0</v>
      </c>
      <c r="B79" s="46" t="str">
        <f>IFERROR(VLOOKUP($H79,매장구분!$B:$Z,2,0),"")</f>
        <v>파트너채널팀</v>
      </c>
      <c r="C79" s="46" t="str">
        <f>IFERROR(VLOOKUP($H79,매장구분!$B:$Z,3,0),"")</f>
        <v>국내</v>
      </c>
      <c r="D79" s="46" t="str">
        <f>IFERROR(VLOOKUP($H79,매장구분!$B:$Z,5,0),"")</f>
        <v>백화점</v>
      </c>
      <c r="E79" s="46" t="str">
        <f>IFERROR(VLOOKUP($H79,매장구분!$B:$Z,9,0),"")</f>
        <v>롯데부산</v>
      </c>
      <c r="F79" s="53"/>
      <c r="G79" s="54" t="s">
        <v>452</v>
      </c>
      <c r="H79" s="55" t="s">
        <v>453</v>
      </c>
      <c r="I79" s="55" t="s">
        <v>169</v>
      </c>
      <c r="J79" s="55" t="s">
        <v>175</v>
      </c>
      <c r="K79" s="55" t="s">
        <v>170</v>
      </c>
      <c r="L79" s="55" t="s">
        <v>171</v>
      </c>
      <c r="M79" s="55" t="s">
        <v>77</v>
      </c>
      <c r="N79" s="55" t="s">
        <v>172</v>
      </c>
      <c r="O79" s="55">
        <v>10019210</v>
      </c>
      <c r="P79" s="55">
        <v>114</v>
      </c>
      <c r="Q79" s="55">
        <v>0</v>
      </c>
      <c r="R79" s="55">
        <v>0</v>
      </c>
      <c r="S79" s="55">
        <v>0</v>
      </c>
      <c r="T79" s="55">
        <v>0</v>
      </c>
      <c r="U79" s="55">
        <v>1122300</v>
      </c>
      <c r="V79" s="55">
        <v>7</v>
      </c>
      <c r="W79" s="55">
        <v>0</v>
      </c>
      <c r="X79" s="55">
        <v>0</v>
      </c>
      <c r="Y79" s="56">
        <v>0</v>
      </c>
      <c r="Z79" s="55">
        <v>0</v>
      </c>
      <c r="AA79" s="55">
        <v>0</v>
      </c>
      <c r="AB79" s="55">
        <v>0</v>
      </c>
      <c r="AC79" s="55">
        <v>11141510</v>
      </c>
      <c r="AD79" s="57">
        <v>121</v>
      </c>
      <c r="AF79" s="47">
        <f t="shared" si="1"/>
        <v>11141510</v>
      </c>
    </row>
    <row r="80" spans="1:32" x14ac:dyDescent="0.3">
      <c r="A80" s="46" t="s">
        <v>0</v>
      </c>
      <c r="B80" s="46" t="str">
        <f>IFERROR(VLOOKUP($H80,매장구분!$B:$Z,2,0),"")</f>
        <v>파트너채널팀</v>
      </c>
      <c r="C80" s="46" t="str">
        <f>IFERROR(VLOOKUP($H80,매장구분!$B:$Z,3,0),"")</f>
        <v>국내</v>
      </c>
      <c r="D80" s="46" t="str">
        <f>IFERROR(VLOOKUP($H80,매장구분!$B:$Z,5,0),"")</f>
        <v>백화점</v>
      </c>
      <c r="E80" s="46" t="str">
        <f>IFERROR(VLOOKUP($H80,매장구분!$B:$Z,9,0),"")</f>
        <v>현대판교</v>
      </c>
      <c r="F80" s="58"/>
      <c r="G80" s="59" t="s">
        <v>257</v>
      </c>
      <c r="H80" s="60" t="s">
        <v>258</v>
      </c>
      <c r="I80" s="60" t="s">
        <v>169</v>
      </c>
      <c r="J80" s="60" t="s">
        <v>175</v>
      </c>
      <c r="K80" s="60" t="s">
        <v>170</v>
      </c>
      <c r="L80" s="60" t="s">
        <v>171</v>
      </c>
      <c r="M80" s="60" t="s">
        <v>77</v>
      </c>
      <c r="N80" s="60" t="s">
        <v>172</v>
      </c>
      <c r="O80" s="60">
        <v>10712200</v>
      </c>
      <c r="P80" s="60">
        <v>106</v>
      </c>
      <c r="Q80" s="60">
        <v>400000</v>
      </c>
      <c r="R80" s="60">
        <v>4</v>
      </c>
      <c r="S80" s="60">
        <v>0</v>
      </c>
      <c r="T80" s="60">
        <v>0</v>
      </c>
      <c r="U80" s="60">
        <v>402200</v>
      </c>
      <c r="V80" s="60">
        <v>4</v>
      </c>
      <c r="W80" s="60">
        <v>0</v>
      </c>
      <c r="X80" s="60">
        <v>0</v>
      </c>
      <c r="Y80" s="61">
        <v>11366700</v>
      </c>
      <c r="Z80" s="60">
        <v>95</v>
      </c>
      <c r="AA80" s="60">
        <v>0</v>
      </c>
      <c r="AB80" s="60">
        <v>0</v>
      </c>
      <c r="AC80" s="60">
        <v>22881100</v>
      </c>
      <c r="AD80" s="62">
        <v>209</v>
      </c>
      <c r="AF80" s="47">
        <f t="shared" si="1"/>
        <v>11514400</v>
      </c>
    </row>
    <row r="81" spans="1:32" x14ac:dyDescent="0.3">
      <c r="A81" s="46" t="s">
        <v>0</v>
      </c>
      <c r="B81" s="46" t="str">
        <f>IFERROR(VLOOKUP($H81,매장구분!$B:$Z,2,0),"")</f>
        <v>리테일채널팀</v>
      </c>
      <c r="C81" s="46" t="str">
        <f>IFERROR(VLOOKUP($H81,매장구분!$B:$Z,3,0),"")</f>
        <v>국내</v>
      </c>
      <c r="D81" s="46" t="str">
        <f>IFERROR(VLOOKUP($H81,매장구분!$B:$Z,5,0),"")</f>
        <v>대리점</v>
      </c>
      <c r="E81" s="46" t="str">
        <f>IFERROR(VLOOKUP($H81,매장구분!$B:$Z,9,0),"")</f>
        <v>성남신흥(대-위)</v>
      </c>
      <c r="F81" s="53"/>
      <c r="G81" s="54" t="s">
        <v>228</v>
      </c>
      <c r="H81" s="55" t="s">
        <v>229</v>
      </c>
      <c r="I81" s="55" t="s">
        <v>169</v>
      </c>
      <c r="J81" s="55" t="s">
        <v>79</v>
      </c>
      <c r="K81" s="55" t="s">
        <v>170</v>
      </c>
      <c r="L81" s="55" t="s">
        <v>171</v>
      </c>
      <c r="M81" s="55" t="s">
        <v>196</v>
      </c>
      <c r="N81" s="55" t="s">
        <v>197</v>
      </c>
      <c r="O81" s="55">
        <v>5818100</v>
      </c>
      <c r="P81" s="55">
        <v>45</v>
      </c>
      <c r="Q81" s="55">
        <v>0</v>
      </c>
      <c r="R81" s="55">
        <v>0</v>
      </c>
      <c r="S81" s="55">
        <v>0</v>
      </c>
      <c r="T81" s="55">
        <v>0</v>
      </c>
      <c r="U81" s="55">
        <v>119000</v>
      </c>
      <c r="V81" s="55">
        <v>1</v>
      </c>
      <c r="W81" s="55">
        <v>0</v>
      </c>
      <c r="X81" s="55">
        <v>0</v>
      </c>
      <c r="Y81" s="56">
        <v>0</v>
      </c>
      <c r="Z81" s="55">
        <v>0</v>
      </c>
      <c r="AA81" s="55">
        <v>0</v>
      </c>
      <c r="AB81" s="55">
        <v>0</v>
      </c>
      <c r="AC81" s="55">
        <v>5937100</v>
      </c>
      <c r="AD81" s="57">
        <v>46</v>
      </c>
      <c r="AF81" s="47">
        <f t="shared" si="1"/>
        <v>5937100</v>
      </c>
    </row>
    <row r="82" spans="1:32" x14ac:dyDescent="0.3">
      <c r="A82" s="46" t="s">
        <v>0</v>
      </c>
      <c r="B82" s="46" t="str">
        <f>IFERROR(VLOOKUP($H82,매장구분!$B:$Z,2,0),"")</f>
        <v>파트너채널팀</v>
      </c>
      <c r="C82" s="46" t="str">
        <f>IFERROR(VLOOKUP($H82,매장구분!$B:$Z,3,0),"")</f>
        <v>국내</v>
      </c>
      <c r="D82" s="46" t="str">
        <f>IFERROR(VLOOKUP($H82,매장구분!$B:$Z,5,0),"")</f>
        <v>백화점</v>
      </c>
      <c r="E82" s="46" t="str">
        <f>IFERROR(VLOOKUP($H82,매장구분!$B:$Z,9,0),"")</f>
        <v>롯데인천</v>
      </c>
      <c r="F82" s="58"/>
      <c r="G82" s="59" t="s">
        <v>245</v>
      </c>
      <c r="H82" s="60" t="s">
        <v>246</v>
      </c>
      <c r="I82" s="60" t="s">
        <v>169</v>
      </c>
      <c r="J82" s="60" t="s">
        <v>175</v>
      </c>
      <c r="K82" s="60" t="s">
        <v>170</v>
      </c>
      <c r="L82" s="60" t="s">
        <v>171</v>
      </c>
      <c r="M82" s="60" t="s">
        <v>77</v>
      </c>
      <c r="N82" s="60" t="s">
        <v>172</v>
      </c>
      <c r="O82" s="60">
        <v>9066800</v>
      </c>
      <c r="P82" s="60">
        <v>107</v>
      </c>
      <c r="Q82" s="60">
        <v>0</v>
      </c>
      <c r="R82" s="60">
        <v>0</v>
      </c>
      <c r="S82" s="60">
        <v>0</v>
      </c>
      <c r="T82" s="60">
        <v>0</v>
      </c>
      <c r="U82" s="60">
        <v>1575600</v>
      </c>
      <c r="V82" s="60">
        <v>9</v>
      </c>
      <c r="W82" s="60">
        <v>0</v>
      </c>
      <c r="X82" s="60">
        <v>0</v>
      </c>
      <c r="Y82" s="61">
        <v>0</v>
      </c>
      <c r="Z82" s="60">
        <v>0</v>
      </c>
      <c r="AA82" s="60">
        <v>0</v>
      </c>
      <c r="AB82" s="60">
        <v>0</v>
      </c>
      <c r="AC82" s="60">
        <v>10642400</v>
      </c>
      <c r="AD82" s="62">
        <v>116</v>
      </c>
      <c r="AF82" s="47">
        <f t="shared" si="1"/>
        <v>10642400</v>
      </c>
    </row>
    <row r="83" spans="1:32" x14ac:dyDescent="0.3">
      <c r="A83" s="46" t="s">
        <v>0</v>
      </c>
      <c r="B83" s="46" t="str">
        <f>IFERROR(VLOOKUP($H83,매장구분!$B:$Z,2,0),"")</f>
        <v>파트너채널팀</v>
      </c>
      <c r="C83" s="46" t="str">
        <f>IFERROR(VLOOKUP($H83,매장구분!$B:$Z,3,0),"")</f>
        <v>국내</v>
      </c>
      <c r="D83" s="46" t="str">
        <f>IFERROR(VLOOKUP($H83,매장구분!$B:$Z,5,0),"")</f>
        <v>백화점</v>
      </c>
      <c r="E83" s="46" t="str">
        <f>IFERROR(VLOOKUP($H83,매장구분!$B:$Z,9,0),"")</f>
        <v>모다아울렛천안</v>
      </c>
      <c r="F83" s="53"/>
      <c r="G83" s="54" t="s">
        <v>267</v>
      </c>
      <c r="H83" s="55" t="s">
        <v>268</v>
      </c>
      <c r="I83" s="55" t="s">
        <v>169</v>
      </c>
      <c r="J83" s="55" t="s">
        <v>175</v>
      </c>
      <c r="K83" s="55" t="s">
        <v>170</v>
      </c>
      <c r="L83" s="55" t="s">
        <v>171</v>
      </c>
      <c r="M83" s="55" t="s">
        <v>77</v>
      </c>
      <c r="N83" s="55" t="s">
        <v>238</v>
      </c>
      <c r="O83" s="55">
        <v>4702522</v>
      </c>
      <c r="P83" s="55">
        <v>59</v>
      </c>
      <c r="Q83" s="55">
        <v>0</v>
      </c>
      <c r="R83" s="55">
        <v>0</v>
      </c>
      <c r="S83" s="55">
        <v>0</v>
      </c>
      <c r="T83" s="55">
        <v>0</v>
      </c>
      <c r="U83" s="55">
        <v>1258078</v>
      </c>
      <c r="V83" s="55">
        <v>11</v>
      </c>
      <c r="W83" s="55">
        <v>0</v>
      </c>
      <c r="X83" s="55">
        <v>0</v>
      </c>
      <c r="Y83" s="56">
        <v>0</v>
      </c>
      <c r="Z83" s="55">
        <v>0</v>
      </c>
      <c r="AA83" s="55">
        <v>0</v>
      </c>
      <c r="AB83" s="55">
        <v>0</v>
      </c>
      <c r="AC83" s="55">
        <v>5960600</v>
      </c>
      <c r="AD83" s="57">
        <v>70</v>
      </c>
      <c r="AF83" s="47">
        <f t="shared" si="1"/>
        <v>5960600</v>
      </c>
    </row>
    <row r="84" spans="1:32" x14ac:dyDescent="0.3">
      <c r="A84" s="46" t="s">
        <v>0</v>
      </c>
      <c r="B84" s="46" t="str">
        <f>IFERROR(VLOOKUP($H84,매장구분!$B:$Z,2,0),"")</f>
        <v>리테일채널팀</v>
      </c>
      <c r="C84" s="46" t="str">
        <f>IFERROR(VLOOKUP($H84,매장구분!$B:$Z,3,0),"")</f>
        <v>국내</v>
      </c>
      <c r="D84" s="46" t="str">
        <f>IFERROR(VLOOKUP($H84,매장구분!$B:$Z,5,0),"")</f>
        <v>대리점</v>
      </c>
      <c r="E84" s="46" t="str">
        <f>IFERROR(VLOOKUP($H84,매장구분!$B:$Z,9,0),"")</f>
        <v>화성봉담(대-위)</v>
      </c>
      <c r="F84" s="58"/>
      <c r="G84" s="59" t="s">
        <v>273</v>
      </c>
      <c r="H84" s="60" t="s">
        <v>274</v>
      </c>
      <c r="I84" s="60" t="s">
        <v>169</v>
      </c>
      <c r="J84" s="60" t="s">
        <v>79</v>
      </c>
      <c r="K84" s="60" t="s">
        <v>170</v>
      </c>
      <c r="L84" s="60" t="s">
        <v>171</v>
      </c>
      <c r="M84" s="60" t="s">
        <v>196</v>
      </c>
      <c r="N84" s="60" t="s">
        <v>197</v>
      </c>
      <c r="O84" s="60">
        <v>1056200</v>
      </c>
      <c r="P84" s="60">
        <v>11</v>
      </c>
      <c r="Q84" s="60">
        <v>0</v>
      </c>
      <c r="R84" s="60">
        <v>0</v>
      </c>
      <c r="S84" s="60">
        <v>0</v>
      </c>
      <c r="T84" s="60">
        <v>0</v>
      </c>
      <c r="U84" s="60">
        <v>339300</v>
      </c>
      <c r="V84" s="60">
        <v>3</v>
      </c>
      <c r="W84" s="60">
        <v>0</v>
      </c>
      <c r="X84" s="60">
        <v>0</v>
      </c>
      <c r="Y84" s="61">
        <v>10769400</v>
      </c>
      <c r="Z84" s="60">
        <v>109</v>
      </c>
      <c r="AA84" s="60">
        <v>0</v>
      </c>
      <c r="AB84" s="60">
        <v>0</v>
      </c>
      <c r="AC84" s="60">
        <v>12164900</v>
      </c>
      <c r="AD84" s="62">
        <v>123</v>
      </c>
      <c r="AF84" s="47">
        <f t="shared" si="1"/>
        <v>1395500</v>
      </c>
    </row>
    <row r="85" spans="1:32" x14ac:dyDescent="0.3">
      <c r="A85" s="46" t="s">
        <v>0</v>
      </c>
      <c r="B85" s="46" t="str">
        <f>IFERROR(VLOOKUP($H85,매장구분!$B:$Z,2,0),"")</f>
        <v>리테일채널팀</v>
      </c>
      <c r="C85" s="46" t="str">
        <f>IFERROR(VLOOKUP($H85,매장구분!$B:$Z,3,0),"")</f>
        <v>국내</v>
      </c>
      <c r="D85" s="46" t="str">
        <f>IFERROR(VLOOKUP($H85,매장구분!$B:$Z,5,0),"")</f>
        <v>대리점</v>
      </c>
      <c r="E85" s="46" t="str">
        <f>IFERROR(VLOOKUP($H85,매장구분!$B:$Z,9,0),"")</f>
        <v>제주(대-위)</v>
      </c>
      <c r="F85" s="53"/>
      <c r="G85" s="54" t="s">
        <v>474</v>
      </c>
      <c r="H85" s="55" t="s">
        <v>475</v>
      </c>
      <c r="I85" s="55" t="s">
        <v>169</v>
      </c>
      <c r="J85" s="55" t="s">
        <v>79</v>
      </c>
      <c r="K85" s="55" t="s">
        <v>170</v>
      </c>
      <c r="L85" s="55" t="s">
        <v>171</v>
      </c>
      <c r="M85" s="55" t="s">
        <v>196</v>
      </c>
      <c r="N85" s="55" t="s">
        <v>197</v>
      </c>
      <c r="O85" s="55">
        <v>4813300</v>
      </c>
      <c r="P85" s="55">
        <v>50</v>
      </c>
      <c r="Q85" s="55">
        <v>0</v>
      </c>
      <c r="R85" s="55">
        <v>0</v>
      </c>
      <c r="S85" s="55">
        <v>0</v>
      </c>
      <c r="T85" s="55">
        <v>0</v>
      </c>
      <c r="U85" s="55">
        <v>418000</v>
      </c>
      <c r="V85" s="55">
        <v>2</v>
      </c>
      <c r="W85" s="55">
        <v>0</v>
      </c>
      <c r="X85" s="55">
        <v>0</v>
      </c>
      <c r="Y85" s="56">
        <v>0</v>
      </c>
      <c r="Z85" s="55">
        <v>0</v>
      </c>
      <c r="AA85" s="55">
        <v>0</v>
      </c>
      <c r="AB85" s="55">
        <v>0</v>
      </c>
      <c r="AC85" s="55">
        <v>5231300</v>
      </c>
      <c r="AD85" s="57">
        <v>52</v>
      </c>
      <c r="AF85" s="47">
        <f t="shared" si="1"/>
        <v>5231300</v>
      </c>
    </row>
    <row r="86" spans="1:32" x14ac:dyDescent="0.3">
      <c r="A86" s="46" t="s">
        <v>0</v>
      </c>
      <c r="B86" s="46" t="str">
        <f>IFERROR(VLOOKUP($H86,매장구분!$B:$Z,2,0),"")</f>
        <v>파트너채널팀</v>
      </c>
      <c r="C86" s="46" t="str">
        <f>IFERROR(VLOOKUP($H86,매장구분!$B:$Z,3,0),"")</f>
        <v>국내</v>
      </c>
      <c r="D86" s="46" t="str">
        <f>IFERROR(VLOOKUP($H86,매장구분!$B:$Z,5,0),"")</f>
        <v>백화점</v>
      </c>
      <c r="E86" s="46" t="str">
        <f>IFERROR(VLOOKUP($H86,매장구분!$B:$Z,9,0),"")</f>
        <v>현대울산동구</v>
      </c>
      <c r="F86" s="58"/>
      <c r="G86" s="59" t="s">
        <v>480</v>
      </c>
      <c r="H86" s="60" t="s">
        <v>481</v>
      </c>
      <c r="I86" s="60" t="s">
        <v>169</v>
      </c>
      <c r="J86" s="60" t="s">
        <v>175</v>
      </c>
      <c r="K86" s="60" t="s">
        <v>170</v>
      </c>
      <c r="L86" s="60" t="s">
        <v>171</v>
      </c>
      <c r="M86" s="60" t="s">
        <v>77</v>
      </c>
      <c r="N86" s="60" t="s">
        <v>172</v>
      </c>
      <c r="O86" s="60">
        <v>984800</v>
      </c>
      <c r="P86" s="60">
        <v>15</v>
      </c>
      <c r="Q86" s="60">
        <v>0</v>
      </c>
      <c r="R86" s="60">
        <v>0</v>
      </c>
      <c r="S86" s="60">
        <v>0</v>
      </c>
      <c r="T86" s="60">
        <v>0</v>
      </c>
      <c r="U86" s="60">
        <v>661500</v>
      </c>
      <c r="V86" s="60">
        <v>5</v>
      </c>
      <c r="W86" s="60">
        <v>0</v>
      </c>
      <c r="X86" s="60">
        <v>0</v>
      </c>
      <c r="Y86" s="61">
        <v>0</v>
      </c>
      <c r="Z86" s="60">
        <v>0</v>
      </c>
      <c r="AA86" s="60">
        <v>0</v>
      </c>
      <c r="AB86" s="60">
        <v>0</v>
      </c>
      <c r="AC86" s="60">
        <v>1646300</v>
      </c>
      <c r="AD86" s="62">
        <v>20</v>
      </c>
      <c r="AF86" s="47">
        <f t="shared" si="1"/>
        <v>1646300</v>
      </c>
    </row>
    <row r="87" spans="1:32" x14ac:dyDescent="0.3">
      <c r="A87" s="46" t="s">
        <v>0</v>
      </c>
      <c r="B87" s="46" t="str">
        <f>IFERROR(VLOOKUP($H87,매장구분!$B:$Z,2,0),"")</f>
        <v>파트너채널팀</v>
      </c>
      <c r="C87" s="46" t="str">
        <f>IFERROR(VLOOKUP($H87,매장구분!$B:$Z,3,0),"")</f>
        <v>국내</v>
      </c>
      <c r="D87" s="46" t="str">
        <f>IFERROR(VLOOKUP($H87,매장구분!$B:$Z,5,0),"")</f>
        <v>백화점</v>
      </c>
      <c r="E87" s="46" t="str">
        <f>IFERROR(VLOOKUP($H87,매장구분!$B:$Z,9,0),"")</f>
        <v>롯데동래</v>
      </c>
      <c r="F87" s="53"/>
      <c r="G87" s="54" t="s">
        <v>239</v>
      </c>
      <c r="H87" s="55" t="s">
        <v>240</v>
      </c>
      <c r="I87" s="55" t="s">
        <v>169</v>
      </c>
      <c r="J87" s="55" t="s">
        <v>175</v>
      </c>
      <c r="K87" s="55" t="s">
        <v>170</v>
      </c>
      <c r="L87" s="55" t="s">
        <v>171</v>
      </c>
      <c r="M87" s="55" t="s">
        <v>77</v>
      </c>
      <c r="N87" s="55" t="s">
        <v>172</v>
      </c>
      <c r="O87" s="55">
        <v>4335100</v>
      </c>
      <c r="P87" s="55">
        <v>42</v>
      </c>
      <c r="Q87" s="55">
        <v>0</v>
      </c>
      <c r="R87" s="55">
        <v>0</v>
      </c>
      <c r="S87" s="55">
        <v>0</v>
      </c>
      <c r="T87" s="55">
        <v>0</v>
      </c>
      <c r="U87" s="55">
        <v>385200</v>
      </c>
      <c r="V87" s="55">
        <v>2</v>
      </c>
      <c r="W87" s="55">
        <v>0</v>
      </c>
      <c r="X87" s="55">
        <v>0</v>
      </c>
      <c r="Y87" s="56">
        <v>0</v>
      </c>
      <c r="Z87" s="55">
        <v>0</v>
      </c>
      <c r="AA87" s="55">
        <v>0</v>
      </c>
      <c r="AB87" s="55">
        <v>0</v>
      </c>
      <c r="AC87" s="55">
        <v>4720300</v>
      </c>
      <c r="AD87" s="57">
        <v>44</v>
      </c>
      <c r="AF87" s="47">
        <f t="shared" si="1"/>
        <v>4720300</v>
      </c>
    </row>
    <row r="88" spans="1:32" hidden="1" x14ac:dyDescent="0.3">
      <c r="A88" s="46" t="s">
        <v>0</v>
      </c>
      <c r="B88" s="46" t="str">
        <f>IFERROR(VLOOKUP($H88,매장구분!$B:$Z,2,0),"")</f>
        <v>리테일채널팀</v>
      </c>
      <c r="C88" s="46" t="str">
        <f>IFERROR(VLOOKUP($H88,매장구분!$B:$Z,3,0),"")</f>
        <v>RF</v>
      </c>
      <c r="D88" s="46" t="str">
        <f>IFERROR(VLOOKUP($H88,매장구분!$B:$Z,5,0),"")</f>
        <v>대리점</v>
      </c>
      <c r="E88" s="46" t="str">
        <f>IFERROR(VLOOKUP($H88,매장구분!$B:$Z,9,0),"")</f>
        <v>두타(대-위)</v>
      </c>
      <c r="F88" s="58"/>
      <c r="G88" s="59" t="s">
        <v>600</v>
      </c>
      <c r="H88" s="60" t="s">
        <v>601</v>
      </c>
      <c r="I88" s="60" t="s">
        <v>169</v>
      </c>
      <c r="J88" s="60" t="s">
        <v>79</v>
      </c>
      <c r="K88" s="60" t="s">
        <v>170</v>
      </c>
      <c r="L88" s="60" t="s">
        <v>171</v>
      </c>
      <c r="M88" s="60" t="s">
        <v>196</v>
      </c>
      <c r="N88" s="60" t="s">
        <v>197</v>
      </c>
      <c r="O88" s="60">
        <v>5444000</v>
      </c>
      <c r="P88" s="60">
        <v>62</v>
      </c>
      <c r="Q88" s="60">
        <v>0</v>
      </c>
      <c r="R88" s="60">
        <v>0</v>
      </c>
      <c r="S88" s="60">
        <v>0</v>
      </c>
      <c r="T88" s="60">
        <v>0</v>
      </c>
      <c r="U88" s="60">
        <v>0</v>
      </c>
      <c r="V88" s="60">
        <v>0</v>
      </c>
      <c r="W88" s="60">
        <v>0</v>
      </c>
      <c r="X88" s="60">
        <v>0</v>
      </c>
      <c r="Y88" s="61">
        <v>0</v>
      </c>
      <c r="Z88" s="60">
        <v>0</v>
      </c>
      <c r="AA88" s="60">
        <v>0</v>
      </c>
      <c r="AB88" s="60">
        <v>0</v>
      </c>
      <c r="AC88" s="60">
        <v>5444000</v>
      </c>
      <c r="AD88" s="62">
        <v>62</v>
      </c>
      <c r="AF88" s="47">
        <f t="shared" si="1"/>
        <v>5444000</v>
      </c>
    </row>
    <row r="89" spans="1:32" x14ac:dyDescent="0.3">
      <c r="A89" s="46" t="s">
        <v>0</v>
      </c>
      <c r="B89" s="46" t="str">
        <f>IFERROR(VLOOKUP($H89,매장구분!$B:$Z,2,0),"")</f>
        <v>파트너채널팀</v>
      </c>
      <c r="C89" s="46" t="str">
        <f>IFERROR(VLOOKUP($H89,매장구분!$B:$Z,3,0),"")</f>
        <v>국내</v>
      </c>
      <c r="D89" s="46" t="str">
        <f>IFERROR(VLOOKUP($H89,매장구분!$B:$Z,5,0),"")</f>
        <v>백화점</v>
      </c>
      <c r="E89" s="46" t="str">
        <f>IFERROR(VLOOKUP($H89,매장구분!$B:$Z,9,0),"")</f>
        <v>엔터식스왕십리</v>
      </c>
      <c r="F89" s="53"/>
      <c r="G89" s="54" t="s">
        <v>444</v>
      </c>
      <c r="H89" s="55" t="s">
        <v>445</v>
      </c>
      <c r="I89" s="55" t="s">
        <v>169</v>
      </c>
      <c r="J89" s="55" t="s">
        <v>175</v>
      </c>
      <c r="K89" s="55" t="s">
        <v>170</v>
      </c>
      <c r="L89" s="55" t="s">
        <v>171</v>
      </c>
      <c r="M89" s="55" t="s">
        <v>77</v>
      </c>
      <c r="N89" s="55" t="s">
        <v>238</v>
      </c>
      <c r="O89" s="55">
        <v>3671000</v>
      </c>
      <c r="P89" s="55">
        <v>31</v>
      </c>
      <c r="Q89" s="55">
        <v>0</v>
      </c>
      <c r="R89" s="55">
        <v>0</v>
      </c>
      <c r="S89" s="55">
        <v>0</v>
      </c>
      <c r="T89" s="55">
        <v>0</v>
      </c>
      <c r="U89" s="55">
        <v>149000</v>
      </c>
      <c r="V89" s="55">
        <v>1</v>
      </c>
      <c r="W89" s="55">
        <v>0</v>
      </c>
      <c r="X89" s="55">
        <v>0</v>
      </c>
      <c r="Y89" s="56">
        <v>0</v>
      </c>
      <c r="Z89" s="55">
        <v>0</v>
      </c>
      <c r="AA89" s="55">
        <v>0</v>
      </c>
      <c r="AB89" s="55">
        <v>0</v>
      </c>
      <c r="AC89" s="55">
        <v>3820000</v>
      </c>
      <c r="AD89" s="57">
        <v>32</v>
      </c>
      <c r="AF89" s="47">
        <f t="shared" si="1"/>
        <v>3820000</v>
      </c>
    </row>
    <row r="90" spans="1:32" x14ac:dyDescent="0.3">
      <c r="A90" s="46" t="s">
        <v>0</v>
      </c>
      <c r="B90" s="46" t="str">
        <f>IFERROR(VLOOKUP($H90,매장구분!$B:$Z,2,0),"")</f>
        <v>파트너채널팀</v>
      </c>
      <c r="C90" s="46" t="str">
        <f>IFERROR(VLOOKUP($H90,매장구분!$B:$Z,3,0),"")</f>
        <v>국내</v>
      </c>
      <c r="D90" s="46" t="str">
        <f>IFERROR(VLOOKUP($H90,매장구분!$B:$Z,5,0),"")</f>
        <v>백화점</v>
      </c>
      <c r="E90" s="46" t="str">
        <f>IFERROR(VLOOKUP($H90,매장구분!$B:$Z,9,0),"")</f>
        <v>롯데잠실</v>
      </c>
      <c r="F90" s="58"/>
      <c r="G90" s="59" t="s">
        <v>247</v>
      </c>
      <c r="H90" s="60" t="s">
        <v>248</v>
      </c>
      <c r="I90" s="60" t="s">
        <v>169</v>
      </c>
      <c r="J90" s="60" t="s">
        <v>175</v>
      </c>
      <c r="K90" s="60" t="s">
        <v>170</v>
      </c>
      <c r="L90" s="60" t="s">
        <v>171</v>
      </c>
      <c r="M90" s="60" t="s">
        <v>77</v>
      </c>
      <c r="N90" s="60" t="s">
        <v>172</v>
      </c>
      <c r="O90" s="60">
        <v>8397200</v>
      </c>
      <c r="P90" s="60">
        <v>87</v>
      </c>
      <c r="Q90" s="60">
        <v>804200</v>
      </c>
      <c r="R90" s="60">
        <v>10</v>
      </c>
      <c r="S90" s="60">
        <v>0</v>
      </c>
      <c r="T90" s="60">
        <v>0</v>
      </c>
      <c r="U90" s="60">
        <v>1676200</v>
      </c>
      <c r="V90" s="60">
        <v>15</v>
      </c>
      <c r="W90" s="60">
        <v>0</v>
      </c>
      <c r="X90" s="60">
        <v>0</v>
      </c>
      <c r="Y90" s="61">
        <v>0</v>
      </c>
      <c r="Z90" s="60">
        <v>0</v>
      </c>
      <c r="AA90" s="60">
        <v>0</v>
      </c>
      <c r="AB90" s="60">
        <v>0</v>
      </c>
      <c r="AC90" s="60">
        <v>10877600</v>
      </c>
      <c r="AD90" s="62">
        <v>112</v>
      </c>
      <c r="AF90" s="47">
        <f t="shared" si="1"/>
        <v>10877600</v>
      </c>
    </row>
    <row r="91" spans="1:32" x14ac:dyDescent="0.3">
      <c r="A91" s="46" t="s">
        <v>0</v>
      </c>
      <c r="B91" s="46" t="str">
        <f>IFERROR(VLOOKUP($H91,매장구분!$B:$Z,2,0),"")</f>
        <v>파트너채널팀</v>
      </c>
      <c r="C91" s="46" t="str">
        <f>IFERROR(VLOOKUP($H91,매장구분!$B:$Z,3,0),"")</f>
        <v>국내</v>
      </c>
      <c r="D91" s="46" t="str">
        <f>IFERROR(VLOOKUP($H91,매장구분!$B:$Z,5,0),"")</f>
        <v>백화점</v>
      </c>
      <c r="E91" s="46" t="str">
        <f>IFERROR(VLOOKUP($H91,매장구분!$B:$Z,9,0),"")</f>
        <v>롯데전주</v>
      </c>
      <c r="F91" s="53"/>
      <c r="G91" s="54" t="s">
        <v>446</v>
      </c>
      <c r="H91" s="55" t="s">
        <v>447</v>
      </c>
      <c r="I91" s="55" t="s">
        <v>169</v>
      </c>
      <c r="J91" s="55" t="s">
        <v>175</v>
      </c>
      <c r="K91" s="55" t="s">
        <v>170</v>
      </c>
      <c r="L91" s="55" t="s">
        <v>171</v>
      </c>
      <c r="M91" s="55" t="s">
        <v>77</v>
      </c>
      <c r="N91" s="55" t="s">
        <v>172</v>
      </c>
      <c r="O91" s="55">
        <v>5303200</v>
      </c>
      <c r="P91" s="55">
        <v>66</v>
      </c>
      <c r="Q91" s="55">
        <v>0</v>
      </c>
      <c r="R91" s="55">
        <v>0</v>
      </c>
      <c r="S91" s="55">
        <v>0</v>
      </c>
      <c r="T91" s="55">
        <v>0</v>
      </c>
      <c r="U91" s="55">
        <v>628200</v>
      </c>
      <c r="V91" s="55">
        <v>2</v>
      </c>
      <c r="W91" s="55">
        <v>0</v>
      </c>
      <c r="X91" s="55">
        <v>0</v>
      </c>
      <c r="Y91" s="56">
        <v>0</v>
      </c>
      <c r="Z91" s="55">
        <v>0</v>
      </c>
      <c r="AA91" s="55">
        <v>0</v>
      </c>
      <c r="AB91" s="55">
        <v>0</v>
      </c>
      <c r="AC91" s="55">
        <v>5931400</v>
      </c>
      <c r="AD91" s="57">
        <v>68</v>
      </c>
      <c r="AF91" s="47">
        <f t="shared" si="1"/>
        <v>5931400</v>
      </c>
    </row>
    <row r="92" spans="1:32" x14ac:dyDescent="0.3">
      <c r="A92" s="46" t="s">
        <v>0</v>
      </c>
      <c r="B92" s="46" t="str">
        <f>IFERROR(VLOOKUP($H92,매장구분!$B:$Z,2,0),"")</f>
        <v>리테일채널팀</v>
      </c>
      <c r="C92" s="46" t="str">
        <f>IFERROR(VLOOKUP($H92,매장구분!$B:$Z,3,0),"")</f>
        <v>국내</v>
      </c>
      <c r="D92" s="46" t="str">
        <f>IFERROR(VLOOKUP($H92,매장구분!$B:$Z,5,0),"")</f>
        <v>대리점</v>
      </c>
      <c r="E92" s="46" t="str">
        <f>IFERROR(VLOOKUP($H92,매장구분!$B:$Z,9,0),"")</f>
        <v>당진(대-위)</v>
      </c>
      <c r="F92" s="58"/>
      <c r="G92" s="59" t="s">
        <v>462</v>
      </c>
      <c r="H92" s="60" t="s">
        <v>463</v>
      </c>
      <c r="I92" s="60" t="s">
        <v>169</v>
      </c>
      <c r="J92" s="60" t="s">
        <v>79</v>
      </c>
      <c r="K92" s="60" t="s">
        <v>170</v>
      </c>
      <c r="L92" s="60" t="s">
        <v>171</v>
      </c>
      <c r="M92" s="60" t="s">
        <v>196</v>
      </c>
      <c r="N92" s="60" t="s">
        <v>197</v>
      </c>
      <c r="O92" s="60">
        <v>5401000</v>
      </c>
      <c r="P92" s="60">
        <v>49</v>
      </c>
      <c r="Q92" s="60">
        <v>0</v>
      </c>
      <c r="R92" s="60">
        <v>0</v>
      </c>
      <c r="S92" s="60">
        <v>0</v>
      </c>
      <c r="T92" s="60">
        <v>0</v>
      </c>
      <c r="U92" s="60">
        <v>219000</v>
      </c>
      <c r="V92" s="60">
        <v>1</v>
      </c>
      <c r="W92" s="60">
        <v>0</v>
      </c>
      <c r="X92" s="60">
        <v>0</v>
      </c>
      <c r="Y92" s="61">
        <v>0</v>
      </c>
      <c r="Z92" s="60">
        <v>0</v>
      </c>
      <c r="AA92" s="60">
        <v>0</v>
      </c>
      <c r="AB92" s="60">
        <v>0</v>
      </c>
      <c r="AC92" s="60">
        <v>5620000</v>
      </c>
      <c r="AD92" s="62">
        <v>50</v>
      </c>
      <c r="AF92" s="47">
        <f t="shared" si="1"/>
        <v>5620000</v>
      </c>
    </row>
    <row r="93" spans="1:32" x14ac:dyDescent="0.3">
      <c r="A93" s="46" t="s">
        <v>0</v>
      </c>
      <c r="B93" s="46" t="str">
        <f>IFERROR(VLOOKUP($H93,매장구분!$B:$Z,2,0),"")</f>
        <v>파트너채널팀</v>
      </c>
      <c r="C93" s="46" t="str">
        <f>IFERROR(VLOOKUP($H93,매장구분!$B:$Z,3,0),"")</f>
        <v>국내</v>
      </c>
      <c r="D93" s="46" t="str">
        <f>IFERROR(VLOOKUP($H93,매장구분!$B:$Z,5,0),"")</f>
        <v>백화점</v>
      </c>
      <c r="E93" s="46" t="str">
        <f>IFERROR(VLOOKUP($H93,매장구분!$B:$Z,9,0),"")</f>
        <v>신세계하남</v>
      </c>
      <c r="F93" s="53"/>
      <c r="G93" s="54" t="s">
        <v>243</v>
      </c>
      <c r="H93" s="55" t="s">
        <v>244</v>
      </c>
      <c r="I93" s="55" t="s">
        <v>169</v>
      </c>
      <c r="J93" s="55" t="s">
        <v>175</v>
      </c>
      <c r="K93" s="55" t="s">
        <v>170</v>
      </c>
      <c r="L93" s="55" t="s">
        <v>171</v>
      </c>
      <c r="M93" s="55" t="s">
        <v>77</v>
      </c>
      <c r="N93" s="55" t="s">
        <v>172</v>
      </c>
      <c r="O93" s="55">
        <v>9605100</v>
      </c>
      <c r="P93" s="55">
        <v>87</v>
      </c>
      <c r="Q93" s="55">
        <v>84500</v>
      </c>
      <c r="R93" s="55">
        <v>1</v>
      </c>
      <c r="S93" s="55">
        <v>0</v>
      </c>
      <c r="T93" s="55">
        <v>0</v>
      </c>
      <c r="U93" s="55">
        <v>630000</v>
      </c>
      <c r="V93" s="55">
        <v>4</v>
      </c>
      <c r="W93" s="55">
        <v>0</v>
      </c>
      <c r="X93" s="55">
        <v>0</v>
      </c>
      <c r="Y93" s="56">
        <v>0</v>
      </c>
      <c r="Z93" s="55">
        <v>0</v>
      </c>
      <c r="AA93" s="55">
        <v>0</v>
      </c>
      <c r="AB93" s="55">
        <v>0</v>
      </c>
      <c r="AC93" s="55">
        <v>10319600</v>
      </c>
      <c r="AD93" s="57">
        <v>92</v>
      </c>
      <c r="AF93" s="47">
        <f t="shared" si="1"/>
        <v>10319600</v>
      </c>
    </row>
    <row r="94" spans="1:32" x14ac:dyDescent="0.3">
      <c r="A94" s="46" t="s">
        <v>0</v>
      </c>
      <c r="B94" s="46" t="str">
        <f>IFERROR(VLOOKUP($H94,매장구분!$B:$Z,2,0),"")</f>
        <v>파트너채널팀</v>
      </c>
      <c r="C94" s="46" t="str">
        <f>IFERROR(VLOOKUP($H94,매장구분!$B:$Z,3,0),"")</f>
        <v>국내</v>
      </c>
      <c r="D94" s="46" t="str">
        <f>IFERROR(VLOOKUP($H94,매장구분!$B:$Z,5,0),"")</f>
        <v>백화점</v>
      </c>
      <c r="E94" s="46" t="str">
        <f>IFERROR(VLOOKUP($H94,매장구분!$B:$Z,9,0),"")</f>
        <v>신세계강남</v>
      </c>
      <c r="F94" s="58"/>
      <c r="G94" s="59" t="s">
        <v>234</v>
      </c>
      <c r="H94" s="60" t="s">
        <v>235</v>
      </c>
      <c r="I94" s="60" t="s">
        <v>169</v>
      </c>
      <c r="J94" s="60" t="s">
        <v>175</v>
      </c>
      <c r="K94" s="60" t="s">
        <v>170</v>
      </c>
      <c r="L94" s="60" t="s">
        <v>171</v>
      </c>
      <c r="M94" s="60" t="s">
        <v>77</v>
      </c>
      <c r="N94" s="60" t="s">
        <v>172</v>
      </c>
      <c r="O94" s="60">
        <v>15801010</v>
      </c>
      <c r="P94" s="60">
        <v>180</v>
      </c>
      <c r="Q94" s="60">
        <v>7452000</v>
      </c>
      <c r="R94" s="60">
        <v>84</v>
      </c>
      <c r="S94" s="60">
        <v>0</v>
      </c>
      <c r="T94" s="60">
        <v>0</v>
      </c>
      <c r="U94" s="60">
        <v>1147500</v>
      </c>
      <c r="V94" s="60">
        <v>8</v>
      </c>
      <c r="W94" s="60">
        <v>0</v>
      </c>
      <c r="X94" s="60">
        <v>0</v>
      </c>
      <c r="Y94" s="61">
        <v>0</v>
      </c>
      <c r="Z94" s="60">
        <v>0</v>
      </c>
      <c r="AA94" s="60">
        <v>0</v>
      </c>
      <c r="AB94" s="60">
        <v>0</v>
      </c>
      <c r="AC94" s="60">
        <v>24400510</v>
      </c>
      <c r="AD94" s="62">
        <v>272</v>
      </c>
      <c r="AF94" s="47">
        <f t="shared" si="1"/>
        <v>24400510</v>
      </c>
    </row>
    <row r="95" spans="1:32" hidden="1" x14ac:dyDescent="0.3">
      <c r="A95" s="46" t="s">
        <v>0</v>
      </c>
      <c r="B95" s="46" t="str">
        <f>IFERROR(VLOOKUP($H95,매장구분!$B:$Z,2,0),"")</f>
        <v>파트너채널팀</v>
      </c>
      <c r="C95" s="46" t="str">
        <f>IFERROR(VLOOKUP($H95,매장구분!$B:$Z,3,0),"")</f>
        <v>RF</v>
      </c>
      <c r="D95" s="46" t="str">
        <f>IFERROR(VLOOKUP($H95,매장구분!$B:$Z,5,0),"")</f>
        <v>백화점</v>
      </c>
      <c r="E95" s="46" t="str">
        <f>IFERROR(VLOOKUP($H95,매장구분!$B:$Z,9,0),"")</f>
        <v>롯데본점</v>
      </c>
      <c r="F95" s="53"/>
      <c r="G95" s="54" t="s">
        <v>269</v>
      </c>
      <c r="H95" s="55" t="s">
        <v>270</v>
      </c>
      <c r="I95" s="55" t="s">
        <v>169</v>
      </c>
      <c r="J95" s="55" t="s">
        <v>175</v>
      </c>
      <c r="K95" s="55" t="s">
        <v>170</v>
      </c>
      <c r="L95" s="55" t="s">
        <v>171</v>
      </c>
      <c r="M95" s="55" t="s">
        <v>77</v>
      </c>
      <c r="N95" s="55" t="s">
        <v>172</v>
      </c>
      <c r="O95" s="55">
        <v>2728400</v>
      </c>
      <c r="P95" s="55">
        <v>50</v>
      </c>
      <c r="Q95" s="55">
        <v>409000</v>
      </c>
      <c r="R95" s="55">
        <v>5</v>
      </c>
      <c r="S95" s="55">
        <v>0</v>
      </c>
      <c r="T95" s="55">
        <v>0</v>
      </c>
      <c r="U95" s="55">
        <v>0</v>
      </c>
      <c r="V95" s="55">
        <v>0</v>
      </c>
      <c r="W95" s="55">
        <v>0</v>
      </c>
      <c r="X95" s="55">
        <v>0</v>
      </c>
      <c r="Y95" s="56">
        <v>0</v>
      </c>
      <c r="Z95" s="55">
        <v>0</v>
      </c>
      <c r="AA95" s="55">
        <v>0</v>
      </c>
      <c r="AB95" s="55">
        <v>0</v>
      </c>
      <c r="AC95" s="55">
        <v>3137400</v>
      </c>
      <c r="AD95" s="57">
        <v>55</v>
      </c>
      <c r="AF95" s="47">
        <f t="shared" si="1"/>
        <v>3137400</v>
      </c>
    </row>
    <row r="96" spans="1:32" x14ac:dyDescent="0.3">
      <c r="A96" s="46" t="s">
        <v>0</v>
      </c>
      <c r="B96" s="46" t="str">
        <f>IFERROR(VLOOKUP($H96,매장구분!$B:$Z,2,0),"")</f>
        <v>파트너채널팀</v>
      </c>
      <c r="C96" s="46" t="str">
        <f>IFERROR(VLOOKUP($H96,매장구분!$B:$Z,3,0),"")</f>
        <v>국내</v>
      </c>
      <c r="D96" s="46" t="str">
        <f>IFERROR(VLOOKUP($H96,매장구분!$B:$Z,5,0),"")</f>
        <v>백화점</v>
      </c>
      <c r="E96" s="46" t="str">
        <f>IFERROR(VLOOKUP($H96,매장구분!$B:$Z,9,0),"")</f>
        <v>롯데포항</v>
      </c>
      <c r="F96" s="58"/>
      <c r="G96" s="59" t="s">
        <v>249</v>
      </c>
      <c r="H96" s="60" t="s">
        <v>250</v>
      </c>
      <c r="I96" s="60" t="s">
        <v>169</v>
      </c>
      <c r="J96" s="60" t="s">
        <v>175</v>
      </c>
      <c r="K96" s="60" t="s">
        <v>170</v>
      </c>
      <c r="L96" s="60" t="s">
        <v>171</v>
      </c>
      <c r="M96" s="60" t="s">
        <v>77</v>
      </c>
      <c r="N96" s="60" t="s">
        <v>172</v>
      </c>
      <c r="O96" s="60">
        <v>6799600</v>
      </c>
      <c r="P96" s="60">
        <v>66</v>
      </c>
      <c r="Q96" s="60">
        <v>0</v>
      </c>
      <c r="R96" s="60">
        <v>0</v>
      </c>
      <c r="S96" s="60">
        <v>0</v>
      </c>
      <c r="T96" s="60">
        <v>0</v>
      </c>
      <c r="U96" s="60">
        <v>1370700</v>
      </c>
      <c r="V96" s="60">
        <v>11</v>
      </c>
      <c r="W96" s="60">
        <v>0</v>
      </c>
      <c r="X96" s="60">
        <v>0</v>
      </c>
      <c r="Y96" s="61">
        <v>0</v>
      </c>
      <c r="Z96" s="60">
        <v>0</v>
      </c>
      <c r="AA96" s="60">
        <v>0</v>
      </c>
      <c r="AB96" s="60">
        <v>0</v>
      </c>
      <c r="AC96" s="60">
        <v>8170300</v>
      </c>
      <c r="AD96" s="62">
        <v>77</v>
      </c>
      <c r="AF96" s="47">
        <f t="shared" si="1"/>
        <v>8170300</v>
      </c>
    </row>
    <row r="97" spans="1:32" x14ac:dyDescent="0.3">
      <c r="A97" s="46" t="s">
        <v>0</v>
      </c>
      <c r="B97" s="46" t="str">
        <f>IFERROR(VLOOKUP($H97,매장구분!$B:$Z,2,0),"")</f>
        <v>리테일채널팀</v>
      </c>
      <c r="C97" s="46" t="str">
        <f>IFERROR(VLOOKUP($H97,매장구분!$B:$Z,3,0),"")</f>
        <v>국내</v>
      </c>
      <c r="D97" s="46" t="str">
        <f>IFERROR(VLOOKUP($H97,매장구분!$B:$Z,5,0),"")</f>
        <v>대리점</v>
      </c>
      <c r="E97" s="46" t="str">
        <f>IFERROR(VLOOKUP($H97,매장구분!$B:$Z,9,0),"")</f>
        <v>오산(대-위)</v>
      </c>
      <c r="F97" s="53"/>
      <c r="G97" s="54" t="s">
        <v>226</v>
      </c>
      <c r="H97" s="55" t="s">
        <v>227</v>
      </c>
      <c r="I97" s="55" t="s">
        <v>169</v>
      </c>
      <c r="J97" s="55" t="s">
        <v>79</v>
      </c>
      <c r="K97" s="55" t="s">
        <v>170</v>
      </c>
      <c r="L97" s="55" t="s">
        <v>171</v>
      </c>
      <c r="M97" s="55" t="s">
        <v>196</v>
      </c>
      <c r="N97" s="55" t="s">
        <v>197</v>
      </c>
      <c r="O97" s="55">
        <v>5591200</v>
      </c>
      <c r="P97" s="55">
        <v>50</v>
      </c>
      <c r="Q97" s="55">
        <v>0</v>
      </c>
      <c r="R97" s="55">
        <v>0</v>
      </c>
      <c r="S97" s="55">
        <v>0</v>
      </c>
      <c r="T97" s="55">
        <v>0</v>
      </c>
      <c r="U97" s="55">
        <v>411300</v>
      </c>
      <c r="V97" s="55">
        <v>3</v>
      </c>
      <c r="W97" s="55">
        <v>0</v>
      </c>
      <c r="X97" s="55">
        <v>0</v>
      </c>
      <c r="Y97" s="56">
        <v>0</v>
      </c>
      <c r="Z97" s="55">
        <v>0</v>
      </c>
      <c r="AA97" s="55">
        <v>0</v>
      </c>
      <c r="AB97" s="55">
        <v>0</v>
      </c>
      <c r="AC97" s="55">
        <v>6002500</v>
      </c>
      <c r="AD97" s="57">
        <v>53</v>
      </c>
      <c r="AF97" s="47">
        <f t="shared" si="1"/>
        <v>6002500</v>
      </c>
    </row>
    <row r="98" spans="1:32" x14ac:dyDescent="0.3">
      <c r="A98" s="46" t="s">
        <v>0</v>
      </c>
      <c r="B98" s="46" t="str">
        <f>IFERROR(VLOOKUP($H98,매장구분!$B:$Z,2,0),"")</f>
        <v>리테일채널팀</v>
      </c>
      <c r="C98" s="46" t="str">
        <f>IFERROR(VLOOKUP($H98,매장구분!$B:$Z,3,0),"")</f>
        <v>국내</v>
      </c>
      <c r="D98" s="46" t="str">
        <f>IFERROR(VLOOKUP($H98,매장구분!$B:$Z,5,0),"")</f>
        <v>대리점</v>
      </c>
      <c r="E98" s="46" t="str">
        <f>IFERROR(VLOOKUP($H98,매장구분!$B:$Z,9,0),"")</f>
        <v>강릉(대-위)</v>
      </c>
      <c r="F98" s="58"/>
      <c r="G98" s="59" t="s">
        <v>230</v>
      </c>
      <c r="H98" s="60" t="s">
        <v>231</v>
      </c>
      <c r="I98" s="60" t="s">
        <v>169</v>
      </c>
      <c r="J98" s="60" t="s">
        <v>79</v>
      </c>
      <c r="K98" s="60" t="s">
        <v>170</v>
      </c>
      <c r="L98" s="60" t="s">
        <v>171</v>
      </c>
      <c r="M98" s="60" t="s">
        <v>196</v>
      </c>
      <c r="N98" s="60" t="s">
        <v>197</v>
      </c>
      <c r="O98" s="60">
        <v>5488800</v>
      </c>
      <c r="P98" s="60">
        <v>49</v>
      </c>
      <c r="Q98" s="60">
        <v>0</v>
      </c>
      <c r="R98" s="60">
        <v>0</v>
      </c>
      <c r="S98" s="60">
        <v>0</v>
      </c>
      <c r="T98" s="60">
        <v>0</v>
      </c>
      <c r="U98" s="60">
        <v>599600</v>
      </c>
      <c r="V98" s="60">
        <v>4</v>
      </c>
      <c r="W98" s="60">
        <v>0</v>
      </c>
      <c r="X98" s="60">
        <v>0</v>
      </c>
      <c r="Y98" s="61">
        <v>0</v>
      </c>
      <c r="Z98" s="60">
        <v>0</v>
      </c>
      <c r="AA98" s="60">
        <v>0</v>
      </c>
      <c r="AB98" s="60">
        <v>0</v>
      </c>
      <c r="AC98" s="60">
        <v>6088400</v>
      </c>
      <c r="AD98" s="62">
        <v>53</v>
      </c>
      <c r="AF98" s="47">
        <f t="shared" si="1"/>
        <v>6088400</v>
      </c>
    </row>
    <row r="99" spans="1:32" x14ac:dyDescent="0.3">
      <c r="A99" s="46" t="s">
        <v>0</v>
      </c>
      <c r="B99" s="46" t="str">
        <f>IFERROR(VLOOKUP($H99,매장구분!$B:$Z,2,0),"")</f>
        <v>파트너채널팀</v>
      </c>
      <c r="C99" s="46" t="str">
        <f>IFERROR(VLOOKUP($H99,매장구분!$B:$Z,3,0),"")</f>
        <v>국내</v>
      </c>
      <c r="D99" s="46" t="str">
        <f>IFERROR(VLOOKUP($H99,매장구분!$B:$Z,5,0),"")</f>
        <v>백화점</v>
      </c>
      <c r="E99" s="46" t="str">
        <f>IFERROR(VLOOKUP($H99,매장구분!$B:$Z,9,0),"")</f>
        <v>롯데분당</v>
      </c>
      <c r="F99" s="53"/>
      <c r="G99" s="54" t="s">
        <v>470</v>
      </c>
      <c r="H99" s="55" t="s">
        <v>471</v>
      </c>
      <c r="I99" s="55" t="s">
        <v>169</v>
      </c>
      <c r="J99" s="55" t="s">
        <v>175</v>
      </c>
      <c r="K99" s="55" t="s">
        <v>170</v>
      </c>
      <c r="L99" s="55" t="s">
        <v>171</v>
      </c>
      <c r="M99" s="55" t="s">
        <v>77</v>
      </c>
      <c r="N99" s="55" t="s">
        <v>172</v>
      </c>
      <c r="O99" s="55">
        <v>613800</v>
      </c>
      <c r="P99" s="55">
        <v>15</v>
      </c>
      <c r="Q99" s="55">
        <v>78000</v>
      </c>
      <c r="R99" s="55">
        <v>2</v>
      </c>
      <c r="S99" s="55">
        <v>0</v>
      </c>
      <c r="T99" s="55">
        <v>0</v>
      </c>
      <c r="U99" s="55">
        <v>178200</v>
      </c>
      <c r="V99" s="55">
        <v>0</v>
      </c>
      <c r="W99" s="55">
        <v>0</v>
      </c>
      <c r="X99" s="55">
        <v>0</v>
      </c>
      <c r="Y99" s="56">
        <v>0</v>
      </c>
      <c r="Z99" s="55">
        <v>0</v>
      </c>
      <c r="AA99" s="55">
        <v>0</v>
      </c>
      <c r="AB99" s="55">
        <v>0</v>
      </c>
      <c r="AC99" s="55">
        <v>870000</v>
      </c>
      <c r="AD99" s="57">
        <v>17</v>
      </c>
      <c r="AF99" s="47">
        <f t="shared" si="1"/>
        <v>870000</v>
      </c>
    </row>
    <row r="100" spans="1:32" x14ac:dyDescent="0.3">
      <c r="A100" s="46" t="s">
        <v>0</v>
      </c>
      <c r="B100" s="46" t="str">
        <f>IFERROR(VLOOKUP($H100,매장구분!$B:$Z,2,0),"")</f>
        <v>파트너채널팀</v>
      </c>
      <c r="C100" s="46" t="str">
        <f>IFERROR(VLOOKUP($H100,매장구분!$B:$Z,3,0),"")</f>
        <v>국내</v>
      </c>
      <c r="D100" s="46" t="str">
        <f>IFERROR(VLOOKUP($H100,매장구분!$B:$Z,5,0),"")</f>
        <v>백화점</v>
      </c>
      <c r="E100" s="46" t="str">
        <f>IFERROR(VLOOKUP($H100,매장구분!$B:$Z,9,0),"")</f>
        <v>롯데강남</v>
      </c>
      <c r="F100" s="58"/>
      <c r="G100" s="59" t="s">
        <v>275</v>
      </c>
      <c r="H100" s="60" t="s">
        <v>276</v>
      </c>
      <c r="I100" s="60" t="s">
        <v>169</v>
      </c>
      <c r="J100" s="60" t="s">
        <v>175</v>
      </c>
      <c r="K100" s="60" t="s">
        <v>170</v>
      </c>
      <c r="L100" s="60" t="s">
        <v>171</v>
      </c>
      <c r="M100" s="60" t="s">
        <v>77</v>
      </c>
      <c r="N100" s="60" t="s">
        <v>172</v>
      </c>
      <c r="O100" s="60">
        <v>1946000</v>
      </c>
      <c r="P100" s="60">
        <v>17</v>
      </c>
      <c r="Q100" s="60">
        <v>0</v>
      </c>
      <c r="R100" s="60">
        <v>0</v>
      </c>
      <c r="S100" s="60">
        <v>0</v>
      </c>
      <c r="T100" s="60">
        <v>0</v>
      </c>
      <c r="U100" s="60">
        <v>385200</v>
      </c>
      <c r="V100" s="60">
        <v>1</v>
      </c>
      <c r="W100" s="60">
        <v>0</v>
      </c>
      <c r="X100" s="60">
        <v>0</v>
      </c>
      <c r="Y100" s="61">
        <v>0</v>
      </c>
      <c r="Z100" s="60">
        <v>0</v>
      </c>
      <c r="AA100" s="60">
        <v>0</v>
      </c>
      <c r="AB100" s="60">
        <v>0</v>
      </c>
      <c r="AC100" s="60">
        <v>2331200</v>
      </c>
      <c r="AD100" s="62">
        <v>18</v>
      </c>
      <c r="AF100" s="47">
        <f t="shared" si="1"/>
        <v>2331200</v>
      </c>
    </row>
    <row r="101" spans="1:32" hidden="1" x14ac:dyDescent="0.3">
      <c r="A101" s="46" t="s">
        <v>0</v>
      </c>
      <c r="B101" s="46" t="str">
        <f>IFERROR(VLOOKUP($H101,매장구분!$B:$Z,2,0),"")</f>
        <v>파트너채널팀</v>
      </c>
      <c r="C101" s="46" t="str">
        <f>IFERROR(VLOOKUP($H101,매장구분!$B:$Z,3,0),"")</f>
        <v>RF</v>
      </c>
      <c r="D101" s="46" t="str">
        <f>IFERROR(VLOOKUP($H101,매장구분!$B:$Z,5,0),"")</f>
        <v>백화점</v>
      </c>
      <c r="E101" s="46" t="str">
        <f>IFERROR(VLOOKUP($H101,매장구분!$B:$Z,9,0),"")</f>
        <v>신세계본점</v>
      </c>
      <c r="F101" s="53"/>
      <c r="G101" s="54" t="s">
        <v>450</v>
      </c>
      <c r="H101" s="55" t="s">
        <v>451</v>
      </c>
      <c r="I101" s="55" t="s">
        <v>169</v>
      </c>
      <c r="J101" s="55" t="s">
        <v>175</v>
      </c>
      <c r="K101" s="55" t="s">
        <v>170</v>
      </c>
      <c r="L101" s="55" t="s">
        <v>171</v>
      </c>
      <c r="M101" s="55" t="s">
        <v>77</v>
      </c>
      <c r="N101" s="55" t="s">
        <v>172</v>
      </c>
      <c r="O101" s="55">
        <v>6736400</v>
      </c>
      <c r="P101" s="55">
        <v>77</v>
      </c>
      <c r="Q101" s="55">
        <v>0</v>
      </c>
      <c r="R101" s="55">
        <v>0</v>
      </c>
      <c r="S101" s="55">
        <v>0</v>
      </c>
      <c r="T101" s="55">
        <v>0</v>
      </c>
      <c r="U101" s="55">
        <v>305100</v>
      </c>
      <c r="V101" s="55">
        <v>1</v>
      </c>
      <c r="W101" s="55">
        <v>0</v>
      </c>
      <c r="X101" s="55">
        <v>0</v>
      </c>
      <c r="Y101" s="56">
        <v>0</v>
      </c>
      <c r="Z101" s="55">
        <v>0</v>
      </c>
      <c r="AA101" s="55">
        <v>0</v>
      </c>
      <c r="AB101" s="55">
        <v>0</v>
      </c>
      <c r="AC101" s="55">
        <v>7041500</v>
      </c>
      <c r="AD101" s="57">
        <v>78</v>
      </c>
      <c r="AF101" s="47">
        <f t="shared" si="1"/>
        <v>7041500</v>
      </c>
    </row>
    <row r="102" spans="1:32" x14ac:dyDescent="0.3">
      <c r="A102" s="46" t="s">
        <v>0</v>
      </c>
      <c r="B102" s="46" t="str">
        <f>IFERROR(VLOOKUP($H102,매장구분!$B:$Z,2,0),"")</f>
        <v>파트너채널팀</v>
      </c>
      <c r="C102" s="46" t="str">
        <f>IFERROR(VLOOKUP($H102,매장구분!$B:$Z,3,0),"")</f>
        <v>국내</v>
      </c>
      <c r="D102" s="46" t="str">
        <f>IFERROR(VLOOKUP($H102,매장구분!$B:$Z,5,0),"")</f>
        <v>백화점</v>
      </c>
      <c r="E102" s="46" t="str">
        <f>IFERROR(VLOOKUP($H102,매장구분!$B:$Z,9,0),"")</f>
        <v>신세계대전</v>
      </c>
      <c r="F102" s="58"/>
      <c r="G102" s="59" t="s">
        <v>263</v>
      </c>
      <c r="H102" s="60" t="s">
        <v>264</v>
      </c>
      <c r="I102" s="60" t="s">
        <v>169</v>
      </c>
      <c r="J102" s="60" t="s">
        <v>175</v>
      </c>
      <c r="K102" s="60" t="s">
        <v>170</v>
      </c>
      <c r="L102" s="60" t="s">
        <v>171</v>
      </c>
      <c r="M102" s="60" t="s">
        <v>77</v>
      </c>
      <c r="N102" s="60" t="s">
        <v>172</v>
      </c>
      <c r="O102" s="60">
        <v>7583000</v>
      </c>
      <c r="P102" s="60">
        <v>101</v>
      </c>
      <c r="Q102" s="60">
        <v>0</v>
      </c>
      <c r="R102" s="60">
        <v>0</v>
      </c>
      <c r="S102" s="60">
        <v>0</v>
      </c>
      <c r="T102" s="60">
        <v>0</v>
      </c>
      <c r="U102" s="60">
        <v>1693100</v>
      </c>
      <c r="V102" s="60">
        <v>14</v>
      </c>
      <c r="W102" s="60">
        <v>0</v>
      </c>
      <c r="X102" s="60">
        <v>0</v>
      </c>
      <c r="Y102" s="61">
        <v>0</v>
      </c>
      <c r="Z102" s="60">
        <v>0</v>
      </c>
      <c r="AA102" s="60">
        <v>0</v>
      </c>
      <c r="AB102" s="60">
        <v>0</v>
      </c>
      <c r="AC102" s="60">
        <v>9276100</v>
      </c>
      <c r="AD102" s="62">
        <v>115</v>
      </c>
      <c r="AF102" s="47">
        <f t="shared" si="1"/>
        <v>9276100</v>
      </c>
    </row>
    <row r="103" spans="1:32" x14ac:dyDescent="0.3">
      <c r="A103" s="46" t="s">
        <v>0</v>
      </c>
      <c r="B103" s="46" t="str">
        <f>IFERROR(VLOOKUP($H103,매장구분!$B:$Z,2,0),"")</f>
        <v>리테일채널팀</v>
      </c>
      <c r="C103" s="46" t="str">
        <f>IFERROR(VLOOKUP($H103,매장구분!$B:$Z,3,0),"")</f>
        <v>국내</v>
      </c>
      <c r="D103" s="46" t="str">
        <f>IFERROR(VLOOKUP($H103,매장구분!$B:$Z,5,0),"")</f>
        <v>상설(위탁)</v>
      </c>
      <c r="E103" s="46" t="str">
        <f>IFERROR(VLOOKUP($H103,매장구분!$B:$Z,9,0),"")</f>
        <v>현대아울렛가산(상-위)</v>
      </c>
      <c r="F103" s="53"/>
      <c r="G103" s="54" t="s">
        <v>285</v>
      </c>
      <c r="H103" s="55" t="s">
        <v>286</v>
      </c>
      <c r="I103" s="55" t="s">
        <v>169</v>
      </c>
      <c r="J103" s="55" t="s">
        <v>79</v>
      </c>
      <c r="K103" s="55" t="s">
        <v>170</v>
      </c>
      <c r="L103" s="55" t="s">
        <v>171</v>
      </c>
      <c r="M103" s="55" t="s">
        <v>219</v>
      </c>
      <c r="N103" s="55" t="s">
        <v>219</v>
      </c>
      <c r="O103" s="55">
        <v>540000</v>
      </c>
      <c r="P103" s="55">
        <v>15</v>
      </c>
      <c r="Q103" s="55">
        <v>0</v>
      </c>
      <c r="R103" s="55">
        <v>0</v>
      </c>
      <c r="S103" s="55">
        <v>0</v>
      </c>
      <c r="T103" s="55">
        <v>0</v>
      </c>
      <c r="U103" s="55">
        <v>0</v>
      </c>
      <c r="V103" s="55">
        <v>0</v>
      </c>
      <c r="W103" s="55">
        <v>0</v>
      </c>
      <c r="X103" s="55">
        <v>0</v>
      </c>
      <c r="Y103" s="56">
        <v>0</v>
      </c>
      <c r="Z103" s="55">
        <v>0</v>
      </c>
      <c r="AA103" s="55">
        <v>0</v>
      </c>
      <c r="AB103" s="55">
        <v>0</v>
      </c>
      <c r="AC103" s="55">
        <v>540000</v>
      </c>
      <c r="AD103" s="57">
        <v>15</v>
      </c>
      <c r="AF103" s="47">
        <f t="shared" si="1"/>
        <v>540000</v>
      </c>
    </row>
    <row r="104" spans="1:32" x14ac:dyDescent="0.3">
      <c r="A104" s="46" t="s">
        <v>0</v>
      </c>
      <c r="B104" s="46" t="str">
        <f>IFERROR(VLOOKUP($H104,매장구분!$B:$Z,2,0),"")</f>
        <v>리테일채널팀</v>
      </c>
      <c r="C104" s="46" t="str">
        <f>IFERROR(VLOOKUP($H104,매장구분!$B:$Z,3,0),"")</f>
        <v>국내</v>
      </c>
      <c r="D104" s="46" t="str">
        <f>IFERROR(VLOOKUP($H104,매장구분!$B:$Z,5,0),"")</f>
        <v>상설(위탁)</v>
      </c>
      <c r="E104" s="46" t="str">
        <f>IFERROR(VLOOKUP($H104,매장구분!$B:$Z,9,0),"")</f>
        <v>롯데아울렛군산(상-위)</v>
      </c>
      <c r="F104" s="58"/>
      <c r="G104" s="59" t="s">
        <v>602</v>
      </c>
      <c r="H104" s="60" t="s">
        <v>603</v>
      </c>
      <c r="I104" s="60" t="s">
        <v>169</v>
      </c>
      <c r="J104" s="60" t="s">
        <v>79</v>
      </c>
      <c r="K104" s="60" t="s">
        <v>170</v>
      </c>
      <c r="L104" s="60" t="s">
        <v>171</v>
      </c>
      <c r="M104" s="60" t="s">
        <v>219</v>
      </c>
      <c r="N104" s="60" t="s">
        <v>219</v>
      </c>
      <c r="O104" s="60">
        <v>648000</v>
      </c>
      <c r="P104" s="60">
        <v>18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1">
        <v>0</v>
      </c>
      <c r="Z104" s="60">
        <v>0</v>
      </c>
      <c r="AA104" s="60">
        <v>0</v>
      </c>
      <c r="AB104" s="60">
        <v>0</v>
      </c>
      <c r="AC104" s="60">
        <v>648000</v>
      </c>
      <c r="AD104" s="62">
        <v>18</v>
      </c>
      <c r="AF104" s="47">
        <f t="shared" si="1"/>
        <v>648000</v>
      </c>
    </row>
    <row r="105" spans="1:32" x14ac:dyDescent="0.3">
      <c r="A105" s="46" t="s">
        <v>0</v>
      </c>
      <c r="B105" s="46" t="str">
        <f>IFERROR(VLOOKUP($H105,매장구분!$B:$Z,2,0),"")</f>
        <v>리테일채널팀</v>
      </c>
      <c r="C105" s="46" t="str">
        <f>IFERROR(VLOOKUP($H105,매장구분!$B:$Z,3,0),"")</f>
        <v>국내</v>
      </c>
      <c r="D105" s="46" t="str">
        <f>IFERROR(VLOOKUP($H105,매장구분!$B:$Z,5,0),"")</f>
        <v>상설(위탁)</v>
      </c>
      <c r="E105" s="46" t="str">
        <f>IFERROR(VLOOKUP($H105,매장구분!$B:$Z,9,0),"")</f>
        <v>신세계아울렛기장(상-위)</v>
      </c>
      <c r="F105" s="53"/>
      <c r="G105" s="54" t="s">
        <v>277</v>
      </c>
      <c r="H105" s="55" t="s">
        <v>278</v>
      </c>
      <c r="I105" s="55" t="s">
        <v>169</v>
      </c>
      <c r="J105" s="55" t="s">
        <v>79</v>
      </c>
      <c r="K105" s="55" t="s">
        <v>170</v>
      </c>
      <c r="L105" s="55" t="s">
        <v>171</v>
      </c>
      <c r="M105" s="55" t="s">
        <v>219</v>
      </c>
      <c r="N105" s="55" t="s">
        <v>219</v>
      </c>
      <c r="O105" s="55">
        <v>1872000</v>
      </c>
      <c r="P105" s="55">
        <v>52</v>
      </c>
      <c r="Q105" s="55">
        <v>0</v>
      </c>
      <c r="R105" s="55">
        <v>0</v>
      </c>
      <c r="S105" s="55">
        <v>0</v>
      </c>
      <c r="T105" s="55">
        <v>0</v>
      </c>
      <c r="U105" s="55">
        <v>0</v>
      </c>
      <c r="V105" s="55">
        <v>0</v>
      </c>
      <c r="W105" s="55">
        <v>0</v>
      </c>
      <c r="X105" s="55">
        <v>0</v>
      </c>
      <c r="Y105" s="56">
        <v>0</v>
      </c>
      <c r="Z105" s="55">
        <v>0</v>
      </c>
      <c r="AA105" s="55">
        <v>0</v>
      </c>
      <c r="AB105" s="55">
        <v>0</v>
      </c>
      <c r="AC105" s="55">
        <v>1872000</v>
      </c>
      <c r="AD105" s="57">
        <v>52</v>
      </c>
      <c r="AF105" s="47">
        <f t="shared" si="1"/>
        <v>1872000</v>
      </c>
    </row>
    <row r="106" spans="1:32" x14ac:dyDescent="0.3">
      <c r="A106" s="46" t="s">
        <v>0</v>
      </c>
      <c r="B106" s="46" t="str">
        <f>IFERROR(VLOOKUP($H106,매장구분!$B:$Z,2,0),"")</f>
        <v>리테일채널팀</v>
      </c>
      <c r="C106" s="46" t="str">
        <f>IFERROR(VLOOKUP($H106,매장구분!$B:$Z,3,0),"")</f>
        <v>국내</v>
      </c>
      <c r="D106" s="46" t="str">
        <f>IFERROR(VLOOKUP($H106,매장구분!$B:$Z,5,0),"")</f>
        <v>상설(위탁)</v>
      </c>
      <c r="E106" s="46" t="str">
        <f>IFERROR(VLOOKUP($H106,매장구분!$B:$Z,9,0),"")</f>
        <v>현대아울렛동대문(상-위)</v>
      </c>
      <c r="F106" s="58"/>
      <c r="G106" s="59" t="s">
        <v>526</v>
      </c>
      <c r="H106" s="60" t="s">
        <v>527</v>
      </c>
      <c r="I106" s="60" t="s">
        <v>169</v>
      </c>
      <c r="J106" s="60" t="s">
        <v>79</v>
      </c>
      <c r="K106" s="60" t="s">
        <v>170</v>
      </c>
      <c r="L106" s="60" t="s">
        <v>171</v>
      </c>
      <c r="M106" s="60" t="s">
        <v>219</v>
      </c>
      <c r="N106" s="60" t="s">
        <v>219</v>
      </c>
      <c r="O106" s="60">
        <v>828000</v>
      </c>
      <c r="P106" s="60">
        <v>23</v>
      </c>
      <c r="Q106" s="60">
        <v>0</v>
      </c>
      <c r="R106" s="60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0">
        <v>0</v>
      </c>
      <c r="Y106" s="61">
        <v>0</v>
      </c>
      <c r="Z106" s="60">
        <v>0</v>
      </c>
      <c r="AA106" s="60">
        <v>0</v>
      </c>
      <c r="AB106" s="60">
        <v>0</v>
      </c>
      <c r="AC106" s="60">
        <v>828000</v>
      </c>
      <c r="AD106" s="62">
        <v>23</v>
      </c>
      <c r="AF106" s="47">
        <f t="shared" si="1"/>
        <v>828000</v>
      </c>
    </row>
    <row r="107" spans="1:32" x14ac:dyDescent="0.3">
      <c r="A107" s="46" t="s">
        <v>0</v>
      </c>
      <c r="B107" s="46" t="str">
        <f>IFERROR(VLOOKUP($H107,매장구분!$B:$Z,2,0),"")</f>
        <v>리테일채널팀</v>
      </c>
      <c r="C107" s="46" t="str">
        <f>IFERROR(VLOOKUP($H107,매장구분!$B:$Z,3,0),"")</f>
        <v>국내</v>
      </c>
      <c r="D107" s="46" t="str">
        <f>IFERROR(VLOOKUP($H107,매장구분!$B:$Z,5,0),"")</f>
        <v>상설(위탁)</v>
      </c>
      <c r="E107" s="46" t="str">
        <f>IFERROR(VLOOKUP($H107,매장구분!$B:$Z,9,0),"")</f>
        <v>현대아울렛대전(상-위)</v>
      </c>
      <c r="F107" s="53"/>
      <c r="G107" s="54" t="s">
        <v>608</v>
      </c>
      <c r="H107" s="55" t="s">
        <v>609</v>
      </c>
      <c r="I107" s="55" t="s">
        <v>169</v>
      </c>
      <c r="J107" s="55" t="s">
        <v>79</v>
      </c>
      <c r="K107" s="55" t="s">
        <v>170</v>
      </c>
      <c r="L107" s="55" t="s">
        <v>171</v>
      </c>
      <c r="M107" s="55" t="s">
        <v>219</v>
      </c>
      <c r="N107" s="55" t="s">
        <v>219</v>
      </c>
      <c r="O107" s="55">
        <v>1080000</v>
      </c>
      <c r="P107" s="55">
        <v>30</v>
      </c>
      <c r="Q107" s="55">
        <v>0</v>
      </c>
      <c r="R107" s="55">
        <v>0</v>
      </c>
      <c r="S107" s="55">
        <v>0</v>
      </c>
      <c r="T107" s="55">
        <v>0</v>
      </c>
      <c r="U107" s="55">
        <v>0</v>
      </c>
      <c r="V107" s="55">
        <v>0</v>
      </c>
      <c r="W107" s="55">
        <v>0</v>
      </c>
      <c r="X107" s="55">
        <v>0</v>
      </c>
      <c r="Y107" s="56">
        <v>0</v>
      </c>
      <c r="Z107" s="55">
        <v>0</v>
      </c>
      <c r="AA107" s="55">
        <v>0</v>
      </c>
      <c r="AB107" s="55">
        <v>0</v>
      </c>
      <c r="AC107" s="55">
        <v>1080000</v>
      </c>
      <c r="AD107" s="57">
        <v>30</v>
      </c>
      <c r="AF107" s="47">
        <f t="shared" si="1"/>
        <v>1080000</v>
      </c>
    </row>
    <row r="108" spans="1:32" x14ac:dyDescent="0.3">
      <c r="A108" s="46" t="s">
        <v>0</v>
      </c>
      <c r="B108" s="46" t="str">
        <f>IFERROR(VLOOKUP($H108,매장구분!$B:$Z,2,0),"")</f>
        <v>리테일채널팀</v>
      </c>
      <c r="C108" s="46" t="str">
        <f>IFERROR(VLOOKUP($H108,매장구분!$B:$Z,3,0),"")</f>
        <v>국내</v>
      </c>
      <c r="D108" s="46" t="str">
        <f>IFERROR(VLOOKUP($H108,매장구분!$B:$Z,5,0),"")</f>
        <v>상설(위탁)</v>
      </c>
      <c r="E108" s="46" t="str">
        <f>IFERROR(VLOOKUP($H108,매장구분!$B:$Z,9,0),"")</f>
        <v>신세계아울렛시흥(상-위)</v>
      </c>
      <c r="F108" s="58"/>
      <c r="G108" s="59" t="s">
        <v>524</v>
      </c>
      <c r="H108" s="60" t="s">
        <v>525</v>
      </c>
      <c r="I108" s="60" t="s">
        <v>169</v>
      </c>
      <c r="J108" s="60" t="s">
        <v>79</v>
      </c>
      <c r="K108" s="60" t="s">
        <v>170</v>
      </c>
      <c r="L108" s="60" t="s">
        <v>171</v>
      </c>
      <c r="M108" s="60" t="s">
        <v>219</v>
      </c>
      <c r="N108" s="60" t="s">
        <v>219</v>
      </c>
      <c r="O108" s="60">
        <v>2556000</v>
      </c>
      <c r="P108" s="60">
        <v>71</v>
      </c>
      <c r="Q108" s="60">
        <v>0</v>
      </c>
      <c r="R108" s="60">
        <v>0</v>
      </c>
      <c r="S108" s="60">
        <v>0</v>
      </c>
      <c r="T108" s="60">
        <v>0</v>
      </c>
      <c r="U108" s="60">
        <v>0</v>
      </c>
      <c r="V108" s="60">
        <v>0</v>
      </c>
      <c r="W108" s="60">
        <v>0</v>
      </c>
      <c r="X108" s="60">
        <v>0</v>
      </c>
      <c r="Y108" s="61">
        <v>0</v>
      </c>
      <c r="Z108" s="60">
        <v>0</v>
      </c>
      <c r="AA108" s="60">
        <v>0</v>
      </c>
      <c r="AB108" s="60">
        <v>0</v>
      </c>
      <c r="AC108" s="60">
        <v>2556000</v>
      </c>
      <c r="AD108" s="62">
        <v>71</v>
      </c>
      <c r="AF108" s="47">
        <f t="shared" si="1"/>
        <v>2556000</v>
      </c>
    </row>
    <row r="109" spans="1:32" hidden="1" x14ac:dyDescent="0.3">
      <c r="A109" s="46" t="s">
        <v>0</v>
      </c>
      <c r="B109" s="46" t="str">
        <f>IFERROR(VLOOKUP($H109,매장구분!$B:$Z,2,0),"")</f>
        <v>파트너채널팀</v>
      </c>
      <c r="C109" s="46" t="str">
        <f>IFERROR(VLOOKUP($H109,매장구분!$B:$Z,3,0),"")</f>
        <v>면세</v>
      </c>
      <c r="D109" s="46" t="str">
        <f>IFERROR(VLOOKUP($H109,매장구분!$B:$Z,5,0),"")</f>
        <v>면세</v>
      </c>
      <c r="E109" s="46" t="str">
        <f>IFERROR(VLOOKUP($H109,매장구분!$B:$Z,9,0),"")</f>
        <v>신라면세장충</v>
      </c>
      <c r="F109" s="53"/>
      <c r="G109" s="54" t="s">
        <v>299</v>
      </c>
      <c r="H109" s="55" t="s">
        <v>300</v>
      </c>
      <c r="I109" s="55" t="s">
        <v>169</v>
      </c>
      <c r="J109" s="55" t="s">
        <v>175</v>
      </c>
      <c r="K109" s="55" t="s">
        <v>170</v>
      </c>
      <c r="L109" s="55" t="s">
        <v>171</v>
      </c>
      <c r="M109" s="55" t="s">
        <v>176</v>
      </c>
      <c r="N109" s="55" t="s">
        <v>177</v>
      </c>
      <c r="O109" s="55">
        <v>863000</v>
      </c>
      <c r="P109" s="55">
        <v>21</v>
      </c>
      <c r="Q109" s="55">
        <v>0</v>
      </c>
      <c r="R109" s="55">
        <v>0</v>
      </c>
      <c r="S109" s="55">
        <v>0</v>
      </c>
      <c r="T109" s="55">
        <v>0</v>
      </c>
      <c r="U109" s="55">
        <v>0</v>
      </c>
      <c r="V109" s="55">
        <v>0</v>
      </c>
      <c r="W109" s="55">
        <v>0</v>
      </c>
      <c r="X109" s="55">
        <v>0</v>
      </c>
      <c r="Y109" s="56">
        <v>14669600</v>
      </c>
      <c r="Z109" s="55">
        <v>169</v>
      </c>
      <c r="AA109" s="55">
        <v>0</v>
      </c>
      <c r="AB109" s="55">
        <v>0</v>
      </c>
      <c r="AC109" s="55">
        <v>15532600</v>
      </c>
      <c r="AD109" s="57">
        <v>190</v>
      </c>
      <c r="AF109" s="47">
        <f t="shared" si="1"/>
        <v>863000</v>
      </c>
    </row>
    <row r="110" spans="1:32" x14ac:dyDescent="0.3">
      <c r="A110" s="46" t="s">
        <v>0</v>
      </c>
      <c r="B110" s="46" t="str">
        <f>IFERROR(VLOOKUP($H110,매장구분!$B:$Z,2,0),"")</f>
        <v>리테일채널팀</v>
      </c>
      <c r="C110" s="46" t="str">
        <f>IFERROR(VLOOKUP($H110,매장구분!$B:$Z,3,0),"")</f>
        <v>국내</v>
      </c>
      <c r="D110" s="46" t="str">
        <f>IFERROR(VLOOKUP($H110,매장구분!$B:$Z,5,0),"")</f>
        <v>대리점</v>
      </c>
      <c r="E110" s="46" t="str">
        <f>IFERROR(VLOOKUP($H110,매장구분!$B:$Z,9,0),"")</f>
        <v>시흥(대-위)</v>
      </c>
      <c r="F110" s="58"/>
      <c r="G110" s="59" t="s">
        <v>330</v>
      </c>
      <c r="H110" s="60" t="s">
        <v>331</v>
      </c>
      <c r="I110" s="60" t="s">
        <v>169</v>
      </c>
      <c r="J110" s="60" t="s">
        <v>79</v>
      </c>
      <c r="K110" s="60" t="s">
        <v>170</v>
      </c>
      <c r="L110" s="60" t="s">
        <v>171</v>
      </c>
      <c r="M110" s="60" t="s">
        <v>196</v>
      </c>
      <c r="N110" s="60" t="s">
        <v>197</v>
      </c>
      <c r="O110" s="60">
        <v>3497000</v>
      </c>
      <c r="P110" s="60">
        <v>37</v>
      </c>
      <c r="Q110" s="60">
        <v>0</v>
      </c>
      <c r="R110" s="60">
        <v>0</v>
      </c>
      <c r="S110" s="60">
        <v>0</v>
      </c>
      <c r="T110" s="60">
        <v>0</v>
      </c>
      <c r="U110" s="60">
        <v>508000</v>
      </c>
      <c r="V110" s="60">
        <v>2</v>
      </c>
      <c r="W110" s="60">
        <v>0</v>
      </c>
      <c r="X110" s="60">
        <v>0</v>
      </c>
      <c r="Y110" s="61">
        <v>0</v>
      </c>
      <c r="Z110" s="60">
        <v>0</v>
      </c>
      <c r="AA110" s="60">
        <v>0</v>
      </c>
      <c r="AB110" s="60">
        <v>0</v>
      </c>
      <c r="AC110" s="60">
        <v>4005000</v>
      </c>
      <c r="AD110" s="62">
        <v>39</v>
      </c>
      <c r="AF110" s="47">
        <f t="shared" si="1"/>
        <v>4005000</v>
      </c>
    </row>
    <row r="111" spans="1:32" x14ac:dyDescent="0.3">
      <c r="A111" s="46" t="s">
        <v>0</v>
      </c>
      <c r="B111" s="46" t="str">
        <f>IFERROR(VLOOKUP($H111,매장구분!$B:$Z,2,0),"")</f>
        <v>리테일채널팀</v>
      </c>
      <c r="C111" s="46" t="str">
        <f>IFERROR(VLOOKUP($H111,매장구분!$B:$Z,3,0),"")</f>
        <v>국내</v>
      </c>
      <c r="D111" s="46" t="str">
        <f>IFERROR(VLOOKUP($H111,매장구분!$B:$Z,5,0),"")</f>
        <v>대리점</v>
      </c>
      <c r="E111" s="46" t="str">
        <f>IFERROR(VLOOKUP($H111,매장구분!$B:$Z,9,0),"")</f>
        <v>익산(대-위)</v>
      </c>
      <c r="F111" s="53"/>
      <c r="G111" s="54" t="s">
        <v>490</v>
      </c>
      <c r="H111" s="55" t="s">
        <v>491</v>
      </c>
      <c r="I111" s="55" t="s">
        <v>169</v>
      </c>
      <c r="J111" s="55" t="s">
        <v>79</v>
      </c>
      <c r="K111" s="55" t="s">
        <v>170</v>
      </c>
      <c r="L111" s="55" t="s">
        <v>171</v>
      </c>
      <c r="M111" s="55" t="s">
        <v>196</v>
      </c>
      <c r="N111" s="55" t="s">
        <v>197</v>
      </c>
      <c r="O111" s="55">
        <v>4266783</v>
      </c>
      <c r="P111" s="55">
        <v>41</v>
      </c>
      <c r="Q111" s="55">
        <v>0</v>
      </c>
      <c r="R111" s="55">
        <v>0</v>
      </c>
      <c r="S111" s="55">
        <v>0</v>
      </c>
      <c r="T111" s="55">
        <v>0</v>
      </c>
      <c r="U111" s="55">
        <v>1104000</v>
      </c>
      <c r="V111" s="55">
        <v>6</v>
      </c>
      <c r="W111" s="55">
        <v>0</v>
      </c>
      <c r="X111" s="55">
        <v>0</v>
      </c>
      <c r="Y111" s="56">
        <v>0</v>
      </c>
      <c r="Z111" s="55">
        <v>0</v>
      </c>
      <c r="AA111" s="55">
        <v>0</v>
      </c>
      <c r="AB111" s="55">
        <v>0</v>
      </c>
      <c r="AC111" s="55">
        <v>5370783</v>
      </c>
      <c r="AD111" s="57">
        <v>47</v>
      </c>
      <c r="AF111" s="47">
        <f t="shared" si="1"/>
        <v>5370783</v>
      </c>
    </row>
    <row r="112" spans="1:32" x14ac:dyDescent="0.3">
      <c r="A112" s="46" t="s">
        <v>0</v>
      </c>
      <c r="B112" s="46" t="str">
        <f>IFERROR(VLOOKUP($H112,매장구분!$B:$Z,2,0),"")</f>
        <v>리테일채널팀</v>
      </c>
      <c r="C112" s="46" t="str">
        <f>IFERROR(VLOOKUP($H112,매장구분!$B:$Z,3,0),"")</f>
        <v>국내</v>
      </c>
      <c r="D112" s="46" t="str">
        <f>IFERROR(VLOOKUP($H112,매장구분!$B:$Z,5,0),"")</f>
        <v>대리점</v>
      </c>
      <c r="E112" s="46" t="str">
        <f>IFERROR(VLOOKUP($H112,매장구분!$B:$Z,9,0),"")</f>
        <v>목포하당(대-위)</v>
      </c>
      <c r="F112" s="58"/>
      <c r="G112" s="59" t="s">
        <v>486</v>
      </c>
      <c r="H112" s="60" t="s">
        <v>487</v>
      </c>
      <c r="I112" s="60" t="s">
        <v>169</v>
      </c>
      <c r="J112" s="60" t="s">
        <v>79</v>
      </c>
      <c r="K112" s="60" t="s">
        <v>170</v>
      </c>
      <c r="L112" s="60" t="s">
        <v>171</v>
      </c>
      <c r="M112" s="60" t="s">
        <v>196</v>
      </c>
      <c r="N112" s="60" t="s">
        <v>197</v>
      </c>
      <c r="O112" s="60">
        <v>11872072</v>
      </c>
      <c r="P112" s="60">
        <v>92</v>
      </c>
      <c r="Q112" s="60">
        <v>0</v>
      </c>
      <c r="R112" s="60">
        <v>0</v>
      </c>
      <c r="S112" s="60">
        <v>0</v>
      </c>
      <c r="T112" s="60">
        <v>0</v>
      </c>
      <c r="U112" s="60">
        <v>404435</v>
      </c>
      <c r="V112" s="60">
        <v>3</v>
      </c>
      <c r="W112" s="60">
        <v>0</v>
      </c>
      <c r="X112" s="60">
        <v>0</v>
      </c>
      <c r="Y112" s="61">
        <v>0</v>
      </c>
      <c r="Z112" s="60">
        <v>0</v>
      </c>
      <c r="AA112" s="60">
        <v>0</v>
      </c>
      <c r="AB112" s="60">
        <v>0</v>
      </c>
      <c r="AC112" s="60">
        <v>12276507</v>
      </c>
      <c r="AD112" s="62">
        <v>95</v>
      </c>
      <c r="AF112" s="47">
        <f t="shared" si="1"/>
        <v>12276507</v>
      </c>
    </row>
    <row r="113" spans="1:32" x14ac:dyDescent="0.3">
      <c r="A113" s="46" t="s">
        <v>0</v>
      </c>
      <c r="B113" s="46" t="str">
        <f>IFERROR(VLOOKUP($H113,매장구분!$B:$Z,2,0),"")</f>
        <v>리테일채널팀</v>
      </c>
      <c r="C113" s="46" t="str">
        <f>IFERROR(VLOOKUP($H113,매장구분!$B:$Z,3,0),"")</f>
        <v>국내</v>
      </c>
      <c r="D113" s="46" t="str">
        <f>IFERROR(VLOOKUP($H113,매장구분!$B:$Z,5,0),"")</f>
        <v>대리점</v>
      </c>
      <c r="E113" s="46" t="str">
        <f>IFERROR(VLOOKUP($H113,매장구분!$B:$Z,9,0),"")</f>
        <v>대구성서(대-위)</v>
      </c>
      <c r="F113" s="53"/>
      <c r="G113" s="54" t="s">
        <v>492</v>
      </c>
      <c r="H113" s="55" t="s">
        <v>493</v>
      </c>
      <c r="I113" s="55" t="s">
        <v>169</v>
      </c>
      <c r="J113" s="55" t="s">
        <v>79</v>
      </c>
      <c r="K113" s="55" t="s">
        <v>170</v>
      </c>
      <c r="L113" s="55" t="s">
        <v>171</v>
      </c>
      <c r="M113" s="55" t="s">
        <v>196</v>
      </c>
      <c r="N113" s="55" t="s">
        <v>197</v>
      </c>
      <c r="O113" s="55">
        <v>9877200</v>
      </c>
      <c r="P113" s="55">
        <v>83</v>
      </c>
      <c r="Q113" s="55">
        <v>0</v>
      </c>
      <c r="R113" s="55">
        <v>0</v>
      </c>
      <c r="S113" s="55">
        <v>0</v>
      </c>
      <c r="T113" s="55">
        <v>0</v>
      </c>
      <c r="U113" s="55">
        <v>2047300</v>
      </c>
      <c r="V113" s="55">
        <v>13</v>
      </c>
      <c r="W113" s="55">
        <v>0</v>
      </c>
      <c r="X113" s="55">
        <v>0</v>
      </c>
      <c r="Y113" s="56">
        <v>0</v>
      </c>
      <c r="Z113" s="55">
        <v>0</v>
      </c>
      <c r="AA113" s="55">
        <v>0</v>
      </c>
      <c r="AB113" s="55">
        <v>0</v>
      </c>
      <c r="AC113" s="55">
        <v>11924500</v>
      </c>
      <c r="AD113" s="57">
        <v>96</v>
      </c>
      <c r="AF113" s="47">
        <f t="shared" si="1"/>
        <v>11924500</v>
      </c>
    </row>
    <row r="114" spans="1:32" x14ac:dyDescent="0.3">
      <c r="A114" s="46" t="s">
        <v>0</v>
      </c>
      <c r="B114" s="46" t="str">
        <f>IFERROR(VLOOKUP($H114,매장구분!$B:$Z,2,0),"")</f>
        <v>리테일채널팀</v>
      </c>
      <c r="C114" s="46" t="str">
        <f>IFERROR(VLOOKUP($H114,매장구분!$B:$Z,3,0),"")</f>
        <v>국내</v>
      </c>
      <c r="D114" s="46" t="str">
        <f>IFERROR(VLOOKUP($H114,매장구분!$B:$Z,5,0),"")</f>
        <v>대리점</v>
      </c>
      <c r="E114" s="46" t="str">
        <f>IFERROR(VLOOKUP($H114,매장구분!$B:$Z,9,0),"")</f>
        <v>전주중앙(대-위)</v>
      </c>
      <c r="F114" s="58"/>
      <c r="G114" s="59" t="s">
        <v>293</v>
      </c>
      <c r="H114" s="60" t="s">
        <v>294</v>
      </c>
      <c r="I114" s="60" t="s">
        <v>169</v>
      </c>
      <c r="J114" s="60" t="s">
        <v>79</v>
      </c>
      <c r="K114" s="60" t="s">
        <v>170</v>
      </c>
      <c r="L114" s="60" t="s">
        <v>171</v>
      </c>
      <c r="M114" s="60" t="s">
        <v>196</v>
      </c>
      <c r="N114" s="60" t="s">
        <v>197</v>
      </c>
      <c r="O114" s="60">
        <v>5933000</v>
      </c>
      <c r="P114" s="60">
        <v>64</v>
      </c>
      <c r="Q114" s="60">
        <v>0</v>
      </c>
      <c r="R114" s="60">
        <v>0</v>
      </c>
      <c r="S114" s="60">
        <v>0</v>
      </c>
      <c r="T114" s="60">
        <v>0</v>
      </c>
      <c r="U114" s="60">
        <v>215100</v>
      </c>
      <c r="V114" s="60">
        <v>1</v>
      </c>
      <c r="W114" s="60">
        <v>0</v>
      </c>
      <c r="X114" s="60">
        <v>0</v>
      </c>
      <c r="Y114" s="61">
        <v>0</v>
      </c>
      <c r="Z114" s="60">
        <v>0</v>
      </c>
      <c r="AA114" s="60">
        <v>0</v>
      </c>
      <c r="AB114" s="60">
        <v>0</v>
      </c>
      <c r="AC114" s="60">
        <v>6148100</v>
      </c>
      <c r="AD114" s="62">
        <v>65</v>
      </c>
      <c r="AF114" s="47">
        <f t="shared" si="1"/>
        <v>6148100</v>
      </c>
    </row>
    <row r="115" spans="1:32" x14ac:dyDescent="0.3">
      <c r="A115" s="46" t="s">
        <v>0</v>
      </c>
      <c r="B115" s="46" t="str">
        <f>IFERROR(VLOOKUP($H115,매장구분!$B:$Z,2,0),"")</f>
        <v>리테일채널팀</v>
      </c>
      <c r="C115" s="46" t="str">
        <f>IFERROR(VLOOKUP($H115,매장구분!$B:$Z,3,0),"")</f>
        <v>국내</v>
      </c>
      <c r="D115" s="46" t="str">
        <f>IFERROR(VLOOKUP($H115,매장구분!$B:$Z,5,0),"")</f>
        <v>대리점</v>
      </c>
      <c r="E115" s="46" t="str">
        <f>IFERROR(VLOOKUP($H115,매장구분!$B:$Z,9,0),"")</f>
        <v>여천(대-위)</v>
      </c>
      <c r="F115" s="53"/>
      <c r="G115" s="54" t="s">
        <v>500</v>
      </c>
      <c r="H115" s="55" t="s">
        <v>501</v>
      </c>
      <c r="I115" s="55" t="s">
        <v>169</v>
      </c>
      <c r="J115" s="55" t="s">
        <v>79</v>
      </c>
      <c r="K115" s="55" t="s">
        <v>170</v>
      </c>
      <c r="L115" s="55" t="s">
        <v>171</v>
      </c>
      <c r="M115" s="55" t="s">
        <v>196</v>
      </c>
      <c r="N115" s="55" t="s">
        <v>197</v>
      </c>
      <c r="O115" s="55">
        <v>2667900</v>
      </c>
      <c r="P115" s="55">
        <v>32</v>
      </c>
      <c r="Q115" s="55">
        <v>0</v>
      </c>
      <c r="R115" s="55">
        <v>0</v>
      </c>
      <c r="S115" s="55">
        <v>0</v>
      </c>
      <c r="T115" s="55">
        <v>0</v>
      </c>
      <c r="U115" s="55">
        <v>424100</v>
      </c>
      <c r="V115" s="55">
        <v>2</v>
      </c>
      <c r="W115" s="55">
        <v>0</v>
      </c>
      <c r="X115" s="55">
        <v>0</v>
      </c>
      <c r="Y115" s="56">
        <v>0</v>
      </c>
      <c r="Z115" s="55">
        <v>0</v>
      </c>
      <c r="AA115" s="55">
        <v>0</v>
      </c>
      <c r="AB115" s="55">
        <v>0</v>
      </c>
      <c r="AC115" s="55">
        <v>3092000</v>
      </c>
      <c r="AD115" s="57">
        <v>34</v>
      </c>
      <c r="AF115" s="47">
        <f t="shared" si="1"/>
        <v>3092000</v>
      </c>
    </row>
    <row r="116" spans="1:32" x14ac:dyDescent="0.3">
      <c r="A116" s="46" t="s">
        <v>0</v>
      </c>
      <c r="B116" s="46" t="str">
        <f>IFERROR(VLOOKUP($H116,매장구분!$B:$Z,2,0),"")</f>
        <v>파트너채널팀</v>
      </c>
      <c r="C116" s="46" t="str">
        <f>IFERROR(VLOOKUP($H116,매장구분!$B:$Z,3,0),"")</f>
        <v>국내</v>
      </c>
      <c r="D116" s="46" t="str">
        <f>IFERROR(VLOOKUP($H116,매장구분!$B:$Z,5,0),"")</f>
        <v>백화점</v>
      </c>
      <c r="E116" s="46" t="str">
        <f>IFERROR(VLOOKUP($H116,매장구분!$B:$Z,9,0),"")</f>
        <v>신세계센텀</v>
      </c>
      <c r="F116" s="58"/>
      <c r="G116" s="59" t="s">
        <v>301</v>
      </c>
      <c r="H116" s="60" t="s">
        <v>302</v>
      </c>
      <c r="I116" s="60" t="s">
        <v>169</v>
      </c>
      <c r="J116" s="60" t="s">
        <v>175</v>
      </c>
      <c r="K116" s="60" t="s">
        <v>170</v>
      </c>
      <c r="L116" s="60" t="s">
        <v>171</v>
      </c>
      <c r="M116" s="60" t="s">
        <v>77</v>
      </c>
      <c r="N116" s="60" t="s">
        <v>172</v>
      </c>
      <c r="O116" s="60">
        <v>8957200</v>
      </c>
      <c r="P116" s="60">
        <v>115</v>
      </c>
      <c r="Q116" s="60">
        <v>0</v>
      </c>
      <c r="R116" s="60">
        <v>0</v>
      </c>
      <c r="S116" s="60">
        <v>0</v>
      </c>
      <c r="T116" s="60">
        <v>0</v>
      </c>
      <c r="U116" s="60">
        <v>323100</v>
      </c>
      <c r="V116" s="60">
        <v>1</v>
      </c>
      <c r="W116" s="60">
        <v>0</v>
      </c>
      <c r="X116" s="60">
        <v>0</v>
      </c>
      <c r="Y116" s="61">
        <v>0</v>
      </c>
      <c r="Z116" s="60">
        <v>0</v>
      </c>
      <c r="AA116" s="60">
        <v>0</v>
      </c>
      <c r="AB116" s="60">
        <v>0</v>
      </c>
      <c r="AC116" s="60">
        <v>9280300</v>
      </c>
      <c r="AD116" s="62">
        <v>116</v>
      </c>
      <c r="AF116" s="47">
        <f t="shared" si="1"/>
        <v>9280300</v>
      </c>
    </row>
    <row r="117" spans="1:32" x14ac:dyDescent="0.3">
      <c r="A117" s="46" t="s">
        <v>0</v>
      </c>
      <c r="B117" s="46" t="str">
        <f>IFERROR(VLOOKUP($H117,매장구분!$B:$Z,2,0),"")</f>
        <v>리테일채널팀</v>
      </c>
      <c r="C117" s="46" t="str">
        <f>IFERROR(VLOOKUP($H117,매장구분!$B:$Z,3,0),"")</f>
        <v>국내</v>
      </c>
      <c r="D117" s="46" t="str">
        <f>IFERROR(VLOOKUP($H117,매장구분!$B:$Z,5,0),"")</f>
        <v>대리점</v>
      </c>
      <c r="E117" s="46" t="str">
        <f>IFERROR(VLOOKUP($H117,매장구분!$B:$Z,9,0),"")</f>
        <v>제천(대-위)</v>
      </c>
      <c r="F117" s="53"/>
      <c r="G117" s="54" t="s">
        <v>311</v>
      </c>
      <c r="H117" s="55" t="s">
        <v>312</v>
      </c>
      <c r="I117" s="55" t="s">
        <v>169</v>
      </c>
      <c r="J117" s="55" t="s">
        <v>79</v>
      </c>
      <c r="K117" s="55" t="s">
        <v>170</v>
      </c>
      <c r="L117" s="55" t="s">
        <v>171</v>
      </c>
      <c r="M117" s="55" t="s">
        <v>196</v>
      </c>
      <c r="N117" s="55" t="s">
        <v>197</v>
      </c>
      <c r="O117" s="55">
        <v>2501900</v>
      </c>
      <c r="P117" s="55">
        <v>28</v>
      </c>
      <c r="Q117" s="55">
        <v>0</v>
      </c>
      <c r="R117" s="55">
        <v>0</v>
      </c>
      <c r="S117" s="55">
        <v>0</v>
      </c>
      <c r="T117" s="55">
        <v>0</v>
      </c>
      <c r="U117" s="55">
        <v>699200</v>
      </c>
      <c r="V117" s="55">
        <v>4</v>
      </c>
      <c r="W117" s="55">
        <v>0</v>
      </c>
      <c r="X117" s="55">
        <v>0</v>
      </c>
      <c r="Y117" s="56">
        <v>0</v>
      </c>
      <c r="Z117" s="55">
        <v>0</v>
      </c>
      <c r="AA117" s="55">
        <v>0</v>
      </c>
      <c r="AB117" s="55">
        <v>0</v>
      </c>
      <c r="AC117" s="55">
        <v>3201100</v>
      </c>
      <c r="AD117" s="57">
        <v>32</v>
      </c>
      <c r="AF117" s="47">
        <f t="shared" si="1"/>
        <v>3201100</v>
      </c>
    </row>
    <row r="118" spans="1:32" x14ac:dyDescent="0.3">
      <c r="A118" s="46" t="s">
        <v>0</v>
      </c>
      <c r="B118" s="46" t="str">
        <f>IFERROR(VLOOKUP($H118,매장구분!$B:$Z,2,0),"")</f>
        <v>리테일채널팀</v>
      </c>
      <c r="C118" s="46" t="str">
        <f>IFERROR(VLOOKUP($H118,매장구분!$B:$Z,3,0),"")</f>
        <v>국내</v>
      </c>
      <c r="D118" s="46" t="str">
        <f>IFERROR(VLOOKUP($H118,매장구분!$B:$Z,5,0),"")</f>
        <v>대리점</v>
      </c>
      <c r="E118" s="46" t="str">
        <f>IFERROR(VLOOKUP($H118,매장구분!$B:$Z,9,0),"")</f>
        <v>해남(대-위)</v>
      </c>
      <c r="F118" s="58"/>
      <c r="G118" s="59" t="s">
        <v>514</v>
      </c>
      <c r="H118" s="60" t="s">
        <v>515</v>
      </c>
      <c r="I118" s="60" t="s">
        <v>169</v>
      </c>
      <c r="J118" s="60" t="s">
        <v>79</v>
      </c>
      <c r="K118" s="60" t="s">
        <v>170</v>
      </c>
      <c r="L118" s="60" t="s">
        <v>171</v>
      </c>
      <c r="M118" s="60" t="s">
        <v>196</v>
      </c>
      <c r="N118" s="60" t="s">
        <v>197</v>
      </c>
      <c r="O118" s="60">
        <v>5218160</v>
      </c>
      <c r="P118" s="60">
        <v>49</v>
      </c>
      <c r="Q118" s="60">
        <v>0</v>
      </c>
      <c r="R118" s="60">
        <v>0</v>
      </c>
      <c r="S118" s="60">
        <v>0</v>
      </c>
      <c r="T118" s="60">
        <v>0</v>
      </c>
      <c r="U118" s="60">
        <v>143440</v>
      </c>
      <c r="V118" s="60">
        <v>1</v>
      </c>
      <c r="W118" s="60">
        <v>0</v>
      </c>
      <c r="X118" s="60">
        <v>0</v>
      </c>
      <c r="Y118" s="61">
        <v>0</v>
      </c>
      <c r="Z118" s="60">
        <v>0</v>
      </c>
      <c r="AA118" s="60">
        <v>0</v>
      </c>
      <c r="AB118" s="60">
        <v>0</v>
      </c>
      <c r="AC118" s="60">
        <v>5361600</v>
      </c>
      <c r="AD118" s="62">
        <v>50</v>
      </c>
      <c r="AF118" s="47">
        <f t="shared" si="1"/>
        <v>5361600</v>
      </c>
    </row>
    <row r="119" spans="1:32" x14ac:dyDescent="0.3">
      <c r="A119" s="46" t="s">
        <v>0</v>
      </c>
      <c r="B119" s="46" t="str">
        <f>IFERROR(VLOOKUP($H119,매장구분!$B:$Z,2,0),"")</f>
        <v>리테일채널팀</v>
      </c>
      <c r="C119" s="46" t="str">
        <f>IFERROR(VLOOKUP($H119,매장구분!$B:$Z,3,0),"")</f>
        <v>국내</v>
      </c>
      <c r="D119" s="46" t="str">
        <f>IFERROR(VLOOKUP($H119,매장구분!$B:$Z,5,0),"")</f>
        <v>대리점</v>
      </c>
      <c r="E119" s="46" t="str">
        <f>IFERROR(VLOOKUP($H119,매장구분!$B:$Z,9,0),"")</f>
        <v>나주(대-위)</v>
      </c>
      <c r="F119" s="53"/>
      <c r="G119" s="54" t="s">
        <v>324</v>
      </c>
      <c r="H119" s="55" t="s">
        <v>325</v>
      </c>
      <c r="I119" s="55" t="s">
        <v>169</v>
      </c>
      <c r="J119" s="55" t="s">
        <v>79</v>
      </c>
      <c r="K119" s="55" t="s">
        <v>170</v>
      </c>
      <c r="L119" s="55" t="s">
        <v>171</v>
      </c>
      <c r="M119" s="55" t="s">
        <v>196</v>
      </c>
      <c r="N119" s="55" t="s">
        <v>197</v>
      </c>
      <c r="O119" s="55">
        <v>3103000</v>
      </c>
      <c r="P119" s="55">
        <v>45</v>
      </c>
      <c r="Q119" s="55">
        <v>0</v>
      </c>
      <c r="R119" s="55">
        <v>0</v>
      </c>
      <c r="S119" s="55">
        <v>0</v>
      </c>
      <c r="T119" s="55">
        <v>0</v>
      </c>
      <c r="U119" s="55">
        <v>258000</v>
      </c>
      <c r="V119" s="55">
        <v>2</v>
      </c>
      <c r="W119" s="55">
        <v>0</v>
      </c>
      <c r="X119" s="55">
        <v>0</v>
      </c>
      <c r="Y119" s="56">
        <v>0</v>
      </c>
      <c r="Z119" s="55">
        <v>0</v>
      </c>
      <c r="AA119" s="55">
        <v>0</v>
      </c>
      <c r="AB119" s="55">
        <v>0</v>
      </c>
      <c r="AC119" s="55">
        <v>3361000</v>
      </c>
      <c r="AD119" s="57">
        <v>47</v>
      </c>
      <c r="AF119" s="47">
        <f t="shared" si="1"/>
        <v>3361000</v>
      </c>
    </row>
    <row r="120" spans="1:32" hidden="1" x14ac:dyDescent="0.3">
      <c r="A120" s="46" t="s">
        <v>0</v>
      </c>
      <c r="B120" s="46" t="str">
        <f>IFERROR(VLOOKUP($H120,매장구분!$B:$Z,2,0),"")</f>
        <v>리테일채널팀</v>
      </c>
      <c r="C120" s="46" t="str">
        <f>IFERROR(VLOOKUP($H120,매장구분!$B:$Z,3,0),"")</f>
        <v>RF</v>
      </c>
      <c r="D120" s="46" t="str">
        <f>IFERROR(VLOOKUP($H120,매장구분!$B:$Z,5,0),"")</f>
        <v>대리점</v>
      </c>
      <c r="E120" s="46" t="str">
        <f>IFERROR(VLOOKUP($H120,매장구분!$B:$Z,9,0),"")</f>
        <v>부산광복(대-위)</v>
      </c>
      <c r="F120" s="58"/>
      <c r="G120" s="59" t="s">
        <v>326</v>
      </c>
      <c r="H120" s="60" t="s">
        <v>327</v>
      </c>
      <c r="I120" s="60" t="s">
        <v>169</v>
      </c>
      <c r="J120" s="60" t="s">
        <v>79</v>
      </c>
      <c r="K120" s="60" t="s">
        <v>170</v>
      </c>
      <c r="L120" s="60" t="s">
        <v>171</v>
      </c>
      <c r="M120" s="60" t="s">
        <v>196</v>
      </c>
      <c r="N120" s="60" t="s">
        <v>197</v>
      </c>
      <c r="O120" s="60">
        <v>3066300</v>
      </c>
      <c r="P120" s="60">
        <v>76</v>
      </c>
      <c r="Q120" s="60">
        <v>0</v>
      </c>
      <c r="R120" s="60">
        <v>0</v>
      </c>
      <c r="S120" s="60">
        <v>0</v>
      </c>
      <c r="T120" s="60">
        <v>0</v>
      </c>
      <c r="U120" s="60">
        <v>421000</v>
      </c>
      <c r="V120" s="60">
        <v>3</v>
      </c>
      <c r="W120" s="60">
        <v>0</v>
      </c>
      <c r="X120" s="60">
        <v>0</v>
      </c>
      <c r="Y120" s="61">
        <v>14911200</v>
      </c>
      <c r="Z120" s="60">
        <v>122</v>
      </c>
      <c r="AA120" s="60">
        <v>0</v>
      </c>
      <c r="AB120" s="60">
        <v>0</v>
      </c>
      <c r="AC120" s="60">
        <v>18398500</v>
      </c>
      <c r="AD120" s="62">
        <v>201</v>
      </c>
      <c r="AF120" s="47">
        <f t="shared" si="1"/>
        <v>3487300</v>
      </c>
    </row>
    <row r="121" spans="1:32" x14ac:dyDescent="0.3">
      <c r="A121" s="46" t="s">
        <v>0</v>
      </c>
      <c r="B121" s="46" t="str">
        <f>IFERROR(VLOOKUP($H121,매장구분!$B:$Z,2,0),"")</f>
        <v>리테일채널팀</v>
      </c>
      <c r="C121" s="46" t="str">
        <f>IFERROR(VLOOKUP($H121,매장구분!$B:$Z,3,0),"")</f>
        <v>국내</v>
      </c>
      <c r="D121" s="46" t="str">
        <f>IFERROR(VLOOKUP($H121,매장구분!$B:$Z,5,0),"")</f>
        <v>대리점</v>
      </c>
      <c r="E121" s="46" t="str">
        <f>IFERROR(VLOOKUP($H121,매장구분!$B:$Z,9,0),"")</f>
        <v>안성(대-위)</v>
      </c>
      <c r="F121" s="53"/>
      <c r="G121" s="54" t="s">
        <v>309</v>
      </c>
      <c r="H121" s="55" t="s">
        <v>310</v>
      </c>
      <c r="I121" s="55" t="s">
        <v>169</v>
      </c>
      <c r="J121" s="55" t="s">
        <v>79</v>
      </c>
      <c r="K121" s="55" t="s">
        <v>170</v>
      </c>
      <c r="L121" s="55" t="s">
        <v>171</v>
      </c>
      <c r="M121" s="55" t="s">
        <v>196</v>
      </c>
      <c r="N121" s="55" t="s">
        <v>197</v>
      </c>
      <c r="O121" s="55">
        <v>3397900</v>
      </c>
      <c r="P121" s="55">
        <v>26</v>
      </c>
      <c r="Q121" s="55">
        <v>0</v>
      </c>
      <c r="R121" s="55">
        <v>0</v>
      </c>
      <c r="S121" s="55">
        <v>0</v>
      </c>
      <c r="T121" s="55">
        <v>0</v>
      </c>
      <c r="U121" s="55">
        <v>139000</v>
      </c>
      <c r="V121" s="55">
        <v>1</v>
      </c>
      <c r="W121" s="55">
        <v>0</v>
      </c>
      <c r="X121" s="55">
        <v>0</v>
      </c>
      <c r="Y121" s="56">
        <v>0</v>
      </c>
      <c r="Z121" s="55">
        <v>0</v>
      </c>
      <c r="AA121" s="55">
        <v>0</v>
      </c>
      <c r="AB121" s="55">
        <v>0</v>
      </c>
      <c r="AC121" s="55">
        <v>3536900</v>
      </c>
      <c r="AD121" s="57">
        <v>27</v>
      </c>
      <c r="AF121" s="47">
        <f t="shared" si="1"/>
        <v>3536900</v>
      </c>
    </row>
    <row r="122" spans="1:32" x14ac:dyDescent="0.3">
      <c r="A122" s="46" t="s">
        <v>0</v>
      </c>
      <c r="B122" s="46" t="str">
        <f>IFERROR(VLOOKUP($H122,매장구분!$B:$Z,2,0),"")</f>
        <v>파트너채널팀</v>
      </c>
      <c r="C122" s="46" t="str">
        <f>IFERROR(VLOOKUP($H122,매장구분!$B:$Z,3,0),"")</f>
        <v>국내</v>
      </c>
      <c r="D122" s="46" t="str">
        <f>IFERROR(VLOOKUP($H122,매장구분!$B:$Z,5,0),"")</f>
        <v>백화점</v>
      </c>
      <c r="E122" s="46" t="str">
        <f>IFERROR(VLOOKUP($H122,매장구분!$B:$Z,9,0),"")</f>
        <v>에버세이브청주</v>
      </c>
      <c r="F122" s="58"/>
      <c r="G122" s="59" t="s">
        <v>328</v>
      </c>
      <c r="H122" s="60" t="s">
        <v>329</v>
      </c>
      <c r="I122" s="60" t="s">
        <v>169</v>
      </c>
      <c r="J122" s="60" t="s">
        <v>175</v>
      </c>
      <c r="K122" s="60" t="s">
        <v>170</v>
      </c>
      <c r="L122" s="60" t="s">
        <v>171</v>
      </c>
      <c r="M122" s="60" t="s">
        <v>77</v>
      </c>
      <c r="N122" s="60" t="s">
        <v>238</v>
      </c>
      <c r="O122" s="60">
        <v>5434200</v>
      </c>
      <c r="P122" s="60">
        <v>45</v>
      </c>
      <c r="Q122" s="60">
        <v>0</v>
      </c>
      <c r="R122" s="60">
        <v>0</v>
      </c>
      <c r="S122" s="60">
        <v>0</v>
      </c>
      <c r="T122" s="60">
        <v>0</v>
      </c>
      <c r="U122" s="60">
        <v>96100</v>
      </c>
      <c r="V122" s="60">
        <v>1</v>
      </c>
      <c r="W122" s="60">
        <v>0</v>
      </c>
      <c r="X122" s="60">
        <v>0</v>
      </c>
      <c r="Y122" s="61">
        <v>0</v>
      </c>
      <c r="Z122" s="60">
        <v>0</v>
      </c>
      <c r="AA122" s="60">
        <v>0</v>
      </c>
      <c r="AB122" s="60">
        <v>0</v>
      </c>
      <c r="AC122" s="60">
        <v>5530300</v>
      </c>
      <c r="AD122" s="62">
        <v>46</v>
      </c>
      <c r="AF122" s="47">
        <f t="shared" si="1"/>
        <v>5530300</v>
      </c>
    </row>
    <row r="123" spans="1:32" x14ac:dyDescent="0.3">
      <c r="A123" s="46" t="s">
        <v>0</v>
      </c>
      <c r="B123" s="46" t="str">
        <f>IFERROR(VLOOKUP($H123,매장구분!$B:$Z,2,0),"")</f>
        <v>파트너채널팀</v>
      </c>
      <c r="C123" s="46" t="str">
        <f>IFERROR(VLOOKUP($H123,매장구분!$B:$Z,3,0),"")</f>
        <v>국내</v>
      </c>
      <c r="D123" s="46" t="str">
        <f>IFERROR(VLOOKUP($H123,매장구분!$B:$Z,5,0),"")</f>
        <v>백화점</v>
      </c>
      <c r="E123" s="46" t="str">
        <f>IFERROR(VLOOKUP($H123,매장구분!$B:$Z,9,0),"")</f>
        <v>현대천호</v>
      </c>
      <c r="F123" s="53"/>
      <c r="G123" s="54" t="s">
        <v>305</v>
      </c>
      <c r="H123" s="55" t="s">
        <v>306</v>
      </c>
      <c r="I123" s="55" t="s">
        <v>169</v>
      </c>
      <c r="J123" s="55" t="s">
        <v>175</v>
      </c>
      <c r="K123" s="55" t="s">
        <v>170</v>
      </c>
      <c r="L123" s="55" t="s">
        <v>171</v>
      </c>
      <c r="M123" s="55" t="s">
        <v>77</v>
      </c>
      <c r="N123" s="55" t="s">
        <v>172</v>
      </c>
      <c r="O123" s="55">
        <v>3743300</v>
      </c>
      <c r="P123" s="55">
        <v>45</v>
      </c>
      <c r="Q123" s="55">
        <v>69000</v>
      </c>
      <c r="R123" s="55">
        <v>1</v>
      </c>
      <c r="S123" s="55">
        <v>0</v>
      </c>
      <c r="T123" s="55">
        <v>0</v>
      </c>
      <c r="U123" s="55">
        <v>363100</v>
      </c>
      <c r="V123" s="55">
        <v>3</v>
      </c>
      <c r="W123" s="55">
        <v>0</v>
      </c>
      <c r="X123" s="55">
        <v>0</v>
      </c>
      <c r="Y123" s="56">
        <v>0</v>
      </c>
      <c r="Z123" s="55">
        <v>0</v>
      </c>
      <c r="AA123" s="55">
        <v>0</v>
      </c>
      <c r="AB123" s="55">
        <v>0</v>
      </c>
      <c r="AC123" s="55">
        <v>4175400</v>
      </c>
      <c r="AD123" s="57">
        <v>49</v>
      </c>
      <c r="AF123" s="47">
        <f t="shared" si="1"/>
        <v>4175400</v>
      </c>
    </row>
    <row r="124" spans="1:32" x14ac:dyDescent="0.3">
      <c r="A124" s="46" t="s">
        <v>0</v>
      </c>
      <c r="B124" s="46" t="str">
        <f>IFERROR(VLOOKUP($H124,매장구분!$B:$Z,2,0),"")</f>
        <v>리테일채널팀</v>
      </c>
      <c r="C124" s="46" t="str">
        <f>IFERROR(VLOOKUP($H124,매장구분!$B:$Z,3,0),"")</f>
        <v>국내</v>
      </c>
      <c r="D124" s="46" t="str">
        <f>IFERROR(VLOOKUP($H124,매장구분!$B:$Z,5,0),"")</f>
        <v>대리점</v>
      </c>
      <c r="E124" s="46" t="str">
        <f>IFERROR(VLOOKUP($H124,매장구분!$B:$Z,9,0),"")</f>
        <v>서귀포(대-위)</v>
      </c>
      <c r="F124" s="58"/>
      <c r="G124" s="59" t="s">
        <v>313</v>
      </c>
      <c r="H124" s="60" t="s">
        <v>314</v>
      </c>
      <c r="I124" s="60" t="s">
        <v>169</v>
      </c>
      <c r="J124" s="60" t="s">
        <v>79</v>
      </c>
      <c r="K124" s="60" t="s">
        <v>170</v>
      </c>
      <c r="L124" s="60" t="s">
        <v>171</v>
      </c>
      <c r="M124" s="60" t="s">
        <v>196</v>
      </c>
      <c r="N124" s="60" t="s">
        <v>197</v>
      </c>
      <c r="O124" s="60">
        <v>3271700</v>
      </c>
      <c r="P124" s="60">
        <v>34</v>
      </c>
      <c r="Q124" s="60">
        <v>0</v>
      </c>
      <c r="R124" s="60">
        <v>0</v>
      </c>
      <c r="S124" s="60">
        <v>0</v>
      </c>
      <c r="T124" s="60">
        <v>0</v>
      </c>
      <c r="U124" s="60">
        <v>1435500</v>
      </c>
      <c r="V124" s="60">
        <v>12</v>
      </c>
      <c r="W124" s="60">
        <v>0</v>
      </c>
      <c r="X124" s="60">
        <v>0</v>
      </c>
      <c r="Y124" s="61">
        <v>0</v>
      </c>
      <c r="Z124" s="60">
        <v>0</v>
      </c>
      <c r="AA124" s="60">
        <v>0</v>
      </c>
      <c r="AB124" s="60">
        <v>0</v>
      </c>
      <c r="AC124" s="60">
        <v>4707200</v>
      </c>
      <c r="AD124" s="62">
        <v>46</v>
      </c>
      <c r="AF124" s="47">
        <f t="shared" si="1"/>
        <v>4707200</v>
      </c>
    </row>
    <row r="125" spans="1:32" x14ac:dyDescent="0.3">
      <c r="A125" s="46" t="s">
        <v>0</v>
      </c>
      <c r="B125" s="46" t="str">
        <f>IFERROR(VLOOKUP($H125,매장구분!$B:$Z,2,0),"")</f>
        <v>파트너채널팀</v>
      </c>
      <c r="C125" s="46" t="str">
        <f>IFERROR(VLOOKUP($H125,매장구분!$B:$Z,3,0),"")</f>
        <v>국내</v>
      </c>
      <c r="D125" s="46" t="str">
        <f>IFERROR(VLOOKUP($H125,매장구분!$B:$Z,5,0),"")</f>
        <v>백화점</v>
      </c>
      <c r="E125" s="46" t="str">
        <f>IFERROR(VLOOKUP($H125,매장구분!$B:$Z,9,0),"")</f>
        <v>롯데중동</v>
      </c>
      <c r="F125" s="53"/>
      <c r="G125" s="54" t="s">
        <v>510</v>
      </c>
      <c r="H125" s="55" t="s">
        <v>511</v>
      </c>
      <c r="I125" s="55" t="s">
        <v>169</v>
      </c>
      <c r="J125" s="55" t="s">
        <v>175</v>
      </c>
      <c r="K125" s="55" t="s">
        <v>170</v>
      </c>
      <c r="L125" s="55" t="s">
        <v>171</v>
      </c>
      <c r="M125" s="55" t="s">
        <v>77</v>
      </c>
      <c r="N125" s="55" t="s">
        <v>172</v>
      </c>
      <c r="O125" s="55">
        <v>5019800</v>
      </c>
      <c r="P125" s="55">
        <v>46</v>
      </c>
      <c r="Q125" s="55">
        <v>0</v>
      </c>
      <c r="R125" s="55">
        <v>0</v>
      </c>
      <c r="S125" s="55">
        <v>0</v>
      </c>
      <c r="T125" s="55">
        <v>0</v>
      </c>
      <c r="U125" s="55">
        <v>138300</v>
      </c>
      <c r="V125" s="55">
        <v>1</v>
      </c>
      <c r="W125" s="55">
        <v>0</v>
      </c>
      <c r="X125" s="55">
        <v>0</v>
      </c>
      <c r="Y125" s="56">
        <v>0</v>
      </c>
      <c r="Z125" s="55">
        <v>0</v>
      </c>
      <c r="AA125" s="55">
        <v>0</v>
      </c>
      <c r="AB125" s="55">
        <v>0</v>
      </c>
      <c r="AC125" s="55">
        <v>5158100</v>
      </c>
      <c r="AD125" s="57">
        <v>47</v>
      </c>
      <c r="AF125" s="47">
        <f t="shared" si="1"/>
        <v>5158100</v>
      </c>
    </row>
    <row r="126" spans="1:32" x14ac:dyDescent="0.3">
      <c r="A126" s="46" t="s">
        <v>0</v>
      </c>
      <c r="B126" s="46" t="str">
        <f>IFERROR(VLOOKUP($H126,매장구분!$B:$Z,2,0),"")</f>
        <v>리테일채널팀</v>
      </c>
      <c r="C126" s="46" t="str">
        <f>IFERROR(VLOOKUP($H126,매장구분!$B:$Z,3,0),"")</f>
        <v>국내</v>
      </c>
      <c r="D126" s="46" t="str">
        <f>IFERROR(VLOOKUP($H126,매장구분!$B:$Z,5,0),"")</f>
        <v>대리점</v>
      </c>
      <c r="E126" s="46" t="str">
        <f>IFERROR(VLOOKUP($H126,매장구분!$B:$Z,9,0),"")</f>
        <v>일산덕이(대-위)</v>
      </c>
      <c r="F126" s="58"/>
      <c r="G126" s="59" t="s">
        <v>580</v>
      </c>
      <c r="H126" s="60" t="s">
        <v>581</v>
      </c>
      <c r="I126" s="60" t="s">
        <v>169</v>
      </c>
      <c r="J126" s="60" t="s">
        <v>79</v>
      </c>
      <c r="K126" s="60" t="s">
        <v>170</v>
      </c>
      <c r="L126" s="60" t="s">
        <v>171</v>
      </c>
      <c r="M126" s="60" t="s">
        <v>196</v>
      </c>
      <c r="N126" s="60" t="s">
        <v>197</v>
      </c>
      <c r="O126" s="60">
        <v>1703100</v>
      </c>
      <c r="P126" s="60">
        <v>15</v>
      </c>
      <c r="Q126" s="60">
        <v>0</v>
      </c>
      <c r="R126" s="60">
        <v>0</v>
      </c>
      <c r="S126" s="60">
        <v>0</v>
      </c>
      <c r="T126" s="60">
        <v>0</v>
      </c>
      <c r="U126" s="60">
        <v>329000</v>
      </c>
      <c r="V126" s="60">
        <v>1</v>
      </c>
      <c r="W126" s="60">
        <v>0</v>
      </c>
      <c r="X126" s="60">
        <v>0</v>
      </c>
      <c r="Y126" s="61">
        <v>0</v>
      </c>
      <c r="Z126" s="60">
        <v>0</v>
      </c>
      <c r="AA126" s="60">
        <v>0</v>
      </c>
      <c r="AB126" s="60">
        <v>0</v>
      </c>
      <c r="AC126" s="60">
        <v>2032100</v>
      </c>
      <c r="AD126" s="62">
        <v>16</v>
      </c>
      <c r="AF126" s="47">
        <f t="shared" si="1"/>
        <v>2032100</v>
      </c>
    </row>
    <row r="127" spans="1:32" x14ac:dyDescent="0.3">
      <c r="A127" s="46" t="s">
        <v>0</v>
      </c>
      <c r="B127" s="46" t="str">
        <f>IFERROR(VLOOKUP($H127,매장구분!$B:$Z,2,0),"")</f>
        <v>파트너채널팀</v>
      </c>
      <c r="C127" s="46" t="str">
        <f>IFERROR(VLOOKUP($H127,매장구분!$B:$Z,3,0),"")</f>
        <v>국내</v>
      </c>
      <c r="D127" s="46" t="str">
        <f>IFERROR(VLOOKUP($H127,매장구분!$B:$Z,5,0),"")</f>
        <v>백화점</v>
      </c>
      <c r="E127" s="46" t="str">
        <f>IFERROR(VLOOKUP($H127,매장구분!$B:$Z,9,0),"")</f>
        <v>현대신촌</v>
      </c>
      <c r="F127" s="53"/>
      <c r="G127" s="54" t="s">
        <v>297</v>
      </c>
      <c r="H127" s="55" t="s">
        <v>298</v>
      </c>
      <c r="I127" s="55" t="s">
        <v>169</v>
      </c>
      <c r="J127" s="55" t="s">
        <v>175</v>
      </c>
      <c r="K127" s="55" t="s">
        <v>170</v>
      </c>
      <c r="L127" s="55" t="s">
        <v>171</v>
      </c>
      <c r="M127" s="55" t="s">
        <v>77</v>
      </c>
      <c r="N127" s="55" t="s">
        <v>172</v>
      </c>
      <c r="O127" s="55">
        <v>3706300</v>
      </c>
      <c r="P127" s="55">
        <v>50</v>
      </c>
      <c r="Q127" s="55">
        <v>540000</v>
      </c>
      <c r="R127" s="55">
        <v>15</v>
      </c>
      <c r="S127" s="55">
        <v>0</v>
      </c>
      <c r="T127" s="55">
        <v>0</v>
      </c>
      <c r="U127" s="55">
        <v>0</v>
      </c>
      <c r="V127" s="55">
        <v>0</v>
      </c>
      <c r="W127" s="55">
        <v>0</v>
      </c>
      <c r="X127" s="55">
        <v>0</v>
      </c>
      <c r="Y127" s="56">
        <v>19598000</v>
      </c>
      <c r="Z127" s="55">
        <v>131</v>
      </c>
      <c r="AA127" s="55">
        <v>0</v>
      </c>
      <c r="AB127" s="55">
        <v>0</v>
      </c>
      <c r="AC127" s="55">
        <v>23844300</v>
      </c>
      <c r="AD127" s="57">
        <v>196</v>
      </c>
      <c r="AF127" s="47">
        <f t="shared" si="1"/>
        <v>4246300</v>
      </c>
    </row>
    <row r="128" spans="1:32" x14ac:dyDescent="0.3">
      <c r="A128" s="46" t="s">
        <v>0</v>
      </c>
      <c r="B128" s="46" t="str">
        <f>IFERROR(VLOOKUP($H128,매장구분!$B:$Z,2,0),"")</f>
        <v>리테일채널팀</v>
      </c>
      <c r="C128" s="46" t="str">
        <f>IFERROR(VLOOKUP($H128,매장구분!$B:$Z,3,0),"")</f>
        <v>국내</v>
      </c>
      <c r="D128" s="46" t="str">
        <f>IFERROR(VLOOKUP($H128,매장구분!$B:$Z,5,0),"")</f>
        <v>대리점</v>
      </c>
      <c r="E128" s="46" t="str">
        <f>IFERROR(VLOOKUP($H128,매장구분!$B:$Z,9,0),"")</f>
        <v>춘천(대-위)</v>
      </c>
      <c r="F128" s="58"/>
      <c r="G128" s="59" t="s">
        <v>320</v>
      </c>
      <c r="H128" s="60" t="s">
        <v>321</v>
      </c>
      <c r="I128" s="60" t="s">
        <v>169</v>
      </c>
      <c r="J128" s="60" t="s">
        <v>79</v>
      </c>
      <c r="K128" s="60" t="s">
        <v>170</v>
      </c>
      <c r="L128" s="60" t="s">
        <v>171</v>
      </c>
      <c r="M128" s="60" t="s">
        <v>196</v>
      </c>
      <c r="N128" s="60" t="s">
        <v>197</v>
      </c>
      <c r="O128" s="60">
        <v>6790200</v>
      </c>
      <c r="P128" s="60">
        <v>78</v>
      </c>
      <c r="Q128" s="60">
        <v>0</v>
      </c>
      <c r="R128" s="60">
        <v>0</v>
      </c>
      <c r="S128" s="60">
        <v>0</v>
      </c>
      <c r="T128" s="60">
        <v>0</v>
      </c>
      <c r="U128" s="60">
        <v>279000</v>
      </c>
      <c r="V128" s="60">
        <v>1</v>
      </c>
      <c r="W128" s="60">
        <v>0</v>
      </c>
      <c r="X128" s="60">
        <v>0</v>
      </c>
      <c r="Y128" s="61">
        <v>0</v>
      </c>
      <c r="Z128" s="60">
        <v>0</v>
      </c>
      <c r="AA128" s="60">
        <v>0</v>
      </c>
      <c r="AB128" s="60">
        <v>0</v>
      </c>
      <c r="AC128" s="60">
        <v>7069200</v>
      </c>
      <c r="AD128" s="62">
        <v>79</v>
      </c>
      <c r="AF128" s="47">
        <f t="shared" si="1"/>
        <v>7069200</v>
      </c>
    </row>
    <row r="129" spans="1:32" x14ac:dyDescent="0.3">
      <c r="A129" s="46" t="s">
        <v>0</v>
      </c>
      <c r="B129" s="46" t="str">
        <f>IFERROR(VLOOKUP($H129,매장구분!$B:$Z,2,0),"")</f>
        <v>리테일채널팀</v>
      </c>
      <c r="C129" s="46" t="str">
        <f>IFERROR(VLOOKUP($H129,매장구분!$B:$Z,3,0),"")</f>
        <v>국내</v>
      </c>
      <c r="D129" s="46" t="str">
        <f>IFERROR(VLOOKUP($H129,매장구분!$B:$Z,5,0),"")</f>
        <v>대리점</v>
      </c>
      <c r="E129" s="46" t="str">
        <f>IFERROR(VLOOKUP($H129,매장구분!$B:$Z,9,0),"")</f>
        <v>안산한대(대-위)</v>
      </c>
      <c r="F129" s="53"/>
      <c r="G129" s="54" t="s">
        <v>295</v>
      </c>
      <c r="H129" s="55" t="s">
        <v>296</v>
      </c>
      <c r="I129" s="55" t="s">
        <v>169</v>
      </c>
      <c r="J129" s="55" t="s">
        <v>79</v>
      </c>
      <c r="K129" s="55" t="s">
        <v>170</v>
      </c>
      <c r="L129" s="55" t="s">
        <v>171</v>
      </c>
      <c r="M129" s="55" t="s">
        <v>196</v>
      </c>
      <c r="N129" s="55" t="s">
        <v>197</v>
      </c>
      <c r="O129" s="55">
        <v>7625400</v>
      </c>
      <c r="P129" s="55">
        <v>64</v>
      </c>
      <c r="Q129" s="55">
        <v>0</v>
      </c>
      <c r="R129" s="55">
        <v>0</v>
      </c>
      <c r="S129" s="55">
        <v>0</v>
      </c>
      <c r="T129" s="55">
        <v>0</v>
      </c>
      <c r="U129" s="55">
        <v>1300400</v>
      </c>
      <c r="V129" s="55">
        <v>9</v>
      </c>
      <c r="W129" s="55">
        <v>0</v>
      </c>
      <c r="X129" s="55">
        <v>0</v>
      </c>
      <c r="Y129" s="56">
        <v>0</v>
      </c>
      <c r="Z129" s="55">
        <v>0</v>
      </c>
      <c r="AA129" s="55">
        <v>0</v>
      </c>
      <c r="AB129" s="55">
        <v>0</v>
      </c>
      <c r="AC129" s="55">
        <v>8925800</v>
      </c>
      <c r="AD129" s="57">
        <v>73</v>
      </c>
      <c r="AF129" s="47">
        <f t="shared" si="1"/>
        <v>8925800</v>
      </c>
    </row>
    <row r="130" spans="1:32" x14ac:dyDescent="0.3">
      <c r="A130" s="46" t="s">
        <v>0</v>
      </c>
      <c r="B130" s="46" t="str">
        <f>IFERROR(VLOOKUP($H130,매장구분!$B:$Z,2,0),"")</f>
        <v>파트너채널팀</v>
      </c>
      <c r="C130" s="46" t="str">
        <f>IFERROR(VLOOKUP($H130,매장구분!$B:$Z,3,0),"")</f>
        <v>국내</v>
      </c>
      <c r="D130" s="46" t="str">
        <f>IFERROR(VLOOKUP($H130,매장구분!$B:$Z,5,0),"")</f>
        <v>백화점</v>
      </c>
      <c r="E130" s="46" t="str">
        <f>IFERROR(VLOOKUP($H130,매장구분!$B:$Z,9,0),"")</f>
        <v>신세계광주</v>
      </c>
      <c r="F130" s="58"/>
      <c r="G130" s="59" t="s">
        <v>504</v>
      </c>
      <c r="H130" s="60" t="s">
        <v>505</v>
      </c>
      <c r="I130" s="60" t="s">
        <v>169</v>
      </c>
      <c r="J130" s="60" t="s">
        <v>175</v>
      </c>
      <c r="K130" s="60" t="s">
        <v>170</v>
      </c>
      <c r="L130" s="60" t="s">
        <v>171</v>
      </c>
      <c r="M130" s="60" t="s">
        <v>77</v>
      </c>
      <c r="N130" s="60" t="s">
        <v>172</v>
      </c>
      <c r="O130" s="60">
        <v>10615000</v>
      </c>
      <c r="P130" s="60">
        <v>110</v>
      </c>
      <c r="Q130" s="60">
        <v>0</v>
      </c>
      <c r="R130" s="60">
        <v>0</v>
      </c>
      <c r="S130" s="60">
        <v>0</v>
      </c>
      <c r="T130" s="60">
        <v>0</v>
      </c>
      <c r="U130" s="60">
        <v>881400</v>
      </c>
      <c r="V130" s="60">
        <v>7</v>
      </c>
      <c r="W130" s="60">
        <v>0</v>
      </c>
      <c r="X130" s="60">
        <v>0</v>
      </c>
      <c r="Y130" s="61">
        <v>0</v>
      </c>
      <c r="Z130" s="60">
        <v>0</v>
      </c>
      <c r="AA130" s="60">
        <v>0</v>
      </c>
      <c r="AB130" s="60">
        <v>0</v>
      </c>
      <c r="AC130" s="60">
        <v>11496400</v>
      </c>
      <c r="AD130" s="62">
        <v>117</v>
      </c>
      <c r="AF130" s="47">
        <f t="shared" si="1"/>
        <v>11496400</v>
      </c>
    </row>
    <row r="131" spans="1:32" x14ac:dyDescent="0.3">
      <c r="A131" s="46" t="s">
        <v>0</v>
      </c>
      <c r="B131" s="46" t="str">
        <f>IFERROR(VLOOKUP($H131,매장구분!$B:$Z,2,0),"")</f>
        <v>파트너채널팀</v>
      </c>
      <c r="C131" s="46" t="str">
        <f>IFERROR(VLOOKUP($H131,매장구분!$B:$Z,3,0),"")</f>
        <v>국내</v>
      </c>
      <c r="D131" s="46" t="str">
        <f>IFERROR(VLOOKUP($H131,매장구분!$B:$Z,5,0),"")</f>
        <v>백화점</v>
      </c>
      <c r="E131" s="46" t="str">
        <f>IFERROR(VLOOKUP($H131,매장구분!$B:$Z,9,0),"")</f>
        <v>현대중동</v>
      </c>
      <c r="F131" s="53"/>
      <c r="G131" s="54" t="s">
        <v>494</v>
      </c>
      <c r="H131" s="55" t="s">
        <v>495</v>
      </c>
      <c r="I131" s="55" t="s">
        <v>169</v>
      </c>
      <c r="J131" s="55" t="s">
        <v>175</v>
      </c>
      <c r="K131" s="55" t="s">
        <v>170</v>
      </c>
      <c r="L131" s="55" t="s">
        <v>171</v>
      </c>
      <c r="M131" s="55" t="s">
        <v>77</v>
      </c>
      <c r="N131" s="55" t="s">
        <v>172</v>
      </c>
      <c r="O131" s="55">
        <v>27340100</v>
      </c>
      <c r="P131" s="55">
        <v>233</v>
      </c>
      <c r="Q131" s="55">
        <v>0</v>
      </c>
      <c r="R131" s="55">
        <v>0</v>
      </c>
      <c r="S131" s="55">
        <v>0</v>
      </c>
      <c r="T131" s="55">
        <v>0</v>
      </c>
      <c r="U131" s="55">
        <v>542600</v>
      </c>
      <c r="V131" s="55">
        <v>5</v>
      </c>
      <c r="W131" s="55">
        <v>0</v>
      </c>
      <c r="X131" s="55">
        <v>0</v>
      </c>
      <c r="Y131" s="56">
        <v>3283700</v>
      </c>
      <c r="Z131" s="55">
        <v>37</v>
      </c>
      <c r="AA131" s="55">
        <v>0</v>
      </c>
      <c r="AB131" s="55">
        <v>0</v>
      </c>
      <c r="AC131" s="55">
        <v>31166400</v>
      </c>
      <c r="AD131" s="57">
        <v>275</v>
      </c>
      <c r="AF131" s="47">
        <f t="shared" ref="AF131:AF194" si="2">IFERROR(AC131-Y131,"")</f>
        <v>27882700</v>
      </c>
    </row>
    <row r="132" spans="1:32" x14ac:dyDescent="0.3">
      <c r="A132" s="46" t="s">
        <v>0</v>
      </c>
      <c r="B132" s="46" t="str">
        <f>IFERROR(VLOOKUP($H132,매장구분!$B:$Z,2,0),"")</f>
        <v>파트너채널팀</v>
      </c>
      <c r="C132" s="46" t="str">
        <f>IFERROR(VLOOKUP($H132,매장구분!$B:$Z,3,0),"")</f>
        <v>국내</v>
      </c>
      <c r="D132" s="46" t="str">
        <f>IFERROR(VLOOKUP($H132,매장구분!$B:$Z,5,0),"")</f>
        <v>백화점</v>
      </c>
      <c r="E132" s="46" t="str">
        <f>IFERROR(VLOOKUP($H132,매장구분!$B:$Z,9,0),"")</f>
        <v>아이파크용산</v>
      </c>
      <c r="F132" s="58"/>
      <c r="G132" s="59" t="s">
        <v>496</v>
      </c>
      <c r="H132" s="60" t="s">
        <v>497</v>
      </c>
      <c r="I132" s="60" t="s">
        <v>169</v>
      </c>
      <c r="J132" s="60" t="s">
        <v>175</v>
      </c>
      <c r="K132" s="60" t="s">
        <v>170</v>
      </c>
      <c r="L132" s="60" t="s">
        <v>171</v>
      </c>
      <c r="M132" s="60" t="s">
        <v>188</v>
      </c>
      <c r="N132" s="60" t="s">
        <v>317</v>
      </c>
      <c r="O132" s="60">
        <v>5885000</v>
      </c>
      <c r="P132" s="60">
        <v>41</v>
      </c>
      <c r="Q132" s="60">
        <v>0</v>
      </c>
      <c r="R132" s="60">
        <v>0</v>
      </c>
      <c r="S132" s="60">
        <v>0</v>
      </c>
      <c r="T132" s="60">
        <v>0</v>
      </c>
      <c r="U132" s="60">
        <v>29500</v>
      </c>
      <c r="V132" s="60">
        <v>1</v>
      </c>
      <c r="W132" s="60">
        <v>0</v>
      </c>
      <c r="X132" s="60">
        <v>0</v>
      </c>
      <c r="Y132" s="61">
        <v>17721100</v>
      </c>
      <c r="Z132" s="60">
        <v>175</v>
      </c>
      <c r="AA132" s="60">
        <v>0</v>
      </c>
      <c r="AB132" s="60">
        <v>0</v>
      </c>
      <c r="AC132" s="60">
        <v>23635600</v>
      </c>
      <c r="AD132" s="62">
        <v>217</v>
      </c>
      <c r="AF132" s="47">
        <f t="shared" si="2"/>
        <v>5914500</v>
      </c>
    </row>
    <row r="133" spans="1:32" x14ac:dyDescent="0.3">
      <c r="A133" s="46" t="s">
        <v>0</v>
      </c>
      <c r="B133" s="46" t="str">
        <f>IFERROR(VLOOKUP($H133,매장구분!$B:$Z,2,0),"")</f>
        <v>리테일채널팀</v>
      </c>
      <c r="C133" s="46" t="str">
        <f>IFERROR(VLOOKUP($H133,매장구분!$B:$Z,3,0),"")</f>
        <v>국내</v>
      </c>
      <c r="D133" s="46" t="str">
        <f>IFERROR(VLOOKUP($H133,매장구분!$B:$Z,5,0),"")</f>
        <v>대리점</v>
      </c>
      <c r="E133" s="46" t="str">
        <f>IFERROR(VLOOKUP($H133,매장구분!$B:$Z,9,0),"")</f>
        <v>안산시화(대-위)</v>
      </c>
      <c r="F133" s="53"/>
      <c r="G133" s="54" t="s">
        <v>291</v>
      </c>
      <c r="H133" s="55" t="s">
        <v>292</v>
      </c>
      <c r="I133" s="55" t="s">
        <v>169</v>
      </c>
      <c r="J133" s="55" t="s">
        <v>79</v>
      </c>
      <c r="K133" s="55" t="s">
        <v>170</v>
      </c>
      <c r="L133" s="55" t="s">
        <v>171</v>
      </c>
      <c r="M133" s="55" t="s">
        <v>196</v>
      </c>
      <c r="N133" s="55" t="s">
        <v>197</v>
      </c>
      <c r="O133" s="55">
        <v>11545100</v>
      </c>
      <c r="P133" s="55">
        <v>77</v>
      </c>
      <c r="Q133" s="55">
        <v>0</v>
      </c>
      <c r="R133" s="55">
        <v>0</v>
      </c>
      <c r="S133" s="55">
        <v>0</v>
      </c>
      <c r="T133" s="55">
        <v>0</v>
      </c>
      <c r="U133" s="55">
        <v>502100</v>
      </c>
      <c r="V133" s="55">
        <v>3</v>
      </c>
      <c r="W133" s="55">
        <v>0</v>
      </c>
      <c r="X133" s="55">
        <v>0</v>
      </c>
      <c r="Y133" s="56">
        <v>0</v>
      </c>
      <c r="Z133" s="55">
        <v>0</v>
      </c>
      <c r="AA133" s="55">
        <v>0</v>
      </c>
      <c r="AB133" s="55">
        <v>0</v>
      </c>
      <c r="AC133" s="55">
        <v>12047200</v>
      </c>
      <c r="AD133" s="57">
        <v>80</v>
      </c>
      <c r="AF133" s="47">
        <f t="shared" si="2"/>
        <v>12047200</v>
      </c>
    </row>
    <row r="134" spans="1:32" x14ac:dyDescent="0.3">
      <c r="A134" s="46" t="s">
        <v>0</v>
      </c>
      <c r="B134" s="46" t="str">
        <f>IFERROR(VLOOKUP($H134,매장구분!$B:$Z,2,0),"")</f>
        <v>파트너채널팀</v>
      </c>
      <c r="C134" s="46" t="str">
        <f>IFERROR(VLOOKUP($H134,매장구분!$B:$Z,3,0),"")</f>
        <v>국내</v>
      </c>
      <c r="D134" s="46" t="str">
        <f>IFERROR(VLOOKUP($H134,매장구분!$B:$Z,5,0),"")</f>
        <v>백화점</v>
      </c>
      <c r="E134" s="46" t="str">
        <f>IFERROR(VLOOKUP($H134,매장구분!$B:$Z,9,0),"")</f>
        <v>현대미아</v>
      </c>
      <c r="F134" s="58"/>
      <c r="G134" s="59" t="s">
        <v>512</v>
      </c>
      <c r="H134" s="60" t="s">
        <v>513</v>
      </c>
      <c r="I134" s="60" t="s">
        <v>169</v>
      </c>
      <c r="J134" s="60" t="s">
        <v>175</v>
      </c>
      <c r="K134" s="60" t="s">
        <v>170</v>
      </c>
      <c r="L134" s="60" t="s">
        <v>171</v>
      </c>
      <c r="M134" s="60" t="s">
        <v>77</v>
      </c>
      <c r="N134" s="60" t="s">
        <v>172</v>
      </c>
      <c r="O134" s="60">
        <v>1315300</v>
      </c>
      <c r="P134" s="60">
        <v>17</v>
      </c>
      <c r="Q134" s="60">
        <v>0</v>
      </c>
      <c r="R134" s="60">
        <v>0</v>
      </c>
      <c r="S134" s="60">
        <v>0</v>
      </c>
      <c r="T134" s="60">
        <v>0</v>
      </c>
      <c r="U134" s="60">
        <v>0</v>
      </c>
      <c r="V134" s="60">
        <v>0</v>
      </c>
      <c r="W134" s="60">
        <v>0</v>
      </c>
      <c r="X134" s="60">
        <v>0</v>
      </c>
      <c r="Y134" s="61">
        <v>0</v>
      </c>
      <c r="Z134" s="60">
        <v>0</v>
      </c>
      <c r="AA134" s="60">
        <v>1087000</v>
      </c>
      <c r="AB134" s="60">
        <v>11</v>
      </c>
      <c r="AC134" s="60">
        <v>2402300</v>
      </c>
      <c r="AD134" s="62">
        <v>28</v>
      </c>
      <c r="AF134" s="47">
        <f t="shared" si="2"/>
        <v>2402300</v>
      </c>
    </row>
    <row r="135" spans="1:32" x14ac:dyDescent="0.3">
      <c r="A135" s="46" t="s">
        <v>0</v>
      </c>
      <c r="B135" s="46" t="str">
        <f>IFERROR(VLOOKUP($H135,매장구분!$B:$Z,2,0),"")</f>
        <v>파트너채널팀</v>
      </c>
      <c r="C135" s="46" t="str">
        <f>IFERROR(VLOOKUP($H135,매장구분!$B:$Z,3,0),"")</f>
        <v>국내</v>
      </c>
      <c r="D135" s="46" t="str">
        <f>IFERROR(VLOOKUP($H135,매장구분!$B:$Z,5,0),"")</f>
        <v>백화점</v>
      </c>
      <c r="E135" s="46" t="str">
        <f>IFERROR(VLOOKUP($H135,매장구분!$B:$Z,9,0),"")</f>
        <v>현대목동</v>
      </c>
      <c r="F135" s="53"/>
      <c r="G135" s="54" t="s">
        <v>604</v>
      </c>
      <c r="H135" s="55" t="s">
        <v>605</v>
      </c>
      <c r="I135" s="55" t="s">
        <v>169</v>
      </c>
      <c r="J135" s="55" t="s">
        <v>175</v>
      </c>
      <c r="K135" s="55" t="s">
        <v>170</v>
      </c>
      <c r="L135" s="55" t="s">
        <v>171</v>
      </c>
      <c r="M135" s="55" t="s">
        <v>77</v>
      </c>
      <c r="N135" s="55" t="s">
        <v>172</v>
      </c>
      <c r="O135" s="55">
        <v>3838200</v>
      </c>
      <c r="P135" s="55">
        <v>48</v>
      </c>
      <c r="Q135" s="55">
        <v>1330000</v>
      </c>
      <c r="R135" s="55">
        <v>37</v>
      </c>
      <c r="S135" s="55">
        <v>0</v>
      </c>
      <c r="T135" s="55">
        <v>0</v>
      </c>
      <c r="U135" s="55">
        <v>312300</v>
      </c>
      <c r="V135" s="55">
        <v>3</v>
      </c>
      <c r="W135" s="55">
        <v>0</v>
      </c>
      <c r="X135" s="55">
        <v>0</v>
      </c>
      <c r="Y135" s="56">
        <v>15810000</v>
      </c>
      <c r="Z135" s="55">
        <v>120</v>
      </c>
      <c r="AA135" s="55">
        <v>0</v>
      </c>
      <c r="AB135" s="55">
        <v>0</v>
      </c>
      <c r="AC135" s="55">
        <v>21290500</v>
      </c>
      <c r="AD135" s="57">
        <v>208</v>
      </c>
      <c r="AF135" s="47">
        <f t="shared" si="2"/>
        <v>5480500</v>
      </c>
    </row>
    <row r="136" spans="1:32" x14ac:dyDescent="0.3">
      <c r="A136" s="46" t="s">
        <v>0</v>
      </c>
      <c r="B136" s="46" t="str">
        <f>IFERROR(VLOOKUP($H136,매장구분!$B:$Z,2,0),"")</f>
        <v>리테일채널팀</v>
      </c>
      <c r="C136" s="46" t="str">
        <f>IFERROR(VLOOKUP($H136,매장구분!$B:$Z,3,0),"")</f>
        <v>국내</v>
      </c>
      <c r="D136" s="46" t="str">
        <f>IFERROR(VLOOKUP($H136,매장구분!$B:$Z,5,0),"")</f>
        <v>대리점</v>
      </c>
      <c r="E136" s="46" t="str">
        <f>IFERROR(VLOOKUP($H136,매장구분!$B:$Z,9,0),"")</f>
        <v>포천(대-위)</v>
      </c>
      <c r="F136" s="58"/>
      <c r="G136" s="59" t="s">
        <v>289</v>
      </c>
      <c r="H136" s="60" t="s">
        <v>290</v>
      </c>
      <c r="I136" s="60" t="s">
        <v>169</v>
      </c>
      <c r="J136" s="60" t="s">
        <v>79</v>
      </c>
      <c r="K136" s="60" t="s">
        <v>170</v>
      </c>
      <c r="L136" s="60" t="s">
        <v>171</v>
      </c>
      <c r="M136" s="60" t="s">
        <v>196</v>
      </c>
      <c r="N136" s="60" t="s">
        <v>197</v>
      </c>
      <c r="O136" s="60">
        <v>1153000</v>
      </c>
      <c r="P136" s="60">
        <v>12</v>
      </c>
      <c r="Q136" s="60">
        <v>0</v>
      </c>
      <c r="R136" s="60">
        <v>0</v>
      </c>
      <c r="S136" s="60">
        <v>0</v>
      </c>
      <c r="T136" s="60">
        <v>0</v>
      </c>
      <c r="U136" s="60">
        <v>258000</v>
      </c>
      <c r="V136" s="60">
        <v>2</v>
      </c>
      <c r="W136" s="60">
        <v>0</v>
      </c>
      <c r="X136" s="60">
        <v>0</v>
      </c>
      <c r="Y136" s="61">
        <v>0</v>
      </c>
      <c r="Z136" s="60">
        <v>0</v>
      </c>
      <c r="AA136" s="60">
        <v>0</v>
      </c>
      <c r="AB136" s="60">
        <v>0</v>
      </c>
      <c r="AC136" s="60">
        <v>1411000</v>
      </c>
      <c r="AD136" s="62">
        <v>14</v>
      </c>
      <c r="AF136" s="47">
        <f t="shared" si="2"/>
        <v>1411000</v>
      </c>
    </row>
    <row r="137" spans="1:32" x14ac:dyDescent="0.3">
      <c r="A137" s="46" t="s">
        <v>0</v>
      </c>
      <c r="B137" s="46" t="str">
        <f>IFERROR(VLOOKUP($H137,매장구분!$B:$Z,2,0),"")</f>
        <v>리테일채널팀</v>
      </c>
      <c r="C137" s="46" t="str">
        <f>IFERROR(VLOOKUP($H137,매장구분!$B:$Z,3,0),"")</f>
        <v>국내</v>
      </c>
      <c r="D137" s="46" t="str">
        <f>IFERROR(VLOOKUP($H137,매장구분!$B:$Z,5,0),"")</f>
        <v>대리점</v>
      </c>
      <c r="E137" s="46" t="str">
        <f>IFERROR(VLOOKUP($H137,매장구분!$B:$Z,9,0),"")</f>
        <v>광주용봉(대-위)</v>
      </c>
      <c r="F137" s="53"/>
      <c r="G137" s="54" t="s">
        <v>606</v>
      </c>
      <c r="H137" s="55" t="s">
        <v>607</v>
      </c>
      <c r="I137" s="55" t="s">
        <v>169</v>
      </c>
      <c r="J137" s="55" t="s">
        <v>79</v>
      </c>
      <c r="K137" s="55" t="s">
        <v>170</v>
      </c>
      <c r="L137" s="55" t="s">
        <v>171</v>
      </c>
      <c r="M137" s="55" t="s">
        <v>196</v>
      </c>
      <c r="N137" s="55" t="s">
        <v>197</v>
      </c>
      <c r="O137" s="55">
        <v>2006600</v>
      </c>
      <c r="P137" s="55">
        <v>18</v>
      </c>
      <c r="Q137" s="55">
        <v>0</v>
      </c>
      <c r="R137" s="55">
        <v>0</v>
      </c>
      <c r="S137" s="55">
        <v>0</v>
      </c>
      <c r="T137" s="55">
        <v>0</v>
      </c>
      <c r="U137" s="55">
        <v>1229500</v>
      </c>
      <c r="V137" s="55">
        <v>8</v>
      </c>
      <c r="W137" s="55">
        <v>0</v>
      </c>
      <c r="X137" s="55">
        <v>0</v>
      </c>
      <c r="Y137" s="56">
        <v>0</v>
      </c>
      <c r="Z137" s="55">
        <v>0</v>
      </c>
      <c r="AA137" s="55">
        <v>0</v>
      </c>
      <c r="AB137" s="55">
        <v>0</v>
      </c>
      <c r="AC137" s="55">
        <v>3236100</v>
      </c>
      <c r="AD137" s="57">
        <v>26</v>
      </c>
      <c r="AF137" s="47">
        <f t="shared" si="2"/>
        <v>3236100</v>
      </c>
    </row>
    <row r="138" spans="1:32" x14ac:dyDescent="0.3">
      <c r="A138" s="46" t="s">
        <v>0</v>
      </c>
      <c r="B138" s="46" t="str">
        <f>IFERROR(VLOOKUP($H138,매장구분!$B:$Z,2,0),"")</f>
        <v>리테일채널팀</v>
      </c>
      <c r="C138" s="46" t="str">
        <f>IFERROR(VLOOKUP($H138,매장구분!$B:$Z,3,0),"")</f>
        <v>국내</v>
      </c>
      <c r="D138" s="46" t="str">
        <f>IFERROR(VLOOKUP($H138,매장구분!$B:$Z,5,0),"")</f>
        <v>상설(위탁)</v>
      </c>
      <c r="E138" s="46" t="str">
        <f>IFERROR(VLOOKUP($H138,매장구분!$B:$Z,9,0),"")</f>
        <v>롯데아울렛진주(상-위)</v>
      </c>
      <c r="F138" s="58"/>
      <c r="G138" s="59" t="s">
        <v>528</v>
      </c>
      <c r="H138" s="60" t="s">
        <v>529</v>
      </c>
      <c r="I138" s="60" t="s">
        <v>169</v>
      </c>
      <c r="J138" s="60" t="s">
        <v>79</v>
      </c>
      <c r="K138" s="60" t="s">
        <v>170</v>
      </c>
      <c r="L138" s="60" t="s">
        <v>171</v>
      </c>
      <c r="M138" s="60" t="s">
        <v>219</v>
      </c>
      <c r="N138" s="60" t="s">
        <v>219</v>
      </c>
      <c r="O138" s="60">
        <v>720000</v>
      </c>
      <c r="P138" s="60">
        <v>20</v>
      </c>
      <c r="Q138" s="60">
        <v>0</v>
      </c>
      <c r="R138" s="60">
        <v>0</v>
      </c>
      <c r="S138" s="60">
        <v>0</v>
      </c>
      <c r="T138" s="60">
        <v>0</v>
      </c>
      <c r="U138" s="60">
        <v>0</v>
      </c>
      <c r="V138" s="60">
        <v>0</v>
      </c>
      <c r="W138" s="60">
        <v>0</v>
      </c>
      <c r="X138" s="60">
        <v>0</v>
      </c>
      <c r="Y138" s="61">
        <v>0</v>
      </c>
      <c r="Z138" s="60">
        <v>0</v>
      </c>
      <c r="AA138" s="60">
        <v>0</v>
      </c>
      <c r="AB138" s="60">
        <v>0</v>
      </c>
      <c r="AC138" s="60">
        <v>720000</v>
      </c>
      <c r="AD138" s="62">
        <v>20</v>
      </c>
      <c r="AF138" s="47">
        <f t="shared" si="2"/>
        <v>720000</v>
      </c>
    </row>
    <row r="139" spans="1:32" x14ac:dyDescent="0.3">
      <c r="A139" s="46" t="s">
        <v>0</v>
      </c>
      <c r="B139" s="46" t="str">
        <f>IFERROR(VLOOKUP($H139,매장구분!$B:$Z,2,0),"")</f>
        <v>리테일채널팀</v>
      </c>
      <c r="C139" s="46" t="str">
        <f>IFERROR(VLOOKUP($H139,매장구분!$B:$Z,3,0),"")</f>
        <v>국내</v>
      </c>
      <c r="D139" s="46" t="str">
        <f>IFERROR(VLOOKUP($H139,매장구분!$B:$Z,5,0),"")</f>
        <v>대리점</v>
      </c>
      <c r="E139" s="46" t="str">
        <f>IFERROR(VLOOKUP($H139,매장구분!$B:$Z,9,0),"")</f>
        <v>안산중앙(대-위)</v>
      </c>
      <c r="F139" s="53"/>
      <c r="G139" s="54" t="s">
        <v>307</v>
      </c>
      <c r="H139" s="55" t="s">
        <v>308</v>
      </c>
      <c r="I139" s="55" t="s">
        <v>169</v>
      </c>
      <c r="J139" s="55" t="s">
        <v>79</v>
      </c>
      <c r="K139" s="55" t="s">
        <v>170</v>
      </c>
      <c r="L139" s="55" t="s">
        <v>171</v>
      </c>
      <c r="M139" s="55" t="s">
        <v>196</v>
      </c>
      <c r="N139" s="55" t="s">
        <v>197</v>
      </c>
      <c r="O139" s="55">
        <v>2759000</v>
      </c>
      <c r="P139" s="55">
        <v>31</v>
      </c>
      <c r="Q139" s="55">
        <v>0</v>
      </c>
      <c r="R139" s="55">
        <v>0</v>
      </c>
      <c r="S139" s="55">
        <v>0</v>
      </c>
      <c r="T139" s="55">
        <v>0</v>
      </c>
      <c r="U139" s="55">
        <v>718000</v>
      </c>
      <c r="V139" s="55">
        <v>2</v>
      </c>
      <c r="W139" s="55">
        <v>0</v>
      </c>
      <c r="X139" s="55">
        <v>0</v>
      </c>
      <c r="Y139" s="56">
        <v>1495000</v>
      </c>
      <c r="Z139" s="55">
        <v>5</v>
      </c>
      <c r="AA139" s="55">
        <v>0</v>
      </c>
      <c r="AB139" s="55">
        <v>0</v>
      </c>
      <c r="AC139" s="55">
        <v>4972000</v>
      </c>
      <c r="AD139" s="57">
        <v>38</v>
      </c>
      <c r="AF139" s="47">
        <f t="shared" si="2"/>
        <v>3477000</v>
      </c>
    </row>
    <row r="140" spans="1:32" x14ac:dyDescent="0.3">
      <c r="A140" s="46" t="s">
        <v>0</v>
      </c>
      <c r="B140" s="46" t="str">
        <f>IFERROR(VLOOKUP($H140,매장구분!$B:$Z,2,0),"")</f>
        <v>파트너채널팀</v>
      </c>
      <c r="C140" s="46" t="str">
        <f>IFERROR(VLOOKUP($H140,매장구분!$B:$Z,3,0),"")</f>
        <v>국내</v>
      </c>
      <c r="D140" s="46" t="str">
        <f>IFERROR(VLOOKUP($H140,매장구분!$B:$Z,5,0),"")</f>
        <v>백화점</v>
      </c>
      <c r="E140" s="46" t="str">
        <f>IFERROR(VLOOKUP($H140,매장구분!$B:$Z,9,0),"")</f>
        <v>롯데일산</v>
      </c>
      <c r="F140" s="58"/>
      <c r="G140" s="59" t="s">
        <v>508</v>
      </c>
      <c r="H140" s="60" t="s">
        <v>509</v>
      </c>
      <c r="I140" s="60" t="s">
        <v>169</v>
      </c>
      <c r="J140" s="60" t="s">
        <v>175</v>
      </c>
      <c r="K140" s="60" t="s">
        <v>170</v>
      </c>
      <c r="L140" s="60" t="s">
        <v>171</v>
      </c>
      <c r="M140" s="60" t="s">
        <v>77</v>
      </c>
      <c r="N140" s="60" t="s">
        <v>172</v>
      </c>
      <c r="O140" s="60">
        <v>5203400</v>
      </c>
      <c r="P140" s="60">
        <v>51</v>
      </c>
      <c r="Q140" s="60">
        <v>0</v>
      </c>
      <c r="R140" s="60">
        <v>0</v>
      </c>
      <c r="S140" s="60">
        <v>0</v>
      </c>
      <c r="T140" s="60">
        <v>0</v>
      </c>
      <c r="U140" s="60">
        <v>548500</v>
      </c>
      <c r="V140" s="60">
        <v>5</v>
      </c>
      <c r="W140" s="60">
        <v>0</v>
      </c>
      <c r="X140" s="60">
        <v>0</v>
      </c>
      <c r="Y140" s="61">
        <v>0</v>
      </c>
      <c r="Z140" s="60">
        <v>0</v>
      </c>
      <c r="AA140" s="60">
        <v>0</v>
      </c>
      <c r="AB140" s="60">
        <v>0</v>
      </c>
      <c r="AC140" s="60">
        <v>5751900</v>
      </c>
      <c r="AD140" s="62">
        <v>56</v>
      </c>
      <c r="AF140" s="47">
        <f t="shared" si="2"/>
        <v>5751900</v>
      </c>
    </row>
    <row r="141" spans="1:32" x14ac:dyDescent="0.3">
      <c r="A141" s="46" t="s">
        <v>0</v>
      </c>
      <c r="B141" s="46" t="str">
        <f>IFERROR(VLOOKUP($H141,매장구분!$B:$Z,2,0),"")</f>
        <v>파트너채널팀</v>
      </c>
      <c r="C141" s="46" t="str">
        <f>IFERROR(VLOOKUP($H141,매장구분!$B:$Z,3,0),"")</f>
        <v>국내</v>
      </c>
      <c r="D141" s="46" t="str">
        <f>IFERROR(VLOOKUP($H141,매장구분!$B:$Z,5,0),"")</f>
        <v>백화점</v>
      </c>
      <c r="E141" s="46" t="str">
        <f>IFERROR(VLOOKUP($H141,매장구분!$B:$Z,9,0),"")</f>
        <v>AK분당</v>
      </c>
      <c r="F141" s="53"/>
      <c r="G141" s="54" t="s">
        <v>582</v>
      </c>
      <c r="H141" s="55" t="s">
        <v>583</v>
      </c>
      <c r="I141" s="55" t="s">
        <v>169</v>
      </c>
      <c r="J141" s="55" t="s">
        <v>175</v>
      </c>
      <c r="K141" s="55" t="s">
        <v>170</v>
      </c>
      <c r="L141" s="55" t="s">
        <v>171</v>
      </c>
      <c r="M141" s="55" t="s">
        <v>77</v>
      </c>
      <c r="N141" s="55" t="s">
        <v>172</v>
      </c>
      <c r="O141" s="55">
        <v>1069600</v>
      </c>
      <c r="P141" s="55">
        <v>16</v>
      </c>
      <c r="Q141" s="55">
        <v>0</v>
      </c>
      <c r="R141" s="55">
        <v>0</v>
      </c>
      <c r="S141" s="55">
        <v>0</v>
      </c>
      <c r="T141" s="55">
        <v>0</v>
      </c>
      <c r="U141" s="55">
        <v>0</v>
      </c>
      <c r="V141" s="55">
        <v>0</v>
      </c>
      <c r="W141" s="55">
        <v>0</v>
      </c>
      <c r="X141" s="55">
        <v>0</v>
      </c>
      <c r="Y141" s="56">
        <v>0</v>
      </c>
      <c r="Z141" s="55">
        <v>0</v>
      </c>
      <c r="AA141" s="55">
        <v>0</v>
      </c>
      <c r="AB141" s="55">
        <v>0</v>
      </c>
      <c r="AC141" s="55">
        <v>1069600</v>
      </c>
      <c r="AD141" s="57">
        <v>16</v>
      </c>
      <c r="AF141" s="47">
        <f t="shared" si="2"/>
        <v>1069600</v>
      </c>
    </row>
    <row r="142" spans="1:32" x14ac:dyDescent="0.3">
      <c r="A142" s="46" t="s">
        <v>0</v>
      </c>
      <c r="B142" s="46" t="str">
        <f>IFERROR(VLOOKUP($H142,매장구분!$B:$Z,2,0),"")</f>
        <v>파트너채널팀</v>
      </c>
      <c r="C142" s="46" t="str">
        <f>IFERROR(VLOOKUP($H142,매장구분!$B:$Z,3,0),"")</f>
        <v>국내</v>
      </c>
      <c r="D142" s="46" t="str">
        <f>IFERROR(VLOOKUP($H142,매장구분!$B:$Z,5,0),"")</f>
        <v>백화점</v>
      </c>
      <c r="E142" s="46" t="str">
        <f>IFERROR(VLOOKUP($H142,매장구분!$B:$Z,9,0),"")</f>
        <v>갤러리아진주</v>
      </c>
      <c r="F142" s="58"/>
      <c r="G142" s="59" t="s">
        <v>516</v>
      </c>
      <c r="H142" s="60" t="s">
        <v>517</v>
      </c>
      <c r="I142" s="60" t="s">
        <v>169</v>
      </c>
      <c r="J142" s="60" t="s">
        <v>175</v>
      </c>
      <c r="K142" s="60" t="s">
        <v>170</v>
      </c>
      <c r="L142" s="60" t="s">
        <v>171</v>
      </c>
      <c r="M142" s="60" t="s">
        <v>77</v>
      </c>
      <c r="N142" s="60" t="s">
        <v>172</v>
      </c>
      <c r="O142" s="60">
        <v>3648000</v>
      </c>
      <c r="P142" s="60">
        <v>34</v>
      </c>
      <c r="Q142" s="60">
        <v>275000</v>
      </c>
      <c r="R142" s="60">
        <v>1</v>
      </c>
      <c r="S142" s="60">
        <v>0</v>
      </c>
      <c r="T142" s="60">
        <v>0</v>
      </c>
      <c r="U142" s="60">
        <v>889200</v>
      </c>
      <c r="V142" s="60">
        <v>8</v>
      </c>
      <c r="W142" s="60">
        <v>0</v>
      </c>
      <c r="X142" s="60">
        <v>0</v>
      </c>
      <c r="Y142" s="61">
        <v>0</v>
      </c>
      <c r="Z142" s="60">
        <v>0</v>
      </c>
      <c r="AA142" s="60">
        <v>0</v>
      </c>
      <c r="AB142" s="60">
        <v>0</v>
      </c>
      <c r="AC142" s="60">
        <v>4812200</v>
      </c>
      <c r="AD142" s="62">
        <v>43</v>
      </c>
      <c r="AF142" s="47">
        <f t="shared" si="2"/>
        <v>4812200</v>
      </c>
    </row>
    <row r="143" spans="1:32" x14ac:dyDescent="0.3">
      <c r="A143" s="46" t="s">
        <v>0</v>
      </c>
      <c r="B143" s="46" t="str">
        <f>IFERROR(VLOOKUP($H143,매장구분!$B:$Z,2,0),"")</f>
        <v>리테일채널팀</v>
      </c>
      <c r="C143" s="46" t="str">
        <f>IFERROR(VLOOKUP($H143,매장구분!$B:$Z,3,0),"")</f>
        <v>국내</v>
      </c>
      <c r="D143" s="46" t="str">
        <f>IFERROR(VLOOKUP($H143,매장구분!$B:$Z,5,0),"")</f>
        <v>대리점</v>
      </c>
      <c r="E143" s="46" t="str">
        <f>IFERROR(VLOOKUP($H143,매장구분!$B:$Z,9,0),"")</f>
        <v>거제(대-위)</v>
      </c>
      <c r="F143" s="53"/>
      <c r="G143" s="54" t="s">
        <v>502</v>
      </c>
      <c r="H143" s="55" t="s">
        <v>503</v>
      </c>
      <c r="I143" s="55" t="s">
        <v>169</v>
      </c>
      <c r="J143" s="55" t="s">
        <v>79</v>
      </c>
      <c r="K143" s="55" t="s">
        <v>170</v>
      </c>
      <c r="L143" s="55" t="s">
        <v>171</v>
      </c>
      <c r="M143" s="55" t="s">
        <v>196</v>
      </c>
      <c r="N143" s="55" t="s">
        <v>197</v>
      </c>
      <c r="O143" s="55">
        <v>5299200</v>
      </c>
      <c r="P143" s="55">
        <v>62</v>
      </c>
      <c r="Q143" s="55">
        <v>0</v>
      </c>
      <c r="R143" s="55">
        <v>0</v>
      </c>
      <c r="S143" s="55">
        <v>0</v>
      </c>
      <c r="T143" s="55">
        <v>0</v>
      </c>
      <c r="U143" s="55">
        <v>357300</v>
      </c>
      <c r="V143" s="55">
        <v>3</v>
      </c>
      <c r="W143" s="55">
        <v>0</v>
      </c>
      <c r="X143" s="55">
        <v>0</v>
      </c>
      <c r="Y143" s="56">
        <v>0</v>
      </c>
      <c r="Z143" s="55">
        <v>0</v>
      </c>
      <c r="AA143" s="55">
        <v>0</v>
      </c>
      <c r="AB143" s="55">
        <v>0</v>
      </c>
      <c r="AC143" s="55">
        <v>5656500</v>
      </c>
      <c r="AD143" s="57">
        <v>65</v>
      </c>
      <c r="AF143" s="47">
        <f t="shared" si="2"/>
        <v>5656500</v>
      </c>
    </row>
    <row r="144" spans="1:32" x14ac:dyDescent="0.3">
      <c r="A144" s="46" t="s">
        <v>0</v>
      </c>
      <c r="B144" s="46" t="str">
        <f>IFERROR(VLOOKUP($H144,매장구분!$B:$Z,2,0),"")</f>
        <v>파트너채널팀</v>
      </c>
      <c r="C144" s="46" t="str">
        <f>IFERROR(VLOOKUP($H144,매장구분!$B:$Z,3,0),"")</f>
        <v>국내</v>
      </c>
      <c r="D144" s="46" t="str">
        <f>IFERROR(VLOOKUP($H144,매장구분!$B:$Z,5,0),"")</f>
        <v>백화점</v>
      </c>
      <c r="E144" s="46" t="str">
        <f>IFERROR(VLOOKUP($H144,매장구분!$B:$Z,9,0),"")</f>
        <v>갤러리아대전</v>
      </c>
      <c r="F144" s="58"/>
      <c r="G144" s="59" t="s">
        <v>303</v>
      </c>
      <c r="H144" s="60" t="s">
        <v>304</v>
      </c>
      <c r="I144" s="60" t="s">
        <v>169</v>
      </c>
      <c r="J144" s="60" t="s">
        <v>175</v>
      </c>
      <c r="K144" s="60" t="s">
        <v>170</v>
      </c>
      <c r="L144" s="60" t="s">
        <v>171</v>
      </c>
      <c r="M144" s="60" t="s">
        <v>77</v>
      </c>
      <c r="N144" s="60" t="s">
        <v>172</v>
      </c>
      <c r="O144" s="60">
        <v>8760600</v>
      </c>
      <c r="P144" s="60">
        <v>68</v>
      </c>
      <c r="Q144" s="60">
        <v>0</v>
      </c>
      <c r="R144" s="60">
        <v>0</v>
      </c>
      <c r="S144" s="60">
        <v>0</v>
      </c>
      <c r="T144" s="60">
        <v>0</v>
      </c>
      <c r="U144" s="60">
        <v>902700</v>
      </c>
      <c r="V144" s="60">
        <v>7</v>
      </c>
      <c r="W144" s="60">
        <v>0</v>
      </c>
      <c r="X144" s="60">
        <v>0</v>
      </c>
      <c r="Y144" s="61">
        <v>4390000</v>
      </c>
      <c r="Z144" s="60">
        <v>10</v>
      </c>
      <c r="AA144" s="60">
        <v>0</v>
      </c>
      <c r="AB144" s="60">
        <v>0</v>
      </c>
      <c r="AC144" s="60">
        <v>14053300</v>
      </c>
      <c r="AD144" s="62">
        <v>85</v>
      </c>
      <c r="AF144" s="47">
        <f t="shared" si="2"/>
        <v>9663300</v>
      </c>
    </row>
    <row r="145" spans="1:32" x14ac:dyDescent="0.3">
      <c r="A145" s="46" t="s">
        <v>0</v>
      </c>
      <c r="B145" s="46" t="str">
        <f>IFERROR(VLOOKUP($H145,매장구분!$B:$Z,2,0),"")</f>
        <v>리테일채널팀</v>
      </c>
      <c r="C145" s="46" t="str">
        <f>IFERROR(VLOOKUP($H145,매장구분!$B:$Z,3,0),"")</f>
        <v>국내</v>
      </c>
      <c r="D145" s="46" t="str">
        <f>IFERROR(VLOOKUP($H145,매장구분!$B:$Z,5,0),"")</f>
        <v>대리점</v>
      </c>
      <c r="E145" s="46" t="str">
        <f>IFERROR(VLOOKUP($H145,매장구분!$B:$Z,9,0),"")</f>
        <v>통영(대-위)</v>
      </c>
      <c r="F145" s="53"/>
      <c r="G145" s="54" t="s">
        <v>506</v>
      </c>
      <c r="H145" s="55" t="s">
        <v>507</v>
      </c>
      <c r="I145" s="55" t="s">
        <v>169</v>
      </c>
      <c r="J145" s="55" t="s">
        <v>79</v>
      </c>
      <c r="K145" s="55" t="s">
        <v>170</v>
      </c>
      <c r="L145" s="55" t="s">
        <v>171</v>
      </c>
      <c r="M145" s="55" t="s">
        <v>196</v>
      </c>
      <c r="N145" s="55" t="s">
        <v>197</v>
      </c>
      <c r="O145" s="55">
        <v>1218600</v>
      </c>
      <c r="P145" s="55">
        <v>17</v>
      </c>
      <c r="Q145" s="55">
        <v>0</v>
      </c>
      <c r="R145" s="55">
        <v>0</v>
      </c>
      <c r="S145" s="55">
        <v>0</v>
      </c>
      <c r="T145" s="55">
        <v>0</v>
      </c>
      <c r="U145" s="55">
        <v>0</v>
      </c>
      <c r="V145" s="55">
        <v>0</v>
      </c>
      <c r="W145" s="55">
        <v>0</v>
      </c>
      <c r="X145" s="55">
        <v>0</v>
      </c>
      <c r="Y145" s="56">
        <v>0</v>
      </c>
      <c r="Z145" s="55">
        <v>0</v>
      </c>
      <c r="AA145" s="55">
        <v>0</v>
      </c>
      <c r="AB145" s="55">
        <v>0</v>
      </c>
      <c r="AC145" s="55">
        <v>1218600</v>
      </c>
      <c r="AD145" s="57">
        <v>17</v>
      </c>
      <c r="AF145" s="47">
        <f t="shared" si="2"/>
        <v>1218600</v>
      </c>
    </row>
    <row r="146" spans="1:32" x14ac:dyDescent="0.3">
      <c r="A146" s="46" t="s">
        <v>0</v>
      </c>
      <c r="B146" s="46" t="str">
        <f>IFERROR(VLOOKUP($H146,매장구분!$B:$Z,2,0),"")</f>
        <v>리테일채널팀</v>
      </c>
      <c r="C146" s="46" t="str">
        <f>IFERROR(VLOOKUP($H146,매장구분!$B:$Z,3,0),"")</f>
        <v>국내</v>
      </c>
      <c r="D146" s="46" t="str">
        <f>IFERROR(VLOOKUP($H146,매장구분!$B:$Z,5,0),"")</f>
        <v>대리점</v>
      </c>
      <c r="E146" s="46" t="str">
        <f>IFERROR(VLOOKUP($H146,매장구분!$B:$Z,9,0),"")</f>
        <v>아이즈빌부평(대-위)</v>
      </c>
      <c r="F146" s="58"/>
      <c r="G146" s="59" t="s">
        <v>315</v>
      </c>
      <c r="H146" s="60" t="s">
        <v>316</v>
      </c>
      <c r="I146" s="60" t="s">
        <v>169</v>
      </c>
      <c r="J146" s="60" t="s">
        <v>79</v>
      </c>
      <c r="K146" s="60" t="s">
        <v>170</v>
      </c>
      <c r="L146" s="60" t="s">
        <v>171</v>
      </c>
      <c r="M146" s="60" t="s">
        <v>188</v>
      </c>
      <c r="N146" s="60" t="s">
        <v>317</v>
      </c>
      <c r="O146" s="60">
        <v>4086200</v>
      </c>
      <c r="P146" s="60">
        <v>43</v>
      </c>
      <c r="Q146" s="60">
        <v>0</v>
      </c>
      <c r="R146" s="60">
        <v>0</v>
      </c>
      <c r="S146" s="60">
        <v>0</v>
      </c>
      <c r="T146" s="60">
        <v>0</v>
      </c>
      <c r="U146" s="60">
        <v>79000</v>
      </c>
      <c r="V146" s="60">
        <v>1</v>
      </c>
      <c r="W146" s="60">
        <v>0</v>
      </c>
      <c r="X146" s="60">
        <v>0</v>
      </c>
      <c r="Y146" s="61">
        <v>0</v>
      </c>
      <c r="Z146" s="60">
        <v>0</v>
      </c>
      <c r="AA146" s="60">
        <v>0</v>
      </c>
      <c r="AB146" s="60">
        <v>0</v>
      </c>
      <c r="AC146" s="60">
        <v>4165200</v>
      </c>
      <c r="AD146" s="62">
        <v>44</v>
      </c>
      <c r="AF146" s="47">
        <f t="shared" si="2"/>
        <v>4165200</v>
      </c>
    </row>
    <row r="147" spans="1:32" x14ac:dyDescent="0.3">
      <c r="A147" s="46" t="s">
        <v>0</v>
      </c>
      <c r="B147" s="46" t="str">
        <f>IFERROR(VLOOKUP($H147,매장구분!$B:$Z,2,0),"")</f>
        <v>리테일채널팀</v>
      </c>
      <c r="C147" s="46" t="str">
        <f>IFERROR(VLOOKUP($H147,매장구분!$B:$Z,3,0),"")</f>
        <v>국내</v>
      </c>
      <c r="D147" s="46" t="str">
        <f>IFERROR(VLOOKUP($H147,매장구분!$B:$Z,5,0),"")</f>
        <v>대리점</v>
      </c>
      <c r="E147" s="46" t="str">
        <f>IFERROR(VLOOKUP($H147,매장구분!$B:$Z,9,0),"")</f>
        <v>정읍(대-위)</v>
      </c>
      <c r="F147" s="53"/>
      <c r="G147" s="54" t="s">
        <v>318</v>
      </c>
      <c r="H147" s="55" t="s">
        <v>319</v>
      </c>
      <c r="I147" s="55" t="s">
        <v>169</v>
      </c>
      <c r="J147" s="55" t="s">
        <v>79</v>
      </c>
      <c r="K147" s="55" t="s">
        <v>170</v>
      </c>
      <c r="L147" s="55" t="s">
        <v>171</v>
      </c>
      <c r="M147" s="55" t="s">
        <v>196</v>
      </c>
      <c r="N147" s="55" t="s">
        <v>197</v>
      </c>
      <c r="O147" s="55">
        <v>3724000</v>
      </c>
      <c r="P147" s="55">
        <v>38</v>
      </c>
      <c r="Q147" s="55">
        <v>0</v>
      </c>
      <c r="R147" s="55">
        <v>0</v>
      </c>
      <c r="S147" s="55">
        <v>0</v>
      </c>
      <c r="T147" s="55">
        <v>0</v>
      </c>
      <c r="U147" s="55">
        <v>99000</v>
      </c>
      <c r="V147" s="55">
        <v>1</v>
      </c>
      <c r="W147" s="55">
        <v>0</v>
      </c>
      <c r="X147" s="55">
        <v>0</v>
      </c>
      <c r="Y147" s="56">
        <v>0</v>
      </c>
      <c r="Z147" s="55">
        <v>0</v>
      </c>
      <c r="AA147" s="55">
        <v>0</v>
      </c>
      <c r="AB147" s="55">
        <v>0</v>
      </c>
      <c r="AC147" s="55">
        <v>3823000</v>
      </c>
      <c r="AD147" s="57">
        <v>39</v>
      </c>
      <c r="AF147" s="47">
        <f t="shared" si="2"/>
        <v>3823000</v>
      </c>
    </row>
    <row r="148" spans="1:32" x14ac:dyDescent="0.3">
      <c r="A148" s="46" t="s">
        <v>0</v>
      </c>
      <c r="B148" s="46" t="str">
        <f>IFERROR(VLOOKUP($H148,매장구분!$B:$Z,2,0),"")</f>
        <v>리테일채널팀</v>
      </c>
      <c r="C148" s="46" t="str">
        <f>IFERROR(VLOOKUP($H148,매장구분!$B:$Z,3,0),"")</f>
        <v>국내</v>
      </c>
      <c r="D148" s="46" t="str">
        <f>IFERROR(VLOOKUP($H148,매장구분!$B:$Z,5,0),"")</f>
        <v>대리점</v>
      </c>
      <c r="E148" s="46" t="str">
        <f>IFERROR(VLOOKUP($H148,매장구분!$B:$Z,9,0),"")</f>
        <v>속초(대-위)</v>
      </c>
      <c r="F148" s="58"/>
      <c r="G148" s="59" t="s">
        <v>488</v>
      </c>
      <c r="H148" s="60" t="s">
        <v>489</v>
      </c>
      <c r="I148" s="60" t="s">
        <v>169</v>
      </c>
      <c r="J148" s="60" t="s">
        <v>79</v>
      </c>
      <c r="K148" s="60" t="s">
        <v>170</v>
      </c>
      <c r="L148" s="60" t="s">
        <v>171</v>
      </c>
      <c r="M148" s="60" t="s">
        <v>196</v>
      </c>
      <c r="N148" s="60" t="s">
        <v>197</v>
      </c>
      <c r="O148" s="60">
        <v>5752757</v>
      </c>
      <c r="P148" s="60">
        <v>62</v>
      </c>
      <c r="Q148" s="60">
        <v>0</v>
      </c>
      <c r="R148" s="60">
        <v>0</v>
      </c>
      <c r="S148" s="60">
        <v>0</v>
      </c>
      <c r="T148" s="60">
        <v>0</v>
      </c>
      <c r="U148" s="60">
        <v>284812</v>
      </c>
      <c r="V148" s="60">
        <v>2</v>
      </c>
      <c r="W148" s="60">
        <v>0</v>
      </c>
      <c r="X148" s="60">
        <v>0</v>
      </c>
      <c r="Y148" s="61">
        <v>0</v>
      </c>
      <c r="Z148" s="60">
        <v>0</v>
      </c>
      <c r="AA148" s="60">
        <v>0</v>
      </c>
      <c r="AB148" s="60">
        <v>0</v>
      </c>
      <c r="AC148" s="60">
        <v>6037569</v>
      </c>
      <c r="AD148" s="62">
        <v>64</v>
      </c>
      <c r="AF148" s="47">
        <f t="shared" si="2"/>
        <v>6037569</v>
      </c>
    </row>
    <row r="149" spans="1:32" x14ac:dyDescent="0.3">
      <c r="A149" s="46" t="s">
        <v>0</v>
      </c>
      <c r="B149" s="46" t="str">
        <f>IFERROR(VLOOKUP($H149,매장구분!$B:$Z,2,0),"")</f>
        <v>리테일채널팀</v>
      </c>
      <c r="C149" s="46" t="str">
        <f>IFERROR(VLOOKUP($H149,매장구분!$B:$Z,3,0),"")</f>
        <v>국내</v>
      </c>
      <c r="D149" s="46" t="str">
        <f>IFERROR(VLOOKUP($H149,매장구분!$B:$Z,5,0),"")</f>
        <v>대리점</v>
      </c>
      <c r="E149" s="46" t="str">
        <f>IFERROR(VLOOKUP($H149,매장구분!$B:$Z,9,0),"")</f>
        <v>충주(대-위)</v>
      </c>
      <c r="F149" s="53"/>
      <c r="G149" s="54" t="s">
        <v>322</v>
      </c>
      <c r="H149" s="55" t="s">
        <v>323</v>
      </c>
      <c r="I149" s="55" t="s">
        <v>169</v>
      </c>
      <c r="J149" s="55" t="s">
        <v>79</v>
      </c>
      <c r="K149" s="55" t="s">
        <v>170</v>
      </c>
      <c r="L149" s="55" t="s">
        <v>171</v>
      </c>
      <c r="M149" s="55" t="s">
        <v>196</v>
      </c>
      <c r="N149" s="55" t="s">
        <v>197</v>
      </c>
      <c r="O149" s="55">
        <v>2297563</v>
      </c>
      <c r="P149" s="55">
        <v>26</v>
      </c>
      <c r="Q149" s="55">
        <v>0</v>
      </c>
      <c r="R149" s="55">
        <v>0</v>
      </c>
      <c r="S149" s="55">
        <v>0</v>
      </c>
      <c r="T149" s="55">
        <v>0</v>
      </c>
      <c r="U149" s="55">
        <v>0</v>
      </c>
      <c r="V149" s="55">
        <v>0</v>
      </c>
      <c r="W149" s="55">
        <v>0</v>
      </c>
      <c r="X149" s="55">
        <v>0</v>
      </c>
      <c r="Y149" s="56">
        <v>10034237</v>
      </c>
      <c r="Z149" s="55">
        <v>73</v>
      </c>
      <c r="AA149" s="55">
        <v>0</v>
      </c>
      <c r="AB149" s="55">
        <v>0</v>
      </c>
      <c r="AC149" s="55">
        <v>12331800</v>
      </c>
      <c r="AD149" s="57">
        <v>99</v>
      </c>
      <c r="AF149" s="47">
        <f t="shared" si="2"/>
        <v>2297563</v>
      </c>
    </row>
    <row r="150" spans="1:32" x14ac:dyDescent="0.3">
      <c r="A150" s="46" t="s">
        <v>0</v>
      </c>
      <c r="B150" s="46" t="str">
        <f>IFERROR(VLOOKUP($H150,매장구분!$B:$Z,2,0),"")</f>
        <v>리테일채널팀</v>
      </c>
      <c r="C150" s="46" t="str">
        <f>IFERROR(VLOOKUP($H150,매장구분!$B:$Z,3,0),"")</f>
        <v>국내</v>
      </c>
      <c r="D150" s="46" t="str">
        <f>IFERROR(VLOOKUP($H150,매장구분!$B:$Z,5,0),"")</f>
        <v>상설(위탁)</v>
      </c>
      <c r="E150" s="46" t="str">
        <f>IFERROR(VLOOKUP($H150,매장구분!$B:$Z,9,0),"")</f>
        <v>현대아울렛대구(상-위)</v>
      </c>
      <c r="F150" s="58"/>
      <c r="G150" s="59" t="s">
        <v>590</v>
      </c>
      <c r="H150" s="60" t="s">
        <v>591</v>
      </c>
      <c r="I150" s="60" t="s">
        <v>169</v>
      </c>
      <c r="J150" s="60" t="s">
        <v>79</v>
      </c>
      <c r="K150" s="60" t="s">
        <v>170</v>
      </c>
      <c r="L150" s="60" t="s">
        <v>171</v>
      </c>
      <c r="M150" s="60" t="s">
        <v>219</v>
      </c>
      <c r="N150" s="60" t="s">
        <v>219</v>
      </c>
      <c r="O150" s="60">
        <v>288000</v>
      </c>
      <c r="P150" s="60">
        <v>8</v>
      </c>
      <c r="Q150" s="60">
        <v>0</v>
      </c>
      <c r="R150" s="60">
        <v>0</v>
      </c>
      <c r="S150" s="60">
        <v>0</v>
      </c>
      <c r="T150" s="60">
        <v>0</v>
      </c>
      <c r="U150" s="60">
        <v>0</v>
      </c>
      <c r="V150" s="60">
        <v>0</v>
      </c>
      <c r="W150" s="60">
        <v>0</v>
      </c>
      <c r="X150" s="60">
        <v>0</v>
      </c>
      <c r="Y150" s="61">
        <v>0</v>
      </c>
      <c r="Z150" s="60">
        <v>0</v>
      </c>
      <c r="AA150" s="60">
        <v>0</v>
      </c>
      <c r="AB150" s="60">
        <v>0</v>
      </c>
      <c r="AC150" s="60">
        <v>288000</v>
      </c>
      <c r="AD150" s="62">
        <v>8</v>
      </c>
      <c r="AF150" s="47">
        <f t="shared" si="2"/>
        <v>288000</v>
      </c>
    </row>
    <row r="151" spans="1:32" x14ac:dyDescent="0.3">
      <c r="A151" s="46" t="s">
        <v>0</v>
      </c>
      <c r="B151" s="46" t="str">
        <f>IFERROR(VLOOKUP($H151,매장구분!$B:$Z,2,0),"")</f>
        <v>리테일채널팀</v>
      </c>
      <c r="C151" s="46" t="str">
        <f>IFERROR(VLOOKUP($H151,매장구분!$B:$Z,3,0),"")</f>
        <v>국내</v>
      </c>
      <c r="D151" s="46" t="str">
        <f>IFERROR(VLOOKUP($H151,매장구분!$B:$Z,5,0),"")</f>
        <v>상설(위탁)</v>
      </c>
      <c r="E151" s="46" t="str">
        <f>IFERROR(VLOOKUP($H151,매장구분!$B:$Z,9,0),"")</f>
        <v>모다경주(상-위)</v>
      </c>
      <c r="F151" s="53"/>
      <c r="G151" s="54" t="s">
        <v>374</v>
      </c>
      <c r="H151" s="55" t="s">
        <v>375</v>
      </c>
      <c r="I151" s="55" t="s">
        <v>169</v>
      </c>
      <c r="J151" s="55" t="s">
        <v>79</v>
      </c>
      <c r="K151" s="55" t="s">
        <v>170</v>
      </c>
      <c r="L151" s="55" t="s">
        <v>171</v>
      </c>
      <c r="M151" s="55" t="s">
        <v>77</v>
      </c>
      <c r="N151" s="55" t="s">
        <v>238</v>
      </c>
      <c r="O151" s="55">
        <v>468000</v>
      </c>
      <c r="P151" s="55">
        <v>13</v>
      </c>
      <c r="Q151" s="55">
        <v>0</v>
      </c>
      <c r="R151" s="55">
        <v>0</v>
      </c>
      <c r="S151" s="55">
        <v>0</v>
      </c>
      <c r="T151" s="55">
        <v>0</v>
      </c>
      <c r="U151" s="55">
        <v>0</v>
      </c>
      <c r="V151" s="55">
        <v>0</v>
      </c>
      <c r="W151" s="55">
        <v>0</v>
      </c>
      <c r="X151" s="55">
        <v>0</v>
      </c>
      <c r="Y151" s="56">
        <v>0</v>
      </c>
      <c r="Z151" s="55">
        <v>0</v>
      </c>
      <c r="AA151" s="55">
        <v>0</v>
      </c>
      <c r="AB151" s="55">
        <v>0</v>
      </c>
      <c r="AC151" s="55">
        <v>468000</v>
      </c>
      <c r="AD151" s="57">
        <v>13</v>
      </c>
      <c r="AF151" s="47">
        <f t="shared" si="2"/>
        <v>468000</v>
      </c>
    </row>
    <row r="152" spans="1:32" x14ac:dyDescent="0.3">
      <c r="A152" s="46" t="s">
        <v>0</v>
      </c>
      <c r="B152" s="46" t="str">
        <f>IFERROR(VLOOKUP($H152,매장구분!$B:$Z,2,0),"")</f>
        <v>리테일채널팀</v>
      </c>
      <c r="C152" s="46" t="str">
        <f>IFERROR(VLOOKUP($H152,매장구분!$B:$Z,3,0),"")</f>
        <v>국내</v>
      </c>
      <c r="D152" s="46" t="str">
        <f>IFERROR(VLOOKUP($H152,매장구분!$B:$Z,5,0),"")</f>
        <v>상설(위탁)</v>
      </c>
      <c r="E152" s="46" t="str">
        <f>IFERROR(VLOOKUP($H152,매장구분!$B:$Z,9,0),"")</f>
        <v>NC송파(상-위)</v>
      </c>
      <c r="F152" s="58"/>
      <c r="G152" s="59" t="s">
        <v>378</v>
      </c>
      <c r="H152" s="60" t="s">
        <v>379</v>
      </c>
      <c r="I152" s="60" t="s">
        <v>169</v>
      </c>
      <c r="J152" s="60" t="s">
        <v>79</v>
      </c>
      <c r="K152" s="60" t="s">
        <v>170</v>
      </c>
      <c r="L152" s="60" t="s">
        <v>171</v>
      </c>
      <c r="M152" s="60" t="s">
        <v>77</v>
      </c>
      <c r="N152" s="60" t="s">
        <v>238</v>
      </c>
      <c r="O152" s="60">
        <v>324000</v>
      </c>
      <c r="P152" s="60">
        <v>9</v>
      </c>
      <c r="Q152" s="60">
        <v>0</v>
      </c>
      <c r="R152" s="60">
        <v>0</v>
      </c>
      <c r="S152" s="60">
        <v>0</v>
      </c>
      <c r="T152" s="60">
        <v>0</v>
      </c>
      <c r="U152" s="60">
        <v>0</v>
      </c>
      <c r="V152" s="60">
        <v>0</v>
      </c>
      <c r="W152" s="60">
        <v>0</v>
      </c>
      <c r="X152" s="60">
        <v>0</v>
      </c>
      <c r="Y152" s="61">
        <v>0</v>
      </c>
      <c r="Z152" s="60">
        <v>0</v>
      </c>
      <c r="AA152" s="60">
        <v>0</v>
      </c>
      <c r="AB152" s="60">
        <v>0</v>
      </c>
      <c r="AC152" s="60">
        <v>324000</v>
      </c>
      <c r="AD152" s="62">
        <v>9</v>
      </c>
      <c r="AF152" s="47">
        <f t="shared" si="2"/>
        <v>324000</v>
      </c>
    </row>
    <row r="153" spans="1:32" x14ac:dyDescent="0.3">
      <c r="A153" s="46" t="s">
        <v>0</v>
      </c>
      <c r="B153" s="46" t="str">
        <f>IFERROR(VLOOKUP($H153,매장구분!$B:$Z,2,0),"")</f>
        <v>리테일채널팀</v>
      </c>
      <c r="C153" s="46" t="str">
        <f>IFERROR(VLOOKUP($H153,매장구분!$B:$Z,3,0),"")</f>
        <v>국내</v>
      </c>
      <c r="D153" s="46" t="str">
        <f>IFERROR(VLOOKUP($H153,매장구분!$B:$Z,5,0),"")</f>
        <v>상설(위탁)</v>
      </c>
      <c r="E153" s="46" t="str">
        <f>IFERROR(VLOOKUP($H153,매장구분!$B:$Z,9,0),"")</f>
        <v>신세계아울렛여주(상-위)</v>
      </c>
      <c r="F153" s="53"/>
      <c r="G153" s="54" t="s">
        <v>380</v>
      </c>
      <c r="H153" s="55" t="s">
        <v>381</v>
      </c>
      <c r="I153" s="55" t="s">
        <v>169</v>
      </c>
      <c r="J153" s="55" t="s">
        <v>79</v>
      </c>
      <c r="K153" s="55" t="s">
        <v>170</v>
      </c>
      <c r="L153" s="55" t="s">
        <v>171</v>
      </c>
      <c r="M153" s="55" t="s">
        <v>219</v>
      </c>
      <c r="N153" s="55" t="s">
        <v>219</v>
      </c>
      <c r="O153" s="55">
        <v>2520000</v>
      </c>
      <c r="P153" s="55">
        <v>70</v>
      </c>
      <c r="Q153" s="55">
        <v>0</v>
      </c>
      <c r="R153" s="55">
        <v>0</v>
      </c>
      <c r="S153" s="55">
        <v>0</v>
      </c>
      <c r="T153" s="55">
        <v>0</v>
      </c>
      <c r="U153" s="55">
        <v>0</v>
      </c>
      <c r="V153" s="55">
        <v>0</v>
      </c>
      <c r="W153" s="55">
        <v>0</v>
      </c>
      <c r="X153" s="55">
        <v>0</v>
      </c>
      <c r="Y153" s="56">
        <v>0</v>
      </c>
      <c r="Z153" s="55">
        <v>0</v>
      </c>
      <c r="AA153" s="55">
        <v>0</v>
      </c>
      <c r="AB153" s="55">
        <v>0</v>
      </c>
      <c r="AC153" s="55">
        <v>2520000</v>
      </c>
      <c r="AD153" s="57">
        <v>70</v>
      </c>
      <c r="AF153" s="47">
        <f t="shared" si="2"/>
        <v>2520000</v>
      </c>
    </row>
    <row r="154" spans="1:32" x14ac:dyDescent="0.3">
      <c r="A154" s="46" t="s">
        <v>0</v>
      </c>
      <c r="B154" s="46" t="str">
        <f>IFERROR(VLOOKUP($H154,매장구분!$B:$Z,2,0),"")</f>
        <v>리테일채널팀</v>
      </c>
      <c r="C154" s="46" t="str">
        <f>IFERROR(VLOOKUP($H154,매장구분!$B:$Z,3,0),"")</f>
        <v>국내</v>
      </c>
      <c r="D154" s="46" t="str">
        <f>IFERROR(VLOOKUP($H154,매장구분!$B:$Z,5,0),"")</f>
        <v>상설(위탁)</v>
      </c>
      <c r="E154" s="46" t="str">
        <f>IFERROR(VLOOKUP($H154,매장구분!$B:$Z,9,0),"")</f>
        <v>롯데아울렛율하(상-위)</v>
      </c>
      <c r="F154" s="58"/>
      <c r="G154" s="59" t="s">
        <v>610</v>
      </c>
      <c r="H154" s="60" t="s">
        <v>611</v>
      </c>
      <c r="I154" s="60" t="s">
        <v>169</v>
      </c>
      <c r="J154" s="60" t="s">
        <v>79</v>
      </c>
      <c r="K154" s="60" t="s">
        <v>170</v>
      </c>
      <c r="L154" s="60" t="s">
        <v>171</v>
      </c>
      <c r="M154" s="60" t="s">
        <v>219</v>
      </c>
      <c r="N154" s="60" t="s">
        <v>219</v>
      </c>
      <c r="O154" s="60">
        <v>756000</v>
      </c>
      <c r="P154" s="60">
        <v>21</v>
      </c>
      <c r="Q154" s="60">
        <v>0</v>
      </c>
      <c r="R154" s="60">
        <v>0</v>
      </c>
      <c r="S154" s="60">
        <v>0</v>
      </c>
      <c r="T154" s="60">
        <v>0</v>
      </c>
      <c r="U154" s="60">
        <v>0</v>
      </c>
      <c r="V154" s="60">
        <v>0</v>
      </c>
      <c r="W154" s="60">
        <v>0</v>
      </c>
      <c r="X154" s="60">
        <v>0</v>
      </c>
      <c r="Y154" s="61">
        <v>0</v>
      </c>
      <c r="Z154" s="60">
        <v>0</v>
      </c>
      <c r="AA154" s="60">
        <v>0</v>
      </c>
      <c r="AB154" s="60">
        <v>0</v>
      </c>
      <c r="AC154" s="60">
        <v>756000</v>
      </c>
      <c r="AD154" s="62">
        <v>21</v>
      </c>
      <c r="AF154" s="47">
        <f t="shared" si="2"/>
        <v>756000</v>
      </c>
    </row>
    <row r="155" spans="1:32" x14ac:dyDescent="0.3">
      <c r="A155" s="46" t="s">
        <v>0</v>
      </c>
      <c r="B155" s="46" t="str">
        <f>IFERROR(VLOOKUP($H155,매장구분!$B:$Z,2,0),"")</f>
        <v>리테일채널팀</v>
      </c>
      <c r="C155" s="46" t="str">
        <f>IFERROR(VLOOKUP($H155,매장구분!$B:$Z,3,0),"")</f>
        <v>국내</v>
      </c>
      <c r="D155" s="46" t="str">
        <f>IFERROR(VLOOKUP($H155,매장구분!$B:$Z,5,0),"")</f>
        <v>상설(위탁)</v>
      </c>
      <c r="E155" s="46" t="str">
        <f>IFERROR(VLOOKUP($H155,매장구분!$B:$Z,9,0),"")</f>
        <v>NC강서(상-위)</v>
      </c>
      <c r="F155" s="53"/>
      <c r="G155" s="54" t="s">
        <v>376</v>
      </c>
      <c r="H155" s="55" t="s">
        <v>377</v>
      </c>
      <c r="I155" s="55" t="s">
        <v>169</v>
      </c>
      <c r="J155" s="55" t="s">
        <v>79</v>
      </c>
      <c r="K155" s="55" t="s">
        <v>170</v>
      </c>
      <c r="L155" s="55" t="s">
        <v>171</v>
      </c>
      <c r="M155" s="55" t="s">
        <v>77</v>
      </c>
      <c r="N155" s="55" t="s">
        <v>238</v>
      </c>
      <c r="O155" s="55">
        <v>180000</v>
      </c>
      <c r="P155" s="55">
        <v>5</v>
      </c>
      <c r="Q155" s="55">
        <v>0</v>
      </c>
      <c r="R155" s="55">
        <v>0</v>
      </c>
      <c r="S155" s="55">
        <v>0</v>
      </c>
      <c r="T155" s="55">
        <v>0</v>
      </c>
      <c r="U155" s="55">
        <v>0</v>
      </c>
      <c r="V155" s="55">
        <v>0</v>
      </c>
      <c r="W155" s="55">
        <v>0</v>
      </c>
      <c r="X155" s="55">
        <v>0</v>
      </c>
      <c r="Y155" s="56">
        <v>0</v>
      </c>
      <c r="Z155" s="55">
        <v>0</v>
      </c>
      <c r="AA155" s="55">
        <v>0</v>
      </c>
      <c r="AB155" s="55">
        <v>0</v>
      </c>
      <c r="AC155" s="55">
        <v>180000</v>
      </c>
      <c r="AD155" s="57">
        <v>5</v>
      </c>
      <c r="AF155" s="47">
        <f t="shared" si="2"/>
        <v>180000</v>
      </c>
    </row>
    <row r="156" spans="1:32" hidden="1" x14ac:dyDescent="0.3">
      <c r="A156" s="46" t="s">
        <v>0</v>
      </c>
      <c r="B156" s="46" t="str">
        <f>IFERROR(VLOOKUP($H156,매장구분!$B:$Z,2,0),"")</f>
        <v>파트너채널팀</v>
      </c>
      <c r="C156" s="46" t="str">
        <f>IFERROR(VLOOKUP($H156,매장구분!$B:$Z,3,0),"")</f>
        <v>면세</v>
      </c>
      <c r="D156" s="46" t="str">
        <f>IFERROR(VLOOKUP($H156,매장구분!$B:$Z,5,0),"")</f>
        <v>면세</v>
      </c>
      <c r="E156" s="46" t="str">
        <f>IFERROR(VLOOKUP($H156,매장구분!$B:$Z,9,0),"")</f>
        <v>신라면세용산</v>
      </c>
      <c r="F156" s="58"/>
      <c r="G156" s="59" t="s">
        <v>542</v>
      </c>
      <c r="H156" s="60" t="s">
        <v>543</v>
      </c>
      <c r="I156" s="60" t="s">
        <v>169</v>
      </c>
      <c r="J156" s="60" t="s">
        <v>175</v>
      </c>
      <c r="K156" s="60" t="s">
        <v>170</v>
      </c>
      <c r="L156" s="60" t="s">
        <v>171</v>
      </c>
      <c r="M156" s="60" t="s">
        <v>176</v>
      </c>
      <c r="N156" s="60" t="s">
        <v>177</v>
      </c>
      <c r="O156" s="60">
        <v>0</v>
      </c>
      <c r="P156" s="60">
        <v>0</v>
      </c>
      <c r="Q156" s="60">
        <v>0</v>
      </c>
      <c r="R156" s="60">
        <v>0</v>
      </c>
      <c r="S156" s="60">
        <v>0</v>
      </c>
      <c r="T156" s="60">
        <v>0</v>
      </c>
      <c r="U156" s="60">
        <v>0</v>
      </c>
      <c r="V156" s="60">
        <v>0</v>
      </c>
      <c r="W156" s="60">
        <v>0</v>
      </c>
      <c r="X156" s="60">
        <v>0</v>
      </c>
      <c r="Y156" s="61">
        <v>95949300</v>
      </c>
      <c r="Z156" s="60">
        <v>1507</v>
      </c>
      <c r="AA156" s="60">
        <v>0</v>
      </c>
      <c r="AB156" s="60">
        <v>0</v>
      </c>
      <c r="AC156" s="60">
        <v>95949300</v>
      </c>
      <c r="AD156" s="62">
        <v>1507</v>
      </c>
      <c r="AF156" s="47">
        <f t="shared" si="2"/>
        <v>0</v>
      </c>
    </row>
    <row r="157" spans="1:32" x14ac:dyDescent="0.3">
      <c r="A157" s="46" t="s">
        <v>0</v>
      </c>
      <c r="B157" s="46" t="str">
        <f>IFERROR(VLOOKUP($H157,매장구분!$B:$Z,2,0),"")</f>
        <v>리테일채널팀</v>
      </c>
      <c r="C157" s="46" t="str">
        <f>IFERROR(VLOOKUP($H157,매장구분!$B:$Z,3,0),"")</f>
        <v>국내</v>
      </c>
      <c r="D157" s="46" t="str">
        <f>IFERROR(VLOOKUP($H157,매장구분!$B:$Z,5,0),"")</f>
        <v>직영점</v>
      </c>
      <c r="E157" s="46" t="str">
        <f>IFERROR(VLOOKUP($H157,매장구분!$B:$Z,9,0),"")</f>
        <v>충장로</v>
      </c>
      <c r="F157" s="53"/>
      <c r="G157" s="54" t="s">
        <v>544</v>
      </c>
      <c r="H157" s="55" t="s">
        <v>545</v>
      </c>
      <c r="I157" s="55" t="s">
        <v>169</v>
      </c>
      <c r="J157" s="55" t="s">
        <v>180</v>
      </c>
      <c r="K157" s="55" t="s">
        <v>170</v>
      </c>
      <c r="L157" s="55" t="s">
        <v>171</v>
      </c>
      <c r="M157" s="55" t="s">
        <v>196</v>
      </c>
      <c r="N157" s="55" t="s">
        <v>206</v>
      </c>
      <c r="O157" s="55">
        <v>11761800</v>
      </c>
      <c r="P157" s="55">
        <v>124</v>
      </c>
      <c r="Q157" s="55">
        <v>0</v>
      </c>
      <c r="R157" s="55">
        <v>0</v>
      </c>
      <c r="S157" s="55">
        <v>0</v>
      </c>
      <c r="T157" s="55">
        <v>0</v>
      </c>
      <c r="U157" s="55">
        <v>938200</v>
      </c>
      <c r="V157" s="55">
        <v>4</v>
      </c>
      <c r="W157" s="55">
        <v>0</v>
      </c>
      <c r="X157" s="55">
        <v>0</v>
      </c>
      <c r="Y157" s="56">
        <v>0</v>
      </c>
      <c r="Z157" s="55">
        <v>0</v>
      </c>
      <c r="AA157" s="55">
        <v>0</v>
      </c>
      <c r="AB157" s="55">
        <v>0</v>
      </c>
      <c r="AC157" s="55">
        <v>12700000</v>
      </c>
      <c r="AD157" s="57">
        <v>128</v>
      </c>
      <c r="AF157" s="47">
        <f t="shared" si="2"/>
        <v>12700000</v>
      </c>
    </row>
    <row r="158" spans="1:32" hidden="1" x14ac:dyDescent="0.3">
      <c r="A158" s="46" t="s">
        <v>0</v>
      </c>
      <c r="B158" s="46" t="str">
        <f>IFERROR(VLOOKUP($H158,매장구분!$B:$Z,2,0),"")</f>
        <v>리테일채널팀</v>
      </c>
      <c r="C158" s="46" t="str">
        <f>IFERROR(VLOOKUP($H158,매장구분!$B:$Z,3,0),"")</f>
        <v>RF</v>
      </c>
      <c r="D158" s="46" t="str">
        <f>IFERROR(VLOOKUP($H158,매장구분!$B:$Z,5,0),"")</f>
        <v>직영점</v>
      </c>
      <c r="E158" s="46" t="str">
        <f>IFERROR(VLOOKUP($H158,매장구분!$B:$Z,9,0),"")</f>
        <v>명동중앙(직)</v>
      </c>
      <c r="F158" s="58"/>
      <c r="G158" s="59" t="s">
        <v>538</v>
      </c>
      <c r="H158" s="60" t="s">
        <v>539</v>
      </c>
      <c r="I158" s="60" t="s">
        <v>169</v>
      </c>
      <c r="J158" s="60" t="s">
        <v>180</v>
      </c>
      <c r="K158" s="60" t="s">
        <v>170</v>
      </c>
      <c r="L158" s="60" t="s">
        <v>171</v>
      </c>
      <c r="M158" s="60" t="s">
        <v>196</v>
      </c>
      <c r="N158" s="60" t="s">
        <v>206</v>
      </c>
      <c r="O158" s="60">
        <v>89460500</v>
      </c>
      <c r="P158" s="60">
        <v>1248</v>
      </c>
      <c r="Q158" s="60">
        <v>0</v>
      </c>
      <c r="R158" s="60">
        <v>0</v>
      </c>
      <c r="S158" s="60">
        <v>0</v>
      </c>
      <c r="T158" s="60">
        <v>0</v>
      </c>
      <c r="U158" s="60">
        <v>0</v>
      </c>
      <c r="V158" s="60">
        <v>0</v>
      </c>
      <c r="W158" s="60">
        <v>0</v>
      </c>
      <c r="X158" s="60">
        <v>0</v>
      </c>
      <c r="Y158" s="61">
        <v>0</v>
      </c>
      <c r="Z158" s="60">
        <v>0</v>
      </c>
      <c r="AA158" s="60">
        <v>0</v>
      </c>
      <c r="AB158" s="60">
        <v>0</v>
      </c>
      <c r="AC158" s="60">
        <v>89460500</v>
      </c>
      <c r="AD158" s="62">
        <v>1248</v>
      </c>
      <c r="AF158" s="47">
        <f t="shared" si="2"/>
        <v>89460500</v>
      </c>
    </row>
    <row r="159" spans="1:32" x14ac:dyDescent="0.3">
      <c r="A159" s="46" t="s">
        <v>0</v>
      </c>
      <c r="B159" s="46" t="str">
        <f>IFERROR(VLOOKUP($H159,매장구분!$B:$Z,2,0),"")</f>
        <v>리테일채널팀</v>
      </c>
      <c r="C159" s="46" t="str">
        <f>IFERROR(VLOOKUP($H159,매장구분!$B:$Z,3,0),"")</f>
        <v>국내</v>
      </c>
      <c r="D159" s="46" t="str">
        <f>IFERROR(VLOOKUP($H159,매장구분!$B:$Z,5,0),"")</f>
        <v>직영점</v>
      </c>
      <c r="E159" s="46" t="str">
        <f>IFERROR(VLOOKUP($H159,매장구분!$B:$Z,9,0),"")</f>
        <v>스타필드안성(직)</v>
      </c>
      <c r="F159" s="53"/>
      <c r="G159" s="54" t="s">
        <v>554</v>
      </c>
      <c r="H159" s="55" t="s">
        <v>555</v>
      </c>
      <c r="I159" s="55" t="s">
        <v>169</v>
      </c>
      <c r="J159" s="55" t="s">
        <v>180</v>
      </c>
      <c r="K159" s="55" t="s">
        <v>170</v>
      </c>
      <c r="L159" s="55" t="s">
        <v>171</v>
      </c>
      <c r="M159" s="55" t="s">
        <v>188</v>
      </c>
      <c r="N159" s="55" t="s">
        <v>189</v>
      </c>
      <c r="O159" s="55">
        <v>7412100</v>
      </c>
      <c r="P159" s="55">
        <v>101</v>
      </c>
      <c r="Q159" s="55">
        <v>0</v>
      </c>
      <c r="R159" s="55">
        <v>0</v>
      </c>
      <c r="S159" s="55">
        <v>0</v>
      </c>
      <c r="T159" s="55">
        <v>0</v>
      </c>
      <c r="U159" s="55">
        <v>984000</v>
      </c>
      <c r="V159" s="55">
        <v>6</v>
      </c>
      <c r="W159" s="55">
        <v>0</v>
      </c>
      <c r="X159" s="55">
        <v>0</v>
      </c>
      <c r="Y159" s="56">
        <v>0</v>
      </c>
      <c r="Z159" s="55">
        <v>0</v>
      </c>
      <c r="AA159" s="55">
        <v>0</v>
      </c>
      <c r="AB159" s="55">
        <v>0</v>
      </c>
      <c r="AC159" s="55">
        <v>8396100</v>
      </c>
      <c r="AD159" s="57">
        <v>107</v>
      </c>
      <c r="AF159" s="47">
        <f t="shared" si="2"/>
        <v>8396100</v>
      </c>
    </row>
    <row r="160" spans="1:32" x14ac:dyDescent="0.3">
      <c r="A160" s="46" t="s">
        <v>0</v>
      </c>
      <c r="B160" s="46" t="str">
        <f>IFERROR(VLOOKUP($H160,매장구분!$B:$Z,2,0),"")</f>
        <v>리테일채널팀</v>
      </c>
      <c r="C160" s="46" t="str">
        <f>IFERROR(VLOOKUP($H160,매장구분!$B:$Z,3,0),"")</f>
        <v>국내</v>
      </c>
      <c r="D160" s="46" t="str">
        <f>IFERROR(VLOOKUP($H160,매장구분!$B:$Z,5,0),"")</f>
        <v>대리점</v>
      </c>
      <c r="E160" s="46" t="str">
        <f>IFERROR(VLOOKUP($H160,매장구분!$B:$Z,9,0),"")</f>
        <v>경기광주(대-위)</v>
      </c>
      <c r="F160" s="58"/>
      <c r="G160" s="59" t="s">
        <v>362</v>
      </c>
      <c r="H160" s="60" t="s">
        <v>363</v>
      </c>
      <c r="I160" s="60" t="s">
        <v>169</v>
      </c>
      <c r="J160" s="60" t="s">
        <v>79</v>
      </c>
      <c r="K160" s="60" t="s">
        <v>170</v>
      </c>
      <c r="L160" s="60" t="s">
        <v>171</v>
      </c>
      <c r="M160" s="60" t="s">
        <v>196</v>
      </c>
      <c r="N160" s="60" t="s">
        <v>197</v>
      </c>
      <c r="O160" s="60">
        <v>3342600</v>
      </c>
      <c r="P160" s="60">
        <v>32</v>
      </c>
      <c r="Q160" s="60">
        <v>0</v>
      </c>
      <c r="R160" s="60">
        <v>0</v>
      </c>
      <c r="S160" s="60">
        <v>0</v>
      </c>
      <c r="T160" s="60">
        <v>0</v>
      </c>
      <c r="U160" s="60">
        <v>547000</v>
      </c>
      <c r="V160" s="60">
        <v>3</v>
      </c>
      <c r="W160" s="60">
        <v>0</v>
      </c>
      <c r="X160" s="60">
        <v>0</v>
      </c>
      <c r="Y160" s="61">
        <v>0</v>
      </c>
      <c r="Z160" s="60">
        <v>0</v>
      </c>
      <c r="AA160" s="60">
        <v>0</v>
      </c>
      <c r="AB160" s="60">
        <v>0</v>
      </c>
      <c r="AC160" s="60">
        <v>3889600</v>
      </c>
      <c r="AD160" s="62">
        <v>35</v>
      </c>
      <c r="AF160" s="47">
        <f t="shared" si="2"/>
        <v>3889600</v>
      </c>
    </row>
    <row r="161" spans="1:32" x14ac:dyDescent="0.3">
      <c r="A161" s="46" t="s">
        <v>0</v>
      </c>
      <c r="B161" s="46" t="str">
        <f>IFERROR(VLOOKUP($H161,매장구분!$B:$Z,2,0),"")</f>
        <v>파트너채널팀</v>
      </c>
      <c r="C161" s="46" t="str">
        <f>IFERROR(VLOOKUP($H161,매장구분!$B:$Z,3,0),"")</f>
        <v>국내</v>
      </c>
      <c r="D161" s="46" t="str">
        <f>IFERROR(VLOOKUP($H161,매장구분!$B:$Z,5,0),"")</f>
        <v>백화점</v>
      </c>
      <c r="E161" s="46" t="str">
        <f>IFERROR(VLOOKUP($H161,매장구분!$B:$Z,9,0),"")</f>
        <v>AK수원</v>
      </c>
      <c r="F161" s="53"/>
      <c r="G161" s="54" t="s">
        <v>552</v>
      </c>
      <c r="H161" s="55" t="s">
        <v>553</v>
      </c>
      <c r="I161" s="55" t="s">
        <v>169</v>
      </c>
      <c r="J161" s="55" t="s">
        <v>175</v>
      </c>
      <c r="K161" s="55" t="s">
        <v>170</v>
      </c>
      <c r="L161" s="55" t="s">
        <v>171</v>
      </c>
      <c r="M161" s="55" t="s">
        <v>77</v>
      </c>
      <c r="N161" s="55" t="s">
        <v>172</v>
      </c>
      <c r="O161" s="55">
        <v>8644400</v>
      </c>
      <c r="P161" s="55">
        <v>93</v>
      </c>
      <c r="Q161" s="55">
        <v>0</v>
      </c>
      <c r="R161" s="55">
        <v>0</v>
      </c>
      <c r="S161" s="55">
        <v>0</v>
      </c>
      <c r="T161" s="55">
        <v>0</v>
      </c>
      <c r="U161" s="55">
        <v>651600</v>
      </c>
      <c r="V161" s="55">
        <v>6</v>
      </c>
      <c r="W161" s="55">
        <v>0</v>
      </c>
      <c r="X161" s="55">
        <v>0</v>
      </c>
      <c r="Y161" s="56">
        <v>0</v>
      </c>
      <c r="Z161" s="55">
        <v>0</v>
      </c>
      <c r="AA161" s="55">
        <v>0</v>
      </c>
      <c r="AB161" s="55">
        <v>0</v>
      </c>
      <c r="AC161" s="55">
        <v>9296000</v>
      </c>
      <c r="AD161" s="57">
        <v>99</v>
      </c>
      <c r="AF161" s="47">
        <f t="shared" si="2"/>
        <v>9296000</v>
      </c>
    </row>
    <row r="162" spans="1:32" x14ac:dyDescent="0.3">
      <c r="A162" s="46" t="s">
        <v>0</v>
      </c>
      <c r="B162" s="46" t="str">
        <f>IFERROR(VLOOKUP($H162,매장구분!$B:$Z,2,0),"")</f>
        <v>파트너채널팀</v>
      </c>
      <c r="C162" s="46" t="str">
        <f>IFERROR(VLOOKUP($H162,매장구분!$B:$Z,3,0),"")</f>
        <v>국내</v>
      </c>
      <c r="D162" s="46" t="str">
        <f>IFERROR(VLOOKUP($H162,매장구분!$B:$Z,5,0),"")</f>
        <v>백화점</v>
      </c>
      <c r="E162" s="46" t="str">
        <f>IFERROR(VLOOKUP($H162,매장구분!$B:$Z,9,0),"")</f>
        <v>롯데아울렛의왕(직)</v>
      </c>
      <c r="F162" s="58"/>
      <c r="G162" s="59" t="s">
        <v>352</v>
      </c>
      <c r="H162" s="60" t="s">
        <v>353</v>
      </c>
      <c r="I162" s="60" t="s">
        <v>169</v>
      </c>
      <c r="J162" s="60" t="s">
        <v>180</v>
      </c>
      <c r="K162" s="60" t="s">
        <v>170</v>
      </c>
      <c r="L162" s="60" t="s">
        <v>171</v>
      </c>
      <c r="M162" s="60" t="s">
        <v>219</v>
      </c>
      <c r="N162" s="60" t="s">
        <v>219</v>
      </c>
      <c r="O162" s="60">
        <v>6755200</v>
      </c>
      <c r="P162" s="60">
        <v>99</v>
      </c>
      <c r="Q162" s="60">
        <v>0</v>
      </c>
      <c r="R162" s="60">
        <v>0</v>
      </c>
      <c r="S162" s="60">
        <v>0</v>
      </c>
      <c r="T162" s="60">
        <v>0</v>
      </c>
      <c r="U162" s="60">
        <v>0</v>
      </c>
      <c r="V162" s="60">
        <v>0</v>
      </c>
      <c r="W162" s="60">
        <v>0</v>
      </c>
      <c r="X162" s="60">
        <v>0</v>
      </c>
      <c r="Y162" s="61">
        <v>0</v>
      </c>
      <c r="Z162" s="60">
        <v>0</v>
      </c>
      <c r="AA162" s="60">
        <v>0</v>
      </c>
      <c r="AB162" s="60">
        <v>0</v>
      </c>
      <c r="AC162" s="60">
        <v>6755200</v>
      </c>
      <c r="AD162" s="62">
        <v>99</v>
      </c>
      <c r="AF162" s="47">
        <f t="shared" si="2"/>
        <v>6755200</v>
      </c>
    </row>
    <row r="163" spans="1:32" x14ac:dyDescent="0.3">
      <c r="A163" s="46" t="s">
        <v>0</v>
      </c>
      <c r="B163" s="46" t="str">
        <f>IFERROR(VLOOKUP($H163,매장구분!$B:$Z,2,0),"")</f>
        <v>리테일채널팀</v>
      </c>
      <c r="C163" s="46" t="str">
        <f>IFERROR(VLOOKUP($H163,매장구분!$B:$Z,3,0),"")</f>
        <v>국내</v>
      </c>
      <c r="D163" s="46" t="str">
        <f>IFERROR(VLOOKUP($H163,매장구분!$B:$Z,5,0),"")</f>
        <v>대리점</v>
      </c>
      <c r="E163" s="46" t="str">
        <f>IFERROR(VLOOKUP($H163,매장구분!$B:$Z,9,0),"")</f>
        <v>남양주삼패(대-위)</v>
      </c>
      <c r="F163" s="53"/>
      <c r="G163" s="54" t="s">
        <v>586</v>
      </c>
      <c r="H163" s="55" t="s">
        <v>587</v>
      </c>
      <c r="I163" s="55" t="s">
        <v>169</v>
      </c>
      <c r="J163" s="55" t="s">
        <v>79</v>
      </c>
      <c r="K163" s="55" t="s">
        <v>170</v>
      </c>
      <c r="L163" s="55" t="s">
        <v>171</v>
      </c>
      <c r="M163" s="55" t="s">
        <v>196</v>
      </c>
      <c r="N163" s="55" t="s">
        <v>197</v>
      </c>
      <c r="O163" s="55">
        <v>1433000</v>
      </c>
      <c r="P163" s="55">
        <v>15</v>
      </c>
      <c r="Q163" s="55">
        <v>0</v>
      </c>
      <c r="R163" s="55">
        <v>0</v>
      </c>
      <c r="S163" s="55">
        <v>0</v>
      </c>
      <c r="T163" s="55">
        <v>0</v>
      </c>
      <c r="U163" s="55">
        <v>218000</v>
      </c>
      <c r="V163" s="55">
        <v>2</v>
      </c>
      <c r="W163" s="55">
        <v>0</v>
      </c>
      <c r="X163" s="55">
        <v>0</v>
      </c>
      <c r="Y163" s="56">
        <v>0</v>
      </c>
      <c r="Z163" s="55">
        <v>0</v>
      </c>
      <c r="AA163" s="55">
        <v>0</v>
      </c>
      <c r="AB163" s="55">
        <v>0</v>
      </c>
      <c r="AC163" s="55">
        <v>1651000</v>
      </c>
      <c r="AD163" s="57">
        <v>17</v>
      </c>
      <c r="AF163" s="47">
        <f t="shared" si="2"/>
        <v>1651000</v>
      </c>
    </row>
    <row r="164" spans="1:32" x14ac:dyDescent="0.3">
      <c r="A164" s="46" t="s">
        <v>0</v>
      </c>
      <c r="B164" s="46" t="str">
        <f>IFERROR(VLOOKUP($H164,매장구분!$B:$Z,2,0),"")</f>
        <v>리테일채널팀</v>
      </c>
      <c r="C164" s="46" t="str">
        <f>IFERROR(VLOOKUP($H164,매장구분!$B:$Z,3,0),"")</f>
        <v>국내</v>
      </c>
      <c r="D164" s="46" t="str">
        <f>IFERROR(VLOOKUP($H164,매장구분!$B:$Z,5,0),"")</f>
        <v>대리점</v>
      </c>
      <c r="E164" s="46" t="str">
        <f>IFERROR(VLOOKUP($H164,매장구분!$B:$Z,9,0),"")</f>
        <v>부평(대-위)</v>
      </c>
      <c r="F164" s="58"/>
      <c r="G164" s="59" t="s">
        <v>588</v>
      </c>
      <c r="H164" s="60" t="s">
        <v>589</v>
      </c>
      <c r="I164" s="60" t="s">
        <v>169</v>
      </c>
      <c r="J164" s="60" t="s">
        <v>79</v>
      </c>
      <c r="K164" s="60" t="s">
        <v>170</v>
      </c>
      <c r="L164" s="60" t="s">
        <v>171</v>
      </c>
      <c r="M164" s="60" t="s">
        <v>196</v>
      </c>
      <c r="N164" s="60" t="s">
        <v>197</v>
      </c>
      <c r="O164" s="60">
        <v>4371100</v>
      </c>
      <c r="P164" s="60">
        <v>46</v>
      </c>
      <c r="Q164" s="60">
        <v>0</v>
      </c>
      <c r="R164" s="60">
        <v>0</v>
      </c>
      <c r="S164" s="60">
        <v>0</v>
      </c>
      <c r="T164" s="60">
        <v>0</v>
      </c>
      <c r="U164" s="60">
        <v>315300</v>
      </c>
      <c r="V164" s="60">
        <v>3</v>
      </c>
      <c r="W164" s="60">
        <v>0</v>
      </c>
      <c r="X164" s="60">
        <v>0</v>
      </c>
      <c r="Y164" s="61">
        <v>0</v>
      </c>
      <c r="Z164" s="60">
        <v>0</v>
      </c>
      <c r="AA164" s="60">
        <v>0</v>
      </c>
      <c r="AB164" s="60">
        <v>0</v>
      </c>
      <c r="AC164" s="60">
        <v>4686400</v>
      </c>
      <c r="AD164" s="62">
        <v>49</v>
      </c>
      <c r="AF164" s="47">
        <f t="shared" si="2"/>
        <v>4686400</v>
      </c>
    </row>
    <row r="165" spans="1:32" x14ac:dyDescent="0.3">
      <c r="A165" s="46" t="s">
        <v>0</v>
      </c>
      <c r="B165" s="46" t="str">
        <f>IFERROR(VLOOKUP($H165,매장구분!$B:$Z,2,0),"")</f>
        <v>리테일채널팀</v>
      </c>
      <c r="C165" s="46" t="str">
        <f>IFERROR(VLOOKUP($H165,매장구분!$B:$Z,3,0),"")</f>
        <v>국내</v>
      </c>
      <c r="D165" s="46" t="str">
        <f>IFERROR(VLOOKUP($H165,매장구분!$B:$Z,5,0),"")</f>
        <v>대리점</v>
      </c>
      <c r="E165" s="46" t="str">
        <f>IFERROR(VLOOKUP($H165,매장구분!$B:$Z,9,0),"")</f>
        <v>포항(대-위)</v>
      </c>
      <c r="F165" s="53"/>
      <c r="G165" s="54" t="s">
        <v>338</v>
      </c>
      <c r="H165" s="55" t="s">
        <v>339</v>
      </c>
      <c r="I165" s="55" t="s">
        <v>169</v>
      </c>
      <c r="J165" s="55" t="s">
        <v>79</v>
      </c>
      <c r="K165" s="55" t="s">
        <v>170</v>
      </c>
      <c r="L165" s="55" t="s">
        <v>171</v>
      </c>
      <c r="M165" s="55" t="s">
        <v>196</v>
      </c>
      <c r="N165" s="55" t="s">
        <v>197</v>
      </c>
      <c r="O165" s="55">
        <v>10638800</v>
      </c>
      <c r="P165" s="55">
        <v>109</v>
      </c>
      <c r="Q165" s="55">
        <v>0</v>
      </c>
      <c r="R165" s="55">
        <v>0</v>
      </c>
      <c r="S165" s="55">
        <v>0</v>
      </c>
      <c r="T165" s="55">
        <v>0</v>
      </c>
      <c r="U165" s="55">
        <v>125100</v>
      </c>
      <c r="V165" s="55">
        <v>1</v>
      </c>
      <c r="W165" s="55">
        <v>0</v>
      </c>
      <c r="X165" s="55">
        <v>0</v>
      </c>
      <c r="Y165" s="56">
        <v>0</v>
      </c>
      <c r="Z165" s="55">
        <v>0</v>
      </c>
      <c r="AA165" s="55">
        <v>0</v>
      </c>
      <c r="AB165" s="55">
        <v>0</v>
      </c>
      <c r="AC165" s="55">
        <v>10763900</v>
      </c>
      <c r="AD165" s="57">
        <v>110</v>
      </c>
      <c r="AF165" s="47">
        <f t="shared" si="2"/>
        <v>10763900</v>
      </c>
    </row>
    <row r="166" spans="1:32" x14ac:dyDescent="0.3">
      <c r="A166" s="46" t="s">
        <v>0</v>
      </c>
      <c r="B166" s="46" t="str">
        <f>IFERROR(VLOOKUP($H166,매장구분!$B:$Z,2,0),"")</f>
        <v>리테일채널팀</v>
      </c>
      <c r="C166" s="46" t="str">
        <f>IFERROR(VLOOKUP($H166,매장구분!$B:$Z,3,0),"")</f>
        <v>국내</v>
      </c>
      <c r="D166" s="46" t="str">
        <f>IFERROR(VLOOKUP($H166,매장구분!$B:$Z,5,0),"")</f>
        <v>대리점</v>
      </c>
      <c r="E166" s="46" t="str">
        <f>IFERROR(VLOOKUP($H166,매장구분!$B:$Z,9,0),"")</f>
        <v>마산합성(대-위)</v>
      </c>
      <c r="F166" s="58"/>
      <c r="G166" s="59" t="s">
        <v>546</v>
      </c>
      <c r="H166" s="60" t="s">
        <v>547</v>
      </c>
      <c r="I166" s="60" t="s">
        <v>169</v>
      </c>
      <c r="J166" s="60" t="s">
        <v>79</v>
      </c>
      <c r="K166" s="60" t="s">
        <v>170</v>
      </c>
      <c r="L166" s="60" t="s">
        <v>171</v>
      </c>
      <c r="M166" s="60" t="s">
        <v>196</v>
      </c>
      <c r="N166" s="60" t="s">
        <v>197</v>
      </c>
      <c r="O166" s="60">
        <v>3778200</v>
      </c>
      <c r="P166" s="60">
        <v>34</v>
      </c>
      <c r="Q166" s="60">
        <v>0</v>
      </c>
      <c r="R166" s="60">
        <v>0</v>
      </c>
      <c r="S166" s="60">
        <v>0</v>
      </c>
      <c r="T166" s="60">
        <v>0</v>
      </c>
      <c r="U166" s="60">
        <v>968400</v>
      </c>
      <c r="V166" s="60">
        <v>4</v>
      </c>
      <c r="W166" s="60">
        <v>0</v>
      </c>
      <c r="X166" s="60">
        <v>0</v>
      </c>
      <c r="Y166" s="61">
        <v>0</v>
      </c>
      <c r="Z166" s="60">
        <v>0</v>
      </c>
      <c r="AA166" s="60">
        <v>0</v>
      </c>
      <c r="AB166" s="60">
        <v>0</v>
      </c>
      <c r="AC166" s="60">
        <v>4746600</v>
      </c>
      <c r="AD166" s="62">
        <v>38</v>
      </c>
      <c r="AF166" s="47">
        <f t="shared" si="2"/>
        <v>4746600</v>
      </c>
    </row>
    <row r="167" spans="1:32" x14ac:dyDescent="0.3">
      <c r="A167" s="46" t="s">
        <v>0</v>
      </c>
      <c r="B167" s="46" t="str">
        <f>IFERROR(VLOOKUP($H167,매장구분!$B:$Z,2,0),"")</f>
        <v>리테일채널팀</v>
      </c>
      <c r="C167" s="46" t="str">
        <f>IFERROR(VLOOKUP($H167,매장구분!$B:$Z,3,0),"")</f>
        <v>국내</v>
      </c>
      <c r="D167" s="46" t="str">
        <f>IFERROR(VLOOKUP($H167,매장구분!$B:$Z,5,0),"")</f>
        <v>대리점</v>
      </c>
      <c r="E167" s="46" t="str">
        <f>IFERROR(VLOOKUP($H167,매장구분!$B:$Z,9,0),"")</f>
        <v>서산(대-위)</v>
      </c>
      <c r="F167" s="53"/>
      <c r="G167" s="54" t="s">
        <v>336</v>
      </c>
      <c r="H167" s="55" t="s">
        <v>337</v>
      </c>
      <c r="I167" s="55" t="s">
        <v>169</v>
      </c>
      <c r="J167" s="55" t="s">
        <v>79</v>
      </c>
      <c r="K167" s="55" t="s">
        <v>170</v>
      </c>
      <c r="L167" s="55" t="s">
        <v>171</v>
      </c>
      <c r="M167" s="55" t="s">
        <v>196</v>
      </c>
      <c r="N167" s="55" t="s">
        <v>197</v>
      </c>
      <c r="O167" s="55">
        <v>2724000</v>
      </c>
      <c r="P167" s="55">
        <v>31</v>
      </c>
      <c r="Q167" s="55">
        <v>0</v>
      </c>
      <c r="R167" s="55">
        <v>0</v>
      </c>
      <c r="S167" s="55">
        <v>0</v>
      </c>
      <c r="T167" s="55">
        <v>0</v>
      </c>
      <c r="U167" s="55">
        <v>165000</v>
      </c>
      <c r="V167" s="55">
        <v>2</v>
      </c>
      <c r="W167" s="55">
        <v>0</v>
      </c>
      <c r="X167" s="55">
        <v>0</v>
      </c>
      <c r="Y167" s="56">
        <v>0</v>
      </c>
      <c r="Z167" s="55">
        <v>0</v>
      </c>
      <c r="AA167" s="55">
        <v>0</v>
      </c>
      <c r="AB167" s="55">
        <v>0</v>
      </c>
      <c r="AC167" s="55">
        <v>2889000</v>
      </c>
      <c r="AD167" s="57">
        <v>33</v>
      </c>
      <c r="AF167" s="47">
        <f t="shared" si="2"/>
        <v>2889000</v>
      </c>
    </row>
    <row r="168" spans="1:32" x14ac:dyDescent="0.3">
      <c r="A168" s="46" t="s">
        <v>0</v>
      </c>
      <c r="B168" s="46" t="str">
        <f>IFERROR(VLOOKUP($H168,매장구분!$B:$Z,2,0),"")</f>
        <v>리테일채널팀</v>
      </c>
      <c r="C168" s="46" t="str">
        <f>IFERROR(VLOOKUP($H168,매장구분!$B:$Z,3,0),"")</f>
        <v>국내</v>
      </c>
      <c r="D168" s="46" t="str">
        <f>IFERROR(VLOOKUP($H168,매장구분!$B:$Z,5,0),"")</f>
        <v>대리점</v>
      </c>
      <c r="E168" s="46" t="str">
        <f>IFERROR(VLOOKUP($H168,매장구분!$B:$Z,9,0),"")</f>
        <v>구미인동(대-위)</v>
      </c>
      <c r="F168" s="58"/>
      <c r="G168" s="59" t="s">
        <v>558</v>
      </c>
      <c r="H168" s="60" t="s">
        <v>559</v>
      </c>
      <c r="I168" s="60" t="s">
        <v>169</v>
      </c>
      <c r="J168" s="60" t="s">
        <v>79</v>
      </c>
      <c r="K168" s="60" t="s">
        <v>170</v>
      </c>
      <c r="L168" s="60" t="s">
        <v>171</v>
      </c>
      <c r="M168" s="60" t="s">
        <v>196</v>
      </c>
      <c r="N168" s="60" t="s">
        <v>197</v>
      </c>
      <c r="O168" s="60">
        <v>3049000</v>
      </c>
      <c r="P168" s="60">
        <v>35</v>
      </c>
      <c r="Q168" s="60">
        <v>0</v>
      </c>
      <c r="R168" s="60">
        <v>0</v>
      </c>
      <c r="S168" s="60">
        <v>0</v>
      </c>
      <c r="T168" s="60">
        <v>0</v>
      </c>
      <c r="U168" s="60">
        <v>303300</v>
      </c>
      <c r="V168" s="60">
        <v>3</v>
      </c>
      <c r="W168" s="60">
        <v>0</v>
      </c>
      <c r="X168" s="60">
        <v>0</v>
      </c>
      <c r="Y168" s="61">
        <v>0</v>
      </c>
      <c r="Z168" s="60">
        <v>0</v>
      </c>
      <c r="AA168" s="60">
        <v>0</v>
      </c>
      <c r="AB168" s="60">
        <v>0</v>
      </c>
      <c r="AC168" s="60">
        <v>3352300</v>
      </c>
      <c r="AD168" s="62">
        <v>38</v>
      </c>
      <c r="AF168" s="47">
        <f t="shared" si="2"/>
        <v>3352300</v>
      </c>
    </row>
    <row r="169" spans="1:32" x14ac:dyDescent="0.3">
      <c r="A169" s="46" t="s">
        <v>0</v>
      </c>
      <c r="B169" s="46" t="str">
        <f>IFERROR(VLOOKUP($H169,매장구분!$B:$Z,2,0),"")</f>
        <v>파트너채널팀</v>
      </c>
      <c r="C169" s="46" t="str">
        <f>IFERROR(VLOOKUP($H169,매장구분!$B:$Z,3,0),"")</f>
        <v>국내</v>
      </c>
      <c r="D169" s="46" t="str">
        <f>IFERROR(VLOOKUP($H169,매장구분!$B:$Z,5,0),"")</f>
        <v>백화점</v>
      </c>
      <c r="E169" s="46" t="str">
        <f>IFERROR(VLOOKUP($H169,매장구분!$B:$Z,9,0),"")</f>
        <v>신세계경기</v>
      </c>
      <c r="F169" s="53"/>
      <c r="G169" s="54" t="s">
        <v>356</v>
      </c>
      <c r="H169" s="55" t="s">
        <v>357</v>
      </c>
      <c r="I169" s="55" t="s">
        <v>169</v>
      </c>
      <c r="J169" s="55" t="s">
        <v>175</v>
      </c>
      <c r="K169" s="55" t="s">
        <v>170</v>
      </c>
      <c r="L169" s="55" t="s">
        <v>171</v>
      </c>
      <c r="M169" s="55" t="s">
        <v>77</v>
      </c>
      <c r="N169" s="55" t="s">
        <v>172</v>
      </c>
      <c r="O169" s="55">
        <v>5395000</v>
      </c>
      <c r="P169" s="55">
        <v>55</v>
      </c>
      <c r="Q169" s="55">
        <v>0</v>
      </c>
      <c r="R169" s="55">
        <v>0</v>
      </c>
      <c r="S169" s="55">
        <v>0</v>
      </c>
      <c r="T169" s="55">
        <v>0</v>
      </c>
      <c r="U169" s="55">
        <v>99000</v>
      </c>
      <c r="V169" s="55">
        <v>1</v>
      </c>
      <c r="W169" s="55">
        <v>0</v>
      </c>
      <c r="X169" s="55">
        <v>0</v>
      </c>
      <c r="Y169" s="56">
        <v>0</v>
      </c>
      <c r="Z169" s="55">
        <v>0</v>
      </c>
      <c r="AA169" s="55">
        <v>0</v>
      </c>
      <c r="AB169" s="55">
        <v>0</v>
      </c>
      <c r="AC169" s="55">
        <v>5494000</v>
      </c>
      <c r="AD169" s="57">
        <v>56</v>
      </c>
      <c r="AF169" s="47">
        <f t="shared" si="2"/>
        <v>5494000</v>
      </c>
    </row>
    <row r="170" spans="1:32" x14ac:dyDescent="0.3">
      <c r="A170" s="46" t="s">
        <v>0</v>
      </c>
      <c r="B170" s="46" t="str">
        <f>IFERROR(VLOOKUP($H170,매장구분!$B:$Z,2,0),"")</f>
        <v>파트너채널팀</v>
      </c>
      <c r="C170" s="46" t="str">
        <f>IFERROR(VLOOKUP($H170,매장구분!$B:$Z,3,0),"")</f>
        <v>국내</v>
      </c>
      <c r="D170" s="46" t="str">
        <f>IFERROR(VLOOKUP($H170,매장구분!$B:$Z,5,0),"")</f>
        <v>백화점</v>
      </c>
      <c r="E170" s="46" t="str">
        <f>IFERROR(VLOOKUP($H170,매장구분!$B:$Z,9,0),"")</f>
        <v>현대울산</v>
      </c>
      <c r="F170" s="58"/>
      <c r="G170" s="59" t="s">
        <v>344</v>
      </c>
      <c r="H170" s="60" t="s">
        <v>345</v>
      </c>
      <c r="I170" s="60" t="s">
        <v>169</v>
      </c>
      <c r="J170" s="60" t="s">
        <v>175</v>
      </c>
      <c r="K170" s="60" t="s">
        <v>170</v>
      </c>
      <c r="L170" s="60" t="s">
        <v>171</v>
      </c>
      <c r="M170" s="60" t="s">
        <v>77</v>
      </c>
      <c r="N170" s="60" t="s">
        <v>172</v>
      </c>
      <c r="O170" s="60">
        <v>12157100</v>
      </c>
      <c r="P170" s="60">
        <v>113</v>
      </c>
      <c r="Q170" s="60">
        <v>0</v>
      </c>
      <c r="R170" s="60">
        <v>0</v>
      </c>
      <c r="S170" s="60">
        <v>0</v>
      </c>
      <c r="T170" s="60">
        <v>0</v>
      </c>
      <c r="U170" s="60">
        <v>1106500</v>
      </c>
      <c r="V170" s="60">
        <v>6</v>
      </c>
      <c r="W170" s="60">
        <v>0</v>
      </c>
      <c r="X170" s="60">
        <v>0</v>
      </c>
      <c r="Y170" s="61">
        <v>437000</v>
      </c>
      <c r="Z170" s="60">
        <v>3</v>
      </c>
      <c r="AA170" s="60">
        <v>0</v>
      </c>
      <c r="AB170" s="60">
        <v>0</v>
      </c>
      <c r="AC170" s="60">
        <v>13700600</v>
      </c>
      <c r="AD170" s="62">
        <v>122</v>
      </c>
      <c r="AF170" s="47">
        <f t="shared" si="2"/>
        <v>13263600</v>
      </c>
    </row>
    <row r="171" spans="1:32" x14ac:dyDescent="0.3">
      <c r="A171" s="46" t="s">
        <v>0</v>
      </c>
      <c r="B171" s="46" t="str">
        <f>IFERROR(VLOOKUP($H171,매장구분!$B:$Z,2,0),"")</f>
        <v>파트너채널팀</v>
      </c>
      <c r="C171" s="46" t="str">
        <f>IFERROR(VLOOKUP($H171,매장구분!$B:$Z,3,0),"")</f>
        <v>국내</v>
      </c>
      <c r="D171" s="46" t="str">
        <f>IFERROR(VLOOKUP($H171,매장구분!$B:$Z,5,0),"")</f>
        <v>백화점</v>
      </c>
      <c r="E171" s="46" t="str">
        <f>IFERROR(VLOOKUP($H171,매장구분!$B:$Z,9,0),"")</f>
        <v>롯데창원</v>
      </c>
      <c r="F171" s="53"/>
      <c r="G171" s="54" t="s">
        <v>548</v>
      </c>
      <c r="H171" s="55" t="s">
        <v>549</v>
      </c>
      <c r="I171" s="55" t="s">
        <v>169</v>
      </c>
      <c r="J171" s="55" t="s">
        <v>175</v>
      </c>
      <c r="K171" s="55" t="s">
        <v>170</v>
      </c>
      <c r="L171" s="55" t="s">
        <v>171</v>
      </c>
      <c r="M171" s="55" t="s">
        <v>77</v>
      </c>
      <c r="N171" s="55" t="s">
        <v>172</v>
      </c>
      <c r="O171" s="55">
        <v>8833600</v>
      </c>
      <c r="P171" s="55">
        <v>92</v>
      </c>
      <c r="Q171" s="55">
        <v>0</v>
      </c>
      <c r="R171" s="55">
        <v>0</v>
      </c>
      <c r="S171" s="55">
        <v>0</v>
      </c>
      <c r="T171" s="55">
        <v>0</v>
      </c>
      <c r="U171" s="55">
        <v>679500</v>
      </c>
      <c r="V171" s="55">
        <v>5</v>
      </c>
      <c r="W171" s="55">
        <v>0</v>
      </c>
      <c r="X171" s="55">
        <v>0</v>
      </c>
      <c r="Y171" s="56">
        <v>0</v>
      </c>
      <c r="Z171" s="55">
        <v>0</v>
      </c>
      <c r="AA171" s="55">
        <v>0</v>
      </c>
      <c r="AB171" s="55">
        <v>0</v>
      </c>
      <c r="AC171" s="55">
        <v>9513100</v>
      </c>
      <c r="AD171" s="57">
        <v>97</v>
      </c>
      <c r="AF171" s="47">
        <f t="shared" si="2"/>
        <v>9513100</v>
      </c>
    </row>
    <row r="172" spans="1:32" x14ac:dyDescent="0.3">
      <c r="A172" s="46" t="s">
        <v>0</v>
      </c>
      <c r="B172" s="46" t="str">
        <f>IFERROR(VLOOKUP($H172,매장구분!$B:$Z,2,0),"")</f>
        <v>리테일채널팀</v>
      </c>
      <c r="C172" s="46" t="str">
        <f>IFERROR(VLOOKUP($H172,매장구분!$B:$Z,3,0),"")</f>
        <v>국내</v>
      </c>
      <c r="D172" s="46" t="str">
        <f>IFERROR(VLOOKUP($H172,매장구분!$B:$Z,5,0),"")</f>
        <v>대리점</v>
      </c>
      <c r="E172" s="46" t="str">
        <f>IFERROR(VLOOKUP($H172,매장구분!$B:$Z,9,0),"")</f>
        <v>스퀘어원인천(대-위)</v>
      </c>
      <c r="F172" s="58"/>
      <c r="G172" s="59" t="s">
        <v>532</v>
      </c>
      <c r="H172" s="60" t="s">
        <v>533</v>
      </c>
      <c r="I172" s="60" t="s">
        <v>169</v>
      </c>
      <c r="J172" s="60" t="s">
        <v>79</v>
      </c>
      <c r="K172" s="60" t="s">
        <v>170</v>
      </c>
      <c r="L172" s="60" t="s">
        <v>171</v>
      </c>
      <c r="M172" s="60" t="s">
        <v>188</v>
      </c>
      <c r="N172" s="60" t="s">
        <v>317</v>
      </c>
      <c r="O172" s="60">
        <v>8380200</v>
      </c>
      <c r="P172" s="60">
        <v>83</v>
      </c>
      <c r="Q172" s="60">
        <v>0</v>
      </c>
      <c r="R172" s="60">
        <v>0</v>
      </c>
      <c r="S172" s="60">
        <v>0</v>
      </c>
      <c r="T172" s="60">
        <v>0</v>
      </c>
      <c r="U172" s="60">
        <v>182000</v>
      </c>
      <c r="V172" s="60">
        <v>2</v>
      </c>
      <c r="W172" s="60">
        <v>0</v>
      </c>
      <c r="X172" s="60">
        <v>0</v>
      </c>
      <c r="Y172" s="61">
        <v>0</v>
      </c>
      <c r="Z172" s="60">
        <v>0</v>
      </c>
      <c r="AA172" s="60">
        <v>0</v>
      </c>
      <c r="AB172" s="60">
        <v>0</v>
      </c>
      <c r="AC172" s="60">
        <v>8562200</v>
      </c>
      <c r="AD172" s="62">
        <v>85</v>
      </c>
      <c r="AF172" s="47">
        <f t="shared" si="2"/>
        <v>8562200</v>
      </c>
    </row>
    <row r="173" spans="1:32" x14ac:dyDescent="0.3">
      <c r="A173" s="46" t="s">
        <v>0</v>
      </c>
      <c r="B173" s="46" t="str">
        <f>IFERROR(VLOOKUP($H173,매장구분!$B:$Z,2,0),"")</f>
        <v>파트너채널팀</v>
      </c>
      <c r="C173" s="46" t="str">
        <f>IFERROR(VLOOKUP($H173,매장구분!$B:$Z,3,0),"")</f>
        <v>국내</v>
      </c>
      <c r="D173" s="46" t="str">
        <f>IFERROR(VLOOKUP($H173,매장구분!$B:$Z,5,0),"")</f>
        <v>백화점</v>
      </c>
      <c r="E173" s="46" t="str">
        <f>IFERROR(VLOOKUP($H173,매장구분!$B:$Z,9,0),"")</f>
        <v>롯데상인</v>
      </c>
      <c r="F173" s="53"/>
      <c r="G173" s="54" t="s">
        <v>348</v>
      </c>
      <c r="H173" s="55" t="s">
        <v>349</v>
      </c>
      <c r="I173" s="55" t="s">
        <v>169</v>
      </c>
      <c r="J173" s="55" t="s">
        <v>175</v>
      </c>
      <c r="K173" s="55" t="s">
        <v>170</v>
      </c>
      <c r="L173" s="55" t="s">
        <v>171</v>
      </c>
      <c r="M173" s="55" t="s">
        <v>77</v>
      </c>
      <c r="N173" s="55" t="s">
        <v>172</v>
      </c>
      <c r="O173" s="55">
        <v>1878200</v>
      </c>
      <c r="P173" s="55">
        <v>25</v>
      </c>
      <c r="Q173" s="55">
        <v>0</v>
      </c>
      <c r="R173" s="55">
        <v>0</v>
      </c>
      <c r="S173" s="55">
        <v>0</v>
      </c>
      <c r="T173" s="55">
        <v>0</v>
      </c>
      <c r="U173" s="55">
        <v>1718100</v>
      </c>
      <c r="V173" s="55">
        <v>11</v>
      </c>
      <c r="W173" s="55">
        <v>0</v>
      </c>
      <c r="X173" s="55">
        <v>0</v>
      </c>
      <c r="Y173" s="56">
        <v>1262000</v>
      </c>
      <c r="Z173" s="55">
        <v>8</v>
      </c>
      <c r="AA173" s="55">
        <v>0</v>
      </c>
      <c r="AB173" s="55">
        <v>0</v>
      </c>
      <c r="AC173" s="55">
        <v>4858300</v>
      </c>
      <c r="AD173" s="57">
        <v>44</v>
      </c>
      <c r="AF173" s="47">
        <f t="shared" si="2"/>
        <v>3596300</v>
      </c>
    </row>
    <row r="174" spans="1:32" x14ac:dyDescent="0.3">
      <c r="A174" s="46" t="s">
        <v>0</v>
      </c>
      <c r="B174" s="46" t="str">
        <f>IFERROR(VLOOKUP($H174,매장구분!$B:$Z,2,0),"")</f>
        <v>파트너채널팀</v>
      </c>
      <c r="C174" s="46" t="str">
        <f>IFERROR(VLOOKUP($H174,매장구분!$B:$Z,3,0),"")</f>
        <v>국내</v>
      </c>
      <c r="D174" s="46" t="str">
        <f>IFERROR(VLOOKUP($H174,매장구분!$B:$Z,5,0),"")</f>
        <v>백화점</v>
      </c>
      <c r="E174" s="46" t="str">
        <f>IFERROR(VLOOKUP($H174,매장구분!$B:$Z,9,0),"")</f>
        <v>현대대구</v>
      </c>
      <c r="F174" s="58"/>
      <c r="G174" s="59" t="s">
        <v>540</v>
      </c>
      <c r="H174" s="60" t="s">
        <v>541</v>
      </c>
      <c r="I174" s="60" t="s">
        <v>169</v>
      </c>
      <c r="J174" s="60" t="s">
        <v>175</v>
      </c>
      <c r="K174" s="60" t="s">
        <v>170</v>
      </c>
      <c r="L174" s="60" t="s">
        <v>171</v>
      </c>
      <c r="M174" s="60" t="s">
        <v>77</v>
      </c>
      <c r="N174" s="60" t="s">
        <v>172</v>
      </c>
      <c r="O174" s="60">
        <v>6987300</v>
      </c>
      <c r="P174" s="60">
        <v>95</v>
      </c>
      <c r="Q174" s="60">
        <v>774000</v>
      </c>
      <c r="R174" s="60">
        <v>6</v>
      </c>
      <c r="S174" s="60">
        <v>0</v>
      </c>
      <c r="T174" s="60">
        <v>0</v>
      </c>
      <c r="U174" s="60">
        <v>871800</v>
      </c>
      <c r="V174" s="60">
        <v>8</v>
      </c>
      <c r="W174" s="60">
        <v>0</v>
      </c>
      <c r="X174" s="60">
        <v>0</v>
      </c>
      <c r="Y174" s="61">
        <v>0</v>
      </c>
      <c r="Z174" s="60">
        <v>0</v>
      </c>
      <c r="AA174" s="60">
        <v>0</v>
      </c>
      <c r="AB174" s="60">
        <v>0</v>
      </c>
      <c r="AC174" s="60">
        <v>8633100</v>
      </c>
      <c r="AD174" s="62">
        <v>109</v>
      </c>
      <c r="AF174" s="47">
        <f t="shared" si="2"/>
        <v>8633100</v>
      </c>
    </row>
    <row r="175" spans="1:32" hidden="1" x14ac:dyDescent="0.3">
      <c r="A175" s="46" t="s">
        <v>0</v>
      </c>
      <c r="B175" s="46" t="str">
        <f>IFERROR(VLOOKUP($H175,매장구분!$B:$Z,2,0),"")</f>
        <v>리테일채널팀</v>
      </c>
      <c r="C175" s="46" t="str">
        <f>IFERROR(VLOOKUP($H175,매장구분!$B:$Z,3,0),"")</f>
        <v>RF</v>
      </c>
      <c r="D175" s="46" t="str">
        <f>IFERROR(VLOOKUP($H175,매장구분!$B:$Z,5,0),"")</f>
        <v>대리점</v>
      </c>
      <c r="E175" s="46" t="str">
        <f>IFERROR(VLOOKUP($H175,매장구분!$B:$Z,9,0),"")</f>
        <v>신제주(대-위)</v>
      </c>
      <c r="F175" s="53"/>
      <c r="G175" s="54" t="s">
        <v>340</v>
      </c>
      <c r="H175" s="55" t="s">
        <v>341</v>
      </c>
      <c r="I175" s="55" t="s">
        <v>169</v>
      </c>
      <c r="J175" s="55" t="s">
        <v>79</v>
      </c>
      <c r="K175" s="55" t="s">
        <v>170</v>
      </c>
      <c r="L175" s="55" t="s">
        <v>171</v>
      </c>
      <c r="M175" s="55" t="s">
        <v>196</v>
      </c>
      <c r="N175" s="55" t="s">
        <v>197</v>
      </c>
      <c r="O175" s="55">
        <v>6807000</v>
      </c>
      <c r="P175" s="55">
        <v>73</v>
      </c>
      <c r="Q175" s="55">
        <v>0</v>
      </c>
      <c r="R175" s="55">
        <v>0</v>
      </c>
      <c r="S175" s="55">
        <v>0</v>
      </c>
      <c r="T175" s="55">
        <v>0</v>
      </c>
      <c r="U175" s="55">
        <v>0</v>
      </c>
      <c r="V175" s="55">
        <v>0</v>
      </c>
      <c r="W175" s="55">
        <v>0</v>
      </c>
      <c r="X175" s="55">
        <v>0</v>
      </c>
      <c r="Y175" s="56">
        <v>12567200</v>
      </c>
      <c r="Z175" s="55">
        <v>240</v>
      </c>
      <c r="AA175" s="55">
        <v>0</v>
      </c>
      <c r="AB175" s="55">
        <v>0</v>
      </c>
      <c r="AC175" s="55">
        <v>19374200</v>
      </c>
      <c r="AD175" s="57">
        <v>313</v>
      </c>
      <c r="AF175" s="47">
        <f t="shared" si="2"/>
        <v>6807000</v>
      </c>
    </row>
    <row r="176" spans="1:32" x14ac:dyDescent="0.3">
      <c r="A176" s="46" t="s">
        <v>0</v>
      </c>
      <c r="B176" s="46" t="str">
        <f>IFERROR(VLOOKUP($H176,매장구분!$B:$Z,2,0),"")</f>
        <v>리테일채널팀</v>
      </c>
      <c r="C176" s="46" t="str">
        <f>IFERROR(VLOOKUP($H176,매장구분!$B:$Z,3,0),"")</f>
        <v>국내</v>
      </c>
      <c r="D176" s="46" t="str">
        <f>IFERROR(VLOOKUP($H176,매장구분!$B:$Z,5,0),"")</f>
        <v>대리점</v>
      </c>
      <c r="E176" s="46" t="str">
        <f>IFERROR(VLOOKUP($H176,매장구분!$B:$Z,9,0),"")</f>
        <v>경산(대-위)</v>
      </c>
      <c r="F176" s="58"/>
      <c r="G176" s="59" t="s">
        <v>556</v>
      </c>
      <c r="H176" s="60" t="s">
        <v>557</v>
      </c>
      <c r="I176" s="60" t="s">
        <v>169</v>
      </c>
      <c r="J176" s="60" t="s">
        <v>79</v>
      </c>
      <c r="K176" s="60" t="s">
        <v>170</v>
      </c>
      <c r="L176" s="60" t="s">
        <v>171</v>
      </c>
      <c r="M176" s="60" t="s">
        <v>196</v>
      </c>
      <c r="N176" s="60" t="s">
        <v>197</v>
      </c>
      <c r="O176" s="60">
        <v>5947200</v>
      </c>
      <c r="P176" s="60">
        <v>49</v>
      </c>
      <c r="Q176" s="60">
        <v>0</v>
      </c>
      <c r="R176" s="60">
        <v>0</v>
      </c>
      <c r="S176" s="60">
        <v>0</v>
      </c>
      <c r="T176" s="60">
        <v>0</v>
      </c>
      <c r="U176" s="60">
        <v>868200</v>
      </c>
      <c r="V176" s="60">
        <v>5</v>
      </c>
      <c r="W176" s="60">
        <v>0</v>
      </c>
      <c r="X176" s="60">
        <v>0</v>
      </c>
      <c r="Y176" s="61">
        <v>0</v>
      </c>
      <c r="Z176" s="60">
        <v>0</v>
      </c>
      <c r="AA176" s="60">
        <v>0</v>
      </c>
      <c r="AB176" s="60">
        <v>0</v>
      </c>
      <c r="AC176" s="60">
        <v>6815400</v>
      </c>
      <c r="AD176" s="62">
        <v>54</v>
      </c>
      <c r="AF176" s="47">
        <f t="shared" si="2"/>
        <v>6815400</v>
      </c>
    </row>
    <row r="177" spans="1:32" x14ac:dyDescent="0.3">
      <c r="A177" s="46" t="s">
        <v>0</v>
      </c>
      <c r="B177" s="46" t="str">
        <f>IFERROR(VLOOKUP($H177,매장구분!$B:$Z,2,0),"")</f>
        <v>리테일채널팀</v>
      </c>
      <c r="C177" s="46" t="str">
        <f>IFERROR(VLOOKUP($H177,매장구분!$B:$Z,3,0),"")</f>
        <v>국내</v>
      </c>
      <c r="D177" s="46" t="str">
        <f>IFERROR(VLOOKUP($H177,매장구분!$B:$Z,5,0),"")</f>
        <v>대리점</v>
      </c>
      <c r="E177" s="46" t="str">
        <f>IFERROR(VLOOKUP($H177,매장구분!$B:$Z,9,0),"")</f>
        <v>부천(대-위)</v>
      </c>
      <c r="F177" s="53"/>
      <c r="G177" s="54" t="s">
        <v>530</v>
      </c>
      <c r="H177" s="55" t="s">
        <v>531</v>
      </c>
      <c r="I177" s="55" t="s">
        <v>169</v>
      </c>
      <c r="J177" s="55" t="s">
        <v>79</v>
      </c>
      <c r="K177" s="55" t="s">
        <v>170</v>
      </c>
      <c r="L177" s="55" t="s">
        <v>171</v>
      </c>
      <c r="M177" s="55" t="s">
        <v>196</v>
      </c>
      <c r="N177" s="55" t="s">
        <v>197</v>
      </c>
      <c r="O177" s="55">
        <v>2081000</v>
      </c>
      <c r="P177" s="55">
        <v>23</v>
      </c>
      <c r="Q177" s="55">
        <v>0</v>
      </c>
      <c r="R177" s="55">
        <v>0</v>
      </c>
      <c r="S177" s="55">
        <v>0</v>
      </c>
      <c r="T177" s="55">
        <v>0</v>
      </c>
      <c r="U177" s="55">
        <v>1137000</v>
      </c>
      <c r="V177" s="55">
        <v>3</v>
      </c>
      <c r="W177" s="55">
        <v>0</v>
      </c>
      <c r="X177" s="55">
        <v>0</v>
      </c>
      <c r="Y177" s="56">
        <v>0</v>
      </c>
      <c r="Z177" s="55">
        <v>0</v>
      </c>
      <c r="AA177" s="55">
        <v>0</v>
      </c>
      <c r="AB177" s="55">
        <v>0</v>
      </c>
      <c r="AC177" s="55">
        <v>3218000</v>
      </c>
      <c r="AD177" s="57">
        <v>26</v>
      </c>
      <c r="AF177" s="47">
        <f t="shared" si="2"/>
        <v>3218000</v>
      </c>
    </row>
    <row r="178" spans="1:32" x14ac:dyDescent="0.3">
      <c r="A178" s="46" t="s">
        <v>0</v>
      </c>
      <c r="B178" s="46" t="str">
        <f>IFERROR(VLOOKUP($H178,매장구분!$B:$Z,2,0),"")</f>
        <v>리테일채널팀</v>
      </c>
      <c r="C178" s="46" t="str">
        <f>IFERROR(VLOOKUP($H178,매장구분!$B:$Z,3,0),"")</f>
        <v>국내</v>
      </c>
      <c r="D178" s="46" t="str">
        <f>IFERROR(VLOOKUP($H178,매장구분!$B:$Z,5,0),"")</f>
        <v>대리점</v>
      </c>
      <c r="E178" s="46" t="str">
        <f>IFERROR(VLOOKUP($H178,매장구분!$B:$Z,9,0),"")</f>
        <v>대구칠곡(대-위)</v>
      </c>
      <c r="F178" s="58"/>
      <c r="G178" s="59" t="s">
        <v>364</v>
      </c>
      <c r="H178" s="60" t="s">
        <v>365</v>
      </c>
      <c r="I178" s="60" t="s">
        <v>169</v>
      </c>
      <c r="J178" s="60" t="s">
        <v>79</v>
      </c>
      <c r="K178" s="60" t="s">
        <v>170</v>
      </c>
      <c r="L178" s="60" t="s">
        <v>171</v>
      </c>
      <c r="M178" s="60" t="s">
        <v>196</v>
      </c>
      <c r="N178" s="60" t="s">
        <v>197</v>
      </c>
      <c r="O178" s="60">
        <v>1835527</v>
      </c>
      <c r="P178" s="60">
        <v>16</v>
      </c>
      <c r="Q178" s="60">
        <v>0</v>
      </c>
      <c r="R178" s="60">
        <v>0</v>
      </c>
      <c r="S178" s="60">
        <v>0</v>
      </c>
      <c r="T178" s="60">
        <v>0</v>
      </c>
      <c r="U178" s="60">
        <v>0</v>
      </c>
      <c r="V178" s="60">
        <v>0</v>
      </c>
      <c r="W178" s="60">
        <v>0</v>
      </c>
      <c r="X178" s="60">
        <v>0</v>
      </c>
      <c r="Y178" s="61">
        <v>0</v>
      </c>
      <c r="Z178" s="60">
        <v>0</v>
      </c>
      <c r="AA178" s="60">
        <v>0</v>
      </c>
      <c r="AB178" s="60">
        <v>0</v>
      </c>
      <c r="AC178" s="60">
        <v>1835527</v>
      </c>
      <c r="AD178" s="62">
        <v>16</v>
      </c>
      <c r="AF178" s="47">
        <f t="shared" si="2"/>
        <v>1835527</v>
      </c>
    </row>
    <row r="179" spans="1:32" x14ac:dyDescent="0.3">
      <c r="A179" s="46" t="s">
        <v>0</v>
      </c>
      <c r="B179" s="46" t="str">
        <f>IFERROR(VLOOKUP($H179,매장구분!$B:$Z,2,0),"")</f>
        <v>파트너채널팀</v>
      </c>
      <c r="C179" s="46" t="str">
        <f>IFERROR(VLOOKUP($H179,매장구분!$B:$Z,3,0),"")</f>
        <v>국내</v>
      </c>
      <c r="D179" s="46" t="str">
        <f>IFERROR(VLOOKUP($H179,매장구분!$B:$Z,5,0),"")</f>
        <v>백화점</v>
      </c>
      <c r="E179" s="46" t="str">
        <f>IFERROR(VLOOKUP($H179,매장구분!$B:$Z,9,0),"")</f>
        <v>롯데미아</v>
      </c>
      <c r="F179" s="53"/>
      <c r="G179" s="54" t="s">
        <v>350</v>
      </c>
      <c r="H179" s="55" t="s">
        <v>351</v>
      </c>
      <c r="I179" s="55" t="s">
        <v>169</v>
      </c>
      <c r="J179" s="55" t="s">
        <v>175</v>
      </c>
      <c r="K179" s="55" t="s">
        <v>170</v>
      </c>
      <c r="L179" s="55" t="s">
        <v>171</v>
      </c>
      <c r="M179" s="55" t="s">
        <v>77</v>
      </c>
      <c r="N179" s="55" t="s">
        <v>172</v>
      </c>
      <c r="O179" s="55">
        <v>23140900</v>
      </c>
      <c r="P179" s="55">
        <v>194</v>
      </c>
      <c r="Q179" s="55">
        <v>0</v>
      </c>
      <c r="R179" s="55">
        <v>0</v>
      </c>
      <c r="S179" s="55">
        <v>0</v>
      </c>
      <c r="T179" s="55">
        <v>0</v>
      </c>
      <c r="U179" s="55">
        <v>0</v>
      </c>
      <c r="V179" s="55">
        <v>0</v>
      </c>
      <c r="W179" s="55">
        <v>0</v>
      </c>
      <c r="X179" s="55">
        <v>0</v>
      </c>
      <c r="Y179" s="56">
        <v>0</v>
      </c>
      <c r="Z179" s="55">
        <v>0</v>
      </c>
      <c r="AA179" s="55">
        <v>0</v>
      </c>
      <c r="AB179" s="55">
        <v>0</v>
      </c>
      <c r="AC179" s="55">
        <v>23140900</v>
      </c>
      <c r="AD179" s="57">
        <v>194</v>
      </c>
      <c r="AF179" s="47">
        <f t="shared" si="2"/>
        <v>23140900</v>
      </c>
    </row>
    <row r="180" spans="1:32" x14ac:dyDescent="0.3">
      <c r="A180" s="46" t="s">
        <v>0</v>
      </c>
      <c r="B180" s="46" t="str">
        <f>IFERROR(VLOOKUP($H180,매장구분!$B:$Z,2,0),"")</f>
        <v>리테일채널팀</v>
      </c>
      <c r="C180" s="46" t="str">
        <f>IFERROR(VLOOKUP($H180,매장구분!$B:$Z,3,0),"")</f>
        <v>국내</v>
      </c>
      <c r="D180" s="46" t="str">
        <f>IFERROR(VLOOKUP($H180,매장구분!$B:$Z,5,0),"")</f>
        <v>직영점</v>
      </c>
      <c r="E180" s="46" t="str">
        <f>IFERROR(VLOOKUP($H180,매장구분!$B:$Z,9,0),"")</f>
        <v>타임스트림신림(직)</v>
      </c>
      <c r="F180" s="58"/>
      <c r="G180" s="59" t="s">
        <v>360</v>
      </c>
      <c r="H180" s="60" t="s">
        <v>361</v>
      </c>
      <c r="I180" s="60" t="s">
        <v>169</v>
      </c>
      <c r="J180" s="60" t="s">
        <v>180</v>
      </c>
      <c r="K180" s="60" t="s">
        <v>170</v>
      </c>
      <c r="L180" s="60" t="s">
        <v>171</v>
      </c>
      <c r="M180" s="60" t="s">
        <v>188</v>
      </c>
      <c r="N180" s="60" t="s">
        <v>317</v>
      </c>
      <c r="O180" s="60">
        <v>1415900</v>
      </c>
      <c r="P180" s="60">
        <v>22</v>
      </c>
      <c r="Q180" s="60">
        <v>0</v>
      </c>
      <c r="R180" s="60">
        <v>0</v>
      </c>
      <c r="S180" s="60">
        <v>0</v>
      </c>
      <c r="T180" s="60">
        <v>0</v>
      </c>
      <c r="U180" s="60">
        <v>943100</v>
      </c>
      <c r="V180" s="60">
        <v>7</v>
      </c>
      <c r="W180" s="60">
        <v>0</v>
      </c>
      <c r="X180" s="60">
        <v>0</v>
      </c>
      <c r="Y180" s="61">
        <v>0</v>
      </c>
      <c r="Z180" s="60">
        <v>0</v>
      </c>
      <c r="AA180" s="60">
        <v>0</v>
      </c>
      <c r="AB180" s="60">
        <v>0</v>
      </c>
      <c r="AC180" s="60">
        <v>2359000</v>
      </c>
      <c r="AD180" s="62">
        <v>29</v>
      </c>
      <c r="AF180" s="47">
        <f t="shared" si="2"/>
        <v>2359000</v>
      </c>
    </row>
    <row r="181" spans="1:32" x14ac:dyDescent="0.3">
      <c r="A181" s="46" t="s">
        <v>0</v>
      </c>
      <c r="B181" s="46" t="str">
        <f>IFERROR(VLOOKUP($H181,매장구분!$B:$Z,2,0),"")</f>
        <v>리테일채널팀</v>
      </c>
      <c r="C181" s="46" t="str">
        <f>IFERROR(VLOOKUP($H181,매장구분!$B:$Z,3,0),"")</f>
        <v>국내</v>
      </c>
      <c r="D181" s="46" t="str">
        <f>IFERROR(VLOOKUP($H181,매장구분!$B:$Z,5,0),"")</f>
        <v>대리점</v>
      </c>
      <c r="E181" s="46" t="str">
        <f>IFERROR(VLOOKUP($H181,매장구분!$B:$Z,9,0),"")</f>
        <v>동해(대-위)</v>
      </c>
      <c r="F181" s="53"/>
      <c r="G181" s="54" t="s">
        <v>534</v>
      </c>
      <c r="H181" s="55" t="s">
        <v>535</v>
      </c>
      <c r="I181" s="55" t="s">
        <v>169</v>
      </c>
      <c r="J181" s="55" t="s">
        <v>79</v>
      </c>
      <c r="K181" s="55" t="s">
        <v>170</v>
      </c>
      <c r="L181" s="55" t="s">
        <v>171</v>
      </c>
      <c r="M181" s="55" t="s">
        <v>196</v>
      </c>
      <c r="N181" s="55" t="s">
        <v>197</v>
      </c>
      <c r="O181" s="55">
        <v>6300712</v>
      </c>
      <c r="P181" s="55">
        <v>67</v>
      </c>
      <c r="Q181" s="55">
        <v>0</v>
      </c>
      <c r="R181" s="55">
        <v>0</v>
      </c>
      <c r="S181" s="55">
        <v>0</v>
      </c>
      <c r="T181" s="55">
        <v>0</v>
      </c>
      <c r="U181" s="55">
        <v>1306397</v>
      </c>
      <c r="V181" s="55">
        <v>9</v>
      </c>
      <c r="W181" s="55">
        <v>0</v>
      </c>
      <c r="X181" s="55">
        <v>0</v>
      </c>
      <c r="Y181" s="56">
        <v>0</v>
      </c>
      <c r="Z181" s="55">
        <v>0</v>
      </c>
      <c r="AA181" s="55">
        <v>0</v>
      </c>
      <c r="AB181" s="55">
        <v>0</v>
      </c>
      <c r="AC181" s="55">
        <v>7607109</v>
      </c>
      <c r="AD181" s="57">
        <v>76</v>
      </c>
      <c r="AF181" s="47">
        <f t="shared" si="2"/>
        <v>7607109</v>
      </c>
    </row>
    <row r="182" spans="1:32" x14ac:dyDescent="0.3">
      <c r="A182" s="46" t="s">
        <v>0</v>
      </c>
      <c r="B182" s="46" t="str">
        <f>IFERROR(VLOOKUP($H182,매장구분!$B:$Z,2,0),"")</f>
        <v>파트너채널팀</v>
      </c>
      <c r="C182" s="46" t="str">
        <f>IFERROR(VLOOKUP($H182,매장구분!$B:$Z,3,0),"")</f>
        <v>국내</v>
      </c>
      <c r="D182" s="46" t="str">
        <f>IFERROR(VLOOKUP($H182,매장구분!$B:$Z,5,0),"")</f>
        <v>백화점</v>
      </c>
      <c r="E182" s="46" t="str">
        <f>IFERROR(VLOOKUP($H182,매장구분!$B:$Z,9,0),"")</f>
        <v>롯데대구</v>
      </c>
      <c r="F182" s="58"/>
      <c r="G182" s="59" t="s">
        <v>536</v>
      </c>
      <c r="H182" s="60" t="s">
        <v>537</v>
      </c>
      <c r="I182" s="60" t="s">
        <v>169</v>
      </c>
      <c r="J182" s="60" t="s">
        <v>175</v>
      </c>
      <c r="K182" s="60" t="s">
        <v>170</v>
      </c>
      <c r="L182" s="60" t="s">
        <v>171</v>
      </c>
      <c r="M182" s="60" t="s">
        <v>77</v>
      </c>
      <c r="N182" s="60" t="s">
        <v>172</v>
      </c>
      <c r="O182" s="60">
        <v>6931700</v>
      </c>
      <c r="P182" s="60">
        <v>76</v>
      </c>
      <c r="Q182" s="60">
        <v>496000</v>
      </c>
      <c r="R182" s="60">
        <v>4</v>
      </c>
      <c r="S182" s="60">
        <v>0</v>
      </c>
      <c r="T182" s="60">
        <v>0</v>
      </c>
      <c r="U182" s="60">
        <v>760500</v>
      </c>
      <c r="V182" s="60">
        <v>5</v>
      </c>
      <c r="W182" s="60">
        <v>0</v>
      </c>
      <c r="X182" s="60">
        <v>0</v>
      </c>
      <c r="Y182" s="61">
        <v>0</v>
      </c>
      <c r="Z182" s="60">
        <v>0</v>
      </c>
      <c r="AA182" s="60">
        <v>0</v>
      </c>
      <c r="AB182" s="60">
        <v>0</v>
      </c>
      <c r="AC182" s="60">
        <v>8188200</v>
      </c>
      <c r="AD182" s="62">
        <v>85</v>
      </c>
      <c r="AF182" s="47">
        <f t="shared" si="2"/>
        <v>8188200</v>
      </c>
    </row>
    <row r="183" spans="1:32" hidden="1" x14ac:dyDescent="0.3">
      <c r="A183" s="46" t="s">
        <v>0</v>
      </c>
      <c r="B183" s="46" t="str">
        <f>IFERROR(VLOOKUP($H183,매장구분!$B:$Z,2,0),"")</f>
        <v>파트너채널팀</v>
      </c>
      <c r="C183" s="46" t="str">
        <f>IFERROR(VLOOKUP($H183,매장구분!$B:$Z,3,0),"")</f>
        <v>면세</v>
      </c>
      <c r="D183" s="46" t="str">
        <f>IFERROR(VLOOKUP($H183,매장구분!$B:$Z,5,0),"")</f>
        <v>면세</v>
      </c>
      <c r="E183" s="46" t="str">
        <f>IFERROR(VLOOKUP($H183,매장구분!$B:$Z,9,0),"")</f>
        <v>신라면세제주</v>
      </c>
      <c r="F183" s="53"/>
      <c r="G183" s="54" t="s">
        <v>334</v>
      </c>
      <c r="H183" s="55" t="s">
        <v>335</v>
      </c>
      <c r="I183" s="55" t="s">
        <v>169</v>
      </c>
      <c r="J183" s="55" t="s">
        <v>175</v>
      </c>
      <c r="K183" s="55" t="s">
        <v>170</v>
      </c>
      <c r="L183" s="55" t="s">
        <v>171</v>
      </c>
      <c r="M183" s="55" t="s">
        <v>176</v>
      </c>
      <c r="N183" s="55" t="s">
        <v>177</v>
      </c>
      <c r="O183" s="55">
        <v>26803900</v>
      </c>
      <c r="P183" s="55">
        <v>520</v>
      </c>
      <c r="Q183" s="55">
        <v>0</v>
      </c>
      <c r="R183" s="55">
        <v>0</v>
      </c>
      <c r="S183" s="55">
        <v>0</v>
      </c>
      <c r="T183" s="55">
        <v>0</v>
      </c>
      <c r="U183" s="55">
        <v>0</v>
      </c>
      <c r="V183" s="55">
        <v>0</v>
      </c>
      <c r="W183" s="55">
        <v>0</v>
      </c>
      <c r="X183" s="55">
        <v>0</v>
      </c>
      <c r="Y183" s="56">
        <v>0</v>
      </c>
      <c r="Z183" s="55">
        <v>0</v>
      </c>
      <c r="AA183" s="55">
        <v>0</v>
      </c>
      <c r="AB183" s="55">
        <v>0</v>
      </c>
      <c r="AC183" s="55">
        <v>26803900</v>
      </c>
      <c r="AD183" s="57">
        <v>520</v>
      </c>
      <c r="AF183" s="47">
        <f t="shared" si="2"/>
        <v>26803900</v>
      </c>
    </row>
    <row r="184" spans="1:32" x14ac:dyDescent="0.3">
      <c r="A184" s="46" t="s">
        <v>0</v>
      </c>
      <c r="B184" s="46" t="str">
        <f>IFERROR(VLOOKUP($H184,매장구분!$B:$Z,2,0),"")</f>
        <v>파트너채널팀</v>
      </c>
      <c r="C184" s="46" t="str">
        <f>IFERROR(VLOOKUP($H184,매장구분!$B:$Z,3,0),"")</f>
        <v>국내</v>
      </c>
      <c r="D184" s="46" t="str">
        <f>IFERROR(VLOOKUP($H184,매장구분!$B:$Z,5,0),"")</f>
        <v>백화점</v>
      </c>
      <c r="E184" s="46" t="str">
        <f>IFERROR(VLOOKUP($H184,매장구분!$B:$Z,9,0),"")</f>
        <v>현대충청</v>
      </c>
      <c r="F184" s="58"/>
      <c r="G184" s="59" t="s">
        <v>358</v>
      </c>
      <c r="H184" s="60" t="s">
        <v>359</v>
      </c>
      <c r="I184" s="60" t="s">
        <v>169</v>
      </c>
      <c r="J184" s="60" t="s">
        <v>175</v>
      </c>
      <c r="K184" s="60" t="s">
        <v>170</v>
      </c>
      <c r="L184" s="60" t="s">
        <v>171</v>
      </c>
      <c r="M184" s="60" t="s">
        <v>77</v>
      </c>
      <c r="N184" s="60" t="s">
        <v>172</v>
      </c>
      <c r="O184" s="60">
        <v>9542600</v>
      </c>
      <c r="P184" s="60">
        <v>75</v>
      </c>
      <c r="Q184" s="60">
        <v>0</v>
      </c>
      <c r="R184" s="60">
        <v>0</v>
      </c>
      <c r="S184" s="60">
        <v>0</v>
      </c>
      <c r="T184" s="60">
        <v>0</v>
      </c>
      <c r="U184" s="60">
        <v>0</v>
      </c>
      <c r="V184" s="60">
        <v>0</v>
      </c>
      <c r="W184" s="60">
        <v>0</v>
      </c>
      <c r="X184" s="60">
        <v>0</v>
      </c>
      <c r="Y184" s="61">
        <v>4842000</v>
      </c>
      <c r="Z184" s="60">
        <v>63</v>
      </c>
      <c r="AA184" s="60">
        <v>0</v>
      </c>
      <c r="AB184" s="60">
        <v>0</v>
      </c>
      <c r="AC184" s="60">
        <v>14384600</v>
      </c>
      <c r="AD184" s="62">
        <v>138</v>
      </c>
      <c r="AF184" s="47">
        <f t="shared" si="2"/>
        <v>9542600</v>
      </c>
    </row>
    <row r="185" spans="1:32" x14ac:dyDescent="0.3">
      <c r="A185" s="46" t="s">
        <v>0</v>
      </c>
      <c r="B185" s="46" t="str">
        <f>IFERROR(VLOOKUP($H185,매장구분!$B:$Z,2,0),"")</f>
        <v>리테일채널팀</v>
      </c>
      <c r="C185" s="46" t="str">
        <f>IFERROR(VLOOKUP($H185,매장구분!$B:$Z,3,0),"")</f>
        <v>국내</v>
      </c>
      <c r="D185" s="46" t="str">
        <f>IFERROR(VLOOKUP($H185,매장구분!$B:$Z,5,0),"")</f>
        <v>상설(위탁)</v>
      </c>
      <c r="E185" s="46" t="str">
        <f>IFERROR(VLOOKUP($H185,매장구분!$B:$Z,9,0),"")</f>
        <v>롯데아울렛동부산(상-위)</v>
      </c>
      <c r="F185" s="53"/>
      <c r="G185" s="54" t="s">
        <v>366</v>
      </c>
      <c r="H185" s="55" t="s">
        <v>367</v>
      </c>
      <c r="I185" s="55" t="s">
        <v>169</v>
      </c>
      <c r="J185" s="55" t="s">
        <v>79</v>
      </c>
      <c r="K185" s="55" t="s">
        <v>170</v>
      </c>
      <c r="L185" s="55" t="s">
        <v>171</v>
      </c>
      <c r="M185" s="55" t="s">
        <v>219</v>
      </c>
      <c r="N185" s="55" t="s">
        <v>219</v>
      </c>
      <c r="O185" s="55">
        <v>3204000</v>
      </c>
      <c r="P185" s="55">
        <v>89</v>
      </c>
      <c r="Q185" s="55">
        <v>0</v>
      </c>
      <c r="R185" s="55">
        <v>0</v>
      </c>
      <c r="S185" s="55">
        <v>0</v>
      </c>
      <c r="T185" s="55">
        <v>0</v>
      </c>
      <c r="U185" s="55">
        <v>0</v>
      </c>
      <c r="V185" s="55">
        <v>0</v>
      </c>
      <c r="W185" s="55">
        <v>0</v>
      </c>
      <c r="X185" s="55">
        <v>0</v>
      </c>
      <c r="Y185" s="56">
        <v>0</v>
      </c>
      <c r="Z185" s="55">
        <v>0</v>
      </c>
      <c r="AA185" s="55">
        <v>0</v>
      </c>
      <c r="AB185" s="55">
        <v>0</v>
      </c>
      <c r="AC185" s="55">
        <v>3204000</v>
      </c>
      <c r="AD185" s="57">
        <v>89</v>
      </c>
      <c r="AF185" s="47">
        <f t="shared" si="2"/>
        <v>3204000</v>
      </c>
    </row>
    <row r="186" spans="1:32" x14ac:dyDescent="0.3">
      <c r="A186" s="46" t="s">
        <v>0</v>
      </c>
      <c r="B186" s="46" t="str">
        <f>IFERROR(VLOOKUP($H186,매장구분!$B:$Z,2,0),"")</f>
        <v>파트너채널팀</v>
      </c>
      <c r="C186" s="46" t="str">
        <f>IFERROR(VLOOKUP($H186,매장구분!$B:$Z,3,0),"")</f>
        <v>국내</v>
      </c>
      <c r="D186" s="46" t="str">
        <f>IFERROR(VLOOKUP($H186,매장구분!$B:$Z,5,0),"")</f>
        <v>백화점</v>
      </c>
      <c r="E186" s="46" t="str">
        <f>IFERROR(VLOOKUP($H186,매장구분!$B:$Z,9,0),"")</f>
        <v>롯데건대</v>
      </c>
      <c r="F186" s="58"/>
      <c r="G186" s="59" t="s">
        <v>354</v>
      </c>
      <c r="H186" s="60" t="s">
        <v>355</v>
      </c>
      <c r="I186" s="60" t="s">
        <v>169</v>
      </c>
      <c r="J186" s="60" t="s">
        <v>175</v>
      </c>
      <c r="K186" s="60" t="s">
        <v>170</v>
      </c>
      <c r="L186" s="60" t="s">
        <v>171</v>
      </c>
      <c r="M186" s="60" t="s">
        <v>77</v>
      </c>
      <c r="N186" s="60" t="s">
        <v>172</v>
      </c>
      <c r="O186" s="60">
        <v>4459800</v>
      </c>
      <c r="P186" s="60">
        <v>55</v>
      </c>
      <c r="Q186" s="60">
        <v>0</v>
      </c>
      <c r="R186" s="60">
        <v>0</v>
      </c>
      <c r="S186" s="60">
        <v>0</v>
      </c>
      <c r="T186" s="60">
        <v>0</v>
      </c>
      <c r="U186" s="60">
        <v>223200</v>
      </c>
      <c r="V186" s="60">
        <v>2</v>
      </c>
      <c r="W186" s="60">
        <v>0</v>
      </c>
      <c r="X186" s="60">
        <v>0</v>
      </c>
      <c r="Y186" s="61">
        <v>0</v>
      </c>
      <c r="Z186" s="60">
        <v>0</v>
      </c>
      <c r="AA186" s="60">
        <v>0</v>
      </c>
      <c r="AB186" s="60">
        <v>0</v>
      </c>
      <c r="AC186" s="60">
        <v>4683000</v>
      </c>
      <c r="AD186" s="62">
        <v>57</v>
      </c>
      <c r="AF186" s="47">
        <f t="shared" si="2"/>
        <v>4683000</v>
      </c>
    </row>
    <row r="187" spans="1:32" x14ac:dyDescent="0.3">
      <c r="A187" s="46" t="s">
        <v>0</v>
      </c>
      <c r="B187" s="46" t="str">
        <f>IFERROR(VLOOKUP($H187,매장구분!$B:$Z,2,0),"")</f>
        <v>리테일채널팀</v>
      </c>
      <c r="C187" s="46" t="str">
        <f>IFERROR(VLOOKUP($H187,매장구분!$B:$Z,3,0),"")</f>
        <v>국내</v>
      </c>
      <c r="D187" s="46" t="str">
        <f>IFERROR(VLOOKUP($H187,매장구분!$B:$Z,5,0),"")</f>
        <v>대리점</v>
      </c>
      <c r="E187" s="46" t="str">
        <f>IFERROR(VLOOKUP($H187,매장구분!$B:$Z,9,0),"")</f>
        <v>세정광주(대-위)</v>
      </c>
      <c r="F187" s="53"/>
      <c r="G187" s="54" t="s">
        <v>346</v>
      </c>
      <c r="H187" s="55" t="s">
        <v>347</v>
      </c>
      <c r="I187" s="55" t="s">
        <v>169</v>
      </c>
      <c r="J187" s="55" t="s">
        <v>79</v>
      </c>
      <c r="K187" s="55" t="s">
        <v>170</v>
      </c>
      <c r="L187" s="55" t="s">
        <v>171</v>
      </c>
      <c r="M187" s="55" t="s">
        <v>196</v>
      </c>
      <c r="N187" s="55" t="s">
        <v>197</v>
      </c>
      <c r="O187" s="55">
        <v>8764500</v>
      </c>
      <c r="P187" s="55">
        <v>80</v>
      </c>
      <c r="Q187" s="55">
        <v>0</v>
      </c>
      <c r="R187" s="55">
        <v>0</v>
      </c>
      <c r="S187" s="55">
        <v>0</v>
      </c>
      <c r="T187" s="55">
        <v>0</v>
      </c>
      <c r="U187" s="55">
        <v>558200</v>
      </c>
      <c r="V187" s="55">
        <v>5</v>
      </c>
      <c r="W187" s="55">
        <v>0</v>
      </c>
      <c r="X187" s="55">
        <v>0</v>
      </c>
      <c r="Y187" s="56">
        <v>0</v>
      </c>
      <c r="Z187" s="55">
        <v>0</v>
      </c>
      <c r="AA187" s="55">
        <v>0</v>
      </c>
      <c r="AB187" s="55">
        <v>0</v>
      </c>
      <c r="AC187" s="55">
        <v>9322700</v>
      </c>
      <c r="AD187" s="57">
        <v>85</v>
      </c>
      <c r="AF187" s="47">
        <f t="shared" si="2"/>
        <v>9322700</v>
      </c>
    </row>
    <row r="188" spans="1:32" x14ac:dyDescent="0.3">
      <c r="A188" s="46" t="s">
        <v>0</v>
      </c>
      <c r="B188" s="46" t="str">
        <f>IFERROR(VLOOKUP($H188,매장구분!$B:$Z,2,0),"")</f>
        <v>파트너채널팀</v>
      </c>
      <c r="C188" s="46" t="str">
        <f>IFERROR(VLOOKUP($H188,매장구분!$B:$Z,3,0),"")</f>
        <v>국내</v>
      </c>
      <c r="D188" s="46" t="str">
        <f>IFERROR(VLOOKUP($H188,매장구분!$B:$Z,5,0),"")</f>
        <v>백화점</v>
      </c>
      <c r="E188" s="46" t="str">
        <f>IFERROR(VLOOKUP($H188,매장구분!$B:$Z,9,0),"")</f>
        <v>현대디큐브시티</v>
      </c>
      <c r="F188" s="58"/>
      <c r="G188" s="59" t="s">
        <v>584</v>
      </c>
      <c r="H188" s="60" t="s">
        <v>585</v>
      </c>
      <c r="I188" s="60" t="s">
        <v>169</v>
      </c>
      <c r="J188" s="60" t="s">
        <v>175</v>
      </c>
      <c r="K188" s="60" t="s">
        <v>170</v>
      </c>
      <c r="L188" s="60" t="s">
        <v>171</v>
      </c>
      <c r="M188" s="60" t="s">
        <v>77</v>
      </c>
      <c r="N188" s="60" t="s">
        <v>172</v>
      </c>
      <c r="O188" s="60">
        <v>1890400</v>
      </c>
      <c r="P188" s="60">
        <v>32</v>
      </c>
      <c r="Q188" s="60">
        <v>0</v>
      </c>
      <c r="R188" s="60">
        <v>0</v>
      </c>
      <c r="S188" s="60">
        <v>0</v>
      </c>
      <c r="T188" s="60">
        <v>0</v>
      </c>
      <c r="U188" s="60">
        <v>340100</v>
      </c>
      <c r="V188" s="60">
        <v>2</v>
      </c>
      <c r="W188" s="60">
        <v>0</v>
      </c>
      <c r="X188" s="60">
        <v>0</v>
      </c>
      <c r="Y188" s="61">
        <v>0</v>
      </c>
      <c r="Z188" s="60">
        <v>0</v>
      </c>
      <c r="AA188" s="60">
        <v>0</v>
      </c>
      <c r="AB188" s="60">
        <v>0</v>
      </c>
      <c r="AC188" s="60">
        <v>2230500</v>
      </c>
      <c r="AD188" s="62">
        <v>34</v>
      </c>
      <c r="AF188" s="47">
        <f t="shared" si="2"/>
        <v>2230500</v>
      </c>
    </row>
    <row r="189" spans="1:32" x14ac:dyDescent="0.3">
      <c r="A189" s="46" t="s">
        <v>0</v>
      </c>
      <c r="B189" s="46" t="str">
        <f>IFERROR(VLOOKUP($H189,매장구분!$B:$Z,2,0),"")</f>
        <v>리테일채널팀</v>
      </c>
      <c r="C189" s="46" t="str">
        <f>IFERROR(VLOOKUP($H189,매장구분!$B:$Z,3,0),"")</f>
        <v>국내</v>
      </c>
      <c r="D189" s="46" t="str">
        <f>IFERROR(VLOOKUP($H189,매장구분!$B:$Z,5,0),"")</f>
        <v>상설(위탁)</v>
      </c>
      <c r="E189" s="46" t="str">
        <f>IFERROR(VLOOKUP($H189,매장구분!$B:$Z,9,0),"")</f>
        <v>마리오(상-위)</v>
      </c>
      <c r="F189" s="53"/>
      <c r="G189" s="54" t="s">
        <v>564</v>
      </c>
      <c r="H189" s="55" t="s">
        <v>565</v>
      </c>
      <c r="I189" s="55" t="s">
        <v>169</v>
      </c>
      <c r="J189" s="55" t="s">
        <v>79</v>
      </c>
      <c r="K189" s="55" t="s">
        <v>170</v>
      </c>
      <c r="L189" s="55" t="s">
        <v>171</v>
      </c>
      <c r="M189" s="55" t="s">
        <v>77</v>
      </c>
      <c r="N189" s="55" t="s">
        <v>238</v>
      </c>
      <c r="O189" s="55">
        <v>1008000</v>
      </c>
      <c r="P189" s="55">
        <v>28</v>
      </c>
      <c r="Q189" s="55">
        <v>0</v>
      </c>
      <c r="R189" s="55">
        <v>0</v>
      </c>
      <c r="S189" s="55">
        <v>0</v>
      </c>
      <c r="T189" s="55">
        <v>0</v>
      </c>
      <c r="U189" s="55">
        <v>0</v>
      </c>
      <c r="V189" s="55">
        <v>0</v>
      </c>
      <c r="W189" s="55">
        <v>0</v>
      </c>
      <c r="X189" s="55">
        <v>0</v>
      </c>
      <c r="Y189" s="56">
        <v>0</v>
      </c>
      <c r="Z189" s="55">
        <v>0</v>
      </c>
      <c r="AA189" s="55">
        <v>0</v>
      </c>
      <c r="AB189" s="55">
        <v>0</v>
      </c>
      <c r="AC189" s="55">
        <v>1008000</v>
      </c>
      <c r="AD189" s="57">
        <v>28</v>
      </c>
      <c r="AF189" s="47">
        <f t="shared" si="2"/>
        <v>1008000</v>
      </c>
    </row>
    <row r="190" spans="1:32" x14ac:dyDescent="0.3">
      <c r="A190" s="46" t="s">
        <v>0</v>
      </c>
      <c r="B190" s="46" t="str">
        <f>IFERROR(VLOOKUP($H190,매장구분!$B:$Z,2,0),"")</f>
        <v>리테일채널팀</v>
      </c>
      <c r="C190" s="46" t="str">
        <f>IFERROR(VLOOKUP($H190,매장구분!$B:$Z,3,0),"")</f>
        <v>국내</v>
      </c>
      <c r="D190" s="46" t="str">
        <f>IFERROR(VLOOKUP($H190,매장구분!$B:$Z,5,0),"")</f>
        <v>상설(위탁)</v>
      </c>
      <c r="E190" s="46" t="str">
        <f>IFERROR(VLOOKUP($H190,매장구분!$B:$Z,9,0),"")</f>
        <v>롯데아울렛김해(상-위)</v>
      </c>
      <c r="F190" s="58"/>
      <c r="G190" s="59" t="s">
        <v>370</v>
      </c>
      <c r="H190" s="60" t="s">
        <v>371</v>
      </c>
      <c r="I190" s="60" t="s">
        <v>169</v>
      </c>
      <c r="J190" s="60" t="s">
        <v>79</v>
      </c>
      <c r="K190" s="60" t="s">
        <v>170</v>
      </c>
      <c r="L190" s="60" t="s">
        <v>171</v>
      </c>
      <c r="M190" s="60" t="s">
        <v>219</v>
      </c>
      <c r="N190" s="60" t="s">
        <v>219</v>
      </c>
      <c r="O190" s="60">
        <v>3528000</v>
      </c>
      <c r="P190" s="60">
        <v>98</v>
      </c>
      <c r="Q190" s="60">
        <v>0</v>
      </c>
      <c r="R190" s="60">
        <v>0</v>
      </c>
      <c r="S190" s="60">
        <v>0</v>
      </c>
      <c r="T190" s="60">
        <v>0</v>
      </c>
      <c r="U190" s="60">
        <v>0</v>
      </c>
      <c r="V190" s="60">
        <v>0</v>
      </c>
      <c r="W190" s="60">
        <v>0</v>
      </c>
      <c r="X190" s="60">
        <v>0</v>
      </c>
      <c r="Y190" s="61">
        <v>0</v>
      </c>
      <c r="Z190" s="60">
        <v>0</v>
      </c>
      <c r="AA190" s="60">
        <v>0</v>
      </c>
      <c r="AB190" s="60">
        <v>0</v>
      </c>
      <c r="AC190" s="60">
        <v>3528000</v>
      </c>
      <c r="AD190" s="62">
        <v>98</v>
      </c>
      <c r="AF190" s="47">
        <f t="shared" si="2"/>
        <v>3528000</v>
      </c>
    </row>
    <row r="191" spans="1:32" x14ac:dyDescent="0.3">
      <c r="A191" s="46" t="s">
        <v>0</v>
      </c>
      <c r="B191" s="46" t="str">
        <f>IFERROR(VLOOKUP($H191,매장구분!$B:$Z,2,0),"")</f>
        <v>리테일채널팀</v>
      </c>
      <c r="C191" s="46" t="str">
        <f>IFERROR(VLOOKUP($H191,매장구분!$B:$Z,3,0),"")</f>
        <v>국내</v>
      </c>
      <c r="D191" s="46" t="str">
        <f>IFERROR(VLOOKUP($H191,매장구분!$B:$Z,5,0),"")</f>
        <v>상설(위탁)</v>
      </c>
      <c r="E191" s="46" t="str">
        <f>IFERROR(VLOOKUP($H191,매장구분!$B:$Z,9,0),"")</f>
        <v>현대아울렛가든5(상-위)</v>
      </c>
      <c r="F191" s="53"/>
      <c r="G191" s="54" t="s">
        <v>372</v>
      </c>
      <c r="H191" s="55" t="s">
        <v>373</v>
      </c>
      <c r="I191" s="55" t="s">
        <v>169</v>
      </c>
      <c r="J191" s="55" t="s">
        <v>79</v>
      </c>
      <c r="K191" s="55" t="s">
        <v>170</v>
      </c>
      <c r="L191" s="55" t="s">
        <v>171</v>
      </c>
      <c r="M191" s="55" t="s">
        <v>219</v>
      </c>
      <c r="N191" s="55" t="s">
        <v>219</v>
      </c>
      <c r="O191" s="55">
        <v>396000</v>
      </c>
      <c r="P191" s="55">
        <v>11</v>
      </c>
      <c r="Q191" s="55">
        <v>0</v>
      </c>
      <c r="R191" s="55">
        <v>0</v>
      </c>
      <c r="S191" s="55">
        <v>0</v>
      </c>
      <c r="T191" s="55">
        <v>0</v>
      </c>
      <c r="U191" s="55">
        <v>0</v>
      </c>
      <c r="V191" s="55">
        <v>0</v>
      </c>
      <c r="W191" s="55">
        <v>0</v>
      </c>
      <c r="X191" s="55">
        <v>0</v>
      </c>
      <c r="Y191" s="56">
        <v>0</v>
      </c>
      <c r="Z191" s="55">
        <v>0</v>
      </c>
      <c r="AA191" s="55">
        <v>0</v>
      </c>
      <c r="AB191" s="55">
        <v>0</v>
      </c>
      <c r="AC191" s="55">
        <v>396000</v>
      </c>
      <c r="AD191" s="57">
        <v>11</v>
      </c>
      <c r="AF191" s="47">
        <f t="shared" si="2"/>
        <v>396000</v>
      </c>
    </row>
    <row r="192" spans="1:32" hidden="1" x14ac:dyDescent="0.3">
      <c r="A192" s="46" t="s">
        <v>612</v>
      </c>
      <c r="B192" s="46" t="str">
        <f>IFERROR(VLOOKUP($H192,매장구분!$B:$Z,2,0),"")</f>
        <v>파트너채널팀</v>
      </c>
      <c r="C192" s="46" t="str">
        <f>IFERROR(VLOOKUP($H192,매장구분!$B:$Z,3,0),"")</f>
        <v>면세</v>
      </c>
      <c r="D192" s="46" t="str">
        <f>IFERROR(VLOOKUP($H192,매장구분!$B:$Z,5,0),"")</f>
        <v>면세</v>
      </c>
      <c r="E192" s="46" t="str">
        <f>IFERROR(VLOOKUP($H192,매장구분!$B:$Z,9,0),"")</f>
        <v>현대면세동대문</v>
      </c>
      <c r="F192" s="58"/>
      <c r="G192" s="59" t="s">
        <v>572</v>
      </c>
      <c r="H192" s="60" t="s">
        <v>573</v>
      </c>
      <c r="I192" s="60" t="s">
        <v>169</v>
      </c>
      <c r="J192" s="60" t="s">
        <v>175</v>
      </c>
      <c r="K192" s="60" t="s">
        <v>170</v>
      </c>
      <c r="L192" s="60" t="s">
        <v>171</v>
      </c>
      <c r="M192" s="60" t="s">
        <v>176</v>
      </c>
      <c r="N192" s="60" t="s">
        <v>177</v>
      </c>
      <c r="O192" s="60">
        <v>118473400</v>
      </c>
      <c r="P192" s="60">
        <v>1783</v>
      </c>
      <c r="Q192" s="60">
        <v>0</v>
      </c>
      <c r="R192" s="60">
        <v>0</v>
      </c>
      <c r="S192" s="60">
        <v>0</v>
      </c>
      <c r="T192" s="60">
        <v>0</v>
      </c>
      <c r="U192" s="60">
        <v>0</v>
      </c>
      <c r="V192" s="60">
        <v>0</v>
      </c>
      <c r="W192" s="60">
        <v>0</v>
      </c>
      <c r="X192" s="60">
        <v>0</v>
      </c>
      <c r="Y192" s="61">
        <v>230149200</v>
      </c>
      <c r="Z192" s="60">
        <v>3165</v>
      </c>
      <c r="AA192" s="60">
        <v>0</v>
      </c>
      <c r="AB192" s="60">
        <v>0</v>
      </c>
      <c r="AC192" s="60">
        <v>348622600</v>
      </c>
      <c r="AD192" s="62">
        <v>4948</v>
      </c>
      <c r="AF192" s="47">
        <f t="shared" si="2"/>
        <v>118473400</v>
      </c>
    </row>
    <row r="193" spans="1:32" x14ac:dyDescent="0.3">
      <c r="A193" s="46" t="s">
        <v>612</v>
      </c>
      <c r="B193" s="46" t="str">
        <f>IFERROR(VLOOKUP($H193,매장구분!$B:$Z,2,0),"")</f>
        <v>리테일채널팀</v>
      </c>
      <c r="C193" s="46" t="str">
        <f>IFERROR(VLOOKUP($H193,매장구분!$B:$Z,3,0),"")</f>
        <v>국내</v>
      </c>
      <c r="D193" s="46" t="str">
        <f>IFERROR(VLOOKUP($H193,매장구분!$B:$Z,5,0),"")</f>
        <v>대리점</v>
      </c>
      <c r="E193" s="46" t="str">
        <f>IFERROR(VLOOKUP($H193,매장구분!$B:$Z,9,0),"")</f>
        <v>서귀포(대-위)</v>
      </c>
      <c r="F193" s="53"/>
      <c r="G193" s="54" t="s">
        <v>313</v>
      </c>
      <c r="H193" s="55" t="s">
        <v>314</v>
      </c>
      <c r="I193" s="55" t="s">
        <v>169</v>
      </c>
      <c r="J193" s="55" t="s">
        <v>79</v>
      </c>
      <c r="K193" s="55" t="s">
        <v>170</v>
      </c>
      <c r="L193" s="55" t="s">
        <v>171</v>
      </c>
      <c r="M193" s="55" t="s">
        <v>196</v>
      </c>
      <c r="N193" s="55" t="s">
        <v>197</v>
      </c>
      <c r="O193" s="55">
        <v>9312071</v>
      </c>
      <c r="P193" s="55">
        <v>118</v>
      </c>
      <c r="Q193" s="55">
        <v>0</v>
      </c>
      <c r="R193" s="55">
        <v>0</v>
      </c>
      <c r="S193" s="55">
        <v>0</v>
      </c>
      <c r="T193" s="55">
        <v>0</v>
      </c>
      <c r="U193" s="55">
        <v>3462700</v>
      </c>
      <c r="V193" s="55">
        <v>30</v>
      </c>
      <c r="W193" s="55">
        <v>0</v>
      </c>
      <c r="X193" s="55">
        <v>0</v>
      </c>
      <c r="Y193" s="56">
        <v>0</v>
      </c>
      <c r="Z193" s="55">
        <v>0</v>
      </c>
      <c r="AA193" s="55">
        <v>0</v>
      </c>
      <c r="AB193" s="55">
        <v>0</v>
      </c>
      <c r="AC193" s="55">
        <v>12774771</v>
      </c>
      <c r="AD193" s="57">
        <v>148</v>
      </c>
      <c r="AF193" s="47">
        <f t="shared" si="2"/>
        <v>12774771</v>
      </c>
    </row>
    <row r="194" spans="1:32" x14ac:dyDescent="0.3">
      <c r="A194" s="46" t="s">
        <v>612</v>
      </c>
      <c r="B194" s="46" t="str">
        <f>IFERROR(VLOOKUP($H194,매장구분!$B:$Z,2,0),"")</f>
        <v>파트너채널팀</v>
      </c>
      <c r="C194" s="46" t="str">
        <f>IFERROR(VLOOKUP($H194,매장구분!$B:$Z,3,0),"")</f>
        <v>국내</v>
      </c>
      <c r="D194" s="46" t="str">
        <f>IFERROR(VLOOKUP($H194,매장구분!$B:$Z,5,0),"")</f>
        <v>백화점</v>
      </c>
      <c r="E194" s="46" t="str">
        <f>IFERROR(VLOOKUP($H194,매장구분!$B:$Z,9,0),"")</f>
        <v>NC신구로</v>
      </c>
      <c r="F194" s="58"/>
      <c r="G194" s="59" t="s">
        <v>596</v>
      </c>
      <c r="H194" s="60" t="s">
        <v>597</v>
      </c>
      <c r="I194" s="60" t="s">
        <v>169</v>
      </c>
      <c r="J194" s="60" t="s">
        <v>175</v>
      </c>
      <c r="K194" s="60" t="s">
        <v>170</v>
      </c>
      <c r="L194" s="60" t="s">
        <v>171</v>
      </c>
      <c r="M194" s="60" t="s">
        <v>77</v>
      </c>
      <c r="N194" s="60" t="s">
        <v>238</v>
      </c>
      <c r="O194" s="60">
        <v>8046600</v>
      </c>
      <c r="P194" s="60">
        <v>100</v>
      </c>
      <c r="Q194" s="60">
        <v>2350000</v>
      </c>
      <c r="R194" s="60">
        <v>37</v>
      </c>
      <c r="S194" s="60">
        <v>0</v>
      </c>
      <c r="T194" s="60">
        <v>0</v>
      </c>
      <c r="U194" s="60">
        <v>1061000</v>
      </c>
      <c r="V194" s="60">
        <v>9</v>
      </c>
      <c r="W194" s="60">
        <v>0</v>
      </c>
      <c r="X194" s="60">
        <v>0</v>
      </c>
      <c r="Y194" s="61">
        <v>0</v>
      </c>
      <c r="Z194" s="60">
        <v>0</v>
      </c>
      <c r="AA194" s="60">
        <v>0</v>
      </c>
      <c r="AB194" s="60">
        <v>0</v>
      </c>
      <c r="AC194" s="60">
        <v>11457600</v>
      </c>
      <c r="AD194" s="62">
        <v>146</v>
      </c>
      <c r="AF194" s="47">
        <f t="shared" si="2"/>
        <v>11457600</v>
      </c>
    </row>
    <row r="195" spans="1:32" x14ac:dyDescent="0.3">
      <c r="A195" s="46" t="s">
        <v>612</v>
      </c>
      <c r="B195" s="46" t="str">
        <f>IFERROR(VLOOKUP($H195,매장구분!$B:$Z,2,0),"")</f>
        <v>E-biz</v>
      </c>
      <c r="C195" s="46" t="str">
        <f>IFERROR(VLOOKUP($H195,매장구분!$B:$Z,3,0),"")</f>
        <v>국내</v>
      </c>
      <c r="D195" s="46" t="str">
        <f>IFERROR(VLOOKUP($H195,매장구분!$B:$Z,5,0),"")</f>
        <v>온(제휴몰)</v>
      </c>
      <c r="E195" s="46" t="str">
        <f>IFERROR(VLOOKUP($H195,매장구분!$B:$Z,9,0),"")</f>
        <v>SSG닷컴(제휴몰)</v>
      </c>
      <c r="F195" s="53"/>
      <c r="G195" s="54" t="s">
        <v>498</v>
      </c>
      <c r="H195" s="55" t="s">
        <v>499</v>
      </c>
      <c r="I195" s="55" t="s">
        <v>169</v>
      </c>
      <c r="J195" s="55" t="s">
        <v>180</v>
      </c>
      <c r="K195" s="55" t="s">
        <v>170</v>
      </c>
      <c r="L195" s="55" t="s">
        <v>181</v>
      </c>
      <c r="M195" s="55" t="s">
        <v>181</v>
      </c>
      <c r="N195" s="55" t="s">
        <v>185</v>
      </c>
      <c r="O195" s="55">
        <v>24859100</v>
      </c>
      <c r="P195" s="55">
        <v>275</v>
      </c>
      <c r="Q195" s="55">
        <v>0</v>
      </c>
      <c r="R195" s="55">
        <v>0</v>
      </c>
      <c r="S195" s="55">
        <v>0</v>
      </c>
      <c r="T195" s="55">
        <v>0</v>
      </c>
      <c r="U195" s="55">
        <v>0</v>
      </c>
      <c r="V195" s="55">
        <v>0</v>
      </c>
      <c r="W195" s="55">
        <v>0</v>
      </c>
      <c r="X195" s="55">
        <v>0</v>
      </c>
      <c r="Y195" s="56">
        <v>0</v>
      </c>
      <c r="Z195" s="55">
        <v>0</v>
      </c>
      <c r="AA195" s="55">
        <v>0</v>
      </c>
      <c r="AB195" s="55">
        <v>0</v>
      </c>
      <c r="AC195" s="55">
        <v>24859100</v>
      </c>
      <c r="AD195" s="57">
        <v>275</v>
      </c>
      <c r="AF195" s="47">
        <f t="shared" ref="AF195:AF258" si="3">IFERROR(AC195-Y195,"")</f>
        <v>24859100</v>
      </c>
    </row>
    <row r="196" spans="1:32" x14ac:dyDescent="0.3">
      <c r="A196" s="46" t="s">
        <v>612</v>
      </c>
      <c r="B196" s="46" t="str">
        <f>IFERROR(VLOOKUP($H196,매장구분!$B:$Z,2,0),"")</f>
        <v>파트너채널팀</v>
      </c>
      <c r="C196" s="46" t="str">
        <f>IFERROR(VLOOKUP($H196,매장구분!$B:$Z,3,0),"")</f>
        <v>국내</v>
      </c>
      <c r="D196" s="46" t="str">
        <f>IFERROR(VLOOKUP($H196,매장구분!$B:$Z,5,0),"")</f>
        <v>백화점</v>
      </c>
      <c r="E196" s="46" t="str">
        <f>IFERROR(VLOOKUP($H196,매장구분!$B:$Z,9,0),"")</f>
        <v>롯데울산</v>
      </c>
      <c r="F196" s="58"/>
      <c r="G196" s="59" t="s">
        <v>460</v>
      </c>
      <c r="H196" s="60" t="s">
        <v>461</v>
      </c>
      <c r="I196" s="60" t="s">
        <v>169</v>
      </c>
      <c r="J196" s="60" t="s">
        <v>175</v>
      </c>
      <c r="K196" s="60" t="s">
        <v>170</v>
      </c>
      <c r="L196" s="60" t="s">
        <v>171</v>
      </c>
      <c r="M196" s="60" t="s">
        <v>77</v>
      </c>
      <c r="N196" s="60" t="s">
        <v>172</v>
      </c>
      <c r="O196" s="60">
        <v>28256000</v>
      </c>
      <c r="P196" s="60">
        <v>233</v>
      </c>
      <c r="Q196" s="60">
        <v>0</v>
      </c>
      <c r="R196" s="60">
        <v>0</v>
      </c>
      <c r="S196" s="60">
        <v>0</v>
      </c>
      <c r="T196" s="60">
        <v>0</v>
      </c>
      <c r="U196" s="60">
        <v>6570600</v>
      </c>
      <c r="V196" s="60">
        <v>42</v>
      </c>
      <c r="W196" s="60">
        <v>0</v>
      </c>
      <c r="X196" s="60">
        <v>0</v>
      </c>
      <c r="Y196" s="61">
        <v>0</v>
      </c>
      <c r="Z196" s="60">
        <v>0</v>
      </c>
      <c r="AA196" s="60">
        <v>0</v>
      </c>
      <c r="AB196" s="60">
        <v>0</v>
      </c>
      <c r="AC196" s="60">
        <v>34826600</v>
      </c>
      <c r="AD196" s="62">
        <v>275</v>
      </c>
      <c r="AF196" s="47">
        <f t="shared" si="3"/>
        <v>34826600</v>
      </c>
    </row>
    <row r="197" spans="1:32" x14ac:dyDescent="0.3">
      <c r="A197" s="46" t="s">
        <v>612</v>
      </c>
      <c r="B197" s="46" t="str">
        <f>IFERROR(VLOOKUP($H197,매장구분!$B:$Z,2,0),"")</f>
        <v>파트너채널팀</v>
      </c>
      <c r="C197" s="46" t="str">
        <f>IFERROR(VLOOKUP($H197,매장구분!$B:$Z,3,0),"")</f>
        <v>국내</v>
      </c>
      <c r="D197" s="46" t="str">
        <f>IFERROR(VLOOKUP($H197,매장구분!$B:$Z,5,0),"")</f>
        <v>백화점</v>
      </c>
      <c r="E197" s="46" t="str">
        <f>IFERROR(VLOOKUP($H197,매장구분!$B:$Z,9,0),"")</f>
        <v>신세계강남</v>
      </c>
      <c r="F197" s="53"/>
      <c r="G197" s="54" t="s">
        <v>234</v>
      </c>
      <c r="H197" s="55" t="s">
        <v>235</v>
      </c>
      <c r="I197" s="55" t="s">
        <v>169</v>
      </c>
      <c r="J197" s="55" t="s">
        <v>175</v>
      </c>
      <c r="K197" s="55" t="s">
        <v>170</v>
      </c>
      <c r="L197" s="55" t="s">
        <v>171</v>
      </c>
      <c r="M197" s="55" t="s">
        <v>77</v>
      </c>
      <c r="N197" s="55" t="s">
        <v>172</v>
      </c>
      <c r="O197" s="55">
        <v>38909700</v>
      </c>
      <c r="P197" s="55">
        <v>387</v>
      </c>
      <c r="Q197" s="55">
        <v>24262000</v>
      </c>
      <c r="R197" s="55">
        <v>219</v>
      </c>
      <c r="S197" s="55">
        <v>0</v>
      </c>
      <c r="T197" s="55">
        <v>0</v>
      </c>
      <c r="U197" s="55">
        <v>3288100</v>
      </c>
      <c r="V197" s="55">
        <v>22</v>
      </c>
      <c r="W197" s="55">
        <v>0</v>
      </c>
      <c r="X197" s="55">
        <v>0</v>
      </c>
      <c r="Y197" s="56">
        <v>0</v>
      </c>
      <c r="Z197" s="55">
        <v>0</v>
      </c>
      <c r="AA197" s="55">
        <v>0</v>
      </c>
      <c r="AB197" s="55">
        <v>0</v>
      </c>
      <c r="AC197" s="55">
        <v>66459800</v>
      </c>
      <c r="AD197" s="57">
        <v>628</v>
      </c>
      <c r="AF197" s="47">
        <f t="shared" si="3"/>
        <v>66459800</v>
      </c>
    </row>
    <row r="198" spans="1:32" x14ac:dyDescent="0.3">
      <c r="A198" s="46" t="s">
        <v>612</v>
      </c>
      <c r="B198" s="46" t="str">
        <f>IFERROR(VLOOKUP($H198,매장구분!$B:$Z,2,0),"")</f>
        <v>리테일채널팀</v>
      </c>
      <c r="C198" s="46" t="str">
        <f>IFERROR(VLOOKUP($H198,매장구분!$B:$Z,3,0),"")</f>
        <v>국내</v>
      </c>
      <c r="D198" s="46" t="str">
        <f>IFERROR(VLOOKUP($H198,매장구분!$B:$Z,5,0),"")</f>
        <v>대리점</v>
      </c>
      <c r="E198" s="46" t="str">
        <f>IFERROR(VLOOKUP($H198,매장구분!$B:$Z,9,0),"")</f>
        <v>제주(대-위)</v>
      </c>
      <c r="F198" s="58"/>
      <c r="G198" s="59" t="s">
        <v>474</v>
      </c>
      <c r="H198" s="60" t="s">
        <v>475</v>
      </c>
      <c r="I198" s="60" t="s">
        <v>169</v>
      </c>
      <c r="J198" s="60" t="s">
        <v>79</v>
      </c>
      <c r="K198" s="60" t="s">
        <v>170</v>
      </c>
      <c r="L198" s="60" t="s">
        <v>171</v>
      </c>
      <c r="M198" s="60" t="s">
        <v>196</v>
      </c>
      <c r="N198" s="60" t="s">
        <v>197</v>
      </c>
      <c r="O198" s="60">
        <v>15004600</v>
      </c>
      <c r="P198" s="60">
        <v>162</v>
      </c>
      <c r="Q198" s="60">
        <v>0</v>
      </c>
      <c r="R198" s="60">
        <v>0</v>
      </c>
      <c r="S198" s="60">
        <v>0</v>
      </c>
      <c r="T198" s="60">
        <v>0</v>
      </c>
      <c r="U198" s="60">
        <v>258000</v>
      </c>
      <c r="V198" s="60">
        <v>2</v>
      </c>
      <c r="W198" s="60">
        <v>0</v>
      </c>
      <c r="X198" s="60">
        <v>0</v>
      </c>
      <c r="Y198" s="61">
        <v>4716800</v>
      </c>
      <c r="Z198" s="60">
        <v>88</v>
      </c>
      <c r="AA198" s="60">
        <v>0</v>
      </c>
      <c r="AB198" s="60">
        <v>0</v>
      </c>
      <c r="AC198" s="60">
        <v>19979400</v>
      </c>
      <c r="AD198" s="62">
        <v>252</v>
      </c>
      <c r="AF198" s="47">
        <f t="shared" si="3"/>
        <v>15262600</v>
      </c>
    </row>
    <row r="199" spans="1:32" hidden="1" x14ac:dyDescent="0.3">
      <c r="A199" s="46" t="s">
        <v>612</v>
      </c>
      <c r="B199" s="46" t="str">
        <f>IFERROR(VLOOKUP($H199,매장구분!$B:$Z,2,0),"")</f>
        <v>리테일채널팀</v>
      </c>
      <c r="C199" s="46" t="str">
        <f>IFERROR(VLOOKUP($H199,매장구분!$B:$Z,3,0),"")</f>
        <v>RF</v>
      </c>
      <c r="D199" s="46" t="str">
        <f>IFERROR(VLOOKUP($H199,매장구분!$B:$Z,5,0),"")</f>
        <v>대리점</v>
      </c>
      <c r="E199" s="46" t="str">
        <f>IFERROR(VLOOKUP($H199,매장구분!$B:$Z,9,0),"")</f>
        <v>부산광복(대-위)</v>
      </c>
      <c r="F199" s="53"/>
      <c r="G199" s="54" t="s">
        <v>326</v>
      </c>
      <c r="H199" s="55" t="s">
        <v>327</v>
      </c>
      <c r="I199" s="55" t="s">
        <v>169</v>
      </c>
      <c r="J199" s="55" t="s">
        <v>79</v>
      </c>
      <c r="K199" s="55" t="s">
        <v>170</v>
      </c>
      <c r="L199" s="55" t="s">
        <v>171</v>
      </c>
      <c r="M199" s="55" t="s">
        <v>196</v>
      </c>
      <c r="N199" s="55" t="s">
        <v>197</v>
      </c>
      <c r="O199" s="55">
        <v>6696900</v>
      </c>
      <c r="P199" s="55">
        <v>119</v>
      </c>
      <c r="Q199" s="55">
        <v>0</v>
      </c>
      <c r="R199" s="55">
        <v>0</v>
      </c>
      <c r="S199" s="55">
        <v>0</v>
      </c>
      <c r="T199" s="55">
        <v>0</v>
      </c>
      <c r="U199" s="55">
        <v>2604800</v>
      </c>
      <c r="V199" s="55">
        <v>21</v>
      </c>
      <c r="W199" s="55">
        <v>0</v>
      </c>
      <c r="X199" s="55">
        <v>0</v>
      </c>
      <c r="Y199" s="56">
        <v>26911200</v>
      </c>
      <c r="Z199" s="55">
        <v>255</v>
      </c>
      <c r="AA199" s="55">
        <v>0</v>
      </c>
      <c r="AB199" s="55">
        <v>0</v>
      </c>
      <c r="AC199" s="55">
        <v>36212900</v>
      </c>
      <c r="AD199" s="57">
        <v>395</v>
      </c>
      <c r="AF199" s="47">
        <f t="shared" si="3"/>
        <v>9301700</v>
      </c>
    </row>
    <row r="200" spans="1:32" x14ac:dyDescent="0.3">
      <c r="A200" s="46" t="s">
        <v>612</v>
      </c>
      <c r="B200" s="46" t="str">
        <f>IFERROR(VLOOKUP($H200,매장구분!$B:$Z,2,0),"")</f>
        <v>리테일채널팀</v>
      </c>
      <c r="C200" s="46" t="str">
        <f>IFERROR(VLOOKUP($H200,매장구분!$B:$Z,3,0),"")</f>
        <v>국내</v>
      </c>
      <c r="D200" s="46" t="str">
        <f>IFERROR(VLOOKUP($H200,매장구분!$B:$Z,5,0),"")</f>
        <v>대리점</v>
      </c>
      <c r="E200" s="46" t="str">
        <f>IFERROR(VLOOKUP($H200,매장구분!$B:$Z,9,0),"")</f>
        <v>안산한대(대-위)</v>
      </c>
      <c r="F200" s="58"/>
      <c r="G200" s="59" t="s">
        <v>295</v>
      </c>
      <c r="H200" s="60" t="s">
        <v>296</v>
      </c>
      <c r="I200" s="60" t="s">
        <v>169</v>
      </c>
      <c r="J200" s="60" t="s">
        <v>79</v>
      </c>
      <c r="K200" s="60" t="s">
        <v>170</v>
      </c>
      <c r="L200" s="60" t="s">
        <v>171</v>
      </c>
      <c r="M200" s="60" t="s">
        <v>196</v>
      </c>
      <c r="N200" s="60" t="s">
        <v>197</v>
      </c>
      <c r="O200" s="60">
        <v>17874214</v>
      </c>
      <c r="P200" s="60">
        <v>160</v>
      </c>
      <c r="Q200" s="60">
        <v>0</v>
      </c>
      <c r="R200" s="60">
        <v>0</v>
      </c>
      <c r="S200" s="60">
        <v>0</v>
      </c>
      <c r="T200" s="60">
        <v>0</v>
      </c>
      <c r="U200" s="60">
        <v>1337786</v>
      </c>
      <c r="V200" s="60">
        <v>8</v>
      </c>
      <c r="W200" s="60">
        <v>0</v>
      </c>
      <c r="X200" s="60">
        <v>0</v>
      </c>
      <c r="Y200" s="61">
        <v>0</v>
      </c>
      <c r="Z200" s="60">
        <v>0</v>
      </c>
      <c r="AA200" s="60">
        <v>0</v>
      </c>
      <c r="AB200" s="60">
        <v>0</v>
      </c>
      <c r="AC200" s="60">
        <v>19212000</v>
      </c>
      <c r="AD200" s="62">
        <v>168</v>
      </c>
      <c r="AF200" s="47">
        <f t="shared" si="3"/>
        <v>19212000</v>
      </c>
    </row>
    <row r="201" spans="1:32" x14ac:dyDescent="0.3">
      <c r="A201" s="46" t="s">
        <v>612</v>
      </c>
      <c r="B201" s="46" t="str">
        <f>IFERROR(VLOOKUP($H201,매장구분!$B:$Z,2,0),"")</f>
        <v>파트너채널팀</v>
      </c>
      <c r="C201" s="46" t="str">
        <f>IFERROR(VLOOKUP($H201,매장구분!$B:$Z,3,0),"")</f>
        <v>국내</v>
      </c>
      <c r="D201" s="46" t="str">
        <f>IFERROR(VLOOKUP($H201,매장구분!$B:$Z,5,0),"")</f>
        <v>백화점</v>
      </c>
      <c r="E201" s="46" t="str">
        <f>IFERROR(VLOOKUP($H201,매장구분!$B:$Z,9,0),"")</f>
        <v>현대목동</v>
      </c>
      <c r="F201" s="53"/>
      <c r="G201" s="54" t="s">
        <v>604</v>
      </c>
      <c r="H201" s="55" t="s">
        <v>605</v>
      </c>
      <c r="I201" s="55" t="s">
        <v>169</v>
      </c>
      <c r="J201" s="55" t="s">
        <v>175</v>
      </c>
      <c r="K201" s="55" t="s">
        <v>170</v>
      </c>
      <c r="L201" s="55" t="s">
        <v>171</v>
      </c>
      <c r="M201" s="55" t="s">
        <v>77</v>
      </c>
      <c r="N201" s="55" t="s">
        <v>172</v>
      </c>
      <c r="O201" s="55">
        <v>17507400</v>
      </c>
      <c r="P201" s="55">
        <v>150</v>
      </c>
      <c r="Q201" s="55">
        <v>4246600</v>
      </c>
      <c r="R201" s="55">
        <v>105</v>
      </c>
      <c r="S201" s="55">
        <v>0</v>
      </c>
      <c r="T201" s="55">
        <v>0</v>
      </c>
      <c r="U201" s="55">
        <v>4125500</v>
      </c>
      <c r="V201" s="55">
        <v>13</v>
      </c>
      <c r="W201" s="55">
        <v>0</v>
      </c>
      <c r="X201" s="55">
        <v>0</v>
      </c>
      <c r="Y201" s="56">
        <v>34787000</v>
      </c>
      <c r="Z201" s="55">
        <v>173</v>
      </c>
      <c r="AA201" s="55">
        <v>0</v>
      </c>
      <c r="AB201" s="55">
        <v>0</v>
      </c>
      <c r="AC201" s="55">
        <v>60666500</v>
      </c>
      <c r="AD201" s="57">
        <v>441</v>
      </c>
      <c r="AF201" s="47">
        <f t="shared" si="3"/>
        <v>25879500</v>
      </c>
    </row>
    <row r="202" spans="1:32" x14ac:dyDescent="0.3">
      <c r="A202" s="46" t="s">
        <v>612</v>
      </c>
      <c r="B202" s="46" t="str">
        <f>IFERROR(VLOOKUP($H202,매장구분!$B:$Z,2,0),"")</f>
        <v>리테일채널팀</v>
      </c>
      <c r="C202" s="46" t="str">
        <f>IFERROR(VLOOKUP($H202,매장구분!$B:$Z,3,0),"")</f>
        <v>국내</v>
      </c>
      <c r="D202" s="46" t="str">
        <f>IFERROR(VLOOKUP($H202,매장구분!$B:$Z,5,0),"")</f>
        <v>대리점</v>
      </c>
      <c r="E202" s="46" t="str">
        <f>IFERROR(VLOOKUP($H202,매장구분!$B:$Z,9,0),"")</f>
        <v>강릉(대-위)</v>
      </c>
      <c r="F202" s="58"/>
      <c r="G202" s="59" t="s">
        <v>230</v>
      </c>
      <c r="H202" s="60" t="s">
        <v>231</v>
      </c>
      <c r="I202" s="60" t="s">
        <v>169</v>
      </c>
      <c r="J202" s="60" t="s">
        <v>79</v>
      </c>
      <c r="K202" s="60" t="s">
        <v>170</v>
      </c>
      <c r="L202" s="60" t="s">
        <v>171</v>
      </c>
      <c r="M202" s="60" t="s">
        <v>196</v>
      </c>
      <c r="N202" s="60" t="s">
        <v>197</v>
      </c>
      <c r="O202" s="60">
        <v>9029588</v>
      </c>
      <c r="P202" s="60">
        <v>93</v>
      </c>
      <c r="Q202" s="60">
        <v>0</v>
      </c>
      <c r="R202" s="60">
        <v>0</v>
      </c>
      <c r="S202" s="60">
        <v>0</v>
      </c>
      <c r="T202" s="60">
        <v>0</v>
      </c>
      <c r="U202" s="60">
        <v>3285200</v>
      </c>
      <c r="V202" s="60">
        <v>20</v>
      </c>
      <c r="W202" s="60">
        <v>0</v>
      </c>
      <c r="X202" s="60">
        <v>0</v>
      </c>
      <c r="Y202" s="61">
        <v>0</v>
      </c>
      <c r="Z202" s="60">
        <v>0</v>
      </c>
      <c r="AA202" s="60">
        <v>0</v>
      </c>
      <c r="AB202" s="60">
        <v>0</v>
      </c>
      <c r="AC202" s="60">
        <v>12314788</v>
      </c>
      <c r="AD202" s="62">
        <v>113</v>
      </c>
      <c r="AF202" s="47">
        <f t="shared" si="3"/>
        <v>12314788</v>
      </c>
    </row>
    <row r="203" spans="1:32" hidden="1" x14ac:dyDescent="0.3">
      <c r="A203" s="46" t="s">
        <v>612</v>
      </c>
      <c r="B203" s="46" t="str">
        <f>IFERROR(VLOOKUP($H203,매장구분!$B:$Z,2,0),"")</f>
        <v>파트너채널팀</v>
      </c>
      <c r="C203" s="46" t="str">
        <f>IFERROR(VLOOKUP($H203,매장구분!$B:$Z,3,0),"")</f>
        <v>RF</v>
      </c>
      <c r="D203" s="46" t="str">
        <f>IFERROR(VLOOKUP($H203,매장구분!$B:$Z,5,0),"")</f>
        <v>백화점</v>
      </c>
      <c r="E203" s="46" t="str">
        <f>IFERROR(VLOOKUP($H203,매장구분!$B:$Z,9,0),"")</f>
        <v>롯데본점</v>
      </c>
      <c r="F203" s="53"/>
      <c r="G203" s="54" t="s">
        <v>269</v>
      </c>
      <c r="H203" s="55" t="s">
        <v>270</v>
      </c>
      <c r="I203" s="55" t="s">
        <v>169</v>
      </c>
      <c r="J203" s="55" t="s">
        <v>175</v>
      </c>
      <c r="K203" s="55" t="s">
        <v>170</v>
      </c>
      <c r="L203" s="55" t="s">
        <v>171</v>
      </c>
      <c r="M203" s="55" t="s">
        <v>77</v>
      </c>
      <c r="N203" s="55" t="s">
        <v>172</v>
      </c>
      <c r="O203" s="55">
        <v>12924600</v>
      </c>
      <c r="P203" s="55">
        <v>204</v>
      </c>
      <c r="Q203" s="55">
        <v>517000</v>
      </c>
      <c r="R203" s="55">
        <v>14</v>
      </c>
      <c r="S203" s="55">
        <v>0</v>
      </c>
      <c r="T203" s="55">
        <v>0</v>
      </c>
      <c r="U203" s="55">
        <v>0</v>
      </c>
      <c r="V203" s="55">
        <v>0</v>
      </c>
      <c r="W203" s="55">
        <v>0</v>
      </c>
      <c r="X203" s="55">
        <v>0</v>
      </c>
      <c r="Y203" s="56">
        <v>74244700</v>
      </c>
      <c r="Z203" s="55">
        <v>477</v>
      </c>
      <c r="AA203" s="55">
        <v>0</v>
      </c>
      <c r="AB203" s="55">
        <v>0</v>
      </c>
      <c r="AC203" s="55">
        <v>87686300</v>
      </c>
      <c r="AD203" s="57">
        <v>695</v>
      </c>
      <c r="AF203" s="47">
        <f t="shared" si="3"/>
        <v>13441600</v>
      </c>
    </row>
    <row r="204" spans="1:32" x14ac:dyDescent="0.3">
      <c r="A204" s="46" t="s">
        <v>612</v>
      </c>
      <c r="B204" s="46" t="str">
        <f>IFERROR(VLOOKUP($H204,매장구분!$B:$Z,2,0),"")</f>
        <v>파트너채널팀</v>
      </c>
      <c r="C204" s="46" t="str">
        <f>IFERROR(VLOOKUP($H204,매장구분!$B:$Z,3,0),"")</f>
        <v>국내</v>
      </c>
      <c r="D204" s="46" t="str">
        <f>IFERROR(VLOOKUP($H204,매장구분!$B:$Z,5,0),"")</f>
        <v>백화점</v>
      </c>
      <c r="E204" s="46" t="str">
        <f>IFERROR(VLOOKUP($H204,매장구분!$B:$Z,9,0),"")</f>
        <v>롯데동탄</v>
      </c>
      <c r="F204" s="58"/>
      <c r="G204" s="59" t="s">
        <v>406</v>
      </c>
      <c r="H204" s="60" t="s">
        <v>407</v>
      </c>
      <c r="I204" s="60" t="s">
        <v>169</v>
      </c>
      <c r="J204" s="60" t="s">
        <v>175</v>
      </c>
      <c r="K204" s="60" t="s">
        <v>170</v>
      </c>
      <c r="L204" s="60" t="s">
        <v>171</v>
      </c>
      <c r="M204" s="60" t="s">
        <v>77</v>
      </c>
      <c r="N204" s="60" t="s">
        <v>172</v>
      </c>
      <c r="O204" s="60">
        <v>11626600</v>
      </c>
      <c r="P204" s="60">
        <v>134</v>
      </c>
      <c r="Q204" s="60">
        <v>0</v>
      </c>
      <c r="R204" s="60">
        <v>0</v>
      </c>
      <c r="S204" s="60">
        <v>0</v>
      </c>
      <c r="T204" s="60">
        <v>0</v>
      </c>
      <c r="U204" s="60">
        <v>983300</v>
      </c>
      <c r="V204" s="60">
        <v>6</v>
      </c>
      <c r="W204" s="60">
        <v>0</v>
      </c>
      <c r="X204" s="60">
        <v>0</v>
      </c>
      <c r="Y204" s="61">
        <v>0</v>
      </c>
      <c r="Z204" s="60">
        <v>0</v>
      </c>
      <c r="AA204" s="60">
        <v>0</v>
      </c>
      <c r="AB204" s="60">
        <v>0</v>
      </c>
      <c r="AC204" s="60">
        <v>12609900</v>
      </c>
      <c r="AD204" s="62">
        <v>140</v>
      </c>
      <c r="AF204" s="47">
        <f t="shared" si="3"/>
        <v>12609900</v>
      </c>
    </row>
    <row r="205" spans="1:32" x14ac:dyDescent="0.3">
      <c r="A205" s="46" t="s">
        <v>612</v>
      </c>
      <c r="B205" s="46" t="str">
        <f>IFERROR(VLOOKUP($H205,매장구분!$B:$Z,2,0),"")</f>
        <v>E-biz</v>
      </c>
      <c r="C205" s="46" t="str">
        <f>IFERROR(VLOOKUP($H205,매장구분!$B:$Z,3,0),"")</f>
        <v>국내</v>
      </c>
      <c r="D205" s="46" t="str">
        <f>IFERROR(VLOOKUP($H205,매장구분!$B:$Z,5,0),"")</f>
        <v>온(제휴몰)</v>
      </c>
      <c r="E205" s="46" t="str">
        <f>IFERROR(VLOOKUP($H205,매장구분!$B:$Z,9,0),"")</f>
        <v>롯데ON(제휴몰)</v>
      </c>
      <c r="F205" s="53"/>
      <c r="G205" s="54" t="s">
        <v>253</v>
      </c>
      <c r="H205" s="55" t="s">
        <v>254</v>
      </c>
      <c r="I205" s="55" t="s">
        <v>169</v>
      </c>
      <c r="J205" s="55" t="s">
        <v>180</v>
      </c>
      <c r="K205" s="55" t="s">
        <v>170</v>
      </c>
      <c r="L205" s="55" t="s">
        <v>181</v>
      </c>
      <c r="M205" s="55" t="s">
        <v>181</v>
      </c>
      <c r="N205" s="55" t="s">
        <v>185</v>
      </c>
      <c r="O205" s="55">
        <v>23596800</v>
      </c>
      <c r="P205" s="55">
        <v>284</v>
      </c>
      <c r="Q205" s="55">
        <v>0</v>
      </c>
      <c r="R205" s="55">
        <v>0</v>
      </c>
      <c r="S205" s="55">
        <v>0</v>
      </c>
      <c r="T205" s="55">
        <v>0</v>
      </c>
      <c r="U205" s="55">
        <v>0</v>
      </c>
      <c r="V205" s="55">
        <v>0</v>
      </c>
      <c r="W205" s="55">
        <v>0</v>
      </c>
      <c r="X205" s="55">
        <v>0</v>
      </c>
      <c r="Y205" s="56">
        <v>0</v>
      </c>
      <c r="Z205" s="55">
        <v>0</v>
      </c>
      <c r="AA205" s="55">
        <v>0</v>
      </c>
      <c r="AB205" s="55">
        <v>0</v>
      </c>
      <c r="AC205" s="55">
        <v>23596800</v>
      </c>
      <c r="AD205" s="57">
        <v>284</v>
      </c>
      <c r="AF205" s="47">
        <f t="shared" si="3"/>
        <v>23596800</v>
      </c>
    </row>
    <row r="206" spans="1:32" x14ac:dyDescent="0.3">
      <c r="A206" s="46" t="s">
        <v>612</v>
      </c>
      <c r="B206" s="46" t="str">
        <f>IFERROR(VLOOKUP($H206,매장구분!$B:$Z,2,0),"")</f>
        <v>파트너채널팀</v>
      </c>
      <c r="C206" s="46" t="str">
        <f>IFERROR(VLOOKUP($H206,매장구분!$B:$Z,3,0),"")</f>
        <v>국내</v>
      </c>
      <c r="D206" s="46" t="str">
        <f>IFERROR(VLOOKUP($H206,매장구분!$B:$Z,5,0),"")</f>
        <v>백화점</v>
      </c>
      <c r="E206" s="46" t="str">
        <f>IFERROR(VLOOKUP($H206,매장구분!$B:$Z,9,0),"")</f>
        <v>롯데대구</v>
      </c>
      <c r="F206" s="58"/>
      <c r="G206" s="59" t="s">
        <v>536</v>
      </c>
      <c r="H206" s="60" t="s">
        <v>537</v>
      </c>
      <c r="I206" s="60" t="s">
        <v>169</v>
      </c>
      <c r="J206" s="60" t="s">
        <v>175</v>
      </c>
      <c r="K206" s="60" t="s">
        <v>170</v>
      </c>
      <c r="L206" s="60" t="s">
        <v>171</v>
      </c>
      <c r="M206" s="60" t="s">
        <v>77</v>
      </c>
      <c r="N206" s="60" t="s">
        <v>172</v>
      </c>
      <c r="O206" s="60">
        <v>8143021</v>
      </c>
      <c r="P206" s="60">
        <v>67</v>
      </c>
      <c r="Q206" s="60">
        <v>2681000</v>
      </c>
      <c r="R206" s="60">
        <v>19</v>
      </c>
      <c r="S206" s="60">
        <v>0</v>
      </c>
      <c r="T206" s="60">
        <v>0</v>
      </c>
      <c r="U206" s="60">
        <v>661579</v>
      </c>
      <c r="V206" s="60">
        <v>6</v>
      </c>
      <c r="W206" s="60">
        <v>0</v>
      </c>
      <c r="X206" s="60">
        <v>0</v>
      </c>
      <c r="Y206" s="61">
        <v>0</v>
      </c>
      <c r="Z206" s="60">
        <v>0</v>
      </c>
      <c r="AA206" s="60">
        <v>0</v>
      </c>
      <c r="AB206" s="60">
        <v>0</v>
      </c>
      <c r="AC206" s="60">
        <v>11485600</v>
      </c>
      <c r="AD206" s="62">
        <v>92</v>
      </c>
      <c r="AF206" s="47">
        <f t="shared" si="3"/>
        <v>11485600</v>
      </c>
    </row>
    <row r="207" spans="1:32" x14ac:dyDescent="0.3">
      <c r="A207" s="46" t="s">
        <v>612</v>
      </c>
      <c r="B207" s="46" t="str">
        <f>IFERROR(VLOOKUP($H207,매장구분!$B:$Z,2,0),"")</f>
        <v>리테일채널팀</v>
      </c>
      <c r="C207" s="46" t="str">
        <f>IFERROR(VLOOKUP($H207,매장구분!$B:$Z,3,0),"")</f>
        <v>국내</v>
      </c>
      <c r="D207" s="46" t="str">
        <f>IFERROR(VLOOKUP($H207,매장구분!$B:$Z,5,0),"")</f>
        <v>상설(위탁)</v>
      </c>
      <c r="E207" s="46" t="str">
        <f>IFERROR(VLOOKUP($H207,매장구분!$B:$Z,9,0),"")</f>
        <v>롯데아울렛군산(상-위)</v>
      </c>
      <c r="F207" s="53"/>
      <c r="G207" s="54" t="s">
        <v>602</v>
      </c>
      <c r="H207" s="55" t="s">
        <v>603</v>
      </c>
      <c r="I207" s="55" t="s">
        <v>169</v>
      </c>
      <c r="J207" s="55" t="s">
        <v>79</v>
      </c>
      <c r="K207" s="55" t="s">
        <v>170</v>
      </c>
      <c r="L207" s="55" t="s">
        <v>171</v>
      </c>
      <c r="M207" s="55" t="s">
        <v>219</v>
      </c>
      <c r="N207" s="55" t="s">
        <v>219</v>
      </c>
      <c r="O207" s="55">
        <v>648000</v>
      </c>
      <c r="P207" s="55">
        <v>18</v>
      </c>
      <c r="Q207" s="55">
        <v>0</v>
      </c>
      <c r="R207" s="55">
        <v>0</v>
      </c>
      <c r="S207" s="55">
        <v>0</v>
      </c>
      <c r="T207" s="55">
        <v>0</v>
      </c>
      <c r="U207" s="55">
        <v>0</v>
      </c>
      <c r="V207" s="55">
        <v>0</v>
      </c>
      <c r="W207" s="55">
        <v>0</v>
      </c>
      <c r="X207" s="55">
        <v>0</v>
      </c>
      <c r="Y207" s="56">
        <v>0</v>
      </c>
      <c r="Z207" s="55">
        <v>0</v>
      </c>
      <c r="AA207" s="55">
        <v>0</v>
      </c>
      <c r="AB207" s="55">
        <v>0</v>
      </c>
      <c r="AC207" s="55">
        <v>648000</v>
      </c>
      <c r="AD207" s="57">
        <v>18</v>
      </c>
      <c r="AF207" s="47">
        <f t="shared" si="3"/>
        <v>648000</v>
      </c>
    </row>
    <row r="208" spans="1:32" x14ac:dyDescent="0.3">
      <c r="A208" s="46" t="s">
        <v>612</v>
      </c>
      <c r="B208" s="46" t="str">
        <f>IFERROR(VLOOKUP($H208,매장구분!$B:$Z,2,0),"")</f>
        <v>리테일채널팀</v>
      </c>
      <c r="C208" s="46" t="str">
        <f>IFERROR(VLOOKUP($H208,매장구분!$B:$Z,3,0),"")</f>
        <v>국내</v>
      </c>
      <c r="D208" s="46" t="str">
        <f>IFERROR(VLOOKUP($H208,매장구분!$B:$Z,5,0),"")</f>
        <v>상설(위탁)</v>
      </c>
      <c r="E208" s="46" t="str">
        <f>IFERROR(VLOOKUP($H208,매장구분!$B:$Z,9,0),"")</f>
        <v>NC송파(상-위)</v>
      </c>
      <c r="F208" s="58"/>
      <c r="G208" s="59" t="s">
        <v>378</v>
      </c>
      <c r="H208" s="60" t="s">
        <v>379</v>
      </c>
      <c r="I208" s="60" t="s">
        <v>169</v>
      </c>
      <c r="J208" s="60" t="s">
        <v>79</v>
      </c>
      <c r="K208" s="60" t="s">
        <v>170</v>
      </c>
      <c r="L208" s="60" t="s">
        <v>171</v>
      </c>
      <c r="M208" s="60" t="s">
        <v>77</v>
      </c>
      <c r="N208" s="60" t="s">
        <v>238</v>
      </c>
      <c r="O208" s="60">
        <v>864000</v>
      </c>
      <c r="P208" s="60">
        <v>24</v>
      </c>
      <c r="Q208" s="60">
        <v>0</v>
      </c>
      <c r="R208" s="60">
        <v>0</v>
      </c>
      <c r="S208" s="60">
        <v>0</v>
      </c>
      <c r="T208" s="60">
        <v>0</v>
      </c>
      <c r="U208" s="60">
        <v>0</v>
      </c>
      <c r="V208" s="60">
        <v>0</v>
      </c>
      <c r="W208" s="60">
        <v>0</v>
      </c>
      <c r="X208" s="60">
        <v>0</v>
      </c>
      <c r="Y208" s="61">
        <v>0</v>
      </c>
      <c r="Z208" s="60">
        <v>0</v>
      </c>
      <c r="AA208" s="60">
        <v>0</v>
      </c>
      <c r="AB208" s="60">
        <v>0</v>
      </c>
      <c r="AC208" s="60">
        <v>864000</v>
      </c>
      <c r="AD208" s="62">
        <v>24</v>
      </c>
      <c r="AF208" s="47">
        <f t="shared" si="3"/>
        <v>864000</v>
      </c>
    </row>
    <row r="209" spans="1:32" x14ac:dyDescent="0.3">
      <c r="A209" s="46" t="s">
        <v>612</v>
      </c>
      <c r="B209" s="46" t="str">
        <f>IFERROR(VLOOKUP($H209,매장구분!$B:$Z,2,0),"")</f>
        <v>리테일채널팀</v>
      </c>
      <c r="C209" s="46" t="str">
        <f>IFERROR(VLOOKUP($H209,매장구분!$B:$Z,3,0),"")</f>
        <v>국내</v>
      </c>
      <c r="D209" s="46" t="str">
        <f>IFERROR(VLOOKUP($H209,매장구분!$B:$Z,5,0),"")</f>
        <v>상설(위탁)</v>
      </c>
      <c r="E209" s="46" t="str">
        <f>IFERROR(VLOOKUP($H209,매장구분!$B:$Z,9,0),"")</f>
        <v>NC강서(상-위)</v>
      </c>
      <c r="F209" s="53"/>
      <c r="G209" s="54" t="s">
        <v>376</v>
      </c>
      <c r="H209" s="55" t="s">
        <v>377</v>
      </c>
      <c r="I209" s="55" t="s">
        <v>169</v>
      </c>
      <c r="J209" s="55" t="s">
        <v>79</v>
      </c>
      <c r="K209" s="55" t="s">
        <v>170</v>
      </c>
      <c r="L209" s="55" t="s">
        <v>171</v>
      </c>
      <c r="M209" s="55" t="s">
        <v>77</v>
      </c>
      <c r="N209" s="55" t="s">
        <v>238</v>
      </c>
      <c r="O209" s="55">
        <v>1224000</v>
      </c>
      <c r="P209" s="55">
        <v>34</v>
      </c>
      <c r="Q209" s="55">
        <v>0</v>
      </c>
      <c r="R209" s="55">
        <v>0</v>
      </c>
      <c r="S209" s="55">
        <v>0</v>
      </c>
      <c r="T209" s="55">
        <v>0</v>
      </c>
      <c r="U209" s="55">
        <v>0</v>
      </c>
      <c r="V209" s="55">
        <v>0</v>
      </c>
      <c r="W209" s="55">
        <v>0</v>
      </c>
      <c r="X209" s="55">
        <v>0</v>
      </c>
      <c r="Y209" s="56">
        <v>0</v>
      </c>
      <c r="Z209" s="55">
        <v>0</v>
      </c>
      <c r="AA209" s="55">
        <v>0</v>
      </c>
      <c r="AB209" s="55">
        <v>0</v>
      </c>
      <c r="AC209" s="55">
        <v>1224000</v>
      </c>
      <c r="AD209" s="57">
        <v>34</v>
      </c>
      <c r="AF209" s="47">
        <f t="shared" si="3"/>
        <v>1224000</v>
      </c>
    </row>
    <row r="210" spans="1:32" x14ac:dyDescent="0.3">
      <c r="A210" s="46" t="s">
        <v>612</v>
      </c>
      <c r="B210" s="46" t="str">
        <f>IFERROR(VLOOKUP($H210,매장구분!$B:$Z,2,0),"")</f>
        <v>리테일채널팀</v>
      </c>
      <c r="C210" s="46" t="str">
        <f>IFERROR(VLOOKUP($H210,매장구분!$B:$Z,3,0),"")</f>
        <v>국내</v>
      </c>
      <c r="D210" s="46" t="str">
        <f>IFERROR(VLOOKUP($H210,매장구분!$B:$Z,5,0),"")</f>
        <v>상설(위탁)</v>
      </c>
      <c r="E210" s="46" t="str">
        <f>IFERROR(VLOOKUP($H210,매장구분!$B:$Z,9,0),"")</f>
        <v>신세계아울렛시흥(상-위)</v>
      </c>
      <c r="G210" s="46" t="s">
        <v>524</v>
      </c>
      <c r="H210" s="46" t="s">
        <v>525</v>
      </c>
      <c r="I210" s="46" t="s">
        <v>169</v>
      </c>
      <c r="J210" s="46" t="s">
        <v>79</v>
      </c>
      <c r="K210" s="46" t="s">
        <v>170</v>
      </c>
      <c r="L210" s="46" t="s">
        <v>171</v>
      </c>
      <c r="M210" s="46" t="s">
        <v>219</v>
      </c>
      <c r="N210" s="46" t="s">
        <v>219</v>
      </c>
      <c r="O210" s="46">
        <v>4860000</v>
      </c>
      <c r="P210" s="46">
        <v>135</v>
      </c>
      <c r="Q210" s="46">
        <v>0</v>
      </c>
      <c r="R210" s="46">
        <v>0</v>
      </c>
      <c r="S210" s="46">
        <v>0</v>
      </c>
      <c r="T210" s="46">
        <v>0</v>
      </c>
      <c r="U210" s="46">
        <v>0</v>
      </c>
      <c r="V210" s="46">
        <v>0</v>
      </c>
      <c r="W210" s="46">
        <v>0</v>
      </c>
      <c r="X210" s="46">
        <v>0</v>
      </c>
      <c r="Y210" s="48">
        <v>0</v>
      </c>
      <c r="Z210" s="46">
        <v>0</v>
      </c>
      <c r="AA210" s="46">
        <v>0</v>
      </c>
      <c r="AB210" s="46">
        <v>0</v>
      </c>
      <c r="AC210" s="46">
        <v>4860000</v>
      </c>
      <c r="AD210" s="46">
        <v>135</v>
      </c>
      <c r="AF210" s="47">
        <f t="shared" si="3"/>
        <v>4860000</v>
      </c>
    </row>
    <row r="211" spans="1:32" x14ac:dyDescent="0.3">
      <c r="A211" s="46" t="s">
        <v>612</v>
      </c>
      <c r="B211" s="46" t="str">
        <f>IFERROR(VLOOKUP($H211,매장구분!$B:$Z,2,0),"")</f>
        <v>파트너채널팀</v>
      </c>
      <c r="C211" s="46" t="str">
        <f>IFERROR(VLOOKUP($H211,매장구분!$B:$Z,3,0),"")</f>
        <v>국내</v>
      </c>
      <c r="D211" s="46" t="str">
        <f>IFERROR(VLOOKUP($H211,매장구분!$B:$Z,5,0),"")</f>
        <v>백화점</v>
      </c>
      <c r="E211" s="46" t="str">
        <f>IFERROR(VLOOKUP($H211,매장구분!$B:$Z,9,0),"")</f>
        <v>롯데청량리</v>
      </c>
      <c r="G211" s="46" t="s">
        <v>255</v>
      </c>
      <c r="H211" s="46" t="s">
        <v>256</v>
      </c>
      <c r="I211" s="46" t="s">
        <v>169</v>
      </c>
      <c r="J211" s="46" t="s">
        <v>175</v>
      </c>
      <c r="K211" s="46" t="s">
        <v>170</v>
      </c>
      <c r="L211" s="46" t="s">
        <v>171</v>
      </c>
      <c r="M211" s="46" t="s">
        <v>77</v>
      </c>
      <c r="N211" s="46" t="s">
        <v>172</v>
      </c>
      <c r="O211" s="46">
        <v>10512100</v>
      </c>
      <c r="P211" s="46">
        <v>123</v>
      </c>
      <c r="Q211" s="46">
        <v>1657000</v>
      </c>
      <c r="R211" s="46">
        <v>22</v>
      </c>
      <c r="S211" s="46">
        <v>0</v>
      </c>
      <c r="T211" s="46">
        <v>0</v>
      </c>
      <c r="U211" s="46">
        <v>743300</v>
      </c>
      <c r="V211" s="46">
        <v>4</v>
      </c>
      <c r="W211" s="46">
        <v>0</v>
      </c>
      <c r="X211" s="46">
        <v>0</v>
      </c>
      <c r="Y211" s="48">
        <v>288000</v>
      </c>
      <c r="Z211" s="46">
        <v>2</v>
      </c>
      <c r="AA211" s="46">
        <v>0</v>
      </c>
      <c r="AB211" s="46">
        <v>0</v>
      </c>
      <c r="AC211" s="46">
        <v>13200400</v>
      </c>
      <c r="AD211" s="46">
        <v>151</v>
      </c>
      <c r="AF211" s="47">
        <f t="shared" si="3"/>
        <v>12912400</v>
      </c>
    </row>
    <row r="212" spans="1:32" x14ac:dyDescent="0.3">
      <c r="A212" s="46" t="s">
        <v>612</v>
      </c>
      <c r="B212" s="46" t="str">
        <f>IFERROR(VLOOKUP($H212,매장구분!$B:$Z,2,0),"")</f>
        <v>리테일채널팀</v>
      </c>
      <c r="C212" s="46" t="str">
        <f>IFERROR(VLOOKUP($H212,매장구분!$B:$Z,3,0),"")</f>
        <v>국내</v>
      </c>
      <c r="D212" s="46" t="str">
        <f>IFERROR(VLOOKUP($H212,매장구분!$B:$Z,5,0),"")</f>
        <v>대리점</v>
      </c>
      <c r="E212" s="46" t="str">
        <f>IFERROR(VLOOKUP($H212,매장구분!$B:$Z,9,0),"")</f>
        <v>춘천(대-위)</v>
      </c>
      <c r="G212" s="46" t="s">
        <v>320</v>
      </c>
      <c r="H212" s="46" t="s">
        <v>321</v>
      </c>
      <c r="I212" s="46" t="s">
        <v>169</v>
      </c>
      <c r="J212" s="46" t="s">
        <v>79</v>
      </c>
      <c r="K212" s="46" t="s">
        <v>170</v>
      </c>
      <c r="L212" s="46" t="s">
        <v>171</v>
      </c>
      <c r="M212" s="46" t="s">
        <v>196</v>
      </c>
      <c r="N212" s="46" t="s">
        <v>197</v>
      </c>
      <c r="O212" s="46">
        <v>16219600</v>
      </c>
      <c r="P212" s="46">
        <v>178</v>
      </c>
      <c r="Q212" s="46">
        <v>0</v>
      </c>
      <c r="R212" s="46">
        <v>0</v>
      </c>
      <c r="S212" s="46">
        <v>0</v>
      </c>
      <c r="T212" s="46">
        <v>0</v>
      </c>
      <c r="U212" s="46">
        <v>118000</v>
      </c>
      <c r="V212" s="46">
        <v>2</v>
      </c>
      <c r="W212" s="46">
        <v>0</v>
      </c>
      <c r="X212" s="46">
        <v>0</v>
      </c>
      <c r="Y212" s="48">
        <v>0</v>
      </c>
      <c r="Z212" s="46">
        <v>0</v>
      </c>
      <c r="AA212" s="46">
        <v>0</v>
      </c>
      <c r="AB212" s="46">
        <v>0</v>
      </c>
      <c r="AC212" s="46">
        <v>16337600</v>
      </c>
      <c r="AD212" s="46">
        <v>180</v>
      </c>
      <c r="AF212" s="47">
        <f t="shared" si="3"/>
        <v>16337600</v>
      </c>
    </row>
    <row r="213" spans="1:32" x14ac:dyDescent="0.3">
      <c r="A213" s="46" t="s">
        <v>612</v>
      </c>
      <c r="B213" s="46" t="str">
        <f>IFERROR(VLOOKUP($H213,매장구분!$B:$Z,2,0),"")</f>
        <v>파트너채널팀</v>
      </c>
      <c r="C213" s="46" t="str">
        <f>IFERROR(VLOOKUP($H213,매장구분!$B:$Z,3,0),"")</f>
        <v>국내</v>
      </c>
      <c r="D213" s="46" t="str">
        <f>IFERROR(VLOOKUP($H213,매장구분!$B:$Z,5,0),"")</f>
        <v>백화점</v>
      </c>
      <c r="E213" s="46" t="str">
        <f>IFERROR(VLOOKUP($H213,매장구분!$B:$Z,9,0),"")</f>
        <v>롯데구리</v>
      </c>
      <c r="G213" s="46" t="s">
        <v>232</v>
      </c>
      <c r="H213" s="46" t="s">
        <v>233</v>
      </c>
      <c r="I213" s="46" t="s">
        <v>169</v>
      </c>
      <c r="J213" s="46" t="s">
        <v>175</v>
      </c>
      <c r="K213" s="46" t="s">
        <v>170</v>
      </c>
      <c r="L213" s="46" t="s">
        <v>171</v>
      </c>
      <c r="M213" s="46" t="s">
        <v>77</v>
      </c>
      <c r="N213" s="46" t="s">
        <v>172</v>
      </c>
      <c r="O213" s="46">
        <v>11005960</v>
      </c>
      <c r="P213" s="46">
        <v>127</v>
      </c>
      <c r="Q213" s="46">
        <v>883000</v>
      </c>
      <c r="R213" s="46">
        <v>15</v>
      </c>
      <c r="S213" s="46">
        <v>0</v>
      </c>
      <c r="T213" s="46">
        <v>0</v>
      </c>
      <c r="U213" s="46">
        <v>2369200</v>
      </c>
      <c r="V213" s="46">
        <v>18</v>
      </c>
      <c r="W213" s="46">
        <v>0</v>
      </c>
      <c r="X213" s="46">
        <v>0</v>
      </c>
      <c r="Y213" s="48">
        <v>4217400</v>
      </c>
      <c r="Z213" s="46">
        <v>29</v>
      </c>
      <c r="AA213" s="46">
        <v>0</v>
      </c>
      <c r="AB213" s="46">
        <v>0</v>
      </c>
      <c r="AC213" s="46">
        <v>18475560</v>
      </c>
      <c r="AD213" s="46">
        <v>189</v>
      </c>
      <c r="AF213" s="47">
        <f t="shared" si="3"/>
        <v>14258160</v>
      </c>
    </row>
    <row r="214" spans="1:32" x14ac:dyDescent="0.3">
      <c r="A214" s="46" t="s">
        <v>612</v>
      </c>
      <c r="B214" s="46" t="str">
        <f>IFERROR(VLOOKUP($H214,매장구분!$B:$Z,2,0),"")</f>
        <v>파트너채널팀</v>
      </c>
      <c r="C214" s="46" t="str">
        <f>IFERROR(VLOOKUP($H214,매장구분!$B:$Z,3,0),"")</f>
        <v>국내</v>
      </c>
      <c r="D214" s="46" t="str">
        <f>IFERROR(VLOOKUP($H214,매장구분!$B:$Z,5,0),"")</f>
        <v>백화점</v>
      </c>
      <c r="E214" s="46" t="str">
        <f>IFERROR(VLOOKUP($H214,매장구분!$B:$Z,9,0),"")</f>
        <v>신세계대구</v>
      </c>
      <c r="G214" s="46" t="s">
        <v>192</v>
      </c>
      <c r="H214" s="46" t="s">
        <v>193</v>
      </c>
      <c r="I214" s="46" t="s">
        <v>169</v>
      </c>
      <c r="J214" s="46" t="s">
        <v>175</v>
      </c>
      <c r="K214" s="46" t="s">
        <v>170</v>
      </c>
      <c r="L214" s="46" t="s">
        <v>171</v>
      </c>
      <c r="M214" s="46" t="s">
        <v>77</v>
      </c>
      <c r="N214" s="46" t="s">
        <v>172</v>
      </c>
      <c r="O214" s="46">
        <v>40141500</v>
      </c>
      <c r="P214" s="46">
        <v>374</v>
      </c>
      <c r="Q214" s="46">
        <v>0</v>
      </c>
      <c r="R214" s="46">
        <v>0</v>
      </c>
      <c r="S214" s="46">
        <v>0</v>
      </c>
      <c r="T214" s="46">
        <v>0</v>
      </c>
      <c r="U214" s="46">
        <v>2746100</v>
      </c>
      <c r="V214" s="46">
        <v>17</v>
      </c>
      <c r="W214" s="46">
        <v>0</v>
      </c>
      <c r="X214" s="46">
        <v>0</v>
      </c>
      <c r="Y214" s="48">
        <v>27849000</v>
      </c>
      <c r="Z214" s="46">
        <v>201</v>
      </c>
      <c r="AA214" s="46">
        <v>0</v>
      </c>
      <c r="AB214" s="46">
        <v>0</v>
      </c>
      <c r="AC214" s="46">
        <v>70736600</v>
      </c>
      <c r="AD214" s="46">
        <v>592</v>
      </c>
      <c r="AF214" s="47">
        <f t="shared" si="3"/>
        <v>42887600</v>
      </c>
    </row>
    <row r="215" spans="1:32" hidden="1" x14ac:dyDescent="0.3">
      <c r="A215" s="46" t="s">
        <v>612</v>
      </c>
      <c r="B215" s="46" t="str">
        <f>IFERROR(VLOOKUP($H215,매장구분!$B:$Z,2,0),"")</f>
        <v>파트너채널팀</v>
      </c>
      <c r="C215" s="46" t="str">
        <f>IFERROR(VLOOKUP($H215,매장구분!$B:$Z,3,0),"")</f>
        <v>면세</v>
      </c>
      <c r="D215" s="46" t="str">
        <f>IFERROR(VLOOKUP($H215,매장구분!$B:$Z,5,0),"")</f>
        <v>면세</v>
      </c>
      <c r="E215" s="46" t="str">
        <f>IFERROR(VLOOKUP($H215,매장구분!$B:$Z,9,0),"")</f>
        <v>신라면세제주</v>
      </c>
      <c r="G215" s="46" t="s">
        <v>334</v>
      </c>
      <c r="H215" s="46" t="s">
        <v>335</v>
      </c>
      <c r="I215" s="46" t="s">
        <v>169</v>
      </c>
      <c r="J215" s="46" t="s">
        <v>175</v>
      </c>
      <c r="K215" s="46" t="s">
        <v>170</v>
      </c>
      <c r="L215" s="46" t="s">
        <v>171</v>
      </c>
      <c r="M215" s="46" t="s">
        <v>176</v>
      </c>
      <c r="N215" s="46" t="s">
        <v>177</v>
      </c>
      <c r="O215" s="46">
        <v>141510700</v>
      </c>
      <c r="P215" s="46">
        <v>2497</v>
      </c>
      <c r="Q215" s="46">
        <v>0</v>
      </c>
      <c r="R215" s="46">
        <v>0</v>
      </c>
      <c r="S215" s="46">
        <v>0</v>
      </c>
      <c r="T215" s="46">
        <v>0</v>
      </c>
      <c r="U215" s="46">
        <v>0</v>
      </c>
      <c r="V215" s="46">
        <v>0</v>
      </c>
      <c r="W215" s="46">
        <v>0</v>
      </c>
      <c r="X215" s="46">
        <v>0</v>
      </c>
      <c r="Y215" s="48">
        <v>0</v>
      </c>
      <c r="Z215" s="46">
        <v>0</v>
      </c>
      <c r="AA215" s="46">
        <v>0</v>
      </c>
      <c r="AB215" s="46">
        <v>0</v>
      </c>
      <c r="AC215" s="46">
        <v>141510700</v>
      </c>
      <c r="AD215" s="46">
        <v>2497</v>
      </c>
      <c r="AF215" s="47">
        <f t="shared" si="3"/>
        <v>141510700</v>
      </c>
    </row>
    <row r="216" spans="1:32" x14ac:dyDescent="0.3">
      <c r="A216" s="46" t="s">
        <v>612</v>
      </c>
      <c r="B216" s="46" t="str">
        <f>IFERROR(VLOOKUP($H216,매장구분!$B:$Z,2,0),"")</f>
        <v>파트너채널팀</v>
      </c>
      <c r="C216" s="46" t="str">
        <f>IFERROR(VLOOKUP($H216,매장구분!$B:$Z,3,0),"")</f>
        <v>국내</v>
      </c>
      <c r="D216" s="46" t="str">
        <f>IFERROR(VLOOKUP($H216,매장구분!$B:$Z,5,0),"")</f>
        <v>백화점</v>
      </c>
      <c r="E216" s="46" t="str">
        <f>IFERROR(VLOOKUP($H216,매장구분!$B:$Z,9,0),"")</f>
        <v>롯데상인</v>
      </c>
      <c r="G216" s="46" t="s">
        <v>348</v>
      </c>
      <c r="H216" s="46" t="s">
        <v>349</v>
      </c>
      <c r="I216" s="46" t="s">
        <v>169</v>
      </c>
      <c r="J216" s="46" t="s">
        <v>175</v>
      </c>
      <c r="K216" s="46" t="s">
        <v>170</v>
      </c>
      <c r="L216" s="46" t="s">
        <v>171</v>
      </c>
      <c r="M216" s="46" t="s">
        <v>77</v>
      </c>
      <c r="N216" s="46" t="s">
        <v>172</v>
      </c>
      <c r="O216" s="46">
        <v>7418700</v>
      </c>
      <c r="P216" s="46">
        <v>85</v>
      </c>
      <c r="Q216" s="46">
        <v>224000</v>
      </c>
      <c r="R216" s="46">
        <v>7</v>
      </c>
      <c r="S216" s="46">
        <v>0</v>
      </c>
      <c r="T216" s="46">
        <v>0</v>
      </c>
      <c r="U216" s="46">
        <v>2804400</v>
      </c>
      <c r="V216" s="46">
        <v>18</v>
      </c>
      <c r="W216" s="46">
        <v>0</v>
      </c>
      <c r="X216" s="46">
        <v>0</v>
      </c>
      <c r="Y216" s="48">
        <v>963000</v>
      </c>
      <c r="Z216" s="46">
        <v>7</v>
      </c>
      <c r="AA216" s="46">
        <v>-18000</v>
      </c>
      <c r="AB216" s="46">
        <v>-2</v>
      </c>
      <c r="AC216" s="46">
        <v>11392100</v>
      </c>
      <c r="AD216" s="46">
        <v>115</v>
      </c>
      <c r="AF216" s="47">
        <f t="shared" si="3"/>
        <v>10429100</v>
      </c>
    </row>
    <row r="217" spans="1:32" x14ac:dyDescent="0.3">
      <c r="A217" s="46" t="s">
        <v>612</v>
      </c>
      <c r="B217" s="46" t="str">
        <f>IFERROR(VLOOKUP($H217,매장구분!$B:$Z,2,0),"")</f>
        <v>파트너채널팀</v>
      </c>
      <c r="C217" s="46" t="str">
        <f>IFERROR(VLOOKUP($H217,매장구분!$B:$Z,3,0),"")</f>
        <v>국내</v>
      </c>
      <c r="D217" s="46" t="str">
        <f>IFERROR(VLOOKUP($H217,매장구분!$B:$Z,5,0),"")</f>
        <v>백화점</v>
      </c>
      <c r="E217" s="46" t="str">
        <f>IFERROR(VLOOKUP($H217,매장구분!$B:$Z,9,0),"")</f>
        <v>엔터식스왕십리</v>
      </c>
      <c r="G217" s="46" t="s">
        <v>444</v>
      </c>
      <c r="H217" s="46" t="s">
        <v>445</v>
      </c>
      <c r="I217" s="46" t="s">
        <v>169</v>
      </c>
      <c r="J217" s="46" t="s">
        <v>175</v>
      </c>
      <c r="K217" s="46" t="s">
        <v>170</v>
      </c>
      <c r="L217" s="46" t="s">
        <v>171</v>
      </c>
      <c r="M217" s="46" t="s">
        <v>77</v>
      </c>
      <c r="N217" s="46" t="s">
        <v>238</v>
      </c>
      <c r="O217" s="46">
        <v>8778100</v>
      </c>
      <c r="P217" s="46">
        <v>94</v>
      </c>
      <c r="Q217" s="46">
        <v>0</v>
      </c>
      <c r="R217" s="46">
        <v>0</v>
      </c>
      <c r="S217" s="46">
        <v>0</v>
      </c>
      <c r="T217" s="46">
        <v>0</v>
      </c>
      <c r="U217" s="46">
        <v>4698200</v>
      </c>
      <c r="V217" s="46">
        <v>28</v>
      </c>
      <c r="W217" s="46">
        <v>0</v>
      </c>
      <c r="X217" s="46">
        <v>0</v>
      </c>
      <c r="Y217" s="48">
        <v>0</v>
      </c>
      <c r="Z217" s="46">
        <v>0</v>
      </c>
      <c r="AA217" s="46">
        <v>0</v>
      </c>
      <c r="AB217" s="46">
        <v>0</v>
      </c>
      <c r="AC217" s="46">
        <v>13476300</v>
      </c>
      <c r="AD217" s="46">
        <v>122</v>
      </c>
      <c r="AF217" s="47">
        <f t="shared" si="3"/>
        <v>13476300</v>
      </c>
    </row>
    <row r="218" spans="1:32" x14ac:dyDescent="0.3">
      <c r="A218" s="46" t="s">
        <v>612</v>
      </c>
      <c r="B218" s="46" t="str">
        <f>IFERROR(VLOOKUP($H218,매장구분!$B:$Z,2,0),"")</f>
        <v>리테일채널팀</v>
      </c>
      <c r="C218" s="46" t="str">
        <f>IFERROR(VLOOKUP($H218,매장구분!$B:$Z,3,0),"")</f>
        <v>국내</v>
      </c>
      <c r="D218" s="46" t="str">
        <f>IFERROR(VLOOKUP($H218,매장구분!$B:$Z,5,0),"")</f>
        <v>직영점</v>
      </c>
      <c r="E218" s="46" t="str">
        <f>IFERROR(VLOOKUP($H218,매장구분!$B:$Z,9,0),"")</f>
        <v>충장로</v>
      </c>
      <c r="G218" s="46" t="s">
        <v>544</v>
      </c>
      <c r="H218" s="46" t="s">
        <v>545</v>
      </c>
      <c r="I218" s="46" t="s">
        <v>169</v>
      </c>
      <c r="J218" s="46" t="s">
        <v>180</v>
      </c>
      <c r="K218" s="46" t="s">
        <v>170</v>
      </c>
      <c r="L218" s="46" t="s">
        <v>171</v>
      </c>
      <c r="M218" s="46" t="s">
        <v>196</v>
      </c>
      <c r="N218" s="46" t="s">
        <v>206</v>
      </c>
      <c r="O218" s="46">
        <v>25330110</v>
      </c>
      <c r="P218" s="46">
        <v>255</v>
      </c>
      <c r="Q218" s="46">
        <v>0</v>
      </c>
      <c r="R218" s="46">
        <v>0</v>
      </c>
      <c r="S218" s="46">
        <v>0</v>
      </c>
      <c r="T218" s="46">
        <v>0</v>
      </c>
      <c r="U218" s="46">
        <v>805300</v>
      </c>
      <c r="V218" s="46">
        <v>7</v>
      </c>
      <c r="W218" s="46">
        <v>0</v>
      </c>
      <c r="X218" s="46">
        <v>0</v>
      </c>
      <c r="Y218" s="48">
        <v>0</v>
      </c>
      <c r="Z218" s="46">
        <v>0</v>
      </c>
      <c r="AA218" s="46">
        <v>0</v>
      </c>
      <c r="AB218" s="46">
        <v>0</v>
      </c>
      <c r="AC218" s="46">
        <v>26135410</v>
      </c>
      <c r="AD218" s="46">
        <v>262</v>
      </c>
      <c r="AF218" s="47">
        <f t="shared" si="3"/>
        <v>26135410</v>
      </c>
    </row>
    <row r="219" spans="1:32" x14ac:dyDescent="0.3">
      <c r="A219" s="46" t="s">
        <v>612</v>
      </c>
      <c r="B219" s="46" t="str">
        <f>IFERROR(VLOOKUP($H219,매장구분!$B:$Z,2,0),"")</f>
        <v>E-biz</v>
      </c>
      <c r="C219" s="46" t="str">
        <f>IFERROR(VLOOKUP($H219,매장구분!$B:$Z,3,0),"")</f>
        <v>국내</v>
      </c>
      <c r="D219" s="46" t="str">
        <f>IFERROR(VLOOKUP($H219,매장구분!$B:$Z,5,0),"")</f>
        <v>온(자사몰)</v>
      </c>
      <c r="E219" s="46" t="str">
        <f>IFERROR(VLOOKUP($H219,매장구분!$B:$Z,9,0),"")</f>
        <v>온라인쇼핑몰</v>
      </c>
      <c r="G219" s="46" t="s">
        <v>178</v>
      </c>
      <c r="H219" s="46" t="s">
        <v>179</v>
      </c>
      <c r="I219" s="46" t="s">
        <v>169</v>
      </c>
      <c r="J219" s="46" t="s">
        <v>180</v>
      </c>
      <c r="K219" s="46" t="s">
        <v>170</v>
      </c>
      <c r="L219" s="46" t="s">
        <v>181</v>
      </c>
      <c r="M219" s="46" t="s">
        <v>181</v>
      </c>
      <c r="N219" s="46" t="s">
        <v>182</v>
      </c>
      <c r="O219" s="46">
        <v>189748540</v>
      </c>
      <c r="P219" s="46">
        <v>2289</v>
      </c>
      <c r="Q219" s="46">
        <v>0</v>
      </c>
      <c r="R219" s="46">
        <v>0</v>
      </c>
      <c r="S219" s="46">
        <v>0</v>
      </c>
      <c r="T219" s="46">
        <v>0</v>
      </c>
      <c r="U219" s="46">
        <v>0</v>
      </c>
      <c r="V219" s="46">
        <v>0</v>
      </c>
      <c r="W219" s="46">
        <v>0</v>
      </c>
      <c r="X219" s="46">
        <v>0</v>
      </c>
      <c r="Y219" s="48">
        <v>0</v>
      </c>
      <c r="Z219" s="46">
        <v>0</v>
      </c>
      <c r="AA219" s="46">
        <v>0</v>
      </c>
      <c r="AB219" s="46">
        <v>0</v>
      </c>
      <c r="AC219" s="46">
        <v>189748540</v>
      </c>
      <c r="AD219" s="46">
        <v>2289</v>
      </c>
      <c r="AF219" s="47">
        <f t="shared" si="3"/>
        <v>189748540</v>
      </c>
    </row>
    <row r="220" spans="1:32" x14ac:dyDescent="0.3">
      <c r="A220" s="46" t="s">
        <v>612</v>
      </c>
      <c r="B220" s="46" t="str">
        <f>IFERROR(VLOOKUP($H220,매장구분!$B:$Z,2,0),"")</f>
        <v>파트너채널팀</v>
      </c>
      <c r="C220" s="46" t="str">
        <f>IFERROR(VLOOKUP($H220,매장구분!$B:$Z,3,0),"")</f>
        <v>국내</v>
      </c>
      <c r="D220" s="46" t="str">
        <f>IFERROR(VLOOKUP($H220,매장구분!$B:$Z,5,0),"")</f>
        <v>백화점</v>
      </c>
      <c r="E220" s="46" t="str">
        <f>IFERROR(VLOOKUP($H220,매장구분!$B:$Z,9,0),"")</f>
        <v>롯데동래</v>
      </c>
      <c r="G220" s="46" t="s">
        <v>239</v>
      </c>
      <c r="H220" s="46" t="s">
        <v>240</v>
      </c>
      <c r="I220" s="46" t="s">
        <v>169</v>
      </c>
      <c r="J220" s="46" t="s">
        <v>175</v>
      </c>
      <c r="K220" s="46" t="s">
        <v>170</v>
      </c>
      <c r="L220" s="46" t="s">
        <v>171</v>
      </c>
      <c r="M220" s="46" t="s">
        <v>77</v>
      </c>
      <c r="N220" s="46" t="s">
        <v>172</v>
      </c>
      <c r="O220" s="46">
        <v>17250362</v>
      </c>
      <c r="P220" s="46">
        <v>157</v>
      </c>
      <c r="Q220" s="46">
        <v>0</v>
      </c>
      <c r="R220" s="46">
        <v>0</v>
      </c>
      <c r="S220" s="46">
        <v>0</v>
      </c>
      <c r="T220" s="46">
        <v>0</v>
      </c>
      <c r="U220" s="46">
        <v>2643838</v>
      </c>
      <c r="V220" s="46">
        <v>17</v>
      </c>
      <c r="W220" s="46">
        <v>0</v>
      </c>
      <c r="X220" s="46">
        <v>0</v>
      </c>
      <c r="Y220" s="48">
        <v>18513000</v>
      </c>
      <c r="Z220" s="46">
        <v>187</v>
      </c>
      <c r="AA220" s="46">
        <v>0</v>
      </c>
      <c r="AB220" s="46">
        <v>0</v>
      </c>
      <c r="AC220" s="46">
        <v>38407200</v>
      </c>
      <c r="AD220" s="46">
        <v>361</v>
      </c>
      <c r="AF220" s="47">
        <f t="shared" si="3"/>
        <v>19894200</v>
      </c>
    </row>
    <row r="221" spans="1:32" x14ac:dyDescent="0.3">
      <c r="A221" s="46" t="s">
        <v>612</v>
      </c>
      <c r="B221" s="46" t="str">
        <f>IFERROR(VLOOKUP($H221,매장구분!$B:$Z,2,0),"")</f>
        <v>리테일채널팀</v>
      </c>
      <c r="C221" s="46" t="str">
        <f>IFERROR(VLOOKUP($H221,매장구분!$B:$Z,3,0),"")</f>
        <v>국내</v>
      </c>
      <c r="D221" s="46" t="str">
        <f>IFERROR(VLOOKUP($H221,매장구분!$B:$Z,5,0),"")</f>
        <v>대리점</v>
      </c>
      <c r="E221" s="46" t="str">
        <f>IFERROR(VLOOKUP($H221,매장구분!$B:$Z,9,0),"")</f>
        <v>상주(대-위)</v>
      </c>
      <c r="G221" s="46" t="s">
        <v>388</v>
      </c>
      <c r="H221" s="46" t="s">
        <v>389</v>
      </c>
      <c r="I221" s="46" t="s">
        <v>169</v>
      </c>
      <c r="J221" s="46" t="s">
        <v>79</v>
      </c>
      <c r="K221" s="46" t="s">
        <v>170</v>
      </c>
      <c r="L221" s="46" t="s">
        <v>171</v>
      </c>
      <c r="M221" s="46" t="s">
        <v>196</v>
      </c>
      <c r="N221" s="46" t="s">
        <v>197</v>
      </c>
      <c r="O221" s="46">
        <v>7769081</v>
      </c>
      <c r="P221" s="46">
        <v>63</v>
      </c>
      <c r="Q221" s="46">
        <v>0</v>
      </c>
      <c r="R221" s="46">
        <v>0</v>
      </c>
      <c r="S221" s="46">
        <v>0</v>
      </c>
      <c r="T221" s="46">
        <v>0</v>
      </c>
      <c r="U221" s="46">
        <v>408000</v>
      </c>
      <c r="V221" s="46">
        <v>2</v>
      </c>
      <c r="W221" s="46">
        <v>0</v>
      </c>
      <c r="X221" s="46">
        <v>0</v>
      </c>
      <c r="Y221" s="48">
        <v>0</v>
      </c>
      <c r="Z221" s="46">
        <v>0</v>
      </c>
      <c r="AA221" s="46">
        <v>0</v>
      </c>
      <c r="AB221" s="46">
        <v>0</v>
      </c>
      <c r="AC221" s="46">
        <v>8177081</v>
      </c>
      <c r="AD221" s="46">
        <v>65</v>
      </c>
      <c r="AF221" s="47">
        <f t="shared" si="3"/>
        <v>8177081</v>
      </c>
    </row>
    <row r="222" spans="1:32" x14ac:dyDescent="0.3">
      <c r="A222" s="46" t="s">
        <v>612</v>
      </c>
      <c r="B222" s="46" t="str">
        <f>IFERROR(VLOOKUP($H222,매장구분!$B:$Z,2,0),"")</f>
        <v>파트너채널팀</v>
      </c>
      <c r="C222" s="46" t="str">
        <f>IFERROR(VLOOKUP($H222,매장구분!$B:$Z,3,0),"")</f>
        <v>국내</v>
      </c>
      <c r="D222" s="46" t="str">
        <f>IFERROR(VLOOKUP($H222,매장구분!$B:$Z,5,0),"")</f>
        <v>백화점</v>
      </c>
      <c r="E222" s="46" t="str">
        <f>IFERROR(VLOOKUP($H222,매장구분!$B:$Z,9,0),"")</f>
        <v>롯데영등포</v>
      </c>
      <c r="G222" s="46" t="s">
        <v>202</v>
      </c>
      <c r="H222" s="46" t="s">
        <v>203</v>
      </c>
      <c r="I222" s="46" t="s">
        <v>169</v>
      </c>
      <c r="J222" s="46" t="s">
        <v>175</v>
      </c>
      <c r="K222" s="46" t="s">
        <v>170</v>
      </c>
      <c r="L222" s="46" t="s">
        <v>171</v>
      </c>
      <c r="M222" s="46" t="s">
        <v>77</v>
      </c>
      <c r="N222" s="46" t="s">
        <v>172</v>
      </c>
      <c r="O222" s="46">
        <v>9169300</v>
      </c>
      <c r="P222" s="46">
        <v>92</v>
      </c>
      <c r="Q222" s="46">
        <v>6905300</v>
      </c>
      <c r="R222" s="46">
        <v>87</v>
      </c>
      <c r="S222" s="46">
        <v>0</v>
      </c>
      <c r="T222" s="46">
        <v>0</v>
      </c>
      <c r="U222" s="46">
        <v>916400</v>
      </c>
      <c r="V222" s="46">
        <v>6</v>
      </c>
      <c r="W222" s="46">
        <v>0</v>
      </c>
      <c r="X222" s="46">
        <v>0</v>
      </c>
      <c r="Y222" s="48">
        <v>0</v>
      </c>
      <c r="Z222" s="46">
        <v>0</v>
      </c>
      <c r="AA222" s="46">
        <v>0</v>
      </c>
      <c r="AB222" s="46">
        <v>0</v>
      </c>
      <c r="AC222" s="46">
        <v>16991000</v>
      </c>
      <c r="AD222" s="46">
        <v>185</v>
      </c>
      <c r="AF222" s="47">
        <f t="shared" si="3"/>
        <v>16991000</v>
      </c>
    </row>
    <row r="223" spans="1:32" x14ac:dyDescent="0.3">
      <c r="A223" s="46" t="s">
        <v>612</v>
      </c>
      <c r="B223" s="46" t="str">
        <f>IFERROR(VLOOKUP($H223,매장구분!$B:$Z,2,0),"")</f>
        <v>파트너채널팀</v>
      </c>
      <c r="C223" s="46" t="str">
        <f>IFERROR(VLOOKUP($H223,매장구분!$B:$Z,3,0),"")</f>
        <v>국내</v>
      </c>
      <c r="D223" s="46" t="str">
        <f>IFERROR(VLOOKUP($H223,매장구분!$B:$Z,5,0),"")</f>
        <v>백화점</v>
      </c>
      <c r="E223" s="46" t="str">
        <f>IFERROR(VLOOKUP($H223,매장구분!$B:$Z,9,0),"")</f>
        <v>롯데분당</v>
      </c>
      <c r="G223" s="46" t="s">
        <v>470</v>
      </c>
      <c r="H223" s="46" t="s">
        <v>471</v>
      </c>
      <c r="I223" s="46" t="s">
        <v>169</v>
      </c>
      <c r="J223" s="46" t="s">
        <v>175</v>
      </c>
      <c r="K223" s="46" t="s">
        <v>170</v>
      </c>
      <c r="L223" s="46" t="s">
        <v>171</v>
      </c>
      <c r="M223" s="46" t="s">
        <v>77</v>
      </c>
      <c r="N223" s="46" t="s">
        <v>172</v>
      </c>
      <c r="O223" s="46">
        <v>4898200</v>
      </c>
      <c r="P223" s="46">
        <v>50</v>
      </c>
      <c r="Q223" s="46">
        <v>734000</v>
      </c>
      <c r="R223" s="46">
        <v>19</v>
      </c>
      <c r="S223" s="46">
        <v>0</v>
      </c>
      <c r="T223" s="46">
        <v>0</v>
      </c>
      <c r="U223" s="46">
        <v>2279400</v>
      </c>
      <c r="V223" s="46">
        <v>20</v>
      </c>
      <c r="W223" s="46">
        <v>0</v>
      </c>
      <c r="X223" s="46">
        <v>0</v>
      </c>
      <c r="Y223" s="48">
        <v>0</v>
      </c>
      <c r="Z223" s="46">
        <v>0</v>
      </c>
      <c r="AA223" s="46">
        <v>0</v>
      </c>
      <c r="AB223" s="46">
        <v>0</v>
      </c>
      <c r="AC223" s="46">
        <v>7911600</v>
      </c>
      <c r="AD223" s="46">
        <v>89</v>
      </c>
      <c r="AF223" s="47">
        <f t="shared" si="3"/>
        <v>7911600</v>
      </c>
    </row>
    <row r="224" spans="1:32" x14ac:dyDescent="0.3">
      <c r="A224" s="46" t="s">
        <v>612</v>
      </c>
      <c r="B224" s="46" t="str">
        <f>IFERROR(VLOOKUP($H224,매장구분!$B:$Z,2,0),"")</f>
        <v>리테일채널팀</v>
      </c>
      <c r="C224" s="46" t="str">
        <f>IFERROR(VLOOKUP($H224,매장구분!$B:$Z,3,0),"")</f>
        <v>국내</v>
      </c>
      <c r="D224" s="46" t="str">
        <f>IFERROR(VLOOKUP($H224,매장구분!$B:$Z,5,0),"")</f>
        <v>대리점</v>
      </c>
      <c r="E224" s="46" t="str">
        <f>IFERROR(VLOOKUP($H224,매장구분!$B:$Z,9,0),"")</f>
        <v>안성(대-위)</v>
      </c>
      <c r="G224" s="46" t="s">
        <v>309</v>
      </c>
      <c r="H224" s="46" t="s">
        <v>310</v>
      </c>
      <c r="I224" s="46" t="s">
        <v>169</v>
      </c>
      <c r="J224" s="46" t="s">
        <v>79</v>
      </c>
      <c r="K224" s="46" t="s">
        <v>170</v>
      </c>
      <c r="L224" s="46" t="s">
        <v>171</v>
      </c>
      <c r="M224" s="46" t="s">
        <v>196</v>
      </c>
      <c r="N224" s="46" t="s">
        <v>197</v>
      </c>
      <c r="O224" s="46">
        <v>38464500</v>
      </c>
      <c r="P224" s="46">
        <v>349</v>
      </c>
      <c r="Q224" s="46">
        <v>0</v>
      </c>
      <c r="R224" s="46">
        <v>0</v>
      </c>
      <c r="S224" s="46">
        <v>0</v>
      </c>
      <c r="T224" s="46">
        <v>0</v>
      </c>
      <c r="U224" s="46">
        <v>258000</v>
      </c>
      <c r="V224" s="46">
        <v>2</v>
      </c>
      <c r="W224" s="46">
        <v>0</v>
      </c>
      <c r="X224" s="46">
        <v>0</v>
      </c>
      <c r="Y224" s="48">
        <v>0</v>
      </c>
      <c r="Z224" s="46">
        <v>0</v>
      </c>
      <c r="AA224" s="46">
        <v>0</v>
      </c>
      <c r="AB224" s="46">
        <v>0</v>
      </c>
      <c r="AC224" s="46">
        <v>38722500</v>
      </c>
      <c r="AD224" s="46">
        <v>351</v>
      </c>
      <c r="AF224" s="47">
        <f t="shared" si="3"/>
        <v>38722500</v>
      </c>
    </row>
    <row r="225" spans="1:32" x14ac:dyDescent="0.3">
      <c r="A225" s="46" t="s">
        <v>612</v>
      </c>
      <c r="B225" s="46" t="str">
        <f>IFERROR(VLOOKUP($H225,매장구분!$B:$Z,2,0),"")</f>
        <v>파트너채널팀</v>
      </c>
      <c r="C225" s="46" t="str">
        <f>IFERROR(VLOOKUP($H225,매장구분!$B:$Z,3,0),"")</f>
        <v>국내</v>
      </c>
      <c r="D225" s="46" t="str">
        <f>IFERROR(VLOOKUP($H225,매장구분!$B:$Z,5,0),"")</f>
        <v>백화점</v>
      </c>
      <c r="E225" s="46" t="str">
        <f>IFERROR(VLOOKUP($H225,매장구분!$B:$Z,9,0),"")</f>
        <v>롯데수원</v>
      </c>
      <c r="G225" s="46" t="s">
        <v>402</v>
      </c>
      <c r="H225" s="46" t="s">
        <v>403</v>
      </c>
      <c r="I225" s="46" t="s">
        <v>169</v>
      </c>
      <c r="J225" s="46" t="s">
        <v>175</v>
      </c>
      <c r="K225" s="46" t="s">
        <v>170</v>
      </c>
      <c r="L225" s="46" t="s">
        <v>171</v>
      </c>
      <c r="M225" s="46" t="s">
        <v>77</v>
      </c>
      <c r="N225" s="46" t="s">
        <v>172</v>
      </c>
      <c r="O225" s="46">
        <v>35855900</v>
      </c>
      <c r="P225" s="46">
        <v>307</v>
      </c>
      <c r="Q225" s="46">
        <v>1616700</v>
      </c>
      <c r="R225" s="46">
        <v>33</v>
      </c>
      <c r="S225" s="46">
        <v>0</v>
      </c>
      <c r="T225" s="46">
        <v>0</v>
      </c>
      <c r="U225" s="46">
        <v>3614100</v>
      </c>
      <c r="V225" s="46">
        <v>1</v>
      </c>
      <c r="W225" s="46">
        <v>0</v>
      </c>
      <c r="X225" s="46">
        <v>0</v>
      </c>
      <c r="Y225" s="48">
        <v>0</v>
      </c>
      <c r="Z225" s="46">
        <v>0</v>
      </c>
      <c r="AA225" s="46">
        <v>0</v>
      </c>
      <c r="AB225" s="46">
        <v>0</v>
      </c>
      <c r="AC225" s="46">
        <v>41086700</v>
      </c>
      <c r="AD225" s="46">
        <v>341</v>
      </c>
      <c r="AF225" s="47">
        <f t="shared" si="3"/>
        <v>41086700</v>
      </c>
    </row>
    <row r="226" spans="1:32" x14ac:dyDescent="0.3">
      <c r="A226" s="46" t="s">
        <v>612</v>
      </c>
      <c r="B226" s="46" t="str">
        <f>IFERROR(VLOOKUP($H226,매장구분!$B:$Z,2,0),"")</f>
        <v>리테일채널팀</v>
      </c>
      <c r="C226" s="46" t="str">
        <f>IFERROR(VLOOKUP($H226,매장구분!$B:$Z,3,0),"")</f>
        <v>국내</v>
      </c>
      <c r="D226" s="46" t="str">
        <f>IFERROR(VLOOKUP($H226,매장구분!$B:$Z,5,0),"")</f>
        <v>상설(위탁)</v>
      </c>
      <c r="E226" s="46" t="str">
        <f>IFERROR(VLOOKUP($H226,매장구분!$B:$Z,9,0),"")</f>
        <v>현대아울렛대전(상-위)</v>
      </c>
      <c r="G226" s="46" t="s">
        <v>608</v>
      </c>
      <c r="H226" s="46" t="s">
        <v>609</v>
      </c>
      <c r="I226" s="46" t="s">
        <v>169</v>
      </c>
      <c r="J226" s="46" t="s">
        <v>79</v>
      </c>
      <c r="K226" s="46" t="s">
        <v>170</v>
      </c>
      <c r="L226" s="46" t="s">
        <v>171</v>
      </c>
      <c r="M226" s="46" t="s">
        <v>219</v>
      </c>
      <c r="N226" s="46" t="s">
        <v>219</v>
      </c>
      <c r="O226" s="46">
        <v>1584000</v>
      </c>
      <c r="P226" s="46">
        <v>44</v>
      </c>
      <c r="Q226" s="46">
        <v>0</v>
      </c>
      <c r="R226" s="46">
        <v>0</v>
      </c>
      <c r="S226" s="46">
        <v>0</v>
      </c>
      <c r="T226" s="46">
        <v>0</v>
      </c>
      <c r="U226" s="46">
        <v>0</v>
      </c>
      <c r="V226" s="46">
        <v>0</v>
      </c>
      <c r="W226" s="46">
        <v>0</v>
      </c>
      <c r="X226" s="46">
        <v>0</v>
      </c>
      <c r="Y226" s="48">
        <v>0</v>
      </c>
      <c r="Z226" s="46">
        <v>0</v>
      </c>
      <c r="AA226" s="46">
        <v>0</v>
      </c>
      <c r="AB226" s="46">
        <v>0</v>
      </c>
      <c r="AC226" s="46">
        <v>1584000</v>
      </c>
      <c r="AD226" s="46">
        <v>44</v>
      </c>
      <c r="AF226" s="47">
        <f t="shared" si="3"/>
        <v>1584000</v>
      </c>
    </row>
    <row r="227" spans="1:32" x14ac:dyDescent="0.3">
      <c r="A227" s="46" t="s">
        <v>612</v>
      </c>
      <c r="B227" s="46" t="str">
        <f>IFERROR(VLOOKUP($H227,매장구분!$B:$Z,2,0),"")</f>
        <v>리테일채널팀</v>
      </c>
      <c r="C227" s="46" t="str">
        <f>IFERROR(VLOOKUP($H227,매장구분!$B:$Z,3,0),"")</f>
        <v>국내</v>
      </c>
      <c r="D227" s="46" t="str">
        <f>IFERROR(VLOOKUP($H227,매장구분!$B:$Z,5,0),"")</f>
        <v>상설(위탁)</v>
      </c>
      <c r="E227" s="46" t="str">
        <f>IFERROR(VLOOKUP($H227,매장구분!$B:$Z,9,0),"")</f>
        <v>콜렉티드(상-위)</v>
      </c>
      <c r="G227" s="46" t="s">
        <v>434</v>
      </c>
      <c r="H227" s="46" t="s">
        <v>435</v>
      </c>
      <c r="I227" s="46" t="s">
        <v>169</v>
      </c>
      <c r="J227" s="46" t="s">
        <v>79</v>
      </c>
      <c r="K227" s="46" t="s">
        <v>170</v>
      </c>
      <c r="L227" s="46" t="s">
        <v>171</v>
      </c>
      <c r="M227" s="46" t="s">
        <v>219</v>
      </c>
      <c r="N227" s="46" t="s">
        <v>219</v>
      </c>
      <c r="O227" s="46">
        <v>216000</v>
      </c>
      <c r="P227" s="46">
        <v>6</v>
      </c>
      <c r="Q227" s="46">
        <v>0</v>
      </c>
      <c r="R227" s="46">
        <v>0</v>
      </c>
      <c r="S227" s="46">
        <v>0</v>
      </c>
      <c r="T227" s="46">
        <v>0</v>
      </c>
      <c r="U227" s="46">
        <v>0</v>
      </c>
      <c r="V227" s="46">
        <v>0</v>
      </c>
      <c r="W227" s="46">
        <v>0</v>
      </c>
      <c r="X227" s="46">
        <v>0</v>
      </c>
      <c r="Y227" s="48">
        <v>0</v>
      </c>
      <c r="Z227" s="46">
        <v>0</v>
      </c>
      <c r="AA227" s="46">
        <v>0</v>
      </c>
      <c r="AB227" s="46">
        <v>0</v>
      </c>
      <c r="AC227" s="46">
        <v>216000</v>
      </c>
      <c r="AD227" s="46">
        <v>6</v>
      </c>
      <c r="AF227" s="47">
        <f t="shared" si="3"/>
        <v>216000</v>
      </c>
    </row>
    <row r="228" spans="1:32" x14ac:dyDescent="0.3">
      <c r="A228" s="46" t="s">
        <v>612</v>
      </c>
      <c r="B228" s="46" t="str">
        <f>IFERROR(VLOOKUP($H228,매장구분!$B:$Z,2,0),"")</f>
        <v>리테일채널팀</v>
      </c>
      <c r="C228" s="46" t="str">
        <f>IFERROR(VLOOKUP($H228,매장구분!$B:$Z,3,0),"")</f>
        <v>국내</v>
      </c>
      <c r="D228" s="46" t="str">
        <f>IFERROR(VLOOKUP($H228,매장구분!$B:$Z,5,0),"")</f>
        <v>상설(위탁)</v>
      </c>
      <c r="E228" s="46" t="str">
        <f>IFERROR(VLOOKUP($H228,매장구분!$B:$Z,9,0),"")</f>
        <v>신세계아울렛기장(상-위)</v>
      </c>
      <c r="G228" s="46" t="s">
        <v>277</v>
      </c>
      <c r="H228" s="46" t="s">
        <v>278</v>
      </c>
      <c r="I228" s="46" t="s">
        <v>169</v>
      </c>
      <c r="J228" s="46" t="s">
        <v>79</v>
      </c>
      <c r="K228" s="46" t="s">
        <v>170</v>
      </c>
      <c r="L228" s="46" t="s">
        <v>171</v>
      </c>
      <c r="M228" s="46" t="s">
        <v>219</v>
      </c>
      <c r="N228" s="46" t="s">
        <v>219</v>
      </c>
      <c r="O228" s="46">
        <v>1872000</v>
      </c>
      <c r="P228" s="46">
        <v>52</v>
      </c>
      <c r="Q228" s="46">
        <v>0</v>
      </c>
      <c r="R228" s="46">
        <v>0</v>
      </c>
      <c r="S228" s="46">
        <v>0</v>
      </c>
      <c r="T228" s="46">
        <v>0</v>
      </c>
      <c r="U228" s="46">
        <v>0</v>
      </c>
      <c r="V228" s="46">
        <v>0</v>
      </c>
      <c r="W228" s="46">
        <v>0</v>
      </c>
      <c r="X228" s="46">
        <v>0</v>
      </c>
      <c r="Y228" s="48">
        <v>0</v>
      </c>
      <c r="Z228" s="46">
        <v>0</v>
      </c>
      <c r="AA228" s="46">
        <v>0</v>
      </c>
      <c r="AB228" s="46">
        <v>0</v>
      </c>
      <c r="AC228" s="46">
        <v>1872000</v>
      </c>
      <c r="AD228" s="46">
        <v>52</v>
      </c>
      <c r="AF228" s="47">
        <f t="shared" si="3"/>
        <v>1872000</v>
      </c>
    </row>
    <row r="229" spans="1:32" x14ac:dyDescent="0.3">
      <c r="A229" s="46" t="s">
        <v>612</v>
      </c>
      <c r="B229" s="46" t="str">
        <f>IFERROR(VLOOKUP($H229,매장구분!$B:$Z,2,0),"")</f>
        <v>리테일채널팀</v>
      </c>
      <c r="C229" s="46" t="str">
        <f>IFERROR(VLOOKUP($H229,매장구분!$B:$Z,3,0),"")</f>
        <v>국내</v>
      </c>
      <c r="D229" s="46" t="str">
        <f>IFERROR(VLOOKUP($H229,매장구분!$B:$Z,5,0),"")</f>
        <v>상설(위탁)</v>
      </c>
      <c r="E229" s="46" t="str">
        <f>IFERROR(VLOOKUP($H229,매장구분!$B:$Z,9,0),"")</f>
        <v>롯데아울렛동부산(상-위)</v>
      </c>
      <c r="G229" s="46" t="s">
        <v>366</v>
      </c>
      <c r="H229" s="46" t="s">
        <v>367</v>
      </c>
      <c r="I229" s="46" t="s">
        <v>169</v>
      </c>
      <c r="J229" s="46" t="s">
        <v>79</v>
      </c>
      <c r="K229" s="46" t="s">
        <v>170</v>
      </c>
      <c r="L229" s="46" t="s">
        <v>171</v>
      </c>
      <c r="M229" s="46" t="s">
        <v>219</v>
      </c>
      <c r="N229" s="46" t="s">
        <v>219</v>
      </c>
      <c r="O229" s="46">
        <v>3528000</v>
      </c>
      <c r="P229" s="46">
        <v>98</v>
      </c>
      <c r="Q229" s="46">
        <v>0</v>
      </c>
      <c r="R229" s="46">
        <v>0</v>
      </c>
      <c r="S229" s="46">
        <v>0</v>
      </c>
      <c r="T229" s="46">
        <v>0</v>
      </c>
      <c r="U229" s="46">
        <v>0</v>
      </c>
      <c r="V229" s="46">
        <v>0</v>
      </c>
      <c r="W229" s="46">
        <v>0</v>
      </c>
      <c r="X229" s="46">
        <v>0</v>
      </c>
      <c r="Y229" s="48">
        <v>0</v>
      </c>
      <c r="Z229" s="46">
        <v>0</v>
      </c>
      <c r="AA229" s="46">
        <v>0</v>
      </c>
      <c r="AB229" s="46">
        <v>0</v>
      </c>
      <c r="AC229" s="46">
        <v>3528000</v>
      </c>
      <c r="AD229" s="46">
        <v>98</v>
      </c>
      <c r="AF229" s="47">
        <f t="shared" si="3"/>
        <v>3528000</v>
      </c>
    </row>
    <row r="230" spans="1:32" x14ac:dyDescent="0.3">
      <c r="A230" s="46" t="s">
        <v>612</v>
      </c>
      <c r="B230" s="46" t="str">
        <f>IFERROR(VLOOKUP($H230,매장구분!$B:$Z,2,0),"")</f>
        <v>파트너채널팀</v>
      </c>
      <c r="C230" s="46" t="str">
        <f>IFERROR(VLOOKUP($H230,매장구분!$B:$Z,3,0),"")</f>
        <v>국내</v>
      </c>
      <c r="D230" s="46" t="str">
        <f>IFERROR(VLOOKUP($H230,매장구분!$B:$Z,5,0),"")</f>
        <v>백화점</v>
      </c>
      <c r="E230" s="46" t="str">
        <f>IFERROR(VLOOKUP($H230,매장구분!$B:$Z,9,0),"")</f>
        <v>신세계천안아산</v>
      </c>
      <c r="G230" s="46" t="s">
        <v>271</v>
      </c>
      <c r="H230" s="46" t="s">
        <v>272</v>
      </c>
      <c r="I230" s="46" t="s">
        <v>169</v>
      </c>
      <c r="J230" s="46" t="s">
        <v>175</v>
      </c>
      <c r="K230" s="46" t="s">
        <v>170</v>
      </c>
      <c r="L230" s="46" t="s">
        <v>171</v>
      </c>
      <c r="M230" s="46" t="s">
        <v>77</v>
      </c>
      <c r="N230" s="46" t="s">
        <v>172</v>
      </c>
      <c r="O230" s="46">
        <v>20779300</v>
      </c>
      <c r="P230" s="46">
        <v>210</v>
      </c>
      <c r="Q230" s="46">
        <v>0</v>
      </c>
      <c r="R230" s="46">
        <v>0</v>
      </c>
      <c r="S230" s="46">
        <v>0</v>
      </c>
      <c r="T230" s="46">
        <v>0</v>
      </c>
      <c r="U230" s="46">
        <v>3205000</v>
      </c>
      <c r="V230" s="46">
        <v>15</v>
      </c>
      <c r="W230" s="46">
        <v>0</v>
      </c>
      <c r="X230" s="46">
        <v>0</v>
      </c>
      <c r="Y230" s="48">
        <v>0</v>
      </c>
      <c r="Z230" s="46">
        <v>0</v>
      </c>
      <c r="AA230" s="46">
        <v>0</v>
      </c>
      <c r="AB230" s="46">
        <v>0</v>
      </c>
      <c r="AC230" s="46">
        <v>23984300</v>
      </c>
      <c r="AD230" s="46">
        <v>225</v>
      </c>
      <c r="AF230" s="47">
        <f t="shared" si="3"/>
        <v>23984300</v>
      </c>
    </row>
    <row r="231" spans="1:32" x14ac:dyDescent="0.3">
      <c r="A231" s="46" t="s">
        <v>612</v>
      </c>
      <c r="B231" s="46" t="str">
        <f>IFERROR(VLOOKUP($H231,매장구분!$B:$Z,2,0),"")</f>
        <v>리테일채널팀</v>
      </c>
      <c r="C231" s="46" t="str">
        <f>IFERROR(VLOOKUP($H231,매장구분!$B:$Z,3,0),"")</f>
        <v>국내</v>
      </c>
      <c r="D231" s="46" t="str">
        <f>IFERROR(VLOOKUP($H231,매장구분!$B:$Z,5,0),"")</f>
        <v>직영점</v>
      </c>
      <c r="E231" s="46" t="str">
        <f>IFERROR(VLOOKUP($H231,매장구분!$B:$Z,9,0),"")</f>
        <v>스타필드수원(직)</v>
      </c>
      <c r="G231" s="46" t="s">
        <v>468</v>
      </c>
      <c r="H231" s="46" t="s">
        <v>469</v>
      </c>
      <c r="I231" s="46" t="s">
        <v>169</v>
      </c>
      <c r="J231" s="46" t="s">
        <v>180</v>
      </c>
      <c r="K231" s="46" t="s">
        <v>170</v>
      </c>
      <c r="L231" s="46" t="s">
        <v>171</v>
      </c>
      <c r="M231" s="46" t="s">
        <v>188</v>
      </c>
      <c r="N231" s="46" t="s">
        <v>189</v>
      </c>
      <c r="O231" s="46">
        <v>16085200</v>
      </c>
      <c r="P231" s="46">
        <v>198</v>
      </c>
      <c r="Q231" s="46">
        <v>0</v>
      </c>
      <c r="R231" s="46">
        <v>0</v>
      </c>
      <c r="S231" s="46">
        <v>0</v>
      </c>
      <c r="T231" s="46">
        <v>0</v>
      </c>
      <c r="U231" s="46">
        <v>1760000</v>
      </c>
      <c r="V231" s="46">
        <v>10</v>
      </c>
      <c r="W231" s="46">
        <v>0</v>
      </c>
      <c r="X231" s="46">
        <v>0</v>
      </c>
      <c r="Y231" s="48">
        <v>0</v>
      </c>
      <c r="Z231" s="46">
        <v>0</v>
      </c>
      <c r="AA231" s="46">
        <v>0</v>
      </c>
      <c r="AB231" s="46">
        <v>0</v>
      </c>
      <c r="AC231" s="46">
        <v>17845200</v>
      </c>
      <c r="AD231" s="46">
        <v>208</v>
      </c>
      <c r="AF231" s="47">
        <f t="shared" si="3"/>
        <v>17845200</v>
      </c>
    </row>
    <row r="232" spans="1:32" x14ac:dyDescent="0.3">
      <c r="A232" s="46" t="s">
        <v>612</v>
      </c>
      <c r="B232" s="46" t="str">
        <f>IFERROR(VLOOKUP($H232,매장구분!$B:$Z,2,0),"")</f>
        <v>파트너채널팀</v>
      </c>
      <c r="C232" s="46" t="str">
        <f>IFERROR(VLOOKUP($H232,매장구분!$B:$Z,3,0),"")</f>
        <v>국내</v>
      </c>
      <c r="D232" s="46" t="str">
        <f>IFERROR(VLOOKUP($H232,매장구분!$B:$Z,5,0),"")</f>
        <v>백화점</v>
      </c>
      <c r="E232" s="46" t="str">
        <f>IFERROR(VLOOKUP($H232,매장구분!$B:$Z,9,0),"")</f>
        <v>현대대구</v>
      </c>
      <c r="G232" s="46" t="s">
        <v>540</v>
      </c>
      <c r="H232" s="46" t="s">
        <v>541</v>
      </c>
      <c r="I232" s="46" t="s">
        <v>169</v>
      </c>
      <c r="J232" s="46" t="s">
        <v>175</v>
      </c>
      <c r="K232" s="46" t="s">
        <v>170</v>
      </c>
      <c r="L232" s="46" t="s">
        <v>171</v>
      </c>
      <c r="M232" s="46" t="s">
        <v>77</v>
      </c>
      <c r="N232" s="46" t="s">
        <v>172</v>
      </c>
      <c r="O232" s="46">
        <v>15074585</v>
      </c>
      <c r="P232" s="46">
        <v>180</v>
      </c>
      <c r="Q232" s="46">
        <v>3111000</v>
      </c>
      <c r="R232" s="46">
        <v>31</v>
      </c>
      <c r="S232" s="46">
        <v>0</v>
      </c>
      <c r="T232" s="46">
        <v>0</v>
      </c>
      <c r="U232" s="46">
        <v>2585715</v>
      </c>
      <c r="V232" s="46">
        <v>15</v>
      </c>
      <c r="W232" s="46">
        <v>0</v>
      </c>
      <c r="X232" s="46">
        <v>0</v>
      </c>
      <c r="Y232" s="48">
        <v>0</v>
      </c>
      <c r="Z232" s="46">
        <v>0</v>
      </c>
      <c r="AA232" s="46">
        <v>0</v>
      </c>
      <c r="AB232" s="46">
        <v>0</v>
      </c>
      <c r="AC232" s="46">
        <v>20771300</v>
      </c>
      <c r="AD232" s="46">
        <v>226</v>
      </c>
      <c r="AF232" s="47">
        <f t="shared" si="3"/>
        <v>20771300</v>
      </c>
    </row>
    <row r="233" spans="1:32" x14ac:dyDescent="0.3">
      <c r="A233" s="46" t="s">
        <v>612</v>
      </c>
      <c r="B233" s="46" t="str">
        <f>IFERROR(VLOOKUP($H233,매장구분!$B:$Z,2,0),"")</f>
        <v>파트너채널팀</v>
      </c>
      <c r="C233" s="46" t="str">
        <f>IFERROR(VLOOKUP($H233,매장구분!$B:$Z,3,0),"")</f>
        <v>국내</v>
      </c>
      <c r="D233" s="46" t="str">
        <f>IFERROR(VLOOKUP($H233,매장구분!$B:$Z,5,0),"")</f>
        <v>백화점</v>
      </c>
      <c r="E233" s="46" t="str">
        <f>IFERROR(VLOOKUP($H233,매장구분!$B:$Z,9,0),"")</f>
        <v>롯데중동</v>
      </c>
      <c r="G233" s="46" t="s">
        <v>510</v>
      </c>
      <c r="H233" s="46" t="s">
        <v>511</v>
      </c>
      <c r="I233" s="46" t="s">
        <v>169</v>
      </c>
      <c r="J233" s="46" t="s">
        <v>175</v>
      </c>
      <c r="K233" s="46" t="s">
        <v>170</v>
      </c>
      <c r="L233" s="46" t="s">
        <v>171</v>
      </c>
      <c r="M233" s="46" t="s">
        <v>77</v>
      </c>
      <c r="N233" s="46" t="s">
        <v>172</v>
      </c>
      <c r="O233" s="46">
        <v>14836900</v>
      </c>
      <c r="P233" s="46">
        <v>127</v>
      </c>
      <c r="Q233" s="46">
        <v>406000</v>
      </c>
      <c r="R233" s="46">
        <v>4</v>
      </c>
      <c r="S233" s="46">
        <v>0</v>
      </c>
      <c r="T233" s="46">
        <v>0</v>
      </c>
      <c r="U233" s="46">
        <v>2643400</v>
      </c>
      <c r="V233" s="46">
        <v>16</v>
      </c>
      <c r="W233" s="46">
        <v>0</v>
      </c>
      <c r="X233" s="46">
        <v>0</v>
      </c>
      <c r="Y233" s="48">
        <v>0</v>
      </c>
      <c r="Z233" s="46">
        <v>0</v>
      </c>
      <c r="AA233" s="46">
        <v>0</v>
      </c>
      <c r="AB233" s="46">
        <v>0</v>
      </c>
      <c r="AC233" s="46">
        <v>17886300</v>
      </c>
      <c r="AD233" s="46">
        <v>147</v>
      </c>
      <c r="AF233" s="47">
        <f t="shared" si="3"/>
        <v>17886300</v>
      </c>
    </row>
    <row r="234" spans="1:32" x14ac:dyDescent="0.3">
      <c r="A234" s="46" t="s">
        <v>612</v>
      </c>
      <c r="B234" s="46" t="str">
        <f>IFERROR(VLOOKUP($H234,매장구분!$B:$Z,2,0),"")</f>
        <v>리테일채널팀</v>
      </c>
      <c r="C234" s="46" t="str">
        <f>IFERROR(VLOOKUP($H234,매장구분!$B:$Z,3,0),"")</f>
        <v>국내</v>
      </c>
      <c r="D234" s="46" t="str">
        <f>IFERROR(VLOOKUP($H234,매장구분!$B:$Z,5,0),"")</f>
        <v>대리점</v>
      </c>
      <c r="E234" s="46" t="str">
        <f>IFERROR(VLOOKUP($H234,매장구분!$B:$Z,9,0),"")</f>
        <v>아산(대-위)</v>
      </c>
      <c r="G234" s="46" t="s">
        <v>194</v>
      </c>
      <c r="H234" s="46" t="s">
        <v>195</v>
      </c>
      <c r="I234" s="46" t="s">
        <v>169</v>
      </c>
      <c r="J234" s="46" t="s">
        <v>79</v>
      </c>
      <c r="K234" s="46" t="s">
        <v>170</v>
      </c>
      <c r="L234" s="46" t="s">
        <v>171</v>
      </c>
      <c r="M234" s="46" t="s">
        <v>196</v>
      </c>
      <c r="N234" s="46" t="s">
        <v>197</v>
      </c>
      <c r="O234" s="46">
        <v>11573393</v>
      </c>
      <c r="P234" s="46">
        <v>102</v>
      </c>
      <c r="Q234" s="46">
        <v>0</v>
      </c>
      <c r="R234" s="46">
        <v>0</v>
      </c>
      <c r="S234" s="46">
        <v>0</v>
      </c>
      <c r="T234" s="46">
        <v>0</v>
      </c>
      <c r="U234" s="46">
        <v>2271407</v>
      </c>
      <c r="V234" s="46">
        <v>21</v>
      </c>
      <c r="W234" s="46">
        <v>0</v>
      </c>
      <c r="X234" s="46">
        <v>0</v>
      </c>
      <c r="Y234" s="48">
        <v>0</v>
      </c>
      <c r="Z234" s="46">
        <v>0</v>
      </c>
      <c r="AA234" s="46">
        <v>0</v>
      </c>
      <c r="AB234" s="46">
        <v>0</v>
      </c>
      <c r="AC234" s="46">
        <v>13844800</v>
      </c>
      <c r="AD234" s="46">
        <v>123</v>
      </c>
      <c r="AF234" s="47">
        <f t="shared" si="3"/>
        <v>13844800</v>
      </c>
    </row>
    <row r="235" spans="1:32" x14ac:dyDescent="0.3">
      <c r="A235" s="46" t="s">
        <v>612</v>
      </c>
      <c r="B235" s="46" t="str">
        <f>IFERROR(VLOOKUP($H235,매장구분!$B:$Z,2,0),"")</f>
        <v>파트너채널팀</v>
      </c>
      <c r="C235" s="46" t="str">
        <f>IFERROR(VLOOKUP($H235,매장구분!$B:$Z,3,0),"")</f>
        <v>국내</v>
      </c>
      <c r="D235" s="46" t="str">
        <f>IFERROR(VLOOKUP($H235,매장구분!$B:$Z,5,0),"")</f>
        <v>백화점</v>
      </c>
      <c r="E235" s="46" t="str">
        <f>IFERROR(VLOOKUP($H235,매장구분!$B:$Z,9,0),"")</f>
        <v>신세계경기</v>
      </c>
      <c r="G235" s="46" t="s">
        <v>356</v>
      </c>
      <c r="H235" s="46" t="s">
        <v>357</v>
      </c>
      <c r="I235" s="46" t="s">
        <v>169</v>
      </c>
      <c r="J235" s="46" t="s">
        <v>175</v>
      </c>
      <c r="K235" s="46" t="s">
        <v>170</v>
      </c>
      <c r="L235" s="46" t="s">
        <v>171</v>
      </c>
      <c r="M235" s="46" t="s">
        <v>77</v>
      </c>
      <c r="N235" s="46" t="s">
        <v>172</v>
      </c>
      <c r="O235" s="46">
        <v>15316600</v>
      </c>
      <c r="P235" s="46">
        <v>181</v>
      </c>
      <c r="Q235" s="46">
        <v>0</v>
      </c>
      <c r="R235" s="46">
        <v>0</v>
      </c>
      <c r="S235" s="46">
        <v>0</v>
      </c>
      <c r="T235" s="46">
        <v>0</v>
      </c>
      <c r="U235" s="46">
        <v>139000</v>
      </c>
      <c r="V235" s="46">
        <v>1</v>
      </c>
      <c r="W235" s="46">
        <v>0</v>
      </c>
      <c r="X235" s="46">
        <v>0</v>
      </c>
      <c r="Y235" s="48">
        <v>0</v>
      </c>
      <c r="Z235" s="46">
        <v>0</v>
      </c>
      <c r="AA235" s="46">
        <v>0</v>
      </c>
      <c r="AB235" s="46">
        <v>0</v>
      </c>
      <c r="AC235" s="46">
        <v>15455600</v>
      </c>
      <c r="AD235" s="46">
        <v>182</v>
      </c>
      <c r="AF235" s="47">
        <f t="shared" si="3"/>
        <v>15455600</v>
      </c>
    </row>
    <row r="236" spans="1:32" x14ac:dyDescent="0.3">
      <c r="A236" s="46" t="s">
        <v>612</v>
      </c>
      <c r="B236" s="46" t="str">
        <f>IFERROR(VLOOKUP($H236,매장구분!$B:$Z,2,0),"")</f>
        <v>E-biz</v>
      </c>
      <c r="C236" s="46" t="str">
        <f>IFERROR(VLOOKUP($H236,매장구분!$B:$Z,3,0),"")</f>
        <v>국내</v>
      </c>
      <c r="D236" s="46" t="str">
        <f>IFERROR(VLOOKUP($H236,매장구분!$B:$Z,5,0),"")</f>
        <v>온(제휴몰)</v>
      </c>
      <c r="E236" s="46" t="str">
        <f>IFERROR(VLOOKUP($H236,매장구분!$B:$Z,9,0),"")</f>
        <v>카카오선물하기(제휴몰)</v>
      </c>
      <c r="G236" s="46" t="s">
        <v>209</v>
      </c>
      <c r="H236" s="46" t="s">
        <v>210</v>
      </c>
      <c r="I236" s="46" t="s">
        <v>169</v>
      </c>
      <c r="J236" s="46" t="s">
        <v>180</v>
      </c>
      <c r="K236" s="46" t="s">
        <v>170</v>
      </c>
      <c r="L236" s="46" t="s">
        <v>181</v>
      </c>
      <c r="M236" s="46" t="s">
        <v>181</v>
      </c>
      <c r="N236" s="46" t="s">
        <v>185</v>
      </c>
      <c r="O236" s="46">
        <v>52535100</v>
      </c>
      <c r="P236" s="46">
        <v>1382</v>
      </c>
      <c r="Q236" s="46">
        <v>0</v>
      </c>
      <c r="R236" s="46">
        <v>0</v>
      </c>
      <c r="S236" s="46">
        <v>0</v>
      </c>
      <c r="T236" s="46">
        <v>0</v>
      </c>
      <c r="U236" s="46">
        <v>0</v>
      </c>
      <c r="V236" s="46">
        <v>0</v>
      </c>
      <c r="W236" s="46">
        <v>0</v>
      </c>
      <c r="X236" s="46">
        <v>0</v>
      </c>
      <c r="Y236" s="48">
        <v>0</v>
      </c>
      <c r="Z236" s="46">
        <v>0</v>
      </c>
      <c r="AA236" s="46">
        <v>0</v>
      </c>
      <c r="AB236" s="46">
        <v>0</v>
      </c>
      <c r="AC236" s="46">
        <v>52535100</v>
      </c>
      <c r="AD236" s="46">
        <v>1382</v>
      </c>
      <c r="AF236" s="47">
        <f t="shared" si="3"/>
        <v>52535100</v>
      </c>
    </row>
    <row r="237" spans="1:32" x14ac:dyDescent="0.3">
      <c r="A237" s="46" t="s">
        <v>612</v>
      </c>
      <c r="B237" s="46" t="str">
        <f>IFERROR(VLOOKUP($H237,매장구분!$B:$Z,2,0),"")</f>
        <v>파트너채널팀</v>
      </c>
      <c r="C237" s="46" t="str">
        <f>IFERROR(VLOOKUP($H237,매장구분!$B:$Z,3,0),"")</f>
        <v>국내</v>
      </c>
      <c r="D237" s="46" t="str">
        <f>IFERROR(VLOOKUP($H237,매장구분!$B:$Z,5,0),"")</f>
        <v>백화점</v>
      </c>
      <c r="E237" s="46" t="str">
        <f>IFERROR(VLOOKUP($H237,매장구분!$B:$Z,9,0),"")</f>
        <v>롯데창원</v>
      </c>
      <c r="G237" s="46" t="s">
        <v>548</v>
      </c>
      <c r="H237" s="46" t="s">
        <v>549</v>
      </c>
      <c r="I237" s="46" t="s">
        <v>169</v>
      </c>
      <c r="J237" s="46" t="s">
        <v>175</v>
      </c>
      <c r="K237" s="46" t="s">
        <v>170</v>
      </c>
      <c r="L237" s="46" t="s">
        <v>171</v>
      </c>
      <c r="M237" s="46" t="s">
        <v>77</v>
      </c>
      <c r="N237" s="46" t="s">
        <v>172</v>
      </c>
      <c r="O237" s="46">
        <v>22395900</v>
      </c>
      <c r="P237" s="46">
        <v>204</v>
      </c>
      <c r="Q237" s="46">
        <v>0</v>
      </c>
      <c r="R237" s="46">
        <v>0</v>
      </c>
      <c r="S237" s="46">
        <v>0</v>
      </c>
      <c r="T237" s="46">
        <v>0</v>
      </c>
      <c r="U237" s="46">
        <v>1617600</v>
      </c>
      <c r="V237" s="46">
        <v>8</v>
      </c>
      <c r="W237" s="46">
        <v>0</v>
      </c>
      <c r="X237" s="46">
        <v>0</v>
      </c>
      <c r="Y237" s="48">
        <v>0</v>
      </c>
      <c r="Z237" s="46">
        <v>0</v>
      </c>
      <c r="AA237" s="46">
        <v>0</v>
      </c>
      <c r="AB237" s="46">
        <v>0</v>
      </c>
      <c r="AC237" s="46">
        <v>24013500</v>
      </c>
      <c r="AD237" s="46">
        <v>212</v>
      </c>
      <c r="AF237" s="47">
        <f t="shared" si="3"/>
        <v>24013500</v>
      </c>
    </row>
    <row r="238" spans="1:32" x14ac:dyDescent="0.3">
      <c r="A238" s="46" t="s">
        <v>612</v>
      </c>
      <c r="B238" s="46" t="str">
        <f>IFERROR(VLOOKUP($H238,매장구분!$B:$Z,2,0),"")</f>
        <v>파트너채널팀</v>
      </c>
      <c r="C238" s="46" t="str">
        <f>IFERROR(VLOOKUP($H238,매장구분!$B:$Z,3,0),"")</f>
        <v>국내</v>
      </c>
      <c r="D238" s="46" t="str">
        <f>IFERROR(VLOOKUP($H238,매장구분!$B:$Z,5,0),"")</f>
        <v>백화점</v>
      </c>
      <c r="E238" s="46" t="str">
        <f>IFERROR(VLOOKUP($H238,매장구분!$B:$Z,9,0),"")</f>
        <v>현대울산</v>
      </c>
      <c r="G238" s="46" t="s">
        <v>344</v>
      </c>
      <c r="H238" s="46" t="s">
        <v>345</v>
      </c>
      <c r="I238" s="46" t="s">
        <v>169</v>
      </c>
      <c r="J238" s="46" t="s">
        <v>175</v>
      </c>
      <c r="K238" s="46" t="s">
        <v>170</v>
      </c>
      <c r="L238" s="46" t="s">
        <v>171</v>
      </c>
      <c r="M238" s="46" t="s">
        <v>77</v>
      </c>
      <c r="N238" s="46" t="s">
        <v>172</v>
      </c>
      <c r="O238" s="46">
        <v>26908979</v>
      </c>
      <c r="P238" s="46">
        <v>217</v>
      </c>
      <c r="Q238" s="46">
        <v>0</v>
      </c>
      <c r="R238" s="46">
        <v>0</v>
      </c>
      <c r="S238" s="46">
        <v>0</v>
      </c>
      <c r="T238" s="46">
        <v>0</v>
      </c>
      <c r="U238" s="46">
        <v>531821</v>
      </c>
      <c r="V238" s="46">
        <v>10</v>
      </c>
      <c r="W238" s="46">
        <v>0</v>
      </c>
      <c r="X238" s="46">
        <v>0</v>
      </c>
      <c r="Y238" s="48">
        <v>4955000</v>
      </c>
      <c r="Z238" s="46">
        <v>41</v>
      </c>
      <c r="AA238" s="46">
        <v>0</v>
      </c>
      <c r="AB238" s="46">
        <v>0</v>
      </c>
      <c r="AC238" s="46">
        <v>32395800</v>
      </c>
      <c r="AD238" s="46">
        <v>268</v>
      </c>
      <c r="AF238" s="47">
        <f t="shared" si="3"/>
        <v>27440800</v>
      </c>
    </row>
    <row r="239" spans="1:32" x14ac:dyDescent="0.3">
      <c r="A239" s="46" t="s">
        <v>612</v>
      </c>
      <c r="B239" s="46" t="str">
        <f>IFERROR(VLOOKUP($H239,매장구분!$B:$Z,2,0),"")</f>
        <v>E-biz</v>
      </c>
      <c r="C239" s="46" t="str">
        <f>IFERROR(VLOOKUP($H239,매장구분!$B:$Z,3,0),"")</f>
        <v>국내</v>
      </c>
      <c r="D239" s="46" t="str">
        <f>IFERROR(VLOOKUP($H239,매장구분!$B:$Z,5,0),"")</f>
        <v>온(제휴몰)</v>
      </c>
      <c r="E239" s="46" t="str">
        <f>IFERROR(VLOOKUP($H239,매장구분!$B:$Z,9,0),"")</f>
        <v>무신사(제휴몰)</v>
      </c>
      <c r="G239" s="46" t="s">
        <v>183</v>
      </c>
      <c r="H239" s="46" t="s">
        <v>184</v>
      </c>
      <c r="I239" s="46" t="s">
        <v>169</v>
      </c>
      <c r="J239" s="46" t="s">
        <v>180</v>
      </c>
      <c r="K239" s="46" t="s">
        <v>170</v>
      </c>
      <c r="L239" s="46" t="s">
        <v>181</v>
      </c>
      <c r="M239" s="46" t="s">
        <v>181</v>
      </c>
      <c r="N239" s="46" t="s">
        <v>185</v>
      </c>
      <c r="O239" s="46">
        <v>156587500</v>
      </c>
      <c r="P239" s="46">
        <v>2049</v>
      </c>
      <c r="Q239" s="46">
        <v>0</v>
      </c>
      <c r="R239" s="46">
        <v>0</v>
      </c>
      <c r="S239" s="46">
        <v>0</v>
      </c>
      <c r="T239" s="46">
        <v>0</v>
      </c>
      <c r="U239" s="46">
        <v>0</v>
      </c>
      <c r="V239" s="46">
        <v>0</v>
      </c>
      <c r="W239" s="46">
        <v>0</v>
      </c>
      <c r="X239" s="46">
        <v>0</v>
      </c>
      <c r="Y239" s="48">
        <v>0</v>
      </c>
      <c r="Z239" s="46">
        <v>0</v>
      </c>
      <c r="AA239" s="46">
        <v>0</v>
      </c>
      <c r="AB239" s="46">
        <v>0</v>
      </c>
      <c r="AC239" s="46">
        <v>156587500</v>
      </c>
      <c r="AD239" s="46">
        <v>2049</v>
      </c>
      <c r="AF239" s="47">
        <f t="shared" si="3"/>
        <v>156587500</v>
      </c>
    </row>
    <row r="240" spans="1:32" hidden="1" x14ac:dyDescent="0.3">
      <c r="A240" s="46" t="s">
        <v>612</v>
      </c>
      <c r="B240" s="46" t="str">
        <f>IFERROR(VLOOKUP($H240,매장구분!$B:$Z,2,0),"")</f>
        <v>파트너채널팀</v>
      </c>
      <c r="C240" s="46" t="str">
        <f>IFERROR(VLOOKUP($H240,매장구분!$B:$Z,3,0),"")</f>
        <v>면세</v>
      </c>
      <c r="D240" s="46" t="str">
        <f>IFERROR(VLOOKUP($H240,매장구분!$B:$Z,5,0),"")</f>
        <v>면세</v>
      </c>
      <c r="E240" s="46" t="str">
        <f>IFERROR(VLOOKUP($H240,매장구분!$B:$Z,9,0),"")</f>
        <v>롯데면세제주</v>
      </c>
      <c r="G240" s="46" t="s">
        <v>464</v>
      </c>
      <c r="H240" s="46" t="s">
        <v>465</v>
      </c>
      <c r="I240" s="46" t="s">
        <v>169</v>
      </c>
      <c r="J240" s="46" t="s">
        <v>175</v>
      </c>
      <c r="K240" s="46" t="s">
        <v>170</v>
      </c>
      <c r="L240" s="46" t="s">
        <v>171</v>
      </c>
      <c r="M240" s="46" t="s">
        <v>176</v>
      </c>
      <c r="N240" s="46" t="s">
        <v>177</v>
      </c>
      <c r="O240" s="46">
        <v>92126100</v>
      </c>
      <c r="P240" s="46">
        <v>1181</v>
      </c>
      <c r="Q240" s="46">
        <v>0</v>
      </c>
      <c r="R240" s="46">
        <v>0</v>
      </c>
      <c r="S240" s="46">
        <v>0</v>
      </c>
      <c r="T240" s="46">
        <v>0</v>
      </c>
      <c r="U240" s="46">
        <v>0</v>
      </c>
      <c r="V240" s="46">
        <v>0</v>
      </c>
      <c r="W240" s="46">
        <v>0</v>
      </c>
      <c r="X240" s="46">
        <v>0</v>
      </c>
      <c r="Y240" s="48">
        <v>0</v>
      </c>
      <c r="Z240" s="46">
        <v>0</v>
      </c>
      <c r="AA240" s="46">
        <v>0</v>
      </c>
      <c r="AB240" s="46">
        <v>0</v>
      </c>
      <c r="AC240" s="46">
        <v>92126100</v>
      </c>
      <c r="AD240" s="46">
        <v>1181</v>
      </c>
      <c r="AF240" s="47">
        <f t="shared" si="3"/>
        <v>92126100</v>
      </c>
    </row>
    <row r="241" spans="1:32" x14ac:dyDescent="0.3">
      <c r="A241" s="46" t="s">
        <v>612</v>
      </c>
      <c r="B241" s="46" t="str">
        <f>IFERROR(VLOOKUP($H241,매장구분!$B:$Z,2,0),"")</f>
        <v>파트너채널팀</v>
      </c>
      <c r="C241" s="46" t="str">
        <f>IFERROR(VLOOKUP($H241,매장구분!$B:$Z,3,0),"")</f>
        <v>국내</v>
      </c>
      <c r="D241" s="46" t="str">
        <f>IFERROR(VLOOKUP($H241,매장구분!$B:$Z,5,0),"")</f>
        <v>백화점</v>
      </c>
      <c r="E241" s="46" t="str">
        <f>IFERROR(VLOOKUP($H241,매장구분!$B:$Z,9,0),"")</f>
        <v>롯데대전</v>
      </c>
      <c r="G241" s="46" t="s">
        <v>476</v>
      </c>
      <c r="H241" s="46" t="s">
        <v>477</v>
      </c>
      <c r="I241" s="46" t="s">
        <v>169</v>
      </c>
      <c r="J241" s="46" t="s">
        <v>175</v>
      </c>
      <c r="K241" s="46" t="s">
        <v>170</v>
      </c>
      <c r="L241" s="46" t="s">
        <v>171</v>
      </c>
      <c r="M241" s="46" t="s">
        <v>77</v>
      </c>
      <c r="N241" s="46" t="s">
        <v>172</v>
      </c>
      <c r="O241" s="46">
        <v>10505800</v>
      </c>
      <c r="P241" s="46">
        <v>86</v>
      </c>
      <c r="Q241" s="46">
        <v>0</v>
      </c>
      <c r="R241" s="46">
        <v>0</v>
      </c>
      <c r="S241" s="46">
        <v>0</v>
      </c>
      <c r="T241" s="46">
        <v>0</v>
      </c>
      <c r="U241" s="46">
        <v>632300</v>
      </c>
      <c r="V241" s="46">
        <v>2</v>
      </c>
      <c r="W241" s="46">
        <v>0</v>
      </c>
      <c r="X241" s="46">
        <v>0</v>
      </c>
      <c r="Y241" s="48">
        <v>0</v>
      </c>
      <c r="Z241" s="46">
        <v>0</v>
      </c>
      <c r="AA241" s="46">
        <v>0</v>
      </c>
      <c r="AB241" s="46">
        <v>0</v>
      </c>
      <c r="AC241" s="46">
        <v>11138100</v>
      </c>
      <c r="AD241" s="46">
        <v>88</v>
      </c>
      <c r="AF241" s="47">
        <f t="shared" si="3"/>
        <v>11138100</v>
      </c>
    </row>
    <row r="242" spans="1:32" x14ac:dyDescent="0.3">
      <c r="A242" s="46" t="s">
        <v>612</v>
      </c>
      <c r="B242" s="46" t="str">
        <f>IFERROR(VLOOKUP($H242,매장구분!$B:$Z,2,0),"")</f>
        <v>파트너채널팀</v>
      </c>
      <c r="C242" s="46" t="str">
        <f>IFERROR(VLOOKUP($H242,매장구분!$B:$Z,3,0),"")</f>
        <v>국내</v>
      </c>
      <c r="D242" s="46" t="str">
        <f>IFERROR(VLOOKUP($H242,매장구분!$B:$Z,5,0),"")</f>
        <v>백화점</v>
      </c>
      <c r="E242" s="46" t="str">
        <f>IFERROR(VLOOKUP($H242,매장구분!$B:$Z,9,0),"")</f>
        <v>현대중동</v>
      </c>
      <c r="G242" s="46" t="s">
        <v>494</v>
      </c>
      <c r="H242" s="46" t="s">
        <v>495</v>
      </c>
      <c r="I242" s="46" t="s">
        <v>169</v>
      </c>
      <c r="J242" s="46" t="s">
        <v>175</v>
      </c>
      <c r="K242" s="46" t="s">
        <v>170</v>
      </c>
      <c r="L242" s="46" t="s">
        <v>171</v>
      </c>
      <c r="M242" s="46" t="s">
        <v>77</v>
      </c>
      <c r="N242" s="46" t="s">
        <v>172</v>
      </c>
      <c r="O242" s="46">
        <v>28194500</v>
      </c>
      <c r="P242" s="46">
        <v>273</v>
      </c>
      <c r="Q242" s="46">
        <v>75000</v>
      </c>
      <c r="R242" s="46">
        <v>2</v>
      </c>
      <c r="S242" s="46">
        <v>0</v>
      </c>
      <c r="T242" s="46">
        <v>0</v>
      </c>
      <c r="U242" s="46">
        <v>1824300</v>
      </c>
      <c r="V242" s="46">
        <v>9</v>
      </c>
      <c r="W242" s="46">
        <v>0</v>
      </c>
      <c r="X242" s="46">
        <v>0</v>
      </c>
      <c r="Y242" s="48">
        <v>312900</v>
      </c>
      <c r="Z242" s="46">
        <v>3</v>
      </c>
      <c r="AA242" s="46">
        <v>0</v>
      </c>
      <c r="AB242" s="46">
        <v>0</v>
      </c>
      <c r="AC242" s="46">
        <v>30406700</v>
      </c>
      <c r="AD242" s="46">
        <v>287</v>
      </c>
      <c r="AF242" s="47">
        <f t="shared" si="3"/>
        <v>30093800</v>
      </c>
    </row>
    <row r="243" spans="1:32" x14ac:dyDescent="0.3">
      <c r="A243" s="46" t="s">
        <v>612</v>
      </c>
      <c r="B243" s="46" t="str">
        <f>IFERROR(VLOOKUP($H243,매장구분!$B:$Z,2,0),"")</f>
        <v>파트너채널팀</v>
      </c>
      <c r="C243" s="46" t="str">
        <f>IFERROR(VLOOKUP($H243,매장구분!$B:$Z,3,0),"")</f>
        <v>국내</v>
      </c>
      <c r="D243" s="46" t="str">
        <f>IFERROR(VLOOKUP($H243,매장구분!$B:$Z,5,0),"")</f>
        <v>백화점</v>
      </c>
      <c r="E243" s="46" t="str">
        <f>IFERROR(VLOOKUP($H243,매장구분!$B:$Z,9,0),"")</f>
        <v>현대미아</v>
      </c>
      <c r="G243" s="46" t="s">
        <v>512</v>
      </c>
      <c r="H243" s="46" t="s">
        <v>513</v>
      </c>
      <c r="I243" s="46" t="s">
        <v>169</v>
      </c>
      <c r="J243" s="46" t="s">
        <v>175</v>
      </c>
      <c r="K243" s="46" t="s">
        <v>170</v>
      </c>
      <c r="L243" s="46" t="s">
        <v>171</v>
      </c>
      <c r="M243" s="46" t="s">
        <v>77</v>
      </c>
      <c r="N243" s="46" t="s">
        <v>172</v>
      </c>
      <c r="O243" s="46">
        <v>4577700</v>
      </c>
      <c r="P243" s="46">
        <v>40</v>
      </c>
      <c r="Q243" s="46">
        <v>0</v>
      </c>
      <c r="R243" s="46">
        <v>0</v>
      </c>
      <c r="S243" s="46">
        <v>0</v>
      </c>
      <c r="T243" s="46">
        <v>0</v>
      </c>
      <c r="U243" s="46">
        <v>2048200</v>
      </c>
      <c r="V243" s="46">
        <v>12</v>
      </c>
      <c r="W243" s="46">
        <v>0</v>
      </c>
      <c r="X243" s="46">
        <v>0</v>
      </c>
      <c r="Y243" s="48">
        <v>1784000</v>
      </c>
      <c r="Z243" s="46">
        <v>19</v>
      </c>
      <c r="AA243" s="46">
        <v>6718000</v>
      </c>
      <c r="AB243" s="46">
        <v>43</v>
      </c>
      <c r="AC243" s="46">
        <v>15127900</v>
      </c>
      <c r="AD243" s="46">
        <v>114</v>
      </c>
      <c r="AF243" s="47">
        <f t="shared" si="3"/>
        <v>13343900</v>
      </c>
    </row>
    <row r="244" spans="1:32" x14ac:dyDescent="0.3">
      <c r="A244" s="46" t="s">
        <v>612</v>
      </c>
      <c r="B244" s="46" t="str">
        <f>IFERROR(VLOOKUP($H244,매장구분!$B:$Z,2,0),"")</f>
        <v>리테일채널팀</v>
      </c>
      <c r="C244" s="46" t="str">
        <f>IFERROR(VLOOKUP($H244,매장구분!$B:$Z,3,0),"")</f>
        <v>국내</v>
      </c>
      <c r="D244" s="46" t="str">
        <f>IFERROR(VLOOKUP($H244,매장구분!$B:$Z,5,0),"")</f>
        <v>대리점</v>
      </c>
      <c r="E244" s="46" t="str">
        <f>IFERROR(VLOOKUP($H244,매장구분!$B:$Z,9,0),"")</f>
        <v>성남신흥(대-위)</v>
      </c>
      <c r="G244" s="46" t="s">
        <v>228</v>
      </c>
      <c r="H244" s="46" t="s">
        <v>229</v>
      </c>
      <c r="I244" s="46" t="s">
        <v>169</v>
      </c>
      <c r="J244" s="46" t="s">
        <v>79</v>
      </c>
      <c r="K244" s="46" t="s">
        <v>170</v>
      </c>
      <c r="L244" s="46" t="s">
        <v>171</v>
      </c>
      <c r="M244" s="46" t="s">
        <v>196</v>
      </c>
      <c r="N244" s="46" t="s">
        <v>197</v>
      </c>
      <c r="O244" s="46">
        <v>19705800</v>
      </c>
      <c r="P244" s="46">
        <v>155</v>
      </c>
      <c r="Q244" s="46">
        <v>0</v>
      </c>
      <c r="R244" s="46">
        <v>0</v>
      </c>
      <c r="S244" s="46">
        <v>0</v>
      </c>
      <c r="T244" s="46">
        <v>0</v>
      </c>
      <c r="U244" s="46">
        <v>314100</v>
      </c>
      <c r="V244" s="46">
        <v>2</v>
      </c>
      <c r="W244" s="46">
        <v>0</v>
      </c>
      <c r="X244" s="46">
        <v>0</v>
      </c>
      <c r="Y244" s="48">
        <v>40648000</v>
      </c>
      <c r="Z244" s="46">
        <v>170</v>
      </c>
      <c r="AA244" s="46">
        <v>0</v>
      </c>
      <c r="AB244" s="46">
        <v>0</v>
      </c>
      <c r="AC244" s="46">
        <v>60667900</v>
      </c>
      <c r="AD244" s="46">
        <v>327</v>
      </c>
      <c r="AF244" s="47">
        <f t="shared" si="3"/>
        <v>20019900</v>
      </c>
    </row>
    <row r="245" spans="1:32" x14ac:dyDescent="0.3">
      <c r="A245" s="46" t="s">
        <v>612</v>
      </c>
      <c r="B245" s="46" t="str">
        <f>IFERROR(VLOOKUP($H245,매장구분!$B:$Z,2,0),"")</f>
        <v>리테일채널팀</v>
      </c>
      <c r="C245" s="46" t="str">
        <f>IFERROR(VLOOKUP($H245,매장구분!$B:$Z,3,0),"")</f>
        <v>국내</v>
      </c>
      <c r="D245" s="46" t="str">
        <f>IFERROR(VLOOKUP($H245,매장구분!$B:$Z,5,0),"")</f>
        <v>직영점</v>
      </c>
      <c r="E245" s="46" t="str">
        <f>IFERROR(VLOOKUP($H245,매장구분!$B:$Z,9,0),"")</f>
        <v>스타필드하남(직)</v>
      </c>
      <c r="G245" s="46" t="s">
        <v>394</v>
      </c>
      <c r="H245" s="46" t="s">
        <v>395</v>
      </c>
      <c r="I245" s="46" t="s">
        <v>169</v>
      </c>
      <c r="J245" s="46" t="s">
        <v>180</v>
      </c>
      <c r="K245" s="46" t="s">
        <v>170</v>
      </c>
      <c r="L245" s="46" t="s">
        <v>171</v>
      </c>
      <c r="M245" s="46" t="s">
        <v>188</v>
      </c>
      <c r="N245" s="46" t="s">
        <v>189</v>
      </c>
      <c r="O245" s="46">
        <v>24389800</v>
      </c>
      <c r="P245" s="46">
        <v>266</v>
      </c>
      <c r="Q245" s="46">
        <v>0</v>
      </c>
      <c r="R245" s="46">
        <v>0</v>
      </c>
      <c r="S245" s="46">
        <v>0</v>
      </c>
      <c r="T245" s="46">
        <v>0</v>
      </c>
      <c r="U245" s="46">
        <v>1215000</v>
      </c>
      <c r="V245" s="46">
        <v>5</v>
      </c>
      <c r="W245" s="46">
        <v>0</v>
      </c>
      <c r="X245" s="46">
        <v>0</v>
      </c>
      <c r="Y245" s="48">
        <v>0</v>
      </c>
      <c r="Z245" s="46">
        <v>0</v>
      </c>
      <c r="AA245" s="46">
        <v>0</v>
      </c>
      <c r="AB245" s="46">
        <v>0</v>
      </c>
      <c r="AC245" s="46">
        <v>25604800</v>
      </c>
      <c r="AD245" s="46">
        <v>271</v>
      </c>
      <c r="AF245" s="47">
        <f t="shared" si="3"/>
        <v>25604800</v>
      </c>
    </row>
    <row r="246" spans="1:32" x14ac:dyDescent="0.3">
      <c r="A246" s="46" t="s">
        <v>612</v>
      </c>
      <c r="B246" s="46" t="str">
        <f>IFERROR(VLOOKUP($H246,매장구분!$B:$Z,2,0),"")</f>
        <v>리테일채널팀</v>
      </c>
      <c r="C246" s="46" t="str">
        <f>IFERROR(VLOOKUP($H246,매장구분!$B:$Z,3,0),"")</f>
        <v>국내</v>
      </c>
      <c r="D246" s="46" t="str">
        <f>IFERROR(VLOOKUP($H246,매장구분!$B:$Z,5,0),"")</f>
        <v>대리점</v>
      </c>
      <c r="E246" s="46" t="str">
        <f>IFERROR(VLOOKUP($H246,매장구분!$B:$Z,9,0),"")</f>
        <v>원주(대-위)</v>
      </c>
      <c r="G246" s="46" t="s">
        <v>224</v>
      </c>
      <c r="H246" s="46" t="s">
        <v>225</v>
      </c>
      <c r="I246" s="46" t="s">
        <v>169</v>
      </c>
      <c r="J246" s="46" t="s">
        <v>79</v>
      </c>
      <c r="K246" s="46" t="s">
        <v>170</v>
      </c>
      <c r="L246" s="46" t="s">
        <v>171</v>
      </c>
      <c r="M246" s="46" t="s">
        <v>196</v>
      </c>
      <c r="N246" s="46" t="s">
        <v>197</v>
      </c>
      <c r="O246" s="46">
        <v>22321498</v>
      </c>
      <c r="P246" s="46">
        <v>182</v>
      </c>
      <c r="Q246" s="46">
        <v>0</v>
      </c>
      <c r="R246" s="46">
        <v>0</v>
      </c>
      <c r="S246" s="46">
        <v>0</v>
      </c>
      <c r="T246" s="46">
        <v>0</v>
      </c>
      <c r="U246" s="46">
        <v>485228</v>
      </c>
      <c r="V246" s="46">
        <v>4</v>
      </c>
      <c r="W246" s="46">
        <v>0</v>
      </c>
      <c r="X246" s="46">
        <v>0</v>
      </c>
      <c r="Y246" s="48">
        <v>0</v>
      </c>
      <c r="Z246" s="46">
        <v>0</v>
      </c>
      <c r="AA246" s="46">
        <v>0</v>
      </c>
      <c r="AB246" s="46">
        <v>0</v>
      </c>
      <c r="AC246" s="46">
        <v>22806726</v>
      </c>
      <c r="AD246" s="46">
        <v>186</v>
      </c>
      <c r="AF246" s="47">
        <f t="shared" si="3"/>
        <v>22806726</v>
      </c>
    </row>
    <row r="247" spans="1:32" x14ac:dyDescent="0.3">
      <c r="A247" s="46" t="s">
        <v>612</v>
      </c>
      <c r="B247" s="46" t="str">
        <f>IFERROR(VLOOKUP($H247,매장구분!$B:$Z,2,0),"")</f>
        <v>리테일채널팀</v>
      </c>
      <c r="C247" s="46" t="str">
        <f>IFERROR(VLOOKUP($H247,매장구분!$B:$Z,3,0),"")</f>
        <v>국내</v>
      </c>
      <c r="D247" s="46" t="str">
        <f>IFERROR(VLOOKUP($H247,매장구분!$B:$Z,5,0),"")</f>
        <v>대리점</v>
      </c>
      <c r="E247" s="46" t="str">
        <f>IFERROR(VLOOKUP($H247,매장구분!$B:$Z,9,0),"")</f>
        <v>포천(대-위)</v>
      </c>
      <c r="G247" s="46" t="s">
        <v>289</v>
      </c>
      <c r="H247" s="46" t="s">
        <v>290</v>
      </c>
      <c r="I247" s="46" t="s">
        <v>169</v>
      </c>
      <c r="J247" s="46" t="s">
        <v>79</v>
      </c>
      <c r="K247" s="46" t="s">
        <v>170</v>
      </c>
      <c r="L247" s="46" t="s">
        <v>171</v>
      </c>
      <c r="M247" s="46" t="s">
        <v>196</v>
      </c>
      <c r="N247" s="46" t="s">
        <v>197</v>
      </c>
      <c r="O247" s="46">
        <v>7614400</v>
      </c>
      <c r="P247" s="46">
        <v>66</v>
      </c>
      <c r="Q247" s="46">
        <v>0</v>
      </c>
      <c r="R247" s="46">
        <v>0</v>
      </c>
      <c r="S247" s="46">
        <v>0</v>
      </c>
      <c r="T247" s="46">
        <v>0</v>
      </c>
      <c r="U247" s="46">
        <v>721200</v>
      </c>
      <c r="V247" s="46">
        <v>5</v>
      </c>
      <c r="W247" s="46">
        <v>0</v>
      </c>
      <c r="X247" s="46">
        <v>0</v>
      </c>
      <c r="Y247" s="48">
        <v>0</v>
      </c>
      <c r="Z247" s="46">
        <v>0</v>
      </c>
      <c r="AA247" s="46">
        <v>0</v>
      </c>
      <c r="AB247" s="46">
        <v>0</v>
      </c>
      <c r="AC247" s="46">
        <v>8335600</v>
      </c>
      <c r="AD247" s="46">
        <v>71</v>
      </c>
      <c r="AF247" s="47">
        <f t="shared" si="3"/>
        <v>8335600</v>
      </c>
    </row>
    <row r="248" spans="1:32" x14ac:dyDescent="0.3">
      <c r="A248" s="46" t="s">
        <v>612</v>
      </c>
      <c r="B248" s="46" t="str">
        <f>IFERROR(VLOOKUP($H248,매장구분!$B:$Z,2,0),"")</f>
        <v>파트너채널팀</v>
      </c>
      <c r="C248" s="46" t="str">
        <f>IFERROR(VLOOKUP($H248,매장구분!$B:$Z,3,0),"")</f>
        <v>국내</v>
      </c>
      <c r="D248" s="46" t="str">
        <f>IFERROR(VLOOKUP($H248,매장구분!$B:$Z,5,0),"")</f>
        <v>백화점</v>
      </c>
      <c r="E248" s="46" t="str">
        <f>IFERROR(VLOOKUP($H248,매장구분!$B:$Z,9,0),"")</f>
        <v>엔터식스안양</v>
      </c>
      <c r="G248" s="46" t="s">
        <v>414</v>
      </c>
      <c r="H248" s="46" t="s">
        <v>415</v>
      </c>
      <c r="I248" s="46" t="s">
        <v>169</v>
      </c>
      <c r="J248" s="46" t="s">
        <v>175</v>
      </c>
      <c r="K248" s="46" t="s">
        <v>170</v>
      </c>
      <c r="L248" s="46" t="s">
        <v>171</v>
      </c>
      <c r="M248" s="46" t="s">
        <v>188</v>
      </c>
      <c r="N248" s="46" t="s">
        <v>317</v>
      </c>
      <c r="O248" s="46">
        <v>15015400</v>
      </c>
      <c r="P248" s="46">
        <v>179</v>
      </c>
      <c r="Q248" s="46">
        <v>3823000</v>
      </c>
      <c r="R248" s="46">
        <v>35</v>
      </c>
      <c r="S248" s="46">
        <v>0</v>
      </c>
      <c r="T248" s="46">
        <v>0</v>
      </c>
      <c r="U248" s="46">
        <v>904800</v>
      </c>
      <c r="V248" s="46">
        <v>6</v>
      </c>
      <c r="W248" s="46">
        <v>0</v>
      </c>
      <c r="X248" s="46">
        <v>0</v>
      </c>
      <c r="Y248" s="48">
        <v>0</v>
      </c>
      <c r="Z248" s="46">
        <v>0</v>
      </c>
      <c r="AA248" s="46">
        <v>0</v>
      </c>
      <c r="AB248" s="46">
        <v>0</v>
      </c>
      <c r="AC248" s="46">
        <v>19743200</v>
      </c>
      <c r="AD248" s="46">
        <v>220</v>
      </c>
      <c r="AF248" s="47">
        <f t="shared" si="3"/>
        <v>19743200</v>
      </c>
    </row>
    <row r="249" spans="1:32" x14ac:dyDescent="0.3">
      <c r="A249" s="46" t="s">
        <v>612</v>
      </c>
      <c r="B249" s="46" t="str">
        <f>IFERROR(VLOOKUP($H249,매장구분!$B:$Z,2,0),"")</f>
        <v>파트너채널팀</v>
      </c>
      <c r="C249" s="46" t="str">
        <f>IFERROR(VLOOKUP($H249,매장구분!$B:$Z,3,0),"")</f>
        <v>국내</v>
      </c>
      <c r="D249" s="46" t="str">
        <f>IFERROR(VLOOKUP($H249,매장구분!$B:$Z,5,0),"")</f>
        <v>백화점</v>
      </c>
      <c r="E249" s="46" t="str">
        <f>IFERROR(VLOOKUP($H249,매장구분!$B:$Z,9,0),"")</f>
        <v>현대킨텍스</v>
      </c>
      <c r="G249" s="46" t="s">
        <v>442</v>
      </c>
      <c r="H249" s="46" t="s">
        <v>443</v>
      </c>
      <c r="I249" s="46" t="s">
        <v>169</v>
      </c>
      <c r="J249" s="46" t="s">
        <v>175</v>
      </c>
      <c r="K249" s="46" t="s">
        <v>170</v>
      </c>
      <c r="L249" s="46" t="s">
        <v>171</v>
      </c>
      <c r="M249" s="46" t="s">
        <v>77</v>
      </c>
      <c r="N249" s="46" t="s">
        <v>172</v>
      </c>
      <c r="O249" s="46">
        <v>9497300</v>
      </c>
      <c r="P249" s="46">
        <v>83</v>
      </c>
      <c r="Q249" s="46">
        <v>75000</v>
      </c>
      <c r="R249" s="46">
        <v>2</v>
      </c>
      <c r="S249" s="46">
        <v>0</v>
      </c>
      <c r="T249" s="46">
        <v>0</v>
      </c>
      <c r="U249" s="46">
        <v>2565700</v>
      </c>
      <c r="V249" s="46">
        <v>12</v>
      </c>
      <c r="W249" s="46">
        <v>0</v>
      </c>
      <c r="X249" s="46">
        <v>0</v>
      </c>
      <c r="Y249" s="48">
        <v>1056000</v>
      </c>
      <c r="Z249" s="46">
        <v>8</v>
      </c>
      <c r="AA249" s="46">
        <v>0</v>
      </c>
      <c r="AB249" s="46">
        <v>0</v>
      </c>
      <c r="AC249" s="46">
        <v>13194000</v>
      </c>
      <c r="AD249" s="46">
        <v>105</v>
      </c>
      <c r="AF249" s="47">
        <f t="shared" si="3"/>
        <v>12138000</v>
      </c>
    </row>
    <row r="250" spans="1:32" x14ac:dyDescent="0.3">
      <c r="A250" s="46" t="s">
        <v>612</v>
      </c>
      <c r="B250" s="46" t="str">
        <f>IFERROR(VLOOKUP($H250,매장구분!$B:$Z,2,0),"")</f>
        <v>리테일채널팀</v>
      </c>
      <c r="C250" s="46" t="str">
        <f>IFERROR(VLOOKUP($H250,매장구분!$B:$Z,3,0),"")</f>
        <v>국내</v>
      </c>
      <c r="D250" s="46" t="str">
        <f>IFERROR(VLOOKUP($H250,매장구분!$B:$Z,5,0),"")</f>
        <v>대리점</v>
      </c>
      <c r="E250" s="46" t="str">
        <f>IFERROR(VLOOKUP($H250,매장구분!$B:$Z,9,0),"")</f>
        <v>순천연향(대-위)</v>
      </c>
      <c r="G250" s="46" t="s">
        <v>390</v>
      </c>
      <c r="H250" s="46" t="s">
        <v>391</v>
      </c>
      <c r="I250" s="46" t="s">
        <v>169</v>
      </c>
      <c r="J250" s="46" t="s">
        <v>79</v>
      </c>
      <c r="K250" s="46" t="s">
        <v>170</v>
      </c>
      <c r="L250" s="46" t="s">
        <v>171</v>
      </c>
      <c r="M250" s="46" t="s">
        <v>196</v>
      </c>
      <c r="N250" s="46" t="s">
        <v>197</v>
      </c>
      <c r="O250" s="46">
        <v>32100602</v>
      </c>
      <c r="P250" s="46">
        <v>298</v>
      </c>
      <c r="Q250" s="46">
        <v>0</v>
      </c>
      <c r="R250" s="46">
        <v>0</v>
      </c>
      <c r="S250" s="46">
        <v>0</v>
      </c>
      <c r="T250" s="46">
        <v>0</v>
      </c>
      <c r="U250" s="46">
        <v>2449098</v>
      </c>
      <c r="V250" s="46">
        <v>14</v>
      </c>
      <c r="W250" s="46">
        <v>0</v>
      </c>
      <c r="X250" s="46">
        <v>0</v>
      </c>
      <c r="Y250" s="48">
        <v>0</v>
      </c>
      <c r="Z250" s="46">
        <v>0</v>
      </c>
      <c r="AA250" s="46">
        <v>0</v>
      </c>
      <c r="AB250" s="46">
        <v>0</v>
      </c>
      <c r="AC250" s="46">
        <v>34549700</v>
      </c>
      <c r="AD250" s="46">
        <v>312</v>
      </c>
      <c r="AF250" s="47">
        <f t="shared" si="3"/>
        <v>34549700</v>
      </c>
    </row>
    <row r="251" spans="1:32" x14ac:dyDescent="0.3">
      <c r="A251" s="46" t="s">
        <v>612</v>
      </c>
      <c r="B251" s="46" t="str">
        <f>IFERROR(VLOOKUP($H251,매장구분!$B:$Z,2,0),"")</f>
        <v>리테일채널팀</v>
      </c>
      <c r="C251" s="46" t="str">
        <f>IFERROR(VLOOKUP($H251,매장구분!$B:$Z,3,0),"")</f>
        <v>국내</v>
      </c>
      <c r="D251" s="46" t="str">
        <f>IFERROR(VLOOKUP($H251,매장구분!$B:$Z,5,0),"")</f>
        <v>직영점</v>
      </c>
      <c r="E251" s="46" t="str">
        <f>IFERROR(VLOOKUP($H251,매장구분!$B:$Z,9,0),"")</f>
        <v>스타필드안성(직)</v>
      </c>
      <c r="G251" s="46" t="s">
        <v>554</v>
      </c>
      <c r="H251" s="46" t="s">
        <v>555</v>
      </c>
      <c r="I251" s="46" t="s">
        <v>169</v>
      </c>
      <c r="J251" s="46" t="s">
        <v>180</v>
      </c>
      <c r="K251" s="46" t="s">
        <v>170</v>
      </c>
      <c r="L251" s="46" t="s">
        <v>171</v>
      </c>
      <c r="M251" s="46" t="s">
        <v>188</v>
      </c>
      <c r="N251" s="46" t="s">
        <v>189</v>
      </c>
      <c r="O251" s="46">
        <v>16282600</v>
      </c>
      <c r="P251" s="46">
        <v>185</v>
      </c>
      <c r="Q251" s="46">
        <v>0</v>
      </c>
      <c r="R251" s="46">
        <v>0</v>
      </c>
      <c r="S251" s="46">
        <v>0</v>
      </c>
      <c r="T251" s="46">
        <v>0</v>
      </c>
      <c r="U251" s="46">
        <v>5471700</v>
      </c>
      <c r="V251" s="46">
        <v>31</v>
      </c>
      <c r="W251" s="46">
        <v>0</v>
      </c>
      <c r="X251" s="46">
        <v>0</v>
      </c>
      <c r="Y251" s="48">
        <v>0</v>
      </c>
      <c r="Z251" s="46">
        <v>0</v>
      </c>
      <c r="AA251" s="46">
        <v>0</v>
      </c>
      <c r="AB251" s="46">
        <v>0</v>
      </c>
      <c r="AC251" s="46">
        <v>21754300</v>
      </c>
      <c r="AD251" s="46">
        <v>216</v>
      </c>
      <c r="AF251" s="47">
        <f t="shared" si="3"/>
        <v>21754300</v>
      </c>
    </row>
    <row r="252" spans="1:32" x14ac:dyDescent="0.3">
      <c r="A252" s="46" t="s">
        <v>612</v>
      </c>
      <c r="B252" s="46" t="str">
        <f>IFERROR(VLOOKUP($H252,매장구분!$B:$Z,2,0),"")</f>
        <v>E-biz</v>
      </c>
      <c r="C252" s="46" t="str">
        <f>IFERROR(VLOOKUP($H252,매장구분!$B:$Z,3,0),"")</f>
        <v>국내</v>
      </c>
      <c r="D252" s="46" t="str">
        <f>IFERROR(VLOOKUP($H252,매장구분!$B:$Z,5,0),"")</f>
        <v>온(제휴몰)</v>
      </c>
      <c r="E252" s="46" t="str">
        <f>IFERROR(VLOOKUP($H252,매장구분!$B:$Z,9,0),"")</f>
        <v>SSF샵(제휴몰)</v>
      </c>
      <c r="G252" s="46" t="s">
        <v>342</v>
      </c>
      <c r="H252" s="46" t="s">
        <v>343</v>
      </c>
      <c r="I252" s="46" t="s">
        <v>169</v>
      </c>
      <c r="J252" s="46" t="s">
        <v>180</v>
      </c>
      <c r="K252" s="46" t="s">
        <v>170</v>
      </c>
      <c r="L252" s="46" t="s">
        <v>181</v>
      </c>
      <c r="M252" s="46" t="s">
        <v>181</v>
      </c>
      <c r="N252" s="46" t="s">
        <v>185</v>
      </c>
      <c r="O252" s="46">
        <v>11464300</v>
      </c>
      <c r="P252" s="46">
        <v>87</v>
      </c>
      <c r="Q252" s="46">
        <v>0</v>
      </c>
      <c r="R252" s="46">
        <v>0</v>
      </c>
      <c r="S252" s="46">
        <v>0</v>
      </c>
      <c r="T252" s="46">
        <v>0</v>
      </c>
      <c r="U252" s="46">
        <v>0</v>
      </c>
      <c r="V252" s="46">
        <v>0</v>
      </c>
      <c r="W252" s="46">
        <v>0</v>
      </c>
      <c r="X252" s="46">
        <v>0</v>
      </c>
      <c r="Y252" s="48">
        <v>0</v>
      </c>
      <c r="Z252" s="46">
        <v>0</v>
      </c>
      <c r="AA252" s="46">
        <v>0</v>
      </c>
      <c r="AB252" s="46">
        <v>0</v>
      </c>
      <c r="AC252" s="46">
        <v>11464300</v>
      </c>
      <c r="AD252" s="46">
        <v>87</v>
      </c>
      <c r="AF252" s="47">
        <f t="shared" si="3"/>
        <v>11464300</v>
      </c>
    </row>
    <row r="253" spans="1:32" x14ac:dyDescent="0.3">
      <c r="A253" s="46" t="s">
        <v>612</v>
      </c>
      <c r="B253" s="46" t="str">
        <f>IFERROR(VLOOKUP($H253,매장구분!$B:$Z,2,0),"")</f>
        <v>리테일채널팀</v>
      </c>
      <c r="C253" s="46" t="str">
        <f>IFERROR(VLOOKUP($H253,매장구분!$B:$Z,3,0),"")</f>
        <v>국내</v>
      </c>
      <c r="D253" s="46" t="str">
        <f>IFERROR(VLOOKUP($H253,매장구분!$B:$Z,5,0),"")</f>
        <v>대리점</v>
      </c>
      <c r="E253" s="46" t="str">
        <f>IFERROR(VLOOKUP($H253,매장구분!$B:$Z,9,0),"")</f>
        <v>남원(대-위)</v>
      </c>
      <c r="G253" s="46" t="s">
        <v>410</v>
      </c>
      <c r="H253" s="46" t="s">
        <v>411</v>
      </c>
      <c r="I253" s="46" t="s">
        <v>169</v>
      </c>
      <c r="J253" s="46" t="s">
        <v>79</v>
      </c>
      <c r="K253" s="46" t="s">
        <v>170</v>
      </c>
      <c r="L253" s="46" t="s">
        <v>171</v>
      </c>
      <c r="M253" s="46" t="s">
        <v>196</v>
      </c>
      <c r="N253" s="46" t="s">
        <v>197</v>
      </c>
      <c r="O253" s="46">
        <v>6509555</v>
      </c>
      <c r="P253" s="46">
        <v>65</v>
      </c>
      <c r="Q253" s="46">
        <v>0</v>
      </c>
      <c r="R253" s="46">
        <v>0</v>
      </c>
      <c r="S253" s="46">
        <v>0</v>
      </c>
      <c r="T253" s="46">
        <v>0</v>
      </c>
      <c r="U253" s="46">
        <v>239000</v>
      </c>
      <c r="V253" s="46">
        <v>1</v>
      </c>
      <c r="W253" s="46">
        <v>0</v>
      </c>
      <c r="X253" s="46">
        <v>0</v>
      </c>
      <c r="Y253" s="48">
        <v>0</v>
      </c>
      <c r="Z253" s="46">
        <v>0</v>
      </c>
      <c r="AA253" s="46">
        <v>0</v>
      </c>
      <c r="AB253" s="46">
        <v>0</v>
      </c>
      <c r="AC253" s="46">
        <v>6748555</v>
      </c>
      <c r="AD253" s="46">
        <v>66</v>
      </c>
      <c r="AF253" s="47">
        <f t="shared" si="3"/>
        <v>6748555</v>
      </c>
    </row>
    <row r="254" spans="1:32" x14ac:dyDescent="0.3">
      <c r="A254" s="46" t="s">
        <v>612</v>
      </c>
      <c r="B254" s="46" t="str">
        <f>IFERROR(VLOOKUP($H254,매장구분!$B:$Z,2,0),"")</f>
        <v>파트너채널팀</v>
      </c>
      <c r="C254" s="46" t="str">
        <f>IFERROR(VLOOKUP($H254,매장구분!$B:$Z,3,0),"")</f>
        <v>국내</v>
      </c>
      <c r="D254" s="46" t="str">
        <f>IFERROR(VLOOKUP($H254,매장구분!$B:$Z,5,0),"")</f>
        <v>백화점</v>
      </c>
      <c r="E254" s="46" t="str">
        <f>IFERROR(VLOOKUP($H254,매장구분!$B:$Z,9,0),"")</f>
        <v>갤러리아대전</v>
      </c>
      <c r="G254" s="46" t="s">
        <v>303</v>
      </c>
      <c r="H254" s="46" t="s">
        <v>304</v>
      </c>
      <c r="I254" s="46" t="s">
        <v>169</v>
      </c>
      <c r="J254" s="46" t="s">
        <v>175</v>
      </c>
      <c r="K254" s="46" t="s">
        <v>170</v>
      </c>
      <c r="L254" s="46" t="s">
        <v>171</v>
      </c>
      <c r="M254" s="46" t="s">
        <v>77</v>
      </c>
      <c r="N254" s="46" t="s">
        <v>172</v>
      </c>
      <c r="O254" s="46">
        <v>12873220</v>
      </c>
      <c r="P254" s="46">
        <v>127</v>
      </c>
      <c r="Q254" s="46">
        <v>230800</v>
      </c>
      <c r="R254" s="46">
        <v>5</v>
      </c>
      <c r="S254" s="46">
        <v>0</v>
      </c>
      <c r="T254" s="46">
        <v>0</v>
      </c>
      <c r="U254" s="46">
        <v>3555700</v>
      </c>
      <c r="V254" s="46">
        <v>19</v>
      </c>
      <c r="W254" s="46">
        <v>0</v>
      </c>
      <c r="X254" s="46">
        <v>0</v>
      </c>
      <c r="Y254" s="48">
        <v>3488000</v>
      </c>
      <c r="Z254" s="46">
        <v>32</v>
      </c>
      <c r="AA254" s="46">
        <v>0</v>
      </c>
      <c r="AB254" s="46">
        <v>0</v>
      </c>
      <c r="AC254" s="46">
        <v>20147720</v>
      </c>
      <c r="AD254" s="46">
        <v>183</v>
      </c>
      <c r="AF254" s="47">
        <f t="shared" si="3"/>
        <v>16659720</v>
      </c>
    </row>
    <row r="255" spans="1:32" x14ac:dyDescent="0.3">
      <c r="A255" s="46" t="s">
        <v>612</v>
      </c>
      <c r="B255" s="46" t="str">
        <f>IFERROR(VLOOKUP($H255,매장구분!$B:$Z,2,0),"")</f>
        <v>E-biz</v>
      </c>
      <c r="C255" s="46" t="str">
        <f>IFERROR(VLOOKUP($H255,매장구분!$B:$Z,3,0),"")</f>
        <v>국내</v>
      </c>
      <c r="D255" s="46" t="str">
        <f>IFERROR(VLOOKUP($H255,매장구분!$B:$Z,5,0),"")</f>
        <v>온(제휴몰)</v>
      </c>
      <c r="E255" s="46" t="str">
        <f>IFERROR(VLOOKUP($H255,매장구분!$B:$Z,9,0),"")</f>
        <v>CJ온스타일(제휴몰)</v>
      </c>
      <c r="G255" s="46" t="s">
        <v>279</v>
      </c>
      <c r="H255" s="46" t="s">
        <v>280</v>
      </c>
      <c r="I255" s="46" t="s">
        <v>169</v>
      </c>
      <c r="J255" s="46" t="s">
        <v>180</v>
      </c>
      <c r="K255" s="46" t="s">
        <v>170</v>
      </c>
      <c r="L255" s="46" t="s">
        <v>181</v>
      </c>
      <c r="M255" s="46" t="s">
        <v>181</v>
      </c>
      <c r="N255" s="46" t="s">
        <v>185</v>
      </c>
      <c r="O255" s="46">
        <v>4566600</v>
      </c>
      <c r="P255" s="46">
        <v>64</v>
      </c>
      <c r="Q255" s="46">
        <v>0</v>
      </c>
      <c r="R255" s="46">
        <v>0</v>
      </c>
      <c r="S255" s="46">
        <v>0</v>
      </c>
      <c r="T255" s="46">
        <v>0</v>
      </c>
      <c r="U255" s="46">
        <v>0</v>
      </c>
      <c r="V255" s="46">
        <v>0</v>
      </c>
      <c r="W255" s="46">
        <v>0</v>
      </c>
      <c r="X255" s="46">
        <v>0</v>
      </c>
      <c r="Y255" s="48">
        <v>0</v>
      </c>
      <c r="Z255" s="46">
        <v>0</v>
      </c>
      <c r="AA255" s="46">
        <v>0</v>
      </c>
      <c r="AB255" s="46">
        <v>0</v>
      </c>
      <c r="AC255" s="46">
        <v>4566600</v>
      </c>
      <c r="AD255" s="46">
        <v>64</v>
      </c>
      <c r="AF255" s="47">
        <f t="shared" si="3"/>
        <v>4566600</v>
      </c>
    </row>
    <row r="256" spans="1:32" x14ac:dyDescent="0.3">
      <c r="A256" s="46" t="s">
        <v>612</v>
      </c>
      <c r="B256" s="46" t="str">
        <f>IFERROR(VLOOKUP($H256,매장구분!$B:$Z,2,0),"")</f>
        <v>리테일채널팀</v>
      </c>
      <c r="C256" s="46" t="str">
        <f>IFERROR(VLOOKUP($H256,매장구분!$B:$Z,3,0),"")</f>
        <v>국내</v>
      </c>
      <c r="D256" s="46" t="str">
        <f>IFERROR(VLOOKUP($H256,매장구분!$B:$Z,5,0),"")</f>
        <v>대리점</v>
      </c>
      <c r="E256" s="46" t="str">
        <f>IFERROR(VLOOKUP($H256,매장구분!$B:$Z,9,0),"")</f>
        <v>군산수송(대-위)</v>
      </c>
      <c r="G256" s="46" t="s">
        <v>594</v>
      </c>
      <c r="H256" s="46" t="s">
        <v>595</v>
      </c>
      <c r="I256" s="46" t="s">
        <v>169</v>
      </c>
      <c r="J256" s="46" t="s">
        <v>79</v>
      </c>
      <c r="K256" s="46" t="s">
        <v>170</v>
      </c>
      <c r="L256" s="46" t="s">
        <v>171</v>
      </c>
      <c r="M256" s="46" t="s">
        <v>196</v>
      </c>
      <c r="N256" s="46" t="s">
        <v>197</v>
      </c>
      <c r="O256" s="46">
        <v>2048300</v>
      </c>
      <c r="P256" s="46">
        <v>28</v>
      </c>
      <c r="Q256" s="46">
        <v>0</v>
      </c>
      <c r="R256" s="46">
        <v>0</v>
      </c>
      <c r="S256" s="46">
        <v>0</v>
      </c>
      <c r="T256" s="46">
        <v>0</v>
      </c>
      <c r="U256" s="46">
        <v>0</v>
      </c>
      <c r="V256" s="46">
        <v>0</v>
      </c>
      <c r="W256" s="46">
        <v>0</v>
      </c>
      <c r="X256" s="46">
        <v>0</v>
      </c>
      <c r="Y256" s="48">
        <v>0</v>
      </c>
      <c r="Z256" s="46">
        <v>0</v>
      </c>
      <c r="AA256" s="46">
        <v>0</v>
      </c>
      <c r="AB256" s="46">
        <v>0</v>
      </c>
      <c r="AC256" s="46">
        <v>2048300</v>
      </c>
      <c r="AD256" s="46">
        <v>28</v>
      </c>
      <c r="AF256" s="47">
        <f t="shared" si="3"/>
        <v>2048300</v>
      </c>
    </row>
    <row r="257" spans="1:32" hidden="1" x14ac:dyDescent="0.3">
      <c r="A257" s="46" t="s">
        <v>612</v>
      </c>
      <c r="B257" s="46" t="str">
        <f>IFERROR(VLOOKUP($H257,매장구분!$B:$Z,2,0),"")</f>
        <v>파트너채널팀</v>
      </c>
      <c r="C257" s="46" t="str">
        <f>IFERROR(VLOOKUP($H257,매장구분!$B:$Z,3,0),"")</f>
        <v>면세</v>
      </c>
      <c r="D257" s="46" t="str">
        <f>IFERROR(VLOOKUP($H257,매장구분!$B:$Z,5,0),"")</f>
        <v>면세</v>
      </c>
      <c r="E257" s="46" t="str">
        <f>IFERROR(VLOOKUP($H257,매장구분!$B:$Z,9,0),"")</f>
        <v>신라면세용산</v>
      </c>
      <c r="G257" s="46" t="s">
        <v>542</v>
      </c>
      <c r="H257" s="46" t="s">
        <v>543</v>
      </c>
      <c r="I257" s="46" t="s">
        <v>169</v>
      </c>
      <c r="J257" s="46" t="s">
        <v>175</v>
      </c>
      <c r="K257" s="46" t="s">
        <v>170</v>
      </c>
      <c r="L257" s="46" t="s">
        <v>171</v>
      </c>
      <c r="M257" s="46" t="s">
        <v>176</v>
      </c>
      <c r="N257" s="46" t="s">
        <v>177</v>
      </c>
      <c r="O257" s="46">
        <v>581300</v>
      </c>
      <c r="P257" s="46">
        <v>12</v>
      </c>
      <c r="Q257" s="46">
        <v>0</v>
      </c>
      <c r="R257" s="46">
        <v>0</v>
      </c>
      <c r="S257" s="46">
        <v>0</v>
      </c>
      <c r="T257" s="46">
        <v>0</v>
      </c>
      <c r="U257" s="46">
        <v>0</v>
      </c>
      <c r="V257" s="46">
        <v>0</v>
      </c>
      <c r="W257" s="46">
        <v>0</v>
      </c>
      <c r="X257" s="46">
        <v>0</v>
      </c>
      <c r="Y257" s="48">
        <v>424210000</v>
      </c>
      <c r="Z257" s="46">
        <v>8554</v>
      </c>
      <c r="AA257" s="46">
        <v>0</v>
      </c>
      <c r="AB257" s="46">
        <v>0</v>
      </c>
      <c r="AC257" s="46">
        <v>424791300</v>
      </c>
      <c r="AD257" s="46">
        <v>8566</v>
      </c>
      <c r="AF257" s="47">
        <f t="shared" si="3"/>
        <v>581300</v>
      </c>
    </row>
    <row r="258" spans="1:32" hidden="1" x14ac:dyDescent="0.3">
      <c r="A258" s="46" t="s">
        <v>612</v>
      </c>
      <c r="B258" s="46" t="str">
        <f>IFERROR(VLOOKUP($H258,매장구분!$B:$Z,2,0),"")</f>
        <v>파트너채널팀</v>
      </c>
      <c r="C258" s="46" t="str">
        <f>IFERROR(VLOOKUP($H258,매장구분!$B:$Z,3,0),"")</f>
        <v>도매</v>
      </c>
      <c r="D258" s="46" t="str">
        <f>IFERROR(VLOOKUP($H258,매장구분!$B:$Z,5,0),"")</f>
        <v>도매</v>
      </c>
      <c r="E258" s="46" t="str">
        <f>IFERROR(VLOOKUP($H258,매장구분!$B:$Z,9,0),"")</f>
        <v>온라인완주</v>
      </c>
      <c r="G258" s="46" t="s">
        <v>566</v>
      </c>
      <c r="H258" s="46" t="s">
        <v>567</v>
      </c>
      <c r="I258" s="46" t="s">
        <v>169</v>
      </c>
      <c r="J258" s="46" t="s">
        <v>180</v>
      </c>
      <c r="K258" s="46" t="s">
        <v>170</v>
      </c>
      <c r="L258" s="46" t="s">
        <v>568</v>
      </c>
      <c r="M258" s="46" t="s">
        <v>181</v>
      </c>
      <c r="N258" s="46" t="s">
        <v>568</v>
      </c>
      <c r="O258" s="46">
        <v>116924976</v>
      </c>
      <c r="P258" s="46">
        <v>4179</v>
      </c>
      <c r="Q258" s="46">
        <v>0</v>
      </c>
      <c r="R258" s="46">
        <v>0</v>
      </c>
      <c r="S258" s="46">
        <v>0</v>
      </c>
      <c r="T258" s="46">
        <v>0</v>
      </c>
      <c r="U258" s="46">
        <v>0</v>
      </c>
      <c r="V258" s="46">
        <v>0</v>
      </c>
      <c r="W258" s="46">
        <v>0</v>
      </c>
      <c r="X258" s="46">
        <v>0</v>
      </c>
      <c r="Y258" s="48">
        <v>0</v>
      </c>
      <c r="Z258" s="46">
        <v>0</v>
      </c>
      <c r="AA258" s="46">
        <v>0</v>
      </c>
      <c r="AB258" s="46">
        <v>0</v>
      </c>
      <c r="AC258" s="46">
        <v>116924976</v>
      </c>
      <c r="AD258" s="46">
        <v>4179</v>
      </c>
      <c r="AF258" s="47">
        <f t="shared" si="3"/>
        <v>116924976</v>
      </c>
    </row>
    <row r="259" spans="1:32" x14ac:dyDescent="0.3">
      <c r="A259" s="46" t="s">
        <v>612</v>
      </c>
      <c r="B259" s="46" t="str">
        <f>IFERROR(VLOOKUP($H259,매장구분!$B:$Z,2,0),"")</f>
        <v>리테일채널팀</v>
      </c>
      <c r="C259" s="46" t="str">
        <f>IFERROR(VLOOKUP($H259,매장구분!$B:$Z,3,0),"")</f>
        <v>국내</v>
      </c>
      <c r="D259" s="46" t="str">
        <f>IFERROR(VLOOKUP($H259,매장구분!$B:$Z,5,0),"")</f>
        <v>상설(위탁)</v>
      </c>
      <c r="E259" s="46" t="str">
        <f>IFERROR(VLOOKUP($H259,매장구분!$B:$Z,9,0),"")</f>
        <v>현대아울렛대구(상-위)</v>
      </c>
      <c r="G259" s="46" t="s">
        <v>590</v>
      </c>
      <c r="H259" s="46" t="s">
        <v>591</v>
      </c>
      <c r="I259" s="46" t="s">
        <v>169</v>
      </c>
      <c r="J259" s="46" t="s">
        <v>79</v>
      </c>
      <c r="K259" s="46" t="s">
        <v>170</v>
      </c>
      <c r="L259" s="46" t="s">
        <v>171</v>
      </c>
      <c r="M259" s="46" t="s">
        <v>219</v>
      </c>
      <c r="N259" s="46" t="s">
        <v>219</v>
      </c>
      <c r="O259" s="46">
        <v>540000</v>
      </c>
      <c r="P259" s="46">
        <v>15</v>
      </c>
      <c r="Q259" s="46">
        <v>0</v>
      </c>
      <c r="R259" s="46">
        <v>0</v>
      </c>
      <c r="S259" s="46">
        <v>0</v>
      </c>
      <c r="T259" s="46">
        <v>0</v>
      </c>
      <c r="U259" s="46">
        <v>0</v>
      </c>
      <c r="V259" s="46">
        <v>0</v>
      </c>
      <c r="W259" s="46">
        <v>0</v>
      </c>
      <c r="X259" s="46">
        <v>0</v>
      </c>
      <c r="Y259" s="48">
        <v>0</v>
      </c>
      <c r="Z259" s="46">
        <v>0</v>
      </c>
      <c r="AA259" s="46">
        <v>0</v>
      </c>
      <c r="AB259" s="46">
        <v>0</v>
      </c>
      <c r="AC259" s="46">
        <v>540000</v>
      </c>
      <c r="AD259" s="46">
        <v>15</v>
      </c>
      <c r="AF259" s="47">
        <f t="shared" ref="AF259:AF322" si="4">IFERROR(AC259-Y259,"")</f>
        <v>540000</v>
      </c>
    </row>
    <row r="260" spans="1:32" x14ac:dyDescent="0.3">
      <c r="A260" s="46" t="s">
        <v>612</v>
      </c>
      <c r="B260" s="46" t="str">
        <f>IFERROR(VLOOKUP($H260,매장구분!$B:$Z,2,0),"")</f>
        <v>리테일채널팀</v>
      </c>
      <c r="C260" s="46" t="str">
        <f>IFERROR(VLOOKUP($H260,매장구분!$B:$Z,3,0),"")</f>
        <v>국내</v>
      </c>
      <c r="D260" s="46" t="str">
        <f>IFERROR(VLOOKUP($H260,매장구분!$B:$Z,5,0),"")</f>
        <v>상설(위탁)</v>
      </c>
      <c r="E260" s="46" t="str">
        <f>IFERROR(VLOOKUP($H260,매장구분!$B:$Z,9,0),"")</f>
        <v>롯데아울렛수완(상-위)</v>
      </c>
      <c r="G260" s="46" t="s">
        <v>430</v>
      </c>
      <c r="H260" s="46" t="s">
        <v>431</v>
      </c>
      <c r="I260" s="46" t="s">
        <v>169</v>
      </c>
      <c r="J260" s="46" t="s">
        <v>79</v>
      </c>
      <c r="K260" s="46" t="s">
        <v>170</v>
      </c>
      <c r="L260" s="46" t="s">
        <v>171</v>
      </c>
      <c r="M260" s="46" t="s">
        <v>219</v>
      </c>
      <c r="N260" s="46" t="s">
        <v>219</v>
      </c>
      <c r="O260" s="46">
        <v>2880000</v>
      </c>
      <c r="P260" s="46">
        <v>80</v>
      </c>
      <c r="Q260" s="46">
        <v>0</v>
      </c>
      <c r="R260" s="46">
        <v>0</v>
      </c>
      <c r="S260" s="46">
        <v>0</v>
      </c>
      <c r="T260" s="46">
        <v>0</v>
      </c>
      <c r="U260" s="46">
        <v>0</v>
      </c>
      <c r="V260" s="46">
        <v>0</v>
      </c>
      <c r="W260" s="46">
        <v>0</v>
      </c>
      <c r="X260" s="46">
        <v>0</v>
      </c>
      <c r="Y260" s="48">
        <v>0</v>
      </c>
      <c r="Z260" s="46">
        <v>0</v>
      </c>
      <c r="AA260" s="46">
        <v>0</v>
      </c>
      <c r="AB260" s="46">
        <v>0</v>
      </c>
      <c r="AC260" s="46">
        <v>2880000</v>
      </c>
      <c r="AD260" s="46">
        <v>80</v>
      </c>
      <c r="AF260" s="47">
        <f t="shared" si="4"/>
        <v>2880000</v>
      </c>
    </row>
    <row r="261" spans="1:32" x14ac:dyDescent="0.3">
      <c r="A261" s="46" t="s">
        <v>612</v>
      </c>
      <c r="B261" s="46" t="str">
        <f>IFERROR(VLOOKUP($H261,매장구분!$B:$Z,2,0),"")</f>
        <v>리테일채널팀</v>
      </c>
      <c r="C261" s="46" t="str">
        <f>IFERROR(VLOOKUP($H261,매장구분!$B:$Z,3,0),"")</f>
        <v>국내</v>
      </c>
      <c r="D261" s="46" t="str">
        <f>IFERROR(VLOOKUP($H261,매장구분!$B:$Z,5,0),"")</f>
        <v>상설(위탁)</v>
      </c>
      <c r="E261" s="46" t="str">
        <f>IFERROR(VLOOKUP($H261,매장구분!$B:$Z,9,0),"")</f>
        <v>현대아울렛동대문(상-위)</v>
      </c>
      <c r="G261" s="46" t="s">
        <v>526</v>
      </c>
      <c r="H261" s="46" t="s">
        <v>527</v>
      </c>
      <c r="I261" s="46" t="s">
        <v>169</v>
      </c>
      <c r="J261" s="46" t="s">
        <v>79</v>
      </c>
      <c r="K261" s="46" t="s">
        <v>170</v>
      </c>
      <c r="L261" s="46" t="s">
        <v>171</v>
      </c>
      <c r="M261" s="46" t="s">
        <v>219</v>
      </c>
      <c r="N261" s="46" t="s">
        <v>219</v>
      </c>
      <c r="O261" s="46">
        <v>1656000</v>
      </c>
      <c r="P261" s="46">
        <v>46</v>
      </c>
      <c r="Q261" s="46">
        <v>0</v>
      </c>
      <c r="R261" s="46">
        <v>0</v>
      </c>
      <c r="S261" s="46">
        <v>0</v>
      </c>
      <c r="T261" s="46">
        <v>0</v>
      </c>
      <c r="U261" s="46">
        <v>0</v>
      </c>
      <c r="V261" s="46">
        <v>0</v>
      </c>
      <c r="W261" s="46">
        <v>0</v>
      </c>
      <c r="X261" s="46">
        <v>0</v>
      </c>
      <c r="Y261" s="48">
        <v>0</v>
      </c>
      <c r="Z261" s="46">
        <v>0</v>
      </c>
      <c r="AA261" s="46">
        <v>0</v>
      </c>
      <c r="AB261" s="46">
        <v>0</v>
      </c>
      <c r="AC261" s="46">
        <v>1656000</v>
      </c>
      <c r="AD261" s="46">
        <v>46</v>
      </c>
      <c r="AF261" s="47">
        <f t="shared" si="4"/>
        <v>1656000</v>
      </c>
    </row>
    <row r="262" spans="1:32" x14ac:dyDescent="0.3">
      <c r="A262" s="46" t="s">
        <v>612</v>
      </c>
      <c r="B262" s="46" t="str">
        <f>IFERROR(VLOOKUP($H262,매장구분!$B:$Z,2,0),"")</f>
        <v>리테일채널팀</v>
      </c>
      <c r="C262" s="46" t="str">
        <f>IFERROR(VLOOKUP($H262,매장구분!$B:$Z,3,0),"")</f>
        <v>국내</v>
      </c>
      <c r="D262" s="46" t="str">
        <f>IFERROR(VLOOKUP($H262,매장구분!$B:$Z,5,0),"")</f>
        <v>상설(위탁)</v>
      </c>
      <c r="E262" s="46" t="str">
        <f>IFERROR(VLOOKUP($H262,매장구분!$B:$Z,9,0),"")</f>
        <v>롯데아울렛청주(상-위)</v>
      </c>
      <c r="G262" s="46" t="s">
        <v>478</v>
      </c>
      <c r="H262" s="46" t="s">
        <v>479</v>
      </c>
      <c r="I262" s="46" t="s">
        <v>169</v>
      </c>
      <c r="J262" s="46" t="s">
        <v>79</v>
      </c>
      <c r="K262" s="46" t="s">
        <v>170</v>
      </c>
      <c r="L262" s="46" t="s">
        <v>171</v>
      </c>
      <c r="M262" s="46" t="s">
        <v>219</v>
      </c>
      <c r="N262" s="46" t="s">
        <v>219</v>
      </c>
      <c r="O262" s="46">
        <v>1980000</v>
      </c>
      <c r="P262" s="46">
        <v>55</v>
      </c>
      <c r="Q262" s="46">
        <v>0</v>
      </c>
      <c r="R262" s="46">
        <v>0</v>
      </c>
      <c r="S262" s="46">
        <v>0</v>
      </c>
      <c r="T262" s="46">
        <v>0</v>
      </c>
      <c r="U262" s="46">
        <v>0</v>
      </c>
      <c r="V262" s="46">
        <v>0</v>
      </c>
      <c r="W262" s="46">
        <v>0</v>
      </c>
      <c r="X262" s="46">
        <v>0</v>
      </c>
      <c r="Y262" s="48">
        <v>0</v>
      </c>
      <c r="Z262" s="46">
        <v>0</v>
      </c>
      <c r="AA262" s="46">
        <v>0</v>
      </c>
      <c r="AB262" s="46">
        <v>0</v>
      </c>
      <c r="AC262" s="46">
        <v>1980000</v>
      </c>
      <c r="AD262" s="46">
        <v>55</v>
      </c>
      <c r="AF262" s="47">
        <f t="shared" si="4"/>
        <v>1980000</v>
      </c>
    </row>
    <row r="263" spans="1:32" x14ac:dyDescent="0.3">
      <c r="A263" s="46" t="s">
        <v>612</v>
      </c>
      <c r="B263" s="46" t="str">
        <f>IFERROR(VLOOKUP($H263,매장구분!$B:$Z,2,0),"")</f>
        <v>리테일채널팀</v>
      </c>
      <c r="C263" s="46" t="str">
        <f>IFERROR(VLOOKUP($H263,매장구분!$B:$Z,3,0),"")</f>
        <v>국내</v>
      </c>
      <c r="D263" s="46" t="str">
        <f>IFERROR(VLOOKUP($H263,매장구분!$B:$Z,5,0),"")</f>
        <v>대리점</v>
      </c>
      <c r="E263" s="46" t="str">
        <f>IFERROR(VLOOKUP($H263,매장구분!$B:$Z,9,0),"")</f>
        <v>거제(대-위)</v>
      </c>
      <c r="G263" s="46" t="s">
        <v>502</v>
      </c>
      <c r="H263" s="46" t="s">
        <v>503</v>
      </c>
      <c r="I263" s="46" t="s">
        <v>169</v>
      </c>
      <c r="J263" s="46" t="s">
        <v>79</v>
      </c>
      <c r="K263" s="46" t="s">
        <v>170</v>
      </c>
      <c r="L263" s="46" t="s">
        <v>171</v>
      </c>
      <c r="M263" s="46" t="s">
        <v>196</v>
      </c>
      <c r="N263" s="46" t="s">
        <v>197</v>
      </c>
      <c r="O263" s="46">
        <v>13650506</v>
      </c>
      <c r="P263" s="46">
        <v>141</v>
      </c>
      <c r="Q263" s="46">
        <v>0</v>
      </c>
      <c r="R263" s="46">
        <v>0</v>
      </c>
      <c r="S263" s="46">
        <v>0</v>
      </c>
      <c r="T263" s="46">
        <v>0</v>
      </c>
      <c r="U263" s="46">
        <v>1826894</v>
      </c>
      <c r="V263" s="46">
        <v>13</v>
      </c>
      <c r="W263" s="46">
        <v>0</v>
      </c>
      <c r="X263" s="46">
        <v>0</v>
      </c>
      <c r="Y263" s="48">
        <v>0</v>
      </c>
      <c r="Z263" s="46">
        <v>0</v>
      </c>
      <c r="AA263" s="46">
        <v>0</v>
      </c>
      <c r="AB263" s="46">
        <v>0</v>
      </c>
      <c r="AC263" s="46">
        <v>15477400</v>
      </c>
      <c r="AD263" s="46">
        <v>154</v>
      </c>
      <c r="AF263" s="47">
        <f t="shared" si="4"/>
        <v>15477400</v>
      </c>
    </row>
    <row r="264" spans="1:32" x14ac:dyDescent="0.3">
      <c r="A264" s="46" t="s">
        <v>612</v>
      </c>
      <c r="B264" s="46" t="str">
        <f>IFERROR(VLOOKUP($H264,매장구분!$B:$Z,2,0),"")</f>
        <v>리테일채널팀</v>
      </c>
      <c r="C264" s="46" t="str">
        <f>IFERROR(VLOOKUP($H264,매장구분!$B:$Z,3,0),"")</f>
        <v>국내</v>
      </c>
      <c r="D264" s="46" t="str">
        <f>IFERROR(VLOOKUP($H264,매장구분!$B:$Z,5,0),"")</f>
        <v>대리점</v>
      </c>
      <c r="E264" s="46" t="str">
        <f>IFERROR(VLOOKUP($H264,매장구분!$B:$Z,9,0),"")</f>
        <v>대구성서(대-위)</v>
      </c>
      <c r="G264" s="46" t="s">
        <v>492</v>
      </c>
      <c r="H264" s="46" t="s">
        <v>493</v>
      </c>
      <c r="I264" s="46" t="s">
        <v>169</v>
      </c>
      <c r="J264" s="46" t="s">
        <v>79</v>
      </c>
      <c r="K264" s="46" t="s">
        <v>170</v>
      </c>
      <c r="L264" s="46" t="s">
        <v>171</v>
      </c>
      <c r="M264" s="46" t="s">
        <v>196</v>
      </c>
      <c r="N264" s="46" t="s">
        <v>197</v>
      </c>
      <c r="O264" s="46">
        <v>21614460</v>
      </c>
      <c r="P264" s="46">
        <v>166</v>
      </c>
      <c r="Q264" s="46">
        <v>0</v>
      </c>
      <c r="R264" s="46">
        <v>0</v>
      </c>
      <c r="S264" s="46">
        <v>0</v>
      </c>
      <c r="T264" s="46">
        <v>0</v>
      </c>
      <c r="U264" s="46">
        <v>903356</v>
      </c>
      <c r="V264" s="46">
        <v>2</v>
      </c>
      <c r="W264" s="46">
        <v>0</v>
      </c>
      <c r="X264" s="46">
        <v>0</v>
      </c>
      <c r="Y264" s="48">
        <v>0</v>
      </c>
      <c r="Z264" s="46">
        <v>0</v>
      </c>
      <c r="AA264" s="46">
        <v>0</v>
      </c>
      <c r="AB264" s="46">
        <v>0</v>
      </c>
      <c r="AC264" s="46">
        <v>22517816</v>
      </c>
      <c r="AD264" s="46">
        <v>168</v>
      </c>
      <c r="AF264" s="47">
        <f t="shared" si="4"/>
        <v>22517816</v>
      </c>
    </row>
    <row r="265" spans="1:32" x14ac:dyDescent="0.3">
      <c r="A265" s="46" t="s">
        <v>612</v>
      </c>
      <c r="B265" s="46" t="str">
        <f>IFERROR(VLOOKUP($H265,매장구분!$B:$Z,2,0),"")</f>
        <v>파트너채널팀</v>
      </c>
      <c r="C265" s="46" t="str">
        <f>IFERROR(VLOOKUP($H265,매장구분!$B:$Z,3,0),"")</f>
        <v>국내</v>
      </c>
      <c r="D265" s="46" t="str">
        <f>IFERROR(VLOOKUP($H265,매장구분!$B:$Z,5,0),"")</f>
        <v>백화점</v>
      </c>
      <c r="E265" s="46" t="str">
        <f>IFERROR(VLOOKUP($H265,매장구분!$B:$Z,9,0),"")</f>
        <v>현대판교</v>
      </c>
      <c r="G265" s="46" t="s">
        <v>257</v>
      </c>
      <c r="H265" s="46" t="s">
        <v>258</v>
      </c>
      <c r="I265" s="46" t="s">
        <v>169</v>
      </c>
      <c r="J265" s="46" t="s">
        <v>175</v>
      </c>
      <c r="K265" s="46" t="s">
        <v>170</v>
      </c>
      <c r="L265" s="46" t="s">
        <v>171</v>
      </c>
      <c r="M265" s="46" t="s">
        <v>77</v>
      </c>
      <c r="N265" s="46" t="s">
        <v>172</v>
      </c>
      <c r="O265" s="46">
        <v>20787100</v>
      </c>
      <c r="P265" s="46">
        <v>191</v>
      </c>
      <c r="Q265" s="46">
        <v>1964000</v>
      </c>
      <c r="R265" s="46">
        <v>13</v>
      </c>
      <c r="S265" s="46">
        <v>0</v>
      </c>
      <c r="T265" s="46">
        <v>0</v>
      </c>
      <c r="U265" s="46">
        <v>1407800</v>
      </c>
      <c r="V265" s="46">
        <v>6</v>
      </c>
      <c r="W265" s="46">
        <v>0</v>
      </c>
      <c r="X265" s="46">
        <v>0</v>
      </c>
      <c r="Y265" s="48">
        <v>57226400</v>
      </c>
      <c r="Z265" s="46">
        <v>408</v>
      </c>
      <c r="AA265" s="46">
        <v>0</v>
      </c>
      <c r="AB265" s="46">
        <v>0</v>
      </c>
      <c r="AC265" s="46">
        <v>81385300</v>
      </c>
      <c r="AD265" s="46">
        <v>618</v>
      </c>
      <c r="AF265" s="47">
        <f t="shared" si="4"/>
        <v>24158900</v>
      </c>
    </row>
    <row r="266" spans="1:32" x14ac:dyDescent="0.3">
      <c r="A266" s="46" t="s">
        <v>612</v>
      </c>
      <c r="B266" s="46" t="str">
        <f>IFERROR(VLOOKUP($H266,매장구분!$B:$Z,2,0),"")</f>
        <v>리테일채널팀</v>
      </c>
      <c r="C266" s="46" t="str">
        <f>IFERROR(VLOOKUP($H266,매장구분!$B:$Z,3,0),"")</f>
        <v>국내</v>
      </c>
      <c r="D266" s="46" t="str">
        <f>IFERROR(VLOOKUP($H266,매장구분!$B:$Z,5,0),"")</f>
        <v>대리점</v>
      </c>
      <c r="E266" s="46" t="str">
        <f>IFERROR(VLOOKUP($H266,매장구분!$B:$Z,9,0),"")</f>
        <v>일산덕이(대-위)</v>
      </c>
      <c r="G266" s="46" t="s">
        <v>580</v>
      </c>
      <c r="H266" s="46" t="s">
        <v>581</v>
      </c>
      <c r="I266" s="46" t="s">
        <v>169</v>
      </c>
      <c r="J266" s="46" t="s">
        <v>79</v>
      </c>
      <c r="K266" s="46" t="s">
        <v>170</v>
      </c>
      <c r="L266" s="46" t="s">
        <v>171</v>
      </c>
      <c r="M266" s="46" t="s">
        <v>196</v>
      </c>
      <c r="N266" s="46" t="s">
        <v>197</v>
      </c>
      <c r="O266" s="46">
        <v>6228000</v>
      </c>
      <c r="P266" s="46">
        <v>51</v>
      </c>
      <c r="Q266" s="46">
        <v>0</v>
      </c>
      <c r="R266" s="46">
        <v>0</v>
      </c>
      <c r="S266" s="46">
        <v>0</v>
      </c>
      <c r="T266" s="46">
        <v>0</v>
      </c>
      <c r="U266" s="46">
        <v>636000</v>
      </c>
      <c r="V266" s="46">
        <v>4</v>
      </c>
      <c r="W266" s="46">
        <v>0</v>
      </c>
      <c r="X266" s="46">
        <v>0</v>
      </c>
      <c r="Y266" s="48">
        <v>0</v>
      </c>
      <c r="Z266" s="46">
        <v>0</v>
      </c>
      <c r="AA266" s="46">
        <v>0</v>
      </c>
      <c r="AB266" s="46">
        <v>0</v>
      </c>
      <c r="AC266" s="46">
        <v>6864000</v>
      </c>
      <c r="AD266" s="46">
        <v>55</v>
      </c>
      <c r="AF266" s="47">
        <f t="shared" si="4"/>
        <v>6864000</v>
      </c>
    </row>
    <row r="267" spans="1:32" x14ac:dyDescent="0.3">
      <c r="A267" s="46" t="s">
        <v>612</v>
      </c>
      <c r="B267" s="46" t="str">
        <f>IFERROR(VLOOKUP($H267,매장구분!$B:$Z,2,0),"")</f>
        <v>리테일채널팀</v>
      </c>
      <c r="C267" s="46" t="str">
        <f>IFERROR(VLOOKUP($H267,매장구분!$B:$Z,3,0),"")</f>
        <v>국내</v>
      </c>
      <c r="D267" s="46" t="str">
        <f>IFERROR(VLOOKUP($H267,매장구분!$B:$Z,5,0),"")</f>
        <v>대리점</v>
      </c>
      <c r="E267" s="46" t="str">
        <f>IFERROR(VLOOKUP($H267,매장구분!$B:$Z,9,0),"")</f>
        <v>시흥(대-위)</v>
      </c>
      <c r="G267" s="46" t="s">
        <v>330</v>
      </c>
      <c r="H267" s="46" t="s">
        <v>331</v>
      </c>
      <c r="I267" s="46" t="s">
        <v>169</v>
      </c>
      <c r="J267" s="46" t="s">
        <v>79</v>
      </c>
      <c r="K267" s="46" t="s">
        <v>170</v>
      </c>
      <c r="L267" s="46" t="s">
        <v>171</v>
      </c>
      <c r="M267" s="46" t="s">
        <v>196</v>
      </c>
      <c r="N267" s="46" t="s">
        <v>197</v>
      </c>
      <c r="O267" s="46">
        <v>9723459</v>
      </c>
      <c r="P267" s="46">
        <v>83</v>
      </c>
      <c r="Q267" s="46">
        <v>0</v>
      </c>
      <c r="R267" s="46">
        <v>0</v>
      </c>
      <c r="S267" s="46">
        <v>0</v>
      </c>
      <c r="T267" s="46">
        <v>0</v>
      </c>
      <c r="U267" s="46">
        <v>228000</v>
      </c>
      <c r="V267" s="46">
        <v>2</v>
      </c>
      <c r="W267" s="46">
        <v>0</v>
      </c>
      <c r="X267" s="46">
        <v>0</v>
      </c>
      <c r="Y267" s="48">
        <v>0</v>
      </c>
      <c r="Z267" s="46">
        <v>0</v>
      </c>
      <c r="AA267" s="46">
        <v>0</v>
      </c>
      <c r="AB267" s="46">
        <v>0</v>
      </c>
      <c r="AC267" s="46">
        <v>9951459</v>
      </c>
      <c r="AD267" s="46">
        <v>85</v>
      </c>
      <c r="AF267" s="47">
        <f t="shared" si="4"/>
        <v>9951459</v>
      </c>
    </row>
    <row r="268" spans="1:32" x14ac:dyDescent="0.3">
      <c r="A268" s="46" t="s">
        <v>612</v>
      </c>
      <c r="B268" s="46" t="str">
        <f>IFERROR(VLOOKUP($H268,매장구분!$B:$Z,2,0),"")</f>
        <v>리테일채널팀</v>
      </c>
      <c r="C268" s="46" t="str">
        <f>IFERROR(VLOOKUP($H268,매장구분!$B:$Z,3,0),"")</f>
        <v>국내</v>
      </c>
      <c r="D268" s="46" t="str">
        <f>IFERROR(VLOOKUP($H268,매장구분!$B:$Z,5,0),"")</f>
        <v>대리점</v>
      </c>
      <c r="E268" s="46" t="str">
        <f>IFERROR(VLOOKUP($H268,매장구분!$B:$Z,9,0),"")</f>
        <v>오산(대-위)</v>
      </c>
      <c r="G268" s="46" t="s">
        <v>226</v>
      </c>
      <c r="H268" s="46" t="s">
        <v>227</v>
      </c>
      <c r="I268" s="46" t="s">
        <v>169</v>
      </c>
      <c r="J268" s="46" t="s">
        <v>79</v>
      </c>
      <c r="K268" s="46" t="s">
        <v>170</v>
      </c>
      <c r="L268" s="46" t="s">
        <v>171</v>
      </c>
      <c r="M268" s="46" t="s">
        <v>196</v>
      </c>
      <c r="N268" s="46" t="s">
        <v>197</v>
      </c>
      <c r="O268" s="46">
        <v>15320770</v>
      </c>
      <c r="P268" s="46">
        <v>117</v>
      </c>
      <c r="Q268" s="46">
        <v>0</v>
      </c>
      <c r="R268" s="46">
        <v>0</v>
      </c>
      <c r="S268" s="46">
        <v>0</v>
      </c>
      <c r="T268" s="46">
        <v>0</v>
      </c>
      <c r="U268" s="46">
        <v>1492884</v>
      </c>
      <c r="V268" s="46">
        <v>10</v>
      </c>
      <c r="W268" s="46">
        <v>0</v>
      </c>
      <c r="X268" s="46">
        <v>0</v>
      </c>
      <c r="Y268" s="48">
        <v>0</v>
      </c>
      <c r="Z268" s="46">
        <v>0</v>
      </c>
      <c r="AA268" s="46">
        <v>0</v>
      </c>
      <c r="AB268" s="46">
        <v>0</v>
      </c>
      <c r="AC268" s="46">
        <v>16813654</v>
      </c>
      <c r="AD268" s="46">
        <v>127</v>
      </c>
      <c r="AF268" s="47">
        <f t="shared" si="4"/>
        <v>16813654</v>
      </c>
    </row>
    <row r="269" spans="1:32" x14ac:dyDescent="0.3">
      <c r="A269" s="46" t="s">
        <v>612</v>
      </c>
      <c r="B269" s="46" t="str">
        <f>IFERROR(VLOOKUP($H269,매장구분!$B:$Z,2,0),"")</f>
        <v>파트너채널팀</v>
      </c>
      <c r="C269" s="46" t="str">
        <f>IFERROR(VLOOKUP($H269,매장구분!$B:$Z,3,0),"")</f>
        <v>국내</v>
      </c>
      <c r="D269" s="46" t="str">
        <f>IFERROR(VLOOKUP($H269,매장구분!$B:$Z,5,0),"")</f>
        <v>백화점</v>
      </c>
      <c r="E269" s="46" t="str">
        <f>IFERROR(VLOOKUP($H269,매장구분!$B:$Z,9,0),"")</f>
        <v>롯데잠실</v>
      </c>
      <c r="G269" s="46" t="s">
        <v>247</v>
      </c>
      <c r="H269" s="46" t="s">
        <v>248</v>
      </c>
      <c r="I269" s="46" t="s">
        <v>169</v>
      </c>
      <c r="J269" s="46" t="s">
        <v>175</v>
      </c>
      <c r="K269" s="46" t="s">
        <v>170</v>
      </c>
      <c r="L269" s="46" t="s">
        <v>171</v>
      </c>
      <c r="M269" s="46" t="s">
        <v>77</v>
      </c>
      <c r="N269" s="46" t="s">
        <v>172</v>
      </c>
      <c r="O269" s="46">
        <v>28944120</v>
      </c>
      <c r="P269" s="46">
        <v>274</v>
      </c>
      <c r="Q269" s="46">
        <v>8053700</v>
      </c>
      <c r="R269" s="46">
        <v>85</v>
      </c>
      <c r="S269" s="46">
        <v>0</v>
      </c>
      <c r="T269" s="46">
        <v>0</v>
      </c>
      <c r="U269" s="46">
        <v>11465428</v>
      </c>
      <c r="V269" s="46">
        <v>59</v>
      </c>
      <c r="W269" s="46">
        <v>0</v>
      </c>
      <c r="X269" s="46">
        <v>0</v>
      </c>
      <c r="Y269" s="48">
        <v>17432552</v>
      </c>
      <c r="Z269" s="46">
        <v>77</v>
      </c>
      <c r="AA269" s="46">
        <v>-172300</v>
      </c>
      <c r="AB269" s="46">
        <v>-2</v>
      </c>
      <c r="AC269" s="46">
        <v>65723500</v>
      </c>
      <c r="AD269" s="46">
        <v>493</v>
      </c>
      <c r="AF269" s="47">
        <f t="shared" si="4"/>
        <v>48290948</v>
      </c>
    </row>
    <row r="270" spans="1:32" x14ac:dyDescent="0.3">
      <c r="A270" s="46" t="s">
        <v>612</v>
      </c>
      <c r="B270" s="46" t="str">
        <f>IFERROR(VLOOKUP($H270,매장구분!$B:$Z,2,0),"")</f>
        <v>리테일채널팀</v>
      </c>
      <c r="C270" s="46" t="str">
        <f>IFERROR(VLOOKUP($H270,매장구분!$B:$Z,3,0),"")</f>
        <v>국내</v>
      </c>
      <c r="D270" s="46" t="str">
        <f>IFERROR(VLOOKUP($H270,매장구분!$B:$Z,5,0),"")</f>
        <v>대리점</v>
      </c>
      <c r="E270" s="46" t="str">
        <f>IFERROR(VLOOKUP($H270,매장구분!$B:$Z,9,0),"")</f>
        <v>구미(대-위)</v>
      </c>
      <c r="G270" s="46" t="s">
        <v>458</v>
      </c>
      <c r="H270" s="46" t="s">
        <v>459</v>
      </c>
      <c r="I270" s="46" t="s">
        <v>169</v>
      </c>
      <c r="J270" s="46" t="s">
        <v>79</v>
      </c>
      <c r="K270" s="46" t="s">
        <v>170</v>
      </c>
      <c r="L270" s="46" t="s">
        <v>171</v>
      </c>
      <c r="M270" s="46" t="s">
        <v>196</v>
      </c>
      <c r="N270" s="46" t="s">
        <v>197</v>
      </c>
      <c r="O270" s="46">
        <v>17682400</v>
      </c>
      <c r="P270" s="46">
        <v>170</v>
      </c>
      <c r="Q270" s="46">
        <v>0</v>
      </c>
      <c r="R270" s="46">
        <v>0</v>
      </c>
      <c r="S270" s="46">
        <v>0</v>
      </c>
      <c r="T270" s="46">
        <v>0</v>
      </c>
      <c r="U270" s="46">
        <v>2481800</v>
      </c>
      <c r="V270" s="46">
        <v>14</v>
      </c>
      <c r="W270" s="46">
        <v>0</v>
      </c>
      <c r="X270" s="46">
        <v>0</v>
      </c>
      <c r="Y270" s="48">
        <v>0</v>
      </c>
      <c r="Z270" s="46">
        <v>0</v>
      </c>
      <c r="AA270" s="46">
        <v>0</v>
      </c>
      <c r="AB270" s="46">
        <v>0</v>
      </c>
      <c r="AC270" s="46">
        <v>20164200</v>
      </c>
      <c r="AD270" s="46">
        <v>184</v>
      </c>
      <c r="AF270" s="47">
        <f t="shared" si="4"/>
        <v>20164200</v>
      </c>
    </row>
    <row r="271" spans="1:32" x14ac:dyDescent="0.3">
      <c r="A271" s="46" t="s">
        <v>612</v>
      </c>
      <c r="B271" s="46" t="str">
        <f>IFERROR(VLOOKUP($H271,매장구분!$B:$Z,2,0),"")</f>
        <v>리테일채널팀</v>
      </c>
      <c r="C271" s="46" t="str">
        <f>IFERROR(VLOOKUP($H271,매장구분!$B:$Z,3,0),"")</f>
        <v>국내</v>
      </c>
      <c r="D271" s="46" t="str">
        <f>IFERROR(VLOOKUP($H271,매장구분!$B:$Z,5,0),"")</f>
        <v>직영점</v>
      </c>
      <c r="E271" s="46" t="str">
        <f>IFERROR(VLOOKUP($H271,매장구분!$B:$Z,9,0),"")</f>
        <v>타임테라스동탄(직)</v>
      </c>
      <c r="G271" s="46" t="s">
        <v>408</v>
      </c>
      <c r="H271" s="46" t="s">
        <v>409</v>
      </c>
      <c r="I271" s="46" t="s">
        <v>169</v>
      </c>
      <c r="J271" s="46" t="s">
        <v>180</v>
      </c>
      <c r="K271" s="46" t="s">
        <v>170</v>
      </c>
      <c r="L271" s="46" t="s">
        <v>171</v>
      </c>
      <c r="M271" s="46" t="s">
        <v>188</v>
      </c>
      <c r="N271" s="46" t="s">
        <v>317</v>
      </c>
      <c r="O271" s="46">
        <v>7914300</v>
      </c>
      <c r="P271" s="46">
        <v>80</v>
      </c>
      <c r="Q271" s="46">
        <v>0</v>
      </c>
      <c r="R271" s="46">
        <v>0</v>
      </c>
      <c r="S271" s="46">
        <v>0</v>
      </c>
      <c r="T271" s="46">
        <v>0</v>
      </c>
      <c r="U271" s="46">
        <v>1341700</v>
      </c>
      <c r="V271" s="46">
        <v>11</v>
      </c>
      <c r="W271" s="46">
        <v>0</v>
      </c>
      <c r="X271" s="46">
        <v>0</v>
      </c>
      <c r="Y271" s="48">
        <v>0</v>
      </c>
      <c r="Z271" s="46">
        <v>0</v>
      </c>
      <c r="AA271" s="46">
        <v>0</v>
      </c>
      <c r="AB271" s="46">
        <v>0</v>
      </c>
      <c r="AC271" s="46">
        <v>9256000</v>
      </c>
      <c r="AD271" s="46">
        <v>91</v>
      </c>
      <c r="AF271" s="47">
        <f t="shared" si="4"/>
        <v>9256000</v>
      </c>
    </row>
    <row r="272" spans="1:32" x14ac:dyDescent="0.3">
      <c r="A272" s="46" t="s">
        <v>612</v>
      </c>
      <c r="B272" s="46" t="str">
        <f>IFERROR(VLOOKUP($H272,매장구분!$B:$Z,2,0),"")</f>
        <v>파트너채널팀</v>
      </c>
      <c r="C272" s="46" t="str">
        <f>IFERROR(VLOOKUP($H272,매장구분!$B:$Z,3,0),"")</f>
        <v>국내</v>
      </c>
      <c r="D272" s="46" t="str">
        <f>IFERROR(VLOOKUP($H272,매장구분!$B:$Z,5,0),"")</f>
        <v>백화점</v>
      </c>
      <c r="E272" s="46" t="str">
        <f>IFERROR(VLOOKUP($H272,매장구분!$B:$Z,9,0),"")</f>
        <v>현대천호</v>
      </c>
      <c r="G272" s="46" t="s">
        <v>305</v>
      </c>
      <c r="H272" s="46" t="s">
        <v>306</v>
      </c>
      <c r="I272" s="46" t="s">
        <v>169</v>
      </c>
      <c r="J272" s="46" t="s">
        <v>175</v>
      </c>
      <c r="K272" s="46" t="s">
        <v>170</v>
      </c>
      <c r="L272" s="46" t="s">
        <v>171</v>
      </c>
      <c r="M272" s="46" t="s">
        <v>77</v>
      </c>
      <c r="N272" s="46" t="s">
        <v>172</v>
      </c>
      <c r="O272" s="46">
        <v>9480000</v>
      </c>
      <c r="P272" s="46">
        <v>98</v>
      </c>
      <c r="Q272" s="46">
        <v>1178000</v>
      </c>
      <c r="R272" s="46">
        <v>10</v>
      </c>
      <c r="S272" s="46">
        <v>0</v>
      </c>
      <c r="T272" s="46">
        <v>0</v>
      </c>
      <c r="U272" s="46">
        <v>1087600</v>
      </c>
      <c r="V272" s="46">
        <v>8</v>
      </c>
      <c r="W272" s="46">
        <v>0</v>
      </c>
      <c r="X272" s="46">
        <v>0</v>
      </c>
      <c r="Y272" s="48">
        <v>2928100</v>
      </c>
      <c r="Z272" s="46">
        <v>30</v>
      </c>
      <c r="AA272" s="46">
        <v>0</v>
      </c>
      <c r="AB272" s="46">
        <v>0</v>
      </c>
      <c r="AC272" s="46">
        <v>14673700</v>
      </c>
      <c r="AD272" s="46">
        <v>146</v>
      </c>
      <c r="AF272" s="47">
        <f t="shared" si="4"/>
        <v>11745600</v>
      </c>
    </row>
    <row r="273" spans="1:32" x14ac:dyDescent="0.3">
      <c r="A273" s="46" t="s">
        <v>612</v>
      </c>
      <c r="B273" s="46" t="str">
        <f>IFERROR(VLOOKUP($H273,매장구분!$B:$Z,2,0),"")</f>
        <v>파트너채널팀</v>
      </c>
      <c r="C273" s="46" t="str">
        <f>IFERROR(VLOOKUP($H273,매장구분!$B:$Z,3,0),"")</f>
        <v>국내</v>
      </c>
      <c r="D273" s="46" t="str">
        <f>IFERROR(VLOOKUP($H273,매장구분!$B:$Z,5,0),"")</f>
        <v>백화점</v>
      </c>
      <c r="E273" s="46" t="str">
        <f>IFERROR(VLOOKUP($H273,매장구분!$B:$Z,9,0),"")</f>
        <v>신세계마산</v>
      </c>
      <c r="G273" s="46" t="s">
        <v>426</v>
      </c>
      <c r="H273" s="46" t="s">
        <v>427</v>
      </c>
      <c r="I273" s="46" t="s">
        <v>169</v>
      </c>
      <c r="J273" s="46" t="s">
        <v>175</v>
      </c>
      <c r="K273" s="46" t="s">
        <v>170</v>
      </c>
      <c r="L273" s="46" t="s">
        <v>171</v>
      </c>
      <c r="M273" s="46" t="s">
        <v>77</v>
      </c>
      <c r="N273" s="46" t="s">
        <v>172</v>
      </c>
      <c r="O273" s="46">
        <v>12082000</v>
      </c>
      <c r="P273" s="46">
        <v>90</v>
      </c>
      <c r="Q273" s="46">
        <v>0</v>
      </c>
      <c r="R273" s="46">
        <v>0</v>
      </c>
      <c r="S273" s="46">
        <v>0</v>
      </c>
      <c r="T273" s="46">
        <v>0</v>
      </c>
      <c r="U273" s="46">
        <v>923500</v>
      </c>
      <c r="V273" s="46">
        <v>6</v>
      </c>
      <c r="W273" s="46">
        <v>0</v>
      </c>
      <c r="X273" s="46">
        <v>0</v>
      </c>
      <c r="Y273" s="48">
        <v>0</v>
      </c>
      <c r="Z273" s="46">
        <v>0</v>
      </c>
      <c r="AA273" s="46">
        <v>0</v>
      </c>
      <c r="AB273" s="46">
        <v>0</v>
      </c>
      <c r="AC273" s="46">
        <v>13005500</v>
      </c>
      <c r="AD273" s="46">
        <v>96</v>
      </c>
      <c r="AF273" s="47">
        <f t="shared" si="4"/>
        <v>13005500</v>
      </c>
    </row>
    <row r="274" spans="1:32" x14ac:dyDescent="0.3">
      <c r="A274" s="46" t="s">
        <v>612</v>
      </c>
      <c r="B274" s="46" t="str">
        <f>IFERROR(VLOOKUP($H274,매장구분!$B:$Z,2,0),"")</f>
        <v>파트너채널팀</v>
      </c>
      <c r="C274" s="46" t="str">
        <f>IFERROR(VLOOKUP($H274,매장구분!$B:$Z,3,0),"")</f>
        <v>국내</v>
      </c>
      <c r="D274" s="46" t="str">
        <f>IFERROR(VLOOKUP($H274,매장구분!$B:$Z,5,0),"")</f>
        <v>백화점</v>
      </c>
      <c r="E274" s="46" t="str">
        <f>IFERROR(VLOOKUP($H274,매장구분!$B:$Z,9,0),"")</f>
        <v>신세계대전</v>
      </c>
      <c r="G274" s="46" t="s">
        <v>263</v>
      </c>
      <c r="H274" s="46" t="s">
        <v>264</v>
      </c>
      <c r="I274" s="46" t="s">
        <v>169</v>
      </c>
      <c r="J274" s="46" t="s">
        <v>175</v>
      </c>
      <c r="K274" s="46" t="s">
        <v>170</v>
      </c>
      <c r="L274" s="46" t="s">
        <v>171</v>
      </c>
      <c r="M274" s="46" t="s">
        <v>77</v>
      </c>
      <c r="N274" s="46" t="s">
        <v>172</v>
      </c>
      <c r="O274" s="46">
        <v>13574767</v>
      </c>
      <c r="P274" s="46">
        <v>141</v>
      </c>
      <c r="Q274" s="46">
        <v>0</v>
      </c>
      <c r="R274" s="46">
        <v>0</v>
      </c>
      <c r="S274" s="46">
        <v>0</v>
      </c>
      <c r="T274" s="46">
        <v>0</v>
      </c>
      <c r="U274" s="46">
        <v>8516633</v>
      </c>
      <c r="V274" s="46">
        <v>53</v>
      </c>
      <c r="W274" s="46">
        <v>0</v>
      </c>
      <c r="X274" s="46">
        <v>0</v>
      </c>
      <c r="Y274" s="48">
        <v>2235000</v>
      </c>
      <c r="Z274" s="46">
        <v>15</v>
      </c>
      <c r="AA274" s="46">
        <v>0</v>
      </c>
      <c r="AB274" s="46">
        <v>0</v>
      </c>
      <c r="AC274" s="46">
        <v>24326400</v>
      </c>
      <c r="AD274" s="46">
        <v>209</v>
      </c>
      <c r="AF274" s="47">
        <f t="shared" si="4"/>
        <v>22091400</v>
      </c>
    </row>
    <row r="275" spans="1:32" x14ac:dyDescent="0.3">
      <c r="A275" s="46" t="s">
        <v>612</v>
      </c>
      <c r="B275" s="46" t="str">
        <f>IFERROR(VLOOKUP($H275,매장구분!$B:$Z,2,0),"")</f>
        <v>리테일채널팀</v>
      </c>
      <c r="C275" s="46" t="str">
        <f>IFERROR(VLOOKUP($H275,매장구분!$B:$Z,3,0),"")</f>
        <v>국내</v>
      </c>
      <c r="D275" s="46" t="str">
        <f>IFERROR(VLOOKUP($H275,매장구분!$B:$Z,5,0),"")</f>
        <v>대리점</v>
      </c>
      <c r="E275" s="46" t="str">
        <f>IFERROR(VLOOKUP($H275,매장구분!$B:$Z,9,0),"")</f>
        <v>서산(대-위)</v>
      </c>
      <c r="G275" s="46" t="s">
        <v>336</v>
      </c>
      <c r="H275" s="46" t="s">
        <v>337</v>
      </c>
      <c r="I275" s="46" t="s">
        <v>169</v>
      </c>
      <c r="J275" s="46" t="s">
        <v>79</v>
      </c>
      <c r="K275" s="46" t="s">
        <v>170</v>
      </c>
      <c r="L275" s="46" t="s">
        <v>171</v>
      </c>
      <c r="M275" s="46" t="s">
        <v>196</v>
      </c>
      <c r="N275" s="46" t="s">
        <v>197</v>
      </c>
      <c r="O275" s="46">
        <v>9495600</v>
      </c>
      <c r="P275" s="46">
        <v>100</v>
      </c>
      <c r="Q275" s="46">
        <v>0</v>
      </c>
      <c r="R275" s="46">
        <v>0</v>
      </c>
      <c r="S275" s="46">
        <v>0</v>
      </c>
      <c r="T275" s="46">
        <v>0</v>
      </c>
      <c r="U275" s="46">
        <v>1565600</v>
      </c>
      <c r="V275" s="46">
        <v>11</v>
      </c>
      <c r="W275" s="46">
        <v>0</v>
      </c>
      <c r="X275" s="46">
        <v>0</v>
      </c>
      <c r="Y275" s="48">
        <v>0</v>
      </c>
      <c r="Z275" s="46">
        <v>0</v>
      </c>
      <c r="AA275" s="46">
        <v>0</v>
      </c>
      <c r="AB275" s="46">
        <v>0</v>
      </c>
      <c r="AC275" s="46">
        <v>11061200</v>
      </c>
      <c r="AD275" s="46">
        <v>111</v>
      </c>
      <c r="AF275" s="47">
        <f t="shared" si="4"/>
        <v>11061200</v>
      </c>
    </row>
    <row r="276" spans="1:32" x14ac:dyDescent="0.3">
      <c r="A276" s="46" t="s">
        <v>612</v>
      </c>
      <c r="B276" s="46" t="str">
        <f>IFERROR(VLOOKUP($H276,매장구분!$B:$Z,2,0),"")</f>
        <v>리테일채널팀</v>
      </c>
      <c r="C276" s="46" t="str">
        <f>IFERROR(VLOOKUP($H276,매장구분!$B:$Z,3,0),"")</f>
        <v>국내</v>
      </c>
      <c r="D276" s="46" t="str">
        <f>IFERROR(VLOOKUP($H276,매장구분!$B:$Z,5,0),"")</f>
        <v>대리점</v>
      </c>
      <c r="E276" s="46" t="str">
        <f>IFERROR(VLOOKUP($H276,매장구분!$B:$Z,9,0),"")</f>
        <v>대전은행(대-위)</v>
      </c>
      <c r="G276" s="46" t="s">
        <v>456</v>
      </c>
      <c r="H276" s="46" t="s">
        <v>457</v>
      </c>
      <c r="I276" s="46" t="s">
        <v>169</v>
      </c>
      <c r="J276" s="46" t="s">
        <v>79</v>
      </c>
      <c r="K276" s="46" t="s">
        <v>170</v>
      </c>
      <c r="L276" s="46" t="s">
        <v>171</v>
      </c>
      <c r="M276" s="46" t="s">
        <v>196</v>
      </c>
      <c r="N276" s="46" t="s">
        <v>197</v>
      </c>
      <c r="O276" s="46">
        <v>14102200</v>
      </c>
      <c r="P276" s="46">
        <v>141</v>
      </c>
      <c r="Q276" s="46">
        <v>0</v>
      </c>
      <c r="R276" s="46">
        <v>0</v>
      </c>
      <c r="S276" s="46">
        <v>0</v>
      </c>
      <c r="T276" s="46">
        <v>0</v>
      </c>
      <c r="U276" s="46">
        <v>129000</v>
      </c>
      <c r="V276" s="46">
        <v>1</v>
      </c>
      <c r="W276" s="46">
        <v>0</v>
      </c>
      <c r="X276" s="46">
        <v>0</v>
      </c>
      <c r="Y276" s="48">
        <v>27976000</v>
      </c>
      <c r="Z276" s="46">
        <v>264</v>
      </c>
      <c r="AA276" s="46">
        <v>0</v>
      </c>
      <c r="AB276" s="46">
        <v>0</v>
      </c>
      <c r="AC276" s="46">
        <v>42207200</v>
      </c>
      <c r="AD276" s="46">
        <v>406</v>
      </c>
      <c r="AF276" s="47">
        <f t="shared" si="4"/>
        <v>14231200</v>
      </c>
    </row>
    <row r="277" spans="1:32" x14ac:dyDescent="0.3">
      <c r="A277" s="46" t="s">
        <v>612</v>
      </c>
      <c r="B277" s="46" t="str">
        <f>IFERROR(VLOOKUP($H277,매장구분!$B:$Z,2,0),"")</f>
        <v>리테일채널팀</v>
      </c>
      <c r="C277" s="46" t="str">
        <f>IFERROR(VLOOKUP($H277,매장구분!$B:$Z,3,0),"")</f>
        <v>국내</v>
      </c>
      <c r="D277" s="46" t="str">
        <f>IFERROR(VLOOKUP($H277,매장구분!$B:$Z,5,0),"")</f>
        <v>대리점</v>
      </c>
      <c r="E277" s="46" t="str">
        <f>IFERROR(VLOOKUP($H277,매장구분!$B:$Z,9,0),"")</f>
        <v>여수(대-위)</v>
      </c>
      <c r="G277" s="46" t="s">
        <v>198</v>
      </c>
      <c r="H277" s="46" t="s">
        <v>199</v>
      </c>
      <c r="I277" s="46" t="s">
        <v>169</v>
      </c>
      <c r="J277" s="46" t="s">
        <v>79</v>
      </c>
      <c r="K277" s="46" t="s">
        <v>170</v>
      </c>
      <c r="L277" s="46" t="s">
        <v>171</v>
      </c>
      <c r="M277" s="46" t="s">
        <v>196</v>
      </c>
      <c r="N277" s="46" t="s">
        <v>197</v>
      </c>
      <c r="O277" s="46">
        <v>12130900</v>
      </c>
      <c r="P277" s="46">
        <v>117</v>
      </c>
      <c r="Q277" s="46">
        <v>0</v>
      </c>
      <c r="R277" s="46">
        <v>0</v>
      </c>
      <c r="S277" s="46">
        <v>0</v>
      </c>
      <c r="T277" s="46">
        <v>0</v>
      </c>
      <c r="U277" s="46">
        <v>1232200</v>
      </c>
      <c r="V277" s="46">
        <v>7</v>
      </c>
      <c r="W277" s="46">
        <v>0</v>
      </c>
      <c r="X277" s="46">
        <v>0</v>
      </c>
      <c r="Y277" s="48">
        <v>0</v>
      </c>
      <c r="Z277" s="46">
        <v>0</v>
      </c>
      <c r="AA277" s="46">
        <v>0</v>
      </c>
      <c r="AB277" s="46">
        <v>0</v>
      </c>
      <c r="AC277" s="46">
        <v>13363100</v>
      </c>
      <c r="AD277" s="46">
        <v>124</v>
      </c>
      <c r="AF277" s="47">
        <f t="shared" si="4"/>
        <v>13363100</v>
      </c>
    </row>
    <row r="278" spans="1:32" x14ac:dyDescent="0.3">
      <c r="A278" s="46" t="s">
        <v>612</v>
      </c>
      <c r="B278" s="46" t="str">
        <f>IFERROR(VLOOKUP($H278,매장구분!$B:$Z,2,0),"")</f>
        <v>파트너채널팀</v>
      </c>
      <c r="C278" s="46" t="str">
        <f>IFERROR(VLOOKUP($H278,매장구분!$B:$Z,3,0),"")</f>
        <v>국내</v>
      </c>
      <c r="D278" s="46" t="str">
        <f>IFERROR(VLOOKUP($H278,매장구분!$B:$Z,5,0),"")</f>
        <v>백화점</v>
      </c>
      <c r="E278" s="46" t="str">
        <f>IFERROR(VLOOKUP($H278,매장구분!$B:$Z,9,0),"")</f>
        <v>더현대서울</v>
      </c>
      <c r="G278" s="46" t="s">
        <v>422</v>
      </c>
      <c r="H278" s="46" t="s">
        <v>423</v>
      </c>
      <c r="I278" s="46" t="s">
        <v>169</v>
      </c>
      <c r="J278" s="46" t="s">
        <v>175</v>
      </c>
      <c r="K278" s="46" t="s">
        <v>170</v>
      </c>
      <c r="L278" s="46" t="s">
        <v>171</v>
      </c>
      <c r="M278" s="46" t="s">
        <v>188</v>
      </c>
      <c r="N278" s="46" t="s">
        <v>189</v>
      </c>
      <c r="O278" s="46">
        <v>42569810</v>
      </c>
      <c r="P278" s="46">
        <v>499</v>
      </c>
      <c r="Q278" s="46">
        <v>0</v>
      </c>
      <c r="R278" s="46">
        <v>0</v>
      </c>
      <c r="S278" s="46">
        <v>0</v>
      </c>
      <c r="T278" s="46">
        <v>0</v>
      </c>
      <c r="U278" s="46">
        <v>2385200</v>
      </c>
      <c r="V278" s="46">
        <v>15</v>
      </c>
      <c r="W278" s="46">
        <v>0</v>
      </c>
      <c r="X278" s="46">
        <v>0</v>
      </c>
      <c r="Y278" s="48">
        <v>83400000</v>
      </c>
      <c r="Z278" s="46">
        <v>600</v>
      </c>
      <c r="AA278" s="46">
        <v>0</v>
      </c>
      <c r="AB278" s="46">
        <v>0</v>
      </c>
      <c r="AC278" s="46">
        <v>128355010</v>
      </c>
      <c r="AD278" s="46">
        <v>1114</v>
      </c>
      <c r="AF278" s="47">
        <f t="shared" si="4"/>
        <v>44955010</v>
      </c>
    </row>
    <row r="279" spans="1:32" x14ac:dyDescent="0.3">
      <c r="A279" s="46" t="s">
        <v>612</v>
      </c>
      <c r="B279" s="46" t="str">
        <f>IFERROR(VLOOKUP($H279,매장구분!$B:$Z,2,0),"")</f>
        <v>파트너채널팀</v>
      </c>
      <c r="C279" s="46" t="str">
        <f>IFERROR(VLOOKUP($H279,매장구분!$B:$Z,3,0),"")</f>
        <v>국내</v>
      </c>
      <c r="D279" s="46" t="str">
        <f>IFERROR(VLOOKUP($H279,매장구분!$B:$Z,5,0),"")</f>
        <v>백화점</v>
      </c>
      <c r="E279" s="46" t="str">
        <f>IFERROR(VLOOKUP($H279,매장구분!$B:$Z,9,0),"")</f>
        <v>현대디큐브시티</v>
      </c>
      <c r="G279" s="46" t="s">
        <v>584</v>
      </c>
      <c r="H279" s="46" t="s">
        <v>585</v>
      </c>
      <c r="I279" s="46" t="s">
        <v>169</v>
      </c>
      <c r="J279" s="46" t="s">
        <v>175</v>
      </c>
      <c r="K279" s="46" t="s">
        <v>170</v>
      </c>
      <c r="L279" s="46" t="s">
        <v>171</v>
      </c>
      <c r="M279" s="46" t="s">
        <v>77</v>
      </c>
      <c r="N279" s="46" t="s">
        <v>172</v>
      </c>
      <c r="O279" s="46">
        <v>6490800</v>
      </c>
      <c r="P279" s="46">
        <v>92</v>
      </c>
      <c r="Q279" s="46">
        <v>72000</v>
      </c>
      <c r="R279" s="46">
        <v>2</v>
      </c>
      <c r="S279" s="46">
        <v>0</v>
      </c>
      <c r="T279" s="46">
        <v>0</v>
      </c>
      <c r="U279" s="46">
        <v>1516400</v>
      </c>
      <c r="V279" s="46">
        <v>8</v>
      </c>
      <c r="W279" s="46">
        <v>0</v>
      </c>
      <c r="X279" s="46">
        <v>0</v>
      </c>
      <c r="Y279" s="48">
        <v>20752000</v>
      </c>
      <c r="Z279" s="46">
        <v>497</v>
      </c>
      <c r="AA279" s="46">
        <v>0</v>
      </c>
      <c r="AB279" s="46">
        <v>0</v>
      </c>
      <c r="AC279" s="46">
        <v>28831200</v>
      </c>
      <c r="AD279" s="46">
        <v>599</v>
      </c>
      <c r="AF279" s="47">
        <f t="shared" si="4"/>
        <v>8079200</v>
      </c>
    </row>
    <row r="280" spans="1:32" x14ac:dyDescent="0.3">
      <c r="A280" s="46" t="s">
        <v>612</v>
      </c>
      <c r="B280" s="46" t="str">
        <f>IFERROR(VLOOKUP($H280,매장구분!$B:$Z,2,0),"")</f>
        <v>E-biz</v>
      </c>
      <c r="C280" s="46" t="str">
        <f>IFERROR(VLOOKUP($H280,매장구분!$B:$Z,3,0),"")</f>
        <v>국내</v>
      </c>
      <c r="D280" s="46" t="str">
        <f>IFERROR(VLOOKUP($H280,매장구분!$B:$Z,5,0),"")</f>
        <v>온(제휴몰)</v>
      </c>
      <c r="E280" s="46" t="str">
        <f>IFERROR(VLOOKUP($H280,매장구분!$B:$Z,9,0),"")</f>
        <v>29CM(제휴몰)</v>
      </c>
      <c r="G280" s="46" t="s">
        <v>518</v>
      </c>
      <c r="H280" s="46" t="s">
        <v>519</v>
      </c>
      <c r="I280" s="46" t="s">
        <v>169</v>
      </c>
      <c r="J280" s="46" t="s">
        <v>180</v>
      </c>
      <c r="K280" s="46" t="s">
        <v>170</v>
      </c>
      <c r="L280" s="46" t="s">
        <v>181</v>
      </c>
      <c r="M280" s="46" t="s">
        <v>181</v>
      </c>
      <c r="N280" s="46" t="s">
        <v>185</v>
      </c>
      <c r="O280" s="46">
        <v>22210200</v>
      </c>
      <c r="P280" s="46">
        <v>417</v>
      </c>
      <c r="Q280" s="46">
        <v>0</v>
      </c>
      <c r="R280" s="46">
        <v>0</v>
      </c>
      <c r="S280" s="46">
        <v>0</v>
      </c>
      <c r="T280" s="46">
        <v>0</v>
      </c>
      <c r="U280" s="46">
        <v>0</v>
      </c>
      <c r="V280" s="46">
        <v>0</v>
      </c>
      <c r="W280" s="46">
        <v>0</v>
      </c>
      <c r="X280" s="46">
        <v>0</v>
      </c>
      <c r="Y280" s="48">
        <v>0</v>
      </c>
      <c r="Z280" s="46">
        <v>0</v>
      </c>
      <c r="AA280" s="46">
        <v>0</v>
      </c>
      <c r="AB280" s="46">
        <v>0</v>
      </c>
      <c r="AC280" s="46">
        <v>22210200</v>
      </c>
      <c r="AD280" s="46">
        <v>417</v>
      </c>
      <c r="AF280" s="47">
        <f t="shared" si="4"/>
        <v>22210200</v>
      </c>
    </row>
    <row r="281" spans="1:32" hidden="1" x14ac:dyDescent="0.3">
      <c r="A281" s="46" t="s">
        <v>612</v>
      </c>
      <c r="B281" s="46" t="str">
        <f>IFERROR(VLOOKUP($H281,매장구분!$B:$Z,2,0),"")</f>
        <v>리테일채널팀</v>
      </c>
      <c r="C281" s="46" t="str">
        <f>IFERROR(VLOOKUP($H281,매장구분!$B:$Z,3,0),"")</f>
        <v>RF</v>
      </c>
      <c r="D281" s="46" t="str">
        <f>IFERROR(VLOOKUP($H281,매장구분!$B:$Z,5,0),"")</f>
        <v>직영점</v>
      </c>
      <c r="E281" s="46" t="str">
        <f>IFERROR(VLOOKUP($H281,매장구분!$B:$Z,9,0),"")</f>
        <v>한남(직)</v>
      </c>
      <c r="G281" s="46" t="s">
        <v>436</v>
      </c>
      <c r="H281" s="46" t="s">
        <v>437</v>
      </c>
      <c r="I281" s="46" t="s">
        <v>169</v>
      </c>
      <c r="J281" s="46" t="s">
        <v>180</v>
      </c>
      <c r="K281" s="46" t="s">
        <v>170</v>
      </c>
      <c r="L281" s="46" t="s">
        <v>171</v>
      </c>
      <c r="M281" s="46" t="s">
        <v>196</v>
      </c>
      <c r="N281" s="46" t="s">
        <v>206</v>
      </c>
      <c r="O281" s="46">
        <v>15975600</v>
      </c>
      <c r="P281" s="46">
        <v>260</v>
      </c>
      <c r="Q281" s="46">
        <v>0</v>
      </c>
      <c r="R281" s="46">
        <v>0</v>
      </c>
      <c r="S281" s="46">
        <v>0</v>
      </c>
      <c r="T281" s="46">
        <v>0</v>
      </c>
      <c r="U281" s="46">
        <v>99000</v>
      </c>
      <c r="V281" s="46">
        <v>1</v>
      </c>
      <c r="W281" s="46">
        <v>0</v>
      </c>
      <c r="X281" s="46">
        <v>0</v>
      </c>
      <c r="Y281" s="48">
        <v>0</v>
      </c>
      <c r="Z281" s="46">
        <v>0</v>
      </c>
      <c r="AA281" s="46">
        <v>0</v>
      </c>
      <c r="AB281" s="46">
        <v>0</v>
      </c>
      <c r="AC281" s="46">
        <v>16074600</v>
      </c>
      <c r="AD281" s="46">
        <v>261</v>
      </c>
      <c r="AF281" s="47">
        <f t="shared" si="4"/>
        <v>16074600</v>
      </c>
    </row>
    <row r="282" spans="1:32" x14ac:dyDescent="0.3">
      <c r="A282" s="46" t="s">
        <v>612</v>
      </c>
      <c r="B282" s="46" t="str">
        <f>IFERROR(VLOOKUP($H282,매장구분!$B:$Z,2,0),"")</f>
        <v>리테일채널팀</v>
      </c>
      <c r="C282" s="46" t="str">
        <f>IFERROR(VLOOKUP($H282,매장구분!$B:$Z,3,0),"")</f>
        <v>국내</v>
      </c>
      <c r="D282" s="46" t="str">
        <f>IFERROR(VLOOKUP($H282,매장구분!$B:$Z,5,0),"")</f>
        <v>대리점</v>
      </c>
      <c r="E282" s="46" t="str">
        <f>IFERROR(VLOOKUP($H282,매장구분!$B:$Z,9,0),"")</f>
        <v>울산무거(대-위)</v>
      </c>
      <c r="G282" s="46" t="s">
        <v>241</v>
      </c>
      <c r="H282" s="46" t="s">
        <v>242</v>
      </c>
      <c r="I282" s="46" t="s">
        <v>169</v>
      </c>
      <c r="J282" s="46" t="s">
        <v>79</v>
      </c>
      <c r="K282" s="46" t="s">
        <v>170</v>
      </c>
      <c r="L282" s="46" t="s">
        <v>171</v>
      </c>
      <c r="M282" s="46" t="s">
        <v>196</v>
      </c>
      <c r="N282" s="46" t="s">
        <v>197</v>
      </c>
      <c r="O282" s="46">
        <v>4204033</v>
      </c>
      <c r="P282" s="46">
        <v>40</v>
      </c>
      <c r="Q282" s="46">
        <v>0</v>
      </c>
      <c r="R282" s="46">
        <v>0</v>
      </c>
      <c r="S282" s="46">
        <v>0</v>
      </c>
      <c r="T282" s="46">
        <v>0</v>
      </c>
      <c r="U282" s="46">
        <v>7744467</v>
      </c>
      <c r="V282" s="46">
        <v>58</v>
      </c>
      <c r="W282" s="46">
        <v>0</v>
      </c>
      <c r="X282" s="46">
        <v>0</v>
      </c>
      <c r="Y282" s="48">
        <v>235800</v>
      </c>
      <c r="Z282" s="46">
        <v>2</v>
      </c>
      <c r="AA282" s="46">
        <v>0</v>
      </c>
      <c r="AB282" s="46">
        <v>0</v>
      </c>
      <c r="AC282" s="46">
        <v>12184300</v>
      </c>
      <c r="AD282" s="46">
        <v>100</v>
      </c>
      <c r="AF282" s="47">
        <f t="shared" si="4"/>
        <v>11948500</v>
      </c>
    </row>
    <row r="283" spans="1:32" x14ac:dyDescent="0.3">
      <c r="A283" s="46" t="s">
        <v>612</v>
      </c>
      <c r="B283" s="46" t="str">
        <f>IFERROR(VLOOKUP($H283,매장구분!$B:$Z,2,0),"")</f>
        <v>리테일채널팀</v>
      </c>
      <c r="C283" s="46" t="str">
        <f>IFERROR(VLOOKUP($H283,매장구분!$B:$Z,3,0),"")</f>
        <v>국내</v>
      </c>
      <c r="D283" s="46" t="str">
        <f>IFERROR(VLOOKUP($H283,매장구분!$B:$Z,5,0),"")</f>
        <v>대리점</v>
      </c>
      <c r="E283" s="46" t="str">
        <f>IFERROR(VLOOKUP($H283,매장구분!$B:$Z,9,0),"")</f>
        <v>퍼스트빌리지(대-위)</v>
      </c>
      <c r="G283" s="46" t="s">
        <v>440</v>
      </c>
      <c r="H283" s="46" t="s">
        <v>441</v>
      </c>
      <c r="I283" s="46" t="s">
        <v>169</v>
      </c>
      <c r="J283" s="46" t="s">
        <v>79</v>
      </c>
      <c r="K283" s="46" t="s">
        <v>170</v>
      </c>
      <c r="L283" s="46" t="s">
        <v>171</v>
      </c>
      <c r="M283" s="46" t="s">
        <v>196</v>
      </c>
      <c r="N283" s="46" t="s">
        <v>197</v>
      </c>
      <c r="O283" s="46">
        <v>20851182</v>
      </c>
      <c r="P283" s="46">
        <v>181</v>
      </c>
      <c r="Q283" s="46">
        <v>0</v>
      </c>
      <c r="R283" s="46">
        <v>0</v>
      </c>
      <c r="S283" s="46">
        <v>0</v>
      </c>
      <c r="T283" s="46">
        <v>0</v>
      </c>
      <c r="U283" s="46">
        <v>1666818</v>
      </c>
      <c r="V283" s="46">
        <v>14</v>
      </c>
      <c r="W283" s="46">
        <v>0</v>
      </c>
      <c r="X283" s="46">
        <v>0</v>
      </c>
      <c r="Y283" s="48">
        <v>0</v>
      </c>
      <c r="Z283" s="46">
        <v>0</v>
      </c>
      <c r="AA283" s="46">
        <v>0</v>
      </c>
      <c r="AB283" s="46">
        <v>0</v>
      </c>
      <c r="AC283" s="46">
        <v>22518000</v>
      </c>
      <c r="AD283" s="46">
        <v>195</v>
      </c>
      <c r="AF283" s="47">
        <f t="shared" si="4"/>
        <v>22518000</v>
      </c>
    </row>
    <row r="284" spans="1:32" x14ac:dyDescent="0.3">
      <c r="A284" s="46" t="s">
        <v>612</v>
      </c>
      <c r="B284" s="46" t="str">
        <f>IFERROR(VLOOKUP($H284,매장구분!$B:$Z,2,0),"")</f>
        <v>리테일채널팀</v>
      </c>
      <c r="C284" s="46" t="str">
        <f>IFERROR(VLOOKUP($H284,매장구분!$B:$Z,3,0),"")</f>
        <v>국내</v>
      </c>
      <c r="D284" s="46" t="str">
        <f>IFERROR(VLOOKUP($H284,매장구분!$B:$Z,5,0),"")</f>
        <v>대리점</v>
      </c>
      <c r="E284" s="46" t="str">
        <f>IFERROR(VLOOKUP($H284,매장구분!$B:$Z,9,0),"")</f>
        <v>아이즈빌부평(대-위)</v>
      </c>
      <c r="G284" s="46" t="s">
        <v>315</v>
      </c>
      <c r="H284" s="46" t="s">
        <v>316</v>
      </c>
      <c r="I284" s="46" t="s">
        <v>169</v>
      </c>
      <c r="J284" s="46" t="s">
        <v>79</v>
      </c>
      <c r="K284" s="46" t="s">
        <v>170</v>
      </c>
      <c r="L284" s="46" t="s">
        <v>171</v>
      </c>
      <c r="M284" s="46" t="s">
        <v>188</v>
      </c>
      <c r="N284" s="46" t="s">
        <v>317</v>
      </c>
      <c r="O284" s="46">
        <v>17359500</v>
      </c>
      <c r="P284" s="46">
        <v>120</v>
      </c>
      <c r="Q284" s="46">
        <v>0</v>
      </c>
      <c r="R284" s="46">
        <v>0</v>
      </c>
      <c r="S284" s="46">
        <v>0</v>
      </c>
      <c r="T284" s="46">
        <v>0</v>
      </c>
      <c r="U284" s="46">
        <v>396000</v>
      </c>
      <c r="V284" s="46">
        <v>3</v>
      </c>
      <c r="W284" s="46">
        <v>0</v>
      </c>
      <c r="X284" s="46">
        <v>0</v>
      </c>
      <c r="Y284" s="48">
        <v>0</v>
      </c>
      <c r="Z284" s="46">
        <v>0</v>
      </c>
      <c r="AA284" s="46">
        <v>0</v>
      </c>
      <c r="AB284" s="46">
        <v>0</v>
      </c>
      <c r="AC284" s="46">
        <v>17755500</v>
      </c>
      <c r="AD284" s="46">
        <v>123</v>
      </c>
      <c r="AF284" s="47">
        <f t="shared" si="4"/>
        <v>17755500</v>
      </c>
    </row>
    <row r="285" spans="1:32" x14ac:dyDescent="0.3">
      <c r="A285" s="46" t="s">
        <v>612</v>
      </c>
      <c r="B285" s="46" t="str">
        <f>IFERROR(VLOOKUP($H285,매장구분!$B:$Z,2,0),"")</f>
        <v>리테일채널팀</v>
      </c>
      <c r="C285" s="46" t="str">
        <f>IFERROR(VLOOKUP($H285,매장구분!$B:$Z,3,0),"")</f>
        <v>국내</v>
      </c>
      <c r="D285" s="46" t="str">
        <f>IFERROR(VLOOKUP($H285,매장구분!$B:$Z,5,0),"")</f>
        <v>대리점</v>
      </c>
      <c r="E285" s="46" t="str">
        <f>IFERROR(VLOOKUP($H285,매장구분!$B:$Z,9,0),"")</f>
        <v>대구칠곡(대-위)</v>
      </c>
      <c r="G285" s="46" t="s">
        <v>364</v>
      </c>
      <c r="H285" s="46" t="s">
        <v>365</v>
      </c>
      <c r="I285" s="46" t="s">
        <v>169</v>
      </c>
      <c r="J285" s="46" t="s">
        <v>79</v>
      </c>
      <c r="K285" s="46" t="s">
        <v>170</v>
      </c>
      <c r="L285" s="46" t="s">
        <v>171</v>
      </c>
      <c r="M285" s="46" t="s">
        <v>196</v>
      </c>
      <c r="N285" s="46" t="s">
        <v>197</v>
      </c>
      <c r="O285" s="46">
        <v>5477800</v>
      </c>
      <c r="P285" s="46">
        <v>54</v>
      </c>
      <c r="Q285" s="46">
        <v>0</v>
      </c>
      <c r="R285" s="46">
        <v>0</v>
      </c>
      <c r="S285" s="46">
        <v>0</v>
      </c>
      <c r="T285" s="46">
        <v>0</v>
      </c>
      <c r="U285" s="46">
        <v>693300</v>
      </c>
      <c r="V285" s="46">
        <v>5</v>
      </c>
      <c r="W285" s="46">
        <v>0</v>
      </c>
      <c r="X285" s="46">
        <v>0</v>
      </c>
      <c r="Y285" s="48">
        <v>0</v>
      </c>
      <c r="Z285" s="46">
        <v>0</v>
      </c>
      <c r="AA285" s="46">
        <v>0</v>
      </c>
      <c r="AB285" s="46">
        <v>0</v>
      </c>
      <c r="AC285" s="46">
        <v>6171100</v>
      </c>
      <c r="AD285" s="46">
        <v>59</v>
      </c>
      <c r="AF285" s="47">
        <f t="shared" si="4"/>
        <v>6171100</v>
      </c>
    </row>
    <row r="286" spans="1:32" x14ac:dyDescent="0.3">
      <c r="A286" s="46" t="s">
        <v>612</v>
      </c>
      <c r="B286" s="46" t="str">
        <f>IFERROR(VLOOKUP($H286,매장구분!$B:$Z,2,0),"")</f>
        <v>파트너채널팀</v>
      </c>
      <c r="C286" s="46" t="str">
        <f>IFERROR(VLOOKUP($H286,매장구분!$B:$Z,3,0),"")</f>
        <v>국내</v>
      </c>
      <c r="D286" s="46" t="str">
        <f>IFERROR(VLOOKUP($H286,매장구분!$B:$Z,5,0),"")</f>
        <v>백화점</v>
      </c>
      <c r="E286" s="46" t="str">
        <f>IFERROR(VLOOKUP($H286,매장구분!$B:$Z,9,0),"")</f>
        <v>갤러리아광교</v>
      </c>
      <c r="G286" s="46" t="s">
        <v>261</v>
      </c>
      <c r="H286" s="46" t="s">
        <v>262</v>
      </c>
      <c r="I286" s="46" t="s">
        <v>169</v>
      </c>
      <c r="J286" s="46" t="s">
        <v>175</v>
      </c>
      <c r="K286" s="46" t="s">
        <v>170</v>
      </c>
      <c r="L286" s="46" t="s">
        <v>171</v>
      </c>
      <c r="M286" s="46" t="s">
        <v>77</v>
      </c>
      <c r="N286" s="46" t="s">
        <v>172</v>
      </c>
      <c r="O286" s="46">
        <v>5050700</v>
      </c>
      <c r="P286" s="46">
        <v>46</v>
      </c>
      <c r="Q286" s="46">
        <v>1958200</v>
      </c>
      <c r="R286" s="46">
        <v>31</v>
      </c>
      <c r="S286" s="46">
        <v>0</v>
      </c>
      <c r="T286" s="46">
        <v>0</v>
      </c>
      <c r="U286" s="46">
        <v>289000</v>
      </c>
      <c r="V286" s="46">
        <v>1</v>
      </c>
      <c r="W286" s="46">
        <v>0</v>
      </c>
      <c r="X286" s="46">
        <v>0</v>
      </c>
      <c r="Y286" s="48">
        <v>0</v>
      </c>
      <c r="Z286" s="46">
        <v>0</v>
      </c>
      <c r="AA286" s="46">
        <v>0</v>
      </c>
      <c r="AB286" s="46">
        <v>0</v>
      </c>
      <c r="AC286" s="46">
        <v>7297900</v>
      </c>
      <c r="AD286" s="46">
        <v>78</v>
      </c>
      <c r="AF286" s="47">
        <f t="shared" si="4"/>
        <v>7297900</v>
      </c>
    </row>
    <row r="287" spans="1:32" x14ac:dyDescent="0.3">
      <c r="A287" s="46" t="s">
        <v>612</v>
      </c>
      <c r="B287" s="46" t="str">
        <f>IFERROR(VLOOKUP($H287,매장구분!$B:$Z,2,0),"")</f>
        <v>리테일채널팀</v>
      </c>
      <c r="C287" s="46" t="str">
        <f>IFERROR(VLOOKUP($H287,매장구분!$B:$Z,3,0),"")</f>
        <v>국내</v>
      </c>
      <c r="D287" s="46" t="str">
        <f>IFERROR(VLOOKUP($H287,매장구분!$B:$Z,5,0),"")</f>
        <v>상설(위탁)</v>
      </c>
      <c r="E287" s="46" t="str">
        <f>IFERROR(VLOOKUP($H287,매장구분!$B:$Z,9,0),"")</f>
        <v>신세계아울렛여주(상-위)</v>
      </c>
      <c r="G287" s="46" t="s">
        <v>380</v>
      </c>
      <c r="H287" s="46" t="s">
        <v>381</v>
      </c>
      <c r="I287" s="46" t="s">
        <v>169</v>
      </c>
      <c r="J287" s="46" t="s">
        <v>79</v>
      </c>
      <c r="K287" s="46" t="s">
        <v>170</v>
      </c>
      <c r="L287" s="46" t="s">
        <v>171</v>
      </c>
      <c r="M287" s="46" t="s">
        <v>219</v>
      </c>
      <c r="N287" s="46" t="s">
        <v>219</v>
      </c>
      <c r="O287" s="46">
        <v>4680000</v>
      </c>
      <c r="P287" s="46">
        <v>130</v>
      </c>
      <c r="Q287" s="46">
        <v>0</v>
      </c>
      <c r="R287" s="46">
        <v>0</v>
      </c>
      <c r="S287" s="46">
        <v>0</v>
      </c>
      <c r="T287" s="46">
        <v>0</v>
      </c>
      <c r="U287" s="46">
        <v>0</v>
      </c>
      <c r="V287" s="46">
        <v>0</v>
      </c>
      <c r="W287" s="46">
        <v>0</v>
      </c>
      <c r="X287" s="46">
        <v>0</v>
      </c>
      <c r="Y287" s="48">
        <v>0</v>
      </c>
      <c r="Z287" s="46">
        <v>0</v>
      </c>
      <c r="AA287" s="46">
        <v>0</v>
      </c>
      <c r="AB287" s="46">
        <v>0</v>
      </c>
      <c r="AC287" s="46">
        <v>4680000</v>
      </c>
      <c r="AD287" s="46">
        <v>130</v>
      </c>
      <c r="AF287" s="47">
        <f t="shared" si="4"/>
        <v>4680000</v>
      </c>
    </row>
    <row r="288" spans="1:32" x14ac:dyDescent="0.3">
      <c r="A288" s="46" t="s">
        <v>612</v>
      </c>
      <c r="B288" s="46" t="str">
        <f>IFERROR(VLOOKUP($H288,매장구분!$B:$Z,2,0),"")</f>
        <v>리테일채널팀</v>
      </c>
      <c r="C288" s="46" t="str">
        <f>IFERROR(VLOOKUP($H288,매장구분!$B:$Z,3,0),"")</f>
        <v>국내</v>
      </c>
      <c r="D288" s="46" t="str">
        <f>IFERROR(VLOOKUP($H288,매장구분!$B:$Z,5,0),"")</f>
        <v>상설(위탁)</v>
      </c>
      <c r="E288" s="46" t="str">
        <f>IFERROR(VLOOKUP($H288,매장구분!$B:$Z,9,0),"")</f>
        <v>마리오(상-위)</v>
      </c>
      <c r="G288" s="46" t="s">
        <v>564</v>
      </c>
      <c r="H288" s="46" t="s">
        <v>565</v>
      </c>
      <c r="I288" s="46" t="s">
        <v>169</v>
      </c>
      <c r="J288" s="46" t="s">
        <v>79</v>
      </c>
      <c r="K288" s="46" t="s">
        <v>170</v>
      </c>
      <c r="L288" s="46" t="s">
        <v>171</v>
      </c>
      <c r="M288" s="46" t="s">
        <v>77</v>
      </c>
      <c r="N288" s="46" t="s">
        <v>238</v>
      </c>
      <c r="O288" s="46">
        <v>1908000</v>
      </c>
      <c r="P288" s="46">
        <v>53</v>
      </c>
      <c r="Q288" s="46">
        <v>0</v>
      </c>
      <c r="R288" s="46">
        <v>0</v>
      </c>
      <c r="S288" s="46">
        <v>0</v>
      </c>
      <c r="T288" s="46">
        <v>0</v>
      </c>
      <c r="U288" s="46">
        <v>0</v>
      </c>
      <c r="V288" s="46">
        <v>0</v>
      </c>
      <c r="W288" s="46">
        <v>0</v>
      </c>
      <c r="X288" s="46">
        <v>0</v>
      </c>
      <c r="Y288" s="48">
        <v>0</v>
      </c>
      <c r="Z288" s="46">
        <v>0</v>
      </c>
      <c r="AA288" s="46">
        <v>0</v>
      </c>
      <c r="AB288" s="46">
        <v>0</v>
      </c>
      <c r="AC288" s="46">
        <v>1908000</v>
      </c>
      <c r="AD288" s="46">
        <v>53</v>
      </c>
      <c r="AF288" s="47">
        <f t="shared" si="4"/>
        <v>1908000</v>
      </c>
    </row>
    <row r="289" spans="1:32" x14ac:dyDescent="0.3">
      <c r="A289" s="46" t="s">
        <v>612</v>
      </c>
      <c r="B289" s="46" t="str">
        <f>IFERROR(VLOOKUP($H289,매장구분!$B:$Z,2,0),"")</f>
        <v>리테일채널팀</v>
      </c>
      <c r="C289" s="46" t="str">
        <f>IFERROR(VLOOKUP($H289,매장구분!$B:$Z,3,0),"")</f>
        <v>국내</v>
      </c>
      <c r="D289" s="46" t="str">
        <f>IFERROR(VLOOKUP($H289,매장구분!$B:$Z,5,0),"")</f>
        <v>상설(위탁)</v>
      </c>
      <c r="E289" s="46" t="str">
        <f>IFERROR(VLOOKUP($H289,매장구분!$B:$Z,9,0),"")</f>
        <v>롯데아울렛부여(상-위)</v>
      </c>
      <c r="G289" s="46" t="s">
        <v>281</v>
      </c>
      <c r="H289" s="46" t="s">
        <v>282</v>
      </c>
      <c r="I289" s="46" t="s">
        <v>169</v>
      </c>
      <c r="J289" s="46" t="s">
        <v>79</v>
      </c>
      <c r="K289" s="46" t="s">
        <v>170</v>
      </c>
      <c r="L289" s="46" t="s">
        <v>171</v>
      </c>
      <c r="M289" s="46" t="s">
        <v>219</v>
      </c>
      <c r="N289" s="46" t="s">
        <v>219</v>
      </c>
      <c r="O289" s="46">
        <v>3348000</v>
      </c>
      <c r="P289" s="46">
        <v>93</v>
      </c>
      <c r="Q289" s="46">
        <v>0</v>
      </c>
      <c r="R289" s="46">
        <v>0</v>
      </c>
      <c r="S289" s="46">
        <v>0</v>
      </c>
      <c r="T289" s="46">
        <v>0</v>
      </c>
      <c r="U289" s="46">
        <v>0</v>
      </c>
      <c r="V289" s="46">
        <v>0</v>
      </c>
      <c r="W289" s="46">
        <v>0</v>
      </c>
      <c r="X289" s="46">
        <v>0</v>
      </c>
      <c r="Y289" s="48">
        <v>0</v>
      </c>
      <c r="Z289" s="46">
        <v>0</v>
      </c>
      <c r="AA289" s="46">
        <v>0</v>
      </c>
      <c r="AB289" s="46">
        <v>0</v>
      </c>
      <c r="AC289" s="46">
        <v>3348000</v>
      </c>
      <c r="AD289" s="46">
        <v>93</v>
      </c>
      <c r="AF289" s="47">
        <f t="shared" si="4"/>
        <v>3348000</v>
      </c>
    </row>
    <row r="290" spans="1:32" x14ac:dyDescent="0.3">
      <c r="A290" s="46" t="s">
        <v>612</v>
      </c>
      <c r="B290" s="46" t="str">
        <f>IFERROR(VLOOKUP($H290,매장구분!$B:$Z,2,0),"")</f>
        <v>E-biz</v>
      </c>
      <c r="C290" s="46" t="str">
        <f>IFERROR(VLOOKUP($H290,매장구분!$B:$Z,3,0),"")</f>
        <v>국내</v>
      </c>
      <c r="D290" s="46" t="str">
        <f>IFERROR(VLOOKUP($H290,매장구분!$B:$Z,5,0),"")</f>
        <v>온(제휴몰)</v>
      </c>
      <c r="E290" s="46" t="str">
        <f>IFERROR(VLOOKUP($H290,매장구분!$B:$Z,9,0),"")</f>
        <v>네이버스토어(제휴몰)</v>
      </c>
      <c r="G290" s="46" t="s">
        <v>207</v>
      </c>
      <c r="H290" s="46" t="s">
        <v>208</v>
      </c>
      <c r="I290" s="46" t="s">
        <v>169</v>
      </c>
      <c r="J290" s="46" t="s">
        <v>180</v>
      </c>
      <c r="K290" s="46" t="s">
        <v>170</v>
      </c>
      <c r="L290" s="46" t="s">
        <v>181</v>
      </c>
      <c r="M290" s="46" t="s">
        <v>181</v>
      </c>
      <c r="N290" s="46" t="s">
        <v>185</v>
      </c>
      <c r="O290" s="46">
        <v>73319200</v>
      </c>
      <c r="P290" s="46">
        <v>942</v>
      </c>
      <c r="Q290" s="46">
        <v>0</v>
      </c>
      <c r="R290" s="46">
        <v>0</v>
      </c>
      <c r="S290" s="46">
        <v>0</v>
      </c>
      <c r="T290" s="46">
        <v>0</v>
      </c>
      <c r="U290" s="46">
        <v>0</v>
      </c>
      <c r="V290" s="46">
        <v>0</v>
      </c>
      <c r="W290" s="46">
        <v>0</v>
      </c>
      <c r="X290" s="46">
        <v>0</v>
      </c>
      <c r="Y290" s="48">
        <v>0</v>
      </c>
      <c r="Z290" s="46">
        <v>0</v>
      </c>
      <c r="AA290" s="46">
        <v>0</v>
      </c>
      <c r="AB290" s="46">
        <v>0</v>
      </c>
      <c r="AC290" s="46">
        <v>73319200</v>
      </c>
      <c r="AD290" s="46">
        <v>942</v>
      </c>
      <c r="AF290" s="47">
        <f t="shared" si="4"/>
        <v>73319200</v>
      </c>
    </row>
    <row r="291" spans="1:32" hidden="1" x14ac:dyDescent="0.3">
      <c r="A291" s="46" t="s">
        <v>612</v>
      </c>
      <c r="B291" s="46" t="str">
        <f>IFERROR(VLOOKUP($H291,매장구분!$B:$Z,2,0),"")</f>
        <v>리테일채널팀</v>
      </c>
      <c r="C291" s="46" t="str">
        <f>IFERROR(VLOOKUP($H291,매장구분!$B:$Z,3,0),"")</f>
        <v>RF</v>
      </c>
      <c r="D291" s="46" t="str">
        <f>IFERROR(VLOOKUP($H291,매장구분!$B:$Z,5,0),"")</f>
        <v>직영점</v>
      </c>
      <c r="E291" s="46" t="str">
        <f>IFERROR(VLOOKUP($H291,매장구분!$B:$Z,9,0),"")</f>
        <v>가로수길(직)</v>
      </c>
      <c r="G291" s="46" t="s">
        <v>398</v>
      </c>
      <c r="H291" s="46" t="s">
        <v>399</v>
      </c>
      <c r="I291" s="46" t="s">
        <v>169</v>
      </c>
      <c r="J291" s="46" t="s">
        <v>180</v>
      </c>
      <c r="K291" s="46" t="s">
        <v>170</v>
      </c>
      <c r="L291" s="46" t="s">
        <v>171</v>
      </c>
      <c r="M291" s="46" t="s">
        <v>196</v>
      </c>
      <c r="N291" s="46" t="s">
        <v>206</v>
      </c>
      <c r="O291" s="46">
        <v>99911300</v>
      </c>
      <c r="P291" s="46">
        <v>761</v>
      </c>
      <c r="Q291" s="46">
        <v>0</v>
      </c>
      <c r="R291" s="46">
        <v>0</v>
      </c>
      <c r="S291" s="46">
        <v>0</v>
      </c>
      <c r="T291" s="46">
        <v>0</v>
      </c>
      <c r="U291" s="46">
        <v>-59000</v>
      </c>
      <c r="V291" s="46">
        <v>-1</v>
      </c>
      <c r="W291" s="46">
        <v>0</v>
      </c>
      <c r="X291" s="46">
        <v>0</v>
      </c>
      <c r="Y291" s="48">
        <v>0</v>
      </c>
      <c r="Z291" s="46">
        <v>0</v>
      </c>
      <c r="AA291" s="46">
        <v>0</v>
      </c>
      <c r="AB291" s="46">
        <v>0</v>
      </c>
      <c r="AC291" s="46">
        <v>99852300</v>
      </c>
      <c r="AD291" s="46">
        <v>760</v>
      </c>
      <c r="AF291" s="47">
        <f t="shared" si="4"/>
        <v>99852300</v>
      </c>
    </row>
    <row r="292" spans="1:32" x14ac:dyDescent="0.3">
      <c r="A292" s="46" t="s">
        <v>612</v>
      </c>
      <c r="B292" s="46" t="str">
        <f>IFERROR(VLOOKUP($H292,매장구분!$B:$Z,2,0),"")</f>
        <v>리테일채널팀</v>
      </c>
      <c r="C292" s="46" t="str">
        <f>IFERROR(VLOOKUP($H292,매장구분!$B:$Z,3,0),"")</f>
        <v>국내</v>
      </c>
      <c r="D292" s="46" t="str">
        <f>IFERROR(VLOOKUP($H292,매장구분!$B:$Z,5,0),"")</f>
        <v>직영점</v>
      </c>
      <c r="E292" s="46" t="str">
        <f>IFERROR(VLOOKUP($H292,매장구분!$B:$Z,9,0),"")</f>
        <v>타임스퀘어영등포(직)</v>
      </c>
      <c r="G292" s="46" t="s">
        <v>186</v>
      </c>
      <c r="H292" s="46" t="s">
        <v>187</v>
      </c>
      <c r="I292" s="46" t="s">
        <v>169</v>
      </c>
      <c r="J292" s="46" t="s">
        <v>180</v>
      </c>
      <c r="K292" s="46" t="s">
        <v>170</v>
      </c>
      <c r="L292" s="46" t="s">
        <v>171</v>
      </c>
      <c r="M292" s="46" t="s">
        <v>188</v>
      </c>
      <c r="N292" s="46" t="s">
        <v>189</v>
      </c>
      <c r="O292" s="46">
        <v>22877600</v>
      </c>
      <c r="P292" s="46">
        <v>241</v>
      </c>
      <c r="Q292" s="46">
        <v>0</v>
      </c>
      <c r="R292" s="46">
        <v>0</v>
      </c>
      <c r="S292" s="46">
        <v>0</v>
      </c>
      <c r="T292" s="46">
        <v>0</v>
      </c>
      <c r="U292" s="46">
        <v>1088500</v>
      </c>
      <c r="V292" s="46">
        <v>6</v>
      </c>
      <c r="W292" s="46">
        <v>0</v>
      </c>
      <c r="X292" s="46">
        <v>0</v>
      </c>
      <c r="Y292" s="48">
        <v>0</v>
      </c>
      <c r="Z292" s="46">
        <v>0</v>
      </c>
      <c r="AA292" s="46">
        <v>0</v>
      </c>
      <c r="AB292" s="46">
        <v>0</v>
      </c>
      <c r="AC292" s="46">
        <v>23966100</v>
      </c>
      <c r="AD292" s="46">
        <v>247</v>
      </c>
      <c r="AF292" s="47">
        <f t="shared" si="4"/>
        <v>23966100</v>
      </c>
    </row>
    <row r="293" spans="1:32" x14ac:dyDescent="0.3">
      <c r="A293" s="46" t="s">
        <v>612</v>
      </c>
      <c r="B293" s="46" t="str">
        <f>IFERROR(VLOOKUP($H293,매장구분!$B:$Z,2,0),"")</f>
        <v>리테일채널팀</v>
      </c>
      <c r="C293" s="46" t="str">
        <f>IFERROR(VLOOKUP($H293,매장구분!$B:$Z,3,0),"")</f>
        <v>국내</v>
      </c>
      <c r="D293" s="46" t="str">
        <f>IFERROR(VLOOKUP($H293,매장구분!$B:$Z,5,0),"")</f>
        <v>대리점</v>
      </c>
      <c r="E293" s="46" t="str">
        <f>IFERROR(VLOOKUP($H293,매장구분!$B:$Z,9,0),"")</f>
        <v>화성봉담(대-위)</v>
      </c>
      <c r="G293" s="46" t="s">
        <v>273</v>
      </c>
      <c r="H293" s="46" t="s">
        <v>274</v>
      </c>
      <c r="I293" s="46" t="s">
        <v>169</v>
      </c>
      <c r="J293" s="46" t="s">
        <v>79</v>
      </c>
      <c r="K293" s="46" t="s">
        <v>170</v>
      </c>
      <c r="L293" s="46" t="s">
        <v>171</v>
      </c>
      <c r="M293" s="46" t="s">
        <v>196</v>
      </c>
      <c r="N293" s="46" t="s">
        <v>197</v>
      </c>
      <c r="O293" s="46">
        <v>11868454</v>
      </c>
      <c r="P293" s="46">
        <v>94</v>
      </c>
      <c r="Q293" s="46">
        <v>0</v>
      </c>
      <c r="R293" s="46">
        <v>0</v>
      </c>
      <c r="S293" s="46">
        <v>0</v>
      </c>
      <c r="T293" s="46">
        <v>0</v>
      </c>
      <c r="U293" s="46">
        <v>1498677</v>
      </c>
      <c r="V293" s="46">
        <v>9</v>
      </c>
      <c r="W293" s="46">
        <v>0</v>
      </c>
      <c r="X293" s="46">
        <v>0</v>
      </c>
      <c r="Y293" s="48">
        <v>17174700</v>
      </c>
      <c r="Z293" s="46">
        <v>185</v>
      </c>
      <c r="AA293" s="46">
        <v>0</v>
      </c>
      <c r="AB293" s="46">
        <v>0</v>
      </c>
      <c r="AC293" s="46">
        <v>30541831</v>
      </c>
      <c r="AD293" s="46">
        <v>288</v>
      </c>
      <c r="AF293" s="47">
        <f t="shared" si="4"/>
        <v>13367131</v>
      </c>
    </row>
    <row r="294" spans="1:32" hidden="1" x14ac:dyDescent="0.3">
      <c r="A294" s="46" t="s">
        <v>612</v>
      </c>
      <c r="B294" s="46" t="str">
        <f>IFERROR(VLOOKUP($H294,매장구분!$B:$Z,2,0),"")</f>
        <v>파트너채널팀</v>
      </c>
      <c r="C294" s="46" t="str">
        <f>IFERROR(VLOOKUP($H294,매장구분!$B:$Z,3,0),"")</f>
        <v>면세</v>
      </c>
      <c r="D294" s="46" t="str">
        <f>IFERROR(VLOOKUP($H294,매장구분!$B:$Z,5,0),"")</f>
        <v>면세</v>
      </c>
      <c r="E294" s="46" t="str">
        <f>IFERROR(VLOOKUP($H294,매장구분!$B:$Z,9,0),"")</f>
        <v>현대면세무역</v>
      </c>
      <c r="G294" s="46" t="s">
        <v>466</v>
      </c>
      <c r="H294" s="46" t="s">
        <v>467</v>
      </c>
      <c r="I294" s="46" t="s">
        <v>169</v>
      </c>
      <c r="J294" s="46" t="s">
        <v>175</v>
      </c>
      <c r="K294" s="46" t="s">
        <v>170</v>
      </c>
      <c r="L294" s="46" t="s">
        <v>171</v>
      </c>
      <c r="M294" s="46" t="s">
        <v>176</v>
      </c>
      <c r="N294" s="46" t="s">
        <v>177</v>
      </c>
      <c r="O294" s="46">
        <v>63424200</v>
      </c>
      <c r="P294" s="46">
        <v>628</v>
      </c>
      <c r="Q294" s="46">
        <v>0</v>
      </c>
      <c r="R294" s="46">
        <v>0</v>
      </c>
      <c r="S294" s="46">
        <v>0</v>
      </c>
      <c r="T294" s="46">
        <v>0</v>
      </c>
      <c r="U294" s="46">
        <v>0</v>
      </c>
      <c r="V294" s="46">
        <v>0</v>
      </c>
      <c r="W294" s="46">
        <v>0</v>
      </c>
      <c r="X294" s="46">
        <v>0</v>
      </c>
      <c r="Y294" s="48">
        <v>112494000</v>
      </c>
      <c r="Z294" s="46">
        <v>866</v>
      </c>
      <c r="AA294" s="46">
        <v>0</v>
      </c>
      <c r="AB294" s="46">
        <v>0</v>
      </c>
      <c r="AC294" s="46">
        <v>175918200</v>
      </c>
      <c r="AD294" s="46">
        <v>1494</v>
      </c>
      <c r="AF294" s="47">
        <f t="shared" si="4"/>
        <v>63424200</v>
      </c>
    </row>
    <row r="295" spans="1:32" x14ac:dyDescent="0.3">
      <c r="A295" s="46" t="s">
        <v>612</v>
      </c>
      <c r="B295" s="46" t="str">
        <f>IFERROR(VLOOKUP($H295,매장구분!$B:$Z,2,0),"")</f>
        <v>리테일채널팀</v>
      </c>
      <c r="C295" s="46" t="str">
        <f>IFERROR(VLOOKUP($H295,매장구분!$B:$Z,3,0),"")</f>
        <v>국내</v>
      </c>
      <c r="D295" s="46" t="str">
        <f>IFERROR(VLOOKUP($H295,매장구분!$B:$Z,5,0),"")</f>
        <v>대리점</v>
      </c>
      <c r="E295" s="46" t="str">
        <f>IFERROR(VLOOKUP($H295,매장구분!$B:$Z,9,0),"")</f>
        <v>마산합성(대-위)</v>
      </c>
      <c r="G295" s="46" t="s">
        <v>546</v>
      </c>
      <c r="H295" s="46" t="s">
        <v>547</v>
      </c>
      <c r="I295" s="46" t="s">
        <v>169</v>
      </c>
      <c r="J295" s="46" t="s">
        <v>79</v>
      </c>
      <c r="K295" s="46" t="s">
        <v>170</v>
      </c>
      <c r="L295" s="46" t="s">
        <v>171</v>
      </c>
      <c r="M295" s="46" t="s">
        <v>196</v>
      </c>
      <c r="N295" s="46" t="s">
        <v>197</v>
      </c>
      <c r="O295" s="46">
        <v>15468220</v>
      </c>
      <c r="P295" s="46">
        <v>121</v>
      </c>
      <c r="Q295" s="46">
        <v>0</v>
      </c>
      <c r="R295" s="46">
        <v>0</v>
      </c>
      <c r="S295" s="46">
        <v>0</v>
      </c>
      <c r="T295" s="46">
        <v>0</v>
      </c>
      <c r="U295" s="46">
        <v>3971400</v>
      </c>
      <c r="V295" s="46">
        <v>26</v>
      </c>
      <c r="W295" s="46">
        <v>0</v>
      </c>
      <c r="X295" s="46">
        <v>0</v>
      </c>
      <c r="Y295" s="48">
        <v>0</v>
      </c>
      <c r="Z295" s="46">
        <v>0</v>
      </c>
      <c r="AA295" s="46">
        <v>0</v>
      </c>
      <c r="AB295" s="46">
        <v>0</v>
      </c>
      <c r="AC295" s="46">
        <v>19439620</v>
      </c>
      <c r="AD295" s="46">
        <v>147</v>
      </c>
      <c r="AF295" s="47">
        <f t="shared" si="4"/>
        <v>19439620</v>
      </c>
    </row>
    <row r="296" spans="1:32" hidden="1" x14ac:dyDescent="0.3">
      <c r="A296" s="46" t="s">
        <v>612</v>
      </c>
      <c r="B296" s="46" t="str">
        <f>IFERROR(VLOOKUP($H296,매장구분!$B:$Z,2,0),"")</f>
        <v>리테일채널팀</v>
      </c>
      <c r="C296" s="46" t="str">
        <f>IFERROR(VLOOKUP($H296,매장구분!$B:$Z,3,0),"")</f>
        <v>RF</v>
      </c>
      <c r="D296" s="46" t="str">
        <f>IFERROR(VLOOKUP($H296,매장구분!$B:$Z,5,0),"")</f>
        <v>대리점</v>
      </c>
      <c r="E296" s="46" t="str">
        <f>IFERROR(VLOOKUP($H296,매장구분!$B:$Z,9,0),"")</f>
        <v>신제주(대-위)</v>
      </c>
      <c r="G296" s="46" t="s">
        <v>340</v>
      </c>
      <c r="H296" s="46" t="s">
        <v>341</v>
      </c>
      <c r="I296" s="46" t="s">
        <v>169</v>
      </c>
      <c r="J296" s="46" t="s">
        <v>79</v>
      </c>
      <c r="K296" s="46" t="s">
        <v>170</v>
      </c>
      <c r="L296" s="46" t="s">
        <v>171</v>
      </c>
      <c r="M296" s="46" t="s">
        <v>196</v>
      </c>
      <c r="N296" s="46" t="s">
        <v>197</v>
      </c>
      <c r="O296" s="46">
        <v>21781400</v>
      </c>
      <c r="P296" s="46">
        <v>248</v>
      </c>
      <c r="Q296" s="46">
        <v>0</v>
      </c>
      <c r="R296" s="46">
        <v>0</v>
      </c>
      <c r="S296" s="46">
        <v>0</v>
      </c>
      <c r="T296" s="46">
        <v>0</v>
      </c>
      <c r="U296" s="46">
        <v>0</v>
      </c>
      <c r="V296" s="46">
        <v>0</v>
      </c>
      <c r="W296" s="46">
        <v>0</v>
      </c>
      <c r="X296" s="46">
        <v>0</v>
      </c>
      <c r="Y296" s="48">
        <v>18098400</v>
      </c>
      <c r="Z296" s="46">
        <v>283</v>
      </c>
      <c r="AA296" s="46">
        <v>0</v>
      </c>
      <c r="AB296" s="46">
        <v>0</v>
      </c>
      <c r="AC296" s="46">
        <v>39879800</v>
      </c>
      <c r="AD296" s="46">
        <v>531</v>
      </c>
      <c r="AF296" s="47">
        <f t="shared" si="4"/>
        <v>21781400</v>
      </c>
    </row>
    <row r="297" spans="1:32" x14ac:dyDescent="0.3">
      <c r="A297" s="46" t="s">
        <v>612</v>
      </c>
      <c r="B297" s="46" t="str">
        <f>IFERROR(VLOOKUP($H297,매장구분!$B:$Z,2,0),"")</f>
        <v>리테일채널팀</v>
      </c>
      <c r="C297" s="46" t="str">
        <f>IFERROR(VLOOKUP($H297,매장구분!$B:$Z,3,0),"")</f>
        <v>국내</v>
      </c>
      <c r="D297" s="46" t="str">
        <f>IFERROR(VLOOKUP($H297,매장구분!$B:$Z,5,0),"")</f>
        <v>대리점</v>
      </c>
      <c r="E297" s="46" t="str">
        <f>IFERROR(VLOOKUP($H297,매장구분!$B:$Z,9,0),"")</f>
        <v>안산시화(대-위)</v>
      </c>
      <c r="G297" s="46" t="s">
        <v>291</v>
      </c>
      <c r="H297" s="46" t="s">
        <v>292</v>
      </c>
      <c r="I297" s="46" t="s">
        <v>169</v>
      </c>
      <c r="J297" s="46" t="s">
        <v>79</v>
      </c>
      <c r="K297" s="46" t="s">
        <v>170</v>
      </c>
      <c r="L297" s="46" t="s">
        <v>171</v>
      </c>
      <c r="M297" s="46" t="s">
        <v>196</v>
      </c>
      <c r="N297" s="46" t="s">
        <v>197</v>
      </c>
      <c r="O297" s="46">
        <v>23783175</v>
      </c>
      <c r="P297" s="46">
        <v>192</v>
      </c>
      <c r="Q297" s="46">
        <v>0</v>
      </c>
      <c r="R297" s="46">
        <v>0</v>
      </c>
      <c r="S297" s="46">
        <v>0</v>
      </c>
      <c r="T297" s="46">
        <v>0</v>
      </c>
      <c r="U297" s="46">
        <v>1673562</v>
      </c>
      <c r="V297" s="46">
        <v>12</v>
      </c>
      <c r="W297" s="46">
        <v>0</v>
      </c>
      <c r="X297" s="46">
        <v>0</v>
      </c>
      <c r="Y297" s="48">
        <v>0</v>
      </c>
      <c r="Z297" s="46">
        <v>0</v>
      </c>
      <c r="AA297" s="46">
        <v>0</v>
      </c>
      <c r="AB297" s="46">
        <v>0</v>
      </c>
      <c r="AC297" s="46">
        <v>25456737</v>
      </c>
      <c r="AD297" s="46">
        <v>204</v>
      </c>
      <c r="AF297" s="47">
        <f t="shared" si="4"/>
        <v>25456737</v>
      </c>
    </row>
    <row r="298" spans="1:32" x14ac:dyDescent="0.3">
      <c r="A298" s="46" t="s">
        <v>612</v>
      </c>
      <c r="B298" s="46" t="str">
        <f>IFERROR(VLOOKUP($H298,매장구분!$B:$Z,2,0),"")</f>
        <v>파트너채널팀</v>
      </c>
      <c r="C298" s="46" t="str">
        <f>IFERROR(VLOOKUP($H298,매장구분!$B:$Z,3,0),"")</f>
        <v>국내</v>
      </c>
      <c r="D298" s="46" t="str">
        <f>IFERROR(VLOOKUP($H298,매장구분!$B:$Z,5,0),"")</f>
        <v>백화점</v>
      </c>
      <c r="E298" s="46" t="str">
        <f>IFERROR(VLOOKUP($H298,매장구분!$B:$Z,9,0),"")</f>
        <v>롯데일산</v>
      </c>
      <c r="G298" s="46" t="s">
        <v>508</v>
      </c>
      <c r="H298" s="46" t="s">
        <v>509</v>
      </c>
      <c r="I298" s="46" t="s">
        <v>169</v>
      </c>
      <c r="J298" s="46" t="s">
        <v>175</v>
      </c>
      <c r="K298" s="46" t="s">
        <v>170</v>
      </c>
      <c r="L298" s="46" t="s">
        <v>171</v>
      </c>
      <c r="M298" s="46" t="s">
        <v>77</v>
      </c>
      <c r="N298" s="46" t="s">
        <v>172</v>
      </c>
      <c r="O298" s="46">
        <v>18683300</v>
      </c>
      <c r="P298" s="46">
        <v>166</v>
      </c>
      <c r="Q298" s="46">
        <v>0</v>
      </c>
      <c r="R298" s="46">
        <v>0</v>
      </c>
      <c r="S298" s="46">
        <v>0</v>
      </c>
      <c r="T298" s="46">
        <v>0</v>
      </c>
      <c r="U298" s="46">
        <v>217200</v>
      </c>
      <c r="V298" s="46">
        <v>3</v>
      </c>
      <c r="W298" s="46">
        <v>0</v>
      </c>
      <c r="X298" s="46">
        <v>0</v>
      </c>
      <c r="Y298" s="48">
        <v>6425100</v>
      </c>
      <c r="Z298" s="46">
        <v>49</v>
      </c>
      <c r="AA298" s="46">
        <v>0</v>
      </c>
      <c r="AB298" s="46">
        <v>0</v>
      </c>
      <c r="AC298" s="46">
        <v>25325600</v>
      </c>
      <c r="AD298" s="46">
        <v>218</v>
      </c>
      <c r="AF298" s="47">
        <f t="shared" si="4"/>
        <v>18900500</v>
      </c>
    </row>
    <row r="299" spans="1:32" x14ac:dyDescent="0.3">
      <c r="A299" s="46" t="s">
        <v>612</v>
      </c>
      <c r="B299" s="46" t="str">
        <f>IFERROR(VLOOKUP($H299,매장구분!$B:$Z,2,0),"")</f>
        <v>파트너채널팀</v>
      </c>
      <c r="C299" s="46" t="str">
        <f>IFERROR(VLOOKUP($H299,매장구분!$B:$Z,3,0),"")</f>
        <v>국내</v>
      </c>
      <c r="D299" s="46" t="str">
        <f>IFERROR(VLOOKUP($H299,매장구분!$B:$Z,5,0),"")</f>
        <v>백화점</v>
      </c>
      <c r="E299" s="46" t="str">
        <f>IFERROR(VLOOKUP($H299,매장구분!$B:$Z,9,0),"")</f>
        <v>모다아울렛대전</v>
      </c>
      <c r="G299" s="46" t="s">
        <v>236</v>
      </c>
      <c r="H299" s="46" t="s">
        <v>237</v>
      </c>
      <c r="I299" s="46" t="s">
        <v>169</v>
      </c>
      <c r="J299" s="46" t="s">
        <v>175</v>
      </c>
      <c r="K299" s="46" t="s">
        <v>170</v>
      </c>
      <c r="L299" s="46" t="s">
        <v>171</v>
      </c>
      <c r="M299" s="46" t="s">
        <v>77</v>
      </c>
      <c r="N299" s="46" t="s">
        <v>238</v>
      </c>
      <c r="O299" s="46">
        <v>17212300</v>
      </c>
      <c r="P299" s="46">
        <v>147</v>
      </c>
      <c r="Q299" s="46">
        <v>0</v>
      </c>
      <c r="R299" s="46">
        <v>0</v>
      </c>
      <c r="S299" s="46">
        <v>0</v>
      </c>
      <c r="T299" s="46">
        <v>0</v>
      </c>
      <c r="U299" s="46">
        <v>1391500</v>
      </c>
      <c r="V299" s="46">
        <v>9</v>
      </c>
      <c r="W299" s="46">
        <v>0</v>
      </c>
      <c r="X299" s="46">
        <v>0</v>
      </c>
      <c r="Y299" s="48">
        <v>0</v>
      </c>
      <c r="Z299" s="46">
        <v>0</v>
      </c>
      <c r="AA299" s="46">
        <v>0</v>
      </c>
      <c r="AB299" s="46">
        <v>0</v>
      </c>
      <c r="AC299" s="46">
        <v>18603800</v>
      </c>
      <c r="AD299" s="46">
        <v>156</v>
      </c>
      <c r="AF299" s="47">
        <f t="shared" si="4"/>
        <v>18603800</v>
      </c>
    </row>
    <row r="300" spans="1:32" x14ac:dyDescent="0.3">
      <c r="A300" s="46" t="s">
        <v>612</v>
      </c>
      <c r="B300" s="46" t="str">
        <f>IFERROR(VLOOKUP($H300,매장구분!$B:$Z,2,0),"")</f>
        <v>리테일채널팀</v>
      </c>
      <c r="C300" s="46" t="str">
        <f>IFERROR(VLOOKUP($H300,매장구분!$B:$Z,3,0),"")</f>
        <v>국내</v>
      </c>
      <c r="D300" s="46" t="str">
        <f>IFERROR(VLOOKUP($H300,매장구분!$B:$Z,5,0),"")</f>
        <v>대리점</v>
      </c>
      <c r="E300" s="46" t="str">
        <f>IFERROR(VLOOKUP($H300,매장구분!$B:$Z,9,0),"")</f>
        <v>제천(대-위)</v>
      </c>
      <c r="G300" s="46" t="s">
        <v>311</v>
      </c>
      <c r="H300" s="46" t="s">
        <v>312</v>
      </c>
      <c r="I300" s="46" t="s">
        <v>169</v>
      </c>
      <c r="J300" s="46" t="s">
        <v>79</v>
      </c>
      <c r="K300" s="46" t="s">
        <v>170</v>
      </c>
      <c r="L300" s="46" t="s">
        <v>171</v>
      </c>
      <c r="M300" s="46" t="s">
        <v>196</v>
      </c>
      <c r="N300" s="46" t="s">
        <v>197</v>
      </c>
      <c r="O300" s="46">
        <v>11151110</v>
      </c>
      <c r="P300" s="46">
        <v>110</v>
      </c>
      <c r="Q300" s="46">
        <v>0</v>
      </c>
      <c r="R300" s="46">
        <v>0</v>
      </c>
      <c r="S300" s="46">
        <v>0</v>
      </c>
      <c r="T300" s="46">
        <v>0</v>
      </c>
      <c r="U300" s="46">
        <v>-278000</v>
      </c>
      <c r="V300" s="46">
        <v>-2</v>
      </c>
      <c r="W300" s="46">
        <v>0</v>
      </c>
      <c r="X300" s="46">
        <v>0</v>
      </c>
      <c r="Y300" s="48">
        <v>0</v>
      </c>
      <c r="Z300" s="46">
        <v>0</v>
      </c>
      <c r="AA300" s="46">
        <v>0</v>
      </c>
      <c r="AB300" s="46">
        <v>0</v>
      </c>
      <c r="AC300" s="46">
        <v>10873110</v>
      </c>
      <c r="AD300" s="46">
        <v>108</v>
      </c>
      <c r="AF300" s="47">
        <f t="shared" si="4"/>
        <v>10873110</v>
      </c>
    </row>
    <row r="301" spans="1:32" hidden="1" x14ac:dyDescent="0.3">
      <c r="A301" s="46" t="s">
        <v>612</v>
      </c>
      <c r="B301" s="46" t="str">
        <f>IFERROR(VLOOKUP($H301,매장구분!$B:$Z,2,0),"")</f>
        <v>파트너채널팀</v>
      </c>
      <c r="C301" s="46" t="str">
        <f>IFERROR(VLOOKUP($H301,매장구분!$B:$Z,3,0),"")</f>
        <v>면세</v>
      </c>
      <c r="D301" s="46" t="str">
        <f>IFERROR(VLOOKUP($H301,매장구분!$B:$Z,5,0),"")</f>
        <v>면세</v>
      </c>
      <c r="E301" s="46" t="str">
        <f>IFERROR(VLOOKUP($H301,매장구분!$B:$Z,9,0),"")</f>
        <v>신세계면세명동</v>
      </c>
      <c r="G301" s="46" t="s">
        <v>173</v>
      </c>
      <c r="H301" s="46" t="s">
        <v>174</v>
      </c>
      <c r="I301" s="46" t="s">
        <v>169</v>
      </c>
      <c r="J301" s="46" t="s">
        <v>175</v>
      </c>
      <c r="K301" s="46" t="s">
        <v>170</v>
      </c>
      <c r="L301" s="46" t="s">
        <v>171</v>
      </c>
      <c r="M301" s="46" t="s">
        <v>176</v>
      </c>
      <c r="N301" s="46" t="s">
        <v>177</v>
      </c>
      <c r="O301" s="46">
        <v>149933100</v>
      </c>
      <c r="P301" s="46">
        <v>2179</v>
      </c>
      <c r="Q301" s="46">
        <v>0</v>
      </c>
      <c r="R301" s="46">
        <v>0</v>
      </c>
      <c r="S301" s="46">
        <v>0</v>
      </c>
      <c r="T301" s="46">
        <v>0</v>
      </c>
      <c r="U301" s="46">
        <v>0</v>
      </c>
      <c r="V301" s="46">
        <v>0</v>
      </c>
      <c r="W301" s="46">
        <v>0</v>
      </c>
      <c r="X301" s="46">
        <v>0</v>
      </c>
      <c r="Y301" s="48">
        <v>227632000</v>
      </c>
      <c r="Z301" s="46">
        <v>3660</v>
      </c>
      <c r="AA301" s="46">
        <v>0</v>
      </c>
      <c r="AB301" s="46">
        <v>0</v>
      </c>
      <c r="AC301" s="46">
        <v>377565100</v>
      </c>
      <c r="AD301" s="46">
        <v>5839</v>
      </c>
      <c r="AF301" s="47">
        <f t="shared" si="4"/>
        <v>149933100</v>
      </c>
    </row>
    <row r="302" spans="1:32" x14ac:dyDescent="0.3">
      <c r="A302" s="46" t="s">
        <v>612</v>
      </c>
      <c r="B302" s="46" t="str">
        <f>IFERROR(VLOOKUP($H302,매장구분!$B:$Z,2,0),"")</f>
        <v>리테일채널팀</v>
      </c>
      <c r="C302" s="46" t="str">
        <f>IFERROR(VLOOKUP($H302,매장구분!$B:$Z,3,0),"")</f>
        <v>국내</v>
      </c>
      <c r="D302" s="46" t="str">
        <f>IFERROR(VLOOKUP($H302,매장구분!$B:$Z,5,0),"")</f>
        <v>대리점</v>
      </c>
      <c r="E302" s="46" t="str">
        <f>IFERROR(VLOOKUP($H302,매장구분!$B:$Z,9,0),"")</f>
        <v>남양주삼패(대-위)</v>
      </c>
      <c r="G302" s="46" t="s">
        <v>586</v>
      </c>
      <c r="H302" s="46" t="s">
        <v>587</v>
      </c>
      <c r="I302" s="46" t="s">
        <v>169</v>
      </c>
      <c r="J302" s="46" t="s">
        <v>79</v>
      </c>
      <c r="K302" s="46" t="s">
        <v>170</v>
      </c>
      <c r="L302" s="46" t="s">
        <v>171</v>
      </c>
      <c r="M302" s="46" t="s">
        <v>196</v>
      </c>
      <c r="N302" s="46" t="s">
        <v>197</v>
      </c>
      <c r="O302" s="46">
        <v>2710000</v>
      </c>
      <c r="P302" s="46">
        <v>27</v>
      </c>
      <c r="Q302" s="46">
        <v>0</v>
      </c>
      <c r="R302" s="46">
        <v>0</v>
      </c>
      <c r="S302" s="46">
        <v>0</v>
      </c>
      <c r="T302" s="46">
        <v>0</v>
      </c>
      <c r="U302" s="46">
        <v>5758000</v>
      </c>
      <c r="V302" s="46">
        <v>52</v>
      </c>
      <c r="W302" s="46">
        <v>0</v>
      </c>
      <c r="X302" s="46">
        <v>0</v>
      </c>
      <c r="Y302" s="48">
        <v>69945000</v>
      </c>
      <c r="Z302" s="46">
        <v>711</v>
      </c>
      <c r="AA302" s="46">
        <v>0</v>
      </c>
      <c r="AB302" s="46">
        <v>0</v>
      </c>
      <c r="AC302" s="46">
        <v>78413000</v>
      </c>
      <c r="AD302" s="46">
        <v>790</v>
      </c>
      <c r="AF302" s="47">
        <f t="shared" si="4"/>
        <v>8468000</v>
      </c>
    </row>
    <row r="303" spans="1:32" x14ac:dyDescent="0.3">
      <c r="A303" s="46" t="s">
        <v>612</v>
      </c>
      <c r="B303" s="46" t="str">
        <f>IFERROR(VLOOKUP($H303,매장구분!$B:$Z,2,0),"")</f>
        <v>리테일채널팀</v>
      </c>
      <c r="C303" s="46" t="str">
        <f>IFERROR(VLOOKUP($H303,매장구분!$B:$Z,3,0),"")</f>
        <v>국내</v>
      </c>
      <c r="D303" s="46" t="str">
        <f>IFERROR(VLOOKUP($H303,매장구분!$B:$Z,5,0),"")</f>
        <v>대리점</v>
      </c>
      <c r="E303" s="46" t="str">
        <f>IFERROR(VLOOKUP($H303,매장구분!$B:$Z,9,0),"")</f>
        <v>홍성(대-위)</v>
      </c>
      <c r="G303" s="46" t="s">
        <v>418</v>
      </c>
      <c r="H303" s="46" t="s">
        <v>419</v>
      </c>
      <c r="I303" s="46" t="s">
        <v>169</v>
      </c>
      <c r="J303" s="46" t="s">
        <v>79</v>
      </c>
      <c r="K303" s="46" t="s">
        <v>170</v>
      </c>
      <c r="L303" s="46" t="s">
        <v>171</v>
      </c>
      <c r="M303" s="46" t="s">
        <v>196</v>
      </c>
      <c r="N303" s="46" t="s">
        <v>197</v>
      </c>
      <c r="O303" s="46">
        <v>10938125</v>
      </c>
      <c r="P303" s="46">
        <v>79</v>
      </c>
      <c r="Q303" s="46">
        <v>0</v>
      </c>
      <c r="R303" s="46">
        <v>0</v>
      </c>
      <c r="S303" s="46">
        <v>0</v>
      </c>
      <c r="T303" s="46">
        <v>0</v>
      </c>
      <c r="U303" s="46">
        <v>-1069744</v>
      </c>
      <c r="V303" s="46">
        <v>-9</v>
      </c>
      <c r="W303" s="46">
        <v>0</v>
      </c>
      <c r="X303" s="46">
        <v>0</v>
      </c>
      <c r="Y303" s="48">
        <v>1887244</v>
      </c>
      <c r="Z303" s="46">
        <v>16</v>
      </c>
      <c r="AA303" s="46">
        <v>0</v>
      </c>
      <c r="AB303" s="46">
        <v>0</v>
      </c>
      <c r="AC303" s="46">
        <v>11755625</v>
      </c>
      <c r="AD303" s="46">
        <v>86</v>
      </c>
      <c r="AF303" s="47">
        <f t="shared" si="4"/>
        <v>9868381</v>
      </c>
    </row>
    <row r="304" spans="1:32" x14ac:dyDescent="0.3">
      <c r="A304" s="46" t="s">
        <v>612</v>
      </c>
      <c r="B304" s="46" t="str">
        <f>IFERROR(VLOOKUP($H304,매장구분!$B:$Z,2,0),"")</f>
        <v>파트너채널팀</v>
      </c>
      <c r="C304" s="46" t="str">
        <f>IFERROR(VLOOKUP($H304,매장구분!$B:$Z,3,0),"")</f>
        <v>국내</v>
      </c>
      <c r="D304" s="46" t="str">
        <f>IFERROR(VLOOKUP($H304,매장구분!$B:$Z,5,0),"")</f>
        <v>백화점</v>
      </c>
      <c r="E304" s="46" t="str">
        <f>IFERROR(VLOOKUP($H304,매장구분!$B:$Z,9,0),"")</f>
        <v>AK분당</v>
      </c>
      <c r="G304" s="46" t="s">
        <v>582</v>
      </c>
      <c r="H304" s="46" t="s">
        <v>583</v>
      </c>
      <c r="I304" s="46" t="s">
        <v>169</v>
      </c>
      <c r="J304" s="46" t="s">
        <v>175</v>
      </c>
      <c r="K304" s="46" t="s">
        <v>170</v>
      </c>
      <c r="L304" s="46" t="s">
        <v>171</v>
      </c>
      <c r="M304" s="46" t="s">
        <v>77</v>
      </c>
      <c r="N304" s="46" t="s">
        <v>172</v>
      </c>
      <c r="O304" s="46">
        <v>6984500</v>
      </c>
      <c r="P304" s="46">
        <v>53</v>
      </c>
      <c r="Q304" s="46">
        <v>0</v>
      </c>
      <c r="R304" s="46">
        <v>0</v>
      </c>
      <c r="S304" s="46">
        <v>0</v>
      </c>
      <c r="T304" s="46">
        <v>0</v>
      </c>
      <c r="U304" s="46">
        <v>496000</v>
      </c>
      <c r="V304" s="46">
        <v>4</v>
      </c>
      <c r="W304" s="46">
        <v>0</v>
      </c>
      <c r="X304" s="46">
        <v>0</v>
      </c>
      <c r="Y304" s="48">
        <v>0</v>
      </c>
      <c r="Z304" s="46">
        <v>0</v>
      </c>
      <c r="AA304" s="46">
        <v>0</v>
      </c>
      <c r="AB304" s="46">
        <v>0</v>
      </c>
      <c r="AC304" s="46">
        <v>7480500</v>
      </c>
      <c r="AD304" s="46">
        <v>57</v>
      </c>
      <c r="AF304" s="47">
        <f t="shared" si="4"/>
        <v>7480500</v>
      </c>
    </row>
    <row r="305" spans="1:32" x14ac:dyDescent="0.3">
      <c r="A305" s="46" t="s">
        <v>612</v>
      </c>
      <c r="B305" s="46" t="str">
        <f>IFERROR(VLOOKUP($H305,매장구분!$B:$Z,2,0),"")</f>
        <v>리테일채널팀</v>
      </c>
      <c r="C305" s="46" t="str">
        <f>IFERROR(VLOOKUP($H305,매장구분!$B:$Z,3,0),"")</f>
        <v>국내</v>
      </c>
      <c r="D305" s="46" t="str">
        <f>IFERROR(VLOOKUP($H305,매장구분!$B:$Z,5,0),"")</f>
        <v>대리점</v>
      </c>
      <c r="E305" s="46" t="str">
        <f>IFERROR(VLOOKUP($H305,매장구분!$B:$Z,9,0),"")</f>
        <v>경산(대-위)</v>
      </c>
      <c r="G305" s="46" t="s">
        <v>556</v>
      </c>
      <c r="H305" s="46" t="s">
        <v>557</v>
      </c>
      <c r="I305" s="46" t="s">
        <v>169</v>
      </c>
      <c r="J305" s="46" t="s">
        <v>79</v>
      </c>
      <c r="K305" s="46" t="s">
        <v>170</v>
      </c>
      <c r="L305" s="46" t="s">
        <v>171</v>
      </c>
      <c r="M305" s="46" t="s">
        <v>196</v>
      </c>
      <c r="N305" s="46" t="s">
        <v>197</v>
      </c>
      <c r="O305" s="46">
        <v>10132000</v>
      </c>
      <c r="P305" s="46">
        <v>82</v>
      </c>
      <c r="Q305" s="46">
        <v>0</v>
      </c>
      <c r="R305" s="46">
        <v>0</v>
      </c>
      <c r="S305" s="46">
        <v>0</v>
      </c>
      <c r="T305" s="46">
        <v>0</v>
      </c>
      <c r="U305" s="46">
        <v>405200</v>
      </c>
      <c r="V305" s="46">
        <v>2</v>
      </c>
      <c r="W305" s="46">
        <v>0</v>
      </c>
      <c r="X305" s="46">
        <v>0</v>
      </c>
      <c r="Y305" s="48">
        <v>0</v>
      </c>
      <c r="Z305" s="46">
        <v>0</v>
      </c>
      <c r="AA305" s="46">
        <v>0</v>
      </c>
      <c r="AB305" s="46">
        <v>0</v>
      </c>
      <c r="AC305" s="46">
        <v>10537200</v>
      </c>
      <c r="AD305" s="46">
        <v>84</v>
      </c>
      <c r="AF305" s="47">
        <f t="shared" si="4"/>
        <v>10537200</v>
      </c>
    </row>
    <row r="306" spans="1:32" x14ac:dyDescent="0.3">
      <c r="A306" s="46" t="s">
        <v>612</v>
      </c>
      <c r="B306" s="46" t="str">
        <f>IFERROR(VLOOKUP($H306,매장구분!$B:$Z,2,0),"")</f>
        <v>리테일채널팀</v>
      </c>
      <c r="C306" s="46" t="str">
        <f>IFERROR(VLOOKUP($H306,매장구분!$B:$Z,3,0),"")</f>
        <v>국내</v>
      </c>
      <c r="D306" s="46" t="str">
        <f>IFERROR(VLOOKUP($H306,매장구분!$B:$Z,5,0),"")</f>
        <v>대리점</v>
      </c>
      <c r="E306" s="46" t="str">
        <f>IFERROR(VLOOKUP($H306,매장구분!$B:$Z,9,0),"")</f>
        <v>인천(대-위)</v>
      </c>
      <c r="G306" s="46" t="s">
        <v>215</v>
      </c>
      <c r="H306" s="46" t="s">
        <v>216</v>
      </c>
      <c r="I306" s="46" t="s">
        <v>169</v>
      </c>
      <c r="J306" s="46" t="s">
        <v>79</v>
      </c>
      <c r="K306" s="46" t="s">
        <v>170</v>
      </c>
      <c r="L306" s="46" t="s">
        <v>171</v>
      </c>
      <c r="M306" s="46" t="s">
        <v>196</v>
      </c>
      <c r="N306" s="46" t="s">
        <v>197</v>
      </c>
      <c r="O306" s="46">
        <v>10390300</v>
      </c>
      <c r="P306" s="46">
        <v>84</v>
      </c>
      <c r="Q306" s="46">
        <v>0</v>
      </c>
      <c r="R306" s="46">
        <v>0</v>
      </c>
      <c r="S306" s="46">
        <v>0</v>
      </c>
      <c r="T306" s="46">
        <v>0</v>
      </c>
      <c r="U306" s="46">
        <v>6120000</v>
      </c>
      <c r="V306" s="46">
        <v>30</v>
      </c>
      <c r="W306" s="46">
        <v>0</v>
      </c>
      <c r="X306" s="46">
        <v>0</v>
      </c>
      <c r="Y306" s="48">
        <v>0</v>
      </c>
      <c r="Z306" s="46">
        <v>0</v>
      </c>
      <c r="AA306" s="46">
        <v>0</v>
      </c>
      <c r="AB306" s="46">
        <v>0</v>
      </c>
      <c r="AC306" s="46">
        <v>16510300</v>
      </c>
      <c r="AD306" s="46">
        <v>114</v>
      </c>
      <c r="AF306" s="47">
        <f t="shared" si="4"/>
        <v>16510300</v>
      </c>
    </row>
    <row r="307" spans="1:32" x14ac:dyDescent="0.3">
      <c r="A307" s="46" t="s">
        <v>612</v>
      </c>
      <c r="B307" s="46" t="str">
        <f>IFERROR(VLOOKUP($H307,매장구분!$B:$Z,2,0),"")</f>
        <v>리테일채널팀</v>
      </c>
      <c r="C307" s="46" t="str">
        <f>IFERROR(VLOOKUP($H307,매장구분!$B:$Z,3,0),"")</f>
        <v>국내</v>
      </c>
      <c r="D307" s="46" t="str">
        <f>IFERROR(VLOOKUP($H307,매장구분!$B:$Z,5,0),"")</f>
        <v>대리점</v>
      </c>
      <c r="E307" s="46" t="str">
        <f>IFERROR(VLOOKUP($H307,매장구분!$B:$Z,9,0),"")</f>
        <v>당진(대-위)</v>
      </c>
      <c r="G307" s="46" t="s">
        <v>462</v>
      </c>
      <c r="H307" s="46" t="s">
        <v>463</v>
      </c>
      <c r="I307" s="46" t="s">
        <v>169</v>
      </c>
      <c r="J307" s="46" t="s">
        <v>79</v>
      </c>
      <c r="K307" s="46" t="s">
        <v>170</v>
      </c>
      <c r="L307" s="46" t="s">
        <v>171</v>
      </c>
      <c r="M307" s="46" t="s">
        <v>196</v>
      </c>
      <c r="N307" s="46" t="s">
        <v>197</v>
      </c>
      <c r="O307" s="46">
        <v>12110561</v>
      </c>
      <c r="P307" s="46">
        <v>110</v>
      </c>
      <c r="Q307" s="46">
        <v>0</v>
      </c>
      <c r="R307" s="46">
        <v>0</v>
      </c>
      <c r="S307" s="46">
        <v>0</v>
      </c>
      <c r="T307" s="46">
        <v>0</v>
      </c>
      <c r="U307" s="46">
        <v>942000</v>
      </c>
      <c r="V307" s="46">
        <v>8</v>
      </c>
      <c r="W307" s="46">
        <v>0</v>
      </c>
      <c r="X307" s="46">
        <v>0</v>
      </c>
      <c r="Y307" s="48">
        <v>0</v>
      </c>
      <c r="Z307" s="46">
        <v>0</v>
      </c>
      <c r="AA307" s="46">
        <v>0</v>
      </c>
      <c r="AB307" s="46">
        <v>0</v>
      </c>
      <c r="AC307" s="46">
        <v>13052561</v>
      </c>
      <c r="AD307" s="46">
        <v>118</v>
      </c>
      <c r="AF307" s="47">
        <f t="shared" si="4"/>
        <v>13052561</v>
      </c>
    </row>
    <row r="308" spans="1:32" x14ac:dyDescent="0.3">
      <c r="A308" s="46" t="s">
        <v>612</v>
      </c>
      <c r="B308" s="46" t="str">
        <f>IFERROR(VLOOKUP($H308,매장구분!$B:$Z,2,0),"")</f>
        <v>리테일채널팀</v>
      </c>
      <c r="C308" s="46" t="str">
        <f>IFERROR(VLOOKUP($H308,매장구분!$B:$Z,3,0),"")</f>
        <v>국내</v>
      </c>
      <c r="D308" s="46" t="str">
        <f>IFERROR(VLOOKUP($H308,매장구분!$B:$Z,5,0),"")</f>
        <v>대리점</v>
      </c>
      <c r="E308" s="46" t="str">
        <f>IFERROR(VLOOKUP($H308,매장구분!$B:$Z,9,0),"")</f>
        <v>부천(대-위)</v>
      </c>
      <c r="G308" s="46" t="s">
        <v>530</v>
      </c>
      <c r="H308" s="46" t="s">
        <v>531</v>
      </c>
      <c r="I308" s="46" t="s">
        <v>169</v>
      </c>
      <c r="J308" s="46" t="s">
        <v>79</v>
      </c>
      <c r="K308" s="46" t="s">
        <v>170</v>
      </c>
      <c r="L308" s="46" t="s">
        <v>171</v>
      </c>
      <c r="M308" s="46" t="s">
        <v>196</v>
      </c>
      <c r="N308" s="46" t="s">
        <v>197</v>
      </c>
      <c r="O308" s="46">
        <v>17223300</v>
      </c>
      <c r="P308" s="46">
        <v>172</v>
      </c>
      <c r="Q308" s="46">
        <v>0</v>
      </c>
      <c r="R308" s="46">
        <v>0</v>
      </c>
      <c r="S308" s="46">
        <v>0</v>
      </c>
      <c r="T308" s="46">
        <v>0</v>
      </c>
      <c r="U308" s="46">
        <v>9325000</v>
      </c>
      <c r="V308" s="46">
        <v>25</v>
      </c>
      <c r="W308" s="46">
        <v>0</v>
      </c>
      <c r="X308" s="46">
        <v>0</v>
      </c>
      <c r="Y308" s="48">
        <v>2541000</v>
      </c>
      <c r="Z308" s="46">
        <v>24</v>
      </c>
      <c r="AA308" s="46">
        <v>0</v>
      </c>
      <c r="AB308" s="46">
        <v>0</v>
      </c>
      <c r="AC308" s="46">
        <v>29089300</v>
      </c>
      <c r="AD308" s="46">
        <v>221</v>
      </c>
      <c r="AF308" s="47">
        <f t="shared" si="4"/>
        <v>26548300</v>
      </c>
    </row>
    <row r="309" spans="1:32" x14ac:dyDescent="0.3">
      <c r="A309" s="46" t="s">
        <v>612</v>
      </c>
      <c r="B309" s="46" t="str">
        <f>IFERROR(VLOOKUP($H309,매장구분!$B:$Z,2,0),"")</f>
        <v>E-biz</v>
      </c>
      <c r="C309" s="46" t="str">
        <f>IFERROR(VLOOKUP($H309,매장구분!$B:$Z,3,0),"")</f>
        <v>국내</v>
      </c>
      <c r="D309" s="46" t="str">
        <f>IFERROR(VLOOKUP($H309,매장구분!$B:$Z,5,0),"")</f>
        <v>온(제휴몰)</v>
      </c>
      <c r="E309" s="46" t="str">
        <f>IFERROR(VLOOKUP($H309,매장구분!$B:$Z,9,0),"")</f>
        <v>GS SHOP(제휴몰)</v>
      </c>
      <c r="G309" s="46" t="s">
        <v>550</v>
      </c>
      <c r="H309" s="46" t="s">
        <v>551</v>
      </c>
      <c r="I309" s="46" t="s">
        <v>169</v>
      </c>
      <c r="J309" s="46" t="s">
        <v>180</v>
      </c>
      <c r="K309" s="46" t="s">
        <v>170</v>
      </c>
      <c r="L309" s="46" t="s">
        <v>181</v>
      </c>
      <c r="M309" s="46" t="s">
        <v>181</v>
      </c>
      <c r="N309" s="46" t="s">
        <v>185</v>
      </c>
      <c r="O309" s="46">
        <v>21205500</v>
      </c>
      <c r="P309" s="46">
        <v>206</v>
      </c>
      <c r="Q309" s="46">
        <v>0</v>
      </c>
      <c r="R309" s="46">
        <v>0</v>
      </c>
      <c r="S309" s="46">
        <v>0</v>
      </c>
      <c r="T309" s="46">
        <v>0</v>
      </c>
      <c r="U309" s="46">
        <v>0</v>
      </c>
      <c r="V309" s="46">
        <v>0</v>
      </c>
      <c r="W309" s="46">
        <v>0</v>
      </c>
      <c r="X309" s="46">
        <v>0</v>
      </c>
      <c r="Y309" s="48">
        <v>0</v>
      </c>
      <c r="Z309" s="46">
        <v>0</v>
      </c>
      <c r="AA309" s="46">
        <v>0</v>
      </c>
      <c r="AB309" s="46">
        <v>0</v>
      </c>
      <c r="AC309" s="46">
        <v>21205500</v>
      </c>
      <c r="AD309" s="46">
        <v>206</v>
      </c>
      <c r="AF309" s="47">
        <f t="shared" si="4"/>
        <v>21205500</v>
      </c>
    </row>
    <row r="310" spans="1:32" x14ac:dyDescent="0.3">
      <c r="A310" s="46" t="s">
        <v>612</v>
      </c>
      <c r="B310" s="46" t="str">
        <f>IFERROR(VLOOKUP($H310,매장구분!$B:$Z,2,0),"")</f>
        <v>E-biz</v>
      </c>
      <c r="C310" s="46" t="str">
        <f>IFERROR(VLOOKUP($H310,매장구분!$B:$Z,3,0),"")</f>
        <v>국내</v>
      </c>
      <c r="D310" s="46" t="str">
        <f>IFERROR(VLOOKUP($H310,매장구분!$B:$Z,5,0),"")</f>
        <v>온(제휴몰)</v>
      </c>
      <c r="E310" s="46" t="str">
        <f>IFERROR(VLOOKUP($H310,매장구분!$B:$Z,9,0),"")</f>
        <v>MLB 글로벌</v>
      </c>
      <c r="G310" s="46" t="s">
        <v>578</v>
      </c>
      <c r="H310" s="46" t="s">
        <v>579</v>
      </c>
      <c r="I310" s="46" t="s">
        <v>169</v>
      </c>
      <c r="J310" s="46" t="s">
        <v>180</v>
      </c>
      <c r="K310" s="46" t="s">
        <v>170</v>
      </c>
      <c r="L310" s="46" t="s">
        <v>181</v>
      </c>
      <c r="M310" s="46" t="s">
        <v>181</v>
      </c>
      <c r="N310" s="46" t="s">
        <v>182</v>
      </c>
      <c r="O310" s="46">
        <v>1034030</v>
      </c>
      <c r="P310" s="46">
        <v>8</v>
      </c>
      <c r="Q310" s="46">
        <v>0</v>
      </c>
      <c r="R310" s="46">
        <v>0</v>
      </c>
      <c r="S310" s="46">
        <v>0</v>
      </c>
      <c r="T310" s="46">
        <v>0</v>
      </c>
      <c r="U310" s="46">
        <v>0</v>
      </c>
      <c r="V310" s="46">
        <v>0</v>
      </c>
      <c r="W310" s="46">
        <v>0</v>
      </c>
      <c r="X310" s="46">
        <v>0</v>
      </c>
      <c r="Y310" s="48">
        <v>0</v>
      </c>
      <c r="Z310" s="46">
        <v>0</v>
      </c>
      <c r="AA310" s="46">
        <v>0</v>
      </c>
      <c r="AB310" s="46">
        <v>0</v>
      </c>
      <c r="AC310" s="46">
        <v>1034030</v>
      </c>
      <c r="AD310" s="46">
        <v>8</v>
      </c>
      <c r="AF310" s="47">
        <f t="shared" si="4"/>
        <v>1034030</v>
      </c>
    </row>
    <row r="311" spans="1:32" x14ac:dyDescent="0.3">
      <c r="A311" s="46" t="s">
        <v>612</v>
      </c>
      <c r="B311" s="46" t="str">
        <f>IFERROR(VLOOKUP($H311,매장구분!$B:$Z,2,0),"")</f>
        <v>리테일채널팀</v>
      </c>
      <c r="C311" s="46" t="str">
        <f>IFERROR(VLOOKUP($H311,매장구분!$B:$Z,3,0),"")</f>
        <v>국내</v>
      </c>
      <c r="D311" s="46" t="str">
        <f>IFERROR(VLOOKUP($H311,매장구분!$B:$Z,5,0),"")</f>
        <v>상설(위탁)</v>
      </c>
      <c r="E311" s="46" t="str">
        <f>IFERROR(VLOOKUP($H311,매장구분!$B:$Z,9,0),"")</f>
        <v>롯데아울렛김해(상-위)</v>
      </c>
      <c r="G311" s="46" t="s">
        <v>370</v>
      </c>
      <c r="H311" s="46" t="s">
        <v>371</v>
      </c>
      <c r="I311" s="46" t="s">
        <v>169</v>
      </c>
      <c r="J311" s="46" t="s">
        <v>79</v>
      </c>
      <c r="K311" s="46" t="s">
        <v>170</v>
      </c>
      <c r="L311" s="46" t="s">
        <v>171</v>
      </c>
      <c r="M311" s="46" t="s">
        <v>219</v>
      </c>
      <c r="N311" s="46" t="s">
        <v>219</v>
      </c>
      <c r="O311" s="46">
        <v>4788000</v>
      </c>
      <c r="P311" s="46">
        <v>133</v>
      </c>
      <c r="Q311" s="46">
        <v>0</v>
      </c>
      <c r="R311" s="46">
        <v>0</v>
      </c>
      <c r="S311" s="46">
        <v>0</v>
      </c>
      <c r="T311" s="46">
        <v>0</v>
      </c>
      <c r="U311" s="46">
        <v>0</v>
      </c>
      <c r="V311" s="46">
        <v>0</v>
      </c>
      <c r="W311" s="46">
        <v>0</v>
      </c>
      <c r="X311" s="46">
        <v>0</v>
      </c>
      <c r="Y311" s="48">
        <v>0</v>
      </c>
      <c r="Z311" s="46">
        <v>0</v>
      </c>
      <c r="AA311" s="46">
        <v>0</v>
      </c>
      <c r="AB311" s="46">
        <v>0</v>
      </c>
      <c r="AC311" s="46">
        <v>4788000</v>
      </c>
      <c r="AD311" s="46">
        <v>133</v>
      </c>
      <c r="AF311" s="47">
        <f t="shared" si="4"/>
        <v>4788000</v>
      </c>
    </row>
    <row r="312" spans="1:32" x14ac:dyDescent="0.3">
      <c r="A312" s="46" t="s">
        <v>612</v>
      </c>
      <c r="B312" s="46" t="str">
        <f>IFERROR(VLOOKUP($H312,매장구분!$B:$Z,2,0),"")</f>
        <v>리테일채널팀</v>
      </c>
      <c r="C312" s="46" t="str">
        <f>IFERROR(VLOOKUP($H312,매장구분!$B:$Z,3,0),"")</f>
        <v>국내</v>
      </c>
      <c r="D312" s="46" t="str">
        <f>IFERROR(VLOOKUP($H312,매장구분!$B:$Z,5,0),"")</f>
        <v>상설(위탁)</v>
      </c>
      <c r="E312" s="46" t="str">
        <f>IFERROR(VLOOKUP($H312,매장구분!$B:$Z,9,0),"")</f>
        <v>롯데아울렛율하(상-위)</v>
      </c>
      <c r="G312" s="46" t="s">
        <v>610</v>
      </c>
      <c r="H312" s="46" t="s">
        <v>611</v>
      </c>
      <c r="I312" s="46" t="s">
        <v>169</v>
      </c>
      <c r="J312" s="46" t="s">
        <v>79</v>
      </c>
      <c r="K312" s="46" t="s">
        <v>170</v>
      </c>
      <c r="L312" s="46" t="s">
        <v>171</v>
      </c>
      <c r="M312" s="46" t="s">
        <v>219</v>
      </c>
      <c r="N312" s="46" t="s">
        <v>219</v>
      </c>
      <c r="O312" s="46">
        <v>612000</v>
      </c>
      <c r="P312" s="46">
        <v>17</v>
      </c>
      <c r="Q312" s="46">
        <v>0</v>
      </c>
      <c r="R312" s="46">
        <v>0</v>
      </c>
      <c r="S312" s="46">
        <v>0</v>
      </c>
      <c r="T312" s="46">
        <v>0</v>
      </c>
      <c r="U312" s="46">
        <v>0</v>
      </c>
      <c r="V312" s="46">
        <v>0</v>
      </c>
      <c r="W312" s="46">
        <v>0</v>
      </c>
      <c r="X312" s="46">
        <v>0</v>
      </c>
      <c r="Y312" s="48">
        <v>0</v>
      </c>
      <c r="Z312" s="46">
        <v>0</v>
      </c>
      <c r="AA312" s="46">
        <v>0</v>
      </c>
      <c r="AB312" s="46">
        <v>0</v>
      </c>
      <c r="AC312" s="46">
        <v>612000</v>
      </c>
      <c r="AD312" s="46">
        <v>17</v>
      </c>
      <c r="AF312" s="47">
        <f t="shared" si="4"/>
        <v>612000</v>
      </c>
    </row>
    <row r="313" spans="1:32" x14ac:dyDescent="0.3">
      <c r="A313" s="46" t="s">
        <v>612</v>
      </c>
      <c r="B313" s="46" t="str">
        <f>IFERROR(VLOOKUP($H313,매장구분!$B:$Z,2,0),"")</f>
        <v>리테일채널팀</v>
      </c>
      <c r="C313" s="46" t="str">
        <f>IFERROR(VLOOKUP($H313,매장구분!$B:$Z,3,0),"")</f>
        <v>국내</v>
      </c>
      <c r="D313" s="46" t="str">
        <f>IFERROR(VLOOKUP($H313,매장구분!$B:$Z,5,0),"")</f>
        <v>상설(위탁)</v>
      </c>
      <c r="E313" s="46" t="str">
        <f>IFERROR(VLOOKUP($H313,매장구분!$B:$Z,9,0),"")</f>
        <v>롯데아울렛진주(상-위)</v>
      </c>
      <c r="G313" s="46" t="s">
        <v>528</v>
      </c>
      <c r="H313" s="46" t="s">
        <v>529</v>
      </c>
      <c r="I313" s="46" t="s">
        <v>169</v>
      </c>
      <c r="J313" s="46" t="s">
        <v>79</v>
      </c>
      <c r="K313" s="46" t="s">
        <v>170</v>
      </c>
      <c r="L313" s="46" t="s">
        <v>171</v>
      </c>
      <c r="M313" s="46" t="s">
        <v>219</v>
      </c>
      <c r="N313" s="46" t="s">
        <v>219</v>
      </c>
      <c r="O313" s="46">
        <v>1332000</v>
      </c>
      <c r="P313" s="46">
        <v>37</v>
      </c>
      <c r="Q313" s="46">
        <v>0</v>
      </c>
      <c r="R313" s="46">
        <v>0</v>
      </c>
      <c r="S313" s="46">
        <v>0</v>
      </c>
      <c r="T313" s="46">
        <v>0</v>
      </c>
      <c r="U313" s="46">
        <v>0</v>
      </c>
      <c r="V313" s="46">
        <v>0</v>
      </c>
      <c r="W313" s="46">
        <v>0</v>
      </c>
      <c r="X313" s="46">
        <v>0</v>
      </c>
      <c r="Y313" s="48">
        <v>0</v>
      </c>
      <c r="Z313" s="46">
        <v>0</v>
      </c>
      <c r="AA313" s="46">
        <v>0</v>
      </c>
      <c r="AB313" s="46">
        <v>0</v>
      </c>
      <c r="AC313" s="46">
        <v>1332000</v>
      </c>
      <c r="AD313" s="46">
        <v>37</v>
      </c>
      <c r="AF313" s="47">
        <f t="shared" si="4"/>
        <v>1332000</v>
      </c>
    </row>
    <row r="314" spans="1:32" x14ac:dyDescent="0.3">
      <c r="A314" s="46" t="s">
        <v>612</v>
      </c>
      <c r="B314" s="46" t="str">
        <f>IFERROR(VLOOKUP($H314,매장구분!$B:$Z,2,0),"")</f>
        <v>리테일채널팀</v>
      </c>
      <c r="C314" s="46" t="str">
        <f>IFERROR(VLOOKUP($H314,매장구분!$B:$Z,3,0),"")</f>
        <v>국내</v>
      </c>
      <c r="D314" s="46" t="str">
        <f>IFERROR(VLOOKUP($H314,매장구분!$B:$Z,5,0),"")</f>
        <v>상설(위탁)</v>
      </c>
      <c r="E314" s="46" t="str">
        <f>IFERROR(VLOOKUP($H314,매장구분!$B:$Z,9,0),"")</f>
        <v>현대아울렛가산(상-위)</v>
      </c>
      <c r="G314" s="46" t="s">
        <v>285</v>
      </c>
      <c r="H314" s="46" t="s">
        <v>286</v>
      </c>
      <c r="I314" s="46" t="s">
        <v>169</v>
      </c>
      <c r="J314" s="46" t="s">
        <v>79</v>
      </c>
      <c r="K314" s="46" t="s">
        <v>170</v>
      </c>
      <c r="L314" s="46" t="s">
        <v>171</v>
      </c>
      <c r="M314" s="46" t="s">
        <v>219</v>
      </c>
      <c r="N314" s="46" t="s">
        <v>219</v>
      </c>
      <c r="O314" s="46">
        <v>864000</v>
      </c>
      <c r="P314" s="46">
        <v>24</v>
      </c>
      <c r="Q314" s="46">
        <v>0</v>
      </c>
      <c r="R314" s="46">
        <v>0</v>
      </c>
      <c r="S314" s="46">
        <v>0</v>
      </c>
      <c r="T314" s="46">
        <v>0</v>
      </c>
      <c r="U314" s="46">
        <v>0</v>
      </c>
      <c r="V314" s="46">
        <v>0</v>
      </c>
      <c r="W314" s="46">
        <v>0</v>
      </c>
      <c r="X314" s="46">
        <v>0</v>
      </c>
      <c r="Y314" s="48">
        <v>0</v>
      </c>
      <c r="Z314" s="46">
        <v>0</v>
      </c>
      <c r="AA314" s="46">
        <v>0</v>
      </c>
      <c r="AB314" s="46">
        <v>0</v>
      </c>
      <c r="AC314" s="46">
        <v>864000</v>
      </c>
      <c r="AD314" s="46">
        <v>24</v>
      </c>
      <c r="AF314" s="47">
        <f t="shared" si="4"/>
        <v>864000</v>
      </c>
    </row>
    <row r="315" spans="1:32" x14ac:dyDescent="0.3">
      <c r="A315" s="46" t="s">
        <v>612</v>
      </c>
      <c r="B315" s="46" t="str">
        <f>IFERROR(VLOOKUP($H315,매장구분!$B:$Z,2,0),"")</f>
        <v>리테일채널팀</v>
      </c>
      <c r="C315" s="46" t="str">
        <f>IFERROR(VLOOKUP($H315,매장구분!$B:$Z,3,0),"")</f>
        <v>국내</v>
      </c>
      <c r="D315" s="46" t="str">
        <f>IFERROR(VLOOKUP($H315,매장구분!$B:$Z,5,0),"")</f>
        <v>대리점</v>
      </c>
      <c r="E315" s="46" t="str">
        <f>IFERROR(VLOOKUP($H315,매장구분!$B:$Z,9,0),"")</f>
        <v>영주(대-위)</v>
      </c>
      <c r="G315" s="46" t="s">
        <v>392</v>
      </c>
      <c r="H315" s="46" t="s">
        <v>393</v>
      </c>
      <c r="I315" s="46" t="s">
        <v>169</v>
      </c>
      <c r="J315" s="46" t="s">
        <v>79</v>
      </c>
      <c r="K315" s="46" t="s">
        <v>170</v>
      </c>
      <c r="L315" s="46" t="s">
        <v>171</v>
      </c>
      <c r="M315" s="46" t="s">
        <v>196</v>
      </c>
      <c r="N315" s="46" t="s">
        <v>197</v>
      </c>
      <c r="O315" s="46">
        <v>6877750</v>
      </c>
      <c r="P315" s="46">
        <v>68</v>
      </c>
      <c r="Q315" s="46">
        <v>0</v>
      </c>
      <c r="R315" s="46">
        <v>0</v>
      </c>
      <c r="S315" s="46">
        <v>0</v>
      </c>
      <c r="T315" s="46">
        <v>0</v>
      </c>
      <c r="U315" s="46">
        <v>3243500</v>
      </c>
      <c r="V315" s="46">
        <v>22</v>
      </c>
      <c r="W315" s="46">
        <v>0</v>
      </c>
      <c r="X315" s="46">
        <v>0</v>
      </c>
      <c r="Y315" s="48">
        <v>0</v>
      </c>
      <c r="Z315" s="46">
        <v>0</v>
      </c>
      <c r="AA315" s="46">
        <v>0</v>
      </c>
      <c r="AB315" s="46">
        <v>0</v>
      </c>
      <c r="AC315" s="46">
        <v>10121250</v>
      </c>
      <c r="AD315" s="46">
        <v>90</v>
      </c>
      <c r="AF315" s="47">
        <f t="shared" si="4"/>
        <v>10121250</v>
      </c>
    </row>
    <row r="316" spans="1:32" x14ac:dyDescent="0.3">
      <c r="A316" s="46" t="s">
        <v>612</v>
      </c>
      <c r="B316" s="46" t="str">
        <f>IFERROR(VLOOKUP($H316,매장구분!$B:$Z,2,0),"")</f>
        <v>파트너채널팀</v>
      </c>
      <c r="C316" s="46" t="str">
        <f>IFERROR(VLOOKUP($H316,매장구분!$B:$Z,3,0),"")</f>
        <v>국내</v>
      </c>
      <c r="D316" s="46" t="str">
        <f>IFERROR(VLOOKUP($H316,매장구분!$B:$Z,5,0),"")</f>
        <v>백화점</v>
      </c>
      <c r="E316" s="46" t="str">
        <f>IFERROR(VLOOKUP($H316,매장구분!$B:$Z,9,0),"")</f>
        <v>롯데김포</v>
      </c>
      <c r="G316" s="46" t="s">
        <v>190</v>
      </c>
      <c r="H316" s="46" t="s">
        <v>191</v>
      </c>
      <c r="I316" s="46" t="s">
        <v>169</v>
      </c>
      <c r="J316" s="46" t="s">
        <v>175</v>
      </c>
      <c r="K316" s="46" t="s">
        <v>170</v>
      </c>
      <c r="L316" s="46" t="s">
        <v>171</v>
      </c>
      <c r="M316" s="46" t="s">
        <v>77</v>
      </c>
      <c r="N316" s="46" t="s">
        <v>172</v>
      </c>
      <c r="O316" s="46">
        <v>24764100</v>
      </c>
      <c r="P316" s="46">
        <v>285</v>
      </c>
      <c r="Q316" s="46">
        <v>0</v>
      </c>
      <c r="R316" s="46">
        <v>0</v>
      </c>
      <c r="S316" s="46">
        <v>0</v>
      </c>
      <c r="T316" s="46">
        <v>0</v>
      </c>
      <c r="U316" s="46">
        <v>4797000</v>
      </c>
      <c r="V316" s="46">
        <v>21</v>
      </c>
      <c r="W316" s="46">
        <v>0</v>
      </c>
      <c r="X316" s="46">
        <v>0</v>
      </c>
      <c r="Y316" s="48">
        <v>0</v>
      </c>
      <c r="Z316" s="46">
        <v>0</v>
      </c>
      <c r="AA316" s="46">
        <v>0</v>
      </c>
      <c r="AB316" s="46">
        <v>0</v>
      </c>
      <c r="AC316" s="46">
        <v>29561100</v>
      </c>
      <c r="AD316" s="46">
        <v>306</v>
      </c>
      <c r="AF316" s="47">
        <f t="shared" si="4"/>
        <v>29561100</v>
      </c>
    </row>
    <row r="317" spans="1:32" x14ac:dyDescent="0.3">
      <c r="A317" s="46" t="s">
        <v>612</v>
      </c>
      <c r="B317" s="46" t="str">
        <f>IFERROR(VLOOKUP($H317,매장구분!$B:$Z,2,0),"")</f>
        <v>리테일채널팀</v>
      </c>
      <c r="C317" s="46" t="str">
        <f>IFERROR(VLOOKUP($H317,매장구분!$B:$Z,3,0),"")</f>
        <v>국내</v>
      </c>
      <c r="D317" s="46" t="str">
        <f>IFERROR(VLOOKUP($H317,매장구분!$B:$Z,5,0),"")</f>
        <v>대리점</v>
      </c>
      <c r="E317" s="46" t="str">
        <f>IFERROR(VLOOKUP($H317,매장구분!$B:$Z,9,0),"")</f>
        <v>포항(대-위)</v>
      </c>
      <c r="G317" s="46" t="s">
        <v>338</v>
      </c>
      <c r="H317" s="46" t="s">
        <v>339</v>
      </c>
      <c r="I317" s="46" t="s">
        <v>169</v>
      </c>
      <c r="J317" s="46" t="s">
        <v>79</v>
      </c>
      <c r="K317" s="46" t="s">
        <v>170</v>
      </c>
      <c r="L317" s="46" t="s">
        <v>171</v>
      </c>
      <c r="M317" s="46" t="s">
        <v>196</v>
      </c>
      <c r="N317" s="46" t="s">
        <v>197</v>
      </c>
      <c r="O317" s="46">
        <v>16949710</v>
      </c>
      <c r="P317" s="46">
        <v>165</v>
      </c>
      <c r="Q317" s="46">
        <v>0</v>
      </c>
      <c r="R317" s="46">
        <v>0</v>
      </c>
      <c r="S317" s="46">
        <v>0</v>
      </c>
      <c r="T317" s="46">
        <v>0</v>
      </c>
      <c r="U317" s="46">
        <v>631400</v>
      </c>
      <c r="V317" s="46">
        <v>5</v>
      </c>
      <c r="W317" s="46">
        <v>0</v>
      </c>
      <c r="X317" s="46">
        <v>0</v>
      </c>
      <c r="Y317" s="48">
        <v>0</v>
      </c>
      <c r="Z317" s="46">
        <v>0</v>
      </c>
      <c r="AA317" s="46">
        <v>0</v>
      </c>
      <c r="AB317" s="46">
        <v>0</v>
      </c>
      <c r="AC317" s="46">
        <v>17581110</v>
      </c>
      <c r="AD317" s="46">
        <v>170</v>
      </c>
      <c r="AF317" s="47">
        <f t="shared" si="4"/>
        <v>17581110</v>
      </c>
    </row>
    <row r="318" spans="1:32" x14ac:dyDescent="0.3">
      <c r="A318" s="46" t="s">
        <v>612</v>
      </c>
      <c r="B318" s="46" t="str">
        <f>IFERROR(VLOOKUP($H318,매장구분!$B:$Z,2,0),"")</f>
        <v>파트너채널팀</v>
      </c>
      <c r="C318" s="46" t="str">
        <f>IFERROR(VLOOKUP($H318,매장구분!$B:$Z,3,0),"")</f>
        <v>국내</v>
      </c>
      <c r="D318" s="46" t="str">
        <f>IFERROR(VLOOKUP($H318,매장구분!$B:$Z,5,0),"")</f>
        <v>백화점</v>
      </c>
      <c r="E318" s="46" t="str">
        <f>IFERROR(VLOOKUP($H318,매장구분!$B:$Z,9,0),"")</f>
        <v>신세계센텀</v>
      </c>
      <c r="G318" s="46" t="s">
        <v>301</v>
      </c>
      <c r="H318" s="46" t="s">
        <v>302</v>
      </c>
      <c r="I318" s="46" t="s">
        <v>169</v>
      </c>
      <c r="J318" s="46" t="s">
        <v>175</v>
      </c>
      <c r="K318" s="46" t="s">
        <v>170</v>
      </c>
      <c r="L318" s="46" t="s">
        <v>171</v>
      </c>
      <c r="M318" s="46" t="s">
        <v>77</v>
      </c>
      <c r="N318" s="46" t="s">
        <v>172</v>
      </c>
      <c r="O318" s="46">
        <v>99955600</v>
      </c>
      <c r="P318" s="46">
        <v>817</v>
      </c>
      <c r="Q318" s="46">
        <v>0</v>
      </c>
      <c r="R318" s="46">
        <v>0</v>
      </c>
      <c r="S318" s="46">
        <v>0</v>
      </c>
      <c r="T318" s="46">
        <v>0</v>
      </c>
      <c r="U318" s="46">
        <v>457000</v>
      </c>
      <c r="V318" s="46">
        <v>3</v>
      </c>
      <c r="W318" s="46">
        <v>0</v>
      </c>
      <c r="X318" s="46">
        <v>0</v>
      </c>
      <c r="Y318" s="48">
        <v>0</v>
      </c>
      <c r="Z318" s="46">
        <v>0</v>
      </c>
      <c r="AA318" s="46">
        <v>0</v>
      </c>
      <c r="AB318" s="46">
        <v>0</v>
      </c>
      <c r="AC318" s="46">
        <v>100412600</v>
      </c>
      <c r="AD318" s="46">
        <v>820</v>
      </c>
      <c r="AF318" s="47">
        <f t="shared" si="4"/>
        <v>100412600</v>
      </c>
    </row>
    <row r="319" spans="1:32" hidden="1" x14ac:dyDescent="0.3">
      <c r="A319" s="46" t="s">
        <v>612</v>
      </c>
      <c r="B319" s="46" t="str">
        <f>IFERROR(VLOOKUP($H319,매장구분!$B:$Z,2,0),"")</f>
        <v>파트너채널팀</v>
      </c>
      <c r="C319" s="46" t="str">
        <f>IFERROR(VLOOKUP($H319,매장구분!$B:$Z,3,0),"")</f>
        <v>면세</v>
      </c>
      <c r="D319" s="46" t="str">
        <f>IFERROR(VLOOKUP($H319,매장구분!$B:$Z,5,0),"")</f>
        <v>면세</v>
      </c>
      <c r="E319" s="46" t="str">
        <f>IFERROR(VLOOKUP($H319,매장구분!$B:$Z,9,0),"")</f>
        <v>롯데면세소공</v>
      </c>
      <c r="G319" s="46" t="s">
        <v>384</v>
      </c>
      <c r="H319" s="46" t="s">
        <v>385</v>
      </c>
      <c r="I319" s="46" t="s">
        <v>169</v>
      </c>
      <c r="J319" s="46" t="s">
        <v>175</v>
      </c>
      <c r="K319" s="46" t="s">
        <v>170</v>
      </c>
      <c r="L319" s="46" t="s">
        <v>171</v>
      </c>
      <c r="M319" s="46" t="s">
        <v>176</v>
      </c>
      <c r="N319" s="46" t="s">
        <v>177</v>
      </c>
      <c r="O319" s="46">
        <v>191512900</v>
      </c>
      <c r="P319" s="46">
        <v>2610</v>
      </c>
      <c r="Q319" s="46">
        <v>0</v>
      </c>
      <c r="R319" s="46">
        <v>0</v>
      </c>
      <c r="S319" s="46">
        <v>0</v>
      </c>
      <c r="T319" s="46">
        <v>0</v>
      </c>
      <c r="U319" s="46">
        <v>0</v>
      </c>
      <c r="V319" s="46">
        <v>0</v>
      </c>
      <c r="W319" s="46">
        <v>0</v>
      </c>
      <c r="X319" s="46">
        <v>0</v>
      </c>
      <c r="Y319" s="48">
        <v>364772500</v>
      </c>
      <c r="Z319" s="46">
        <v>6001</v>
      </c>
      <c r="AA319" s="46">
        <v>0</v>
      </c>
      <c r="AB319" s="46">
        <v>0</v>
      </c>
      <c r="AC319" s="46">
        <v>556285400</v>
      </c>
      <c r="AD319" s="46">
        <v>8611</v>
      </c>
      <c r="AF319" s="47">
        <f t="shared" si="4"/>
        <v>191512900</v>
      </c>
    </row>
    <row r="320" spans="1:32" x14ac:dyDescent="0.3">
      <c r="A320" s="46" t="s">
        <v>612</v>
      </c>
      <c r="B320" s="46" t="str">
        <f>IFERROR(VLOOKUP($H320,매장구분!$B:$Z,2,0),"")</f>
        <v>파트너채널팀</v>
      </c>
      <c r="C320" s="46" t="str">
        <f>IFERROR(VLOOKUP($H320,매장구분!$B:$Z,3,0),"")</f>
        <v>국내</v>
      </c>
      <c r="D320" s="46" t="str">
        <f>IFERROR(VLOOKUP($H320,매장구분!$B:$Z,5,0),"")</f>
        <v>백화점</v>
      </c>
      <c r="E320" s="46" t="str">
        <f>IFERROR(VLOOKUP($H320,매장구분!$B:$Z,9,0),"")</f>
        <v>롯데부산</v>
      </c>
      <c r="G320" s="46" t="s">
        <v>452</v>
      </c>
      <c r="H320" s="46" t="s">
        <v>453</v>
      </c>
      <c r="I320" s="46" t="s">
        <v>169</v>
      </c>
      <c r="J320" s="46" t="s">
        <v>175</v>
      </c>
      <c r="K320" s="46" t="s">
        <v>170</v>
      </c>
      <c r="L320" s="46" t="s">
        <v>171</v>
      </c>
      <c r="M320" s="46" t="s">
        <v>77</v>
      </c>
      <c r="N320" s="46" t="s">
        <v>172</v>
      </c>
      <c r="O320" s="46">
        <v>19543200</v>
      </c>
      <c r="P320" s="46">
        <v>260</v>
      </c>
      <c r="Q320" s="46">
        <v>0</v>
      </c>
      <c r="R320" s="46">
        <v>0</v>
      </c>
      <c r="S320" s="46">
        <v>0</v>
      </c>
      <c r="T320" s="46">
        <v>0</v>
      </c>
      <c r="U320" s="46">
        <v>616100</v>
      </c>
      <c r="V320" s="46">
        <v>4</v>
      </c>
      <c r="W320" s="46">
        <v>0</v>
      </c>
      <c r="X320" s="46">
        <v>0</v>
      </c>
      <c r="Y320" s="48">
        <v>88372800</v>
      </c>
      <c r="Z320" s="46">
        <v>710</v>
      </c>
      <c r="AA320" s="46">
        <v>0</v>
      </c>
      <c r="AB320" s="46">
        <v>0</v>
      </c>
      <c r="AC320" s="46">
        <v>108532100</v>
      </c>
      <c r="AD320" s="46">
        <v>974</v>
      </c>
      <c r="AF320" s="47">
        <f t="shared" si="4"/>
        <v>20159300</v>
      </c>
    </row>
    <row r="321" spans="1:32" x14ac:dyDescent="0.3">
      <c r="A321" s="46" t="s">
        <v>612</v>
      </c>
      <c r="B321" s="46" t="str">
        <f>IFERROR(VLOOKUP($H321,매장구분!$B:$Z,2,0),"")</f>
        <v>파트너채널팀</v>
      </c>
      <c r="C321" s="46" t="str">
        <f>IFERROR(VLOOKUP($H321,매장구분!$B:$Z,3,0),"")</f>
        <v>국내</v>
      </c>
      <c r="D321" s="46" t="str">
        <f>IFERROR(VLOOKUP($H321,매장구분!$B:$Z,5,0),"")</f>
        <v>백화점</v>
      </c>
      <c r="E321" s="46" t="str">
        <f>IFERROR(VLOOKUP($H321,매장구분!$B:$Z,9,0),"")</f>
        <v>현대신촌</v>
      </c>
      <c r="G321" s="46" t="s">
        <v>297</v>
      </c>
      <c r="H321" s="46" t="s">
        <v>298</v>
      </c>
      <c r="I321" s="46" t="s">
        <v>169</v>
      </c>
      <c r="J321" s="46" t="s">
        <v>175</v>
      </c>
      <c r="K321" s="46" t="s">
        <v>170</v>
      </c>
      <c r="L321" s="46" t="s">
        <v>171</v>
      </c>
      <c r="M321" s="46" t="s">
        <v>77</v>
      </c>
      <c r="N321" s="46" t="s">
        <v>172</v>
      </c>
      <c r="O321" s="46">
        <v>11512000</v>
      </c>
      <c r="P321" s="46">
        <v>132</v>
      </c>
      <c r="Q321" s="46">
        <v>1508000</v>
      </c>
      <c r="R321" s="46">
        <v>41</v>
      </c>
      <c r="S321" s="46">
        <v>0</v>
      </c>
      <c r="T321" s="46">
        <v>0</v>
      </c>
      <c r="U321" s="46">
        <v>529300</v>
      </c>
      <c r="V321" s="46">
        <v>5</v>
      </c>
      <c r="W321" s="46">
        <v>0</v>
      </c>
      <c r="X321" s="46">
        <v>0</v>
      </c>
      <c r="Y321" s="48">
        <v>23320800</v>
      </c>
      <c r="Z321" s="46">
        <v>140</v>
      </c>
      <c r="AA321" s="46">
        <v>0</v>
      </c>
      <c r="AB321" s="46">
        <v>0</v>
      </c>
      <c r="AC321" s="46">
        <v>36870100</v>
      </c>
      <c r="AD321" s="46">
        <v>318</v>
      </c>
      <c r="AF321" s="47">
        <f t="shared" si="4"/>
        <v>13549300</v>
      </c>
    </row>
    <row r="322" spans="1:32" x14ac:dyDescent="0.3">
      <c r="A322" s="46" t="s">
        <v>612</v>
      </c>
      <c r="B322" s="46" t="str">
        <f>IFERROR(VLOOKUP($H322,매장구분!$B:$Z,2,0),"")</f>
        <v>파트너채널팀</v>
      </c>
      <c r="C322" s="46" t="str">
        <f>IFERROR(VLOOKUP($H322,매장구분!$B:$Z,3,0),"")</f>
        <v>국내</v>
      </c>
      <c r="D322" s="46" t="str">
        <f>IFERROR(VLOOKUP($H322,매장구분!$B:$Z,5,0),"")</f>
        <v>백화점</v>
      </c>
      <c r="E322" s="46" t="str">
        <f>IFERROR(VLOOKUP($H322,매장구분!$B:$Z,9,0),"")</f>
        <v>신세계하남</v>
      </c>
      <c r="G322" s="46" t="s">
        <v>243</v>
      </c>
      <c r="H322" s="46" t="s">
        <v>244</v>
      </c>
      <c r="I322" s="46" t="s">
        <v>169</v>
      </c>
      <c r="J322" s="46" t="s">
        <v>175</v>
      </c>
      <c r="K322" s="46" t="s">
        <v>170</v>
      </c>
      <c r="L322" s="46" t="s">
        <v>171</v>
      </c>
      <c r="M322" s="46" t="s">
        <v>77</v>
      </c>
      <c r="N322" s="46" t="s">
        <v>172</v>
      </c>
      <c r="O322" s="46">
        <v>18244400</v>
      </c>
      <c r="P322" s="46">
        <v>180</v>
      </c>
      <c r="Q322" s="46">
        <v>3259500</v>
      </c>
      <c r="R322" s="46">
        <v>31</v>
      </c>
      <c r="S322" s="46">
        <v>0</v>
      </c>
      <c r="T322" s="46">
        <v>0</v>
      </c>
      <c r="U322" s="46">
        <v>2249300</v>
      </c>
      <c r="V322" s="46">
        <v>13</v>
      </c>
      <c r="W322" s="46">
        <v>0</v>
      </c>
      <c r="X322" s="46">
        <v>0</v>
      </c>
      <c r="Y322" s="48">
        <v>0</v>
      </c>
      <c r="Z322" s="46">
        <v>0</v>
      </c>
      <c r="AA322" s="46">
        <v>0</v>
      </c>
      <c r="AB322" s="46">
        <v>0</v>
      </c>
      <c r="AC322" s="46">
        <v>23753200</v>
      </c>
      <c r="AD322" s="46">
        <v>224</v>
      </c>
      <c r="AF322" s="47">
        <f t="shared" si="4"/>
        <v>23753200</v>
      </c>
    </row>
    <row r="323" spans="1:32" x14ac:dyDescent="0.3">
      <c r="A323" s="46" t="s">
        <v>612</v>
      </c>
      <c r="B323" s="46" t="str">
        <f>IFERROR(VLOOKUP($H323,매장구분!$B:$Z,2,0),"")</f>
        <v>파트너채널팀</v>
      </c>
      <c r="C323" s="46" t="str">
        <f>IFERROR(VLOOKUP($H323,매장구분!$B:$Z,3,0),"")</f>
        <v>국내</v>
      </c>
      <c r="D323" s="46" t="str">
        <f>IFERROR(VLOOKUP($H323,매장구분!$B:$Z,5,0),"")</f>
        <v>백화점</v>
      </c>
      <c r="E323" s="46" t="str">
        <f>IFERROR(VLOOKUP($H323,매장구분!$B:$Z,9,0),"")</f>
        <v>신세계광주</v>
      </c>
      <c r="G323" s="46" t="s">
        <v>504</v>
      </c>
      <c r="H323" s="46" t="s">
        <v>505</v>
      </c>
      <c r="I323" s="46" t="s">
        <v>169</v>
      </c>
      <c r="J323" s="46" t="s">
        <v>175</v>
      </c>
      <c r="K323" s="46" t="s">
        <v>170</v>
      </c>
      <c r="L323" s="46" t="s">
        <v>171</v>
      </c>
      <c r="M323" s="46" t="s">
        <v>77</v>
      </c>
      <c r="N323" s="46" t="s">
        <v>172</v>
      </c>
      <c r="O323" s="46">
        <v>16998150</v>
      </c>
      <c r="P323" s="46">
        <v>187</v>
      </c>
      <c r="Q323" s="46">
        <v>0</v>
      </c>
      <c r="R323" s="46">
        <v>0</v>
      </c>
      <c r="S323" s="46">
        <v>0</v>
      </c>
      <c r="T323" s="46">
        <v>0</v>
      </c>
      <c r="U323" s="46">
        <v>3150750</v>
      </c>
      <c r="V323" s="46">
        <v>22</v>
      </c>
      <c r="W323" s="46">
        <v>0</v>
      </c>
      <c r="X323" s="46">
        <v>0</v>
      </c>
      <c r="Y323" s="48">
        <v>0</v>
      </c>
      <c r="Z323" s="46">
        <v>0</v>
      </c>
      <c r="AA323" s="46">
        <v>0</v>
      </c>
      <c r="AB323" s="46">
        <v>0</v>
      </c>
      <c r="AC323" s="46">
        <v>20148900</v>
      </c>
      <c r="AD323" s="46">
        <v>209</v>
      </c>
      <c r="AF323" s="47">
        <f t="shared" ref="AF323:AF386" si="5">IFERROR(AC323-Y323,"")</f>
        <v>20148900</v>
      </c>
    </row>
    <row r="324" spans="1:32" x14ac:dyDescent="0.3">
      <c r="A324" s="46" t="s">
        <v>612</v>
      </c>
      <c r="B324" s="46" t="str">
        <f>IFERROR(VLOOKUP($H324,매장구분!$B:$Z,2,0),"")</f>
        <v>리테일채널팀</v>
      </c>
      <c r="C324" s="46" t="str">
        <f>IFERROR(VLOOKUP($H324,매장구분!$B:$Z,3,0),"")</f>
        <v>국내</v>
      </c>
      <c r="D324" s="46" t="str">
        <f>IFERROR(VLOOKUP($H324,매장구분!$B:$Z,5,0),"")</f>
        <v>대리점</v>
      </c>
      <c r="E324" s="46" t="str">
        <f>IFERROR(VLOOKUP($H324,매장구분!$B:$Z,9,0),"")</f>
        <v>여천(대-위)</v>
      </c>
      <c r="G324" s="46" t="s">
        <v>500</v>
      </c>
      <c r="H324" s="46" t="s">
        <v>501</v>
      </c>
      <c r="I324" s="46" t="s">
        <v>169</v>
      </c>
      <c r="J324" s="46" t="s">
        <v>79</v>
      </c>
      <c r="K324" s="46" t="s">
        <v>170</v>
      </c>
      <c r="L324" s="46" t="s">
        <v>171</v>
      </c>
      <c r="M324" s="46" t="s">
        <v>196</v>
      </c>
      <c r="N324" s="46" t="s">
        <v>197</v>
      </c>
      <c r="O324" s="46">
        <v>7602787</v>
      </c>
      <c r="P324" s="46">
        <v>80</v>
      </c>
      <c r="Q324" s="46">
        <v>0</v>
      </c>
      <c r="R324" s="46">
        <v>0</v>
      </c>
      <c r="S324" s="46">
        <v>0</v>
      </c>
      <c r="T324" s="46">
        <v>0</v>
      </c>
      <c r="U324" s="46">
        <v>1679413</v>
      </c>
      <c r="V324" s="46">
        <v>13</v>
      </c>
      <c r="W324" s="46">
        <v>0</v>
      </c>
      <c r="X324" s="46">
        <v>0</v>
      </c>
      <c r="Y324" s="48">
        <v>0</v>
      </c>
      <c r="Z324" s="46">
        <v>0</v>
      </c>
      <c r="AA324" s="46">
        <v>0</v>
      </c>
      <c r="AB324" s="46">
        <v>0</v>
      </c>
      <c r="AC324" s="46">
        <v>9282200</v>
      </c>
      <c r="AD324" s="46">
        <v>93</v>
      </c>
      <c r="AF324" s="47">
        <f t="shared" si="5"/>
        <v>9282200</v>
      </c>
    </row>
    <row r="325" spans="1:32" x14ac:dyDescent="0.3">
      <c r="A325" s="46" t="s">
        <v>612</v>
      </c>
      <c r="B325" s="46" t="str">
        <f>IFERROR(VLOOKUP($H325,매장구분!$B:$Z,2,0),"")</f>
        <v>파트너채널팀</v>
      </c>
      <c r="C325" s="46" t="str">
        <f>IFERROR(VLOOKUP($H325,매장구분!$B:$Z,3,0),"")</f>
        <v>국내</v>
      </c>
      <c r="D325" s="46" t="str">
        <f>IFERROR(VLOOKUP($H325,매장구분!$B:$Z,5,0),"")</f>
        <v>백화점</v>
      </c>
      <c r="E325" s="46" t="str">
        <f>IFERROR(VLOOKUP($H325,매장구분!$B:$Z,9,0),"")</f>
        <v>에버세이브청주</v>
      </c>
      <c r="G325" s="46" t="s">
        <v>328</v>
      </c>
      <c r="H325" s="46" t="s">
        <v>329</v>
      </c>
      <c r="I325" s="46" t="s">
        <v>169</v>
      </c>
      <c r="J325" s="46" t="s">
        <v>175</v>
      </c>
      <c r="K325" s="46" t="s">
        <v>170</v>
      </c>
      <c r="L325" s="46" t="s">
        <v>171</v>
      </c>
      <c r="M325" s="46" t="s">
        <v>77</v>
      </c>
      <c r="N325" s="46" t="s">
        <v>238</v>
      </c>
      <c r="O325" s="46">
        <v>11233758</v>
      </c>
      <c r="P325" s="46">
        <v>110</v>
      </c>
      <c r="Q325" s="46">
        <v>0</v>
      </c>
      <c r="R325" s="46">
        <v>0</v>
      </c>
      <c r="S325" s="46">
        <v>0</v>
      </c>
      <c r="T325" s="46">
        <v>0</v>
      </c>
      <c r="U325" s="46">
        <v>613142</v>
      </c>
      <c r="V325" s="46">
        <v>4</v>
      </c>
      <c r="W325" s="46">
        <v>0</v>
      </c>
      <c r="X325" s="46">
        <v>0</v>
      </c>
      <c r="Y325" s="48">
        <v>0</v>
      </c>
      <c r="Z325" s="46">
        <v>0</v>
      </c>
      <c r="AA325" s="46">
        <v>0</v>
      </c>
      <c r="AB325" s="46">
        <v>0</v>
      </c>
      <c r="AC325" s="46">
        <v>11846900</v>
      </c>
      <c r="AD325" s="46">
        <v>114</v>
      </c>
      <c r="AF325" s="47">
        <f t="shared" si="5"/>
        <v>11846900</v>
      </c>
    </row>
    <row r="326" spans="1:32" hidden="1" x14ac:dyDescent="0.3">
      <c r="A326" s="46" t="s">
        <v>612</v>
      </c>
      <c r="B326" s="46" t="str">
        <f>IFERROR(VLOOKUP($H326,매장구분!$B:$Z,2,0),"")</f>
        <v>리테일채널팀</v>
      </c>
      <c r="C326" s="46" t="str">
        <f>IFERROR(VLOOKUP($H326,매장구분!$B:$Z,3,0),"")</f>
        <v>RF</v>
      </c>
      <c r="D326" s="46" t="str">
        <f>IFERROR(VLOOKUP($H326,매장구분!$B:$Z,5,0),"")</f>
        <v>대리점</v>
      </c>
      <c r="E326" s="46" t="str">
        <f>IFERROR(VLOOKUP($H326,매장구분!$B:$Z,9,0),"")</f>
        <v>두타(대-위)</v>
      </c>
      <c r="G326" s="46" t="s">
        <v>600</v>
      </c>
      <c r="H326" s="46" t="s">
        <v>601</v>
      </c>
      <c r="I326" s="46" t="s">
        <v>169</v>
      </c>
      <c r="J326" s="46" t="s">
        <v>79</v>
      </c>
      <c r="K326" s="46" t="s">
        <v>170</v>
      </c>
      <c r="L326" s="46" t="s">
        <v>171</v>
      </c>
      <c r="M326" s="46" t="s">
        <v>196</v>
      </c>
      <c r="N326" s="46" t="s">
        <v>197</v>
      </c>
      <c r="O326" s="46">
        <v>14834700</v>
      </c>
      <c r="P326" s="46">
        <v>135</v>
      </c>
      <c r="Q326" s="46">
        <v>0</v>
      </c>
      <c r="R326" s="46">
        <v>0</v>
      </c>
      <c r="S326" s="46">
        <v>0</v>
      </c>
      <c r="T326" s="46">
        <v>0</v>
      </c>
      <c r="U326" s="46">
        <v>1099500</v>
      </c>
      <c r="V326" s="46">
        <v>3</v>
      </c>
      <c r="W326" s="46">
        <v>0</v>
      </c>
      <c r="X326" s="46">
        <v>0</v>
      </c>
      <c r="Y326" s="48">
        <v>11398400</v>
      </c>
      <c r="Z326" s="46">
        <v>32</v>
      </c>
      <c r="AA326" s="46">
        <v>0</v>
      </c>
      <c r="AB326" s="46">
        <v>0</v>
      </c>
      <c r="AC326" s="46">
        <v>27332600</v>
      </c>
      <c r="AD326" s="46">
        <v>170</v>
      </c>
      <c r="AF326" s="47">
        <f t="shared" si="5"/>
        <v>15934200</v>
      </c>
    </row>
    <row r="327" spans="1:32" x14ac:dyDescent="0.3">
      <c r="A327" s="46" t="s">
        <v>612</v>
      </c>
      <c r="B327" s="46" t="str">
        <f>IFERROR(VLOOKUP($H327,매장구분!$B:$Z,2,0),"")</f>
        <v>리테일채널팀</v>
      </c>
      <c r="C327" s="46" t="str">
        <f>IFERROR(VLOOKUP($H327,매장구분!$B:$Z,3,0),"")</f>
        <v>국내</v>
      </c>
      <c r="D327" s="46" t="str">
        <f>IFERROR(VLOOKUP($H327,매장구분!$B:$Z,5,0),"")</f>
        <v>대리점</v>
      </c>
      <c r="E327" s="46" t="str">
        <f>IFERROR(VLOOKUP($H327,매장구분!$B:$Z,9,0),"")</f>
        <v>보령(대-위)</v>
      </c>
      <c r="G327" s="46" t="s">
        <v>211</v>
      </c>
      <c r="H327" s="46" t="s">
        <v>212</v>
      </c>
      <c r="I327" s="46" t="s">
        <v>169</v>
      </c>
      <c r="J327" s="46" t="s">
        <v>79</v>
      </c>
      <c r="K327" s="46" t="s">
        <v>170</v>
      </c>
      <c r="L327" s="46" t="s">
        <v>171</v>
      </c>
      <c r="M327" s="46" t="s">
        <v>196</v>
      </c>
      <c r="N327" s="46" t="s">
        <v>197</v>
      </c>
      <c r="O327" s="46">
        <v>7798700</v>
      </c>
      <c r="P327" s="46">
        <v>66</v>
      </c>
      <c r="Q327" s="46">
        <v>0</v>
      </c>
      <c r="R327" s="46">
        <v>0</v>
      </c>
      <c r="S327" s="46">
        <v>0</v>
      </c>
      <c r="T327" s="46">
        <v>0</v>
      </c>
      <c r="U327" s="46">
        <v>546000</v>
      </c>
      <c r="V327" s="46">
        <v>4</v>
      </c>
      <c r="W327" s="46">
        <v>0</v>
      </c>
      <c r="X327" s="46">
        <v>0</v>
      </c>
      <c r="Y327" s="48">
        <v>0</v>
      </c>
      <c r="Z327" s="46">
        <v>0</v>
      </c>
      <c r="AA327" s="46">
        <v>0</v>
      </c>
      <c r="AB327" s="46">
        <v>0</v>
      </c>
      <c r="AC327" s="46">
        <v>8344700</v>
      </c>
      <c r="AD327" s="46">
        <v>70</v>
      </c>
      <c r="AF327" s="47">
        <f t="shared" si="5"/>
        <v>8344700</v>
      </c>
    </row>
    <row r="328" spans="1:32" hidden="1" x14ac:dyDescent="0.3">
      <c r="A328" s="46" t="s">
        <v>612</v>
      </c>
      <c r="B328" s="46" t="str">
        <f>IFERROR(VLOOKUP($H328,매장구분!$B:$Z,2,0),"")</f>
        <v>파트너채널팀</v>
      </c>
      <c r="C328" s="46" t="str">
        <f>IFERROR(VLOOKUP($H328,매장구분!$B:$Z,3,0),"")</f>
        <v>면세</v>
      </c>
      <c r="D328" s="46" t="str">
        <f>IFERROR(VLOOKUP($H328,매장구분!$B:$Z,5,0),"")</f>
        <v>면세</v>
      </c>
      <c r="E328" s="46" t="str">
        <f>IFERROR(VLOOKUP($H328,매장구분!$B:$Z,9,0),"")</f>
        <v>롯데면세월드</v>
      </c>
      <c r="G328" s="46" t="s">
        <v>213</v>
      </c>
      <c r="H328" s="46" t="s">
        <v>214</v>
      </c>
      <c r="I328" s="46" t="s">
        <v>169</v>
      </c>
      <c r="J328" s="46" t="s">
        <v>175</v>
      </c>
      <c r="K328" s="46" t="s">
        <v>170</v>
      </c>
      <c r="L328" s="46" t="s">
        <v>171</v>
      </c>
      <c r="M328" s="46" t="s">
        <v>176</v>
      </c>
      <c r="N328" s="46" t="s">
        <v>177</v>
      </c>
      <c r="O328" s="46">
        <v>9530800</v>
      </c>
      <c r="P328" s="46">
        <v>127</v>
      </c>
      <c r="Q328" s="46">
        <v>0</v>
      </c>
      <c r="R328" s="46">
        <v>0</v>
      </c>
      <c r="S328" s="46">
        <v>0</v>
      </c>
      <c r="T328" s="46">
        <v>0</v>
      </c>
      <c r="U328" s="46">
        <v>0</v>
      </c>
      <c r="V328" s="46">
        <v>0</v>
      </c>
      <c r="W328" s="46">
        <v>0</v>
      </c>
      <c r="X328" s="46">
        <v>0</v>
      </c>
      <c r="Y328" s="48">
        <v>102319500</v>
      </c>
      <c r="Z328" s="46">
        <v>892</v>
      </c>
      <c r="AA328" s="46">
        <v>0</v>
      </c>
      <c r="AB328" s="46">
        <v>0</v>
      </c>
      <c r="AC328" s="46">
        <v>111850300</v>
      </c>
      <c r="AD328" s="46">
        <v>1019</v>
      </c>
      <c r="AF328" s="47">
        <f t="shared" si="5"/>
        <v>9530800</v>
      </c>
    </row>
    <row r="329" spans="1:32" x14ac:dyDescent="0.3">
      <c r="A329" s="46" t="s">
        <v>612</v>
      </c>
      <c r="B329" s="46" t="str">
        <f>IFERROR(VLOOKUP($H329,매장구분!$B:$Z,2,0),"")</f>
        <v>파트너채널팀</v>
      </c>
      <c r="C329" s="46" t="str">
        <f>IFERROR(VLOOKUP($H329,매장구분!$B:$Z,3,0),"")</f>
        <v>국내</v>
      </c>
      <c r="D329" s="46" t="str">
        <f>IFERROR(VLOOKUP($H329,매장구분!$B:$Z,5,0),"")</f>
        <v>백화점</v>
      </c>
      <c r="E329" s="46" t="str">
        <f>IFERROR(VLOOKUP($H329,매장구분!$B:$Z,9,0),"")</f>
        <v>신세계영등포</v>
      </c>
      <c r="G329" s="46" t="s">
        <v>416</v>
      </c>
      <c r="H329" s="46" t="s">
        <v>417</v>
      </c>
      <c r="I329" s="46" t="s">
        <v>169</v>
      </c>
      <c r="J329" s="46" t="s">
        <v>175</v>
      </c>
      <c r="K329" s="46" t="s">
        <v>170</v>
      </c>
      <c r="L329" s="46" t="s">
        <v>171</v>
      </c>
      <c r="M329" s="46" t="s">
        <v>77</v>
      </c>
      <c r="N329" s="46" t="s">
        <v>172</v>
      </c>
      <c r="O329" s="46">
        <v>12926499</v>
      </c>
      <c r="P329" s="46">
        <v>104</v>
      </c>
      <c r="Q329" s="46">
        <v>0</v>
      </c>
      <c r="R329" s="46">
        <v>0</v>
      </c>
      <c r="S329" s="46">
        <v>0</v>
      </c>
      <c r="T329" s="46">
        <v>0</v>
      </c>
      <c r="U329" s="46">
        <v>2012101</v>
      </c>
      <c r="V329" s="46">
        <v>9</v>
      </c>
      <c r="W329" s="46">
        <v>0</v>
      </c>
      <c r="X329" s="46">
        <v>0</v>
      </c>
      <c r="Y329" s="48">
        <v>1230000</v>
      </c>
      <c r="Z329" s="46">
        <v>3</v>
      </c>
      <c r="AA329" s="46">
        <v>0</v>
      </c>
      <c r="AB329" s="46">
        <v>0</v>
      </c>
      <c r="AC329" s="46">
        <v>16168600</v>
      </c>
      <c r="AD329" s="46">
        <v>116</v>
      </c>
      <c r="AF329" s="47">
        <f t="shared" si="5"/>
        <v>14938600</v>
      </c>
    </row>
    <row r="330" spans="1:32" hidden="1" x14ac:dyDescent="0.3">
      <c r="A330" s="46" t="s">
        <v>612</v>
      </c>
      <c r="B330" s="46" t="str">
        <f>IFERROR(VLOOKUP($H330,매장구분!$B:$Z,2,0),"")</f>
        <v>리테일채널팀</v>
      </c>
      <c r="C330" s="46" t="str">
        <f>IFERROR(VLOOKUP($H330,매장구분!$B:$Z,3,0),"")</f>
        <v>RF</v>
      </c>
      <c r="D330" s="46" t="str">
        <f>IFERROR(VLOOKUP($H330,매장구분!$B:$Z,5,0),"")</f>
        <v>직영점</v>
      </c>
      <c r="E330" s="46" t="str">
        <f>IFERROR(VLOOKUP($H330,매장구분!$B:$Z,9,0),"")</f>
        <v>홍대(직)</v>
      </c>
      <c r="G330" s="46" t="s">
        <v>386</v>
      </c>
      <c r="H330" s="46" t="s">
        <v>387</v>
      </c>
      <c r="I330" s="46" t="s">
        <v>169</v>
      </c>
      <c r="J330" s="46" t="s">
        <v>180</v>
      </c>
      <c r="K330" s="46" t="s">
        <v>170</v>
      </c>
      <c r="L330" s="46" t="s">
        <v>171</v>
      </c>
      <c r="M330" s="46" t="s">
        <v>196</v>
      </c>
      <c r="N330" s="46" t="s">
        <v>206</v>
      </c>
      <c r="O330" s="46">
        <v>37991500</v>
      </c>
      <c r="P330" s="46">
        <v>437</v>
      </c>
      <c r="Q330" s="46">
        <v>0</v>
      </c>
      <c r="R330" s="46">
        <v>0</v>
      </c>
      <c r="S330" s="46">
        <v>0</v>
      </c>
      <c r="T330" s="46">
        <v>0</v>
      </c>
      <c r="U330" s="46">
        <v>0</v>
      </c>
      <c r="V330" s="46">
        <v>0</v>
      </c>
      <c r="W330" s="46">
        <v>0</v>
      </c>
      <c r="X330" s="46">
        <v>0</v>
      </c>
      <c r="Y330" s="48">
        <v>0</v>
      </c>
      <c r="Z330" s="46">
        <v>0</v>
      </c>
      <c r="AA330" s="46">
        <v>0</v>
      </c>
      <c r="AB330" s="46">
        <v>0</v>
      </c>
      <c r="AC330" s="46">
        <v>37991500</v>
      </c>
      <c r="AD330" s="46">
        <v>437</v>
      </c>
      <c r="AF330" s="47">
        <f t="shared" si="5"/>
        <v>37991500</v>
      </c>
    </row>
    <row r="331" spans="1:32" x14ac:dyDescent="0.3">
      <c r="A331" s="46" t="s">
        <v>612</v>
      </c>
      <c r="B331" s="46" t="str">
        <f>IFERROR(VLOOKUP($H331,매장구분!$B:$Z,2,0),"")</f>
        <v>리테일채널팀</v>
      </c>
      <c r="C331" s="46" t="str">
        <f>IFERROR(VLOOKUP($H331,매장구분!$B:$Z,3,0),"")</f>
        <v>국내</v>
      </c>
      <c r="D331" s="46" t="str">
        <f>IFERROR(VLOOKUP($H331,매장구분!$B:$Z,5,0),"")</f>
        <v>대리점</v>
      </c>
      <c r="E331" s="46" t="str">
        <f>IFERROR(VLOOKUP($H331,매장구분!$B:$Z,9,0),"")</f>
        <v>전주중앙(대-위)</v>
      </c>
      <c r="G331" s="46" t="s">
        <v>293</v>
      </c>
      <c r="H331" s="46" t="s">
        <v>294</v>
      </c>
      <c r="I331" s="46" t="s">
        <v>169</v>
      </c>
      <c r="J331" s="46" t="s">
        <v>79</v>
      </c>
      <c r="K331" s="46" t="s">
        <v>170</v>
      </c>
      <c r="L331" s="46" t="s">
        <v>171</v>
      </c>
      <c r="M331" s="46" t="s">
        <v>196</v>
      </c>
      <c r="N331" s="46" t="s">
        <v>197</v>
      </c>
      <c r="O331" s="46">
        <v>16726400</v>
      </c>
      <c r="P331" s="46">
        <v>160</v>
      </c>
      <c r="Q331" s="46">
        <v>0</v>
      </c>
      <c r="R331" s="46">
        <v>0</v>
      </c>
      <c r="S331" s="46">
        <v>0</v>
      </c>
      <c r="T331" s="46">
        <v>0</v>
      </c>
      <c r="U331" s="46">
        <v>910700</v>
      </c>
      <c r="V331" s="46">
        <v>6</v>
      </c>
      <c r="W331" s="46">
        <v>0</v>
      </c>
      <c r="X331" s="46">
        <v>0</v>
      </c>
      <c r="Y331" s="48">
        <v>0</v>
      </c>
      <c r="Z331" s="46">
        <v>0</v>
      </c>
      <c r="AA331" s="46">
        <v>0</v>
      </c>
      <c r="AB331" s="46">
        <v>0</v>
      </c>
      <c r="AC331" s="46">
        <v>17637100</v>
      </c>
      <c r="AD331" s="46">
        <v>166</v>
      </c>
      <c r="AF331" s="47">
        <f t="shared" si="5"/>
        <v>17637100</v>
      </c>
    </row>
    <row r="332" spans="1:32" x14ac:dyDescent="0.3">
      <c r="A332" s="46" t="s">
        <v>612</v>
      </c>
      <c r="B332" s="46" t="str">
        <f>IFERROR(VLOOKUP($H332,매장구분!$B:$Z,2,0),"")</f>
        <v>리테일채널팀</v>
      </c>
      <c r="C332" s="46" t="str">
        <f>IFERROR(VLOOKUP($H332,매장구분!$B:$Z,3,0),"")</f>
        <v>국내</v>
      </c>
      <c r="D332" s="46" t="str">
        <f>IFERROR(VLOOKUP($H332,매장구분!$B:$Z,5,0),"")</f>
        <v>대리점</v>
      </c>
      <c r="E332" s="46" t="str">
        <f>IFERROR(VLOOKUP($H332,매장구분!$B:$Z,9,0),"")</f>
        <v>청주(대-위)</v>
      </c>
      <c r="G332" s="46" t="s">
        <v>265</v>
      </c>
      <c r="H332" s="46" t="s">
        <v>266</v>
      </c>
      <c r="I332" s="46" t="s">
        <v>169</v>
      </c>
      <c r="J332" s="46" t="s">
        <v>79</v>
      </c>
      <c r="K332" s="46" t="s">
        <v>170</v>
      </c>
      <c r="L332" s="46" t="s">
        <v>171</v>
      </c>
      <c r="M332" s="46" t="s">
        <v>196</v>
      </c>
      <c r="N332" s="46" t="s">
        <v>197</v>
      </c>
      <c r="O332" s="46">
        <v>47671396</v>
      </c>
      <c r="P332" s="46">
        <v>245</v>
      </c>
      <c r="Q332" s="46">
        <v>0</v>
      </c>
      <c r="R332" s="46">
        <v>0</v>
      </c>
      <c r="S332" s="46">
        <v>0</v>
      </c>
      <c r="T332" s="46">
        <v>0</v>
      </c>
      <c r="U332" s="46">
        <v>5605000</v>
      </c>
      <c r="V332" s="46">
        <v>13</v>
      </c>
      <c r="W332" s="46">
        <v>0</v>
      </c>
      <c r="X332" s="46">
        <v>0</v>
      </c>
      <c r="Y332" s="48">
        <v>5450000</v>
      </c>
      <c r="Z332" s="46">
        <v>50</v>
      </c>
      <c r="AA332" s="46">
        <v>0</v>
      </c>
      <c r="AB332" s="46">
        <v>0</v>
      </c>
      <c r="AC332" s="46">
        <v>58726396</v>
      </c>
      <c r="AD332" s="46">
        <v>308</v>
      </c>
      <c r="AF332" s="47">
        <f t="shared" si="5"/>
        <v>53276396</v>
      </c>
    </row>
    <row r="333" spans="1:32" hidden="1" x14ac:dyDescent="0.3">
      <c r="A333" s="46" t="s">
        <v>612</v>
      </c>
      <c r="B333" s="46" t="str">
        <f>IFERROR(VLOOKUP($H333,매장구분!$B:$Z,2,0),"")</f>
        <v>리테일채널팀</v>
      </c>
      <c r="C333" s="46" t="str">
        <f>IFERROR(VLOOKUP($H333,매장구분!$B:$Z,3,0),"")</f>
        <v>RF</v>
      </c>
      <c r="D333" s="46" t="str">
        <f>IFERROR(VLOOKUP($H333,매장구분!$B:$Z,5,0),"")</f>
        <v>직영점</v>
      </c>
      <c r="E333" s="46" t="str">
        <f>IFERROR(VLOOKUP($H333,매장구분!$B:$Z,9,0),"")</f>
        <v>명동중앙(직)</v>
      </c>
      <c r="G333" s="46" t="s">
        <v>538</v>
      </c>
      <c r="H333" s="46" t="s">
        <v>539</v>
      </c>
      <c r="I333" s="46" t="s">
        <v>169</v>
      </c>
      <c r="J333" s="46" t="s">
        <v>180</v>
      </c>
      <c r="K333" s="46" t="s">
        <v>170</v>
      </c>
      <c r="L333" s="46" t="s">
        <v>171</v>
      </c>
      <c r="M333" s="46" t="s">
        <v>196</v>
      </c>
      <c r="N333" s="46" t="s">
        <v>206</v>
      </c>
      <c r="O333" s="46">
        <v>221645100</v>
      </c>
      <c r="P333" s="46">
        <v>3092</v>
      </c>
      <c r="Q333" s="46">
        <v>0</v>
      </c>
      <c r="R333" s="46">
        <v>0</v>
      </c>
      <c r="S333" s="46">
        <v>0</v>
      </c>
      <c r="T333" s="46">
        <v>0</v>
      </c>
      <c r="U333" s="46">
        <v>0</v>
      </c>
      <c r="V333" s="46">
        <v>0</v>
      </c>
      <c r="W333" s="46">
        <v>0</v>
      </c>
      <c r="X333" s="46">
        <v>0</v>
      </c>
      <c r="Y333" s="48">
        <v>0</v>
      </c>
      <c r="Z333" s="46">
        <v>0</v>
      </c>
      <c r="AA333" s="46">
        <v>0</v>
      </c>
      <c r="AB333" s="46">
        <v>0</v>
      </c>
      <c r="AC333" s="46">
        <v>221645100</v>
      </c>
      <c r="AD333" s="46">
        <v>3092</v>
      </c>
      <c r="AF333" s="47">
        <f t="shared" si="5"/>
        <v>221645100</v>
      </c>
    </row>
    <row r="334" spans="1:32" x14ac:dyDescent="0.3">
      <c r="A334" s="46" t="s">
        <v>612</v>
      </c>
      <c r="B334" s="46" t="str">
        <f>IFERROR(VLOOKUP($H334,매장구분!$B:$Z,2,0),"")</f>
        <v>파트너채널팀</v>
      </c>
      <c r="C334" s="46" t="str">
        <f>IFERROR(VLOOKUP($H334,매장구분!$B:$Z,3,0),"")</f>
        <v>국내</v>
      </c>
      <c r="D334" s="46" t="str">
        <f>IFERROR(VLOOKUP($H334,매장구분!$B:$Z,5,0),"")</f>
        <v>백화점</v>
      </c>
      <c r="E334" s="46" t="str">
        <f>IFERROR(VLOOKUP($H334,매장구분!$B:$Z,9,0),"")</f>
        <v>롯데안산</v>
      </c>
      <c r="G334" s="46" t="s">
        <v>200</v>
      </c>
      <c r="H334" s="46" t="s">
        <v>201</v>
      </c>
      <c r="I334" s="46" t="s">
        <v>169</v>
      </c>
      <c r="J334" s="46" t="s">
        <v>175</v>
      </c>
      <c r="K334" s="46" t="s">
        <v>170</v>
      </c>
      <c r="L334" s="46" t="s">
        <v>171</v>
      </c>
      <c r="M334" s="46" t="s">
        <v>77</v>
      </c>
      <c r="N334" s="46" t="s">
        <v>172</v>
      </c>
      <c r="O334" s="46">
        <v>10128800</v>
      </c>
      <c r="P334" s="46">
        <v>93</v>
      </c>
      <c r="Q334" s="46">
        <v>0</v>
      </c>
      <c r="R334" s="46">
        <v>0</v>
      </c>
      <c r="S334" s="46">
        <v>0</v>
      </c>
      <c r="T334" s="46">
        <v>0</v>
      </c>
      <c r="U334" s="46">
        <v>1768900</v>
      </c>
      <c r="V334" s="46">
        <v>11</v>
      </c>
      <c r="W334" s="46">
        <v>0</v>
      </c>
      <c r="X334" s="46">
        <v>0</v>
      </c>
      <c r="Y334" s="48">
        <v>18162000</v>
      </c>
      <c r="Z334" s="46">
        <v>58</v>
      </c>
      <c r="AA334" s="46">
        <v>0</v>
      </c>
      <c r="AB334" s="46">
        <v>0</v>
      </c>
      <c r="AC334" s="46">
        <v>30059700</v>
      </c>
      <c r="AD334" s="46">
        <v>162</v>
      </c>
      <c r="AF334" s="47">
        <f t="shared" si="5"/>
        <v>11897700</v>
      </c>
    </row>
    <row r="335" spans="1:32" x14ac:dyDescent="0.3">
      <c r="A335" s="46" t="s">
        <v>612</v>
      </c>
      <c r="B335" s="46" t="str">
        <f>IFERROR(VLOOKUP($H335,매장구분!$B:$Z,2,0),"")</f>
        <v>파트너채널팀</v>
      </c>
      <c r="C335" s="46" t="str">
        <f>IFERROR(VLOOKUP($H335,매장구분!$B:$Z,3,0),"")</f>
        <v>국내</v>
      </c>
      <c r="D335" s="46" t="str">
        <f>IFERROR(VLOOKUP($H335,매장구분!$B:$Z,5,0),"")</f>
        <v>백화점</v>
      </c>
      <c r="E335" s="46" t="str">
        <f>IFERROR(VLOOKUP($H335,매장구분!$B:$Z,9,0),"")</f>
        <v>롯데강남</v>
      </c>
      <c r="G335" s="46" t="s">
        <v>275</v>
      </c>
      <c r="H335" s="46" t="s">
        <v>276</v>
      </c>
      <c r="I335" s="46" t="s">
        <v>169</v>
      </c>
      <c r="J335" s="46" t="s">
        <v>175</v>
      </c>
      <c r="K335" s="46" t="s">
        <v>170</v>
      </c>
      <c r="L335" s="46" t="s">
        <v>171</v>
      </c>
      <c r="M335" s="46" t="s">
        <v>77</v>
      </c>
      <c r="N335" s="46" t="s">
        <v>172</v>
      </c>
      <c r="O335" s="46">
        <v>5016700</v>
      </c>
      <c r="P335" s="46">
        <v>62</v>
      </c>
      <c r="Q335" s="46">
        <v>0</v>
      </c>
      <c r="R335" s="46">
        <v>0</v>
      </c>
      <c r="S335" s="46">
        <v>0</v>
      </c>
      <c r="T335" s="46">
        <v>0</v>
      </c>
      <c r="U335" s="46">
        <v>93800</v>
      </c>
      <c r="V335" s="46">
        <v>-1</v>
      </c>
      <c r="W335" s="46">
        <v>0</v>
      </c>
      <c r="X335" s="46">
        <v>0</v>
      </c>
      <c r="Y335" s="48">
        <v>0</v>
      </c>
      <c r="Z335" s="46">
        <v>0</v>
      </c>
      <c r="AA335" s="46">
        <v>0</v>
      </c>
      <c r="AB335" s="46">
        <v>0</v>
      </c>
      <c r="AC335" s="46">
        <v>5110500</v>
      </c>
      <c r="AD335" s="46">
        <v>61</v>
      </c>
      <c r="AF335" s="47">
        <f t="shared" si="5"/>
        <v>5110500</v>
      </c>
    </row>
    <row r="336" spans="1:32" x14ac:dyDescent="0.3">
      <c r="A336" s="46" t="s">
        <v>612</v>
      </c>
      <c r="B336" s="46" t="str">
        <f>IFERROR(VLOOKUP($H336,매장구분!$B:$Z,2,0),"")</f>
        <v>파트너채널팀</v>
      </c>
      <c r="C336" s="46" t="str">
        <f>IFERROR(VLOOKUP($H336,매장구분!$B:$Z,3,0),"")</f>
        <v>국내</v>
      </c>
      <c r="D336" s="46" t="str">
        <f>IFERROR(VLOOKUP($H336,매장구분!$B:$Z,5,0),"")</f>
        <v>백화점</v>
      </c>
      <c r="E336" s="46" t="str">
        <f>IFERROR(VLOOKUP($H336,매장구분!$B:$Z,9,0),"")</f>
        <v>롯데광복</v>
      </c>
      <c r="G336" s="46" t="s">
        <v>448</v>
      </c>
      <c r="H336" s="46" t="s">
        <v>449</v>
      </c>
      <c r="I336" s="46" t="s">
        <v>169</v>
      </c>
      <c r="J336" s="46" t="s">
        <v>175</v>
      </c>
      <c r="K336" s="46" t="s">
        <v>170</v>
      </c>
      <c r="L336" s="46" t="s">
        <v>171</v>
      </c>
      <c r="M336" s="46" t="s">
        <v>77</v>
      </c>
      <c r="N336" s="46" t="s">
        <v>172</v>
      </c>
      <c r="O336" s="46">
        <v>6712497</v>
      </c>
      <c r="P336" s="46">
        <v>101</v>
      </c>
      <c r="Q336" s="46">
        <v>0</v>
      </c>
      <c r="R336" s="46">
        <v>0</v>
      </c>
      <c r="S336" s="46">
        <v>0</v>
      </c>
      <c r="T336" s="46">
        <v>0</v>
      </c>
      <c r="U336" s="46">
        <v>878503</v>
      </c>
      <c r="V336" s="46">
        <v>6</v>
      </c>
      <c r="W336" s="46">
        <v>0</v>
      </c>
      <c r="X336" s="46">
        <v>0</v>
      </c>
      <c r="Y336" s="48">
        <v>0</v>
      </c>
      <c r="Z336" s="46">
        <v>0</v>
      </c>
      <c r="AA336" s="46">
        <v>0</v>
      </c>
      <c r="AB336" s="46">
        <v>0</v>
      </c>
      <c r="AC336" s="46">
        <v>7591000</v>
      </c>
      <c r="AD336" s="46">
        <v>107</v>
      </c>
      <c r="AF336" s="47">
        <f t="shared" si="5"/>
        <v>7591000</v>
      </c>
    </row>
    <row r="337" spans="1:32" x14ac:dyDescent="0.3">
      <c r="A337" s="46" t="s">
        <v>612</v>
      </c>
      <c r="B337" s="46" t="str">
        <f>IFERROR(VLOOKUP($H337,매장구분!$B:$Z,2,0),"")</f>
        <v>파트너채널팀</v>
      </c>
      <c r="C337" s="46" t="str">
        <f>IFERROR(VLOOKUP($H337,매장구분!$B:$Z,3,0),"")</f>
        <v>국내</v>
      </c>
      <c r="D337" s="46" t="str">
        <f>IFERROR(VLOOKUP($H337,매장구분!$B:$Z,5,0),"")</f>
        <v>백화점</v>
      </c>
      <c r="E337" s="46" t="str">
        <f>IFERROR(VLOOKUP($H337,매장구분!$B:$Z,9,0),"")</f>
        <v>롯데인천</v>
      </c>
      <c r="G337" s="46" t="s">
        <v>245</v>
      </c>
      <c r="H337" s="46" t="s">
        <v>246</v>
      </c>
      <c r="I337" s="46" t="s">
        <v>169</v>
      </c>
      <c r="J337" s="46" t="s">
        <v>175</v>
      </c>
      <c r="K337" s="46" t="s">
        <v>170</v>
      </c>
      <c r="L337" s="46" t="s">
        <v>171</v>
      </c>
      <c r="M337" s="46" t="s">
        <v>77</v>
      </c>
      <c r="N337" s="46" t="s">
        <v>172</v>
      </c>
      <c r="O337" s="46">
        <v>27270143</v>
      </c>
      <c r="P337" s="46">
        <v>270</v>
      </c>
      <c r="Q337" s="46">
        <v>0</v>
      </c>
      <c r="R337" s="46">
        <v>0</v>
      </c>
      <c r="S337" s="46">
        <v>0</v>
      </c>
      <c r="T337" s="46">
        <v>0</v>
      </c>
      <c r="U337" s="46">
        <v>6207357</v>
      </c>
      <c r="V337" s="46">
        <v>33</v>
      </c>
      <c r="W337" s="46">
        <v>0</v>
      </c>
      <c r="X337" s="46">
        <v>0</v>
      </c>
      <c r="Y337" s="48">
        <v>27238000</v>
      </c>
      <c r="Z337" s="46">
        <v>167</v>
      </c>
      <c r="AA337" s="46">
        <v>0</v>
      </c>
      <c r="AB337" s="46">
        <v>0</v>
      </c>
      <c r="AC337" s="46">
        <v>60715500</v>
      </c>
      <c r="AD337" s="46">
        <v>470</v>
      </c>
      <c r="AF337" s="47">
        <f t="shared" si="5"/>
        <v>33477500</v>
      </c>
    </row>
    <row r="338" spans="1:32" x14ac:dyDescent="0.3">
      <c r="A338" s="46" t="s">
        <v>612</v>
      </c>
      <c r="B338" s="46" t="str">
        <f>IFERROR(VLOOKUP($H338,매장구분!$B:$Z,2,0),"")</f>
        <v>파트너채널팀</v>
      </c>
      <c r="C338" s="46" t="str">
        <f>IFERROR(VLOOKUP($H338,매장구분!$B:$Z,3,0),"")</f>
        <v>국내</v>
      </c>
      <c r="D338" s="46" t="str">
        <f>IFERROR(VLOOKUP($H338,매장구분!$B:$Z,5,0),"")</f>
        <v>백화점</v>
      </c>
      <c r="E338" s="46" t="str">
        <f>IFERROR(VLOOKUP($H338,매장구분!$B:$Z,9,0),"")</f>
        <v>모다아울렛천안</v>
      </c>
      <c r="G338" s="46" t="s">
        <v>267</v>
      </c>
      <c r="H338" s="46" t="s">
        <v>268</v>
      </c>
      <c r="I338" s="46" t="s">
        <v>169</v>
      </c>
      <c r="J338" s="46" t="s">
        <v>175</v>
      </c>
      <c r="K338" s="46" t="s">
        <v>170</v>
      </c>
      <c r="L338" s="46" t="s">
        <v>171</v>
      </c>
      <c r="M338" s="46" t="s">
        <v>77</v>
      </c>
      <c r="N338" s="46" t="s">
        <v>238</v>
      </c>
      <c r="O338" s="46">
        <v>9753800</v>
      </c>
      <c r="P338" s="46">
        <v>109</v>
      </c>
      <c r="Q338" s="46">
        <v>0</v>
      </c>
      <c r="R338" s="46">
        <v>0</v>
      </c>
      <c r="S338" s="46">
        <v>0</v>
      </c>
      <c r="T338" s="46">
        <v>0</v>
      </c>
      <c r="U338" s="46">
        <v>159000</v>
      </c>
      <c r="V338" s="46">
        <v>1</v>
      </c>
      <c r="W338" s="46">
        <v>0</v>
      </c>
      <c r="X338" s="46">
        <v>0</v>
      </c>
      <c r="Y338" s="48">
        <v>0</v>
      </c>
      <c r="Z338" s="46">
        <v>0</v>
      </c>
      <c r="AA338" s="46">
        <v>0</v>
      </c>
      <c r="AB338" s="46">
        <v>0</v>
      </c>
      <c r="AC338" s="46">
        <v>9912800</v>
      </c>
      <c r="AD338" s="46">
        <v>110</v>
      </c>
      <c r="AF338" s="47">
        <f t="shared" si="5"/>
        <v>9912800</v>
      </c>
    </row>
    <row r="339" spans="1:32" x14ac:dyDescent="0.3">
      <c r="A339" s="46" t="s">
        <v>612</v>
      </c>
      <c r="B339" s="46" t="str">
        <f>IFERROR(VLOOKUP($H339,매장구분!$B:$Z,2,0),"")</f>
        <v>리테일채널팀</v>
      </c>
      <c r="C339" s="46" t="str">
        <f>IFERROR(VLOOKUP($H339,매장구분!$B:$Z,3,0),"")</f>
        <v>국내</v>
      </c>
      <c r="D339" s="46" t="str">
        <f>IFERROR(VLOOKUP($H339,매장구분!$B:$Z,5,0),"")</f>
        <v>대리점</v>
      </c>
      <c r="E339" s="46" t="str">
        <f>IFERROR(VLOOKUP($H339,매장구분!$B:$Z,9,0),"")</f>
        <v>정읍(대-위)</v>
      </c>
      <c r="G339" s="46" t="s">
        <v>318</v>
      </c>
      <c r="H339" s="46" t="s">
        <v>319</v>
      </c>
      <c r="I339" s="46" t="s">
        <v>169</v>
      </c>
      <c r="J339" s="46" t="s">
        <v>79</v>
      </c>
      <c r="K339" s="46" t="s">
        <v>170</v>
      </c>
      <c r="L339" s="46" t="s">
        <v>171</v>
      </c>
      <c r="M339" s="46" t="s">
        <v>196</v>
      </c>
      <c r="N339" s="46" t="s">
        <v>197</v>
      </c>
      <c r="O339" s="46">
        <v>8965980</v>
      </c>
      <c r="P339" s="46">
        <v>85</v>
      </c>
      <c r="Q339" s="46">
        <v>0</v>
      </c>
      <c r="R339" s="46">
        <v>0</v>
      </c>
      <c r="S339" s="46">
        <v>0</v>
      </c>
      <c r="T339" s="46">
        <v>0</v>
      </c>
      <c r="U339" s="46">
        <v>924000</v>
      </c>
      <c r="V339" s="46">
        <v>6</v>
      </c>
      <c r="W339" s="46">
        <v>0</v>
      </c>
      <c r="X339" s="46">
        <v>0</v>
      </c>
      <c r="Y339" s="48">
        <v>0</v>
      </c>
      <c r="Z339" s="46">
        <v>0</v>
      </c>
      <c r="AA339" s="46">
        <v>0</v>
      </c>
      <c r="AB339" s="46">
        <v>0</v>
      </c>
      <c r="AC339" s="46">
        <v>9889980</v>
      </c>
      <c r="AD339" s="46">
        <v>91</v>
      </c>
      <c r="AF339" s="47">
        <f t="shared" si="5"/>
        <v>9889980</v>
      </c>
    </row>
    <row r="340" spans="1:32" x14ac:dyDescent="0.3">
      <c r="A340" s="46" t="s">
        <v>612</v>
      </c>
      <c r="B340" s="46" t="str">
        <f>IFERROR(VLOOKUP($H340,매장구분!$B:$Z,2,0),"")</f>
        <v>리테일채널팀</v>
      </c>
      <c r="C340" s="46" t="str">
        <f>IFERROR(VLOOKUP($H340,매장구분!$B:$Z,3,0),"")</f>
        <v>국내</v>
      </c>
      <c r="D340" s="46" t="str">
        <f>IFERROR(VLOOKUP($H340,매장구분!$B:$Z,5,0),"")</f>
        <v>대리점</v>
      </c>
      <c r="E340" s="46" t="str">
        <f>IFERROR(VLOOKUP($H340,매장구분!$B:$Z,9,0),"")</f>
        <v>광주용봉(대-위)</v>
      </c>
      <c r="G340" s="46" t="s">
        <v>606</v>
      </c>
      <c r="H340" s="46" t="s">
        <v>607</v>
      </c>
      <c r="I340" s="46" t="s">
        <v>169</v>
      </c>
      <c r="J340" s="46" t="s">
        <v>79</v>
      </c>
      <c r="K340" s="46" t="s">
        <v>170</v>
      </c>
      <c r="L340" s="46" t="s">
        <v>171</v>
      </c>
      <c r="M340" s="46" t="s">
        <v>196</v>
      </c>
      <c r="N340" s="46" t="s">
        <v>197</v>
      </c>
      <c r="O340" s="46">
        <v>3222500</v>
      </c>
      <c r="P340" s="46">
        <v>38</v>
      </c>
      <c r="Q340" s="46">
        <v>0</v>
      </c>
      <c r="R340" s="46">
        <v>0</v>
      </c>
      <c r="S340" s="46">
        <v>0</v>
      </c>
      <c r="T340" s="46">
        <v>0</v>
      </c>
      <c r="U340" s="46">
        <v>4219900</v>
      </c>
      <c r="V340" s="46">
        <v>25</v>
      </c>
      <c r="W340" s="46">
        <v>0</v>
      </c>
      <c r="X340" s="46">
        <v>0</v>
      </c>
      <c r="Y340" s="48">
        <v>0</v>
      </c>
      <c r="Z340" s="46">
        <v>0</v>
      </c>
      <c r="AA340" s="46">
        <v>0</v>
      </c>
      <c r="AB340" s="46">
        <v>0</v>
      </c>
      <c r="AC340" s="46">
        <v>7442400</v>
      </c>
      <c r="AD340" s="46">
        <v>63</v>
      </c>
      <c r="AF340" s="47">
        <f t="shared" si="5"/>
        <v>7442400</v>
      </c>
    </row>
    <row r="341" spans="1:32" x14ac:dyDescent="0.3">
      <c r="A341" s="46" t="s">
        <v>612</v>
      </c>
      <c r="B341" s="46" t="str">
        <f>IFERROR(VLOOKUP($H341,매장구분!$B:$Z,2,0),"")</f>
        <v>파트너채널팀</v>
      </c>
      <c r="C341" s="46" t="str">
        <f>IFERROR(VLOOKUP($H341,매장구분!$B:$Z,3,0),"")</f>
        <v>국내</v>
      </c>
      <c r="D341" s="46" t="str">
        <f>IFERROR(VLOOKUP($H341,매장구분!$B:$Z,5,0),"")</f>
        <v>백화점</v>
      </c>
      <c r="E341" s="46" t="str">
        <f>IFERROR(VLOOKUP($H341,매장구분!$B:$Z,9,0),"")</f>
        <v>현대충청</v>
      </c>
      <c r="G341" s="46" t="s">
        <v>358</v>
      </c>
      <c r="H341" s="46" t="s">
        <v>359</v>
      </c>
      <c r="I341" s="46" t="s">
        <v>169</v>
      </c>
      <c r="J341" s="46" t="s">
        <v>175</v>
      </c>
      <c r="K341" s="46" t="s">
        <v>170</v>
      </c>
      <c r="L341" s="46" t="s">
        <v>171</v>
      </c>
      <c r="M341" s="46" t="s">
        <v>77</v>
      </c>
      <c r="N341" s="46" t="s">
        <v>172</v>
      </c>
      <c r="O341" s="46">
        <v>47080200</v>
      </c>
      <c r="P341" s="46">
        <v>324</v>
      </c>
      <c r="Q341" s="46">
        <v>0</v>
      </c>
      <c r="R341" s="46">
        <v>0</v>
      </c>
      <c r="S341" s="46">
        <v>0</v>
      </c>
      <c r="T341" s="46">
        <v>0</v>
      </c>
      <c r="U341" s="46">
        <v>0</v>
      </c>
      <c r="V341" s="46">
        <v>0</v>
      </c>
      <c r="W341" s="46">
        <v>0</v>
      </c>
      <c r="X341" s="46">
        <v>0</v>
      </c>
      <c r="Y341" s="48">
        <v>4516300</v>
      </c>
      <c r="Z341" s="46">
        <v>57</v>
      </c>
      <c r="AA341" s="46">
        <v>0</v>
      </c>
      <c r="AB341" s="46">
        <v>0</v>
      </c>
      <c r="AC341" s="46">
        <v>51596500</v>
      </c>
      <c r="AD341" s="46">
        <v>381</v>
      </c>
      <c r="AF341" s="47">
        <f t="shared" si="5"/>
        <v>47080200</v>
      </c>
    </row>
    <row r="342" spans="1:32" x14ac:dyDescent="0.3">
      <c r="A342" s="46" t="s">
        <v>612</v>
      </c>
      <c r="B342" s="46" t="str">
        <f>IFERROR(VLOOKUP($H342,매장구분!$B:$Z,2,0),"")</f>
        <v>파트너채널팀</v>
      </c>
      <c r="C342" s="46" t="str">
        <f>IFERROR(VLOOKUP($H342,매장구분!$B:$Z,3,0),"")</f>
        <v>국내</v>
      </c>
      <c r="D342" s="46" t="str">
        <f>IFERROR(VLOOKUP($H342,매장구분!$B:$Z,5,0),"")</f>
        <v>백화점</v>
      </c>
      <c r="E342" s="46" t="str">
        <f>IFERROR(VLOOKUP($H342,매장구분!$B:$Z,9,0),"")</f>
        <v>롯데광주</v>
      </c>
      <c r="G342" s="46" t="s">
        <v>404</v>
      </c>
      <c r="H342" s="46" t="s">
        <v>405</v>
      </c>
      <c r="I342" s="46" t="s">
        <v>169</v>
      </c>
      <c r="J342" s="46" t="s">
        <v>175</v>
      </c>
      <c r="K342" s="46" t="s">
        <v>170</v>
      </c>
      <c r="L342" s="46" t="s">
        <v>171</v>
      </c>
      <c r="M342" s="46" t="s">
        <v>77</v>
      </c>
      <c r="N342" s="46" t="s">
        <v>172</v>
      </c>
      <c r="O342" s="46">
        <v>10858500</v>
      </c>
      <c r="P342" s="46">
        <v>105</v>
      </c>
      <c r="Q342" s="46">
        <v>0</v>
      </c>
      <c r="R342" s="46">
        <v>0</v>
      </c>
      <c r="S342" s="46">
        <v>0</v>
      </c>
      <c r="T342" s="46">
        <v>0</v>
      </c>
      <c r="U342" s="46">
        <v>1764000</v>
      </c>
      <c r="V342" s="46">
        <v>14</v>
      </c>
      <c r="W342" s="46">
        <v>0</v>
      </c>
      <c r="X342" s="46">
        <v>0</v>
      </c>
      <c r="Y342" s="48">
        <v>3028000</v>
      </c>
      <c r="Z342" s="46">
        <v>23</v>
      </c>
      <c r="AA342" s="46">
        <v>0</v>
      </c>
      <c r="AB342" s="46">
        <v>0</v>
      </c>
      <c r="AC342" s="46">
        <v>15650500</v>
      </c>
      <c r="AD342" s="46">
        <v>142</v>
      </c>
      <c r="AF342" s="47">
        <f t="shared" si="5"/>
        <v>12622500</v>
      </c>
    </row>
    <row r="343" spans="1:32" x14ac:dyDescent="0.3">
      <c r="A343" s="46" t="s">
        <v>612</v>
      </c>
      <c r="B343" s="46" t="str">
        <f>IFERROR(VLOOKUP($H343,매장구분!$B:$Z,2,0),"")</f>
        <v>리테일채널팀</v>
      </c>
      <c r="C343" s="46" t="str">
        <f>IFERROR(VLOOKUP($H343,매장구분!$B:$Z,3,0),"")</f>
        <v>국내</v>
      </c>
      <c r="D343" s="46" t="str">
        <f>IFERROR(VLOOKUP($H343,매장구분!$B:$Z,5,0),"")</f>
        <v>대리점</v>
      </c>
      <c r="E343" s="46" t="str">
        <f>IFERROR(VLOOKUP($H343,매장구분!$B:$Z,9,0),"")</f>
        <v>경기광주(대-위)</v>
      </c>
      <c r="G343" s="46" t="s">
        <v>362</v>
      </c>
      <c r="H343" s="46" t="s">
        <v>363</v>
      </c>
      <c r="I343" s="46" t="s">
        <v>169</v>
      </c>
      <c r="J343" s="46" t="s">
        <v>79</v>
      </c>
      <c r="K343" s="46" t="s">
        <v>170</v>
      </c>
      <c r="L343" s="46" t="s">
        <v>171</v>
      </c>
      <c r="M343" s="46" t="s">
        <v>196</v>
      </c>
      <c r="N343" s="46" t="s">
        <v>197</v>
      </c>
      <c r="O343" s="46">
        <v>11868521</v>
      </c>
      <c r="P343" s="46">
        <v>110</v>
      </c>
      <c r="Q343" s="46">
        <v>0</v>
      </c>
      <c r="R343" s="46">
        <v>0</v>
      </c>
      <c r="S343" s="46">
        <v>0</v>
      </c>
      <c r="T343" s="46">
        <v>0</v>
      </c>
      <c r="U343" s="46">
        <v>1023000</v>
      </c>
      <c r="V343" s="46">
        <v>7</v>
      </c>
      <c r="W343" s="46">
        <v>0</v>
      </c>
      <c r="X343" s="46">
        <v>0</v>
      </c>
      <c r="Y343" s="48">
        <v>0</v>
      </c>
      <c r="Z343" s="46">
        <v>0</v>
      </c>
      <c r="AA343" s="46">
        <v>0</v>
      </c>
      <c r="AB343" s="46">
        <v>0</v>
      </c>
      <c r="AC343" s="46">
        <v>12891521</v>
      </c>
      <c r="AD343" s="46">
        <v>117</v>
      </c>
      <c r="AF343" s="47">
        <f t="shared" si="5"/>
        <v>12891521</v>
      </c>
    </row>
    <row r="344" spans="1:32" x14ac:dyDescent="0.3">
      <c r="A344" s="46" t="s">
        <v>612</v>
      </c>
      <c r="B344" s="46" t="str">
        <f>IFERROR(VLOOKUP($H344,매장구분!$B:$Z,2,0),"")</f>
        <v>리테일채널팀</v>
      </c>
      <c r="C344" s="46" t="str">
        <f>IFERROR(VLOOKUP($H344,매장구분!$B:$Z,3,0),"")</f>
        <v>국내</v>
      </c>
      <c r="D344" s="46" t="str">
        <f>IFERROR(VLOOKUP($H344,매장구분!$B:$Z,5,0),"")</f>
        <v>대리점</v>
      </c>
      <c r="E344" s="46" t="str">
        <f>IFERROR(VLOOKUP($H344,매장구분!$B:$Z,9,0),"")</f>
        <v>충주(대-위)</v>
      </c>
      <c r="G344" s="46" t="s">
        <v>322</v>
      </c>
      <c r="H344" s="46" t="s">
        <v>323</v>
      </c>
      <c r="I344" s="46" t="s">
        <v>169</v>
      </c>
      <c r="J344" s="46" t="s">
        <v>79</v>
      </c>
      <c r="K344" s="46" t="s">
        <v>170</v>
      </c>
      <c r="L344" s="46" t="s">
        <v>171</v>
      </c>
      <c r="M344" s="46" t="s">
        <v>196</v>
      </c>
      <c r="N344" s="46" t="s">
        <v>197</v>
      </c>
      <c r="O344" s="46">
        <v>7952300</v>
      </c>
      <c r="P344" s="46">
        <v>74</v>
      </c>
      <c r="Q344" s="46">
        <v>0</v>
      </c>
      <c r="R344" s="46">
        <v>0</v>
      </c>
      <c r="S344" s="46">
        <v>0</v>
      </c>
      <c r="T344" s="46">
        <v>0</v>
      </c>
      <c r="U344" s="46">
        <v>0</v>
      </c>
      <c r="V344" s="46">
        <v>0</v>
      </c>
      <c r="W344" s="46">
        <v>0</v>
      </c>
      <c r="X344" s="46">
        <v>0</v>
      </c>
      <c r="Y344" s="48">
        <v>12297000</v>
      </c>
      <c r="Z344" s="46">
        <v>112</v>
      </c>
      <c r="AA344" s="46">
        <v>0</v>
      </c>
      <c r="AB344" s="46">
        <v>0</v>
      </c>
      <c r="AC344" s="46">
        <v>20249300</v>
      </c>
      <c r="AD344" s="46">
        <v>186</v>
      </c>
      <c r="AF344" s="47">
        <f t="shared" si="5"/>
        <v>7952300</v>
      </c>
    </row>
    <row r="345" spans="1:32" x14ac:dyDescent="0.3">
      <c r="A345" s="46" t="s">
        <v>612</v>
      </c>
      <c r="B345" s="46" t="str">
        <f>IFERROR(VLOOKUP($H345,매장구분!$B:$Z,2,0),"")</f>
        <v>리테일채널팀</v>
      </c>
      <c r="C345" s="46" t="str">
        <f>IFERROR(VLOOKUP($H345,매장구분!$B:$Z,3,0),"")</f>
        <v>국내</v>
      </c>
      <c r="D345" s="46" t="str">
        <f>IFERROR(VLOOKUP($H345,매장구분!$B:$Z,5,0),"")</f>
        <v>대리점</v>
      </c>
      <c r="E345" s="46" t="str">
        <f>IFERROR(VLOOKUP($H345,매장구분!$B:$Z,9,0),"")</f>
        <v>목포하당(대-위)</v>
      </c>
      <c r="G345" s="46" t="s">
        <v>486</v>
      </c>
      <c r="H345" s="46" t="s">
        <v>487</v>
      </c>
      <c r="I345" s="46" t="s">
        <v>169</v>
      </c>
      <c r="J345" s="46" t="s">
        <v>79</v>
      </c>
      <c r="K345" s="46" t="s">
        <v>170</v>
      </c>
      <c r="L345" s="46" t="s">
        <v>171</v>
      </c>
      <c r="M345" s="46" t="s">
        <v>196</v>
      </c>
      <c r="N345" s="46" t="s">
        <v>197</v>
      </c>
      <c r="O345" s="46">
        <v>32902759</v>
      </c>
      <c r="P345" s="46">
        <v>278</v>
      </c>
      <c r="Q345" s="46">
        <v>0</v>
      </c>
      <c r="R345" s="46">
        <v>0</v>
      </c>
      <c r="S345" s="46">
        <v>0</v>
      </c>
      <c r="T345" s="46">
        <v>0</v>
      </c>
      <c r="U345" s="46">
        <v>1078683</v>
      </c>
      <c r="V345" s="46">
        <v>6</v>
      </c>
      <c r="W345" s="46">
        <v>0</v>
      </c>
      <c r="X345" s="46">
        <v>0</v>
      </c>
      <c r="Y345" s="48">
        <v>0</v>
      </c>
      <c r="Z345" s="46">
        <v>0</v>
      </c>
      <c r="AA345" s="46">
        <v>0</v>
      </c>
      <c r="AB345" s="46">
        <v>0</v>
      </c>
      <c r="AC345" s="46">
        <v>33981442</v>
      </c>
      <c r="AD345" s="46">
        <v>284</v>
      </c>
      <c r="AF345" s="47">
        <f t="shared" si="5"/>
        <v>33981442</v>
      </c>
    </row>
    <row r="346" spans="1:32" x14ac:dyDescent="0.3">
      <c r="A346" s="46" t="s">
        <v>612</v>
      </c>
      <c r="B346" s="46" t="str">
        <f>IFERROR(VLOOKUP($H346,매장구분!$B:$Z,2,0),"")</f>
        <v>리테일채널팀</v>
      </c>
      <c r="C346" s="46" t="str">
        <f>IFERROR(VLOOKUP($H346,매장구분!$B:$Z,3,0),"")</f>
        <v>국내</v>
      </c>
      <c r="D346" s="46" t="str">
        <f>IFERROR(VLOOKUP($H346,매장구분!$B:$Z,5,0),"")</f>
        <v>대리점</v>
      </c>
      <c r="E346" s="46" t="str">
        <f>IFERROR(VLOOKUP($H346,매장구분!$B:$Z,9,0),"")</f>
        <v>김포장기(대-위)</v>
      </c>
      <c r="G346" s="46" t="s">
        <v>400</v>
      </c>
      <c r="H346" s="46" t="s">
        <v>401</v>
      </c>
      <c r="I346" s="46" t="s">
        <v>169</v>
      </c>
      <c r="J346" s="46" t="s">
        <v>79</v>
      </c>
      <c r="K346" s="46" t="s">
        <v>170</v>
      </c>
      <c r="L346" s="46" t="s">
        <v>171</v>
      </c>
      <c r="M346" s="46" t="s">
        <v>196</v>
      </c>
      <c r="N346" s="46" t="s">
        <v>197</v>
      </c>
      <c r="O346" s="46">
        <v>18159900</v>
      </c>
      <c r="P346" s="46">
        <v>150</v>
      </c>
      <c r="Q346" s="46">
        <v>0</v>
      </c>
      <c r="R346" s="46">
        <v>0</v>
      </c>
      <c r="S346" s="46">
        <v>0</v>
      </c>
      <c r="T346" s="46">
        <v>0</v>
      </c>
      <c r="U346" s="46">
        <v>1148300</v>
      </c>
      <c r="V346" s="46">
        <v>12</v>
      </c>
      <c r="W346" s="46">
        <v>0</v>
      </c>
      <c r="X346" s="46">
        <v>0</v>
      </c>
      <c r="Y346" s="48">
        <v>0</v>
      </c>
      <c r="Z346" s="46">
        <v>0</v>
      </c>
      <c r="AA346" s="46">
        <v>0</v>
      </c>
      <c r="AB346" s="46">
        <v>0</v>
      </c>
      <c r="AC346" s="46">
        <v>19308200</v>
      </c>
      <c r="AD346" s="46">
        <v>162</v>
      </c>
      <c r="AF346" s="47">
        <f t="shared" si="5"/>
        <v>19308200</v>
      </c>
    </row>
    <row r="347" spans="1:32" x14ac:dyDescent="0.3">
      <c r="A347" s="46" t="s">
        <v>612</v>
      </c>
      <c r="B347" s="46" t="str">
        <f>IFERROR(VLOOKUP($H347,매장구분!$B:$Z,2,0),"")</f>
        <v>파트너채널팀</v>
      </c>
      <c r="C347" s="46" t="str">
        <f>IFERROR(VLOOKUP($H347,매장구분!$B:$Z,3,0),"")</f>
        <v>국내</v>
      </c>
      <c r="D347" s="46" t="str">
        <f>IFERROR(VLOOKUP($H347,매장구분!$B:$Z,5,0),"")</f>
        <v>백화점</v>
      </c>
      <c r="E347" s="46" t="str">
        <f>IFERROR(VLOOKUP($H347,매장구분!$B:$Z,9,0),"")</f>
        <v>AK원주</v>
      </c>
      <c r="G347" s="46" t="s">
        <v>396</v>
      </c>
      <c r="H347" s="46" t="s">
        <v>397</v>
      </c>
      <c r="I347" s="46" t="s">
        <v>169</v>
      </c>
      <c r="J347" s="46" t="s">
        <v>175</v>
      </c>
      <c r="K347" s="46" t="s">
        <v>170</v>
      </c>
      <c r="L347" s="46" t="s">
        <v>171</v>
      </c>
      <c r="M347" s="46" t="s">
        <v>77</v>
      </c>
      <c r="N347" s="46" t="s">
        <v>172</v>
      </c>
      <c r="O347" s="46">
        <v>23103900</v>
      </c>
      <c r="P347" s="46">
        <v>203</v>
      </c>
      <c r="Q347" s="46">
        <v>0</v>
      </c>
      <c r="R347" s="46">
        <v>0</v>
      </c>
      <c r="S347" s="46">
        <v>0</v>
      </c>
      <c r="T347" s="46">
        <v>0</v>
      </c>
      <c r="U347" s="46">
        <v>0</v>
      </c>
      <c r="V347" s="46">
        <v>0</v>
      </c>
      <c r="W347" s="46">
        <v>0</v>
      </c>
      <c r="X347" s="46">
        <v>0</v>
      </c>
      <c r="Y347" s="48">
        <v>14985000</v>
      </c>
      <c r="Z347" s="46">
        <v>67</v>
      </c>
      <c r="AA347" s="46">
        <v>0</v>
      </c>
      <c r="AB347" s="46">
        <v>0</v>
      </c>
      <c r="AC347" s="46">
        <v>38088900</v>
      </c>
      <c r="AD347" s="46">
        <v>270</v>
      </c>
      <c r="AF347" s="47">
        <f t="shared" si="5"/>
        <v>23103900</v>
      </c>
    </row>
    <row r="348" spans="1:32" x14ac:dyDescent="0.3">
      <c r="A348" s="46" t="s">
        <v>612</v>
      </c>
      <c r="B348" s="46" t="str">
        <f>IFERROR(VLOOKUP($H348,매장구분!$B:$Z,2,0),"")</f>
        <v>리테일채널팀</v>
      </c>
      <c r="C348" s="46" t="str">
        <f>IFERROR(VLOOKUP($H348,매장구분!$B:$Z,3,0),"")</f>
        <v>국내</v>
      </c>
      <c r="D348" s="46" t="str">
        <f>IFERROR(VLOOKUP($H348,매장구분!$B:$Z,5,0),"")</f>
        <v>직영점</v>
      </c>
      <c r="E348" s="46" t="str">
        <f>IFERROR(VLOOKUP($H348,매장구분!$B:$Z,9,0),"")</f>
        <v>트리플스트리트(직)</v>
      </c>
      <c r="G348" s="46" t="s">
        <v>576</v>
      </c>
      <c r="H348" s="46" t="s">
        <v>577</v>
      </c>
      <c r="I348" s="46" t="s">
        <v>169</v>
      </c>
      <c r="J348" s="46" t="s">
        <v>180</v>
      </c>
      <c r="K348" s="46" t="s">
        <v>170</v>
      </c>
      <c r="L348" s="46" t="s">
        <v>171</v>
      </c>
      <c r="M348" s="46" t="s">
        <v>188</v>
      </c>
      <c r="N348" s="46" t="s">
        <v>317</v>
      </c>
      <c r="O348" s="46">
        <v>14930352</v>
      </c>
      <c r="P348" s="46">
        <v>201</v>
      </c>
      <c r="Q348" s="46">
        <v>0</v>
      </c>
      <c r="R348" s="46">
        <v>0</v>
      </c>
      <c r="S348" s="46">
        <v>0</v>
      </c>
      <c r="T348" s="46">
        <v>0</v>
      </c>
      <c r="U348" s="46">
        <v>4367778</v>
      </c>
      <c r="V348" s="46">
        <v>21</v>
      </c>
      <c r="W348" s="46">
        <v>0</v>
      </c>
      <c r="X348" s="46">
        <v>0</v>
      </c>
      <c r="Y348" s="48">
        <v>0</v>
      </c>
      <c r="Z348" s="46">
        <v>0</v>
      </c>
      <c r="AA348" s="46">
        <v>0</v>
      </c>
      <c r="AB348" s="46">
        <v>0</v>
      </c>
      <c r="AC348" s="46">
        <v>19298130</v>
      </c>
      <c r="AD348" s="46">
        <v>222</v>
      </c>
      <c r="AF348" s="47">
        <f t="shared" si="5"/>
        <v>19298130</v>
      </c>
    </row>
    <row r="349" spans="1:32" x14ac:dyDescent="0.3">
      <c r="A349" s="46" t="s">
        <v>612</v>
      </c>
      <c r="B349" s="46" t="str">
        <f>IFERROR(VLOOKUP($H349,매장구분!$B:$Z,2,0),"")</f>
        <v>리테일채널팀</v>
      </c>
      <c r="C349" s="46" t="str">
        <f>IFERROR(VLOOKUP($H349,매장구분!$B:$Z,3,0),"")</f>
        <v>국내</v>
      </c>
      <c r="D349" s="46" t="str">
        <f>IFERROR(VLOOKUP($H349,매장구분!$B:$Z,5,0),"")</f>
        <v>대리점</v>
      </c>
      <c r="E349" s="46" t="str">
        <f>IFERROR(VLOOKUP($H349,매장구분!$B:$Z,9,0),"")</f>
        <v>안산중앙(대-위)</v>
      </c>
      <c r="G349" s="46" t="s">
        <v>307</v>
      </c>
      <c r="H349" s="46" t="s">
        <v>308</v>
      </c>
      <c r="I349" s="46" t="s">
        <v>169</v>
      </c>
      <c r="J349" s="46" t="s">
        <v>79</v>
      </c>
      <c r="K349" s="46" t="s">
        <v>170</v>
      </c>
      <c r="L349" s="46" t="s">
        <v>171</v>
      </c>
      <c r="M349" s="46" t="s">
        <v>196</v>
      </c>
      <c r="N349" s="46" t="s">
        <v>197</v>
      </c>
      <c r="O349" s="46">
        <v>19337100</v>
      </c>
      <c r="P349" s="46">
        <v>161</v>
      </c>
      <c r="Q349" s="46">
        <v>0</v>
      </c>
      <c r="R349" s="46">
        <v>0</v>
      </c>
      <c r="S349" s="46">
        <v>0</v>
      </c>
      <c r="T349" s="46">
        <v>0</v>
      </c>
      <c r="U349" s="46">
        <v>2584000</v>
      </c>
      <c r="V349" s="46">
        <v>16</v>
      </c>
      <c r="W349" s="46">
        <v>0</v>
      </c>
      <c r="X349" s="46">
        <v>0</v>
      </c>
      <c r="Y349" s="48">
        <v>6360000</v>
      </c>
      <c r="Z349" s="46">
        <v>40</v>
      </c>
      <c r="AA349" s="46">
        <v>0</v>
      </c>
      <c r="AB349" s="46">
        <v>0</v>
      </c>
      <c r="AC349" s="46">
        <v>28281100</v>
      </c>
      <c r="AD349" s="46">
        <v>217</v>
      </c>
      <c r="AF349" s="47">
        <f t="shared" si="5"/>
        <v>21921100</v>
      </c>
    </row>
    <row r="350" spans="1:32" x14ac:dyDescent="0.3">
      <c r="A350" s="46" t="s">
        <v>612</v>
      </c>
      <c r="B350" s="46" t="str">
        <f>IFERROR(VLOOKUP($H350,매장구분!$B:$Z,2,0),"")</f>
        <v>파트너채널팀</v>
      </c>
      <c r="C350" s="46" t="str">
        <f>IFERROR(VLOOKUP($H350,매장구분!$B:$Z,3,0),"")</f>
        <v>국내</v>
      </c>
      <c r="D350" s="46" t="str">
        <f>IFERROR(VLOOKUP($H350,매장구분!$B:$Z,5,0),"")</f>
        <v>백화점</v>
      </c>
      <c r="E350" s="46" t="str">
        <f>IFERROR(VLOOKUP($H350,매장구분!$B:$Z,9,0),"")</f>
        <v>롯데미아</v>
      </c>
      <c r="G350" s="46" t="s">
        <v>350</v>
      </c>
      <c r="H350" s="46" t="s">
        <v>351</v>
      </c>
      <c r="I350" s="46" t="s">
        <v>169</v>
      </c>
      <c r="J350" s="46" t="s">
        <v>175</v>
      </c>
      <c r="K350" s="46" t="s">
        <v>170</v>
      </c>
      <c r="L350" s="46" t="s">
        <v>171</v>
      </c>
      <c r="M350" s="46" t="s">
        <v>77</v>
      </c>
      <c r="N350" s="46" t="s">
        <v>172</v>
      </c>
      <c r="O350" s="46">
        <v>24655300</v>
      </c>
      <c r="P350" s="46">
        <v>186</v>
      </c>
      <c r="Q350" s="46">
        <v>0</v>
      </c>
      <c r="R350" s="46">
        <v>0</v>
      </c>
      <c r="S350" s="46">
        <v>0</v>
      </c>
      <c r="T350" s="46">
        <v>0</v>
      </c>
      <c r="U350" s="46">
        <v>0</v>
      </c>
      <c r="V350" s="46">
        <v>0</v>
      </c>
      <c r="W350" s="46">
        <v>0</v>
      </c>
      <c r="X350" s="46">
        <v>0</v>
      </c>
      <c r="Y350" s="48">
        <v>0</v>
      </c>
      <c r="Z350" s="46">
        <v>0</v>
      </c>
      <c r="AA350" s="46">
        <v>0</v>
      </c>
      <c r="AB350" s="46">
        <v>0</v>
      </c>
      <c r="AC350" s="46">
        <v>24655300</v>
      </c>
      <c r="AD350" s="46">
        <v>186</v>
      </c>
      <c r="AF350" s="47">
        <f t="shared" si="5"/>
        <v>24655300</v>
      </c>
    </row>
    <row r="351" spans="1:32" x14ac:dyDescent="0.3">
      <c r="A351" s="46" t="s">
        <v>612</v>
      </c>
      <c r="B351" s="46" t="str">
        <f>IFERROR(VLOOKUP($H351,매장구분!$B:$Z,2,0),"")</f>
        <v>리테일채널팀</v>
      </c>
      <c r="C351" s="46" t="str">
        <f>IFERROR(VLOOKUP($H351,매장구분!$B:$Z,3,0),"")</f>
        <v>국내</v>
      </c>
      <c r="D351" s="46" t="str">
        <f>IFERROR(VLOOKUP($H351,매장구분!$B:$Z,5,0),"")</f>
        <v>대리점</v>
      </c>
      <c r="E351" s="46" t="str">
        <f>IFERROR(VLOOKUP($H351,매장구분!$B:$Z,9,0),"")</f>
        <v>광명(대-위)</v>
      </c>
      <c r="G351" s="46" t="s">
        <v>420</v>
      </c>
      <c r="H351" s="46" t="s">
        <v>421</v>
      </c>
      <c r="I351" s="46" t="s">
        <v>169</v>
      </c>
      <c r="J351" s="46" t="s">
        <v>79</v>
      </c>
      <c r="K351" s="46" t="s">
        <v>170</v>
      </c>
      <c r="L351" s="46" t="s">
        <v>171</v>
      </c>
      <c r="M351" s="46" t="s">
        <v>196</v>
      </c>
      <c r="N351" s="46" t="s">
        <v>197</v>
      </c>
      <c r="O351" s="46">
        <v>12416700</v>
      </c>
      <c r="P351" s="46">
        <v>122</v>
      </c>
      <c r="Q351" s="46">
        <v>0</v>
      </c>
      <c r="R351" s="46">
        <v>0</v>
      </c>
      <c r="S351" s="46">
        <v>0</v>
      </c>
      <c r="T351" s="46">
        <v>0</v>
      </c>
      <c r="U351" s="46">
        <v>1123100</v>
      </c>
      <c r="V351" s="46">
        <v>7</v>
      </c>
      <c r="W351" s="46">
        <v>0</v>
      </c>
      <c r="X351" s="46">
        <v>0</v>
      </c>
      <c r="Y351" s="48">
        <v>22187000</v>
      </c>
      <c r="Z351" s="46">
        <v>193</v>
      </c>
      <c r="AA351" s="46">
        <v>0</v>
      </c>
      <c r="AB351" s="46">
        <v>0</v>
      </c>
      <c r="AC351" s="46">
        <v>35726800</v>
      </c>
      <c r="AD351" s="46">
        <v>322</v>
      </c>
      <c r="AF351" s="47">
        <f t="shared" si="5"/>
        <v>13539800</v>
      </c>
    </row>
    <row r="352" spans="1:32" x14ac:dyDescent="0.3">
      <c r="A352" s="46" t="s">
        <v>612</v>
      </c>
      <c r="B352" s="46" t="str">
        <f>IFERROR(VLOOKUP($H352,매장구분!$B:$Z,2,0),"")</f>
        <v>리테일채널팀</v>
      </c>
      <c r="C352" s="46" t="str">
        <f>IFERROR(VLOOKUP($H352,매장구분!$B:$Z,3,0),"")</f>
        <v>국내</v>
      </c>
      <c r="D352" s="46" t="str">
        <f>IFERROR(VLOOKUP($H352,매장구분!$B:$Z,5,0),"")</f>
        <v>대리점</v>
      </c>
      <c r="E352" s="46" t="str">
        <f>IFERROR(VLOOKUP($H352,매장구분!$B:$Z,9,0),"")</f>
        <v>구미인동(대-위)</v>
      </c>
      <c r="G352" s="46" t="s">
        <v>558</v>
      </c>
      <c r="H352" s="46" t="s">
        <v>559</v>
      </c>
      <c r="I352" s="46" t="s">
        <v>169</v>
      </c>
      <c r="J352" s="46" t="s">
        <v>79</v>
      </c>
      <c r="K352" s="46" t="s">
        <v>170</v>
      </c>
      <c r="L352" s="46" t="s">
        <v>171</v>
      </c>
      <c r="M352" s="46" t="s">
        <v>196</v>
      </c>
      <c r="N352" s="46" t="s">
        <v>197</v>
      </c>
      <c r="O352" s="46">
        <v>5842333</v>
      </c>
      <c r="P352" s="46">
        <v>74</v>
      </c>
      <c r="Q352" s="46">
        <v>0</v>
      </c>
      <c r="R352" s="46">
        <v>0</v>
      </c>
      <c r="S352" s="46">
        <v>0</v>
      </c>
      <c r="T352" s="46">
        <v>0</v>
      </c>
      <c r="U352" s="46">
        <v>389431</v>
      </c>
      <c r="V352" s="46">
        <v>3</v>
      </c>
      <c r="W352" s="46">
        <v>0</v>
      </c>
      <c r="X352" s="46">
        <v>0</v>
      </c>
      <c r="Y352" s="48">
        <v>0</v>
      </c>
      <c r="Z352" s="46">
        <v>0</v>
      </c>
      <c r="AA352" s="46">
        <v>0</v>
      </c>
      <c r="AB352" s="46">
        <v>0</v>
      </c>
      <c r="AC352" s="46">
        <v>6231764</v>
      </c>
      <c r="AD352" s="46">
        <v>77</v>
      </c>
      <c r="AF352" s="47">
        <f t="shared" si="5"/>
        <v>6231764</v>
      </c>
    </row>
    <row r="353" spans="1:32" x14ac:dyDescent="0.3">
      <c r="A353" s="46" t="s">
        <v>612</v>
      </c>
      <c r="B353" s="46" t="str">
        <f>IFERROR(VLOOKUP($H353,매장구분!$B:$Z,2,0),"")</f>
        <v>파트너채널팀</v>
      </c>
      <c r="C353" s="46" t="str">
        <f>IFERROR(VLOOKUP($H353,매장구분!$B:$Z,3,0),"")</f>
        <v>국내</v>
      </c>
      <c r="D353" s="46" t="str">
        <f>IFERROR(VLOOKUP($H353,매장구분!$B:$Z,5,0),"")</f>
        <v>백화점</v>
      </c>
      <c r="E353" s="46" t="str">
        <f>IFERROR(VLOOKUP($H353,매장구분!$B:$Z,9,0),"")</f>
        <v>갤러리아센터시티</v>
      </c>
      <c r="G353" s="46" t="s">
        <v>259</v>
      </c>
      <c r="H353" s="46" t="s">
        <v>260</v>
      </c>
      <c r="I353" s="46" t="s">
        <v>169</v>
      </c>
      <c r="J353" s="46" t="s">
        <v>175</v>
      </c>
      <c r="K353" s="46" t="s">
        <v>170</v>
      </c>
      <c r="L353" s="46" t="s">
        <v>171</v>
      </c>
      <c r="M353" s="46" t="s">
        <v>77</v>
      </c>
      <c r="N353" s="46" t="s">
        <v>172</v>
      </c>
      <c r="O353" s="46">
        <v>7194300</v>
      </c>
      <c r="P353" s="46">
        <v>77</v>
      </c>
      <c r="Q353" s="46">
        <v>389000</v>
      </c>
      <c r="R353" s="46">
        <v>7</v>
      </c>
      <c r="S353" s="46">
        <v>0</v>
      </c>
      <c r="T353" s="46">
        <v>0</v>
      </c>
      <c r="U353" s="46">
        <v>775900</v>
      </c>
      <c r="V353" s="46">
        <v>6</v>
      </c>
      <c r="W353" s="46">
        <v>0</v>
      </c>
      <c r="X353" s="46">
        <v>0</v>
      </c>
      <c r="Y353" s="48">
        <v>0</v>
      </c>
      <c r="Z353" s="46">
        <v>0</v>
      </c>
      <c r="AA353" s="46">
        <v>0</v>
      </c>
      <c r="AB353" s="46">
        <v>0</v>
      </c>
      <c r="AC353" s="46">
        <v>8359200</v>
      </c>
      <c r="AD353" s="46">
        <v>90</v>
      </c>
      <c r="AF353" s="47">
        <f t="shared" si="5"/>
        <v>8359200</v>
      </c>
    </row>
    <row r="354" spans="1:32" x14ac:dyDescent="0.3">
      <c r="A354" s="46" t="s">
        <v>612</v>
      </c>
      <c r="B354" s="46" t="str">
        <f>IFERROR(VLOOKUP($H354,매장구분!$B:$Z,2,0),"")</f>
        <v>파트너채널팀</v>
      </c>
      <c r="C354" s="46" t="str">
        <f>IFERROR(VLOOKUP($H354,매장구분!$B:$Z,3,0),"")</f>
        <v>국내</v>
      </c>
      <c r="D354" s="46" t="str">
        <f>IFERROR(VLOOKUP($H354,매장구분!$B:$Z,5,0),"")</f>
        <v>백화점</v>
      </c>
      <c r="E354" s="46" t="str">
        <f>IFERROR(VLOOKUP($H354,매장구분!$B:$Z,9,0),"")</f>
        <v>현대울산동구</v>
      </c>
      <c r="G354" s="46" t="s">
        <v>480</v>
      </c>
      <c r="H354" s="46" t="s">
        <v>481</v>
      </c>
      <c r="I354" s="46" t="s">
        <v>169</v>
      </c>
      <c r="J354" s="46" t="s">
        <v>175</v>
      </c>
      <c r="K354" s="46" t="s">
        <v>170</v>
      </c>
      <c r="L354" s="46" t="s">
        <v>171</v>
      </c>
      <c r="M354" s="46" t="s">
        <v>77</v>
      </c>
      <c r="N354" s="46" t="s">
        <v>172</v>
      </c>
      <c r="O354" s="46">
        <v>11638400</v>
      </c>
      <c r="P354" s="46">
        <v>105</v>
      </c>
      <c r="Q354" s="46">
        <v>0</v>
      </c>
      <c r="R354" s="46">
        <v>0</v>
      </c>
      <c r="S354" s="46">
        <v>0</v>
      </c>
      <c r="T354" s="46">
        <v>0</v>
      </c>
      <c r="U354" s="46">
        <v>1375500</v>
      </c>
      <c r="V354" s="46">
        <v>8</v>
      </c>
      <c r="W354" s="46">
        <v>0</v>
      </c>
      <c r="X354" s="46">
        <v>0</v>
      </c>
      <c r="Y354" s="48">
        <v>0</v>
      </c>
      <c r="Z354" s="46">
        <v>0</v>
      </c>
      <c r="AA354" s="46">
        <v>0</v>
      </c>
      <c r="AB354" s="46">
        <v>0</v>
      </c>
      <c r="AC354" s="46">
        <v>13013900</v>
      </c>
      <c r="AD354" s="46">
        <v>113</v>
      </c>
      <c r="AF354" s="47">
        <f t="shared" si="5"/>
        <v>13013900</v>
      </c>
    </row>
    <row r="355" spans="1:32" x14ac:dyDescent="0.3">
      <c r="A355" s="46" t="s">
        <v>612</v>
      </c>
      <c r="B355" s="46" t="str">
        <f>IFERROR(VLOOKUP($H355,매장구분!$B:$Z,2,0),"")</f>
        <v>파트너채널팀</v>
      </c>
      <c r="C355" s="46" t="str">
        <f>IFERROR(VLOOKUP($H355,매장구분!$B:$Z,3,0),"")</f>
        <v>국내</v>
      </c>
      <c r="D355" s="46" t="str">
        <f>IFERROR(VLOOKUP($H355,매장구분!$B:$Z,5,0),"")</f>
        <v>백화점</v>
      </c>
      <c r="E355" s="46" t="str">
        <f>IFERROR(VLOOKUP($H355,매장구분!$B:$Z,9,0),"")</f>
        <v>롯데평촌</v>
      </c>
      <c r="G355" s="46" t="s">
        <v>412</v>
      </c>
      <c r="H355" s="46" t="s">
        <v>413</v>
      </c>
      <c r="I355" s="46" t="s">
        <v>169</v>
      </c>
      <c r="J355" s="46" t="s">
        <v>175</v>
      </c>
      <c r="K355" s="46" t="s">
        <v>170</v>
      </c>
      <c r="L355" s="46" t="s">
        <v>171</v>
      </c>
      <c r="M355" s="46" t="s">
        <v>77</v>
      </c>
      <c r="N355" s="46" t="s">
        <v>172</v>
      </c>
      <c r="O355" s="46">
        <v>20946900</v>
      </c>
      <c r="P355" s="46">
        <v>197</v>
      </c>
      <c r="Q355" s="46">
        <v>0</v>
      </c>
      <c r="R355" s="46">
        <v>0</v>
      </c>
      <c r="S355" s="46">
        <v>0</v>
      </c>
      <c r="T355" s="46">
        <v>0</v>
      </c>
      <c r="U355" s="46">
        <v>1148500</v>
      </c>
      <c r="V355" s="46">
        <v>6</v>
      </c>
      <c r="W355" s="46">
        <v>0</v>
      </c>
      <c r="X355" s="46">
        <v>0</v>
      </c>
      <c r="Y355" s="48">
        <v>28546800</v>
      </c>
      <c r="Z355" s="46">
        <v>165</v>
      </c>
      <c r="AA355" s="46">
        <v>0</v>
      </c>
      <c r="AB355" s="46">
        <v>0</v>
      </c>
      <c r="AC355" s="46">
        <v>50642200</v>
      </c>
      <c r="AD355" s="46">
        <v>368</v>
      </c>
      <c r="AF355" s="47">
        <f t="shared" si="5"/>
        <v>22095400</v>
      </c>
    </row>
    <row r="356" spans="1:32" x14ac:dyDescent="0.3">
      <c r="A356" s="46" t="s">
        <v>612</v>
      </c>
      <c r="B356" s="46" t="str">
        <f>IFERROR(VLOOKUP($H356,매장구분!$B:$Z,2,0),"")</f>
        <v>리테일채널팀</v>
      </c>
      <c r="C356" s="46" t="str">
        <f>IFERROR(VLOOKUP($H356,매장구분!$B:$Z,3,0),"")</f>
        <v>국내</v>
      </c>
      <c r="D356" s="46" t="str">
        <f>IFERROR(VLOOKUP($H356,매장구분!$B:$Z,5,0),"")</f>
        <v>대리점</v>
      </c>
      <c r="E356" s="46" t="str">
        <f>IFERROR(VLOOKUP($H356,매장구분!$B:$Z,9,0),"")</f>
        <v>안동(대-위)</v>
      </c>
      <c r="G356" s="46" t="s">
        <v>424</v>
      </c>
      <c r="H356" s="46" t="s">
        <v>425</v>
      </c>
      <c r="I356" s="46" t="s">
        <v>169</v>
      </c>
      <c r="J356" s="46" t="s">
        <v>79</v>
      </c>
      <c r="K356" s="46" t="s">
        <v>170</v>
      </c>
      <c r="L356" s="46" t="s">
        <v>171</v>
      </c>
      <c r="M356" s="46" t="s">
        <v>196</v>
      </c>
      <c r="N356" s="46" t="s">
        <v>197</v>
      </c>
      <c r="O356" s="46">
        <v>7143910</v>
      </c>
      <c r="P356" s="46">
        <v>66</v>
      </c>
      <c r="Q356" s="46">
        <v>0</v>
      </c>
      <c r="R356" s="46">
        <v>0</v>
      </c>
      <c r="S356" s="46">
        <v>0</v>
      </c>
      <c r="T356" s="46">
        <v>0</v>
      </c>
      <c r="U356" s="46">
        <v>725400</v>
      </c>
      <c r="V356" s="46">
        <v>4</v>
      </c>
      <c r="W356" s="46">
        <v>0</v>
      </c>
      <c r="X356" s="46">
        <v>0</v>
      </c>
      <c r="Y356" s="48">
        <v>0</v>
      </c>
      <c r="Z356" s="46">
        <v>0</v>
      </c>
      <c r="AA356" s="46">
        <v>0</v>
      </c>
      <c r="AB356" s="46">
        <v>0</v>
      </c>
      <c r="AC356" s="46">
        <v>7869310</v>
      </c>
      <c r="AD356" s="46">
        <v>70</v>
      </c>
      <c r="AF356" s="47">
        <f t="shared" si="5"/>
        <v>7869310</v>
      </c>
    </row>
    <row r="357" spans="1:32" x14ac:dyDescent="0.3">
      <c r="A357" s="46" t="s">
        <v>612</v>
      </c>
      <c r="B357" s="46" t="str">
        <f>IFERROR(VLOOKUP($H357,매장구분!$B:$Z,2,0),"")</f>
        <v>리테일채널팀</v>
      </c>
      <c r="C357" s="46" t="str">
        <f>IFERROR(VLOOKUP($H357,매장구분!$B:$Z,3,0),"")</f>
        <v>국내</v>
      </c>
      <c r="D357" s="46" t="str">
        <f>IFERROR(VLOOKUP($H357,매장구분!$B:$Z,5,0),"")</f>
        <v>대리점</v>
      </c>
      <c r="E357" s="46" t="str">
        <f>IFERROR(VLOOKUP($H357,매장구분!$B:$Z,9,0),"")</f>
        <v>천안쌍용(대-위)</v>
      </c>
      <c r="G357" s="46" t="s">
        <v>574</v>
      </c>
      <c r="H357" s="46" t="s">
        <v>575</v>
      </c>
      <c r="I357" s="46" t="s">
        <v>169</v>
      </c>
      <c r="J357" s="46" t="s">
        <v>79</v>
      </c>
      <c r="K357" s="46" t="s">
        <v>170</v>
      </c>
      <c r="L357" s="46" t="s">
        <v>171</v>
      </c>
      <c r="M357" s="46" t="s">
        <v>196</v>
      </c>
      <c r="N357" s="46" t="s">
        <v>197</v>
      </c>
      <c r="O357" s="46">
        <v>5390000</v>
      </c>
      <c r="P357" s="46">
        <v>61</v>
      </c>
      <c r="Q357" s="46">
        <v>0</v>
      </c>
      <c r="R357" s="46">
        <v>0</v>
      </c>
      <c r="S357" s="46">
        <v>0</v>
      </c>
      <c r="T357" s="46">
        <v>0</v>
      </c>
      <c r="U357" s="46">
        <v>-500400</v>
      </c>
      <c r="V357" s="46">
        <v>-4</v>
      </c>
      <c r="W357" s="46">
        <v>0</v>
      </c>
      <c r="X357" s="46">
        <v>0</v>
      </c>
      <c r="Y357" s="48">
        <v>1603800</v>
      </c>
      <c r="Z357" s="46">
        <v>18</v>
      </c>
      <c r="AA357" s="46">
        <v>0</v>
      </c>
      <c r="AB357" s="46">
        <v>0</v>
      </c>
      <c r="AC357" s="46">
        <v>6493400</v>
      </c>
      <c r="AD357" s="46">
        <v>75</v>
      </c>
      <c r="AF357" s="47">
        <f t="shared" si="5"/>
        <v>4889600</v>
      </c>
    </row>
    <row r="358" spans="1:32" x14ac:dyDescent="0.3">
      <c r="A358" s="46" t="s">
        <v>612</v>
      </c>
      <c r="B358" s="46" t="str">
        <f>IFERROR(VLOOKUP($H358,매장구분!$B:$Z,2,0),"")</f>
        <v>리테일채널팀</v>
      </c>
      <c r="C358" s="46" t="str">
        <f>IFERROR(VLOOKUP($H358,매장구분!$B:$Z,3,0),"")</f>
        <v>국내</v>
      </c>
      <c r="D358" s="46" t="str">
        <f>IFERROR(VLOOKUP($H358,매장구분!$B:$Z,5,0),"")</f>
        <v>상설(위탁)</v>
      </c>
      <c r="E358" s="46" t="str">
        <f>IFERROR(VLOOKUP($H358,매장구분!$B:$Z,9,0),"")</f>
        <v>롯데아울렛파주(상-위)</v>
      </c>
      <c r="G358" s="46" t="s">
        <v>598</v>
      </c>
      <c r="H358" s="46" t="s">
        <v>599</v>
      </c>
      <c r="I358" s="46" t="s">
        <v>169</v>
      </c>
      <c r="J358" s="46" t="s">
        <v>79</v>
      </c>
      <c r="K358" s="46" t="s">
        <v>170</v>
      </c>
      <c r="L358" s="46" t="s">
        <v>171</v>
      </c>
      <c r="M358" s="46" t="s">
        <v>219</v>
      </c>
      <c r="N358" s="46" t="s">
        <v>219</v>
      </c>
      <c r="O358" s="46">
        <v>2736000</v>
      </c>
      <c r="P358" s="46">
        <v>76</v>
      </c>
      <c r="Q358" s="46">
        <v>0</v>
      </c>
      <c r="R358" s="46">
        <v>0</v>
      </c>
      <c r="S358" s="46">
        <v>0</v>
      </c>
      <c r="T358" s="46">
        <v>0</v>
      </c>
      <c r="U358" s="46">
        <v>0</v>
      </c>
      <c r="V358" s="46">
        <v>0</v>
      </c>
      <c r="W358" s="46">
        <v>0</v>
      </c>
      <c r="X358" s="46">
        <v>0</v>
      </c>
      <c r="Y358" s="48">
        <v>0</v>
      </c>
      <c r="Z358" s="46">
        <v>0</v>
      </c>
      <c r="AA358" s="46">
        <v>0</v>
      </c>
      <c r="AB358" s="46">
        <v>0</v>
      </c>
      <c r="AC358" s="46">
        <v>2736000</v>
      </c>
      <c r="AD358" s="46">
        <v>76</v>
      </c>
      <c r="AF358" s="47">
        <f t="shared" si="5"/>
        <v>2736000</v>
      </c>
    </row>
    <row r="359" spans="1:32" x14ac:dyDescent="0.3">
      <c r="A359" s="46" t="s">
        <v>612</v>
      </c>
      <c r="B359" s="46" t="str">
        <f>IFERROR(VLOOKUP($H359,매장구분!$B:$Z,2,0),"")</f>
        <v>리테일채널팀</v>
      </c>
      <c r="C359" s="46" t="str">
        <f>IFERROR(VLOOKUP($H359,매장구분!$B:$Z,3,0),"")</f>
        <v>국내</v>
      </c>
      <c r="D359" s="46" t="str">
        <f>IFERROR(VLOOKUP($H359,매장구분!$B:$Z,5,0),"")</f>
        <v>상설(위탁)</v>
      </c>
      <c r="E359" s="46" t="str">
        <f>IFERROR(VLOOKUP($H359,매장구분!$B:$Z,9,0),"")</f>
        <v>현대아울렛가든5(상-위)</v>
      </c>
      <c r="G359" s="46" t="s">
        <v>372</v>
      </c>
      <c r="H359" s="46" t="s">
        <v>373</v>
      </c>
      <c r="I359" s="46" t="s">
        <v>169</v>
      </c>
      <c r="J359" s="46" t="s">
        <v>79</v>
      </c>
      <c r="K359" s="46" t="s">
        <v>170</v>
      </c>
      <c r="L359" s="46" t="s">
        <v>171</v>
      </c>
      <c r="M359" s="46" t="s">
        <v>219</v>
      </c>
      <c r="N359" s="46" t="s">
        <v>219</v>
      </c>
      <c r="O359" s="46">
        <v>828000</v>
      </c>
      <c r="P359" s="46">
        <v>23</v>
      </c>
      <c r="Q359" s="46">
        <v>0</v>
      </c>
      <c r="R359" s="46">
        <v>0</v>
      </c>
      <c r="S359" s="46">
        <v>0</v>
      </c>
      <c r="T359" s="46">
        <v>0</v>
      </c>
      <c r="U359" s="46">
        <v>0</v>
      </c>
      <c r="V359" s="46">
        <v>0</v>
      </c>
      <c r="W359" s="46">
        <v>0</v>
      </c>
      <c r="X359" s="46">
        <v>0</v>
      </c>
      <c r="Y359" s="48">
        <v>0</v>
      </c>
      <c r="Z359" s="46">
        <v>0</v>
      </c>
      <c r="AA359" s="46">
        <v>0</v>
      </c>
      <c r="AB359" s="46">
        <v>0</v>
      </c>
      <c r="AC359" s="46">
        <v>828000</v>
      </c>
      <c r="AD359" s="46">
        <v>23</v>
      </c>
      <c r="AF359" s="47">
        <f t="shared" si="5"/>
        <v>828000</v>
      </c>
    </row>
    <row r="360" spans="1:32" x14ac:dyDescent="0.3">
      <c r="A360" s="46" t="s">
        <v>612</v>
      </c>
      <c r="B360" s="46" t="str">
        <f>IFERROR(VLOOKUP($H360,매장구분!$B:$Z,2,0),"")</f>
        <v>리테일채널팀</v>
      </c>
      <c r="C360" s="46" t="str">
        <f>IFERROR(VLOOKUP($H360,매장구분!$B:$Z,3,0),"")</f>
        <v>국내</v>
      </c>
      <c r="D360" s="46" t="str">
        <f>IFERROR(VLOOKUP($H360,매장구분!$B:$Z,5,0),"")</f>
        <v>상설(위탁)</v>
      </c>
      <c r="E360" s="46" t="str">
        <f>IFERROR(VLOOKUP($H360,매장구분!$B:$Z,9,0),"")</f>
        <v>LF스퀘어양주(상-위)</v>
      </c>
      <c r="G360" s="46" t="s">
        <v>283</v>
      </c>
      <c r="H360" s="46" t="s">
        <v>284</v>
      </c>
      <c r="I360" s="46" t="s">
        <v>169</v>
      </c>
      <c r="J360" s="46" t="s">
        <v>79</v>
      </c>
      <c r="K360" s="46" t="s">
        <v>170</v>
      </c>
      <c r="L360" s="46" t="s">
        <v>171</v>
      </c>
      <c r="M360" s="46" t="s">
        <v>77</v>
      </c>
      <c r="N360" s="46" t="s">
        <v>172</v>
      </c>
      <c r="O360" s="46">
        <v>1512000</v>
      </c>
      <c r="P360" s="46">
        <v>42</v>
      </c>
      <c r="Q360" s="46">
        <v>0</v>
      </c>
      <c r="R360" s="46">
        <v>0</v>
      </c>
      <c r="S360" s="46">
        <v>0</v>
      </c>
      <c r="T360" s="46">
        <v>0</v>
      </c>
      <c r="U360" s="46">
        <v>0</v>
      </c>
      <c r="V360" s="46">
        <v>0</v>
      </c>
      <c r="W360" s="46">
        <v>0</v>
      </c>
      <c r="X360" s="46">
        <v>0</v>
      </c>
      <c r="Y360" s="48">
        <v>0</v>
      </c>
      <c r="Z360" s="46">
        <v>0</v>
      </c>
      <c r="AA360" s="46">
        <v>0</v>
      </c>
      <c r="AB360" s="46">
        <v>0</v>
      </c>
      <c r="AC360" s="46">
        <v>1512000</v>
      </c>
      <c r="AD360" s="46">
        <v>42</v>
      </c>
      <c r="AF360" s="47">
        <f t="shared" si="5"/>
        <v>1512000</v>
      </c>
    </row>
    <row r="361" spans="1:32" x14ac:dyDescent="0.3">
      <c r="A361" s="46" t="s">
        <v>612</v>
      </c>
      <c r="B361" s="46" t="str">
        <f>IFERROR(VLOOKUP($H361,매장구분!$B:$Z,2,0),"")</f>
        <v>리테일채널팀</v>
      </c>
      <c r="C361" s="46" t="str">
        <f>IFERROR(VLOOKUP($H361,매장구분!$B:$Z,3,0),"")</f>
        <v>국내</v>
      </c>
      <c r="D361" s="46" t="str">
        <f>IFERROR(VLOOKUP($H361,매장구분!$B:$Z,5,0),"")</f>
        <v>대리점</v>
      </c>
      <c r="E361" s="46" t="str">
        <f>IFERROR(VLOOKUP($H361,매장구분!$B:$Z,9,0),"")</f>
        <v>전주송천(대-위)</v>
      </c>
      <c r="G361" s="46" t="s">
        <v>428</v>
      </c>
      <c r="H361" s="46" t="s">
        <v>429</v>
      </c>
      <c r="I361" s="46" t="s">
        <v>169</v>
      </c>
      <c r="J361" s="46" t="s">
        <v>79</v>
      </c>
      <c r="K361" s="46" t="s">
        <v>170</v>
      </c>
      <c r="L361" s="46" t="s">
        <v>171</v>
      </c>
      <c r="M361" s="46" t="s">
        <v>196</v>
      </c>
      <c r="N361" s="46" t="s">
        <v>197</v>
      </c>
      <c r="O361" s="46">
        <v>5819559</v>
      </c>
      <c r="P361" s="46">
        <v>58</v>
      </c>
      <c r="Q361" s="46">
        <v>0</v>
      </c>
      <c r="R361" s="46">
        <v>0</v>
      </c>
      <c r="S361" s="46">
        <v>0</v>
      </c>
      <c r="T361" s="46">
        <v>0</v>
      </c>
      <c r="U361" s="46">
        <v>264541</v>
      </c>
      <c r="V361" s="46">
        <v>2</v>
      </c>
      <c r="W361" s="46">
        <v>0</v>
      </c>
      <c r="X361" s="46">
        <v>0</v>
      </c>
      <c r="Y361" s="48">
        <v>2366900</v>
      </c>
      <c r="Z361" s="46">
        <v>27</v>
      </c>
      <c r="AA361" s="46">
        <v>0</v>
      </c>
      <c r="AB361" s="46">
        <v>0</v>
      </c>
      <c r="AC361" s="46">
        <v>8451000</v>
      </c>
      <c r="AD361" s="46">
        <v>87</v>
      </c>
      <c r="AF361" s="47">
        <f t="shared" si="5"/>
        <v>6084100</v>
      </c>
    </row>
    <row r="362" spans="1:32" hidden="1" x14ac:dyDescent="0.3">
      <c r="A362" s="46" t="s">
        <v>612</v>
      </c>
      <c r="B362" s="46" t="str">
        <f>IFERROR(VLOOKUP($H362,매장구분!$B:$Z,2,0),"")</f>
        <v>파트너채널팀</v>
      </c>
      <c r="C362" s="46" t="str">
        <f>IFERROR(VLOOKUP($H362,매장구분!$B:$Z,3,0),"")</f>
        <v>면세</v>
      </c>
      <c r="D362" s="46" t="str">
        <f>IFERROR(VLOOKUP($H362,매장구분!$B:$Z,5,0),"")</f>
        <v>면세</v>
      </c>
      <c r="E362" s="46" t="str">
        <f>IFERROR(VLOOKUP($H362,매장구분!$B:$Z,9,0),"")</f>
        <v>신라면세장충</v>
      </c>
      <c r="G362" s="46" t="s">
        <v>299</v>
      </c>
      <c r="H362" s="46" t="s">
        <v>300</v>
      </c>
      <c r="I362" s="46" t="s">
        <v>169</v>
      </c>
      <c r="J362" s="46" t="s">
        <v>175</v>
      </c>
      <c r="K362" s="46" t="s">
        <v>170</v>
      </c>
      <c r="L362" s="46" t="s">
        <v>171</v>
      </c>
      <c r="M362" s="46" t="s">
        <v>176</v>
      </c>
      <c r="N362" s="46" t="s">
        <v>177</v>
      </c>
      <c r="O362" s="46">
        <v>161564000</v>
      </c>
      <c r="P362" s="46">
        <v>1362</v>
      </c>
      <c r="Q362" s="46">
        <v>0</v>
      </c>
      <c r="R362" s="46">
        <v>0</v>
      </c>
      <c r="S362" s="46">
        <v>0</v>
      </c>
      <c r="T362" s="46">
        <v>0</v>
      </c>
      <c r="U362" s="46">
        <v>0</v>
      </c>
      <c r="V362" s="46">
        <v>0</v>
      </c>
      <c r="W362" s="46">
        <v>0</v>
      </c>
      <c r="X362" s="46">
        <v>0</v>
      </c>
      <c r="Y362" s="48">
        <v>495878800</v>
      </c>
      <c r="Z362" s="46">
        <v>8979</v>
      </c>
      <c r="AA362" s="46">
        <v>0</v>
      </c>
      <c r="AB362" s="46">
        <v>0</v>
      </c>
      <c r="AC362" s="46">
        <v>657442800</v>
      </c>
      <c r="AD362" s="46">
        <v>10341</v>
      </c>
      <c r="AF362" s="47">
        <f t="shared" si="5"/>
        <v>161564000</v>
      </c>
    </row>
    <row r="363" spans="1:32" x14ac:dyDescent="0.3">
      <c r="A363" s="46" t="s">
        <v>612</v>
      </c>
      <c r="B363" s="46" t="str">
        <f>IFERROR(VLOOKUP($H363,매장구분!$B:$Z,2,0),"")</f>
        <v>파트너채널팀</v>
      </c>
      <c r="C363" s="46" t="str">
        <f>IFERROR(VLOOKUP($H363,매장구분!$B:$Z,3,0),"")</f>
        <v>국내</v>
      </c>
      <c r="D363" s="46" t="str">
        <f>IFERROR(VLOOKUP($H363,매장구분!$B:$Z,5,0),"")</f>
        <v>백화점</v>
      </c>
      <c r="E363" s="46" t="str">
        <f>IFERROR(VLOOKUP($H363,매장구분!$B:$Z,9,0),"")</f>
        <v>아이파크용산</v>
      </c>
      <c r="G363" s="46" t="s">
        <v>496</v>
      </c>
      <c r="H363" s="46" t="s">
        <v>497</v>
      </c>
      <c r="I363" s="46" t="s">
        <v>169</v>
      </c>
      <c r="J363" s="46" t="s">
        <v>175</v>
      </c>
      <c r="K363" s="46" t="s">
        <v>170</v>
      </c>
      <c r="L363" s="46" t="s">
        <v>171</v>
      </c>
      <c r="M363" s="46" t="s">
        <v>188</v>
      </c>
      <c r="N363" s="46" t="s">
        <v>317</v>
      </c>
      <c r="O363" s="46">
        <v>13130800</v>
      </c>
      <c r="P363" s="46">
        <v>145</v>
      </c>
      <c r="Q363" s="46">
        <v>0</v>
      </c>
      <c r="R363" s="46">
        <v>0</v>
      </c>
      <c r="S363" s="46">
        <v>0</v>
      </c>
      <c r="T363" s="46">
        <v>0</v>
      </c>
      <c r="U363" s="46">
        <v>289000</v>
      </c>
      <c r="V363" s="46">
        <v>1</v>
      </c>
      <c r="W363" s="46">
        <v>0</v>
      </c>
      <c r="X363" s="46">
        <v>0</v>
      </c>
      <c r="Y363" s="48">
        <v>11669500</v>
      </c>
      <c r="Z363" s="46">
        <v>128</v>
      </c>
      <c r="AA363" s="46">
        <v>0</v>
      </c>
      <c r="AB363" s="46">
        <v>0</v>
      </c>
      <c r="AC363" s="46">
        <v>25089300</v>
      </c>
      <c r="AD363" s="46">
        <v>274</v>
      </c>
      <c r="AF363" s="47">
        <f t="shared" si="5"/>
        <v>13419800</v>
      </c>
    </row>
    <row r="364" spans="1:32" x14ac:dyDescent="0.3">
      <c r="A364" s="46" t="s">
        <v>612</v>
      </c>
      <c r="B364" s="46" t="str">
        <f>IFERROR(VLOOKUP($H364,매장구분!$B:$Z,2,0),"")</f>
        <v>리테일채널팀</v>
      </c>
      <c r="C364" s="46" t="str">
        <f>IFERROR(VLOOKUP($H364,매장구분!$B:$Z,3,0),"")</f>
        <v>국내</v>
      </c>
      <c r="D364" s="46" t="str">
        <f>IFERROR(VLOOKUP($H364,매장구분!$B:$Z,5,0),"")</f>
        <v>대리점</v>
      </c>
      <c r="E364" s="46" t="str">
        <f>IFERROR(VLOOKUP($H364,매장구분!$B:$Z,9,0),"")</f>
        <v>스퀘어원인천(대-위)</v>
      </c>
      <c r="G364" s="46" t="s">
        <v>532</v>
      </c>
      <c r="H364" s="46" t="s">
        <v>533</v>
      </c>
      <c r="I364" s="46" t="s">
        <v>169</v>
      </c>
      <c r="J364" s="46" t="s">
        <v>79</v>
      </c>
      <c r="K364" s="46" t="s">
        <v>170</v>
      </c>
      <c r="L364" s="46" t="s">
        <v>171</v>
      </c>
      <c r="M364" s="46" t="s">
        <v>188</v>
      </c>
      <c r="N364" s="46" t="s">
        <v>317</v>
      </c>
      <c r="O364" s="46">
        <v>21519222</v>
      </c>
      <c r="P364" s="46">
        <v>204</v>
      </c>
      <c r="Q364" s="46">
        <v>0</v>
      </c>
      <c r="R364" s="46">
        <v>0</v>
      </c>
      <c r="S364" s="46">
        <v>0</v>
      </c>
      <c r="T364" s="46">
        <v>0</v>
      </c>
      <c r="U364" s="46">
        <v>800383</v>
      </c>
      <c r="V364" s="46">
        <v>6</v>
      </c>
      <c r="W364" s="46">
        <v>0</v>
      </c>
      <c r="X364" s="46">
        <v>0</v>
      </c>
      <c r="Y364" s="48">
        <v>0</v>
      </c>
      <c r="Z364" s="46">
        <v>0</v>
      </c>
      <c r="AA364" s="46">
        <v>0</v>
      </c>
      <c r="AB364" s="46">
        <v>0</v>
      </c>
      <c r="AC364" s="46">
        <v>22319605</v>
      </c>
      <c r="AD364" s="46">
        <v>210</v>
      </c>
      <c r="AF364" s="47">
        <f t="shared" si="5"/>
        <v>22319605</v>
      </c>
    </row>
    <row r="365" spans="1:32" hidden="1" x14ac:dyDescent="0.3">
      <c r="A365" s="46" t="s">
        <v>612</v>
      </c>
      <c r="B365" s="46" t="str">
        <f>IFERROR(VLOOKUP($H365,매장구분!$B:$Z,2,0),"")</f>
        <v>파트너채널팀</v>
      </c>
      <c r="C365" s="46" t="str">
        <f>IFERROR(VLOOKUP($H365,매장구분!$B:$Z,3,0),"")</f>
        <v>RF</v>
      </c>
      <c r="D365" s="46" t="str">
        <f>IFERROR(VLOOKUP($H365,매장구분!$B:$Z,5,0),"")</f>
        <v>백화점</v>
      </c>
      <c r="E365" s="46" t="str">
        <f>IFERROR(VLOOKUP($H365,매장구분!$B:$Z,9,0),"")</f>
        <v>신세계본점</v>
      </c>
      <c r="G365" s="46" t="s">
        <v>450</v>
      </c>
      <c r="H365" s="46" t="s">
        <v>451</v>
      </c>
      <c r="I365" s="46" t="s">
        <v>169</v>
      </c>
      <c r="J365" s="46" t="s">
        <v>175</v>
      </c>
      <c r="K365" s="46" t="s">
        <v>170</v>
      </c>
      <c r="L365" s="46" t="s">
        <v>171</v>
      </c>
      <c r="M365" s="46" t="s">
        <v>77</v>
      </c>
      <c r="N365" s="46" t="s">
        <v>172</v>
      </c>
      <c r="O365" s="46">
        <v>102329622</v>
      </c>
      <c r="P365" s="46">
        <v>507</v>
      </c>
      <c r="Q365" s="46">
        <v>392000</v>
      </c>
      <c r="R365" s="46">
        <v>7</v>
      </c>
      <c r="S365" s="46">
        <v>0</v>
      </c>
      <c r="T365" s="46">
        <v>0</v>
      </c>
      <c r="U365" s="46">
        <v>808908</v>
      </c>
      <c r="V365" s="46">
        <v>4</v>
      </c>
      <c r="W365" s="46">
        <v>0</v>
      </c>
      <c r="X365" s="46">
        <v>0</v>
      </c>
      <c r="Y365" s="48">
        <v>0</v>
      </c>
      <c r="Z365" s="46">
        <v>0</v>
      </c>
      <c r="AA365" s="46">
        <v>0</v>
      </c>
      <c r="AB365" s="46">
        <v>0</v>
      </c>
      <c r="AC365" s="46">
        <v>103530530</v>
      </c>
      <c r="AD365" s="46">
        <v>518</v>
      </c>
      <c r="AF365" s="47">
        <f t="shared" si="5"/>
        <v>103530530</v>
      </c>
    </row>
    <row r="366" spans="1:32" x14ac:dyDescent="0.3">
      <c r="A366" s="46" t="s">
        <v>612</v>
      </c>
      <c r="B366" s="46" t="str">
        <f>IFERROR(VLOOKUP($H366,매장구분!$B:$Z,2,0),"")</f>
        <v>리테일채널팀</v>
      </c>
      <c r="C366" s="46" t="str">
        <f>IFERROR(VLOOKUP($H366,매장구분!$B:$Z,3,0),"")</f>
        <v>국내</v>
      </c>
      <c r="D366" s="46" t="str">
        <f>IFERROR(VLOOKUP($H366,매장구분!$B:$Z,5,0),"")</f>
        <v>대리점</v>
      </c>
      <c r="E366" s="46" t="str">
        <f>IFERROR(VLOOKUP($H366,매장구분!$B:$Z,9,0),"")</f>
        <v>나주(대-위)</v>
      </c>
      <c r="G366" s="46" t="s">
        <v>324</v>
      </c>
      <c r="H366" s="46" t="s">
        <v>325</v>
      </c>
      <c r="I366" s="46" t="s">
        <v>169</v>
      </c>
      <c r="J366" s="46" t="s">
        <v>79</v>
      </c>
      <c r="K366" s="46" t="s">
        <v>170</v>
      </c>
      <c r="L366" s="46" t="s">
        <v>171</v>
      </c>
      <c r="M366" s="46" t="s">
        <v>196</v>
      </c>
      <c r="N366" s="46" t="s">
        <v>197</v>
      </c>
      <c r="O366" s="46">
        <v>17017394</v>
      </c>
      <c r="P366" s="46">
        <v>164</v>
      </c>
      <c r="Q366" s="46">
        <v>0</v>
      </c>
      <c r="R366" s="46">
        <v>0</v>
      </c>
      <c r="S366" s="46">
        <v>0</v>
      </c>
      <c r="T366" s="46">
        <v>0</v>
      </c>
      <c r="U366" s="46">
        <v>1646700</v>
      </c>
      <c r="V366" s="46">
        <v>15</v>
      </c>
      <c r="W366" s="46">
        <v>0</v>
      </c>
      <c r="X366" s="46">
        <v>0</v>
      </c>
      <c r="Y366" s="48">
        <v>0</v>
      </c>
      <c r="Z366" s="46">
        <v>0</v>
      </c>
      <c r="AA366" s="46">
        <v>0</v>
      </c>
      <c r="AB366" s="46">
        <v>0</v>
      </c>
      <c r="AC366" s="46">
        <v>18664094</v>
      </c>
      <c r="AD366" s="46">
        <v>179</v>
      </c>
      <c r="AF366" s="47">
        <f t="shared" si="5"/>
        <v>18664094</v>
      </c>
    </row>
    <row r="367" spans="1:32" x14ac:dyDescent="0.3">
      <c r="A367" s="46" t="s">
        <v>612</v>
      </c>
      <c r="B367" s="46" t="str">
        <f>IFERROR(VLOOKUP($H367,매장구분!$B:$Z,2,0),"")</f>
        <v>파트너채널팀</v>
      </c>
      <c r="C367" s="46" t="str">
        <f>IFERROR(VLOOKUP($H367,매장구분!$B:$Z,3,0),"")</f>
        <v>국내</v>
      </c>
      <c r="D367" s="46" t="str">
        <f>IFERROR(VLOOKUP($H367,매장구분!$B:$Z,5,0),"")</f>
        <v>백화점</v>
      </c>
      <c r="E367" s="46" t="str">
        <f>IFERROR(VLOOKUP($H367,매장구분!$B:$Z,9,0),"")</f>
        <v>롯데건대</v>
      </c>
      <c r="G367" s="46" t="s">
        <v>354</v>
      </c>
      <c r="H367" s="46" t="s">
        <v>355</v>
      </c>
      <c r="I367" s="46" t="s">
        <v>169</v>
      </c>
      <c r="J367" s="46" t="s">
        <v>175</v>
      </c>
      <c r="K367" s="46" t="s">
        <v>170</v>
      </c>
      <c r="L367" s="46" t="s">
        <v>171</v>
      </c>
      <c r="M367" s="46" t="s">
        <v>77</v>
      </c>
      <c r="N367" s="46" t="s">
        <v>172</v>
      </c>
      <c r="O367" s="46">
        <v>10877300</v>
      </c>
      <c r="P367" s="46">
        <v>97</v>
      </c>
      <c r="Q367" s="46">
        <v>0</v>
      </c>
      <c r="R367" s="46">
        <v>0</v>
      </c>
      <c r="S367" s="46">
        <v>0</v>
      </c>
      <c r="T367" s="46">
        <v>0</v>
      </c>
      <c r="U367" s="46">
        <v>1354200</v>
      </c>
      <c r="V367" s="46">
        <v>6</v>
      </c>
      <c r="W367" s="46">
        <v>0</v>
      </c>
      <c r="X367" s="46">
        <v>0</v>
      </c>
      <c r="Y367" s="48">
        <v>0</v>
      </c>
      <c r="Z367" s="46">
        <v>0</v>
      </c>
      <c r="AA367" s="46">
        <v>0</v>
      </c>
      <c r="AB367" s="46">
        <v>0</v>
      </c>
      <c r="AC367" s="46">
        <v>12231500</v>
      </c>
      <c r="AD367" s="46">
        <v>103</v>
      </c>
      <c r="AF367" s="47">
        <f t="shared" si="5"/>
        <v>12231500</v>
      </c>
    </row>
    <row r="368" spans="1:32" x14ac:dyDescent="0.3">
      <c r="A368" s="46" t="s">
        <v>612</v>
      </c>
      <c r="B368" s="46" t="str">
        <f>IFERROR(VLOOKUP($H368,매장구분!$B:$Z,2,0),"")</f>
        <v>리테일채널팀</v>
      </c>
      <c r="C368" s="46" t="str">
        <f>IFERROR(VLOOKUP($H368,매장구분!$B:$Z,3,0),"")</f>
        <v>국내</v>
      </c>
      <c r="D368" s="46" t="str">
        <f>IFERROR(VLOOKUP($H368,매장구분!$B:$Z,5,0),"")</f>
        <v>직영점</v>
      </c>
      <c r="E368" s="46" t="str">
        <f>IFERROR(VLOOKUP($H368,매장구분!$B:$Z,9,0),"")</f>
        <v>동성로</v>
      </c>
      <c r="G368" s="46" t="s">
        <v>204</v>
      </c>
      <c r="H368" s="46" t="s">
        <v>205</v>
      </c>
      <c r="I368" s="46" t="s">
        <v>169</v>
      </c>
      <c r="J368" s="46" t="s">
        <v>180</v>
      </c>
      <c r="K368" s="46" t="s">
        <v>170</v>
      </c>
      <c r="L368" s="46" t="s">
        <v>171</v>
      </c>
      <c r="M368" s="46" t="s">
        <v>196</v>
      </c>
      <c r="N368" s="46" t="s">
        <v>206</v>
      </c>
      <c r="O368" s="46">
        <v>18200700</v>
      </c>
      <c r="P368" s="46">
        <v>220</v>
      </c>
      <c r="Q368" s="46">
        <v>0</v>
      </c>
      <c r="R368" s="46">
        <v>0</v>
      </c>
      <c r="S368" s="46">
        <v>0</v>
      </c>
      <c r="T368" s="46">
        <v>0</v>
      </c>
      <c r="U368" s="46">
        <v>1834600</v>
      </c>
      <c r="V368" s="46">
        <v>9</v>
      </c>
      <c r="W368" s="46">
        <v>0</v>
      </c>
      <c r="X368" s="46">
        <v>0</v>
      </c>
      <c r="Y368" s="48">
        <v>0</v>
      </c>
      <c r="Z368" s="46">
        <v>0</v>
      </c>
      <c r="AA368" s="46">
        <v>0</v>
      </c>
      <c r="AB368" s="46">
        <v>0</v>
      </c>
      <c r="AC368" s="46">
        <v>20035300</v>
      </c>
      <c r="AD368" s="46">
        <v>229</v>
      </c>
      <c r="AF368" s="47">
        <f t="shared" si="5"/>
        <v>20035300</v>
      </c>
    </row>
    <row r="369" spans="1:32" x14ac:dyDescent="0.3">
      <c r="A369" s="46" t="s">
        <v>612</v>
      </c>
      <c r="B369" s="46" t="str">
        <f>IFERROR(VLOOKUP($H369,매장구분!$B:$Z,2,0),"")</f>
        <v>파트너채널팀</v>
      </c>
      <c r="C369" s="46" t="str">
        <f>IFERROR(VLOOKUP($H369,매장구분!$B:$Z,3,0),"")</f>
        <v>국내</v>
      </c>
      <c r="D369" s="46" t="str">
        <f>IFERROR(VLOOKUP($H369,매장구분!$B:$Z,5,0),"")</f>
        <v>백화점</v>
      </c>
      <c r="E369" s="46" t="str">
        <f>IFERROR(VLOOKUP($H369,매장구분!$B:$Z,9,0),"")</f>
        <v>롯데아울렛의왕(직)</v>
      </c>
      <c r="G369" s="46" t="s">
        <v>352</v>
      </c>
      <c r="H369" s="46" t="s">
        <v>353</v>
      </c>
      <c r="I369" s="46" t="s">
        <v>169</v>
      </c>
      <c r="J369" s="46" t="s">
        <v>180</v>
      </c>
      <c r="K369" s="46" t="s">
        <v>170</v>
      </c>
      <c r="L369" s="46" t="s">
        <v>171</v>
      </c>
      <c r="M369" s="46" t="s">
        <v>219</v>
      </c>
      <c r="N369" s="46" t="s">
        <v>219</v>
      </c>
      <c r="O369" s="46">
        <v>13270700</v>
      </c>
      <c r="P369" s="46">
        <v>148</v>
      </c>
      <c r="Q369" s="46">
        <v>0</v>
      </c>
      <c r="R369" s="46">
        <v>0</v>
      </c>
      <c r="S369" s="46">
        <v>0</v>
      </c>
      <c r="T369" s="46">
        <v>0</v>
      </c>
      <c r="U369" s="46">
        <v>2494600</v>
      </c>
      <c r="V369" s="46">
        <v>15</v>
      </c>
      <c r="W369" s="46">
        <v>0</v>
      </c>
      <c r="X369" s="46">
        <v>0</v>
      </c>
      <c r="Y369" s="48">
        <v>0</v>
      </c>
      <c r="Z369" s="46">
        <v>0</v>
      </c>
      <c r="AA369" s="46">
        <v>0</v>
      </c>
      <c r="AB369" s="46">
        <v>0</v>
      </c>
      <c r="AC369" s="46">
        <v>15765300</v>
      </c>
      <c r="AD369" s="46">
        <v>163</v>
      </c>
      <c r="AF369" s="47">
        <f t="shared" si="5"/>
        <v>15765300</v>
      </c>
    </row>
    <row r="370" spans="1:32" x14ac:dyDescent="0.3">
      <c r="A370" s="46" t="s">
        <v>612</v>
      </c>
      <c r="B370" s="46" t="str">
        <f>IFERROR(VLOOKUP($H370,매장구분!$B:$Z,2,0),"")</f>
        <v>리테일채널팀</v>
      </c>
      <c r="C370" s="46" t="str">
        <f>IFERROR(VLOOKUP($H370,매장구분!$B:$Z,3,0),"")</f>
        <v>국내</v>
      </c>
      <c r="D370" s="46" t="str">
        <f>IFERROR(VLOOKUP($H370,매장구분!$B:$Z,5,0),"")</f>
        <v>대리점</v>
      </c>
      <c r="E370" s="46" t="str">
        <f>IFERROR(VLOOKUP($H370,매장구분!$B:$Z,9,0),"")</f>
        <v>동해(대-위)</v>
      </c>
      <c r="G370" s="46" t="s">
        <v>534</v>
      </c>
      <c r="H370" s="46" t="s">
        <v>535</v>
      </c>
      <c r="I370" s="46" t="s">
        <v>169</v>
      </c>
      <c r="J370" s="46" t="s">
        <v>79</v>
      </c>
      <c r="K370" s="46" t="s">
        <v>170</v>
      </c>
      <c r="L370" s="46" t="s">
        <v>171</v>
      </c>
      <c r="M370" s="46" t="s">
        <v>196</v>
      </c>
      <c r="N370" s="46" t="s">
        <v>197</v>
      </c>
      <c r="O370" s="46">
        <v>9838815</v>
      </c>
      <c r="P370" s="46">
        <v>90</v>
      </c>
      <c r="Q370" s="46">
        <v>0</v>
      </c>
      <c r="R370" s="46">
        <v>0</v>
      </c>
      <c r="S370" s="46">
        <v>0</v>
      </c>
      <c r="T370" s="46">
        <v>0</v>
      </c>
      <c r="U370" s="46">
        <v>5727713</v>
      </c>
      <c r="V370" s="46">
        <v>53</v>
      </c>
      <c r="W370" s="46">
        <v>0</v>
      </c>
      <c r="X370" s="46">
        <v>0</v>
      </c>
      <c r="Y370" s="48">
        <v>0</v>
      </c>
      <c r="Z370" s="46">
        <v>0</v>
      </c>
      <c r="AA370" s="46">
        <v>0</v>
      </c>
      <c r="AB370" s="46">
        <v>0</v>
      </c>
      <c r="AC370" s="46">
        <v>15566528</v>
      </c>
      <c r="AD370" s="46">
        <v>143</v>
      </c>
      <c r="AF370" s="47">
        <f t="shared" si="5"/>
        <v>15566528</v>
      </c>
    </row>
    <row r="371" spans="1:32" x14ac:dyDescent="0.3">
      <c r="A371" s="46" t="s">
        <v>612</v>
      </c>
      <c r="B371" s="46" t="str">
        <f>IFERROR(VLOOKUP($H371,매장구분!$B:$Z,2,0),"")</f>
        <v>리테일채널팀</v>
      </c>
      <c r="C371" s="46" t="str">
        <f>IFERROR(VLOOKUP($H371,매장구분!$B:$Z,3,0),"")</f>
        <v>국내</v>
      </c>
      <c r="D371" s="46" t="str">
        <f>IFERROR(VLOOKUP($H371,매장구분!$B:$Z,5,0),"")</f>
        <v>직영점</v>
      </c>
      <c r="E371" s="46" t="str">
        <f>IFERROR(VLOOKUP($H371,매장구분!$B:$Z,9,0),"")</f>
        <v>스타필드고양</v>
      </c>
      <c r="G371" s="46" t="s">
        <v>592</v>
      </c>
      <c r="H371" s="46" t="s">
        <v>593</v>
      </c>
      <c r="I371" s="46" t="s">
        <v>169</v>
      </c>
      <c r="J371" s="46" t="s">
        <v>180</v>
      </c>
      <c r="K371" s="46" t="s">
        <v>170</v>
      </c>
      <c r="L371" s="46" t="s">
        <v>171</v>
      </c>
      <c r="M371" s="46" t="s">
        <v>188</v>
      </c>
      <c r="N371" s="46" t="s">
        <v>189</v>
      </c>
      <c r="O371" s="46">
        <v>19876100</v>
      </c>
      <c r="P371" s="46">
        <v>274</v>
      </c>
      <c r="Q371" s="46">
        <v>0</v>
      </c>
      <c r="R371" s="46">
        <v>0</v>
      </c>
      <c r="S371" s="46">
        <v>0</v>
      </c>
      <c r="T371" s="46">
        <v>0</v>
      </c>
      <c r="U371" s="46">
        <v>5790800</v>
      </c>
      <c r="V371" s="46">
        <v>26</v>
      </c>
      <c r="W371" s="46">
        <v>0</v>
      </c>
      <c r="X371" s="46">
        <v>0</v>
      </c>
      <c r="Y371" s="48">
        <v>0</v>
      </c>
      <c r="Z371" s="46">
        <v>0</v>
      </c>
      <c r="AA371" s="46">
        <v>0</v>
      </c>
      <c r="AB371" s="46">
        <v>0</v>
      </c>
      <c r="AC371" s="46">
        <v>25666900</v>
      </c>
      <c r="AD371" s="46">
        <v>300</v>
      </c>
      <c r="AF371" s="47">
        <f t="shared" si="5"/>
        <v>25666900</v>
      </c>
    </row>
    <row r="372" spans="1:32" x14ac:dyDescent="0.3">
      <c r="A372" s="46" t="s">
        <v>612</v>
      </c>
      <c r="B372" s="46" t="str">
        <f>IFERROR(VLOOKUP($H372,매장구분!$B:$Z,2,0),"")</f>
        <v>리테일채널팀</v>
      </c>
      <c r="C372" s="46" t="str">
        <f>IFERROR(VLOOKUP($H372,매장구분!$B:$Z,3,0),"")</f>
        <v>국내</v>
      </c>
      <c r="D372" s="46" t="str">
        <f>IFERROR(VLOOKUP($H372,매장구분!$B:$Z,5,0),"")</f>
        <v>대리점</v>
      </c>
      <c r="E372" s="46" t="str">
        <f>IFERROR(VLOOKUP($H372,매장구분!$B:$Z,9,0),"")</f>
        <v>세정광주(대-위)</v>
      </c>
      <c r="G372" s="46" t="s">
        <v>346</v>
      </c>
      <c r="H372" s="46" t="s">
        <v>347</v>
      </c>
      <c r="I372" s="46" t="s">
        <v>169</v>
      </c>
      <c r="J372" s="46" t="s">
        <v>79</v>
      </c>
      <c r="K372" s="46" t="s">
        <v>170</v>
      </c>
      <c r="L372" s="46" t="s">
        <v>171</v>
      </c>
      <c r="M372" s="46" t="s">
        <v>196</v>
      </c>
      <c r="N372" s="46" t="s">
        <v>197</v>
      </c>
      <c r="O372" s="46">
        <v>17277395</v>
      </c>
      <c r="P372" s="46">
        <v>152</v>
      </c>
      <c r="Q372" s="46">
        <v>0</v>
      </c>
      <c r="R372" s="46">
        <v>0</v>
      </c>
      <c r="S372" s="46">
        <v>0</v>
      </c>
      <c r="T372" s="46">
        <v>0</v>
      </c>
      <c r="U372" s="46">
        <v>920105</v>
      </c>
      <c r="V372" s="46">
        <v>6</v>
      </c>
      <c r="W372" s="46">
        <v>0</v>
      </c>
      <c r="X372" s="46">
        <v>0</v>
      </c>
      <c r="Y372" s="48">
        <v>0</v>
      </c>
      <c r="Z372" s="46">
        <v>0</v>
      </c>
      <c r="AA372" s="46">
        <v>0</v>
      </c>
      <c r="AB372" s="46">
        <v>0</v>
      </c>
      <c r="AC372" s="46">
        <v>18197500</v>
      </c>
      <c r="AD372" s="46">
        <v>158</v>
      </c>
      <c r="AF372" s="47">
        <f t="shared" si="5"/>
        <v>18197500</v>
      </c>
    </row>
    <row r="373" spans="1:32" x14ac:dyDescent="0.3">
      <c r="A373" s="46" t="s">
        <v>612</v>
      </c>
      <c r="B373" s="46" t="str">
        <f>IFERROR(VLOOKUP($H373,매장구분!$B:$Z,2,0),"")</f>
        <v>파트너채널팀</v>
      </c>
      <c r="C373" s="46" t="str">
        <f>IFERROR(VLOOKUP($H373,매장구분!$B:$Z,3,0),"")</f>
        <v>국내</v>
      </c>
      <c r="D373" s="46" t="str">
        <f>IFERROR(VLOOKUP($H373,매장구분!$B:$Z,5,0),"")</f>
        <v>백화점</v>
      </c>
      <c r="E373" s="46" t="str">
        <f>IFERROR(VLOOKUP($H373,매장구분!$B:$Z,9,0),"")</f>
        <v>갤러리아진주</v>
      </c>
      <c r="G373" s="46" t="s">
        <v>516</v>
      </c>
      <c r="H373" s="46" t="s">
        <v>517</v>
      </c>
      <c r="I373" s="46" t="s">
        <v>169</v>
      </c>
      <c r="J373" s="46" t="s">
        <v>175</v>
      </c>
      <c r="K373" s="46" t="s">
        <v>170</v>
      </c>
      <c r="L373" s="46" t="s">
        <v>171</v>
      </c>
      <c r="M373" s="46" t="s">
        <v>77</v>
      </c>
      <c r="N373" s="46" t="s">
        <v>172</v>
      </c>
      <c r="O373" s="46">
        <v>7042400</v>
      </c>
      <c r="P373" s="46">
        <v>70</v>
      </c>
      <c r="Q373" s="46">
        <v>1474000</v>
      </c>
      <c r="R373" s="46">
        <v>15</v>
      </c>
      <c r="S373" s="46">
        <v>0</v>
      </c>
      <c r="T373" s="46">
        <v>0</v>
      </c>
      <c r="U373" s="46">
        <v>1815200</v>
      </c>
      <c r="V373" s="46">
        <v>11</v>
      </c>
      <c r="W373" s="46">
        <v>0</v>
      </c>
      <c r="X373" s="46">
        <v>0</v>
      </c>
      <c r="Y373" s="48">
        <v>0</v>
      </c>
      <c r="Z373" s="46">
        <v>0</v>
      </c>
      <c r="AA373" s="46">
        <v>0</v>
      </c>
      <c r="AB373" s="46">
        <v>0</v>
      </c>
      <c r="AC373" s="46">
        <v>10331600</v>
      </c>
      <c r="AD373" s="46">
        <v>96</v>
      </c>
      <c r="AF373" s="47">
        <f t="shared" si="5"/>
        <v>10331600</v>
      </c>
    </row>
    <row r="374" spans="1:32" x14ac:dyDescent="0.3">
      <c r="A374" s="46" t="s">
        <v>612</v>
      </c>
      <c r="B374" s="46" t="str">
        <f>IFERROR(VLOOKUP($H374,매장구분!$B:$Z,2,0),"")</f>
        <v>파트너채널팀</v>
      </c>
      <c r="C374" s="46" t="str">
        <f>IFERROR(VLOOKUP($H374,매장구분!$B:$Z,3,0),"")</f>
        <v>국내</v>
      </c>
      <c r="D374" s="46" t="str">
        <f>IFERROR(VLOOKUP($H374,매장구분!$B:$Z,5,0),"")</f>
        <v>백화점</v>
      </c>
      <c r="E374" s="46" t="str">
        <f>IFERROR(VLOOKUP($H374,매장구분!$B:$Z,9,0),"")</f>
        <v>롯데전주</v>
      </c>
      <c r="G374" s="46" t="s">
        <v>446</v>
      </c>
      <c r="H374" s="46" t="s">
        <v>447</v>
      </c>
      <c r="I374" s="46" t="s">
        <v>169</v>
      </c>
      <c r="J374" s="46" t="s">
        <v>175</v>
      </c>
      <c r="K374" s="46" t="s">
        <v>170</v>
      </c>
      <c r="L374" s="46" t="s">
        <v>171</v>
      </c>
      <c r="M374" s="46" t="s">
        <v>77</v>
      </c>
      <c r="N374" s="46" t="s">
        <v>172</v>
      </c>
      <c r="O374" s="46">
        <v>10546600</v>
      </c>
      <c r="P374" s="46">
        <v>116</v>
      </c>
      <c r="Q374" s="46">
        <v>358500</v>
      </c>
      <c r="R374" s="46">
        <v>3</v>
      </c>
      <c r="S374" s="46">
        <v>0</v>
      </c>
      <c r="T374" s="46">
        <v>0</v>
      </c>
      <c r="U374" s="46">
        <v>1754400</v>
      </c>
      <c r="V374" s="46">
        <v>9</v>
      </c>
      <c r="W374" s="46">
        <v>0</v>
      </c>
      <c r="X374" s="46">
        <v>0</v>
      </c>
      <c r="Y374" s="48">
        <v>0</v>
      </c>
      <c r="Z374" s="46">
        <v>0</v>
      </c>
      <c r="AA374" s="46">
        <v>0</v>
      </c>
      <c r="AB374" s="46">
        <v>0</v>
      </c>
      <c r="AC374" s="46">
        <v>12659500</v>
      </c>
      <c r="AD374" s="46">
        <v>128</v>
      </c>
      <c r="AF374" s="47">
        <f t="shared" si="5"/>
        <v>12659500</v>
      </c>
    </row>
    <row r="375" spans="1:32" x14ac:dyDescent="0.3">
      <c r="A375" s="46" t="s">
        <v>612</v>
      </c>
      <c r="B375" s="46" t="str">
        <f>IFERROR(VLOOKUP($H375,매장구분!$B:$Z,2,0),"")</f>
        <v>파트너채널팀</v>
      </c>
      <c r="C375" s="46" t="str">
        <f>IFERROR(VLOOKUP($H375,매장구분!$B:$Z,3,0),"")</f>
        <v>국내</v>
      </c>
      <c r="D375" s="46" t="str">
        <f>IFERROR(VLOOKUP($H375,매장구분!$B:$Z,5,0),"")</f>
        <v>백화점</v>
      </c>
      <c r="E375" s="46" t="str">
        <f>IFERROR(VLOOKUP($H375,매장구분!$B:$Z,9,0),"")</f>
        <v>AK평택</v>
      </c>
      <c r="G375" s="46" t="s">
        <v>251</v>
      </c>
      <c r="H375" s="46" t="s">
        <v>252</v>
      </c>
      <c r="I375" s="46" t="s">
        <v>169</v>
      </c>
      <c r="J375" s="46" t="s">
        <v>175</v>
      </c>
      <c r="K375" s="46" t="s">
        <v>170</v>
      </c>
      <c r="L375" s="46" t="s">
        <v>171</v>
      </c>
      <c r="M375" s="46" t="s">
        <v>77</v>
      </c>
      <c r="N375" s="46" t="s">
        <v>172</v>
      </c>
      <c r="O375" s="46">
        <v>27081200</v>
      </c>
      <c r="P375" s="46">
        <v>272</v>
      </c>
      <c r="Q375" s="46">
        <v>0</v>
      </c>
      <c r="R375" s="46">
        <v>0</v>
      </c>
      <c r="S375" s="46">
        <v>0</v>
      </c>
      <c r="T375" s="46">
        <v>0</v>
      </c>
      <c r="U375" s="46">
        <v>1528700</v>
      </c>
      <c r="V375" s="46">
        <v>11</v>
      </c>
      <c r="W375" s="46">
        <v>0</v>
      </c>
      <c r="X375" s="46">
        <v>0</v>
      </c>
      <c r="Y375" s="48">
        <v>0</v>
      </c>
      <c r="Z375" s="46">
        <v>0</v>
      </c>
      <c r="AA375" s="46">
        <v>0</v>
      </c>
      <c r="AB375" s="46">
        <v>0</v>
      </c>
      <c r="AC375" s="46">
        <v>28609900</v>
      </c>
      <c r="AD375" s="46">
        <v>283</v>
      </c>
      <c r="AF375" s="47">
        <f t="shared" si="5"/>
        <v>28609900</v>
      </c>
    </row>
    <row r="376" spans="1:32" x14ac:dyDescent="0.3">
      <c r="A376" s="46" t="s">
        <v>612</v>
      </c>
      <c r="B376" s="46" t="str">
        <f>IFERROR(VLOOKUP($H376,매장구분!$B:$Z,2,0),"")</f>
        <v>파트너채널팀</v>
      </c>
      <c r="C376" s="46" t="str">
        <f>IFERROR(VLOOKUP($H376,매장구분!$B:$Z,3,0),"")</f>
        <v>국내</v>
      </c>
      <c r="D376" s="46" t="str">
        <f>IFERROR(VLOOKUP($H376,매장구분!$B:$Z,5,0),"")</f>
        <v>백화점</v>
      </c>
      <c r="E376" s="46" t="str">
        <f>IFERROR(VLOOKUP($H376,매장구분!$B:$Z,9,0),"")</f>
        <v>롯데노원</v>
      </c>
      <c r="G376" s="46" t="s">
        <v>472</v>
      </c>
      <c r="H376" s="46" t="s">
        <v>473</v>
      </c>
      <c r="I376" s="46" t="s">
        <v>169</v>
      </c>
      <c r="J376" s="46" t="s">
        <v>175</v>
      </c>
      <c r="K376" s="46" t="s">
        <v>170</v>
      </c>
      <c r="L376" s="46" t="s">
        <v>171</v>
      </c>
      <c r="M376" s="46" t="s">
        <v>77</v>
      </c>
      <c r="N376" s="46" t="s">
        <v>172</v>
      </c>
      <c r="O376" s="46">
        <v>38772000</v>
      </c>
      <c r="P376" s="46">
        <v>321</v>
      </c>
      <c r="Q376" s="46">
        <v>0</v>
      </c>
      <c r="R376" s="46">
        <v>0</v>
      </c>
      <c r="S376" s="46">
        <v>0</v>
      </c>
      <c r="T376" s="46">
        <v>0</v>
      </c>
      <c r="U376" s="46">
        <v>5692100</v>
      </c>
      <c r="V376" s="46">
        <v>38</v>
      </c>
      <c r="W376" s="46">
        <v>0</v>
      </c>
      <c r="X376" s="46">
        <v>0</v>
      </c>
      <c r="Y376" s="48">
        <v>0</v>
      </c>
      <c r="Z376" s="46">
        <v>0</v>
      </c>
      <c r="AA376" s="46">
        <v>0</v>
      </c>
      <c r="AB376" s="46">
        <v>0</v>
      </c>
      <c r="AC376" s="46">
        <v>44464100</v>
      </c>
      <c r="AD376" s="46">
        <v>359</v>
      </c>
      <c r="AF376" s="47">
        <f t="shared" si="5"/>
        <v>44464100</v>
      </c>
    </row>
    <row r="377" spans="1:32" x14ac:dyDescent="0.3">
      <c r="A377" s="46" t="s">
        <v>612</v>
      </c>
      <c r="B377" s="46" t="str">
        <f>IFERROR(VLOOKUP($H377,매장구분!$B:$Z,2,0),"")</f>
        <v>파트너채널팀</v>
      </c>
      <c r="C377" s="46" t="str">
        <f>IFERROR(VLOOKUP($H377,매장구분!$B:$Z,3,0),"")</f>
        <v>국내</v>
      </c>
      <c r="D377" s="46" t="str">
        <f>IFERROR(VLOOKUP($H377,매장구분!$B:$Z,5,0),"")</f>
        <v>백화점</v>
      </c>
      <c r="E377" s="46" t="str">
        <f>IFERROR(VLOOKUP($H377,매장구분!$B:$Z,9,0),"")</f>
        <v>신세계김해</v>
      </c>
      <c r="G377" s="46" t="s">
        <v>454</v>
      </c>
      <c r="H377" s="46" t="s">
        <v>455</v>
      </c>
      <c r="I377" s="46" t="s">
        <v>169</v>
      </c>
      <c r="J377" s="46" t="s">
        <v>175</v>
      </c>
      <c r="K377" s="46" t="s">
        <v>170</v>
      </c>
      <c r="L377" s="46" t="s">
        <v>171</v>
      </c>
      <c r="M377" s="46" t="s">
        <v>77</v>
      </c>
      <c r="N377" s="46" t="s">
        <v>172</v>
      </c>
      <c r="O377" s="46">
        <v>7129500</v>
      </c>
      <c r="P377" s="46">
        <v>90</v>
      </c>
      <c r="Q377" s="46">
        <v>0</v>
      </c>
      <c r="R377" s="46">
        <v>0</v>
      </c>
      <c r="S377" s="46">
        <v>0</v>
      </c>
      <c r="T377" s="46">
        <v>0</v>
      </c>
      <c r="U377" s="46">
        <v>939500</v>
      </c>
      <c r="V377" s="46">
        <v>7</v>
      </c>
      <c r="W377" s="46">
        <v>0</v>
      </c>
      <c r="X377" s="46">
        <v>0</v>
      </c>
      <c r="Y377" s="48">
        <v>0</v>
      </c>
      <c r="Z377" s="46">
        <v>0</v>
      </c>
      <c r="AA377" s="46">
        <v>0</v>
      </c>
      <c r="AB377" s="46">
        <v>0</v>
      </c>
      <c r="AC377" s="46">
        <v>8069000</v>
      </c>
      <c r="AD377" s="46">
        <v>97</v>
      </c>
      <c r="AF377" s="47">
        <f t="shared" si="5"/>
        <v>8069000</v>
      </c>
    </row>
    <row r="378" spans="1:32" x14ac:dyDescent="0.3">
      <c r="A378" s="46" t="s">
        <v>612</v>
      </c>
      <c r="B378" s="46" t="str">
        <f>IFERROR(VLOOKUP($H378,매장구분!$B:$Z,2,0),"")</f>
        <v>파트너채널팀</v>
      </c>
      <c r="C378" s="46" t="str">
        <f>IFERROR(VLOOKUP($H378,매장구분!$B:$Z,3,0),"")</f>
        <v>국내</v>
      </c>
      <c r="D378" s="46" t="str">
        <f>IFERROR(VLOOKUP($H378,매장구분!$B:$Z,5,0),"")</f>
        <v>백화점</v>
      </c>
      <c r="E378" s="46" t="str">
        <f>IFERROR(VLOOKUP($H378,매장구분!$B:$Z,9,0),"")</f>
        <v>롯데포항</v>
      </c>
      <c r="G378" s="46" t="s">
        <v>249</v>
      </c>
      <c r="H378" s="46" t="s">
        <v>250</v>
      </c>
      <c r="I378" s="46" t="s">
        <v>169</v>
      </c>
      <c r="J378" s="46" t="s">
        <v>175</v>
      </c>
      <c r="K378" s="46" t="s">
        <v>170</v>
      </c>
      <c r="L378" s="46" t="s">
        <v>171</v>
      </c>
      <c r="M378" s="46" t="s">
        <v>77</v>
      </c>
      <c r="N378" s="46" t="s">
        <v>172</v>
      </c>
      <c r="O378" s="46">
        <v>9038300</v>
      </c>
      <c r="P378" s="46">
        <v>87</v>
      </c>
      <c r="Q378" s="46">
        <v>0</v>
      </c>
      <c r="R378" s="46">
        <v>0</v>
      </c>
      <c r="S378" s="46">
        <v>0</v>
      </c>
      <c r="T378" s="46">
        <v>0</v>
      </c>
      <c r="U378" s="46">
        <v>2225000</v>
      </c>
      <c r="V378" s="46">
        <v>11</v>
      </c>
      <c r="W378" s="46">
        <v>0</v>
      </c>
      <c r="X378" s="46">
        <v>0</v>
      </c>
      <c r="Y378" s="48">
        <v>0</v>
      </c>
      <c r="Z378" s="46">
        <v>0</v>
      </c>
      <c r="AA378" s="46">
        <v>0</v>
      </c>
      <c r="AB378" s="46">
        <v>0</v>
      </c>
      <c r="AC378" s="46">
        <v>11263300</v>
      </c>
      <c r="AD378" s="46">
        <v>98</v>
      </c>
      <c r="AF378" s="47">
        <f t="shared" si="5"/>
        <v>11263300</v>
      </c>
    </row>
    <row r="379" spans="1:32" x14ac:dyDescent="0.3">
      <c r="A379" s="46" t="s">
        <v>612</v>
      </c>
      <c r="B379" s="46" t="str">
        <f>IFERROR(VLOOKUP($H379,매장구분!$B:$Z,2,0),"")</f>
        <v>리테일채널팀</v>
      </c>
      <c r="C379" s="46" t="str">
        <f>IFERROR(VLOOKUP($H379,매장구분!$B:$Z,3,0),"")</f>
        <v>국내</v>
      </c>
      <c r="D379" s="46" t="str">
        <f>IFERROR(VLOOKUP($H379,매장구분!$B:$Z,5,0),"")</f>
        <v>대리점</v>
      </c>
      <c r="E379" s="46" t="str">
        <f>IFERROR(VLOOKUP($H379,매장구분!$B:$Z,9,0),"")</f>
        <v>통영(대-위)</v>
      </c>
      <c r="G379" s="46" t="s">
        <v>506</v>
      </c>
      <c r="H379" s="46" t="s">
        <v>507</v>
      </c>
      <c r="I379" s="46" t="s">
        <v>169</v>
      </c>
      <c r="J379" s="46" t="s">
        <v>79</v>
      </c>
      <c r="K379" s="46" t="s">
        <v>170</v>
      </c>
      <c r="L379" s="46" t="s">
        <v>171</v>
      </c>
      <c r="M379" s="46" t="s">
        <v>196</v>
      </c>
      <c r="N379" s="46" t="s">
        <v>197</v>
      </c>
      <c r="O379" s="46">
        <v>9123600</v>
      </c>
      <c r="P379" s="46">
        <v>77</v>
      </c>
      <c r="Q379" s="46">
        <v>0</v>
      </c>
      <c r="R379" s="46">
        <v>0</v>
      </c>
      <c r="S379" s="46">
        <v>0</v>
      </c>
      <c r="T379" s="46">
        <v>0</v>
      </c>
      <c r="U379" s="46">
        <v>1293000</v>
      </c>
      <c r="V379" s="46">
        <v>7</v>
      </c>
      <c r="W379" s="46">
        <v>0</v>
      </c>
      <c r="X379" s="46">
        <v>0</v>
      </c>
      <c r="Y379" s="48">
        <v>0</v>
      </c>
      <c r="Z379" s="46">
        <v>0</v>
      </c>
      <c r="AA379" s="46">
        <v>0</v>
      </c>
      <c r="AB379" s="46">
        <v>0</v>
      </c>
      <c r="AC379" s="46">
        <v>10416600</v>
      </c>
      <c r="AD379" s="46">
        <v>84</v>
      </c>
      <c r="AF379" s="47">
        <f t="shared" si="5"/>
        <v>10416600</v>
      </c>
    </row>
    <row r="380" spans="1:32" x14ac:dyDescent="0.3">
      <c r="A380" s="46" t="s">
        <v>612</v>
      </c>
      <c r="B380" s="46" t="str">
        <f>IFERROR(VLOOKUP($H380,매장구분!$B:$Z,2,0),"")</f>
        <v>파트너채널팀</v>
      </c>
      <c r="C380" s="46" t="str">
        <f>IFERROR(VLOOKUP($H380,매장구분!$B:$Z,3,0),"")</f>
        <v>국내</v>
      </c>
      <c r="D380" s="46" t="str">
        <f>IFERROR(VLOOKUP($H380,매장구분!$B:$Z,5,0),"")</f>
        <v>백화점</v>
      </c>
      <c r="E380" s="46" t="str">
        <f>IFERROR(VLOOKUP($H380,매장구분!$B:$Z,9,0),"")</f>
        <v>신세계의정부</v>
      </c>
      <c r="G380" s="46" t="s">
        <v>438</v>
      </c>
      <c r="H380" s="46" t="s">
        <v>439</v>
      </c>
      <c r="I380" s="46" t="s">
        <v>169</v>
      </c>
      <c r="J380" s="46" t="s">
        <v>175</v>
      </c>
      <c r="K380" s="46" t="s">
        <v>170</v>
      </c>
      <c r="L380" s="46" t="s">
        <v>171</v>
      </c>
      <c r="M380" s="46" t="s">
        <v>77</v>
      </c>
      <c r="N380" s="46" t="s">
        <v>172</v>
      </c>
      <c r="O380" s="46">
        <v>18170900</v>
      </c>
      <c r="P380" s="46">
        <v>177</v>
      </c>
      <c r="Q380" s="46">
        <v>0</v>
      </c>
      <c r="R380" s="46">
        <v>0</v>
      </c>
      <c r="S380" s="46">
        <v>0</v>
      </c>
      <c r="T380" s="46">
        <v>0</v>
      </c>
      <c r="U380" s="46">
        <v>2170400</v>
      </c>
      <c r="V380" s="46">
        <v>9</v>
      </c>
      <c r="W380" s="46">
        <v>0</v>
      </c>
      <c r="X380" s="46">
        <v>0</v>
      </c>
      <c r="Y380" s="48">
        <v>0</v>
      </c>
      <c r="Z380" s="46">
        <v>0</v>
      </c>
      <c r="AA380" s="46">
        <v>0</v>
      </c>
      <c r="AB380" s="46">
        <v>0</v>
      </c>
      <c r="AC380" s="46">
        <v>20341300</v>
      </c>
      <c r="AD380" s="46">
        <v>186</v>
      </c>
      <c r="AF380" s="47">
        <f t="shared" si="5"/>
        <v>20341300</v>
      </c>
    </row>
    <row r="381" spans="1:32" x14ac:dyDescent="0.3">
      <c r="A381" s="46" t="s">
        <v>612</v>
      </c>
      <c r="B381" s="46" t="str">
        <f>IFERROR(VLOOKUP($H381,매장구분!$B:$Z,2,0),"")</f>
        <v>파트너채널팀</v>
      </c>
      <c r="C381" s="46" t="str">
        <f>IFERROR(VLOOKUP($H381,매장구분!$B:$Z,3,0),"")</f>
        <v>국내</v>
      </c>
      <c r="D381" s="46" t="str">
        <f>IFERROR(VLOOKUP($H381,매장구분!$B:$Z,5,0),"")</f>
        <v>백화점</v>
      </c>
      <c r="E381" s="46" t="str">
        <f>IFERROR(VLOOKUP($H381,매장구분!$B:$Z,9,0),"")</f>
        <v>AK수원</v>
      </c>
      <c r="G381" s="46" t="s">
        <v>552</v>
      </c>
      <c r="H381" s="46" t="s">
        <v>553</v>
      </c>
      <c r="I381" s="46" t="s">
        <v>169</v>
      </c>
      <c r="J381" s="46" t="s">
        <v>175</v>
      </c>
      <c r="K381" s="46" t="s">
        <v>170</v>
      </c>
      <c r="L381" s="46" t="s">
        <v>171</v>
      </c>
      <c r="M381" s="46" t="s">
        <v>77</v>
      </c>
      <c r="N381" s="46" t="s">
        <v>172</v>
      </c>
      <c r="O381" s="46">
        <v>14912900</v>
      </c>
      <c r="P381" s="46">
        <v>205</v>
      </c>
      <c r="Q381" s="46">
        <v>0</v>
      </c>
      <c r="R381" s="46">
        <v>0</v>
      </c>
      <c r="S381" s="46">
        <v>0</v>
      </c>
      <c r="T381" s="46">
        <v>0</v>
      </c>
      <c r="U381" s="46">
        <v>1657600</v>
      </c>
      <c r="V381" s="46">
        <v>9</v>
      </c>
      <c r="W381" s="46">
        <v>0</v>
      </c>
      <c r="X381" s="46">
        <v>0</v>
      </c>
      <c r="Y381" s="48">
        <v>28172000</v>
      </c>
      <c r="Z381" s="46">
        <v>202</v>
      </c>
      <c r="AA381" s="46">
        <v>0</v>
      </c>
      <c r="AB381" s="46">
        <v>0</v>
      </c>
      <c r="AC381" s="46">
        <v>44742500</v>
      </c>
      <c r="AD381" s="46">
        <v>416</v>
      </c>
      <c r="AF381" s="47">
        <f t="shared" si="5"/>
        <v>16570500</v>
      </c>
    </row>
    <row r="382" spans="1:32" x14ac:dyDescent="0.3">
      <c r="A382" s="46" t="s">
        <v>612</v>
      </c>
      <c r="B382" s="46" t="str">
        <f>IFERROR(VLOOKUP($H382,매장구분!$B:$Z,2,0),"")</f>
        <v>리테일채널팀</v>
      </c>
      <c r="C382" s="46" t="str">
        <f>IFERROR(VLOOKUP($H382,매장구분!$B:$Z,3,0),"")</f>
        <v>국내</v>
      </c>
      <c r="D382" s="46" t="str">
        <f>IFERROR(VLOOKUP($H382,매장구분!$B:$Z,5,0),"")</f>
        <v>직영점</v>
      </c>
      <c r="E382" s="46" t="str">
        <f>IFERROR(VLOOKUP($H382,매장구분!$B:$Z,9,0),"")</f>
        <v>타임스트림신림(직)</v>
      </c>
      <c r="G382" s="46" t="s">
        <v>360</v>
      </c>
      <c r="H382" s="46" t="s">
        <v>361</v>
      </c>
      <c r="I382" s="46" t="s">
        <v>169</v>
      </c>
      <c r="J382" s="46" t="s">
        <v>180</v>
      </c>
      <c r="K382" s="46" t="s">
        <v>170</v>
      </c>
      <c r="L382" s="46" t="s">
        <v>171</v>
      </c>
      <c r="M382" s="46" t="s">
        <v>188</v>
      </c>
      <c r="N382" s="46" t="s">
        <v>317</v>
      </c>
      <c r="O382" s="46">
        <v>9036800</v>
      </c>
      <c r="P382" s="46">
        <v>96</v>
      </c>
      <c r="Q382" s="46">
        <v>0</v>
      </c>
      <c r="R382" s="46">
        <v>0</v>
      </c>
      <c r="S382" s="46">
        <v>0</v>
      </c>
      <c r="T382" s="46">
        <v>0</v>
      </c>
      <c r="U382" s="46">
        <v>1116300</v>
      </c>
      <c r="V382" s="46">
        <v>9</v>
      </c>
      <c r="W382" s="46">
        <v>0</v>
      </c>
      <c r="X382" s="46">
        <v>0</v>
      </c>
      <c r="Y382" s="48">
        <v>0</v>
      </c>
      <c r="Z382" s="46">
        <v>0</v>
      </c>
      <c r="AA382" s="46">
        <v>0</v>
      </c>
      <c r="AB382" s="46">
        <v>0</v>
      </c>
      <c r="AC382" s="46">
        <v>10153100</v>
      </c>
      <c r="AD382" s="46">
        <v>105</v>
      </c>
      <c r="AF382" s="47">
        <f t="shared" si="5"/>
        <v>10153100</v>
      </c>
    </row>
    <row r="383" spans="1:32" x14ac:dyDescent="0.3">
      <c r="A383" s="46" t="s">
        <v>612</v>
      </c>
      <c r="B383" s="46" t="str">
        <f>IFERROR(VLOOKUP($H383,매장구분!$B:$Z,2,0),"")</f>
        <v>리테일채널팀</v>
      </c>
      <c r="C383" s="46" t="str">
        <f>IFERROR(VLOOKUP($H383,매장구분!$B:$Z,3,0),"")</f>
        <v>국내</v>
      </c>
      <c r="D383" s="46" t="str">
        <f>IFERROR(VLOOKUP($H383,매장구분!$B:$Z,5,0),"")</f>
        <v>직영점</v>
      </c>
      <c r="E383" s="46" t="str">
        <f>IFERROR(VLOOKUP($H383,매장구분!$B:$Z,9,0),"")</f>
        <v>강남사옥(직)</v>
      </c>
      <c r="G383" s="46" t="s">
        <v>482</v>
      </c>
      <c r="H383" s="46" t="s">
        <v>483</v>
      </c>
      <c r="I383" s="46" t="s">
        <v>169</v>
      </c>
      <c r="J383" s="46" t="s">
        <v>180</v>
      </c>
      <c r="K383" s="46" t="s">
        <v>170</v>
      </c>
      <c r="L383" s="46" t="s">
        <v>171</v>
      </c>
      <c r="M383" s="46" t="s">
        <v>196</v>
      </c>
      <c r="N383" s="46" t="s">
        <v>206</v>
      </c>
      <c r="O383" s="46">
        <v>28715400</v>
      </c>
      <c r="P383" s="46">
        <v>257</v>
      </c>
      <c r="Q383" s="46">
        <v>0</v>
      </c>
      <c r="R383" s="46">
        <v>0</v>
      </c>
      <c r="S383" s="46">
        <v>0</v>
      </c>
      <c r="T383" s="46">
        <v>0</v>
      </c>
      <c r="U383" s="46">
        <v>1561000</v>
      </c>
      <c r="V383" s="46">
        <v>9</v>
      </c>
      <c r="W383" s="46">
        <v>0</v>
      </c>
      <c r="X383" s="46">
        <v>0</v>
      </c>
      <c r="Y383" s="48">
        <v>0</v>
      </c>
      <c r="Z383" s="46">
        <v>0</v>
      </c>
      <c r="AA383" s="46">
        <v>0</v>
      </c>
      <c r="AB383" s="46">
        <v>0</v>
      </c>
      <c r="AC383" s="46">
        <v>30276400</v>
      </c>
      <c r="AD383" s="46">
        <v>266</v>
      </c>
      <c r="AF383" s="47">
        <f t="shared" si="5"/>
        <v>30276400</v>
      </c>
    </row>
    <row r="384" spans="1:32" x14ac:dyDescent="0.3">
      <c r="A384" s="46" t="s">
        <v>612</v>
      </c>
      <c r="B384" s="46" t="str">
        <f>IFERROR(VLOOKUP($H384,매장구분!$B:$Z,2,0),"")</f>
        <v>리테일채널팀</v>
      </c>
      <c r="C384" s="46" t="str">
        <f>IFERROR(VLOOKUP($H384,매장구분!$B:$Z,3,0),"")</f>
        <v>국내</v>
      </c>
      <c r="D384" s="46" t="str">
        <f>IFERROR(VLOOKUP($H384,매장구분!$B:$Z,5,0),"")</f>
        <v>대리점</v>
      </c>
      <c r="E384" s="46" t="str">
        <f>IFERROR(VLOOKUP($H384,매장구분!$B:$Z,9,0),"")</f>
        <v>익산(대-위)</v>
      </c>
      <c r="G384" s="46" t="s">
        <v>490</v>
      </c>
      <c r="H384" s="46" t="s">
        <v>491</v>
      </c>
      <c r="I384" s="46" t="s">
        <v>169</v>
      </c>
      <c r="J384" s="46" t="s">
        <v>79</v>
      </c>
      <c r="K384" s="46" t="s">
        <v>170</v>
      </c>
      <c r="L384" s="46" t="s">
        <v>171</v>
      </c>
      <c r="M384" s="46" t="s">
        <v>196</v>
      </c>
      <c r="N384" s="46" t="s">
        <v>197</v>
      </c>
      <c r="O384" s="46">
        <v>18467766</v>
      </c>
      <c r="P384" s="46">
        <v>176</v>
      </c>
      <c r="Q384" s="46">
        <v>0</v>
      </c>
      <c r="R384" s="46">
        <v>0</v>
      </c>
      <c r="S384" s="46">
        <v>0</v>
      </c>
      <c r="T384" s="46">
        <v>0</v>
      </c>
      <c r="U384" s="46">
        <v>2039034</v>
      </c>
      <c r="V384" s="46">
        <v>14</v>
      </c>
      <c r="W384" s="46">
        <v>0</v>
      </c>
      <c r="X384" s="46">
        <v>0</v>
      </c>
      <c r="Y384" s="48">
        <v>0</v>
      </c>
      <c r="Z384" s="46">
        <v>0</v>
      </c>
      <c r="AA384" s="46">
        <v>0</v>
      </c>
      <c r="AB384" s="46">
        <v>0</v>
      </c>
      <c r="AC384" s="46">
        <v>20506800</v>
      </c>
      <c r="AD384" s="46">
        <v>190</v>
      </c>
      <c r="AF384" s="47">
        <f t="shared" si="5"/>
        <v>20506800</v>
      </c>
    </row>
    <row r="385" spans="1:32" x14ac:dyDescent="0.3">
      <c r="A385" s="46" t="s">
        <v>612</v>
      </c>
      <c r="B385" s="46" t="str">
        <f>IFERROR(VLOOKUP($H385,매장구분!$B:$Z,2,0),"")</f>
        <v>리테일채널팀</v>
      </c>
      <c r="C385" s="46" t="str">
        <f>IFERROR(VLOOKUP($H385,매장구분!$B:$Z,3,0),"")</f>
        <v>국내</v>
      </c>
      <c r="D385" s="46" t="str">
        <f>IFERROR(VLOOKUP($H385,매장구분!$B:$Z,5,0),"")</f>
        <v>대리점</v>
      </c>
      <c r="E385" s="46" t="str">
        <f>IFERROR(VLOOKUP($H385,매장구분!$B:$Z,9,0),"")</f>
        <v>해남(대-위)</v>
      </c>
      <c r="G385" s="46" t="s">
        <v>514</v>
      </c>
      <c r="H385" s="46" t="s">
        <v>515</v>
      </c>
      <c r="I385" s="46" t="s">
        <v>169</v>
      </c>
      <c r="J385" s="46" t="s">
        <v>79</v>
      </c>
      <c r="K385" s="46" t="s">
        <v>170</v>
      </c>
      <c r="L385" s="46" t="s">
        <v>171</v>
      </c>
      <c r="M385" s="46" t="s">
        <v>196</v>
      </c>
      <c r="N385" s="46" t="s">
        <v>197</v>
      </c>
      <c r="O385" s="46">
        <v>14258150</v>
      </c>
      <c r="P385" s="46">
        <v>133</v>
      </c>
      <c r="Q385" s="46">
        <v>0</v>
      </c>
      <c r="R385" s="46">
        <v>0</v>
      </c>
      <c r="S385" s="46">
        <v>0</v>
      </c>
      <c r="T385" s="46">
        <v>0</v>
      </c>
      <c r="U385" s="46">
        <v>3082328</v>
      </c>
      <c r="V385" s="46">
        <v>25</v>
      </c>
      <c r="W385" s="46">
        <v>0</v>
      </c>
      <c r="X385" s="46">
        <v>0</v>
      </c>
      <c r="Y385" s="48">
        <v>0</v>
      </c>
      <c r="Z385" s="46">
        <v>0</v>
      </c>
      <c r="AA385" s="46">
        <v>0</v>
      </c>
      <c r="AB385" s="46">
        <v>0</v>
      </c>
      <c r="AC385" s="46">
        <v>17340478</v>
      </c>
      <c r="AD385" s="46">
        <v>158</v>
      </c>
      <c r="AF385" s="47">
        <f t="shared" si="5"/>
        <v>17340478</v>
      </c>
    </row>
    <row r="386" spans="1:32" x14ac:dyDescent="0.3">
      <c r="A386" s="46" t="s">
        <v>612</v>
      </c>
      <c r="B386" s="46" t="str">
        <f>IFERROR(VLOOKUP($H386,매장구분!$B:$Z,2,0),"")</f>
        <v>리테일채널팀</v>
      </c>
      <c r="C386" s="46" t="str">
        <f>IFERROR(VLOOKUP($H386,매장구분!$B:$Z,3,0),"")</f>
        <v>국내</v>
      </c>
      <c r="D386" s="46" t="str">
        <f>IFERROR(VLOOKUP($H386,매장구분!$B:$Z,5,0),"")</f>
        <v>대리점</v>
      </c>
      <c r="E386" s="46" t="str">
        <f>IFERROR(VLOOKUP($H386,매장구분!$B:$Z,9,0),"")</f>
        <v>속초(대-위)</v>
      </c>
      <c r="G386" s="46" t="s">
        <v>488</v>
      </c>
      <c r="H386" s="46" t="s">
        <v>489</v>
      </c>
      <c r="I386" s="46" t="s">
        <v>169</v>
      </c>
      <c r="J386" s="46" t="s">
        <v>79</v>
      </c>
      <c r="K386" s="46" t="s">
        <v>170</v>
      </c>
      <c r="L386" s="46" t="s">
        <v>171</v>
      </c>
      <c r="M386" s="46" t="s">
        <v>196</v>
      </c>
      <c r="N386" s="46" t="s">
        <v>197</v>
      </c>
      <c r="O386" s="46">
        <v>16535125</v>
      </c>
      <c r="P386" s="46">
        <v>159</v>
      </c>
      <c r="Q386" s="46">
        <v>0</v>
      </c>
      <c r="R386" s="46">
        <v>0</v>
      </c>
      <c r="S386" s="46">
        <v>0</v>
      </c>
      <c r="T386" s="46">
        <v>0</v>
      </c>
      <c r="U386" s="46">
        <v>2762675</v>
      </c>
      <c r="V386" s="46">
        <v>19</v>
      </c>
      <c r="W386" s="46">
        <v>0</v>
      </c>
      <c r="X386" s="46">
        <v>0</v>
      </c>
      <c r="Y386" s="48">
        <v>0</v>
      </c>
      <c r="Z386" s="46">
        <v>0</v>
      </c>
      <c r="AA386" s="46">
        <v>0</v>
      </c>
      <c r="AB386" s="46">
        <v>0</v>
      </c>
      <c r="AC386" s="46">
        <v>19297800</v>
      </c>
      <c r="AD386" s="46">
        <v>178</v>
      </c>
      <c r="AF386" s="47">
        <f t="shared" si="5"/>
        <v>19297800</v>
      </c>
    </row>
    <row r="387" spans="1:32" x14ac:dyDescent="0.3">
      <c r="A387" s="46" t="s">
        <v>612</v>
      </c>
      <c r="B387" s="46" t="str">
        <f>IFERROR(VLOOKUP($H387,매장구분!$B:$Z,2,0),"")</f>
        <v>리테일채널팀</v>
      </c>
      <c r="C387" s="46" t="str">
        <f>IFERROR(VLOOKUP($H387,매장구분!$B:$Z,3,0),"")</f>
        <v>국내</v>
      </c>
      <c r="D387" s="46" t="str">
        <f>IFERROR(VLOOKUP($H387,매장구분!$B:$Z,5,0),"")</f>
        <v>대리점</v>
      </c>
      <c r="E387" s="46" t="str">
        <f>IFERROR(VLOOKUP($H387,매장구분!$B:$Z,9,0),"")</f>
        <v>부평(대-위)</v>
      </c>
      <c r="G387" s="46" t="s">
        <v>588</v>
      </c>
      <c r="H387" s="46" t="s">
        <v>589</v>
      </c>
      <c r="I387" s="46" t="s">
        <v>169</v>
      </c>
      <c r="J387" s="46" t="s">
        <v>79</v>
      </c>
      <c r="K387" s="46" t="s">
        <v>170</v>
      </c>
      <c r="L387" s="46" t="s">
        <v>171</v>
      </c>
      <c r="M387" s="46" t="s">
        <v>196</v>
      </c>
      <c r="N387" s="46" t="s">
        <v>197</v>
      </c>
      <c r="O387" s="46">
        <v>15054100</v>
      </c>
      <c r="P387" s="46">
        <v>157</v>
      </c>
      <c r="Q387" s="46">
        <v>0</v>
      </c>
      <c r="R387" s="46">
        <v>0</v>
      </c>
      <c r="S387" s="46">
        <v>0</v>
      </c>
      <c r="T387" s="46">
        <v>0</v>
      </c>
      <c r="U387" s="46">
        <v>2297000</v>
      </c>
      <c r="V387" s="46">
        <v>13</v>
      </c>
      <c r="W387" s="46">
        <v>0</v>
      </c>
      <c r="X387" s="46">
        <v>0</v>
      </c>
      <c r="Y387" s="48">
        <v>0</v>
      </c>
      <c r="Z387" s="46">
        <v>0</v>
      </c>
      <c r="AA387" s="46">
        <v>0</v>
      </c>
      <c r="AB387" s="46">
        <v>0</v>
      </c>
      <c r="AC387" s="46">
        <v>17351100</v>
      </c>
      <c r="AD387" s="46">
        <v>170</v>
      </c>
      <c r="AF387" s="47">
        <f t="shared" ref="AF387:AF450" si="6">IFERROR(AC387-Y387,"")</f>
        <v>17351100</v>
      </c>
    </row>
    <row r="388" spans="1:32" x14ac:dyDescent="0.3">
      <c r="A388" s="46" t="s">
        <v>612</v>
      </c>
      <c r="B388" s="46" t="str">
        <f>IFERROR(VLOOKUP($H388,매장구분!$B:$Z,2,0),"")</f>
        <v>리테일채널팀</v>
      </c>
      <c r="C388" s="46" t="str">
        <f>IFERROR(VLOOKUP($H388,매장구분!$B:$Z,3,0),"")</f>
        <v>국내</v>
      </c>
      <c r="D388" s="46" t="str">
        <f>IFERROR(VLOOKUP($H388,매장구분!$B:$Z,5,0),"")</f>
        <v>상설(위탁)</v>
      </c>
      <c r="E388" s="46" t="str">
        <f>IFERROR(VLOOKUP($H388,매장구분!$B:$Z,9,0),"")</f>
        <v>LF스퀘어광양(상-위)</v>
      </c>
      <c r="G388" s="46" t="s">
        <v>167</v>
      </c>
      <c r="H388" s="46" t="s">
        <v>168</v>
      </c>
      <c r="I388" s="46" t="s">
        <v>169</v>
      </c>
      <c r="J388" s="46" t="s">
        <v>79</v>
      </c>
      <c r="K388" s="46" t="s">
        <v>170</v>
      </c>
      <c r="L388" s="46" t="s">
        <v>171</v>
      </c>
      <c r="M388" s="46" t="s">
        <v>77</v>
      </c>
      <c r="N388" s="46" t="s">
        <v>172</v>
      </c>
      <c r="O388" s="46">
        <v>1548000</v>
      </c>
      <c r="P388" s="46">
        <v>43</v>
      </c>
      <c r="Q388" s="46">
        <v>0</v>
      </c>
      <c r="R388" s="46">
        <v>0</v>
      </c>
      <c r="S388" s="46">
        <v>0</v>
      </c>
      <c r="T388" s="46">
        <v>0</v>
      </c>
      <c r="U388" s="46">
        <v>0</v>
      </c>
      <c r="V388" s="46">
        <v>0</v>
      </c>
      <c r="W388" s="46">
        <v>0</v>
      </c>
      <c r="X388" s="46">
        <v>0</v>
      </c>
      <c r="Y388" s="48">
        <v>0</v>
      </c>
      <c r="Z388" s="46">
        <v>0</v>
      </c>
      <c r="AA388" s="46">
        <v>0</v>
      </c>
      <c r="AB388" s="46">
        <v>0</v>
      </c>
      <c r="AC388" s="46">
        <v>1548000</v>
      </c>
      <c r="AD388" s="46">
        <v>43</v>
      </c>
      <c r="AF388" s="47">
        <f t="shared" si="6"/>
        <v>1548000</v>
      </c>
    </row>
    <row r="389" spans="1:32" x14ac:dyDescent="0.3">
      <c r="A389" s="46" t="s">
        <v>612</v>
      </c>
      <c r="B389" s="46" t="str">
        <f>IFERROR(VLOOKUP($H389,매장구분!$B:$Z,2,0),"")</f>
        <v>리테일채널팀</v>
      </c>
      <c r="C389" s="46" t="str">
        <f>IFERROR(VLOOKUP($H389,매장구분!$B:$Z,3,0),"")</f>
        <v>국내</v>
      </c>
      <c r="D389" s="46" t="str">
        <f>IFERROR(VLOOKUP($H389,매장구분!$B:$Z,5,0),"")</f>
        <v>상설(위탁)</v>
      </c>
      <c r="E389" s="46" t="str">
        <f>IFERROR(VLOOKUP($H389,매장구분!$B:$Z,9,0),"")</f>
        <v>모다경주(상-위)</v>
      </c>
      <c r="G389" s="46" t="s">
        <v>374</v>
      </c>
      <c r="H389" s="46" t="s">
        <v>375</v>
      </c>
      <c r="I389" s="46" t="s">
        <v>169</v>
      </c>
      <c r="J389" s="46" t="s">
        <v>79</v>
      </c>
      <c r="K389" s="46" t="s">
        <v>170</v>
      </c>
      <c r="L389" s="46" t="s">
        <v>171</v>
      </c>
      <c r="M389" s="46" t="s">
        <v>77</v>
      </c>
      <c r="N389" s="46" t="s">
        <v>238</v>
      </c>
      <c r="O389" s="46">
        <v>360000</v>
      </c>
      <c r="P389" s="46">
        <v>10</v>
      </c>
      <c r="Q389" s="46">
        <v>0</v>
      </c>
      <c r="R389" s="46">
        <v>0</v>
      </c>
      <c r="S389" s="46">
        <v>0</v>
      </c>
      <c r="T389" s="46">
        <v>0</v>
      </c>
      <c r="U389" s="46">
        <v>0</v>
      </c>
      <c r="V389" s="46">
        <v>0</v>
      </c>
      <c r="W389" s="46">
        <v>0</v>
      </c>
      <c r="X389" s="46">
        <v>0</v>
      </c>
      <c r="Y389" s="48">
        <v>0</v>
      </c>
      <c r="Z389" s="46">
        <v>0</v>
      </c>
      <c r="AA389" s="46">
        <v>0</v>
      </c>
      <c r="AB389" s="46">
        <v>0</v>
      </c>
      <c r="AC389" s="46">
        <v>360000</v>
      </c>
      <c r="AD389" s="46">
        <v>10</v>
      </c>
      <c r="AF389" s="47">
        <f t="shared" si="6"/>
        <v>360000</v>
      </c>
    </row>
    <row r="390" spans="1:32" x14ac:dyDescent="0.3">
      <c r="A390" s="46" t="s">
        <v>612</v>
      </c>
      <c r="B390" s="46" t="str">
        <f>IFERROR(VLOOKUP($H390,매장구분!$B:$Z,2,0),"")</f>
        <v>리테일채널팀</v>
      </c>
      <c r="C390" s="46" t="str">
        <f>IFERROR(VLOOKUP($H390,매장구분!$B:$Z,3,0),"")</f>
        <v>국내</v>
      </c>
      <c r="D390" s="46" t="str">
        <f>IFERROR(VLOOKUP($H390,매장구분!$B:$Z,5,0),"")</f>
        <v>상설(위탁)</v>
      </c>
      <c r="E390" s="46" t="str">
        <f>IFERROR(VLOOKUP($H390,매장구분!$B:$Z,9,0),"")</f>
        <v>신세계아울렛파주(상-위)</v>
      </c>
      <c r="G390" s="46" t="s">
        <v>432</v>
      </c>
      <c r="H390" s="46" t="s">
        <v>433</v>
      </c>
      <c r="I390" s="46" t="s">
        <v>169</v>
      </c>
      <c r="J390" s="46" t="s">
        <v>79</v>
      </c>
      <c r="K390" s="46" t="s">
        <v>170</v>
      </c>
      <c r="L390" s="46" t="s">
        <v>171</v>
      </c>
      <c r="M390" s="46" t="s">
        <v>219</v>
      </c>
      <c r="N390" s="46" t="s">
        <v>219</v>
      </c>
      <c r="O390" s="46">
        <v>4068000</v>
      </c>
      <c r="P390" s="46">
        <v>113</v>
      </c>
      <c r="Q390" s="46">
        <v>0</v>
      </c>
      <c r="R390" s="46">
        <v>0</v>
      </c>
      <c r="S390" s="46">
        <v>0</v>
      </c>
      <c r="T390" s="46">
        <v>0</v>
      </c>
      <c r="U390" s="46">
        <v>0</v>
      </c>
      <c r="V390" s="46">
        <v>0</v>
      </c>
      <c r="W390" s="46">
        <v>0</v>
      </c>
      <c r="X390" s="46">
        <v>0</v>
      </c>
      <c r="Y390" s="48">
        <v>0</v>
      </c>
      <c r="Z390" s="46">
        <v>0</v>
      </c>
      <c r="AA390" s="46">
        <v>0</v>
      </c>
      <c r="AB390" s="46">
        <v>0</v>
      </c>
      <c r="AC390" s="46">
        <v>4068000</v>
      </c>
      <c r="AD390" s="46">
        <v>113</v>
      </c>
      <c r="AF390" s="47">
        <f t="shared" si="6"/>
        <v>4068000</v>
      </c>
    </row>
    <row r="391" spans="1:32" x14ac:dyDescent="0.3">
      <c r="A391" s="46" t="s">
        <v>612</v>
      </c>
      <c r="B391" s="46" t="str">
        <f>IFERROR(VLOOKUP($H391,매장구분!$B:$Z,2,0),"")</f>
        <v>리테일채널팀</v>
      </c>
      <c r="C391" s="46" t="str">
        <f>IFERROR(VLOOKUP($H391,매장구분!$B:$Z,3,0),"")</f>
        <v>국내</v>
      </c>
      <c r="D391" s="46" t="str">
        <f>IFERROR(VLOOKUP($H391,매장구분!$B:$Z,5,0),"")</f>
        <v>상설(위탁)</v>
      </c>
      <c r="E391" s="46" t="str">
        <f>IFERROR(VLOOKUP($H391,매장구분!$B:$Z,9,0),"")</f>
        <v>롯데아울렛봉무(상-위)</v>
      </c>
      <c r="G391" s="46" t="s">
        <v>220</v>
      </c>
      <c r="H391" s="46" t="s">
        <v>221</v>
      </c>
      <c r="I391" s="46" t="s">
        <v>169</v>
      </c>
      <c r="J391" s="46" t="s">
        <v>79</v>
      </c>
      <c r="K391" s="46" t="s">
        <v>170</v>
      </c>
      <c r="L391" s="46" t="s">
        <v>171</v>
      </c>
      <c r="M391" s="46" t="s">
        <v>219</v>
      </c>
      <c r="N391" s="46" t="s">
        <v>219</v>
      </c>
      <c r="O391" s="46">
        <v>3168000</v>
      </c>
      <c r="P391" s="46">
        <v>88</v>
      </c>
      <c r="Q391" s="46">
        <v>0</v>
      </c>
      <c r="R391" s="46">
        <v>0</v>
      </c>
      <c r="S391" s="46">
        <v>0</v>
      </c>
      <c r="T391" s="46">
        <v>0</v>
      </c>
      <c r="U391" s="46">
        <v>0</v>
      </c>
      <c r="V391" s="46">
        <v>0</v>
      </c>
      <c r="W391" s="46">
        <v>0</v>
      </c>
      <c r="X391" s="46">
        <v>0</v>
      </c>
      <c r="Y391" s="48">
        <v>0</v>
      </c>
      <c r="Z391" s="46">
        <v>0</v>
      </c>
      <c r="AA391" s="46">
        <v>0</v>
      </c>
      <c r="AB391" s="46">
        <v>0</v>
      </c>
      <c r="AC391" s="46">
        <v>3168000</v>
      </c>
      <c r="AD391" s="46">
        <v>88</v>
      </c>
      <c r="AF391" s="47">
        <f t="shared" si="6"/>
        <v>3168000</v>
      </c>
    </row>
    <row r="392" spans="1:32" hidden="1" x14ac:dyDescent="0.3">
      <c r="A392" s="46" t="s">
        <v>613</v>
      </c>
      <c r="B392" s="46" t="str">
        <f>IFERROR(VLOOKUP($H392,매장구분!$B:$Z,2,0),"")</f>
        <v>리테일채널팀</v>
      </c>
      <c r="C392" s="46" t="str">
        <f>IFERROR(VLOOKUP($H392,매장구분!$B:$Z,3,0),"")</f>
        <v>국내</v>
      </c>
      <c r="D392" s="46" t="str">
        <f>IFERROR(VLOOKUP($H392,매장구분!$B:$Z,5,0),"")</f>
        <v>상설(위탁)</v>
      </c>
      <c r="E392" s="46" t="str">
        <f>IFERROR(VLOOKUP($H392,매장구분!$B:$Z,9,0),"")</f>
        <v>신세계아울렛파주(상-위)</v>
      </c>
      <c r="G392" s="46" t="s">
        <v>432</v>
      </c>
      <c r="H392" s="46" t="s">
        <v>433</v>
      </c>
      <c r="I392" s="46" t="s">
        <v>169</v>
      </c>
      <c r="J392" s="46" t="s">
        <v>79</v>
      </c>
      <c r="K392" s="46" t="s">
        <v>170</v>
      </c>
      <c r="L392" s="46" t="s">
        <v>171</v>
      </c>
      <c r="M392" s="46" t="s">
        <v>219</v>
      </c>
      <c r="N392" s="46" t="s">
        <v>219</v>
      </c>
      <c r="O392" s="46">
        <v>2664000</v>
      </c>
      <c r="P392" s="46">
        <v>74</v>
      </c>
      <c r="Q392" s="46">
        <v>0</v>
      </c>
      <c r="R392" s="46">
        <v>0</v>
      </c>
      <c r="S392" s="46">
        <v>0</v>
      </c>
      <c r="T392" s="46">
        <v>0</v>
      </c>
      <c r="U392" s="46">
        <v>0</v>
      </c>
      <c r="V392" s="46">
        <v>0</v>
      </c>
      <c r="W392" s="46">
        <v>0</v>
      </c>
      <c r="X392" s="46">
        <v>0</v>
      </c>
      <c r="Y392" s="48">
        <v>0</v>
      </c>
      <c r="Z392" s="46">
        <v>0</v>
      </c>
      <c r="AA392" s="46">
        <v>0</v>
      </c>
      <c r="AB392" s="46">
        <v>0</v>
      </c>
      <c r="AC392" s="46">
        <v>2664000</v>
      </c>
      <c r="AD392" s="46">
        <v>74</v>
      </c>
      <c r="AF392" s="47">
        <f t="shared" si="6"/>
        <v>2664000</v>
      </c>
    </row>
    <row r="393" spans="1:32" hidden="1" x14ac:dyDescent="0.3">
      <c r="A393" s="46" t="s">
        <v>613</v>
      </c>
      <c r="B393" s="46" t="str">
        <f>IFERROR(VLOOKUP($H393,매장구분!$B:$Z,2,0),"")</f>
        <v>리테일채널팀</v>
      </c>
      <c r="C393" s="46" t="str">
        <f>IFERROR(VLOOKUP($H393,매장구분!$B:$Z,3,0),"")</f>
        <v>RF</v>
      </c>
      <c r="D393" s="46" t="str">
        <f>IFERROR(VLOOKUP($H393,매장구분!$B:$Z,5,0),"")</f>
        <v>직영점</v>
      </c>
      <c r="E393" s="46" t="str">
        <f>IFERROR(VLOOKUP($H393,매장구분!$B:$Z,9,0),"")</f>
        <v>명동중앙(직)</v>
      </c>
      <c r="G393" s="46" t="s">
        <v>538</v>
      </c>
      <c r="H393" s="46" t="s">
        <v>539</v>
      </c>
      <c r="I393" s="46" t="s">
        <v>169</v>
      </c>
      <c r="J393" s="46" t="s">
        <v>180</v>
      </c>
      <c r="K393" s="46" t="s">
        <v>170</v>
      </c>
      <c r="L393" s="46" t="s">
        <v>171</v>
      </c>
      <c r="M393" s="46" t="s">
        <v>196</v>
      </c>
      <c r="N393" s="46" t="s">
        <v>206</v>
      </c>
      <c r="O393" s="46">
        <v>224363000</v>
      </c>
      <c r="P393" s="46">
        <v>3017</v>
      </c>
      <c r="Q393" s="46">
        <v>0</v>
      </c>
      <c r="R393" s="46">
        <v>0</v>
      </c>
      <c r="S393" s="46">
        <v>0</v>
      </c>
      <c r="T393" s="46">
        <v>0</v>
      </c>
      <c r="U393" s="46">
        <v>2375500</v>
      </c>
      <c r="V393" s="46">
        <v>6</v>
      </c>
      <c r="W393" s="46">
        <v>0</v>
      </c>
      <c r="X393" s="46">
        <v>0</v>
      </c>
      <c r="Y393" s="48">
        <v>0</v>
      </c>
      <c r="Z393" s="46">
        <v>0</v>
      </c>
      <c r="AA393" s="46">
        <v>0</v>
      </c>
      <c r="AB393" s="46">
        <v>0</v>
      </c>
      <c r="AC393" s="46">
        <v>226738500</v>
      </c>
      <c r="AD393" s="46">
        <v>3023</v>
      </c>
      <c r="AF393" s="47">
        <f t="shared" si="6"/>
        <v>226738500</v>
      </c>
    </row>
    <row r="394" spans="1:32" hidden="1" x14ac:dyDescent="0.3">
      <c r="A394" s="46" t="s">
        <v>613</v>
      </c>
      <c r="B394" s="46" t="str">
        <f>IFERROR(VLOOKUP($H394,매장구분!$B:$Z,2,0),"")</f>
        <v>E-biz</v>
      </c>
      <c r="C394" s="46" t="str">
        <f>IFERROR(VLOOKUP($H394,매장구분!$B:$Z,3,0),"")</f>
        <v>국내</v>
      </c>
      <c r="D394" s="46" t="str">
        <f>IFERROR(VLOOKUP($H394,매장구분!$B:$Z,5,0),"")</f>
        <v>온(제휴몰)</v>
      </c>
      <c r="E394" s="46" t="str">
        <f>IFERROR(VLOOKUP($H394,매장구분!$B:$Z,9,0),"")</f>
        <v>롯데ON(제휴몰)</v>
      </c>
      <c r="G394" s="46" t="s">
        <v>253</v>
      </c>
      <c r="H394" s="46" t="s">
        <v>254</v>
      </c>
      <c r="I394" s="46" t="s">
        <v>169</v>
      </c>
      <c r="J394" s="46" t="s">
        <v>180</v>
      </c>
      <c r="K394" s="46" t="s">
        <v>170</v>
      </c>
      <c r="L394" s="46" t="s">
        <v>181</v>
      </c>
      <c r="M394" s="46" t="s">
        <v>181</v>
      </c>
      <c r="N394" s="46" t="s">
        <v>185</v>
      </c>
      <c r="O394" s="46">
        <v>28501400</v>
      </c>
      <c r="P394" s="46">
        <v>303</v>
      </c>
      <c r="Q394" s="46">
        <v>0</v>
      </c>
      <c r="R394" s="46">
        <v>0</v>
      </c>
      <c r="S394" s="46">
        <v>0</v>
      </c>
      <c r="T394" s="46">
        <v>0</v>
      </c>
      <c r="U394" s="46">
        <v>0</v>
      </c>
      <c r="V394" s="46">
        <v>0</v>
      </c>
      <c r="W394" s="46">
        <v>0</v>
      </c>
      <c r="X394" s="46">
        <v>0</v>
      </c>
      <c r="Y394" s="48">
        <v>0</v>
      </c>
      <c r="Z394" s="46">
        <v>0</v>
      </c>
      <c r="AA394" s="46">
        <v>0</v>
      </c>
      <c r="AB394" s="46">
        <v>0</v>
      </c>
      <c r="AC394" s="46">
        <v>28501400</v>
      </c>
      <c r="AD394" s="46">
        <v>303</v>
      </c>
      <c r="AF394" s="47">
        <f t="shared" si="6"/>
        <v>28501400</v>
      </c>
    </row>
    <row r="395" spans="1:32" hidden="1" x14ac:dyDescent="0.3">
      <c r="A395" s="46" t="s">
        <v>613</v>
      </c>
      <c r="B395" s="46" t="str">
        <f>IFERROR(VLOOKUP($H395,매장구분!$B:$Z,2,0),"")</f>
        <v>파트너채널팀</v>
      </c>
      <c r="C395" s="46" t="str">
        <f>IFERROR(VLOOKUP($H395,매장구분!$B:$Z,3,0),"")</f>
        <v>국내</v>
      </c>
      <c r="D395" s="46" t="str">
        <f>IFERROR(VLOOKUP($H395,매장구분!$B:$Z,5,0),"")</f>
        <v>백화점</v>
      </c>
      <c r="E395" s="46" t="str">
        <f>IFERROR(VLOOKUP($H395,매장구분!$B:$Z,9,0),"")</f>
        <v>현대판교</v>
      </c>
      <c r="G395" s="46" t="s">
        <v>257</v>
      </c>
      <c r="H395" s="46" t="s">
        <v>258</v>
      </c>
      <c r="I395" s="46" t="s">
        <v>169</v>
      </c>
      <c r="J395" s="46" t="s">
        <v>175</v>
      </c>
      <c r="K395" s="46" t="s">
        <v>170</v>
      </c>
      <c r="L395" s="46" t="s">
        <v>171</v>
      </c>
      <c r="M395" s="46" t="s">
        <v>77</v>
      </c>
      <c r="N395" s="46" t="s">
        <v>172</v>
      </c>
      <c r="O395" s="46">
        <v>13030200</v>
      </c>
      <c r="P395" s="46">
        <v>158</v>
      </c>
      <c r="Q395" s="46">
        <v>2522000</v>
      </c>
      <c r="R395" s="46">
        <v>16</v>
      </c>
      <c r="S395" s="46">
        <v>0</v>
      </c>
      <c r="T395" s="46">
        <v>0</v>
      </c>
      <c r="U395" s="46">
        <v>6187500</v>
      </c>
      <c r="V395" s="46">
        <v>29</v>
      </c>
      <c r="W395" s="46">
        <v>0</v>
      </c>
      <c r="X395" s="46">
        <v>0</v>
      </c>
      <c r="Y395" s="48">
        <v>25385500</v>
      </c>
      <c r="Z395" s="46">
        <v>218</v>
      </c>
      <c r="AA395" s="46">
        <v>0</v>
      </c>
      <c r="AB395" s="46">
        <v>0</v>
      </c>
      <c r="AC395" s="46">
        <v>47125200</v>
      </c>
      <c r="AD395" s="46">
        <v>421</v>
      </c>
      <c r="AF395" s="47">
        <f t="shared" si="6"/>
        <v>21739700</v>
      </c>
    </row>
    <row r="396" spans="1:32" hidden="1" x14ac:dyDescent="0.3">
      <c r="A396" s="46" t="s">
        <v>613</v>
      </c>
      <c r="B396" s="46" t="str">
        <f>IFERROR(VLOOKUP($H396,매장구분!$B:$Z,2,0),"")</f>
        <v>파트너채널팀</v>
      </c>
      <c r="C396" s="46" t="str">
        <f>IFERROR(VLOOKUP($H396,매장구분!$B:$Z,3,0),"")</f>
        <v>면세</v>
      </c>
      <c r="D396" s="46" t="str">
        <f>IFERROR(VLOOKUP($H396,매장구분!$B:$Z,5,0),"")</f>
        <v>면세</v>
      </c>
      <c r="E396" s="46" t="str">
        <f>IFERROR(VLOOKUP($H396,매장구분!$B:$Z,9,0),"")</f>
        <v>현대면세무역</v>
      </c>
      <c r="G396" s="46" t="s">
        <v>466</v>
      </c>
      <c r="H396" s="46" t="s">
        <v>467</v>
      </c>
      <c r="I396" s="46" t="s">
        <v>169</v>
      </c>
      <c r="J396" s="46" t="s">
        <v>175</v>
      </c>
      <c r="K396" s="46" t="s">
        <v>170</v>
      </c>
      <c r="L396" s="46" t="s">
        <v>171</v>
      </c>
      <c r="M396" s="46" t="s">
        <v>176</v>
      </c>
      <c r="N396" s="46" t="s">
        <v>177</v>
      </c>
      <c r="O396" s="46">
        <v>36895900</v>
      </c>
      <c r="P396" s="46">
        <v>368</v>
      </c>
      <c r="Q396" s="46">
        <v>0</v>
      </c>
      <c r="R396" s="46">
        <v>0</v>
      </c>
      <c r="S396" s="46">
        <v>0</v>
      </c>
      <c r="T396" s="46">
        <v>0</v>
      </c>
      <c r="U396" s="46">
        <v>0</v>
      </c>
      <c r="V396" s="46">
        <v>0</v>
      </c>
      <c r="W396" s="46">
        <v>0</v>
      </c>
      <c r="X396" s="46">
        <v>0</v>
      </c>
      <c r="Y396" s="48">
        <v>232476000</v>
      </c>
      <c r="Z396" s="46">
        <v>2120</v>
      </c>
      <c r="AA396" s="46">
        <v>0</v>
      </c>
      <c r="AB396" s="46">
        <v>0</v>
      </c>
      <c r="AC396" s="46">
        <v>269371900</v>
      </c>
      <c r="AD396" s="46">
        <v>2488</v>
      </c>
      <c r="AF396" s="47">
        <f t="shared" si="6"/>
        <v>36895900</v>
      </c>
    </row>
    <row r="397" spans="1:32" hidden="1" x14ac:dyDescent="0.3">
      <c r="A397" s="46" t="s">
        <v>613</v>
      </c>
      <c r="B397" s="46" t="str">
        <f>IFERROR(VLOOKUP($H397,매장구분!$B:$Z,2,0),"")</f>
        <v>파트너채널팀</v>
      </c>
      <c r="C397" s="46" t="str">
        <f>IFERROR(VLOOKUP($H397,매장구분!$B:$Z,3,0),"")</f>
        <v>국내</v>
      </c>
      <c r="D397" s="46" t="str">
        <f>IFERROR(VLOOKUP($H397,매장구분!$B:$Z,5,0),"")</f>
        <v>백화점</v>
      </c>
      <c r="E397" s="46" t="str">
        <f>IFERROR(VLOOKUP($H397,매장구분!$B:$Z,9,0),"")</f>
        <v>롯데동래</v>
      </c>
      <c r="G397" s="46" t="s">
        <v>239</v>
      </c>
      <c r="H397" s="46" t="s">
        <v>240</v>
      </c>
      <c r="I397" s="46" t="s">
        <v>169</v>
      </c>
      <c r="J397" s="46" t="s">
        <v>175</v>
      </c>
      <c r="K397" s="46" t="s">
        <v>170</v>
      </c>
      <c r="L397" s="46" t="s">
        <v>171</v>
      </c>
      <c r="M397" s="46" t="s">
        <v>77</v>
      </c>
      <c r="N397" s="46" t="s">
        <v>172</v>
      </c>
      <c r="O397" s="46">
        <v>23878230</v>
      </c>
      <c r="P397" s="46">
        <v>168</v>
      </c>
      <c r="Q397" s="46">
        <v>0</v>
      </c>
      <c r="R397" s="46">
        <v>0</v>
      </c>
      <c r="S397" s="46">
        <v>0</v>
      </c>
      <c r="T397" s="46">
        <v>0</v>
      </c>
      <c r="U397" s="46">
        <v>3664770</v>
      </c>
      <c r="V397" s="46">
        <v>21</v>
      </c>
      <c r="W397" s="46">
        <v>0</v>
      </c>
      <c r="X397" s="46">
        <v>0</v>
      </c>
      <c r="Y397" s="48">
        <v>2059000</v>
      </c>
      <c r="Z397" s="46">
        <v>41</v>
      </c>
      <c r="AA397" s="46">
        <v>0</v>
      </c>
      <c r="AB397" s="46">
        <v>0</v>
      </c>
      <c r="AC397" s="46">
        <v>29602000</v>
      </c>
      <c r="AD397" s="46">
        <v>230</v>
      </c>
      <c r="AF397" s="47">
        <f t="shared" si="6"/>
        <v>27543000</v>
      </c>
    </row>
    <row r="398" spans="1:32" hidden="1" x14ac:dyDescent="0.3">
      <c r="A398" s="46" t="s">
        <v>613</v>
      </c>
      <c r="B398" s="46" t="str">
        <f>IFERROR(VLOOKUP($H398,매장구분!$B:$Z,2,0),"")</f>
        <v>파트너채널팀</v>
      </c>
      <c r="C398" s="46" t="str">
        <f>IFERROR(VLOOKUP($H398,매장구분!$B:$Z,3,0),"")</f>
        <v>국내</v>
      </c>
      <c r="D398" s="46" t="str">
        <f>IFERROR(VLOOKUP($H398,매장구분!$B:$Z,5,0),"")</f>
        <v>백화점</v>
      </c>
      <c r="E398" s="46" t="str">
        <f>IFERROR(VLOOKUP($H398,매장구분!$B:$Z,9,0),"")</f>
        <v>롯데영등포</v>
      </c>
      <c r="G398" s="46" t="s">
        <v>202</v>
      </c>
      <c r="H398" s="46" t="s">
        <v>203</v>
      </c>
      <c r="I398" s="46" t="s">
        <v>169</v>
      </c>
      <c r="J398" s="46" t="s">
        <v>175</v>
      </c>
      <c r="K398" s="46" t="s">
        <v>170</v>
      </c>
      <c r="L398" s="46" t="s">
        <v>171</v>
      </c>
      <c r="M398" s="46" t="s">
        <v>77</v>
      </c>
      <c r="N398" s="46" t="s">
        <v>172</v>
      </c>
      <c r="O398" s="46">
        <v>9817000</v>
      </c>
      <c r="P398" s="46">
        <v>103</v>
      </c>
      <c r="Q398" s="46">
        <v>8181500</v>
      </c>
      <c r="R398" s="46">
        <v>110</v>
      </c>
      <c r="S398" s="46">
        <v>0</v>
      </c>
      <c r="T398" s="46">
        <v>0</v>
      </c>
      <c r="U398" s="46">
        <v>632600</v>
      </c>
      <c r="V398" s="46">
        <v>5</v>
      </c>
      <c r="W398" s="46">
        <v>0</v>
      </c>
      <c r="X398" s="46">
        <v>0</v>
      </c>
      <c r="Y398" s="48">
        <v>0</v>
      </c>
      <c r="Z398" s="46">
        <v>0</v>
      </c>
      <c r="AA398" s="46">
        <v>0</v>
      </c>
      <c r="AB398" s="46">
        <v>0</v>
      </c>
      <c r="AC398" s="46">
        <v>18631100</v>
      </c>
      <c r="AD398" s="46">
        <v>218</v>
      </c>
      <c r="AF398" s="47">
        <f t="shared" si="6"/>
        <v>18631100</v>
      </c>
    </row>
    <row r="399" spans="1:32" hidden="1" x14ac:dyDescent="0.3">
      <c r="A399" s="46" t="s">
        <v>613</v>
      </c>
      <c r="B399" s="46" t="str">
        <f>IFERROR(VLOOKUP($H399,매장구분!$B:$Z,2,0),"")</f>
        <v>리테일채널팀</v>
      </c>
      <c r="C399" s="46" t="str">
        <f>IFERROR(VLOOKUP($H399,매장구분!$B:$Z,3,0),"")</f>
        <v>국내</v>
      </c>
      <c r="D399" s="46" t="str">
        <f>IFERROR(VLOOKUP($H399,매장구분!$B:$Z,5,0),"")</f>
        <v>대리점</v>
      </c>
      <c r="E399" s="46" t="str">
        <f>IFERROR(VLOOKUP($H399,매장구분!$B:$Z,9,0),"")</f>
        <v>안산중앙(대-위)</v>
      </c>
      <c r="G399" s="46" t="s">
        <v>307</v>
      </c>
      <c r="H399" s="46" t="s">
        <v>308</v>
      </c>
      <c r="I399" s="46" t="s">
        <v>169</v>
      </c>
      <c r="J399" s="46" t="s">
        <v>79</v>
      </c>
      <c r="K399" s="46" t="s">
        <v>170</v>
      </c>
      <c r="L399" s="46" t="s">
        <v>171</v>
      </c>
      <c r="M399" s="46" t="s">
        <v>196</v>
      </c>
      <c r="N399" s="46" t="s">
        <v>197</v>
      </c>
      <c r="O399" s="46">
        <v>18039340</v>
      </c>
      <c r="P399" s="46">
        <v>174</v>
      </c>
      <c r="Q399" s="46">
        <v>0</v>
      </c>
      <c r="R399" s="46">
        <v>0</v>
      </c>
      <c r="S399" s="46">
        <v>0</v>
      </c>
      <c r="T399" s="46">
        <v>0</v>
      </c>
      <c r="U399" s="46">
        <v>277994</v>
      </c>
      <c r="V399" s="46">
        <v>-2</v>
      </c>
      <c r="W399" s="46">
        <v>0</v>
      </c>
      <c r="X399" s="46">
        <v>0</v>
      </c>
      <c r="Y399" s="48">
        <v>14990000</v>
      </c>
      <c r="Z399" s="46">
        <v>110</v>
      </c>
      <c r="AA399" s="46">
        <v>0</v>
      </c>
      <c r="AB399" s="46">
        <v>0</v>
      </c>
      <c r="AC399" s="46">
        <v>33307334</v>
      </c>
      <c r="AD399" s="46">
        <v>282</v>
      </c>
      <c r="AF399" s="47">
        <f t="shared" si="6"/>
        <v>18317334</v>
      </c>
    </row>
    <row r="400" spans="1:32" hidden="1" x14ac:dyDescent="0.3">
      <c r="A400" s="46" t="s">
        <v>613</v>
      </c>
      <c r="B400" s="46" t="str">
        <f>IFERROR(VLOOKUP($H400,매장구분!$B:$Z,2,0),"")</f>
        <v>리테일채널팀</v>
      </c>
      <c r="C400" s="46" t="str">
        <f>IFERROR(VLOOKUP($H400,매장구분!$B:$Z,3,0),"")</f>
        <v>국내</v>
      </c>
      <c r="D400" s="46" t="str">
        <f>IFERROR(VLOOKUP($H400,매장구분!$B:$Z,5,0),"")</f>
        <v>대리점</v>
      </c>
      <c r="E400" s="46" t="str">
        <f>IFERROR(VLOOKUP($H400,매장구분!$B:$Z,9,0),"")</f>
        <v>안성(대-위)</v>
      </c>
      <c r="G400" s="46" t="s">
        <v>309</v>
      </c>
      <c r="H400" s="46" t="s">
        <v>310</v>
      </c>
      <c r="I400" s="46" t="s">
        <v>169</v>
      </c>
      <c r="J400" s="46" t="s">
        <v>79</v>
      </c>
      <c r="K400" s="46" t="s">
        <v>170</v>
      </c>
      <c r="L400" s="46" t="s">
        <v>171</v>
      </c>
      <c r="M400" s="46" t="s">
        <v>196</v>
      </c>
      <c r="N400" s="46" t="s">
        <v>197</v>
      </c>
      <c r="O400" s="46">
        <v>12716991</v>
      </c>
      <c r="P400" s="46">
        <v>118</v>
      </c>
      <c r="Q400" s="46">
        <v>0</v>
      </c>
      <c r="R400" s="46">
        <v>0</v>
      </c>
      <c r="S400" s="46">
        <v>0</v>
      </c>
      <c r="T400" s="46">
        <v>0</v>
      </c>
      <c r="U400" s="46">
        <v>430200</v>
      </c>
      <c r="V400" s="46">
        <v>4</v>
      </c>
      <c r="W400" s="46">
        <v>0</v>
      </c>
      <c r="X400" s="46">
        <v>0</v>
      </c>
      <c r="Y400" s="48">
        <v>0</v>
      </c>
      <c r="Z400" s="46">
        <v>0</v>
      </c>
      <c r="AA400" s="46">
        <v>0</v>
      </c>
      <c r="AB400" s="46">
        <v>0</v>
      </c>
      <c r="AC400" s="46">
        <v>13147191</v>
      </c>
      <c r="AD400" s="46">
        <v>122</v>
      </c>
      <c r="AF400" s="47">
        <f t="shared" si="6"/>
        <v>13147191</v>
      </c>
    </row>
    <row r="401" spans="1:32" hidden="1" x14ac:dyDescent="0.3">
      <c r="A401" s="46" t="s">
        <v>613</v>
      </c>
      <c r="B401" s="46" t="str">
        <f>IFERROR(VLOOKUP($H401,매장구분!$B:$Z,2,0),"")</f>
        <v>리테일채널팀</v>
      </c>
      <c r="C401" s="46" t="str">
        <f>IFERROR(VLOOKUP($H401,매장구분!$B:$Z,3,0),"")</f>
        <v>RF</v>
      </c>
      <c r="D401" s="46" t="str">
        <f>IFERROR(VLOOKUP($H401,매장구분!$B:$Z,5,0),"")</f>
        <v>대리점</v>
      </c>
      <c r="E401" s="46" t="str">
        <f>IFERROR(VLOOKUP($H401,매장구분!$B:$Z,9,0),"")</f>
        <v>부산광복(대-위)</v>
      </c>
      <c r="G401" s="46" t="s">
        <v>326</v>
      </c>
      <c r="H401" s="46" t="s">
        <v>327</v>
      </c>
      <c r="I401" s="46" t="s">
        <v>169</v>
      </c>
      <c r="J401" s="46" t="s">
        <v>79</v>
      </c>
      <c r="K401" s="46" t="s">
        <v>170</v>
      </c>
      <c r="L401" s="46" t="s">
        <v>171</v>
      </c>
      <c r="M401" s="46" t="s">
        <v>196</v>
      </c>
      <c r="N401" s="46" t="s">
        <v>197</v>
      </c>
      <c r="O401" s="46">
        <v>5318200</v>
      </c>
      <c r="P401" s="46">
        <v>125</v>
      </c>
      <c r="Q401" s="46">
        <v>0</v>
      </c>
      <c r="R401" s="46">
        <v>0</v>
      </c>
      <c r="S401" s="46">
        <v>0</v>
      </c>
      <c r="T401" s="46">
        <v>0</v>
      </c>
      <c r="U401" s="46">
        <v>3845800</v>
      </c>
      <c r="V401" s="46">
        <v>42</v>
      </c>
      <c r="W401" s="46">
        <v>0</v>
      </c>
      <c r="X401" s="46">
        <v>0</v>
      </c>
      <c r="Y401" s="48">
        <v>31870400</v>
      </c>
      <c r="Z401" s="46">
        <v>298</v>
      </c>
      <c r="AA401" s="46">
        <v>0</v>
      </c>
      <c r="AB401" s="46">
        <v>0</v>
      </c>
      <c r="AC401" s="46">
        <v>41034400</v>
      </c>
      <c r="AD401" s="46">
        <v>465</v>
      </c>
      <c r="AF401" s="47">
        <f t="shared" si="6"/>
        <v>9164000</v>
      </c>
    </row>
    <row r="402" spans="1:32" hidden="1" x14ac:dyDescent="0.3">
      <c r="A402" s="46" t="s">
        <v>613</v>
      </c>
      <c r="B402" s="46" t="str">
        <f>IFERROR(VLOOKUP($H402,매장구분!$B:$Z,2,0),"")</f>
        <v>리테일채널팀</v>
      </c>
      <c r="C402" s="46" t="str">
        <f>IFERROR(VLOOKUP($H402,매장구분!$B:$Z,3,0),"")</f>
        <v>RF</v>
      </c>
      <c r="D402" s="46" t="str">
        <f>IFERROR(VLOOKUP($H402,매장구분!$B:$Z,5,0),"")</f>
        <v>대리점</v>
      </c>
      <c r="E402" s="46" t="str">
        <f>IFERROR(VLOOKUP($H402,매장구분!$B:$Z,9,0),"")</f>
        <v>신제주(대-위)</v>
      </c>
      <c r="G402" s="46" t="s">
        <v>340</v>
      </c>
      <c r="H402" s="46" t="s">
        <v>341</v>
      </c>
      <c r="I402" s="46" t="s">
        <v>169</v>
      </c>
      <c r="J402" s="46" t="s">
        <v>79</v>
      </c>
      <c r="K402" s="46" t="s">
        <v>170</v>
      </c>
      <c r="L402" s="46" t="s">
        <v>171</v>
      </c>
      <c r="M402" s="46" t="s">
        <v>196</v>
      </c>
      <c r="N402" s="46" t="s">
        <v>197</v>
      </c>
      <c r="O402" s="46">
        <v>20563800</v>
      </c>
      <c r="P402" s="46">
        <v>216</v>
      </c>
      <c r="Q402" s="46">
        <v>0</v>
      </c>
      <c r="R402" s="46">
        <v>0</v>
      </c>
      <c r="S402" s="46">
        <v>0</v>
      </c>
      <c r="T402" s="46">
        <v>0</v>
      </c>
      <c r="U402" s="46">
        <v>357000</v>
      </c>
      <c r="V402" s="46">
        <v>3</v>
      </c>
      <c r="W402" s="46">
        <v>0</v>
      </c>
      <c r="X402" s="46">
        <v>0</v>
      </c>
      <c r="Y402" s="48">
        <v>6325600</v>
      </c>
      <c r="Z402" s="46">
        <v>88</v>
      </c>
      <c r="AA402" s="46">
        <v>0</v>
      </c>
      <c r="AB402" s="46">
        <v>0</v>
      </c>
      <c r="AC402" s="46">
        <v>27246400</v>
      </c>
      <c r="AD402" s="46">
        <v>307</v>
      </c>
      <c r="AF402" s="47">
        <f t="shared" si="6"/>
        <v>20920800</v>
      </c>
    </row>
    <row r="403" spans="1:32" hidden="1" x14ac:dyDescent="0.3">
      <c r="A403" s="46" t="s">
        <v>613</v>
      </c>
      <c r="B403" s="46" t="str">
        <f>IFERROR(VLOOKUP($H403,매장구분!$B:$Z,2,0),"")</f>
        <v>리테일채널팀</v>
      </c>
      <c r="C403" s="46" t="str">
        <f>IFERROR(VLOOKUP($H403,매장구분!$B:$Z,3,0),"")</f>
        <v>국내</v>
      </c>
      <c r="D403" s="46" t="str">
        <f>IFERROR(VLOOKUP($H403,매장구분!$B:$Z,5,0),"")</f>
        <v>대리점</v>
      </c>
      <c r="E403" s="46" t="str">
        <f>IFERROR(VLOOKUP($H403,매장구분!$B:$Z,9,0),"")</f>
        <v>안산한대(대-위)</v>
      </c>
      <c r="G403" s="46" t="s">
        <v>295</v>
      </c>
      <c r="H403" s="46" t="s">
        <v>296</v>
      </c>
      <c r="I403" s="46" t="s">
        <v>169</v>
      </c>
      <c r="J403" s="46" t="s">
        <v>79</v>
      </c>
      <c r="K403" s="46" t="s">
        <v>170</v>
      </c>
      <c r="L403" s="46" t="s">
        <v>171</v>
      </c>
      <c r="M403" s="46" t="s">
        <v>196</v>
      </c>
      <c r="N403" s="46" t="s">
        <v>197</v>
      </c>
      <c r="O403" s="46">
        <v>15477829</v>
      </c>
      <c r="P403" s="46">
        <v>145</v>
      </c>
      <c r="Q403" s="46">
        <v>0</v>
      </c>
      <c r="R403" s="46">
        <v>0</v>
      </c>
      <c r="S403" s="46">
        <v>0</v>
      </c>
      <c r="T403" s="46">
        <v>0</v>
      </c>
      <c r="U403" s="46">
        <v>1583000</v>
      </c>
      <c r="V403" s="46">
        <v>7</v>
      </c>
      <c r="W403" s="46">
        <v>0</v>
      </c>
      <c r="X403" s="46">
        <v>0</v>
      </c>
      <c r="Y403" s="48">
        <v>0</v>
      </c>
      <c r="Z403" s="46">
        <v>0</v>
      </c>
      <c r="AA403" s="46">
        <v>0</v>
      </c>
      <c r="AB403" s="46">
        <v>0</v>
      </c>
      <c r="AC403" s="46">
        <v>17060829</v>
      </c>
      <c r="AD403" s="46">
        <v>152</v>
      </c>
      <c r="AF403" s="47">
        <f t="shared" si="6"/>
        <v>17060829</v>
      </c>
    </row>
    <row r="404" spans="1:32" hidden="1" x14ac:dyDescent="0.3">
      <c r="A404" s="46" t="s">
        <v>613</v>
      </c>
      <c r="B404" s="46" t="str">
        <f>IFERROR(VLOOKUP($H404,매장구분!$B:$Z,2,0),"")</f>
        <v>리테일채널팀</v>
      </c>
      <c r="C404" s="46" t="str">
        <f>IFERROR(VLOOKUP($H404,매장구분!$B:$Z,3,0),"")</f>
        <v>국내</v>
      </c>
      <c r="D404" s="46" t="str">
        <f>IFERROR(VLOOKUP($H404,매장구분!$B:$Z,5,0),"")</f>
        <v>대리점</v>
      </c>
      <c r="E404" s="46" t="str">
        <f>IFERROR(VLOOKUP($H404,매장구분!$B:$Z,9,0),"")</f>
        <v>일산덕이(대-위)</v>
      </c>
      <c r="G404" s="46" t="s">
        <v>580</v>
      </c>
      <c r="H404" s="46" t="s">
        <v>581</v>
      </c>
      <c r="I404" s="46" t="s">
        <v>169</v>
      </c>
      <c r="J404" s="46" t="s">
        <v>79</v>
      </c>
      <c r="K404" s="46" t="s">
        <v>170</v>
      </c>
      <c r="L404" s="46" t="s">
        <v>171</v>
      </c>
      <c r="M404" s="46" t="s">
        <v>196</v>
      </c>
      <c r="N404" s="46" t="s">
        <v>197</v>
      </c>
      <c r="O404" s="46">
        <v>5578000</v>
      </c>
      <c r="P404" s="46">
        <v>46</v>
      </c>
      <c r="Q404" s="46">
        <v>0</v>
      </c>
      <c r="R404" s="46">
        <v>0</v>
      </c>
      <c r="S404" s="46">
        <v>0</v>
      </c>
      <c r="T404" s="46">
        <v>0</v>
      </c>
      <c r="U404" s="46">
        <v>0</v>
      </c>
      <c r="V404" s="46">
        <v>0</v>
      </c>
      <c r="W404" s="46">
        <v>0</v>
      </c>
      <c r="X404" s="46">
        <v>0</v>
      </c>
      <c r="Y404" s="48">
        <v>0</v>
      </c>
      <c r="Z404" s="46">
        <v>0</v>
      </c>
      <c r="AA404" s="46">
        <v>0</v>
      </c>
      <c r="AB404" s="46">
        <v>0</v>
      </c>
      <c r="AC404" s="46">
        <v>5578000</v>
      </c>
      <c r="AD404" s="46">
        <v>46</v>
      </c>
      <c r="AF404" s="47">
        <f t="shared" si="6"/>
        <v>5578000</v>
      </c>
    </row>
    <row r="405" spans="1:32" hidden="1" x14ac:dyDescent="0.3">
      <c r="A405" s="46" t="s">
        <v>613</v>
      </c>
      <c r="B405" s="46" t="str">
        <f>IFERROR(VLOOKUP($H405,매장구분!$B:$Z,2,0),"")</f>
        <v>파트너채널팀</v>
      </c>
      <c r="C405" s="46" t="str">
        <f>IFERROR(VLOOKUP($H405,매장구분!$B:$Z,3,0),"")</f>
        <v>국내</v>
      </c>
      <c r="D405" s="46" t="str">
        <f>IFERROR(VLOOKUP($H405,매장구분!$B:$Z,5,0),"")</f>
        <v>백화점</v>
      </c>
      <c r="E405" s="46" t="str">
        <f>IFERROR(VLOOKUP($H405,매장구분!$B:$Z,9,0),"")</f>
        <v>롯데아울렛의왕(직)</v>
      </c>
      <c r="G405" s="46" t="s">
        <v>352</v>
      </c>
      <c r="H405" s="46" t="s">
        <v>353</v>
      </c>
      <c r="I405" s="46" t="s">
        <v>169</v>
      </c>
      <c r="J405" s="46" t="s">
        <v>180</v>
      </c>
      <c r="K405" s="46" t="s">
        <v>170</v>
      </c>
      <c r="L405" s="46" t="s">
        <v>171</v>
      </c>
      <c r="M405" s="46" t="s">
        <v>219</v>
      </c>
      <c r="N405" s="46" t="s">
        <v>219</v>
      </c>
      <c r="O405" s="46">
        <v>9281300</v>
      </c>
      <c r="P405" s="46">
        <v>106</v>
      </c>
      <c r="Q405" s="46">
        <v>0</v>
      </c>
      <c r="R405" s="46">
        <v>0</v>
      </c>
      <c r="S405" s="46">
        <v>0</v>
      </c>
      <c r="T405" s="46">
        <v>0</v>
      </c>
      <c r="U405" s="46">
        <v>1219500</v>
      </c>
      <c r="V405" s="46">
        <v>8</v>
      </c>
      <c r="W405" s="46">
        <v>0</v>
      </c>
      <c r="X405" s="46">
        <v>0</v>
      </c>
      <c r="Y405" s="48">
        <v>0</v>
      </c>
      <c r="Z405" s="46">
        <v>0</v>
      </c>
      <c r="AA405" s="46">
        <v>0</v>
      </c>
      <c r="AB405" s="46">
        <v>0</v>
      </c>
      <c r="AC405" s="46">
        <v>10500800</v>
      </c>
      <c r="AD405" s="46">
        <v>114</v>
      </c>
      <c r="AF405" s="47">
        <f t="shared" si="6"/>
        <v>10500800</v>
      </c>
    </row>
    <row r="406" spans="1:32" hidden="1" x14ac:dyDescent="0.3">
      <c r="A406" s="46" t="s">
        <v>613</v>
      </c>
      <c r="B406" s="46" t="str">
        <f>IFERROR(VLOOKUP($H406,매장구분!$B:$Z,2,0),"")</f>
        <v>리테일채널팀</v>
      </c>
      <c r="C406" s="46" t="str">
        <f>IFERROR(VLOOKUP($H406,매장구분!$B:$Z,3,0),"")</f>
        <v>국내</v>
      </c>
      <c r="D406" s="46" t="str">
        <f>IFERROR(VLOOKUP($H406,매장구분!$B:$Z,5,0),"")</f>
        <v>대리점</v>
      </c>
      <c r="E406" s="46" t="str">
        <f>IFERROR(VLOOKUP($H406,매장구분!$B:$Z,9,0),"")</f>
        <v>서귀포(대-위)</v>
      </c>
      <c r="G406" s="46" t="s">
        <v>313</v>
      </c>
      <c r="H406" s="46" t="s">
        <v>314</v>
      </c>
      <c r="I406" s="46" t="s">
        <v>169</v>
      </c>
      <c r="J406" s="46" t="s">
        <v>79</v>
      </c>
      <c r="K406" s="46" t="s">
        <v>170</v>
      </c>
      <c r="L406" s="46" t="s">
        <v>171</v>
      </c>
      <c r="M406" s="46" t="s">
        <v>196</v>
      </c>
      <c r="N406" s="46" t="s">
        <v>197</v>
      </c>
      <c r="O406" s="46">
        <v>8582916</v>
      </c>
      <c r="P406" s="46">
        <v>113</v>
      </c>
      <c r="Q406" s="46">
        <v>0</v>
      </c>
      <c r="R406" s="46">
        <v>0</v>
      </c>
      <c r="S406" s="46">
        <v>0</v>
      </c>
      <c r="T406" s="46">
        <v>0</v>
      </c>
      <c r="U406" s="46">
        <v>3222200</v>
      </c>
      <c r="V406" s="46">
        <v>15</v>
      </c>
      <c r="W406" s="46">
        <v>0</v>
      </c>
      <c r="X406" s="46">
        <v>0</v>
      </c>
      <c r="Y406" s="48">
        <v>0</v>
      </c>
      <c r="Z406" s="46">
        <v>0</v>
      </c>
      <c r="AA406" s="46">
        <v>0</v>
      </c>
      <c r="AB406" s="46">
        <v>0</v>
      </c>
      <c r="AC406" s="46">
        <v>11805116</v>
      </c>
      <c r="AD406" s="46">
        <v>128</v>
      </c>
      <c r="AF406" s="47">
        <f t="shared" si="6"/>
        <v>11805116</v>
      </c>
    </row>
    <row r="407" spans="1:32" hidden="1" x14ac:dyDescent="0.3">
      <c r="A407" s="46" t="s">
        <v>613</v>
      </c>
      <c r="B407" s="46" t="str">
        <f>IFERROR(VLOOKUP($H407,매장구분!$B:$Z,2,0),"")</f>
        <v>파트너채널팀</v>
      </c>
      <c r="C407" s="46" t="str">
        <f>IFERROR(VLOOKUP($H407,매장구분!$B:$Z,3,0),"")</f>
        <v>국내</v>
      </c>
      <c r="D407" s="46" t="str">
        <f>IFERROR(VLOOKUP($H407,매장구분!$B:$Z,5,0),"")</f>
        <v>백화점</v>
      </c>
      <c r="E407" s="46" t="str">
        <f>IFERROR(VLOOKUP($H407,매장구분!$B:$Z,9,0),"")</f>
        <v>현대디큐브시티</v>
      </c>
      <c r="G407" s="46" t="s">
        <v>584</v>
      </c>
      <c r="H407" s="46" t="s">
        <v>585</v>
      </c>
      <c r="I407" s="46" t="s">
        <v>169</v>
      </c>
      <c r="J407" s="46" t="s">
        <v>175</v>
      </c>
      <c r="K407" s="46" t="s">
        <v>170</v>
      </c>
      <c r="L407" s="46" t="s">
        <v>171</v>
      </c>
      <c r="M407" s="46" t="s">
        <v>77</v>
      </c>
      <c r="N407" s="46" t="s">
        <v>172</v>
      </c>
      <c r="O407" s="46">
        <v>5883312</v>
      </c>
      <c r="P407" s="46">
        <v>71</v>
      </c>
      <c r="Q407" s="46">
        <v>49000</v>
      </c>
      <c r="R407" s="46">
        <v>1</v>
      </c>
      <c r="S407" s="46">
        <v>0</v>
      </c>
      <c r="T407" s="46">
        <v>0</v>
      </c>
      <c r="U407" s="46">
        <v>1004000</v>
      </c>
      <c r="V407" s="46">
        <v>6</v>
      </c>
      <c r="W407" s="46">
        <v>0</v>
      </c>
      <c r="X407" s="46">
        <v>0</v>
      </c>
      <c r="Y407" s="48">
        <v>4590188</v>
      </c>
      <c r="Z407" s="46">
        <v>29</v>
      </c>
      <c r="AA407" s="46">
        <v>0</v>
      </c>
      <c r="AB407" s="46">
        <v>0</v>
      </c>
      <c r="AC407" s="46">
        <v>11526500</v>
      </c>
      <c r="AD407" s="46">
        <v>107</v>
      </c>
      <c r="AF407" s="47">
        <f t="shared" si="6"/>
        <v>6936312</v>
      </c>
    </row>
    <row r="408" spans="1:32" hidden="1" x14ac:dyDescent="0.3">
      <c r="A408" s="46" t="s">
        <v>613</v>
      </c>
      <c r="B408" s="46" t="str">
        <f>IFERROR(VLOOKUP($H408,매장구분!$B:$Z,2,0),"")</f>
        <v>리테일채널팀</v>
      </c>
      <c r="C408" s="46" t="str">
        <f>IFERROR(VLOOKUP($H408,매장구분!$B:$Z,3,0),"")</f>
        <v>국내</v>
      </c>
      <c r="D408" s="46" t="str">
        <f>IFERROR(VLOOKUP($H408,매장구분!$B:$Z,5,0),"")</f>
        <v>대리점</v>
      </c>
      <c r="E408" s="46" t="str">
        <f>IFERROR(VLOOKUP($H408,매장구분!$B:$Z,9,0),"")</f>
        <v>남양주삼패(대-위)</v>
      </c>
      <c r="G408" s="46" t="s">
        <v>586</v>
      </c>
      <c r="H408" s="46" t="s">
        <v>587</v>
      </c>
      <c r="I408" s="46" t="s">
        <v>169</v>
      </c>
      <c r="J408" s="46" t="s">
        <v>79</v>
      </c>
      <c r="K408" s="46" t="s">
        <v>170</v>
      </c>
      <c r="L408" s="46" t="s">
        <v>171</v>
      </c>
      <c r="M408" s="46" t="s">
        <v>196</v>
      </c>
      <c r="N408" s="46" t="s">
        <v>197</v>
      </c>
      <c r="O408" s="46">
        <v>5590000</v>
      </c>
      <c r="P408" s="46">
        <v>57</v>
      </c>
      <c r="Q408" s="46">
        <v>0</v>
      </c>
      <c r="R408" s="46">
        <v>0</v>
      </c>
      <c r="S408" s="46">
        <v>0</v>
      </c>
      <c r="T408" s="46">
        <v>0</v>
      </c>
      <c r="U408" s="46">
        <v>1301000</v>
      </c>
      <c r="V408" s="46">
        <v>9</v>
      </c>
      <c r="W408" s="46">
        <v>0</v>
      </c>
      <c r="X408" s="46">
        <v>0</v>
      </c>
      <c r="Y408" s="48">
        <v>26764000</v>
      </c>
      <c r="Z408" s="46">
        <v>113</v>
      </c>
      <c r="AA408" s="46">
        <v>0</v>
      </c>
      <c r="AB408" s="46">
        <v>0</v>
      </c>
      <c r="AC408" s="46">
        <v>33655000</v>
      </c>
      <c r="AD408" s="46">
        <v>179</v>
      </c>
      <c r="AF408" s="47">
        <f t="shared" si="6"/>
        <v>6891000</v>
      </c>
    </row>
    <row r="409" spans="1:32" hidden="1" x14ac:dyDescent="0.3">
      <c r="A409" s="46" t="s">
        <v>613</v>
      </c>
      <c r="B409" s="46" t="str">
        <f>IFERROR(VLOOKUP($H409,매장구분!$B:$Z,2,0),"")</f>
        <v>파트너채널팀</v>
      </c>
      <c r="C409" s="46" t="str">
        <f>IFERROR(VLOOKUP($H409,매장구분!$B:$Z,3,0),"")</f>
        <v>면세</v>
      </c>
      <c r="D409" s="46" t="str">
        <f>IFERROR(VLOOKUP($H409,매장구분!$B:$Z,5,0),"")</f>
        <v>면세</v>
      </c>
      <c r="E409" s="46" t="str">
        <f>IFERROR(VLOOKUP($H409,매장구분!$B:$Z,9,0),"")</f>
        <v>롯데면세월드</v>
      </c>
      <c r="G409" s="46" t="s">
        <v>213</v>
      </c>
      <c r="H409" s="46" t="s">
        <v>214</v>
      </c>
      <c r="I409" s="46" t="s">
        <v>169</v>
      </c>
      <c r="J409" s="46" t="s">
        <v>175</v>
      </c>
      <c r="K409" s="46" t="s">
        <v>170</v>
      </c>
      <c r="L409" s="46" t="s">
        <v>171</v>
      </c>
      <c r="M409" s="46" t="s">
        <v>176</v>
      </c>
      <c r="N409" s="46" t="s">
        <v>177</v>
      </c>
      <c r="O409" s="46">
        <v>8177200</v>
      </c>
      <c r="P409" s="46">
        <v>99</v>
      </c>
      <c r="Q409" s="46">
        <v>0</v>
      </c>
      <c r="R409" s="46">
        <v>0</v>
      </c>
      <c r="S409" s="46">
        <v>0</v>
      </c>
      <c r="T409" s="46">
        <v>0</v>
      </c>
      <c r="U409" s="46">
        <v>0</v>
      </c>
      <c r="V409" s="46">
        <v>0</v>
      </c>
      <c r="W409" s="46">
        <v>0</v>
      </c>
      <c r="X409" s="46">
        <v>0</v>
      </c>
      <c r="Y409" s="48">
        <v>158757800</v>
      </c>
      <c r="Z409" s="46">
        <v>956</v>
      </c>
      <c r="AA409" s="46">
        <v>0</v>
      </c>
      <c r="AB409" s="46">
        <v>0</v>
      </c>
      <c r="AC409" s="46">
        <v>166935000</v>
      </c>
      <c r="AD409" s="46">
        <v>1055</v>
      </c>
      <c r="AF409" s="47">
        <f t="shared" si="6"/>
        <v>8177200</v>
      </c>
    </row>
    <row r="410" spans="1:32" hidden="1" x14ac:dyDescent="0.3">
      <c r="A410" s="46" t="s">
        <v>613</v>
      </c>
      <c r="B410" s="46" t="str">
        <f>IFERROR(VLOOKUP($H410,매장구분!$B:$Z,2,0),"")</f>
        <v>파트너채널팀</v>
      </c>
      <c r="C410" s="46" t="str">
        <f>IFERROR(VLOOKUP($H410,매장구분!$B:$Z,3,0),"")</f>
        <v>국내</v>
      </c>
      <c r="D410" s="46" t="str">
        <f>IFERROR(VLOOKUP($H410,매장구분!$B:$Z,5,0),"")</f>
        <v>백화점</v>
      </c>
      <c r="E410" s="46" t="str">
        <f>IFERROR(VLOOKUP($H410,매장구분!$B:$Z,9,0),"")</f>
        <v>신세계의정부</v>
      </c>
      <c r="G410" s="46" t="s">
        <v>438</v>
      </c>
      <c r="H410" s="46" t="s">
        <v>439</v>
      </c>
      <c r="I410" s="46" t="s">
        <v>169</v>
      </c>
      <c r="J410" s="46" t="s">
        <v>175</v>
      </c>
      <c r="K410" s="46" t="s">
        <v>170</v>
      </c>
      <c r="L410" s="46" t="s">
        <v>171</v>
      </c>
      <c r="M410" s="46" t="s">
        <v>77</v>
      </c>
      <c r="N410" s="46" t="s">
        <v>172</v>
      </c>
      <c r="O410" s="46">
        <v>19464700</v>
      </c>
      <c r="P410" s="46">
        <v>203</v>
      </c>
      <c r="Q410" s="46">
        <v>0</v>
      </c>
      <c r="R410" s="46">
        <v>0</v>
      </c>
      <c r="S410" s="46">
        <v>0</v>
      </c>
      <c r="T410" s="46">
        <v>0</v>
      </c>
      <c r="U410" s="46">
        <v>3824100</v>
      </c>
      <c r="V410" s="46">
        <v>24</v>
      </c>
      <c r="W410" s="46">
        <v>0</v>
      </c>
      <c r="X410" s="46">
        <v>0</v>
      </c>
      <c r="Y410" s="48">
        <v>0</v>
      </c>
      <c r="Z410" s="46">
        <v>0</v>
      </c>
      <c r="AA410" s="46">
        <v>0</v>
      </c>
      <c r="AB410" s="46">
        <v>0</v>
      </c>
      <c r="AC410" s="46">
        <v>23288800</v>
      </c>
      <c r="AD410" s="46">
        <v>227</v>
      </c>
      <c r="AF410" s="47">
        <f t="shared" si="6"/>
        <v>23288800</v>
      </c>
    </row>
    <row r="411" spans="1:32" hidden="1" x14ac:dyDescent="0.3">
      <c r="A411" s="46" t="s">
        <v>613</v>
      </c>
      <c r="B411" s="46" t="str">
        <f>IFERROR(VLOOKUP($H411,매장구분!$B:$Z,2,0),"")</f>
        <v>리테일채널팀</v>
      </c>
      <c r="C411" s="46" t="str">
        <f>IFERROR(VLOOKUP($H411,매장구분!$B:$Z,3,0),"")</f>
        <v>국내</v>
      </c>
      <c r="D411" s="46" t="str">
        <f>IFERROR(VLOOKUP($H411,매장구분!$B:$Z,5,0),"")</f>
        <v>대리점</v>
      </c>
      <c r="E411" s="46" t="str">
        <f>IFERROR(VLOOKUP($H411,매장구분!$B:$Z,9,0),"")</f>
        <v>속초(대-위)</v>
      </c>
      <c r="G411" s="46" t="s">
        <v>488</v>
      </c>
      <c r="H411" s="46" t="s">
        <v>489</v>
      </c>
      <c r="I411" s="46" t="s">
        <v>169</v>
      </c>
      <c r="J411" s="46" t="s">
        <v>79</v>
      </c>
      <c r="K411" s="46" t="s">
        <v>170</v>
      </c>
      <c r="L411" s="46" t="s">
        <v>171</v>
      </c>
      <c r="M411" s="46" t="s">
        <v>196</v>
      </c>
      <c r="N411" s="46" t="s">
        <v>197</v>
      </c>
      <c r="O411" s="46">
        <v>13349300</v>
      </c>
      <c r="P411" s="46">
        <v>133</v>
      </c>
      <c r="Q411" s="46">
        <v>0</v>
      </c>
      <c r="R411" s="46">
        <v>0</v>
      </c>
      <c r="S411" s="46">
        <v>0</v>
      </c>
      <c r="T411" s="46">
        <v>0</v>
      </c>
      <c r="U411" s="46">
        <v>4056000</v>
      </c>
      <c r="V411" s="46">
        <v>19</v>
      </c>
      <c r="W411" s="46">
        <v>0</v>
      </c>
      <c r="X411" s="46">
        <v>0</v>
      </c>
      <c r="Y411" s="48">
        <v>0</v>
      </c>
      <c r="Z411" s="46">
        <v>0</v>
      </c>
      <c r="AA411" s="46">
        <v>0</v>
      </c>
      <c r="AB411" s="46">
        <v>0</v>
      </c>
      <c r="AC411" s="46">
        <v>17405300</v>
      </c>
      <c r="AD411" s="46">
        <v>152</v>
      </c>
      <c r="AF411" s="47">
        <f t="shared" si="6"/>
        <v>17405300</v>
      </c>
    </row>
    <row r="412" spans="1:32" hidden="1" x14ac:dyDescent="0.3">
      <c r="A412" s="46" t="s">
        <v>613</v>
      </c>
      <c r="B412" s="46" t="str">
        <f>IFERROR(VLOOKUP($H412,매장구분!$B:$Z,2,0),"")</f>
        <v>리테일채널팀</v>
      </c>
      <c r="C412" s="46" t="str">
        <f>IFERROR(VLOOKUP($H412,매장구분!$B:$Z,3,0),"")</f>
        <v>국내</v>
      </c>
      <c r="D412" s="46" t="str">
        <f>IFERROR(VLOOKUP($H412,매장구분!$B:$Z,5,0),"")</f>
        <v>대리점</v>
      </c>
      <c r="E412" s="46" t="str">
        <f>IFERROR(VLOOKUP($H412,매장구분!$B:$Z,9,0),"")</f>
        <v>광주용봉(대-위)</v>
      </c>
      <c r="G412" s="46" t="s">
        <v>606</v>
      </c>
      <c r="H412" s="46" t="s">
        <v>607</v>
      </c>
      <c r="I412" s="46" t="s">
        <v>169</v>
      </c>
      <c r="J412" s="46" t="s">
        <v>79</v>
      </c>
      <c r="K412" s="46" t="s">
        <v>170</v>
      </c>
      <c r="L412" s="46" t="s">
        <v>171</v>
      </c>
      <c r="M412" s="46" t="s">
        <v>196</v>
      </c>
      <c r="N412" s="46" t="s">
        <v>197</v>
      </c>
      <c r="O412" s="46">
        <v>4492600</v>
      </c>
      <c r="P412" s="46">
        <v>49</v>
      </c>
      <c r="Q412" s="46">
        <v>0</v>
      </c>
      <c r="R412" s="46">
        <v>0</v>
      </c>
      <c r="S412" s="46">
        <v>0</v>
      </c>
      <c r="T412" s="46">
        <v>0</v>
      </c>
      <c r="U412" s="46">
        <v>1633900</v>
      </c>
      <c r="V412" s="46">
        <v>12</v>
      </c>
      <c r="W412" s="46">
        <v>0</v>
      </c>
      <c r="X412" s="46">
        <v>0</v>
      </c>
      <c r="Y412" s="48">
        <v>0</v>
      </c>
      <c r="Z412" s="46">
        <v>0</v>
      </c>
      <c r="AA412" s="46">
        <v>0</v>
      </c>
      <c r="AB412" s="46">
        <v>0</v>
      </c>
      <c r="AC412" s="46">
        <v>6126500</v>
      </c>
      <c r="AD412" s="46">
        <v>61</v>
      </c>
      <c r="AF412" s="47">
        <f t="shared" si="6"/>
        <v>6126500</v>
      </c>
    </row>
    <row r="413" spans="1:32" hidden="1" x14ac:dyDescent="0.3">
      <c r="A413" s="46" t="s">
        <v>613</v>
      </c>
      <c r="B413" s="46" t="str">
        <f>IFERROR(VLOOKUP($H413,매장구분!$B:$Z,2,0),"")</f>
        <v>리테일채널팀</v>
      </c>
      <c r="C413" s="46" t="str">
        <f>IFERROR(VLOOKUP($H413,매장구분!$B:$Z,3,0),"")</f>
        <v>국내</v>
      </c>
      <c r="D413" s="46" t="str">
        <f>IFERROR(VLOOKUP($H413,매장구분!$B:$Z,5,0),"")</f>
        <v>대리점</v>
      </c>
      <c r="E413" s="46" t="str">
        <f>IFERROR(VLOOKUP($H413,매장구분!$B:$Z,9,0),"")</f>
        <v>여수(대-위)</v>
      </c>
      <c r="G413" s="46" t="s">
        <v>198</v>
      </c>
      <c r="H413" s="46" t="s">
        <v>199</v>
      </c>
      <c r="I413" s="46" t="s">
        <v>169</v>
      </c>
      <c r="J413" s="46" t="s">
        <v>79</v>
      </c>
      <c r="K413" s="46" t="s">
        <v>170</v>
      </c>
      <c r="L413" s="46" t="s">
        <v>171</v>
      </c>
      <c r="M413" s="46" t="s">
        <v>196</v>
      </c>
      <c r="N413" s="46" t="s">
        <v>197</v>
      </c>
      <c r="O413" s="46">
        <v>8122100</v>
      </c>
      <c r="P413" s="46">
        <v>90</v>
      </c>
      <c r="Q413" s="46">
        <v>0</v>
      </c>
      <c r="R413" s="46">
        <v>0</v>
      </c>
      <c r="S413" s="46">
        <v>0</v>
      </c>
      <c r="T413" s="46">
        <v>0</v>
      </c>
      <c r="U413" s="46">
        <v>897000</v>
      </c>
      <c r="V413" s="46">
        <v>3</v>
      </c>
      <c r="W413" s="46">
        <v>0</v>
      </c>
      <c r="X413" s="46">
        <v>0</v>
      </c>
      <c r="Y413" s="48">
        <v>0</v>
      </c>
      <c r="Z413" s="46">
        <v>0</v>
      </c>
      <c r="AA413" s="46">
        <v>0</v>
      </c>
      <c r="AB413" s="46">
        <v>0</v>
      </c>
      <c r="AC413" s="46">
        <v>9019100</v>
      </c>
      <c r="AD413" s="46">
        <v>93</v>
      </c>
      <c r="AF413" s="47">
        <f t="shared" si="6"/>
        <v>9019100</v>
      </c>
    </row>
    <row r="414" spans="1:32" hidden="1" x14ac:dyDescent="0.3">
      <c r="A414" s="46" t="s">
        <v>613</v>
      </c>
      <c r="B414" s="46" t="str">
        <f>IFERROR(VLOOKUP($H414,매장구분!$B:$Z,2,0),"")</f>
        <v>파트너채널팀</v>
      </c>
      <c r="C414" s="46" t="str">
        <f>IFERROR(VLOOKUP($H414,매장구분!$B:$Z,3,0),"")</f>
        <v>국내</v>
      </c>
      <c r="D414" s="46" t="str">
        <f>IFERROR(VLOOKUP($H414,매장구분!$B:$Z,5,0),"")</f>
        <v>백화점</v>
      </c>
      <c r="E414" s="46" t="str">
        <f>IFERROR(VLOOKUP($H414,매장구분!$B:$Z,9,0),"")</f>
        <v>현대목동</v>
      </c>
      <c r="G414" s="46" t="s">
        <v>604</v>
      </c>
      <c r="H414" s="46" t="s">
        <v>605</v>
      </c>
      <c r="I414" s="46" t="s">
        <v>169</v>
      </c>
      <c r="J414" s="46" t="s">
        <v>175</v>
      </c>
      <c r="K414" s="46" t="s">
        <v>170</v>
      </c>
      <c r="L414" s="46" t="s">
        <v>171</v>
      </c>
      <c r="M414" s="46" t="s">
        <v>77</v>
      </c>
      <c r="N414" s="46" t="s">
        <v>172</v>
      </c>
      <c r="O414" s="46">
        <v>14890410</v>
      </c>
      <c r="P414" s="46">
        <v>133</v>
      </c>
      <c r="Q414" s="46">
        <v>3188000</v>
      </c>
      <c r="R414" s="46">
        <v>91</v>
      </c>
      <c r="S414" s="46">
        <v>0</v>
      </c>
      <c r="T414" s="46">
        <v>0</v>
      </c>
      <c r="U414" s="46">
        <v>2984100</v>
      </c>
      <c r="V414" s="46">
        <v>18</v>
      </c>
      <c r="W414" s="46">
        <v>0</v>
      </c>
      <c r="X414" s="46">
        <v>0</v>
      </c>
      <c r="Y414" s="48">
        <v>24275000</v>
      </c>
      <c r="Z414" s="46">
        <v>135</v>
      </c>
      <c r="AA414" s="46">
        <v>0</v>
      </c>
      <c r="AB414" s="46">
        <v>0</v>
      </c>
      <c r="AC414" s="46">
        <v>45337510</v>
      </c>
      <c r="AD414" s="46">
        <v>377</v>
      </c>
      <c r="AF414" s="47">
        <f t="shared" si="6"/>
        <v>21062510</v>
      </c>
    </row>
    <row r="415" spans="1:32" hidden="1" x14ac:dyDescent="0.3">
      <c r="A415" s="46" t="s">
        <v>613</v>
      </c>
      <c r="B415" s="46" t="str">
        <f>IFERROR(VLOOKUP($H415,매장구분!$B:$Z,2,0),"")</f>
        <v>리테일채널팀</v>
      </c>
      <c r="C415" s="46" t="str">
        <f>IFERROR(VLOOKUP($H415,매장구분!$B:$Z,3,0),"")</f>
        <v>국내</v>
      </c>
      <c r="D415" s="46" t="str">
        <f>IFERROR(VLOOKUP($H415,매장구분!$B:$Z,5,0),"")</f>
        <v>상설(위탁)</v>
      </c>
      <c r="E415" s="46" t="str">
        <f>IFERROR(VLOOKUP($H415,매장구분!$B:$Z,9,0),"")</f>
        <v>현대아울렛가든5(상-위)</v>
      </c>
      <c r="G415" s="46" t="s">
        <v>372</v>
      </c>
      <c r="H415" s="46" t="s">
        <v>373</v>
      </c>
      <c r="I415" s="46" t="s">
        <v>169</v>
      </c>
      <c r="J415" s="46" t="s">
        <v>79</v>
      </c>
      <c r="K415" s="46" t="s">
        <v>170</v>
      </c>
      <c r="L415" s="46" t="s">
        <v>171</v>
      </c>
      <c r="M415" s="46" t="s">
        <v>219</v>
      </c>
      <c r="N415" s="46" t="s">
        <v>219</v>
      </c>
      <c r="O415" s="46">
        <v>1440000</v>
      </c>
      <c r="P415" s="46">
        <v>40</v>
      </c>
      <c r="Q415" s="46">
        <v>0</v>
      </c>
      <c r="R415" s="46">
        <v>0</v>
      </c>
      <c r="S415" s="46">
        <v>0</v>
      </c>
      <c r="T415" s="46">
        <v>0</v>
      </c>
      <c r="U415" s="46">
        <v>0</v>
      </c>
      <c r="V415" s="46">
        <v>0</v>
      </c>
      <c r="W415" s="46">
        <v>0</v>
      </c>
      <c r="X415" s="46">
        <v>0</v>
      </c>
      <c r="Y415" s="48">
        <v>0</v>
      </c>
      <c r="Z415" s="46">
        <v>0</v>
      </c>
      <c r="AA415" s="46">
        <v>0</v>
      </c>
      <c r="AB415" s="46">
        <v>0</v>
      </c>
      <c r="AC415" s="46">
        <v>1440000</v>
      </c>
      <c r="AD415" s="46">
        <v>40</v>
      </c>
      <c r="AF415" s="47">
        <f t="shared" si="6"/>
        <v>1440000</v>
      </c>
    </row>
    <row r="416" spans="1:32" hidden="1" x14ac:dyDescent="0.3">
      <c r="A416" s="46" t="s">
        <v>613</v>
      </c>
      <c r="B416" s="46" t="str">
        <f>IFERROR(VLOOKUP($H416,매장구분!$B:$Z,2,0),"")</f>
        <v>리테일채널팀</v>
      </c>
      <c r="C416" s="46" t="str">
        <f>IFERROR(VLOOKUP($H416,매장구분!$B:$Z,3,0),"")</f>
        <v>국내</v>
      </c>
      <c r="D416" s="46" t="str">
        <f>IFERROR(VLOOKUP($H416,매장구분!$B:$Z,5,0),"")</f>
        <v>상설(위탁)</v>
      </c>
      <c r="E416" s="46" t="str">
        <f>IFERROR(VLOOKUP($H416,매장구분!$B:$Z,9,0),"")</f>
        <v>LF스퀘어광양(상-위)</v>
      </c>
      <c r="G416" s="46" t="s">
        <v>167</v>
      </c>
      <c r="H416" s="46" t="s">
        <v>168</v>
      </c>
      <c r="I416" s="46" t="s">
        <v>169</v>
      </c>
      <c r="J416" s="46" t="s">
        <v>79</v>
      </c>
      <c r="K416" s="46" t="s">
        <v>170</v>
      </c>
      <c r="L416" s="46" t="s">
        <v>171</v>
      </c>
      <c r="M416" s="46" t="s">
        <v>77</v>
      </c>
      <c r="N416" s="46" t="s">
        <v>172</v>
      </c>
      <c r="O416" s="46">
        <v>1584000</v>
      </c>
      <c r="P416" s="46">
        <v>44</v>
      </c>
      <c r="Q416" s="46">
        <v>0</v>
      </c>
      <c r="R416" s="46">
        <v>0</v>
      </c>
      <c r="S416" s="46">
        <v>0</v>
      </c>
      <c r="T416" s="46">
        <v>0</v>
      </c>
      <c r="U416" s="46">
        <v>0</v>
      </c>
      <c r="V416" s="46">
        <v>0</v>
      </c>
      <c r="W416" s="46">
        <v>0</v>
      </c>
      <c r="X416" s="46">
        <v>0</v>
      </c>
      <c r="Y416" s="48">
        <v>0</v>
      </c>
      <c r="Z416" s="46">
        <v>0</v>
      </c>
      <c r="AA416" s="46">
        <v>0</v>
      </c>
      <c r="AB416" s="46">
        <v>0</v>
      </c>
      <c r="AC416" s="46">
        <v>1584000</v>
      </c>
      <c r="AD416" s="46">
        <v>44</v>
      </c>
      <c r="AF416" s="47">
        <f t="shared" si="6"/>
        <v>1584000</v>
      </c>
    </row>
    <row r="417" spans="1:32" hidden="1" x14ac:dyDescent="0.3">
      <c r="A417" s="46" t="s">
        <v>613</v>
      </c>
      <c r="B417" s="46" t="str">
        <f>IFERROR(VLOOKUP($H417,매장구분!$B:$Z,2,0),"")</f>
        <v>리테일채널팀</v>
      </c>
      <c r="C417" s="46" t="str">
        <f>IFERROR(VLOOKUP($H417,매장구분!$B:$Z,3,0),"")</f>
        <v>국내</v>
      </c>
      <c r="D417" s="46" t="str">
        <f>IFERROR(VLOOKUP($H417,매장구분!$B:$Z,5,0),"")</f>
        <v>상설(위탁)</v>
      </c>
      <c r="E417" s="46" t="str">
        <f>IFERROR(VLOOKUP($H417,매장구분!$B:$Z,9,0),"")</f>
        <v>모다경주(상-위)</v>
      </c>
      <c r="G417" s="46" t="s">
        <v>374</v>
      </c>
      <c r="H417" s="46" t="s">
        <v>375</v>
      </c>
      <c r="I417" s="46" t="s">
        <v>169</v>
      </c>
      <c r="J417" s="46" t="s">
        <v>79</v>
      </c>
      <c r="K417" s="46" t="s">
        <v>170</v>
      </c>
      <c r="L417" s="46" t="s">
        <v>171</v>
      </c>
      <c r="M417" s="46" t="s">
        <v>77</v>
      </c>
      <c r="N417" s="46" t="s">
        <v>238</v>
      </c>
      <c r="O417" s="46">
        <v>720000</v>
      </c>
      <c r="P417" s="46">
        <v>20</v>
      </c>
      <c r="Q417" s="46">
        <v>0</v>
      </c>
      <c r="R417" s="46">
        <v>0</v>
      </c>
      <c r="S417" s="46">
        <v>0</v>
      </c>
      <c r="T417" s="46">
        <v>0</v>
      </c>
      <c r="U417" s="46">
        <v>0</v>
      </c>
      <c r="V417" s="46">
        <v>0</v>
      </c>
      <c r="W417" s="46">
        <v>0</v>
      </c>
      <c r="X417" s="46">
        <v>0</v>
      </c>
      <c r="Y417" s="48">
        <v>0</v>
      </c>
      <c r="Z417" s="46">
        <v>0</v>
      </c>
      <c r="AA417" s="46">
        <v>0</v>
      </c>
      <c r="AB417" s="46">
        <v>0</v>
      </c>
      <c r="AC417" s="46">
        <v>720000</v>
      </c>
      <c r="AD417" s="46">
        <v>20</v>
      </c>
      <c r="AF417" s="47">
        <f t="shared" si="6"/>
        <v>720000</v>
      </c>
    </row>
    <row r="418" spans="1:32" hidden="1" x14ac:dyDescent="0.3">
      <c r="A418" s="46" t="s">
        <v>613</v>
      </c>
      <c r="B418" s="46" t="str">
        <f>IFERROR(VLOOKUP($H418,매장구분!$B:$Z,2,0),"")</f>
        <v>리테일채널팀</v>
      </c>
      <c r="C418" s="46" t="str">
        <f>IFERROR(VLOOKUP($H418,매장구분!$B:$Z,3,0),"")</f>
        <v>국내</v>
      </c>
      <c r="D418" s="46" t="str">
        <f>IFERROR(VLOOKUP($H418,매장구분!$B:$Z,5,0),"")</f>
        <v>상설(위탁)</v>
      </c>
      <c r="E418" s="46" t="str">
        <f>IFERROR(VLOOKUP($H418,매장구분!$B:$Z,9,0),"")</f>
        <v>롯데아울렛진주(상-위)</v>
      </c>
      <c r="G418" s="46" t="s">
        <v>528</v>
      </c>
      <c r="H418" s="46" t="s">
        <v>529</v>
      </c>
      <c r="I418" s="46" t="s">
        <v>169</v>
      </c>
      <c r="J418" s="46" t="s">
        <v>79</v>
      </c>
      <c r="K418" s="46" t="s">
        <v>170</v>
      </c>
      <c r="L418" s="46" t="s">
        <v>171</v>
      </c>
      <c r="M418" s="46" t="s">
        <v>219</v>
      </c>
      <c r="N418" s="46" t="s">
        <v>219</v>
      </c>
      <c r="O418" s="46">
        <v>1224000</v>
      </c>
      <c r="P418" s="46">
        <v>34</v>
      </c>
      <c r="Q418" s="46">
        <v>0</v>
      </c>
      <c r="R418" s="46">
        <v>0</v>
      </c>
      <c r="S418" s="46">
        <v>0</v>
      </c>
      <c r="T418" s="46">
        <v>0</v>
      </c>
      <c r="U418" s="46">
        <v>0</v>
      </c>
      <c r="V418" s="46">
        <v>0</v>
      </c>
      <c r="W418" s="46">
        <v>0</v>
      </c>
      <c r="X418" s="46">
        <v>0</v>
      </c>
      <c r="Y418" s="48">
        <v>0</v>
      </c>
      <c r="Z418" s="46">
        <v>0</v>
      </c>
      <c r="AA418" s="46">
        <v>0</v>
      </c>
      <c r="AB418" s="46">
        <v>0</v>
      </c>
      <c r="AC418" s="46">
        <v>1224000</v>
      </c>
      <c r="AD418" s="46">
        <v>34</v>
      </c>
      <c r="AF418" s="47">
        <f t="shared" si="6"/>
        <v>1224000</v>
      </c>
    </row>
    <row r="419" spans="1:32" hidden="1" x14ac:dyDescent="0.3">
      <c r="A419" s="46" t="s">
        <v>613</v>
      </c>
      <c r="B419" s="46" t="str">
        <f>IFERROR(VLOOKUP($H419,매장구분!$B:$Z,2,0),"")</f>
        <v>파트너채널팀</v>
      </c>
      <c r="C419" s="46" t="str">
        <f>IFERROR(VLOOKUP($H419,매장구분!$B:$Z,3,0),"")</f>
        <v>국내</v>
      </c>
      <c r="D419" s="46" t="str">
        <f>IFERROR(VLOOKUP($H419,매장구분!$B:$Z,5,0),"")</f>
        <v>백화점</v>
      </c>
      <c r="E419" s="46" t="str">
        <f>IFERROR(VLOOKUP($H419,매장구분!$B:$Z,9,0),"")</f>
        <v>갤러리아진주</v>
      </c>
      <c r="G419" s="46" t="s">
        <v>516</v>
      </c>
      <c r="H419" s="46" t="s">
        <v>517</v>
      </c>
      <c r="I419" s="46" t="s">
        <v>169</v>
      </c>
      <c r="J419" s="46" t="s">
        <v>175</v>
      </c>
      <c r="K419" s="46" t="s">
        <v>170</v>
      </c>
      <c r="L419" s="46" t="s">
        <v>171</v>
      </c>
      <c r="M419" s="46" t="s">
        <v>77</v>
      </c>
      <c r="N419" s="46" t="s">
        <v>172</v>
      </c>
      <c r="O419" s="46">
        <v>7157600</v>
      </c>
      <c r="P419" s="46">
        <v>64</v>
      </c>
      <c r="Q419" s="46">
        <v>1885000</v>
      </c>
      <c r="R419" s="46">
        <v>21</v>
      </c>
      <c r="S419" s="46">
        <v>0</v>
      </c>
      <c r="T419" s="46">
        <v>0</v>
      </c>
      <c r="U419" s="46">
        <v>651000</v>
      </c>
      <c r="V419" s="46">
        <v>6</v>
      </c>
      <c r="W419" s="46">
        <v>0</v>
      </c>
      <c r="X419" s="46">
        <v>0</v>
      </c>
      <c r="Y419" s="48">
        <v>0</v>
      </c>
      <c r="Z419" s="46">
        <v>0</v>
      </c>
      <c r="AA419" s="46">
        <v>0</v>
      </c>
      <c r="AB419" s="46">
        <v>0</v>
      </c>
      <c r="AC419" s="46">
        <v>9693600</v>
      </c>
      <c r="AD419" s="46">
        <v>91</v>
      </c>
      <c r="AF419" s="47">
        <f t="shared" si="6"/>
        <v>9693600</v>
      </c>
    </row>
    <row r="420" spans="1:32" hidden="1" x14ac:dyDescent="0.3">
      <c r="A420" s="46" t="s">
        <v>613</v>
      </c>
      <c r="B420" s="46" t="str">
        <f>IFERROR(VLOOKUP($H420,매장구분!$B:$Z,2,0),"")</f>
        <v>리테일채널팀</v>
      </c>
      <c r="C420" s="46" t="str">
        <f>IFERROR(VLOOKUP($H420,매장구분!$B:$Z,3,0),"")</f>
        <v>국내</v>
      </c>
      <c r="D420" s="46" t="str">
        <f>IFERROR(VLOOKUP($H420,매장구분!$B:$Z,5,0),"")</f>
        <v>직영점</v>
      </c>
      <c r="E420" s="46" t="str">
        <f>IFERROR(VLOOKUP($H420,매장구분!$B:$Z,9,0),"")</f>
        <v>스타필드안성(직)</v>
      </c>
      <c r="G420" s="46" t="s">
        <v>554</v>
      </c>
      <c r="H420" s="46" t="s">
        <v>555</v>
      </c>
      <c r="I420" s="46" t="s">
        <v>169</v>
      </c>
      <c r="J420" s="46" t="s">
        <v>180</v>
      </c>
      <c r="K420" s="46" t="s">
        <v>170</v>
      </c>
      <c r="L420" s="46" t="s">
        <v>171</v>
      </c>
      <c r="M420" s="46" t="s">
        <v>188</v>
      </c>
      <c r="N420" s="46" t="s">
        <v>189</v>
      </c>
      <c r="O420" s="46">
        <v>13391000</v>
      </c>
      <c r="P420" s="46">
        <v>146</v>
      </c>
      <c r="Q420" s="46">
        <v>0</v>
      </c>
      <c r="R420" s="46">
        <v>0</v>
      </c>
      <c r="S420" s="46">
        <v>0</v>
      </c>
      <c r="T420" s="46">
        <v>0</v>
      </c>
      <c r="U420" s="46">
        <v>1429500</v>
      </c>
      <c r="V420" s="46">
        <v>11</v>
      </c>
      <c r="W420" s="46">
        <v>0</v>
      </c>
      <c r="X420" s="46">
        <v>0</v>
      </c>
      <c r="Y420" s="48">
        <v>0</v>
      </c>
      <c r="Z420" s="46">
        <v>0</v>
      </c>
      <c r="AA420" s="46">
        <v>0</v>
      </c>
      <c r="AB420" s="46">
        <v>0</v>
      </c>
      <c r="AC420" s="46">
        <v>14820500</v>
      </c>
      <c r="AD420" s="46">
        <v>157</v>
      </c>
      <c r="AF420" s="47">
        <f t="shared" si="6"/>
        <v>14820500</v>
      </c>
    </row>
    <row r="421" spans="1:32" hidden="1" x14ac:dyDescent="0.3">
      <c r="A421" s="46" t="s">
        <v>613</v>
      </c>
      <c r="B421" s="46" t="str">
        <f>IFERROR(VLOOKUP($H421,매장구분!$B:$Z,2,0),"")</f>
        <v>파트너채널팀</v>
      </c>
      <c r="C421" s="46" t="str">
        <f>IFERROR(VLOOKUP($H421,매장구분!$B:$Z,3,0),"")</f>
        <v>국내</v>
      </c>
      <c r="D421" s="46" t="str">
        <f>IFERROR(VLOOKUP($H421,매장구분!$B:$Z,5,0),"")</f>
        <v>백화점</v>
      </c>
      <c r="E421" s="46" t="str">
        <f>IFERROR(VLOOKUP($H421,매장구분!$B:$Z,9,0),"")</f>
        <v>신세계하남</v>
      </c>
      <c r="G421" s="46" t="s">
        <v>243</v>
      </c>
      <c r="H421" s="46" t="s">
        <v>244</v>
      </c>
      <c r="I421" s="46" t="s">
        <v>169</v>
      </c>
      <c r="J421" s="46" t="s">
        <v>175</v>
      </c>
      <c r="K421" s="46" t="s">
        <v>170</v>
      </c>
      <c r="L421" s="46" t="s">
        <v>171</v>
      </c>
      <c r="M421" s="46" t="s">
        <v>77</v>
      </c>
      <c r="N421" s="46" t="s">
        <v>172</v>
      </c>
      <c r="O421" s="46">
        <v>16272900</v>
      </c>
      <c r="P421" s="46">
        <v>162</v>
      </c>
      <c r="Q421" s="46">
        <v>2690000</v>
      </c>
      <c r="R421" s="46">
        <v>29</v>
      </c>
      <c r="S421" s="46">
        <v>0</v>
      </c>
      <c r="T421" s="46">
        <v>0</v>
      </c>
      <c r="U421" s="46">
        <v>3425000</v>
      </c>
      <c r="V421" s="46">
        <v>15</v>
      </c>
      <c r="W421" s="46">
        <v>0</v>
      </c>
      <c r="X421" s="46">
        <v>0</v>
      </c>
      <c r="Y421" s="48">
        <v>0</v>
      </c>
      <c r="Z421" s="46">
        <v>0</v>
      </c>
      <c r="AA421" s="46">
        <v>0</v>
      </c>
      <c r="AB421" s="46">
        <v>0</v>
      </c>
      <c r="AC421" s="46">
        <v>22387900</v>
      </c>
      <c r="AD421" s="46">
        <v>206</v>
      </c>
      <c r="AF421" s="47">
        <f t="shared" si="6"/>
        <v>22387900</v>
      </c>
    </row>
    <row r="422" spans="1:32" hidden="1" x14ac:dyDescent="0.3">
      <c r="A422" s="46" t="s">
        <v>613</v>
      </c>
      <c r="B422" s="46" t="str">
        <f>IFERROR(VLOOKUP($H422,매장구분!$B:$Z,2,0),"")</f>
        <v>파트너채널팀</v>
      </c>
      <c r="C422" s="46" t="str">
        <f>IFERROR(VLOOKUP($H422,매장구분!$B:$Z,3,0),"")</f>
        <v>국내</v>
      </c>
      <c r="D422" s="46" t="str">
        <f>IFERROR(VLOOKUP($H422,매장구분!$B:$Z,5,0),"")</f>
        <v>백화점</v>
      </c>
      <c r="E422" s="46" t="str">
        <f>IFERROR(VLOOKUP($H422,매장구분!$B:$Z,9,0),"")</f>
        <v>현대울산</v>
      </c>
      <c r="G422" s="46" t="s">
        <v>344</v>
      </c>
      <c r="H422" s="46" t="s">
        <v>345</v>
      </c>
      <c r="I422" s="46" t="s">
        <v>169</v>
      </c>
      <c r="J422" s="46" t="s">
        <v>175</v>
      </c>
      <c r="K422" s="46" t="s">
        <v>170</v>
      </c>
      <c r="L422" s="46" t="s">
        <v>171</v>
      </c>
      <c r="M422" s="46" t="s">
        <v>77</v>
      </c>
      <c r="N422" s="46" t="s">
        <v>172</v>
      </c>
      <c r="O422" s="46">
        <v>28435918</v>
      </c>
      <c r="P422" s="46">
        <v>242</v>
      </c>
      <c r="Q422" s="46">
        <v>0</v>
      </c>
      <c r="R422" s="46">
        <v>0</v>
      </c>
      <c r="S422" s="46">
        <v>0</v>
      </c>
      <c r="T422" s="46">
        <v>0</v>
      </c>
      <c r="U422" s="46">
        <v>2615782</v>
      </c>
      <c r="V422" s="46">
        <v>19</v>
      </c>
      <c r="W422" s="46">
        <v>0</v>
      </c>
      <c r="X422" s="46">
        <v>0</v>
      </c>
      <c r="Y422" s="48">
        <v>12305300</v>
      </c>
      <c r="Z422" s="46">
        <v>113</v>
      </c>
      <c r="AA422" s="46">
        <v>0</v>
      </c>
      <c r="AB422" s="46">
        <v>0</v>
      </c>
      <c r="AC422" s="46">
        <v>43357000</v>
      </c>
      <c r="AD422" s="46">
        <v>374</v>
      </c>
      <c r="AF422" s="47">
        <f t="shared" si="6"/>
        <v>31051700</v>
      </c>
    </row>
    <row r="423" spans="1:32" hidden="1" x14ac:dyDescent="0.3">
      <c r="A423" s="46" t="s">
        <v>613</v>
      </c>
      <c r="B423" s="46" t="str">
        <f>IFERROR(VLOOKUP($H423,매장구분!$B:$Z,2,0),"")</f>
        <v>파트너채널팀</v>
      </c>
      <c r="C423" s="46" t="str">
        <f>IFERROR(VLOOKUP($H423,매장구분!$B:$Z,3,0),"")</f>
        <v>국내</v>
      </c>
      <c r="D423" s="46" t="str">
        <f>IFERROR(VLOOKUP($H423,매장구분!$B:$Z,5,0),"")</f>
        <v>백화점</v>
      </c>
      <c r="E423" s="46" t="str">
        <f>IFERROR(VLOOKUP($H423,매장구분!$B:$Z,9,0),"")</f>
        <v>AK분당</v>
      </c>
      <c r="G423" s="46" t="s">
        <v>582</v>
      </c>
      <c r="H423" s="46" t="s">
        <v>583</v>
      </c>
      <c r="I423" s="46" t="s">
        <v>169</v>
      </c>
      <c r="J423" s="46" t="s">
        <v>175</v>
      </c>
      <c r="K423" s="46" t="s">
        <v>170</v>
      </c>
      <c r="L423" s="46" t="s">
        <v>171</v>
      </c>
      <c r="M423" s="46" t="s">
        <v>77</v>
      </c>
      <c r="N423" s="46" t="s">
        <v>172</v>
      </c>
      <c r="O423" s="46">
        <v>23259700</v>
      </c>
      <c r="P423" s="46">
        <v>97</v>
      </c>
      <c r="Q423" s="46">
        <v>0</v>
      </c>
      <c r="R423" s="46">
        <v>0</v>
      </c>
      <c r="S423" s="46">
        <v>0</v>
      </c>
      <c r="T423" s="46">
        <v>0</v>
      </c>
      <c r="U423" s="46">
        <v>986200</v>
      </c>
      <c r="V423" s="46">
        <v>6</v>
      </c>
      <c r="W423" s="46">
        <v>0</v>
      </c>
      <c r="X423" s="46">
        <v>0</v>
      </c>
      <c r="Y423" s="48">
        <v>0</v>
      </c>
      <c r="Z423" s="46">
        <v>0</v>
      </c>
      <c r="AA423" s="46">
        <v>0</v>
      </c>
      <c r="AB423" s="46">
        <v>0</v>
      </c>
      <c r="AC423" s="46">
        <v>24245900</v>
      </c>
      <c r="AD423" s="46">
        <v>103</v>
      </c>
      <c r="AF423" s="47">
        <f t="shared" si="6"/>
        <v>24245900</v>
      </c>
    </row>
    <row r="424" spans="1:32" hidden="1" x14ac:dyDescent="0.3">
      <c r="A424" s="46" t="s">
        <v>613</v>
      </c>
      <c r="B424" s="46" t="str">
        <f>IFERROR(VLOOKUP($H424,매장구분!$B:$Z,2,0),"")</f>
        <v>리테일채널팀</v>
      </c>
      <c r="C424" s="46" t="str">
        <f>IFERROR(VLOOKUP($H424,매장구분!$B:$Z,3,0),"")</f>
        <v>국내</v>
      </c>
      <c r="D424" s="46" t="str">
        <f>IFERROR(VLOOKUP($H424,매장구분!$B:$Z,5,0),"")</f>
        <v>대리점</v>
      </c>
      <c r="E424" s="46" t="str">
        <f>IFERROR(VLOOKUP($H424,매장구분!$B:$Z,9,0),"")</f>
        <v>아산(대-위)</v>
      </c>
      <c r="G424" s="46" t="s">
        <v>194</v>
      </c>
      <c r="H424" s="46" t="s">
        <v>195</v>
      </c>
      <c r="I424" s="46" t="s">
        <v>169</v>
      </c>
      <c r="J424" s="46" t="s">
        <v>79</v>
      </c>
      <c r="K424" s="46" t="s">
        <v>170</v>
      </c>
      <c r="L424" s="46" t="s">
        <v>171</v>
      </c>
      <c r="M424" s="46" t="s">
        <v>196</v>
      </c>
      <c r="N424" s="46" t="s">
        <v>197</v>
      </c>
      <c r="O424" s="46">
        <v>9780957</v>
      </c>
      <c r="P424" s="46">
        <v>99</v>
      </c>
      <c r="Q424" s="46">
        <v>0</v>
      </c>
      <c r="R424" s="46">
        <v>0</v>
      </c>
      <c r="S424" s="46">
        <v>0</v>
      </c>
      <c r="T424" s="46">
        <v>0</v>
      </c>
      <c r="U424" s="46">
        <v>3840411</v>
      </c>
      <c r="V424" s="46">
        <v>28</v>
      </c>
      <c r="W424" s="46">
        <v>0</v>
      </c>
      <c r="X424" s="46">
        <v>0</v>
      </c>
      <c r="Y424" s="48">
        <v>0</v>
      </c>
      <c r="Z424" s="46">
        <v>0</v>
      </c>
      <c r="AA424" s="46">
        <v>0</v>
      </c>
      <c r="AB424" s="46">
        <v>0</v>
      </c>
      <c r="AC424" s="46">
        <v>13621368</v>
      </c>
      <c r="AD424" s="46">
        <v>127</v>
      </c>
      <c r="AF424" s="47">
        <f t="shared" si="6"/>
        <v>13621368</v>
      </c>
    </row>
    <row r="425" spans="1:32" hidden="1" x14ac:dyDescent="0.3">
      <c r="A425" s="46" t="s">
        <v>613</v>
      </c>
      <c r="B425" s="46" t="str">
        <f>IFERROR(VLOOKUP($H425,매장구분!$B:$Z,2,0),"")</f>
        <v>리테일채널팀</v>
      </c>
      <c r="C425" s="46" t="str">
        <f>IFERROR(VLOOKUP($H425,매장구분!$B:$Z,3,0),"")</f>
        <v>국내</v>
      </c>
      <c r="D425" s="46" t="str">
        <f>IFERROR(VLOOKUP($H425,매장구분!$B:$Z,5,0),"")</f>
        <v>대리점</v>
      </c>
      <c r="E425" s="46" t="str">
        <f>IFERROR(VLOOKUP($H425,매장구분!$B:$Z,9,0),"")</f>
        <v>울산무거(대-위)</v>
      </c>
      <c r="G425" s="46" t="s">
        <v>241</v>
      </c>
      <c r="H425" s="46" t="s">
        <v>242</v>
      </c>
      <c r="I425" s="46" t="s">
        <v>169</v>
      </c>
      <c r="J425" s="46" t="s">
        <v>79</v>
      </c>
      <c r="K425" s="46" t="s">
        <v>170</v>
      </c>
      <c r="L425" s="46" t="s">
        <v>171</v>
      </c>
      <c r="M425" s="46" t="s">
        <v>196</v>
      </c>
      <c r="N425" s="46" t="s">
        <v>197</v>
      </c>
      <c r="O425" s="46">
        <v>3888161</v>
      </c>
      <c r="P425" s="46">
        <v>52</v>
      </c>
      <c r="Q425" s="46">
        <v>0</v>
      </c>
      <c r="R425" s="46">
        <v>0</v>
      </c>
      <c r="S425" s="46">
        <v>0</v>
      </c>
      <c r="T425" s="46">
        <v>0</v>
      </c>
      <c r="U425" s="46">
        <v>6124039</v>
      </c>
      <c r="V425" s="46">
        <v>40</v>
      </c>
      <c r="W425" s="46">
        <v>0</v>
      </c>
      <c r="X425" s="46">
        <v>0</v>
      </c>
      <c r="Y425" s="48">
        <v>0</v>
      </c>
      <c r="Z425" s="46">
        <v>0</v>
      </c>
      <c r="AA425" s="46">
        <v>0</v>
      </c>
      <c r="AB425" s="46">
        <v>0</v>
      </c>
      <c r="AC425" s="46">
        <v>10012200</v>
      </c>
      <c r="AD425" s="46">
        <v>92</v>
      </c>
      <c r="AF425" s="47">
        <f t="shared" si="6"/>
        <v>10012200</v>
      </c>
    </row>
    <row r="426" spans="1:32" hidden="1" x14ac:dyDescent="0.3">
      <c r="A426" s="46" t="s">
        <v>613</v>
      </c>
      <c r="B426" s="46" t="str">
        <f>IFERROR(VLOOKUP($H426,매장구분!$B:$Z,2,0),"")</f>
        <v>파트너채널팀</v>
      </c>
      <c r="C426" s="46" t="str">
        <f>IFERROR(VLOOKUP($H426,매장구분!$B:$Z,3,0),"")</f>
        <v>국내</v>
      </c>
      <c r="D426" s="46" t="str">
        <f>IFERROR(VLOOKUP($H426,매장구분!$B:$Z,5,0),"")</f>
        <v>백화점</v>
      </c>
      <c r="E426" s="46" t="str">
        <f>IFERROR(VLOOKUP($H426,매장구분!$B:$Z,9,0),"")</f>
        <v>현대울산동구</v>
      </c>
      <c r="G426" s="46" t="s">
        <v>480</v>
      </c>
      <c r="H426" s="46" t="s">
        <v>481</v>
      </c>
      <c r="I426" s="46" t="s">
        <v>169</v>
      </c>
      <c r="J426" s="46" t="s">
        <v>175</v>
      </c>
      <c r="K426" s="46" t="s">
        <v>170</v>
      </c>
      <c r="L426" s="46" t="s">
        <v>171</v>
      </c>
      <c r="M426" s="46" t="s">
        <v>77</v>
      </c>
      <c r="N426" s="46" t="s">
        <v>172</v>
      </c>
      <c r="O426" s="46">
        <v>7658900</v>
      </c>
      <c r="P426" s="46">
        <v>76</v>
      </c>
      <c r="Q426" s="46">
        <v>0</v>
      </c>
      <c r="R426" s="46">
        <v>0</v>
      </c>
      <c r="S426" s="46">
        <v>0</v>
      </c>
      <c r="T426" s="46">
        <v>0</v>
      </c>
      <c r="U426" s="46">
        <v>295200</v>
      </c>
      <c r="V426" s="46">
        <v>2</v>
      </c>
      <c r="W426" s="46">
        <v>0</v>
      </c>
      <c r="X426" s="46">
        <v>0</v>
      </c>
      <c r="Y426" s="48">
        <v>0</v>
      </c>
      <c r="Z426" s="46">
        <v>0</v>
      </c>
      <c r="AA426" s="46">
        <v>0</v>
      </c>
      <c r="AB426" s="46">
        <v>0</v>
      </c>
      <c r="AC426" s="46">
        <v>7954100</v>
      </c>
      <c r="AD426" s="46">
        <v>78</v>
      </c>
      <c r="AF426" s="47">
        <f t="shared" si="6"/>
        <v>7954100</v>
      </c>
    </row>
    <row r="427" spans="1:32" hidden="1" x14ac:dyDescent="0.3">
      <c r="A427" s="46" t="s">
        <v>613</v>
      </c>
      <c r="B427" s="46" t="str">
        <f>IFERROR(VLOOKUP($H427,매장구분!$B:$Z,2,0),"")</f>
        <v>파트너채널팀</v>
      </c>
      <c r="C427" s="46" t="str">
        <f>IFERROR(VLOOKUP($H427,매장구분!$B:$Z,3,0),"")</f>
        <v>RF</v>
      </c>
      <c r="D427" s="46" t="str">
        <f>IFERROR(VLOOKUP($H427,매장구분!$B:$Z,5,0),"")</f>
        <v>백화점</v>
      </c>
      <c r="E427" s="46" t="str">
        <f>IFERROR(VLOOKUP($H427,매장구분!$B:$Z,9,0),"")</f>
        <v>롯데본점</v>
      </c>
      <c r="G427" s="46" t="s">
        <v>269</v>
      </c>
      <c r="H427" s="46" t="s">
        <v>270</v>
      </c>
      <c r="I427" s="46" t="s">
        <v>169</v>
      </c>
      <c r="J427" s="46" t="s">
        <v>175</v>
      </c>
      <c r="K427" s="46" t="s">
        <v>170</v>
      </c>
      <c r="L427" s="46" t="s">
        <v>171</v>
      </c>
      <c r="M427" s="46" t="s">
        <v>77</v>
      </c>
      <c r="N427" s="46" t="s">
        <v>172</v>
      </c>
      <c r="O427" s="46">
        <v>12194300</v>
      </c>
      <c r="P427" s="46">
        <v>167</v>
      </c>
      <c r="Q427" s="46">
        <v>1101000</v>
      </c>
      <c r="R427" s="46">
        <v>15</v>
      </c>
      <c r="S427" s="46">
        <v>0</v>
      </c>
      <c r="T427" s="46">
        <v>0</v>
      </c>
      <c r="U427" s="46">
        <v>0</v>
      </c>
      <c r="V427" s="46">
        <v>0</v>
      </c>
      <c r="W427" s="46">
        <v>0</v>
      </c>
      <c r="X427" s="46">
        <v>0</v>
      </c>
      <c r="Y427" s="48">
        <v>122483800</v>
      </c>
      <c r="Z427" s="46">
        <v>523</v>
      </c>
      <c r="AA427" s="46">
        <v>0</v>
      </c>
      <c r="AB427" s="46">
        <v>0</v>
      </c>
      <c r="AC427" s="46">
        <v>135779100</v>
      </c>
      <c r="AD427" s="46">
        <v>705</v>
      </c>
      <c r="AF427" s="47">
        <f t="shared" si="6"/>
        <v>13295300</v>
      </c>
    </row>
    <row r="428" spans="1:32" hidden="1" x14ac:dyDescent="0.3">
      <c r="A428" s="46" t="s">
        <v>613</v>
      </c>
      <c r="B428" s="46" t="str">
        <f>IFERROR(VLOOKUP($H428,매장구분!$B:$Z,2,0),"")</f>
        <v>리테일채널팀</v>
      </c>
      <c r="C428" s="46" t="str">
        <f>IFERROR(VLOOKUP($H428,매장구분!$B:$Z,3,0),"")</f>
        <v>국내</v>
      </c>
      <c r="D428" s="46" t="str">
        <f>IFERROR(VLOOKUP($H428,매장구분!$B:$Z,5,0),"")</f>
        <v>대리점</v>
      </c>
      <c r="E428" s="46" t="str">
        <f>IFERROR(VLOOKUP($H428,매장구분!$B:$Z,9,0),"")</f>
        <v>세정광주(대-위)</v>
      </c>
      <c r="G428" s="46" t="s">
        <v>346</v>
      </c>
      <c r="H428" s="46" t="s">
        <v>347</v>
      </c>
      <c r="I428" s="46" t="s">
        <v>169</v>
      </c>
      <c r="J428" s="46" t="s">
        <v>79</v>
      </c>
      <c r="K428" s="46" t="s">
        <v>170</v>
      </c>
      <c r="L428" s="46" t="s">
        <v>171</v>
      </c>
      <c r="M428" s="46" t="s">
        <v>196</v>
      </c>
      <c r="N428" s="46" t="s">
        <v>197</v>
      </c>
      <c r="O428" s="46">
        <v>21922300</v>
      </c>
      <c r="P428" s="46">
        <v>217</v>
      </c>
      <c r="Q428" s="46">
        <v>0</v>
      </c>
      <c r="R428" s="46">
        <v>0</v>
      </c>
      <c r="S428" s="46">
        <v>0</v>
      </c>
      <c r="T428" s="46">
        <v>0</v>
      </c>
      <c r="U428" s="46">
        <v>400000</v>
      </c>
      <c r="V428" s="46">
        <v>4</v>
      </c>
      <c r="W428" s="46">
        <v>0</v>
      </c>
      <c r="X428" s="46">
        <v>0</v>
      </c>
      <c r="Y428" s="48">
        <v>1668000</v>
      </c>
      <c r="Z428" s="46">
        <v>12</v>
      </c>
      <c r="AA428" s="46">
        <v>0</v>
      </c>
      <c r="AB428" s="46">
        <v>0</v>
      </c>
      <c r="AC428" s="46">
        <v>23990300</v>
      </c>
      <c r="AD428" s="46">
        <v>233</v>
      </c>
      <c r="AF428" s="47">
        <f t="shared" si="6"/>
        <v>22322300</v>
      </c>
    </row>
    <row r="429" spans="1:32" hidden="1" x14ac:dyDescent="0.3">
      <c r="A429" s="46" t="s">
        <v>613</v>
      </c>
      <c r="B429" s="46" t="str">
        <f>IFERROR(VLOOKUP($H429,매장구분!$B:$Z,2,0),"")</f>
        <v>E-biz</v>
      </c>
      <c r="C429" s="46" t="str">
        <f>IFERROR(VLOOKUP($H429,매장구분!$B:$Z,3,0),"")</f>
        <v>국내</v>
      </c>
      <c r="D429" s="46" t="str">
        <f>IFERROR(VLOOKUP($H429,매장구분!$B:$Z,5,0),"")</f>
        <v>온(제휴몰)</v>
      </c>
      <c r="E429" s="46" t="str">
        <f>IFERROR(VLOOKUP($H429,매장구분!$B:$Z,9,0),"")</f>
        <v>네이버스토어(제휴몰)</v>
      </c>
      <c r="G429" s="46" t="s">
        <v>207</v>
      </c>
      <c r="H429" s="46" t="s">
        <v>208</v>
      </c>
      <c r="I429" s="46" t="s">
        <v>169</v>
      </c>
      <c r="J429" s="46" t="s">
        <v>180</v>
      </c>
      <c r="K429" s="46" t="s">
        <v>170</v>
      </c>
      <c r="L429" s="46" t="s">
        <v>181</v>
      </c>
      <c r="M429" s="46" t="s">
        <v>181</v>
      </c>
      <c r="N429" s="46" t="s">
        <v>185</v>
      </c>
      <c r="O429" s="46">
        <v>67640800</v>
      </c>
      <c r="P429" s="46">
        <v>851</v>
      </c>
      <c r="Q429" s="46">
        <v>0</v>
      </c>
      <c r="R429" s="46">
        <v>0</v>
      </c>
      <c r="S429" s="46">
        <v>0</v>
      </c>
      <c r="T429" s="46">
        <v>0</v>
      </c>
      <c r="U429" s="46">
        <v>0</v>
      </c>
      <c r="V429" s="46">
        <v>0</v>
      </c>
      <c r="W429" s="46">
        <v>0</v>
      </c>
      <c r="X429" s="46">
        <v>0</v>
      </c>
      <c r="Y429" s="48">
        <v>0</v>
      </c>
      <c r="Z429" s="46">
        <v>0</v>
      </c>
      <c r="AA429" s="46">
        <v>0</v>
      </c>
      <c r="AB429" s="46">
        <v>0</v>
      </c>
      <c r="AC429" s="46">
        <v>67640800</v>
      </c>
      <c r="AD429" s="46">
        <v>851</v>
      </c>
      <c r="AF429" s="47">
        <f t="shared" si="6"/>
        <v>67640800</v>
      </c>
    </row>
    <row r="430" spans="1:32" hidden="1" x14ac:dyDescent="0.3">
      <c r="A430" s="46" t="s">
        <v>613</v>
      </c>
      <c r="B430" s="46" t="str">
        <f>IFERROR(VLOOKUP($H430,매장구분!$B:$Z,2,0),"")</f>
        <v>리테일채널팀</v>
      </c>
      <c r="C430" s="46" t="str">
        <f>IFERROR(VLOOKUP($H430,매장구분!$B:$Z,3,0),"")</f>
        <v>국내</v>
      </c>
      <c r="D430" s="46" t="str">
        <f>IFERROR(VLOOKUP($H430,매장구분!$B:$Z,5,0),"")</f>
        <v>대리점</v>
      </c>
      <c r="E430" s="46" t="str">
        <f>IFERROR(VLOOKUP($H430,매장구분!$B:$Z,9,0),"")</f>
        <v>순천연향(대-위)</v>
      </c>
      <c r="G430" s="46" t="s">
        <v>390</v>
      </c>
      <c r="H430" s="46" t="s">
        <v>391</v>
      </c>
      <c r="I430" s="46" t="s">
        <v>169</v>
      </c>
      <c r="J430" s="46" t="s">
        <v>79</v>
      </c>
      <c r="K430" s="46" t="s">
        <v>170</v>
      </c>
      <c r="L430" s="46" t="s">
        <v>171</v>
      </c>
      <c r="M430" s="46" t="s">
        <v>196</v>
      </c>
      <c r="N430" s="46" t="s">
        <v>197</v>
      </c>
      <c r="O430" s="46">
        <v>30288200</v>
      </c>
      <c r="P430" s="46">
        <v>243</v>
      </c>
      <c r="Q430" s="46">
        <v>0</v>
      </c>
      <c r="R430" s="46">
        <v>0</v>
      </c>
      <c r="S430" s="46">
        <v>0</v>
      </c>
      <c r="T430" s="46">
        <v>0</v>
      </c>
      <c r="U430" s="46">
        <v>-967000</v>
      </c>
      <c r="V430" s="46">
        <v>-3</v>
      </c>
      <c r="W430" s="46">
        <v>0</v>
      </c>
      <c r="X430" s="46">
        <v>0</v>
      </c>
      <c r="Y430" s="48">
        <v>0</v>
      </c>
      <c r="Z430" s="46">
        <v>0</v>
      </c>
      <c r="AA430" s="46">
        <v>0</v>
      </c>
      <c r="AB430" s="46">
        <v>0</v>
      </c>
      <c r="AC430" s="46">
        <v>29321200</v>
      </c>
      <c r="AD430" s="46">
        <v>240</v>
      </c>
      <c r="AF430" s="47">
        <f t="shared" si="6"/>
        <v>29321200</v>
      </c>
    </row>
    <row r="431" spans="1:32" hidden="1" x14ac:dyDescent="0.3">
      <c r="A431" s="46" t="s">
        <v>613</v>
      </c>
      <c r="B431" s="46" t="str">
        <f>IFERROR(VLOOKUP($H431,매장구분!$B:$Z,2,0),"")</f>
        <v>E-biz</v>
      </c>
      <c r="C431" s="46" t="str">
        <f>IFERROR(VLOOKUP($H431,매장구분!$B:$Z,3,0),"")</f>
        <v>국내</v>
      </c>
      <c r="D431" s="46" t="str">
        <f>IFERROR(VLOOKUP($H431,매장구분!$B:$Z,5,0),"")</f>
        <v>온(제휴몰)</v>
      </c>
      <c r="E431" s="46" t="str">
        <f>IFERROR(VLOOKUP($H431,매장구분!$B:$Z,9,0),"")</f>
        <v>SSG닷컴(제휴몰)</v>
      </c>
      <c r="G431" s="46" t="s">
        <v>498</v>
      </c>
      <c r="H431" s="46" t="s">
        <v>499</v>
      </c>
      <c r="I431" s="46" t="s">
        <v>169</v>
      </c>
      <c r="J431" s="46" t="s">
        <v>180</v>
      </c>
      <c r="K431" s="46" t="s">
        <v>170</v>
      </c>
      <c r="L431" s="46" t="s">
        <v>181</v>
      </c>
      <c r="M431" s="46" t="s">
        <v>181</v>
      </c>
      <c r="N431" s="46" t="s">
        <v>185</v>
      </c>
      <c r="O431" s="46">
        <v>16750200</v>
      </c>
      <c r="P431" s="46">
        <v>197</v>
      </c>
      <c r="Q431" s="46">
        <v>0</v>
      </c>
      <c r="R431" s="46">
        <v>0</v>
      </c>
      <c r="S431" s="46">
        <v>0</v>
      </c>
      <c r="T431" s="46">
        <v>0</v>
      </c>
      <c r="U431" s="46">
        <v>0</v>
      </c>
      <c r="V431" s="46">
        <v>0</v>
      </c>
      <c r="W431" s="46">
        <v>0</v>
      </c>
      <c r="X431" s="46">
        <v>0</v>
      </c>
      <c r="Y431" s="48">
        <v>0</v>
      </c>
      <c r="Z431" s="46">
        <v>0</v>
      </c>
      <c r="AA431" s="46">
        <v>0</v>
      </c>
      <c r="AB431" s="46">
        <v>0</v>
      </c>
      <c r="AC431" s="46">
        <v>16750200</v>
      </c>
      <c r="AD431" s="46">
        <v>197</v>
      </c>
      <c r="AF431" s="47">
        <f t="shared" si="6"/>
        <v>16750200</v>
      </c>
    </row>
    <row r="432" spans="1:32" hidden="1" x14ac:dyDescent="0.3">
      <c r="A432" s="46" t="s">
        <v>613</v>
      </c>
      <c r="B432" s="46" t="str">
        <f>IFERROR(VLOOKUP($H432,매장구분!$B:$Z,2,0),"")</f>
        <v>리테일채널팀</v>
      </c>
      <c r="C432" s="46" t="str">
        <f>IFERROR(VLOOKUP($H432,매장구분!$B:$Z,3,0),"")</f>
        <v>국내</v>
      </c>
      <c r="D432" s="46" t="str">
        <f>IFERROR(VLOOKUP($H432,매장구분!$B:$Z,5,0),"")</f>
        <v>대리점</v>
      </c>
      <c r="E432" s="46" t="str">
        <f>IFERROR(VLOOKUP($H432,매장구분!$B:$Z,9,0),"")</f>
        <v>포항(대-위)</v>
      </c>
      <c r="G432" s="46" t="s">
        <v>338</v>
      </c>
      <c r="H432" s="46" t="s">
        <v>339</v>
      </c>
      <c r="I432" s="46" t="s">
        <v>169</v>
      </c>
      <c r="J432" s="46" t="s">
        <v>79</v>
      </c>
      <c r="K432" s="46" t="s">
        <v>170</v>
      </c>
      <c r="L432" s="46" t="s">
        <v>171</v>
      </c>
      <c r="M432" s="46" t="s">
        <v>196</v>
      </c>
      <c r="N432" s="46" t="s">
        <v>197</v>
      </c>
      <c r="O432" s="46">
        <v>18557500</v>
      </c>
      <c r="P432" s="46">
        <v>144</v>
      </c>
      <c r="Q432" s="46">
        <v>0</v>
      </c>
      <c r="R432" s="46">
        <v>0</v>
      </c>
      <c r="S432" s="46">
        <v>0</v>
      </c>
      <c r="T432" s="46">
        <v>0</v>
      </c>
      <c r="U432" s="46">
        <v>830200</v>
      </c>
      <c r="V432" s="46">
        <v>5</v>
      </c>
      <c r="W432" s="46">
        <v>0</v>
      </c>
      <c r="X432" s="46">
        <v>0</v>
      </c>
      <c r="Y432" s="48">
        <v>0</v>
      </c>
      <c r="Z432" s="46">
        <v>0</v>
      </c>
      <c r="AA432" s="46">
        <v>0</v>
      </c>
      <c r="AB432" s="46">
        <v>0</v>
      </c>
      <c r="AC432" s="46">
        <v>19387700</v>
      </c>
      <c r="AD432" s="46">
        <v>149</v>
      </c>
      <c r="AF432" s="47">
        <f t="shared" si="6"/>
        <v>19387700</v>
      </c>
    </row>
    <row r="433" spans="1:32" hidden="1" x14ac:dyDescent="0.3">
      <c r="A433" s="46" t="s">
        <v>613</v>
      </c>
      <c r="B433" s="46" t="str">
        <f>IFERROR(VLOOKUP($H433,매장구분!$B:$Z,2,0),"")</f>
        <v>리테일채널팀</v>
      </c>
      <c r="C433" s="46" t="str">
        <f>IFERROR(VLOOKUP($H433,매장구분!$B:$Z,3,0),"")</f>
        <v>국내</v>
      </c>
      <c r="D433" s="46" t="str">
        <f>IFERROR(VLOOKUP($H433,매장구분!$B:$Z,5,0),"")</f>
        <v>대리점</v>
      </c>
      <c r="E433" s="46" t="str">
        <f>IFERROR(VLOOKUP($H433,매장구분!$B:$Z,9,0),"")</f>
        <v>동해(대-위)</v>
      </c>
      <c r="G433" s="46" t="s">
        <v>534</v>
      </c>
      <c r="H433" s="46" t="s">
        <v>535</v>
      </c>
      <c r="I433" s="46" t="s">
        <v>169</v>
      </c>
      <c r="J433" s="46" t="s">
        <v>79</v>
      </c>
      <c r="K433" s="46" t="s">
        <v>170</v>
      </c>
      <c r="L433" s="46" t="s">
        <v>171</v>
      </c>
      <c r="M433" s="46" t="s">
        <v>196</v>
      </c>
      <c r="N433" s="46" t="s">
        <v>197</v>
      </c>
      <c r="O433" s="46">
        <v>13843087</v>
      </c>
      <c r="P433" s="46">
        <v>138</v>
      </c>
      <c r="Q433" s="46">
        <v>0</v>
      </c>
      <c r="R433" s="46">
        <v>0</v>
      </c>
      <c r="S433" s="46">
        <v>0</v>
      </c>
      <c r="T433" s="46">
        <v>0</v>
      </c>
      <c r="U433" s="46">
        <v>2663213</v>
      </c>
      <c r="V433" s="46">
        <v>17</v>
      </c>
      <c r="W433" s="46">
        <v>0</v>
      </c>
      <c r="X433" s="46">
        <v>0</v>
      </c>
      <c r="Y433" s="48">
        <v>0</v>
      </c>
      <c r="Z433" s="46">
        <v>0</v>
      </c>
      <c r="AA433" s="46">
        <v>0</v>
      </c>
      <c r="AB433" s="46">
        <v>0</v>
      </c>
      <c r="AC433" s="46">
        <v>16506300</v>
      </c>
      <c r="AD433" s="46">
        <v>155</v>
      </c>
      <c r="AF433" s="47">
        <f t="shared" si="6"/>
        <v>16506300</v>
      </c>
    </row>
    <row r="434" spans="1:32" hidden="1" x14ac:dyDescent="0.3">
      <c r="A434" s="46" t="s">
        <v>613</v>
      </c>
      <c r="B434" s="46" t="str">
        <f>IFERROR(VLOOKUP($H434,매장구분!$B:$Z,2,0),"")</f>
        <v>리테일채널팀</v>
      </c>
      <c r="C434" s="46" t="str">
        <f>IFERROR(VLOOKUP($H434,매장구분!$B:$Z,3,0),"")</f>
        <v>국내</v>
      </c>
      <c r="D434" s="46" t="str">
        <f>IFERROR(VLOOKUP($H434,매장구분!$B:$Z,5,0),"")</f>
        <v>대리점</v>
      </c>
      <c r="E434" s="46" t="str">
        <f>IFERROR(VLOOKUP($H434,매장구분!$B:$Z,9,0),"")</f>
        <v>구미인동(대-위)</v>
      </c>
      <c r="G434" s="46" t="s">
        <v>558</v>
      </c>
      <c r="H434" s="46" t="s">
        <v>559</v>
      </c>
      <c r="I434" s="46" t="s">
        <v>169</v>
      </c>
      <c r="J434" s="46" t="s">
        <v>79</v>
      </c>
      <c r="K434" s="46" t="s">
        <v>170</v>
      </c>
      <c r="L434" s="46" t="s">
        <v>171</v>
      </c>
      <c r="M434" s="46" t="s">
        <v>196</v>
      </c>
      <c r="N434" s="46" t="s">
        <v>197</v>
      </c>
      <c r="O434" s="46">
        <v>6123434</v>
      </c>
      <c r="P434" s="46">
        <v>63</v>
      </c>
      <c r="Q434" s="46">
        <v>0</v>
      </c>
      <c r="R434" s="46">
        <v>0</v>
      </c>
      <c r="S434" s="46">
        <v>0</v>
      </c>
      <c r="T434" s="46">
        <v>0</v>
      </c>
      <c r="U434" s="46">
        <v>1082336</v>
      </c>
      <c r="V434" s="46">
        <v>6</v>
      </c>
      <c r="W434" s="46">
        <v>0</v>
      </c>
      <c r="X434" s="46">
        <v>0</v>
      </c>
      <c r="Y434" s="48">
        <v>0</v>
      </c>
      <c r="Z434" s="46">
        <v>0</v>
      </c>
      <c r="AA434" s="46">
        <v>0</v>
      </c>
      <c r="AB434" s="46">
        <v>0</v>
      </c>
      <c r="AC434" s="46">
        <v>7205770</v>
      </c>
      <c r="AD434" s="46">
        <v>69</v>
      </c>
      <c r="AF434" s="47">
        <f t="shared" si="6"/>
        <v>7205770</v>
      </c>
    </row>
    <row r="435" spans="1:32" hidden="1" x14ac:dyDescent="0.3">
      <c r="A435" s="46" t="s">
        <v>613</v>
      </c>
      <c r="B435" s="46" t="str">
        <f>IFERROR(VLOOKUP($H435,매장구분!$B:$Z,2,0),"")</f>
        <v>파트너채널팀</v>
      </c>
      <c r="C435" s="46" t="str">
        <f>IFERROR(VLOOKUP($H435,매장구분!$B:$Z,3,0),"")</f>
        <v>국내</v>
      </c>
      <c r="D435" s="46" t="str">
        <f>IFERROR(VLOOKUP($H435,매장구분!$B:$Z,5,0),"")</f>
        <v>백화점</v>
      </c>
      <c r="E435" s="46" t="str">
        <f>IFERROR(VLOOKUP($H435,매장구분!$B:$Z,9,0),"")</f>
        <v>모다아울렛천안</v>
      </c>
      <c r="G435" s="46" t="s">
        <v>267</v>
      </c>
      <c r="H435" s="46" t="s">
        <v>268</v>
      </c>
      <c r="I435" s="46" t="s">
        <v>169</v>
      </c>
      <c r="J435" s="46" t="s">
        <v>175</v>
      </c>
      <c r="K435" s="46" t="s">
        <v>170</v>
      </c>
      <c r="L435" s="46" t="s">
        <v>171</v>
      </c>
      <c r="M435" s="46" t="s">
        <v>77</v>
      </c>
      <c r="N435" s="46" t="s">
        <v>238</v>
      </c>
      <c r="O435" s="46">
        <v>5909200</v>
      </c>
      <c r="P435" s="46">
        <v>75</v>
      </c>
      <c r="Q435" s="46">
        <v>0</v>
      </c>
      <c r="R435" s="46">
        <v>0</v>
      </c>
      <c r="S435" s="46">
        <v>0</v>
      </c>
      <c r="T435" s="46">
        <v>0</v>
      </c>
      <c r="U435" s="46">
        <v>558000</v>
      </c>
      <c r="V435" s="46">
        <v>2</v>
      </c>
      <c r="W435" s="46">
        <v>0</v>
      </c>
      <c r="X435" s="46">
        <v>0</v>
      </c>
      <c r="Y435" s="48">
        <v>0</v>
      </c>
      <c r="Z435" s="46">
        <v>0</v>
      </c>
      <c r="AA435" s="46">
        <v>0</v>
      </c>
      <c r="AB435" s="46">
        <v>0</v>
      </c>
      <c r="AC435" s="46">
        <v>6467200</v>
      </c>
      <c r="AD435" s="46">
        <v>77</v>
      </c>
      <c r="AF435" s="47">
        <f t="shared" si="6"/>
        <v>6467200</v>
      </c>
    </row>
    <row r="436" spans="1:32" hidden="1" x14ac:dyDescent="0.3">
      <c r="A436" s="46" t="s">
        <v>613</v>
      </c>
      <c r="B436" s="46" t="str">
        <f>IFERROR(VLOOKUP($H436,매장구분!$B:$Z,2,0),"")</f>
        <v>리테일채널팀</v>
      </c>
      <c r="C436" s="46" t="str">
        <f>IFERROR(VLOOKUP($H436,매장구분!$B:$Z,3,0),"")</f>
        <v>RF</v>
      </c>
      <c r="D436" s="46" t="str">
        <f>IFERROR(VLOOKUP($H436,매장구분!$B:$Z,5,0),"")</f>
        <v>직영점</v>
      </c>
      <c r="E436" s="46" t="str">
        <f>IFERROR(VLOOKUP($H436,매장구분!$B:$Z,9,0),"")</f>
        <v>한남(직)</v>
      </c>
      <c r="G436" s="46" t="s">
        <v>436</v>
      </c>
      <c r="H436" s="46" t="s">
        <v>437</v>
      </c>
      <c r="I436" s="46" t="s">
        <v>169</v>
      </c>
      <c r="J436" s="46" t="s">
        <v>180</v>
      </c>
      <c r="K436" s="46" t="s">
        <v>170</v>
      </c>
      <c r="L436" s="46" t="s">
        <v>171</v>
      </c>
      <c r="M436" s="46" t="s">
        <v>196</v>
      </c>
      <c r="N436" s="46" t="s">
        <v>206</v>
      </c>
      <c r="O436" s="46">
        <v>22902900</v>
      </c>
      <c r="P436" s="46">
        <v>288</v>
      </c>
      <c r="Q436" s="46">
        <v>0</v>
      </c>
      <c r="R436" s="46">
        <v>0</v>
      </c>
      <c r="S436" s="46">
        <v>0</v>
      </c>
      <c r="T436" s="46">
        <v>0</v>
      </c>
      <c r="U436" s="46">
        <v>0</v>
      </c>
      <c r="V436" s="46">
        <v>0</v>
      </c>
      <c r="W436" s="46">
        <v>0</v>
      </c>
      <c r="X436" s="46">
        <v>0</v>
      </c>
      <c r="Y436" s="48">
        <v>0</v>
      </c>
      <c r="Z436" s="46">
        <v>0</v>
      </c>
      <c r="AA436" s="46">
        <v>0</v>
      </c>
      <c r="AB436" s="46">
        <v>0</v>
      </c>
      <c r="AC436" s="46">
        <v>22902900</v>
      </c>
      <c r="AD436" s="46">
        <v>288</v>
      </c>
      <c r="AF436" s="47">
        <f t="shared" si="6"/>
        <v>22902900</v>
      </c>
    </row>
    <row r="437" spans="1:32" hidden="1" x14ac:dyDescent="0.3">
      <c r="A437" s="46" t="s">
        <v>613</v>
      </c>
      <c r="B437" s="46" t="str">
        <f>IFERROR(VLOOKUP($H437,매장구분!$B:$Z,2,0),"")</f>
        <v>E-biz</v>
      </c>
      <c r="C437" s="46" t="str">
        <f>IFERROR(VLOOKUP($H437,매장구분!$B:$Z,3,0),"")</f>
        <v>국내</v>
      </c>
      <c r="D437" s="46" t="str">
        <f>IFERROR(VLOOKUP($H437,매장구분!$B:$Z,5,0),"")</f>
        <v>온(제휴몰)</v>
      </c>
      <c r="E437" s="46" t="str">
        <f>IFERROR(VLOOKUP($H437,매장구분!$B:$Z,9,0),"")</f>
        <v>GS SHOP(제휴몰)</v>
      </c>
      <c r="G437" s="46" t="s">
        <v>550</v>
      </c>
      <c r="H437" s="46" t="s">
        <v>551</v>
      </c>
      <c r="I437" s="46" t="s">
        <v>169</v>
      </c>
      <c r="J437" s="46" t="s">
        <v>180</v>
      </c>
      <c r="K437" s="46" t="s">
        <v>170</v>
      </c>
      <c r="L437" s="46" t="s">
        <v>181</v>
      </c>
      <c r="M437" s="46" t="s">
        <v>181</v>
      </c>
      <c r="N437" s="46" t="s">
        <v>185</v>
      </c>
      <c r="O437" s="46">
        <v>23329400</v>
      </c>
      <c r="P437" s="46">
        <v>213</v>
      </c>
      <c r="Q437" s="46">
        <v>0</v>
      </c>
      <c r="R437" s="46">
        <v>0</v>
      </c>
      <c r="S437" s="46">
        <v>0</v>
      </c>
      <c r="T437" s="46">
        <v>0</v>
      </c>
      <c r="U437" s="46">
        <v>0</v>
      </c>
      <c r="V437" s="46">
        <v>0</v>
      </c>
      <c r="W437" s="46">
        <v>0</v>
      </c>
      <c r="X437" s="46">
        <v>0</v>
      </c>
      <c r="Y437" s="48">
        <v>0</v>
      </c>
      <c r="Z437" s="46">
        <v>0</v>
      </c>
      <c r="AA437" s="46">
        <v>0</v>
      </c>
      <c r="AB437" s="46">
        <v>0</v>
      </c>
      <c r="AC437" s="46">
        <v>23329400</v>
      </c>
      <c r="AD437" s="46">
        <v>213</v>
      </c>
      <c r="AF437" s="47">
        <f t="shared" si="6"/>
        <v>23329400</v>
      </c>
    </row>
    <row r="438" spans="1:32" hidden="1" x14ac:dyDescent="0.3">
      <c r="A438" s="46" t="s">
        <v>613</v>
      </c>
      <c r="B438" s="46" t="str">
        <f>IFERROR(VLOOKUP($H438,매장구분!$B:$Z,2,0),"")</f>
        <v>리테일채널팀</v>
      </c>
      <c r="C438" s="46" t="str">
        <f>IFERROR(VLOOKUP($H438,매장구분!$B:$Z,3,0),"")</f>
        <v>국내</v>
      </c>
      <c r="D438" s="46" t="str">
        <f>IFERROR(VLOOKUP($H438,매장구분!$B:$Z,5,0),"")</f>
        <v>직영점</v>
      </c>
      <c r="E438" s="46" t="str">
        <f>IFERROR(VLOOKUP($H438,매장구분!$B:$Z,9,0),"")</f>
        <v>타임스트림신림(직)</v>
      </c>
      <c r="G438" s="46" t="s">
        <v>360</v>
      </c>
      <c r="H438" s="46" t="s">
        <v>361</v>
      </c>
      <c r="I438" s="46" t="s">
        <v>169</v>
      </c>
      <c r="J438" s="46" t="s">
        <v>180</v>
      </c>
      <c r="K438" s="46" t="s">
        <v>170</v>
      </c>
      <c r="L438" s="46" t="s">
        <v>171</v>
      </c>
      <c r="M438" s="46" t="s">
        <v>188</v>
      </c>
      <c r="N438" s="46" t="s">
        <v>317</v>
      </c>
      <c r="O438" s="46">
        <v>7268000</v>
      </c>
      <c r="P438" s="46">
        <v>89</v>
      </c>
      <c r="Q438" s="46">
        <v>0</v>
      </c>
      <c r="R438" s="46">
        <v>0</v>
      </c>
      <c r="S438" s="46">
        <v>0</v>
      </c>
      <c r="T438" s="46">
        <v>0</v>
      </c>
      <c r="U438" s="46">
        <v>1074000</v>
      </c>
      <c r="V438" s="46">
        <v>6</v>
      </c>
      <c r="W438" s="46">
        <v>0</v>
      </c>
      <c r="X438" s="46">
        <v>0</v>
      </c>
      <c r="Y438" s="48">
        <v>0</v>
      </c>
      <c r="Z438" s="46">
        <v>0</v>
      </c>
      <c r="AA438" s="46">
        <v>0</v>
      </c>
      <c r="AB438" s="46">
        <v>0</v>
      </c>
      <c r="AC438" s="46">
        <v>8342000</v>
      </c>
      <c r="AD438" s="46">
        <v>95</v>
      </c>
      <c r="AF438" s="47">
        <f t="shared" si="6"/>
        <v>8342000</v>
      </c>
    </row>
    <row r="439" spans="1:32" hidden="1" x14ac:dyDescent="0.3">
      <c r="A439" s="46" t="s">
        <v>613</v>
      </c>
      <c r="B439" s="46" t="str">
        <f>IFERROR(VLOOKUP($H439,매장구분!$B:$Z,2,0),"")</f>
        <v>리테일채널팀</v>
      </c>
      <c r="C439" s="46" t="str">
        <f>IFERROR(VLOOKUP($H439,매장구분!$B:$Z,3,0),"")</f>
        <v>국내</v>
      </c>
      <c r="D439" s="46" t="str">
        <f>IFERROR(VLOOKUP($H439,매장구분!$B:$Z,5,0),"")</f>
        <v>대리점</v>
      </c>
      <c r="E439" s="46" t="str">
        <f>IFERROR(VLOOKUP($H439,매장구분!$B:$Z,9,0),"")</f>
        <v>대구성서(대-위)</v>
      </c>
      <c r="G439" s="46" t="s">
        <v>492</v>
      </c>
      <c r="H439" s="46" t="s">
        <v>493</v>
      </c>
      <c r="I439" s="46" t="s">
        <v>169</v>
      </c>
      <c r="J439" s="46" t="s">
        <v>79</v>
      </c>
      <c r="K439" s="46" t="s">
        <v>170</v>
      </c>
      <c r="L439" s="46" t="s">
        <v>171</v>
      </c>
      <c r="M439" s="46" t="s">
        <v>196</v>
      </c>
      <c r="N439" s="46" t="s">
        <v>197</v>
      </c>
      <c r="O439" s="46">
        <v>15171483</v>
      </c>
      <c r="P439" s="46">
        <v>124</v>
      </c>
      <c r="Q439" s="46">
        <v>0</v>
      </c>
      <c r="R439" s="46">
        <v>0</v>
      </c>
      <c r="S439" s="46">
        <v>0</v>
      </c>
      <c r="T439" s="46">
        <v>0</v>
      </c>
      <c r="U439" s="46">
        <v>562644</v>
      </c>
      <c r="V439" s="46">
        <v>5</v>
      </c>
      <c r="W439" s="46">
        <v>0</v>
      </c>
      <c r="X439" s="46">
        <v>0</v>
      </c>
      <c r="Y439" s="48">
        <v>0</v>
      </c>
      <c r="Z439" s="46">
        <v>0</v>
      </c>
      <c r="AA439" s="46">
        <v>0</v>
      </c>
      <c r="AB439" s="46">
        <v>0</v>
      </c>
      <c r="AC439" s="46">
        <v>15734127</v>
      </c>
      <c r="AD439" s="46">
        <v>129</v>
      </c>
      <c r="AF439" s="47">
        <f t="shared" si="6"/>
        <v>15734127</v>
      </c>
    </row>
    <row r="440" spans="1:32" hidden="1" x14ac:dyDescent="0.3">
      <c r="A440" s="46" t="s">
        <v>613</v>
      </c>
      <c r="B440" s="46" t="str">
        <f>IFERROR(VLOOKUP($H440,매장구분!$B:$Z,2,0),"")</f>
        <v>파트너채널팀</v>
      </c>
      <c r="C440" s="46" t="str">
        <f>IFERROR(VLOOKUP($H440,매장구분!$B:$Z,3,0),"")</f>
        <v>국내</v>
      </c>
      <c r="D440" s="46" t="str">
        <f>IFERROR(VLOOKUP($H440,매장구분!$B:$Z,5,0),"")</f>
        <v>백화점</v>
      </c>
      <c r="E440" s="46" t="str">
        <f>IFERROR(VLOOKUP($H440,매장구분!$B:$Z,9,0),"")</f>
        <v>롯데잠실</v>
      </c>
      <c r="G440" s="46" t="s">
        <v>247</v>
      </c>
      <c r="H440" s="46" t="s">
        <v>248</v>
      </c>
      <c r="I440" s="46" t="s">
        <v>169</v>
      </c>
      <c r="J440" s="46" t="s">
        <v>175</v>
      </c>
      <c r="K440" s="46" t="s">
        <v>170</v>
      </c>
      <c r="L440" s="46" t="s">
        <v>171</v>
      </c>
      <c r="M440" s="46" t="s">
        <v>77</v>
      </c>
      <c r="N440" s="46" t="s">
        <v>172</v>
      </c>
      <c r="O440" s="46">
        <v>34124000</v>
      </c>
      <c r="P440" s="46">
        <v>257</v>
      </c>
      <c r="Q440" s="46">
        <v>10655800</v>
      </c>
      <c r="R440" s="46">
        <v>112</v>
      </c>
      <c r="S440" s="46">
        <v>0</v>
      </c>
      <c r="T440" s="46">
        <v>0</v>
      </c>
      <c r="U440" s="46">
        <v>9725600</v>
      </c>
      <c r="V440" s="46">
        <v>55</v>
      </c>
      <c r="W440" s="46">
        <v>0</v>
      </c>
      <c r="X440" s="46">
        <v>0</v>
      </c>
      <c r="Y440" s="48">
        <v>19420000</v>
      </c>
      <c r="Z440" s="46">
        <v>180</v>
      </c>
      <c r="AA440" s="46">
        <v>0</v>
      </c>
      <c r="AB440" s="46">
        <v>0</v>
      </c>
      <c r="AC440" s="46">
        <v>73925400</v>
      </c>
      <c r="AD440" s="46">
        <v>604</v>
      </c>
      <c r="AF440" s="47">
        <f t="shared" si="6"/>
        <v>54505400</v>
      </c>
    </row>
    <row r="441" spans="1:32" hidden="1" x14ac:dyDescent="0.3">
      <c r="A441" s="46" t="s">
        <v>613</v>
      </c>
      <c r="B441" s="46" t="str">
        <f>IFERROR(VLOOKUP($H441,매장구분!$B:$Z,2,0),"")</f>
        <v>파트너채널팀</v>
      </c>
      <c r="C441" s="46" t="str">
        <f>IFERROR(VLOOKUP($H441,매장구분!$B:$Z,3,0),"")</f>
        <v>RF</v>
      </c>
      <c r="D441" s="46" t="str">
        <f>IFERROR(VLOOKUP($H441,매장구분!$B:$Z,5,0),"")</f>
        <v>백화점</v>
      </c>
      <c r="E441" s="46" t="str">
        <f>IFERROR(VLOOKUP($H441,매장구분!$B:$Z,9,0),"")</f>
        <v>신세계본점</v>
      </c>
      <c r="G441" s="46" t="s">
        <v>450</v>
      </c>
      <c r="H441" s="46" t="s">
        <v>451</v>
      </c>
      <c r="I441" s="46" t="s">
        <v>169</v>
      </c>
      <c r="J441" s="46" t="s">
        <v>175</v>
      </c>
      <c r="K441" s="46" t="s">
        <v>170</v>
      </c>
      <c r="L441" s="46" t="s">
        <v>171</v>
      </c>
      <c r="M441" s="46" t="s">
        <v>77</v>
      </c>
      <c r="N441" s="46" t="s">
        <v>172</v>
      </c>
      <c r="O441" s="46">
        <v>24355100</v>
      </c>
      <c r="P441" s="46">
        <v>236</v>
      </c>
      <c r="Q441" s="46">
        <v>471500</v>
      </c>
      <c r="R441" s="46">
        <v>7</v>
      </c>
      <c r="S441" s="46">
        <v>0</v>
      </c>
      <c r="T441" s="46">
        <v>0</v>
      </c>
      <c r="U441" s="46">
        <v>974000</v>
      </c>
      <c r="V441" s="46">
        <v>6</v>
      </c>
      <c r="W441" s="46">
        <v>0</v>
      </c>
      <c r="X441" s="46">
        <v>0</v>
      </c>
      <c r="Y441" s="48">
        <v>0</v>
      </c>
      <c r="Z441" s="46">
        <v>0</v>
      </c>
      <c r="AA441" s="46">
        <v>0</v>
      </c>
      <c r="AB441" s="46">
        <v>0</v>
      </c>
      <c r="AC441" s="46">
        <v>25800600</v>
      </c>
      <c r="AD441" s="46">
        <v>249</v>
      </c>
      <c r="AF441" s="47">
        <f t="shared" si="6"/>
        <v>25800600</v>
      </c>
    </row>
    <row r="442" spans="1:32" hidden="1" x14ac:dyDescent="0.3">
      <c r="A442" s="46" t="s">
        <v>613</v>
      </c>
      <c r="B442" s="46" t="str">
        <f>IFERROR(VLOOKUP($H442,매장구분!$B:$Z,2,0),"")</f>
        <v>파트너채널팀</v>
      </c>
      <c r="C442" s="46" t="str">
        <f>IFERROR(VLOOKUP($H442,매장구분!$B:$Z,3,0),"")</f>
        <v>국내</v>
      </c>
      <c r="D442" s="46" t="str">
        <f>IFERROR(VLOOKUP($H442,매장구분!$B:$Z,5,0),"")</f>
        <v>백화점</v>
      </c>
      <c r="E442" s="46" t="str">
        <f>IFERROR(VLOOKUP($H442,매장구분!$B:$Z,9,0),"")</f>
        <v>롯데동탄</v>
      </c>
      <c r="G442" s="46" t="s">
        <v>406</v>
      </c>
      <c r="H442" s="46" t="s">
        <v>407</v>
      </c>
      <c r="I442" s="46" t="s">
        <v>169</v>
      </c>
      <c r="J442" s="46" t="s">
        <v>175</v>
      </c>
      <c r="K442" s="46" t="s">
        <v>170</v>
      </c>
      <c r="L442" s="46" t="s">
        <v>171</v>
      </c>
      <c r="M442" s="46" t="s">
        <v>77</v>
      </c>
      <c r="N442" s="46" t="s">
        <v>172</v>
      </c>
      <c r="O442" s="46">
        <v>8456300</v>
      </c>
      <c r="P442" s="46">
        <v>107</v>
      </c>
      <c r="Q442" s="46">
        <v>0</v>
      </c>
      <c r="R442" s="46">
        <v>0</v>
      </c>
      <c r="S442" s="46">
        <v>0</v>
      </c>
      <c r="T442" s="46">
        <v>0</v>
      </c>
      <c r="U442" s="46">
        <v>2098000</v>
      </c>
      <c r="V442" s="46">
        <v>12</v>
      </c>
      <c r="W442" s="46">
        <v>0</v>
      </c>
      <c r="X442" s="46">
        <v>0</v>
      </c>
      <c r="Y442" s="48">
        <v>0</v>
      </c>
      <c r="Z442" s="46">
        <v>0</v>
      </c>
      <c r="AA442" s="46">
        <v>0</v>
      </c>
      <c r="AB442" s="46">
        <v>0</v>
      </c>
      <c r="AC442" s="46">
        <v>10554300</v>
      </c>
      <c r="AD442" s="46">
        <v>119</v>
      </c>
      <c r="AF442" s="47">
        <f t="shared" si="6"/>
        <v>10554300</v>
      </c>
    </row>
    <row r="443" spans="1:32" hidden="1" x14ac:dyDescent="0.3">
      <c r="A443" s="46" t="s">
        <v>613</v>
      </c>
      <c r="B443" s="46" t="str">
        <f>IFERROR(VLOOKUP($H443,매장구분!$B:$Z,2,0),"")</f>
        <v>리테일채널팀</v>
      </c>
      <c r="C443" s="46" t="str">
        <f>IFERROR(VLOOKUP($H443,매장구분!$B:$Z,3,0),"")</f>
        <v>국내</v>
      </c>
      <c r="D443" s="46" t="str">
        <f>IFERROR(VLOOKUP($H443,매장구분!$B:$Z,5,0),"")</f>
        <v>대리점</v>
      </c>
      <c r="E443" s="46" t="str">
        <f>IFERROR(VLOOKUP($H443,매장구분!$B:$Z,9,0),"")</f>
        <v>상주(대-위)</v>
      </c>
      <c r="G443" s="46" t="s">
        <v>388</v>
      </c>
      <c r="H443" s="46" t="s">
        <v>389</v>
      </c>
      <c r="I443" s="46" t="s">
        <v>169</v>
      </c>
      <c r="J443" s="46" t="s">
        <v>79</v>
      </c>
      <c r="K443" s="46" t="s">
        <v>170</v>
      </c>
      <c r="L443" s="46" t="s">
        <v>171</v>
      </c>
      <c r="M443" s="46" t="s">
        <v>196</v>
      </c>
      <c r="N443" s="46" t="s">
        <v>197</v>
      </c>
      <c r="O443" s="46">
        <v>4261000</v>
      </c>
      <c r="P443" s="46">
        <v>46</v>
      </c>
      <c r="Q443" s="46">
        <v>0</v>
      </c>
      <c r="R443" s="46">
        <v>0</v>
      </c>
      <c r="S443" s="46">
        <v>0</v>
      </c>
      <c r="T443" s="46">
        <v>0</v>
      </c>
      <c r="U443" s="46">
        <v>268000</v>
      </c>
      <c r="V443" s="46">
        <v>2</v>
      </c>
      <c r="W443" s="46">
        <v>0</v>
      </c>
      <c r="X443" s="46">
        <v>0</v>
      </c>
      <c r="Y443" s="48">
        <v>0</v>
      </c>
      <c r="Z443" s="46">
        <v>0</v>
      </c>
      <c r="AA443" s="46">
        <v>0</v>
      </c>
      <c r="AB443" s="46">
        <v>0</v>
      </c>
      <c r="AC443" s="46">
        <v>4529000</v>
      </c>
      <c r="AD443" s="46">
        <v>48</v>
      </c>
      <c r="AF443" s="47">
        <f t="shared" si="6"/>
        <v>4529000</v>
      </c>
    </row>
    <row r="444" spans="1:32" hidden="1" x14ac:dyDescent="0.3">
      <c r="A444" s="46" t="s">
        <v>613</v>
      </c>
      <c r="B444" s="46" t="str">
        <f>IFERROR(VLOOKUP($H444,매장구분!$B:$Z,2,0),"")</f>
        <v>리테일채널팀</v>
      </c>
      <c r="C444" s="46" t="str">
        <f>IFERROR(VLOOKUP($H444,매장구분!$B:$Z,3,0),"")</f>
        <v>국내</v>
      </c>
      <c r="D444" s="46" t="str">
        <f>IFERROR(VLOOKUP($H444,매장구분!$B:$Z,5,0),"")</f>
        <v>대리점</v>
      </c>
      <c r="E444" s="46" t="str">
        <f>IFERROR(VLOOKUP($H444,매장구분!$B:$Z,9,0),"")</f>
        <v>대전은행(대-위)</v>
      </c>
      <c r="G444" s="46" t="s">
        <v>456</v>
      </c>
      <c r="H444" s="46" t="s">
        <v>457</v>
      </c>
      <c r="I444" s="46" t="s">
        <v>169</v>
      </c>
      <c r="J444" s="46" t="s">
        <v>79</v>
      </c>
      <c r="K444" s="46" t="s">
        <v>170</v>
      </c>
      <c r="L444" s="46" t="s">
        <v>171</v>
      </c>
      <c r="M444" s="46" t="s">
        <v>196</v>
      </c>
      <c r="N444" s="46" t="s">
        <v>197</v>
      </c>
      <c r="O444" s="46">
        <v>8647989</v>
      </c>
      <c r="P444" s="46">
        <v>116</v>
      </c>
      <c r="Q444" s="46">
        <v>0</v>
      </c>
      <c r="R444" s="46">
        <v>0</v>
      </c>
      <c r="S444" s="46">
        <v>0</v>
      </c>
      <c r="T444" s="46">
        <v>0</v>
      </c>
      <c r="U444" s="46">
        <v>894964</v>
      </c>
      <c r="V444" s="46">
        <v>6</v>
      </c>
      <c r="W444" s="46">
        <v>0</v>
      </c>
      <c r="X444" s="46">
        <v>0</v>
      </c>
      <c r="Y444" s="48">
        <v>5004000</v>
      </c>
      <c r="Z444" s="46">
        <v>56</v>
      </c>
      <c r="AA444" s="46">
        <v>0</v>
      </c>
      <c r="AB444" s="46">
        <v>0</v>
      </c>
      <c r="AC444" s="46">
        <v>14546953</v>
      </c>
      <c r="AD444" s="46">
        <v>178</v>
      </c>
      <c r="AF444" s="47">
        <f t="shared" si="6"/>
        <v>9542953</v>
      </c>
    </row>
    <row r="445" spans="1:32" hidden="1" x14ac:dyDescent="0.3">
      <c r="A445" s="46" t="s">
        <v>613</v>
      </c>
      <c r="B445" s="46" t="str">
        <f>IFERROR(VLOOKUP($H445,매장구분!$B:$Z,2,0),"")</f>
        <v>리테일채널팀</v>
      </c>
      <c r="C445" s="46" t="str">
        <f>IFERROR(VLOOKUP($H445,매장구분!$B:$Z,3,0),"")</f>
        <v>국내</v>
      </c>
      <c r="D445" s="46" t="str">
        <f>IFERROR(VLOOKUP($H445,매장구분!$B:$Z,5,0),"")</f>
        <v>대리점</v>
      </c>
      <c r="E445" s="46" t="str">
        <f>IFERROR(VLOOKUP($H445,매장구분!$B:$Z,9,0),"")</f>
        <v>군산수송(대-위)</v>
      </c>
      <c r="G445" s="46" t="s">
        <v>594</v>
      </c>
      <c r="H445" s="46" t="s">
        <v>595</v>
      </c>
      <c r="I445" s="46" t="s">
        <v>169</v>
      </c>
      <c r="J445" s="46" t="s">
        <v>79</v>
      </c>
      <c r="K445" s="46" t="s">
        <v>170</v>
      </c>
      <c r="L445" s="46" t="s">
        <v>171</v>
      </c>
      <c r="M445" s="46" t="s">
        <v>196</v>
      </c>
      <c r="N445" s="46" t="s">
        <v>197</v>
      </c>
      <c r="O445" s="46">
        <v>2414300</v>
      </c>
      <c r="P445" s="46">
        <v>28</v>
      </c>
      <c r="Q445" s="46">
        <v>0</v>
      </c>
      <c r="R445" s="46">
        <v>0</v>
      </c>
      <c r="S445" s="46">
        <v>0</v>
      </c>
      <c r="T445" s="46">
        <v>0</v>
      </c>
      <c r="U445" s="46">
        <v>97300</v>
      </c>
      <c r="V445" s="46">
        <v>1</v>
      </c>
      <c r="W445" s="46">
        <v>0</v>
      </c>
      <c r="X445" s="46">
        <v>0</v>
      </c>
      <c r="Y445" s="48">
        <v>7149000</v>
      </c>
      <c r="Z445" s="46">
        <v>73</v>
      </c>
      <c r="AA445" s="46">
        <v>0</v>
      </c>
      <c r="AB445" s="46">
        <v>0</v>
      </c>
      <c r="AC445" s="46">
        <v>9660600</v>
      </c>
      <c r="AD445" s="46">
        <v>102</v>
      </c>
      <c r="AF445" s="47">
        <f t="shared" si="6"/>
        <v>2511600</v>
      </c>
    </row>
    <row r="446" spans="1:32" hidden="1" x14ac:dyDescent="0.3">
      <c r="A446" s="46" t="s">
        <v>613</v>
      </c>
      <c r="B446" s="46" t="str">
        <f>IFERROR(VLOOKUP($H446,매장구분!$B:$Z,2,0),"")</f>
        <v>리테일채널팀</v>
      </c>
      <c r="C446" s="46" t="str">
        <f>IFERROR(VLOOKUP($H446,매장구분!$B:$Z,3,0),"")</f>
        <v>국내</v>
      </c>
      <c r="D446" s="46" t="str">
        <f>IFERROR(VLOOKUP($H446,매장구분!$B:$Z,5,0),"")</f>
        <v>대리점</v>
      </c>
      <c r="E446" s="46" t="str">
        <f>IFERROR(VLOOKUP($H446,매장구분!$B:$Z,9,0),"")</f>
        <v>제천(대-위)</v>
      </c>
      <c r="G446" s="46" t="s">
        <v>311</v>
      </c>
      <c r="H446" s="46" t="s">
        <v>312</v>
      </c>
      <c r="I446" s="46" t="s">
        <v>169</v>
      </c>
      <c r="J446" s="46" t="s">
        <v>79</v>
      </c>
      <c r="K446" s="46" t="s">
        <v>170</v>
      </c>
      <c r="L446" s="46" t="s">
        <v>171</v>
      </c>
      <c r="M446" s="46" t="s">
        <v>196</v>
      </c>
      <c r="N446" s="46" t="s">
        <v>197</v>
      </c>
      <c r="O446" s="46">
        <v>7445600</v>
      </c>
      <c r="P446" s="46">
        <v>73</v>
      </c>
      <c r="Q446" s="46">
        <v>0</v>
      </c>
      <c r="R446" s="46">
        <v>0</v>
      </c>
      <c r="S446" s="46">
        <v>0</v>
      </c>
      <c r="T446" s="46">
        <v>0</v>
      </c>
      <c r="U446" s="46">
        <v>2385900</v>
      </c>
      <c r="V446" s="46">
        <v>9</v>
      </c>
      <c r="W446" s="46">
        <v>0</v>
      </c>
      <c r="X446" s="46">
        <v>0</v>
      </c>
      <c r="Y446" s="48">
        <v>6237000</v>
      </c>
      <c r="Z446" s="46">
        <v>70</v>
      </c>
      <c r="AA446" s="46">
        <v>0</v>
      </c>
      <c r="AB446" s="46">
        <v>0</v>
      </c>
      <c r="AC446" s="46">
        <v>16068500</v>
      </c>
      <c r="AD446" s="46">
        <v>152</v>
      </c>
      <c r="AF446" s="47">
        <f t="shared" si="6"/>
        <v>9831500</v>
      </c>
    </row>
    <row r="447" spans="1:32" hidden="1" x14ac:dyDescent="0.3">
      <c r="A447" s="46" t="s">
        <v>613</v>
      </c>
      <c r="B447" s="46" t="str">
        <f>IFERROR(VLOOKUP($H447,매장구분!$B:$Z,2,0),"")</f>
        <v>리테일채널팀</v>
      </c>
      <c r="C447" s="46" t="str">
        <f>IFERROR(VLOOKUP($H447,매장구분!$B:$Z,3,0),"")</f>
        <v>국내</v>
      </c>
      <c r="D447" s="46" t="str">
        <f>IFERROR(VLOOKUP($H447,매장구분!$B:$Z,5,0),"")</f>
        <v>상설(위탁)</v>
      </c>
      <c r="E447" s="46" t="str">
        <f>IFERROR(VLOOKUP($H447,매장구분!$B:$Z,9,0),"")</f>
        <v>롯데아울렛부여(상-위)</v>
      </c>
      <c r="G447" s="46" t="s">
        <v>281</v>
      </c>
      <c r="H447" s="46" t="s">
        <v>282</v>
      </c>
      <c r="I447" s="46" t="s">
        <v>169</v>
      </c>
      <c r="J447" s="46" t="s">
        <v>79</v>
      </c>
      <c r="K447" s="46" t="s">
        <v>170</v>
      </c>
      <c r="L447" s="46" t="s">
        <v>171</v>
      </c>
      <c r="M447" s="46" t="s">
        <v>219</v>
      </c>
      <c r="N447" s="46" t="s">
        <v>219</v>
      </c>
      <c r="O447" s="46">
        <v>1764000</v>
      </c>
      <c r="P447" s="46">
        <v>49</v>
      </c>
      <c r="Q447" s="46">
        <v>0</v>
      </c>
      <c r="R447" s="46">
        <v>0</v>
      </c>
      <c r="S447" s="46">
        <v>0</v>
      </c>
      <c r="T447" s="46">
        <v>0</v>
      </c>
      <c r="U447" s="46">
        <v>0</v>
      </c>
      <c r="V447" s="46">
        <v>0</v>
      </c>
      <c r="W447" s="46">
        <v>0</v>
      </c>
      <c r="X447" s="46">
        <v>0</v>
      </c>
      <c r="Y447" s="48">
        <v>0</v>
      </c>
      <c r="Z447" s="46">
        <v>0</v>
      </c>
      <c r="AA447" s="46">
        <v>0</v>
      </c>
      <c r="AB447" s="46">
        <v>0</v>
      </c>
      <c r="AC447" s="46">
        <v>1764000</v>
      </c>
      <c r="AD447" s="46">
        <v>49</v>
      </c>
      <c r="AF447" s="47">
        <f t="shared" si="6"/>
        <v>1764000</v>
      </c>
    </row>
    <row r="448" spans="1:32" hidden="1" x14ac:dyDescent="0.3">
      <c r="A448" s="46" t="s">
        <v>613</v>
      </c>
      <c r="B448" s="46" t="str">
        <f>IFERROR(VLOOKUP($H448,매장구분!$B:$Z,2,0),"")</f>
        <v>리테일채널팀</v>
      </c>
      <c r="C448" s="46" t="str">
        <f>IFERROR(VLOOKUP($H448,매장구분!$B:$Z,3,0),"")</f>
        <v>국내</v>
      </c>
      <c r="D448" s="46" t="str">
        <f>IFERROR(VLOOKUP($H448,매장구분!$B:$Z,5,0),"")</f>
        <v>상설(위탁)</v>
      </c>
      <c r="E448" s="46" t="str">
        <f>IFERROR(VLOOKUP($H448,매장구분!$B:$Z,9,0),"")</f>
        <v>현대아울렛가산(상-위)</v>
      </c>
      <c r="G448" s="46" t="s">
        <v>285</v>
      </c>
      <c r="H448" s="46" t="s">
        <v>286</v>
      </c>
      <c r="I448" s="46" t="s">
        <v>169</v>
      </c>
      <c r="J448" s="46" t="s">
        <v>79</v>
      </c>
      <c r="K448" s="46" t="s">
        <v>170</v>
      </c>
      <c r="L448" s="46" t="s">
        <v>171</v>
      </c>
      <c r="M448" s="46" t="s">
        <v>219</v>
      </c>
      <c r="N448" s="46" t="s">
        <v>219</v>
      </c>
      <c r="O448" s="46">
        <v>360000</v>
      </c>
      <c r="P448" s="46">
        <v>10</v>
      </c>
      <c r="Q448" s="46">
        <v>0</v>
      </c>
      <c r="R448" s="46">
        <v>0</v>
      </c>
      <c r="S448" s="46">
        <v>0</v>
      </c>
      <c r="T448" s="46">
        <v>0</v>
      </c>
      <c r="U448" s="46">
        <v>0</v>
      </c>
      <c r="V448" s="46">
        <v>0</v>
      </c>
      <c r="W448" s="46">
        <v>0</v>
      </c>
      <c r="X448" s="46">
        <v>0</v>
      </c>
      <c r="Y448" s="48">
        <v>0</v>
      </c>
      <c r="Z448" s="46">
        <v>0</v>
      </c>
      <c r="AA448" s="46">
        <v>0</v>
      </c>
      <c r="AB448" s="46">
        <v>0</v>
      </c>
      <c r="AC448" s="46">
        <v>360000</v>
      </c>
      <c r="AD448" s="46">
        <v>10</v>
      </c>
      <c r="AF448" s="47">
        <f t="shared" si="6"/>
        <v>360000</v>
      </c>
    </row>
    <row r="449" spans="1:32" hidden="1" x14ac:dyDescent="0.3">
      <c r="A449" s="46" t="s">
        <v>613</v>
      </c>
      <c r="B449" s="46" t="str">
        <f>IFERROR(VLOOKUP($H449,매장구분!$B:$Z,2,0),"")</f>
        <v>리테일채널팀</v>
      </c>
      <c r="C449" s="46" t="str">
        <f>IFERROR(VLOOKUP($H449,매장구분!$B:$Z,3,0),"")</f>
        <v>RF</v>
      </c>
      <c r="D449" s="46" t="str">
        <f>IFERROR(VLOOKUP($H449,매장구분!$B:$Z,5,0),"")</f>
        <v>직영점</v>
      </c>
      <c r="E449" s="46" t="str">
        <f>IFERROR(VLOOKUP($H449,매장구분!$B:$Z,9,0),"")</f>
        <v>가로수길(직)</v>
      </c>
      <c r="G449" s="46" t="s">
        <v>398</v>
      </c>
      <c r="H449" s="46" t="s">
        <v>399</v>
      </c>
      <c r="I449" s="46" t="s">
        <v>169</v>
      </c>
      <c r="J449" s="46" t="s">
        <v>180</v>
      </c>
      <c r="K449" s="46" t="s">
        <v>170</v>
      </c>
      <c r="L449" s="46" t="s">
        <v>171</v>
      </c>
      <c r="M449" s="46" t="s">
        <v>196</v>
      </c>
      <c r="N449" s="46" t="s">
        <v>206</v>
      </c>
      <c r="O449" s="46">
        <v>134261800</v>
      </c>
      <c r="P449" s="46">
        <v>1161</v>
      </c>
      <c r="Q449" s="46">
        <v>0</v>
      </c>
      <c r="R449" s="46">
        <v>0</v>
      </c>
      <c r="S449" s="46">
        <v>0</v>
      </c>
      <c r="T449" s="46">
        <v>0</v>
      </c>
      <c r="U449" s="46">
        <v>0</v>
      </c>
      <c r="V449" s="46">
        <v>0</v>
      </c>
      <c r="W449" s="46">
        <v>0</v>
      </c>
      <c r="X449" s="46">
        <v>0</v>
      </c>
      <c r="Y449" s="48">
        <v>0</v>
      </c>
      <c r="Z449" s="46">
        <v>0</v>
      </c>
      <c r="AA449" s="46">
        <v>0</v>
      </c>
      <c r="AB449" s="46">
        <v>0</v>
      </c>
      <c r="AC449" s="46">
        <v>134261800</v>
      </c>
      <c r="AD449" s="46">
        <v>1161</v>
      </c>
      <c r="AF449" s="47">
        <f t="shared" si="6"/>
        <v>134261800</v>
      </c>
    </row>
    <row r="450" spans="1:32" hidden="1" x14ac:dyDescent="0.3">
      <c r="A450" s="46" t="s">
        <v>613</v>
      </c>
      <c r="B450" s="46" t="str">
        <f>IFERROR(VLOOKUP($H450,매장구분!$B:$Z,2,0),"")</f>
        <v>리테일채널팀</v>
      </c>
      <c r="C450" s="46" t="str">
        <f>IFERROR(VLOOKUP($H450,매장구분!$B:$Z,3,0),"")</f>
        <v>국내</v>
      </c>
      <c r="D450" s="46" t="str">
        <f>IFERROR(VLOOKUP($H450,매장구분!$B:$Z,5,0),"")</f>
        <v>직영점</v>
      </c>
      <c r="E450" s="46" t="str">
        <f>IFERROR(VLOOKUP($H450,매장구분!$B:$Z,9,0),"")</f>
        <v>트리플스트리트(직)</v>
      </c>
      <c r="G450" s="46" t="s">
        <v>576</v>
      </c>
      <c r="H450" s="46" t="s">
        <v>577</v>
      </c>
      <c r="I450" s="46" t="s">
        <v>169</v>
      </c>
      <c r="J450" s="46" t="s">
        <v>180</v>
      </c>
      <c r="K450" s="46" t="s">
        <v>170</v>
      </c>
      <c r="L450" s="46" t="s">
        <v>171</v>
      </c>
      <c r="M450" s="46" t="s">
        <v>188</v>
      </c>
      <c r="N450" s="46" t="s">
        <v>317</v>
      </c>
      <c r="O450" s="46">
        <v>12354106</v>
      </c>
      <c r="P450" s="46">
        <v>174</v>
      </c>
      <c r="Q450" s="46">
        <v>0</v>
      </c>
      <c r="R450" s="46">
        <v>0</v>
      </c>
      <c r="S450" s="46">
        <v>0</v>
      </c>
      <c r="T450" s="46">
        <v>0</v>
      </c>
      <c r="U450" s="46">
        <v>1607694</v>
      </c>
      <c r="V450" s="46">
        <v>9</v>
      </c>
      <c r="W450" s="46">
        <v>0</v>
      </c>
      <c r="X450" s="46">
        <v>0</v>
      </c>
      <c r="Y450" s="48">
        <v>0</v>
      </c>
      <c r="Z450" s="46">
        <v>0</v>
      </c>
      <c r="AA450" s="46">
        <v>0</v>
      </c>
      <c r="AB450" s="46">
        <v>0</v>
      </c>
      <c r="AC450" s="46">
        <v>13961800</v>
      </c>
      <c r="AD450" s="46">
        <v>183</v>
      </c>
      <c r="AF450" s="47">
        <f t="shared" si="6"/>
        <v>13961800</v>
      </c>
    </row>
    <row r="451" spans="1:32" hidden="1" x14ac:dyDescent="0.3">
      <c r="A451" s="46" t="s">
        <v>613</v>
      </c>
      <c r="B451" s="46" t="str">
        <f>IFERROR(VLOOKUP($H451,매장구분!$B:$Z,2,0),"")</f>
        <v>파트너채널팀</v>
      </c>
      <c r="C451" s="46" t="str">
        <f>IFERROR(VLOOKUP($H451,매장구분!$B:$Z,3,0),"")</f>
        <v>면세</v>
      </c>
      <c r="D451" s="46" t="str">
        <f>IFERROR(VLOOKUP($H451,매장구분!$B:$Z,5,0),"")</f>
        <v>면세</v>
      </c>
      <c r="E451" s="46" t="str">
        <f>IFERROR(VLOOKUP($H451,매장구분!$B:$Z,9,0),"")</f>
        <v>롯데면세소공</v>
      </c>
      <c r="G451" s="46" t="s">
        <v>384</v>
      </c>
      <c r="H451" s="46" t="s">
        <v>385</v>
      </c>
      <c r="I451" s="46" t="s">
        <v>169</v>
      </c>
      <c r="J451" s="46" t="s">
        <v>175</v>
      </c>
      <c r="K451" s="46" t="s">
        <v>170</v>
      </c>
      <c r="L451" s="46" t="s">
        <v>171</v>
      </c>
      <c r="M451" s="46" t="s">
        <v>176</v>
      </c>
      <c r="N451" s="46" t="s">
        <v>177</v>
      </c>
      <c r="O451" s="46">
        <v>136410800</v>
      </c>
      <c r="P451" s="46">
        <v>2059</v>
      </c>
      <c r="Q451" s="46">
        <v>0</v>
      </c>
      <c r="R451" s="46">
        <v>0</v>
      </c>
      <c r="S451" s="46">
        <v>0</v>
      </c>
      <c r="T451" s="46">
        <v>0</v>
      </c>
      <c r="U451" s="46">
        <v>0</v>
      </c>
      <c r="V451" s="46">
        <v>0</v>
      </c>
      <c r="W451" s="46">
        <v>0</v>
      </c>
      <c r="X451" s="46">
        <v>0</v>
      </c>
      <c r="Y451" s="48">
        <v>314009000</v>
      </c>
      <c r="Z451" s="46">
        <v>5327</v>
      </c>
      <c r="AA451" s="46">
        <v>0</v>
      </c>
      <c r="AB451" s="46">
        <v>0</v>
      </c>
      <c r="AC451" s="46">
        <v>450419800</v>
      </c>
      <c r="AD451" s="46">
        <v>7386</v>
      </c>
      <c r="AF451" s="47">
        <f t="shared" ref="AF451:AF514" si="7">IFERROR(AC451-Y451,"")</f>
        <v>136410800</v>
      </c>
    </row>
    <row r="452" spans="1:32" hidden="1" x14ac:dyDescent="0.3">
      <c r="A452" s="46" t="s">
        <v>613</v>
      </c>
      <c r="B452" s="46" t="str">
        <f>IFERROR(VLOOKUP($H452,매장구분!$B:$Z,2,0),"")</f>
        <v>파트너채널팀</v>
      </c>
      <c r="C452" s="46" t="str">
        <f>IFERROR(VLOOKUP($H452,매장구분!$B:$Z,3,0),"")</f>
        <v>국내</v>
      </c>
      <c r="D452" s="46" t="str">
        <f>IFERROR(VLOOKUP($H452,매장구분!$B:$Z,5,0),"")</f>
        <v>백화점</v>
      </c>
      <c r="E452" s="46" t="str">
        <f>IFERROR(VLOOKUP($H452,매장구분!$B:$Z,9,0),"")</f>
        <v>더현대서울</v>
      </c>
      <c r="G452" s="46" t="s">
        <v>422</v>
      </c>
      <c r="H452" s="46" t="s">
        <v>423</v>
      </c>
      <c r="I452" s="46" t="s">
        <v>169</v>
      </c>
      <c r="J452" s="46" t="s">
        <v>175</v>
      </c>
      <c r="K452" s="46" t="s">
        <v>170</v>
      </c>
      <c r="L452" s="46" t="s">
        <v>171</v>
      </c>
      <c r="M452" s="46" t="s">
        <v>188</v>
      </c>
      <c r="N452" s="46" t="s">
        <v>189</v>
      </c>
      <c r="O452" s="46">
        <v>38485000</v>
      </c>
      <c r="P452" s="46">
        <v>475</v>
      </c>
      <c r="Q452" s="46">
        <v>0</v>
      </c>
      <c r="R452" s="46">
        <v>0</v>
      </c>
      <c r="S452" s="46">
        <v>0</v>
      </c>
      <c r="T452" s="46">
        <v>0</v>
      </c>
      <c r="U452" s="46">
        <v>2468000</v>
      </c>
      <c r="V452" s="46">
        <v>16</v>
      </c>
      <c r="W452" s="46">
        <v>0</v>
      </c>
      <c r="X452" s="46">
        <v>0</v>
      </c>
      <c r="Y452" s="48">
        <v>27800000</v>
      </c>
      <c r="Z452" s="46">
        <v>200</v>
      </c>
      <c r="AA452" s="46">
        <v>0</v>
      </c>
      <c r="AB452" s="46">
        <v>0</v>
      </c>
      <c r="AC452" s="46">
        <v>68753000</v>
      </c>
      <c r="AD452" s="46">
        <v>691</v>
      </c>
      <c r="AF452" s="47">
        <f t="shared" si="7"/>
        <v>40953000</v>
      </c>
    </row>
    <row r="453" spans="1:32" hidden="1" x14ac:dyDescent="0.3">
      <c r="A453" s="46" t="s">
        <v>613</v>
      </c>
      <c r="B453" s="46" t="str">
        <f>IFERROR(VLOOKUP($H453,매장구분!$B:$Z,2,0),"")</f>
        <v>파트너채널팀</v>
      </c>
      <c r="C453" s="46" t="str">
        <f>IFERROR(VLOOKUP($H453,매장구분!$B:$Z,3,0),"")</f>
        <v>국내</v>
      </c>
      <c r="D453" s="46" t="str">
        <f>IFERROR(VLOOKUP($H453,매장구분!$B:$Z,5,0),"")</f>
        <v>백화점</v>
      </c>
      <c r="E453" s="46" t="str">
        <f>IFERROR(VLOOKUP($H453,매장구분!$B:$Z,9,0),"")</f>
        <v>롯데광복</v>
      </c>
      <c r="G453" s="46" t="s">
        <v>448</v>
      </c>
      <c r="H453" s="46" t="s">
        <v>449</v>
      </c>
      <c r="I453" s="46" t="s">
        <v>169</v>
      </c>
      <c r="J453" s="46" t="s">
        <v>175</v>
      </c>
      <c r="K453" s="46" t="s">
        <v>170</v>
      </c>
      <c r="L453" s="46" t="s">
        <v>171</v>
      </c>
      <c r="M453" s="46" t="s">
        <v>77</v>
      </c>
      <c r="N453" s="46" t="s">
        <v>172</v>
      </c>
      <c r="O453" s="46">
        <v>11383600</v>
      </c>
      <c r="P453" s="46">
        <v>137</v>
      </c>
      <c r="Q453" s="46">
        <v>0</v>
      </c>
      <c r="R453" s="46">
        <v>0</v>
      </c>
      <c r="S453" s="46">
        <v>0</v>
      </c>
      <c r="T453" s="46">
        <v>0</v>
      </c>
      <c r="U453" s="46">
        <v>920300</v>
      </c>
      <c r="V453" s="46">
        <v>7</v>
      </c>
      <c r="W453" s="46">
        <v>0</v>
      </c>
      <c r="X453" s="46">
        <v>0</v>
      </c>
      <c r="Y453" s="48">
        <v>19297400</v>
      </c>
      <c r="Z453" s="46">
        <v>201</v>
      </c>
      <c r="AA453" s="46">
        <v>0</v>
      </c>
      <c r="AB453" s="46">
        <v>0</v>
      </c>
      <c r="AC453" s="46">
        <v>31601300</v>
      </c>
      <c r="AD453" s="46">
        <v>345</v>
      </c>
      <c r="AF453" s="47">
        <f t="shared" si="7"/>
        <v>12303900</v>
      </c>
    </row>
    <row r="454" spans="1:32" hidden="1" x14ac:dyDescent="0.3">
      <c r="A454" s="46" t="s">
        <v>613</v>
      </c>
      <c r="B454" s="46" t="str">
        <f>IFERROR(VLOOKUP($H454,매장구분!$B:$Z,2,0),"")</f>
        <v>파트너채널팀</v>
      </c>
      <c r="C454" s="46" t="str">
        <f>IFERROR(VLOOKUP($H454,매장구분!$B:$Z,3,0),"")</f>
        <v>국내</v>
      </c>
      <c r="D454" s="46" t="str">
        <f>IFERROR(VLOOKUP($H454,매장구분!$B:$Z,5,0),"")</f>
        <v>백화점</v>
      </c>
      <c r="E454" s="46" t="str">
        <f>IFERROR(VLOOKUP($H454,매장구분!$B:$Z,9,0),"")</f>
        <v>갤러리아광교</v>
      </c>
      <c r="G454" s="46" t="s">
        <v>261</v>
      </c>
      <c r="H454" s="46" t="s">
        <v>262</v>
      </c>
      <c r="I454" s="46" t="s">
        <v>169</v>
      </c>
      <c r="J454" s="46" t="s">
        <v>175</v>
      </c>
      <c r="K454" s="46" t="s">
        <v>170</v>
      </c>
      <c r="L454" s="46" t="s">
        <v>171</v>
      </c>
      <c r="M454" s="46" t="s">
        <v>77</v>
      </c>
      <c r="N454" s="46" t="s">
        <v>172</v>
      </c>
      <c r="O454" s="46">
        <v>3495500</v>
      </c>
      <c r="P454" s="46">
        <v>42</v>
      </c>
      <c r="Q454" s="46">
        <v>3422500</v>
      </c>
      <c r="R454" s="46">
        <v>38</v>
      </c>
      <c r="S454" s="46">
        <v>0</v>
      </c>
      <c r="T454" s="46">
        <v>0</v>
      </c>
      <c r="U454" s="46">
        <v>0</v>
      </c>
      <c r="V454" s="46">
        <v>0</v>
      </c>
      <c r="W454" s="46">
        <v>0</v>
      </c>
      <c r="X454" s="46">
        <v>0</v>
      </c>
      <c r="Y454" s="48">
        <v>3672000</v>
      </c>
      <c r="Z454" s="46">
        <v>8</v>
      </c>
      <c r="AA454" s="46">
        <v>0</v>
      </c>
      <c r="AB454" s="46">
        <v>0</v>
      </c>
      <c r="AC454" s="46">
        <v>10590000</v>
      </c>
      <c r="AD454" s="46">
        <v>88</v>
      </c>
      <c r="AF454" s="47">
        <f t="shared" si="7"/>
        <v>6918000</v>
      </c>
    </row>
    <row r="455" spans="1:32" hidden="1" x14ac:dyDescent="0.3">
      <c r="A455" s="46" t="s">
        <v>613</v>
      </c>
      <c r="B455" s="46" t="str">
        <f>IFERROR(VLOOKUP($H455,매장구분!$B:$Z,2,0),"")</f>
        <v>파트너채널팀</v>
      </c>
      <c r="C455" s="46" t="str">
        <f>IFERROR(VLOOKUP($H455,매장구분!$B:$Z,3,0),"")</f>
        <v>국내</v>
      </c>
      <c r="D455" s="46" t="str">
        <f>IFERROR(VLOOKUP($H455,매장구분!$B:$Z,5,0),"")</f>
        <v>백화점</v>
      </c>
      <c r="E455" s="46" t="str">
        <f>IFERROR(VLOOKUP($H455,매장구분!$B:$Z,9,0),"")</f>
        <v>신세계경기</v>
      </c>
      <c r="G455" s="46" t="s">
        <v>356</v>
      </c>
      <c r="H455" s="46" t="s">
        <v>357</v>
      </c>
      <c r="I455" s="46" t="s">
        <v>169</v>
      </c>
      <c r="J455" s="46" t="s">
        <v>175</v>
      </c>
      <c r="K455" s="46" t="s">
        <v>170</v>
      </c>
      <c r="L455" s="46" t="s">
        <v>171</v>
      </c>
      <c r="M455" s="46" t="s">
        <v>77</v>
      </c>
      <c r="N455" s="46" t="s">
        <v>172</v>
      </c>
      <c r="O455" s="46">
        <v>7401200</v>
      </c>
      <c r="P455" s="46">
        <v>82</v>
      </c>
      <c r="Q455" s="46">
        <v>0</v>
      </c>
      <c r="R455" s="46">
        <v>0</v>
      </c>
      <c r="S455" s="46">
        <v>0</v>
      </c>
      <c r="T455" s="46">
        <v>0</v>
      </c>
      <c r="U455" s="46">
        <v>576000</v>
      </c>
      <c r="V455" s="46">
        <v>4</v>
      </c>
      <c r="W455" s="46">
        <v>0</v>
      </c>
      <c r="X455" s="46">
        <v>0</v>
      </c>
      <c r="Y455" s="48">
        <v>0</v>
      </c>
      <c r="Z455" s="46">
        <v>0</v>
      </c>
      <c r="AA455" s="46">
        <v>0</v>
      </c>
      <c r="AB455" s="46">
        <v>0</v>
      </c>
      <c r="AC455" s="46">
        <v>7977200</v>
      </c>
      <c r="AD455" s="46">
        <v>86</v>
      </c>
      <c r="AF455" s="47">
        <f t="shared" si="7"/>
        <v>7977200</v>
      </c>
    </row>
    <row r="456" spans="1:32" hidden="1" x14ac:dyDescent="0.3">
      <c r="A456" s="46" t="s">
        <v>613</v>
      </c>
      <c r="B456" s="46" t="str">
        <f>IFERROR(VLOOKUP($H456,매장구분!$B:$Z,2,0),"")</f>
        <v>파트너채널팀</v>
      </c>
      <c r="C456" s="46" t="str">
        <f>IFERROR(VLOOKUP($H456,매장구분!$B:$Z,3,0),"")</f>
        <v>국내</v>
      </c>
      <c r="D456" s="46" t="str">
        <f>IFERROR(VLOOKUP($H456,매장구분!$B:$Z,5,0),"")</f>
        <v>백화점</v>
      </c>
      <c r="E456" s="46" t="str">
        <f>IFERROR(VLOOKUP($H456,매장구분!$B:$Z,9,0),"")</f>
        <v>현대신촌</v>
      </c>
      <c r="G456" s="46" t="s">
        <v>297</v>
      </c>
      <c r="H456" s="46" t="s">
        <v>298</v>
      </c>
      <c r="I456" s="46" t="s">
        <v>169</v>
      </c>
      <c r="J456" s="46" t="s">
        <v>175</v>
      </c>
      <c r="K456" s="46" t="s">
        <v>170</v>
      </c>
      <c r="L456" s="46" t="s">
        <v>171</v>
      </c>
      <c r="M456" s="46" t="s">
        <v>77</v>
      </c>
      <c r="N456" s="46" t="s">
        <v>172</v>
      </c>
      <c r="O456" s="46">
        <v>7267600</v>
      </c>
      <c r="P456" s="46">
        <v>101</v>
      </c>
      <c r="Q456" s="46">
        <v>1214000</v>
      </c>
      <c r="R456" s="46">
        <v>33</v>
      </c>
      <c r="S456" s="46">
        <v>0</v>
      </c>
      <c r="T456" s="46">
        <v>0</v>
      </c>
      <c r="U456" s="46">
        <v>736000</v>
      </c>
      <c r="V456" s="46">
        <v>4</v>
      </c>
      <c r="W456" s="46">
        <v>0</v>
      </c>
      <c r="X456" s="46">
        <v>0</v>
      </c>
      <c r="Y456" s="48">
        <v>17745500</v>
      </c>
      <c r="Z456" s="46">
        <v>75</v>
      </c>
      <c r="AA456" s="46">
        <v>0</v>
      </c>
      <c r="AB456" s="46">
        <v>0</v>
      </c>
      <c r="AC456" s="46">
        <v>26963100</v>
      </c>
      <c r="AD456" s="46">
        <v>213</v>
      </c>
      <c r="AF456" s="47">
        <f t="shared" si="7"/>
        <v>9217600</v>
      </c>
    </row>
    <row r="457" spans="1:32" hidden="1" x14ac:dyDescent="0.3">
      <c r="A457" s="46" t="s">
        <v>613</v>
      </c>
      <c r="B457" s="46" t="str">
        <f>IFERROR(VLOOKUP($H457,매장구분!$B:$Z,2,0),"")</f>
        <v>파트너채널팀</v>
      </c>
      <c r="C457" s="46" t="str">
        <f>IFERROR(VLOOKUP($H457,매장구분!$B:$Z,3,0),"")</f>
        <v>국내</v>
      </c>
      <c r="D457" s="46" t="str">
        <f>IFERROR(VLOOKUP($H457,매장구분!$B:$Z,5,0),"")</f>
        <v>백화점</v>
      </c>
      <c r="E457" s="46" t="str">
        <f>IFERROR(VLOOKUP($H457,매장구분!$B:$Z,9,0),"")</f>
        <v>현대충청</v>
      </c>
      <c r="G457" s="46" t="s">
        <v>358</v>
      </c>
      <c r="H457" s="46" t="s">
        <v>359</v>
      </c>
      <c r="I457" s="46" t="s">
        <v>169</v>
      </c>
      <c r="J457" s="46" t="s">
        <v>175</v>
      </c>
      <c r="K457" s="46" t="s">
        <v>170</v>
      </c>
      <c r="L457" s="46" t="s">
        <v>171</v>
      </c>
      <c r="M457" s="46" t="s">
        <v>77</v>
      </c>
      <c r="N457" s="46" t="s">
        <v>172</v>
      </c>
      <c r="O457" s="46">
        <v>17979500</v>
      </c>
      <c r="P457" s="46">
        <v>174</v>
      </c>
      <c r="Q457" s="46">
        <v>0</v>
      </c>
      <c r="R457" s="46">
        <v>0</v>
      </c>
      <c r="S457" s="46">
        <v>0</v>
      </c>
      <c r="T457" s="46">
        <v>0</v>
      </c>
      <c r="U457" s="46">
        <v>0</v>
      </c>
      <c r="V457" s="46">
        <v>0</v>
      </c>
      <c r="W457" s="46">
        <v>0</v>
      </c>
      <c r="X457" s="46">
        <v>0</v>
      </c>
      <c r="Y457" s="48">
        <v>26182000</v>
      </c>
      <c r="Z457" s="46">
        <v>140</v>
      </c>
      <c r="AA457" s="46">
        <v>0</v>
      </c>
      <c r="AB457" s="46">
        <v>0</v>
      </c>
      <c r="AC457" s="46">
        <v>44161500</v>
      </c>
      <c r="AD457" s="46">
        <v>314</v>
      </c>
      <c r="AF457" s="47">
        <f t="shared" si="7"/>
        <v>17979500</v>
      </c>
    </row>
    <row r="458" spans="1:32" hidden="1" x14ac:dyDescent="0.3">
      <c r="A458" s="46" t="s">
        <v>613</v>
      </c>
      <c r="B458" s="46" t="str">
        <f>IFERROR(VLOOKUP($H458,매장구분!$B:$Z,2,0),"")</f>
        <v>리테일채널팀</v>
      </c>
      <c r="C458" s="46" t="str">
        <f>IFERROR(VLOOKUP($H458,매장구분!$B:$Z,3,0),"")</f>
        <v>국내</v>
      </c>
      <c r="D458" s="46" t="str">
        <f>IFERROR(VLOOKUP($H458,매장구분!$B:$Z,5,0),"")</f>
        <v>대리점</v>
      </c>
      <c r="E458" s="46" t="str">
        <f>IFERROR(VLOOKUP($H458,매장구분!$B:$Z,9,0),"")</f>
        <v>경산(대-위)</v>
      </c>
      <c r="G458" s="46" t="s">
        <v>556</v>
      </c>
      <c r="H458" s="46" t="s">
        <v>557</v>
      </c>
      <c r="I458" s="46" t="s">
        <v>169</v>
      </c>
      <c r="J458" s="46" t="s">
        <v>79</v>
      </c>
      <c r="K458" s="46" t="s">
        <v>170</v>
      </c>
      <c r="L458" s="46" t="s">
        <v>171</v>
      </c>
      <c r="M458" s="46" t="s">
        <v>196</v>
      </c>
      <c r="N458" s="46" t="s">
        <v>197</v>
      </c>
      <c r="O458" s="46">
        <v>8837680</v>
      </c>
      <c r="P458" s="46">
        <v>75</v>
      </c>
      <c r="Q458" s="46">
        <v>0</v>
      </c>
      <c r="R458" s="46">
        <v>0</v>
      </c>
      <c r="S458" s="46">
        <v>0</v>
      </c>
      <c r="T458" s="46">
        <v>0</v>
      </c>
      <c r="U458" s="46">
        <v>1429320</v>
      </c>
      <c r="V458" s="46">
        <v>9</v>
      </c>
      <c r="W458" s="46">
        <v>0</v>
      </c>
      <c r="X458" s="46">
        <v>0</v>
      </c>
      <c r="Y458" s="48">
        <v>0</v>
      </c>
      <c r="Z458" s="46">
        <v>0</v>
      </c>
      <c r="AA458" s="46">
        <v>0</v>
      </c>
      <c r="AB458" s="46">
        <v>0</v>
      </c>
      <c r="AC458" s="46">
        <v>10267000</v>
      </c>
      <c r="AD458" s="46">
        <v>84</v>
      </c>
      <c r="AF458" s="47">
        <f t="shared" si="7"/>
        <v>10267000</v>
      </c>
    </row>
    <row r="459" spans="1:32" hidden="1" x14ac:dyDescent="0.3">
      <c r="A459" s="46" t="s">
        <v>613</v>
      </c>
      <c r="B459" s="46" t="str">
        <f>IFERROR(VLOOKUP($H459,매장구분!$B:$Z,2,0),"")</f>
        <v>파트너채널팀</v>
      </c>
      <c r="C459" s="46" t="str">
        <f>IFERROR(VLOOKUP($H459,매장구분!$B:$Z,3,0),"")</f>
        <v>국내</v>
      </c>
      <c r="D459" s="46" t="str">
        <f>IFERROR(VLOOKUP($H459,매장구분!$B:$Z,5,0),"")</f>
        <v>백화점</v>
      </c>
      <c r="E459" s="46" t="str">
        <f>IFERROR(VLOOKUP($H459,매장구분!$B:$Z,9,0),"")</f>
        <v>현대대구</v>
      </c>
      <c r="G459" s="46" t="s">
        <v>540</v>
      </c>
      <c r="H459" s="46" t="s">
        <v>541</v>
      </c>
      <c r="I459" s="46" t="s">
        <v>169</v>
      </c>
      <c r="J459" s="46" t="s">
        <v>175</v>
      </c>
      <c r="K459" s="46" t="s">
        <v>170</v>
      </c>
      <c r="L459" s="46" t="s">
        <v>171</v>
      </c>
      <c r="M459" s="46" t="s">
        <v>77</v>
      </c>
      <c r="N459" s="46" t="s">
        <v>172</v>
      </c>
      <c r="O459" s="46">
        <v>16704520</v>
      </c>
      <c r="P459" s="46">
        <v>182</v>
      </c>
      <c r="Q459" s="46">
        <v>4398000</v>
      </c>
      <c r="R459" s="46">
        <v>34</v>
      </c>
      <c r="S459" s="46">
        <v>0</v>
      </c>
      <c r="T459" s="46">
        <v>0</v>
      </c>
      <c r="U459" s="46">
        <v>2262400</v>
      </c>
      <c r="V459" s="46">
        <v>12</v>
      </c>
      <c r="W459" s="46">
        <v>0</v>
      </c>
      <c r="X459" s="46">
        <v>0</v>
      </c>
      <c r="Y459" s="48">
        <v>0</v>
      </c>
      <c r="Z459" s="46">
        <v>0</v>
      </c>
      <c r="AA459" s="46">
        <v>0</v>
      </c>
      <c r="AB459" s="46">
        <v>0</v>
      </c>
      <c r="AC459" s="46">
        <v>23364920</v>
      </c>
      <c r="AD459" s="46">
        <v>228</v>
      </c>
      <c r="AF459" s="47">
        <f t="shared" si="7"/>
        <v>23364920</v>
      </c>
    </row>
    <row r="460" spans="1:32" hidden="1" x14ac:dyDescent="0.3">
      <c r="A460" s="46" t="s">
        <v>613</v>
      </c>
      <c r="B460" s="46" t="str">
        <f>IFERROR(VLOOKUP($H460,매장구분!$B:$Z,2,0),"")</f>
        <v>파트너채널팀</v>
      </c>
      <c r="C460" s="46" t="str">
        <f>IFERROR(VLOOKUP($H460,매장구분!$B:$Z,3,0),"")</f>
        <v>국내</v>
      </c>
      <c r="D460" s="46" t="str">
        <f>IFERROR(VLOOKUP($H460,매장구분!$B:$Z,5,0),"")</f>
        <v>백화점</v>
      </c>
      <c r="E460" s="46" t="str">
        <f>IFERROR(VLOOKUP($H460,매장구분!$B:$Z,9,0),"")</f>
        <v>롯데대구</v>
      </c>
      <c r="G460" s="46" t="s">
        <v>536</v>
      </c>
      <c r="H460" s="46" t="s">
        <v>537</v>
      </c>
      <c r="I460" s="46" t="s">
        <v>169</v>
      </c>
      <c r="J460" s="46" t="s">
        <v>175</v>
      </c>
      <c r="K460" s="46" t="s">
        <v>170</v>
      </c>
      <c r="L460" s="46" t="s">
        <v>171</v>
      </c>
      <c r="M460" s="46" t="s">
        <v>77</v>
      </c>
      <c r="N460" s="46" t="s">
        <v>172</v>
      </c>
      <c r="O460" s="46">
        <v>9586900</v>
      </c>
      <c r="P460" s="46">
        <v>84</v>
      </c>
      <c r="Q460" s="46">
        <v>2200000</v>
      </c>
      <c r="R460" s="46">
        <v>16</v>
      </c>
      <c r="S460" s="46">
        <v>0</v>
      </c>
      <c r="T460" s="46">
        <v>0</v>
      </c>
      <c r="U460" s="46">
        <v>357000</v>
      </c>
      <c r="V460" s="46">
        <v>3</v>
      </c>
      <c r="W460" s="46">
        <v>0</v>
      </c>
      <c r="X460" s="46">
        <v>0</v>
      </c>
      <c r="Y460" s="48">
        <v>0</v>
      </c>
      <c r="Z460" s="46">
        <v>0</v>
      </c>
      <c r="AA460" s="46">
        <v>0</v>
      </c>
      <c r="AB460" s="46">
        <v>0</v>
      </c>
      <c r="AC460" s="46">
        <v>12143900</v>
      </c>
      <c r="AD460" s="46">
        <v>103</v>
      </c>
      <c r="AF460" s="47">
        <f t="shared" si="7"/>
        <v>12143900</v>
      </c>
    </row>
    <row r="461" spans="1:32" hidden="1" x14ac:dyDescent="0.3">
      <c r="A461" s="46" t="s">
        <v>613</v>
      </c>
      <c r="B461" s="46" t="str">
        <f>IFERROR(VLOOKUP($H461,매장구분!$B:$Z,2,0),"")</f>
        <v>파트너채널팀</v>
      </c>
      <c r="C461" s="46" t="str">
        <f>IFERROR(VLOOKUP($H461,매장구분!$B:$Z,3,0),"")</f>
        <v>국내</v>
      </c>
      <c r="D461" s="46" t="str">
        <f>IFERROR(VLOOKUP($H461,매장구분!$B:$Z,5,0),"")</f>
        <v>백화점</v>
      </c>
      <c r="E461" s="46" t="str">
        <f>IFERROR(VLOOKUP($H461,매장구분!$B:$Z,9,0),"")</f>
        <v>롯데중동</v>
      </c>
      <c r="G461" s="46" t="s">
        <v>510</v>
      </c>
      <c r="H461" s="46" t="s">
        <v>511</v>
      </c>
      <c r="I461" s="46" t="s">
        <v>169</v>
      </c>
      <c r="J461" s="46" t="s">
        <v>175</v>
      </c>
      <c r="K461" s="46" t="s">
        <v>170</v>
      </c>
      <c r="L461" s="46" t="s">
        <v>171</v>
      </c>
      <c r="M461" s="46" t="s">
        <v>77</v>
      </c>
      <c r="N461" s="46" t="s">
        <v>172</v>
      </c>
      <c r="O461" s="46">
        <v>10772000</v>
      </c>
      <c r="P461" s="46">
        <v>99</v>
      </c>
      <c r="Q461" s="46">
        <v>312000</v>
      </c>
      <c r="R461" s="46">
        <v>6</v>
      </c>
      <c r="S461" s="46">
        <v>0</v>
      </c>
      <c r="T461" s="46">
        <v>0</v>
      </c>
      <c r="U461" s="46">
        <v>1430000</v>
      </c>
      <c r="V461" s="46">
        <v>10</v>
      </c>
      <c r="W461" s="46">
        <v>0</v>
      </c>
      <c r="X461" s="46">
        <v>0</v>
      </c>
      <c r="Y461" s="48">
        <v>0</v>
      </c>
      <c r="Z461" s="46">
        <v>0</v>
      </c>
      <c r="AA461" s="46">
        <v>0</v>
      </c>
      <c r="AB461" s="46">
        <v>0</v>
      </c>
      <c r="AC461" s="46">
        <v>12514000</v>
      </c>
      <c r="AD461" s="46">
        <v>115</v>
      </c>
      <c r="AF461" s="47">
        <f t="shared" si="7"/>
        <v>12514000</v>
      </c>
    </row>
    <row r="462" spans="1:32" hidden="1" x14ac:dyDescent="0.3">
      <c r="A462" s="46" t="s">
        <v>613</v>
      </c>
      <c r="B462" s="46" t="str">
        <f>IFERROR(VLOOKUP($H462,매장구분!$B:$Z,2,0),"")</f>
        <v>파트너채널팀</v>
      </c>
      <c r="C462" s="46" t="str">
        <f>IFERROR(VLOOKUP($H462,매장구분!$B:$Z,3,0),"")</f>
        <v>국내</v>
      </c>
      <c r="D462" s="46" t="str">
        <f>IFERROR(VLOOKUP($H462,매장구분!$B:$Z,5,0),"")</f>
        <v>백화점</v>
      </c>
      <c r="E462" s="46" t="str">
        <f>IFERROR(VLOOKUP($H462,매장구분!$B:$Z,9,0),"")</f>
        <v>롯데창원</v>
      </c>
      <c r="G462" s="46" t="s">
        <v>548</v>
      </c>
      <c r="H462" s="46" t="s">
        <v>549</v>
      </c>
      <c r="I462" s="46" t="s">
        <v>169</v>
      </c>
      <c r="J462" s="46" t="s">
        <v>175</v>
      </c>
      <c r="K462" s="46" t="s">
        <v>170</v>
      </c>
      <c r="L462" s="46" t="s">
        <v>171</v>
      </c>
      <c r="M462" s="46" t="s">
        <v>77</v>
      </c>
      <c r="N462" s="46" t="s">
        <v>172</v>
      </c>
      <c r="O462" s="46">
        <v>24346600</v>
      </c>
      <c r="P462" s="46">
        <v>246</v>
      </c>
      <c r="Q462" s="46">
        <v>0</v>
      </c>
      <c r="R462" s="46">
        <v>0</v>
      </c>
      <c r="S462" s="46">
        <v>0</v>
      </c>
      <c r="T462" s="46">
        <v>0</v>
      </c>
      <c r="U462" s="46">
        <v>2424800</v>
      </c>
      <c r="V462" s="46">
        <v>11</v>
      </c>
      <c r="W462" s="46">
        <v>0</v>
      </c>
      <c r="X462" s="46">
        <v>0</v>
      </c>
      <c r="Y462" s="48">
        <v>0</v>
      </c>
      <c r="Z462" s="46">
        <v>0</v>
      </c>
      <c r="AA462" s="46">
        <v>0</v>
      </c>
      <c r="AB462" s="46">
        <v>0</v>
      </c>
      <c r="AC462" s="46">
        <v>26771400</v>
      </c>
      <c r="AD462" s="46">
        <v>257</v>
      </c>
      <c r="AF462" s="47">
        <f t="shared" si="7"/>
        <v>26771400</v>
      </c>
    </row>
    <row r="463" spans="1:32" hidden="1" x14ac:dyDescent="0.3">
      <c r="A463" s="46" t="s">
        <v>613</v>
      </c>
      <c r="B463" s="46" t="str">
        <f>IFERROR(VLOOKUP($H463,매장구분!$B:$Z,2,0),"")</f>
        <v>리테일채널팀</v>
      </c>
      <c r="C463" s="46" t="str">
        <f>IFERROR(VLOOKUP($H463,매장구분!$B:$Z,3,0),"")</f>
        <v>RF</v>
      </c>
      <c r="D463" s="46" t="str">
        <f>IFERROR(VLOOKUP($H463,매장구분!$B:$Z,5,0),"")</f>
        <v>직영점</v>
      </c>
      <c r="E463" s="46" t="str">
        <f>IFERROR(VLOOKUP($H463,매장구분!$B:$Z,9,0),"")</f>
        <v>홍대(직)</v>
      </c>
      <c r="G463" s="46" t="s">
        <v>386</v>
      </c>
      <c r="H463" s="46" t="s">
        <v>387</v>
      </c>
      <c r="I463" s="46" t="s">
        <v>169</v>
      </c>
      <c r="J463" s="46" t="s">
        <v>180</v>
      </c>
      <c r="K463" s="46" t="s">
        <v>170</v>
      </c>
      <c r="L463" s="46" t="s">
        <v>171</v>
      </c>
      <c r="M463" s="46" t="s">
        <v>196</v>
      </c>
      <c r="N463" s="46" t="s">
        <v>206</v>
      </c>
      <c r="O463" s="46">
        <v>38840500</v>
      </c>
      <c r="P463" s="46">
        <v>406</v>
      </c>
      <c r="Q463" s="46">
        <v>0</v>
      </c>
      <c r="R463" s="46">
        <v>0</v>
      </c>
      <c r="S463" s="46">
        <v>0</v>
      </c>
      <c r="T463" s="46">
        <v>0</v>
      </c>
      <c r="U463" s="46">
        <v>159000</v>
      </c>
      <c r="V463" s="46">
        <v>1</v>
      </c>
      <c r="W463" s="46">
        <v>0</v>
      </c>
      <c r="X463" s="46">
        <v>0</v>
      </c>
      <c r="Y463" s="48">
        <v>0</v>
      </c>
      <c r="Z463" s="46">
        <v>0</v>
      </c>
      <c r="AA463" s="46">
        <v>0</v>
      </c>
      <c r="AB463" s="46">
        <v>0</v>
      </c>
      <c r="AC463" s="46">
        <v>38999500</v>
      </c>
      <c r="AD463" s="46">
        <v>407</v>
      </c>
      <c r="AF463" s="47">
        <f t="shared" si="7"/>
        <v>38999500</v>
      </c>
    </row>
    <row r="464" spans="1:32" hidden="1" x14ac:dyDescent="0.3">
      <c r="A464" s="46" t="s">
        <v>613</v>
      </c>
      <c r="B464" s="46" t="str">
        <f>IFERROR(VLOOKUP($H464,매장구분!$B:$Z,2,0),"")</f>
        <v>파트너채널팀</v>
      </c>
      <c r="C464" s="46" t="str">
        <f>IFERROR(VLOOKUP($H464,매장구분!$B:$Z,3,0),"")</f>
        <v>국내</v>
      </c>
      <c r="D464" s="46" t="str">
        <f>IFERROR(VLOOKUP($H464,매장구분!$B:$Z,5,0),"")</f>
        <v>백화점</v>
      </c>
      <c r="E464" s="46" t="str">
        <f>IFERROR(VLOOKUP($H464,매장구분!$B:$Z,9,0),"")</f>
        <v>엔터식스왕십리</v>
      </c>
      <c r="G464" s="46" t="s">
        <v>444</v>
      </c>
      <c r="H464" s="46" t="s">
        <v>445</v>
      </c>
      <c r="I464" s="46" t="s">
        <v>169</v>
      </c>
      <c r="J464" s="46" t="s">
        <v>175</v>
      </c>
      <c r="K464" s="46" t="s">
        <v>170</v>
      </c>
      <c r="L464" s="46" t="s">
        <v>171</v>
      </c>
      <c r="M464" s="46" t="s">
        <v>77</v>
      </c>
      <c r="N464" s="46" t="s">
        <v>238</v>
      </c>
      <c r="O464" s="46">
        <v>4876000</v>
      </c>
      <c r="P464" s="46">
        <v>66</v>
      </c>
      <c r="Q464" s="46">
        <v>131000</v>
      </c>
      <c r="R464" s="46">
        <v>3</v>
      </c>
      <c r="S464" s="46">
        <v>0</v>
      </c>
      <c r="T464" s="46">
        <v>0</v>
      </c>
      <c r="U464" s="46">
        <v>5118000</v>
      </c>
      <c r="V464" s="46">
        <v>32</v>
      </c>
      <c r="W464" s="46">
        <v>0</v>
      </c>
      <c r="X464" s="46">
        <v>0</v>
      </c>
      <c r="Y464" s="48">
        <v>0</v>
      </c>
      <c r="Z464" s="46">
        <v>0</v>
      </c>
      <c r="AA464" s="46">
        <v>0</v>
      </c>
      <c r="AB464" s="46">
        <v>0</v>
      </c>
      <c r="AC464" s="46">
        <v>10125000</v>
      </c>
      <c r="AD464" s="46">
        <v>101</v>
      </c>
      <c r="AF464" s="47">
        <f t="shared" si="7"/>
        <v>10125000</v>
      </c>
    </row>
    <row r="465" spans="1:32" hidden="1" x14ac:dyDescent="0.3">
      <c r="A465" s="46" t="s">
        <v>613</v>
      </c>
      <c r="B465" s="46" t="str">
        <f>IFERROR(VLOOKUP($H465,매장구분!$B:$Z,2,0),"")</f>
        <v>파트너채널팀</v>
      </c>
      <c r="C465" s="46" t="str">
        <f>IFERROR(VLOOKUP($H465,매장구분!$B:$Z,3,0),"")</f>
        <v>국내</v>
      </c>
      <c r="D465" s="46" t="str">
        <f>IFERROR(VLOOKUP($H465,매장구분!$B:$Z,5,0),"")</f>
        <v>백화점</v>
      </c>
      <c r="E465" s="46" t="str">
        <f>IFERROR(VLOOKUP($H465,매장구분!$B:$Z,9,0),"")</f>
        <v>롯데광주</v>
      </c>
      <c r="G465" s="46" t="s">
        <v>404</v>
      </c>
      <c r="H465" s="46" t="s">
        <v>405</v>
      </c>
      <c r="I465" s="46" t="s">
        <v>169</v>
      </c>
      <c r="J465" s="46" t="s">
        <v>175</v>
      </c>
      <c r="K465" s="46" t="s">
        <v>170</v>
      </c>
      <c r="L465" s="46" t="s">
        <v>171</v>
      </c>
      <c r="M465" s="46" t="s">
        <v>77</v>
      </c>
      <c r="N465" s="46" t="s">
        <v>172</v>
      </c>
      <c r="O465" s="46">
        <v>10731300</v>
      </c>
      <c r="P465" s="46">
        <v>109</v>
      </c>
      <c r="Q465" s="46">
        <v>0</v>
      </c>
      <c r="R465" s="46">
        <v>0</v>
      </c>
      <c r="S465" s="46">
        <v>0</v>
      </c>
      <c r="T465" s="46">
        <v>0</v>
      </c>
      <c r="U465" s="46">
        <v>1589200</v>
      </c>
      <c r="V465" s="46">
        <v>9</v>
      </c>
      <c r="W465" s="46">
        <v>0</v>
      </c>
      <c r="X465" s="46">
        <v>0</v>
      </c>
      <c r="Y465" s="48">
        <v>0</v>
      </c>
      <c r="Z465" s="46">
        <v>0</v>
      </c>
      <c r="AA465" s="46">
        <v>0</v>
      </c>
      <c r="AB465" s="46">
        <v>0</v>
      </c>
      <c r="AC465" s="46">
        <v>12320500</v>
      </c>
      <c r="AD465" s="46">
        <v>118</v>
      </c>
      <c r="AF465" s="47">
        <f t="shared" si="7"/>
        <v>12320500</v>
      </c>
    </row>
    <row r="466" spans="1:32" hidden="1" x14ac:dyDescent="0.3">
      <c r="A466" s="46" t="s">
        <v>613</v>
      </c>
      <c r="B466" s="46" t="str">
        <f>IFERROR(VLOOKUP($H466,매장구분!$B:$Z,2,0),"")</f>
        <v>리테일채널팀</v>
      </c>
      <c r="C466" s="46" t="str">
        <f>IFERROR(VLOOKUP($H466,매장구분!$B:$Z,3,0),"")</f>
        <v>국내</v>
      </c>
      <c r="D466" s="46" t="str">
        <f>IFERROR(VLOOKUP($H466,매장구분!$B:$Z,5,0),"")</f>
        <v>대리점</v>
      </c>
      <c r="E466" s="46" t="str">
        <f>IFERROR(VLOOKUP($H466,매장구분!$B:$Z,9,0),"")</f>
        <v>통영(대-위)</v>
      </c>
      <c r="G466" s="46" t="s">
        <v>506</v>
      </c>
      <c r="H466" s="46" t="s">
        <v>507</v>
      </c>
      <c r="I466" s="46" t="s">
        <v>169</v>
      </c>
      <c r="J466" s="46" t="s">
        <v>79</v>
      </c>
      <c r="K466" s="46" t="s">
        <v>170</v>
      </c>
      <c r="L466" s="46" t="s">
        <v>171</v>
      </c>
      <c r="M466" s="46" t="s">
        <v>196</v>
      </c>
      <c r="N466" s="46" t="s">
        <v>197</v>
      </c>
      <c r="O466" s="46">
        <v>5789000</v>
      </c>
      <c r="P466" s="46">
        <v>74</v>
      </c>
      <c r="Q466" s="46">
        <v>0</v>
      </c>
      <c r="R466" s="46">
        <v>0</v>
      </c>
      <c r="S466" s="46">
        <v>0</v>
      </c>
      <c r="T466" s="46">
        <v>0</v>
      </c>
      <c r="U466" s="46">
        <v>794000</v>
      </c>
      <c r="V466" s="46">
        <v>6</v>
      </c>
      <c r="W466" s="46">
        <v>0</v>
      </c>
      <c r="X466" s="46">
        <v>0</v>
      </c>
      <c r="Y466" s="48">
        <v>0</v>
      </c>
      <c r="Z466" s="46">
        <v>0</v>
      </c>
      <c r="AA466" s="46">
        <v>0</v>
      </c>
      <c r="AB466" s="46">
        <v>0</v>
      </c>
      <c r="AC466" s="46">
        <v>6583000</v>
      </c>
      <c r="AD466" s="46">
        <v>80</v>
      </c>
      <c r="AF466" s="47">
        <f t="shared" si="7"/>
        <v>6583000</v>
      </c>
    </row>
    <row r="467" spans="1:32" hidden="1" x14ac:dyDescent="0.3">
      <c r="A467" s="46" t="s">
        <v>613</v>
      </c>
      <c r="B467" s="46" t="str">
        <f>IFERROR(VLOOKUP($H467,매장구분!$B:$Z,2,0),"")</f>
        <v>리테일채널팀</v>
      </c>
      <c r="C467" s="46" t="str">
        <f>IFERROR(VLOOKUP($H467,매장구분!$B:$Z,3,0),"")</f>
        <v>국내</v>
      </c>
      <c r="D467" s="46" t="str">
        <f>IFERROR(VLOOKUP($H467,매장구분!$B:$Z,5,0),"")</f>
        <v>대리점</v>
      </c>
      <c r="E467" s="46" t="str">
        <f>IFERROR(VLOOKUP($H467,매장구분!$B:$Z,9,0),"")</f>
        <v>나주(대-위)</v>
      </c>
      <c r="G467" s="46" t="s">
        <v>324</v>
      </c>
      <c r="H467" s="46" t="s">
        <v>325</v>
      </c>
      <c r="I467" s="46" t="s">
        <v>169</v>
      </c>
      <c r="J467" s="46" t="s">
        <v>79</v>
      </c>
      <c r="K467" s="46" t="s">
        <v>170</v>
      </c>
      <c r="L467" s="46" t="s">
        <v>171</v>
      </c>
      <c r="M467" s="46" t="s">
        <v>196</v>
      </c>
      <c r="N467" s="46" t="s">
        <v>197</v>
      </c>
      <c r="O467" s="46">
        <v>17919442</v>
      </c>
      <c r="P467" s="46">
        <v>136</v>
      </c>
      <c r="Q467" s="46">
        <v>0</v>
      </c>
      <c r="R467" s="46">
        <v>0</v>
      </c>
      <c r="S467" s="46">
        <v>0</v>
      </c>
      <c r="T467" s="46">
        <v>0</v>
      </c>
      <c r="U467" s="46">
        <v>2231937</v>
      </c>
      <c r="V467" s="46">
        <v>16</v>
      </c>
      <c r="W467" s="46">
        <v>0</v>
      </c>
      <c r="X467" s="46">
        <v>0</v>
      </c>
      <c r="Y467" s="48">
        <v>0</v>
      </c>
      <c r="Z467" s="46">
        <v>0</v>
      </c>
      <c r="AA467" s="46">
        <v>0</v>
      </c>
      <c r="AB467" s="46">
        <v>0</v>
      </c>
      <c r="AC467" s="46">
        <v>20151379</v>
      </c>
      <c r="AD467" s="46">
        <v>152</v>
      </c>
      <c r="AF467" s="47">
        <f t="shared" si="7"/>
        <v>20151379</v>
      </c>
    </row>
    <row r="468" spans="1:32" hidden="1" x14ac:dyDescent="0.3">
      <c r="A468" s="46" t="s">
        <v>613</v>
      </c>
      <c r="B468" s="46" t="str">
        <f>IFERROR(VLOOKUP($H468,매장구분!$B:$Z,2,0),"")</f>
        <v>리테일채널팀</v>
      </c>
      <c r="C468" s="46" t="str">
        <f>IFERROR(VLOOKUP($H468,매장구분!$B:$Z,3,0),"")</f>
        <v>국내</v>
      </c>
      <c r="D468" s="46" t="str">
        <f>IFERROR(VLOOKUP($H468,매장구분!$B:$Z,5,0),"")</f>
        <v>대리점</v>
      </c>
      <c r="E468" s="46" t="str">
        <f>IFERROR(VLOOKUP($H468,매장구분!$B:$Z,9,0),"")</f>
        <v>춘천(대-위)</v>
      </c>
      <c r="G468" s="46" t="s">
        <v>320</v>
      </c>
      <c r="H468" s="46" t="s">
        <v>321</v>
      </c>
      <c r="I468" s="46" t="s">
        <v>169</v>
      </c>
      <c r="J468" s="46" t="s">
        <v>79</v>
      </c>
      <c r="K468" s="46" t="s">
        <v>170</v>
      </c>
      <c r="L468" s="46" t="s">
        <v>171</v>
      </c>
      <c r="M468" s="46" t="s">
        <v>196</v>
      </c>
      <c r="N468" s="46" t="s">
        <v>197</v>
      </c>
      <c r="O468" s="46">
        <v>14062655</v>
      </c>
      <c r="P468" s="46">
        <v>179</v>
      </c>
      <c r="Q468" s="46">
        <v>0</v>
      </c>
      <c r="R468" s="46">
        <v>0</v>
      </c>
      <c r="S468" s="46">
        <v>0</v>
      </c>
      <c r="T468" s="46">
        <v>0</v>
      </c>
      <c r="U468" s="46">
        <v>730056</v>
      </c>
      <c r="V468" s="46">
        <v>5</v>
      </c>
      <c r="W468" s="46">
        <v>0</v>
      </c>
      <c r="X468" s="46">
        <v>0</v>
      </c>
      <c r="Y468" s="48">
        <v>0</v>
      </c>
      <c r="Z468" s="46">
        <v>0</v>
      </c>
      <c r="AA468" s="46">
        <v>0</v>
      </c>
      <c r="AB468" s="46">
        <v>0</v>
      </c>
      <c r="AC468" s="46">
        <v>14792711</v>
      </c>
      <c r="AD468" s="46">
        <v>184</v>
      </c>
      <c r="AF468" s="47">
        <f t="shared" si="7"/>
        <v>14792711</v>
      </c>
    </row>
    <row r="469" spans="1:32" hidden="1" x14ac:dyDescent="0.3">
      <c r="A469" s="46" t="s">
        <v>613</v>
      </c>
      <c r="B469" s="46" t="str">
        <f>IFERROR(VLOOKUP($H469,매장구분!$B:$Z,2,0),"")</f>
        <v>리테일채널팀</v>
      </c>
      <c r="C469" s="46" t="str">
        <f>IFERROR(VLOOKUP($H469,매장구분!$B:$Z,3,0),"")</f>
        <v>국내</v>
      </c>
      <c r="D469" s="46" t="str">
        <f>IFERROR(VLOOKUP($H469,매장구분!$B:$Z,5,0),"")</f>
        <v>대리점</v>
      </c>
      <c r="E469" s="46" t="str">
        <f>IFERROR(VLOOKUP($H469,매장구분!$B:$Z,9,0),"")</f>
        <v>당진(대-위)</v>
      </c>
      <c r="G469" s="46" t="s">
        <v>462</v>
      </c>
      <c r="H469" s="46" t="s">
        <v>463</v>
      </c>
      <c r="I469" s="46" t="s">
        <v>169</v>
      </c>
      <c r="J469" s="46" t="s">
        <v>79</v>
      </c>
      <c r="K469" s="46" t="s">
        <v>170</v>
      </c>
      <c r="L469" s="46" t="s">
        <v>171</v>
      </c>
      <c r="M469" s="46" t="s">
        <v>196</v>
      </c>
      <c r="N469" s="46" t="s">
        <v>197</v>
      </c>
      <c r="O469" s="46">
        <v>14182300</v>
      </c>
      <c r="P469" s="46">
        <v>112</v>
      </c>
      <c r="Q469" s="46">
        <v>0</v>
      </c>
      <c r="R469" s="46">
        <v>0</v>
      </c>
      <c r="S469" s="46">
        <v>0</v>
      </c>
      <c r="T469" s="46">
        <v>0</v>
      </c>
      <c r="U469" s="46">
        <v>1222000</v>
      </c>
      <c r="V469" s="46">
        <v>8</v>
      </c>
      <c r="W469" s="46">
        <v>0</v>
      </c>
      <c r="X469" s="46">
        <v>0</v>
      </c>
      <c r="Y469" s="48">
        <v>0</v>
      </c>
      <c r="Z469" s="46">
        <v>0</v>
      </c>
      <c r="AA469" s="46">
        <v>0</v>
      </c>
      <c r="AB469" s="46">
        <v>0</v>
      </c>
      <c r="AC469" s="46">
        <v>15404300</v>
      </c>
      <c r="AD469" s="46">
        <v>120</v>
      </c>
      <c r="AF469" s="47">
        <f t="shared" si="7"/>
        <v>15404300</v>
      </c>
    </row>
    <row r="470" spans="1:32" hidden="1" x14ac:dyDescent="0.3">
      <c r="A470" s="46" t="s">
        <v>613</v>
      </c>
      <c r="B470" s="46" t="str">
        <f>IFERROR(VLOOKUP($H470,매장구분!$B:$Z,2,0),"")</f>
        <v>파트너채널팀</v>
      </c>
      <c r="C470" s="46" t="str">
        <f>IFERROR(VLOOKUP($H470,매장구분!$B:$Z,3,0),"")</f>
        <v>국내</v>
      </c>
      <c r="D470" s="46" t="str">
        <f>IFERROR(VLOOKUP($H470,매장구분!$B:$Z,5,0),"")</f>
        <v>백화점</v>
      </c>
      <c r="E470" s="46" t="str">
        <f>IFERROR(VLOOKUP($H470,매장구분!$B:$Z,9,0),"")</f>
        <v>NC신구로</v>
      </c>
      <c r="G470" s="46" t="s">
        <v>596</v>
      </c>
      <c r="H470" s="46" t="s">
        <v>597</v>
      </c>
      <c r="I470" s="46" t="s">
        <v>169</v>
      </c>
      <c r="J470" s="46" t="s">
        <v>175</v>
      </c>
      <c r="K470" s="46" t="s">
        <v>170</v>
      </c>
      <c r="L470" s="46" t="s">
        <v>171</v>
      </c>
      <c r="M470" s="46" t="s">
        <v>77</v>
      </c>
      <c r="N470" s="46" t="s">
        <v>238</v>
      </c>
      <c r="O470" s="46">
        <v>5997000</v>
      </c>
      <c r="P470" s="46">
        <v>84</v>
      </c>
      <c r="Q470" s="46">
        <v>2078500</v>
      </c>
      <c r="R470" s="46">
        <v>33</v>
      </c>
      <c r="S470" s="46">
        <v>0</v>
      </c>
      <c r="T470" s="46">
        <v>0</v>
      </c>
      <c r="U470" s="46">
        <v>1622000</v>
      </c>
      <c r="V470" s="46">
        <v>8</v>
      </c>
      <c r="W470" s="46">
        <v>0</v>
      </c>
      <c r="X470" s="46">
        <v>0</v>
      </c>
      <c r="Y470" s="48">
        <v>0</v>
      </c>
      <c r="Z470" s="46">
        <v>0</v>
      </c>
      <c r="AA470" s="46">
        <v>0</v>
      </c>
      <c r="AB470" s="46">
        <v>0</v>
      </c>
      <c r="AC470" s="46">
        <v>9697500</v>
      </c>
      <c r="AD470" s="46">
        <v>125</v>
      </c>
      <c r="AF470" s="47">
        <f t="shared" si="7"/>
        <v>9697500</v>
      </c>
    </row>
    <row r="471" spans="1:32" hidden="1" x14ac:dyDescent="0.3">
      <c r="A471" s="46" t="s">
        <v>613</v>
      </c>
      <c r="B471" s="46" t="str">
        <f>IFERROR(VLOOKUP($H471,매장구분!$B:$Z,2,0),"")</f>
        <v>파트너채널팀</v>
      </c>
      <c r="C471" s="46" t="str">
        <f>IFERROR(VLOOKUP($H471,매장구분!$B:$Z,3,0),"")</f>
        <v>면세</v>
      </c>
      <c r="D471" s="46" t="str">
        <f>IFERROR(VLOOKUP($H471,매장구분!$B:$Z,5,0),"")</f>
        <v>면세</v>
      </c>
      <c r="E471" s="46" t="str">
        <f>IFERROR(VLOOKUP($H471,매장구분!$B:$Z,9,0),"")</f>
        <v>신라면세용산</v>
      </c>
      <c r="G471" s="46" t="s">
        <v>542</v>
      </c>
      <c r="H471" s="46" t="s">
        <v>543</v>
      </c>
      <c r="I471" s="46" t="s">
        <v>169</v>
      </c>
      <c r="J471" s="46" t="s">
        <v>175</v>
      </c>
      <c r="K471" s="46" t="s">
        <v>170</v>
      </c>
      <c r="L471" s="46" t="s">
        <v>171</v>
      </c>
      <c r="M471" s="46" t="s">
        <v>176</v>
      </c>
      <c r="N471" s="46" t="s">
        <v>177</v>
      </c>
      <c r="O471" s="46">
        <v>238000</v>
      </c>
      <c r="P471" s="46">
        <v>2</v>
      </c>
      <c r="Q471" s="46">
        <v>0</v>
      </c>
      <c r="R471" s="46">
        <v>0</v>
      </c>
      <c r="S471" s="46">
        <v>0</v>
      </c>
      <c r="T471" s="46">
        <v>0</v>
      </c>
      <c r="U471" s="46">
        <v>0</v>
      </c>
      <c r="V471" s="46">
        <v>0</v>
      </c>
      <c r="W471" s="46">
        <v>0</v>
      </c>
      <c r="X471" s="46">
        <v>0</v>
      </c>
      <c r="Y471" s="48">
        <v>368979900</v>
      </c>
      <c r="Z471" s="46">
        <v>5804</v>
      </c>
      <c r="AA471" s="46">
        <v>0</v>
      </c>
      <c r="AB471" s="46">
        <v>0</v>
      </c>
      <c r="AC471" s="46">
        <v>369217900</v>
      </c>
      <c r="AD471" s="46">
        <v>5806</v>
      </c>
      <c r="AF471" s="47">
        <f t="shared" si="7"/>
        <v>238000</v>
      </c>
    </row>
    <row r="472" spans="1:32" hidden="1" x14ac:dyDescent="0.3">
      <c r="A472" s="46" t="s">
        <v>613</v>
      </c>
      <c r="B472" s="46" t="str">
        <f>IFERROR(VLOOKUP($H472,매장구분!$B:$Z,2,0),"")</f>
        <v>E-biz</v>
      </c>
      <c r="C472" s="46" t="str">
        <f>IFERROR(VLOOKUP($H472,매장구분!$B:$Z,3,0),"")</f>
        <v>국내</v>
      </c>
      <c r="D472" s="46" t="str">
        <f>IFERROR(VLOOKUP($H472,매장구분!$B:$Z,5,0),"")</f>
        <v>온(제휴몰)</v>
      </c>
      <c r="E472" s="46" t="str">
        <f>IFERROR(VLOOKUP($H472,매장구분!$B:$Z,9,0),"")</f>
        <v>SSF샵(제휴몰)</v>
      </c>
      <c r="G472" s="46" t="s">
        <v>342</v>
      </c>
      <c r="H472" s="46" t="s">
        <v>343</v>
      </c>
      <c r="I472" s="46" t="s">
        <v>169</v>
      </c>
      <c r="J472" s="46" t="s">
        <v>180</v>
      </c>
      <c r="K472" s="46" t="s">
        <v>170</v>
      </c>
      <c r="L472" s="46" t="s">
        <v>181</v>
      </c>
      <c r="M472" s="46" t="s">
        <v>181</v>
      </c>
      <c r="N472" s="46" t="s">
        <v>185</v>
      </c>
      <c r="O472" s="46">
        <v>25981400</v>
      </c>
      <c r="P472" s="46">
        <v>167</v>
      </c>
      <c r="Q472" s="46">
        <v>0</v>
      </c>
      <c r="R472" s="46">
        <v>0</v>
      </c>
      <c r="S472" s="46">
        <v>0</v>
      </c>
      <c r="T472" s="46">
        <v>0</v>
      </c>
      <c r="U472" s="46">
        <v>0</v>
      </c>
      <c r="V472" s="46">
        <v>0</v>
      </c>
      <c r="W472" s="46">
        <v>0</v>
      </c>
      <c r="X472" s="46">
        <v>0</v>
      </c>
      <c r="Y472" s="48">
        <v>0</v>
      </c>
      <c r="Z472" s="46">
        <v>0</v>
      </c>
      <c r="AA472" s="46">
        <v>0</v>
      </c>
      <c r="AB472" s="46">
        <v>0</v>
      </c>
      <c r="AC472" s="46">
        <v>25981400</v>
      </c>
      <c r="AD472" s="46">
        <v>167</v>
      </c>
      <c r="AF472" s="47">
        <f t="shared" si="7"/>
        <v>25981400</v>
      </c>
    </row>
    <row r="473" spans="1:32" hidden="1" x14ac:dyDescent="0.3">
      <c r="A473" s="46" t="s">
        <v>613</v>
      </c>
      <c r="B473" s="46" t="str">
        <f>IFERROR(VLOOKUP($H473,매장구분!$B:$Z,2,0),"")</f>
        <v>리테일채널팀</v>
      </c>
      <c r="C473" s="46" t="str">
        <f>IFERROR(VLOOKUP($H473,매장구분!$B:$Z,3,0),"")</f>
        <v>국내</v>
      </c>
      <c r="D473" s="46" t="str">
        <f>IFERROR(VLOOKUP($H473,매장구분!$B:$Z,5,0),"")</f>
        <v>상설(위탁)</v>
      </c>
      <c r="E473" s="46" t="str">
        <f>IFERROR(VLOOKUP($H473,매장구분!$B:$Z,9,0),"")</f>
        <v>LF스퀘어양주(상-위)</v>
      </c>
      <c r="G473" s="46" t="s">
        <v>283</v>
      </c>
      <c r="H473" s="46" t="s">
        <v>284</v>
      </c>
      <c r="I473" s="46" t="s">
        <v>169</v>
      </c>
      <c r="J473" s="46" t="s">
        <v>79</v>
      </c>
      <c r="K473" s="46" t="s">
        <v>170</v>
      </c>
      <c r="L473" s="46" t="s">
        <v>171</v>
      </c>
      <c r="M473" s="46" t="s">
        <v>77</v>
      </c>
      <c r="N473" s="46" t="s">
        <v>172</v>
      </c>
      <c r="O473" s="46">
        <v>1224000</v>
      </c>
      <c r="P473" s="46">
        <v>34</v>
      </c>
      <c r="Q473" s="46">
        <v>0</v>
      </c>
      <c r="R473" s="46">
        <v>0</v>
      </c>
      <c r="S473" s="46">
        <v>0</v>
      </c>
      <c r="T473" s="46">
        <v>0</v>
      </c>
      <c r="U473" s="46">
        <v>0</v>
      </c>
      <c r="V473" s="46">
        <v>0</v>
      </c>
      <c r="W473" s="46">
        <v>0</v>
      </c>
      <c r="X473" s="46">
        <v>0</v>
      </c>
      <c r="Y473" s="48">
        <v>0</v>
      </c>
      <c r="Z473" s="46">
        <v>0</v>
      </c>
      <c r="AA473" s="46">
        <v>0</v>
      </c>
      <c r="AB473" s="46">
        <v>0</v>
      </c>
      <c r="AC473" s="46">
        <v>1224000</v>
      </c>
      <c r="AD473" s="46">
        <v>34</v>
      </c>
      <c r="AF473" s="47">
        <f t="shared" si="7"/>
        <v>1224000</v>
      </c>
    </row>
    <row r="474" spans="1:32" hidden="1" x14ac:dyDescent="0.3">
      <c r="A474" s="46" t="s">
        <v>613</v>
      </c>
      <c r="B474" s="46" t="str">
        <f>IFERROR(VLOOKUP($H474,매장구분!$B:$Z,2,0),"")</f>
        <v>리테일채널팀</v>
      </c>
      <c r="C474" s="46" t="str">
        <f>IFERROR(VLOOKUP($H474,매장구분!$B:$Z,3,0),"")</f>
        <v>국내</v>
      </c>
      <c r="D474" s="46" t="str">
        <f>IFERROR(VLOOKUP($H474,매장구분!$B:$Z,5,0),"")</f>
        <v>상설(위탁)</v>
      </c>
      <c r="E474" s="46" t="str">
        <f>IFERROR(VLOOKUP($H474,매장구분!$B:$Z,9,0),"")</f>
        <v>NC송파(상-위)</v>
      </c>
      <c r="G474" s="46" t="s">
        <v>378</v>
      </c>
      <c r="H474" s="46" t="s">
        <v>379</v>
      </c>
      <c r="I474" s="46" t="s">
        <v>169</v>
      </c>
      <c r="J474" s="46" t="s">
        <v>79</v>
      </c>
      <c r="K474" s="46" t="s">
        <v>170</v>
      </c>
      <c r="L474" s="46" t="s">
        <v>171</v>
      </c>
      <c r="M474" s="46" t="s">
        <v>77</v>
      </c>
      <c r="N474" s="46" t="s">
        <v>238</v>
      </c>
      <c r="O474" s="46">
        <v>828000</v>
      </c>
      <c r="P474" s="46">
        <v>23</v>
      </c>
      <c r="Q474" s="46">
        <v>0</v>
      </c>
      <c r="R474" s="46">
        <v>0</v>
      </c>
      <c r="S474" s="46">
        <v>0</v>
      </c>
      <c r="T474" s="46">
        <v>0</v>
      </c>
      <c r="U474" s="46">
        <v>0</v>
      </c>
      <c r="V474" s="46">
        <v>0</v>
      </c>
      <c r="W474" s="46">
        <v>0</v>
      </c>
      <c r="X474" s="46">
        <v>0</v>
      </c>
      <c r="Y474" s="48">
        <v>0</v>
      </c>
      <c r="Z474" s="46">
        <v>0</v>
      </c>
      <c r="AA474" s="46">
        <v>0</v>
      </c>
      <c r="AB474" s="46">
        <v>0</v>
      </c>
      <c r="AC474" s="46">
        <v>828000</v>
      </c>
      <c r="AD474" s="46">
        <v>23</v>
      </c>
      <c r="AF474" s="47">
        <f t="shared" si="7"/>
        <v>828000</v>
      </c>
    </row>
    <row r="475" spans="1:32" hidden="1" x14ac:dyDescent="0.3">
      <c r="A475" s="46" t="s">
        <v>613</v>
      </c>
      <c r="B475" s="46" t="str">
        <f>IFERROR(VLOOKUP($H475,매장구분!$B:$Z,2,0),"")</f>
        <v>리테일채널팀</v>
      </c>
      <c r="C475" s="46" t="str">
        <f>IFERROR(VLOOKUP($H475,매장구분!$B:$Z,3,0),"")</f>
        <v>국내</v>
      </c>
      <c r="D475" s="46" t="str">
        <f>IFERROR(VLOOKUP($H475,매장구분!$B:$Z,5,0),"")</f>
        <v>상설(위탁)</v>
      </c>
      <c r="E475" s="46" t="str">
        <f>IFERROR(VLOOKUP($H475,매장구분!$B:$Z,9,0),"")</f>
        <v>신세계아울렛기장(상-위)</v>
      </c>
      <c r="G475" s="46" t="s">
        <v>277</v>
      </c>
      <c r="H475" s="46" t="s">
        <v>278</v>
      </c>
      <c r="I475" s="46" t="s">
        <v>169</v>
      </c>
      <c r="J475" s="46" t="s">
        <v>79</v>
      </c>
      <c r="K475" s="46" t="s">
        <v>170</v>
      </c>
      <c r="L475" s="46" t="s">
        <v>171</v>
      </c>
      <c r="M475" s="46" t="s">
        <v>219</v>
      </c>
      <c r="N475" s="46" t="s">
        <v>219</v>
      </c>
      <c r="O475" s="46">
        <v>2448000</v>
      </c>
      <c r="P475" s="46">
        <v>68</v>
      </c>
      <c r="Q475" s="46">
        <v>0</v>
      </c>
      <c r="R475" s="46">
        <v>0</v>
      </c>
      <c r="S475" s="46">
        <v>0</v>
      </c>
      <c r="T475" s="46">
        <v>0</v>
      </c>
      <c r="U475" s="46">
        <v>0</v>
      </c>
      <c r="V475" s="46">
        <v>0</v>
      </c>
      <c r="W475" s="46">
        <v>0</v>
      </c>
      <c r="X475" s="46">
        <v>0</v>
      </c>
      <c r="Y475" s="48">
        <v>0</v>
      </c>
      <c r="Z475" s="46">
        <v>0</v>
      </c>
      <c r="AA475" s="46">
        <v>0</v>
      </c>
      <c r="AB475" s="46">
        <v>0</v>
      </c>
      <c r="AC475" s="46">
        <v>2448000</v>
      </c>
      <c r="AD475" s="46">
        <v>68</v>
      </c>
      <c r="AF475" s="47">
        <f t="shared" si="7"/>
        <v>2448000</v>
      </c>
    </row>
    <row r="476" spans="1:32" hidden="1" x14ac:dyDescent="0.3">
      <c r="A476" s="46" t="s">
        <v>613</v>
      </c>
      <c r="B476" s="46" t="str">
        <f>IFERROR(VLOOKUP($H476,매장구분!$B:$Z,2,0),"")</f>
        <v>파트너채널팀</v>
      </c>
      <c r="C476" s="46" t="str">
        <f>IFERROR(VLOOKUP($H476,매장구분!$B:$Z,3,0),"")</f>
        <v>국내</v>
      </c>
      <c r="D476" s="46" t="str">
        <f>IFERROR(VLOOKUP($H476,매장구분!$B:$Z,5,0),"")</f>
        <v>백화점</v>
      </c>
      <c r="E476" s="46" t="str">
        <f>IFERROR(VLOOKUP($H476,매장구분!$B:$Z,9,0),"")</f>
        <v>신세계강남</v>
      </c>
      <c r="G476" s="46" t="s">
        <v>234</v>
      </c>
      <c r="H476" s="46" t="s">
        <v>235</v>
      </c>
      <c r="I476" s="46" t="s">
        <v>169</v>
      </c>
      <c r="J476" s="46" t="s">
        <v>175</v>
      </c>
      <c r="K476" s="46" t="s">
        <v>170</v>
      </c>
      <c r="L476" s="46" t="s">
        <v>171</v>
      </c>
      <c r="M476" s="46" t="s">
        <v>77</v>
      </c>
      <c r="N476" s="46" t="s">
        <v>172</v>
      </c>
      <c r="O476" s="46">
        <v>31784000</v>
      </c>
      <c r="P476" s="46">
        <v>342</v>
      </c>
      <c r="Q476" s="46">
        <v>3853000</v>
      </c>
      <c r="R476" s="46">
        <v>50</v>
      </c>
      <c r="S476" s="46">
        <v>0</v>
      </c>
      <c r="T476" s="46">
        <v>0</v>
      </c>
      <c r="U476" s="46">
        <v>1905000</v>
      </c>
      <c r="V476" s="46">
        <v>15</v>
      </c>
      <c r="W476" s="46">
        <v>0</v>
      </c>
      <c r="X476" s="46">
        <v>0</v>
      </c>
      <c r="Y476" s="48">
        <v>0</v>
      </c>
      <c r="Z476" s="46">
        <v>0</v>
      </c>
      <c r="AA476" s="46">
        <v>0</v>
      </c>
      <c r="AB476" s="46">
        <v>0</v>
      </c>
      <c r="AC476" s="46">
        <v>37542000</v>
      </c>
      <c r="AD476" s="46">
        <v>407</v>
      </c>
      <c r="AF476" s="47">
        <f t="shared" si="7"/>
        <v>37542000</v>
      </c>
    </row>
    <row r="477" spans="1:32" hidden="1" x14ac:dyDescent="0.3">
      <c r="A477" s="46" t="s">
        <v>613</v>
      </c>
      <c r="B477" s="46" t="str">
        <f>IFERROR(VLOOKUP($H477,매장구분!$B:$Z,2,0),"")</f>
        <v>파트너채널팀</v>
      </c>
      <c r="C477" s="46" t="str">
        <f>IFERROR(VLOOKUP($H477,매장구분!$B:$Z,3,0),"")</f>
        <v>국내</v>
      </c>
      <c r="D477" s="46" t="str">
        <f>IFERROR(VLOOKUP($H477,매장구분!$B:$Z,5,0),"")</f>
        <v>백화점</v>
      </c>
      <c r="E477" s="46" t="str">
        <f>IFERROR(VLOOKUP($H477,매장구분!$B:$Z,9,0),"")</f>
        <v>롯데수원</v>
      </c>
      <c r="G477" s="46" t="s">
        <v>402</v>
      </c>
      <c r="H477" s="46" t="s">
        <v>403</v>
      </c>
      <c r="I477" s="46" t="s">
        <v>169</v>
      </c>
      <c r="J477" s="46" t="s">
        <v>175</v>
      </c>
      <c r="K477" s="46" t="s">
        <v>170</v>
      </c>
      <c r="L477" s="46" t="s">
        <v>171</v>
      </c>
      <c r="M477" s="46" t="s">
        <v>77</v>
      </c>
      <c r="N477" s="46" t="s">
        <v>172</v>
      </c>
      <c r="O477" s="46">
        <v>37987400</v>
      </c>
      <c r="P477" s="46">
        <v>315</v>
      </c>
      <c r="Q477" s="46">
        <v>2187000</v>
      </c>
      <c r="R477" s="46">
        <v>25</v>
      </c>
      <c r="S477" s="46">
        <v>0</v>
      </c>
      <c r="T477" s="46">
        <v>0</v>
      </c>
      <c r="U477" s="46">
        <v>761000</v>
      </c>
      <c r="V477" s="46">
        <v>9</v>
      </c>
      <c r="W477" s="46">
        <v>0</v>
      </c>
      <c r="X477" s="46">
        <v>0</v>
      </c>
      <c r="Y477" s="48">
        <v>0</v>
      </c>
      <c r="Z477" s="46">
        <v>0</v>
      </c>
      <c r="AA477" s="46">
        <v>-588000</v>
      </c>
      <c r="AB477" s="46">
        <v>-2</v>
      </c>
      <c r="AC477" s="46">
        <v>40347400</v>
      </c>
      <c r="AD477" s="46">
        <v>347</v>
      </c>
      <c r="AF477" s="47">
        <f t="shared" si="7"/>
        <v>40347400</v>
      </c>
    </row>
    <row r="478" spans="1:32" hidden="1" x14ac:dyDescent="0.3">
      <c r="A478" s="46" t="s">
        <v>613</v>
      </c>
      <c r="B478" s="46" t="str">
        <f>IFERROR(VLOOKUP($H478,매장구분!$B:$Z,2,0),"")</f>
        <v>파트너채널팀</v>
      </c>
      <c r="C478" s="46" t="str">
        <f>IFERROR(VLOOKUP($H478,매장구분!$B:$Z,3,0),"")</f>
        <v>면세</v>
      </c>
      <c r="D478" s="46" t="str">
        <f>IFERROR(VLOOKUP($H478,매장구분!$B:$Z,5,0),"")</f>
        <v>면세</v>
      </c>
      <c r="E478" s="46" t="str">
        <f>IFERROR(VLOOKUP($H478,매장구분!$B:$Z,9,0),"")</f>
        <v>신세계면세명동</v>
      </c>
      <c r="G478" s="46" t="s">
        <v>173</v>
      </c>
      <c r="H478" s="46" t="s">
        <v>174</v>
      </c>
      <c r="I478" s="46" t="s">
        <v>169</v>
      </c>
      <c r="J478" s="46" t="s">
        <v>175</v>
      </c>
      <c r="K478" s="46" t="s">
        <v>170</v>
      </c>
      <c r="L478" s="46" t="s">
        <v>171</v>
      </c>
      <c r="M478" s="46" t="s">
        <v>176</v>
      </c>
      <c r="N478" s="46" t="s">
        <v>177</v>
      </c>
      <c r="O478" s="46">
        <v>133231300</v>
      </c>
      <c r="P478" s="46">
        <v>2048</v>
      </c>
      <c r="Q478" s="46">
        <v>0</v>
      </c>
      <c r="R478" s="46">
        <v>0</v>
      </c>
      <c r="S478" s="46">
        <v>0</v>
      </c>
      <c r="T478" s="46">
        <v>0</v>
      </c>
      <c r="U478" s="46">
        <v>0</v>
      </c>
      <c r="V478" s="46">
        <v>0</v>
      </c>
      <c r="W478" s="46">
        <v>0</v>
      </c>
      <c r="X478" s="46">
        <v>0</v>
      </c>
      <c r="Y478" s="48">
        <v>107915500</v>
      </c>
      <c r="Z478" s="46">
        <v>1555</v>
      </c>
      <c r="AA478" s="46">
        <v>0</v>
      </c>
      <c r="AB478" s="46">
        <v>0</v>
      </c>
      <c r="AC478" s="46">
        <v>241146800</v>
      </c>
      <c r="AD478" s="46">
        <v>3603</v>
      </c>
      <c r="AF478" s="47">
        <f t="shared" si="7"/>
        <v>133231300</v>
      </c>
    </row>
    <row r="479" spans="1:32" hidden="1" x14ac:dyDescent="0.3">
      <c r="A479" s="46" t="s">
        <v>613</v>
      </c>
      <c r="B479" s="46" t="str">
        <f>IFERROR(VLOOKUP($H479,매장구분!$B:$Z,2,0),"")</f>
        <v>파트너채널팀</v>
      </c>
      <c r="C479" s="46" t="str">
        <f>IFERROR(VLOOKUP($H479,매장구분!$B:$Z,3,0),"")</f>
        <v>면세</v>
      </c>
      <c r="D479" s="46" t="str">
        <f>IFERROR(VLOOKUP($H479,매장구분!$B:$Z,5,0),"")</f>
        <v>면세</v>
      </c>
      <c r="E479" s="46" t="str">
        <f>IFERROR(VLOOKUP($H479,매장구분!$B:$Z,9,0),"")</f>
        <v>신라면세제주</v>
      </c>
      <c r="G479" s="46" t="s">
        <v>334</v>
      </c>
      <c r="H479" s="46" t="s">
        <v>335</v>
      </c>
      <c r="I479" s="46" t="s">
        <v>169</v>
      </c>
      <c r="J479" s="46" t="s">
        <v>175</v>
      </c>
      <c r="K479" s="46" t="s">
        <v>170</v>
      </c>
      <c r="L479" s="46" t="s">
        <v>171</v>
      </c>
      <c r="M479" s="46" t="s">
        <v>176</v>
      </c>
      <c r="N479" s="46" t="s">
        <v>177</v>
      </c>
      <c r="O479" s="46">
        <v>127363100</v>
      </c>
      <c r="P479" s="46">
        <v>2245</v>
      </c>
      <c r="Q479" s="46">
        <v>0</v>
      </c>
      <c r="R479" s="46">
        <v>0</v>
      </c>
      <c r="S479" s="46">
        <v>0</v>
      </c>
      <c r="T479" s="46">
        <v>0</v>
      </c>
      <c r="U479" s="46">
        <v>0</v>
      </c>
      <c r="V479" s="46">
        <v>0</v>
      </c>
      <c r="W479" s="46">
        <v>0</v>
      </c>
      <c r="X479" s="46">
        <v>0</v>
      </c>
      <c r="Y479" s="48">
        <v>0</v>
      </c>
      <c r="Z479" s="46">
        <v>0</v>
      </c>
      <c r="AA479" s="46">
        <v>0</v>
      </c>
      <c r="AB479" s="46">
        <v>0</v>
      </c>
      <c r="AC479" s="46">
        <v>127363100</v>
      </c>
      <c r="AD479" s="46">
        <v>2245</v>
      </c>
      <c r="AF479" s="47">
        <f t="shared" si="7"/>
        <v>127363100</v>
      </c>
    </row>
    <row r="480" spans="1:32" hidden="1" x14ac:dyDescent="0.3">
      <c r="A480" s="46" t="s">
        <v>613</v>
      </c>
      <c r="B480" s="46" t="str">
        <f>IFERROR(VLOOKUP($H480,매장구분!$B:$Z,2,0),"")</f>
        <v>리테일채널팀</v>
      </c>
      <c r="C480" s="46" t="str">
        <f>IFERROR(VLOOKUP($H480,매장구분!$B:$Z,3,0),"")</f>
        <v>국내</v>
      </c>
      <c r="D480" s="46" t="str">
        <f>IFERROR(VLOOKUP($H480,매장구분!$B:$Z,5,0),"")</f>
        <v>대리점</v>
      </c>
      <c r="E480" s="46" t="str">
        <f>IFERROR(VLOOKUP($H480,매장구분!$B:$Z,9,0),"")</f>
        <v>광명(대-위)</v>
      </c>
      <c r="G480" s="46" t="s">
        <v>420</v>
      </c>
      <c r="H480" s="46" t="s">
        <v>421</v>
      </c>
      <c r="I480" s="46" t="s">
        <v>169</v>
      </c>
      <c r="J480" s="46" t="s">
        <v>79</v>
      </c>
      <c r="K480" s="46" t="s">
        <v>170</v>
      </c>
      <c r="L480" s="46" t="s">
        <v>171</v>
      </c>
      <c r="M480" s="46" t="s">
        <v>196</v>
      </c>
      <c r="N480" s="46" t="s">
        <v>197</v>
      </c>
      <c r="O480" s="46">
        <v>11370761</v>
      </c>
      <c r="P480" s="46">
        <v>124</v>
      </c>
      <c r="Q480" s="46">
        <v>0</v>
      </c>
      <c r="R480" s="46">
        <v>0</v>
      </c>
      <c r="S480" s="46">
        <v>0</v>
      </c>
      <c r="T480" s="46">
        <v>0</v>
      </c>
      <c r="U480" s="46">
        <v>343239</v>
      </c>
      <c r="V480" s="46">
        <v>2</v>
      </c>
      <c r="W480" s="46">
        <v>0</v>
      </c>
      <c r="X480" s="46">
        <v>0</v>
      </c>
      <c r="Y480" s="48">
        <v>35427000</v>
      </c>
      <c r="Z480" s="46">
        <v>133</v>
      </c>
      <c r="AA480" s="46">
        <v>0</v>
      </c>
      <c r="AB480" s="46">
        <v>0</v>
      </c>
      <c r="AC480" s="46">
        <v>47141000</v>
      </c>
      <c r="AD480" s="46">
        <v>259</v>
      </c>
      <c r="AF480" s="47">
        <f t="shared" si="7"/>
        <v>11714000</v>
      </c>
    </row>
    <row r="481" spans="1:32" hidden="1" x14ac:dyDescent="0.3">
      <c r="A481" s="46" t="s">
        <v>613</v>
      </c>
      <c r="B481" s="46" t="str">
        <f>IFERROR(VLOOKUP($H481,매장구분!$B:$Z,2,0),"")</f>
        <v>파트너채널팀</v>
      </c>
      <c r="C481" s="46" t="str">
        <f>IFERROR(VLOOKUP($H481,매장구분!$B:$Z,3,0),"")</f>
        <v>국내</v>
      </c>
      <c r="D481" s="46" t="str">
        <f>IFERROR(VLOOKUP($H481,매장구분!$B:$Z,5,0),"")</f>
        <v>백화점</v>
      </c>
      <c r="E481" s="46" t="str">
        <f>IFERROR(VLOOKUP($H481,매장구분!$B:$Z,9,0),"")</f>
        <v>아이파크용산</v>
      </c>
      <c r="G481" s="46" t="s">
        <v>496</v>
      </c>
      <c r="H481" s="46" t="s">
        <v>497</v>
      </c>
      <c r="I481" s="46" t="s">
        <v>169</v>
      </c>
      <c r="J481" s="46" t="s">
        <v>175</v>
      </c>
      <c r="K481" s="46" t="s">
        <v>170</v>
      </c>
      <c r="L481" s="46" t="s">
        <v>171</v>
      </c>
      <c r="M481" s="46" t="s">
        <v>188</v>
      </c>
      <c r="N481" s="46" t="s">
        <v>317</v>
      </c>
      <c r="O481" s="46">
        <v>8347222</v>
      </c>
      <c r="P481" s="46">
        <v>72</v>
      </c>
      <c r="Q481" s="46">
        <v>0</v>
      </c>
      <c r="R481" s="46">
        <v>0</v>
      </c>
      <c r="S481" s="46">
        <v>0</v>
      </c>
      <c r="T481" s="46">
        <v>0</v>
      </c>
      <c r="U481" s="46">
        <v>500050</v>
      </c>
      <c r="V481" s="46">
        <v>2</v>
      </c>
      <c r="W481" s="46">
        <v>0</v>
      </c>
      <c r="X481" s="46">
        <v>0</v>
      </c>
      <c r="Y481" s="48">
        <v>22591128</v>
      </c>
      <c r="Z481" s="46">
        <v>223</v>
      </c>
      <c r="AA481" s="46">
        <v>0</v>
      </c>
      <c r="AB481" s="46">
        <v>0</v>
      </c>
      <c r="AC481" s="46">
        <v>31438400</v>
      </c>
      <c r="AD481" s="46">
        <v>297</v>
      </c>
      <c r="AF481" s="47">
        <f t="shared" si="7"/>
        <v>8847272</v>
      </c>
    </row>
    <row r="482" spans="1:32" hidden="1" x14ac:dyDescent="0.3">
      <c r="A482" s="46" t="s">
        <v>613</v>
      </c>
      <c r="B482" s="46" t="str">
        <f>IFERROR(VLOOKUP($H482,매장구분!$B:$Z,2,0),"")</f>
        <v>파트너채널팀</v>
      </c>
      <c r="C482" s="46" t="str">
        <f>IFERROR(VLOOKUP($H482,매장구분!$B:$Z,3,0),"")</f>
        <v>국내</v>
      </c>
      <c r="D482" s="46" t="str">
        <f>IFERROR(VLOOKUP($H482,매장구분!$B:$Z,5,0),"")</f>
        <v>백화점</v>
      </c>
      <c r="E482" s="46" t="str">
        <f>IFERROR(VLOOKUP($H482,매장구분!$B:$Z,9,0),"")</f>
        <v>롯데일산</v>
      </c>
      <c r="G482" s="46" t="s">
        <v>508</v>
      </c>
      <c r="H482" s="46" t="s">
        <v>509</v>
      </c>
      <c r="I482" s="46" t="s">
        <v>169</v>
      </c>
      <c r="J482" s="46" t="s">
        <v>175</v>
      </c>
      <c r="K482" s="46" t="s">
        <v>170</v>
      </c>
      <c r="L482" s="46" t="s">
        <v>171</v>
      </c>
      <c r="M482" s="46" t="s">
        <v>77</v>
      </c>
      <c r="N482" s="46" t="s">
        <v>172</v>
      </c>
      <c r="O482" s="46">
        <v>14836100</v>
      </c>
      <c r="P482" s="46">
        <v>146</v>
      </c>
      <c r="Q482" s="46">
        <v>43000</v>
      </c>
      <c r="R482" s="46">
        <v>1</v>
      </c>
      <c r="S482" s="46">
        <v>0</v>
      </c>
      <c r="T482" s="46">
        <v>0</v>
      </c>
      <c r="U482" s="46">
        <v>875000</v>
      </c>
      <c r="V482" s="46">
        <v>5</v>
      </c>
      <c r="W482" s="46">
        <v>0</v>
      </c>
      <c r="X482" s="46">
        <v>0</v>
      </c>
      <c r="Y482" s="48">
        <v>10659000</v>
      </c>
      <c r="Z482" s="46">
        <v>99</v>
      </c>
      <c r="AA482" s="46">
        <v>0</v>
      </c>
      <c r="AB482" s="46">
        <v>0</v>
      </c>
      <c r="AC482" s="46">
        <v>26413100</v>
      </c>
      <c r="AD482" s="46">
        <v>251</v>
      </c>
      <c r="AF482" s="47">
        <f t="shared" si="7"/>
        <v>15754100</v>
      </c>
    </row>
    <row r="483" spans="1:32" hidden="1" x14ac:dyDescent="0.3">
      <c r="A483" s="46" t="s">
        <v>613</v>
      </c>
      <c r="B483" s="46" t="str">
        <f>IFERROR(VLOOKUP($H483,매장구분!$B:$Z,2,0),"")</f>
        <v>파트너채널팀</v>
      </c>
      <c r="C483" s="46" t="str">
        <f>IFERROR(VLOOKUP($H483,매장구분!$B:$Z,3,0),"")</f>
        <v>국내</v>
      </c>
      <c r="D483" s="46" t="str">
        <f>IFERROR(VLOOKUP($H483,매장구분!$B:$Z,5,0),"")</f>
        <v>백화점</v>
      </c>
      <c r="E483" s="46" t="str">
        <f>IFERROR(VLOOKUP($H483,매장구분!$B:$Z,9,0),"")</f>
        <v>엔터식스안양</v>
      </c>
      <c r="G483" s="46" t="s">
        <v>414</v>
      </c>
      <c r="H483" s="46" t="s">
        <v>415</v>
      </c>
      <c r="I483" s="46" t="s">
        <v>169</v>
      </c>
      <c r="J483" s="46" t="s">
        <v>175</v>
      </c>
      <c r="K483" s="46" t="s">
        <v>170</v>
      </c>
      <c r="L483" s="46" t="s">
        <v>171</v>
      </c>
      <c r="M483" s="46" t="s">
        <v>188</v>
      </c>
      <c r="N483" s="46" t="s">
        <v>317</v>
      </c>
      <c r="O483" s="46">
        <v>13309700</v>
      </c>
      <c r="P483" s="46">
        <v>170</v>
      </c>
      <c r="Q483" s="46">
        <v>6856000</v>
      </c>
      <c r="R483" s="46">
        <v>38</v>
      </c>
      <c r="S483" s="46">
        <v>0</v>
      </c>
      <c r="T483" s="46">
        <v>0</v>
      </c>
      <c r="U483" s="46">
        <v>1367100</v>
      </c>
      <c r="V483" s="46">
        <v>10</v>
      </c>
      <c r="W483" s="46">
        <v>0</v>
      </c>
      <c r="X483" s="46">
        <v>0</v>
      </c>
      <c r="Y483" s="48">
        <v>0</v>
      </c>
      <c r="Z483" s="46">
        <v>0</v>
      </c>
      <c r="AA483" s="46">
        <v>0</v>
      </c>
      <c r="AB483" s="46">
        <v>0</v>
      </c>
      <c r="AC483" s="46">
        <v>21532800</v>
      </c>
      <c r="AD483" s="46">
        <v>218</v>
      </c>
      <c r="AF483" s="47">
        <f t="shared" si="7"/>
        <v>21532800</v>
      </c>
    </row>
    <row r="484" spans="1:32" hidden="1" x14ac:dyDescent="0.3">
      <c r="A484" s="46" t="s">
        <v>613</v>
      </c>
      <c r="B484" s="46" t="str">
        <f>IFERROR(VLOOKUP($H484,매장구분!$B:$Z,2,0),"")</f>
        <v>리테일채널팀</v>
      </c>
      <c r="C484" s="46" t="str">
        <f>IFERROR(VLOOKUP($H484,매장구분!$B:$Z,3,0),"")</f>
        <v>국내</v>
      </c>
      <c r="D484" s="46" t="str">
        <f>IFERROR(VLOOKUP($H484,매장구분!$B:$Z,5,0),"")</f>
        <v>직영점</v>
      </c>
      <c r="E484" s="46" t="str">
        <f>IFERROR(VLOOKUP($H484,매장구분!$B:$Z,9,0),"")</f>
        <v>타임스퀘어영등포(직)</v>
      </c>
      <c r="G484" s="46" t="s">
        <v>186</v>
      </c>
      <c r="H484" s="46" t="s">
        <v>187</v>
      </c>
      <c r="I484" s="46" t="s">
        <v>169</v>
      </c>
      <c r="J484" s="46" t="s">
        <v>180</v>
      </c>
      <c r="K484" s="46" t="s">
        <v>170</v>
      </c>
      <c r="L484" s="46" t="s">
        <v>171</v>
      </c>
      <c r="M484" s="46" t="s">
        <v>188</v>
      </c>
      <c r="N484" s="46" t="s">
        <v>189</v>
      </c>
      <c r="O484" s="46">
        <v>23699800</v>
      </c>
      <c r="P484" s="46">
        <v>274</v>
      </c>
      <c r="Q484" s="46">
        <v>0</v>
      </c>
      <c r="R484" s="46">
        <v>0</v>
      </c>
      <c r="S484" s="46">
        <v>0</v>
      </c>
      <c r="T484" s="46">
        <v>0</v>
      </c>
      <c r="U484" s="46">
        <v>500400</v>
      </c>
      <c r="V484" s="46">
        <v>4</v>
      </c>
      <c r="W484" s="46">
        <v>0</v>
      </c>
      <c r="X484" s="46">
        <v>0</v>
      </c>
      <c r="Y484" s="48">
        <v>0</v>
      </c>
      <c r="Z484" s="46">
        <v>0</v>
      </c>
      <c r="AA484" s="46">
        <v>0</v>
      </c>
      <c r="AB484" s="46">
        <v>0</v>
      </c>
      <c r="AC484" s="46">
        <v>24200200</v>
      </c>
      <c r="AD484" s="46">
        <v>278</v>
      </c>
      <c r="AF484" s="47">
        <f t="shared" si="7"/>
        <v>24200200</v>
      </c>
    </row>
    <row r="485" spans="1:32" hidden="1" x14ac:dyDescent="0.3">
      <c r="A485" s="46" t="s">
        <v>613</v>
      </c>
      <c r="B485" s="46" t="str">
        <f>IFERROR(VLOOKUP($H485,매장구분!$B:$Z,2,0),"")</f>
        <v>리테일채널팀</v>
      </c>
      <c r="C485" s="46" t="str">
        <f>IFERROR(VLOOKUP($H485,매장구분!$B:$Z,3,0),"")</f>
        <v>국내</v>
      </c>
      <c r="D485" s="46" t="str">
        <f>IFERROR(VLOOKUP($H485,매장구분!$B:$Z,5,0),"")</f>
        <v>직영점</v>
      </c>
      <c r="E485" s="46" t="str">
        <f>IFERROR(VLOOKUP($H485,매장구분!$B:$Z,9,0),"")</f>
        <v>동성로</v>
      </c>
      <c r="G485" s="46" t="s">
        <v>204</v>
      </c>
      <c r="H485" s="46" t="s">
        <v>205</v>
      </c>
      <c r="I485" s="46" t="s">
        <v>169</v>
      </c>
      <c r="J485" s="46" t="s">
        <v>180</v>
      </c>
      <c r="K485" s="46" t="s">
        <v>170</v>
      </c>
      <c r="L485" s="46" t="s">
        <v>171</v>
      </c>
      <c r="M485" s="46" t="s">
        <v>196</v>
      </c>
      <c r="N485" s="46" t="s">
        <v>206</v>
      </c>
      <c r="O485" s="46">
        <v>14702900</v>
      </c>
      <c r="P485" s="46">
        <v>201</v>
      </c>
      <c r="Q485" s="46">
        <v>0</v>
      </c>
      <c r="R485" s="46">
        <v>0</v>
      </c>
      <c r="S485" s="46">
        <v>0</v>
      </c>
      <c r="T485" s="46">
        <v>0</v>
      </c>
      <c r="U485" s="46">
        <v>322200</v>
      </c>
      <c r="V485" s="46">
        <v>2</v>
      </c>
      <c r="W485" s="46">
        <v>0</v>
      </c>
      <c r="X485" s="46">
        <v>0</v>
      </c>
      <c r="Y485" s="48">
        <v>0</v>
      </c>
      <c r="Z485" s="46">
        <v>0</v>
      </c>
      <c r="AA485" s="46">
        <v>0</v>
      </c>
      <c r="AB485" s="46">
        <v>0</v>
      </c>
      <c r="AC485" s="46">
        <v>15025100</v>
      </c>
      <c r="AD485" s="46">
        <v>203</v>
      </c>
      <c r="AF485" s="47">
        <f t="shared" si="7"/>
        <v>15025100</v>
      </c>
    </row>
    <row r="486" spans="1:32" hidden="1" x14ac:dyDescent="0.3">
      <c r="A486" s="46" t="s">
        <v>613</v>
      </c>
      <c r="B486" s="46" t="str">
        <f>IFERROR(VLOOKUP($H486,매장구분!$B:$Z,2,0),"")</f>
        <v>리테일채널팀</v>
      </c>
      <c r="C486" s="46" t="str">
        <f>IFERROR(VLOOKUP($H486,매장구분!$B:$Z,3,0),"")</f>
        <v>국내</v>
      </c>
      <c r="D486" s="46" t="str">
        <f>IFERROR(VLOOKUP($H486,매장구분!$B:$Z,5,0),"")</f>
        <v>대리점</v>
      </c>
      <c r="E486" s="46" t="str">
        <f>IFERROR(VLOOKUP($H486,매장구분!$B:$Z,9,0),"")</f>
        <v>익산(대-위)</v>
      </c>
      <c r="G486" s="46" t="s">
        <v>490</v>
      </c>
      <c r="H486" s="46" t="s">
        <v>491</v>
      </c>
      <c r="I486" s="46" t="s">
        <v>169</v>
      </c>
      <c r="J486" s="46" t="s">
        <v>79</v>
      </c>
      <c r="K486" s="46" t="s">
        <v>170</v>
      </c>
      <c r="L486" s="46" t="s">
        <v>171</v>
      </c>
      <c r="M486" s="46" t="s">
        <v>196</v>
      </c>
      <c r="N486" s="46" t="s">
        <v>197</v>
      </c>
      <c r="O486" s="46">
        <v>11297968</v>
      </c>
      <c r="P486" s="46">
        <v>118</v>
      </c>
      <c r="Q486" s="46">
        <v>0</v>
      </c>
      <c r="R486" s="46">
        <v>0</v>
      </c>
      <c r="S486" s="46">
        <v>0</v>
      </c>
      <c r="T486" s="46">
        <v>0</v>
      </c>
      <c r="U486" s="46">
        <v>1475371</v>
      </c>
      <c r="V486" s="46">
        <v>9</v>
      </c>
      <c r="W486" s="46">
        <v>0</v>
      </c>
      <c r="X486" s="46">
        <v>0</v>
      </c>
      <c r="Y486" s="48">
        <v>12072000</v>
      </c>
      <c r="Z486" s="46">
        <v>128</v>
      </c>
      <c r="AA486" s="46">
        <v>0</v>
      </c>
      <c r="AB486" s="46">
        <v>0</v>
      </c>
      <c r="AC486" s="46">
        <v>24845339</v>
      </c>
      <c r="AD486" s="46">
        <v>255</v>
      </c>
      <c r="AF486" s="47">
        <f t="shared" si="7"/>
        <v>12773339</v>
      </c>
    </row>
    <row r="487" spans="1:32" hidden="1" x14ac:dyDescent="0.3">
      <c r="A487" s="46" t="s">
        <v>613</v>
      </c>
      <c r="B487" s="46" t="str">
        <f>IFERROR(VLOOKUP($H487,매장구분!$B:$Z,2,0),"")</f>
        <v>리테일채널팀</v>
      </c>
      <c r="C487" s="46" t="str">
        <f>IFERROR(VLOOKUP($H487,매장구분!$B:$Z,3,0),"")</f>
        <v>국내</v>
      </c>
      <c r="D487" s="46" t="str">
        <f>IFERROR(VLOOKUP($H487,매장구분!$B:$Z,5,0),"")</f>
        <v>대리점</v>
      </c>
      <c r="E487" s="46" t="str">
        <f>IFERROR(VLOOKUP($H487,매장구분!$B:$Z,9,0),"")</f>
        <v>영주(대-위)</v>
      </c>
      <c r="G487" s="46" t="s">
        <v>392</v>
      </c>
      <c r="H487" s="46" t="s">
        <v>393</v>
      </c>
      <c r="I487" s="46" t="s">
        <v>169</v>
      </c>
      <c r="J487" s="46" t="s">
        <v>79</v>
      </c>
      <c r="K487" s="46" t="s">
        <v>170</v>
      </c>
      <c r="L487" s="46" t="s">
        <v>171</v>
      </c>
      <c r="M487" s="46" t="s">
        <v>196</v>
      </c>
      <c r="N487" s="46" t="s">
        <v>197</v>
      </c>
      <c r="O487" s="46">
        <v>7410639</v>
      </c>
      <c r="P487" s="46">
        <v>68</v>
      </c>
      <c r="Q487" s="46">
        <v>0</v>
      </c>
      <c r="R487" s="46">
        <v>0</v>
      </c>
      <c r="S487" s="46">
        <v>0</v>
      </c>
      <c r="T487" s="46">
        <v>0</v>
      </c>
      <c r="U487" s="46">
        <v>1900361</v>
      </c>
      <c r="V487" s="46">
        <v>6</v>
      </c>
      <c r="W487" s="46">
        <v>0</v>
      </c>
      <c r="X487" s="46">
        <v>0</v>
      </c>
      <c r="Y487" s="48">
        <v>0</v>
      </c>
      <c r="Z487" s="46">
        <v>0</v>
      </c>
      <c r="AA487" s="46">
        <v>0</v>
      </c>
      <c r="AB487" s="46">
        <v>0</v>
      </c>
      <c r="AC487" s="46">
        <v>9311000</v>
      </c>
      <c r="AD487" s="46">
        <v>74</v>
      </c>
      <c r="AF487" s="47">
        <f t="shared" si="7"/>
        <v>9311000</v>
      </c>
    </row>
    <row r="488" spans="1:32" hidden="1" x14ac:dyDescent="0.3">
      <c r="A488" s="46" t="s">
        <v>613</v>
      </c>
      <c r="B488" s="46" t="str">
        <f>IFERROR(VLOOKUP($H488,매장구분!$B:$Z,2,0),"")</f>
        <v>파트너채널팀</v>
      </c>
      <c r="C488" s="46" t="str">
        <f>IFERROR(VLOOKUP($H488,매장구분!$B:$Z,3,0),"")</f>
        <v>국내</v>
      </c>
      <c r="D488" s="46" t="str">
        <f>IFERROR(VLOOKUP($H488,매장구분!$B:$Z,5,0),"")</f>
        <v>백화점</v>
      </c>
      <c r="E488" s="46" t="str">
        <f>IFERROR(VLOOKUP($H488,매장구분!$B:$Z,9,0),"")</f>
        <v>롯데안산</v>
      </c>
      <c r="G488" s="46" t="s">
        <v>200</v>
      </c>
      <c r="H488" s="46" t="s">
        <v>201</v>
      </c>
      <c r="I488" s="46" t="s">
        <v>169</v>
      </c>
      <c r="J488" s="46" t="s">
        <v>175</v>
      </c>
      <c r="K488" s="46" t="s">
        <v>170</v>
      </c>
      <c r="L488" s="46" t="s">
        <v>171</v>
      </c>
      <c r="M488" s="46" t="s">
        <v>77</v>
      </c>
      <c r="N488" s="46" t="s">
        <v>172</v>
      </c>
      <c r="O488" s="46">
        <v>12288700</v>
      </c>
      <c r="P488" s="46">
        <v>118</v>
      </c>
      <c r="Q488" s="46">
        <v>0</v>
      </c>
      <c r="R488" s="46">
        <v>0</v>
      </c>
      <c r="S488" s="46">
        <v>0</v>
      </c>
      <c r="T488" s="46">
        <v>0</v>
      </c>
      <c r="U488" s="46">
        <v>1684200</v>
      </c>
      <c r="V488" s="46">
        <v>8</v>
      </c>
      <c r="W488" s="46">
        <v>0</v>
      </c>
      <c r="X488" s="46">
        <v>0</v>
      </c>
      <c r="Y488" s="48">
        <v>10795000</v>
      </c>
      <c r="Z488" s="46">
        <v>45</v>
      </c>
      <c r="AA488" s="46">
        <v>0</v>
      </c>
      <c r="AB488" s="46">
        <v>0</v>
      </c>
      <c r="AC488" s="46">
        <v>24767900</v>
      </c>
      <c r="AD488" s="46">
        <v>171</v>
      </c>
      <c r="AF488" s="47">
        <f t="shared" si="7"/>
        <v>13972900</v>
      </c>
    </row>
    <row r="489" spans="1:32" hidden="1" x14ac:dyDescent="0.3">
      <c r="A489" s="46" t="s">
        <v>613</v>
      </c>
      <c r="B489" s="46" t="str">
        <f>IFERROR(VLOOKUP($H489,매장구분!$B:$Z,2,0),"")</f>
        <v>리테일채널팀</v>
      </c>
      <c r="C489" s="46" t="str">
        <f>IFERROR(VLOOKUP($H489,매장구분!$B:$Z,3,0),"")</f>
        <v>국내</v>
      </c>
      <c r="D489" s="46" t="str">
        <f>IFERROR(VLOOKUP($H489,매장구분!$B:$Z,5,0),"")</f>
        <v>대리점</v>
      </c>
      <c r="E489" s="46" t="str">
        <f>IFERROR(VLOOKUP($H489,매장구분!$B:$Z,9,0),"")</f>
        <v>부천(대-위)</v>
      </c>
      <c r="G489" s="46" t="s">
        <v>530</v>
      </c>
      <c r="H489" s="46" t="s">
        <v>531</v>
      </c>
      <c r="I489" s="46" t="s">
        <v>169</v>
      </c>
      <c r="J489" s="46" t="s">
        <v>79</v>
      </c>
      <c r="K489" s="46" t="s">
        <v>170</v>
      </c>
      <c r="L489" s="46" t="s">
        <v>171</v>
      </c>
      <c r="M489" s="46" t="s">
        <v>196</v>
      </c>
      <c r="N489" s="46" t="s">
        <v>197</v>
      </c>
      <c r="O489" s="46">
        <v>18382000</v>
      </c>
      <c r="P489" s="46">
        <v>147</v>
      </c>
      <c r="Q489" s="46">
        <v>0</v>
      </c>
      <c r="R489" s="46">
        <v>0</v>
      </c>
      <c r="S489" s="46">
        <v>0</v>
      </c>
      <c r="T489" s="46">
        <v>0</v>
      </c>
      <c r="U489" s="46">
        <v>4375000</v>
      </c>
      <c r="V489" s="46">
        <v>5</v>
      </c>
      <c r="W489" s="46">
        <v>0</v>
      </c>
      <c r="X489" s="46">
        <v>0</v>
      </c>
      <c r="Y489" s="48">
        <v>2826000</v>
      </c>
      <c r="Z489" s="46">
        <v>30</v>
      </c>
      <c r="AA489" s="46">
        <v>0</v>
      </c>
      <c r="AB489" s="46">
        <v>0</v>
      </c>
      <c r="AC489" s="46">
        <v>25583000</v>
      </c>
      <c r="AD489" s="46">
        <v>182</v>
      </c>
      <c r="AF489" s="47">
        <f t="shared" si="7"/>
        <v>22757000</v>
      </c>
    </row>
    <row r="490" spans="1:32" hidden="1" x14ac:dyDescent="0.3">
      <c r="A490" s="46" t="s">
        <v>613</v>
      </c>
      <c r="B490" s="46" t="str">
        <f>IFERROR(VLOOKUP($H490,매장구분!$B:$Z,2,0),"")</f>
        <v>리테일채널팀</v>
      </c>
      <c r="C490" s="46" t="str">
        <f>IFERROR(VLOOKUP($H490,매장구분!$B:$Z,3,0),"")</f>
        <v>국내</v>
      </c>
      <c r="D490" s="46" t="str">
        <f>IFERROR(VLOOKUP($H490,매장구분!$B:$Z,5,0),"")</f>
        <v>상설(위탁)</v>
      </c>
      <c r="E490" s="46" t="str">
        <f>IFERROR(VLOOKUP($H490,매장구분!$B:$Z,9,0),"")</f>
        <v>신세계아울렛여주(상-위)</v>
      </c>
      <c r="G490" s="46" t="s">
        <v>380</v>
      </c>
      <c r="H490" s="46" t="s">
        <v>381</v>
      </c>
      <c r="I490" s="46" t="s">
        <v>169</v>
      </c>
      <c r="J490" s="46" t="s">
        <v>79</v>
      </c>
      <c r="K490" s="46" t="s">
        <v>170</v>
      </c>
      <c r="L490" s="46" t="s">
        <v>171</v>
      </c>
      <c r="M490" s="46" t="s">
        <v>219</v>
      </c>
      <c r="N490" s="46" t="s">
        <v>219</v>
      </c>
      <c r="O490" s="46">
        <v>4176000</v>
      </c>
      <c r="P490" s="46">
        <v>116</v>
      </c>
      <c r="Q490" s="46">
        <v>0</v>
      </c>
      <c r="R490" s="46">
        <v>0</v>
      </c>
      <c r="S490" s="46">
        <v>0</v>
      </c>
      <c r="T490" s="46">
        <v>0</v>
      </c>
      <c r="U490" s="46">
        <v>0</v>
      </c>
      <c r="V490" s="46">
        <v>0</v>
      </c>
      <c r="W490" s="46">
        <v>0</v>
      </c>
      <c r="X490" s="46">
        <v>0</v>
      </c>
      <c r="Y490" s="48">
        <v>0</v>
      </c>
      <c r="Z490" s="46">
        <v>0</v>
      </c>
      <c r="AA490" s="46">
        <v>0</v>
      </c>
      <c r="AB490" s="46">
        <v>0</v>
      </c>
      <c r="AC490" s="46">
        <v>4176000</v>
      </c>
      <c r="AD490" s="46">
        <v>116</v>
      </c>
      <c r="AF490" s="47">
        <f t="shared" si="7"/>
        <v>4176000</v>
      </c>
    </row>
    <row r="491" spans="1:32" hidden="1" x14ac:dyDescent="0.3">
      <c r="A491" s="46" t="s">
        <v>613</v>
      </c>
      <c r="B491" s="46" t="str">
        <f>IFERROR(VLOOKUP($H491,매장구분!$B:$Z,2,0),"")</f>
        <v>리테일채널팀</v>
      </c>
      <c r="C491" s="46" t="str">
        <f>IFERROR(VLOOKUP($H491,매장구분!$B:$Z,3,0),"")</f>
        <v>국내</v>
      </c>
      <c r="D491" s="46" t="str">
        <f>IFERROR(VLOOKUP($H491,매장구분!$B:$Z,5,0),"")</f>
        <v>상설(위탁)</v>
      </c>
      <c r="E491" s="46" t="str">
        <f>IFERROR(VLOOKUP($H491,매장구분!$B:$Z,9,0),"")</f>
        <v>현대아울렛동대문(상-위)</v>
      </c>
      <c r="G491" s="46" t="s">
        <v>526</v>
      </c>
      <c r="H491" s="46" t="s">
        <v>527</v>
      </c>
      <c r="I491" s="46" t="s">
        <v>169</v>
      </c>
      <c r="J491" s="46" t="s">
        <v>79</v>
      </c>
      <c r="K491" s="46" t="s">
        <v>170</v>
      </c>
      <c r="L491" s="46" t="s">
        <v>171</v>
      </c>
      <c r="M491" s="46" t="s">
        <v>219</v>
      </c>
      <c r="N491" s="46" t="s">
        <v>219</v>
      </c>
      <c r="O491" s="46">
        <v>1440000</v>
      </c>
      <c r="P491" s="46">
        <v>40</v>
      </c>
      <c r="Q491" s="46">
        <v>0</v>
      </c>
      <c r="R491" s="46">
        <v>0</v>
      </c>
      <c r="S491" s="46">
        <v>0</v>
      </c>
      <c r="T491" s="46">
        <v>0</v>
      </c>
      <c r="U491" s="46">
        <v>0</v>
      </c>
      <c r="V491" s="46">
        <v>0</v>
      </c>
      <c r="W491" s="46">
        <v>0</v>
      </c>
      <c r="X491" s="46">
        <v>0</v>
      </c>
      <c r="Y491" s="48">
        <v>0</v>
      </c>
      <c r="Z491" s="46">
        <v>0</v>
      </c>
      <c r="AA491" s="46">
        <v>0</v>
      </c>
      <c r="AB491" s="46">
        <v>0</v>
      </c>
      <c r="AC491" s="46">
        <v>1440000</v>
      </c>
      <c r="AD491" s="46">
        <v>40</v>
      </c>
      <c r="AF491" s="47">
        <f t="shared" si="7"/>
        <v>1440000</v>
      </c>
    </row>
    <row r="492" spans="1:32" hidden="1" x14ac:dyDescent="0.3">
      <c r="A492" s="46" t="s">
        <v>613</v>
      </c>
      <c r="B492" s="46" t="str">
        <f>IFERROR(VLOOKUP($H492,매장구분!$B:$Z,2,0),"")</f>
        <v>리테일채널팀</v>
      </c>
      <c r="C492" s="46" t="str">
        <f>IFERROR(VLOOKUP($H492,매장구분!$B:$Z,3,0),"")</f>
        <v>국내</v>
      </c>
      <c r="D492" s="46" t="str">
        <f>IFERROR(VLOOKUP($H492,매장구분!$B:$Z,5,0),"")</f>
        <v>상설(위탁)</v>
      </c>
      <c r="E492" s="46" t="str">
        <f>IFERROR(VLOOKUP($H492,매장구분!$B:$Z,9,0),"")</f>
        <v>롯데아울렛군산(상-위)</v>
      </c>
      <c r="G492" s="46" t="s">
        <v>602</v>
      </c>
      <c r="H492" s="46" t="s">
        <v>603</v>
      </c>
      <c r="I492" s="46" t="s">
        <v>169</v>
      </c>
      <c r="J492" s="46" t="s">
        <v>79</v>
      </c>
      <c r="K492" s="46" t="s">
        <v>170</v>
      </c>
      <c r="L492" s="46" t="s">
        <v>171</v>
      </c>
      <c r="M492" s="46" t="s">
        <v>219</v>
      </c>
      <c r="N492" s="46" t="s">
        <v>219</v>
      </c>
      <c r="O492" s="46">
        <v>432000</v>
      </c>
      <c r="P492" s="46">
        <v>12</v>
      </c>
      <c r="Q492" s="46">
        <v>0</v>
      </c>
      <c r="R492" s="46">
        <v>0</v>
      </c>
      <c r="S492" s="46">
        <v>0</v>
      </c>
      <c r="T492" s="46">
        <v>0</v>
      </c>
      <c r="U492" s="46">
        <v>0</v>
      </c>
      <c r="V492" s="46">
        <v>0</v>
      </c>
      <c r="W492" s="46">
        <v>0</v>
      </c>
      <c r="X492" s="46">
        <v>0</v>
      </c>
      <c r="Y492" s="48">
        <v>0</v>
      </c>
      <c r="Z492" s="46">
        <v>0</v>
      </c>
      <c r="AA492" s="46">
        <v>0</v>
      </c>
      <c r="AB492" s="46">
        <v>0</v>
      </c>
      <c r="AC492" s="46">
        <v>432000</v>
      </c>
      <c r="AD492" s="46">
        <v>12</v>
      </c>
      <c r="AF492" s="47">
        <f t="shared" si="7"/>
        <v>432000</v>
      </c>
    </row>
    <row r="493" spans="1:32" hidden="1" x14ac:dyDescent="0.3">
      <c r="A493" s="46" t="s">
        <v>613</v>
      </c>
      <c r="B493" s="46" t="str">
        <f>IFERROR(VLOOKUP($H493,매장구분!$B:$Z,2,0),"")</f>
        <v>리테일채널팀</v>
      </c>
      <c r="C493" s="46" t="str">
        <f>IFERROR(VLOOKUP($H493,매장구분!$B:$Z,3,0),"")</f>
        <v>국내</v>
      </c>
      <c r="D493" s="46" t="str">
        <f>IFERROR(VLOOKUP($H493,매장구분!$B:$Z,5,0),"")</f>
        <v>상설(위탁)</v>
      </c>
      <c r="E493" s="46" t="str">
        <f>IFERROR(VLOOKUP($H493,매장구분!$B:$Z,9,0),"")</f>
        <v>콜렉티드(상-위)</v>
      </c>
      <c r="G493" s="46" t="s">
        <v>434</v>
      </c>
      <c r="H493" s="46" t="s">
        <v>435</v>
      </c>
      <c r="I493" s="46" t="s">
        <v>169</v>
      </c>
      <c r="J493" s="46" t="s">
        <v>79</v>
      </c>
      <c r="K493" s="46" t="s">
        <v>170</v>
      </c>
      <c r="L493" s="46" t="s">
        <v>171</v>
      </c>
      <c r="M493" s="46" t="s">
        <v>219</v>
      </c>
      <c r="N493" s="46" t="s">
        <v>219</v>
      </c>
      <c r="O493" s="46">
        <v>216000</v>
      </c>
      <c r="P493" s="46">
        <v>6</v>
      </c>
      <c r="Q493" s="46">
        <v>0</v>
      </c>
      <c r="R493" s="46">
        <v>0</v>
      </c>
      <c r="S493" s="46">
        <v>0</v>
      </c>
      <c r="T493" s="46">
        <v>0</v>
      </c>
      <c r="U493" s="46">
        <v>0</v>
      </c>
      <c r="V493" s="46">
        <v>0</v>
      </c>
      <c r="W493" s="46">
        <v>0</v>
      </c>
      <c r="X493" s="46">
        <v>0</v>
      </c>
      <c r="Y493" s="48">
        <v>0</v>
      </c>
      <c r="Z493" s="46">
        <v>0</v>
      </c>
      <c r="AA493" s="46">
        <v>0</v>
      </c>
      <c r="AB493" s="46">
        <v>0</v>
      </c>
      <c r="AC493" s="46">
        <v>216000</v>
      </c>
      <c r="AD493" s="46">
        <v>6</v>
      </c>
      <c r="AF493" s="47">
        <f t="shared" si="7"/>
        <v>216000</v>
      </c>
    </row>
    <row r="494" spans="1:32" hidden="1" x14ac:dyDescent="0.3">
      <c r="A494" s="46" t="s">
        <v>613</v>
      </c>
      <c r="B494" s="46" t="str">
        <f>IFERROR(VLOOKUP($H494,매장구분!$B:$Z,2,0),"")</f>
        <v>파트너채널팀</v>
      </c>
      <c r="C494" s="46" t="str">
        <f>IFERROR(VLOOKUP($H494,매장구분!$B:$Z,3,0),"")</f>
        <v>국내</v>
      </c>
      <c r="D494" s="46" t="str">
        <f>IFERROR(VLOOKUP($H494,매장구분!$B:$Z,5,0),"")</f>
        <v>백화점</v>
      </c>
      <c r="E494" s="46" t="str">
        <f>IFERROR(VLOOKUP($H494,매장구분!$B:$Z,9,0),"")</f>
        <v>롯데노원</v>
      </c>
      <c r="G494" s="46" t="s">
        <v>472</v>
      </c>
      <c r="H494" s="46" t="s">
        <v>473</v>
      </c>
      <c r="I494" s="46" t="s">
        <v>169</v>
      </c>
      <c r="J494" s="46" t="s">
        <v>175</v>
      </c>
      <c r="K494" s="46" t="s">
        <v>170</v>
      </c>
      <c r="L494" s="46" t="s">
        <v>171</v>
      </c>
      <c r="M494" s="46" t="s">
        <v>77</v>
      </c>
      <c r="N494" s="46" t="s">
        <v>172</v>
      </c>
      <c r="O494" s="46">
        <v>42329000</v>
      </c>
      <c r="P494" s="46">
        <v>359</v>
      </c>
      <c r="Q494" s="46">
        <v>0</v>
      </c>
      <c r="R494" s="46">
        <v>0</v>
      </c>
      <c r="S494" s="46">
        <v>0</v>
      </c>
      <c r="T494" s="46">
        <v>0</v>
      </c>
      <c r="U494" s="46">
        <v>7898500</v>
      </c>
      <c r="V494" s="46">
        <v>47</v>
      </c>
      <c r="W494" s="46">
        <v>0</v>
      </c>
      <c r="X494" s="46">
        <v>0</v>
      </c>
      <c r="Y494" s="48">
        <v>198000</v>
      </c>
      <c r="Z494" s="46">
        <v>2</v>
      </c>
      <c r="AA494" s="46">
        <v>0</v>
      </c>
      <c r="AB494" s="46">
        <v>0</v>
      </c>
      <c r="AC494" s="46">
        <v>50425500</v>
      </c>
      <c r="AD494" s="46">
        <v>408</v>
      </c>
      <c r="AF494" s="47">
        <f t="shared" si="7"/>
        <v>50227500</v>
      </c>
    </row>
    <row r="495" spans="1:32" hidden="1" x14ac:dyDescent="0.3">
      <c r="A495" s="46" t="s">
        <v>613</v>
      </c>
      <c r="B495" s="46" t="str">
        <f>IFERROR(VLOOKUP($H495,매장구분!$B:$Z,2,0),"")</f>
        <v>파트너채널팀</v>
      </c>
      <c r="C495" s="46" t="str">
        <f>IFERROR(VLOOKUP($H495,매장구분!$B:$Z,3,0),"")</f>
        <v>국내</v>
      </c>
      <c r="D495" s="46" t="str">
        <f>IFERROR(VLOOKUP($H495,매장구분!$B:$Z,5,0),"")</f>
        <v>백화점</v>
      </c>
      <c r="E495" s="46" t="str">
        <f>IFERROR(VLOOKUP($H495,매장구분!$B:$Z,9,0),"")</f>
        <v>롯데부산</v>
      </c>
      <c r="G495" s="46" t="s">
        <v>452</v>
      </c>
      <c r="H495" s="46" t="s">
        <v>453</v>
      </c>
      <c r="I495" s="46" t="s">
        <v>169</v>
      </c>
      <c r="J495" s="46" t="s">
        <v>175</v>
      </c>
      <c r="K495" s="46" t="s">
        <v>170</v>
      </c>
      <c r="L495" s="46" t="s">
        <v>171</v>
      </c>
      <c r="M495" s="46" t="s">
        <v>77</v>
      </c>
      <c r="N495" s="46" t="s">
        <v>172</v>
      </c>
      <c r="O495" s="46">
        <v>23622470</v>
      </c>
      <c r="P495" s="46">
        <v>236</v>
      </c>
      <c r="Q495" s="46">
        <v>0</v>
      </c>
      <c r="R495" s="46">
        <v>0</v>
      </c>
      <c r="S495" s="46">
        <v>0</v>
      </c>
      <c r="T495" s="46">
        <v>0</v>
      </c>
      <c r="U495" s="46">
        <v>2231730</v>
      </c>
      <c r="V495" s="46">
        <v>14</v>
      </c>
      <c r="W495" s="46">
        <v>0</v>
      </c>
      <c r="X495" s="46">
        <v>0</v>
      </c>
      <c r="Y495" s="48">
        <v>91199900</v>
      </c>
      <c r="Z495" s="46">
        <v>548</v>
      </c>
      <c r="AA495" s="46">
        <v>0</v>
      </c>
      <c r="AB495" s="46">
        <v>0</v>
      </c>
      <c r="AC495" s="46">
        <v>117054100</v>
      </c>
      <c r="AD495" s="46">
        <v>798</v>
      </c>
      <c r="AF495" s="47">
        <f t="shared" si="7"/>
        <v>25854200</v>
      </c>
    </row>
    <row r="496" spans="1:32" hidden="1" x14ac:dyDescent="0.3">
      <c r="A496" s="46" t="s">
        <v>613</v>
      </c>
      <c r="B496" s="46" t="str">
        <f>IFERROR(VLOOKUP($H496,매장구분!$B:$Z,2,0),"")</f>
        <v>리테일채널팀</v>
      </c>
      <c r="C496" s="46" t="str">
        <f>IFERROR(VLOOKUP($H496,매장구분!$B:$Z,3,0),"")</f>
        <v>국내</v>
      </c>
      <c r="D496" s="46" t="str">
        <f>IFERROR(VLOOKUP($H496,매장구분!$B:$Z,5,0),"")</f>
        <v>대리점</v>
      </c>
      <c r="E496" s="46" t="str">
        <f>IFERROR(VLOOKUP($H496,매장구분!$B:$Z,9,0),"")</f>
        <v>거제(대-위)</v>
      </c>
      <c r="G496" s="46" t="s">
        <v>502</v>
      </c>
      <c r="H496" s="46" t="s">
        <v>503</v>
      </c>
      <c r="I496" s="46" t="s">
        <v>169</v>
      </c>
      <c r="J496" s="46" t="s">
        <v>79</v>
      </c>
      <c r="K496" s="46" t="s">
        <v>170</v>
      </c>
      <c r="L496" s="46" t="s">
        <v>171</v>
      </c>
      <c r="M496" s="46" t="s">
        <v>196</v>
      </c>
      <c r="N496" s="46" t="s">
        <v>197</v>
      </c>
      <c r="O496" s="46">
        <v>12106378</v>
      </c>
      <c r="P496" s="46">
        <v>117</v>
      </c>
      <c r="Q496" s="46">
        <v>0</v>
      </c>
      <c r="R496" s="46">
        <v>0</v>
      </c>
      <c r="S496" s="46">
        <v>0</v>
      </c>
      <c r="T496" s="46">
        <v>0</v>
      </c>
      <c r="U496" s="46">
        <v>1211522</v>
      </c>
      <c r="V496" s="46">
        <v>7</v>
      </c>
      <c r="W496" s="46">
        <v>0</v>
      </c>
      <c r="X496" s="46">
        <v>0</v>
      </c>
      <c r="Y496" s="48">
        <v>0</v>
      </c>
      <c r="Z496" s="46">
        <v>0</v>
      </c>
      <c r="AA496" s="46">
        <v>0</v>
      </c>
      <c r="AB496" s="46">
        <v>0</v>
      </c>
      <c r="AC496" s="46">
        <v>13317900</v>
      </c>
      <c r="AD496" s="46">
        <v>124</v>
      </c>
      <c r="AF496" s="47">
        <f t="shared" si="7"/>
        <v>13317900</v>
      </c>
    </row>
    <row r="497" spans="1:32" hidden="1" x14ac:dyDescent="0.3">
      <c r="A497" s="46" t="s">
        <v>613</v>
      </c>
      <c r="B497" s="46" t="str">
        <f>IFERROR(VLOOKUP($H497,매장구분!$B:$Z,2,0),"")</f>
        <v>파트너채널팀</v>
      </c>
      <c r="C497" s="46" t="str">
        <f>IFERROR(VLOOKUP($H497,매장구분!$B:$Z,3,0),"")</f>
        <v>국내</v>
      </c>
      <c r="D497" s="46" t="str">
        <f>IFERROR(VLOOKUP($H497,매장구분!$B:$Z,5,0),"")</f>
        <v>백화점</v>
      </c>
      <c r="E497" s="46" t="str">
        <f>IFERROR(VLOOKUP($H497,매장구분!$B:$Z,9,0),"")</f>
        <v>현대킨텍스</v>
      </c>
      <c r="G497" s="46" t="s">
        <v>442</v>
      </c>
      <c r="H497" s="46" t="s">
        <v>443</v>
      </c>
      <c r="I497" s="46" t="s">
        <v>169</v>
      </c>
      <c r="J497" s="46" t="s">
        <v>175</v>
      </c>
      <c r="K497" s="46" t="s">
        <v>170</v>
      </c>
      <c r="L497" s="46" t="s">
        <v>171</v>
      </c>
      <c r="M497" s="46" t="s">
        <v>77</v>
      </c>
      <c r="N497" s="46" t="s">
        <v>172</v>
      </c>
      <c r="O497" s="46">
        <v>5105600</v>
      </c>
      <c r="P497" s="46">
        <v>51</v>
      </c>
      <c r="Q497" s="46">
        <v>0</v>
      </c>
      <c r="R497" s="46">
        <v>0</v>
      </c>
      <c r="S497" s="46">
        <v>0</v>
      </c>
      <c r="T497" s="46">
        <v>0</v>
      </c>
      <c r="U497" s="46">
        <v>1322700</v>
      </c>
      <c r="V497" s="46">
        <v>7</v>
      </c>
      <c r="W497" s="46">
        <v>0</v>
      </c>
      <c r="X497" s="46">
        <v>0</v>
      </c>
      <c r="Y497" s="48">
        <v>24335900</v>
      </c>
      <c r="Z497" s="46">
        <v>144</v>
      </c>
      <c r="AA497" s="46">
        <v>0</v>
      </c>
      <c r="AB497" s="46">
        <v>0</v>
      </c>
      <c r="AC497" s="46">
        <v>30764200</v>
      </c>
      <c r="AD497" s="46">
        <v>202</v>
      </c>
      <c r="AF497" s="47">
        <f t="shared" si="7"/>
        <v>6428300</v>
      </c>
    </row>
    <row r="498" spans="1:32" hidden="1" x14ac:dyDescent="0.3">
      <c r="A498" s="46" t="s">
        <v>613</v>
      </c>
      <c r="B498" s="46" t="str">
        <f>IFERROR(VLOOKUP($H498,매장구분!$B:$Z,2,0),"")</f>
        <v>파트너채널팀</v>
      </c>
      <c r="C498" s="46" t="str">
        <f>IFERROR(VLOOKUP($H498,매장구분!$B:$Z,3,0),"")</f>
        <v>국내</v>
      </c>
      <c r="D498" s="46" t="str">
        <f>IFERROR(VLOOKUP($H498,매장구분!$B:$Z,5,0),"")</f>
        <v>백화점</v>
      </c>
      <c r="E498" s="46" t="str">
        <f>IFERROR(VLOOKUP($H498,매장구분!$B:$Z,9,0),"")</f>
        <v>현대중동</v>
      </c>
      <c r="G498" s="46" t="s">
        <v>494</v>
      </c>
      <c r="H498" s="46" t="s">
        <v>495</v>
      </c>
      <c r="I498" s="46" t="s">
        <v>169</v>
      </c>
      <c r="J498" s="46" t="s">
        <v>175</v>
      </c>
      <c r="K498" s="46" t="s">
        <v>170</v>
      </c>
      <c r="L498" s="46" t="s">
        <v>171</v>
      </c>
      <c r="M498" s="46" t="s">
        <v>77</v>
      </c>
      <c r="N498" s="46" t="s">
        <v>172</v>
      </c>
      <c r="O498" s="46">
        <v>22841300</v>
      </c>
      <c r="P498" s="46">
        <v>143</v>
      </c>
      <c r="Q498" s="46">
        <v>179000</v>
      </c>
      <c r="R498" s="46">
        <v>1</v>
      </c>
      <c r="S498" s="46">
        <v>0</v>
      </c>
      <c r="T498" s="46">
        <v>0</v>
      </c>
      <c r="U498" s="46">
        <v>1967000</v>
      </c>
      <c r="V498" s="46">
        <v>13</v>
      </c>
      <c r="W498" s="46">
        <v>0</v>
      </c>
      <c r="X498" s="46">
        <v>0</v>
      </c>
      <c r="Y498" s="48">
        <v>0</v>
      </c>
      <c r="Z498" s="46">
        <v>0</v>
      </c>
      <c r="AA498" s="46">
        <v>0</v>
      </c>
      <c r="AB498" s="46">
        <v>0</v>
      </c>
      <c r="AC498" s="46">
        <v>24987300</v>
      </c>
      <c r="AD498" s="46">
        <v>157</v>
      </c>
      <c r="AF498" s="47">
        <f t="shared" si="7"/>
        <v>24987300</v>
      </c>
    </row>
    <row r="499" spans="1:32" hidden="1" x14ac:dyDescent="0.3">
      <c r="A499" s="46" t="s">
        <v>613</v>
      </c>
      <c r="B499" s="46" t="str">
        <f>IFERROR(VLOOKUP($H499,매장구분!$B:$Z,2,0),"")</f>
        <v>파트너채널팀</v>
      </c>
      <c r="C499" s="46" t="str">
        <f>IFERROR(VLOOKUP($H499,매장구분!$B:$Z,3,0),"")</f>
        <v>국내</v>
      </c>
      <c r="D499" s="46" t="str">
        <f>IFERROR(VLOOKUP($H499,매장구분!$B:$Z,5,0),"")</f>
        <v>백화점</v>
      </c>
      <c r="E499" s="46" t="str">
        <f>IFERROR(VLOOKUP($H499,매장구분!$B:$Z,9,0),"")</f>
        <v>롯데김포</v>
      </c>
      <c r="G499" s="46" t="s">
        <v>190</v>
      </c>
      <c r="H499" s="46" t="s">
        <v>191</v>
      </c>
      <c r="I499" s="46" t="s">
        <v>169</v>
      </c>
      <c r="J499" s="46" t="s">
        <v>175</v>
      </c>
      <c r="K499" s="46" t="s">
        <v>170</v>
      </c>
      <c r="L499" s="46" t="s">
        <v>171</v>
      </c>
      <c r="M499" s="46" t="s">
        <v>77</v>
      </c>
      <c r="N499" s="46" t="s">
        <v>172</v>
      </c>
      <c r="O499" s="46">
        <v>25262000</v>
      </c>
      <c r="P499" s="46">
        <v>296</v>
      </c>
      <c r="Q499" s="46">
        <v>0</v>
      </c>
      <c r="R499" s="46">
        <v>0</v>
      </c>
      <c r="S499" s="46">
        <v>0</v>
      </c>
      <c r="T499" s="46">
        <v>0</v>
      </c>
      <c r="U499" s="46">
        <v>2949100</v>
      </c>
      <c r="V499" s="46">
        <v>19</v>
      </c>
      <c r="W499" s="46">
        <v>0</v>
      </c>
      <c r="X499" s="46">
        <v>0</v>
      </c>
      <c r="Y499" s="48">
        <v>0</v>
      </c>
      <c r="Z499" s="46">
        <v>0</v>
      </c>
      <c r="AA499" s="46">
        <v>0</v>
      </c>
      <c r="AB499" s="46">
        <v>0</v>
      </c>
      <c r="AC499" s="46">
        <v>28211100</v>
      </c>
      <c r="AD499" s="46">
        <v>315</v>
      </c>
      <c r="AF499" s="47">
        <f t="shared" si="7"/>
        <v>28211100</v>
      </c>
    </row>
    <row r="500" spans="1:32" hidden="1" x14ac:dyDescent="0.3">
      <c r="A500" s="46" t="s">
        <v>613</v>
      </c>
      <c r="B500" s="46" t="str">
        <f>IFERROR(VLOOKUP($H500,매장구분!$B:$Z,2,0),"")</f>
        <v>파트너채널팀</v>
      </c>
      <c r="C500" s="46" t="str">
        <f>IFERROR(VLOOKUP($H500,매장구분!$B:$Z,3,0),"")</f>
        <v>국내</v>
      </c>
      <c r="D500" s="46" t="str">
        <f>IFERROR(VLOOKUP($H500,매장구분!$B:$Z,5,0),"")</f>
        <v>백화점</v>
      </c>
      <c r="E500" s="46" t="str">
        <f>IFERROR(VLOOKUP($H500,매장구분!$B:$Z,9,0),"")</f>
        <v>AK원주</v>
      </c>
      <c r="G500" s="46" t="s">
        <v>396</v>
      </c>
      <c r="H500" s="46" t="s">
        <v>397</v>
      </c>
      <c r="I500" s="46" t="s">
        <v>169</v>
      </c>
      <c r="J500" s="46" t="s">
        <v>175</v>
      </c>
      <c r="K500" s="46" t="s">
        <v>170</v>
      </c>
      <c r="L500" s="46" t="s">
        <v>171</v>
      </c>
      <c r="M500" s="46" t="s">
        <v>77</v>
      </c>
      <c r="N500" s="46" t="s">
        <v>172</v>
      </c>
      <c r="O500" s="46">
        <v>26151200</v>
      </c>
      <c r="P500" s="46">
        <v>212</v>
      </c>
      <c r="Q500" s="46">
        <v>0</v>
      </c>
      <c r="R500" s="46">
        <v>0</v>
      </c>
      <c r="S500" s="46">
        <v>0</v>
      </c>
      <c r="T500" s="46">
        <v>0</v>
      </c>
      <c r="U500" s="46">
        <v>0</v>
      </c>
      <c r="V500" s="46">
        <v>0</v>
      </c>
      <c r="W500" s="46">
        <v>0</v>
      </c>
      <c r="X500" s="46">
        <v>0</v>
      </c>
      <c r="Y500" s="48">
        <v>6598000</v>
      </c>
      <c r="Z500" s="46">
        <v>19</v>
      </c>
      <c r="AA500" s="46">
        <v>0</v>
      </c>
      <c r="AB500" s="46">
        <v>0</v>
      </c>
      <c r="AC500" s="46">
        <v>32749200</v>
      </c>
      <c r="AD500" s="46">
        <v>231</v>
      </c>
      <c r="AF500" s="47">
        <f t="shared" si="7"/>
        <v>26151200</v>
      </c>
    </row>
    <row r="501" spans="1:32" hidden="1" x14ac:dyDescent="0.3">
      <c r="A501" s="46" t="s">
        <v>613</v>
      </c>
      <c r="B501" s="46" t="str">
        <f>IFERROR(VLOOKUP($H501,매장구분!$B:$Z,2,0),"")</f>
        <v>파트너채널팀</v>
      </c>
      <c r="C501" s="46" t="str">
        <f>IFERROR(VLOOKUP($H501,매장구분!$B:$Z,3,0),"")</f>
        <v>국내</v>
      </c>
      <c r="D501" s="46" t="str">
        <f>IFERROR(VLOOKUP($H501,매장구분!$B:$Z,5,0),"")</f>
        <v>백화점</v>
      </c>
      <c r="E501" s="46" t="str">
        <f>IFERROR(VLOOKUP($H501,매장구분!$B:$Z,9,0),"")</f>
        <v>신세계대전</v>
      </c>
      <c r="G501" s="46" t="s">
        <v>263</v>
      </c>
      <c r="H501" s="46" t="s">
        <v>264</v>
      </c>
      <c r="I501" s="46" t="s">
        <v>169</v>
      </c>
      <c r="J501" s="46" t="s">
        <v>175</v>
      </c>
      <c r="K501" s="46" t="s">
        <v>170</v>
      </c>
      <c r="L501" s="46" t="s">
        <v>171</v>
      </c>
      <c r="M501" s="46" t="s">
        <v>77</v>
      </c>
      <c r="N501" s="46" t="s">
        <v>172</v>
      </c>
      <c r="O501" s="46">
        <v>12967452</v>
      </c>
      <c r="P501" s="46">
        <v>141</v>
      </c>
      <c r="Q501" s="46">
        <v>0</v>
      </c>
      <c r="R501" s="46">
        <v>0</v>
      </c>
      <c r="S501" s="46">
        <v>0</v>
      </c>
      <c r="T501" s="46">
        <v>0</v>
      </c>
      <c r="U501" s="46">
        <v>5964448</v>
      </c>
      <c r="V501" s="46">
        <v>37</v>
      </c>
      <c r="W501" s="46">
        <v>0</v>
      </c>
      <c r="X501" s="46">
        <v>0</v>
      </c>
      <c r="Y501" s="48">
        <v>3272000</v>
      </c>
      <c r="Z501" s="46">
        <v>8</v>
      </c>
      <c r="AA501" s="46">
        <v>0</v>
      </c>
      <c r="AB501" s="46">
        <v>0</v>
      </c>
      <c r="AC501" s="46">
        <v>22203900</v>
      </c>
      <c r="AD501" s="46">
        <v>186</v>
      </c>
      <c r="AF501" s="47">
        <f t="shared" si="7"/>
        <v>18931900</v>
      </c>
    </row>
    <row r="502" spans="1:32" hidden="1" x14ac:dyDescent="0.3">
      <c r="A502" s="46" t="s">
        <v>613</v>
      </c>
      <c r="B502" s="46" t="str">
        <f>IFERROR(VLOOKUP($H502,매장구분!$B:$Z,2,0),"")</f>
        <v>리테일채널팀</v>
      </c>
      <c r="C502" s="46" t="str">
        <f>IFERROR(VLOOKUP($H502,매장구분!$B:$Z,3,0),"")</f>
        <v>국내</v>
      </c>
      <c r="D502" s="46" t="str">
        <f>IFERROR(VLOOKUP($H502,매장구분!$B:$Z,5,0),"")</f>
        <v>대리점</v>
      </c>
      <c r="E502" s="46" t="str">
        <f>IFERROR(VLOOKUP($H502,매장구분!$B:$Z,9,0),"")</f>
        <v>화성봉담(대-위)</v>
      </c>
      <c r="G502" s="46" t="s">
        <v>273</v>
      </c>
      <c r="H502" s="46" t="s">
        <v>274</v>
      </c>
      <c r="I502" s="46" t="s">
        <v>169</v>
      </c>
      <c r="J502" s="46" t="s">
        <v>79</v>
      </c>
      <c r="K502" s="46" t="s">
        <v>170</v>
      </c>
      <c r="L502" s="46" t="s">
        <v>171</v>
      </c>
      <c r="M502" s="46" t="s">
        <v>196</v>
      </c>
      <c r="N502" s="46" t="s">
        <v>197</v>
      </c>
      <c r="O502" s="46">
        <v>12090459</v>
      </c>
      <c r="P502" s="46">
        <v>103</v>
      </c>
      <c r="Q502" s="46">
        <v>0</v>
      </c>
      <c r="R502" s="46">
        <v>0</v>
      </c>
      <c r="S502" s="46">
        <v>0</v>
      </c>
      <c r="T502" s="46">
        <v>0</v>
      </c>
      <c r="U502" s="46">
        <v>1671829</v>
      </c>
      <c r="V502" s="46">
        <v>8</v>
      </c>
      <c r="W502" s="46">
        <v>0</v>
      </c>
      <c r="X502" s="46">
        <v>0</v>
      </c>
      <c r="Y502" s="48">
        <v>13615200</v>
      </c>
      <c r="Z502" s="46">
        <v>132</v>
      </c>
      <c r="AA502" s="46">
        <v>0</v>
      </c>
      <c r="AB502" s="46">
        <v>0</v>
      </c>
      <c r="AC502" s="46">
        <v>27377488</v>
      </c>
      <c r="AD502" s="46">
        <v>243</v>
      </c>
      <c r="AF502" s="47">
        <f t="shared" si="7"/>
        <v>13762288</v>
      </c>
    </row>
    <row r="503" spans="1:32" hidden="1" x14ac:dyDescent="0.3">
      <c r="A503" s="46" t="s">
        <v>613</v>
      </c>
      <c r="B503" s="46" t="str">
        <f>IFERROR(VLOOKUP($H503,매장구분!$B:$Z,2,0),"")</f>
        <v>리테일채널팀</v>
      </c>
      <c r="C503" s="46" t="str">
        <f>IFERROR(VLOOKUP($H503,매장구분!$B:$Z,3,0),"")</f>
        <v>국내</v>
      </c>
      <c r="D503" s="46" t="str">
        <f>IFERROR(VLOOKUP($H503,매장구분!$B:$Z,5,0),"")</f>
        <v>대리점</v>
      </c>
      <c r="E503" s="46" t="str">
        <f>IFERROR(VLOOKUP($H503,매장구분!$B:$Z,9,0),"")</f>
        <v>여천(대-위)</v>
      </c>
      <c r="G503" s="46" t="s">
        <v>500</v>
      </c>
      <c r="H503" s="46" t="s">
        <v>501</v>
      </c>
      <c r="I503" s="46" t="s">
        <v>169</v>
      </c>
      <c r="J503" s="46" t="s">
        <v>79</v>
      </c>
      <c r="K503" s="46" t="s">
        <v>170</v>
      </c>
      <c r="L503" s="46" t="s">
        <v>171</v>
      </c>
      <c r="M503" s="46" t="s">
        <v>196</v>
      </c>
      <c r="N503" s="46" t="s">
        <v>197</v>
      </c>
      <c r="O503" s="46">
        <v>5496000</v>
      </c>
      <c r="P503" s="46">
        <v>62</v>
      </c>
      <c r="Q503" s="46">
        <v>0</v>
      </c>
      <c r="R503" s="46">
        <v>0</v>
      </c>
      <c r="S503" s="46">
        <v>0</v>
      </c>
      <c r="T503" s="46">
        <v>0</v>
      </c>
      <c r="U503" s="46">
        <v>704000</v>
      </c>
      <c r="V503" s="46">
        <v>5</v>
      </c>
      <c r="W503" s="46">
        <v>0</v>
      </c>
      <c r="X503" s="46">
        <v>0</v>
      </c>
      <c r="Y503" s="48">
        <v>0</v>
      </c>
      <c r="Z503" s="46">
        <v>0</v>
      </c>
      <c r="AA503" s="46">
        <v>0</v>
      </c>
      <c r="AB503" s="46">
        <v>0</v>
      </c>
      <c r="AC503" s="46">
        <v>6200000</v>
      </c>
      <c r="AD503" s="46">
        <v>67</v>
      </c>
      <c r="AF503" s="47">
        <f t="shared" si="7"/>
        <v>6200000</v>
      </c>
    </row>
    <row r="504" spans="1:32" hidden="1" x14ac:dyDescent="0.3">
      <c r="A504" s="46" t="s">
        <v>613</v>
      </c>
      <c r="B504" s="46" t="str">
        <f>IFERROR(VLOOKUP($H504,매장구분!$B:$Z,2,0),"")</f>
        <v>리테일채널팀</v>
      </c>
      <c r="C504" s="46" t="str">
        <f>IFERROR(VLOOKUP($H504,매장구분!$B:$Z,3,0),"")</f>
        <v>국내</v>
      </c>
      <c r="D504" s="46" t="str">
        <f>IFERROR(VLOOKUP($H504,매장구분!$B:$Z,5,0),"")</f>
        <v>직영점</v>
      </c>
      <c r="E504" s="46" t="str">
        <f>IFERROR(VLOOKUP($H504,매장구분!$B:$Z,9,0),"")</f>
        <v>충장로</v>
      </c>
      <c r="G504" s="46" t="s">
        <v>544</v>
      </c>
      <c r="H504" s="46" t="s">
        <v>545</v>
      </c>
      <c r="I504" s="46" t="s">
        <v>169</v>
      </c>
      <c r="J504" s="46" t="s">
        <v>180</v>
      </c>
      <c r="K504" s="46" t="s">
        <v>170</v>
      </c>
      <c r="L504" s="46" t="s">
        <v>171</v>
      </c>
      <c r="M504" s="46" t="s">
        <v>196</v>
      </c>
      <c r="N504" s="46" t="s">
        <v>206</v>
      </c>
      <c r="O504" s="46">
        <v>24757100</v>
      </c>
      <c r="P504" s="46">
        <v>254</v>
      </c>
      <c r="Q504" s="46">
        <v>0</v>
      </c>
      <c r="R504" s="46">
        <v>0</v>
      </c>
      <c r="S504" s="46">
        <v>0</v>
      </c>
      <c r="T504" s="46">
        <v>0</v>
      </c>
      <c r="U504" s="46">
        <v>253100</v>
      </c>
      <c r="V504" s="46">
        <v>3</v>
      </c>
      <c r="W504" s="46">
        <v>0</v>
      </c>
      <c r="X504" s="46">
        <v>0</v>
      </c>
      <c r="Y504" s="48">
        <v>0</v>
      </c>
      <c r="Z504" s="46">
        <v>0</v>
      </c>
      <c r="AA504" s="46">
        <v>0</v>
      </c>
      <c r="AB504" s="46">
        <v>0</v>
      </c>
      <c r="AC504" s="46">
        <v>25010200</v>
      </c>
      <c r="AD504" s="46">
        <v>257</v>
      </c>
      <c r="AF504" s="47">
        <f t="shared" si="7"/>
        <v>25010200</v>
      </c>
    </row>
    <row r="505" spans="1:32" hidden="1" x14ac:dyDescent="0.3">
      <c r="A505" s="46" t="s">
        <v>613</v>
      </c>
      <c r="B505" s="46" t="str">
        <f>IFERROR(VLOOKUP($H505,매장구분!$B:$Z,2,0),"")</f>
        <v>파트너채널팀</v>
      </c>
      <c r="C505" s="46" t="str">
        <f>IFERROR(VLOOKUP($H505,매장구분!$B:$Z,3,0),"")</f>
        <v>국내</v>
      </c>
      <c r="D505" s="46" t="str">
        <f>IFERROR(VLOOKUP($H505,매장구분!$B:$Z,5,0),"")</f>
        <v>백화점</v>
      </c>
      <c r="E505" s="46" t="str">
        <f>IFERROR(VLOOKUP($H505,매장구분!$B:$Z,9,0),"")</f>
        <v>롯데분당</v>
      </c>
      <c r="G505" s="46" t="s">
        <v>470</v>
      </c>
      <c r="H505" s="46" t="s">
        <v>471</v>
      </c>
      <c r="I505" s="46" t="s">
        <v>169</v>
      </c>
      <c r="J505" s="46" t="s">
        <v>175</v>
      </c>
      <c r="K505" s="46" t="s">
        <v>170</v>
      </c>
      <c r="L505" s="46" t="s">
        <v>171</v>
      </c>
      <c r="M505" s="46" t="s">
        <v>77</v>
      </c>
      <c r="N505" s="46" t="s">
        <v>172</v>
      </c>
      <c r="O505" s="46">
        <v>4825200</v>
      </c>
      <c r="P505" s="46">
        <v>62</v>
      </c>
      <c r="Q505" s="46">
        <v>846000</v>
      </c>
      <c r="R505" s="46">
        <v>15</v>
      </c>
      <c r="S505" s="46">
        <v>0</v>
      </c>
      <c r="T505" s="46">
        <v>0</v>
      </c>
      <c r="U505" s="46">
        <v>-48600</v>
      </c>
      <c r="V505" s="46">
        <v>2</v>
      </c>
      <c r="W505" s="46">
        <v>0</v>
      </c>
      <c r="X505" s="46">
        <v>0</v>
      </c>
      <c r="Y505" s="48">
        <v>0</v>
      </c>
      <c r="Z505" s="46">
        <v>0</v>
      </c>
      <c r="AA505" s="46">
        <v>0</v>
      </c>
      <c r="AB505" s="46">
        <v>0</v>
      </c>
      <c r="AC505" s="46">
        <v>5622600</v>
      </c>
      <c r="AD505" s="46">
        <v>79</v>
      </c>
      <c r="AF505" s="47">
        <f t="shared" si="7"/>
        <v>5622600</v>
      </c>
    </row>
    <row r="506" spans="1:32" hidden="1" x14ac:dyDescent="0.3">
      <c r="A506" s="46" t="s">
        <v>613</v>
      </c>
      <c r="B506" s="46" t="str">
        <f>IFERROR(VLOOKUP($H506,매장구분!$B:$Z,2,0),"")</f>
        <v>리테일채널팀</v>
      </c>
      <c r="C506" s="46" t="str">
        <f>IFERROR(VLOOKUP($H506,매장구분!$B:$Z,3,0),"")</f>
        <v>국내</v>
      </c>
      <c r="D506" s="46" t="str">
        <f>IFERROR(VLOOKUP($H506,매장구분!$B:$Z,5,0),"")</f>
        <v>대리점</v>
      </c>
      <c r="E506" s="46" t="str">
        <f>IFERROR(VLOOKUP($H506,매장구분!$B:$Z,9,0),"")</f>
        <v>서산(대-위)</v>
      </c>
      <c r="G506" s="46" t="s">
        <v>336</v>
      </c>
      <c r="H506" s="46" t="s">
        <v>337</v>
      </c>
      <c r="I506" s="46" t="s">
        <v>169</v>
      </c>
      <c r="J506" s="46" t="s">
        <v>79</v>
      </c>
      <c r="K506" s="46" t="s">
        <v>170</v>
      </c>
      <c r="L506" s="46" t="s">
        <v>171</v>
      </c>
      <c r="M506" s="46" t="s">
        <v>196</v>
      </c>
      <c r="N506" s="46" t="s">
        <v>197</v>
      </c>
      <c r="O506" s="46">
        <v>8798000</v>
      </c>
      <c r="P506" s="46">
        <v>89</v>
      </c>
      <c r="Q506" s="46">
        <v>0</v>
      </c>
      <c r="R506" s="46">
        <v>0</v>
      </c>
      <c r="S506" s="46">
        <v>0</v>
      </c>
      <c r="T506" s="46">
        <v>0</v>
      </c>
      <c r="U506" s="46">
        <v>745000</v>
      </c>
      <c r="V506" s="46">
        <v>5</v>
      </c>
      <c r="W506" s="46">
        <v>0</v>
      </c>
      <c r="X506" s="46">
        <v>0</v>
      </c>
      <c r="Y506" s="48">
        <v>0</v>
      </c>
      <c r="Z506" s="46">
        <v>0</v>
      </c>
      <c r="AA506" s="46">
        <v>0</v>
      </c>
      <c r="AB506" s="46">
        <v>0</v>
      </c>
      <c r="AC506" s="46">
        <v>9543000</v>
      </c>
      <c r="AD506" s="46">
        <v>94</v>
      </c>
      <c r="AF506" s="47">
        <f t="shared" si="7"/>
        <v>9543000</v>
      </c>
    </row>
    <row r="507" spans="1:32" hidden="1" x14ac:dyDescent="0.3">
      <c r="A507" s="46" t="s">
        <v>613</v>
      </c>
      <c r="B507" s="46" t="str">
        <f>IFERROR(VLOOKUP($H507,매장구분!$B:$Z,2,0),"")</f>
        <v>리테일채널팀</v>
      </c>
      <c r="C507" s="46" t="str">
        <f>IFERROR(VLOOKUP($H507,매장구분!$B:$Z,3,0),"")</f>
        <v>국내</v>
      </c>
      <c r="D507" s="46" t="str">
        <f>IFERROR(VLOOKUP($H507,매장구분!$B:$Z,5,0),"")</f>
        <v>직영점</v>
      </c>
      <c r="E507" s="46" t="str">
        <f>IFERROR(VLOOKUP($H507,매장구분!$B:$Z,9,0),"")</f>
        <v>타임테라스동탄(직)</v>
      </c>
      <c r="G507" s="46" t="s">
        <v>408</v>
      </c>
      <c r="H507" s="46" t="s">
        <v>409</v>
      </c>
      <c r="I507" s="46" t="s">
        <v>169</v>
      </c>
      <c r="J507" s="46" t="s">
        <v>180</v>
      </c>
      <c r="K507" s="46" t="s">
        <v>170</v>
      </c>
      <c r="L507" s="46" t="s">
        <v>171</v>
      </c>
      <c r="M507" s="46" t="s">
        <v>188</v>
      </c>
      <c r="N507" s="46" t="s">
        <v>317</v>
      </c>
      <c r="O507" s="46">
        <v>4681980</v>
      </c>
      <c r="P507" s="46">
        <v>65</v>
      </c>
      <c r="Q507" s="46">
        <v>0</v>
      </c>
      <c r="R507" s="46">
        <v>0</v>
      </c>
      <c r="S507" s="46">
        <v>0</v>
      </c>
      <c r="T507" s="46">
        <v>0</v>
      </c>
      <c r="U507" s="46">
        <v>2485220</v>
      </c>
      <c r="V507" s="46">
        <v>18</v>
      </c>
      <c r="W507" s="46">
        <v>0</v>
      </c>
      <c r="X507" s="46">
        <v>0</v>
      </c>
      <c r="Y507" s="48">
        <v>0</v>
      </c>
      <c r="Z507" s="46">
        <v>0</v>
      </c>
      <c r="AA507" s="46">
        <v>0</v>
      </c>
      <c r="AB507" s="46">
        <v>0</v>
      </c>
      <c r="AC507" s="46">
        <v>7167200</v>
      </c>
      <c r="AD507" s="46">
        <v>83</v>
      </c>
      <c r="AF507" s="47">
        <f t="shared" si="7"/>
        <v>7167200</v>
      </c>
    </row>
    <row r="508" spans="1:32" hidden="1" x14ac:dyDescent="0.3">
      <c r="A508" s="46" t="s">
        <v>613</v>
      </c>
      <c r="B508" s="46" t="str">
        <f>IFERROR(VLOOKUP($H508,매장구분!$B:$Z,2,0),"")</f>
        <v>파트너채널팀</v>
      </c>
      <c r="C508" s="46" t="str">
        <f>IFERROR(VLOOKUP($H508,매장구분!$B:$Z,3,0),"")</f>
        <v>국내</v>
      </c>
      <c r="D508" s="46" t="str">
        <f>IFERROR(VLOOKUP($H508,매장구분!$B:$Z,5,0),"")</f>
        <v>백화점</v>
      </c>
      <c r="E508" s="46" t="str">
        <f>IFERROR(VLOOKUP($H508,매장구분!$B:$Z,9,0),"")</f>
        <v>신세계광주</v>
      </c>
      <c r="G508" s="46" t="s">
        <v>504</v>
      </c>
      <c r="H508" s="46" t="s">
        <v>505</v>
      </c>
      <c r="I508" s="46" t="s">
        <v>169</v>
      </c>
      <c r="J508" s="46" t="s">
        <v>175</v>
      </c>
      <c r="K508" s="46" t="s">
        <v>170</v>
      </c>
      <c r="L508" s="46" t="s">
        <v>171</v>
      </c>
      <c r="M508" s="46" t="s">
        <v>77</v>
      </c>
      <c r="N508" s="46" t="s">
        <v>172</v>
      </c>
      <c r="O508" s="46">
        <v>15165700</v>
      </c>
      <c r="P508" s="46">
        <v>177</v>
      </c>
      <c r="Q508" s="46">
        <v>0</v>
      </c>
      <c r="R508" s="46">
        <v>0</v>
      </c>
      <c r="S508" s="46">
        <v>0</v>
      </c>
      <c r="T508" s="46">
        <v>0</v>
      </c>
      <c r="U508" s="46">
        <v>3216300</v>
      </c>
      <c r="V508" s="46">
        <v>13</v>
      </c>
      <c r="W508" s="46">
        <v>0</v>
      </c>
      <c r="X508" s="46">
        <v>0</v>
      </c>
      <c r="Y508" s="48">
        <v>0</v>
      </c>
      <c r="Z508" s="46">
        <v>0</v>
      </c>
      <c r="AA508" s="46">
        <v>0</v>
      </c>
      <c r="AB508" s="46">
        <v>0</v>
      </c>
      <c r="AC508" s="46">
        <v>18382000</v>
      </c>
      <c r="AD508" s="46">
        <v>190</v>
      </c>
      <c r="AF508" s="47">
        <f t="shared" si="7"/>
        <v>18382000</v>
      </c>
    </row>
    <row r="509" spans="1:32" hidden="1" x14ac:dyDescent="0.3">
      <c r="A509" s="46" t="s">
        <v>613</v>
      </c>
      <c r="B509" s="46" t="str">
        <f>IFERROR(VLOOKUP($H509,매장구분!$B:$Z,2,0),"")</f>
        <v>리테일채널팀</v>
      </c>
      <c r="C509" s="46" t="str">
        <f>IFERROR(VLOOKUP($H509,매장구분!$B:$Z,3,0),"")</f>
        <v>국내</v>
      </c>
      <c r="D509" s="46" t="str">
        <f>IFERROR(VLOOKUP($H509,매장구분!$B:$Z,5,0),"")</f>
        <v>직영점</v>
      </c>
      <c r="E509" s="46" t="str">
        <f>IFERROR(VLOOKUP($H509,매장구분!$B:$Z,9,0),"")</f>
        <v>강남사옥(직)</v>
      </c>
      <c r="G509" s="46" t="s">
        <v>482</v>
      </c>
      <c r="H509" s="46" t="s">
        <v>483</v>
      </c>
      <c r="I509" s="46" t="s">
        <v>169</v>
      </c>
      <c r="J509" s="46" t="s">
        <v>180</v>
      </c>
      <c r="K509" s="46" t="s">
        <v>170</v>
      </c>
      <c r="L509" s="46" t="s">
        <v>171</v>
      </c>
      <c r="M509" s="46" t="s">
        <v>196</v>
      </c>
      <c r="N509" s="46" t="s">
        <v>206</v>
      </c>
      <c r="O509" s="46">
        <v>27138100</v>
      </c>
      <c r="P509" s="46">
        <v>276</v>
      </c>
      <c r="Q509" s="46">
        <v>0</v>
      </c>
      <c r="R509" s="46">
        <v>0</v>
      </c>
      <c r="S509" s="46">
        <v>0</v>
      </c>
      <c r="T509" s="46">
        <v>0</v>
      </c>
      <c r="U509" s="46">
        <v>1805000</v>
      </c>
      <c r="V509" s="46">
        <v>35</v>
      </c>
      <c r="W509" s="46">
        <v>0</v>
      </c>
      <c r="X509" s="46">
        <v>0</v>
      </c>
      <c r="Y509" s="48">
        <v>0</v>
      </c>
      <c r="Z509" s="46">
        <v>0</v>
      </c>
      <c r="AA509" s="46">
        <v>0</v>
      </c>
      <c r="AB509" s="46">
        <v>0</v>
      </c>
      <c r="AC509" s="46">
        <v>28943100</v>
      </c>
      <c r="AD509" s="46">
        <v>311</v>
      </c>
      <c r="AF509" s="47">
        <f t="shared" si="7"/>
        <v>28943100</v>
      </c>
    </row>
    <row r="510" spans="1:32" hidden="1" x14ac:dyDescent="0.3">
      <c r="A510" s="46" t="s">
        <v>613</v>
      </c>
      <c r="B510" s="46" t="str">
        <f>IFERROR(VLOOKUP($H510,매장구분!$B:$Z,2,0),"")</f>
        <v>리테일채널팀</v>
      </c>
      <c r="C510" s="46" t="str">
        <f>IFERROR(VLOOKUP($H510,매장구분!$B:$Z,3,0),"")</f>
        <v>국내</v>
      </c>
      <c r="D510" s="46" t="str">
        <f>IFERROR(VLOOKUP($H510,매장구분!$B:$Z,5,0),"")</f>
        <v>대리점</v>
      </c>
      <c r="E510" s="46" t="str">
        <f>IFERROR(VLOOKUP($H510,매장구분!$B:$Z,9,0),"")</f>
        <v>보령(대-위)</v>
      </c>
      <c r="G510" s="46" t="s">
        <v>211</v>
      </c>
      <c r="H510" s="46" t="s">
        <v>212</v>
      </c>
      <c r="I510" s="46" t="s">
        <v>169</v>
      </c>
      <c r="J510" s="46" t="s">
        <v>79</v>
      </c>
      <c r="K510" s="46" t="s">
        <v>170</v>
      </c>
      <c r="L510" s="46" t="s">
        <v>171</v>
      </c>
      <c r="M510" s="46" t="s">
        <v>196</v>
      </c>
      <c r="N510" s="46" t="s">
        <v>197</v>
      </c>
      <c r="O510" s="46">
        <v>4842300</v>
      </c>
      <c r="P510" s="46">
        <v>54</v>
      </c>
      <c r="Q510" s="46">
        <v>0</v>
      </c>
      <c r="R510" s="46">
        <v>0</v>
      </c>
      <c r="S510" s="46">
        <v>0</v>
      </c>
      <c r="T510" s="46">
        <v>0</v>
      </c>
      <c r="U510" s="46">
        <v>416000</v>
      </c>
      <c r="V510" s="46">
        <v>4</v>
      </c>
      <c r="W510" s="46">
        <v>0</v>
      </c>
      <c r="X510" s="46">
        <v>0</v>
      </c>
      <c r="Y510" s="48">
        <v>0</v>
      </c>
      <c r="Z510" s="46">
        <v>0</v>
      </c>
      <c r="AA510" s="46">
        <v>0</v>
      </c>
      <c r="AB510" s="46">
        <v>0</v>
      </c>
      <c r="AC510" s="46">
        <v>5258300</v>
      </c>
      <c r="AD510" s="46">
        <v>58</v>
      </c>
      <c r="AF510" s="47">
        <f t="shared" si="7"/>
        <v>5258300</v>
      </c>
    </row>
    <row r="511" spans="1:32" hidden="1" x14ac:dyDescent="0.3">
      <c r="A511" s="46" t="s">
        <v>613</v>
      </c>
      <c r="B511" s="46" t="str">
        <f>IFERROR(VLOOKUP($H511,매장구분!$B:$Z,2,0),"")</f>
        <v>E-biz</v>
      </c>
      <c r="C511" s="46" t="str">
        <f>IFERROR(VLOOKUP($H511,매장구분!$B:$Z,3,0),"")</f>
        <v>국내</v>
      </c>
      <c r="D511" s="46" t="str">
        <f>IFERROR(VLOOKUP($H511,매장구분!$B:$Z,5,0),"")</f>
        <v>온(제휴몰)</v>
      </c>
      <c r="E511" s="46" t="str">
        <f>IFERROR(VLOOKUP($H511,매장구분!$B:$Z,9,0),"")</f>
        <v>카카오선물하기(제휴몰)</v>
      </c>
      <c r="G511" s="46" t="s">
        <v>209</v>
      </c>
      <c r="H511" s="46" t="s">
        <v>210</v>
      </c>
      <c r="I511" s="46" t="s">
        <v>169</v>
      </c>
      <c r="J511" s="46" t="s">
        <v>180</v>
      </c>
      <c r="K511" s="46" t="s">
        <v>170</v>
      </c>
      <c r="L511" s="46" t="s">
        <v>181</v>
      </c>
      <c r="M511" s="46" t="s">
        <v>181</v>
      </c>
      <c r="N511" s="46" t="s">
        <v>185</v>
      </c>
      <c r="O511" s="46">
        <v>52580100</v>
      </c>
      <c r="P511" s="46">
        <v>1366</v>
      </c>
      <c r="Q511" s="46">
        <v>0</v>
      </c>
      <c r="R511" s="46">
        <v>0</v>
      </c>
      <c r="S511" s="46">
        <v>0</v>
      </c>
      <c r="T511" s="46">
        <v>0</v>
      </c>
      <c r="U511" s="46">
        <v>0</v>
      </c>
      <c r="V511" s="46">
        <v>0</v>
      </c>
      <c r="W511" s="46">
        <v>0</v>
      </c>
      <c r="X511" s="46">
        <v>0</v>
      </c>
      <c r="Y511" s="48">
        <v>0</v>
      </c>
      <c r="Z511" s="46">
        <v>0</v>
      </c>
      <c r="AA511" s="46">
        <v>0</v>
      </c>
      <c r="AB511" s="46">
        <v>0</v>
      </c>
      <c r="AC511" s="46">
        <v>52580100</v>
      </c>
      <c r="AD511" s="46">
        <v>1366</v>
      </c>
      <c r="AF511" s="47">
        <f t="shared" si="7"/>
        <v>52580100</v>
      </c>
    </row>
    <row r="512" spans="1:32" hidden="1" x14ac:dyDescent="0.3">
      <c r="A512" s="46" t="s">
        <v>613</v>
      </c>
      <c r="B512" s="46" t="str">
        <f>IFERROR(VLOOKUP($H512,매장구분!$B:$Z,2,0),"")</f>
        <v>파트너채널팀</v>
      </c>
      <c r="C512" s="46" t="str">
        <f>IFERROR(VLOOKUP($H512,매장구분!$B:$Z,3,0),"")</f>
        <v>국내</v>
      </c>
      <c r="D512" s="46" t="str">
        <f>IFERROR(VLOOKUP($H512,매장구분!$B:$Z,5,0),"")</f>
        <v>백화점</v>
      </c>
      <c r="E512" s="46" t="str">
        <f>IFERROR(VLOOKUP($H512,매장구분!$B:$Z,9,0),"")</f>
        <v>신세계김해</v>
      </c>
      <c r="G512" s="46" t="s">
        <v>454</v>
      </c>
      <c r="H512" s="46" t="s">
        <v>455</v>
      </c>
      <c r="I512" s="46" t="s">
        <v>169</v>
      </c>
      <c r="J512" s="46" t="s">
        <v>175</v>
      </c>
      <c r="K512" s="46" t="s">
        <v>170</v>
      </c>
      <c r="L512" s="46" t="s">
        <v>171</v>
      </c>
      <c r="M512" s="46" t="s">
        <v>77</v>
      </c>
      <c r="N512" s="46" t="s">
        <v>172</v>
      </c>
      <c r="O512" s="46">
        <v>10577800</v>
      </c>
      <c r="P512" s="46">
        <v>120</v>
      </c>
      <c r="Q512" s="46">
        <v>0</v>
      </c>
      <c r="R512" s="46">
        <v>0</v>
      </c>
      <c r="S512" s="46">
        <v>0</v>
      </c>
      <c r="T512" s="46">
        <v>0</v>
      </c>
      <c r="U512" s="46">
        <v>467000</v>
      </c>
      <c r="V512" s="46">
        <v>3</v>
      </c>
      <c r="W512" s="46">
        <v>0</v>
      </c>
      <c r="X512" s="46">
        <v>0</v>
      </c>
      <c r="Y512" s="48">
        <v>0</v>
      </c>
      <c r="Z512" s="46">
        <v>0</v>
      </c>
      <c r="AA512" s="46">
        <v>0</v>
      </c>
      <c r="AB512" s="46">
        <v>0</v>
      </c>
      <c r="AC512" s="46">
        <v>11044800</v>
      </c>
      <c r="AD512" s="46">
        <v>123</v>
      </c>
      <c r="AF512" s="47">
        <f t="shared" si="7"/>
        <v>11044800</v>
      </c>
    </row>
    <row r="513" spans="1:32" hidden="1" x14ac:dyDescent="0.3">
      <c r="A513" s="46" t="s">
        <v>613</v>
      </c>
      <c r="B513" s="46" t="str">
        <f>IFERROR(VLOOKUP($H513,매장구분!$B:$Z,2,0),"")</f>
        <v>파트너채널팀</v>
      </c>
      <c r="C513" s="46" t="str">
        <f>IFERROR(VLOOKUP($H513,매장구분!$B:$Z,3,0),"")</f>
        <v>국내</v>
      </c>
      <c r="D513" s="46" t="str">
        <f>IFERROR(VLOOKUP($H513,매장구분!$B:$Z,5,0),"")</f>
        <v>백화점</v>
      </c>
      <c r="E513" s="46" t="str">
        <f>IFERROR(VLOOKUP($H513,매장구분!$B:$Z,9,0),"")</f>
        <v>현대미아</v>
      </c>
      <c r="G513" s="46" t="s">
        <v>512</v>
      </c>
      <c r="H513" s="46" t="s">
        <v>513</v>
      </c>
      <c r="I513" s="46" t="s">
        <v>169</v>
      </c>
      <c r="J513" s="46" t="s">
        <v>175</v>
      </c>
      <c r="K513" s="46" t="s">
        <v>170</v>
      </c>
      <c r="L513" s="46" t="s">
        <v>171</v>
      </c>
      <c r="M513" s="46" t="s">
        <v>77</v>
      </c>
      <c r="N513" s="46" t="s">
        <v>172</v>
      </c>
      <c r="O513" s="46">
        <v>2313800</v>
      </c>
      <c r="P513" s="46">
        <v>29</v>
      </c>
      <c r="Q513" s="46">
        <v>0</v>
      </c>
      <c r="R513" s="46">
        <v>0</v>
      </c>
      <c r="S513" s="46">
        <v>0</v>
      </c>
      <c r="T513" s="46">
        <v>0</v>
      </c>
      <c r="U513" s="46">
        <v>544500</v>
      </c>
      <c r="V513" s="46">
        <v>3</v>
      </c>
      <c r="W513" s="46">
        <v>0</v>
      </c>
      <c r="X513" s="46">
        <v>0</v>
      </c>
      <c r="Y513" s="48">
        <v>4367500</v>
      </c>
      <c r="Z513" s="46">
        <v>37</v>
      </c>
      <c r="AA513" s="46">
        <v>2240000</v>
      </c>
      <c r="AB513" s="46">
        <v>14</v>
      </c>
      <c r="AC513" s="46">
        <v>9465800</v>
      </c>
      <c r="AD513" s="46">
        <v>83</v>
      </c>
      <c r="AF513" s="47">
        <f t="shared" si="7"/>
        <v>5098300</v>
      </c>
    </row>
    <row r="514" spans="1:32" hidden="1" x14ac:dyDescent="0.3">
      <c r="A514" s="46" t="s">
        <v>613</v>
      </c>
      <c r="B514" s="46" t="str">
        <f>IFERROR(VLOOKUP($H514,매장구분!$B:$Z,2,0),"")</f>
        <v>파트너채널팀</v>
      </c>
      <c r="C514" s="46" t="str">
        <f>IFERROR(VLOOKUP($H514,매장구분!$B:$Z,3,0),"")</f>
        <v>국내</v>
      </c>
      <c r="D514" s="46" t="str">
        <f>IFERROR(VLOOKUP($H514,매장구분!$B:$Z,5,0),"")</f>
        <v>백화점</v>
      </c>
      <c r="E514" s="46" t="str">
        <f>IFERROR(VLOOKUP($H514,매장구분!$B:$Z,9,0),"")</f>
        <v>신세계영등포</v>
      </c>
      <c r="G514" s="46" t="s">
        <v>416</v>
      </c>
      <c r="H514" s="46" t="s">
        <v>417</v>
      </c>
      <c r="I514" s="46" t="s">
        <v>169</v>
      </c>
      <c r="J514" s="46" t="s">
        <v>175</v>
      </c>
      <c r="K514" s="46" t="s">
        <v>170</v>
      </c>
      <c r="L514" s="46" t="s">
        <v>171</v>
      </c>
      <c r="M514" s="46" t="s">
        <v>77</v>
      </c>
      <c r="N514" s="46" t="s">
        <v>172</v>
      </c>
      <c r="O514" s="46">
        <v>11594900</v>
      </c>
      <c r="P514" s="46">
        <v>108</v>
      </c>
      <c r="Q514" s="46">
        <v>0</v>
      </c>
      <c r="R514" s="46">
        <v>0</v>
      </c>
      <c r="S514" s="46">
        <v>0</v>
      </c>
      <c r="T514" s="46">
        <v>0</v>
      </c>
      <c r="U514" s="46">
        <v>2149000</v>
      </c>
      <c r="V514" s="46">
        <v>15</v>
      </c>
      <c r="W514" s="46">
        <v>0</v>
      </c>
      <c r="X514" s="46">
        <v>0</v>
      </c>
      <c r="Y514" s="48">
        <v>2168000</v>
      </c>
      <c r="Z514" s="46">
        <v>12</v>
      </c>
      <c r="AA514" s="46">
        <v>0</v>
      </c>
      <c r="AB514" s="46">
        <v>0</v>
      </c>
      <c r="AC514" s="46">
        <v>15911900</v>
      </c>
      <c r="AD514" s="46">
        <v>135</v>
      </c>
      <c r="AF514" s="47">
        <f t="shared" si="7"/>
        <v>13743900</v>
      </c>
    </row>
    <row r="515" spans="1:32" hidden="1" x14ac:dyDescent="0.3">
      <c r="A515" s="46" t="s">
        <v>613</v>
      </c>
      <c r="B515" s="46" t="str">
        <f>IFERROR(VLOOKUP($H515,매장구분!$B:$Z,2,0),"")</f>
        <v>리테일채널팀</v>
      </c>
      <c r="C515" s="46" t="str">
        <f>IFERROR(VLOOKUP($H515,매장구분!$B:$Z,3,0),"")</f>
        <v>국내</v>
      </c>
      <c r="D515" s="46" t="str">
        <f>IFERROR(VLOOKUP($H515,매장구분!$B:$Z,5,0),"")</f>
        <v>대리점</v>
      </c>
      <c r="E515" s="46" t="str">
        <f>IFERROR(VLOOKUP($H515,매장구분!$B:$Z,9,0),"")</f>
        <v>구미(대-위)</v>
      </c>
      <c r="G515" s="46" t="s">
        <v>458</v>
      </c>
      <c r="H515" s="46" t="s">
        <v>459</v>
      </c>
      <c r="I515" s="46" t="s">
        <v>169</v>
      </c>
      <c r="J515" s="46" t="s">
        <v>79</v>
      </c>
      <c r="K515" s="46" t="s">
        <v>170</v>
      </c>
      <c r="L515" s="46" t="s">
        <v>171</v>
      </c>
      <c r="M515" s="46" t="s">
        <v>196</v>
      </c>
      <c r="N515" s="46" t="s">
        <v>197</v>
      </c>
      <c r="O515" s="46">
        <v>17027700</v>
      </c>
      <c r="P515" s="46">
        <v>173</v>
      </c>
      <c r="Q515" s="46">
        <v>0</v>
      </c>
      <c r="R515" s="46">
        <v>0</v>
      </c>
      <c r="S515" s="46">
        <v>0</v>
      </c>
      <c r="T515" s="46">
        <v>0</v>
      </c>
      <c r="U515" s="46">
        <v>1558300</v>
      </c>
      <c r="V515" s="46">
        <v>12</v>
      </c>
      <c r="W515" s="46">
        <v>0</v>
      </c>
      <c r="X515" s="46">
        <v>0</v>
      </c>
      <c r="Y515" s="48">
        <v>0</v>
      </c>
      <c r="Z515" s="46">
        <v>0</v>
      </c>
      <c r="AA515" s="46">
        <v>0</v>
      </c>
      <c r="AB515" s="46">
        <v>0</v>
      </c>
      <c r="AC515" s="46">
        <v>18586000</v>
      </c>
      <c r="AD515" s="46">
        <v>185</v>
      </c>
      <c r="AF515" s="47">
        <f t="shared" ref="AF515:AF578" si="8">IFERROR(AC515-Y515,"")</f>
        <v>18586000</v>
      </c>
    </row>
    <row r="516" spans="1:32" hidden="1" x14ac:dyDescent="0.3">
      <c r="A516" s="46" t="s">
        <v>613</v>
      </c>
      <c r="B516" s="46" t="str">
        <f>IFERROR(VLOOKUP($H516,매장구분!$B:$Z,2,0),"")</f>
        <v>파트너채널팀</v>
      </c>
      <c r="C516" s="46" t="str">
        <f>IFERROR(VLOOKUP($H516,매장구분!$B:$Z,3,0),"")</f>
        <v>도매</v>
      </c>
      <c r="D516" s="46" t="str">
        <f>IFERROR(VLOOKUP($H516,매장구분!$B:$Z,5,0),"")</f>
        <v>도매</v>
      </c>
      <c r="E516" s="46" t="str">
        <f>IFERROR(VLOOKUP($H516,매장구분!$B:$Z,9,0),"")</f>
        <v>온라인완주</v>
      </c>
      <c r="G516" s="46" t="s">
        <v>566</v>
      </c>
      <c r="H516" s="46" t="s">
        <v>567</v>
      </c>
      <c r="I516" s="46" t="s">
        <v>169</v>
      </c>
      <c r="J516" s="46" t="s">
        <v>180</v>
      </c>
      <c r="K516" s="46" t="s">
        <v>170</v>
      </c>
      <c r="L516" s="46" t="s">
        <v>568</v>
      </c>
      <c r="M516" s="46" t="s">
        <v>181</v>
      </c>
      <c r="N516" s="46" t="s">
        <v>568</v>
      </c>
      <c r="O516" s="46">
        <v>44497530</v>
      </c>
      <c r="P516" s="46">
        <v>1372</v>
      </c>
      <c r="Q516" s="46">
        <v>0</v>
      </c>
      <c r="R516" s="46">
        <v>0</v>
      </c>
      <c r="S516" s="46">
        <v>0</v>
      </c>
      <c r="T516" s="46">
        <v>0</v>
      </c>
      <c r="U516" s="46">
        <v>0</v>
      </c>
      <c r="V516" s="46">
        <v>0</v>
      </c>
      <c r="W516" s="46">
        <v>0</v>
      </c>
      <c r="X516" s="46">
        <v>0</v>
      </c>
      <c r="Y516" s="48">
        <v>0</v>
      </c>
      <c r="Z516" s="46">
        <v>0</v>
      </c>
      <c r="AA516" s="46">
        <v>0</v>
      </c>
      <c r="AB516" s="46">
        <v>0</v>
      </c>
      <c r="AC516" s="46">
        <v>44497530</v>
      </c>
      <c r="AD516" s="46">
        <v>1372</v>
      </c>
      <c r="AF516" s="47">
        <f t="shared" si="8"/>
        <v>44497530</v>
      </c>
    </row>
    <row r="517" spans="1:32" hidden="1" x14ac:dyDescent="0.3">
      <c r="A517" s="46" t="s">
        <v>613</v>
      </c>
      <c r="B517" s="46" t="str">
        <f>IFERROR(VLOOKUP($H517,매장구분!$B:$Z,2,0),"")</f>
        <v>리테일채널팀</v>
      </c>
      <c r="C517" s="46" t="str">
        <f>IFERROR(VLOOKUP($H517,매장구분!$B:$Z,3,0),"")</f>
        <v>국내</v>
      </c>
      <c r="D517" s="46" t="str">
        <f>IFERROR(VLOOKUP($H517,매장구분!$B:$Z,5,0),"")</f>
        <v>상설(위탁)</v>
      </c>
      <c r="E517" s="46" t="str">
        <f>IFERROR(VLOOKUP($H517,매장구분!$B:$Z,9,0),"")</f>
        <v>롯데아울렛청주(상-위)</v>
      </c>
      <c r="G517" s="46" t="s">
        <v>478</v>
      </c>
      <c r="H517" s="46" t="s">
        <v>479</v>
      </c>
      <c r="I517" s="46" t="s">
        <v>169</v>
      </c>
      <c r="J517" s="46" t="s">
        <v>79</v>
      </c>
      <c r="K517" s="46" t="s">
        <v>170</v>
      </c>
      <c r="L517" s="46" t="s">
        <v>171</v>
      </c>
      <c r="M517" s="46" t="s">
        <v>219</v>
      </c>
      <c r="N517" s="46" t="s">
        <v>219</v>
      </c>
      <c r="O517" s="46">
        <v>1620000</v>
      </c>
      <c r="P517" s="46">
        <v>45</v>
      </c>
      <c r="Q517" s="46">
        <v>0</v>
      </c>
      <c r="R517" s="46">
        <v>0</v>
      </c>
      <c r="S517" s="46">
        <v>0</v>
      </c>
      <c r="T517" s="46">
        <v>0</v>
      </c>
      <c r="U517" s="46">
        <v>0</v>
      </c>
      <c r="V517" s="46">
        <v>0</v>
      </c>
      <c r="W517" s="46">
        <v>0</v>
      </c>
      <c r="X517" s="46">
        <v>0</v>
      </c>
      <c r="Y517" s="48">
        <v>0</v>
      </c>
      <c r="Z517" s="46">
        <v>0</v>
      </c>
      <c r="AA517" s="46">
        <v>0</v>
      </c>
      <c r="AB517" s="46">
        <v>0</v>
      </c>
      <c r="AC517" s="46">
        <v>1620000</v>
      </c>
      <c r="AD517" s="46">
        <v>45</v>
      </c>
      <c r="AF517" s="47">
        <f t="shared" si="8"/>
        <v>1620000</v>
      </c>
    </row>
    <row r="518" spans="1:32" hidden="1" x14ac:dyDescent="0.3">
      <c r="A518" s="46" t="s">
        <v>613</v>
      </c>
      <c r="B518" s="46" t="str">
        <f>IFERROR(VLOOKUP($H518,매장구분!$B:$Z,2,0),"")</f>
        <v>리테일채널팀</v>
      </c>
      <c r="C518" s="46" t="str">
        <f>IFERROR(VLOOKUP($H518,매장구분!$B:$Z,3,0),"")</f>
        <v>국내</v>
      </c>
      <c r="D518" s="46" t="str">
        <f>IFERROR(VLOOKUP($H518,매장구분!$B:$Z,5,0),"")</f>
        <v>상설(위탁)</v>
      </c>
      <c r="E518" s="46" t="str">
        <f>IFERROR(VLOOKUP($H518,매장구분!$B:$Z,9,0),"")</f>
        <v>롯데아울렛김해(상-위)</v>
      </c>
      <c r="G518" s="46" t="s">
        <v>370</v>
      </c>
      <c r="H518" s="46" t="s">
        <v>371</v>
      </c>
      <c r="I518" s="46" t="s">
        <v>169</v>
      </c>
      <c r="J518" s="46" t="s">
        <v>79</v>
      </c>
      <c r="K518" s="46" t="s">
        <v>170</v>
      </c>
      <c r="L518" s="46" t="s">
        <v>171</v>
      </c>
      <c r="M518" s="46" t="s">
        <v>219</v>
      </c>
      <c r="N518" s="46" t="s">
        <v>219</v>
      </c>
      <c r="O518" s="46">
        <v>4644000</v>
      </c>
      <c r="P518" s="46">
        <v>129</v>
      </c>
      <c r="Q518" s="46">
        <v>0</v>
      </c>
      <c r="R518" s="46">
        <v>0</v>
      </c>
      <c r="S518" s="46">
        <v>0</v>
      </c>
      <c r="T518" s="46">
        <v>0</v>
      </c>
      <c r="U518" s="46">
        <v>0</v>
      </c>
      <c r="V518" s="46">
        <v>0</v>
      </c>
      <c r="W518" s="46">
        <v>0</v>
      </c>
      <c r="X518" s="46">
        <v>0</v>
      </c>
      <c r="Y518" s="48">
        <v>0</v>
      </c>
      <c r="Z518" s="46">
        <v>0</v>
      </c>
      <c r="AA518" s="46">
        <v>0</v>
      </c>
      <c r="AB518" s="46">
        <v>0</v>
      </c>
      <c r="AC518" s="46">
        <v>4644000</v>
      </c>
      <c r="AD518" s="46">
        <v>129</v>
      </c>
      <c r="AF518" s="47">
        <f t="shared" si="8"/>
        <v>4644000</v>
      </c>
    </row>
    <row r="519" spans="1:32" hidden="1" x14ac:dyDescent="0.3">
      <c r="A519" s="46" t="s">
        <v>613</v>
      </c>
      <c r="B519" s="46" t="str">
        <f>IFERROR(VLOOKUP($H519,매장구분!$B:$Z,2,0),"")</f>
        <v>리테일채널팀</v>
      </c>
      <c r="C519" s="46" t="str">
        <f>IFERROR(VLOOKUP($H519,매장구분!$B:$Z,3,0),"")</f>
        <v>국내</v>
      </c>
      <c r="D519" s="46" t="str">
        <f>IFERROR(VLOOKUP($H519,매장구분!$B:$Z,5,0),"")</f>
        <v>상설(위탁)</v>
      </c>
      <c r="E519" s="46" t="str">
        <f>IFERROR(VLOOKUP($H519,매장구분!$B:$Z,9,0),"")</f>
        <v>마리오(상-위)</v>
      </c>
      <c r="G519" s="46" t="s">
        <v>564</v>
      </c>
      <c r="H519" s="46" t="s">
        <v>565</v>
      </c>
      <c r="I519" s="46" t="s">
        <v>169</v>
      </c>
      <c r="J519" s="46" t="s">
        <v>79</v>
      </c>
      <c r="K519" s="46" t="s">
        <v>170</v>
      </c>
      <c r="L519" s="46" t="s">
        <v>171</v>
      </c>
      <c r="M519" s="46" t="s">
        <v>77</v>
      </c>
      <c r="N519" s="46" t="s">
        <v>238</v>
      </c>
      <c r="O519" s="46">
        <v>936000</v>
      </c>
      <c r="P519" s="46">
        <v>26</v>
      </c>
      <c r="Q519" s="46">
        <v>0</v>
      </c>
      <c r="R519" s="46">
        <v>0</v>
      </c>
      <c r="S519" s="46">
        <v>0</v>
      </c>
      <c r="T519" s="46">
        <v>0</v>
      </c>
      <c r="U519" s="46">
        <v>0</v>
      </c>
      <c r="V519" s="46">
        <v>0</v>
      </c>
      <c r="W519" s="46">
        <v>0</v>
      </c>
      <c r="X519" s="46">
        <v>0</v>
      </c>
      <c r="Y519" s="48">
        <v>0</v>
      </c>
      <c r="Z519" s="46">
        <v>0</v>
      </c>
      <c r="AA519" s="46">
        <v>0</v>
      </c>
      <c r="AB519" s="46">
        <v>0</v>
      </c>
      <c r="AC519" s="46">
        <v>936000</v>
      </c>
      <c r="AD519" s="46">
        <v>26</v>
      </c>
      <c r="AF519" s="47">
        <f t="shared" si="8"/>
        <v>936000</v>
      </c>
    </row>
    <row r="520" spans="1:32" hidden="1" x14ac:dyDescent="0.3">
      <c r="A520" s="46" t="s">
        <v>613</v>
      </c>
      <c r="B520" s="46" t="str">
        <f>IFERROR(VLOOKUP($H520,매장구분!$B:$Z,2,0),"")</f>
        <v>파트너채널팀</v>
      </c>
      <c r="C520" s="46" t="str">
        <f>IFERROR(VLOOKUP($H520,매장구분!$B:$Z,3,0),"")</f>
        <v>국내</v>
      </c>
      <c r="D520" s="46" t="str">
        <f>IFERROR(VLOOKUP($H520,매장구분!$B:$Z,5,0),"")</f>
        <v>백화점</v>
      </c>
      <c r="E520" s="46" t="str">
        <f>IFERROR(VLOOKUP($H520,매장구분!$B:$Z,9,0),"")</f>
        <v>신세계대구</v>
      </c>
      <c r="G520" s="46" t="s">
        <v>192</v>
      </c>
      <c r="H520" s="46" t="s">
        <v>193</v>
      </c>
      <c r="I520" s="46" t="s">
        <v>169</v>
      </c>
      <c r="J520" s="46" t="s">
        <v>175</v>
      </c>
      <c r="K520" s="46" t="s">
        <v>170</v>
      </c>
      <c r="L520" s="46" t="s">
        <v>171</v>
      </c>
      <c r="M520" s="46" t="s">
        <v>77</v>
      </c>
      <c r="N520" s="46" t="s">
        <v>172</v>
      </c>
      <c r="O520" s="46">
        <v>35483200</v>
      </c>
      <c r="P520" s="46">
        <v>368</v>
      </c>
      <c r="Q520" s="46">
        <v>0</v>
      </c>
      <c r="R520" s="46">
        <v>0</v>
      </c>
      <c r="S520" s="46">
        <v>0</v>
      </c>
      <c r="T520" s="46">
        <v>0</v>
      </c>
      <c r="U520" s="46">
        <v>756700</v>
      </c>
      <c r="V520" s="46">
        <v>7</v>
      </c>
      <c r="W520" s="46">
        <v>0</v>
      </c>
      <c r="X520" s="46">
        <v>0</v>
      </c>
      <c r="Y520" s="48">
        <v>0</v>
      </c>
      <c r="Z520" s="46">
        <v>0</v>
      </c>
      <c r="AA520" s="46">
        <v>0</v>
      </c>
      <c r="AB520" s="46">
        <v>0</v>
      </c>
      <c r="AC520" s="46">
        <v>36239900</v>
      </c>
      <c r="AD520" s="46">
        <v>375</v>
      </c>
      <c r="AF520" s="47">
        <f t="shared" si="8"/>
        <v>36239900</v>
      </c>
    </row>
    <row r="521" spans="1:32" hidden="1" x14ac:dyDescent="0.3">
      <c r="A521" s="46" t="s">
        <v>613</v>
      </c>
      <c r="B521" s="46" t="str">
        <f>IFERROR(VLOOKUP($H521,매장구분!$B:$Z,2,0),"")</f>
        <v>파트너채널팀</v>
      </c>
      <c r="C521" s="46" t="str">
        <f>IFERROR(VLOOKUP($H521,매장구분!$B:$Z,3,0),"")</f>
        <v>국내</v>
      </c>
      <c r="D521" s="46" t="str">
        <f>IFERROR(VLOOKUP($H521,매장구분!$B:$Z,5,0),"")</f>
        <v>백화점</v>
      </c>
      <c r="E521" s="46" t="str">
        <f>IFERROR(VLOOKUP($H521,매장구분!$B:$Z,9,0),"")</f>
        <v>갤러리아대전</v>
      </c>
      <c r="G521" s="46" t="s">
        <v>303</v>
      </c>
      <c r="H521" s="46" t="s">
        <v>304</v>
      </c>
      <c r="I521" s="46" t="s">
        <v>169</v>
      </c>
      <c r="J521" s="46" t="s">
        <v>175</v>
      </c>
      <c r="K521" s="46" t="s">
        <v>170</v>
      </c>
      <c r="L521" s="46" t="s">
        <v>171</v>
      </c>
      <c r="M521" s="46" t="s">
        <v>77</v>
      </c>
      <c r="N521" s="46" t="s">
        <v>172</v>
      </c>
      <c r="O521" s="46">
        <v>20152900</v>
      </c>
      <c r="P521" s="46">
        <v>127</v>
      </c>
      <c r="Q521" s="46">
        <v>861000</v>
      </c>
      <c r="R521" s="46">
        <v>15</v>
      </c>
      <c r="S521" s="46">
        <v>0</v>
      </c>
      <c r="T521" s="46">
        <v>0</v>
      </c>
      <c r="U521" s="46">
        <v>649000</v>
      </c>
      <c r="V521" s="46">
        <v>5</v>
      </c>
      <c r="W521" s="46">
        <v>0</v>
      </c>
      <c r="X521" s="46">
        <v>0</v>
      </c>
      <c r="Y521" s="48">
        <v>36707000</v>
      </c>
      <c r="Z521" s="46">
        <v>263</v>
      </c>
      <c r="AA521" s="46">
        <v>0</v>
      </c>
      <c r="AB521" s="46">
        <v>0</v>
      </c>
      <c r="AC521" s="46">
        <v>58369900</v>
      </c>
      <c r="AD521" s="46">
        <v>410</v>
      </c>
      <c r="AF521" s="47">
        <f t="shared" si="8"/>
        <v>21662900</v>
      </c>
    </row>
    <row r="522" spans="1:32" hidden="1" x14ac:dyDescent="0.3">
      <c r="A522" s="46" t="s">
        <v>613</v>
      </c>
      <c r="B522" s="46" t="str">
        <f>IFERROR(VLOOKUP($H522,매장구분!$B:$Z,2,0),"")</f>
        <v>파트너채널팀</v>
      </c>
      <c r="C522" s="46" t="str">
        <f>IFERROR(VLOOKUP($H522,매장구분!$B:$Z,3,0),"")</f>
        <v>국내</v>
      </c>
      <c r="D522" s="46" t="str">
        <f>IFERROR(VLOOKUP($H522,매장구분!$B:$Z,5,0),"")</f>
        <v>백화점</v>
      </c>
      <c r="E522" s="46" t="str">
        <f>IFERROR(VLOOKUP($H522,매장구분!$B:$Z,9,0),"")</f>
        <v>AK수원</v>
      </c>
      <c r="G522" s="46" t="s">
        <v>552</v>
      </c>
      <c r="H522" s="46" t="s">
        <v>553</v>
      </c>
      <c r="I522" s="46" t="s">
        <v>169</v>
      </c>
      <c r="J522" s="46" t="s">
        <v>175</v>
      </c>
      <c r="K522" s="46" t="s">
        <v>170</v>
      </c>
      <c r="L522" s="46" t="s">
        <v>171</v>
      </c>
      <c r="M522" s="46" t="s">
        <v>77</v>
      </c>
      <c r="N522" s="46" t="s">
        <v>172</v>
      </c>
      <c r="O522" s="46">
        <v>18092200</v>
      </c>
      <c r="P522" s="46">
        <v>221</v>
      </c>
      <c r="Q522" s="46">
        <v>0</v>
      </c>
      <c r="R522" s="46">
        <v>0</v>
      </c>
      <c r="S522" s="46">
        <v>0</v>
      </c>
      <c r="T522" s="46">
        <v>0</v>
      </c>
      <c r="U522" s="46">
        <v>2847000</v>
      </c>
      <c r="V522" s="46">
        <v>39</v>
      </c>
      <c r="W522" s="46">
        <v>0</v>
      </c>
      <c r="X522" s="46">
        <v>0</v>
      </c>
      <c r="Y522" s="48">
        <v>16930000</v>
      </c>
      <c r="Z522" s="46">
        <v>74</v>
      </c>
      <c r="AA522" s="46">
        <v>0</v>
      </c>
      <c r="AB522" s="46">
        <v>0</v>
      </c>
      <c r="AC522" s="46">
        <v>37869200</v>
      </c>
      <c r="AD522" s="46">
        <v>334</v>
      </c>
      <c r="AF522" s="47">
        <f t="shared" si="8"/>
        <v>20939200</v>
      </c>
    </row>
    <row r="523" spans="1:32" hidden="1" x14ac:dyDescent="0.3">
      <c r="A523" s="46" t="s">
        <v>613</v>
      </c>
      <c r="B523" s="46" t="str">
        <f>IFERROR(VLOOKUP($H523,매장구분!$B:$Z,2,0),"")</f>
        <v>리테일채널팀</v>
      </c>
      <c r="C523" s="46" t="str">
        <f>IFERROR(VLOOKUP($H523,매장구분!$B:$Z,3,0),"")</f>
        <v>국내</v>
      </c>
      <c r="D523" s="46" t="str">
        <f>IFERROR(VLOOKUP($H523,매장구분!$B:$Z,5,0),"")</f>
        <v>대리점</v>
      </c>
      <c r="E523" s="46" t="str">
        <f>IFERROR(VLOOKUP($H523,매장구분!$B:$Z,9,0),"")</f>
        <v>원주(대-위)</v>
      </c>
      <c r="G523" s="46" t="s">
        <v>224</v>
      </c>
      <c r="H523" s="46" t="s">
        <v>225</v>
      </c>
      <c r="I523" s="46" t="s">
        <v>169</v>
      </c>
      <c r="J523" s="46" t="s">
        <v>79</v>
      </c>
      <c r="K523" s="46" t="s">
        <v>170</v>
      </c>
      <c r="L523" s="46" t="s">
        <v>171</v>
      </c>
      <c r="M523" s="46" t="s">
        <v>196</v>
      </c>
      <c r="N523" s="46" t="s">
        <v>197</v>
      </c>
      <c r="O523" s="46">
        <v>14397705</v>
      </c>
      <c r="P523" s="46">
        <v>133</v>
      </c>
      <c r="Q523" s="46">
        <v>0</v>
      </c>
      <c r="R523" s="46">
        <v>0</v>
      </c>
      <c r="S523" s="46">
        <v>0</v>
      </c>
      <c r="T523" s="46">
        <v>0</v>
      </c>
      <c r="U523" s="46">
        <v>2279325</v>
      </c>
      <c r="V523" s="46">
        <v>9</v>
      </c>
      <c r="W523" s="46">
        <v>0</v>
      </c>
      <c r="X523" s="46">
        <v>0</v>
      </c>
      <c r="Y523" s="48">
        <v>0</v>
      </c>
      <c r="Z523" s="46">
        <v>0</v>
      </c>
      <c r="AA523" s="46">
        <v>0</v>
      </c>
      <c r="AB523" s="46">
        <v>0</v>
      </c>
      <c r="AC523" s="46">
        <v>16677030</v>
      </c>
      <c r="AD523" s="46">
        <v>142</v>
      </c>
      <c r="AF523" s="47">
        <f t="shared" si="8"/>
        <v>16677030</v>
      </c>
    </row>
    <row r="524" spans="1:32" hidden="1" x14ac:dyDescent="0.3">
      <c r="A524" s="46" t="s">
        <v>613</v>
      </c>
      <c r="B524" s="46" t="str">
        <f>IFERROR(VLOOKUP($H524,매장구분!$B:$Z,2,0),"")</f>
        <v>파트너채널팀</v>
      </c>
      <c r="C524" s="46" t="str">
        <f>IFERROR(VLOOKUP($H524,매장구분!$B:$Z,3,0),"")</f>
        <v>국내</v>
      </c>
      <c r="D524" s="46" t="str">
        <f>IFERROR(VLOOKUP($H524,매장구분!$B:$Z,5,0),"")</f>
        <v>백화점</v>
      </c>
      <c r="E524" s="46" t="str">
        <f>IFERROR(VLOOKUP($H524,매장구분!$B:$Z,9,0),"")</f>
        <v>갤러리아센터시티</v>
      </c>
      <c r="G524" s="46" t="s">
        <v>259</v>
      </c>
      <c r="H524" s="46" t="s">
        <v>260</v>
      </c>
      <c r="I524" s="46" t="s">
        <v>169</v>
      </c>
      <c r="J524" s="46" t="s">
        <v>175</v>
      </c>
      <c r="K524" s="46" t="s">
        <v>170</v>
      </c>
      <c r="L524" s="46" t="s">
        <v>171</v>
      </c>
      <c r="M524" s="46" t="s">
        <v>77</v>
      </c>
      <c r="N524" s="46" t="s">
        <v>172</v>
      </c>
      <c r="O524" s="46">
        <v>7340900</v>
      </c>
      <c r="P524" s="46">
        <v>57</v>
      </c>
      <c r="Q524" s="46">
        <v>2018000</v>
      </c>
      <c r="R524" s="46">
        <v>25</v>
      </c>
      <c r="S524" s="46">
        <v>0</v>
      </c>
      <c r="T524" s="46">
        <v>0</v>
      </c>
      <c r="U524" s="46">
        <v>2119000</v>
      </c>
      <c r="V524" s="46">
        <v>11</v>
      </c>
      <c r="W524" s="46">
        <v>0</v>
      </c>
      <c r="X524" s="46">
        <v>0</v>
      </c>
      <c r="Y524" s="48">
        <v>3152000</v>
      </c>
      <c r="Z524" s="46">
        <v>8</v>
      </c>
      <c r="AA524" s="46">
        <v>0</v>
      </c>
      <c r="AB524" s="46">
        <v>0</v>
      </c>
      <c r="AC524" s="46">
        <v>14629900</v>
      </c>
      <c r="AD524" s="46">
        <v>101</v>
      </c>
      <c r="AF524" s="47">
        <f t="shared" si="8"/>
        <v>11477900</v>
      </c>
    </row>
    <row r="525" spans="1:32" hidden="1" x14ac:dyDescent="0.3">
      <c r="A525" s="46" t="s">
        <v>613</v>
      </c>
      <c r="B525" s="46" t="str">
        <f>IFERROR(VLOOKUP($H525,매장구분!$B:$Z,2,0),"")</f>
        <v>리테일채널팀</v>
      </c>
      <c r="C525" s="46" t="str">
        <f>IFERROR(VLOOKUP($H525,매장구분!$B:$Z,3,0),"")</f>
        <v>국내</v>
      </c>
      <c r="D525" s="46" t="str">
        <f>IFERROR(VLOOKUP($H525,매장구분!$B:$Z,5,0),"")</f>
        <v>대리점</v>
      </c>
      <c r="E525" s="46" t="str">
        <f>IFERROR(VLOOKUP($H525,매장구분!$B:$Z,9,0),"")</f>
        <v>인천(대-위)</v>
      </c>
      <c r="G525" s="46" t="s">
        <v>215</v>
      </c>
      <c r="H525" s="46" t="s">
        <v>216</v>
      </c>
      <c r="I525" s="46" t="s">
        <v>169</v>
      </c>
      <c r="J525" s="46" t="s">
        <v>79</v>
      </c>
      <c r="K525" s="46" t="s">
        <v>170</v>
      </c>
      <c r="L525" s="46" t="s">
        <v>171</v>
      </c>
      <c r="M525" s="46" t="s">
        <v>196</v>
      </c>
      <c r="N525" s="46" t="s">
        <v>197</v>
      </c>
      <c r="O525" s="46">
        <v>8302156</v>
      </c>
      <c r="P525" s="46">
        <v>67</v>
      </c>
      <c r="Q525" s="46">
        <v>0</v>
      </c>
      <c r="R525" s="46">
        <v>0</v>
      </c>
      <c r="S525" s="46">
        <v>0</v>
      </c>
      <c r="T525" s="46">
        <v>0</v>
      </c>
      <c r="U525" s="46">
        <v>1962444</v>
      </c>
      <c r="V525" s="46">
        <v>14</v>
      </c>
      <c r="W525" s="46">
        <v>0</v>
      </c>
      <c r="X525" s="46">
        <v>0</v>
      </c>
      <c r="Y525" s="48">
        <v>0</v>
      </c>
      <c r="Z525" s="46">
        <v>0</v>
      </c>
      <c r="AA525" s="46">
        <v>0</v>
      </c>
      <c r="AB525" s="46">
        <v>0</v>
      </c>
      <c r="AC525" s="46">
        <v>10264600</v>
      </c>
      <c r="AD525" s="46">
        <v>81</v>
      </c>
      <c r="AF525" s="47">
        <f t="shared" si="8"/>
        <v>10264600</v>
      </c>
    </row>
    <row r="526" spans="1:32" hidden="1" x14ac:dyDescent="0.3">
      <c r="A526" s="46" t="s">
        <v>613</v>
      </c>
      <c r="B526" s="46" t="str">
        <f>IFERROR(VLOOKUP($H526,매장구분!$B:$Z,2,0),"")</f>
        <v>파트너채널팀</v>
      </c>
      <c r="C526" s="46" t="str">
        <f>IFERROR(VLOOKUP($H526,매장구분!$B:$Z,3,0),"")</f>
        <v>국내</v>
      </c>
      <c r="D526" s="46" t="str">
        <f>IFERROR(VLOOKUP($H526,매장구분!$B:$Z,5,0),"")</f>
        <v>백화점</v>
      </c>
      <c r="E526" s="46" t="str">
        <f>IFERROR(VLOOKUP($H526,매장구분!$B:$Z,9,0),"")</f>
        <v>롯데전주</v>
      </c>
      <c r="G526" s="46" t="s">
        <v>446</v>
      </c>
      <c r="H526" s="46" t="s">
        <v>447</v>
      </c>
      <c r="I526" s="46" t="s">
        <v>169</v>
      </c>
      <c r="J526" s="46" t="s">
        <v>175</v>
      </c>
      <c r="K526" s="46" t="s">
        <v>170</v>
      </c>
      <c r="L526" s="46" t="s">
        <v>171</v>
      </c>
      <c r="M526" s="46" t="s">
        <v>77</v>
      </c>
      <c r="N526" s="46" t="s">
        <v>172</v>
      </c>
      <c r="O526" s="46">
        <v>12273100</v>
      </c>
      <c r="P526" s="46">
        <v>128</v>
      </c>
      <c r="Q526" s="46">
        <v>79500</v>
      </c>
      <c r="R526" s="46">
        <v>1</v>
      </c>
      <c r="S526" s="46">
        <v>0</v>
      </c>
      <c r="T526" s="46">
        <v>0</v>
      </c>
      <c r="U526" s="46">
        <v>1037000</v>
      </c>
      <c r="V526" s="46">
        <v>3</v>
      </c>
      <c r="W526" s="46">
        <v>0</v>
      </c>
      <c r="X526" s="46">
        <v>0</v>
      </c>
      <c r="Y526" s="48">
        <v>0</v>
      </c>
      <c r="Z526" s="46">
        <v>0</v>
      </c>
      <c r="AA526" s="46">
        <v>0</v>
      </c>
      <c r="AB526" s="46">
        <v>0</v>
      </c>
      <c r="AC526" s="46">
        <v>13389600</v>
      </c>
      <c r="AD526" s="46">
        <v>132</v>
      </c>
      <c r="AF526" s="47">
        <f t="shared" si="8"/>
        <v>13389600</v>
      </c>
    </row>
    <row r="527" spans="1:32" hidden="1" x14ac:dyDescent="0.3">
      <c r="A527" s="46" t="s">
        <v>613</v>
      </c>
      <c r="B527" s="46" t="str">
        <f>IFERROR(VLOOKUP($H527,매장구분!$B:$Z,2,0),"")</f>
        <v>리테일채널팀</v>
      </c>
      <c r="C527" s="46" t="str">
        <f>IFERROR(VLOOKUP($H527,매장구분!$B:$Z,3,0),"")</f>
        <v>국내</v>
      </c>
      <c r="D527" s="46" t="str">
        <f>IFERROR(VLOOKUP($H527,매장구분!$B:$Z,5,0),"")</f>
        <v>대리점</v>
      </c>
      <c r="E527" s="46" t="str">
        <f>IFERROR(VLOOKUP($H527,매장구분!$B:$Z,9,0),"")</f>
        <v>제주(대-위)</v>
      </c>
      <c r="G527" s="46" t="s">
        <v>474</v>
      </c>
      <c r="H527" s="46" t="s">
        <v>475</v>
      </c>
      <c r="I527" s="46" t="s">
        <v>169</v>
      </c>
      <c r="J527" s="46" t="s">
        <v>79</v>
      </c>
      <c r="K527" s="46" t="s">
        <v>170</v>
      </c>
      <c r="L527" s="46" t="s">
        <v>171</v>
      </c>
      <c r="M527" s="46" t="s">
        <v>196</v>
      </c>
      <c r="N527" s="46" t="s">
        <v>197</v>
      </c>
      <c r="O527" s="46">
        <v>13920236</v>
      </c>
      <c r="P527" s="46">
        <v>141</v>
      </c>
      <c r="Q527" s="46">
        <v>0</v>
      </c>
      <c r="R527" s="46">
        <v>0</v>
      </c>
      <c r="S527" s="46">
        <v>0</v>
      </c>
      <c r="T527" s="46">
        <v>0</v>
      </c>
      <c r="U527" s="46">
        <v>514124</v>
      </c>
      <c r="V527" s="46">
        <v>3</v>
      </c>
      <c r="W527" s="46">
        <v>0</v>
      </c>
      <c r="X527" s="46">
        <v>0</v>
      </c>
      <c r="Y527" s="48">
        <v>3770400</v>
      </c>
      <c r="Z527" s="46">
        <v>65</v>
      </c>
      <c r="AA527" s="46">
        <v>0</v>
      </c>
      <c r="AB527" s="46">
        <v>0</v>
      </c>
      <c r="AC527" s="46">
        <v>18204760</v>
      </c>
      <c r="AD527" s="46">
        <v>209</v>
      </c>
      <c r="AF527" s="47">
        <f t="shared" si="8"/>
        <v>14434360</v>
      </c>
    </row>
    <row r="528" spans="1:32" hidden="1" x14ac:dyDescent="0.3">
      <c r="A528" s="46" t="s">
        <v>613</v>
      </c>
      <c r="B528" s="46" t="str">
        <f>IFERROR(VLOOKUP($H528,매장구분!$B:$Z,2,0),"")</f>
        <v>파트너채널팀</v>
      </c>
      <c r="C528" s="46" t="str">
        <f>IFERROR(VLOOKUP($H528,매장구분!$B:$Z,3,0),"")</f>
        <v>국내</v>
      </c>
      <c r="D528" s="46" t="str">
        <f>IFERROR(VLOOKUP($H528,매장구분!$B:$Z,5,0),"")</f>
        <v>백화점</v>
      </c>
      <c r="E528" s="46" t="str">
        <f>IFERROR(VLOOKUP($H528,매장구분!$B:$Z,9,0),"")</f>
        <v>롯데포항</v>
      </c>
      <c r="G528" s="46" t="s">
        <v>249</v>
      </c>
      <c r="H528" s="46" t="s">
        <v>250</v>
      </c>
      <c r="I528" s="46" t="s">
        <v>169</v>
      </c>
      <c r="J528" s="46" t="s">
        <v>175</v>
      </c>
      <c r="K528" s="46" t="s">
        <v>170</v>
      </c>
      <c r="L528" s="46" t="s">
        <v>171</v>
      </c>
      <c r="M528" s="46" t="s">
        <v>77</v>
      </c>
      <c r="N528" s="46" t="s">
        <v>172</v>
      </c>
      <c r="O528" s="46">
        <v>11523920</v>
      </c>
      <c r="P528" s="46">
        <v>124</v>
      </c>
      <c r="Q528" s="46">
        <v>0</v>
      </c>
      <c r="R528" s="46">
        <v>0</v>
      </c>
      <c r="S528" s="46">
        <v>0</v>
      </c>
      <c r="T528" s="46">
        <v>0</v>
      </c>
      <c r="U528" s="46">
        <v>3254790</v>
      </c>
      <c r="V528" s="46">
        <v>17</v>
      </c>
      <c r="W528" s="46">
        <v>0</v>
      </c>
      <c r="X528" s="46">
        <v>0</v>
      </c>
      <c r="Y528" s="48">
        <v>0</v>
      </c>
      <c r="Z528" s="46">
        <v>0</v>
      </c>
      <c r="AA528" s="46">
        <v>0</v>
      </c>
      <c r="AB528" s="46">
        <v>0</v>
      </c>
      <c r="AC528" s="46">
        <v>14778710</v>
      </c>
      <c r="AD528" s="46">
        <v>141</v>
      </c>
      <c r="AF528" s="47">
        <f t="shared" si="8"/>
        <v>14778710</v>
      </c>
    </row>
    <row r="529" spans="1:32" hidden="1" x14ac:dyDescent="0.3">
      <c r="A529" s="46" t="s">
        <v>613</v>
      </c>
      <c r="B529" s="46" t="str">
        <f>IFERROR(VLOOKUP($H529,매장구분!$B:$Z,2,0),"")</f>
        <v>파트너채널팀</v>
      </c>
      <c r="C529" s="46" t="str">
        <f>IFERROR(VLOOKUP($H529,매장구분!$B:$Z,3,0),"")</f>
        <v>국내</v>
      </c>
      <c r="D529" s="46" t="str">
        <f>IFERROR(VLOOKUP($H529,매장구분!$B:$Z,5,0),"")</f>
        <v>백화점</v>
      </c>
      <c r="E529" s="46" t="str">
        <f>IFERROR(VLOOKUP($H529,매장구분!$B:$Z,9,0),"")</f>
        <v>롯데울산</v>
      </c>
      <c r="G529" s="46" t="s">
        <v>460</v>
      </c>
      <c r="H529" s="46" t="s">
        <v>461</v>
      </c>
      <c r="I529" s="46" t="s">
        <v>169</v>
      </c>
      <c r="J529" s="46" t="s">
        <v>175</v>
      </c>
      <c r="K529" s="46" t="s">
        <v>170</v>
      </c>
      <c r="L529" s="46" t="s">
        <v>171</v>
      </c>
      <c r="M529" s="46" t="s">
        <v>77</v>
      </c>
      <c r="N529" s="46" t="s">
        <v>172</v>
      </c>
      <c r="O529" s="46">
        <v>20462034</v>
      </c>
      <c r="P529" s="46">
        <v>186</v>
      </c>
      <c r="Q529" s="46">
        <v>0</v>
      </c>
      <c r="R529" s="46">
        <v>0</v>
      </c>
      <c r="S529" s="46">
        <v>0</v>
      </c>
      <c r="T529" s="46">
        <v>0</v>
      </c>
      <c r="U529" s="46">
        <v>4515566</v>
      </c>
      <c r="V529" s="46">
        <v>26</v>
      </c>
      <c r="W529" s="46">
        <v>0</v>
      </c>
      <c r="X529" s="46">
        <v>0</v>
      </c>
      <c r="Y529" s="48">
        <v>0</v>
      </c>
      <c r="Z529" s="46">
        <v>0</v>
      </c>
      <c r="AA529" s="46">
        <v>0</v>
      </c>
      <c r="AB529" s="46">
        <v>0</v>
      </c>
      <c r="AC529" s="46">
        <v>24977600</v>
      </c>
      <c r="AD529" s="46">
        <v>212</v>
      </c>
      <c r="AF529" s="47">
        <f t="shared" si="8"/>
        <v>24977600</v>
      </c>
    </row>
    <row r="530" spans="1:32" hidden="1" x14ac:dyDescent="0.3">
      <c r="A530" s="46" t="s">
        <v>613</v>
      </c>
      <c r="B530" s="46" t="str">
        <f>IFERROR(VLOOKUP($H530,매장구분!$B:$Z,2,0),"")</f>
        <v>리테일채널팀</v>
      </c>
      <c r="C530" s="46" t="str">
        <f>IFERROR(VLOOKUP($H530,매장구분!$B:$Z,3,0),"")</f>
        <v>국내</v>
      </c>
      <c r="D530" s="46" t="str">
        <f>IFERROR(VLOOKUP($H530,매장구분!$B:$Z,5,0),"")</f>
        <v>대리점</v>
      </c>
      <c r="E530" s="46" t="str">
        <f>IFERROR(VLOOKUP($H530,매장구분!$B:$Z,9,0),"")</f>
        <v>시흥(대-위)</v>
      </c>
      <c r="G530" s="46" t="s">
        <v>330</v>
      </c>
      <c r="H530" s="46" t="s">
        <v>331</v>
      </c>
      <c r="I530" s="46" t="s">
        <v>169</v>
      </c>
      <c r="J530" s="46" t="s">
        <v>79</v>
      </c>
      <c r="K530" s="46" t="s">
        <v>170</v>
      </c>
      <c r="L530" s="46" t="s">
        <v>171</v>
      </c>
      <c r="M530" s="46" t="s">
        <v>196</v>
      </c>
      <c r="N530" s="46" t="s">
        <v>197</v>
      </c>
      <c r="O530" s="46">
        <v>7932300</v>
      </c>
      <c r="P530" s="46">
        <v>69</v>
      </c>
      <c r="Q530" s="46">
        <v>0</v>
      </c>
      <c r="R530" s="46">
        <v>0</v>
      </c>
      <c r="S530" s="46">
        <v>0</v>
      </c>
      <c r="T530" s="46">
        <v>0</v>
      </c>
      <c r="U530" s="46">
        <v>114000</v>
      </c>
      <c r="V530" s="46">
        <v>1</v>
      </c>
      <c r="W530" s="46">
        <v>0</v>
      </c>
      <c r="X530" s="46">
        <v>0</v>
      </c>
      <c r="Y530" s="48">
        <v>0</v>
      </c>
      <c r="Z530" s="46">
        <v>0</v>
      </c>
      <c r="AA530" s="46">
        <v>0</v>
      </c>
      <c r="AB530" s="46">
        <v>0</v>
      </c>
      <c r="AC530" s="46">
        <v>8046300</v>
      </c>
      <c r="AD530" s="46">
        <v>70</v>
      </c>
      <c r="AF530" s="47">
        <f t="shared" si="8"/>
        <v>8046300</v>
      </c>
    </row>
    <row r="531" spans="1:32" hidden="1" x14ac:dyDescent="0.3">
      <c r="A531" s="46" t="s">
        <v>613</v>
      </c>
      <c r="B531" s="46" t="str">
        <f>IFERROR(VLOOKUP($H531,매장구분!$B:$Z,2,0),"")</f>
        <v>파트너채널팀</v>
      </c>
      <c r="C531" s="46" t="str">
        <f>IFERROR(VLOOKUP($H531,매장구분!$B:$Z,3,0),"")</f>
        <v>국내</v>
      </c>
      <c r="D531" s="46" t="str">
        <f>IFERROR(VLOOKUP($H531,매장구분!$B:$Z,5,0),"")</f>
        <v>백화점</v>
      </c>
      <c r="E531" s="46" t="str">
        <f>IFERROR(VLOOKUP($H531,매장구분!$B:$Z,9,0),"")</f>
        <v>롯데청량리</v>
      </c>
      <c r="G531" s="46" t="s">
        <v>255</v>
      </c>
      <c r="H531" s="46" t="s">
        <v>256</v>
      </c>
      <c r="I531" s="46" t="s">
        <v>169</v>
      </c>
      <c r="J531" s="46" t="s">
        <v>175</v>
      </c>
      <c r="K531" s="46" t="s">
        <v>170</v>
      </c>
      <c r="L531" s="46" t="s">
        <v>171</v>
      </c>
      <c r="M531" s="46" t="s">
        <v>77</v>
      </c>
      <c r="N531" s="46" t="s">
        <v>172</v>
      </c>
      <c r="O531" s="46">
        <v>10313400</v>
      </c>
      <c r="P531" s="46">
        <v>126</v>
      </c>
      <c r="Q531" s="46">
        <v>1345500</v>
      </c>
      <c r="R531" s="46">
        <v>11</v>
      </c>
      <c r="S531" s="46">
        <v>0</v>
      </c>
      <c r="T531" s="46">
        <v>0</v>
      </c>
      <c r="U531" s="46">
        <v>564500</v>
      </c>
      <c r="V531" s="46">
        <v>4</v>
      </c>
      <c r="W531" s="46">
        <v>0</v>
      </c>
      <c r="X531" s="46">
        <v>0</v>
      </c>
      <c r="Y531" s="48">
        <v>99000</v>
      </c>
      <c r="Z531" s="46">
        <v>1</v>
      </c>
      <c r="AA531" s="46">
        <v>0</v>
      </c>
      <c r="AB531" s="46">
        <v>0</v>
      </c>
      <c r="AC531" s="46">
        <v>12322400</v>
      </c>
      <c r="AD531" s="46">
        <v>142</v>
      </c>
      <c r="AF531" s="47">
        <f t="shared" si="8"/>
        <v>12223400</v>
      </c>
    </row>
    <row r="532" spans="1:32" hidden="1" x14ac:dyDescent="0.3">
      <c r="A532" s="46" t="s">
        <v>613</v>
      </c>
      <c r="B532" s="46" t="str">
        <f>IFERROR(VLOOKUP($H532,매장구분!$B:$Z,2,0),"")</f>
        <v>리테일채널팀</v>
      </c>
      <c r="C532" s="46" t="str">
        <f>IFERROR(VLOOKUP($H532,매장구분!$B:$Z,3,0),"")</f>
        <v>국내</v>
      </c>
      <c r="D532" s="46" t="str">
        <f>IFERROR(VLOOKUP($H532,매장구분!$B:$Z,5,0),"")</f>
        <v>대리점</v>
      </c>
      <c r="E532" s="46" t="str">
        <f>IFERROR(VLOOKUP($H532,매장구분!$B:$Z,9,0),"")</f>
        <v>정읍(대-위)</v>
      </c>
      <c r="G532" s="46" t="s">
        <v>318</v>
      </c>
      <c r="H532" s="46" t="s">
        <v>319</v>
      </c>
      <c r="I532" s="46" t="s">
        <v>169</v>
      </c>
      <c r="J532" s="46" t="s">
        <v>79</v>
      </c>
      <c r="K532" s="46" t="s">
        <v>170</v>
      </c>
      <c r="L532" s="46" t="s">
        <v>171</v>
      </c>
      <c r="M532" s="46" t="s">
        <v>196</v>
      </c>
      <c r="N532" s="46" t="s">
        <v>197</v>
      </c>
      <c r="O532" s="46">
        <v>6436900</v>
      </c>
      <c r="P532" s="46">
        <v>71</v>
      </c>
      <c r="Q532" s="46">
        <v>0</v>
      </c>
      <c r="R532" s="46">
        <v>0</v>
      </c>
      <c r="S532" s="46">
        <v>0</v>
      </c>
      <c r="T532" s="46">
        <v>0</v>
      </c>
      <c r="U532" s="46">
        <v>298000</v>
      </c>
      <c r="V532" s="46">
        <v>2</v>
      </c>
      <c r="W532" s="46">
        <v>0</v>
      </c>
      <c r="X532" s="46">
        <v>0</v>
      </c>
      <c r="Y532" s="48">
        <v>0</v>
      </c>
      <c r="Z532" s="46">
        <v>0</v>
      </c>
      <c r="AA532" s="46">
        <v>0</v>
      </c>
      <c r="AB532" s="46">
        <v>0</v>
      </c>
      <c r="AC532" s="46">
        <v>6734900</v>
      </c>
      <c r="AD532" s="46">
        <v>73</v>
      </c>
      <c r="AF532" s="47">
        <f t="shared" si="8"/>
        <v>6734900</v>
      </c>
    </row>
    <row r="533" spans="1:32" hidden="1" x14ac:dyDescent="0.3">
      <c r="A533" s="46" t="s">
        <v>613</v>
      </c>
      <c r="B533" s="46" t="str">
        <f>IFERROR(VLOOKUP($H533,매장구분!$B:$Z,2,0),"")</f>
        <v>리테일채널팀</v>
      </c>
      <c r="C533" s="46" t="str">
        <f>IFERROR(VLOOKUP($H533,매장구분!$B:$Z,3,0),"")</f>
        <v>국내</v>
      </c>
      <c r="D533" s="46" t="str">
        <f>IFERROR(VLOOKUP($H533,매장구분!$B:$Z,5,0),"")</f>
        <v>대리점</v>
      </c>
      <c r="E533" s="46" t="str">
        <f>IFERROR(VLOOKUP($H533,매장구분!$B:$Z,9,0),"")</f>
        <v>김포장기(대-위)</v>
      </c>
      <c r="G533" s="46" t="s">
        <v>400</v>
      </c>
      <c r="H533" s="46" t="s">
        <v>401</v>
      </c>
      <c r="I533" s="46" t="s">
        <v>169</v>
      </c>
      <c r="J533" s="46" t="s">
        <v>79</v>
      </c>
      <c r="K533" s="46" t="s">
        <v>170</v>
      </c>
      <c r="L533" s="46" t="s">
        <v>171</v>
      </c>
      <c r="M533" s="46" t="s">
        <v>196</v>
      </c>
      <c r="N533" s="46" t="s">
        <v>197</v>
      </c>
      <c r="O533" s="46">
        <v>13349779</v>
      </c>
      <c r="P533" s="46">
        <v>118</v>
      </c>
      <c r="Q533" s="46">
        <v>0</v>
      </c>
      <c r="R533" s="46">
        <v>0</v>
      </c>
      <c r="S533" s="46">
        <v>0</v>
      </c>
      <c r="T533" s="46">
        <v>0</v>
      </c>
      <c r="U533" s="46">
        <v>1218521</v>
      </c>
      <c r="V533" s="46">
        <v>7</v>
      </c>
      <c r="W533" s="46">
        <v>0</v>
      </c>
      <c r="X533" s="46">
        <v>0</v>
      </c>
      <c r="Y533" s="48">
        <v>0</v>
      </c>
      <c r="Z533" s="46">
        <v>0</v>
      </c>
      <c r="AA533" s="46">
        <v>0</v>
      </c>
      <c r="AB533" s="46">
        <v>0</v>
      </c>
      <c r="AC533" s="46">
        <v>14568300</v>
      </c>
      <c r="AD533" s="46">
        <v>125</v>
      </c>
      <c r="AF533" s="47">
        <f t="shared" si="8"/>
        <v>14568300</v>
      </c>
    </row>
    <row r="534" spans="1:32" hidden="1" x14ac:dyDescent="0.3">
      <c r="A534" s="46" t="s">
        <v>613</v>
      </c>
      <c r="B534" s="46" t="str">
        <f>IFERROR(VLOOKUP($H534,매장구분!$B:$Z,2,0),"")</f>
        <v>파트너채널팀</v>
      </c>
      <c r="C534" s="46" t="str">
        <f>IFERROR(VLOOKUP($H534,매장구분!$B:$Z,3,0),"")</f>
        <v>국내</v>
      </c>
      <c r="D534" s="46" t="str">
        <f>IFERROR(VLOOKUP($H534,매장구분!$B:$Z,5,0),"")</f>
        <v>백화점</v>
      </c>
      <c r="E534" s="46" t="str">
        <f>IFERROR(VLOOKUP($H534,매장구분!$B:$Z,9,0),"")</f>
        <v>롯데상인</v>
      </c>
      <c r="G534" s="46" t="s">
        <v>348</v>
      </c>
      <c r="H534" s="46" t="s">
        <v>349</v>
      </c>
      <c r="I534" s="46" t="s">
        <v>169</v>
      </c>
      <c r="J534" s="46" t="s">
        <v>175</v>
      </c>
      <c r="K534" s="46" t="s">
        <v>170</v>
      </c>
      <c r="L534" s="46" t="s">
        <v>171</v>
      </c>
      <c r="M534" s="46" t="s">
        <v>77</v>
      </c>
      <c r="N534" s="46" t="s">
        <v>172</v>
      </c>
      <c r="O534" s="46">
        <v>7200200</v>
      </c>
      <c r="P534" s="46">
        <v>84</v>
      </c>
      <c r="Q534" s="46">
        <v>743300</v>
      </c>
      <c r="R534" s="46">
        <v>8</v>
      </c>
      <c r="S534" s="46">
        <v>0</v>
      </c>
      <c r="T534" s="46">
        <v>0</v>
      </c>
      <c r="U534" s="46">
        <v>6985400</v>
      </c>
      <c r="V534" s="46">
        <v>33</v>
      </c>
      <c r="W534" s="46">
        <v>0</v>
      </c>
      <c r="X534" s="46">
        <v>0</v>
      </c>
      <c r="Y534" s="48">
        <v>585000</v>
      </c>
      <c r="Z534" s="46">
        <v>5</v>
      </c>
      <c r="AA534" s="46">
        <v>-516300</v>
      </c>
      <c r="AB534" s="46">
        <v>-4</v>
      </c>
      <c r="AC534" s="46">
        <v>14997600</v>
      </c>
      <c r="AD534" s="46">
        <v>126</v>
      </c>
      <c r="AF534" s="47">
        <f t="shared" si="8"/>
        <v>14412600</v>
      </c>
    </row>
    <row r="535" spans="1:32" hidden="1" x14ac:dyDescent="0.3">
      <c r="A535" s="46" t="s">
        <v>613</v>
      </c>
      <c r="B535" s="46" t="str">
        <f>IFERROR(VLOOKUP($H535,매장구분!$B:$Z,2,0),"")</f>
        <v>리테일채널팀</v>
      </c>
      <c r="C535" s="46" t="str">
        <f>IFERROR(VLOOKUP($H535,매장구분!$B:$Z,3,0),"")</f>
        <v>국내</v>
      </c>
      <c r="D535" s="46" t="str">
        <f>IFERROR(VLOOKUP($H535,매장구분!$B:$Z,5,0),"")</f>
        <v>대리점</v>
      </c>
      <c r="E535" s="46" t="str">
        <f>IFERROR(VLOOKUP($H535,매장구분!$B:$Z,9,0),"")</f>
        <v>남원(대-위)</v>
      </c>
      <c r="G535" s="46" t="s">
        <v>410</v>
      </c>
      <c r="H535" s="46" t="s">
        <v>411</v>
      </c>
      <c r="I535" s="46" t="s">
        <v>169</v>
      </c>
      <c r="J535" s="46" t="s">
        <v>79</v>
      </c>
      <c r="K535" s="46" t="s">
        <v>170</v>
      </c>
      <c r="L535" s="46" t="s">
        <v>171</v>
      </c>
      <c r="M535" s="46" t="s">
        <v>196</v>
      </c>
      <c r="N535" s="46" t="s">
        <v>197</v>
      </c>
      <c r="O535" s="46">
        <v>8040000</v>
      </c>
      <c r="P535" s="46">
        <v>69</v>
      </c>
      <c r="Q535" s="46">
        <v>0</v>
      </c>
      <c r="R535" s="46">
        <v>0</v>
      </c>
      <c r="S535" s="46">
        <v>0</v>
      </c>
      <c r="T535" s="46">
        <v>0</v>
      </c>
      <c r="U535" s="46">
        <v>477000</v>
      </c>
      <c r="V535" s="46">
        <v>3</v>
      </c>
      <c r="W535" s="46">
        <v>0</v>
      </c>
      <c r="X535" s="46">
        <v>0</v>
      </c>
      <c r="Y535" s="48">
        <v>0</v>
      </c>
      <c r="Z535" s="46">
        <v>0</v>
      </c>
      <c r="AA535" s="46">
        <v>0</v>
      </c>
      <c r="AB535" s="46">
        <v>0</v>
      </c>
      <c r="AC535" s="46">
        <v>8517000</v>
      </c>
      <c r="AD535" s="46">
        <v>72</v>
      </c>
      <c r="AF535" s="47">
        <f t="shared" si="8"/>
        <v>8517000</v>
      </c>
    </row>
    <row r="536" spans="1:32" hidden="1" x14ac:dyDescent="0.3">
      <c r="A536" s="46" t="s">
        <v>613</v>
      </c>
      <c r="B536" s="46" t="str">
        <f>IFERROR(VLOOKUP($H536,매장구분!$B:$Z,2,0),"")</f>
        <v>리테일채널팀</v>
      </c>
      <c r="C536" s="46" t="str">
        <f>IFERROR(VLOOKUP($H536,매장구분!$B:$Z,3,0),"")</f>
        <v>국내</v>
      </c>
      <c r="D536" s="46" t="str">
        <f>IFERROR(VLOOKUP($H536,매장구분!$B:$Z,5,0),"")</f>
        <v>직영점</v>
      </c>
      <c r="E536" s="46" t="str">
        <f>IFERROR(VLOOKUP($H536,매장구분!$B:$Z,9,0),"")</f>
        <v>스타필드수원(직)</v>
      </c>
      <c r="G536" s="46" t="s">
        <v>468</v>
      </c>
      <c r="H536" s="46" t="s">
        <v>469</v>
      </c>
      <c r="I536" s="46" t="s">
        <v>169</v>
      </c>
      <c r="J536" s="46" t="s">
        <v>180</v>
      </c>
      <c r="K536" s="46" t="s">
        <v>170</v>
      </c>
      <c r="L536" s="46" t="s">
        <v>171</v>
      </c>
      <c r="M536" s="46" t="s">
        <v>188</v>
      </c>
      <c r="N536" s="46" t="s">
        <v>189</v>
      </c>
      <c r="O536" s="46">
        <v>17605600</v>
      </c>
      <c r="P536" s="46">
        <v>207</v>
      </c>
      <c r="Q536" s="46">
        <v>0</v>
      </c>
      <c r="R536" s="46">
        <v>0</v>
      </c>
      <c r="S536" s="46">
        <v>0</v>
      </c>
      <c r="T536" s="46">
        <v>0</v>
      </c>
      <c r="U536" s="46">
        <v>1386000</v>
      </c>
      <c r="V536" s="46">
        <v>8</v>
      </c>
      <c r="W536" s="46">
        <v>0</v>
      </c>
      <c r="X536" s="46">
        <v>0</v>
      </c>
      <c r="Y536" s="48">
        <v>0</v>
      </c>
      <c r="Z536" s="46">
        <v>0</v>
      </c>
      <c r="AA536" s="46">
        <v>0</v>
      </c>
      <c r="AB536" s="46">
        <v>0</v>
      </c>
      <c r="AC536" s="46">
        <v>18991600</v>
      </c>
      <c r="AD536" s="46">
        <v>215</v>
      </c>
      <c r="AF536" s="47">
        <f t="shared" si="8"/>
        <v>18991600</v>
      </c>
    </row>
    <row r="537" spans="1:32" hidden="1" x14ac:dyDescent="0.3">
      <c r="A537" s="46" t="s">
        <v>613</v>
      </c>
      <c r="B537" s="46" t="str">
        <f>IFERROR(VLOOKUP($H537,매장구분!$B:$Z,2,0),"")</f>
        <v>E-biz</v>
      </c>
      <c r="C537" s="46" t="str">
        <f>IFERROR(VLOOKUP($H537,매장구분!$B:$Z,3,0),"")</f>
        <v>국내</v>
      </c>
      <c r="D537" s="46" t="str">
        <f>IFERROR(VLOOKUP($H537,매장구분!$B:$Z,5,0),"")</f>
        <v>온(제휴몰)</v>
      </c>
      <c r="E537" s="46" t="str">
        <f>IFERROR(VLOOKUP($H537,매장구분!$B:$Z,9,0),"")</f>
        <v>CJ온스타일(제휴몰)</v>
      </c>
      <c r="G537" s="46" t="s">
        <v>279</v>
      </c>
      <c r="H537" s="46" t="s">
        <v>280</v>
      </c>
      <c r="I537" s="46" t="s">
        <v>169</v>
      </c>
      <c r="J537" s="46" t="s">
        <v>180</v>
      </c>
      <c r="K537" s="46" t="s">
        <v>170</v>
      </c>
      <c r="L537" s="46" t="s">
        <v>181</v>
      </c>
      <c r="M537" s="46" t="s">
        <v>181</v>
      </c>
      <c r="N537" s="46" t="s">
        <v>185</v>
      </c>
      <c r="O537" s="46">
        <v>5208800</v>
      </c>
      <c r="P537" s="46">
        <v>74</v>
      </c>
      <c r="Q537" s="46">
        <v>0</v>
      </c>
      <c r="R537" s="46">
        <v>0</v>
      </c>
      <c r="S537" s="46">
        <v>0</v>
      </c>
      <c r="T537" s="46">
        <v>0</v>
      </c>
      <c r="U537" s="46">
        <v>0</v>
      </c>
      <c r="V537" s="46">
        <v>0</v>
      </c>
      <c r="W537" s="46">
        <v>0</v>
      </c>
      <c r="X537" s="46">
        <v>0</v>
      </c>
      <c r="Y537" s="48">
        <v>0</v>
      </c>
      <c r="Z537" s="46">
        <v>0</v>
      </c>
      <c r="AA537" s="46">
        <v>0</v>
      </c>
      <c r="AB537" s="46">
        <v>0</v>
      </c>
      <c r="AC537" s="46">
        <v>5208800</v>
      </c>
      <c r="AD537" s="46">
        <v>74</v>
      </c>
      <c r="AF537" s="47">
        <f t="shared" si="8"/>
        <v>5208800</v>
      </c>
    </row>
    <row r="538" spans="1:32" hidden="1" x14ac:dyDescent="0.3">
      <c r="A538" s="46" t="s">
        <v>613</v>
      </c>
      <c r="B538" s="46" t="str">
        <f>IFERROR(VLOOKUP($H538,매장구분!$B:$Z,2,0),"")</f>
        <v>리테일채널팀</v>
      </c>
      <c r="C538" s="46" t="str">
        <f>IFERROR(VLOOKUP($H538,매장구분!$B:$Z,3,0),"")</f>
        <v>국내</v>
      </c>
      <c r="D538" s="46" t="str">
        <f>IFERROR(VLOOKUP($H538,매장구분!$B:$Z,5,0),"")</f>
        <v>대리점</v>
      </c>
      <c r="E538" s="46" t="str">
        <f>IFERROR(VLOOKUP($H538,매장구분!$B:$Z,9,0),"")</f>
        <v>마산합성(대-위)</v>
      </c>
      <c r="G538" s="46" t="s">
        <v>546</v>
      </c>
      <c r="H538" s="46" t="s">
        <v>547</v>
      </c>
      <c r="I538" s="46" t="s">
        <v>169</v>
      </c>
      <c r="J538" s="46" t="s">
        <v>79</v>
      </c>
      <c r="K538" s="46" t="s">
        <v>170</v>
      </c>
      <c r="L538" s="46" t="s">
        <v>171</v>
      </c>
      <c r="M538" s="46" t="s">
        <v>196</v>
      </c>
      <c r="N538" s="46" t="s">
        <v>197</v>
      </c>
      <c r="O538" s="46">
        <v>13320636</v>
      </c>
      <c r="P538" s="46">
        <v>118</v>
      </c>
      <c r="Q538" s="46">
        <v>0</v>
      </c>
      <c r="R538" s="46">
        <v>0</v>
      </c>
      <c r="S538" s="46">
        <v>0</v>
      </c>
      <c r="T538" s="46">
        <v>0</v>
      </c>
      <c r="U538" s="46">
        <v>1872300</v>
      </c>
      <c r="V538" s="46">
        <v>13</v>
      </c>
      <c r="W538" s="46">
        <v>0</v>
      </c>
      <c r="X538" s="46">
        <v>0</v>
      </c>
      <c r="Y538" s="48">
        <v>0</v>
      </c>
      <c r="Z538" s="46">
        <v>0</v>
      </c>
      <c r="AA538" s="46">
        <v>0</v>
      </c>
      <c r="AB538" s="46">
        <v>0</v>
      </c>
      <c r="AC538" s="46">
        <v>15192936</v>
      </c>
      <c r="AD538" s="46">
        <v>131</v>
      </c>
      <c r="AF538" s="47">
        <f t="shared" si="8"/>
        <v>15192936</v>
      </c>
    </row>
    <row r="539" spans="1:32" hidden="1" x14ac:dyDescent="0.3">
      <c r="A539" s="46" t="s">
        <v>613</v>
      </c>
      <c r="B539" s="46" t="str">
        <f>IFERROR(VLOOKUP($H539,매장구분!$B:$Z,2,0),"")</f>
        <v>리테일채널팀</v>
      </c>
      <c r="C539" s="46" t="str">
        <f>IFERROR(VLOOKUP($H539,매장구분!$B:$Z,3,0),"")</f>
        <v>국내</v>
      </c>
      <c r="D539" s="46" t="str">
        <f>IFERROR(VLOOKUP($H539,매장구분!$B:$Z,5,0),"")</f>
        <v>대리점</v>
      </c>
      <c r="E539" s="46" t="str">
        <f>IFERROR(VLOOKUP($H539,매장구분!$B:$Z,9,0),"")</f>
        <v>강릉(대-위)</v>
      </c>
      <c r="G539" s="46" t="s">
        <v>230</v>
      </c>
      <c r="H539" s="46" t="s">
        <v>231</v>
      </c>
      <c r="I539" s="46" t="s">
        <v>169</v>
      </c>
      <c r="J539" s="46" t="s">
        <v>79</v>
      </c>
      <c r="K539" s="46" t="s">
        <v>170</v>
      </c>
      <c r="L539" s="46" t="s">
        <v>171</v>
      </c>
      <c r="M539" s="46" t="s">
        <v>196</v>
      </c>
      <c r="N539" s="46" t="s">
        <v>197</v>
      </c>
      <c r="O539" s="46">
        <v>11789310</v>
      </c>
      <c r="P539" s="46">
        <v>112</v>
      </c>
      <c r="Q539" s="46">
        <v>0</v>
      </c>
      <c r="R539" s="46">
        <v>0</v>
      </c>
      <c r="S539" s="46">
        <v>0</v>
      </c>
      <c r="T539" s="46">
        <v>0</v>
      </c>
      <c r="U539" s="46">
        <v>13078790</v>
      </c>
      <c r="V539" s="46">
        <v>83</v>
      </c>
      <c r="W539" s="46">
        <v>0</v>
      </c>
      <c r="X539" s="46">
        <v>0</v>
      </c>
      <c r="Y539" s="48">
        <v>0</v>
      </c>
      <c r="Z539" s="46">
        <v>0</v>
      </c>
      <c r="AA539" s="46">
        <v>0</v>
      </c>
      <c r="AB539" s="46">
        <v>0</v>
      </c>
      <c r="AC539" s="46">
        <v>24868100</v>
      </c>
      <c r="AD539" s="46">
        <v>195</v>
      </c>
      <c r="AF539" s="47">
        <f t="shared" si="8"/>
        <v>24868100</v>
      </c>
    </row>
    <row r="540" spans="1:32" hidden="1" x14ac:dyDescent="0.3">
      <c r="A540" s="46" t="s">
        <v>613</v>
      </c>
      <c r="B540" s="46" t="str">
        <f>IFERROR(VLOOKUP($H540,매장구분!$B:$Z,2,0),"")</f>
        <v>리테일채널팀</v>
      </c>
      <c r="C540" s="46" t="str">
        <f>IFERROR(VLOOKUP($H540,매장구분!$B:$Z,3,0),"")</f>
        <v>국내</v>
      </c>
      <c r="D540" s="46" t="str">
        <f>IFERROR(VLOOKUP($H540,매장구분!$B:$Z,5,0),"")</f>
        <v>대리점</v>
      </c>
      <c r="E540" s="46" t="str">
        <f>IFERROR(VLOOKUP($H540,매장구분!$B:$Z,9,0),"")</f>
        <v>전주중앙(대-위)</v>
      </c>
      <c r="G540" s="46" t="s">
        <v>293</v>
      </c>
      <c r="H540" s="46" t="s">
        <v>294</v>
      </c>
      <c r="I540" s="46" t="s">
        <v>169</v>
      </c>
      <c r="J540" s="46" t="s">
        <v>79</v>
      </c>
      <c r="K540" s="46" t="s">
        <v>170</v>
      </c>
      <c r="L540" s="46" t="s">
        <v>171</v>
      </c>
      <c r="M540" s="46" t="s">
        <v>196</v>
      </c>
      <c r="N540" s="46" t="s">
        <v>197</v>
      </c>
      <c r="O540" s="46">
        <v>13016300</v>
      </c>
      <c r="P540" s="46">
        <v>134</v>
      </c>
      <c r="Q540" s="46">
        <v>0</v>
      </c>
      <c r="R540" s="46">
        <v>0</v>
      </c>
      <c r="S540" s="46">
        <v>0</v>
      </c>
      <c r="T540" s="46">
        <v>0</v>
      </c>
      <c r="U540" s="46">
        <v>98100</v>
      </c>
      <c r="V540" s="46">
        <v>1</v>
      </c>
      <c r="W540" s="46">
        <v>0</v>
      </c>
      <c r="X540" s="46">
        <v>0</v>
      </c>
      <c r="Y540" s="48">
        <v>0</v>
      </c>
      <c r="Z540" s="46">
        <v>0</v>
      </c>
      <c r="AA540" s="46">
        <v>0</v>
      </c>
      <c r="AB540" s="46">
        <v>0</v>
      </c>
      <c r="AC540" s="46">
        <v>13114400</v>
      </c>
      <c r="AD540" s="46">
        <v>135</v>
      </c>
      <c r="AF540" s="47">
        <f t="shared" si="8"/>
        <v>13114400</v>
      </c>
    </row>
    <row r="541" spans="1:32" hidden="1" x14ac:dyDescent="0.3">
      <c r="A541" s="46" t="s">
        <v>613</v>
      </c>
      <c r="B541" s="46" t="str">
        <f>IFERROR(VLOOKUP($H541,매장구분!$B:$Z,2,0),"")</f>
        <v>리테일채널팀</v>
      </c>
      <c r="C541" s="46" t="str">
        <f>IFERROR(VLOOKUP($H541,매장구분!$B:$Z,3,0),"")</f>
        <v>국내</v>
      </c>
      <c r="D541" s="46" t="str">
        <f>IFERROR(VLOOKUP($H541,매장구분!$B:$Z,5,0),"")</f>
        <v>대리점</v>
      </c>
      <c r="E541" s="46" t="str">
        <f>IFERROR(VLOOKUP($H541,매장구분!$B:$Z,9,0),"")</f>
        <v>해남(대-위)</v>
      </c>
      <c r="G541" s="46" t="s">
        <v>514</v>
      </c>
      <c r="H541" s="46" t="s">
        <v>515</v>
      </c>
      <c r="I541" s="46" t="s">
        <v>169</v>
      </c>
      <c r="J541" s="46" t="s">
        <v>79</v>
      </c>
      <c r="K541" s="46" t="s">
        <v>170</v>
      </c>
      <c r="L541" s="46" t="s">
        <v>171</v>
      </c>
      <c r="M541" s="46" t="s">
        <v>196</v>
      </c>
      <c r="N541" s="46" t="s">
        <v>197</v>
      </c>
      <c r="O541" s="46">
        <v>13963728</v>
      </c>
      <c r="P541" s="46">
        <v>121</v>
      </c>
      <c r="Q541" s="46">
        <v>0</v>
      </c>
      <c r="R541" s="46">
        <v>0</v>
      </c>
      <c r="S541" s="46">
        <v>0</v>
      </c>
      <c r="T541" s="46">
        <v>0</v>
      </c>
      <c r="U541" s="46">
        <v>4118803</v>
      </c>
      <c r="V541" s="46">
        <v>27</v>
      </c>
      <c r="W541" s="46">
        <v>0</v>
      </c>
      <c r="X541" s="46">
        <v>0</v>
      </c>
      <c r="Y541" s="48">
        <v>0</v>
      </c>
      <c r="Z541" s="46">
        <v>0</v>
      </c>
      <c r="AA541" s="46">
        <v>0</v>
      </c>
      <c r="AB541" s="46">
        <v>0</v>
      </c>
      <c r="AC541" s="46">
        <v>18082531</v>
      </c>
      <c r="AD541" s="46">
        <v>148</v>
      </c>
      <c r="AF541" s="47">
        <f t="shared" si="8"/>
        <v>18082531</v>
      </c>
    </row>
    <row r="542" spans="1:32" hidden="1" x14ac:dyDescent="0.3">
      <c r="A542" s="46" t="s">
        <v>613</v>
      </c>
      <c r="B542" s="46" t="str">
        <f>IFERROR(VLOOKUP($H542,매장구분!$B:$Z,2,0),"")</f>
        <v>파트너채널팀</v>
      </c>
      <c r="C542" s="46" t="str">
        <f>IFERROR(VLOOKUP($H542,매장구분!$B:$Z,3,0),"")</f>
        <v>국내</v>
      </c>
      <c r="D542" s="46" t="str">
        <f>IFERROR(VLOOKUP($H542,매장구분!$B:$Z,5,0),"")</f>
        <v>백화점</v>
      </c>
      <c r="E542" s="46" t="str">
        <f>IFERROR(VLOOKUP($H542,매장구분!$B:$Z,9,0),"")</f>
        <v>모다아울렛대전</v>
      </c>
      <c r="G542" s="46" t="s">
        <v>236</v>
      </c>
      <c r="H542" s="46" t="s">
        <v>237</v>
      </c>
      <c r="I542" s="46" t="s">
        <v>169</v>
      </c>
      <c r="J542" s="46" t="s">
        <v>175</v>
      </c>
      <c r="K542" s="46" t="s">
        <v>170</v>
      </c>
      <c r="L542" s="46" t="s">
        <v>171</v>
      </c>
      <c r="M542" s="46" t="s">
        <v>77</v>
      </c>
      <c r="N542" s="46" t="s">
        <v>238</v>
      </c>
      <c r="O542" s="46">
        <v>17643500</v>
      </c>
      <c r="P542" s="46">
        <v>154</v>
      </c>
      <c r="Q542" s="46">
        <v>0</v>
      </c>
      <c r="R542" s="46">
        <v>0</v>
      </c>
      <c r="S542" s="46">
        <v>0</v>
      </c>
      <c r="T542" s="46">
        <v>0</v>
      </c>
      <c r="U542" s="46">
        <v>1769500</v>
      </c>
      <c r="V542" s="46">
        <v>11</v>
      </c>
      <c r="W542" s="46">
        <v>0</v>
      </c>
      <c r="X542" s="46">
        <v>0</v>
      </c>
      <c r="Y542" s="48">
        <v>0</v>
      </c>
      <c r="Z542" s="46">
        <v>0</v>
      </c>
      <c r="AA542" s="46">
        <v>0</v>
      </c>
      <c r="AB542" s="46">
        <v>0</v>
      </c>
      <c r="AC542" s="46">
        <v>19413000</v>
      </c>
      <c r="AD542" s="46">
        <v>165</v>
      </c>
      <c r="AF542" s="47">
        <f t="shared" si="8"/>
        <v>19413000</v>
      </c>
    </row>
    <row r="543" spans="1:32" hidden="1" x14ac:dyDescent="0.3">
      <c r="A543" s="46" t="s">
        <v>613</v>
      </c>
      <c r="B543" s="46" t="str">
        <f>IFERROR(VLOOKUP($H543,매장구분!$B:$Z,2,0),"")</f>
        <v>리테일채널팀</v>
      </c>
      <c r="C543" s="46" t="str">
        <f>IFERROR(VLOOKUP($H543,매장구분!$B:$Z,3,0),"")</f>
        <v>RF</v>
      </c>
      <c r="D543" s="46" t="str">
        <f>IFERROR(VLOOKUP($H543,매장구분!$B:$Z,5,0),"")</f>
        <v>대리점</v>
      </c>
      <c r="E543" s="46" t="str">
        <f>IFERROR(VLOOKUP($H543,매장구분!$B:$Z,9,0),"")</f>
        <v>두타(대-위)</v>
      </c>
      <c r="G543" s="46" t="s">
        <v>600</v>
      </c>
      <c r="H543" s="46" t="s">
        <v>601</v>
      </c>
      <c r="I543" s="46" t="s">
        <v>169</v>
      </c>
      <c r="J543" s="46" t="s">
        <v>79</v>
      </c>
      <c r="K543" s="46" t="s">
        <v>170</v>
      </c>
      <c r="L543" s="46" t="s">
        <v>171</v>
      </c>
      <c r="M543" s="46" t="s">
        <v>196</v>
      </c>
      <c r="N543" s="46" t="s">
        <v>197</v>
      </c>
      <c r="O543" s="46">
        <v>10626000</v>
      </c>
      <c r="P543" s="46">
        <v>98</v>
      </c>
      <c r="Q543" s="46">
        <v>0</v>
      </c>
      <c r="R543" s="46">
        <v>0</v>
      </c>
      <c r="S543" s="46">
        <v>0</v>
      </c>
      <c r="T543" s="46">
        <v>0</v>
      </c>
      <c r="U543" s="46">
        <v>0</v>
      </c>
      <c r="V543" s="46">
        <v>0</v>
      </c>
      <c r="W543" s="46">
        <v>0</v>
      </c>
      <c r="X543" s="46">
        <v>0</v>
      </c>
      <c r="Y543" s="48">
        <v>0</v>
      </c>
      <c r="Z543" s="46">
        <v>0</v>
      </c>
      <c r="AA543" s="46">
        <v>0</v>
      </c>
      <c r="AB543" s="46">
        <v>0</v>
      </c>
      <c r="AC543" s="46">
        <v>10626000</v>
      </c>
      <c r="AD543" s="46">
        <v>98</v>
      </c>
      <c r="AF543" s="47">
        <f t="shared" si="8"/>
        <v>10626000</v>
      </c>
    </row>
    <row r="544" spans="1:32" hidden="1" x14ac:dyDescent="0.3">
      <c r="A544" s="46" t="s">
        <v>613</v>
      </c>
      <c r="B544" s="46" t="str">
        <f>IFERROR(VLOOKUP($H544,매장구분!$B:$Z,2,0),"")</f>
        <v>E-biz</v>
      </c>
      <c r="C544" s="46" t="str">
        <f>IFERROR(VLOOKUP($H544,매장구분!$B:$Z,3,0),"")</f>
        <v>국내</v>
      </c>
      <c r="D544" s="46" t="str">
        <f>IFERROR(VLOOKUP($H544,매장구분!$B:$Z,5,0),"")</f>
        <v>온(제휴몰)</v>
      </c>
      <c r="E544" s="46" t="str">
        <f>IFERROR(VLOOKUP($H544,매장구분!$B:$Z,9,0),"")</f>
        <v>MLB 글로벌</v>
      </c>
      <c r="G544" s="46" t="s">
        <v>578</v>
      </c>
      <c r="H544" s="46" t="s">
        <v>579</v>
      </c>
      <c r="I544" s="46" t="s">
        <v>169</v>
      </c>
      <c r="J544" s="46" t="s">
        <v>180</v>
      </c>
      <c r="K544" s="46" t="s">
        <v>170</v>
      </c>
      <c r="L544" s="46" t="s">
        <v>181</v>
      </c>
      <c r="M544" s="46" t="s">
        <v>181</v>
      </c>
      <c r="N544" s="46" t="s">
        <v>182</v>
      </c>
      <c r="O544" s="46">
        <v>2292174</v>
      </c>
      <c r="P544" s="46">
        <v>24</v>
      </c>
      <c r="Q544" s="46">
        <v>0</v>
      </c>
      <c r="R544" s="46">
        <v>0</v>
      </c>
      <c r="S544" s="46">
        <v>0</v>
      </c>
      <c r="T544" s="46">
        <v>0</v>
      </c>
      <c r="U544" s="46">
        <v>0</v>
      </c>
      <c r="V544" s="46">
        <v>0</v>
      </c>
      <c r="W544" s="46">
        <v>0</v>
      </c>
      <c r="X544" s="46">
        <v>0</v>
      </c>
      <c r="Y544" s="48">
        <v>0</v>
      </c>
      <c r="Z544" s="46">
        <v>0</v>
      </c>
      <c r="AA544" s="46">
        <v>0</v>
      </c>
      <c r="AB544" s="46">
        <v>0</v>
      </c>
      <c r="AC544" s="46">
        <v>2292174</v>
      </c>
      <c r="AD544" s="46">
        <v>24</v>
      </c>
      <c r="AF544" s="47">
        <f t="shared" si="8"/>
        <v>2292174</v>
      </c>
    </row>
    <row r="545" spans="1:32" hidden="1" x14ac:dyDescent="0.3">
      <c r="A545" s="46" t="s">
        <v>613</v>
      </c>
      <c r="B545" s="46" t="str">
        <f>IFERROR(VLOOKUP($H545,매장구분!$B:$Z,2,0),"")</f>
        <v>리테일채널팀</v>
      </c>
      <c r="C545" s="46" t="str">
        <f>IFERROR(VLOOKUP($H545,매장구분!$B:$Z,3,0),"")</f>
        <v>국내</v>
      </c>
      <c r="D545" s="46" t="str">
        <f>IFERROR(VLOOKUP($H545,매장구분!$B:$Z,5,0),"")</f>
        <v>상설(위탁)</v>
      </c>
      <c r="E545" s="46" t="str">
        <f>IFERROR(VLOOKUP($H545,매장구분!$B:$Z,9,0),"")</f>
        <v>롯데아울렛수완(상-위)</v>
      </c>
      <c r="G545" s="46" t="s">
        <v>430</v>
      </c>
      <c r="H545" s="46" t="s">
        <v>431</v>
      </c>
      <c r="I545" s="46" t="s">
        <v>169</v>
      </c>
      <c r="J545" s="46" t="s">
        <v>79</v>
      </c>
      <c r="K545" s="46" t="s">
        <v>170</v>
      </c>
      <c r="L545" s="46" t="s">
        <v>171</v>
      </c>
      <c r="M545" s="46" t="s">
        <v>219</v>
      </c>
      <c r="N545" s="46" t="s">
        <v>219</v>
      </c>
      <c r="O545" s="46">
        <v>1728000</v>
      </c>
      <c r="P545" s="46">
        <v>48</v>
      </c>
      <c r="Q545" s="46">
        <v>0</v>
      </c>
      <c r="R545" s="46">
        <v>0</v>
      </c>
      <c r="S545" s="46">
        <v>0</v>
      </c>
      <c r="T545" s="46">
        <v>0</v>
      </c>
      <c r="U545" s="46">
        <v>0</v>
      </c>
      <c r="V545" s="46">
        <v>0</v>
      </c>
      <c r="W545" s="46">
        <v>0</v>
      </c>
      <c r="X545" s="46">
        <v>0</v>
      </c>
      <c r="Y545" s="48">
        <v>0</v>
      </c>
      <c r="Z545" s="46">
        <v>0</v>
      </c>
      <c r="AA545" s="46">
        <v>0</v>
      </c>
      <c r="AB545" s="46">
        <v>0</v>
      </c>
      <c r="AC545" s="46">
        <v>1728000</v>
      </c>
      <c r="AD545" s="46">
        <v>48</v>
      </c>
      <c r="AF545" s="47">
        <f t="shared" si="8"/>
        <v>1728000</v>
      </c>
    </row>
    <row r="546" spans="1:32" hidden="1" x14ac:dyDescent="0.3">
      <c r="A546" s="46" t="s">
        <v>613</v>
      </c>
      <c r="B546" s="46" t="str">
        <f>IFERROR(VLOOKUP($H546,매장구분!$B:$Z,2,0),"")</f>
        <v>리테일채널팀</v>
      </c>
      <c r="C546" s="46" t="str">
        <f>IFERROR(VLOOKUP($H546,매장구분!$B:$Z,3,0),"")</f>
        <v>국내</v>
      </c>
      <c r="D546" s="46" t="str">
        <f>IFERROR(VLOOKUP($H546,매장구분!$B:$Z,5,0),"")</f>
        <v>상설(위탁)</v>
      </c>
      <c r="E546" s="46" t="str">
        <f>IFERROR(VLOOKUP($H546,매장구분!$B:$Z,9,0),"")</f>
        <v>NC강서(상-위)</v>
      </c>
      <c r="G546" s="46" t="s">
        <v>376</v>
      </c>
      <c r="H546" s="46" t="s">
        <v>377</v>
      </c>
      <c r="I546" s="46" t="s">
        <v>169</v>
      </c>
      <c r="J546" s="46" t="s">
        <v>79</v>
      </c>
      <c r="K546" s="46" t="s">
        <v>170</v>
      </c>
      <c r="L546" s="46" t="s">
        <v>171</v>
      </c>
      <c r="M546" s="46" t="s">
        <v>77</v>
      </c>
      <c r="N546" s="46" t="s">
        <v>238</v>
      </c>
      <c r="O546" s="46">
        <v>1512000</v>
      </c>
      <c r="P546" s="46">
        <v>42</v>
      </c>
      <c r="Q546" s="46">
        <v>0</v>
      </c>
      <c r="R546" s="46">
        <v>0</v>
      </c>
      <c r="S546" s="46">
        <v>0</v>
      </c>
      <c r="T546" s="46">
        <v>0</v>
      </c>
      <c r="U546" s="46">
        <v>0</v>
      </c>
      <c r="V546" s="46">
        <v>0</v>
      </c>
      <c r="W546" s="46">
        <v>0</v>
      </c>
      <c r="X546" s="46">
        <v>0</v>
      </c>
      <c r="Y546" s="48">
        <v>0</v>
      </c>
      <c r="Z546" s="46">
        <v>0</v>
      </c>
      <c r="AA546" s="46">
        <v>0</v>
      </c>
      <c r="AB546" s="46">
        <v>0</v>
      </c>
      <c r="AC546" s="46">
        <v>1512000</v>
      </c>
      <c r="AD546" s="46">
        <v>42</v>
      </c>
      <c r="AF546" s="47">
        <f t="shared" si="8"/>
        <v>1512000</v>
      </c>
    </row>
    <row r="547" spans="1:32" hidden="1" x14ac:dyDescent="0.3">
      <c r="A547" s="46" t="s">
        <v>613</v>
      </c>
      <c r="B547" s="46" t="str">
        <f>IFERROR(VLOOKUP($H547,매장구분!$B:$Z,2,0),"")</f>
        <v>리테일채널팀</v>
      </c>
      <c r="C547" s="46" t="str">
        <f>IFERROR(VLOOKUP($H547,매장구분!$B:$Z,3,0),"")</f>
        <v>국내</v>
      </c>
      <c r="D547" s="46" t="str">
        <f>IFERROR(VLOOKUP($H547,매장구분!$B:$Z,5,0),"")</f>
        <v>상설(위탁)</v>
      </c>
      <c r="E547" s="46" t="str">
        <f>IFERROR(VLOOKUP($H547,매장구분!$B:$Z,9,0),"")</f>
        <v>롯데아울렛율하(상-위)</v>
      </c>
      <c r="G547" s="46" t="s">
        <v>610</v>
      </c>
      <c r="H547" s="46" t="s">
        <v>611</v>
      </c>
      <c r="I547" s="46" t="s">
        <v>169</v>
      </c>
      <c r="J547" s="46" t="s">
        <v>79</v>
      </c>
      <c r="K547" s="46" t="s">
        <v>170</v>
      </c>
      <c r="L547" s="46" t="s">
        <v>171</v>
      </c>
      <c r="M547" s="46" t="s">
        <v>219</v>
      </c>
      <c r="N547" s="46" t="s">
        <v>219</v>
      </c>
      <c r="O547" s="46">
        <v>900000</v>
      </c>
      <c r="P547" s="46">
        <v>25</v>
      </c>
      <c r="Q547" s="46">
        <v>0</v>
      </c>
      <c r="R547" s="46">
        <v>0</v>
      </c>
      <c r="S547" s="46">
        <v>0</v>
      </c>
      <c r="T547" s="46">
        <v>0</v>
      </c>
      <c r="U547" s="46">
        <v>0</v>
      </c>
      <c r="V547" s="46">
        <v>0</v>
      </c>
      <c r="W547" s="46">
        <v>0</v>
      </c>
      <c r="X547" s="46">
        <v>0</v>
      </c>
      <c r="Y547" s="48">
        <v>0</v>
      </c>
      <c r="Z547" s="46">
        <v>0</v>
      </c>
      <c r="AA547" s="46">
        <v>0</v>
      </c>
      <c r="AB547" s="46">
        <v>0</v>
      </c>
      <c r="AC547" s="46">
        <v>900000</v>
      </c>
      <c r="AD547" s="46">
        <v>25</v>
      </c>
      <c r="AF547" s="47">
        <f t="shared" si="8"/>
        <v>900000</v>
      </c>
    </row>
    <row r="548" spans="1:32" hidden="1" x14ac:dyDescent="0.3">
      <c r="A548" s="46" t="s">
        <v>613</v>
      </c>
      <c r="B548" s="46" t="str">
        <f>IFERROR(VLOOKUP($H548,매장구분!$B:$Z,2,0),"")</f>
        <v>리테일채널팀</v>
      </c>
      <c r="C548" s="46" t="str">
        <f>IFERROR(VLOOKUP($H548,매장구분!$B:$Z,3,0),"")</f>
        <v>국내</v>
      </c>
      <c r="D548" s="46" t="str">
        <f>IFERROR(VLOOKUP($H548,매장구분!$B:$Z,5,0),"")</f>
        <v>상설(위탁)</v>
      </c>
      <c r="E548" s="46" t="str">
        <f>IFERROR(VLOOKUP($H548,매장구분!$B:$Z,9,0),"")</f>
        <v>현대아울렛대구(상-위)</v>
      </c>
      <c r="G548" s="46" t="s">
        <v>590</v>
      </c>
      <c r="H548" s="46" t="s">
        <v>591</v>
      </c>
      <c r="I548" s="46" t="s">
        <v>169</v>
      </c>
      <c r="J548" s="46" t="s">
        <v>79</v>
      </c>
      <c r="K548" s="46" t="s">
        <v>170</v>
      </c>
      <c r="L548" s="46" t="s">
        <v>171</v>
      </c>
      <c r="M548" s="46" t="s">
        <v>219</v>
      </c>
      <c r="N548" s="46" t="s">
        <v>219</v>
      </c>
      <c r="O548" s="46">
        <v>756000</v>
      </c>
      <c r="P548" s="46">
        <v>21</v>
      </c>
      <c r="Q548" s="46">
        <v>0</v>
      </c>
      <c r="R548" s="46">
        <v>0</v>
      </c>
      <c r="S548" s="46">
        <v>0</v>
      </c>
      <c r="T548" s="46">
        <v>0</v>
      </c>
      <c r="U548" s="46">
        <v>0</v>
      </c>
      <c r="V548" s="46">
        <v>0</v>
      </c>
      <c r="W548" s="46">
        <v>0</v>
      </c>
      <c r="X548" s="46">
        <v>0</v>
      </c>
      <c r="Y548" s="48">
        <v>0</v>
      </c>
      <c r="Z548" s="46">
        <v>0</v>
      </c>
      <c r="AA548" s="46">
        <v>0</v>
      </c>
      <c r="AB548" s="46">
        <v>0</v>
      </c>
      <c r="AC548" s="46">
        <v>756000</v>
      </c>
      <c r="AD548" s="46">
        <v>21</v>
      </c>
      <c r="AF548" s="47">
        <f t="shared" si="8"/>
        <v>756000</v>
      </c>
    </row>
    <row r="549" spans="1:32" hidden="1" x14ac:dyDescent="0.3">
      <c r="A549" s="46" t="s">
        <v>613</v>
      </c>
      <c r="B549" s="46" t="str">
        <f>IFERROR(VLOOKUP($H549,매장구분!$B:$Z,2,0),"")</f>
        <v>파트너채널팀</v>
      </c>
      <c r="C549" s="46" t="str">
        <f>IFERROR(VLOOKUP($H549,매장구분!$B:$Z,3,0),"")</f>
        <v>면세</v>
      </c>
      <c r="D549" s="46" t="str">
        <f>IFERROR(VLOOKUP($H549,매장구분!$B:$Z,5,0),"")</f>
        <v>면세</v>
      </c>
      <c r="E549" s="46" t="str">
        <f>IFERROR(VLOOKUP($H549,매장구분!$B:$Z,9,0),"")</f>
        <v>현대면세동대문</v>
      </c>
      <c r="G549" s="46" t="s">
        <v>572</v>
      </c>
      <c r="H549" s="46" t="s">
        <v>573</v>
      </c>
      <c r="I549" s="46" t="s">
        <v>169</v>
      </c>
      <c r="J549" s="46" t="s">
        <v>175</v>
      </c>
      <c r="K549" s="46" t="s">
        <v>170</v>
      </c>
      <c r="L549" s="46" t="s">
        <v>171</v>
      </c>
      <c r="M549" s="46" t="s">
        <v>176</v>
      </c>
      <c r="N549" s="46" t="s">
        <v>177</v>
      </c>
      <c r="O549" s="46">
        <v>111000400</v>
      </c>
      <c r="P549" s="46">
        <v>1338</v>
      </c>
      <c r="Q549" s="46">
        <v>0</v>
      </c>
      <c r="R549" s="46">
        <v>0</v>
      </c>
      <c r="S549" s="46">
        <v>0</v>
      </c>
      <c r="T549" s="46">
        <v>0</v>
      </c>
      <c r="U549" s="46">
        <v>0</v>
      </c>
      <c r="V549" s="46">
        <v>0</v>
      </c>
      <c r="W549" s="46">
        <v>0</v>
      </c>
      <c r="X549" s="46">
        <v>0</v>
      </c>
      <c r="Y549" s="48">
        <v>186056600</v>
      </c>
      <c r="Z549" s="46">
        <v>2556</v>
      </c>
      <c r="AA549" s="46">
        <v>0</v>
      </c>
      <c r="AB549" s="46">
        <v>0</v>
      </c>
      <c r="AC549" s="46">
        <v>297057000</v>
      </c>
      <c r="AD549" s="46">
        <v>3894</v>
      </c>
      <c r="AF549" s="47">
        <f t="shared" si="8"/>
        <v>111000400</v>
      </c>
    </row>
    <row r="550" spans="1:32" hidden="1" x14ac:dyDescent="0.3">
      <c r="A550" s="46" t="s">
        <v>613</v>
      </c>
      <c r="B550" s="46" t="str">
        <f>IFERROR(VLOOKUP($H550,매장구분!$B:$Z,2,0),"")</f>
        <v>파트너채널팀</v>
      </c>
      <c r="C550" s="46" t="str">
        <f>IFERROR(VLOOKUP($H550,매장구분!$B:$Z,3,0),"")</f>
        <v>국내</v>
      </c>
      <c r="D550" s="46" t="str">
        <f>IFERROR(VLOOKUP($H550,매장구분!$B:$Z,5,0),"")</f>
        <v>백화점</v>
      </c>
      <c r="E550" s="46" t="str">
        <f>IFERROR(VLOOKUP($H550,매장구분!$B:$Z,9,0),"")</f>
        <v>롯데건대</v>
      </c>
      <c r="G550" s="46" t="s">
        <v>354</v>
      </c>
      <c r="H550" s="46" t="s">
        <v>355</v>
      </c>
      <c r="I550" s="46" t="s">
        <v>169</v>
      </c>
      <c r="J550" s="46" t="s">
        <v>175</v>
      </c>
      <c r="K550" s="46" t="s">
        <v>170</v>
      </c>
      <c r="L550" s="46" t="s">
        <v>171</v>
      </c>
      <c r="M550" s="46" t="s">
        <v>77</v>
      </c>
      <c r="N550" s="46" t="s">
        <v>172</v>
      </c>
      <c r="O550" s="46">
        <v>24227600</v>
      </c>
      <c r="P550" s="46">
        <v>180</v>
      </c>
      <c r="Q550" s="46">
        <v>0</v>
      </c>
      <c r="R550" s="46">
        <v>0</v>
      </c>
      <c r="S550" s="46">
        <v>0</v>
      </c>
      <c r="T550" s="46">
        <v>0</v>
      </c>
      <c r="U550" s="46">
        <v>1500000</v>
      </c>
      <c r="V550" s="46">
        <v>10</v>
      </c>
      <c r="W550" s="46">
        <v>0</v>
      </c>
      <c r="X550" s="46">
        <v>0</v>
      </c>
      <c r="Y550" s="48">
        <v>19362700</v>
      </c>
      <c r="Z550" s="46">
        <v>140</v>
      </c>
      <c r="AA550" s="46">
        <v>0</v>
      </c>
      <c r="AB550" s="46">
        <v>0</v>
      </c>
      <c r="AC550" s="46">
        <v>45090300</v>
      </c>
      <c r="AD550" s="46">
        <v>330</v>
      </c>
      <c r="AF550" s="47">
        <f t="shared" si="8"/>
        <v>25727600</v>
      </c>
    </row>
    <row r="551" spans="1:32" hidden="1" x14ac:dyDescent="0.3">
      <c r="A551" s="46" t="s">
        <v>613</v>
      </c>
      <c r="B551" s="46" t="str">
        <f>IFERROR(VLOOKUP($H551,매장구분!$B:$Z,2,0),"")</f>
        <v>파트너채널팀</v>
      </c>
      <c r="C551" s="46" t="str">
        <f>IFERROR(VLOOKUP($H551,매장구분!$B:$Z,3,0),"")</f>
        <v>국내</v>
      </c>
      <c r="D551" s="46" t="str">
        <f>IFERROR(VLOOKUP($H551,매장구분!$B:$Z,5,0),"")</f>
        <v>백화점</v>
      </c>
      <c r="E551" s="46" t="str">
        <f>IFERROR(VLOOKUP($H551,매장구분!$B:$Z,9,0),"")</f>
        <v>신세계천안아산</v>
      </c>
      <c r="G551" s="46" t="s">
        <v>271</v>
      </c>
      <c r="H551" s="46" t="s">
        <v>272</v>
      </c>
      <c r="I551" s="46" t="s">
        <v>169</v>
      </c>
      <c r="J551" s="46" t="s">
        <v>175</v>
      </c>
      <c r="K551" s="46" t="s">
        <v>170</v>
      </c>
      <c r="L551" s="46" t="s">
        <v>171</v>
      </c>
      <c r="M551" s="46" t="s">
        <v>77</v>
      </c>
      <c r="N551" s="46" t="s">
        <v>172</v>
      </c>
      <c r="O551" s="46">
        <v>13900700</v>
      </c>
      <c r="P551" s="46">
        <v>176</v>
      </c>
      <c r="Q551" s="46">
        <v>0</v>
      </c>
      <c r="R551" s="46">
        <v>0</v>
      </c>
      <c r="S551" s="46">
        <v>0</v>
      </c>
      <c r="T551" s="46">
        <v>0</v>
      </c>
      <c r="U551" s="46">
        <v>2110000</v>
      </c>
      <c r="V551" s="46">
        <v>10</v>
      </c>
      <c r="W551" s="46">
        <v>0</v>
      </c>
      <c r="X551" s="46">
        <v>0</v>
      </c>
      <c r="Y551" s="48">
        <v>0</v>
      </c>
      <c r="Z551" s="46">
        <v>0</v>
      </c>
      <c r="AA551" s="46">
        <v>0</v>
      </c>
      <c r="AB551" s="46">
        <v>0</v>
      </c>
      <c r="AC551" s="46">
        <v>16010700</v>
      </c>
      <c r="AD551" s="46">
        <v>186</v>
      </c>
      <c r="AF551" s="47">
        <f t="shared" si="8"/>
        <v>16010700</v>
      </c>
    </row>
    <row r="552" spans="1:32" hidden="1" x14ac:dyDescent="0.3">
      <c r="A552" s="46" t="s">
        <v>613</v>
      </c>
      <c r="B552" s="46" t="str">
        <f>IFERROR(VLOOKUP($H552,매장구분!$B:$Z,2,0),"")</f>
        <v>리테일채널팀</v>
      </c>
      <c r="C552" s="46" t="str">
        <f>IFERROR(VLOOKUP($H552,매장구분!$B:$Z,3,0),"")</f>
        <v>국내</v>
      </c>
      <c r="D552" s="46" t="str">
        <f>IFERROR(VLOOKUP($H552,매장구분!$B:$Z,5,0),"")</f>
        <v>대리점</v>
      </c>
      <c r="E552" s="46" t="str">
        <f>IFERROR(VLOOKUP($H552,매장구분!$B:$Z,9,0),"")</f>
        <v>성남신흥(대-위)</v>
      </c>
      <c r="G552" s="46" t="s">
        <v>228</v>
      </c>
      <c r="H552" s="46" t="s">
        <v>229</v>
      </c>
      <c r="I552" s="46" t="s">
        <v>169</v>
      </c>
      <c r="J552" s="46" t="s">
        <v>79</v>
      </c>
      <c r="K552" s="46" t="s">
        <v>170</v>
      </c>
      <c r="L552" s="46" t="s">
        <v>171</v>
      </c>
      <c r="M552" s="46" t="s">
        <v>196</v>
      </c>
      <c r="N552" s="46" t="s">
        <v>197</v>
      </c>
      <c r="O552" s="46">
        <v>30572388</v>
      </c>
      <c r="P552" s="46">
        <v>202</v>
      </c>
      <c r="Q552" s="46">
        <v>0</v>
      </c>
      <c r="R552" s="46">
        <v>0</v>
      </c>
      <c r="S552" s="46">
        <v>0</v>
      </c>
      <c r="T552" s="46">
        <v>0</v>
      </c>
      <c r="U552" s="46">
        <v>829405</v>
      </c>
      <c r="V552" s="46">
        <v>5</v>
      </c>
      <c r="W552" s="46">
        <v>0</v>
      </c>
      <c r="X552" s="46">
        <v>0</v>
      </c>
      <c r="Y552" s="48">
        <v>20996595</v>
      </c>
      <c r="Z552" s="46">
        <v>134</v>
      </c>
      <c r="AA552" s="46">
        <v>0</v>
      </c>
      <c r="AB552" s="46">
        <v>0</v>
      </c>
      <c r="AC552" s="46">
        <v>52398388</v>
      </c>
      <c r="AD552" s="46">
        <v>341</v>
      </c>
      <c r="AF552" s="47">
        <f t="shared" si="8"/>
        <v>31401793</v>
      </c>
    </row>
    <row r="553" spans="1:32" hidden="1" x14ac:dyDescent="0.3">
      <c r="A553" s="46" t="s">
        <v>613</v>
      </c>
      <c r="B553" s="46" t="str">
        <f>IFERROR(VLOOKUP($H553,매장구분!$B:$Z,2,0),"")</f>
        <v>파트너채널팀</v>
      </c>
      <c r="C553" s="46" t="str">
        <f>IFERROR(VLOOKUP($H553,매장구분!$B:$Z,3,0),"")</f>
        <v>국내</v>
      </c>
      <c r="D553" s="46" t="str">
        <f>IFERROR(VLOOKUP($H553,매장구분!$B:$Z,5,0),"")</f>
        <v>백화점</v>
      </c>
      <c r="E553" s="46" t="str">
        <f>IFERROR(VLOOKUP($H553,매장구분!$B:$Z,9,0),"")</f>
        <v>롯데인천</v>
      </c>
      <c r="G553" s="46" t="s">
        <v>245</v>
      </c>
      <c r="H553" s="46" t="s">
        <v>246</v>
      </c>
      <c r="I553" s="46" t="s">
        <v>169</v>
      </c>
      <c r="J553" s="46" t="s">
        <v>175</v>
      </c>
      <c r="K553" s="46" t="s">
        <v>170</v>
      </c>
      <c r="L553" s="46" t="s">
        <v>171</v>
      </c>
      <c r="M553" s="46" t="s">
        <v>77</v>
      </c>
      <c r="N553" s="46" t="s">
        <v>172</v>
      </c>
      <c r="O553" s="46">
        <v>23733700</v>
      </c>
      <c r="P553" s="46">
        <v>212</v>
      </c>
      <c r="Q553" s="46">
        <v>0</v>
      </c>
      <c r="R553" s="46">
        <v>0</v>
      </c>
      <c r="S553" s="46">
        <v>0</v>
      </c>
      <c r="T553" s="46">
        <v>0</v>
      </c>
      <c r="U553" s="46">
        <v>2396000</v>
      </c>
      <c r="V553" s="46">
        <v>10</v>
      </c>
      <c r="W553" s="46">
        <v>0</v>
      </c>
      <c r="X553" s="46">
        <v>0</v>
      </c>
      <c r="Y553" s="48">
        <v>29127000</v>
      </c>
      <c r="Z553" s="46">
        <v>143</v>
      </c>
      <c r="AA553" s="46">
        <v>0</v>
      </c>
      <c r="AB553" s="46">
        <v>0</v>
      </c>
      <c r="AC553" s="46">
        <v>55256700</v>
      </c>
      <c r="AD553" s="46">
        <v>365</v>
      </c>
      <c r="AF553" s="47">
        <f t="shared" si="8"/>
        <v>26129700</v>
      </c>
    </row>
    <row r="554" spans="1:32" hidden="1" x14ac:dyDescent="0.3">
      <c r="A554" s="46" t="s">
        <v>613</v>
      </c>
      <c r="B554" s="46" t="str">
        <f>IFERROR(VLOOKUP($H554,매장구분!$B:$Z,2,0),"")</f>
        <v>파트너채널팀</v>
      </c>
      <c r="C554" s="46" t="str">
        <f>IFERROR(VLOOKUP($H554,매장구분!$B:$Z,3,0),"")</f>
        <v>국내</v>
      </c>
      <c r="D554" s="46" t="str">
        <f>IFERROR(VLOOKUP($H554,매장구분!$B:$Z,5,0),"")</f>
        <v>백화점</v>
      </c>
      <c r="E554" s="46" t="str">
        <f>IFERROR(VLOOKUP($H554,매장구분!$B:$Z,9,0),"")</f>
        <v>롯데강남</v>
      </c>
      <c r="G554" s="46" t="s">
        <v>275</v>
      </c>
      <c r="H554" s="46" t="s">
        <v>276</v>
      </c>
      <c r="I554" s="46" t="s">
        <v>169</v>
      </c>
      <c r="J554" s="46" t="s">
        <v>175</v>
      </c>
      <c r="K554" s="46" t="s">
        <v>170</v>
      </c>
      <c r="L554" s="46" t="s">
        <v>171</v>
      </c>
      <c r="M554" s="46" t="s">
        <v>77</v>
      </c>
      <c r="N554" s="46" t="s">
        <v>172</v>
      </c>
      <c r="O554" s="46">
        <v>6546700</v>
      </c>
      <c r="P554" s="46">
        <v>86</v>
      </c>
      <c r="Q554" s="46">
        <v>12375000</v>
      </c>
      <c r="R554" s="46">
        <v>125</v>
      </c>
      <c r="S554" s="46">
        <v>0</v>
      </c>
      <c r="T554" s="46">
        <v>0</v>
      </c>
      <c r="U554" s="46">
        <v>1881500</v>
      </c>
      <c r="V554" s="46">
        <v>9</v>
      </c>
      <c r="W554" s="46">
        <v>0</v>
      </c>
      <c r="X554" s="46">
        <v>0</v>
      </c>
      <c r="Y554" s="48">
        <v>0</v>
      </c>
      <c r="Z554" s="46">
        <v>0</v>
      </c>
      <c r="AA554" s="46">
        <v>0</v>
      </c>
      <c r="AB554" s="46">
        <v>0</v>
      </c>
      <c r="AC554" s="46">
        <v>20803200</v>
      </c>
      <c r="AD554" s="46">
        <v>220</v>
      </c>
      <c r="AF554" s="47">
        <f t="shared" si="8"/>
        <v>20803200</v>
      </c>
    </row>
    <row r="555" spans="1:32" hidden="1" x14ac:dyDescent="0.3">
      <c r="A555" s="46" t="s">
        <v>613</v>
      </c>
      <c r="B555" s="46" t="str">
        <f>IFERROR(VLOOKUP($H555,매장구분!$B:$Z,2,0),"")</f>
        <v>리테일채널팀</v>
      </c>
      <c r="C555" s="46" t="str">
        <f>IFERROR(VLOOKUP($H555,매장구분!$B:$Z,3,0),"")</f>
        <v>국내</v>
      </c>
      <c r="D555" s="46" t="str">
        <f>IFERROR(VLOOKUP($H555,매장구분!$B:$Z,5,0),"")</f>
        <v>대리점</v>
      </c>
      <c r="E555" s="46" t="str">
        <f>IFERROR(VLOOKUP($H555,매장구분!$B:$Z,9,0),"")</f>
        <v>홍성(대-위)</v>
      </c>
      <c r="G555" s="46" t="s">
        <v>418</v>
      </c>
      <c r="H555" s="46" t="s">
        <v>419</v>
      </c>
      <c r="I555" s="46" t="s">
        <v>169</v>
      </c>
      <c r="J555" s="46" t="s">
        <v>79</v>
      </c>
      <c r="K555" s="46" t="s">
        <v>170</v>
      </c>
      <c r="L555" s="46" t="s">
        <v>171</v>
      </c>
      <c r="M555" s="46" t="s">
        <v>196</v>
      </c>
      <c r="N555" s="46" t="s">
        <v>197</v>
      </c>
      <c r="O555" s="46">
        <v>10080923</v>
      </c>
      <c r="P555" s="46">
        <v>81</v>
      </c>
      <c r="Q555" s="46">
        <v>0</v>
      </c>
      <c r="R555" s="46">
        <v>0</v>
      </c>
      <c r="S555" s="46">
        <v>0</v>
      </c>
      <c r="T555" s="46">
        <v>0</v>
      </c>
      <c r="U555" s="46">
        <v>535048</v>
      </c>
      <c r="V555" s="46">
        <v>3</v>
      </c>
      <c r="W555" s="46">
        <v>0</v>
      </c>
      <c r="X555" s="46">
        <v>0</v>
      </c>
      <c r="Y555" s="48">
        <v>1557014</v>
      </c>
      <c r="Z555" s="46">
        <v>16</v>
      </c>
      <c r="AA555" s="46">
        <v>0</v>
      </c>
      <c r="AB555" s="46">
        <v>0</v>
      </c>
      <c r="AC555" s="46">
        <v>12172985</v>
      </c>
      <c r="AD555" s="46">
        <v>100</v>
      </c>
      <c r="AF555" s="47">
        <f t="shared" si="8"/>
        <v>10615971</v>
      </c>
    </row>
    <row r="556" spans="1:32" hidden="1" x14ac:dyDescent="0.3">
      <c r="A556" s="46" t="s">
        <v>613</v>
      </c>
      <c r="B556" s="46" t="str">
        <f>IFERROR(VLOOKUP($H556,매장구분!$B:$Z,2,0),"")</f>
        <v>리테일채널팀</v>
      </c>
      <c r="C556" s="46" t="str">
        <f>IFERROR(VLOOKUP($H556,매장구분!$B:$Z,3,0),"")</f>
        <v>국내</v>
      </c>
      <c r="D556" s="46" t="str">
        <f>IFERROR(VLOOKUP($H556,매장구분!$B:$Z,5,0),"")</f>
        <v>대리점</v>
      </c>
      <c r="E556" s="46" t="str">
        <f>IFERROR(VLOOKUP($H556,매장구분!$B:$Z,9,0),"")</f>
        <v>오산(대-위)</v>
      </c>
      <c r="G556" s="46" t="s">
        <v>226</v>
      </c>
      <c r="H556" s="46" t="s">
        <v>227</v>
      </c>
      <c r="I556" s="46" t="s">
        <v>169</v>
      </c>
      <c r="J556" s="46" t="s">
        <v>79</v>
      </c>
      <c r="K556" s="46" t="s">
        <v>170</v>
      </c>
      <c r="L556" s="46" t="s">
        <v>171</v>
      </c>
      <c r="M556" s="46" t="s">
        <v>196</v>
      </c>
      <c r="N556" s="46" t="s">
        <v>197</v>
      </c>
      <c r="O556" s="46">
        <v>14192970</v>
      </c>
      <c r="P556" s="46">
        <v>114</v>
      </c>
      <c r="Q556" s="46">
        <v>0</v>
      </c>
      <c r="R556" s="46">
        <v>0</v>
      </c>
      <c r="S556" s="46">
        <v>0</v>
      </c>
      <c r="T556" s="46">
        <v>0</v>
      </c>
      <c r="U556" s="46">
        <v>1790152</v>
      </c>
      <c r="V556" s="46">
        <v>8</v>
      </c>
      <c r="W556" s="46">
        <v>0</v>
      </c>
      <c r="X556" s="46">
        <v>0</v>
      </c>
      <c r="Y556" s="48">
        <v>0</v>
      </c>
      <c r="Z556" s="46">
        <v>0</v>
      </c>
      <c r="AA556" s="46">
        <v>0</v>
      </c>
      <c r="AB556" s="46">
        <v>0</v>
      </c>
      <c r="AC556" s="46">
        <v>15983122</v>
      </c>
      <c r="AD556" s="46">
        <v>122</v>
      </c>
      <c r="AF556" s="47">
        <f t="shared" si="8"/>
        <v>15983122</v>
      </c>
    </row>
    <row r="557" spans="1:32" hidden="1" x14ac:dyDescent="0.3">
      <c r="A557" s="46" t="s">
        <v>613</v>
      </c>
      <c r="B557" s="46" t="str">
        <f>IFERROR(VLOOKUP($H557,매장구분!$B:$Z,2,0),"")</f>
        <v>리테일채널팀</v>
      </c>
      <c r="C557" s="46" t="str">
        <f>IFERROR(VLOOKUP($H557,매장구분!$B:$Z,3,0),"")</f>
        <v>국내</v>
      </c>
      <c r="D557" s="46" t="str">
        <f>IFERROR(VLOOKUP($H557,매장구분!$B:$Z,5,0),"")</f>
        <v>대리점</v>
      </c>
      <c r="E557" s="46" t="str">
        <f>IFERROR(VLOOKUP($H557,매장구분!$B:$Z,9,0),"")</f>
        <v>목포하당(대-위)</v>
      </c>
      <c r="G557" s="46" t="s">
        <v>486</v>
      </c>
      <c r="H557" s="46" t="s">
        <v>487</v>
      </c>
      <c r="I557" s="46" t="s">
        <v>169</v>
      </c>
      <c r="J557" s="46" t="s">
        <v>79</v>
      </c>
      <c r="K557" s="46" t="s">
        <v>170</v>
      </c>
      <c r="L557" s="46" t="s">
        <v>171</v>
      </c>
      <c r="M557" s="46" t="s">
        <v>196</v>
      </c>
      <c r="N557" s="46" t="s">
        <v>197</v>
      </c>
      <c r="O557" s="46">
        <v>23742434</v>
      </c>
      <c r="P557" s="46">
        <v>201</v>
      </c>
      <c r="Q557" s="46">
        <v>0</v>
      </c>
      <c r="R557" s="46">
        <v>0</v>
      </c>
      <c r="S557" s="46">
        <v>0</v>
      </c>
      <c r="T557" s="46">
        <v>0</v>
      </c>
      <c r="U557" s="46">
        <v>973900</v>
      </c>
      <c r="V557" s="46">
        <v>7</v>
      </c>
      <c r="W557" s="46">
        <v>0</v>
      </c>
      <c r="X557" s="46">
        <v>0</v>
      </c>
      <c r="Y557" s="48">
        <v>0</v>
      </c>
      <c r="Z557" s="46">
        <v>0</v>
      </c>
      <c r="AA557" s="46">
        <v>0</v>
      </c>
      <c r="AB557" s="46">
        <v>0</v>
      </c>
      <c r="AC557" s="46">
        <v>24716334</v>
      </c>
      <c r="AD557" s="46">
        <v>208</v>
      </c>
      <c r="AF557" s="47">
        <f t="shared" si="8"/>
        <v>24716334</v>
      </c>
    </row>
    <row r="558" spans="1:32" hidden="1" x14ac:dyDescent="0.3">
      <c r="A558" s="46" t="s">
        <v>613</v>
      </c>
      <c r="B558" s="46" t="str">
        <f>IFERROR(VLOOKUP($H558,매장구분!$B:$Z,2,0),"")</f>
        <v>리테일채널팀</v>
      </c>
      <c r="C558" s="46" t="str">
        <f>IFERROR(VLOOKUP($H558,매장구분!$B:$Z,3,0),"")</f>
        <v>국내</v>
      </c>
      <c r="D558" s="46" t="str">
        <f>IFERROR(VLOOKUP($H558,매장구분!$B:$Z,5,0),"")</f>
        <v>대리점</v>
      </c>
      <c r="E558" s="46" t="str">
        <f>IFERROR(VLOOKUP($H558,매장구분!$B:$Z,9,0),"")</f>
        <v>스퀘어원인천(대-위)</v>
      </c>
      <c r="G558" s="46" t="s">
        <v>532</v>
      </c>
      <c r="H558" s="46" t="s">
        <v>533</v>
      </c>
      <c r="I558" s="46" t="s">
        <v>169</v>
      </c>
      <c r="J558" s="46" t="s">
        <v>79</v>
      </c>
      <c r="K558" s="46" t="s">
        <v>170</v>
      </c>
      <c r="L558" s="46" t="s">
        <v>171</v>
      </c>
      <c r="M558" s="46" t="s">
        <v>188</v>
      </c>
      <c r="N558" s="46" t="s">
        <v>317</v>
      </c>
      <c r="O558" s="46">
        <v>24592632</v>
      </c>
      <c r="P558" s="46">
        <v>216</v>
      </c>
      <c r="Q558" s="46">
        <v>0</v>
      </c>
      <c r="R558" s="46">
        <v>0</v>
      </c>
      <c r="S558" s="46">
        <v>0</v>
      </c>
      <c r="T558" s="46">
        <v>0</v>
      </c>
      <c r="U558" s="46">
        <v>2161368</v>
      </c>
      <c r="V558" s="46">
        <v>13</v>
      </c>
      <c r="W558" s="46">
        <v>0</v>
      </c>
      <c r="X558" s="46">
        <v>0</v>
      </c>
      <c r="Y558" s="48">
        <v>0</v>
      </c>
      <c r="Z558" s="46">
        <v>0</v>
      </c>
      <c r="AA558" s="46">
        <v>0</v>
      </c>
      <c r="AB558" s="46">
        <v>0</v>
      </c>
      <c r="AC558" s="46">
        <v>26754000</v>
      </c>
      <c r="AD558" s="46">
        <v>229</v>
      </c>
      <c r="AF558" s="47">
        <f t="shared" si="8"/>
        <v>26754000</v>
      </c>
    </row>
    <row r="559" spans="1:32" hidden="1" x14ac:dyDescent="0.3">
      <c r="A559" s="46" t="s">
        <v>613</v>
      </c>
      <c r="B559" s="46" t="str">
        <f>IFERROR(VLOOKUP($H559,매장구분!$B:$Z,2,0),"")</f>
        <v>파트너채널팀</v>
      </c>
      <c r="C559" s="46" t="str">
        <f>IFERROR(VLOOKUP($H559,매장구분!$B:$Z,3,0),"")</f>
        <v>국내</v>
      </c>
      <c r="D559" s="46" t="str">
        <f>IFERROR(VLOOKUP($H559,매장구분!$B:$Z,5,0),"")</f>
        <v>백화점</v>
      </c>
      <c r="E559" s="46" t="str">
        <f>IFERROR(VLOOKUP($H559,매장구분!$B:$Z,9,0),"")</f>
        <v>롯데대전</v>
      </c>
      <c r="G559" s="46" t="s">
        <v>476</v>
      </c>
      <c r="H559" s="46" t="s">
        <v>477</v>
      </c>
      <c r="I559" s="46" t="s">
        <v>169</v>
      </c>
      <c r="J559" s="46" t="s">
        <v>175</v>
      </c>
      <c r="K559" s="46" t="s">
        <v>170</v>
      </c>
      <c r="L559" s="46" t="s">
        <v>171</v>
      </c>
      <c r="M559" s="46" t="s">
        <v>77</v>
      </c>
      <c r="N559" s="46" t="s">
        <v>172</v>
      </c>
      <c r="O559" s="46">
        <v>9533500</v>
      </c>
      <c r="P559" s="46">
        <v>81</v>
      </c>
      <c r="Q559" s="46">
        <v>0</v>
      </c>
      <c r="R559" s="46">
        <v>0</v>
      </c>
      <c r="S559" s="46">
        <v>0</v>
      </c>
      <c r="T559" s="46">
        <v>0</v>
      </c>
      <c r="U559" s="46">
        <v>1426200</v>
      </c>
      <c r="V559" s="46">
        <v>8</v>
      </c>
      <c r="W559" s="46">
        <v>0</v>
      </c>
      <c r="X559" s="46">
        <v>0</v>
      </c>
      <c r="Y559" s="48">
        <v>0</v>
      </c>
      <c r="Z559" s="46">
        <v>0</v>
      </c>
      <c r="AA559" s="46">
        <v>0</v>
      </c>
      <c r="AB559" s="46">
        <v>0</v>
      </c>
      <c r="AC559" s="46">
        <v>10959700</v>
      </c>
      <c r="AD559" s="46">
        <v>89</v>
      </c>
      <c r="AF559" s="47">
        <f t="shared" si="8"/>
        <v>10959700</v>
      </c>
    </row>
    <row r="560" spans="1:32" hidden="1" x14ac:dyDescent="0.3">
      <c r="A560" s="46" t="s">
        <v>613</v>
      </c>
      <c r="B560" s="46" t="str">
        <f>IFERROR(VLOOKUP($H560,매장구분!$B:$Z,2,0),"")</f>
        <v>파트너채널팀</v>
      </c>
      <c r="C560" s="46" t="str">
        <f>IFERROR(VLOOKUP($H560,매장구분!$B:$Z,3,0),"")</f>
        <v>국내</v>
      </c>
      <c r="D560" s="46" t="str">
        <f>IFERROR(VLOOKUP($H560,매장구분!$B:$Z,5,0),"")</f>
        <v>백화점</v>
      </c>
      <c r="E560" s="46" t="str">
        <f>IFERROR(VLOOKUP($H560,매장구분!$B:$Z,9,0),"")</f>
        <v>롯데구리</v>
      </c>
      <c r="G560" s="46" t="s">
        <v>232</v>
      </c>
      <c r="H560" s="46" t="s">
        <v>233</v>
      </c>
      <c r="I560" s="46" t="s">
        <v>169</v>
      </c>
      <c r="J560" s="46" t="s">
        <v>175</v>
      </c>
      <c r="K560" s="46" t="s">
        <v>170</v>
      </c>
      <c r="L560" s="46" t="s">
        <v>171</v>
      </c>
      <c r="M560" s="46" t="s">
        <v>77</v>
      </c>
      <c r="N560" s="46" t="s">
        <v>172</v>
      </c>
      <c r="O560" s="46">
        <v>12734920</v>
      </c>
      <c r="P560" s="46">
        <v>129</v>
      </c>
      <c r="Q560" s="46">
        <v>3347500</v>
      </c>
      <c r="R560" s="46">
        <v>46</v>
      </c>
      <c r="S560" s="46">
        <v>0</v>
      </c>
      <c r="T560" s="46">
        <v>0</v>
      </c>
      <c r="U560" s="46">
        <v>1393700</v>
      </c>
      <c r="V560" s="46">
        <v>9</v>
      </c>
      <c r="W560" s="46">
        <v>0</v>
      </c>
      <c r="X560" s="46">
        <v>0</v>
      </c>
      <c r="Y560" s="48">
        <v>900600</v>
      </c>
      <c r="Z560" s="46">
        <v>6</v>
      </c>
      <c r="AA560" s="46">
        <v>0</v>
      </c>
      <c r="AB560" s="46">
        <v>0</v>
      </c>
      <c r="AC560" s="46">
        <v>18376720</v>
      </c>
      <c r="AD560" s="46">
        <v>190</v>
      </c>
      <c r="AF560" s="47">
        <f t="shared" si="8"/>
        <v>17476120</v>
      </c>
    </row>
    <row r="561" spans="1:32" hidden="1" x14ac:dyDescent="0.3">
      <c r="A561" s="46" t="s">
        <v>613</v>
      </c>
      <c r="B561" s="46" t="str">
        <f>IFERROR(VLOOKUP($H561,매장구분!$B:$Z,2,0),"")</f>
        <v>리테일채널팀</v>
      </c>
      <c r="C561" s="46" t="str">
        <f>IFERROR(VLOOKUP($H561,매장구분!$B:$Z,3,0),"")</f>
        <v>국내</v>
      </c>
      <c r="D561" s="46" t="str">
        <f>IFERROR(VLOOKUP($H561,매장구분!$B:$Z,5,0),"")</f>
        <v>대리점</v>
      </c>
      <c r="E561" s="46" t="str">
        <f>IFERROR(VLOOKUP($H561,매장구분!$B:$Z,9,0),"")</f>
        <v>경기광주(대-위)</v>
      </c>
      <c r="G561" s="46" t="s">
        <v>362</v>
      </c>
      <c r="H561" s="46" t="s">
        <v>363</v>
      </c>
      <c r="I561" s="46" t="s">
        <v>169</v>
      </c>
      <c r="J561" s="46" t="s">
        <v>79</v>
      </c>
      <c r="K561" s="46" t="s">
        <v>170</v>
      </c>
      <c r="L561" s="46" t="s">
        <v>171</v>
      </c>
      <c r="M561" s="46" t="s">
        <v>196</v>
      </c>
      <c r="N561" s="46" t="s">
        <v>197</v>
      </c>
      <c r="O561" s="46">
        <v>7862900</v>
      </c>
      <c r="P561" s="46">
        <v>87</v>
      </c>
      <c r="Q561" s="46">
        <v>0</v>
      </c>
      <c r="R561" s="46">
        <v>0</v>
      </c>
      <c r="S561" s="46">
        <v>0</v>
      </c>
      <c r="T561" s="46">
        <v>0</v>
      </c>
      <c r="U561" s="46">
        <v>149000</v>
      </c>
      <c r="V561" s="46">
        <v>1</v>
      </c>
      <c r="W561" s="46">
        <v>0</v>
      </c>
      <c r="X561" s="46">
        <v>0</v>
      </c>
      <c r="Y561" s="48">
        <v>0</v>
      </c>
      <c r="Z561" s="46">
        <v>0</v>
      </c>
      <c r="AA561" s="46">
        <v>0</v>
      </c>
      <c r="AB561" s="46">
        <v>0</v>
      </c>
      <c r="AC561" s="46">
        <v>8011900</v>
      </c>
      <c r="AD561" s="46">
        <v>88</v>
      </c>
      <c r="AF561" s="47">
        <f t="shared" si="8"/>
        <v>8011900</v>
      </c>
    </row>
    <row r="562" spans="1:32" hidden="1" x14ac:dyDescent="0.3">
      <c r="A562" s="46" t="s">
        <v>613</v>
      </c>
      <c r="B562" s="46" t="str">
        <f>IFERROR(VLOOKUP($H562,매장구분!$B:$Z,2,0),"")</f>
        <v>리테일채널팀</v>
      </c>
      <c r="C562" s="46" t="str">
        <f>IFERROR(VLOOKUP($H562,매장구분!$B:$Z,3,0),"")</f>
        <v>국내</v>
      </c>
      <c r="D562" s="46" t="str">
        <f>IFERROR(VLOOKUP($H562,매장구분!$B:$Z,5,0),"")</f>
        <v>대리점</v>
      </c>
      <c r="E562" s="46" t="str">
        <f>IFERROR(VLOOKUP($H562,매장구분!$B:$Z,9,0),"")</f>
        <v>부평(대-위)</v>
      </c>
      <c r="G562" s="46" t="s">
        <v>588</v>
      </c>
      <c r="H562" s="46" t="s">
        <v>589</v>
      </c>
      <c r="I562" s="46" t="s">
        <v>169</v>
      </c>
      <c r="J562" s="46" t="s">
        <v>79</v>
      </c>
      <c r="K562" s="46" t="s">
        <v>170</v>
      </c>
      <c r="L562" s="46" t="s">
        <v>171</v>
      </c>
      <c r="M562" s="46" t="s">
        <v>196</v>
      </c>
      <c r="N562" s="46" t="s">
        <v>197</v>
      </c>
      <c r="O562" s="46">
        <v>15127700</v>
      </c>
      <c r="P562" s="46">
        <v>152</v>
      </c>
      <c r="Q562" s="46">
        <v>0</v>
      </c>
      <c r="R562" s="46">
        <v>0</v>
      </c>
      <c r="S562" s="46">
        <v>0</v>
      </c>
      <c r="T562" s="46">
        <v>0</v>
      </c>
      <c r="U562" s="46">
        <v>2342000</v>
      </c>
      <c r="V562" s="46">
        <v>16</v>
      </c>
      <c r="W562" s="46">
        <v>0</v>
      </c>
      <c r="X562" s="46">
        <v>0</v>
      </c>
      <c r="Y562" s="48">
        <v>0</v>
      </c>
      <c r="Z562" s="46">
        <v>0</v>
      </c>
      <c r="AA562" s="46">
        <v>0</v>
      </c>
      <c r="AB562" s="46">
        <v>0</v>
      </c>
      <c r="AC562" s="46">
        <v>17469700</v>
      </c>
      <c r="AD562" s="46">
        <v>168</v>
      </c>
      <c r="AF562" s="47">
        <f t="shared" si="8"/>
        <v>17469700</v>
      </c>
    </row>
    <row r="563" spans="1:32" hidden="1" x14ac:dyDescent="0.3">
      <c r="A563" s="46" t="s">
        <v>613</v>
      </c>
      <c r="B563" s="46" t="str">
        <f>IFERROR(VLOOKUP($H563,매장구분!$B:$Z,2,0),"")</f>
        <v>파트너채널팀</v>
      </c>
      <c r="C563" s="46" t="str">
        <f>IFERROR(VLOOKUP($H563,매장구분!$B:$Z,3,0),"")</f>
        <v>면세</v>
      </c>
      <c r="D563" s="46" t="str">
        <f>IFERROR(VLOOKUP($H563,매장구분!$B:$Z,5,0),"")</f>
        <v>면세</v>
      </c>
      <c r="E563" s="46" t="str">
        <f>IFERROR(VLOOKUP($H563,매장구분!$B:$Z,9,0),"")</f>
        <v>롯데면세제주</v>
      </c>
      <c r="G563" s="46" t="s">
        <v>464</v>
      </c>
      <c r="H563" s="46" t="s">
        <v>465</v>
      </c>
      <c r="I563" s="46" t="s">
        <v>169</v>
      </c>
      <c r="J563" s="46" t="s">
        <v>175</v>
      </c>
      <c r="K563" s="46" t="s">
        <v>170</v>
      </c>
      <c r="L563" s="46" t="s">
        <v>171</v>
      </c>
      <c r="M563" s="46" t="s">
        <v>176</v>
      </c>
      <c r="N563" s="46" t="s">
        <v>177</v>
      </c>
      <c r="O563" s="46">
        <v>107458100</v>
      </c>
      <c r="P563" s="46">
        <v>1126</v>
      </c>
      <c r="Q563" s="46">
        <v>0</v>
      </c>
      <c r="R563" s="46">
        <v>0</v>
      </c>
      <c r="S563" s="46">
        <v>0</v>
      </c>
      <c r="T563" s="46">
        <v>0</v>
      </c>
      <c r="U563" s="46">
        <v>0</v>
      </c>
      <c r="V563" s="46">
        <v>0</v>
      </c>
      <c r="W563" s="46">
        <v>0</v>
      </c>
      <c r="X563" s="46">
        <v>0</v>
      </c>
      <c r="Y563" s="48">
        <v>0</v>
      </c>
      <c r="Z563" s="46">
        <v>0</v>
      </c>
      <c r="AA563" s="46">
        <v>0</v>
      </c>
      <c r="AB563" s="46">
        <v>0</v>
      </c>
      <c r="AC563" s="46">
        <v>107458100</v>
      </c>
      <c r="AD563" s="46">
        <v>1126</v>
      </c>
      <c r="AF563" s="47">
        <f t="shared" si="8"/>
        <v>107458100</v>
      </c>
    </row>
    <row r="564" spans="1:32" hidden="1" x14ac:dyDescent="0.3">
      <c r="A564" s="46" t="s">
        <v>613</v>
      </c>
      <c r="B564" s="46" t="str">
        <f>IFERROR(VLOOKUP($H564,매장구분!$B:$Z,2,0),"")</f>
        <v>리테일채널팀</v>
      </c>
      <c r="C564" s="46" t="str">
        <f>IFERROR(VLOOKUP($H564,매장구분!$B:$Z,3,0),"")</f>
        <v>국내</v>
      </c>
      <c r="D564" s="46" t="str">
        <f>IFERROR(VLOOKUP($H564,매장구분!$B:$Z,5,0),"")</f>
        <v>대리점</v>
      </c>
      <c r="E564" s="46" t="str">
        <f>IFERROR(VLOOKUP($H564,매장구분!$B:$Z,9,0),"")</f>
        <v>천안쌍용(대-위)</v>
      </c>
      <c r="G564" s="46" t="s">
        <v>574</v>
      </c>
      <c r="H564" s="46" t="s">
        <v>575</v>
      </c>
      <c r="I564" s="46" t="s">
        <v>169</v>
      </c>
      <c r="J564" s="46" t="s">
        <v>79</v>
      </c>
      <c r="K564" s="46" t="s">
        <v>170</v>
      </c>
      <c r="L564" s="46" t="s">
        <v>171</v>
      </c>
      <c r="M564" s="46" t="s">
        <v>196</v>
      </c>
      <c r="N564" s="46" t="s">
        <v>197</v>
      </c>
      <c r="O564" s="46">
        <v>3726900</v>
      </c>
      <c r="P564" s="46">
        <v>39</v>
      </c>
      <c r="Q564" s="46">
        <v>0</v>
      </c>
      <c r="R564" s="46">
        <v>0</v>
      </c>
      <c r="S564" s="46">
        <v>0</v>
      </c>
      <c r="T564" s="46">
        <v>0</v>
      </c>
      <c r="U564" s="46">
        <v>294300</v>
      </c>
      <c r="V564" s="46">
        <v>5</v>
      </c>
      <c r="W564" s="46">
        <v>0</v>
      </c>
      <c r="X564" s="46">
        <v>0</v>
      </c>
      <c r="Y564" s="48">
        <v>0</v>
      </c>
      <c r="Z564" s="46">
        <v>0</v>
      </c>
      <c r="AA564" s="46">
        <v>0</v>
      </c>
      <c r="AB564" s="46">
        <v>0</v>
      </c>
      <c r="AC564" s="46">
        <v>4021200</v>
      </c>
      <c r="AD564" s="46">
        <v>44</v>
      </c>
      <c r="AF564" s="47">
        <f t="shared" si="8"/>
        <v>4021200</v>
      </c>
    </row>
    <row r="565" spans="1:32" hidden="1" x14ac:dyDescent="0.3">
      <c r="A565" s="46" t="s">
        <v>613</v>
      </c>
      <c r="B565" s="46" t="str">
        <f>IFERROR(VLOOKUP($H565,매장구분!$B:$Z,2,0),"")</f>
        <v>리테일채널팀</v>
      </c>
      <c r="C565" s="46" t="str">
        <f>IFERROR(VLOOKUP($H565,매장구분!$B:$Z,3,0),"")</f>
        <v>국내</v>
      </c>
      <c r="D565" s="46" t="str">
        <f>IFERROR(VLOOKUP($H565,매장구분!$B:$Z,5,0),"")</f>
        <v>직영점</v>
      </c>
      <c r="E565" s="46" t="str">
        <f>IFERROR(VLOOKUP($H565,매장구분!$B:$Z,9,0),"")</f>
        <v>스타필드고양</v>
      </c>
      <c r="G565" s="46" t="s">
        <v>592</v>
      </c>
      <c r="H565" s="46" t="s">
        <v>593</v>
      </c>
      <c r="I565" s="46" t="s">
        <v>169</v>
      </c>
      <c r="J565" s="46" t="s">
        <v>180</v>
      </c>
      <c r="K565" s="46" t="s">
        <v>170</v>
      </c>
      <c r="L565" s="46" t="s">
        <v>171</v>
      </c>
      <c r="M565" s="46" t="s">
        <v>188</v>
      </c>
      <c r="N565" s="46" t="s">
        <v>189</v>
      </c>
      <c r="O565" s="46">
        <v>17876200</v>
      </c>
      <c r="P565" s="46">
        <v>256</v>
      </c>
      <c r="Q565" s="46">
        <v>0</v>
      </c>
      <c r="R565" s="46">
        <v>0</v>
      </c>
      <c r="S565" s="46">
        <v>0</v>
      </c>
      <c r="T565" s="46">
        <v>0</v>
      </c>
      <c r="U565" s="46">
        <v>2170100</v>
      </c>
      <c r="V565" s="46">
        <v>12</v>
      </c>
      <c r="W565" s="46">
        <v>0</v>
      </c>
      <c r="X565" s="46">
        <v>0</v>
      </c>
      <c r="Y565" s="48">
        <v>0</v>
      </c>
      <c r="Z565" s="46">
        <v>0</v>
      </c>
      <c r="AA565" s="46">
        <v>0</v>
      </c>
      <c r="AB565" s="46">
        <v>0</v>
      </c>
      <c r="AC565" s="46">
        <v>20046300</v>
      </c>
      <c r="AD565" s="46">
        <v>268</v>
      </c>
      <c r="AF565" s="47">
        <f t="shared" si="8"/>
        <v>20046300</v>
      </c>
    </row>
    <row r="566" spans="1:32" hidden="1" x14ac:dyDescent="0.3">
      <c r="A566" s="46" t="s">
        <v>613</v>
      </c>
      <c r="B566" s="46" t="str">
        <f>IFERROR(VLOOKUP($H566,매장구분!$B:$Z,2,0),"")</f>
        <v>리테일채널팀</v>
      </c>
      <c r="C566" s="46" t="str">
        <f>IFERROR(VLOOKUP($H566,매장구분!$B:$Z,3,0),"")</f>
        <v>국내</v>
      </c>
      <c r="D566" s="46" t="str">
        <f>IFERROR(VLOOKUP($H566,매장구분!$B:$Z,5,0),"")</f>
        <v>대리점</v>
      </c>
      <c r="E566" s="46" t="str">
        <f>IFERROR(VLOOKUP($H566,매장구분!$B:$Z,9,0),"")</f>
        <v>포천(대-위)</v>
      </c>
      <c r="G566" s="46" t="s">
        <v>289</v>
      </c>
      <c r="H566" s="46" t="s">
        <v>290</v>
      </c>
      <c r="I566" s="46" t="s">
        <v>169</v>
      </c>
      <c r="J566" s="46" t="s">
        <v>79</v>
      </c>
      <c r="K566" s="46" t="s">
        <v>170</v>
      </c>
      <c r="L566" s="46" t="s">
        <v>171</v>
      </c>
      <c r="M566" s="46" t="s">
        <v>196</v>
      </c>
      <c r="N566" s="46" t="s">
        <v>197</v>
      </c>
      <c r="O566" s="46">
        <v>5417300</v>
      </c>
      <c r="P566" s="46">
        <v>50</v>
      </c>
      <c r="Q566" s="46">
        <v>0</v>
      </c>
      <c r="R566" s="46">
        <v>0</v>
      </c>
      <c r="S566" s="46">
        <v>0</v>
      </c>
      <c r="T566" s="46">
        <v>0</v>
      </c>
      <c r="U566" s="46">
        <v>99000</v>
      </c>
      <c r="V566" s="46">
        <v>1</v>
      </c>
      <c r="W566" s="46">
        <v>0</v>
      </c>
      <c r="X566" s="46">
        <v>0</v>
      </c>
      <c r="Y566" s="48">
        <v>0</v>
      </c>
      <c r="Z566" s="46">
        <v>0</v>
      </c>
      <c r="AA566" s="46">
        <v>0</v>
      </c>
      <c r="AB566" s="46">
        <v>0</v>
      </c>
      <c r="AC566" s="46">
        <v>5516300</v>
      </c>
      <c r="AD566" s="46">
        <v>51</v>
      </c>
      <c r="AF566" s="47">
        <f t="shared" si="8"/>
        <v>5516300</v>
      </c>
    </row>
    <row r="567" spans="1:32" hidden="1" x14ac:dyDescent="0.3">
      <c r="A567" s="46" t="s">
        <v>613</v>
      </c>
      <c r="B567" s="46" t="str">
        <f>IFERROR(VLOOKUP($H567,매장구분!$B:$Z,2,0),"")</f>
        <v>리테일채널팀</v>
      </c>
      <c r="C567" s="46" t="str">
        <f>IFERROR(VLOOKUP($H567,매장구분!$B:$Z,3,0),"")</f>
        <v>국내</v>
      </c>
      <c r="D567" s="46" t="str">
        <f>IFERROR(VLOOKUP($H567,매장구분!$B:$Z,5,0),"")</f>
        <v>대리점</v>
      </c>
      <c r="E567" s="46" t="str">
        <f>IFERROR(VLOOKUP($H567,매장구분!$B:$Z,9,0),"")</f>
        <v>안동(대-위)</v>
      </c>
      <c r="G567" s="46" t="s">
        <v>424</v>
      </c>
      <c r="H567" s="46" t="s">
        <v>425</v>
      </c>
      <c r="I567" s="46" t="s">
        <v>169</v>
      </c>
      <c r="J567" s="46" t="s">
        <v>79</v>
      </c>
      <c r="K567" s="46" t="s">
        <v>170</v>
      </c>
      <c r="L567" s="46" t="s">
        <v>171</v>
      </c>
      <c r="M567" s="46" t="s">
        <v>196</v>
      </c>
      <c r="N567" s="46" t="s">
        <v>197</v>
      </c>
      <c r="O567" s="46">
        <v>6050600</v>
      </c>
      <c r="P567" s="46">
        <v>64</v>
      </c>
      <c r="Q567" s="46">
        <v>0</v>
      </c>
      <c r="R567" s="46">
        <v>0</v>
      </c>
      <c r="S567" s="46">
        <v>0</v>
      </c>
      <c r="T567" s="46">
        <v>0</v>
      </c>
      <c r="U567" s="46">
        <v>957100</v>
      </c>
      <c r="V567" s="46">
        <v>7</v>
      </c>
      <c r="W567" s="46">
        <v>0</v>
      </c>
      <c r="X567" s="46">
        <v>0</v>
      </c>
      <c r="Y567" s="48">
        <v>0</v>
      </c>
      <c r="Z567" s="46">
        <v>0</v>
      </c>
      <c r="AA567" s="46">
        <v>0</v>
      </c>
      <c r="AB567" s="46">
        <v>0</v>
      </c>
      <c r="AC567" s="46">
        <v>7007700</v>
      </c>
      <c r="AD567" s="46">
        <v>71</v>
      </c>
      <c r="AF567" s="47">
        <f t="shared" si="8"/>
        <v>7007700</v>
      </c>
    </row>
    <row r="568" spans="1:32" hidden="1" x14ac:dyDescent="0.3">
      <c r="A568" s="46" t="s">
        <v>613</v>
      </c>
      <c r="B568" s="46" t="str">
        <f>IFERROR(VLOOKUP($H568,매장구분!$B:$Z,2,0),"")</f>
        <v>파트너채널팀</v>
      </c>
      <c r="C568" s="46" t="str">
        <f>IFERROR(VLOOKUP($H568,매장구분!$B:$Z,3,0),"")</f>
        <v>국내</v>
      </c>
      <c r="D568" s="46" t="str">
        <f>IFERROR(VLOOKUP($H568,매장구분!$B:$Z,5,0),"")</f>
        <v>백화점</v>
      </c>
      <c r="E568" s="46" t="str">
        <f>IFERROR(VLOOKUP($H568,매장구분!$B:$Z,9,0),"")</f>
        <v>에버세이브청주</v>
      </c>
      <c r="G568" s="46" t="s">
        <v>328</v>
      </c>
      <c r="H568" s="46" t="s">
        <v>329</v>
      </c>
      <c r="I568" s="46" t="s">
        <v>169</v>
      </c>
      <c r="J568" s="46" t="s">
        <v>175</v>
      </c>
      <c r="K568" s="46" t="s">
        <v>170</v>
      </c>
      <c r="L568" s="46" t="s">
        <v>171</v>
      </c>
      <c r="M568" s="46" t="s">
        <v>77</v>
      </c>
      <c r="N568" s="46" t="s">
        <v>238</v>
      </c>
      <c r="O568" s="46">
        <v>10252720</v>
      </c>
      <c r="P568" s="46">
        <v>105</v>
      </c>
      <c r="Q568" s="46">
        <v>0</v>
      </c>
      <c r="R568" s="46">
        <v>0</v>
      </c>
      <c r="S568" s="46">
        <v>0</v>
      </c>
      <c r="T568" s="46">
        <v>0</v>
      </c>
      <c r="U568" s="46">
        <v>1342880</v>
      </c>
      <c r="V568" s="46">
        <v>6</v>
      </c>
      <c r="W568" s="46">
        <v>0</v>
      </c>
      <c r="X568" s="46">
        <v>0</v>
      </c>
      <c r="Y568" s="48">
        <v>0</v>
      </c>
      <c r="Z568" s="46">
        <v>0</v>
      </c>
      <c r="AA568" s="46">
        <v>0</v>
      </c>
      <c r="AB568" s="46">
        <v>0</v>
      </c>
      <c r="AC568" s="46">
        <v>11595600</v>
      </c>
      <c r="AD568" s="46">
        <v>111</v>
      </c>
      <c r="AF568" s="47">
        <f t="shared" si="8"/>
        <v>11595600</v>
      </c>
    </row>
    <row r="569" spans="1:32" hidden="1" x14ac:dyDescent="0.3">
      <c r="A569" s="46" t="s">
        <v>613</v>
      </c>
      <c r="B569" s="46" t="str">
        <f>IFERROR(VLOOKUP($H569,매장구분!$B:$Z,2,0),"")</f>
        <v>E-biz</v>
      </c>
      <c r="C569" s="46" t="str">
        <f>IFERROR(VLOOKUP($H569,매장구분!$B:$Z,3,0),"")</f>
        <v>국내</v>
      </c>
      <c r="D569" s="46" t="str">
        <f>IFERROR(VLOOKUP($H569,매장구분!$B:$Z,5,0),"")</f>
        <v>온(제휴몰)</v>
      </c>
      <c r="E569" s="46" t="str">
        <f>IFERROR(VLOOKUP($H569,매장구분!$B:$Z,9,0),"")</f>
        <v>29CM(제휴몰)</v>
      </c>
      <c r="G569" s="46" t="s">
        <v>518</v>
      </c>
      <c r="H569" s="46" t="s">
        <v>519</v>
      </c>
      <c r="I569" s="46" t="s">
        <v>169</v>
      </c>
      <c r="J569" s="46" t="s">
        <v>180</v>
      </c>
      <c r="K569" s="46" t="s">
        <v>170</v>
      </c>
      <c r="L569" s="46" t="s">
        <v>181</v>
      </c>
      <c r="M569" s="46" t="s">
        <v>181</v>
      </c>
      <c r="N569" s="46" t="s">
        <v>185</v>
      </c>
      <c r="O569" s="46">
        <v>29015900</v>
      </c>
      <c r="P569" s="46">
        <v>511</v>
      </c>
      <c r="Q569" s="46">
        <v>0</v>
      </c>
      <c r="R569" s="46">
        <v>0</v>
      </c>
      <c r="S569" s="46">
        <v>0</v>
      </c>
      <c r="T569" s="46">
        <v>0</v>
      </c>
      <c r="U569" s="46">
        <v>0</v>
      </c>
      <c r="V569" s="46">
        <v>0</v>
      </c>
      <c r="W569" s="46">
        <v>0</v>
      </c>
      <c r="X569" s="46">
        <v>0</v>
      </c>
      <c r="Y569" s="48">
        <v>0</v>
      </c>
      <c r="Z569" s="46">
        <v>0</v>
      </c>
      <c r="AA569" s="46">
        <v>0</v>
      </c>
      <c r="AB569" s="46">
        <v>0</v>
      </c>
      <c r="AC569" s="46">
        <v>29015900</v>
      </c>
      <c r="AD569" s="46">
        <v>511</v>
      </c>
      <c r="AF569" s="47">
        <f t="shared" si="8"/>
        <v>29015900</v>
      </c>
    </row>
    <row r="570" spans="1:32" hidden="1" x14ac:dyDescent="0.3">
      <c r="A570" s="46" t="s">
        <v>613</v>
      </c>
      <c r="B570" s="46" t="str">
        <f>IFERROR(VLOOKUP($H570,매장구분!$B:$Z,2,0),"")</f>
        <v>파트너채널팀</v>
      </c>
      <c r="C570" s="46" t="str">
        <f>IFERROR(VLOOKUP($H570,매장구분!$B:$Z,3,0),"")</f>
        <v>국내</v>
      </c>
      <c r="D570" s="46" t="str">
        <f>IFERROR(VLOOKUP($H570,매장구분!$B:$Z,5,0),"")</f>
        <v>백화점</v>
      </c>
      <c r="E570" s="46" t="str">
        <f>IFERROR(VLOOKUP($H570,매장구분!$B:$Z,9,0),"")</f>
        <v>신세계센텀</v>
      </c>
      <c r="G570" s="46" t="s">
        <v>301</v>
      </c>
      <c r="H570" s="46" t="s">
        <v>302</v>
      </c>
      <c r="I570" s="46" t="s">
        <v>169</v>
      </c>
      <c r="J570" s="46" t="s">
        <v>175</v>
      </c>
      <c r="K570" s="46" t="s">
        <v>170</v>
      </c>
      <c r="L570" s="46" t="s">
        <v>171</v>
      </c>
      <c r="M570" s="46" t="s">
        <v>77</v>
      </c>
      <c r="N570" s="46" t="s">
        <v>172</v>
      </c>
      <c r="O570" s="46">
        <v>13009100</v>
      </c>
      <c r="P570" s="46">
        <v>191</v>
      </c>
      <c r="Q570" s="46">
        <v>0</v>
      </c>
      <c r="R570" s="46">
        <v>0</v>
      </c>
      <c r="S570" s="46">
        <v>0</v>
      </c>
      <c r="T570" s="46">
        <v>0</v>
      </c>
      <c r="U570" s="46">
        <v>-319000</v>
      </c>
      <c r="V570" s="46">
        <v>-1</v>
      </c>
      <c r="W570" s="46">
        <v>0</v>
      </c>
      <c r="X570" s="46">
        <v>0</v>
      </c>
      <c r="Y570" s="48">
        <v>0</v>
      </c>
      <c r="Z570" s="46">
        <v>0</v>
      </c>
      <c r="AA570" s="46">
        <v>0</v>
      </c>
      <c r="AB570" s="46">
        <v>0</v>
      </c>
      <c r="AC570" s="46">
        <v>12690100</v>
      </c>
      <c r="AD570" s="46">
        <v>190</v>
      </c>
      <c r="AF570" s="47">
        <f t="shared" si="8"/>
        <v>12690100</v>
      </c>
    </row>
    <row r="571" spans="1:32" hidden="1" x14ac:dyDescent="0.3">
      <c r="A571" s="46" t="s">
        <v>613</v>
      </c>
      <c r="B571" s="46" t="str">
        <f>IFERROR(VLOOKUP($H571,매장구분!$B:$Z,2,0),"")</f>
        <v>리테일채널팀</v>
      </c>
      <c r="C571" s="46" t="str">
        <f>IFERROR(VLOOKUP($H571,매장구분!$B:$Z,3,0),"")</f>
        <v>국내</v>
      </c>
      <c r="D571" s="46" t="str">
        <f>IFERROR(VLOOKUP($H571,매장구분!$B:$Z,5,0),"")</f>
        <v>상설(위탁)</v>
      </c>
      <c r="E571" s="46" t="str">
        <f>IFERROR(VLOOKUP($H571,매장구분!$B:$Z,9,0),"")</f>
        <v>신세계아울렛시흥(상-위)</v>
      </c>
      <c r="G571" s="46" t="s">
        <v>524</v>
      </c>
      <c r="H571" s="46" t="s">
        <v>525</v>
      </c>
      <c r="I571" s="46" t="s">
        <v>169</v>
      </c>
      <c r="J571" s="46" t="s">
        <v>79</v>
      </c>
      <c r="K571" s="46" t="s">
        <v>170</v>
      </c>
      <c r="L571" s="46" t="s">
        <v>171</v>
      </c>
      <c r="M571" s="46" t="s">
        <v>219</v>
      </c>
      <c r="N571" s="46" t="s">
        <v>219</v>
      </c>
      <c r="O571" s="46">
        <v>3096000</v>
      </c>
      <c r="P571" s="46">
        <v>86</v>
      </c>
      <c r="Q571" s="46">
        <v>0</v>
      </c>
      <c r="R571" s="46">
        <v>0</v>
      </c>
      <c r="S571" s="46">
        <v>0</v>
      </c>
      <c r="T571" s="46">
        <v>0</v>
      </c>
      <c r="U571" s="46">
        <v>0</v>
      </c>
      <c r="V571" s="46">
        <v>0</v>
      </c>
      <c r="W571" s="46">
        <v>0</v>
      </c>
      <c r="X571" s="46">
        <v>0</v>
      </c>
      <c r="Y571" s="48">
        <v>0</v>
      </c>
      <c r="Z571" s="46">
        <v>0</v>
      </c>
      <c r="AA571" s="46">
        <v>0</v>
      </c>
      <c r="AB571" s="46">
        <v>0</v>
      </c>
      <c r="AC571" s="46">
        <v>3096000</v>
      </c>
      <c r="AD571" s="46">
        <v>86</v>
      </c>
      <c r="AF571" s="47">
        <f t="shared" si="8"/>
        <v>3096000</v>
      </c>
    </row>
    <row r="572" spans="1:32" hidden="1" x14ac:dyDescent="0.3">
      <c r="A572" s="46" t="s">
        <v>613</v>
      </c>
      <c r="B572" s="46" t="str">
        <f>IFERROR(VLOOKUP($H572,매장구분!$B:$Z,2,0),"")</f>
        <v>E-biz</v>
      </c>
      <c r="C572" s="46" t="str">
        <f>IFERROR(VLOOKUP($H572,매장구분!$B:$Z,3,0),"")</f>
        <v>국내</v>
      </c>
      <c r="D572" s="46" t="str">
        <f>IFERROR(VLOOKUP($H572,매장구분!$B:$Z,5,0),"")</f>
        <v>온(자사몰)</v>
      </c>
      <c r="E572" s="46" t="str">
        <f>IFERROR(VLOOKUP($H572,매장구분!$B:$Z,9,0),"")</f>
        <v>온라인쇼핑몰</v>
      </c>
      <c r="G572" s="46" t="s">
        <v>178</v>
      </c>
      <c r="H572" s="46" t="s">
        <v>179</v>
      </c>
      <c r="I572" s="46" t="s">
        <v>169</v>
      </c>
      <c r="J572" s="46" t="s">
        <v>180</v>
      </c>
      <c r="K572" s="46" t="s">
        <v>170</v>
      </c>
      <c r="L572" s="46" t="s">
        <v>181</v>
      </c>
      <c r="M572" s="46" t="s">
        <v>181</v>
      </c>
      <c r="N572" s="46" t="s">
        <v>182</v>
      </c>
      <c r="O572" s="46">
        <v>190040590</v>
      </c>
      <c r="P572" s="46">
        <v>2224</v>
      </c>
      <c r="Q572" s="46">
        <v>0</v>
      </c>
      <c r="R572" s="46">
        <v>0</v>
      </c>
      <c r="S572" s="46">
        <v>0</v>
      </c>
      <c r="T572" s="46">
        <v>0</v>
      </c>
      <c r="U572" s="46">
        <v>0</v>
      </c>
      <c r="V572" s="46">
        <v>0</v>
      </c>
      <c r="W572" s="46">
        <v>0</v>
      </c>
      <c r="X572" s="46">
        <v>0</v>
      </c>
      <c r="Y572" s="48">
        <v>0</v>
      </c>
      <c r="Z572" s="46">
        <v>0</v>
      </c>
      <c r="AA572" s="46">
        <v>0</v>
      </c>
      <c r="AB572" s="46">
        <v>0</v>
      </c>
      <c r="AC572" s="46">
        <v>190040590</v>
      </c>
      <c r="AD572" s="46">
        <v>2224</v>
      </c>
      <c r="AF572" s="47">
        <f t="shared" si="8"/>
        <v>190040590</v>
      </c>
    </row>
    <row r="573" spans="1:32" hidden="1" x14ac:dyDescent="0.3">
      <c r="A573" s="46" t="s">
        <v>613</v>
      </c>
      <c r="B573" s="46" t="str">
        <f>IFERROR(VLOOKUP($H573,매장구분!$B:$Z,2,0),"")</f>
        <v>파트너채널팀</v>
      </c>
      <c r="C573" s="46" t="str">
        <f>IFERROR(VLOOKUP($H573,매장구분!$B:$Z,3,0),"")</f>
        <v>국내</v>
      </c>
      <c r="D573" s="46" t="str">
        <f>IFERROR(VLOOKUP($H573,매장구분!$B:$Z,5,0),"")</f>
        <v>백화점</v>
      </c>
      <c r="E573" s="46" t="str">
        <f>IFERROR(VLOOKUP($H573,매장구분!$B:$Z,9,0),"")</f>
        <v>신세계마산</v>
      </c>
      <c r="G573" s="46" t="s">
        <v>426</v>
      </c>
      <c r="H573" s="46" t="s">
        <v>427</v>
      </c>
      <c r="I573" s="46" t="s">
        <v>169</v>
      </c>
      <c r="J573" s="46" t="s">
        <v>175</v>
      </c>
      <c r="K573" s="46" t="s">
        <v>170</v>
      </c>
      <c r="L573" s="46" t="s">
        <v>171</v>
      </c>
      <c r="M573" s="46" t="s">
        <v>77</v>
      </c>
      <c r="N573" s="46" t="s">
        <v>172</v>
      </c>
      <c r="O573" s="46">
        <v>6763000</v>
      </c>
      <c r="P573" s="46">
        <v>69</v>
      </c>
      <c r="Q573" s="46">
        <v>0</v>
      </c>
      <c r="R573" s="46">
        <v>0</v>
      </c>
      <c r="S573" s="46">
        <v>0</v>
      </c>
      <c r="T573" s="46">
        <v>0</v>
      </c>
      <c r="U573" s="46">
        <v>767000</v>
      </c>
      <c r="V573" s="46">
        <v>7</v>
      </c>
      <c r="W573" s="46">
        <v>0</v>
      </c>
      <c r="X573" s="46">
        <v>0</v>
      </c>
      <c r="Y573" s="48">
        <v>0</v>
      </c>
      <c r="Z573" s="46">
        <v>0</v>
      </c>
      <c r="AA573" s="46">
        <v>0</v>
      </c>
      <c r="AB573" s="46">
        <v>0</v>
      </c>
      <c r="AC573" s="46">
        <v>7530000</v>
      </c>
      <c r="AD573" s="46">
        <v>76</v>
      </c>
      <c r="AF573" s="47">
        <f t="shared" si="8"/>
        <v>7530000</v>
      </c>
    </row>
    <row r="574" spans="1:32" hidden="1" x14ac:dyDescent="0.3">
      <c r="A574" s="46" t="s">
        <v>613</v>
      </c>
      <c r="B574" s="46" t="str">
        <f>IFERROR(VLOOKUP($H574,매장구분!$B:$Z,2,0),"")</f>
        <v>리테일채널팀</v>
      </c>
      <c r="C574" s="46" t="str">
        <f>IFERROR(VLOOKUP($H574,매장구분!$B:$Z,3,0),"")</f>
        <v>국내</v>
      </c>
      <c r="D574" s="46" t="str">
        <f>IFERROR(VLOOKUP($H574,매장구분!$B:$Z,5,0),"")</f>
        <v>대리점</v>
      </c>
      <c r="E574" s="46" t="str">
        <f>IFERROR(VLOOKUP($H574,매장구분!$B:$Z,9,0),"")</f>
        <v>대구칠곡(대-위)</v>
      </c>
      <c r="G574" s="46" t="s">
        <v>364</v>
      </c>
      <c r="H574" s="46" t="s">
        <v>365</v>
      </c>
      <c r="I574" s="46" t="s">
        <v>169</v>
      </c>
      <c r="J574" s="46" t="s">
        <v>79</v>
      </c>
      <c r="K574" s="46" t="s">
        <v>170</v>
      </c>
      <c r="L574" s="46" t="s">
        <v>171</v>
      </c>
      <c r="M574" s="46" t="s">
        <v>196</v>
      </c>
      <c r="N574" s="46" t="s">
        <v>197</v>
      </c>
      <c r="O574" s="46">
        <v>7970566</v>
      </c>
      <c r="P574" s="46">
        <v>72</v>
      </c>
      <c r="Q574" s="46">
        <v>0</v>
      </c>
      <c r="R574" s="46">
        <v>0</v>
      </c>
      <c r="S574" s="46">
        <v>0</v>
      </c>
      <c r="T574" s="46">
        <v>0</v>
      </c>
      <c r="U574" s="46">
        <v>2666434</v>
      </c>
      <c r="V574" s="46">
        <v>12</v>
      </c>
      <c r="W574" s="46">
        <v>0</v>
      </c>
      <c r="X574" s="46">
        <v>0</v>
      </c>
      <c r="Y574" s="48">
        <v>0</v>
      </c>
      <c r="Z574" s="46">
        <v>0</v>
      </c>
      <c r="AA574" s="46">
        <v>0</v>
      </c>
      <c r="AB574" s="46">
        <v>0</v>
      </c>
      <c r="AC574" s="46">
        <v>10637000</v>
      </c>
      <c r="AD574" s="46">
        <v>84</v>
      </c>
      <c r="AF574" s="47">
        <f t="shared" si="8"/>
        <v>10637000</v>
      </c>
    </row>
    <row r="575" spans="1:32" hidden="1" x14ac:dyDescent="0.3">
      <c r="A575" s="46" t="s">
        <v>613</v>
      </c>
      <c r="B575" s="46" t="str">
        <f>IFERROR(VLOOKUP($H575,매장구분!$B:$Z,2,0),"")</f>
        <v>파트너채널팀</v>
      </c>
      <c r="C575" s="46" t="str">
        <f>IFERROR(VLOOKUP($H575,매장구분!$B:$Z,3,0),"")</f>
        <v>국내</v>
      </c>
      <c r="D575" s="46" t="str">
        <f>IFERROR(VLOOKUP($H575,매장구분!$B:$Z,5,0),"")</f>
        <v>백화점</v>
      </c>
      <c r="E575" s="46" t="str">
        <f>IFERROR(VLOOKUP($H575,매장구분!$B:$Z,9,0),"")</f>
        <v>롯데평촌</v>
      </c>
      <c r="G575" s="46" t="s">
        <v>412</v>
      </c>
      <c r="H575" s="46" t="s">
        <v>413</v>
      </c>
      <c r="I575" s="46" t="s">
        <v>169</v>
      </c>
      <c r="J575" s="46" t="s">
        <v>175</v>
      </c>
      <c r="K575" s="46" t="s">
        <v>170</v>
      </c>
      <c r="L575" s="46" t="s">
        <v>171</v>
      </c>
      <c r="M575" s="46" t="s">
        <v>77</v>
      </c>
      <c r="N575" s="46" t="s">
        <v>172</v>
      </c>
      <c r="O575" s="46">
        <v>17217860</v>
      </c>
      <c r="P575" s="46">
        <v>184</v>
      </c>
      <c r="Q575" s="46">
        <v>566000</v>
      </c>
      <c r="R575" s="46">
        <v>4</v>
      </c>
      <c r="S575" s="46">
        <v>0</v>
      </c>
      <c r="T575" s="46">
        <v>0</v>
      </c>
      <c r="U575" s="46">
        <v>1938540</v>
      </c>
      <c r="V575" s="46">
        <v>16</v>
      </c>
      <c r="W575" s="46">
        <v>0</v>
      </c>
      <c r="X575" s="46">
        <v>0</v>
      </c>
      <c r="Y575" s="48">
        <v>25232300</v>
      </c>
      <c r="Z575" s="46">
        <v>178</v>
      </c>
      <c r="AA575" s="46">
        <v>0</v>
      </c>
      <c r="AB575" s="46">
        <v>0</v>
      </c>
      <c r="AC575" s="46">
        <v>44954700</v>
      </c>
      <c r="AD575" s="46">
        <v>382</v>
      </c>
      <c r="AF575" s="47">
        <f t="shared" si="8"/>
        <v>19722400</v>
      </c>
    </row>
    <row r="576" spans="1:32" hidden="1" x14ac:dyDescent="0.3">
      <c r="A576" s="46" t="s">
        <v>613</v>
      </c>
      <c r="B576" s="46" t="str">
        <f>IFERROR(VLOOKUP($H576,매장구분!$B:$Z,2,0),"")</f>
        <v>E-biz</v>
      </c>
      <c r="C576" s="46" t="str">
        <f>IFERROR(VLOOKUP($H576,매장구분!$B:$Z,3,0),"")</f>
        <v>국내</v>
      </c>
      <c r="D576" s="46" t="str">
        <f>IFERROR(VLOOKUP($H576,매장구분!$B:$Z,5,0),"")</f>
        <v>온(제휴몰)</v>
      </c>
      <c r="E576" s="46" t="str">
        <f>IFERROR(VLOOKUP($H576,매장구분!$B:$Z,9,0),"")</f>
        <v>무신사(제휴몰)</v>
      </c>
      <c r="G576" s="46" t="s">
        <v>183</v>
      </c>
      <c r="H576" s="46" t="s">
        <v>184</v>
      </c>
      <c r="I576" s="46" t="s">
        <v>169</v>
      </c>
      <c r="J576" s="46" t="s">
        <v>180</v>
      </c>
      <c r="K576" s="46" t="s">
        <v>170</v>
      </c>
      <c r="L576" s="46" t="s">
        <v>181</v>
      </c>
      <c r="M576" s="46" t="s">
        <v>181</v>
      </c>
      <c r="N576" s="46" t="s">
        <v>185</v>
      </c>
      <c r="O576" s="46">
        <v>185694600</v>
      </c>
      <c r="P576" s="46">
        <v>2356</v>
      </c>
      <c r="Q576" s="46">
        <v>0</v>
      </c>
      <c r="R576" s="46">
        <v>0</v>
      </c>
      <c r="S576" s="46">
        <v>0</v>
      </c>
      <c r="T576" s="46">
        <v>0</v>
      </c>
      <c r="U576" s="46">
        <v>0</v>
      </c>
      <c r="V576" s="46">
        <v>0</v>
      </c>
      <c r="W576" s="46">
        <v>0</v>
      </c>
      <c r="X576" s="46">
        <v>0</v>
      </c>
      <c r="Y576" s="48">
        <v>0</v>
      </c>
      <c r="Z576" s="46">
        <v>0</v>
      </c>
      <c r="AA576" s="46">
        <v>0</v>
      </c>
      <c r="AB576" s="46">
        <v>0</v>
      </c>
      <c r="AC576" s="46">
        <v>185694600</v>
      </c>
      <c r="AD576" s="46">
        <v>2356</v>
      </c>
      <c r="AF576" s="47">
        <f t="shared" si="8"/>
        <v>185694600</v>
      </c>
    </row>
    <row r="577" spans="1:32" hidden="1" x14ac:dyDescent="0.3">
      <c r="A577" s="46" t="s">
        <v>613</v>
      </c>
      <c r="B577" s="46" t="str">
        <f>IFERROR(VLOOKUP($H577,매장구분!$B:$Z,2,0),"")</f>
        <v>파트너채널팀</v>
      </c>
      <c r="C577" s="46" t="str">
        <f>IFERROR(VLOOKUP($H577,매장구분!$B:$Z,3,0),"")</f>
        <v>면세</v>
      </c>
      <c r="D577" s="46" t="str">
        <f>IFERROR(VLOOKUP($H577,매장구분!$B:$Z,5,0),"")</f>
        <v>면세</v>
      </c>
      <c r="E577" s="46" t="str">
        <f>IFERROR(VLOOKUP($H577,매장구분!$B:$Z,9,0),"")</f>
        <v>신라면세장충</v>
      </c>
      <c r="G577" s="46" t="s">
        <v>299</v>
      </c>
      <c r="H577" s="46" t="s">
        <v>300</v>
      </c>
      <c r="I577" s="46" t="s">
        <v>169</v>
      </c>
      <c r="J577" s="46" t="s">
        <v>175</v>
      </c>
      <c r="K577" s="46" t="s">
        <v>170</v>
      </c>
      <c r="L577" s="46" t="s">
        <v>171</v>
      </c>
      <c r="M577" s="46" t="s">
        <v>176</v>
      </c>
      <c r="N577" s="46" t="s">
        <v>177</v>
      </c>
      <c r="O577" s="46">
        <v>130171000</v>
      </c>
      <c r="P577" s="46">
        <v>1653</v>
      </c>
      <c r="Q577" s="46">
        <v>0</v>
      </c>
      <c r="R577" s="46">
        <v>0</v>
      </c>
      <c r="S577" s="46">
        <v>0</v>
      </c>
      <c r="T577" s="46">
        <v>0</v>
      </c>
      <c r="U577" s="46">
        <v>0</v>
      </c>
      <c r="V577" s="46">
        <v>0</v>
      </c>
      <c r="W577" s="46">
        <v>0</v>
      </c>
      <c r="X577" s="46">
        <v>0</v>
      </c>
      <c r="Y577" s="48">
        <v>379502300</v>
      </c>
      <c r="Z577" s="46">
        <v>8994</v>
      </c>
      <c r="AA577" s="46">
        <v>0</v>
      </c>
      <c r="AB577" s="46">
        <v>0</v>
      </c>
      <c r="AC577" s="46">
        <v>509673300</v>
      </c>
      <c r="AD577" s="46">
        <v>10647</v>
      </c>
      <c r="AF577" s="47">
        <f t="shared" si="8"/>
        <v>130171000</v>
      </c>
    </row>
    <row r="578" spans="1:32" hidden="1" x14ac:dyDescent="0.3">
      <c r="A578" s="46" t="s">
        <v>613</v>
      </c>
      <c r="B578" s="46" t="str">
        <f>IFERROR(VLOOKUP($H578,매장구분!$B:$Z,2,0),"")</f>
        <v>리테일채널팀</v>
      </c>
      <c r="C578" s="46" t="str">
        <f>IFERROR(VLOOKUP($H578,매장구분!$B:$Z,3,0),"")</f>
        <v>국내</v>
      </c>
      <c r="D578" s="46" t="str">
        <f>IFERROR(VLOOKUP($H578,매장구분!$B:$Z,5,0),"")</f>
        <v>대리점</v>
      </c>
      <c r="E578" s="46" t="str">
        <f>IFERROR(VLOOKUP($H578,매장구분!$B:$Z,9,0),"")</f>
        <v>안산시화(대-위)</v>
      </c>
      <c r="G578" s="46" t="s">
        <v>291</v>
      </c>
      <c r="H578" s="46" t="s">
        <v>292</v>
      </c>
      <c r="I578" s="46" t="s">
        <v>169</v>
      </c>
      <c r="J578" s="46" t="s">
        <v>79</v>
      </c>
      <c r="K578" s="46" t="s">
        <v>170</v>
      </c>
      <c r="L578" s="46" t="s">
        <v>171</v>
      </c>
      <c r="M578" s="46" t="s">
        <v>196</v>
      </c>
      <c r="N578" s="46" t="s">
        <v>197</v>
      </c>
      <c r="O578" s="46">
        <v>22870575</v>
      </c>
      <c r="P578" s="46">
        <v>164</v>
      </c>
      <c r="Q578" s="46">
        <v>0</v>
      </c>
      <c r="R578" s="46">
        <v>0</v>
      </c>
      <c r="S578" s="46">
        <v>0</v>
      </c>
      <c r="T578" s="46">
        <v>0</v>
      </c>
      <c r="U578" s="46">
        <v>3268378</v>
      </c>
      <c r="V578" s="46">
        <v>19</v>
      </c>
      <c r="W578" s="46">
        <v>0</v>
      </c>
      <c r="X578" s="46">
        <v>0</v>
      </c>
      <c r="Y578" s="48">
        <v>0</v>
      </c>
      <c r="Z578" s="46">
        <v>0</v>
      </c>
      <c r="AA578" s="46">
        <v>0</v>
      </c>
      <c r="AB578" s="46">
        <v>0</v>
      </c>
      <c r="AC578" s="46">
        <v>26138953</v>
      </c>
      <c r="AD578" s="46">
        <v>183</v>
      </c>
      <c r="AF578" s="47">
        <f t="shared" si="8"/>
        <v>26138953</v>
      </c>
    </row>
    <row r="579" spans="1:32" hidden="1" x14ac:dyDescent="0.3">
      <c r="A579" s="46" t="s">
        <v>613</v>
      </c>
      <c r="B579" s="46" t="str">
        <f>IFERROR(VLOOKUP($H579,매장구분!$B:$Z,2,0),"")</f>
        <v>리테일채널팀</v>
      </c>
      <c r="C579" s="46" t="str">
        <f>IFERROR(VLOOKUP($H579,매장구분!$B:$Z,3,0),"")</f>
        <v>국내</v>
      </c>
      <c r="D579" s="46" t="str">
        <f>IFERROR(VLOOKUP($H579,매장구분!$B:$Z,5,0),"")</f>
        <v>직영점</v>
      </c>
      <c r="E579" s="46" t="str">
        <f>IFERROR(VLOOKUP($H579,매장구분!$B:$Z,9,0),"")</f>
        <v>스타필드하남(직)</v>
      </c>
      <c r="G579" s="46" t="s">
        <v>394</v>
      </c>
      <c r="H579" s="46" t="s">
        <v>395</v>
      </c>
      <c r="I579" s="46" t="s">
        <v>169</v>
      </c>
      <c r="J579" s="46" t="s">
        <v>180</v>
      </c>
      <c r="K579" s="46" t="s">
        <v>170</v>
      </c>
      <c r="L579" s="46" t="s">
        <v>171</v>
      </c>
      <c r="M579" s="46" t="s">
        <v>188</v>
      </c>
      <c r="N579" s="46" t="s">
        <v>189</v>
      </c>
      <c r="O579" s="46">
        <v>20130000</v>
      </c>
      <c r="P579" s="46">
        <v>217</v>
      </c>
      <c r="Q579" s="46">
        <v>0</v>
      </c>
      <c r="R579" s="46">
        <v>0</v>
      </c>
      <c r="S579" s="46">
        <v>0</v>
      </c>
      <c r="T579" s="46">
        <v>0</v>
      </c>
      <c r="U579" s="46">
        <v>2778000</v>
      </c>
      <c r="V579" s="46">
        <v>12</v>
      </c>
      <c r="W579" s="46">
        <v>0</v>
      </c>
      <c r="X579" s="46">
        <v>0</v>
      </c>
      <c r="Y579" s="48">
        <v>0</v>
      </c>
      <c r="Z579" s="46">
        <v>0</v>
      </c>
      <c r="AA579" s="46">
        <v>0</v>
      </c>
      <c r="AB579" s="46">
        <v>0</v>
      </c>
      <c r="AC579" s="46">
        <v>22908000</v>
      </c>
      <c r="AD579" s="46">
        <v>229</v>
      </c>
      <c r="AF579" s="47">
        <f t="shared" ref="AF579:AF642" si="9">IFERROR(AC579-Y579,"")</f>
        <v>22908000</v>
      </c>
    </row>
    <row r="580" spans="1:32" hidden="1" x14ac:dyDescent="0.3">
      <c r="A580" s="46" t="s">
        <v>613</v>
      </c>
      <c r="B580" s="46" t="str">
        <f>IFERROR(VLOOKUP($H580,매장구분!$B:$Z,2,0),"")</f>
        <v>파트너채널팀</v>
      </c>
      <c r="C580" s="46" t="str">
        <f>IFERROR(VLOOKUP($H580,매장구분!$B:$Z,3,0),"")</f>
        <v>국내</v>
      </c>
      <c r="D580" s="46" t="str">
        <f>IFERROR(VLOOKUP($H580,매장구분!$B:$Z,5,0),"")</f>
        <v>백화점</v>
      </c>
      <c r="E580" s="46" t="str">
        <f>IFERROR(VLOOKUP($H580,매장구분!$B:$Z,9,0),"")</f>
        <v>AK평택</v>
      </c>
      <c r="G580" s="46" t="s">
        <v>251</v>
      </c>
      <c r="H580" s="46" t="s">
        <v>252</v>
      </c>
      <c r="I580" s="46" t="s">
        <v>169</v>
      </c>
      <c r="J580" s="46" t="s">
        <v>175</v>
      </c>
      <c r="K580" s="46" t="s">
        <v>170</v>
      </c>
      <c r="L580" s="46" t="s">
        <v>171</v>
      </c>
      <c r="M580" s="46" t="s">
        <v>77</v>
      </c>
      <c r="N580" s="46" t="s">
        <v>172</v>
      </c>
      <c r="O580" s="46">
        <v>19013500</v>
      </c>
      <c r="P580" s="46">
        <v>206</v>
      </c>
      <c r="Q580" s="46">
        <v>0</v>
      </c>
      <c r="R580" s="46">
        <v>0</v>
      </c>
      <c r="S580" s="46">
        <v>0</v>
      </c>
      <c r="T580" s="46">
        <v>0</v>
      </c>
      <c r="U580" s="46">
        <v>829400</v>
      </c>
      <c r="V580" s="46">
        <v>6</v>
      </c>
      <c r="W580" s="46">
        <v>0</v>
      </c>
      <c r="X580" s="46">
        <v>0</v>
      </c>
      <c r="Y580" s="48">
        <v>2071000</v>
      </c>
      <c r="Z580" s="46">
        <v>19</v>
      </c>
      <c r="AA580" s="46">
        <v>0</v>
      </c>
      <c r="AB580" s="46">
        <v>0</v>
      </c>
      <c r="AC580" s="46">
        <v>21913900</v>
      </c>
      <c r="AD580" s="46">
        <v>231</v>
      </c>
      <c r="AF580" s="47">
        <f t="shared" si="9"/>
        <v>19842900</v>
      </c>
    </row>
    <row r="581" spans="1:32" hidden="1" x14ac:dyDescent="0.3">
      <c r="A581" s="46" t="s">
        <v>613</v>
      </c>
      <c r="B581" s="46" t="str">
        <f>IFERROR(VLOOKUP($H581,매장구분!$B:$Z,2,0),"")</f>
        <v>리테일채널팀</v>
      </c>
      <c r="C581" s="46" t="str">
        <f>IFERROR(VLOOKUP($H581,매장구분!$B:$Z,3,0),"")</f>
        <v>국내</v>
      </c>
      <c r="D581" s="46" t="str">
        <f>IFERROR(VLOOKUP($H581,매장구분!$B:$Z,5,0),"")</f>
        <v>대리점</v>
      </c>
      <c r="E581" s="46" t="str">
        <f>IFERROR(VLOOKUP($H581,매장구분!$B:$Z,9,0),"")</f>
        <v>아이즈빌부평(대-위)</v>
      </c>
      <c r="G581" s="46" t="s">
        <v>315</v>
      </c>
      <c r="H581" s="46" t="s">
        <v>316</v>
      </c>
      <c r="I581" s="46" t="s">
        <v>169</v>
      </c>
      <c r="J581" s="46" t="s">
        <v>79</v>
      </c>
      <c r="K581" s="46" t="s">
        <v>170</v>
      </c>
      <c r="L581" s="46" t="s">
        <v>171</v>
      </c>
      <c r="M581" s="46" t="s">
        <v>188</v>
      </c>
      <c r="N581" s="46" t="s">
        <v>317</v>
      </c>
      <c r="O581" s="46">
        <v>9692850</v>
      </c>
      <c r="P581" s="46">
        <v>69</v>
      </c>
      <c r="Q581" s="46">
        <v>0</v>
      </c>
      <c r="R581" s="46">
        <v>0</v>
      </c>
      <c r="S581" s="46">
        <v>0</v>
      </c>
      <c r="T581" s="46">
        <v>0</v>
      </c>
      <c r="U581" s="46">
        <v>1591000</v>
      </c>
      <c r="V581" s="46">
        <v>9</v>
      </c>
      <c r="W581" s="46">
        <v>0</v>
      </c>
      <c r="X581" s="46">
        <v>0</v>
      </c>
      <c r="Y581" s="48">
        <v>0</v>
      </c>
      <c r="Z581" s="46">
        <v>0</v>
      </c>
      <c r="AA581" s="46">
        <v>0</v>
      </c>
      <c r="AB581" s="46">
        <v>0</v>
      </c>
      <c r="AC581" s="46">
        <v>11283850</v>
      </c>
      <c r="AD581" s="46">
        <v>78</v>
      </c>
      <c r="AF581" s="47">
        <f t="shared" si="9"/>
        <v>11283850</v>
      </c>
    </row>
    <row r="582" spans="1:32" hidden="1" x14ac:dyDescent="0.3">
      <c r="A582" s="46" t="s">
        <v>613</v>
      </c>
      <c r="B582" s="46" t="str">
        <f>IFERROR(VLOOKUP($H582,매장구분!$B:$Z,2,0),"")</f>
        <v>리테일채널팀</v>
      </c>
      <c r="C582" s="46" t="str">
        <f>IFERROR(VLOOKUP($H582,매장구분!$B:$Z,3,0),"")</f>
        <v>국내</v>
      </c>
      <c r="D582" s="46" t="str">
        <f>IFERROR(VLOOKUP($H582,매장구분!$B:$Z,5,0),"")</f>
        <v>대리점</v>
      </c>
      <c r="E582" s="46" t="str">
        <f>IFERROR(VLOOKUP($H582,매장구분!$B:$Z,9,0),"")</f>
        <v>전주송천(대-위)</v>
      </c>
      <c r="G582" s="46" t="s">
        <v>428</v>
      </c>
      <c r="H582" s="46" t="s">
        <v>429</v>
      </c>
      <c r="I582" s="46" t="s">
        <v>169</v>
      </c>
      <c r="J582" s="46" t="s">
        <v>79</v>
      </c>
      <c r="K582" s="46" t="s">
        <v>170</v>
      </c>
      <c r="L582" s="46" t="s">
        <v>171</v>
      </c>
      <c r="M582" s="46" t="s">
        <v>196</v>
      </c>
      <c r="N582" s="46" t="s">
        <v>197</v>
      </c>
      <c r="O582" s="46">
        <v>9596128</v>
      </c>
      <c r="P582" s="46">
        <v>79</v>
      </c>
      <c r="Q582" s="46">
        <v>0</v>
      </c>
      <c r="R582" s="46">
        <v>0</v>
      </c>
      <c r="S582" s="46">
        <v>0</v>
      </c>
      <c r="T582" s="46">
        <v>0</v>
      </c>
      <c r="U582" s="46">
        <v>672000</v>
      </c>
      <c r="V582" s="46">
        <v>5</v>
      </c>
      <c r="W582" s="46">
        <v>0</v>
      </c>
      <c r="X582" s="46">
        <v>0</v>
      </c>
      <c r="Y582" s="48">
        <v>15438000</v>
      </c>
      <c r="Z582" s="46">
        <v>155</v>
      </c>
      <c r="AA582" s="46">
        <v>0</v>
      </c>
      <c r="AB582" s="46">
        <v>0</v>
      </c>
      <c r="AC582" s="46">
        <v>25706128</v>
      </c>
      <c r="AD582" s="46">
        <v>239</v>
      </c>
      <c r="AF582" s="47">
        <f t="shared" si="9"/>
        <v>10268128</v>
      </c>
    </row>
    <row r="583" spans="1:32" hidden="1" x14ac:dyDescent="0.3">
      <c r="A583" s="46" t="s">
        <v>613</v>
      </c>
      <c r="B583" s="46" t="str">
        <f>IFERROR(VLOOKUP($H583,매장구분!$B:$Z,2,0),"")</f>
        <v>리테일채널팀</v>
      </c>
      <c r="C583" s="46" t="str">
        <f>IFERROR(VLOOKUP($H583,매장구분!$B:$Z,3,0),"")</f>
        <v>국내</v>
      </c>
      <c r="D583" s="46" t="str">
        <f>IFERROR(VLOOKUP($H583,매장구분!$B:$Z,5,0),"")</f>
        <v>대리점</v>
      </c>
      <c r="E583" s="46" t="str">
        <f>IFERROR(VLOOKUP($H583,매장구분!$B:$Z,9,0),"")</f>
        <v>청주(대-위)</v>
      </c>
      <c r="G583" s="46" t="s">
        <v>265</v>
      </c>
      <c r="H583" s="46" t="s">
        <v>266</v>
      </c>
      <c r="I583" s="46" t="s">
        <v>169</v>
      </c>
      <c r="J583" s="46" t="s">
        <v>79</v>
      </c>
      <c r="K583" s="46" t="s">
        <v>170</v>
      </c>
      <c r="L583" s="46" t="s">
        <v>171</v>
      </c>
      <c r="M583" s="46" t="s">
        <v>196</v>
      </c>
      <c r="N583" s="46" t="s">
        <v>197</v>
      </c>
      <c r="O583" s="46">
        <v>42647437</v>
      </c>
      <c r="P583" s="46">
        <v>279</v>
      </c>
      <c r="Q583" s="46">
        <v>0</v>
      </c>
      <c r="R583" s="46">
        <v>0</v>
      </c>
      <c r="S583" s="46">
        <v>0</v>
      </c>
      <c r="T583" s="46">
        <v>0</v>
      </c>
      <c r="U583" s="46">
        <v>2662000</v>
      </c>
      <c r="V583" s="46">
        <v>10</v>
      </c>
      <c r="W583" s="46">
        <v>0</v>
      </c>
      <c r="X583" s="46">
        <v>0</v>
      </c>
      <c r="Y583" s="48">
        <v>7812000</v>
      </c>
      <c r="Z583" s="46">
        <v>88</v>
      </c>
      <c r="AA583" s="46">
        <v>0</v>
      </c>
      <c r="AB583" s="46">
        <v>0</v>
      </c>
      <c r="AC583" s="46">
        <v>53121437</v>
      </c>
      <c r="AD583" s="46">
        <v>377</v>
      </c>
      <c r="AF583" s="47">
        <f t="shared" si="9"/>
        <v>45309437</v>
      </c>
    </row>
    <row r="584" spans="1:32" hidden="1" x14ac:dyDescent="0.3">
      <c r="A584" s="46" t="s">
        <v>613</v>
      </c>
      <c r="B584" s="46" t="str">
        <f>IFERROR(VLOOKUP($H584,매장구분!$B:$Z,2,0),"")</f>
        <v>리테일채널팀</v>
      </c>
      <c r="C584" s="46" t="str">
        <f>IFERROR(VLOOKUP($H584,매장구분!$B:$Z,3,0),"")</f>
        <v>국내</v>
      </c>
      <c r="D584" s="46" t="str">
        <f>IFERROR(VLOOKUP($H584,매장구분!$B:$Z,5,0),"")</f>
        <v>대리점</v>
      </c>
      <c r="E584" s="46" t="str">
        <f>IFERROR(VLOOKUP($H584,매장구분!$B:$Z,9,0),"")</f>
        <v>퍼스트빌리지(대-위)</v>
      </c>
      <c r="G584" s="46" t="s">
        <v>440</v>
      </c>
      <c r="H584" s="46" t="s">
        <v>441</v>
      </c>
      <c r="I584" s="46" t="s">
        <v>169</v>
      </c>
      <c r="J584" s="46" t="s">
        <v>79</v>
      </c>
      <c r="K584" s="46" t="s">
        <v>170</v>
      </c>
      <c r="L584" s="46" t="s">
        <v>171</v>
      </c>
      <c r="M584" s="46" t="s">
        <v>196</v>
      </c>
      <c r="N584" s="46" t="s">
        <v>197</v>
      </c>
      <c r="O584" s="46">
        <v>17603659</v>
      </c>
      <c r="P584" s="46">
        <v>176</v>
      </c>
      <c r="Q584" s="46">
        <v>0</v>
      </c>
      <c r="R584" s="46">
        <v>0</v>
      </c>
      <c r="S584" s="46">
        <v>0</v>
      </c>
      <c r="T584" s="46">
        <v>0</v>
      </c>
      <c r="U584" s="46">
        <v>1668000</v>
      </c>
      <c r="V584" s="46">
        <v>12</v>
      </c>
      <c r="W584" s="46">
        <v>0</v>
      </c>
      <c r="X584" s="46">
        <v>0</v>
      </c>
      <c r="Y584" s="48">
        <v>0</v>
      </c>
      <c r="Z584" s="46">
        <v>0</v>
      </c>
      <c r="AA584" s="46">
        <v>0</v>
      </c>
      <c r="AB584" s="46">
        <v>0</v>
      </c>
      <c r="AC584" s="46">
        <v>19271659</v>
      </c>
      <c r="AD584" s="46">
        <v>188</v>
      </c>
      <c r="AF584" s="47">
        <f t="shared" si="9"/>
        <v>19271659</v>
      </c>
    </row>
    <row r="585" spans="1:32" hidden="1" x14ac:dyDescent="0.3">
      <c r="A585" s="46" t="s">
        <v>613</v>
      </c>
      <c r="B585" s="46" t="str">
        <f>IFERROR(VLOOKUP($H585,매장구분!$B:$Z,2,0),"")</f>
        <v>파트너채널팀</v>
      </c>
      <c r="C585" s="46" t="str">
        <f>IFERROR(VLOOKUP($H585,매장구분!$B:$Z,3,0),"")</f>
        <v>국내</v>
      </c>
      <c r="D585" s="46" t="str">
        <f>IFERROR(VLOOKUP($H585,매장구분!$B:$Z,5,0),"")</f>
        <v>백화점</v>
      </c>
      <c r="E585" s="46" t="str">
        <f>IFERROR(VLOOKUP($H585,매장구분!$B:$Z,9,0),"")</f>
        <v>롯데미아</v>
      </c>
      <c r="G585" s="46" t="s">
        <v>350</v>
      </c>
      <c r="H585" s="46" t="s">
        <v>351</v>
      </c>
      <c r="I585" s="46" t="s">
        <v>169</v>
      </c>
      <c r="J585" s="46" t="s">
        <v>175</v>
      </c>
      <c r="K585" s="46" t="s">
        <v>170</v>
      </c>
      <c r="L585" s="46" t="s">
        <v>171</v>
      </c>
      <c r="M585" s="46" t="s">
        <v>77</v>
      </c>
      <c r="N585" s="46" t="s">
        <v>172</v>
      </c>
      <c r="O585" s="46">
        <v>24029600</v>
      </c>
      <c r="P585" s="46">
        <v>170</v>
      </c>
      <c r="Q585" s="46">
        <v>0</v>
      </c>
      <c r="R585" s="46">
        <v>0</v>
      </c>
      <c r="S585" s="46">
        <v>0</v>
      </c>
      <c r="T585" s="46">
        <v>0</v>
      </c>
      <c r="U585" s="46">
        <v>0</v>
      </c>
      <c r="V585" s="46">
        <v>0</v>
      </c>
      <c r="W585" s="46">
        <v>0</v>
      </c>
      <c r="X585" s="46">
        <v>0</v>
      </c>
      <c r="Y585" s="48">
        <v>0</v>
      </c>
      <c r="Z585" s="46">
        <v>0</v>
      </c>
      <c r="AA585" s="46">
        <v>0</v>
      </c>
      <c r="AB585" s="46">
        <v>0</v>
      </c>
      <c r="AC585" s="46">
        <v>24029600</v>
      </c>
      <c r="AD585" s="46">
        <v>170</v>
      </c>
      <c r="AF585" s="47">
        <f t="shared" si="9"/>
        <v>24029600</v>
      </c>
    </row>
    <row r="586" spans="1:32" hidden="1" x14ac:dyDescent="0.3">
      <c r="A586" s="46" t="s">
        <v>613</v>
      </c>
      <c r="B586" s="46" t="str">
        <f>IFERROR(VLOOKUP($H586,매장구분!$B:$Z,2,0),"")</f>
        <v>리테일채널팀</v>
      </c>
      <c r="C586" s="46" t="str">
        <f>IFERROR(VLOOKUP($H586,매장구분!$B:$Z,3,0),"")</f>
        <v>국내</v>
      </c>
      <c r="D586" s="46" t="str">
        <f>IFERROR(VLOOKUP($H586,매장구분!$B:$Z,5,0),"")</f>
        <v>대리점</v>
      </c>
      <c r="E586" s="46" t="str">
        <f>IFERROR(VLOOKUP($H586,매장구분!$B:$Z,9,0),"")</f>
        <v>충주(대-위)</v>
      </c>
      <c r="G586" s="46" t="s">
        <v>322</v>
      </c>
      <c r="H586" s="46" t="s">
        <v>323</v>
      </c>
      <c r="I586" s="46" t="s">
        <v>169</v>
      </c>
      <c r="J586" s="46" t="s">
        <v>79</v>
      </c>
      <c r="K586" s="46" t="s">
        <v>170</v>
      </c>
      <c r="L586" s="46" t="s">
        <v>171</v>
      </c>
      <c r="M586" s="46" t="s">
        <v>196</v>
      </c>
      <c r="N586" s="46" t="s">
        <v>197</v>
      </c>
      <c r="O586" s="46">
        <v>12240493</v>
      </c>
      <c r="P586" s="46">
        <v>123</v>
      </c>
      <c r="Q586" s="46">
        <v>0</v>
      </c>
      <c r="R586" s="46">
        <v>0</v>
      </c>
      <c r="S586" s="46">
        <v>0</v>
      </c>
      <c r="T586" s="46">
        <v>0</v>
      </c>
      <c r="U586" s="46">
        <v>0</v>
      </c>
      <c r="V586" s="46">
        <v>0</v>
      </c>
      <c r="W586" s="46">
        <v>0</v>
      </c>
      <c r="X586" s="46">
        <v>0</v>
      </c>
      <c r="Y586" s="48">
        <v>12931400</v>
      </c>
      <c r="Z586" s="46">
        <v>88</v>
      </c>
      <c r="AA586" s="46">
        <v>0</v>
      </c>
      <c r="AB586" s="46">
        <v>0</v>
      </c>
      <c r="AC586" s="46">
        <v>25171893</v>
      </c>
      <c r="AD586" s="46">
        <v>211</v>
      </c>
      <c r="AF586" s="47">
        <f t="shared" si="9"/>
        <v>12240493</v>
      </c>
    </row>
    <row r="587" spans="1:32" hidden="1" x14ac:dyDescent="0.3">
      <c r="A587" s="46" t="s">
        <v>613</v>
      </c>
      <c r="B587" s="46" t="str">
        <f>IFERROR(VLOOKUP($H587,매장구분!$B:$Z,2,0),"")</f>
        <v>파트너채널팀</v>
      </c>
      <c r="C587" s="46" t="str">
        <f>IFERROR(VLOOKUP($H587,매장구분!$B:$Z,3,0),"")</f>
        <v>국내</v>
      </c>
      <c r="D587" s="46" t="str">
        <f>IFERROR(VLOOKUP($H587,매장구분!$B:$Z,5,0),"")</f>
        <v>백화점</v>
      </c>
      <c r="E587" s="46" t="str">
        <f>IFERROR(VLOOKUP($H587,매장구분!$B:$Z,9,0),"")</f>
        <v>현대천호</v>
      </c>
      <c r="G587" s="46" t="s">
        <v>305</v>
      </c>
      <c r="H587" s="46" t="s">
        <v>306</v>
      </c>
      <c r="I587" s="46" t="s">
        <v>169</v>
      </c>
      <c r="J587" s="46" t="s">
        <v>175</v>
      </c>
      <c r="K587" s="46" t="s">
        <v>170</v>
      </c>
      <c r="L587" s="46" t="s">
        <v>171</v>
      </c>
      <c r="M587" s="46" t="s">
        <v>77</v>
      </c>
      <c r="N587" s="46" t="s">
        <v>172</v>
      </c>
      <c r="O587" s="46">
        <v>6963000</v>
      </c>
      <c r="P587" s="46">
        <v>76</v>
      </c>
      <c r="Q587" s="46">
        <v>2841000</v>
      </c>
      <c r="R587" s="46">
        <v>24</v>
      </c>
      <c r="S587" s="46">
        <v>0</v>
      </c>
      <c r="T587" s="46">
        <v>0</v>
      </c>
      <c r="U587" s="46">
        <v>497000</v>
      </c>
      <c r="V587" s="46">
        <v>3</v>
      </c>
      <c r="W587" s="46">
        <v>0</v>
      </c>
      <c r="X587" s="46">
        <v>0</v>
      </c>
      <c r="Y587" s="48">
        <v>15082700</v>
      </c>
      <c r="Z587" s="46">
        <v>108</v>
      </c>
      <c r="AA587" s="46">
        <v>0</v>
      </c>
      <c r="AB587" s="46">
        <v>0</v>
      </c>
      <c r="AC587" s="46">
        <v>25383700</v>
      </c>
      <c r="AD587" s="46">
        <v>211</v>
      </c>
      <c r="AF587" s="47">
        <f t="shared" si="9"/>
        <v>10301000</v>
      </c>
    </row>
    <row r="588" spans="1:32" hidden="1" x14ac:dyDescent="0.3">
      <c r="A588" s="46" t="s">
        <v>613</v>
      </c>
      <c r="B588" s="46" t="str">
        <f>IFERROR(VLOOKUP($H588,매장구분!$B:$Z,2,0),"")</f>
        <v>리테일채널팀</v>
      </c>
      <c r="C588" s="46" t="str">
        <f>IFERROR(VLOOKUP($H588,매장구분!$B:$Z,3,0),"")</f>
        <v>국내</v>
      </c>
      <c r="D588" s="46" t="str">
        <f>IFERROR(VLOOKUP($H588,매장구분!$B:$Z,5,0),"")</f>
        <v>상설(위탁)</v>
      </c>
      <c r="E588" s="46" t="str">
        <f>IFERROR(VLOOKUP($H588,매장구분!$B:$Z,9,0),"")</f>
        <v>현대아울렛대전(상-위)</v>
      </c>
      <c r="G588" s="46" t="s">
        <v>608</v>
      </c>
      <c r="H588" s="46" t="s">
        <v>609</v>
      </c>
      <c r="I588" s="46" t="s">
        <v>169</v>
      </c>
      <c r="J588" s="46" t="s">
        <v>79</v>
      </c>
      <c r="K588" s="46" t="s">
        <v>170</v>
      </c>
      <c r="L588" s="46" t="s">
        <v>171</v>
      </c>
      <c r="M588" s="46" t="s">
        <v>219</v>
      </c>
      <c r="N588" s="46" t="s">
        <v>219</v>
      </c>
      <c r="O588" s="46">
        <v>2124000</v>
      </c>
      <c r="P588" s="46">
        <v>59</v>
      </c>
      <c r="Q588" s="46">
        <v>0</v>
      </c>
      <c r="R588" s="46">
        <v>0</v>
      </c>
      <c r="S588" s="46">
        <v>0</v>
      </c>
      <c r="T588" s="46">
        <v>0</v>
      </c>
      <c r="U588" s="46">
        <v>0</v>
      </c>
      <c r="V588" s="46">
        <v>0</v>
      </c>
      <c r="W588" s="46">
        <v>0</v>
      </c>
      <c r="X588" s="46">
        <v>0</v>
      </c>
      <c r="Y588" s="48">
        <v>0</v>
      </c>
      <c r="Z588" s="46">
        <v>0</v>
      </c>
      <c r="AA588" s="46">
        <v>0</v>
      </c>
      <c r="AB588" s="46">
        <v>0</v>
      </c>
      <c r="AC588" s="46">
        <v>2124000</v>
      </c>
      <c r="AD588" s="46">
        <v>59</v>
      </c>
      <c r="AF588" s="47">
        <f t="shared" si="9"/>
        <v>2124000</v>
      </c>
    </row>
    <row r="589" spans="1:32" hidden="1" x14ac:dyDescent="0.3">
      <c r="A589" s="46" t="s">
        <v>613</v>
      </c>
      <c r="B589" s="46" t="str">
        <f>IFERROR(VLOOKUP($H589,매장구분!$B:$Z,2,0),"")</f>
        <v>리테일채널팀</v>
      </c>
      <c r="C589" s="46" t="str">
        <f>IFERROR(VLOOKUP($H589,매장구분!$B:$Z,3,0),"")</f>
        <v>국내</v>
      </c>
      <c r="D589" s="46" t="str">
        <f>IFERROR(VLOOKUP($H589,매장구분!$B:$Z,5,0),"")</f>
        <v>상설(위탁)</v>
      </c>
      <c r="E589" s="46" t="str">
        <f>IFERROR(VLOOKUP($H589,매장구분!$B:$Z,9,0),"")</f>
        <v>롯데아울렛봉무(상-위)</v>
      </c>
      <c r="G589" s="46" t="s">
        <v>220</v>
      </c>
      <c r="H589" s="46" t="s">
        <v>221</v>
      </c>
      <c r="I589" s="46" t="s">
        <v>169</v>
      </c>
      <c r="J589" s="46" t="s">
        <v>79</v>
      </c>
      <c r="K589" s="46" t="s">
        <v>170</v>
      </c>
      <c r="L589" s="46" t="s">
        <v>171</v>
      </c>
      <c r="M589" s="46" t="s">
        <v>219</v>
      </c>
      <c r="N589" s="46" t="s">
        <v>219</v>
      </c>
      <c r="O589" s="46">
        <v>2412000</v>
      </c>
      <c r="P589" s="46">
        <v>67</v>
      </c>
      <c r="Q589" s="46">
        <v>0</v>
      </c>
      <c r="R589" s="46">
        <v>0</v>
      </c>
      <c r="S589" s="46">
        <v>0</v>
      </c>
      <c r="T589" s="46">
        <v>0</v>
      </c>
      <c r="U589" s="46">
        <v>0</v>
      </c>
      <c r="V589" s="46">
        <v>0</v>
      </c>
      <c r="W589" s="46">
        <v>0</v>
      </c>
      <c r="X589" s="46">
        <v>0</v>
      </c>
      <c r="Y589" s="48">
        <v>0</v>
      </c>
      <c r="Z589" s="46">
        <v>0</v>
      </c>
      <c r="AA589" s="46">
        <v>0</v>
      </c>
      <c r="AB589" s="46">
        <v>0</v>
      </c>
      <c r="AC589" s="46">
        <v>2412000</v>
      </c>
      <c r="AD589" s="46">
        <v>67</v>
      </c>
      <c r="AF589" s="47">
        <f t="shared" si="9"/>
        <v>2412000</v>
      </c>
    </row>
    <row r="590" spans="1:32" hidden="1" x14ac:dyDescent="0.3">
      <c r="A590" s="46" t="s">
        <v>613</v>
      </c>
      <c r="B590" s="46" t="str">
        <f>IFERROR(VLOOKUP($H590,매장구분!$B:$Z,2,0),"")</f>
        <v>리테일채널팀</v>
      </c>
      <c r="C590" s="46" t="str">
        <f>IFERROR(VLOOKUP($H590,매장구분!$B:$Z,3,0),"")</f>
        <v>국내</v>
      </c>
      <c r="D590" s="46" t="str">
        <f>IFERROR(VLOOKUP($H590,매장구분!$B:$Z,5,0),"")</f>
        <v>상설(위탁)</v>
      </c>
      <c r="E590" s="46" t="str">
        <f>IFERROR(VLOOKUP($H590,매장구분!$B:$Z,9,0),"")</f>
        <v>롯데아울렛동부산(상-위)</v>
      </c>
      <c r="G590" s="46" t="s">
        <v>366</v>
      </c>
      <c r="H590" s="46" t="s">
        <v>367</v>
      </c>
      <c r="I590" s="46" t="s">
        <v>169</v>
      </c>
      <c r="J590" s="46" t="s">
        <v>79</v>
      </c>
      <c r="K590" s="46" t="s">
        <v>170</v>
      </c>
      <c r="L590" s="46" t="s">
        <v>171</v>
      </c>
      <c r="M590" s="46" t="s">
        <v>219</v>
      </c>
      <c r="N590" s="46" t="s">
        <v>219</v>
      </c>
      <c r="O590" s="46">
        <v>3744000</v>
      </c>
      <c r="P590" s="46">
        <v>104</v>
      </c>
      <c r="Q590" s="46">
        <v>0</v>
      </c>
      <c r="R590" s="46">
        <v>0</v>
      </c>
      <c r="S590" s="46">
        <v>0</v>
      </c>
      <c r="T590" s="46">
        <v>0</v>
      </c>
      <c r="U590" s="46">
        <v>0</v>
      </c>
      <c r="V590" s="46">
        <v>0</v>
      </c>
      <c r="W590" s="46">
        <v>0</v>
      </c>
      <c r="X590" s="46">
        <v>0</v>
      </c>
      <c r="Y590" s="48">
        <v>0</v>
      </c>
      <c r="Z590" s="46">
        <v>0</v>
      </c>
      <c r="AA590" s="46">
        <v>0</v>
      </c>
      <c r="AB590" s="46">
        <v>0</v>
      </c>
      <c r="AC590" s="46">
        <v>3744000</v>
      </c>
      <c r="AD590" s="46">
        <v>104</v>
      </c>
      <c r="AF590" s="47">
        <f t="shared" si="9"/>
        <v>3744000</v>
      </c>
    </row>
    <row r="591" spans="1:32" hidden="1" x14ac:dyDescent="0.3">
      <c r="A591" s="46" t="s">
        <v>613</v>
      </c>
      <c r="B591" s="46" t="str">
        <f>IFERROR(VLOOKUP($H591,매장구분!$B:$Z,2,0),"")</f>
        <v>리테일채널팀</v>
      </c>
      <c r="C591" s="46" t="str">
        <f>IFERROR(VLOOKUP($H591,매장구분!$B:$Z,3,0),"")</f>
        <v>국내</v>
      </c>
      <c r="D591" s="46" t="str">
        <f>IFERROR(VLOOKUP($H591,매장구분!$B:$Z,5,0),"")</f>
        <v>상설(위탁)</v>
      </c>
      <c r="E591" s="46" t="str">
        <f>IFERROR(VLOOKUP($H591,매장구분!$B:$Z,9,0),"")</f>
        <v>롯데아울렛파주(상-위)</v>
      </c>
      <c r="G591" s="46" t="s">
        <v>598</v>
      </c>
      <c r="H591" s="46" t="s">
        <v>599</v>
      </c>
      <c r="I591" s="46" t="s">
        <v>169</v>
      </c>
      <c r="J591" s="46" t="s">
        <v>79</v>
      </c>
      <c r="K591" s="46" t="s">
        <v>170</v>
      </c>
      <c r="L591" s="46" t="s">
        <v>171</v>
      </c>
      <c r="M591" s="46" t="s">
        <v>219</v>
      </c>
      <c r="N591" s="46" t="s">
        <v>219</v>
      </c>
      <c r="O591" s="46">
        <v>2304000</v>
      </c>
      <c r="P591" s="46">
        <v>64</v>
      </c>
      <c r="Q591" s="46">
        <v>0</v>
      </c>
      <c r="R591" s="46">
        <v>0</v>
      </c>
      <c r="S591" s="46">
        <v>0</v>
      </c>
      <c r="T591" s="46">
        <v>0</v>
      </c>
      <c r="U591" s="46">
        <v>0</v>
      </c>
      <c r="V591" s="46">
        <v>0</v>
      </c>
      <c r="W591" s="46">
        <v>0</v>
      </c>
      <c r="X591" s="46">
        <v>0</v>
      </c>
      <c r="Y591" s="48">
        <v>0</v>
      </c>
      <c r="Z591" s="46">
        <v>0</v>
      </c>
      <c r="AA591" s="46">
        <v>0</v>
      </c>
      <c r="AB591" s="46">
        <v>0</v>
      </c>
      <c r="AC591" s="46">
        <v>2304000</v>
      </c>
      <c r="AD591" s="46">
        <v>64</v>
      </c>
      <c r="AF591" s="47">
        <f t="shared" si="9"/>
        <v>2304000</v>
      </c>
    </row>
    <row r="592" spans="1:32" hidden="1" x14ac:dyDescent="0.3">
      <c r="A592" s="46" t="s">
        <v>614</v>
      </c>
      <c r="B592" s="46" t="str">
        <f>IFERROR(VLOOKUP($H592,매장구분!$B:$Z,2,0),"")</f>
        <v>리테일채널팀</v>
      </c>
      <c r="C592" s="46" t="str">
        <f>IFERROR(VLOOKUP($H592,매장구분!$B:$Z,3,0),"")</f>
        <v>국내</v>
      </c>
      <c r="D592" s="46" t="str">
        <f>IFERROR(VLOOKUP($H592,매장구분!$B:$Z,5,0),"")</f>
        <v>상설(위탁)</v>
      </c>
      <c r="E592" s="46" t="str">
        <f>IFERROR(VLOOKUP($H592,매장구분!$B:$Z,9,0),"")</f>
        <v>현대아울렛동대문(상-위)</v>
      </c>
      <c r="G592" s="46" t="s">
        <v>526</v>
      </c>
      <c r="H592" s="46" t="s">
        <v>527</v>
      </c>
      <c r="I592" s="46" t="s">
        <v>169</v>
      </c>
      <c r="J592" s="46" t="s">
        <v>79</v>
      </c>
      <c r="K592" s="46" t="s">
        <v>170</v>
      </c>
      <c r="L592" s="46" t="s">
        <v>171</v>
      </c>
      <c r="M592" s="46" t="s">
        <v>219</v>
      </c>
      <c r="N592" s="46" t="s">
        <v>219</v>
      </c>
      <c r="O592" s="46">
        <v>936000</v>
      </c>
      <c r="P592" s="46">
        <v>26</v>
      </c>
      <c r="Q592" s="46">
        <v>0</v>
      </c>
      <c r="R592" s="46">
        <v>0</v>
      </c>
      <c r="S592" s="46">
        <v>0</v>
      </c>
      <c r="T592" s="46">
        <v>0</v>
      </c>
      <c r="U592" s="46">
        <v>0</v>
      </c>
      <c r="V592" s="46">
        <v>0</v>
      </c>
      <c r="W592" s="46">
        <v>0</v>
      </c>
      <c r="X592" s="46">
        <v>0</v>
      </c>
      <c r="Y592" s="48">
        <v>0</v>
      </c>
      <c r="Z592" s="46">
        <v>0</v>
      </c>
      <c r="AA592" s="46">
        <v>0</v>
      </c>
      <c r="AB592" s="46">
        <v>0</v>
      </c>
      <c r="AC592" s="46">
        <v>936000</v>
      </c>
      <c r="AD592" s="46">
        <v>26</v>
      </c>
      <c r="AF592" s="47">
        <f t="shared" si="9"/>
        <v>936000</v>
      </c>
    </row>
    <row r="593" spans="1:32" hidden="1" x14ac:dyDescent="0.3">
      <c r="A593" s="46" t="s">
        <v>614</v>
      </c>
      <c r="B593" s="46" t="str">
        <f>IFERROR(VLOOKUP($H593,매장구분!$B:$Z,2,0),"")</f>
        <v>파트너채널팀</v>
      </c>
      <c r="C593" s="46" t="str">
        <f>IFERROR(VLOOKUP($H593,매장구분!$B:$Z,3,0),"")</f>
        <v>국내</v>
      </c>
      <c r="D593" s="46" t="str">
        <f>IFERROR(VLOOKUP($H593,매장구분!$B:$Z,5,0),"")</f>
        <v>백화점</v>
      </c>
      <c r="E593" s="46" t="str">
        <f>IFERROR(VLOOKUP($H593,매장구분!$B:$Z,9,0),"")</f>
        <v>롯데대구</v>
      </c>
      <c r="G593" s="46" t="s">
        <v>536</v>
      </c>
      <c r="H593" s="46" t="s">
        <v>537</v>
      </c>
      <c r="I593" s="46" t="s">
        <v>169</v>
      </c>
      <c r="J593" s="46" t="s">
        <v>175</v>
      </c>
      <c r="K593" s="46" t="s">
        <v>170</v>
      </c>
      <c r="L593" s="46" t="s">
        <v>171</v>
      </c>
      <c r="M593" s="46" t="s">
        <v>77</v>
      </c>
      <c r="N593" s="46" t="s">
        <v>172</v>
      </c>
      <c r="O593" s="46">
        <v>9762000</v>
      </c>
      <c r="P593" s="46">
        <v>92</v>
      </c>
      <c r="Q593" s="46">
        <v>3889900</v>
      </c>
      <c r="R593" s="46">
        <v>25</v>
      </c>
      <c r="S593" s="46">
        <v>0</v>
      </c>
      <c r="T593" s="46">
        <v>0</v>
      </c>
      <c r="U593" s="46">
        <v>523100</v>
      </c>
      <c r="V593" s="46">
        <v>4</v>
      </c>
      <c r="W593" s="46">
        <v>0</v>
      </c>
      <c r="X593" s="46">
        <v>0</v>
      </c>
      <c r="Y593" s="48">
        <v>0</v>
      </c>
      <c r="Z593" s="46">
        <v>0</v>
      </c>
      <c r="AA593" s="46">
        <v>0</v>
      </c>
      <c r="AB593" s="46">
        <v>0</v>
      </c>
      <c r="AC593" s="46">
        <v>14175000</v>
      </c>
      <c r="AD593" s="46">
        <v>121</v>
      </c>
      <c r="AF593" s="47">
        <f t="shared" si="9"/>
        <v>14175000</v>
      </c>
    </row>
    <row r="594" spans="1:32" hidden="1" x14ac:dyDescent="0.3">
      <c r="A594" s="46" t="s">
        <v>614</v>
      </c>
      <c r="B594" s="46" t="str">
        <f>IFERROR(VLOOKUP($H594,매장구분!$B:$Z,2,0),"")</f>
        <v>리테일채널팀</v>
      </c>
      <c r="C594" s="46" t="str">
        <f>IFERROR(VLOOKUP($H594,매장구분!$B:$Z,3,0),"")</f>
        <v>RF</v>
      </c>
      <c r="D594" s="46" t="str">
        <f>IFERROR(VLOOKUP($H594,매장구분!$B:$Z,5,0),"")</f>
        <v>직영점</v>
      </c>
      <c r="E594" s="46" t="str">
        <f>IFERROR(VLOOKUP($H594,매장구분!$B:$Z,9,0),"")</f>
        <v>명동중앙(직)</v>
      </c>
      <c r="G594" s="46" t="s">
        <v>538</v>
      </c>
      <c r="H594" s="46" t="s">
        <v>539</v>
      </c>
      <c r="I594" s="46" t="s">
        <v>169</v>
      </c>
      <c r="J594" s="46" t="s">
        <v>180</v>
      </c>
      <c r="K594" s="46" t="s">
        <v>170</v>
      </c>
      <c r="L594" s="46" t="s">
        <v>171</v>
      </c>
      <c r="M594" s="46" t="s">
        <v>196</v>
      </c>
      <c r="N594" s="46" t="s">
        <v>206</v>
      </c>
      <c r="O594" s="46">
        <v>221310000</v>
      </c>
      <c r="P594" s="46">
        <v>2867</v>
      </c>
      <c r="Q594" s="46">
        <v>0</v>
      </c>
      <c r="R594" s="46">
        <v>0</v>
      </c>
      <c r="S594" s="46">
        <v>0</v>
      </c>
      <c r="T594" s="46">
        <v>0</v>
      </c>
      <c r="U594" s="46">
        <v>2543800</v>
      </c>
      <c r="V594" s="46">
        <v>6</v>
      </c>
      <c r="W594" s="46">
        <v>0</v>
      </c>
      <c r="X594" s="46">
        <v>0</v>
      </c>
      <c r="Y594" s="48">
        <v>0</v>
      </c>
      <c r="Z594" s="46">
        <v>0</v>
      </c>
      <c r="AA594" s="46">
        <v>0</v>
      </c>
      <c r="AB594" s="46">
        <v>0</v>
      </c>
      <c r="AC594" s="46">
        <v>223853800</v>
      </c>
      <c r="AD594" s="46">
        <v>2873</v>
      </c>
      <c r="AF594" s="47">
        <f t="shared" si="9"/>
        <v>223853800</v>
      </c>
    </row>
    <row r="595" spans="1:32" hidden="1" x14ac:dyDescent="0.3">
      <c r="A595" s="46" t="s">
        <v>614</v>
      </c>
      <c r="B595" s="46" t="str">
        <f>IFERROR(VLOOKUP($H595,매장구분!$B:$Z,2,0),"")</f>
        <v>파트너채널팀</v>
      </c>
      <c r="C595" s="46" t="str">
        <f>IFERROR(VLOOKUP($H595,매장구분!$B:$Z,3,0),"")</f>
        <v>면세</v>
      </c>
      <c r="D595" s="46" t="str">
        <f>IFERROR(VLOOKUP($H595,매장구분!$B:$Z,5,0),"")</f>
        <v>면세</v>
      </c>
      <c r="E595" s="46" t="str">
        <f>IFERROR(VLOOKUP($H595,매장구분!$B:$Z,9,0),"")</f>
        <v>롯데면세월드</v>
      </c>
      <c r="G595" s="46" t="s">
        <v>213</v>
      </c>
      <c r="H595" s="46" t="s">
        <v>214</v>
      </c>
      <c r="I595" s="46" t="s">
        <v>169</v>
      </c>
      <c r="J595" s="46" t="s">
        <v>175</v>
      </c>
      <c r="K595" s="46" t="s">
        <v>170</v>
      </c>
      <c r="L595" s="46" t="s">
        <v>171</v>
      </c>
      <c r="M595" s="46" t="s">
        <v>176</v>
      </c>
      <c r="N595" s="46" t="s">
        <v>177</v>
      </c>
      <c r="O595" s="46">
        <v>6473000</v>
      </c>
      <c r="P595" s="46">
        <v>80</v>
      </c>
      <c r="Q595" s="46">
        <v>0</v>
      </c>
      <c r="R595" s="46">
        <v>0</v>
      </c>
      <c r="S595" s="46">
        <v>0</v>
      </c>
      <c r="T595" s="46">
        <v>0</v>
      </c>
      <c r="U595" s="46">
        <v>0</v>
      </c>
      <c r="V595" s="46">
        <v>0</v>
      </c>
      <c r="W595" s="46">
        <v>0</v>
      </c>
      <c r="X595" s="46">
        <v>0</v>
      </c>
      <c r="Y595" s="48">
        <v>155895300</v>
      </c>
      <c r="Z595" s="46">
        <v>1226</v>
      </c>
      <c r="AA595" s="46">
        <v>0</v>
      </c>
      <c r="AB595" s="46">
        <v>0</v>
      </c>
      <c r="AC595" s="46">
        <v>162368300</v>
      </c>
      <c r="AD595" s="46">
        <v>1306</v>
      </c>
      <c r="AF595" s="47">
        <f t="shared" si="9"/>
        <v>6473000</v>
      </c>
    </row>
    <row r="596" spans="1:32" hidden="1" x14ac:dyDescent="0.3">
      <c r="A596" s="46" t="s">
        <v>614</v>
      </c>
      <c r="B596" s="46" t="str">
        <f>IFERROR(VLOOKUP($H596,매장구분!$B:$Z,2,0),"")</f>
        <v>파트너채널팀</v>
      </c>
      <c r="C596" s="46" t="str">
        <f>IFERROR(VLOOKUP($H596,매장구분!$B:$Z,3,0),"")</f>
        <v>국내</v>
      </c>
      <c r="D596" s="46" t="str">
        <f>IFERROR(VLOOKUP($H596,매장구분!$B:$Z,5,0),"")</f>
        <v>백화점</v>
      </c>
      <c r="E596" s="46" t="str">
        <f>IFERROR(VLOOKUP($H596,매장구분!$B:$Z,9,0),"")</f>
        <v>신세계김해</v>
      </c>
      <c r="G596" s="46" t="s">
        <v>454</v>
      </c>
      <c r="H596" s="46" t="s">
        <v>455</v>
      </c>
      <c r="I596" s="46" t="s">
        <v>169</v>
      </c>
      <c r="J596" s="46" t="s">
        <v>175</v>
      </c>
      <c r="K596" s="46" t="s">
        <v>170</v>
      </c>
      <c r="L596" s="46" t="s">
        <v>171</v>
      </c>
      <c r="M596" s="46" t="s">
        <v>77</v>
      </c>
      <c r="N596" s="46" t="s">
        <v>172</v>
      </c>
      <c r="O596" s="46">
        <v>15021700</v>
      </c>
      <c r="P596" s="46">
        <v>132</v>
      </c>
      <c r="Q596" s="46">
        <v>0</v>
      </c>
      <c r="R596" s="46">
        <v>0</v>
      </c>
      <c r="S596" s="46">
        <v>0</v>
      </c>
      <c r="T596" s="46">
        <v>0</v>
      </c>
      <c r="U596" s="46">
        <v>1144500</v>
      </c>
      <c r="V596" s="46">
        <v>6</v>
      </c>
      <c r="W596" s="46">
        <v>0</v>
      </c>
      <c r="X596" s="46">
        <v>0</v>
      </c>
      <c r="Y596" s="48">
        <v>0</v>
      </c>
      <c r="Z596" s="46">
        <v>0</v>
      </c>
      <c r="AA596" s="46">
        <v>0</v>
      </c>
      <c r="AB596" s="46">
        <v>0</v>
      </c>
      <c r="AC596" s="46">
        <v>16166200</v>
      </c>
      <c r="AD596" s="46">
        <v>138</v>
      </c>
      <c r="AF596" s="47">
        <f t="shared" si="9"/>
        <v>16166200</v>
      </c>
    </row>
    <row r="597" spans="1:32" hidden="1" x14ac:dyDescent="0.3">
      <c r="A597" s="46" t="s">
        <v>614</v>
      </c>
      <c r="B597" s="46" t="str">
        <f>IFERROR(VLOOKUP($H597,매장구분!$B:$Z,2,0),"")</f>
        <v>파트너채널팀</v>
      </c>
      <c r="C597" s="46" t="str">
        <f>IFERROR(VLOOKUP($H597,매장구분!$B:$Z,3,0),"")</f>
        <v>국내</v>
      </c>
      <c r="D597" s="46" t="str">
        <f>IFERROR(VLOOKUP($H597,매장구분!$B:$Z,5,0),"")</f>
        <v>백화점</v>
      </c>
      <c r="E597" s="46" t="str">
        <f>IFERROR(VLOOKUP($H597,매장구분!$B:$Z,9,0),"")</f>
        <v>신세계강남</v>
      </c>
      <c r="G597" s="46" t="s">
        <v>234</v>
      </c>
      <c r="H597" s="46" t="s">
        <v>235</v>
      </c>
      <c r="I597" s="46" t="s">
        <v>169</v>
      </c>
      <c r="J597" s="46" t="s">
        <v>175</v>
      </c>
      <c r="K597" s="46" t="s">
        <v>170</v>
      </c>
      <c r="L597" s="46" t="s">
        <v>171</v>
      </c>
      <c r="M597" s="46" t="s">
        <v>77</v>
      </c>
      <c r="N597" s="46" t="s">
        <v>172</v>
      </c>
      <c r="O597" s="46">
        <v>38973300</v>
      </c>
      <c r="P597" s="46">
        <v>325</v>
      </c>
      <c r="Q597" s="46">
        <v>14264000</v>
      </c>
      <c r="R597" s="46">
        <v>128</v>
      </c>
      <c r="S597" s="46">
        <v>0</v>
      </c>
      <c r="T597" s="46">
        <v>0</v>
      </c>
      <c r="U597" s="46">
        <v>4037100</v>
      </c>
      <c r="V597" s="46">
        <v>21</v>
      </c>
      <c r="W597" s="46">
        <v>0</v>
      </c>
      <c r="X597" s="46">
        <v>0</v>
      </c>
      <c r="Y597" s="48">
        <v>0</v>
      </c>
      <c r="Z597" s="46">
        <v>0</v>
      </c>
      <c r="AA597" s="46">
        <v>0</v>
      </c>
      <c r="AB597" s="46">
        <v>0</v>
      </c>
      <c r="AC597" s="46">
        <v>57274400</v>
      </c>
      <c r="AD597" s="46">
        <v>474</v>
      </c>
      <c r="AF597" s="47">
        <f t="shared" si="9"/>
        <v>57274400</v>
      </c>
    </row>
    <row r="598" spans="1:32" hidden="1" x14ac:dyDescent="0.3">
      <c r="A598" s="46" t="s">
        <v>614</v>
      </c>
      <c r="B598" s="46" t="str">
        <f>IFERROR(VLOOKUP($H598,매장구분!$B:$Z,2,0),"")</f>
        <v>파트너채널팀</v>
      </c>
      <c r="C598" s="46" t="str">
        <f>IFERROR(VLOOKUP($H598,매장구분!$B:$Z,3,0),"")</f>
        <v>면세</v>
      </c>
      <c r="D598" s="46" t="str">
        <f>IFERROR(VLOOKUP($H598,매장구분!$B:$Z,5,0),"")</f>
        <v>면세</v>
      </c>
      <c r="E598" s="46" t="str">
        <f>IFERROR(VLOOKUP($H598,매장구분!$B:$Z,9,0),"")</f>
        <v>신세계면세명동</v>
      </c>
      <c r="G598" s="46" t="s">
        <v>173</v>
      </c>
      <c r="H598" s="46" t="s">
        <v>174</v>
      </c>
      <c r="I598" s="46" t="s">
        <v>169</v>
      </c>
      <c r="J598" s="46" t="s">
        <v>175</v>
      </c>
      <c r="K598" s="46" t="s">
        <v>170</v>
      </c>
      <c r="L598" s="46" t="s">
        <v>171</v>
      </c>
      <c r="M598" s="46" t="s">
        <v>176</v>
      </c>
      <c r="N598" s="46" t="s">
        <v>177</v>
      </c>
      <c r="O598" s="46">
        <v>193399300</v>
      </c>
      <c r="P598" s="46">
        <v>2788</v>
      </c>
      <c r="Q598" s="46">
        <v>0</v>
      </c>
      <c r="R598" s="46">
        <v>0</v>
      </c>
      <c r="S598" s="46">
        <v>0</v>
      </c>
      <c r="T598" s="46">
        <v>0</v>
      </c>
      <c r="U598" s="46">
        <v>0</v>
      </c>
      <c r="V598" s="46">
        <v>0</v>
      </c>
      <c r="W598" s="46">
        <v>0</v>
      </c>
      <c r="X598" s="46">
        <v>0</v>
      </c>
      <c r="Y598" s="48">
        <v>64096000</v>
      </c>
      <c r="Z598" s="46">
        <v>727</v>
      </c>
      <c r="AA598" s="46">
        <v>0</v>
      </c>
      <c r="AB598" s="46">
        <v>0</v>
      </c>
      <c r="AC598" s="46">
        <v>257495300</v>
      </c>
      <c r="AD598" s="46">
        <v>3515</v>
      </c>
      <c r="AF598" s="47">
        <f t="shared" si="9"/>
        <v>193399300</v>
      </c>
    </row>
    <row r="599" spans="1:32" hidden="1" x14ac:dyDescent="0.3">
      <c r="A599" s="46" t="s">
        <v>614</v>
      </c>
      <c r="B599" s="46" t="str">
        <f>IFERROR(VLOOKUP($H599,매장구분!$B:$Z,2,0),"")</f>
        <v>리테일채널팀</v>
      </c>
      <c r="C599" s="46" t="str">
        <f>IFERROR(VLOOKUP($H599,매장구분!$B:$Z,3,0),"")</f>
        <v>국내</v>
      </c>
      <c r="D599" s="46" t="str">
        <f>IFERROR(VLOOKUP($H599,매장구분!$B:$Z,5,0),"")</f>
        <v>대리점</v>
      </c>
      <c r="E599" s="46" t="str">
        <f>IFERROR(VLOOKUP($H599,매장구분!$B:$Z,9,0),"")</f>
        <v>순천연향(대-위)</v>
      </c>
      <c r="G599" s="46" t="s">
        <v>390</v>
      </c>
      <c r="H599" s="46" t="s">
        <v>391</v>
      </c>
      <c r="I599" s="46" t="s">
        <v>169</v>
      </c>
      <c r="J599" s="46" t="s">
        <v>79</v>
      </c>
      <c r="K599" s="46" t="s">
        <v>170</v>
      </c>
      <c r="L599" s="46" t="s">
        <v>171</v>
      </c>
      <c r="M599" s="46" t="s">
        <v>196</v>
      </c>
      <c r="N599" s="46" t="s">
        <v>197</v>
      </c>
      <c r="O599" s="46">
        <v>26224384</v>
      </c>
      <c r="P599" s="46">
        <v>220</v>
      </c>
      <c r="Q599" s="46">
        <v>0</v>
      </c>
      <c r="R599" s="46">
        <v>0</v>
      </c>
      <c r="S599" s="46">
        <v>0</v>
      </c>
      <c r="T599" s="46">
        <v>0</v>
      </c>
      <c r="U599" s="46">
        <v>7913240</v>
      </c>
      <c r="V599" s="46">
        <v>40</v>
      </c>
      <c r="W599" s="46">
        <v>0</v>
      </c>
      <c r="X599" s="46">
        <v>0</v>
      </c>
      <c r="Y599" s="48">
        <v>0</v>
      </c>
      <c r="Z599" s="46">
        <v>0</v>
      </c>
      <c r="AA599" s="46">
        <v>0</v>
      </c>
      <c r="AB599" s="46">
        <v>0</v>
      </c>
      <c r="AC599" s="46">
        <v>34137624</v>
      </c>
      <c r="AD599" s="46">
        <v>260</v>
      </c>
      <c r="AF599" s="47">
        <f t="shared" si="9"/>
        <v>34137624</v>
      </c>
    </row>
    <row r="600" spans="1:32" hidden="1" x14ac:dyDescent="0.3">
      <c r="A600" s="46" t="s">
        <v>614</v>
      </c>
      <c r="B600" s="46" t="str">
        <f>IFERROR(VLOOKUP($H600,매장구분!$B:$Z,2,0),"")</f>
        <v>리테일채널팀</v>
      </c>
      <c r="C600" s="46" t="str">
        <f>IFERROR(VLOOKUP($H600,매장구분!$B:$Z,3,0),"")</f>
        <v>국내</v>
      </c>
      <c r="D600" s="46" t="str">
        <f>IFERROR(VLOOKUP($H600,매장구분!$B:$Z,5,0),"")</f>
        <v>대리점</v>
      </c>
      <c r="E600" s="46" t="str">
        <f>IFERROR(VLOOKUP($H600,매장구분!$B:$Z,9,0),"")</f>
        <v>천안쌍용(대-위)</v>
      </c>
      <c r="G600" s="46" t="s">
        <v>574</v>
      </c>
      <c r="H600" s="46" t="s">
        <v>575</v>
      </c>
      <c r="I600" s="46" t="s">
        <v>169</v>
      </c>
      <c r="J600" s="46" t="s">
        <v>79</v>
      </c>
      <c r="K600" s="46" t="s">
        <v>170</v>
      </c>
      <c r="L600" s="46" t="s">
        <v>171</v>
      </c>
      <c r="M600" s="46" t="s">
        <v>196</v>
      </c>
      <c r="N600" s="46" t="s">
        <v>197</v>
      </c>
      <c r="O600" s="46">
        <v>5465500</v>
      </c>
      <c r="P600" s="46">
        <v>48</v>
      </c>
      <c r="Q600" s="46">
        <v>0</v>
      </c>
      <c r="R600" s="46">
        <v>0</v>
      </c>
      <c r="S600" s="46">
        <v>0</v>
      </c>
      <c r="T600" s="46">
        <v>0</v>
      </c>
      <c r="U600" s="46">
        <v>3082800</v>
      </c>
      <c r="V600" s="46">
        <v>14</v>
      </c>
      <c r="W600" s="46">
        <v>0</v>
      </c>
      <c r="X600" s="46">
        <v>0</v>
      </c>
      <c r="Y600" s="48">
        <v>3433300</v>
      </c>
      <c r="Z600" s="46">
        <v>27</v>
      </c>
      <c r="AA600" s="46">
        <v>0</v>
      </c>
      <c r="AB600" s="46">
        <v>0</v>
      </c>
      <c r="AC600" s="46">
        <v>11981600</v>
      </c>
      <c r="AD600" s="46">
        <v>89</v>
      </c>
      <c r="AF600" s="47">
        <f t="shared" si="9"/>
        <v>8548300</v>
      </c>
    </row>
    <row r="601" spans="1:32" hidden="1" x14ac:dyDescent="0.3">
      <c r="A601" s="46" t="s">
        <v>614</v>
      </c>
      <c r="B601" s="46" t="str">
        <f>IFERROR(VLOOKUP($H601,매장구분!$B:$Z,2,0),"")</f>
        <v>리테일채널팀</v>
      </c>
      <c r="C601" s="46" t="str">
        <f>IFERROR(VLOOKUP($H601,매장구분!$B:$Z,3,0),"")</f>
        <v>RF</v>
      </c>
      <c r="D601" s="46" t="str">
        <f>IFERROR(VLOOKUP($H601,매장구분!$B:$Z,5,0),"")</f>
        <v>대리점</v>
      </c>
      <c r="E601" s="46" t="str">
        <f>IFERROR(VLOOKUP($H601,매장구분!$B:$Z,9,0),"")</f>
        <v>신제주(대-위)</v>
      </c>
      <c r="G601" s="46" t="s">
        <v>340</v>
      </c>
      <c r="H601" s="46" t="s">
        <v>341</v>
      </c>
      <c r="I601" s="46" t="s">
        <v>169</v>
      </c>
      <c r="J601" s="46" t="s">
        <v>79</v>
      </c>
      <c r="K601" s="46" t="s">
        <v>170</v>
      </c>
      <c r="L601" s="46" t="s">
        <v>171</v>
      </c>
      <c r="M601" s="46" t="s">
        <v>196</v>
      </c>
      <c r="N601" s="46" t="s">
        <v>197</v>
      </c>
      <c r="O601" s="46">
        <v>22229900</v>
      </c>
      <c r="P601" s="46">
        <v>188</v>
      </c>
      <c r="Q601" s="46">
        <v>0</v>
      </c>
      <c r="R601" s="46">
        <v>0</v>
      </c>
      <c r="S601" s="46">
        <v>0</v>
      </c>
      <c r="T601" s="46">
        <v>0</v>
      </c>
      <c r="U601" s="46">
        <v>109000</v>
      </c>
      <c r="V601" s="46">
        <v>1</v>
      </c>
      <c r="W601" s="46">
        <v>0</v>
      </c>
      <c r="X601" s="46">
        <v>0</v>
      </c>
      <c r="Y601" s="48">
        <v>18159200</v>
      </c>
      <c r="Z601" s="46">
        <v>226</v>
      </c>
      <c r="AA601" s="46">
        <v>0</v>
      </c>
      <c r="AB601" s="46">
        <v>0</v>
      </c>
      <c r="AC601" s="46">
        <v>40498100</v>
      </c>
      <c r="AD601" s="46">
        <v>415</v>
      </c>
      <c r="AF601" s="47">
        <f t="shared" si="9"/>
        <v>22338900</v>
      </c>
    </row>
    <row r="602" spans="1:32" hidden="1" x14ac:dyDescent="0.3">
      <c r="A602" s="46" t="s">
        <v>614</v>
      </c>
      <c r="B602" s="46" t="str">
        <f>IFERROR(VLOOKUP($H602,매장구분!$B:$Z,2,0),"")</f>
        <v>리테일채널팀</v>
      </c>
      <c r="C602" s="46" t="str">
        <f>IFERROR(VLOOKUP($H602,매장구분!$B:$Z,3,0),"")</f>
        <v>국내</v>
      </c>
      <c r="D602" s="46" t="str">
        <f>IFERROR(VLOOKUP($H602,매장구분!$B:$Z,5,0),"")</f>
        <v>대리점</v>
      </c>
      <c r="E602" s="46" t="str">
        <f>IFERROR(VLOOKUP($H602,매장구분!$B:$Z,9,0),"")</f>
        <v>안산중앙(대-위)</v>
      </c>
      <c r="G602" s="46" t="s">
        <v>307</v>
      </c>
      <c r="H602" s="46" t="s">
        <v>308</v>
      </c>
      <c r="I602" s="46" t="s">
        <v>169</v>
      </c>
      <c r="J602" s="46" t="s">
        <v>79</v>
      </c>
      <c r="K602" s="46" t="s">
        <v>170</v>
      </c>
      <c r="L602" s="46" t="s">
        <v>171</v>
      </c>
      <c r="M602" s="46" t="s">
        <v>196</v>
      </c>
      <c r="N602" s="46" t="s">
        <v>197</v>
      </c>
      <c r="O602" s="46">
        <v>22113541</v>
      </c>
      <c r="P602" s="46">
        <v>178</v>
      </c>
      <c r="Q602" s="46">
        <v>0</v>
      </c>
      <c r="R602" s="46">
        <v>0</v>
      </c>
      <c r="S602" s="46">
        <v>0</v>
      </c>
      <c r="T602" s="46">
        <v>0</v>
      </c>
      <c r="U602" s="46">
        <v>-634541</v>
      </c>
      <c r="V602" s="46">
        <v>-1</v>
      </c>
      <c r="W602" s="46">
        <v>0</v>
      </c>
      <c r="X602" s="46">
        <v>0</v>
      </c>
      <c r="Y602" s="48">
        <v>7495000</v>
      </c>
      <c r="Z602" s="46">
        <v>55</v>
      </c>
      <c r="AA602" s="46">
        <v>0</v>
      </c>
      <c r="AB602" s="46">
        <v>0</v>
      </c>
      <c r="AC602" s="46">
        <v>28974000</v>
      </c>
      <c r="AD602" s="46">
        <v>232</v>
      </c>
      <c r="AF602" s="47">
        <f t="shared" si="9"/>
        <v>21479000</v>
      </c>
    </row>
    <row r="603" spans="1:32" hidden="1" x14ac:dyDescent="0.3">
      <c r="A603" s="46" t="s">
        <v>614</v>
      </c>
      <c r="B603" s="46" t="str">
        <f>IFERROR(VLOOKUP($H603,매장구분!$B:$Z,2,0),"")</f>
        <v>리테일채널팀</v>
      </c>
      <c r="C603" s="46" t="str">
        <f>IFERROR(VLOOKUP($H603,매장구분!$B:$Z,3,0),"")</f>
        <v>국내</v>
      </c>
      <c r="D603" s="46" t="str">
        <f>IFERROR(VLOOKUP($H603,매장구분!$B:$Z,5,0),"")</f>
        <v>대리점</v>
      </c>
      <c r="E603" s="46" t="str">
        <f>IFERROR(VLOOKUP($H603,매장구분!$B:$Z,9,0),"")</f>
        <v>거제(대-위)</v>
      </c>
      <c r="G603" s="46" t="s">
        <v>502</v>
      </c>
      <c r="H603" s="46" t="s">
        <v>503</v>
      </c>
      <c r="I603" s="46" t="s">
        <v>169</v>
      </c>
      <c r="J603" s="46" t="s">
        <v>79</v>
      </c>
      <c r="K603" s="46" t="s">
        <v>170</v>
      </c>
      <c r="L603" s="46" t="s">
        <v>171</v>
      </c>
      <c r="M603" s="46" t="s">
        <v>196</v>
      </c>
      <c r="N603" s="46" t="s">
        <v>197</v>
      </c>
      <c r="O603" s="46">
        <v>13770742</v>
      </c>
      <c r="P603" s="46">
        <v>119</v>
      </c>
      <c r="Q603" s="46">
        <v>0</v>
      </c>
      <c r="R603" s="46">
        <v>0</v>
      </c>
      <c r="S603" s="46">
        <v>0</v>
      </c>
      <c r="T603" s="46">
        <v>0</v>
      </c>
      <c r="U603" s="46">
        <v>3189458</v>
      </c>
      <c r="V603" s="46">
        <v>17</v>
      </c>
      <c r="W603" s="46">
        <v>0</v>
      </c>
      <c r="X603" s="46">
        <v>0</v>
      </c>
      <c r="Y603" s="48">
        <v>0</v>
      </c>
      <c r="Z603" s="46">
        <v>0</v>
      </c>
      <c r="AA603" s="46">
        <v>0</v>
      </c>
      <c r="AB603" s="46">
        <v>0</v>
      </c>
      <c r="AC603" s="46">
        <v>16960200</v>
      </c>
      <c r="AD603" s="46">
        <v>136</v>
      </c>
      <c r="AF603" s="47">
        <f t="shared" si="9"/>
        <v>16960200</v>
      </c>
    </row>
    <row r="604" spans="1:32" hidden="1" x14ac:dyDescent="0.3">
      <c r="A604" s="46" t="s">
        <v>614</v>
      </c>
      <c r="B604" s="46" t="str">
        <f>IFERROR(VLOOKUP($H604,매장구분!$B:$Z,2,0),"")</f>
        <v>파트너채널팀</v>
      </c>
      <c r="C604" s="46" t="str">
        <f>IFERROR(VLOOKUP($H604,매장구분!$B:$Z,3,0),"")</f>
        <v>국내</v>
      </c>
      <c r="D604" s="46" t="str">
        <f>IFERROR(VLOOKUP($H604,매장구분!$B:$Z,5,0),"")</f>
        <v>백화점</v>
      </c>
      <c r="E604" s="46" t="str">
        <f>IFERROR(VLOOKUP($H604,매장구분!$B:$Z,9,0),"")</f>
        <v>롯데인천</v>
      </c>
      <c r="G604" s="46" t="s">
        <v>245</v>
      </c>
      <c r="H604" s="46" t="s">
        <v>246</v>
      </c>
      <c r="I604" s="46" t="s">
        <v>169</v>
      </c>
      <c r="J604" s="46" t="s">
        <v>175</v>
      </c>
      <c r="K604" s="46" t="s">
        <v>170</v>
      </c>
      <c r="L604" s="46" t="s">
        <v>171</v>
      </c>
      <c r="M604" s="46" t="s">
        <v>77</v>
      </c>
      <c r="N604" s="46" t="s">
        <v>172</v>
      </c>
      <c r="O604" s="46">
        <v>32510012</v>
      </c>
      <c r="P604" s="46">
        <v>274</v>
      </c>
      <c r="Q604" s="46">
        <v>36000</v>
      </c>
      <c r="R604" s="46">
        <v>1</v>
      </c>
      <c r="S604" s="46">
        <v>0</v>
      </c>
      <c r="T604" s="46">
        <v>0</v>
      </c>
      <c r="U604" s="46">
        <v>4421488</v>
      </c>
      <c r="V604" s="46">
        <v>19</v>
      </c>
      <c r="W604" s="46">
        <v>0</v>
      </c>
      <c r="X604" s="46">
        <v>0</v>
      </c>
      <c r="Y604" s="48">
        <v>8989000</v>
      </c>
      <c r="Z604" s="46">
        <v>61</v>
      </c>
      <c r="AA604" s="46">
        <v>0</v>
      </c>
      <c r="AB604" s="46">
        <v>0</v>
      </c>
      <c r="AC604" s="46">
        <v>45956500</v>
      </c>
      <c r="AD604" s="46">
        <v>355</v>
      </c>
      <c r="AF604" s="47">
        <f t="shared" si="9"/>
        <v>36967500</v>
      </c>
    </row>
    <row r="605" spans="1:32" hidden="1" x14ac:dyDescent="0.3">
      <c r="A605" s="46" t="s">
        <v>614</v>
      </c>
      <c r="B605" s="46" t="str">
        <f>IFERROR(VLOOKUP($H605,매장구분!$B:$Z,2,0),"")</f>
        <v>리테일채널팀</v>
      </c>
      <c r="C605" s="46" t="str">
        <f>IFERROR(VLOOKUP($H605,매장구분!$B:$Z,3,0),"")</f>
        <v>국내</v>
      </c>
      <c r="D605" s="46" t="str">
        <f>IFERROR(VLOOKUP($H605,매장구분!$B:$Z,5,0),"")</f>
        <v>대리점</v>
      </c>
      <c r="E605" s="46" t="str">
        <f>IFERROR(VLOOKUP($H605,매장구분!$B:$Z,9,0),"")</f>
        <v>원주(대-위)</v>
      </c>
      <c r="G605" s="46" t="s">
        <v>224</v>
      </c>
      <c r="H605" s="46" t="s">
        <v>225</v>
      </c>
      <c r="I605" s="46" t="s">
        <v>169</v>
      </c>
      <c r="J605" s="46" t="s">
        <v>79</v>
      </c>
      <c r="K605" s="46" t="s">
        <v>170</v>
      </c>
      <c r="L605" s="46" t="s">
        <v>171</v>
      </c>
      <c r="M605" s="46" t="s">
        <v>196</v>
      </c>
      <c r="N605" s="46" t="s">
        <v>197</v>
      </c>
      <c r="O605" s="46">
        <v>38272709</v>
      </c>
      <c r="P605" s="46">
        <v>283</v>
      </c>
      <c r="Q605" s="46">
        <v>0</v>
      </c>
      <c r="R605" s="46">
        <v>0</v>
      </c>
      <c r="S605" s="46">
        <v>0</v>
      </c>
      <c r="T605" s="46">
        <v>0</v>
      </c>
      <c r="U605" s="46">
        <v>6220391</v>
      </c>
      <c r="V605" s="46">
        <v>23</v>
      </c>
      <c r="W605" s="46">
        <v>0</v>
      </c>
      <c r="X605" s="46">
        <v>0</v>
      </c>
      <c r="Y605" s="48">
        <v>0</v>
      </c>
      <c r="Z605" s="46">
        <v>0</v>
      </c>
      <c r="AA605" s="46">
        <v>0</v>
      </c>
      <c r="AB605" s="46">
        <v>0</v>
      </c>
      <c r="AC605" s="46">
        <v>44493100</v>
      </c>
      <c r="AD605" s="46">
        <v>306</v>
      </c>
      <c r="AF605" s="47">
        <f t="shared" si="9"/>
        <v>44493100</v>
      </c>
    </row>
    <row r="606" spans="1:32" hidden="1" x14ac:dyDescent="0.3">
      <c r="A606" s="46" t="s">
        <v>614</v>
      </c>
      <c r="B606" s="46" t="str">
        <f>IFERROR(VLOOKUP($H606,매장구분!$B:$Z,2,0),"")</f>
        <v>파트너채널팀</v>
      </c>
      <c r="C606" s="46" t="str">
        <f>IFERROR(VLOOKUP($H606,매장구분!$B:$Z,3,0),"")</f>
        <v>국내</v>
      </c>
      <c r="D606" s="46" t="str">
        <f>IFERROR(VLOOKUP($H606,매장구분!$B:$Z,5,0),"")</f>
        <v>백화점</v>
      </c>
      <c r="E606" s="46" t="str">
        <f>IFERROR(VLOOKUP($H606,매장구분!$B:$Z,9,0),"")</f>
        <v>롯데평촌</v>
      </c>
      <c r="G606" s="46" t="s">
        <v>412</v>
      </c>
      <c r="H606" s="46" t="s">
        <v>413</v>
      </c>
      <c r="I606" s="46" t="s">
        <v>169</v>
      </c>
      <c r="J606" s="46" t="s">
        <v>175</v>
      </c>
      <c r="K606" s="46" t="s">
        <v>170</v>
      </c>
      <c r="L606" s="46" t="s">
        <v>171</v>
      </c>
      <c r="M606" s="46" t="s">
        <v>77</v>
      </c>
      <c r="N606" s="46" t="s">
        <v>172</v>
      </c>
      <c r="O606" s="46">
        <v>18022997</v>
      </c>
      <c r="P606" s="46">
        <v>175</v>
      </c>
      <c r="Q606" s="46">
        <v>0</v>
      </c>
      <c r="R606" s="46">
        <v>0</v>
      </c>
      <c r="S606" s="46">
        <v>0</v>
      </c>
      <c r="T606" s="46">
        <v>0</v>
      </c>
      <c r="U606" s="46">
        <v>2717403</v>
      </c>
      <c r="V606" s="46">
        <v>19</v>
      </c>
      <c r="W606" s="46">
        <v>0</v>
      </c>
      <c r="X606" s="46">
        <v>0</v>
      </c>
      <c r="Y606" s="48">
        <v>23085200</v>
      </c>
      <c r="Z606" s="46">
        <v>167</v>
      </c>
      <c r="AA606" s="46">
        <v>0</v>
      </c>
      <c r="AB606" s="46">
        <v>0</v>
      </c>
      <c r="AC606" s="46">
        <v>43825600</v>
      </c>
      <c r="AD606" s="46">
        <v>361</v>
      </c>
      <c r="AF606" s="47">
        <f t="shared" si="9"/>
        <v>20740400</v>
      </c>
    </row>
    <row r="607" spans="1:32" hidden="1" x14ac:dyDescent="0.3">
      <c r="A607" s="46" t="s">
        <v>614</v>
      </c>
      <c r="B607" s="46" t="str">
        <f>IFERROR(VLOOKUP($H607,매장구분!$B:$Z,2,0),"")</f>
        <v>파트너채널팀</v>
      </c>
      <c r="C607" s="46" t="str">
        <f>IFERROR(VLOOKUP($H607,매장구분!$B:$Z,3,0),"")</f>
        <v>국내</v>
      </c>
      <c r="D607" s="46" t="str">
        <f>IFERROR(VLOOKUP($H607,매장구분!$B:$Z,5,0),"")</f>
        <v>백화점</v>
      </c>
      <c r="E607" s="46" t="str">
        <f>IFERROR(VLOOKUP($H607,매장구분!$B:$Z,9,0),"")</f>
        <v>엔터식스왕십리</v>
      </c>
      <c r="G607" s="46" t="s">
        <v>444</v>
      </c>
      <c r="H607" s="46" t="s">
        <v>445</v>
      </c>
      <c r="I607" s="46" t="s">
        <v>169</v>
      </c>
      <c r="J607" s="46" t="s">
        <v>175</v>
      </c>
      <c r="K607" s="46" t="s">
        <v>170</v>
      </c>
      <c r="L607" s="46" t="s">
        <v>171</v>
      </c>
      <c r="M607" s="46" t="s">
        <v>77</v>
      </c>
      <c r="N607" s="46" t="s">
        <v>238</v>
      </c>
      <c r="O607" s="46">
        <v>7455000</v>
      </c>
      <c r="P607" s="46">
        <v>66</v>
      </c>
      <c r="Q607" s="46">
        <v>0</v>
      </c>
      <c r="R607" s="46">
        <v>0</v>
      </c>
      <c r="S607" s="46">
        <v>0</v>
      </c>
      <c r="T607" s="46">
        <v>0</v>
      </c>
      <c r="U607" s="46">
        <v>3974000</v>
      </c>
      <c r="V607" s="46">
        <v>26</v>
      </c>
      <c r="W607" s="46">
        <v>0</v>
      </c>
      <c r="X607" s="46">
        <v>0</v>
      </c>
      <c r="Y607" s="48">
        <v>0</v>
      </c>
      <c r="Z607" s="46">
        <v>0</v>
      </c>
      <c r="AA607" s="46">
        <v>0</v>
      </c>
      <c r="AB607" s="46">
        <v>0</v>
      </c>
      <c r="AC607" s="46">
        <v>11429000</v>
      </c>
      <c r="AD607" s="46">
        <v>92</v>
      </c>
      <c r="AF607" s="47">
        <f t="shared" si="9"/>
        <v>11429000</v>
      </c>
    </row>
    <row r="608" spans="1:32" hidden="1" x14ac:dyDescent="0.3">
      <c r="A608" s="46" t="s">
        <v>614</v>
      </c>
      <c r="B608" s="46" t="str">
        <f>IFERROR(VLOOKUP($H608,매장구분!$B:$Z,2,0),"")</f>
        <v>리테일채널팀</v>
      </c>
      <c r="C608" s="46" t="str">
        <f>IFERROR(VLOOKUP($H608,매장구분!$B:$Z,3,0),"")</f>
        <v>국내</v>
      </c>
      <c r="D608" s="46" t="str">
        <f>IFERROR(VLOOKUP($H608,매장구분!$B:$Z,5,0),"")</f>
        <v>대리점</v>
      </c>
      <c r="E608" s="46" t="str">
        <f>IFERROR(VLOOKUP($H608,매장구분!$B:$Z,9,0),"")</f>
        <v>오산(대-위)</v>
      </c>
      <c r="G608" s="46" t="s">
        <v>226</v>
      </c>
      <c r="H608" s="46" t="s">
        <v>227</v>
      </c>
      <c r="I608" s="46" t="s">
        <v>169</v>
      </c>
      <c r="J608" s="46" t="s">
        <v>79</v>
      </c>
      <c r="K608" s="46" t="s">
        <v>170</v>
      </c>
      <c r="L608" s="46" t="s">
        <v>171</v>
      </c>
      <c r="M608" s="46" t="s">
        <v>196</v>
      </c>
      <c r="N608" s="46" t="s">
        <v>197</v>
      </c>
      <c r="O608" s="46">
        <v>14906663</v>
      </c>
      <c r="P608" s="46">
        <v>118</v>
      </c>
      <c r="Q608" s="46">
        <v>0</v>
      </c>
      <c r="R608" s="46">
        <v>0</v>
      </c>
      <c r="S608" s="46">
        <v>0</v>
      </c>
      <c r="T608" s="46">
        <v>0</v>
      </c>
      <c r="U608" s="46">
        <v>1666641</v>
      </c>
      <c r="V608" s="46">
        <v>10</v>
      </c>
      <c r="W608" s="46">
        <v>0</v>
      </c>
      <c r="X608" s="46">
        <v>0</v>
      </c>
      <c r="Y608" s="48">
        <v>0</v>
      </c>
      <c r="Z608" s="46">
        <v>0</v>
      </c>
      <c r="AA608" s="46">
        <v>0</v>
      </c>
      <c r="AB608" s="46">
        <v>0</v>
      </c>
      <c r="AC608" s="46">
        <v>16573304</v>
      </c>
      <c r="AD608" s="46">
        <v>128</v>
      </c>
      <c r="AF608" s="47">
        <f t="shared" si="9"/>
        <v>16573304</v>
      </c>
    </row>
    <row r="609" spans="1:32" hidden="1" x14ac:dyDescent="0.3">
      <c r="A609" s="46" t="s">
        <v>614</v>
      </c>
      <c r="B609" s="46" t="str">
        <f>IFERROR(VLOOKUP($H609,매장구분!$B:$Z,2,0),"")</f>
        <v>리테일채널팀</v>
      </c>
      <c r="C609" s="46" t="str">
        <f>IFERROR(VLOOKUP($H609,매장구분!$B:$Z,3,0),"")</f>
        <v>국내</v>
      </c>
      <c r="D609" s="46" t="str">
        <f>IFERROR(VLOOKUP($H609,매장구분!$B:$Z,5,0),"")</f>
        <v>대리점</v>
      </c>
      <c r="E609" s="46" t="str">
        <f>IFERROR(VLOOKUP($H609,매장구분!$B:$Z,9,0),"")</f>
        <v>인천(대-위)</v>
      </c>
      <c r="G609" s="46" t="s">
        <v>215</v>
      </c>
      <c r="H609" s="46" t="s">
        <v>216</v>
      </c>
      <c r="I609" s="46" t="s">
        <v>169</v>
      </c>
      <c r="J609" s="46" t="s">
        <v>79</v>
      </c>
      <c r="K609" s="46" t="s">
        <v>170</v>
      </c>
      <c r="L609" s="46" t="s">
        <v>171</v>
      </c>
      <c r="M609" s="46" t="s">
        <v>196</v>
      </c>
      <c r="N609" s="46" t="s">
        <v>197</v>
      </c>
      <c r="O609" s="46">
        <v>9821400</v>
      </c>
      <c r="P609" s="46">
        <v>76</v>
      </c>
      <c r="Q609" s="46">
        <v>0</v>
      </c>
      <c r="R609" s="46">
        <v>0</v>
      </c>
      <c r="S609" s="46">
        <v>0</v>
      </c>
      <c r="T609" s="46">
        <v>0</v>
      </c>
      <c r="U609" s="46">
        <v>1445000</v>
      </c>
      <c r="V609" s="46">
        <v>5</v>
      </c>
      <c r="W609" s="46">
        <v>0</v>
      </c>
      <c r="X609" s="46">
        <v>0</v>
      </c>
      <c r="Y609" s="48">
        <v>0</v>
      </c>
      <c r="Z609" s="46">
        <v>0</v>
      </c>
      <c r="AA609" s="46">
        <v>0</v>
      </c>
      <c r="AB609" s="46">
        <v>0</v>
      </c>
      <c r="AC609" s="46">
        <v>11266400</v>
      </c>
      <c r="AD609" s="46">
        <v>81</v>
      </c>
      <c r="AF609" s="47">
        <f t="shared" si="9"/>
        <v>11266400</v>
      </c>
    </row>
    <row r="610" spans="1:32" hidden="1" x14ac:dyDescent="0.3">
      <c r="A610" s="46" t="s">
        <v>614</v>
      </c>
      <c r="B610" s="46" t="str">
        <f>IFERROR(VLOOKUP($H610,매장구분!$B:$Z,2,0),"")</f>
        <v>리테일채널팀</v>
      </c>
      <c r="C610" s="46" t="str">
        <f>IFERROR(VLOOKUP($H610,매장구분!$B:$Z,3,0),"")</f>
        <v>국내</v>
      </c>
      <c r="D610" s="46" t="str">
        <f>IFERROR(VLOOKUP($H610,매장구분!$B:$Z,5,0),"")</f>
        <v>대리점</v>
      </c>
      <c r="E610" s="46" t="str">
        <f>IFERROR(VLOOKUP($H610,매장구분!$B:$Z,9,0),"")</f>
        <v>상주(대-위)</v>
      </c>
      <c r="G610" s="46" t="s">
        <v>388</v>
      </c>
      <c r="H610" s="46" t="s">
        <v>389</v>
      </c>
      <c r="I610" s="46" t="s">
        <v>169</v>
      </c>
      <c r="J610" s="46" t="s">
        <v>79</v>
      </c>
      <c r="K610" s="46" t="s">
        <v>170</v>
      </c>
      <c r="L610" s="46" t="s">
        <v>171</v>
      </c>
      <c r="M610" s="46" t="s">
        <v>196</v>
      </c>
      <c r="N610" s="46" t="s">
        <v>197</v>
      </c>
      <c r="O610" s="46">
        <v>5140435</v>
      </c>
      <c r="P610" s="46">
        <v>51</v>
      </c>
      <c r="Q610" s="46">
        <v>0</v>
      </c>
      <c r="R610" s="46">
        <v>0</v>
      </c>
      <c r="S610" s="46">
        <v>0</v>
      </c>
      <c r="T610" s="46">
        <v>0</v>
      </c>
      <c r="U610" s="46">
        <v>1671400</v>
      </c>
      <c r="V610" s="46">
        <v>15</v>
      </c>
      <c r="W610" s="46">
        <v>0</v>
      </c>
      <c r="X610" s="46">
        <v>0</v>
      </c>
      <c r="Y610" s="48">
        <v>0</v>
      </c>
      <c r="Z610" s="46">
        <v>0</v>
      </c>
      <c r="AA610" s="46">
        <v>0</v>
      </c>
      <c r="AB610" s="46">
        <v>0</v>
      </c>
      <c r="AC610" s="46">
        <v>6811835</v>
      </c>
      <c r="AD610" s="46">
        <v>66</v>
      </c>
      <c r="AF610" s="47">
        <f t="shared" si="9"/>
        <v>6811835</v>
      </c>
    </row>
    <row r="611" spans="1:32" hidden="1" x14ac:dyDescent="0.3">
      <c r="A611" s="46" t="s">
        <v>614</v>
      </c>
      <c r="B611" s="46" t="str">
        <f>IFERROR(VLOOKUP($H611,매장구분!$B:$Z,2,0),"")</f>
        <v>파트너채널팀</v>
      </c>
      <c r="C611" s="46" t="str">
        <f>IFERROR(VLOOKUP($H611,매장구분!$B:$Z,3,0),"")</f>
        <v>국내</v>
      </c>
      <c r="D611" s="46" t="str">
        <f>IFERROR(VLOOKUP($H611,매장구분!$B:$Z,5,0),"")</f>
        <v>백화점</v>
      </c>
      <c r="E611" s="46" t="str">
        <f>IFERROR(VLOOKUP($H611,매장구분!$B:$Z,9,0),"")</f>
        <v>현대디큐브시티</v>
      </c>
      <c r="G611" s="46" t="s">
        <v>584</v>
      </c>
      <c r="H611" s="46" t="s">
        <v>585</v>
      </c>
      <c r="I611" s="46" t="s">
        <v>169</v>
      </c>
      <c r="J611" s="46" t="s">
        <v>175</v>
      </c>
      <c r="K611" s="46" t="s">
        <v>170</v>
      </c>
      <c r="L611" s="46" t="s">
        <v>171</v>
      </c>
      <c r="M611" s="46" t="s">
        <v>77</v>
      </c>
      <c r="N611" s="46" t="s">
        <v>172</v>
      </c>
      <c r="O611" s="46">
        <v>7960000</v>
      </c>
      <c r="P611" s="46">
        <v>68</v>
      </c>
      <c r="Q611" s="46">
        <v>139000</v>
      </c>
      <c r="R611" s="46">
        <v>1</v>
      </c>
      <c r="S611" s="46">
        <v>0</v>
      </c>
      <c r="T611" s="46">
        <v>0</v>
      </c>
      <c r="U611" s="46">
        <v>449000</v>
      </c>
      <c r="V611" s="46">
        <v>1</v>
      </c>
      <c r="W611" s="46">
        <v>0</v>
      </c>
      <c r="X611" s="46">
        <v>0</v>
      </c>
      <c r="Y611" s="48">
        <v>22506000</v>
      </c>
      <c r="Z611" s="46">
        <v>288</v>
      </c>
      <c r="AA611" s="46">
        <v>0</v>
      </c>
      <c r="AB611" s="46">
        <v>0</v>
      </c>
      <c r="AC611" s="46">
        <v>31054000</v>
      </c>
      <c r="AD611" s="46">
        <v>358</v>
      </c>
      <c r="AF611" s="47">
        <f t="shared" si="9"/>
        <v>8548000</v>
      </c>
    </row>
    <row r="612" spans="1:32" hidden="1" x14ac:dyDescent="0.3">
      <c r="A612" s="46" t="s">
        <v>614</v>
      </c>
      <c r="B612" s="46" t="str">
        <f>IFERROR(VLOOKUP($H612,매장구분!$B:$Z,2,0),"")</f>
        <v>리테일채널팀</v>
      </c>
      <c r="C612" s="46" t="str">
        <f>IFERROR(VLOOKUP($H612,매장구분!$B:$Z,3,0),"")</f>
        <v>국내</v>
      </c>
      <c r="D612" s="46" t="str">
        <f>IFERROR(VLOOKUP($H612,매장구분!$B:$Z,5,0),"")</f>
        <v>상설(위탁)</v>
      </c>
      <c r="E612" s="46" t="str">
        <f>IFERROR(VLOOKUP($H612,매장구분!$B:$Z,9,0),"")</f>
        <v>롯데아울렛동부산(상-위)</v>
      </c>
      <c r="G612" s="46" t="s">
        <v>366</v>
      </c>
      <c r="H612" s="46" t="s">
        <v>367</v>
      </c>
      <c r="I612" s="46" t="s">
        <v>169</v>
      </c>
      <c r="J612" s="46" t="s">
        <v>79</v>
      </c>
      <c r="K612" s="46" t="s">
        <v>170</v>
      </c>
      <c r="L612" s="46" t="s">
        <v>171</v>
      </c>
      <c r="M612" s="46" t="s">
        <v>219</v>
      </c>
      <c r="N612" s="46" t="s">
        <v>219</v>
      </c>
      <c r="O612" s="46">
        <v>4104000</v>
      </c>
      <c r="P612" s="46">
        <v>114</v>
      </c>
      <c r="Q612" s="46">
        <v>36000</v>
      </c>
      <c r="R612" s="46">
        <v>1</v>
      </c>
      <c r="S612" s="46">
        <v>0</v>
      </c>
      <c r="T612" s="46">
        <v>0</v>
      </c>
      <c r="U612" s="46">
        <v>0</v>
      </c>
      <c r="V612" s="46">
        <v>0</v>
      </c>
      <c r="W612" s="46">
        <v>0</v>
      </c>
      <c r="X612" s="46">
        <v>0</v>
      </c>
      <c r="Y612" s="48">
        <v>0</v>
      </c>
      <c r="Z612" s="46">
        <v>0</v>
      </c>
      <c r="AA612" s="46">
        <v>0</v>
      </c>
      <c r="AB612" s="46">
        <v>0</v>
      </c>
      <c r="AC612" s="46">
        <v>4140000</v>
      </c>
      <c r="AD612" s="46">
        <v>115</v>
      </c>
      <c r="AF612" s="47">
        <f t="shared" si="9"/>
        <v>4140000</v>
      </c>
    </row>
    <row r="613" spans="1:32" hidden="1" x14ac:dyDescent="0.3">
      <c r="A613" s="46" t="s">
        <v>614</v>
      </c>
      <c r="B613" s="46" t="str">
        <f>IFERROR(VLOOKUP($H613,매장구분!$B:$Z,2,0),"")</f>
        <v>리테일채널팀</v>
      </c>
      <c r="C613" s="46" t="str">
        <f>IFERROR(VLOOKUP($H613,매장구분!$B:$Z,3,0),"")</f>
        <v>국내</v>
      </c>
      <c r="D613" s="46" t="str">
        <f>IFERROR(VLOOKUP($H613,매장구분!$B:$Z,5,0),"")</f>
        <v>상설(위탁)</v>
      </c>
      <c r="E613" s="46" t="str">
        <f>IFERROR(VLOOKUP($H613,매장구분!$B:$Z,9,0),"")</f>
        <v>LF스퀘어양주(상-위)</v>
      </c>
      <c r="G613" s="46" t="s">
        <v>283</v>
      </c>
      <c r="H613" s="46" t="s">
        <v>284</v>
      </c>
      <c r="I613" s="46" t="s">
        <v>169</v>
      </c>
      <c r="J613" s="46" t="s">
        <v>79</v>
      </c>
      <c r="K613" s="46" t="s">
        <v>170</v>
      </c>
      <c r="L613" s="46" t="s">
        <v>171</v>
      </c>
      <c r="M613" s="46" t="s">
        <v>77</v>
      </c>
      <c r="N613" s="46" t="s">
        <v>172</v>
      </c>
      <c r="O613" s="46">
        <v>1188000</v>
      </c>
      <c r="P613" s="46">
        <v>33</v>
      </c>
      <c r="Q613" s="46">
        <v>0</v>
      </c>
      <c r="R613" s="46">
        <v>0</v>
      </c>
      <c r="S613" s="46">
        <v>0</v>
      </c>
      <c r="T613" s="46">
        <v>0</v>
      </c>
      <c r="U613" s="46">
        <v>0</v>
      </c>
      <c r="V613" s="46">
        <v>0</v>
      </c>
      <c r="W613" s="46">
        <v>0</v>
      </c>
      <c r="X613" s="46">
        <v>0</v>
      </c>
      <c r="Y613" s="48">
        <v>0</v>
      </c>
      <c r="Z613" s="46">
        <v>0</v>
      </c>
      <c r="AA613" s="46">
        <v>0</v>
      </c>
      <c r="AB613" s="46">
        <v>0</v>
      </c>
      <c r="AC613" s="46">
        <v>1188000</v>
      </c>
      <c r="AD613" s="46">
        <v>33</v>
      </c>
      <c r="AF613" s="47">
        <f t="shared" si="9"/>
        <v>1188000</v>
      </c>
    </row>
    <row r="614" spans="1:32" hidden="1" x14ac:dyDescent="0.3">
      <c r="A614" s="46" t="s">
        <v>614</v>
      </c>
      <c r="B614" s="46" t="str">
        <f>IFERROR(VLOOKUP($H614,매장구분!$B:$Z,2,0),"")</f>
        <v>리테일채널팀</v>
      </c>
      <c r="C614" s="46" t="str">
        <f>IFERROR(VLOOKUP($H614,매장구분!$B:$Z,3,0),"")</f>
        <v>국내</v>
      </c>
      <c r="D614" s="46" t="str">
        <f>IFERROR(VLOOKUP($H614,매장구분!$B:$Z,5,0),"")</f>
        <v>대리점</v>
      </c>
      <c r="E614" s="46" t="str">
        <f>IFERROR(VLOOKUP($H614,매장구분!$B:$Z,9,0),"")</f>
        <v>화성봉담(대-위)</v>
      </c>
      <c r="G614" s="46" t="s">
        <v>273</v>
      </c>
      <c r="H614" s="46" t="s">
        <v>274</v>
      </c>
      <c r="I614" s="46" t="s">
        <v>169</v>
      </c>
      <c r="J614" s="46" t="s">
        <v>79</v>
      </c>
      <c r="K614" s="46" t="s">
        <v>170</v>
      </c>
      <c r="L614" s="46" t="s">
        <v>171</v>
      </c>
      <c r="M614" s="46" t="s">
        <v>196</v>
      </c>
      <c r="N614" s="46" t="s">
        <v>197</v>
      </c>
      <c r="O614" s="46">
        <v>12703057</v>
      </c>
      <c r="P614" s="46">
        <v>96</v>
      </c>
      <c r="Q614" s="46">
        <v>0</v>
      </c>
      <c r="R614" s="46">
        <v>0</v>
      </c>
      <c r="S614" s="46">
        <v>0</v>
      </c>
      <c r="T614" s="46">
        <v>0</v>
      </c>
      <c r="U614" s="46">
        <v>1995342</v>
      </c>
      <c r="V614" s="46">
        <v>9</v>
      </c>
      <c r="W614" s="46">
        <v>0</v>
      </c>
      <c r="X614" s="46">
        <v>0</v>
      </c>
      <c r="Y614" s="48">
        <v>9033200</v>
      </c>
      <c r="Z614" s="46">
        <v>86</v>
      </c>
      <c r="AA614" s="46">
        <v>0</v>
      </c>
      <c r="AB614" s="46">
        <v>0</v>
      </c>
      <c r="AC614" s="46">
        <v>23731599</v>
      </c>
      <c r="AD614" s="46">
        <v>191</v>
      </c>
      <c r="AF614" s="47">
        <f t="shared" si="9"/>
        <v>14698399</v>
      </c>
    </row>
    <row r="615" spans="1:32" hidden="1" x14ac:dyDescent="0.3">
      <c r="A615" s="46" t="s">
        <v>614</v>
      </c>
      <c r="B615" s="46" t="str">
        <f>IFERROR(VLOOKUP($H615,매장구분!$B:$Z,2,0),"")</f>
        <v>리테일채널팀</v>
      </c>
      <c r="C615" s="46" t="str">
        <f>IFERROR(VLOOKUP($H615,매장구분!$B:$Z,3,0),"")</f>
        <v>국내</v>
      </c>
      <c r="D615" s="46" t="str">
        <f>IFERROR(VLOOKUP($H615,매장구분!$B:$Z,5,0),"")</f>
        <v>대리점</v>
      </c>
      <c r="E615" s="46" t="str">
        <f>IFERROR(VLOOKUP($H615,매장구분!$B:$Z,9,0),"")</f>
        <v>안산한대(대-위)</v>
      </c>
      <c r="G615" s="46" t="s">
        <v>295</v>
      </c>
      <c r="H615" s="46" t="s">
        <v>296</v>
      </c>
      <c r="I615" s="46" t="s">
        <v>169</v>
      </c>
      <c r="J615" s="46" t="s">
        <v>79</v>
      </c>
      <c r="K615" s="46" t="s">
        <v>170</v>
      </c>
      <c r="L615" s="46" t="s">
        <v>171</v>
      </c>
      <c r="M615" s="46" t="s">
        <v>196</v>
      </c>
      <c r="N615" s="46" t="s">
        <v>197</v>
      </c>
      <c r="O615" s="46">
        <v>19193575</v>
      </c>
      <c r="P615" s="46">
        <v>149</v>
      </c>
      <c r="Q615" s="46">
        <v>0</v>
      </c>
      <c r="R615" s="46">
        <v>0</v>
      </c>
      <c r="S615" s="46">
        <v>0</v>
      </c>
      <c r="T615" s="46">
        <v>0</v>
      </c>
      <c r="U615" s="46">
        <v>2366000</v>
      </c>
      <c r="V615" s="46">
        <v>14</v>
      </c>
      <c r="W615" s="46">
        <v>0</v>
      </c>
      <c r="X615" s="46">
        <v>0</v>
      </c>
      <c r="Y615" s="48">
        <v>0</v>
      </c>
      <c r="Z615" s="46">
        <v>0</v>
      </c>
      <c r="AA615" s="46">
        <v>0</v>
      </c>
      <c r="AB615" s="46">
        <v>0</v>
      </c>
      <c r="AC615" s="46">
        <v>21559575</v>
      </c>
      <c r="AD615" s="46">
        <v>163</v>
      </c>
      <c r="AF615" s="47">
        <f t="shared" si="9"/>
        <v>21559575</v>
      </c>
    </row>
    <row r="616" spans="1:32" hidden="1" x14ac:dyDescent="0.3">
      <c r="A616" s="46" t="s">
        <v>614</v>
      </c>
      <c r="B616" s="46" t="str">
        <f>IFERROR(VLOOKUP($H616,매장구분!$B:$Z,2,0),"")</f>
        <v>리테일채널팀</v>
      </c>
      <c r="C616" s="46" t="str">
        <f>IFERROR(VLOOKUP($H616,매장구분!$B:$Z,3,0),"")</f>
        <v>국내</v>
      </c>
      <c r="D616" s="46" t="str">
        <f>IFERROR(VLOOKUP($H616,매장구분!$B:$Z,5,0),"")</f>
        <v>직영점</v>
      </c>
      <c r="E616" s="46" t="str">
        <f>IFERROR(VLOOKUP($H616,매장구분!$B:$Z,9,0),"")</f>
        <v>강남사옥(직)</v>
      </c>
      <c r="G616" s="46" t="s">
        <v>482</v>
      </c>
      <c r="H616" s="46" t="s">
        <v>483</v>
      </c>
      <c r="I616" s="46" t="s">
        <v>169</v>
      </c>
      <c r="J616" s="46" t="s">
        <v>180</v>
      </c>
      <c r="K616" s="46" t="s">
        <v>170</v>
      </c>
      <c r="L616" s="46" t="s">
        <v>171</v>
      </c>
      <c r="M616" s="46" t="s">
        <v>196</v>
      </c>
      <c r="N616" s="46" t="s">
        <v>206</v>
      </c>
      <c r="O616" s="46">
        <v>36415240</v>
      </c>
      <c r="P616" s="46">
        <v>352</v>
      </c>
      <c r="Q616" s="46">
        <v>0</v>
      </c>
      <c r="R616" s="46">
        <v>0</v>
      </c>
      <c r="S616" s="46">
        <v>0</v>
      </c>
      <c r="T616" s="46">
        <v>0</v>
      </c>
      <c r="U616" s="46">
        <v>534460</v>
      </c>
      <c r="V616" s="46">
        <v>3</v>
      </c>
      <c r="W616" s="46">
        <v>0</v>
      </c>
      <c r="X616" s="46">
        <v>0</v>
      </c>
      <c r="Y616" s="48">
        <v>0</v>
      </c>
      <c r="Z616" s="46">
        <v>0</v>
      </c>
      <c r="AA616" s="46">
        <v>0</v>
      </c>
      <c r="AB616" s="46">
        <v>0</v>
      </c>
      <c r="AC616" s="46">
        <v>36949700</v>
      </c>
      <c r="AD616" s="46">
        <v>355</v>
      </c>
      <c r="AF616" s="47">
        <f t="shared" si="9"/>
        <v>36949700</v>
      </c>
    </row>
    <row r="617" spans="1:32" hidden="1" x14ac:dyDescent="0.3">
      <c r="A617" s="46" t="s">
        <v>614</v>
      </c>
      <c r="B617" s="46" t="str">
        <f>IFERROR(VLOOKUP($H617,매장구분!$B:$Z,2,0),"")</f>
        <v>파트너채널팀</v>
      </c>
      <c r="C617" s="46" t="str">
        <f>IFERROR(VLOOKUP($H617,매장구분!$B:$Z,3,0),"")</f>
        <v>국내</v>
      </c>
      <c r="D617" s="46" t="str">
        <f>IFERROR(VLOOKUP($H617,매장구분!$B:$Z,5,0),"")</f>
        <v>백화점</v>
      </c>
      <c r="E617" s="46" t="str">
        <f>IFERROR(VLOOKUP($H617,매장구분!$B:$Z,9,0),"")</f>
        <v>롯데노원</v>
      </c>
      <c r="G617" s="46" t="s">
        <v>472</v>
      </c>
      <c r="H617" s="46" t="s">
        <v>473</v>
      </c>
      <c r="I617" s="46" t="s">
        <v>169</v>
      </c>
      <c r="J617" s="46" t="s">
        <v>175</v>
      </c>
      <c r="K617" s="46" t="s">
        <v>170</v>
      </c>
      <c r="L617" s="46" t="s">
        <v>171</v>
      </c>
      <c r="M617" s="46" t="s">
        <v>77</v>
      </c>
      <c r="N617" s="46" t="s">
        <v>172</v>
      </c>
      <c r="O617" s="46">
        <v>31908475</v>
      </c>
      <c r="P617" s="46">
        <v>256</v>
      </c>
      <c r="Q617" s="46">
        <v>72000</v>
      </c>
      <c r="R617" s="46">
        <v>2</v>
      </c>
      <c r="S617" s="46">
        <v>0</v>
      </c>
      <c r="T617" s="46">
        <v>0</v>
      </c>
      <c r="U617" s="46">
        <v>4941000</v>
      </c>
      <c r="V617" s="46">
        <v>32</v>
      </c>
      <c r="W617" s="46">
        <v>0</v>
      </c>
      <c r="X617" s="46">
        <v>0</v>
      </c>
      <c r="Y617" s="48">
        <v>24725</v>
      </c>
      <c r="Z617" s="46">
        <v>1</v>
      </c>
      <c r="AA617" s="46">
        <v>0</v>
      </c>
      <c r="AB617" s="46">
        <v>0</v>
      </c>
      <c r="AC617" s="46">
        <v>36946200</v>
      </c>
      <c r="AD617" s="46">
        <v>291</v>
      </c>
      <c r="AF617" s="47">
        <f t="shared" si="9"/>
        <v>36921475</v>
      </c>
    </row>
    <row r="618" spans="1:32" hidden="1" x14ac:dyDescent="0.3">
      <c r="A618" s="46" t="s">
        <v>614</v>
      </c>
      <c r="B618" s="46" t="str">
        <f>IFERROR(VLOOKUP($H618,매장구분!$B:$Z,2,0),"")</f>
        <v>파트너채널팀</v>
      </c>
      <c r="C618" s="46" t="str">
        <f>IFERROR(VLOOKUP($H618,매장구분!$B:$Z,3,0),"")</f>
        <v>국내</v>
      </c>
      <c r="D618" s="46" t="str">
        <f>IFERROR(VLOOKUP($H618,매장구분!$B:$Z,5,0),"")</f>
        <v>백화점</v>
      </c>
      <c r="E618" s="46" t="str">
        <f>IFERROR(VLOOKUP($H618,매장구분!$B:$Z,9,0),"")</f>
        <v>AK원주</v>
      </c>
      <c r="G618" s="46" t="s">
        <v>396</v>
      </c>
      <c r="H618" s="46" t="s">
        <v>397</v>
      </c>
      <c r="I618" s="46" t="s">
        <v>169</v>
      </c>
      <c r="J618" s="46" t="s">
        <v>175</v>
      </c>
      <c r="K618" s="46" t="s">
        <v>170</v>
      </c>
      <c r="L618" s="46" t="s">
        <v>171</v>
      </c>
      <c r="M618" s="46" t="s">
        <v>77</v>
      </c>
      <c r="N618" s="46" t="s">
        <v>172</v>
      </c>
      <c r="O618" s="46">
        <v>36281700</v>
      </c>
      <c r="P618" s="46">
        <v>244</v>
      </c>
      <c r="Q618" s="46">
        <v>0</v>
      </c>
      <c r="R618" s="46">
        <v>0</v>
      </c>
      <c r="S618" s="46">
        <v>0</v>
      </c>
      <c r="T618" s="46">
        <v>0</v>
      </c>
      <c r="U618" s="46">
        <v>0</v>
      </c>
      <c r="V618" s="46">
        <v>0</v>
      </c>
      <c r="W618" s="46">
        <v>0</v>
      </c>
      <c r="X618" s="46">
        <v>0</v>
      </c>
      <c r="Y618" s="48">
        <v>857000</v>
      </c>
      <c r="Z618" s="46">
        <v>2</v>
      </c>
      <c r="AA618" s="46">
        <v>0</v>
      </c>
      <c r="AB618" s="46">
        <v>0</v>
      </c>
      <c r="AC618" s="46">
        <v>37138700</v>
      </c>
      <c r="AD618" s="46">
        <v>246</v>
      </c>
      <c r="AF618" s="47">
        <f t="shared" si="9"/>
        <v>36281700</v>
      </c>
    </row>
    <row r="619" spans="1:32" hidden="1" x14ac:dyDescent="0.3">
      <c r="A619" s="46" t="s">
        <v>614</v>
      </c>
      <c r="B619" s="46" t="str">
        <f>IFERROR(VLOOKUP($H619,매장구분!$B:$Z,2,0),"")</f>
        <v>리테일채널팀</v>
      </c>
      <c r="C619" s="46" t="str">
        <f>IFERROR(VLOOKUP($H619,매장구분!$B:$Z,3,0),"")</f>
        <v>국내</v>
      </c>
      <c r="D619" s="46" t="str">
        <f>IFERROR(VLOOKUP($H619,매장구분!$B:$Z,5,0),"")</f>
        <v>대리점</v>
      </c>
      <c r="E619" s="46" t="str">
        <f>IFERROR(VLOOKUP($H619,매장구분!$B:$Z,9,0),"")</f>
        <v>아이즈빌부평(대-위)</v>
      </c>
      <c r="G619" s="46" t="s">
        <v>315</v>
      </c>
      <c r="H619" s="46" t="s">
        <v>316</v>
      </c>
      <c r="I619" s="46" t="s">
        <v>169</v>
      </c>
      <c r="J619" s="46" t="s">
        <v>79</v>
      </c>
      <c r="K619" s="46" t="s">
        <v>170</v>
      </c>
      <c r="L619" s="46" t="s">
        <v>171</v>
      </c>
      <c r="M619" s="46" t="s">
        <v>188</v>
      </c>
      <c r="N619" s="46" t="s">
        <v>317</v>
      </c>
      <c r="O619" s="46">
        <v>43919383</v>
      </c>
      <c r="P619" s="46">
        <v>365</v>
      </c>
      <c r="Q619" s="46">
        <v>0</v>
      </c>
      <c r="R619" s="46">
        <v>0</v>
      </c>
      <c r="S619" s="46">
        <v>0</v>
      </c>
      <c r="T619" s="46">
        <v>0</v>
      </c>
      <c r="U619" s="46">
        <v>1100617</v>
      </c>
      <c r="V619" s="46">
        <v>7</v>
      </c>
      <c r="W619" s="46">
        <v>0</v>
      </c>
      <c r="X619" s="46">
        <v>0</v>
      </c>
      <c r="Y619" s="48">
        <v>0</v>
      </c>
      <c r="Z619" s="46">
        <v>0</v>
      </c>
      <c r="AA619" s="46">
        <v>0</v>
      </c>
      <c r="AB619" s="46">
        <v>0</v>
      </c>
      <c r="AC619" s="46">
        <v>45020000</v>
      </c>
      <c r="AD619" s="46">
        <v>372</v>
      </c>
      <c r="AF619" s="47">
        <f t="shared" si="9"/>
        <v>45020000</v>
      </c>
    </row>
    <row r="620" spans="1:32" hidden="1" x14ac:dyDescent="0.3">
      <c r="A620" s="46" t="s">
        <v>614</v>
      </c>
      <c r="B620" s="46" t="str">
        <f>IFERROR(VLOOKUP($H620,매장구분!$B:$Z,2,0),"")</f>
        <v>리테일채널팀</v>
      </c>
      <c r="C620" s="46" t="str">
        <f>IFERROR(VLOOKUP($H620,매장구분!$B:$Z,3,0),"")</f>
        <v>국내</v>
      </c>
      <c r="D620" s="46" t="str">
        <f>IFERROR(VLOOKUP($H620,매장구분!$B:$Z,5,0),"")</f>
        <v>대리점</v>
      </c>
      <c r="E620" s="46" t="str">
        <f>IFERROR(VLOOKUP($H620,매장구분!$B:$Z,9,0),"")</f>
        <v>세정광주(대-위)</v>
      </c>
      <c r="G620" s="46" t="s">
        <v>346</v>
      </c>
      <c r="H620" s="46" t="s">
        <v>347</v>
      </c>
      <c r="I620" s="46" t="s">
        <v>169</v>
      </c>
      <c r="J620" s="46" t="s">
        <v>79</v>
      </c>
      <c r="K620" s="46" t="s">
        <v>170</v>
      </c>
      <c r="L620" s="46" t="s">
        <v>171</v>
      </c>
      <c r="M620" s="46" t="s">
        <v>196</v>
      </c>
      <c r="N620" s="46" t="s">
        <v>197</v>
      </c>
      <c r="O620" s="46">
        <v>19375540</v>
      </c>
      <c r="P620" s="46">
        <v>149</v>
      </c>
      <c r="Q620" s="46">
        <v>0</v>
      </c>
      <c r="R620" s="46">
        <v>0</v>
      </c>
      <c r="S620" s="46">
        <v>0</v>
      </c>
      <c r="T620" s="46">
        <v>0</v>
      </c>
      <c r="U620" s="46">
        <v>1176360</v>
      </c>
      <c r="V620" s="46">
        <v>5</v>
      </c>
      <c r="W620" s="46">
        <v>0</v>
      </c>
      <c r="X620" s="46">
        <v>0</v>
      </c>
      <c r="Y620" s="48">
        <v>13837000</v>
      </c>
      <c r="Z620" s="46">
        <v>123</v>
      </c>
      <c r="AA620" s="46">
        <v>0</v>
      </c>
      <c r="AB620" s="46">
        <v>0</v>
      </c>
      <c r="AC620" s="46">
        <v>34388900</v>
      </c>
      <c r="AD620" s="46">
        <v>277</v>
      </c>
      <c r="AF620" s="47">
        <f t="shared" si="9"/>
        <v>20551900</v>
      </c>
    </row>
    <row r="621" spans="1:32" hidden="1" x14ac:dyDescent="0.3">
      <c r="A621" s="46" t="s">
        <v>614</v>
      </c>
      <c r="B621" s="46" t="str">
        <f>IFERROR(VLOOKUP($H621,매장구분!$B:$Z,2,0),"")</f>
        <v>E-biz</v>
      </c>
      <c r="C621" s="46" t="str">
        <f>IFERROR(VLOOKUP($H621,매장구분!$B:$Z,3,0),"")</f>
        <v>국내</v>
      </c>
      <c r="D621" s="46" t="str">
        <f>IFERROR(VLOOKUP($H621,매장구분!$B:$Z,5,0),"")</f>
        <v>온(자사몰)</v>
      </c>
      <c r="E621" s="46" t="str">
        <f>IFERROR(VLOOKUP($H621,매장구분!$B:$Z,9,0),"")</f>
        <v>온라인쇼핑몰</v>
      </c>
      <c r="G621" s="46" t="s">
        <v>178</v>
      </c>
      <c r="H621" s="46" t="s">
        <v>179</v>
      </c>
      <c r="I621" s="46" t="s">
        <v>169</v>
      </c>
      <c r="J621" s="46" t="s">
        <v>180</v>
      </c>
      <c r="K621" s="46" t="s">
        <v>170</v>
      </c>
      <c r="L621" s="46" t="s">
        <v>181</v>
      </c>
      <c r="M621" s="46" t="s">
        <v>181</v>
      </c>
      <c r="N621" s="46" t="s">
        <v>182</v>
      </c>
      <c r="O621" s="46">
        <v>226947760</v>
      </c>
      <c r="P621" s="46">
        <v>2263</v>
      </c>
      <c r="Q621" s="46">
        <v>0</v>
      </c>
      <c r="R621" s="46">
        <v>0</v>
      </c>
      <c r="S621" s="46">
        <v>0</v>
      </c>
      <c r="T621" s="46">
        <v>0</v>
      </c>
      <c r="U621" s="46">
        <v>0</v>
      </c>
      <c r="V621" s="46">
        <v>0</v>
      </c>
      <c r="W621" s="46">
        <v>0</v>
      </c>
      <c r="X621" s="46">
        <v>0</v>
      </c>
      <c r="Y621" s="48">
        <v>0</v>
      </c>
      <c r="Z621" s="46">
        <v>0</v>
      </c>
      <c r="AA621" s="46">
        <v>0</v>
      </c>
      <c r="AB621" s="46">
        <v>0</v>
      </c>
      <c r="AC621" s="46">
        <v>226947760</v>
      </c>
      <c r="AD621" s="46">
        <v>2263</v>
      </c>
      <c r="AF621" s="47">
        <f t="shared" si="9"/>
        <v>226947760</v>
      </c>
    </row>
    <row r="622" spans="1:32" hidden="1" x14ac:dyDescent="0.3">
      <c r="A622" s="46" t="s">
        <v>614</v>
      </c>
      <c r="B622" s="46" t="str">
        <f>IFERROR(VLOOKUP($H622,매장구분!$B:$Z,2,0),"")</f>
        <v>리테일채널팀</v>
      </c>
      <c r="C622" s="46" t="str">
        <f>IFERROR(VLOOKUP($H622,매장구분!$B:$Z,3,0),"")</f>
        <v>국내</v>
      </c>
      <c r="D622" s="46" t="str">
        <f>IFERROR(VLOOKUP($H622,매장구분!$B:$Z,5,0),"")</f>
        <v>대리점</v>
      </c>
      <c r="E622" s="46" t="str">
        <f>IFERROR(VLOOKUP($H622,매장구분!$B:$Z,9,0),"")</f>
        <v>성남신흥(대-위)</v>
      </c>
      <c r="G622" s="46" t="s">
        <v>228</v>
      </c>
      <c r="H622" s="46" t="s">
        <v>229</v>
      </c>
      <c r="I622" s="46" t="s">
        <v>169</v>
      </c>
      <c r="J622" s="46" t="s">
        <v>79</v>
      </c>
      <c r="K622" s="46" t="s">
        <v>170</v>
      </c>
      <c r="L622" s="46" t="s">
        <v>171</v>
      </c>
      <c r="M622" s="46" t="s">
        <v>196</v>
      </c>
      <c r="N622" s="46" t="s">
        <v>197</v>
      </c>
      <c r="O622" s="46">
        <v>23343174</v>
      </c>
      <c r="P622" s="46">
        <v>161</v>
      </c>
      <c r="Q622" s="46">
        <v>0</v>
      </c>
      <c r="R622" s="46">
        <v>0</v>
      </c>
      <c r="S622" s="46">
        <v>0</v>
      </c>
      <c r="T622" s="46">
        <v>0</v>
      </c>
      <c r="U622" s="46">
        <v>293000</v>
      </c>
      <c r="V622" s="46">
        <v>2</v>
      </c>
      <c r="W622" s="46">
        <v>0</v>
      </c>
      <c r="X622" s="46">
        <v>0</v>
      </c>
      <c r="Y622" s="48">
        <v>17560900</v>
      </c>
      <c r="Z622" s="46">
        <v>113</v>
      </c>
      <c r="AA622" s="46">
        <v>0</v>
      </c>
      <c r="AB622" s="46">
        <v>0</v>
      </c>
      <c r="AC622" s="46">
        <v>41197074</v>
      </c>
      <c r="AD622" s="46">
        <v>276</v>
      </c>
      <c r="AF622" s="47">
        <f t="shared" si="9"/>
        <v>23636174</v>
      </c>
    </row>
    <row r="623" spans="1:32" hidden="1" x14ac:dyDescent="0.3">
      <c r="A623" s="46" t="s">
        <v>614</v>
      </c>
      <c r="B623" s="46" t="str">
        <f>IFERROR(VLOOKUP($H623,매장구분!$B:$Z,2,0),"")</f>
        <v>리테일채널팀</v>
      </c>
      <c r="C623" s="46" t="str">
        <f>IFERROR(VLOOKUP($H623,매장구분!$B:$Z,3,0),"")</f>
        <v>국내</v>
      </c>
      <c r="D623" s="46" t="str">
        <f>IFERROR(VLOOKUP($H623,매장구분!$B:$Z,5,0),"")</f>
        <v>대리점</v>
      </c>
      <c r="E623" s="46" t="str">
        <f>IFERROR(VLOOKUP($H623,매장구분!$B:$Z,9,0),"")</f>
        <v>익산(대-위)</v>
      </c>
      <c r="G623" s="46" t="s">
        <v>490</v>
      </c>
      <c r="H623" s="46" t="s">
        <v>491</v>
      </c>
      <c r="I623" s="46" t="s">
        <v>169</v>
      </c>
      <c r="J623" s="46" t="s">
        <v>79</v>
      </c>
      <c r="K623" s="46" t="s">
        <v>170</v>
      </c>
      <c r="L623" s="46" t="s">
        <v>171</v>
      </c>
      <c r="M623" s="46" t="s">
        <v>196</v>
      </c>
      <c r="N623" s="46" t="s">
        <v>197</v>
      </c>
      <c r="O623" s="46">
        <v>13652749</v>
      </c>
      <c r="P623" s="46">
        <v>126</v>
      </c>
      <c r="Q623" s="46">
        <v>0</v>
      </c>
      <c r="R623" s="46">
        <v>0</v>
      </c>
      <c r="S623" s="46">
        <v>0</v>
      </c>
      <c r="T623" s="46">
        <v>0</v>
      </c>
      <c r="U623" s="46">
        <v>2326000</v>
      </c>
      <c r="V623" s="46">
        <v>12</v>
      </c>
      <c r="W623" s="46">
        <v>0</v>
      </c>
      <c r="X623" s="46">
        <v>0</v>
      </c>
      <c r="Y623" s="48">
        <v>26911000</v>
      </c>
      <c r="Z623" s="46">
        <v>209</v>
      </c>
      <c r="AA623" s="46">
        <v>0</v>
      </c>
      <c r="AB623" s="46">
        <v>0</v>
      </c>
      <c r="AC623" s="46">
        <v>42889749</v>
      </c>
      <c r="AD623" s="46">
        <v>347</v>
      </c>
      <c r="AF623" s="47">
        <f t="shared" si="9"/>
        <v>15978749</v>
      </c>
    </row>
    <row r="624" spans="1:32" hidden="1" x14ac:dyDescent="0.3">
      <c r="A624" s="46" t="s">
        <v>614</v>
      </c>
      <c r="B624" s="46" t="str">
        <f>IFERROR(VLOOKUP($H624,매장구분!$B:$Z,2,0),"")</f>
        <v>파트너채널팀</v>
      </c>
      <c r="C624" s="46" t="str">
        <f>IFERROR(VLOOKUP($H624,매장구분!$B:$Z,3,0),"")</f>
        <v>국내</v>
      </c>
      <c r="D624" s="46" t="str">
        <f>IFERROR(VLOOKUP($H624,매장구분!$B:$Z,5,0),"")</f>
        <v>백화점</v>
      </c>
      <c r="E624" s="46" t="str">
        <f>IFERROR(VLOOKUP($H624,매장구분!$B:$Z,9,0),"")</f>
        <v>현대충청</v>
      </c>
      <c r="G624" s="46" t="s">
        <v>358</v>
      </c>
      <c r="H624" s="46" t="s">
        <v>359</v>
      </c>
      <c r="I624" s="46" t="s">
        <v>169</v>
      </c>
      <c r="J624" s="46" t="s">
        <v>175</v>
      </c>
      <c r="K624" s="46" t="s">
        <v>170</v>
      </c>
      <c r="L624" s="46" t="s">
        <v>171</v>
      </c>
      <c r="M624" s="46" t="s">
        <v>77</v>
      </c>
      <c r="N624" s="46" t="s">
        <v>172</v>
      </c>
      <c r="O624" s="46">
        <v>24553300</v>
      </c>
      <c r="P624" s="46">
        <v>186</v>
      </c>
      <c r="Q624" s="46">
        <v>0</v>
      </c>
      <c r="R624" s="46">
        <v>0</v>
      </c>
      <c r="S624" s="46">
        <v>0</v>
      </c>
      <c r="T624" s="46">
        <v>0</v>
      </c>
      <c r="U624" s="46">
        <v>0</v>
      </c>
      <c r="V624" s="46">
        <v>0</v>
      </c>
      <c r="W624" s="46">
        <v>0</v>
      </c>
      <c r="X624" s="46">
        <v>0</v>
      </c>
      <c r="Y624" s="48">
        <v>19672000</v>
      </c>
      <c r="Z624" s="46">
        <v>150</v>
      </c>
      <c r="AA624" s="46">
        <v>0</v>
      </c>
      <c r="AB624" s="46">
        <v>0</v>
      </c>
      <c r="AC624" s="46">
        <v>44225300</v>
      </c>
      <c r="AD624" s="46">
        <v>336</v>
      </c>
      <c r="AF624" s="47">
        <f t="shared" si="9"/>
        <v>24553300</v>
      </c>
    </row>
    <row r="625" spans="1:32" hidden="1" x14ac:dyDescent="0.3">
      <c r="A625" s="46" t="s">
        <v>614</v>
      </c>
      <c r="B625" s="46" t="str">
        <f>IFERROR(VLOOKUP($H625,매장구분!$B:$Z,2,0),"")</f>
        <v>리테일채널팀</v>
      </c>
      <c r="C625" s="46" t="str">
        <f>IFERROR(VLOOKUP($H625,매장구분!$B:$Z,3,0),"")</f>
        <v>국내</v>
      </c>
      <c r="D625" s="46" t="str">
        <f>IFERROR(VLOOKUP($H625,매장구분!$B:$Z,5,0),"")</f>
        <v>대리점</v>
      </c>
      <c r="E625" s="46" t="str">
        <f>IFERROR(VLOOKUP($H625,매장구분!$B:$Z,9,0),"")</f>
        <v>아산(대-위)</v>
      </c>
      <c r="G625" s="46" t="s">
        <v>194</v>
      </c>
      <c r="H625" s="46" t="s">
        <v>195</v>
      </c>
      <c r="I625" s="46" t="s">
        <v>169</v>
      </c>
      <c r="J625" s="46" t="s">
        <v>79</v>
      </c>
      <c r="K625" s="46" t="s">
        <v>170</v>
      </c>
      <c r="L625" s="46" t="s">
        <v>171</v>
      </c>
      <c r="M625" s="46" t="s">
        <v>196</v>
      </c>
      <c r="N625" s="46" t="s">
        <v>197</v>
      </c>
      <c r="O625" s="46">
        <v>14379345</v>
      </c>
      <c r="P625" s="46">
        <v>122</v>
      </c>
      <c r="Q625" s="46">
        <v>0</v>
      </c>
      <c r="R625" s="46">
        <v>0</v>
      </c>
      <c r="S625" s="46">
        <v>0</v>
      </c>
      <c r="T625" s="46">
        <v>0</v>
      </c>
      <c r="U625" s="46">
        <v>4457655</v>
      </c>
      <c r="V625" s="46">
        <v>34</v>
      </c>
      <c r="W625" s="46">
        <v>0</v>
      </c>
      <c r="X625" s="46">
        <v>0</v>
      </c>
      <c r="Y625" s="48">
        <v>0</v>
      </c>
      <c r="Z625" s="46">
        <v>0</v>
      </c>
      <c r="AA625" s="46">
        <v>0</v>
      </c>
      <c r="AB625" s="46">
        <v>0</v>
      </c>
      <c r="AC625" s="46">
        <v>18837000</v>
      </c>
      <c r="AD625" s="46">
        <v>156</v>
      </c>
      <c r="AF625" s="47">
        <f t="shared" si="9"/>
        <v>18837000</v>
      </c>
    </row>
    <row r="626" spans="1:32" hidden="1" x14ac:dyDescent="0.3">
      <c r="A626" s="46" t="s">
        <v>614</v>
      </c>
      <c r="B626" s="46" t="str">
        <f>IFERROR(VLOOKUP($H626,매장구분!$B:$Z,2,0),"")</f>
        <v>E-biz</v>
      </c>
      <c r="C626" s="46" t="str">
        <f>IFERROR(VLOOKUP($H626,매장구분!$B:$Z,3,0),"")</f>
        <v>국내</v>
      </c>
      <c r="D626" s="46" t="str">
        <f>IFERROR(VLOOKUP($H626,매장구분!$B:$Z,5,0),"")</f>
        <v>온(제휴몰)</v>
      </c>
      <c r="E626" s="46" t="str">
        <f>IFERROR(VLOOKUP($H626,매장구분!$B:$Z,9,0),"")</f>
        <v>GS SHOP(제휴몰)</v>
      </c>
      <c r="G626" s="46" t="s">
        <v>550</v>
      </c>
      <c r="H626" s="46" t="s">
        <v>551</v>
      </c>
      <c r="I626" s="46" t="s">
        <v>169</v>
      </c>
      <c r="J626" s="46" t="s">
        <v>180</v>
      </c>
      <c r="K626" s="46" t="s">
        <v>170</v>
      </c>
      <c r="L626" s="46" t="s">
        <v>181</v>
      </c>
      <c r="M626" s="46" t="s">
        <v>181</v>
      </c>
      <c r="N626" s="46" t="s">
        <v>185</v>
      </c>
      <c r="O626" s="46">
        <v>14755400</v>
      </c>
      <c r="P626" s="46">
        <v>138</v>
      </c>
      <c r="Q626" s="46">
        <v>0</v>
      </c>
      <c r="R626" s="46">
        <v>0</v>
      </c>
      <c r="S626" s="46">
        <v>0</v>
      </c>
      <c r="T626" s="46">
        <v>0</v>
      </c>
      <c r="U626" s="46">
        <v>0</v>
      </c>
      <c r="V626" s="46">
        <v>0</v>
      </c>
      <c r="W626" s="46">
        <v>0</v>
      </c>
      <c r="X626" s="46">
        <v>0</v>
      </c>
      <c r="Y626" s="48">
        <v>0</v>
      </c>
      <c r="Z626" s="46">
        <v>0</v>
      </c>
      <c r="AA626" s="46">
        <v>0</v>
      </c>
      <c r="AB626" s="46">
        <v>0</v>
      </c>
      <c r="AC626" s="46">
        <v>14755400</v>
      </c>
      <c r="AD626" s="46">
        <v>138</v>
      </c>
      <c r="AF626" s="47">
        <f t="shared" si="9"/>
        <v>14755400</v>
      </c>
    </row>
    <row r="627" spans="1:32" hidden="1" x14ac:dyDescent="0.3">
      <c r="A627" s="46" t="s">
        <v>614</v>
      </c>
      <c r="B627" s="46" t="str">
        <f>IFERROR(VLOOKUP($H627,매장구분!$B:$Z,2,0),"")</f>
        <v>리테일채널팀</v>
      </c>
      <c r="C627" s="46" t="str">
        <f>IFERROR(VLOOKUP($H627,매장구분!$B:$Z,3,0),"")</f>
        <v>국내</v>
      </c>
      <c r="D627" s="46" t="str">
        <f>IFERROR(VLOOKUP($H627,매장구분!$B:$Z,5,0),"")</f>
        <v>대리점</v>
      </c>
      <c r="E627" s="46" t="str">
        <f>IFERROR(VLOOKUP($H627,매장구분!$B:$Z,9,0),"")</f>
        <v>광주용봉(대-위)</v>
      </c>
      <c r="G627" s="46" t="s">
        <v>606</v>
      </c>
      <c r="H627" s="46" t="s">
        <v>607</v>
      </c>
      <c r="I627" s="46" t="s">
        <v>169</v>
      </c>
      <c r="J627" s="46" t="s">
        <v>79</v>
      </c>
      <c r="K627" s="46" t="s">
        <v>170</v>
      </c>
      <c r="L627" s="46" t="s">
        <v>171</v>
      </c>
      <c r="M627" s="46" t="s">
        <v>196</v>
      </c>
      <c r="N627" s="46" t="s">
        <v>197</v>
      </c>
      <c r="O627" s="46">
        <v>2941000</v>
      </c>
      <c r="P627" s="46">
        <v>36</v>
      </c>
      <c r="Q627" s="46">
        <v>0</v>
      </c>
      <c r="R627" s="46">
        <v>0</v>
      </c>
      <c r="S627" s="46">
        <v>0</v>
      </c>
      <c r="T627" s="46">
        <v>0</v>
      </c>
      <c r="U627" s="46">
        <v>1820000</v>
      </c>
      <c r="V627" s="46">
        <v>10</v>
      </c>
      <c r="W627" s="46">
        <v>0</v>
      </c>
      <c r="X627" s="46">
        <v>0</v>
      </c>
      <c r="Y627" s="48">
        <v>0</v>
      </c>
      <c r="Z627" s="46">
        <v>0</v>
      </c>
      <c r="AA627" s="46">
        <v>0</v>
      </c>
      <c r="AB627" s="46">
        <v>0</v>
      </c>
      <c r="AC627" s="46">
        <v>4761000</v>
      </c>
      <c r="AD627" s="46">
        <v>46</v>
      </c>
      <c r="AF627" s="47">
        <f t="shared" si="9"/>
        <v>4761000</v>
      </c>
    </row>
    <row r="628" spans="1:32" hidden="1" x14ac:dyDescent="0.3">
      <c r="A628" s="46" t="s">
        <v>614</v>
      </c>
      <c r="B628" s="46" t="str">
        <f>IFERROR(VLOOKUP($H628,매장구분!$B:$Z,2,0),"")</f>
        <v>E-biz</v>
      </c>
      <c r="C628" s="46" t="str">
        <f>IFERROR(VLOOKUP($H628,매장구분!$B:$Z,3,0),"")</f>
        <v>국내</v>
      </c>
      <c r="D628" s="46" t="str">
        <f>IFERROR(VLOOKUP($H628,매장구분!$B:$Z,5,0),"")</f>
        <v>온(제휴몰)</v>
      </c>
      <c r="E628" s="46" t="str">
        <f>IFERROR(VLOOKUP($H628,매장구분!$B:$Z,9,0),"")</f>
        <v>롯데ON(제휴몰)</v>
      </c>
      <c r="G628" s="46" t="s">
        <v>253</v>
      </c>
      <c r="H628" s="46" t="s">
        <v>254</v>
      </c>
      <c r="I628" s="46" t="s">
        <v>169</v>
      </c>
      <c r="J628" s="46" t="s">
        <v>180</v>
      </c>
      <c r="K628" s="46" t="s">
        <v>170</v>
      </c>
      <c r="L628" s="46" t="s">
        <v>181</v>
      </c>
      <c r="M628" s="46" t="s">
        <v>181</v>
      </c>
      <c r="N628" s="46" t="s">
        <v>185</v>
      </c>
      <c r="O628" s="46">
        <v>39062200</v>
      </c>
      <c r="P628" s="46">
        <v>405</v>
      </c>
      <c r="Q628" s="46">
        <v>0</v>
      </c>
      <c r="R628" s="46">
        <v>0</v>
      </c>
      <c r="S628" s="46">
        <v>0</v>
      </c>
      <c r="T628" s="46">
        <v>0</v>
      </c>
      <c r="U628" s="46">
        <v>0</v>
      </c>
      <c r="V628" s="46">
        <v>0</v>
      </c>
      <c r="W628" s="46">
        <v>0</v>
      </c>
      <c r="X628" s="46">
        <v>0</v>
      </c>
      <c r="Y628" s="48">
        <v>0</v>
      </c>
      <c r="Z628" s="46">
        <v>0</v>
      </c>
      <c r="AA628" s="46">
        <v>0</v>
      </c>
      <c r="AB628" s="46">
        <v>0</v>
      </c>
      <c r="AC628" s="46">
        <v>39062200</v>
      </c>
      <c r="AD628" s="46">
        <v>405</v>
      </c>
      <c r="AF628" s="47">
        <f t="shared" si="9"/>
        <v>39062200</v>
      </c>
    </row>
    <row r="629" spans="1:32" hidden="1" x14ac:dyDescent="0.3">
      <c r="A629" s="46" t="s">
        <v>614</v>
      </c>
      <c r="B629" s="46" t="str">
        <f>IFERROR(VLOOKUP($H629,매장구분!$B:$Z,2,0),"")</f>
        <v>리테일채널팀</v>
      </c>
      <c r="C629" s="46" t="str">
        <f>IFERROR(VLOOKUP($H629,매장구분!$B:$Z,3,0),"")</f>
        <v>국내</v>
      </c>
      <c r="D629" s="46" t="str">
        <f>IFERROR(VLOOKUP($H629,매장구분!$B:$Z,5,0),"")</f>
        <v>대리점</v>
      </c>
      <c r="E629" s="46" t="str">
        <f>IFERROR(VLOOKUP($H629,매장구분!$B:$Z,9,0),"")</f>
        <v>구미인동(대-위)</v>
      </c>
      <c r="G629" s="46" t="s">
        <v>558</v>
      </c>
      <c r="H629" s="46" t="s">
        <v>559</v>
      </c>
      <c r="I629" s="46" t="s">
        <v>169</v>
      </c>
      <c r="J629" s="46" t="s">
        <v>79</v>
      </c>
      <c r="K629" s="46" t="s">
        <v>170</v>
      </c>
      <c r="L629" s="46" t="s">
        <v>171</v>
      </c>
      <c r="M629" s="46" t="s">
        <v>196</v>
      </c>
      <c r="N629" s="46" t="s">
        <v>197</v>
      </c>
      <c r="O629" s="46">
        <v>10734916</v>
      </c>
      <c r="P629" s="46">
        <v>80</v>
      </c>
      <c r="Q629" s="46">
        <v>0</v>
      </c>
      <c r="R629" s="46">
        <v>0</v>
      </c>
      <c r="S629" s="46">
        <v>0</v>
      </c>
      <c r="T629" s="46">
        <v>0</v>
      </c>
      <c r="U629" s="46">
        <v>1332884</v>
      </c>
      <c r="V629" s="46">
        <v>5</v>
      </c>
      <c r="W629" s="46">
        <v>0</v>
      </c>
      <c r="X629" s="46">
        <v>0</v>
      </c>
      <c r="Y629" s="48">
        <v>0</v>
      </c>
      <c r="Z629" s="46">
        <v>0</v>
      </c>
      <c r="AA629" s="46">
        <v>0</v>
      </c>
      <c r="AB629" s="46">
        <v>0</v>
      </c>
      <c r="AC629" s="46">
        <v>12067800</v>
      </c>
      <c r="AD629" s="46">
        <v>85</v>
      </c>
      <c r="AF629" s="47">
        <f t="shared" si="9"/>
        <v>12067800</v>
      </c>
    </row>
    <row r="630" spans="1:32" hidden="1" x14ac:dyDescent="0.3">
      <c r="A630" s="46" t="s">
        <v>614</v>
      </c>
      <c r="B630" s="46" t="str">
        <f>IFERROR(VLOOKUP($H630,매장구분!$B:$Z,2,0),"")</f>
        <v>파트너채널팀</v>
      </c>
      <c r="C630" s="46" t="str">
        <f>IFERROR(VLOOKUP($H630,매장구분!$B:$Z,3,0),"")</f>
        <v>국내</v>
      </c>
      <c r="D630" s="46" t="str">
        <f>IFERROR(VLOOKUP($H630,매장구분!$B:$Z,5,0),"")</f>
        <v>백화점</v>
      </c>
      <c r="E630" s="46" t="str">
        <f>IFERROR(VLOOKUP($H630,매장구분!$B:$Z,9,0),"")</f>
        <v>롯데중동</v>
      </c>
      <c r="G630" s="46" t="s">
        <v>510</v>
      </c>
      <c r="H630" s="46" t="s">
        <v>511</v>
      </c>
      <c r="I630" s="46" t="s">
        <v>169</v>
      </c>
      <c r="J630" s="46" t="s">
        <v>175</v>
      </c>
      <c r="K630" s="46" t="s">
        <v>170</v>
      </c>
      <c r="L630" s="46" t="s">
        <v>171</v>
      </c>
      <c r="M630" s="46" t="s">
        <v>77</v>
      </c>
      <c r="N630" s="46" t="s">
        <v>172</v>
      </c>
      <c r="O630" s="46">
        <v>15312600</v>
      </c>
      <c r="P630" s="46">
        <v>130</v>
      </c>
      <c r="Q630" s="46">
        <v>1167000</v>
      </c>
      <c r="R630" s="46">
        <v>7</v>
      </c>
      <c r="S630" s="46">
        <v>0</v>
      </c>
      <c r="T630" s="46">
        <v>0</v>
      </c>
      <c r="U630" s="46">
        <v>3035000</v>
      </c>
      <c r="V630" s="46">
        <v>17</v>
      </c>
      <c r="W630" s="46">
        <v>0</v>
      </c>
      <c r="X630" s="46">
        <v>0</v>
      </c>
      <c r="Y630" s="48">
        <v>0</v>
      </c>
      <c r="Z630" s="46">
        <v>0</v>
      </c>
      <c r="AA630" s="46">
        <v>0</v>
      </c>
      <c r="AB630" s="46">
        <v>0</v>
      </c>
      <c r="AC630" s="46">
        <v>19514600</v>
      </c>
      <c r="AD630" s="46">
        <v>154</v>
      </c>
      <c r="AF630" s="47">
        <f t="shared" si="9"/>
        <v>19514600</v>
      </c>
    </row>
    <row r="631" spans="1:32" hidden="1" x14ac:dyDescent="0.3">
      <c r="A631" s="46" t="s">
        <v>614</v>
      </c>
      <c r="B631" s="46" t="str">
        <f>IFERROR(VLOOKUP($H631,매장구분!$B:$Z,2,0),"")</f>
        <v>리테일채널팀</v>
      </c>
      <c r="C631" s="46" t="str">
        <f>IFERROR(VLOOKUP($H631,매장구분!$B:$Z,3,0),"")</f>
        <v>국내</v>
      </c>
      <c r="D631" s="46" t="str">
        <f>IFERROR(VLOOKUP($H631,매장구분!$B:$Z,5,0),"")</f>
        <v>대리점</v>
      </c>
      <c r="E631" s="46" t="str">
        <f>IFERROR(VLOOKUP($H631,매장구분!$B:$Z,9,0),"")</f>
        <v>전주중앙(대-위)</v>
      </c>
      <c r="G631" s="46" t="s">
        <v>293</v>
      </c>
      <c r="H631" s="46" t="s">
        <v>294</v>
      </c>
      <c r="I631" s="46" t="s">
        <v>169</v>
      </c>
      <c r="J631" s="46" t="s">
        <v>79</v>
      </c>
      <c r="K631" s="46" t="s">
        <v>170</v>
      </c>
      <c r="L631" s="46" t="s">
        <v>171</v>
      </c>
      <c r="M631" s="46" t="s">
        <v>196</v>
      </c>
      <c r="N631" s="46" t="s">
        <v>197</v>
      </c>
      <c r="O631" s="46">
        <v>16317610</v>
      </c>
      <c r="P631" s="46">
        <v>131</v>
      </c>
      <c r="Q631" s="46">
        <v>0</v>
      </c>
      <c r="R631" s="46">
        <v>0</v>
      </c>
      <c r="S631" s="46">
        <v>0</v>
      </c>
      <c r="T631" s="46">
        <v>0</v>
      </c>
      <c r="U631" s="46">
        <v>1815990</v>
      </c>
      <c r="V631" s="46">
        <v>11</v>
      </c>
      <c r="W631" s="46">
        <v>0</v>
      </c>
      <c r="X631" s="46">
        <v>0</v>
      </c>
      <c r="Y631" s="48">
        <v>0</v>
      </c>
      <c r="Z631" s="46">
        <v>0</v>
      </c>
      <c r="AA631" s="46">
        <v>0</v>
      </c>
      <c r="AB631" s="46">
        <v>0</v>
      </c>
      <c r="AC631" s="46">
        <v>18133600</v>
      </c>
      <c r="AD631" s="46">
        <v>142</v>
      </c>
      <c r="AF631" s="47">
        <f t="shared" si="9"/>
        <v>18133600</v>
      </c>
    </row>
    <row r="632" spans="1:32" hidden="1" x14ac:dyDescent="0.3">
      <c r="A632" s="46" t="s">
        <v>614</v>
      </c>
      <c r="B632" s="46" t="str">
        <f>IFERROR(VLOOKUP($H632,매장구분!$B:$Z,2,0),"")</f>
        <v>파트너채널팀</v>
      </c>
      <c r="C632" s="46" t="str">
        <f>IFERROR(VLOOKUP($H632,매장구분!$B:$Z,3,0),"")</f>
        <v>국내</v>
      </c>
      <c r="D632" s="46" t="str">
        <f>IFERROR(VLOOKUP($H632,매장구분!$B:$Z,5,0),"")</f>
        <v>백화점</v>
      </c>
      <c r="E632" s="46" t="str">
        <f>IFERROR(VLOOKUP($H632,매장구분!$B:$Z,9,0),"")</f>
        <v>롯데수원</v>
      </c>
      <c r="G632" s="46" t="s">
        <v>402</v>
      </c>
      <c r="H632" s="46" t="s">
        <v>403</v>
      </c>
      <c r="I632" s="46" t="s">
        <v>169</v>
      </c>
      <c r="J632" s="46" t="s">
        <v>175</v>
      </c>
      <c r="K632" s="46" t="s">
        <v>170</v>
      </c>
      <c r="L632" s="46" t="s">
        <v>171</v>
      </c>
      <c r="M632" s="46" t="s">
        <v>77</v>
      </c>
      <c r="N632" s="46" t="s">
        <v>172</v>
      </c>
      <c r="O632" s="46">
        <v>48620900</v>
      </c>
      <c r="P632" s="46">
        <v>338</v>
      </c>
      <c r="Q632" s="46">
        <v>1273000</v>
      </c>
      <c r="R632" s="46">
        <v>33</v>
      </c>
      <c r="S632" s="46">
        <v>0</v>
      </c>
      <c r="T632" s="46">
        <v>0</v>
      </c>
      <c r="U632" s="46">
        <v>-9540000</v>
      </c>
      <c r="V632" s="46">
        <v>-30</v>
      </c>
      <c r="W632" s="46">
        <v>0</v>
      </c>
      <c r="X632" s="46">
        <v>0</v>
      </c>
      <c r="Y632" s="48">
        <v>0</v>
      </c>
      <c r="Z632" s="46">
        <v>0</v>
      </c>
      <c r="AA632" s="46">
        <v>588000</v>
      </c>
      <c r="AB632" s="46">
        <v>2</v>
      </c>
      <c r="AC632" s="46">
        <v>40941900</v>
      </c>
      <c r="AD632" s="46">
        <v>343</v>
      </c>
      <c r="AF632" s="47">
        <f t="shared" si="9"/>
        <v>40941900</v>
      </c>
    </row>
    <row r="633" spans="1:32" hidden="1" x14ac:dyDescent="0.3">
      <c r="A633" s="46" t="s">
        <v>614</v>
      </c>
      <c r="B633" s="46" t="str">
        <f>IFERROR(VLOOKUP($H633,매장구분!$B:$Z,2,0),"")</f>
        <v>파트너채널팀</v>
      </c>
      <c r="C633" s="46" t="str">
        <f>IFERROR(VLOOKUP($H633,매장구분!$B:$Z,3,0),"")</f>
        <v>국내</v>
      </c>
      <c r="D633" s="46" t="str">
        <f>IFERROR(VLOOKUP($H633,매장구분!$B:$Z,5,0),"")</f>
        <v>백화점</v>
      </c>
      <c r="E633" s="46" t="str">
        <f>IFERROR(VLOOKUP($H633,매장구분!$B:$Z,9,0),"")</f>
        <v>롯데전주</v>
      </c>
      <c r="G633" s="46" t="s">
        <v>446</v>
      </c>
      <c r="H633" s="46" t="s">
        <v>447</v>
      </c>
      <c r="I633" s="46" t="s">
        <v>169</v>
      </c>
      <c r="J633" s="46" t="s">
        <v>175</v>
      </c>
      <c r="K633" s="46" t="s">
        <v>170</v>
      </c>
      <c r="L633" s="46" t="s">
        <v>171</v>
      </c>
      <c r="M633" s="46" t="s">
        <v>77</v>
      </c>
      <c r="N633" s="46" t="s">
        <v>172</v>
      </c>
      <c r="O633" s="46">
        <v>13346900</v>
      </c>
      <c r="P633" s="46">
        <v>131</v>
      </c>
      <c r="Q633" s="46">
        <v>0</v>
      </c>
      <c r="R633" s="46">
        <v>0</v>
      </c>
      <c r="S633" s="46">
        <v>0</v>
      </c>
      <c r="T633" s="46">
        <v>0</v>
      </c>
      <c r="U633" s="46">
        <v>2762000</v>
      </c>
      <c r="V633" s="46">
        <v>17</v>
      </c>
      <c r="W633" s="46">
        <v>0</v>
      </c>
      <c r="X633" s="46">
        <v>0</v>
      </c>
      <c r="Y633" s="48">
        <v>0</v>
      </c>
      <c r="Z633" s="46">
        <v>0</v>
      </c>
      <c r="AA633" s="46">
        <v>0</v>
      </c>
      <c r="AB633" s="46">
        <v>0</v>
      </c>
      <c r="AC633" s="46">
        <v>16108900</v>
      </c>
      <c r="AD633" s="46">
        <v>148</v>
      </c>
      <c r="AF633" s="47">
        <f t="shared" si="9"/>
        <v>16108900</v>
      </c>
    </row>
    <row r="634" spans="1:32" hidden="1" x14ac:dyDescent="0.3">
      <c r="A634" s="46" t="s">
        <v>614</v>
      </c>
      <c r="B634" s="46" t="str">
        <f>IFERROR(VLOOKUP($H634,매장구분!$B:$Z,2,0),"")</f>
        <v>리테일채널팀</v>
      </c>
      <c r="C634" s="46" t="str">
        <f>IFERROR(VLOOKUP($H634,매장구분!$B:$Z,3,0),"")</f>
        <v>국내</v>
      </c>
      <c r="D634" s="46" t="str">
        <f>IFERROR(VLOOKUP($H634,매장구분!$B:$Z,5,0),"")</f>
        <v>직영점</v>
      </c>
      <c r="E634" s="46" t="str">
        <f>IFERROR(VLOOKUP($H634,매장구분!$B:$Z,9,0),"")</f>
        <v>타임스트림신림(직)</v>
      </c>
      <c r="G634" s="46" t="s">
        <v>360</v>
      </c>
      <c r="H634" s="46" t="s">
        <v>361</v>
      </c>
      <c r="I634" s="46" t="s">
        <v>169</v>
      </c>
      <c r="J634" s="46" t="s">
        <v>180</v>
      </c>
      <c r="K634" s="46" t="s">
        <v>170</v>
      </c>
      <c r="L634" s="46" t="s">
        <v>171</v>
      </c>
      <c r="M634" s="46" t="s">
        <v>188</v>
      </c>
      <c r="N634" s="46" t="s">
        <v>317</v>
      </c>
      <c r="O634" s="46">
        <v>9431400</v>
      </c>
      <c r="P634" s="46">
        <v>108</v>
      </c>
      <c r="Q634" s="46">
        <v>0</v>
      </c>
      <c r="R634" s="46">
        <v>0</v>
      </c>
      <c r="S634" s="46">
        <v>0</v>
      </c>
      <c r="T634" s="46">
        <v>0</v>
      </c>
      <c r="U634" s="46">
        <v>428000</v>
      </c>
      <c r="V634" s="46">
        <v>2</v>
      </c>
      <c r="W634" s="46">
        <v>0</v>
      </c>
      <c r="X634" s="46">
        <v>0</v>
      </c>
      <c r="Y634" s="48">
        <v>0</v>
      </c>
      <c r="Z634" s="46">
        <v>0</v>
      </c>
      <c r="AA634" s="46">
        <v>0</v>
      </c>
      <c r="AB634" s="46">
        <v>0</v>
      </c>
      <c r="AC634" s="46">
        <v>9859400</v>
      </c>
      <c r="AD634" s="46">
        <v>110</v>
      </c>
      <c r="AF634" s="47">
        <f t="shared" si="9"/>
        <v>9859400</v>
      </c>
    </row>
    <row r="635" spans="1:32" hidden="1" x14ac:dyDescent="0.3">
      <c r="A635" s="46" t="s">
        <v>614</v>
      </c>
      <c r="B635" s="46" t="str">
        <f>IFERROR(VLOOKUP($H635,매장구분!$B:$Z,2,0),"")</f>
        <v>리테일채널팀</v>
      </c>
      <c r="C635" s="46" t="str">
        <f>IFERROR(VLOOKUP($H635,매장구분!$B:$Z,3,0),"")</f>
        <v>국내</v>
      </c>
      <c r="D635" s="46" t="str">
        <f>IFERROR(VLOOKUP($H635,매장구분!$B:$Z,5,0),"")</f>
        <v>직영점</v>
      </c>
      <c r="E635" s="46" t="str">
        <f>IFERROR(VLOOKUP($H635,매장구분!$B:$Z,9,0),"")</f>
        <v>트리플스트리트(직)</v>
      </c>
      <c r="G635" s="46" t="s">
        <v>576</v>
      </c>
      <c r="H635" s="46" t="s">
        <v>577</v>
      </c>
      <c r="I635" s="46" t="s">
        <v>169</v>
      </c>
      <c r="J635" s="46" t="s">
        <v>180</v>
      </c>
      <c r="K635" s="46" t="s">
        <v>170</v>
      </c>
      <c r="L635" s="46" t="s">
        <v>171</v>
      </c>
      <c r="M635" s="46" t="s">
        <v>188</v>
      </c>
      <c r="N635" s="46" t="s">
        <v>317</v>
      </c>
      <c r="O635" s="46">
        <v>13095282</v>
      </c>
      <c r="P635" s="46">
        <v>140</v>
      </c>
      <c r="Q635" s="46">
        <v>0</v>
      </c>
      <c r="R635" s="46">
        <v>0</v>
      </c>
      <c r="S635" s="46">
        <v>0</v>
      </c>
      <c r="T635" s="46">
        <v>0</v>
      </c>
      <c r="U635" s="46">
        <v>4751136</v>
      </c>
      <c r="V635" s="46">
        <v>14</v>
      </c>
      <c r="W635" s="46">
        <v>0</v>
      </c>
      <c r="X635" s="46">
        <v>0</v>
      </c>
      <c r="Y635" s="48">
        <v>0</v>
      </c>
      <c r="Z635" s="46">
        <v>0</v>
      </c>
      <c r="AA635" s="46">
        <v>0</v>
      </c>
      <c r="AB635" s="46">
        <v>0</v>
      </c>
      <c r="AC635" s="46">
        <v>17846418</v>
      </c>
      <c r="AD635" s="46">
        <v>154</v>
      </c>
      <c r="AF635" s="47">
        <f t="shared" si="9"/>
        <v>17846418</v>
      </c>
    </row>
    <row r="636" spans="1:32" hidden="1" x14ac:dyDescent="0.3">
      <c r="A636" s="46" t="s">
        <v>614</v>
      </c>
      <c r="B636" s="46" t="str">
        <f>IFERROR(VLOOKUP($H636,매장구분!$B:$Z,2,0),"")</f>
        <v>파트너채널팀</v>
      </c>
      <c r="C636" s="46" t="str">
        <f>IFERROR(VLOOKUP($H636,매장구분!$B:$Z,3,0),"")</f>
        <v>국내</v>
      </c>
      <c r="D636" s="46" t="str">
        <f>IFERROR(VLOOKUP($H636,매장구분!$B:$Z,5,0),"")</f>
        <v>백화점</v>
      </c>
      <c r="E636" s="46" t="str">
        <f>IFERROR(VLOOKUP($H636,매장구분!$B:$Z,9,0),"")</f>
        <v>롯데청량리</v>
      </c>
      <c r="G636" s="46" t="s">
        <v>255</v>
      </c>
      <c r="H636" s="46" t="s">
        <v>256</v>
      </c>
      <c r="I636" s="46" t="s">
        <v>169</v>
      </c>
      <c r="J636" s="46" t="s">
        <v>175</v>
      </c>
      <c r="K636" s="46" t="s">
        <v>170</v>
      </c>
      <c r="L636" s="46" t="s">
        <v>171</v>
      </c>
      <c r="M636" s="46" t="s">
        <v>77</v>
      </c>
      <c r="N636" s="46" t="s">
        <v>172</v>
      </c>
      <c r="O636" s="46">
        <v>11605100</v>
      </c>
      <c r="P636" s="46">
        <v>117</v>
      </c>
      <c r="Q636" s="46">
        <v>393000</v>
      </c>
      <c r="R636" s="46">
        <v>4</v>
      </c>
      <c r="S636" s="46">
        <v>0</v>
      </c>
      <c r="T636" s="46">
        <v>0</v>
      </c>
      <c r="U636" s="46">
        <v>179000</v>
      </c>
      <c r="V636" s="46">
        <v>1</v>
      </c>
      <c r="W636" s="46">
        <v>0</v>
      </c>
      <c r="X636" s="46">
        <v>0</v>
      </c>
      <c r="Y636" s="48">
        <v>238000</v>
      </c>
      <c r="Z636" s="46">
        <v>2</v>
      </c>
      <c r="AA636" s="46">
        <v>0</v>
      </c>
      <c r="AB636" s="46">
        <v>0</v>
      </c>
      <c r="AC636" s="46">
        <v>12415100</v>
      </c>
      <c r="AD636" s="46">
        <v>124</v>
      </c>
      <c r="AF636" s="47">
        <f t="shared" si="9"/>
        <v>12177100</v>
      </c>
    </row>
    <row r="637" spans="1:32" hidden="1" x14ac:dyDescent="0.3">
      <c r="A637" s="46" t="s">
        <v>614</v>
      </c>
      <c r="B637" s="46" t="str">
        <f>IFERROR(VLOOKUP($H637,매장구분!$B:$Z,2,0),"")</f>
        <v>리테일채널팀</v>
      </c>
      <c r="C637" s="46" t="str">
        <f>IFERROR(VLOOKUP($H637,매장구분!$B:$Z,3,0),"")</f>
        <v>국내</v>
      </c>
      <c r="D637" s="46" t="str">
        <f>IFERROR(VLOOKUP($H637,매장구분!$B:$Z,5,0),"")</f>
        <v>대리점</v>
      </c>
      <c r="E637" s="46" t="str">
        <f>IFERROR(VLOOKUP($H637,매장구분!$B:$Z,9,0),"")</f>
        <v>시흥(대-위)</v>
      </c>
      <c r="G637" s="46" t="s">
        <v>330</v>
      </c>
      <c r="H637" s="46" t="s">
        <v>331</v>
      </c>
      <c r="I637" s="46" t="s">
        <v>169</v>
      </c>
      <c r="J637" s="46" t="s">
        <v>79</v>
      </c>
      <c r="K637" s="46" t="s">
        <v>170</v>
      </c>
      <c r="L637" s="46" t="s">
        <v>171</v>
      </c>
      <c r="M637" s="46" t="s">
        <v>196</v>
      </c>
      <c r="N637" s="46" t="s">
        <v>197</v>
      </c>
      <c r="O637" s="46">
        <v>5826308</v>
      </c>
      <c r="P637" s="46">
        <v>65</v>
      </c>
      <c r="Q637" s="46">
        <v>0</v>
      </c>
      <c r="R637" s="46">
        <v>0</v>
      </c>
      <c r="S637" s="46">
        <v>0</v>
      </c>
      <c r="T637" s="46">
        <v>0</v>
      </c>
      <c r="U637" s="46">
        <v>521692</v>
      </c>
      <c r="V637" s="46">
        <v>3</v>
      </c>
      <c r="W637" s="46">
        <v>0</v>
      </c>
      <c r="X637" s="46">
        <v>0</v>
      </c>
      <c r="Y637" s="48">
        <v>0</v>
      </c>
      <c r="Z637" s="46">
        <v>0</v>
      </c>
      <c r="AA637" s="46">
        <v>0</v>
      </c>
      <c r="AB637" s="46">
        <v>0</v>
      </c>
      <c r="AC637" s="46">
        <v>6348000</v>
      </c>
      <c r="AD637" s="46">
        <v>68</v>
      </c>
      <c r="AF637" s="47">
        <f t="shared" si="9"/>
        <v>6348000</v>
      </c>
    </row>
    <row r="638" spans="1:32" hidden="1" x14ac:dyDescent="0.3">
      <c r="A638" s="46" t="s">
        <v>614</v>
      </c>
      <c r="B638" s="46" t="str">
        <f>IFERROR(VLOOKUP($H638,매장구분!$B:$Z,2,0),"")</f>
        <v>리테일채널팀</v>
      </c>
      <c r="C638" s="46" t="str">
        <f>IFERROR(VLOOKUP($H638,매장구분!$B:$Z,3,0),"")</f>
        <v>국내</v>
      </c>
      <c r="D638" s="46" t="str">
        <f>IFERROR(VLOOKUP($H638,매장구분!$B:$Z,5,0),"")</f>
        <v>대리점</v>
      </c>
      <c r="E638" s="46" t="str">
        <f>IFERROR(VLOOKUP($H638,매장구분!$B:$Z,9,0),"")</f>
        <v>통영(대-위)</v>
      </c>
      <c r="G638" s="46" t="s">
        <v>506</v>
      </c>
      <c r="H638" s="46" t="s">
        <v>507</v>
      </c>
      <c r="I638" s="46" t="s">
        <v>169</v>
      </c>
      <c r="J638" s="46" t="s">
        <v>79</v>
      </c>
      <c r="K638" s="46" t="s">
        <v>170</v>
      </c>
      <c r="L638" s="46" t="s">
        <v>171</v>
      </c>
      <c r="M638" s="46" t="s">
        <v>196</v>
      </c>
      <c r="N638" s="46" t="s">
        <v>197</v>
      </c>
      <c r="O638" s="46">
        <v>8151810</v>
      </c>
      <c r="P638" s="46">
        <v>73</v>
      </c>
      <c r="Q638" s="46">
        <v>0</v>
      </c>
      <c r="R638" s="46">
        <v>0</v>
      </c>
      <c r="S638" s="46">
        <v>0</v>
      </c>
      <c r="T638" s="46">
        <v>0</v>
      </c>
      <c r="U638" s="46">
        <v>834000</v>
      </c>
      <c r="V638" s="46">
        <v>6</v>
      </c>
      <c r="W638" s="46">
        <v>0</v>
      </c>
      <c r="X638" s="46">
        <v>0</v>
      </c>
      <c r="Y638" s="48">
        <v>0</v>
      </c>
      <c r="Z638" s="46">
        <v>0</v>
      </c>
      <c r="AA638" s="46">
        <v>0</v>
      </c>
      <c r="AB638" s="46">
        <v>0</v>
      </c>
      <c r="AC638" s="46">
        <v>8985810</v>
      </c>
      <c r="AD638" s="46">
        <v>79</v>
      </c>
      <c r="AF638" s="47">
        <f t="shared" si="9"/>
        <v>8985810</v>
      </c>
    </row>
    <row r="639" spans="1:32" hidden="1" x14ac:dyDescent="0.3">
      <c r="A639" s="46" t="s">
        <v>614</v>
      </c>
      <c r="B639" s="46" t="str">
        <f>IFERROR(VLOOKUP($H639,매장구분!$B:$Z,2,0),"")</f>
        <v>리테일채널팀</v>
      </c>
      <c r="C639" s="46" t="str">
        <f>IFERROR(VLOOKUP($H639,매장구분!$B:$Z,3,0),"")</f>
        <v>국내</v>
      </c>
      <c r="D639" s="46" t="str">
        <f>IFERROR(VLOOKUP($H639,매장구분!$B:$Z,5,0),"")</f>
        <v>상설(위탁)</v>
      </c>
      <c r="E639" s="46" t="str">
        <f>IFERROR(VLOOKUP($H639,매장구분!$B:$Z,9,0),"")</f>
        <v>롯데아울렛군산(상-위)</v>
      </c>
      <c r="G639" s="46" t="s">
        <v>602</v>
      </c>
      <c r="H639" s="46" t="s">
        <v>603</v>
      </c>
      <c r="I639" s="46" t="s">
        <v>169</v>
      </c>
      <c r="J639" s="46" t="s">
        <v>79</v>
      </c>
      <c r="K639" s="46" t="s">
        <v>170</v>
      </c>
      <c r="L639" s="46" t="s">
        <v>171</v>
      </c>
      <c r="M639" s="46" t="s">
        <v>219</v>
      </c>
      <c r="N639" s="46" t="s">
        <v>219</v>
      </c>
      <c r="O639" s="46">
        <v>720000</v>
      </c>
      <c r="P639" s="46">
        <v>20</v>
      </c>
      <c r="Q639" s="46">
        <v>0</v>
      </c>
      <c r="R639" s="46">
        <v>0</v>
      </c>
      <c r="S639" s="46">
        <v>0</v>
      </c>
      <c r="T639" s="46">
        <v>0</v>
      </c>
      <c r="U639" s="46">
        <v>0</v>
      </c>
      <c r="V639" s="46">
        <v>0</v>
      </c>
      <c r="W639" s="46">
        <v>0</v>
      </c>
      <c r="X639" s="46">
        <v>0</v>
      </c>
      <c r="Y639" s="48">
        <v>0</v>
      </c>
      <c r="Z639" s="46">
        <v>0</v>
      </c>
      <c r="AA639" s="46">
        <v>0</v>
      </c>
      <c r="AB639" s="46">
        <v>0</v>
      </c>
      <c r="AC639" s="46">
        <v>720000</v>
      </c>
      <c r="AD639" s="46">
        <v>20</v>
      </c>
      <c r="AF639" s="47">
        <f t="shared" si="9"/>
        <v>720000</v>
      </c>
    </row>
    <row r="640" spans="1:32" hidden="1" x14ac:dyDescent="0.3">
      <c r="A640" s="46" t="s">
        <v>614</v>
      </c>
      <c r="B640" s="46" t="str">
        <f>IFERROR(VLOOKUP($H640,매장구분!$B:$Z,2,0),"")</f>
        <v>리테일채널팀</v>
      </c>
      <c r="C640" s="46" t="str">
        <f>IFERROR(VLOOKUP($H640,매장구분!$B:$Z,3,0),"")</f>
        <v>국내</v>
      </c>
      <c r="D640" s="46" t="str">
        <f>IFERROR(VLOOKUP($H640,매장구분!$B:$Z,5,0),"")</f>
        <v>상설(위탁)</v>
      </c>
      <c r="E640" s="46" t="str">
        <f>IFERROR(VLOOKUP($H640,매장구분!$B:$Z,9,0),"")</f>
        <v>롯데아울렛김해(상-위)</v>
      </c>
      <c r="G640" s="46" t="s">
        <v>370</v>
      </c>
      <c r="H640" s="46" t="s">
        <v>371</v>
      </c>
      <c r="I640" s="46" t="s">
        <v>169</v>
      </c>
      <c r="J640" s="46" t="s">
        <v>79</v>
      </c>
      <c r="K640" s="46" t="s">
        <v>170</v>
      </c>
      <c r="L640" s="46" t="s">
        <v>171</v>
      </c>
      <c r="M640" s="46" t="s">
        <v>219</v>
      </c>
      <c r="N640" s="46" t="s">
        <v>219</v>
      </c>
      <c r="O640" s="46">
        <v>4068000</v>
      </c>
      <c r="P640" s="46">
        <v>113</v>
      </c>
      <c r="Q640" s="46">
        <v>0</v>
      </c>
      <c r="R640" s="46">
        <v>0</v>
      </c>
      <c r="S640" s="46">
        <v>0</v>
      </c>
      <c r="T640" s="46">
        <v>0</v>
      </c>
      <c r="U640" s="46">
        <v>0</v>
      </c>
      <c r="V640" s="46">
        <v>0</v>
      </c>
      <c r="W640" s="46">
        <v>0</v>
      </c>
      <c r="X640" s="46">
        <v>0</v>
      </c>
      <c r="Y640" s="48">
        <v>0</v>
      </c>
      <c r="Z640" s="46">
        <v>0</v>
      </c>
      <c r="AA640" s="46">
        <v>0</v>
      </c>
      <c r="AB640" s="46">
        <v>0</v>
      </c>
      <c r="AC640" s="46">
        <v>4068000</v>
      </c>
      <c r="AD640" s="46">
        <v>113</v>
      </c>
      <c r="AF640" s="47">
        <f t="shared" si="9"/>
        <v>4068000</v>
      </c>
    </row>
    <row r="641" spans="1:32" hidden="1" x14ac:dyDescent="0.3">
      <c r="A641" s="46" t="s">
        <v>614</v>
      </c>
      <c r="B641" s="46" t="str">
        <f>IFERROR(VLOOKUP($H641,매장구분!$B:$Z,2,0),"")</f>
        <v>리테일채널팀</v>
      </c>
      <c r="C641" s="46" t="str">
        <f>IFERROR(VLOOKUP($H641,매장구분!$B:$Z,3,0),"")</f>
        <v>국내</v>
      </c>
      <c r="D641" s="46" t="str">
        <f>IFERROR(VLOOKUP($H641,매장구분!$B:$Z,5,0),"")</f>
        <v>상설(위탁)</v>
      </c>
      <c r="E641" s="46" t="str">
        <f>IFERROR(VLOOKUP($H641,매장구분!$B:$Z,9,0),"")</f>
        <v>롯데아울렛봉무(상-위)</v>
      </c>
      <c r="G641" s="46" t="s">
        <v>220</v>
      </c>
      <c r="H641" s="46" t="s">
        <v>221</v>
      </c>
      <c r="I641" s="46" t="s">
        <v>169</v>
      </c>
      <c r="J641" s="46" t="s">
        <v>79</v>
      </c>
      <c r="K641" s="46" t="s">
        <v>170</v>
      </c>
      <c r="L641" s="46" t="s">
        <v>171</v>
      </c>
      <c r="M641" s="46" t="s">
        <v>219</v>
      </c>
      <c r="N641" s="46" t="s">
        <v>219</v>
      </c>
      <c r="O641" s="46">
        <v>3096000</v>
      </c>
      <c r="P641" s="46">
        <v>86</v>
      </c>
      <c r="Q641" s="46">
        <v>0</v>
      </c>
      <c r="R641" s="46">
        <v>0</v>
      </c>
      <c r="S641" s="46">
        <v>0</v>
      </c>
      <c r="T641" s="46">
        <v>0</v>
      </c>
      <c r="U641" s="46">
        <v>0</v>
      </c>
      <c r="V641" s="46">
        <v>0</v>
      </c>
      <c r="W641" s="46">
        <v>0</v>
      </c>
      <c r="X641" s="46">
        <v>0</v>
      </c>
      <c r="Y641" s="48">
        <v>0</v>
      </c>
      <c r="Z641" s="46">
        <v>0</v>
      </c>
      <c r="AA641" s="46">
        <v>0</v>
      </c>
      <c r="AB641" s="46">
        <v>0</v>
      </c>
      <c r="AC641" s="46">
        <v>3096000</v>
      </c>
      <c r="AD641" s="46">
        <v>86</v>
      </c>
      <c r="AF641" s="47">
        <f t="shared" si="9"/>
        <v>3096000</v>
      </c>
    </row>
    <row r="642" spans="1:32" hidden="1" x14ac:dyDescent="0.3">
      <c r="A642" s="46" t="s">
        <v>614</v>
      </c>
      <c r="B642" s="46" t="str">
        <f>IFERROR(VLOOKUP($H642,매장구분!$B:$Z,2,0),"")</f>
        <v>리테일채널팀</v>
      </c>
      <c r="C642" s="46" t="str">
        <f>IFERROR(VLOOKUP($H642,매장구분!$B:$Z,3,0),"")</f>
        <v>국내</v>
      </c>
      <c r="D642" s="46" t="str">
        <f>IFERROR(VLOOKUP($H642,매장구분!$B:$Z,5,0),"")</f>
        <v>대리점</v>
      </c>
      <c r="E642" s="46" t="str">
        <f>IFERROR(VLOOKUP($H642,매장구분!$B:$Z,9,0),"")</f>
        <v>포천(대-위)</v>
      </c>
      <c r="G642" s="46" t="s">
        <v>289</v>
      </c>
      <c r="H642" s="46" t="s">
        <v>290</v>
      </c>
      <c r="I642" s="46" t="s">
        <v>169</v>
      </c>
      <c r="J642" s="46" t="s">
        <v>79</v>
      </c>
      <c r="K642" s="46" t="s">
        <v>170</v>
      </c>
      <c r="L642" s="46" t="s">
        <v>171</v>
      </c>
      <c r="M642" s="46" t="s">
        <v>196</v>
      </c>
      <c r="N642" s="46" t="s">
        <v>197</v>
      </c>
      <c r="O642" s="46">
        <v>20850800</v>
      </c>
      <c r="P642" s="46">
        <v>175</v>
      </c>
      <c r="Q642" s="46">
        <v>0</v>
      </c>
      <c r="R642" s="46">
        <v>0</v>
      </c>
      <c r="S642" s="46">
        <v>0</v>
      </c>
      <c r="T642" s="46">
        <v>0</v>
      </c>
      <c r="U642" s="46">
        <v>795200</v>
      </c>
      <c r="V642" s="46">
        <v>5</v>
      </c>
      <c r="W642" s="46">
        <v>0</v>
      </c>
      <c r="X642" s="46">
        <v>0</v>
      </c>
      <c r="Y642" s="48">
        <v>0</v>
      </c>
      <c r="Z642" s="46">
        <v>0</v>
      </c>
      <c r="AA642" s="46">
        <v>0</v>
      </c>
      <c r="AB642" s="46">
        <v>0</v>
      </c>
      <c r="AC642" s="46">
        <v>21646000</v>
      </c>
      <c r="AD642" s="46">
        <v>180</v>
      </c>
      <c r="AF642" s="47">
        <f t="shared" si="9"/>
        <v>21646000</v>
      </c>
    </row>
    <row r="643" spans="1:32" hidden="1" x14ac:dyDescent="0.3">
      <c r="A643" s="46" t="s">
        <v>614</v>
      </c>
      <c r="B643" s="46" t="str">
        <f>IFERROR(VLOOKUP($H643,매장구분!$B:$Z,2,0),"")</f>
        <v>파트너채널팀</v>
      </c>
      <c r="C643" s="46" t="str">
        <f>IFERROR(VLOOKUP($H643,매장구분!$B:$Z,3,0),"")</f>
        <v>국내</v>
      </c>
      <c r="D643" s="46" t="str">
        <f>IFERROR(VLOOKUP($H643,매장구분!$B:$Z,5,0),"")</f>
        <v>백화점</v>
      </c>
      <c r="E643" s="46" t="str">
        <f>IFERROR(VLOOKUP($H643,매장구분!$B:$Z,9,0),"")</f>
        <v>롯데영등포</v>
      </c>
      <c r="G643" s="46" t="s">
        <v>202</v>
      </c>
      <c r="H643" s="46" t="s">
        <v>203</v>
      </c>
      <c r="I643" s="46" t="s">
        <v>169</v>
      </c>
      <c r="J643" s="46" t="s">
        <v>175</v>
      </c>
      <c r="K643" s="46" t="s">
        <v>170</v>
      </c>
      <c r="L643" s="46" t="s">
        <v>171</v>
      </c>
      <c r="M643" s="46" t="s">
        <v>77</v>
      </c>
      <c r="N643" s="46" t="s">
        <v>172</v>
      </c>
      <c r="O643" s="46">
        <v>18869400</v>
      </c>
      <c r="P643" s="46">
        <v>128</v>
      </c>
      <c r="Q643" s="46">
        <v>8353900</v>
      </c>
      <c r="R643" s="46">
        <v>98</v>
      </c>
      <c r="S643" s="46">
        <v>0</v>
      </c>
      <c r="T643" s="46">
        <v>0</v>
      </c>
      <c r="U643" s="46">
        <v>537000</v>
      </c>
      <c r="V643" s="46">
        <v>3</v>
      </c>
      <c r="W643" s="46">
        <v>0</v>
      </c>
      <c r="X643" s="46">
        <v>0</v>
      </c>
      <c r="Y643" s="48">
        <v>0</v>
      </c>
      <c r="Z643" s="46">
        <v>0</v>
      </c>
      <c r="AA643" s="46">
        <v>0</v>
      </c>
      <c r="AB643" s="46">
        <v>0</v>
      </c>
      <c r="AC643" s="46">
        <v>27760300</v>
      </c>
      <c r="AD643" s="46">
        <v>229</v>
      </c>
      <c r="AF643" s="47">
        <f t="shared" ref="AF643:AF706" si="10">IFERROR(AC643-Y643,"")</f>
        <v>27760300</v>
      </c>
    </row>
    <row r="644" spans="1:32" hidden="1" x14ac:dyDescent="0.3">
      <c r="A644" s="46" t="s">
        <v>614</v>
      </c>
      <c r="B644" s="46" t="str">
        <f>IFERROR(VLOOKUP($H644,매장구분!$B:$Z,2,0),"")</f>
        <v>파트너채널팀</v>
      </c>
      <c r="C644" s="46" t="str">
        <f>IFERROR(VLOOKUP($H644,매장구분!$B:$Z,3,0),"")</f>
        <v>국내</v>
      </c>
      <c r="D644" s="46" t="str">
        <f>IFERROR(VLOOKUP($H644,매장구분!$B:$Z,5,0),"")</f>
        <v>백화점</v>
      </c>
      <c r="E644" s="46" t="str">
        <f>IFERROR(VLOOKUP($H644,매장구분!$B:$Z,9,0),"")</f>
        <v>엔터식스안양</v>
      </c>
      <c r="G644" s="46" t="s">
        <v>414</v>
      </c>
      <c r="H644" s="46" t="s">
        <v>415</v>
      </c>
      <c r="I644" s="46" t="s">
        <v>169</v>
      </c>
      <c r="J644" s="46" t="s">
        <v>175</v>
      </c>
      <c r="K644" s="46" t="s">
        <v>170</v>
      </c>
      <c r="L644" s="46" t="s">
        <v>171</v>
      </c>
      <c r="M644" s="46" t="s">
        <v>188</v>
      </c>
      <c r="N644" s="46" t="s">
        <v>317</v>
      </c>
      <c r="O644" s="46">
        <v>12969400</v>
      </c>
      <c r="P644" s="46">
        <v>155</v>
      </c>
      <c r="Q644" s="46">
        <v>6001000</v>
      </c>
      <c r="R644" s="46">
        <v>27</v>
      </c>
      <c r="S644" s="46">
        <v>0</v>
      </c>
      <c r="T644" s="46">
        <v>0</v>
      </c>
      <c r="U644" s="46">
        <v>776300</v>
      </c>
      <c r="V644" s="46">
        <v>5</v>
      </c>
      <c r="W644" s="46">
        <v>0</v>
      </c>
      <c r="X644" s="46">
        <v>0</v>
      </c>
      <c r="Y644" s="48">
        <v>0</v>
      </c>
      <c r="Z644" s="46">
        <v>0</v>
      </c>
      <c r="AA644" s="46">
        <v>0</v>
      </c>
      <c r="AB644" s="46">
        <v>0</v>
      </c>
      <c r="AC644" s="46">
        <v>19746700</v>
      </c>
      <c r="AD644" s="46">
        <v>187</v>
      </c>
      <c r="AF644" s="47">
        <f t="shared" si="10"/>
        <v>19746700</v>
      </c>
    </row>
    <row r="645" spans="1:32" hidden="1" x14ac:dyDescent="0.3">
      <c r="A645" s="46" t="s">
        <v>614</v>
      </c>
      <c r="B645" s="46" t="str">
        <f>IFERROR(VLOOKUP($H645,매장구분!$B:$Z,2,0),"")</f>
        <v>파트너채널팀</v>
      </c>
      <c r="C645" s="46" t="str">
        <f>IFERROR(VLOOKUP($H645,매장구분!$B:$Z,3,0),"")</f>
        <v>국내</v>
      </c>
      <c r="D645" s="46" t="str">
        <f>IFERROR(VLOOKUP($H645,매장구분!$B:$Z,5,0),"")</f>
        <v>백화점</v>
      </c>
      <c r="E645" s="46" t="str">
        <f>IFERROR(VLOOKUP($H645,매장구분!$B:$Z,9,0),"")</f>
        <v>현대천호</v>
      </c>
      <c r="G645" s="46" t="s">
        <v>305</v>
      </c>
      <c r="H645" s="46" t="s">
        <v>306</v>
      </c>
      <c r="I645" s="46" t="s">
        <v>169</v>
      </c>
      <c r="J645" s="46" t="s">
        <v>175</v>
      </c>
      <c r="K645" s="46" t="s">
        <v>170</v>
      </c>
      <c r="L645" s="46" t="s">
        <v>171</v>
      </c>
      <c r="M645" s="46" t="s">
        <v>77</v>
      </c>
      <c r="N645" s="46" t="s">
        <v>172</v>
      </c>
      <c r="O645" s="46">
        <v>8285300</v>
      </c>
      <c r="P645" s="46">
        <v>88</v>
      </c>
      <c r="Q645" s="46">
        <v>3964000</v>
      </c>
      <c r="R645" s="46">
        <v>27</v>
      </c>
      <c r="S645" s="46">
        <v>0</v>
      </c>
      <c r="T645" s="46">
        <v>0</v>
      </c>
      <c r="U645" s="46">
        <v>1203000</v>
      </c>
      <c r="V645" s="46">
        <v>11</v>
      </c>
      <c r="W645" s="46">
        <v>0</v>
      </c>
      <c r="X645" s="46">
        <v>0</v>
      </c>
      <c r="Y645" s="48">
        <v>8188200</v>
      </c>
      <c r="Z645" s="46">
        <v>63</v>
      </c>
      <c r="AA645" s="46">
        <v>0</v>
      </c>
      <c r="AB645" s="46">
        <v>0</v>
      </c>
      <c r="AC645" s="46">
        <v>21640500</v>
      </c>
      <c r="AD645" s="46">
        <v>189</v>
      </c>
      <c r="AF645" s="47">
        <f t="shared" si="10"/>
        <v>13452300</v>
      </c>
    </row>
    <row r="646" spans="1:32" hidden="1" x14ac:dyDescent="0.3">
      <c r="A646" s="46" t="s">
        <v>614</v>
      </c>
      <c r="B646" s="46" t="str">
        <f>IFERROR(VLOOKUP($H646,매장구분!$B:$Z,2,0),"")</f>
        <v>파트너채널팀</v>
      </c>
      <c r="C646" s="46" t="str">
        <f>IFERROR(VLOOKUP($H646,매장구분!$B:$Z,3,0),"")</f>
        <v>국내</v>
      </c>
      <c r="D646" s="46" t="str">
        <f>IFERROR(VLOOKUP($H646,매장구분!$B:$Z,5,0),"")</f>
        <v>백화점</v>
      </c>
      <c r="E646" s="46" t="str">
        <f>IFERROR(VLOOKUP($H646,매장구분!$B:$Z,9,0),"")</f>
        <v>현대울산</v>
      </c>
      <c r="G646" s="46" t="s">
        <v>344</v>
      </c>
      <c r="H646" s="46" t="s">
        <v>345</v>
      </c>
      <c r="I646" s="46" t="s">
        <v>169</v>
      </c>
      <c r="J646" s="46" t="s">
        <v>175</v>
      </c>
      <c r="K646" s="46" t="s">
        <v>170</v>
      </c>
      <c r="L646" s="46" t="s">
        <v>171</v>
      </c>
      <c r="M646" s="46" t="s">
        <v>77</v>
      </c>
      <c r="N646" s="46" t="s">
        <v>172</v>
      </c>
      <c r="O646" s="46">
        <v>31063200</v>
      </c>
      <c r="P646" s="46">
        <v>227</v>
      </c>
      <c r="Q646" s="46">
        <v>0</v>
      </c>
      <c r="R646" s="46">
        <v>0</v>
      </c>
      <c r="S646" s="46">
        <v>0</v>
      </c>
      <c r="T646" s="46">
        <v>0</v>
      </c>
      <c r="U646" s="46">
        <v>4287300</v>
      </c>
      <c r="V646" s="46">
        <v>29</v>
      </c>
      <c r="W646" s="46">
        <v>0</v>
      </c>
      <c r="X646" s="46">
        <v>0</v>
      </c>
      <c r="Y646" s="48">
        <v>7524300</v>
      </c>
      <c r="Z646" s="46">
        <v>34</v>
      </c>
      <c r="AA646" s="46">
        <v>0</v>
      </c>
      <c r="AB646" s="46">
        <v>0</v>
      </c>
      <c r="AC646" s="46">
        <v>42874800</v>
      </c>
      <c r="AD646" s="46">
        <v>290</v>
      </c>
      <c r="AF646" s="47">
        <f t="shared" si="10"/>
        <v>35350500</v>
      </c>
    </row>
    <row r="647" spans="1:32" hidden="1" x14ac:dyDescent="0.3">
      <c r="A647" s="46" t="s">
        <v>614</v>
      </c>
      <c r="B647" s="46" t="str">
        <f>IFERROR(VLOOKUP($H647,매장구분!$B:$Z,2,0),"")</f>
        <v>파트너채널팀</v>
      </c>
      <c r="C647" s="46" t="str">
        <f>IFERROR(VLOOKUP($H647,매장구분!$B:$Z,3,0),"")</f>
        <v>국내</v>
      </c>
      <c r="D647" s="46" t="str">
        <f>IFERROR(VLOOKUP($H647,매장구분!$B:$Z,5,0),"")</f>
        <v>백화점</v>
      </c>
      <c r="E647" s="46" t="str">
        <f>IFERROR(VLOOKUP($H647,매장구분!$B:$Z,9,0),"")</f>
        <v>에버세이브청주</v>
      </c>
      <c r="G647" s="46" t="s">
        <v>328</v>
      </c>
      <c r="H647" s="46" t="s">
        <v>329</v>
      </c>
      <c r="I647" s="46" t="s">
        <v>169</v>
      </c>
      <c r="J647" s="46" t="s">
        <v>175</v>
      </c>
      <c r="K647" s="46" t="s">
        <v>170</v>
      </c>
      <c r="L647" s="46" t="s">
        <v>171</v>
      </c>
      <c r="M647" s="46" t="s">
        <v>77</v>
      </c>
      <c r="N647" s="46" t="s">
        <v>238</v>
      </c>
      <c r="O647" s="46">
        <v>18519018</v>
      </c>
      <c r="P647" s="46">
        <v>147</v>
      </c>
      <c r="Q647" s="46">
        <v>0</v>
      </c>
      <c r="R647" s="46">
        <v>0</v>
      </c>
      <c r="S647" s="46">
        <v>0</v>
      </c>
      <c r="T647" s="46">
        <v>0</v>
      </c>
      <c r="U647" s="46">
        <v>2089482</v>
      </c>
      <c r="V647" s="46">
        <v>13</v>
      </c>
      <c r="W647" s="46">
        <v>0</v>
      </c>
      <c r="X647" s="46">
        <v>0</v>
      </c>
      <c r="Y647" s="48">
        <v>0</v>
      </c>
      <c r="Z647" s="46">
        <v>0</v>
      </c>
      <c r="AA647" s="46">
        <v>0</v>
      </c>
      <c r="AB647" s="46">
        <v>0</v>
      </c>
      <c r="AC647" s="46">
        <v>20608500</v>
      </c>
      <c r="AD647" s="46">
        <v>160</v>
      </c>
      <c r="AF647" s="47">
        <f t="shared" si="10"/>
        <v>20608500</v>
      </c>
    </row>
    <row r="648" spans="1:32" hidden="1" x14ac:dyDescent="0.3">
      <c r="A648" s="46" t="s">
        <v>614</v>
      </c>
      <c r="B648" s="46" t="str">
        <f>IFERROR(VLOOKUP($H648,매장구분!$B:$Z,2,0),"")</f>
        <v>리테일채널팀</v>
      </c>
      <c r="C648" s="46" t="str">
        <f>IFERROR(VLOOKUP($H648,매장구분!$B:$Z,3,0),"")</f>
        <v>국내</v>
      </c>
      <c r="D648" s="46" t="str">
        <f>IFERROR(VLOOKUP($H648,매장구분!$B:$Z,5,0),"")</f>
        <v>대리점</v>
      </c>
      <c r="E648" s="46" t="str">
        <f>IFERROR(VLOOKUP($H648,매장구분!$B:$Z,9,0),"")</f>
        <v>포항(대-위)</v>
      </c>
      <c r="G648" s="46" t="s">
        <v>338</v>
      </c>
      <c r="H648" s="46" t="s">
        <v>339</v>
      </c>
      <c r="I648" s="46" t="s">
        <v>169</v>
      </c>
      <c r="J648" s="46" t="s">
        <v>79</v>
      </c>
      <c r="K648" s="46" t="s">
        <v>170</v>
      </c>
      <c r="L648" s="46" t="s">
        <v>171</v>
      </c>
      <c r="M648" s="46" t="s">
        <v>196</v>
      </c>
      <c r="N648" s="46" t="s">
        <v>197</v>
      </c>
      <c r="O648" s="46">
        <v>17705400</v>
      </c>
      <c r="P648" s="46">
        <v>143</v>
      </c>
      <c r="Q648" s="46">
        <v>0</v>
      </c>
      <c r="R648" s="46">
        <v>0</v>
      </c>
      <c r="S648" s="46">
        <v>0</v>
      </c>
      <c r="T648" s="46">
        <v>0</v>
      </c>
      <c r="U648" s="46">
        <v>238200</v>
      </c>
      <c r="V648" s="46">
        <v>3</v>
      </c>
      <c r="W648" s="46">
        <v>0</v>
      </c>
      <c r="X648" s="46">
        <v>0</v>
      </c>
      <c r="Y648" s="48">
        <v>0</v>
      </c>
      <c r="Z648" s="46">
        <v>0</v>
      </c>
      <c r="AA648" s="46">
        <v>0</v>
      </c>
      <c r="AB648" s="46">
        <v>0</v>
      </c>
      <c r="AC648" s="46">
        <v>17943600</v>
      </c>
      <c r="AD648" s="46">
        <v>146</v>
      </c>
      <c r="AF648" s="47">
        <f t="shared" si="10"/>
        <v>17943600</v>
      </c>
    </row>
    <row r="649" spans="1:32" hidden="1" x14ac:dyDescent="0.3">
      <c r="A649" s="46" t="s">
        <v>614</v>
      </c>
      <c r="B649" s="46" t="str">
        <f>IFERROR(VLOOKUP($H649,매장구분!$B:$Z,2,0),"")</f>
        <v>파트너채널팀</v>
      </c>
      <c r="C649" s="46" t="str">
        <f>IFERROR(VLOOKUP($H649,매장구분!$B:$Z,3,0),"")</f>
        <v>면세</v>
      </c>
      <c r="D649" s="46" t="str">
        <f>IFERROR(VLOOKUP($H649,매장구분!$B:$Z,5,0),"")</f>
        <v>면세</v>
      </c>
      <c r="E649" s="46" t="str">
        <f>IFERROR(VLOOKUP($H649,매장구분!$B:$Z,9,0),"")</f>
        <v>신라면세용산</v>
      </c>
      <c r="G649" s="46" t="s">
        <v>542</v>
      </c>
      <c r="H649" s="46" t="s">
        <v>543</v>
      </c>
      <c r="I649" s="46" t="s">
        <v>169</v>
      </c>
      <c r="J649" s="46" t="s">
        <v>175</v>
      </c>
      <c r="K649" s="46" t="s">
        <v>170</v>
      </c>
      <c r="L649" s="46" t="s">
        <v>171</v>
      </c>
      <c r="M649" s="46" t="s">
        <v>176</v>
      </c>
      <c r="N649" s="46" t="s">
        <v>177</v>
      </c>
      <c r="O649" s="46">
        <v>2468000</v>
      </c>
      <c r="P649" s="46">
        <v>52</v>
      </c>
      <c r="Q649" s="46">
        <v>0</v>
      </c>
      <c r="R649" s="46">
        <v>0</v>
      </c>
      <c r="S649" s="46">
        <v>0</v>
      </c>
      <c r="T649" s="46">
        <v>0</v>
      </c>
      <c r="U649" s="46">
        <v>0</v>
      </c>
      <c r="V649" s="46">
        <v>0</v>
      </c>
      <c r="W649" s="46">
        <v>0</v>
      </c>
      <c r="X649" s="46">
        <v>0</v>
      </c>
      <c r="Y649" s="48">
        <v>186830400</v>
      </c>
      <c r="Z649" s="46">
        <v>3355</v>
      </c>
      <c r="AA649" s="46">
        <v>0</v>
      </c>
      <c r="AB649" s="46">
        <v>0</v>
      </c>
      <c r="AC649" s="46">
        <v>189298400</v>
      </c>
      <c r="AD649" s="46">
        <v>3407</v>
      </c>
      <c r="AF649" s="47">
        <f t="shared" si="10"/>
        <v>2468000</v>
      </c>
    </row>
    <row r="650" spans="1:32" hidden="1" x14ac:dyDescent="0.3">
      <c r="A650" s="46" t="s">
        <v>614</v>
      </c>
      <c r="B650" s="46" t="str">
        <f>IFERROR(VLOOKUP($H650,매장구분!$B:$Z,2,0),"")</f>
        <v>리테일채널팀</v>
      </c>
      <c r="C650" s="46" t="str">
        <f>IFERROR(VLOOKUP($H650,매장구분!$B:$Z,3,0),"")</f>
        <v>국내</v>
      </c>
      <c r="D650" s="46" t="str">
        <f>IFERROR(VLOOKUP($H650,매장구분!$B:$Z,5,0),"")</f>
        <v>대리점</v>
      </c>
      <c r="E650" s="46" t="str">
        <f>IFERROR(VLOOKUP($H650,매장구분!$B:$Z,9,0),"")</f>
        <v>정읍(대-위)</v>
      </c>
      <c r="G650" s="46" t="s">
        <v>318</v>
      </c>
      <c r="H650" s="46" t="s">
        <v>319</v>
      </c>
      <c r="I650" s="46" t="s">
        <v>169</v>
      </c>
      <c r="J650" s="46" t="s">
        <v>79</v>
      </c>
      <c r="K650" s="46" t="s">
        <v>170</v>
      </c>
      <c r="L650" s="46" t="s">
        <v>171</v>
      </c>
      <c r="M650" s="46" t="s">
        <v>196</v>
      </c>
      <c r="N650" s="46" t="s">
        <v>197</v>
      </c>
      <c r="O650" s="46">
        <v>9728000</v>
      </c>
      <c r="P650" s="46">
        <v>90</v>
      </c>
      <c r="Q650" s="46">
        <v>0</v>
      </c>
      <c r="R650" s="46">
        <v>0</v>
      </c>
      <c r="S650" s="46">
        <v>0</v>
      </c>
      <c r="T650" s="46">
        <v>0</v>
      </c>
      <c r="U650" s="46">
        <v>891100</v>
      </c>
      <c r="V650" s="46">
        <v>5</v>
      </c>
      <c r="W650" s="46">
        <v>0</v>
      </c>
      <c r="X650" s="46">
        <v>0</v>
      </c>
      <c r="Y650" s="48">
        <v>0</v>
      </c>
      <c r="Z650" s="46">
        <v>0</v>
      </c>
      <c r="AA650" s="46">
        <v>0</v>
      </c>
      <c r="AB650" s="46">
        <v>0</v>
      </c>
      <c r="AC650" s="46">
        <v>10619100</v>
      </c>
      <c r="AD650" s="46">
        <v>95</v>
      </c>
      <c r="AF650" s="47">
        <f t="shared" si="10"/>
        <v>10619100</v>
      </c>
    </row>
    <row r="651" spans="1:32" hidden="1" x14ac:dyDescent="0.3">
      <c r="A651" s="46" t="s">
        <v>614</v>
      </c>
      <c r="B651" s="46" t="str">
        <f>IFERROR(VLOOKUP($H651,매장구분!$B:$Z,2,0),"")</f>
        <v>리테일채널팀</v>
      </c>
      <c r="C651" s="46" t="str">
        <f>IFERROR(VLOOKUP($H651,매장구분!$B:$Z,3,0),"")</f>
        <v>국내</v>
      </c>
      <c r="D651" s="46" t="str">
        <f>IFERROR(VLOOKUP($H651,매장구분!$B:$Z,5,0),"")</f>
        <v>대리점</v>
      </c>
      <c r="E651" s="46" t="str">
        <f>IFERROR(VLOOKUP($H651,매장구분!$B:$Z,9,0),"")</f>
        <v>경기광주(대-위)</v>
      </c>
      <c r="G651" s="46" t="s">
        <v>362</v>
      </c>
      <c r="H651" s="46" t="s">
        <v>363</v>
      </c>
      <c r="I651" s="46" t="s">
        <v>169</v>
      </c>
      <c r="J651" s="46" t="s">
        <v>79</v>
      </c>
      <c r="K651" s="46" t="s">
        <v>170</v>
      </c>
      <c r="L651" s="46" t="s">
        <v>171</v>
      </c>
      <c r="M651" s="46" t="s">
        <v>196</v>
      </c>
      <c r="N651" s="46" t="s">
        <v>197</v>
      </c>
      <c r="O651" s="46">
        <v>9987000</v>
      </c>
      <c r="P651" s="46">
        <v>91</v>
      </c>
      <c r="Q651" s="46">
        <v>0</v>
      </c>
      <c r="R651" s="46">
        <v>0</v>
      </c>
      <c r="S651" s="46">
        <v>0</v>
      </c>
      <c r="T651" s="46">
        <v>0</v>
      </c>
      <c r="U651" s="46">
        <v>319000</v>
      </c>
      <c r="V651" s="46">
        <v>1</v>
      </c>
      <c r="W651" s="46">
        <v>0</v>
      </c>
      <c r="X651" s="46">
        <v>0</v>
      </c>
      <c r="Y651" s="48">
        <v>0</v>
      </c>
      <c r="Z651" s="46">
        <v>0</v>
      </c>
      <c r="AA651" s="46">
        <v>0</v>
      </c>
      <c r="AB651" s="46">
        <v>0</v>
      </c>
      <c r="AC651" s="46">
        <v>10306000</v>
      </c>
      <c r="AD651" s="46">
        <v>92</v>
      </c>
      <c r="AF651" s="47">
        <f t="shared" si="10"/>
        <v>10306000</v>
      </c>
    </row>
    <row r="652" spans="1:32" hidden="1" x14ac:dyDescent="0.3">
      <c r="A652" s="46" t="s">
        <v>614</v>
      </c>
      <c r="B652" s="46" t="str">
        <f>IFERROR(VLOOKUP($H652,매장구분!$B:$Z,2,0),"")</f>
        <v>파트너채널팀</v>
      </c>
      <c r="C652" s="46" t="str">
        <f>IFERROR(VLOOKUP($H652,매장구분!$B:$Z,3,0),"")</f>
        <v>국내</v>
      </c>
      <c r="D652" s="46" t="str">
        <f>IFERROR(VLOOKUP($H652,매장구분!$B:$Z,5,0),"")</f>
        <v>백화점</v>
      </c>
      <c r="E652" s="46" t="str">
        <f>IFERROR(VLOOKUP($H652,매장구분!$B:$Z,9,0),"")</f>
        <v>롯데아울렛의왕(직)</v>
      </c>
      <c r="G652" s="46" t="s">
        <v>352</v>
      </c>
      <c r="H652" s="46" t="s">
        <v>353</v>
      </c>
      <c r="I652" s="46" t="s">
        <v>169</v>
      </c>
      <c r="J652" s="46" t="s">
        <v>180</v>
      </c>
      <c r="K652" s="46" t="s">
        <v>170</v>
      </c>
      <c r="L652" s="46" t="s">
        <v>171</v>
      </c>
      <c r="M652" s="46" t="s">
        <v>219</v>
      </c>
      <c r="N652" s="46" t="s">
        <v>219</v>
      </c>
      <c r="O652" s="46">
        <v>13936523</v>
      </c>
      <c r="P652" s="46">
        <v>169</v>
      </c>
      <c r="Q652" s="46">
        <v>0</v>
      </c>
      <c r="R652" s="46">
        <v>0</v>
      </c>
      <c r="S652" s="46">
        <v>0</v>
      </c>
      <c r="T652" s="46">
        <v>0</v>
      </c>
      <c r="U652" s="46">
        <v>3959277</v>
      </c>
      <c r="V652" s="46">
        <v>19</v>
      </c>
      <c r="W652" s="46">
        <v>0</v>
      </c>
      <c r="X652" s="46">
        <v>0</v>
      </c>
      <c r="Y652" s="48">
        <v>0</v>
      </c>
      <c r="Z652" s="46">
        <v>0</v>
      </c>
      <c r="AA652" s="46">
        <v>0</v>
      </c>
      <c r="AB652" s="46">
        <v>0</v>
      </c>
      <c r="AC652" s="46">
        <v>17895800</v>
      </c>
      <c r="AD652" s="46">
        <v>188</v>
      </c>
      <c r="AF652" s="47">
        <f t="shared" si="10"/>
        <v>17895800</v>
      </c>
    </row>
    <row r="653" spans="1:32" hidden="1" x14ac:dyDescent="0.3">
      <c r="A653" s="46" t="s">
        <v>614</v>
      </c>
      <c r="B653" s="46" t="str">
        <f>IFERROR(VLOOKUP($H653,매장구분!$B:$Z,2,0),"")</f>
        <v>리테일채널팀</v>
      </c>
      <c r="C653" s="46" t="str">
        <f>IFERROR(VLOOKUP($H653,매장구분!$B:$Z,3,0),"")</f>
        <v>국내</v>
      </c>
      <c r="D653" s="46" t="str">
        <f>IFERROR(VLOOKUP($H653,매장구분!$B:$Z,5,0),"")</f>
        <v>대리점</v>
      </c>
      <c r="E653" s="46" t="str">
        <f>IFERROR(VLOOKUP($H653,매장구분!$B:$Z,9,0),"")</f>
        <v>목포하당(대-위)</v>
      </c>
      <c r="G653" s="46" t="s">
        <v>486</v>
      </c>
      <c r="H653" s="46" t="s">
        <v>487</v>
      </c>
      <c r="I653" s="46" t="s">
        <v>169</v>
      </c>
      <c r="J653" s="46" t="s">
        <v>79</v>
      </c>
      <c r="K653" s="46" t="s">
        <v>170</v>
      </c>
      <c r="L653" s="46" t="s">
        <v>171</v>
      </c>
      <c r="M653" s="46" t="s">
        <v>196</v>
      </c>
      <c r="N653" s="46" t="s">
        <v>197</v>
      </c>
      <c r="O653" s="46">
        <v>39447342</v>
      </c>
      <c r="P653" s="46">
        <v>275</v>
      </c>
      <c r="Q653" s="46">
        <v>0</v>
      </c>
      <c r="R653" s="46">
        <v>0</v>
      </c>
      <c r="S653" s="46">
        <v>0</v>
      </c>
      <c r="T653" s="46">
        <v>0</v>
      </c>
      <c r="U653" s="46">
        <v>2196000</v>
      </c>
      <c r="V653" s="46">
        <v>14</v>
      </c>
      <c r="W653" s="46">
        <v>0</v>
      </c>
      <c r="X653" s="46">
        <v>0</v>
      </c>
      <c r="Y653" s="48">
        <v>0</v>
      </c>
      <c r="Z653" s="46">
        <v>0</v>
      </c>
      <c r="AA653" s="46">
        <v>0</v>
      </c>
      <c r="AB653" s="46">
        <v>0</v>
      </c>
      <c r="AC653" s="46">
        <v>41643342</v>
      </c>
      <c r="AD653" s="46">
        <v>289</v>
      </c>
      <c r="AF653" s="47">
        <f t="shared" si="10"/>
        <v>41643342</v>
      </c>
    </row>
    <row r="654" spans="1:32" hidden="1" x14ac:dyDescent="0.3">
      <c r="A654" s="46" t="s">
        <v>614</v>
      </c>
      <c r="B654" s="46" t="str">
        <f>IFERROR(VLOOKUP($H654,매장구분!$B:$Z,2,0),"")</f>
        <v>리테일채널팀</v>
      </c>
      <c r="C654" s="46" t="str">
        <f>IFERROR(VLOOKUP($H654,매장구분!$B:$Z,3,0),"")</f>
        <v>국내</v>
      </c>
      <c r="D654" s="46" t="str">
        <f>IFERROR(VLOOKUP($H654,매장구분!$B:$Z,5,0),"")</f>
        <v>대리점</v>
      </c>
      <c r="E654" s="46" t="str">
        <f>IFERROR(VLOOKUP($H654,매장구분!$B:$Z,9,0),"")</f>
        <v>남양주삼패(대-위)</v>
      </c>
      <c r="G654" s="46" t="s">
        <v>586</v>
      </c>
      <c r="H654" s="46" t="s">
        <v>587</v>
      </c>
      <c r="I654" s="46" t="s">
        <v>169</v>
      </c>
      <c r="J654" s="46" t="s">
        <v>79</v>
      </c>
      <c r="K654" s="46" t="s">
        <v>170</v>
      </c>
      <c r="L654" s="46" t="s">
        <v>171</v>
      </c>
      <c r="M654" s="46" t="s">
        <v>196</v>
      </c>
      <c r="N654" s="46" t="s">
        <v>197</v>
      </c>
      <c r="O654" s="46">
        <v>6570576</v>
      </c>
      <c r="P654" s="46">
        <v>63</v>
      </c>
      <c r="Q654" s="46">
        <v>0</v>
      </c>
      <c r="R654" s="46">
        <v>0</v>
      </c>
      <c r="S654" s="46">
        <v>0</v>
      </c>
      <c r="T654" s="46">
        <v>0</v>
      </c>
      <c r="U654" s="46">
        <v>1262424</v>
      </c>
      <c r="V654" s="46">
        <v>10</v>
      </c>
      <c r="W654" s="46">
        <v>0</v>
      </c>
      <c r="X654" s="46">
        <v>0</v>
      </c>
      <c r="Y654" s="48">
        <v>32151500</v>
      </c>
      <c r="Z654" s="46">
        <v>244</v>
      </c>
      <c r="AA654" s="46">
        <v>0</v>
      </c>
      <c r="AB654" s="46">
        <v>0</v>
      </c>
      <c r="AC654" s="46">
        <v>39984500</v>
      </c>
      <c r="AD654" s="46">
        <v>317</v>
      </c>
      <c r="AF654" s="47">
        <f t="shared" si="10"/>
        <v>7833000</v>
      </c>
    </row>
    <row r="655" spans="1:32" hidden="1" x14ac:dyDescent="0.3">
      <c r="A655" s="46" t="s">
        <v>614</v>
      </c>
      <c r="B655" s="46" t="str">
        <f>IFERROR(VLOOKUP($H655,매장구분!$B:$Z,2,0),"")</f>
        <v>리테일채널팀</v>
      </c>
      <c r="C655" s="46" t="str">
        <f>IFERROR(VLOOKUP($H655,매장구분!$B:$Z,3,0),"")</f>
        <v>국내</v>
      </c>
      <c r="D655" s="46" t="str">
        <f>IFERROR(VLOOKUP($H655,매장구분!$B:$Z,5,0),"")</f>
        <v>대리점</v>
      </c>
      <c r="E655" s="46" t="str">
        <f>IFERROR(VLOOKUP($H655,매장구분!$B:$Z,9,0),"")</f>
        <v>부평(대-위)</v>
      </c>
      <c r="G655" s="46" t="s">
        <v>588</v>
      </c>
      <c r="H655" s="46" t="s">
        <v>589</v>
      </c>
      <c r="I655" s="46" t="s">
        <v>169</v>
      </c>
      <c r="J655" s="46" t="s">
        <v>79</v>
      </c>
      <c r="K655" s="46" t="s">
        <v>170</v>
      </c>
      <c r="L655" s="46" t="s">
        <v>171</v>
      </c>
      <c r="M655" s="46" t="s">
        <v>196</v>
      </c>
      <c r="N655" s="46" t="s">
        <v>197</v>
      </c>
      <c r="O655" s="46">
        <v>15445100</v>
      </c>
      <c r="P655" s="46">
        <v>143</v>
      </c>
      <c r="Q655" s="46">
        <v>0</v>
      </c>
      <c r="R655" s="46">
        <v>0</v>
      </c>
      <c r="S655" s="46">
        <v>0</v>
      </c>
      <c r="T655" s="46">
        <v>0</v>
      </c>
      <c r="U655" s="46">
        <v>1035500</v>
      </c>
      <c r="V655" s="46">
        <v>2</v>
      </c>
      <c r="W655" s="46">
        <v>0</v>
      </c>
      <c r="X655" s="46">
        <v>0</v>
      </c>
      <c r="Y655" s="48">
        <v>0</v>
      </c>
      <c r="Z655" s="46">
        <v>0</v>
      </c>
      <c r="AA655" s="46">
        <v>0</v>
      </c>
      <c r="AB655" s="46">
        <v>0</v>
      </c>
      <c r="AC655" s="46">
        <v>16480600</v>
      </c>
      <c r="AD655" s="46">
        <v>145</v>
      </c>
      <c r="AF655" s="47">
        <f t="shared" si="10"/>
        <v>16480600</v>
      </c>
    </row>
    <row r="656" spans="1:32" hidden="1" x14ac:dyDescent="0.3">
      <c r="A656" s="46" t="s">
        <v>614</v>
      </c>
      <c r="B656" s="46" t="str">
        <f>IFERROR(VLOOKUP($H656,매장구분!$B:$Z,2,0),"")</f>
        <v>파트너채널팀</v>
      </c>
      <c r="C656" s="46" t="str">
        <f>IFERROR(VLOOKUP($H656,매장구분!$B:$Z,3,0),"")</f>
        <v>면세</v>
      </c>
      <c r="D656" s="46" t="str">
        <f>IFERROR(VLOOKUP($H656,매장구분!$B:$Z,5,0),"")</f>
        <v>면세</v>
      </c>
      <c r="E656" s="46" t="str">
        <f>IFERROR(VLOOKUP($H656,매장구분!$B:$Z,9,0),"")</f>
        <v>롯데면세소공</v>
      </c>
      <c r="G656" s="46" t="s">
        <v>384</v>
      </c>
      <c r="H656" s="46" t="s">
        <v>385</v>
      </c>
      <c r="I656" s="46" t="s">
        <v>169</v>
      </c>
      <c r="J656" s="46" t="s">
        <v>175</v>
      </c>
      <c r="K656" s="46" t="s">
        <v>170</v>
      </c>
      <c r="L656" s="46" t="s">
        <v>171</v>
      </c>
      <c r="M656" s="46" t="s">
        <v>176</v>
      </c>
      <c r="N656" s="46" t="s">
        <v>177</v>
      </c>
      <c r="O656" s="46">
        <v>151755900</v>
      </c>
      <c r="P656" s="46">
        <v>2175</v>
      </c>
      <c r="Q656" s="46">
        <v>0</v>
      </c>
      <c r="R656" s="46">
        <v>0</v>
      </c>
      <c r="S656" s="46">
        <v>0</v>
      </c>
      <c r="T656" s="46">
        <v>0</v>
      </c>
      <c r="U656" s="46">
        <v>0</v>
      </c>
      <c r="V656" s="46">
        <v>0</v>
      </c>
      <c r="W656" s="46">
        <v>0</v>
      </c>
      <c r="X656" s="46">
        <v>0</v>
      </c>
      <c r="Y656" s="48">
        <v>289829000</v>
      </c>
      <c r="Z656" s="46">
        <v>5298</v>
      </c>
      <c r="AA656" s="46">
        <v>0</v>
      </c>
      <c r="AB656" s="46">
        <v>0</v>
      </c>
      <c r="AC656" s="46">
        <v>441584900</v>
      </c>
      <c r="AD656" s="46">
        <v>7473</v>
      </c>
      <c r="AF656" s="47">
        <f t="shared" si="10"/>
        <v>151755900</v>
      </c>
    </row>
    <row r="657" spans="1:32" hidden="1" x14ac:dyDescent="0.3">
      <c r="A657" s="46" t="s">
        <v>614</v>
      </c>
      <c r="B657" s="46" t="str">
        <f>IFERROR(VLOOKUP($H657,매장구분!$B:$Z,2,0),"")</f>
        <v>파트너채널팀</v>
      </c>
      <c r="C657" s="46" t="str">
        <f>IFERROR(VLOOKUP($H657,매장구분!$B:$Z,3,0),"")</f>
        <v>국내</v>
      </c>
      <c r="D657" s="46" t="str">
        <f>IFERROR(VLOOKUP($H657,매장구분!$B:$Z,5,0),"")</f>
        <v>백화점</v>
      </c>
      <c r="E657" s="46" t="str">
        <f>IFERROR(VLOOKUP($H657,매장구분!$B:$Z,9,0),"")</f>
        <v>갤러리아대전</v>
      </c>
      <c r="G657" s="46" t="s">
        <v>303</v>
      </c>
      <c r="H657" s="46" t="s">
        <v>304</v>
      </c>
      <c r="I657" s="46" t="s">
        <v>169</v>
      </c>
      <c r="J657" s="46" t="s">
        <v>175</v>
      </c>
      <c r="K657" s="46" t="s">
        <v>170</v>
      </c>
      <c r="L657" s="46" t="s">
        <v>171</v>
      </c>
      <c r="M657" s="46" t="s">
        <v>77</v>
      </c>
      <c r="N657" s="46" t="s">
        <v>172</v>
      </c>
      <c r="O657" s="46">
        <v>12636100</v>
      </c>
      <c r="P657" s="46">
        <v>125</v>
      </c>
      <c r="Q657" s="46">
        <v>1831000</v>
      </c>
      <c r="R657" s="46">
        <v>20</v>
      </c>
      <c r="S657" s="46">
        <v>0</v>
      </c>
      <c r="T657" s="46">
        <v>0</v>
      </c>
      <c r="U657" s="46">
        <v>5493000</v>
      </c>
      <c r="V657" s="46">
        <v>27</v>
      </c>
      <c r="W657" s="46">
        <v>0</v>
      </c>
      <c r="X657" s="46">
        <v>0</v>
      </c>
      <c r="Y657" s="48">
        <v>2728000</v>
      </c>
      <c r="Z657" s="46">
        <v>32</v>
      </c>
      <c r="AA657" s="46">
        <v>0</v>
      </c>
      <c r="AB657" s="46">
        <v>0</v>
      </c>
      <c r="AC657" s="46">
        <v>22688100</v>
      </c>
      <c r="AD657" s="46">
        <v>204</v>
      </c>
      <c r="AF657" s="47">
        <f t="shared" si="10"/>
        <v>19960100</v>
      </c>
    </row>
    <row r="658" spans="1:32" hidden="1" x14ac:dyDescent="0.3">
      <c r="A658" s="46" t="s">
        <v>614</v>
      </c>
      <c r="B658" s="46" t="str">
        <f>IFERROR(VLOOKUP($H658,매장구분!$B:$Z,2,0),"")</f>
        <v>E-biz</v>
      </c>
      <c r="C658" s="46" t="str">
        <f>IFERROR(VLOOKUP($H658,매장구분!$B:$Z,3,0),"")</f>
        <v>국내</v>
      </c>
      <c r="D658" s="46" t="str">
        <f>IFERROR(VLOOKUP($H658,매장구분!$B:$Z,5,0),"")</f>
        <v>온(제휴몰)</v>
      </c>
      <c r="E658" s="46" t="str">
        <f>IFERROR(VLOOKUP($H658,매장구분!$B:$Z,9,0),"")</f>
        <v>MLB 글로벌</v>
      </c>
      <c r="G658" s="46" t="s">
        <v>578</v>
      </c>
      <c r="H658" s="46" t="s">
        <v>579</v>
      </c>
      <c r="I658" s="46" t="s">
        <v>169</v>
      </c>
      <c r="J658" s="46" t="s">
        <v>180</v>
      </c>
      <c r="K658" s="46" t="s">
        <v>170</v>
      </c>
      <c r="L658" s="46" t="s">
        <v>181</v>
      </c>
      <c r="M658" s="46" t="s">
        <v>181</v>
      </c>
      <c r="N658" s="46" t="s">
        <v>182</v>
      </c>
      <c r="O658" s="46">
        <v>2236636</v>
      </c>
      <c r="P658" s="46">
        <v>21</v>
      </c>
      <c r="Q658" s="46">
        <v>0</v>
      </c>
      <c r="R658" s="46">
        <v>0</v>
      </c>
      <c r="S658" s="46">
        <v>0</v>
      </c>
      <c r="T658" s="46">
        <v>0</v>
      </c>
      <c r="U658" s="46">
        <v>0</v>
      </c>
      <c r="V658" s="46">
        <v>0</v>
      </c>
      <c r="W658" s="46">
        <v>0</v>
      </c>
      <c r="X658" s="46">
        <v>0</v>
      </c>
      <c r="Y658" s="48">
        <v>0</v>
      </c>
      <c r="Z658" s="46">
        <v>0</v>
      </c>
      <c r="AA658" s="46">
        <v>0</v>
      </c>
      <c r="AB658" s="46">
        <v>0</v>
      </c>
      <c r="AC658" s="46">
        <v>2236636</v>
      </c>
      <c r="AD658" s="46">
        <v>21</v>
      </c>
      <c r="AF658" s="47">
        <f t="shared" si="10"/>
        <v>2236636</v>
      </c>
    </row>
    <row r="659" spans="1:32" hidden="1" x14ac:dyDescent="0.3">
      <c r="A659" s="46" t="s">
        <v>614</v>
      </c>
      <c r="B659" s="46" t="str">
        <f>IFERROR(VLOOKUP($H659,매장구분!$B:$Z,2,0),"")</f>
        <v>파트너채널팀</v>
      </c>
      <c r="C659" s="46" t="str">
        <f>IFERROR(VLOOKUP($H659,매장구분!$B:$Z,3,0),"")</f>
        <v>국내</v>
      </c>
      <c r="D659" s="46" t="str">
        <f>IFERROR(VLOOKUP($H659,매장구분!$B:$Z,5,0),"")</f>
        <v>백화점</v>
      </c>
      <c r="E659" s="46" t="str">
        <f>IFERROR(VLOOKUP($H659,매장구분!$B:$Z,9,0),"")</f>
        <v>롯데대전</v>
      </c>
      <c r="G659" s="46" t="s">
        <v>476</v>
      </c>
      <c r="H659" s="46" t="s">
        <v>477</v>
      </c>
      <c r="I659" s="46" t="s">
        <v>169</v>
      </c>
      <c r="J659" s="46" t="s">
        <v>175</v>
      </c>
      <c r="K659" s="46" t="s">
        <v>170</v>
      </c>
      <c r="L659" s="46" t="s">
        <v>171</v>
      </c>
      <c r="M659" s="46" t="s">
        <v>77</v>
      </c>
      <c r="N659" s="46" t="s">
        <v>172</v>
      </c>
      <c r="O659" s="46">
        <v>16598200</v>
      </c>
      <c r="P659" s="46">
        <v>145</v>
      </c>
      <c r="Q659" s="46">
        <v>0</v>
      </c>
      <c r="R659" s="46">
        <v>0</v>
      </c>
      <c r="S659" s="46">
        <v>0</v>
      </c>
      <c r="T659" s="46">
        <v>0</v>
      </c>
      <c r="U659" s="46">
        <v>2725300</v>
      </c>
      <c r="V659" s="46">
        <v>11</v>
      </c>
      <c r="W659" s="46">
        <v>0</v>
      </c>
      <c r="X659" s="46">
        <v>0</v>
      </c>
      <c r="Y659" s="48">
        <v>0</v>
      </c>
      <c r="Z659" s="46">
        <v>0</v>
      </c>
      <c r="AA659" s="46">
        <v>0</v>
      </c>
      <c r="AB659" s="46">
        <v>0</v>
      </c>
      <c r="AC659" s="46">
        <v>19323500</v>
      </c>
      <c r="AD659" s="46">
        <v>156</v>
      </c>
      <c r="AF659" s="47">
        <f t="shared" si="10"/>
        <v>19323500</v>
      </c>
    </row>
    <row r="660" spans="1:32" hidden="1" x14ac:dyDescent="0.3">
      <c r="A660" s="46" t="s">
        <v>614</v>
      </c>
      <c r="B660" s="46" t="str">
        <f>IFERROR(VLOOKUP($H660,매장구분!$B:$Z,2,0),"")</f>
        <v>리테일채널팀</v>
      </c>
      <c r="C660" s="46" t="str">
        <f>IFERROR(VLOOKUP($H660,매장구분!$B:$Z,3,0),"")</f>
        <v>국내</v>
      </c>
      <c r="D660" s="46" t="str">
        <f>IFERROR(VLOOKUP($H660,매장구분!$B:$Z,5,0),"")</f>
        <v>상설(위탁)</v>
      </c>
      <c r="E660" s="46" t="str">
        <f>IFERROR(VLOOKUP($H660,매장구분!$B:$Z,9,0),"")</f>
        <v>현대아울렛대구(상-위)</v>
      </c>
      <c r="G660" s="46" t="s">
        <v>590</v>
      </c>
      <c r="H660" s="46" t="s">
        <v>591</v>
      </c>
      <c r="I660" s="46" t="s">
        <v>169</v>
      </c>
      <c r="J660" s="46" t="s">
        <v>79</v>
      </c>
      <c r="K660" s="46" t="s">
        <v>170</v>
      </c>
      <c r="L660" s="46" t="s">
        <v>171</v>
      </c>
      <c r="M660" s="46" t="s">
        <v>219</v>
      </c>
      <c r="N660" s="46" t="s">
        <v>219</v>
      </c>
      <c r="O660" s="46">
        <v>540000</v>
      </c>
      <c r="P660" s="46">
        <v>15</v>
      </c>
      <c r="Q660" s="46">
        <v>0</v>
      </c>
      <c r="R660" s="46">
        <v>0</v>
      </c>
      <c r="S660" s="46">
        <v>0</v>
      </c>
      <c r="T660" s="46">
        <v>0</v>
      </c>
      <c r="U660" s="46">
        <v>0</v>
      </c>
      <c r="V660" s="46">
        <v>0</v>
      </c>
      <c r="W660" s="46">
        <v>0</v>
      </c>
      <c r="X660" s="46">
        <v>0</v>
      </c>
      <c r="Y660" s="48">
        <v>0</v>
      </c>
      <c r="Z660" s="46">
        <v>0</v>
      </c>
      <c r="AA660" s="46">
        <v>0</v>
      </c>
      <c r="AB660" s="46">
        <v>0</v>
      </c>
      <c r="AC660" s="46">
        <v>540000</v>
      </c>
      <c r="AD660" s="46">
        <v>15</v>
      </c>
      <c r="AF660" s="47">
        <f t="shared" si="10"/>
        <v>540000</v>
      </c>
    </row>
    <row r="661" spans="1:32" hidden="1" x14ac:dyDescent="0.3">
      <c r="A661" s="46" t="s">
        <v>614</v>
      </c>
      <c r="B661" s="46" t="str">
        <f>IFERROR(VLOOKUP($H661,매장구분!$B:$Z,2,0),"")</f>
        <v>리테일채널팀</v>
      </c>
      <c r="C661" s="46" t="str">
        <f>IFERROR(VLOOKUP($H661,매장구분!$B:$Z,3,0),"")</f>
        <v>국내</v>
      </c>
      <c r="D661" s="46" t="str">
        <f>IFERROR(VLOOKUP($H661,매장구분!$B:$Z,5,0),"")</f>
        <v>상설(위탁)</v>
      </c>
      <c r="E661" s="46" t="str">
        <f>IFERROR(VLOOKUP($H661,매장구분!$B:$Z,9,0),"")</f>
        <v>롯데아울렛부여(상-위)</v>
      </c>
      <c r="G661" s="46" t="s">
        <v>281</v>
      </c>
      <c r="H661" s="46" t="s">
        <v>282</v>
      </c>
      <c r="I661" s="46" t="s">
        <v>169</v>
      </c>
      <c r="J661" s="46" t="s">
        <v>79</v>
      </c>
      <c r="K661" s="46" t="s">
        <v>170</v>
      </c>
      <c r="L661" s="46" t="s">
        <v>171</v>
      </c>
      <c r="M661" s="46" t="s">
        <v>219</v>
      </c>
      <c r="N661" s="46" t="s">
        <v>219</v>
      </c>
      <c r="O661" s="46">
        <v>1728000</v>
      </c>
      <c r="P661" s="46">
        <v>48</v>
      </c>
      <c r="Q661" s="46">
        <v>0</v>
      </c>
      <c r="R661" s="46">
        <v>0</v>
      </c>
      <c r="S661" s="46">
        <v>0</v>
      </c>
      <c r="T661" s="46">
        <v>0</v>
      </c>
      <c r="U661" s="46">
        <v>0</v>
      </c>
      <c r="V661" s="46">
        <v>0</v>
      </c>
      <c r="W661" s="46">
        <v>0</v>
      </c>
      <c r="X661" s="46">
        <v>0</v>
      </c>
      <c r="Y661" s="48">
        <v>0</v>
      </c>
      <c r="Z661" s="46">
        <v>0</v>
      </c>
      <c r="AA661" s="46">
        <v>0</v>
      </c>
      <c r="AB661" s="46">
        <v>0</v>
      </c>
      <c r="AC661" s="46">
        <v>1728000</v>
      </c>
      <c r="AD661" s="46">
        <v>48</v>
      </c>
      <c r="AF661" s="47">
        <f t="shared" si="10"/>
        <v>1728000</v>
      </c>
    </row>
    <row r="662" spans="1:32" hidden="1" x14ac:dyDescent="0.3">
      <c r="A662" s="46" t="s">
        <v>614</v>
      </c>
      <c r="B662" s="46" t="str">
        <f>IFERROR(VLOOKUP($H662,매장구분!$B:$Z,2,0),"")</f>
        <v>리테일채널팀</v>
      </c>
      <c r="C662" s="46" t="str">
        <f>IFERROR(VLOOKUP($H662,매장구분!$B:$Z,3,0),"")</f>
        <v>국내</v>
      </c>
      <c r="D662" s="46" t="str">
        <f>IFERROR(VLOOKUP($H662,매장구분!$B:$Z,5,0),"")</f>
        <v>상설(위탁)</v>
      </c>
      <c r="E662" s="46" t="str">
        <f>IFERROR(VLOOKUP($H662,매장구분!$B:$Z,9,0),"")</f>
        <v>롯데아울렛청주(상-위)</v>
      </c>
      <c r="G662" s="46" t="s">
        <v>478</v>
      </c>
      <c r="H662" s="46" t="s">
        <v>479</v>
      </c>
      <c r="I662" s="46" t="s">
        <v>169</v>
      </c>
      <c r="J662" s="46" t="s">
        <v>79</v>
      </c>
      <c r="K662" s="46" t="s">
        <v>170</v>
      </c>
      <c r="L662" s="46" t="s">
        <v>171</v>
      </c>
      <c r="M662" s="46" t="s">
        <v>219</v>
      </c>
      <c r="N662" s="46" t="s">
        <v>219</v>
      </c>
      <c r="O662" s="46">
        <v>1836000</v>
      </c>
      <c r="P662" s="46">
        <v>51</v>
      </c>
      <c r="Q662" s="46">
        <v>0</v>
      </c>
      <c r="R662" s="46">
        <v>0</v>
      </c>
      <c r="S662" s="46">
        <v>0</v>
      </c>
      <c r="T662" s="46">
        <v>0</v>
      </c>
      <c r="U662" s="46">
        <v>0</v>
      </c>
      <c r="V662" s="46">
        <v>0</v>
      </c>
      <c r="W662" s="46">
        <v>0</v>
      </c>
      <c r="X662" s="46">
        <v>0</v>
      </c>
      <c r="Y662" s="48">
        <v>0</v>
      </c>
      <c r="Z662" s="46">
        <v>0</v>
      </c>
      <c r="AA662" s="46">
        <v>0</v>
      </c>
      <c r="AB662" s="46">
        <v>0</v>
      </c>
      <c r="AC662" s="46">
        <v>1836000</v>
      </c>
      <c r="AD662" s="46">
        <v>51</v>
      </c>
      <c r="AF662" s="47">
        <f t="shared" si="10"/>
        <v>1836000</v>
      </c>
    </row>
    <row r="663" spans="1:32" hidden="1" x14ac:dyDescent="0.3">
      <c r="A663" s="46" t="s">
        <v>614</v>
      </c>
      <c r="B663" s="46" t="str">
        <f>IFERROR(VLOOKUP($H663,매장구분!$B:$Z,2,0),"")</f>
        <v>리테일채널팀</v>
      </c>
      <c r="C663" s="46" t="str">
        <f>IFERROR(VLOOKUP($H663,매장구분!$B:$Z,3,0),"")</f>
        <v>국내</v>
      </c>
      <c r="D663" s="46" t="str">
        <f>IFERROR(VLOOKUP($H663,매장구분!$B:$Z,5,0),"")</f>
        <v>상설(위탁)</v>
      </c>
      <c r="E663" s="46" t="str">
        <f>IFERROR(VLOOKUP($H663,매장구분!$B:$Z,9,0),"")</f>
        <v>NC강서(상-위)</v>
      </c>
      <c r="G663" s="46" t="s">
        <v>376</v>
      </c>
      <c r="H663" s="46" t="s">
        <v>377</v>
      </c>
      <c r="I663" s="46" t="s">
        <v>169</v>
      </c>
      <c r="J663" s="46" t="s">
        <v>79</v>
      </c>
      <c r="K663" s="46" t="s">
        <v>170</v>
      </c>
      <c r="L663" s="46" t="s">
        <v>171</v>
      </c>
      <c r="M663" s="46" t="s">
        <v>77</v>
      </c>
      <c r="N663" s="46" t="s">
        <v>238</v>
      </c>
      <c r="O663" s="46">
        <v>792000</v>
      </c>
      <c r="P663" s="46">
        <v>22</v>
      </c>
      <c r="Q663" s="46">
        <v>0</v>
      </c>
      <c r="R663" s="46">
        <v>0</v>
      </c>
      <c r="S663" s="46">
        <v>0</v>
      </c>
      <c r="T663" s="46">
        <v>0</v>
      </c>
      <c r="U663" s="46">
        <v>0</v>
      </c>
      <c r="V663" s="46">
        <v>0</v>
      </c>
      <c r="W663" s="46">
        <v>0</v>
      </c>
      <c r="X663" s="46">
        <v>0</v>
      </c>
      <c r="Y663" s="48">
        <v>0</v>
      </c>
      <c r="Z663" s="46">
        <v>0</v>
      </c>
      <c r="AA663" s="46">
        <v>0</v>
      </c>
      <c r="AB663" s="46">
        <v>0</v>
      </c>
      <c r="AC663" s="46">
        <v>792000</v>
      </c>
      <c r="AD663" s="46">
        <v>22</v>
      </c>
      <c r="AF663" s="47">
        <f t="shared" si="10"/>
        <v>792000</v>
      </c>
    </row>
    <row r="664" spans="1:32" hidden="1" x14ac:dyDescent="0.3">
      <c r="A664" s="46" t="s">
        <v>614</v>
      </c>
      <c r="B664" s="46" t="str">
        <f>IFERROR(VLOOKUP($H664,매장구분!$B:$Z,2,0),"")</f>
        <v>리테일채널팀</v>
      </c>
      <c r="C664" s="46" t="str">
        <f>IFERROR(VLOOKUP($H664,매장구분!$B:$Z,3,0),"")</f>
        <v>국내</v>
      </c>
      <c r="D664" s="46" t="str">
        <f>IFERROR(VLOOKUP($H664,매장구분!$B:$Z,5,0),"")</f>
        <v>상설(위탁)</v>
      </c>
      <c r="E664" s="46" t="str">
        <f>IFERROR(VLOOKUP($H664,매장구분!$B:$Z,9,0),"")</f>
        <v>현대아울렛대전(상-위)</v>
      </c>
      <c r="G664" s="46" t="s">
        <v>608</v>
      </c>
      <c r="H664" s="46" t="s">
        <v>609</v>
      </c>
      <c r="I664" s="46" t="s">
        <v>169</v>
      </c>
      <c r="J664" s="46" t="s">
        <v>79</v>
      </c>
      <c r="K664" s="46" t="s">
        <v>170</v>
      </c>
      <c r="L664" s="46" t="s">
        <v>171</v>
      </c>
      <c r="M664" s="46" t="s">
        <v>219</v>
      </c>
      <c r="N664" s="46" t="s">
        <v>219</v>
      </c>
      <c r="O664" s="46">
        <v>360000</v>
      </c>
      <c r="P664" s="46">
        <v>10</v>
      </c>
      <c r="Q664" s="46">
        <v>0</v>
      </c>
      <c r="R664" s="46">
        <v>0</v>
      </c>
      <c r="S664" s="46">
        <v>0</v>
      </c>
      <c r="T664" s="46">
        <v>0</v>
      </c>
      <c r="U664" s="46">
        <v>0</v>
      </c>
      <c r="V664" s="46">
        <v>0</v>
      </c>
      <c r="W664" s="46">
        <v>0</v>
      </c>
      <c r="X664" s="46">
        <v>0</v>
      </c>
      <c r="Y664" s="48">
        <v>0</v>
      </c>
      <c r="Z664" s="46">
        <v>0</v>
      </c>
      <c r="AA664" s="46">
        <v>0</v>
      </c>
      <c r="AB664" s="46">
        <v>0</v>
      </c>
      <c r="AC664" s="46">
        <v>360000</v>
      </c>
      <c r="AD664" s="46">
        <v>10</v>
      </c>
      <c r="AF664" s="47">
        <f t="shared" si="10"/>
        <v>360000</v>
      </c>
    </row>
    <row r="665" spans="1:32" hidden="1" x14ac:dyDescent="0.3">
      <c r="A665" s="46" t="s">
        <v>614</v>
      </c>
      <c r="B665" s="46" t="str">
        <f>IFERROR(VLOOKUP($H665,매장구분!$B:$Z,2,0),"")</f>
        <v>리테일채널팀</v>
      </c>
      <c r="C665" s="46" t="str">
        <f>IFERROR(VLOOKUP($H665,매장구분!$B:$Z,3,0),"")</f>
        <v>국내</v>
      </c>
      <c r="D665" s="46" t="str">
        <f>IFERROR(VLOOKUP($H665,매장구분!$B:$Z,5,0),"")</f>
        <v>직영점</v>
      </c>
      <c r="E665" s="46" t="str">
        <f>IFERROR(VLOOKUP($H665,매장구분!$B:$Z,9,0),"")</f>
        <v>스타필드안성(직)</v>
      </c>
      <c r="G665" s="46" t="s">
        <v>554</v>
      </c>
      <c r="H665" s="46" t="s">
        <v>555</v>
      </c>
      <c r="I665" s="46" t="s">
        <v>169</v>
      </c>
      <c r="J665" s="46" t="s">
        <v>180</v>
      </c>
      <c r="K665" s="46" t="s">
        <v>170</v>
      </c>
      <c r="L665" s="46" t="s">
        <v>171</v>
      </c>
      <c r="M665" s="46" t="s">
        <v>188</v>
      </c>
      <c r="N665" s="46" t="s">
        <v>189</v>
      </c>
      <c r="O665" s="46">
        <v>22020000</v>
      </c>
      <c r="P665" s="46">
        <v>201</v>
      </c>
      <c r="Q665" s="46">
        <v>0</v>
      </c>
      <c r="R665" s="46">
        <v>0</v>
      </c>
      <c r="S665" s="46">
        <v>0</v>
      </c>
      <c r="T665" s="46">
        <v>0</v>
      </c>
      <c r="U665" s="46">
        <v>2735000</v>
      </c>
      <c r="V665" s="46">
        <v>15</v>
      </c>
      <c r="W665" s="46">
        <v>0</v>
      </c>
      <c r="X665" s="46">
        <v>0</v>
      </c>
      <c r="Y665" s="48">
        <v>0</v>
      </c>
      <c r="Z665" s="46">
        <v>0</v>
      </c>
      <c r="AA665" s="46">
        <v>0</v>
      </c>
      <c r="AB665" s="46">
        <v>0</v>
      </c>
      <c r="AC665" s="46">
        <v>24755000</v>
      </c>
      <c r="AD665" s="46">
        <v>216</v>
      </c>
      <c r="AF665" s="47">
        <f t="shared" si="10"/>
        <v>24755000</v>
      </c>
    </row>
    <row r="666" spans="1:32" hidden="1" x14ac:dyDescent="0.3">
      <c r="A666" s="46" t="s">
        <v>614</v>
      </c>
      <c r="B666" s="46" t="str">
        <f>IFERROR(VLOOKUP($H666,매장구분!$B:$Z,2,0),"")</f>
        <v>리테일채널팀</v>
      </c>
      <c r="C666" s="46" t="str">
        <f>IFERROR(VLOOKUP($H666,매장구분!$B:$Z,3,0),"")</f>
        <v>RF</v>
      </c>
      <c r="D666" s="46" t="str">
        <f>IFERROR(VLOOKUP($H666,매장구분!$B:$Z,5,0),"")</f>
        <v>직영점</v>
      </c>
      <c r="E666" s="46" t="str">
        <f>IFERROR(VLOOKUP($H666,매장구분!$B:$Z,9,0),"")</f>
        <v>홍대(직)</v>
      </c>
      <c r="G666" s="46" t="s">
        <v>386</v>
      </c>
      <c r="H666" s="46" t="s">
        <v>387</v>
      </c>
      <c r="I666" s="46" t="s">
        <v>169</v>
      </c>
      <c r="J666" s="46" t="s">
        <v>180</v>
      </c>
      <c r="K666" s="46" t="s">
        <v>170</v>
      </c>
      <c r="L666" s="46" t="s">
        <v>171</v>
      </c>
      <c r="M666" s="46" t="s">
        <v>196</v>
      </c>
      <c r="N666" s="46" t="s">
        <v>206</v>
      </c>
      <c r="O666" s="46">
        <v>30205000</v>
      </c>
      <c r="P666" s="46">
        <v>322</v>
      </c>
      <c r="Q666" s="46">
        <v>0</v>
      </c>
      <c r="R666" s="46">
        <v>0</v>
      </c>
      <c r="S666" s="46">
        <v>0</v>
      </c>
      <c r="T666" s="46">
        <v>0</v>
      </c>
      <c r="U666" s="46">
        <v>0</v>
      </c>
      <c r="V666" s="46">
        <v>0</v>
      </c>
      <c r="W666" s="46">
        <v>0</v>
      </c>
      <c r="X666" s="46">
        <v>0</v>
      </c>
      <c r="Y666" s="48">
        <v>0</v>
      </c>
      <c r="Z666" s="46">
        <v>0</v>
      </c>
      <c r="AA666" s="46">
        <v>0</v>
      </c>
      <c r="AB666" s="46">
        <v>0</v>
      </c>
      <c r="AC666" s="46">
        <v>30205000</v>
      </c>
      <c r="AD666" s="46">
        <v>322</v>
      </c>
      <c r="AF666" s="47">
        <f t="shared" si="10"/>
        <v>30205000</v>
      </c>
    </row>
    <row r="667" spans="1:32" hidden="1" x14ac:dyDescent="0.3">
      <c r="A667" s="46" t="s">
        <v>614</v>
      </c>
      <c r="B667" s="46" t="str">
        <f>IFERROR(VLOOKUP($H667,매장구분!$B:$Z,2,0),"")</f>
        <v>파트너채널팀</v>
      </c>
      <c r="C667" s="46" t="str">
        <f>IFERROR(VLOOKUP($H667,매장구분!$B:$Z,3,0),"")</f>
        <v>국내</v>
      </c>
      <c r="D667" s="46" t="str">
        <f>IFERROR(VLOOKUP($H667,매장구분!$B:$Z,5,0),"")</f>
        <v>백화점</v>
      </c>
      <c r="E667" s="46" t="str">
        <f>IFERROR(VLOOKUP($H667,매장구분!$B:$Z,9,0),"")</f>
        <v>현대판교</v>
      </c>
      <c r="G667" s="46" t="s">
        <v>257</v>
      </c>
      <c r="H667" s="46" t="s">
        <v>258</v>
      </c>
      <c r="I667" s="46" t="s">
        <v>169</v>
      </c>
      <c r="J667" s="46" t="s">
        <v>175</v>
      </c>
      <c r="K667" s="46" t="s">
        <v>170</v>
      </c>
      <c r="L667" s="46" t="s">
        <v>171</v>
      </c>
      <c r="M667" s="46" t="s">
        <v>77</v>
      </c>
      <c r="N667" s="46" t="s">
        <v>172</v>
      </c>
      <c r="O667" s="46">
        <v>14598830</v>
      </c>
      <c r="P667" s="46">
        <v>147</v>
      </c>
      <c r="Q667" s="46">
        <v>861000</v>
      </c>
      <c r="R667" s="46">
        <v>10</v>
      </c>
      <c r="S667" s="46">
        <v>0</v>
      </c>
      <c r="T667" s="46">
        <v>0</v>
      </c>
      <c r="U667" s="46">
        <v>-1176700</v>
      </c>
      <c r="V667" s="46">
        <v>-5</v>
      </c>
      <c r="W667" s="46">
        <v>0</v>
      </c>
      <c r="X667" s="46">
        <v>0</v>
      </c>
      <c r="Y667" s="48">
        <v>31097700</v>
      </c>
      <c r="Z667" s="46">
        <v>161</v>
      </c>
      <c r="AA667" s="46">
        <v>0</v>
      </c>
      <c r="AB667" s="46">
        <v>0</v>
      </c>
      <c r="AC667" s="46">
        <v>45380830</v>
      </c>
      <c r="AD667" s="46">
        <v>313</v>
      </c>
      <c r="AF667" s="47">
        <f t="shared" si="10"/>
        <v>14283130</v>
      </c>
    </row>
    <row r="668" spans="1:32" hidden="1" x14ac:dyDescent="0.3">
      <c r="A668" s="46" t="s">
        <v>614</v>
      </c>
      <c r="B668" s="46" t="str">
        <f>IFERROR(VLOOKUP($H668,매장구분!$B:$Z,2,0),"")</f>
        <v>리테일채널팀</v>
      </c>
      <c r="C668" s="46" t="str">
        <f>IFERROR(VLOOKUP($H668,매장구분!$B:$Z,3,0),"")</f>
        <v>RF</v>
      </c>
      <c r="D668" s="46" t="str">
        <f>IFERROR(VLOOKUP($H668,매장구분!$B:$Z,5,0),"")</f>
        <v>대리점</v>
      </c>
      <c r="E668" s="46" t="str">
        <f>IFERROR(VLOOKUP($H668,매장구분!$B:$Z,9,0),"")</f>
        <v>부산광복(대-위)</v>
      </c>
      <c r="G668" s="46" t="s">
        <v>326</v>
      </c>
      <c r="H668" s="46" t="s">
        <v>327</v>
      </c>
      <c r="I668" s="46" t="s">
        <v>169</v>
      </c>
      <c r="J668" s="46" t="s">
        <v>79</v>
      </c>
      <c r="K668" s="46" t="s">
        <v>170</v>
      </c>
      <c r="L668" s="46" t="s">
        <v>171</v>
      </c>
      <c r="M668" s="46" t="s">
        <v>196</v>
      </c>
      <c r="N668" s="46" t="s">
        <v>197</v>
      </c>
      <c r="O668" s="46">
        <v>9239700</v>
      </c>
      <c r="P668" s="46">
        <v>131</v>
      </c>
      <c r="Q668" s="46">
        <v>0</v>
      </c>
      <c r="R668" s="46">
        <v>0</v>
      </c>
      <c r="S668" s="46">
        <v>0</v>
      </c>
      <c r="T668" s="46">
        <v>0</v>
      </c>
      <c r="U668" s="46">
        <v>4525400</v>
      </c>
      <c r="V668" s="46">
        <v>40</v>
      </c>
      <c r="W668" s="46">
        <v>0</v>
      </c>
      <c r="X668" s="46">
        <v>0</v>
      </c>
      <c r="Y668" s="48">
        <v>26977600</v>
      </c>
      <c r="Z668" s="46">
        <v>256</v>
      </c>
      <c r="AA668" s="46">
        <v>0</v>
      </c>
      <c r="AB668" s="46">
        <v>0</v>
      </c>
      <c r="AC668" s="46">
        <v>40742700</v>
      </c>
      <c r="AD668" s="46">
        <v>427</v>
      </c>
      <c r="AF668" s="47">
        <f t="shared" si="10"/>
        <v>13765100</v>
      </c>
    </row>
    <row r="669" spans="1:32" hidden="1" x14ac:dyDescent="0.3">
      <c r="A669" s="46" t="s">
        <v>614</v>
      </c>
      <c r="B669" s="46" t="str">
        <f>IFERROR(VLOOKUP($H669,매장구분!$B:$Z,2,0),"")</f>
        <v>리테일채널팀</v>
      </c>
      <c r="C669" s="46" t="str">
        <f>IFERROR(VLOOKUP($H669,매장구분!$B:$Z,3,0),"")</f>
        <v>국내</v>
      </c>
      <c r="D669" s="46" t="str">
        <f>IFERROR(VLOOKUP($H669,매장구분!$B:$Z,5,0),"")</f>
        <v>대리점</v>
      </c>
      <c r="E669" s="46" t="str">
        <f>IFERROR(VLOOKUP($H669,매장구분!$B:$Z,9,0),"")</f>
        <v>구미(대-위)</v>
      </c>
      <c r="G669" s="46" t="s">
        <v>458</v>
      </c>
      <c r="H669" s="46" t="s">
        <v>459</v>
      </c>
      <c r="I669" s="46" t="s">
        <v>169</v>
      </c>
      <c r="J669" s="46" t="s">
        <v>79</v>
      </c>
      <c r="K669" s="46" t="s">
        <v>170</v>
      </c>
      <c r="L669" s="46" t="s">
        <v>171</v>
      </c>
      <c r="M669" s="46" t="s">
        <v>196</v>
      </c>
      <c r="N669" s="46" t="s">
        <v>197</v>
      </c>
      <c r="O669" s="46">
        <v>12913900</v>
      </c>
      <c r="P669" s="46">
        <v>127</v>
      </c>
      <c r="Q669" s="46">
        <v>0</v>
      </c>
      <c r="R669" s="46">
        <v>0</v>
      </c>
      <c r="S669" s="46">
        <v>0</v>
      </c>
      <c r="T669" s="46">
        <v>0</v>
      </c>
      <c r="U669" s="46">
        <v>3304400</v>
      </c>
      <c r="V669" s="46">
        <v>15</v>
      </c>
      <c r="W669" s="46">
        <v>0</v>
      </c>
      <c r="X669" s="46">
        <v>0</v>
      </c>
      <c r="Y669" s="48">
        <v>0</v>
      </c>
      <c r="Z669" s="46">
        <v>0</v>
      </c>
      <c r="AA669" s="46">
        <v>0</v>
      </c>
      <c r="AB669" s="46">
        <v>0</v>
      </c>
      <c r="AC669" s="46">
        <v>16218300</v>
      </c>
      <c r="AD669" s="46">
        <v>142</v>
      </c>
      <c r="AF669" s="47">
        <f t="shared" si="10"/>
        <v>16218300</v>
      </c>
    </row>
    <row r="670" spans="1:32" hidden="1" x14ac:dyDescent="0.3">
      <c r="A670" s="46" t="s">
        <v>614</v>
      </c>
      <c r="B670" s="46" t="str">
        <f>IFERROR(VLOOKUP($H670,매장구분!$B:$Z,2,0),"")</f>
        <v>파트너채널팀</v>
      </c>
      <c r="C670" s="46" t="str">
        <f>IFERROR(VLOOKUP($H670,매장구분!$B:$Z,3,0),"")</f>
        <v>RF</v>
      </c>
      <c r="D670" s="46" t="str">
        <f>IFERROR(VLOOKUP($H670,매장구분!$B:$Z,5,0),"")</f>
        <v>백화점</v>
      </c>
      <c r="E670" s="46" t="str">
        <f>IFERROR(VLOOKUP($H670,매장구분!$B:$Z,9,0),"")</f>
        <v>신세계본점</v>
      </c>
      <c r="G670" s="46" t="s">
        <v>450</v>
      </c>
      <c r="H670" s="46" t="s">
        <v>451</v>
      </c>
      <c r="I670" s="46" t="s">
        <v>169</v>
      </c>
      <c r="J670" s="46" t="s">
        <v>175</v>
      </c>
      <c r="K670" s="46" t="s">
        <v>170</v>
      </c>
      <c r="L670" s="46" t="s">
        <v>171</v>
      </c>
      <c r="M670" s="46" t="s">
        <v>77</v>
      </c>
      <c r="N670" s="46" t="s">
        <v>172</v>
      </c>
      <c r="O670" s="46">
        <v>24903400</v>
      </c>
      <c r="P670" s="46">
        <v>235</v>
      </c>
      <c r="Q670" s="46">
        <v>320500</v>
      </c>
      <c r="R670" s="46">
        <v>5</v>
      </c>
      <c r="S670" s="46">
        <v>0</v>
      </c>
      <c r="T670" s="46">
        <v>0</v>
      </c>
      <c r="U670" s="46">
        <v>1384000</v>
      </c>
      <c r="V670" s="46">
        <v>6</v>
      </c>
      <c r="W670" s="46">
        <v>0</v>
      </c>
      <c r="X670" s="46">
        <v>0</v>
      </c>
      <c r="Y670" s="48">
        <v>0</v>
      </c>
      <c r="Z670" s="46">
        <v>0</v>
      </c>
      <c r="AA670" s="46">
        <v>0</v>
      </c>
      <c r="AB670" s="46">
        <v>0</v>
      </c>
      <c r="AC670" s="46">
        <v>26607900</v>
      </c>
      <c r="AD670" s="46">
        <v>246</v>
      </c>
      <c r="AF670" s="47">
        <f t="shared" si="10"/>
        <v>26607900</v>
      </c>
    </row>
    <row r="671" spans="1:32" hidden="1" x14ac:dyDescent="0.3">
      <c r="A671" s="46" t="s">
        <v>614</v>
      </c>
      <c r="B671" s="46" t="str">
        <f>IFERROR(VLOOKUP($H671,매장구분!$B:$Z,2,0),"")</f>
        <v>파트너채널팀</v>
      </c>
      <c r="C671" s="46" t="str">
        <f>IFERROR(VLOOKUP($H671,매장구분!$B:$Z,3,0),"")</f>
        <v>국내</v>
      </c>
      <c r="D671" s="46" t="str">
        <f>IFERROR(VLOOKUP($H671,매장구분!$B:$Z,5,0),"")</f>
        <v>백화점</v>
      </c>
      <c r="E671" s="46" t="str">
        <f>IFERROR(VLOOKUP($H671,매장구분!$B:$Z,9,0),"")</f>
        <v>롯데건대</v>
      </c>
      <c r="G671" s="46" t="s">
        <v>354</v>
      </c>
      <c r="H671" s="46" t="s">
        <v>355</v>
      </c>
      <c r="I671" s="46" t="s">
        <v>169</v>
      </c>
      <c r="J671" s="46" t="s">
        <v>175</v>
      </c>
      <c r="K671" s="46" t="s">
        <v>170</v>
      </c>
      <c r="L671" s="46" t="s">
        <v>171</v>
      </c>
      <c r="M671" s="46" t="s">
        <v>77</v>
      </c>
      <c r="N671" s="46" t="s">
        <v>172</v>
      </c>
      <c r="O671" s="46">
        <v>15997200</v>
      </c>
      <c r="P671" s="46">
        <v>139</v>
      </c>
      <c r="Q671" s="46">
        <v>0</v>
      </c>
      <c r="R671" s="46">
        <v>0</v>
      </c>
      <c r="S671" s="46">
        <v>0</v>
      </c>
      <c r="T671" s="46">
        <v>0</v>
      </c>
      <c r="U671" s="46">
        <v>525000</v>
      </c>
      <c r="V671" s="46">
        <v>5</v>
      </c>
      <c r="W671" s="46">
        <v>0</v>
      </c>
      <c r="X671" s="46">
        <v>0</v>
      </c>
      <c r="Y671" s="48">
        <v>2712000</v>
      </c>
      <c r="Z671" s="46">
        <v>8</v>
      </c>
      <c r="AA671" s="46">
        <v>0</v>
      </c>
      <c r="AB671" s="46">
        <v>0</v>
      </c>
      <c r="AC671" s="46">
        <v>19234200</v>
      </c>
      <c r="AD671" s="46">
        <v>152</v>
      </c>
      <c r="AF671" s="47">
        <f t="shared" si="10"/>
        <v>16522200</v>
      </c>
    </row>
    <row r="672" spans="1:32" hidden="1" x14ac:dyDescent="0.3">
      <c r="A672" s="46" t="s">
        <v>614</v>
      </c>
      <c r="B672" s="46" t="str">
        <f>IFERROR(VLOOKUP($H672,매장구분!$B:$Z,2,0),"")</f>
        <v>파트너채널팀</v>
      </c>
      <c r="C672" s="46" t="str">
        <f>IFERROR(VLOOKUP($H672,매장구분!$B:$Z,3,0),"")</f>
        <v>국내</v>
      </c>
      <c r="D672" s="46" t="str">
        <f>IFERROR(VLOOKUP($H672,매장구분!$B:$Z,5,0),"")</f>
        <v>백화점</v>
      </c>
      <c r="E672" s="46" t="str">
        <f>IFERROR(VLOOKUP($H672,매장구분!$B:$Z,9,0),"")</f>
        <v>신세계대구</v>
      </c>
      <c r="G672" s="46" t="s">
        <v>192</v>
      </c>
      <c r="H672" s="46" t="s">
        <v>193</v>
      </c>
      <c r="I672" s="46" t="s">
        <v>169</v>
      </c>
      <c r="J672" s="46" t="s">
        <v>175</v>
      </c>
      <c r="K672" s="46" t="s">
        <v>170</v>
      </c>
      <c r="L672" s="46" t="s">
        <v>171</v>
      </c>
      <c r="M672" s="46" t="s">
        <v>77</v>
      </c>
      <c r="N672" s="46" t="s">
        <v>172</v>
      </c>
      <c r="O672" s="46">
        <v>27843300</v>
      </c>
      <c r="P672" s="46">
        <v>259</v>
      </c>
      <c r="Q672" s="46">
        <v>0</v>
      </c>
      <c r="R672" s="46">
        <v>0</v>
      </c>
      <c r="S672" s="46">
        <v>0</v>
      </c>
      <c r="T672" s="46">
        <v>0</v>
      </c>
      <c r="U672" s="46">
        <v>2150000</v>
      </c>
      <c r="V672" s="46">
        <v>10</v>
      </c>
      <c r="W672" s="46">
        <v>0</v>
      </c>
      <c r="X672" s="46">
        <v>0</v>
      </c>
      <c r="Y672" s="48">
        <v>0</v>
      </c>
      <c r="Z672" s="46">
        <v>0</v>
      </c>
      <c r="AA672" s="46">
        <v>0</v>
      </c>
      <c r="AB672" s="46">
        <v>0</v>
      </c>
      <c r="AC672" s="46">
        <v>29993300</v>
      </c>
      <c r="AD672" s="46">
        <v>269</v>
      </c>
      <c r="AF672" s="47">
        <f t="shared" si="10"/>
        <v>29993300</v>
      </c>
    </row>
    <row r="673" spans="1:32" hidden="1" x14ac:dyDescent="0.3">
      <c r="A673" s="46" t="s">
        <v>614</v>
      </c>
      <c r="B673" s="46" t="str">
        <f>IFERROR(VLOOKUP($H673,매장구분!$B:$Z,2,0),"")</f>
        <v>파트너채널팀</v>
      </c>
      <c r="C673" s="46" t="str">
        <f>IFERROR(VLOOKUP($H673,매장구분!$B:$Z,3,0),"")</f>
        <v>국내</v>
      </c>
      <c r="D673" s="46" t="str">
        <f>IFERROR(VLOOKUP($H673,매장구분!$B:$Z,5,0),"")</f>
        <v>백화점</v>
      </c>
      <c r="E673" s="46" t="str">
        <f>IFERROR(VLOOKUP($H673,매장구분!$B:$Z,9,0),"")</f>
        <v>갤러리아센터시티</v>
      </c>
      <c r="G673" s="46" t="s">
        <v>259</v>
      </c>
      <c r="H673" s="46" t="s">
        <v>260</v>
      </c>
      <c r="I673" s="46" t="s">
        <v>169</v>
      </c>
      <c r="J673" s="46" t="s">
        <v>175</v>
      </c>
      <c r="K673" s="46" t="s">
        <v>170</v>
      </c>
      <c r="L673" s="46" t="s">
        <v>171</v>
      </c>
      <c r="M673" s="46" t="s">
        <v>77</v>
      </c>
      <c r="N673" s="46" t="s">
        <v>172</v>
      </c>
      <c r="O673" s="46">
        <v>11535000</v>
      </c>
      <c r="P673" s="46">
        <v>82</v>
      </c>
      <c r="Q673" s="46">
        <v>1184000</v>
      </c>
      <c r="R673" s="46">
        <v>11</v>
      </c>
      <c r="S673" s="46">
        <v>0</v>
      </c>
      <c r="T673" s="46">
        <v>0</v>
      </c>
      <c r="U673" s="46">
        <v>3679000</v>
      </c>
      <c r="V673" s="46">
        <v>21</v>
      </c>
      <c r="W673" s="46">
        <v>0</v>
      </c>
      <c r="X673" s="46">
        <v>0</v>
      </c>
      <c r="Y673" s="48">
        <v>17093000</v>
      </c>
      <c r="Z673" s="46">
        <v>128</v>
      </c>
      <c r="AA673" s="46">
        <v>0</v>
      </c>
      <c r="AB673" s="46">
        <v>0</v>
      </c>
      <c r="AC673" s="46">
        <v>33491000</v>
      </c>
      <c r="AD673" s="46">
        <v>242</v>
      </c>
      <c r="AF673" s="47">
        <f t="shared" si="10"/>
        <v>16398000</v>
      </c>
    </row>
    <row r="674" spans="1:32" hidden="1" x14ac:dyDescent="0.3">
      <c r="A674" s="46" t="s">
        <v>614</v>
      </c>
      <c r="B674" s="46" t="str">
        <f>IFERROR(VLOOKUP($H674,매장구분!$B:$Z,2,0),"")</f>
        <v>파트너채널팀</v>
      </c>
      <c r="C674" s="46" t="str">
        <f>IFERROR(VLOOKUP($H674,매장구분!$B:$Z,3,0),"")</f>
        <v>국내</v>
      </c>
      <c r="D674" s="46" t="str">
        <f>IFERROR(VLOOKUP($H674,매장구분!$B:$Z,5,0),"")</f>
        <v>백화점</v>
      </c>
      <c r="E674" s="46" t="str">
        <f>IFERROR(VLOOKUP($H674,매장구분!$B:$Z,9,0),"")</f>
        <v>현대목동</v>
      </c>
      <c r="G674" s="46" t="s">
        <v>604</v>
      </c>
      <c r="H674" s="46" t="s">
        <v>605</v>
      </c>
      <c r="I674" s="46" t="s">
        <v>169</v>
      </c>
      <c r="J674" s="46" t="s">
        <v>175</v>
      </c>
      <c r="K674" s="46" t="s">
        <v>170</v>
      </c>
      <c r="L674" s="46" t="s">
        <v>171</v>
      </c>
      <c r="M674" s="46" t="s">
        <v>77</v>
      </c>
      <c r="N674" s="46" t="s">
        <v>172</v>
      </c>
      <c r="O674" s="46">
        <v>18496900</v>
      </c>
      <c r="P674" s="46">
        <v>124</v>
      </c>
      <c r="Q674" s="46">
        <v>6792000</v>
      </c>
      <c r="R674" s="46">
        <v>139</v>
      </c>
      <c r="S674" s="46">
        <v>0</v>
      </c>
      <c r="T674" s="46">
        <v>0</v>
      </c>
      <c r="U674" s="46">
        <v>3221600</v>
      </c>
      <c r="V674" s="46">
        <v>16</v>
      </c>
      <c r="W674" s="46">
        <v>0</v>
      </c>
      <c r="X674" s="46">
        <v>0</v>
      </c>
      <c r="Y674" s="48">
        <v>7950000</v>
      </c>
      <c r="Z674" s="46">
        <v>80</v>
      </c>
      <c r="AA674" s="46">
        <v>0</v>
      </c>
      <c r="AB674" s="46">
        <v>0</v>
      </c>
      <c r="AC674" s="46">
        <v>36460500</v>
      </c>
      <c r="AD674" s="46">
        <v>359</v>
      </c>
      <c r="AF674" s="47">
        <f t="shared" si="10"/>
        <v>28510500</v>
      </c>
    </row>
    <row r="675" spans="1:32" hidden="1" x14ac:dyDescent="0.3">
      <c r="A675" s="46" t="s">
        <v>614</v>
      </c>
      <c r="B675" s="46" t="str">
        <f>IFERROR(VLOOKUP($H675,매장구분!$B:$Z,2,0),"")</f>
        <v>파트너채널팀</v>
      </c>
      <c r="C675" s="46" t="str">
        <f>IFERROR(VLOOKUP($H675,매장구분!$B:$Z,3,0),"")</f>
        <v>국내</v>
      </c>
      <c r="D675" s="46" t="str">
        <f>IFERROR(VLOOKUP($H675,매장구분!$B:$Z,5,0),"")</f>
        <v>백화점</v>
      </c>
      <c r="E675" s="46" t="str">
        <f>IFERROR(VLOOKUP($H675,매장구분!$B:$Z,9,0),"")</f>
        <v>롯데울산</v>
      </c>
      <c r="G675" s="46" t="s">
        <v>460</v>
      </c>
      <c r="H675" s="46" t="s">
        <v>461</v>
      </c>
      <c r="I675" s="46" t="s">
        <v>169</v>
      </c>
      <c r="J675" s="46" t="s">
        <v>175</v>
      </c>
      <c r="K675" s="46" t="s">
        <v>170</v>
      </c>
      <c r="L675" s="46" t="s">
        <v>171</v>
      </c>
      <c r="M675" s="46" t="s">
        <v>77</v>
      </c>
      <c r="N675" s="46" t="s">
        <v>172</v>
      </c>
      <c r="O675" s="46">
        <v>22841066</v>
      </c>
      <c r="P675" s="46">
        <v>194</v>
      </c>
      <c r="Q675" s="46">
        <v>0</v>
      </c>
      <c r="R675" s="46">
        <v>0</v>
      </c>
      <c r="S675" s="46">
        <v>0</v>
      </c>
      <c r="T675" s="46">
        <v>0</v>
      </c>
      <c r="U675" s="46">
        <v>5618434</v>
      </c>
      <c r="V675" s="46">
        <v>25</v>
      </c>
      <c r="W675" s="46">
        <v>0</v>
      </c>
      <c r="X675" s="46">
        <v>0</v>
      </c>
      <c r="Y675" s="48">
        <v>0</v>
      </c>
      <c r="Z675" s="46">
        <v>0</v>
      </c>
      <c r="AA675" s="46">
        <v>0</v>
      </c>
      <c r="AB675" s="46">
        <v>0</v>
      </c>
      <c r="AC675" s="46">
        <v>28459500</v>
      </c>
      <c r="AD675" s="46">
        <v>219</v>
      </c>
      <c r="AF675" s="47">
        <f t="shared" si="10"/>
        <v>28459500</v>
      </c>
    </row>
    <row r="676" spans="1:32" hidden="1" x14ac:dyDescent="0.3">
      <c r="A676" s="46" t="s">
        <v>614</v>
      </c>
      <c r="B676" s="46" t="str">
        <f>IFERROR(VLOOKUP($H676,매장구분!$B:$Z,2,0),"")</f>
        <v>파트너채널팀</v>
      </c>
      <c r="C676" s="46" t="str">
        <f>IFERROR(VLOOKUP($H676,매장구분!$B:$Z,3,0),"")</f>
        <v>국내</v>
      </c>
      <c r="D676" s="46" t="str">
        <f>IFERROR(VLOOKUP($H676,매장구분!$B:$Z,5,0),"")</f>
        <v>백화점</v>
      </c>
      <c r="E676" s="46" t="str">
        <f>IFERROR(VLOOKUP($H676,매장구분!$B:$Z,9,0),"")</f>
        <v>롯데미아</v>
      </c>
      <c r="G676" s="46" t="s">
        <v>350</v>
      </c>
      <c r="H676" s="46" t="s">
        <v>351</v>
      </c>
      <c r="I676" s="46" t="s">
        <v>169</v>
      </c>
      <c r="J676" s="46" t="s">
        <v>175</v>
      </c>
      <c r="K676" s="46" t="s">
        <v>170</v>
      </c>
      <c r="L676" s="46" t="s">
        <v>171</v>
      </c>
      <c r="M676" s="46" t="s">
        <v>77</v>
      </c>
      <c r="N676" s="46" t="s">
        <v>172</v>
      </c>
      <c r="O676" s="46">
        <v>24851100</v>
      </c>
      <c r="P676" s="46">
        <v>167</v>
      </c>
      <c r="Q676" s="46">
        <v>0</v>
      </c>
      <c r="R676" s="46">
        <v>0</v>
      </c>
      <c r="S676" s="46">
        <v>0</v>
      </c>
      <c r="T676" s="46">
        <v>0</v>
      </c>
      <c r="U676" s="46">
        <v>0</v>
      </c>
      <c r="V676" s="46">
        <v>0</v>
      </c>
      <c r="W676" s="46">
        <v>0</v>
      </c>
      <c r="X676" s="46">
        <v>0</v>
      </c>
      <c r="Y676" s="48">
        <v>0</v>
      </c>
      <c r="Z676" s="46">
        <v>0</v>
      </c>
      <c r="AA676" s="46">
        <v>0</v>
      </c>
      <c r="AB676" s="46">
        <v>0</v>
      </c>
      <c r="AC676" s="46">
        <v>24851100</v>
      </c>
      <c r="AD676" s="46">
        <v>167</v>
      </c>
      <c r="AF676" s="47">
        <f t="shared" si="10"/>
        <v>24851100</v>
      </c>
    </row>
    <row r="677" spans="1:32" hidden="1" x14ac:dyDescent="0.3">
      <c r="A677" s="46" t="s">
        <v>614</v>
      </c>
      <c r="B677" s="46" t="str">
        <f>IFERROR(VLOOKUP($H677,매장구분!$B:$Z,2,0),"")</f>
        <v>리테일채널팀</v>
      </c>
      <c r="C677" s="46" t="str">
        <f>IFERROR(VLOOKUP($H677,매장구분!$B:$Z,3,0),"")</f>
        <v>국내</v>
      </c>
      <c r="D677" s="46" t="str">
        <f>IFERROR(VLOOKUP($H677,매장구분!$B:$Z,5,0),"")</f>
        <v>대리점</v>
      </c>
      <c r="E677" s="46" t="str">
        <f>IFERROR(VLOOKUP($H677,매장구분!$B:$Z,9,0),"")</f>
        <v>영주(대-위)</v>
      </c>
      <c r="G677" s="46" t="s">
        <v>392</v>
      </c>
      <c r="H677" s="46" t="s">
        <v>393</v>
      </c>
      <c r="I677" s="46" t="s">
        <v>169</v>
      </c>
      <c r="J677" s="46" t="s">
        <v>79</v>
      </c>
      <c r="K677" s="46" t="s">
        <v>170</v>
      </c>
      <c r="L677" s="46" t="s">
        <v>171</v>
      </c>
      <c r="M677" s="46" t="s">
        <v>196</v>
      </c>
      <c r="N677" s="46" t="s">
        <v>197</v>
      </c>
      <c r="O677" s="46">
        <v>8440793</v>
      </c>
      <c r="P677" s="46">
        <v>67</v>
      </c>
      <c r="Q677" s="46">
        <v>0</v>
      </c>
      <c r="R677" s="46">
        <v>0</v>
      </c>
      <c r="S677" s="46">
        <v>0</v>
      </c>
      <c r="T677" s="46">
        <v>0</v>
      </c>
      <c r="U677" s="46">
        <v>4807291</v>
      </c>
      <c r="V677" s="46">
        <v>17</v>
      </c>
      <c r="W677" s="46">
        <v>0</v>
      </c>
      <c r="X677" s="46">
        <v>0</v>
      </c>
      <c r="Y677" s="48">
        <v>0</v>
      </c>
      <c r="Z677" s="46">
        <v>0</v>
      </c>
      <c r="AA677" s="46">
        <v>0</v>
      </c>
      <c r="AB677" s="46">
        <v>0</v>
      </c>
      <c r="AC677" s="46">
        <v>13248084</v>
      </c>
      <c r="AD677" s="46">
        <v>84</v>
      </c>
      <c r="AF677" s="47">
        <f t="shared" si="10"/>
        <v>13248084</v>
      </c>
    </row>
    <row r="678" spans="1:32" hidden="1" x14ac:dyDescent="0.3">
      <c r="A678" s="46" t="s">
        <v>614</v>
      </c>
      <c r="B678" s="46" t="str">
        <f>IFERROR(VLOOKUP($H678,매장구분!$B:$Z,2,0),"")</f>
        <v>리테일채널팀</v>
      </c>
      <c r="C678" s="46" t="str">
        <f>IFERROR(VLOOKUP($H678,매장구분!$B:$Z,3,0),"")</f>
        <v>국내</v>
      </c>
      <c r="D678" s="46" t="str">
        <f>IFERROR(VLOOKUP($H678,매장구분!$B:$Z,5,0),"")</f>
        <v>대리점</v>
      </c>
      <c r="E678" s="46" t="str">
        <f>IFERROR(VLOOKUP($H678,매장구분!$B:$Z,9,0),"")</f>
        <v>광명(대-위)</v>
      </c>
      <c r="G678" s="46" t="s">
        <v>420</v>
      </c>
      <c r="H678" s="46" t="s">
        <v>421</v>
      </c>
      <c r="I678" s="46" t="s">
        <v>169</v>
      </c>
      <c r="J678" s="46" t="s">
        <v>79</v>
      </c>
      <c r="K678" s="46" t="s">
        <v>170</v>
      </c>
      <c r="L678" s="46" t="s">
        <v>171</v>
      </c>
      <c r="M678" s="46" t="s">
        <v>196</v>
      </c>
      <c r="N678" s="46" t="s">
        <v>197</v>
      </c>
      <c r="O678" s="46">
        <v>11354100</v>
      </c>
      <c r="P678" s="46">
        <v>109</v>
      </c>
      <c r="Q678" s="46">
        <v>0</v>
      </c>
      <c r="R678" s="46">
        <v>0</v>
      </c>
      <c r="S678" s="46">
        <v>0</v>
      </c>
      <c r="T678" s="46">
        <v>0</v>
      </c>
      <c r="U678" s="46">
        <v>734100</v>
      </c>
      <c r="V678" s="46">
        <v>6</v>
      </c>
      <c r="W678" s="46">
        <v>0</v>
      </c>
      <c r="X678" s="46">
        <v>0</v>
      </c>
      <c r="Y678" s="48">
        <v>57165000</v>
      </c>
      <c r="Z678" s="46">
        <v>433</v>
      </c>
      <c r="AA678" s="46">
        <v>0</v>
      </c>
      <c r="AB678" s="46">
        <v>0</v>
      </c>
      <c r="AC678" s="46">
        <v>69253200</v>
      </c>
      <c r="AD678" s="46">
        <v>548</v>
      </c>
      <c r="AF678" s="47">
        <f t="shared" si="10"/>
        <v>12088200</v>
      </c>
    </row>
    <row r="679" spans="1:32" hidden="1" x14ac:dyDescent="0.3">
      <c r="A679" s="46" t="s">
        <v>614</v>
      </c>
      <c r="B679" s="46" t="str">
        <f>IFERROR(VLOOKUP($H679,매장구분!$B:$Z,2,0),"")</f>
        <v>파트너채널팀</v>
      </c>
      <c r="C679" s="46" t="str">
        <f>IFERROR(VLOOKUP($H679,매장구분!$B:$Z,3,0),"")</f>
        <v>국내</v>
      </c>
      <c r="D679" s="46" t="str">
        <f>IFERROR(VLOOKUP($H679,매장구분!$B:$Z,5,0),"")</f>
        <v>백화점</v>
      </c>
      <c r="E679" s="46" t="str">
        <f>IFERROR(VLOOKUP($H679,매장구분!$B:$Z,9,0),"")</f>
        <v>롯데구리</v>
      </c>
      <c r="G679" s="46" t="s">
        <v>232</v>
      </c>
      <c r="H679" s="46" t="s">
        <v>233</v>
      </c>
      <c r="I679" s="46" t="s">
        <v>169</v>
      </c>
      <c r="J679" s="46" t="s">
        <v>175</v>
      </c>
      <c r="K679" s="46" t="s">
        <v>170</v>
      </c>
      <c r="L679" s="46" t="s">
        <v>171</v>
      </c>
      <c r="M679" s="46" t="s">
        <v>77</v>
      </c>
      <c r="N679" s="46" t="s">
        <v>172</v>
      </c>
      <c r="O679" s="46">
        <v>11299100</v>
      </c>
      <c r="P679" s="46">
        <v>109</v>
      </c>
      <c r="Q679" s="46">
        <v>2358300</v>
      </c>
      <c r="R679" s="46">
        <v>34</v>
      </c>
      <c r="S679" s="46">
        <v>0</v>
      </c>
      <c r="T679" s="46">
        <v>0</v>
      </c>
      <c r="U679" s="46">
        <v>2617500</v>
      </c>
      <c r="V679" s="46">
        <v>16</v>
      </c>
      <c r="W679" s="46">
        <v>0</v>
      </c>
      <c r="X679" s="46">
        <v>0</v>
      </c>
      <c r="Y679" s="48">
        <v>3513900</v>
      </c>
      <c r="Z679" s="46">
        <v>15</v>
      </c>
      <c r="AA679" s="46">
        <v>0</v>
      </c>
      <c r="AB679" s="46">
        <v>0</v>
      </c>
      <c r="AC679" s="46">
        <v>19788800</v>
      </c>
      <c r="AD679" s="46">
        <v>174</v>
      </c>
      <c r="AF679" s="47">
        <f t="shared" si="10"/>
        <v>16274900</v>
      </c>
    </row>
    <row r="680" spans="1:32" hidden="1" x14ac:dyDescent="0.3">
      <c r="A680" s="46" t="s">
        <v>614</v>
      </c>
      <c r="B680" s="46" t="str">
        <f>IFERROR(VLOOKUP($H680,매장구분!$B:$Z,2,0),"")</f>
        <v>파트너채널팀</v>
      </c>
      <c r="C680" s="46" t="str">
        <f>IFERROR(VLOOKUP($H680,매장구분!$B:$Z,3,0),"")</f>
        <v>국내</v>
      </c>
      <c r="D680" s="46" t="str">
        <f>IFERROR(VLOOKUP($H680,매장구분!$B:$Z,5,0),"")</f>
        <v>백화점</v>
      </c>
      <c r="E680" s="46" t="str">
        <f>IFERROR(VLOOKUP($H680,매장구분!$B:$Z,9,0),"")</f>
        <v>신세계대전</v>
      </c>
      <c r="G680" s="46" t="s">
        <v>263</v>
      </c>
      <c r="H680" s="46" t="s">
        <v>264</v>
      </c>
      <c r="I680" s="46" t="s">
        <v>169</v>
      </c>
      <c r="J680" s="46" t="s">
        <v>175</v>
      </c>
      <c r="K680" s="46" t="s">
        <v>170</v>
      </c>
      <c r="L680" s="46" t="s">
        <v>171</v>
      </c>
      <c r="M680" s="46" t="s">
        <v>77</v>
      </c>
      <c r="N680" s="46" t="s">
        <v>172</v>
      </c>
      <c r="O680" s="46">
        <v>12460700</v>
      </c>
      <c r="P680" s="46">
        <v>123</v>
      </c>
      <c r="Q680" s="46">
        <v>0</v>
      </c>
      <c r="R680" s="46">
        <v>0</v>
      </c>
      <c r="S680" s="46">
        <v>0</v>
      </c>
      <c r="T680" s="46">
        <v>0</v>
      </c>
      <c r="U680" s="46">
        <v>7944500</v>
      </c>
      <c r="V680" s="46">
        <v>45</v>
      </c>
      <c r="W680" s="46">
        <v>0</v>
      </c>
      <c r="X680" s="46">
        <v>0</v>
      </c>
      <c r="Y680" s="48">
        <v>3727000</v>
      </c>
      <c r="Z680" s="46">
        <v>33</v>
      </c>
      <c r="AA680" s="46">
        <v>0</v>
      </c>
      <c r="AB680" s="46">
        <v>0</v>
      </c>
      <c r="AC680" s="46">
        <v>24132200</v>
      </c>
      <c r="AD680" s="46">
        <v>201</v>
      </c>
      <c r="AF680" s="47">
        <f t="shared" si="10"/>
        <v>20405200</v>
      </c>
    </row>
    <row r="681" spans="1:32" hidden="1" x14ac:dyDescent="0.3">
      <c r="A681" s="46" t="s">
        <v>614</v>
      </c>
      <c r="B681" s="46" t="str">
        <f>IFERROR(VLOOKUP($H681,매장구분!$B:$Z,2,0),"")</f>
        <v>리테일채널팀</v>
      </c>
      <c r="C681" s="46" t="str">
        <f>IFERROR(VLOOKUP($H681,매장구분!$B:$Z,3,0),"")</f>
        <v>국내</v>
      </c>
      <c r="D681" s="46" t="str">
        <f>IFERROR(VLOOKUP($H681,매장구분!$B:$Z,5,0),"")</f>
        <v>대리점</v>
      </c>
      <c r="E681" s="46" t="str">
        <f>IFERROR(VLOOKUP($H681,매장구분!$B:$Z,9,0),"")</f>
        <v>홍성(대-위)</v>
      </c>
      <c r="G681" s="46" t="s">
        <v>418</v>
      </c>
      <c r="H681" s="46" t="s">
        <v>419</v>
      </c>
      <c r="I681" s="46" t="s">
        <v>169</v>
      </c>
      <c r="J681" s="46" t="s">
        <v>79</v>
      </c>
      <c r="K681" s="46" t="s">
        <v>170</v>
      </c>
      <c r="L681" s="46" t="s">
        <v>171</v>
      </c>
      <c r="M681" s="46" t="s">
        <v>196</v>
      </c>
      <c r="N681" s="46" t="s">
        <v>197</v>
      </c>
      <c r="O681" s="46">
        <v>23817500</v>
      </c>
      <c r="P681" s="46">
        <v>157</v>
      </c>
      <c r="Q681" s="46">
        <v>0</v>
      </c>
      <c r="R681" s="46">
        <v>0</v>
      </c>
      <c r="S681" s="46">
        <v>0</v>
      </c>
      <c r="T681" s="46">
        <v>0</v>
      </c>
      <c r="U681" s="46">
        <v>237130</v>
      </c>
      <c r="V681" s="46">
        <v>2</v>
      </c>
      <c r="W681" s="46">
        <v>0</v>
      </c>
      <c r="X681" s="46">
        <v>0</v>
      </c>
      <c r="Y681" s="48">
        <v>-136630</v>
      </c>
      <c r="Z681" s="46">
        <v>-1</v>
      </c>
      <c r="AA681" s="46">
        <v>0</v>
      </c>
      <c r="AB681" s="46">
        <v>0</v>
      </c>
      <c r="AC681" s="46">
        <v>23918000</v>
      </c>
      <c r="AD681" s="46">
        <v>158</v>
      </c>
      <c r="AF681" s="47">
        <f t="shared" si="10"/>
        <v>24054630</v>
      </c>
    </row>
    <row r="682" spans="1:32" hidden="1" x14ac:dyDescent="0.3">
      <c r="A682" s="46" t="s">
        <v>614</v>
      </c>
      <c r="B682" s="46" t="str">
        <f>IFERROR(VLOOKUP($H682,매장구분!$B:$Z,2,0),"")</f>
        <v>리테일채널팀</v>
      </c>
      <c r="C682" s="46" t="str">
        <f>IFERROR(VLOOKUP($H682,매장구분!$B:$Z,3,0),"")</f>
        <v>국내</v>
      </c>
      <c r="D682" s="46" t="str">
        <f>IFERROR(VLOOKUP($H682,매장구분!$B:$Z,5,0),"")</f>
        <v>대리점</v>
      </c>
      <c r="E682" s="46" t="str">
        <f>IFERROR(VLOOKUP($H682,매장구분!$B:$Z,9,0),"")</f>
        <v>충주(대-위)</v>
      </c>
      <c r="G682" s="46" t="s">
        <v>322</v>
      </c>
      <c r="H682" s="46" t="s">
        <v>323</v>
      </c>
      <c r="I682" s="46" t="s">
        <v>169</v>
      </c>
      <c r="J682" s="46" t="s">
        <v>79</v>
      </c>
      <c r="K682" s="46" t="s">
        <v>170</v>
      </c>
      <c r="L682" s="46" t="s">
        <v>171</v>
      </c>
      <c r="M682" s="46" t="s">
        <v>196</v>
      </c>
      <c r="N682" s="46" t="s">
        <v>197</v>
      </c>
      <c r="O682" s="46">
        <v>8811000</v>
      </c>
      <c r="P682" s="46">
        <v>76</v>
      </c>
      <c r="Q682" s="46">
        <v>0</v>
      </c>
      <c r="R682" s="46">
        <v>0</v>
      </c>
      <c r="S682" s="46">
        <v>0</v>
      </c>
      <c r="T682" s="46">
        <v>0</v>
      </c>
      <c r="U682" s="46">
        <v>0</v>
      </c>
      <c r="V682" s="46">
        <v>0</v>
      </c>
      <c r="W682" s="46">
        <v>0</v>
      </c>
      <c r="X682" s="46">
        <v>0</v>
      </c>
      <c r="Y682" s="48">
        <v>4064000</v>
      </c>
      <c r="Z682" s="46">
        <v>34</v>
      </c>
      <c r="AA682" s="46">
        <v>0</v>
      </c>
      <c r="AB682" s="46">
        <v>0</v>
      </c>
      <c r="AC682" s="46">
        <v>12875000</v>
      </c>
      <c r="AD682" s="46">
        <v>110</v>
      </c>
      <c r="AF682" s="47">
        <f t="shared" si="10"/>
        <v>8811000</v>
      </c>
    </row>
    <row r="683" spans="1:32" hidden="1" x14ac:dyDescent="0.3">
      <c r="A683" s="46" t="s">
        <v>614</v>
      </c>
      <c r="B683" s="46" t="str">
        <f>IFERROR(VLOOKUP($H683,매장구분!$B:$Z,2,0),"")</f>
        <v>리테일채널팀</v>
      </c>
      <c r="C683" s="46" t="str">
        <f>IFERROR(VLOOKUP($H683,매장구분!$B:$Z,3,0),"")</f>
        <v>국내</v>
      </c>
      <c r="D683" s="46" t="str">
        <f>IFERROR(VLOOKUP($H683,매장구분!$B:$Z,5,0),"")</f>
        <v>대리점</v>
      </c>
      <c r="E683" s="46" t="str">
        <f>IFERROR(VLOOKUP($H683,매장구분!$B:$Z,9,0),"")</f>
        <v>안동(대-위)</v>
      </c>
      <c r="G683" s="46" t="s">
        <v>424</v>
      </c>
      <c r="H683" s="46" t="s">
        <v>425</v>
      </c>
      <c r="I683" s="46" t="s">
        <v>169</v>
      </c>
      <c r="J683" s="46" t="s">
        <v>79</v>
      </c>
      <c r="K683" s="46" t="s">
        <v>170</v>
      </c>
      <c r="L683" s="46" t="s">
        <v>171</v>
      </c>
      <c r="M683" s="46" t="s">
        <v>196</v>
      </c>
      <c r="N683" s="46" t="s">
        <v>197</v>
      </c>
      <c r="O683" s="46">
        <v>8257610</v>
      </c>
      <c r="P683" s="46">
        <v>78</v>
      </c>
      <c r="Q683" s="46">
        <v>0</v>
      </c>
      <c r="R683" s="46">
        <v>0</v>
      </c>
      <c r="S683" s="46">
        <v>0</v>
      </c>
      <c r="T683" s="46">
        <v>0</v>
      </c>
      <c r="U683" s="46">
        <v>1494000</v>
      </c>
      <c r="V683" s="46">
        <v>6</v>
      </c>
      <c r="W683" s="46">
        <v>0</v>
      </c>
      <c r="X683" s="46">
        <v>0</v>
      </c>
      <c r="Y683" s="48">
        <v>0</v>
      </c>
      <c r="Z683" s="46">
        <v>0</v>
      </c>
      <c r="AA683" s="46">
        <v>0</v>
      </c>
      <c r="AB683" s="46">
        <v>0</v>
      </c>
      <c r="AC683" s="46">
        <v>9751610</v>
      </c>
      <c r="AD683" s="46">
        <v>84</v>
      </c>
      <c r="AF683" s="47">
        <f t="shared" si="10"/>
        <v>9751610</v>
      </c>
    </row>
    <row r="684" spans="1:32" hidden="1" x14ac:dyDescent="0.3">
      <c r="A684" s="46" t="s">
        <v>614</v>
      </c>
      <c r="B684" s="46" t="str">
        <f>IFERROR(VLOOKUP($H684,매장구분!$B:$Z,2,0),"")</f>
        <v>E-biz</v>
      </c>
      <c r="C684" s="46" t="str">
        <f>IFERROR(VLOOKUP($H684,매장구분!$B:$Z,3,0),"")</f>
        <v>국내</v>
      </c>
      <c r="D684" s="46" t="str">
        <f>IFERROR(VLOOKUP($H684,매장구분!$B:$Z,5,0),"")</f>
        <v>온(제휴몰)</v>
      </c>
      <c r="E684" s="46" t="str">
        <f>IFERROR(VLOOKUP($H684,매장구분!$B:$Z,9,0),"")</f>
        <v>29CM(제휴몰)</v>
      </c>
      <c r="G684" s="46" t="s">
        <v>518</v>
      </c>
      <c r="H684" s="46" t="s">
        <v>519</v>
      </c>
      <c r="I684" s="46" t="s">
        <v>169</v>
      </c>
      <c r="J684" s="46" t="s">
        <v>180</v>
      </c>
      <c r="K684" s="46" t="s">
        <v>170</v>
      </c>
      <c r="L684" s="46" t="s">
        <v>181</v>
      </c>
      <c r="M684" s="46" t="s">
        <v>181</v>
      </c>
      <c r="N684" s="46" t="s">
        <v>185</v>
      </c>
      <c r="O684" s="46">
        <v>15588800</v>
      </c>
      <c r="P684" s="46">
        <v>245</v>
      </c>
      <c r="Q684" s="46">
        <v>0</v>
      </c>
      <c r="R684" s="46">
        <v>0</v>
      </c>
      <c r="S684" s="46">
        <v>0</v>
      </c>
      <c r="T684" s="46">
        <v>0</v>
      </c>
      <c r="U684" s="46">
        <v>0</v>
      </c>
      <c r="V684" s="46">
        <v>0</v>
      </c>
      <c r="W684" s="46">
        <v>0</v>
      </c>
      <c r="X684" s="46">
        <v>0</v>
      </c>
      <c r="Y684" s="48">
        <v>0</v>
      </c>
      <c r="Z684" s="46">
        <v>0</v>
      </c>
      <c r="AA684" s="46">
        <v>0</v>
      </c>
      <c r="AB684" s="46">
        <v>0</v>
      </c>
      <c r="AC684" s="46">
        <v>15588800</v>
      </c>
      <c r="AD684" s="46">
        <v>245</v>
      </c>
      <c r="AF684" s="47">
        <f t="shared" si="10"/>
        <v>15588800</v>
      </c>
    </row>
    <row r="685" spans="1:32" hidden="1" x14ac:dyDescent="0.3">
      <c r="A685" s="46" t="s">
        <v>614</v>
      </c>
      <c r="B685" s="46" t="str">
        <f>IFERROR(VLOOKUP($H685,매장구분!$B:$Z,2,0),"")</f>
        <v>리테일채널팀</v>
      </c>
      <c r="C685" s="46" t="str">
        <f>IFERROR(VLOOKUP($H685,매장구분!$B:$Z,3,0),"")</f>
        <v>국내</v>
      </c>
      <c r="D685" s="46" t="str">
        <f>IFERROR(VLOOKUP($H685,매장구분!$B:$Z,5,0),"")</f>
        <v>상설(위탁)</v>
      </c>
      <c r="E685" s="46" t="str">
        <f>IFERROR(VLOOKUP($H685,매장구분!$B:$Z,9,0),"")</f>
        <v>롯데아울렛진주(상-위)</v>
      </c>
      <c r="G685" s="46" t="s">
        <v>528</v>
      </c>
      <c r="H685" s="46" t="s">
        <v>529</v>
      </c>
      <c r="I685" s="46" t="s">
        <v>169</v>
      </c>
      <c r="J685" s="46" t="s">
        <v>79</v>
      </c>
      <c r="K685" s="46" t="s">
        <v>170</v>
      </c>
      <c r="L685" s="46" t="s">
        <v>171</v>
      </c>
      <c r="M685" s="46" t="s">
        <v>219</v>
      </c>
      <c r="N685" s="46" t="s">
        <v>219</v>
      </c>
      <c r="O685" s="46">
        <v>1296000</v>
      </c>
      <c r="P685" s="46">
        <v>36</v>
      </c>
      <c r="Q685" s="46">
        <v>0</v>
      </c>
      <c r="R685" s="46">
        <v>0</v>
      </c>
      <c r="S685" s="46">
        <v>0</v>
      </c>
      <c r="T685" s="46">
        <v>0</v>
      </c>
      <c r="U685" s="46">
        <v>0</v>
      </c>
      <c r="V685" s="46">
        <v>0</v>
      </c>
      <c r="W685" s="46">
        <v>0</v>
      </c>
      <c r="X685" s="46">
        <v>0</v>
      </c>
      <c r="Y685" s="48">
        <v>0</v>
      </c>
      <c r="Z685" s="46">
        <v>0</v>
      </c>
      <c r="AA685" s="46">
        <v>0</v>
      </c>
      <c r="AB685" s="46">
        <v>0</v>
      </c>
      <c r="AC685" s="46">
        <v>1296000</v>
      </c>
      <c r="AD685" s="46">
        <v>36</v>
      </c>
      <c r="AF685" s="47">
        <f t="shared" si="10"/>
        <v>1296000</v>
      </c>
    </row>
    <row r="686" spans="1:32" hidden="1" x14ac:dyDescent="0.3">
      <c r="A686" s="46" t="s">
        <v>614</v>
      </c>
      <c r="B686" s="46" t="str">
        <f>IFERROR(VLOOKUP($H686,매장구분!$B:$Z,2,0),"")</f>
        <v>파트너채널팀</v>
      </c>
      <c r="C686" s="46" t="str">
        <f>IFERROR(VLOOKUP($H686,매장구분!$B:$Z,3,0),"")</f>
        <v>도매</v>
      </c>
      <c r="D686" s="46" t="str">
        <f>IFERROR(VLOOKUP($H686,매장구분!$B:$Z,5,0),"")</f>
        <v>도매</v>
      </c>
      <c r="E686" s="46" t="str">
        <f>IFERROR(VLOOKUP($H686,매장구분!$B:$Z,9,0),"")</f>
        <v>온라인완주</v>
      </c>
      <c r="G686" s="46" t="s">
        <v>566</v>
      </c>
      <c r="H686" s="46" t="s">
        <v>567</v>
      </c>
      <c r="I686" s="46" t="s">
        <v>169</v>
      </c>
      <c r="J686" s="46" t="s">
        <v>180</v>
      </c>
      <c r="K686" s="46" t="s">
        <v>170</v>
      </c>
      <c r="L686" s="46" t="s">
        <v>568</v>
      </c>
      <c r="M686" s="46" t="s">
        <v>181</v>
      </c>
      <c r="N686" s="46" t="s">
        <v>568</v>
      </c>
      <c r="O686" s="46">
        <v>55731060</v>
      </c>
      <c r="P686" s="46">
        <v>1906</v>
      </c>
      <c r="Q686" s="46">
        <v>0</v>
      </c>
      <c r="R686" s="46">
        <v>0</v>
      </c>
      <c r="S686" s="46">
        <v>0</v>
      </c>
      <c r="T686" s="46">
        <v>0</v>
      </c>
      <c r="U686" s="46">
        <v>0</v>
      </c>
      <c r="V686" s="46">
        <v>0</v>
      </c>
      <c r="W686" s="46">
        <v>0</v>
      </c>
      <c r="X686" s="46">
        <v>0</v>
      </c>
      <c r="Y686" s="48">
        <v>0</v>
      </c>
      <c r="Z686" s="46">
        <v>0</v>
      </c>
      <c r="AA686" s="46">
        <v>0</v>
      </c>
      <c r="AB686" s="46">
        <v>0</v>
      </c>
      <c r="AC686" s="46">
        <v>55731060</v>
      </c>
      <c r="AD686" s="46">
        <v>1906</v>
      </c>
      <c r="AF686" s="47">
        <f t="shared" si="10"/>
        <v>55731060</v>
      </c>
    </row>
    <row r="687" spans="1:32" hidden="1" x14ac:dyDescent="0.3">
      <c r="A687" s="46" t="s">
        <v>614</v>
      </c>
      <c r="B687" s="46" t="str">
        <f>IFERROR(VLOOKUP($H687,매장구분!$B:$Z,2,0),"")</f>
        <v>리테일채널팀</v>
      </c>
      <c r="C687" s="46" t="str">
        <f>IFERROR(VLOOKUP($H687,매장구분!$B:$Z,3,0),"")</f>
        <v>국내</v>
      </c>
      <c r="D687" s="46" t="str">
        <f>IFERROR(VLOOKUP($H687,매장구분!$B:$Z,5,0),"")</f>
        <v>상설(위탁)</v>
      </c>
      <c r="E687" s="46" t="str">
        <f>IFERROR(VLOOKUP($H687,매장구분!$B:$Z,9,0),"")</f>
        <v>롯데아울렛율하(상-위)</v>
      </c>
      <c r="G687" s="46" t="s">
        <v>610</v>
      </c>
      <c r="H687" s="46" t="s">
        <v>611</v>
      </c>
      <c r="I687" s="46" t="s">
        <v>169</v>
      </c>
      <c r="J687" s="46" t="s">
        <v>79</v>
      </c>
      <c r="K687" s="46" t="s">
        <v>170</v>
      </c>
      <c r="L687" s="46" t="s">
        <v>171</v>
      </c>
      <c r="M687" s="46" t="s">
        <v>219</v>
      </c>
      <c r="N687" s="46" t="s">
        <v>219</v>
      </c>
      <c r="O687" s="46">
        <v>828000</v>
      </c>
      <c r="P687" s="46">
        <v>23</v>
      </c>
      <c r="Q687" s="46">
        <v>0</v>
      </c>
      <c r="R687" s="46">
        <v>0</v>
      </c>
      <c r="S687" s="46">
        <v>0</v>
      </c>
      <c r="T687" s="46">
        <v>0</v>
      </c>
      <c r="U687" s="46">
        <v>0</v>
      </c>
      <c r="V687" s="46">
        <v>0</v>
      </c>
      <c r="W687" s="46">
        <v>0</v>
      </c>
      <c r="X687" s="46">
        <v>0</v>
      </c>
      <c r="Y687" s="48">
        <v>0</v>
      </c>
      <c r="Z687" s="46">
        <v>0</v>
      </c>
      <c r="AA687" s="46">
        <v>0</v>
      </c>
      <c r="AB687" s="46">
        <v>0</v>
      </c>
      <c r="AC687" s="46">
        <v>828000</v>
      </c>
      <c r="AD687" s="46">
        <v>23</v>
      </c>
      <c r="AF687" s="47">
        <f t="shared" si="10"/>
        <v>828000</v>
      </c>
    </row>
    <row r="688" spans="1:32" hidden="1" x14ac:dyDescent="0.3">
      <c r="A688" s="46" t="s">
        <v>614</v>
      </c>
      <c r="B688" s="46" t="str">
        <f>IFERROR(VLOOKUP($H688,매장구분!$B:$Z,2,0),"")</f>
        <v>리테일채널팀</v>
      </c>
      <c r="C688" s="46" t="str">
        <f>IFERROR(VLOOKUP($H688,매장구분!$B:$Z,3,0),"")</f>
        <v>국내</v>
      </c>
      <c r="D688" s="46" t="str">
        <f>IFERROR(VLOOKUP($H688,매장구분!$B:$Z,5,0),"")</f>
        <v>상설(위탁)</v>
      </c>
      <c r="E688" s="46" t="str">
        <f>IFERROR(VLOOKUP($H688,매장구분!$B:$Z,9,0),"")</f>
        <v>신세계아울렛여주(상-위)</v>
      </c>
      <c r="G688" s="46" t="s">
        <v>380</v>
      </c>
      <c r="H688" s="46" t="s">
        <v>381</v>
      </c>
      <c r="I688" s="46" t="s">
        <v>169</v>
      </c>
      <c r="J688" s="46" t="s">
        <v>79</v>
      </c>
      <c r="K688" s="46" t="s">
        <v>170</v>
      </c>
      <c r="L688" s="46" t="s">
        <v>171</v>
      </c>
      <c r="M688" s="46" t="s">
        <v>219</v>
      </c>
      <c r="N688" s="46" t="s">
        <v>219</v>
      </c>
      <c r="O688" s="46">
        <v>3240000</v>
      </c>
      <c r="P688" s="46">
        <v>90</v>
      </c>
      <c r="Q688" s="46">
        <v>0</v>
      </c>
      <c r="R688" s="46">
        <v>0</v>
      </c>
      <c r="S688" s="46">
        <v>0</v>
      </c>
      <c r="T688" s="46">
        <v>0</v>
      </c>
      <c r="U688" s="46">
        <v>0</v>
      </c>
      <c r="V688" s="46">
        <v>0</v>
      </c>
      <c r="W688" s="46">
        <v>0</v>
      </c>
      <c r="X688" s="46">
        <v>0</v>
      </c>
      <c r="Y688" s="48">
        <v>0</v>
      </c>
      <c r="Z688" s="46">
        <v>0</v>
      </c>
      <c r="AA688" s="46">
        <v>0</v>
      </c>
      <c r="AB688" s="46">
        <v>0</v>
      </c>
      <c r="AC688" s="46">
        <v>3240000</v>
      </c>
      <c r="AD688" s="46">
        <v>90</v>
      </c>
      <c r="AF688" s="47">
        <f t="shared" si="10"/>
        <v>3240000</v>
      </c>
    </row>
    <row r="689" spans="1:32" hidden="1" x14ac:dyDescent="0.3">
      <c r="A689" s="46" t="s">
        <v>614</v>
      </c>
      <c r="B689" s="46" t="str">
        <f>IFERROR(VLOOKUP($H689,매장구분!$B:$Z,2,0),"")</f>
        <v>리테일채널팀</v>
      </c>
      <c r="C689" s="46" t="str">
        <f>IFERROR(VLOOKUP($H689,매장구분!$B:$Z,3,0),"")</f>
        <v>국내</v>
      </c>
      <c r="D689" s="46" t="str">
        <f>IFERROR(VLOOKUP($H689,매장구분!$B:$Z,5,0),"")</f>
        <v>상설(위탁)</v>
      </c>
      <c r="E689" s="46" t="str">
        <f>IFERROR(VLOOKUP($H689,매장구분!$B:$Z,9,0),"")</f>
        <v>콜렉티드(상-위)</v>
      </c>
      <c r="G689" s="46" t="s">
        <v>434</v>
      </c>
      <c r="H689" s="46" t="s">
        <v>435</v>
      </c>
      <c r="I689" s="46" t="s">
        <v>169</v>
      </c>
      <c r="J689" s="46" t="s">
        <v>79</v>
      </c>
      <c r="K689" s="46" t="s">
        <v>170</v>
      </c>
      <c r="L689" s="46" t="s">
        <v>171</v>
      </c>
      <c r="M689" s="46" t="s">
        <v>219</v>
      </c>
      <c r="N689" s="46" t="s">
        <v>219</v>
      </c>
      <c r="O689" s="46">
        <v>72000</v>
      </c>
      <c r="P689" s="46">
        <v>2</v>
      </c>
      <c r="Q689" s="46">
        <v>0</v>
      </c>
      <c r="R689" s="46">
        <v>0</v>
      </c>
      <c r="S689" s="46">
        <v>0</v>
      </c>
      <c r="T689" s="46">
        <v>0</v>
      </c>
      <c r="U689" s="46">
        <v>0</v>
      </c>
      <c r="V689" s="46">
        <v>0</v>
      </c>
      <c r="W689" s="46">
        <v>0</v>
      </c>
      <c r="X689" s="46">
        <v>0</v>
      </c>
      <c r="Y689" s="48">
        <v>0</v>
      </c>
      <c r="Z689" s="46">
        <v>0</v>
      </c>
      <c r="AA689" s="46">
        <v>0</v>
      </c>
      <c r="AB689" s="46">
        <v>0</v>
      </c>
      <c r="AC689" s="46">
        <v>72000</v>
      </c>
      <c r="AD689" s="46">
        <v>2</v>
      </c>
      <c r="AF689" s="47">
        <f t="shared" si="10"/>
        <v>72000</v>
      </c>
    </row>
    <row r="690" spans="1:32" hidden="1" x14ac:dyDescent="0.3">
      <c r="A690" s="46" t="s">
        <v>614</v>
      </c>
      <c r="B690" s="46" t="str">
        <f>IFERROR(VLOOKUP($H690,매장구분!$B:$Z,2,0),"")</f>
        <v>파트너채널팀</v>
      </c>
      <c r="C690" s="46" t="str">
        <f>IFERROR(VLOOKUP($H690,매장구분!$B:$Z,3,0),"")</f>
        <v>국내</v>
      </c>
      <c r="D690" s="46" t="str">
        <f>IFERROR(VLOOKUP($H690,매장구분!$B:$Z,5,0),"")</f>
        <v>백화점</v>
      </c>
      <c r="E690" s="46" t="str">
        <f>IFERROR(VLOOKUP($H690,매장구분!$B:$Z,9,0),"")</f>
        <v>더현대서울</v>
      </c>
      <c r="G690" s="46" t="s">
        <v>422</v>
      </c>
      <c r="H690" s="46" t="s">
        <v>423</v>
      </c>
      <c r="I690" s="46" t="s">
        <v>169</v>
      </c>
      <c r="J690" s="46" t="s">
        <v>175</v>
      </c>
      <c r="K690" s="46" t="s">
        <v>170</v>
      </c>
      <c r="L690" s="46" t="s">
        <v>171</v>
      </c>
      <c r="M690" s="46" t="s">
        <v>188</v>
      </c>
      <c r="N690" s="46" t="s">
        <v>189</v>
      </c>
      <c r="O690" s="46">
        <v>44618700</v>
      </c>
      <c r="P690" s="46">
        <v>442</v>
      </c>
      <c r="Q690" s="46">
        <v>0</v>
      </c>
      <c r="R690" s="46">
        <v>0</v>
      </c>
      <c r="S690" s="46">
        <v>0</v>
      </c>
      <c r="T690" s="46">
        <v>0</v>
      </c>
      <c r="U690" s="46">
        <v>2017000</v>
      </c>
      <c r="V690" s="46">
        <v>13</v>
      </c>
      <c r="W690" s="46">
        <v>0</v>
      </c>
      <c r="X690" s="46">
        <v>0</v>
      </c>
      <c r="Y690" s="48">
        <v>0</v>
      </c>
      <c r="Z690" s="46">
        <v>0</v>
      </c>
      <c r="AA690" s="46">
        <v>0</v>
      </c>
      <c r="AB690" s="46">
        <v>0</v>
      </c>
      <c r="AC690" s="46">
        <v>46635700</v>
      </c>
      <c r="AD690" s="46">
        <v>455</v>
      </c>
      <c r="AF690" s="47">
        <f t="shared" si="10"/>
        <v>46635700</v>
      </c>
    </row>
    <row r="691" spans="1:32" hidden="1" x14ac:dyDescent="0.3">
      <c r="A691" s="46" t="s">
        <v>614</v>
      </c>
      <c r="B691" s="46" t="str">
        <f>IFERROR(VLOOKUP($H691,매장구분!$B:$Z,2,0),"")</f>
        <v>E-biz</v>
      </c>
      <c r="C691" s="46" t="str">
        <f>IFERROR(VLOOKUP($H691,매장구분!$B:$Z,3,0),"")</f>
        <v>국내</v>
      </c>
      <c r="D691" s="46" t="str">
        <f>IFERROR(VLOOKUP($H691,매장구분!$B:$Z,5,0),"")</f>
        <v>온(제휴몰)</v>
      </c>
      <c r="E691" s="46" t="str">
        <f>IFERROR(VLOOKUP($H691,매장구분!$B:$Z,9,0),"")</f>
        <v>네이버스토어(제휴몰)</v>
      </c>
      <c r="G691" s="46" t="s">
        <v>207</v>
      </c>
      <c r="H691" s="46" t="s">
        <v>208</v>
      </c>
      <c r="I691" s="46" t="s">
        <v>169</v>
      </c>
      <c r="J691" s="46" t="s">
        <v>180</v>
      </c>
      <c r="K691" s="46" t="s">
        <v>170</v>
      </c>
      <c r="L691" s="46" t="s">
        <v>181</v>
      </c>
      <c r="M691" s="46" t="s">
        <v>181</v>
      </c>
      <c r="N691" s="46" t="s">
        <v>185</v>
      </c>
      <c r="O691" s="46">
        <v>279062800</v>
      </c>
      <c r="P691" s="46">
        <v>3037</v>
      </c>
      <c r="Q691" s="46">
        <v>0</v>
      </c>
      <c r="R691" s="46">
        <v>0</v>
      </c>
      <c r="S691" s="46">
        <v>0</v>
      </c>
      <c r="T691" s="46">
        <v>0</v>
      </c>
      <c r="U691" s="46">
        <v>0</v>
      </c>
      <c r="V691" s="46">
        <v>0</v>
      </c>
      <c r="W691" s="46">
        <v>0</v>
      </c>
      <c r="X691" s="46">
        <v>0</v>
      </c>
      <c r="Y691" s="48">
        <v>0</v>
      </c>
      <c r="Z691" s="46">
        <v>0</v>
      </c>
      <c r="AA691" s="46">
        <v>0</v>
      </c>
      <c r="AB691" s="46">
        <v>0</v>
      </c>
      <c r="AC691" s="46">
        <v>279062800</v>
      </c>
      <c r="AD691" s="46">
        <v>3037</v>
      </c>
      <c r="AF691" s="47">
        <f t="shared" si="10"/>
        <v>279062800</v>
      </c>
    </row>
    <row r="692" spans="1:32" hidden="1" x14ac:dyDescent="0.3">
      <c r="A692" s="46" t="s">
        <v>614</v>
      </c>
      <c r="B692" s="46" t="str">
        <f>IFERROR(VLOOKUP($H692,매장구분!$B:$Z,2,0),"")</f>
        <v>리테일채널팀</v>
      </c>
      <c r="C692" s="46" t="str">
        <f>IFERROR(VLOOKUP($H692,매장구분!$B:$Z,3,0),"")</f>
        <v>국내</v>
      </c>
      <c r="D692" s="46" t="str">
        <f>IFERROR(VLOOKUP($H692,매장구분!$B:$Z,5,0),"")</f>
        <v>대리점</v>
      </c>
      <c r="E692" s="46" t="str">
        <f>IFERROR(VLOOKUP($H692,매장구분!$B:$Z,9,0),"")</f>
        <v>동해(대-위)</v>
      </c>
      <c r="G692" s="46" t="s">
        <v>534</v>
      </c>
      <c r="H692" s="46" t="s">
        <v>535</v>
      </c>
      <c r="I692" s="46" t="s">
        <v>169</v>
      </c>
      <c r="J692" s="46" t="s">
        <v>79</v>
      </c>
      <c r="K692" s="46" t="s">
        <v>170</v>
      </c>
      <c r="L692" s="46" t="s">
        <v>171</v>
      </c>
      <c r="M692" s="46" t="s">
        <v>196</v>
      </c>
      <c r="N692" s="46" t="s">
        <v>197</v>
      </c>
      <c r="O692" s="46">
        <v>14282198</v>
      </c>
      <c r="P692" s="46">
        <v>120</v>
      </c>
      <c r="Q692" s="46">
        <v>0</v>
      </c>
      <c r="R692" s="46">
        <v>0</v>
      </c>
      <c r="S692" s="46">
        <v>0</v>
      </c>
      <c r="T692" s="46">
        <v>0</v>
      </c>
      <c r="U692" s="46">
        <v>4574352</v>
      </c>
      <c r="V692" s="46">
        <v>33</v>
      </c>
      <c r="W692" s="46">
        <v>0</v>
      </c>
      <c r="X692" s="46">
        <v>0</v>
      </c>
      <c r="Y692" s="48">
        <v>0</v>
      </c>
      <c r="Z692" s="46">
        <v>0</v>
      </c>
      <c r="AA692" s="46">
        <v>0</v>
      </c>
      <c r="AB692" s="46">
        <v>0</v>
      </c>
      <c r="AC692" s="46">
        <v>18856550</v>
      </c>
      <c r="AD692" s="46">
        <v>153</v>
      </c>
      <c r="AF692" s="47">
        <f t="shared" si="10"/>
        <v>18856550</v>
      </c>
    </row>
    <row r="693" spans="1:32" hidden="1" x14ac:dyDescent="0.3">
      <c r="A693" s="46" t="s">
        <v>614</v>
      </c>
      <c r="B693" s="46" t="str">
        <f>IFERROR(VLOOKUP($H693,매장구분!$B:$Z,2,0),"")</f>
        <v>리테일채널팀</v>
      </c>
      <c r="C693" s="46" t="str">
        <f>IFERROR(VLOOKUP($H693,매장구분!$B:$Z,3,0),"")</f>
        <v>국내</v>
      </c>
      <c r="D693" s="46" t="str">
        <f>IFERROR(VLOOKUP($H693,매장구분!$B:$Z,5,0),"")</f>
        <v>직영점</v>
      </c>
      <c r="E693" s="46" t="str">
        <f>IFERROR(VLOOKUP($H693,매장구분!$B:$Z,9,0),"")</f>
        <v>동성로</v>
      </c>
      <c r="G693" s="46" t="s">
        <v>204</v>
      </c>
      <c r="H693" s="46" t="s">
        <v>205</v>
      </c>
      <c r="I693" s="46" t="s">
        <v>169</v>
      </c>
      <c r="J693" s="46" t="s">
        <v>180</v>
      </c>
      <c r="K693" s="46" t="s">
        <v>170</v>
      </c>
      <c r="L693" s="46" t="s">
        <v>171</v>
      </c>
      <c r="M693" s="46" t="s">
        <v>196</v>
      </c>
      <c r="N693" s="46" t="s">
        <v>206</v>
      </c>
      <c r="O693" s="46">
        <v>15852100</v>
      </c>
      <c r="P693" s="46">
        <v>163</v>
      </c>
      <c r="Q693" s="46">
        <v>0</v>
      </c>
      <c r="R693" s="46">
        <v>0</v>
      </c>
      <c r="S693" s="46">
        <v>0</v>
      </c>
      <c r="T693" s="46">
        <v>0</v>
      </c>
      <c r="U693" s="46">
        <v>1593600</v>
      </c>
      <c r="V693" s="46">
        <v>8</v>
      </c>
      <c r="W693" s="46">
        <v>0</v>
      </c>
      <c r="X693" s="46">
        <v>0</v>
      </c>
      <c r="Y693" s="48">
        <v>0</v>
      </c>
      <c r="Z693" s="46">
        <v>0</v>
      </c>
      <c r="AA693" s="46">
        <v>0</v>
      </c>
      <c r="AB693" s="46">
        <v>0</v>
      </c>
      <c r="AC693" s="46">
        <v>17445700</v>
      </c>
      <c r="AD693" s="46">
        <v>171</v>
      </c>
      <c r="AF693" s="47">
        <f t="shared" si="10"/>
        <v>17445700</v>
      </c>
    </row>
    <row r="694" spans="1:32" hidden="1" x14ac:dyDescent="0.3">
      <c r="A694" s="46" t="s">
        <v>614</v>
      </c>
      <c r="B694" s="46" t="str">
        <f>IFERROR(VLOOKUP($H694,매장구분!$B:$Z,2,0),"")</f>
        <v>리테일채널팀</v>
      </c>
      <c r="C694" s="46" t="str">
        <f>IFERROR(VLOOKUP($H694,매장구분!$B:$Z,3,0),"")</f>
        <v>국내</v>
      </c>
      <c r="D694" s="46" t="str">
        <f>IFERROR(VLOOKUP($H694,매장구분!$B:$Z,5,0),"")</f>
        <v>대리점</v>
      </c>
      <c r="E694" s="46" t="str">
        <f>IFERROR(VLOOKUP($H694,매장구분!$B:$Z,9,0),"")</f>
        <v>강릉(대-위)</v>
      </c>
      <c r="G694" s="46" t="s">
        <v>230</v>
      </c>
      <c r="H694" s="46" t="s">
        <v>231</v>
      </c>
      <c r="I694" s="46" t="s">
        <v>169</v>
      </c>
      <c r="J694" s="46" t="s">
        <v>79</v>
      </c>
      <c r="K694" s="46" t="s">
        <v>170</v>
      </c>
      <c r="L694" s="46" t="s">
        <v>171</v>
      </c>
      <c r="M694" s="46" t="s">
        <v>196</v>
      </c>
      <c r="N694" s="46" t="s">
        <v>197</v>
      </c>
      <c r="O694" s="46">
        <v>11627732</v>
      </c>
      <c r="P694" s="46">
        <v>92</v>
      </c>
      <c r="Q694" s="46">
        <v>0</v>
      </c>
      <c r="R694" s="46">
        <v>0</v>
      </c>
      <c r="S694" s="46">
        <v>0</v>
      </c>
      <c r="T694" s="46">
        <v>0</v>
      </c>
      <c r="U694" s="46">
        <v>2025384</v>
      </c>
      <c r="V694" s="46">
        <v>11</v>
      </c>
      <c r="W694" s="46">
        <v>0</v>
      </c>
      <c r="X694" s="46">
        <v>0</v>
      </c>
      <c r="Y694" s="48">
        <v>0</v>
      </c>
      <c r="Z694" s="46">
        <v>0</v>
      </c>
      <c r="AA694" s="46">
        <v>0</v>
      </c>
      <c r="AB694" s="46">
        <v>0</v>
      </c>
      <c r="AC694" s="46">
        <v>13653116</v>
      </c>
      <c r="AD694" s="46">
        <v>103</v>
      </c>
      <c r="AF694" s="47">
        <f t="shared" si="10"/>
        <v>13653116</v>
      </c>
    </row>
    <row r="695" spans="1:32" hidden="1" x14ac:dyDescent="0.3">
      <c r="A695" s="46" t="s">
        <v>614</v>
      </c>
      <c r="B695" s="46" t="str">
        <f>IFERROR(VLOOKUP($H695,매장구분!$B:$Z,2,0),"")</f>
        <v>리테일채널팀</v>
      </c>
      <c r="C695" s="46" t="str">
        <f>IFERROR(VLOOKUP($H695,매장구분!$B:$Z,3,0),"")</f>
        <v>국내</v>
      </c>
      <c r="D695" s="46" t="str">
        <f>IFERROR(VLOOKUP($H695,매장구분!$B:$Z,5,0),"")</f>
        <v>대리점</v>
      </c>
      <c r="E695" s="46" t="str">
        <f>IFERROR(VLOOKUP($H695,매장구분!$B:$Z,9,0),"")</f>
        <v>퍼스트빌리지(대-위)</v>
      </c>
      <c r="G695" s="46" t="s">
        <v>440</v>
      </c>
      <c r="H695" s="46" t="s">
        <v>441</v>
      </c>
      <c r="I695" s="46" t="s">
        <v>169</v>
      </c>
      <c r="J695" s="46" t="s">
        <v>79</v>
      </c>
      <c r="K695" s="46" t="s">
        <v>170</v>
      </c>
      <c r="L695" s="46" t="s">
        <v>171</v>
      </c>
      <c r="M695" s="46" t="s">
        <v>196</v>
      </c>
      <c r="N695" s="46" t="s">
        <v>197</v>
      </c>
      <c r="O695" s="46">
        <v>26372731</v>
      </c>
      <c r="P695" s="46">
        <v>194</v>
      </c>
      <c r="Q695" s="46">
        <v>0</v>
      </c>
      <c r="R695" s="46">
        <v>0</v>
      </c>
      <c r="S695" s="46">
        <v>0</v>
      </c>
      <c r="T695" s="46">
        <v>0</v>
      </c>
      <c r="U695" s="46">
        <v>2507255</v>
      </c>
      <c r="V695" s="46">
        <v>11</v>
      </c>
      <c r="W695" s="46">
        <v>0</v>
      </c>
      <c r="X695" s="46">
        <v>0</v>
      </c>
      <c r="Y695" s="48">
        <v>0</v>
      </c>
      <c r="Z695" s="46">
        <v>0</v>
      </c>
      <c r="AA695" s="46">
        <v>0</v>
      </c>
      <c r="AB695" s="46">
        <v>0</v>
      </c>
      <c r="AC695" s="46">
        <v>28879986</v>
      </c>
      <c r="AD695" s="46">
        <v>205</v>
      </c>
      <c r="AF695" s="47">
        <f t="shared" si="10"/>
        <v>28879986</v>
      </c>
    </row>
    <row r="696" spans="1:32" hidden="1" x14ac:dyDescent="0.3">
      <c r="A696" s="46" t="s">
        <v>614</v>
      </c>
      <c r="B696" s="46" t="str">
        <f>IFERROR(VLOOKUP($H696,매장구분!$B:$Z,2,0),"")</f>
        <v>리테일채널팀</v>
      </c>
      <c r="C696" s="46" t="str">
        <f>IFERROR(VLOOKUP($H696,매장구분!$B:$Z,3,0),"")</f>
        <v>국내</v>
      </c>
      <c r="D696" s="46" t="str">
        <f>IFERROR(VLOOKUP($H696,매장구분!$B:$Z,5,0),"")</f>
        <v>대리점</v>
      </c>
      <c r="E696" s="46" t="str">
        <f>IFERROR(VLOOKUP($H696,매장구분!$B:$Z,9,0),"")</f>
        <v>속초(대-위)</v>
      </c>
      <c r="G696" s="46" t="s">
        <v>488</v>
      </c>
      <c r="H696" s="46" t="s">
        <v>489</v>
      </c>
      <c r="I696" s="46" t="s">
        <v>169</v>
      </c>
      <c r="J696" s="46" t="s">
        <v>79</v>
      </c>
      <c r="K696" s="46" t="s">
        <v>170</v>
      </c>
      <c r="L696" s="46" t="s">
        <v>171</v>
      </c>
      <c r="M696" s="46" t="s">
        <v>196</v>
      </c>
      <c r="N696" s="46" t="s">
        <v>197</v>
      </c>
      <c r="O696" s="46">
        <v>14006138</v>
      </c>
      <c r="P696" s="46">
        <v>130</v>
      </c>
      <c r="Q696" s="46">
        <v>0</v>
      </c>
      <c r="R696" s="46">
        <v>0</v>
      </c>
      <c r="S696" s="46">
        <v>0</v>
      </c>
      <c r="T696" s="46">
        <v>0</v>
      </c>
      <c r="U696" s="46">
        <v>2252662</v>
      </c>
      <c r="V696" s="46">
        <v>14</v>
      </c>
      <c r="W696" s="46">
        <v>0</v>
      </c>
      <c r="X696" s="46">
        <v>0</v>
      </c>
      <c r="Y696" s="48">
        <v>0</v>
      </c>
      <c r="Z696" s="46">
        <v>0</v>
      </c>
      <c r="AA696" s="46">
        <v>0</v>
      </c>
      <c r="AB696" s="46">
        <v>0</v>
      </c>
      <c r="AC696" s="46">
        <v>16258800</v>
      </c>
      <c r="AD696" s="46">
        <v>144</v>
      </c>
      <c r="AF696" s="47">
        <f t="shared" si="10"/>
        <v>16258800</v>
      </c>
    </row>
    <row r="697" spans="1:32" hidden="1" x14ac:dyDescent="0.3">
      <c r="A697" s="46" t="s">
        <v>614</v>
      </c>
      <c r="B697" s="46" t="str">
        <f>IFERROR(VLOOKUP($H697,매장구분!$B:$Z,2,0),"")</f>
        <v>파트너채널팀</v>
      </c>
      <c r="C697" s="46" t="str">
        <f>IFERROR(VLOOKUP($H697,매장구분!$B:$Z,3,0),"")</f>
        <v>국내</v>
      </c>
      <c r="D697" s="46" t="str">
        <f>IFERROR(VLOOKUP($H697,매장구분!$B:$Z,5,0),"")</f>
        <v>백화점</v>
      </c>
      <c r="E697" s="46" t="str">
        <f>IFERROR(VLOOKUP($H697,매장구분!$B:$Z,9,0),"")</f>
        <v>롯데강남</v>
      </c>
      <c r="G697" s="46" t="s">
        <v>275</v>
      </c>
      <c r="H697" s="46" t="s">
        <v>276</v>
      </c>
      <c r="I697" s="46" t="s">
        <v>169</v>
      </c>
      <c r="J697" s="46" t="s">
        <v>175</v>
      </c>
      <c r="K697" s="46" t="s">
        <v>170</v>
      </c>
      <c r="L697" s="46" t="s">
        <v>171</v>
      </c>
      <c r="M697" s="46" t="s">
        <v>77</v>
      </c>
      <c r="N697" s="46" t="s">
        <v>172</v>
      </c>
      <c r="O697" s="46">
        <v>8153300</v>
      </c>
      <c r="P697" s="46">
        <v>77</v>
      </c>
      <c r="Q697" s="46">
        <v>0</v>
      </c>
      <c r="R697" s="46">
        <v>0</v>
      </c>
      <c r="S697" s="46">
        <v>0</v>
      </c>
      <c r="T697" s="46">
        <v>0</v>
      </c>
      <c r="U697" s="46">
        <v>2653700</v>
      </c>
      <c r="V697" s="46">
        <v>18</v>
      </c>
      <c r="W697" s="46">
        <v>0</v>
      </c>
      <c r="X697" s="46">
        <v>0</v>
      </c>
      <c r="Y697" s="48">
        <v>0</v>
      </c>
      <c r="Z697" s="46">
        <v>0</v>
      </c>
      <c r="AA697" s="46">
        <v>0</v>
      </c>
      <c r="AB697" s="46">
        <v>0</v>
      </c>
      <c r="AC697" s="46">
        <v>10807000</v>
      </c>
      <c r="AD697" s="46">
        <v>95</v>
      </c>
      <c r="AF697" s="47">
        <f t="shared" si="10"/>
        <v>10807000</v>
      </c>
    </row>
    <row r="698" spans="1:32" hidden="1" x14ac:dyDescent="0.3">
      <c r="A698" s="46" t="s">
        <v>614</v>
      </c>
      <c r="B698" s="46" t="str">
        <f>IFERROR(VLOOKUP($H698,매장구분!$B:$Z,2,0),"")</f>
        <v>리테일채널팀</v>
      </c>
      <c r="C698" s="46" t="str">
        <f>IFERROR(VLOOKUP($H698,매장구분!$B:$Z,3,0),"")</f>
        <v>국내</v>
      </c>
      <c r="D698" s="46" t="str">
        <f>IFERROR(VLOOKUP($H698,매장구분!$B:$Z,5,0),"")</f>
        <v>직영점</v>
      </c>
      <c r="E698" s="46" t="str">
        <f>IFERROR(VLOOKUP($H698,매장구분!$B:$Z,9,0),"")</f>
        <v>스타필드하남(직)</v>
      </c>
      <c r="G698" s="46" t="s">
        <v>394</v>
      </c>
      <c r="H698" s="46" t="s">
        <v>395</v>
      </c>
      <c r="I698" s="46" t="s">
        <v>169</v>
      </c>
      <c r="J698" s="46" t="s">
        <v>180</v>
      </c>
      <c r="K698" s="46" t="s">
        <v>170</v>
      </c>
      <c r="L698" s="46" t="s">
        <v>171</v>
      </c>
      <c r="M698" s="46" t="s">
        <v>188</v>
      </c>
      <c r="N698" s="46" t="s">
        <v>189</v>
      </c>
      <c r="O698" s="46">
        <v>30900000</v>
      </c>
      <c r="P698" s="46">
        <v>299</v>
      </c>
      <c r="Q698" s="46">
        <v>0</v>
      </c>
      <c r="R698" s="46">
        <v>0</v>
      </c>
      <c r="S698" s="46">
        <v>0</v>
      </c>
      <c r="T698" s="46">
        <v>0</v>
      </c>
      <c r="U698" s="46">
        <v>3041000</v>
      </c>
      <c r="V698" s="46">
        <v>9</v>
      </c>
      <c r="W698" s="46">
        <v>0</v>
      </c>
      <c r="X698" s="46">
        <v>0</v>
      </c>
      <c r="Y698" s="48">
        <v>0</v>
      </c>
      <c r="Z698" s="46">
        <v>0</v>
      </c>
      <c r="AA698" s="46">
        <v>0</v>
      </c>
      <c r="AB698" s="46">
        <v>0</v>
      </c>
      <c r="AC698" s="46">
        <v>33941000</v>
      </c>
      <c r="AD698" s="46">
        <v>308</v>
      </c>
      <c r="AF698" s="47">
        <f t="shared" si="10"/>
        <v>33941000</v>
      </c>
    </row>
    <row r="699" spans="1:32" hidden="1" x14ac:dyDescent="0.3">
      <c r="A699" s="46" t="s">
        <v>614</v>
      </c>
      <c r="B699" s="46" t="str">
        <f>IFERROR(VLOOKUP($H699,매장구분!$B:$Z,2,0),"")</f>
        <v>파트너채널팀</v>
      </c>
      <c r="C699" s="46" t="str">
        <f>IFERROR(VLOOKUP($H699,매장구분!$B:$Z,3,0),"")</f>
        <v>국내</v>
      </c>
      <c r="D699" s="46" t="str">
        <f>IFERROR(VLOOKUP($H699,매장구분!$B:$Z,5,0),"")</f>
        <v>백화점</v>
      </c>
      <c r="E699" s="46" t="str">
        <f>IFERROR(VLOOKUP($H699,매장구분!$B:$Z,9,0),"")</f>
        <v>롯데상인</v>
      </c>
      <c r="G699" s="46" t="s">
        <v>348</v>
      </c>
      <c r="H699" s="46" t="s">
        <v>349</v>
      </c>
      <c r="I699" s="46" t="s">
        <v>169</v>
      </c>
      <c r="J699" s="46" t="s">
        <v>175</v>
      </c>
      <c r="K699" s="46" t="s">
        <v>170</v>
      </c>
      <c r="L699" s="46" t="s">
        <v>171</v>
      </c>
      <c r="M699" s="46" t="s">
        <v>77</v>
      </c>
      <c r="N699" s="46" t="s">
        <v>172</v>
      </c>
      <c r="O699" s="46">
        <v>6447906</v>
      </c>
      <c r="P699" s="46">
        <v>75</v>
      </c>
      <c r="Q699" s="46">
        <v>1152500</v>
      </c>
      <c r="R699" s="46">
        <v>17</v>
      </c>
      <c r="S699" s="46">
        <v>0</v>
      </c>
      <c r="T699" s="46">
        <v>0</v>
      </c>
      <c r="U699" s="46">
        <v>3186094</v>
      </c>
      <c r="V699" s="46">
        <v>25</v>
      </c>
      <c r="W699" s="46">
        <v>0</v>
      </c>
      <c r="X699" s="46">
        <v>0</v>
      </c>
      <c r="Y699" s="48">
        <v>0</v>
      </c>
      <c r="Z699" s="46">
        <v>0</v>
      </c>
      <c r="AA699" s="46">
        <v>-146500</v>
      </c>
      <c r="AB699" s="46">
        <v>-1</v>
      </c>
      <c r="AC699" s="46">
        <v>10640000</v>
      </c>
      <c r="AD699" s="46">
        <v>116</v>
      </c>
      <c r="AF699" s="47">
        <f t="shared" si="10"/>
        <v>10640000</v>
      </c>
    </row>
    <row r="700" spans="1:32" hidden="1" x14ac:dyDescent="0.3">
      <c r="A700" s="46" t="s">
        <v>614</v>
      </c>
      <c r="B700" s="46" t="str">
        <f>IFERROR(VLOOKUP($H700,매장구분!$B:$Z,2,0),"")</f>
        <v>파트너채널팀</v>
      </c>
      <c r="C700" s="46" t="str">
        <f>IFERROR(VLOOKUP($H700,매장구분!$B:$Z,3,0),"")</f>
        <v>국내</v>
      </c>
      <c r="D700" s="46" t="str">
        <f>IFERROR(VLOOKUP($H700,매장구분!$B:$Z,5,0),"")</f>
        <v>백화점</v>
      </c>
      <c r="E700" s="46" t="str">
        <f>IFERROR(VLOOKUP($H700,매장구분!$B:$Z,9,0),"")</f>
        <v>AK수원</v>
      </c>
      <c r="G700" s="46" t="s">
        <v>552</v>
      </c>
      <c r="H700" s="46" t="s">
        <v>553</v>
      </c>
      <c r="I700" s="46" t="s">
        <v>169</v>
      </c>
      <c r="J700" s="46" t="s">
        <v>175</v>
      </c>
      <c r="K700" s="46" t="s">
        <v>170</v>
      </c>
      <c r="L700" s="46" t="s">
        <v>171</v>
      </c>
      <c r="M700" s="46" t="s">
        <v>77</v>
      </c>
      <c r="N700" s="46" t="s">
        <v>172</v>
      </c>
      <c r="O700" s="46">
        <v>20911300</v>
      </c>
      <c r="P700" s="46">
        <v>223</v>
      </c>
      <c r="Q700" s="46">
        <v>0</v>
      </c>
      <c r="R700" s="46">
        <v>0</v>
      </c>
      <c r="S700" s="46">
        <v>0</v>
      </c>
      <c r="T700" s="46">
        <v>0</v>
      </c>
      <c r="U700" s="46">
        <v>3872700</v>
      </c>
      <c r="V700" s="46">
        <v>23</v>
      </c>
      <c r="W700" s="46">
        <v>0</v>
      </c>
      <c r="X700" s="46">
        <v>0</v>
      </c>
      <c r="Y700" s="48">
        <v>0</v>
      </c>
      <c r="Z700" s="46">
        <v>0</v>
      </c>
      <c r="AA700" s="46">
        <v>0</v>
      </c>
      <c r="AB700" s="46">
        <v>0</v>
      </c>
      <c r="AC700" s="46">
        <v>24784000</v>
      </c>
      <c r="AD700" s="46">
        <v>246</v>
      </c>
      <c r="AF700" s="47">
        <f t="shared" si="10"/>
        <v>24784000</v>
      </c>
    </row>
    <row r="701" spans="1:32" hidden="1" x14ac:dyDescent="0.3">
      <c r="A701" s="46" t="s">
        <v>614</v>
      </c>
      <c r="B701" s="46" t="str">
        <f>IFERROR(VLOOKUP($H701,매장구분!$B:$Z,2,0),"")</f>
        <v>리테일채널팀</v>
      </c>
      <c r="C701" s="46" t="str">
        <f>IFERROR(VLOOKUP($H701,매장구분!$B:$Z,3,0),"")</f>
        <v>국내</v>
      </c>
      <c r="D701" s="46" t="str">
        <f>IFERROR(VLOOKUP($H701,매장구분!$B:$Z,5,0),"")</f>
        <v>직영점</v>
      </c>
      <c r="E701" s="46" t="str">
        <f>IFERROR(VLOOKUP($H701,매장구분!$B:$Z,9,0),"")</f>
        <v>충장로</v>
      </c>
      <c r="G701" s="46" t="s">
        <v>544</v>
      </c>
      <c r="H701" s="46" t="s">
        <v>545</v>
      </c>
      <c r="I701" s="46" t="s">
        <v>169</v>
      </c>
      <c r="J701" s="46" t="s">
        <v>180</v>
      </c>
      <c r="K701" s="46" t="s">
        <v>170</v>
      </c>
      <c r="L701" s="46" t="s">
        <v>171</v>
      </c>
      <c r="M701" s="46" t="s">
        <v>196</v>
      </c>
      <c r="N701" s="46" t="s">
        <v>206</v>
      </c>
      <c r="O701" s="46">
        <v>30286100</v>
      </c>
      <c r="P701" s="46">
        <v>275</v>
      </c>
      <c r="Q701" s="46">
        <v>0</v>
      </c>
      <c r="R701" s="46">
        <v>0</v>
      </c>
      <c r="S701" s="46">
        <v>0</v>
      </c>
      <c r="T701" s="46">
        <v>0</v>
      </c>
      <c r="U701" s="46">
        <v>1162000</v>
      </c>
      <c r="V701" s="46">
        <v>4</v>
      </c>
      <c r="W701" s="46">
        <v>0</v>
      </c>
      <c r="X701" s="46">
        <v>0</v>
      </c>
      <c r="Y701" s="48">
        <v>0</v>
      </c>
      <c r="Z701" s="46">
        <v>0</v>
      </c>
      <c r="AA701" s="46">
        <v>0</v>
      </c>
      <c r="AB701" s="46">
        <v>0</v>
      </c>
      <c r="AC701" s="46">
        <v>31448100</v>
      </c>
      <c r="AD701" s="46">
        <v>279</v>
      </c>
      <c r="AF701" s="47">
        <f t="shared" si="10"/>
        <v>31448100</v>
      </c>
    </row>
    <row r="702" spans="1:32" hidden="1" x14ac:dyDescent="0.3">
      <c r="A702" s="46" t="s">
        <v>614</v>
      </c>
      <c r="B702" s="46" t="str">
        <f>IFERROR(VLOOKUP($H702,매장구분!$B:$Z,2,0),"")</f>
        <v>리테일채널팀</v>
      </c>
      <c r="C702" s="46" t="str">
        <f>IFERROR(VLOOKUP($H702,매장구분!$B:$Z,3,0),"")</f>
        <v>RF</v>
      </c>
      <c r="D702" s="46" t="str">
        <f>IFERROR(VLOOKUP($H702,매장구분!$B:$Z,5,0),"")</f>
        <v>대리점</v>
      </c>
      <c r="E702" s="46" t="str">
        <f>IFERROR(VLOOKUP($H702,매장구분!$B:$Z,9,0),"")</f>
        <v>두타(대-위)</v>
      </c>
      <c r="G702" s="46" t="s">
        <v>600</v>
      </c>
      <c r="H702" s="46" t="s">
        <v>601</v>
      </c>
      <c r="I702" s="46" t="s">
        <v>169</v>
      </c>
      <c r="J702" s="46" t="s">
        <v>79</v>
      </c>
      <c r="K702" s="46" t="s">
        <v>170</v>
      </c>
      <c r="L702" s="46" t="s">
        <v>171</v>
      </c>
      <c r="M702" s="46" t="s">
        <v>196</v>
      </c>
      <c r="N702" s="46" t="s">
        <v>197</v>
      </c>
      <c r="O702" s="46">
        <v>8008596</v>
      </c>
      <c r="P702" s="46">
        <v>89</v>
      </c>
      <c r="Q702" s="46">
        <v>0</v>
      </c>
      <c r="R702" s="46">
        <v>0</v>
      </c>
      <c r="S702" s="46">
        <v>0</v>
      </c>
      <c r="T702" s="46">
        <v>0</v>
      </c>
      <c r="U702" s="46">
        <v>178604</v>
      </c>
      <c r="V702" s="46">
        <v>2</v>
      </c>
      <c r="W702" s="46">
        <v>0</v>
      </c>
      <c r="X702" s="46">
        <v>0</v>
      </c>
      <c r="Y702" s="48">
        <v>15988800</v>
      </c>
      <c r="Z702" s="46">
        <v>128</v>
      </c>
      <c r="AA702" s="46">
        <v>0</v>
      </c>
      <c r="AB702" s="46">
        <v>0</v>
      </c>
      <c r="AC702" s="46">
        <v>24176000</v>
      </c>
      <c r="AD702" s="46">
        <v>219</v>
      </c>
      <c r="AF702" s="47">
        <f t="shared" si="10"/>
        <v>8187200</v>
      </c>
    </row>
    <row r="703" spans="1:32" hidden="1" x14ac:dyDescent="0.3">
      <c r="A703" s="46" t="s">
        <v>614</v>
      </c>
      <c r="B703" s="46" t="str">
        <f>IFERROR(VLOOKUP($H703,매장구분!$B:$Z,2,0),"")</f>
        <v>파트너채널팀</v>
      </c>
      <c r="C703" s="46" t="str">
        <f>IFERROR(VLOOKUP($H703,매장구분!$B:$Z,3,0),"")</f>
        <v>국내</v>
      </c>
      <c r="D703" s="46" t="str">
        <f>IFERROR(VLOOKUP($H703,매장구분!$B:$Z,5,0),"")</f>
        <v>백화점</v>
      </c>
      <c r="E703" s="46" t="str">
        <f>IFERROR(VLOOKUP($H703,매장구분!$B:$Z,9,0),"")</f>
        <v>신세계하남</v>
      </c>
      <c r="G703" s="46" t="s">
        <v>243</v>
      </c>
      <c r="H703" s="46" t="s">
        <v>244</v>
      </c>
      <c r="I703" s="46" t="s">
        <v>169</v>
      </c>
      <c r="J703" s="46" t="s">
        <v>175</v>
      </c>
      <c r="K703" s="46" t="s">
        <v>170</v>
      </c>
      <c r="L703" s="46" t="s">
        <v>171</v>
      </c>
      <c r="M703" s="46" t="s">
        <v>77</v>
      </c>
      <c r="N703" s="46" t="s">
        <v>172</v>
      </c>
      <c r="O703" s="46">
        <v>17851900</v>
      </c>
      <c r="P703" s="46">
        <v>164</v>
      </c>
      <c r="Q703" s="46">
        <v>258500</v>
      </c>
      <c r="R703" s="46">
        <v>3</v>
      </c>
      <c r="S703" s="46">
        <v>0</v>
      </c>
      <c r="T703" s="46">
        <v>0</v>
      </c>
      <c r="U703" s="46">
        <v>2038500</v>
      </c>
      <c r="V703" s="46">
        <v>9</v>
      </c>
      <c r="W703" s="46">
        <v>0</v>
      </c>
      <c r="X703" s="46">
        <v>0</v>
      </c>
      <c r="Y703" s="48">
        <v>0</v>
      </c>
      <c r="Z703" s="46">
        <v>0</v>
      </c>
      <c r="AA703" s="46">
        <v>0</v>
      </c>
      <c r="AB703" s="46">
        <v>0</v>
      </c>
      <c r="AC703" s="46">
        <v>20148900</v>
      </c>
      <c r="AD703" s="46">
        <v>176</v>
      </c>
      <c r="AF703" s="47">
        <f t="shared" si="10"/>
        <v>20148900</v>
      </c>
    </row>
    <row r="704" spans="1:32" hidden="1" x14ac:dyDescent="0.3">
      <c r="A704" s="46" t="s">
        <v>614</v>
      </c>
      <c r="B704" s="46" t="str">
        <f>IFERROR(VLOOKUP($H704,매장구분!$B:$Z,2,0),"")</f>
        <v>E-biz</v>
      </c>
      <c r="C704" s="46" t="str">
        <f>IFERROR(VLOOKUP($H704,매장구분!$B:$Z,3,0),"")</f>
        <v>국내</v>
      </c>
      <c r="D704" s="46" t="str">
        <f>IFERROR(VLOOKUP($H704,매장구분!$B:$Z,5,0),"")</f>
        <v>온(제휴몰)</v>
      </c>
      <c r="E704" s="46" t="str">
        <f>IFERROR(VLOOKUP($H704,매장구분!$B:$Z,9,0),"")</f>
        <v>카카오선물하기(제휴몰)</v>
      </c>
      <c r="G704" s="46" t="s">
        <v>209</v>
      </c>
      <c r="H704" s="46" t="s">
        <v>210</v>
      </c>
      <c r="I704" s="46" t="s">
        <v>169</v>
      </c>
      <c r="J704" s="46" t="s">
        <v>180</v>
      </c>
      <c r="K704" s="46" t="s">
        <v>170</v>
      </c>
      <c r="L704" s="46" t="s">
        <v>181</v>
      </c>
      <c r="M704" s="46" t="s">
        <v>181</v>
      </c>
      <c r="N704" s="46" t="s">
        <v>185</v>
      </c>
      <c r="O704" s="46">
        <v>48830500</v>
      </c>
      <c r="P704" s="46">
        <v>1232</v>
      </c>
      <c r="Q704" s="46">
        <v>0</v>
      </c>
      <c r="R704" s="46">
        <v>0</v>
      </c>
      <c r="S704" s="46">
        <v>0</v>
      </c>
      <c r="T704" s="46">
        <v>0</v>
      </c>
      <c r="U704" s="46">
        <v>0</v>
      </c>
      <c r="V704" s="46">
        <v>0</v>
      </c>
      <c r="W704" s="46">
        <v>0</v>
      </c>
      <c r="X704" s="46">
        <v>0</v>
      </c>
      <c r="Y704" s="48">
        <v>0</v>
      </c>
      <c r="Z704" s="46">
        <v>0</v>
      </c>
      <c r="AA704" s="46">
        <v>0</v>
      </c>
      <c r="AB704" s="46">
        <v>0</v>
      </c>
      <c r="AC704" s="46">
        <v>48830500</v>
      </c>
      <c r="AD704" s="46">
        <v>1232</v>
      </c>
      <c r="AF704" s="47">
        <f t="shared" si="10"/>
        <v>48830500</v>
      </c>
    </row>
    <row r="705" spans="1:32" hidden="1" x14ac:dyDescent="0.3">
      <c r="A705" s="46" t="s">
        <v>614</v>
      </c>
      <c r="B705" s="46" t="str">
        <f>IFERROR(VLOOKUP($H705,매장구분!$B:$Z,2,0),"")</f>
        <v>파트너채널팀</v>
      </c>
      <c r="C705" s="46" t="str">
        <f>IFERROR(VLOOKUP($H705,매장구분!$B:$Z,3,0),"")</f>
        <v>면세</v>
      </c>
      <c r="D705" s="46" t="str">
        <f>IFERROR(VLOOKUP($H705,매장구분!$B:$Z,5,0),"")</f>
        <v>면세</v>
      </c>
      <c r="E705" s="46" t="str">
        <f>IFERROR(VLOOKUP($H705,매장구분!$B:$Z,9,0),"")</f>
        <v>현대면세무역</v>
      </c>
      <c r="G705" s="46" t="s">
        <v>466</v>
      </c>
      <c r="H705" s="46" t="s">
        <v>467</v>
      </c>
      <c r="I705" s="46" t="s">
        <v>169</v>
      </c>
      <c r="J705" s="46" t="s">
        <v>175</v>
      </c>
      <c r="K705" s="46" t="s">
        <v>170</v>
      </c>
      <c r="L705" s="46" t="s">
        <v>171</v>
      </c>
      <c r="M705" s="46" t="s">
        <v>176</v>
      </c>
      <c r="N705" s="46" t="s">
        <v>177</v>
      </c>
      <c r="O705" s="46">
        <v>119059400</v>
      </c>
      <c r="P705" s="46">
        <v>1353</v>
      </c>
      <c r="Q705" s="46">
        <v>0</v>
      </c>
      <c r="R705" s="46">
        <v>0</v>
      </c>
      <c r="S705" s="46">
        <v>0</v>
      </c>
      <c r="T705" s="46">
        <v>0</v>
      </c>
      <c r="U705" s="46">
        <v>0</v>
      </c>
      <c r="V705" s="46">
        <v>0</v>
      </c>
      <c r="W705" s="46">
        <v>0</v>
      </c>
      <c r="X705" s="46">
        <v>0</v>
      </c>
      <c r="Y705" s="48">
        <v>29164000</v>
      </c>
      <c r="Z705" s="46">
        <v>758</v>
      </c>
      <c r="AA705" s="46">
        <v>0</v>
      </c>
      <c r="AB705" s="46">
        <v>0</v>
      </c>
      <c r="AC705" s="46">
        <v>148223400</v>
      </c>
      <c r="AD705" s="46">
        <v>2111</v>
      </c>
      <c r="AF705" s="47">
        <f t="shared" si="10"/>
        <v>119059400</v>
      </c>
    </row>
    <row r="706" spans="1:32" hidden="1" x14ac:dyDescent="0.3">
      <c r="A706" s="46" t="s">
        <v>614</v>
      </c>
      <c r="B706" s="46" t="str">
        <f>IFERROR(VLOOKUP($H706,매장구분!$B:$Z,2,0),"")</f>
        <v>파트너채널팀</v>
      </c>
      <c r="C706" s="46" t="str">
        <f>IFERROR(VLOOKUP($H706,매장구분!$B:$Z,3,0),"")</f>
        <v>국내</v>
      </c>
      <c r="D706" s="46" t="str">
        <f>IFERROR(VLOOKUP($H706,매장구분!$B:$Z,5,0),"")</f>
        <v>백화점</v>
      </c>
      <c r="E706" s="46" t="str">
        <f>IFERROR(VLOOKUP($H706,매장구분!$B:$Z,9,0),"")</f>
        <v>갤러리아진주</v>
      </c>
      <c r="G706" s="46" t="s">
        <v>516</v>
      </c>
      <c r="H706" s="46" t="s">
        <v>517</v>
      </c>
      <c r="I706" s="46" t="s">
        <v>169</v>
      </c>
      <c r="J706" s="46" t="s">
        <v>175</v>
      </c>
      <c r="K706" s="46" t="s">
        <v>170</v>
      </c>
      <c r="L706" s="46" t="s">
        <v>171</v>
      </c>
      <c r="M706" s="46" t="s">
        <v>77</v>
      </c>
      <c r="N706" s="46" t="s">
        <v>172</v>
      </c>
      <c r="O706" s="46">
        <v>14995047</v>
      </c>
      <c r="P706" s="46">
        <v>129</v>
      </c>
      <c r="Q706" s="46">
        <v>1009300</v>
      </c>
      <c r="R706" s="46">
        <v>9</v>
      </c>
      <c r="S706" s="46">
        <v>0</v>
      </c>
      <c r="T706" s="46">
        <v>0</v>
      </c>
      <c r="U706" s="46">
        <v>1830553</v>
      </c>
      <c r="V706" s="46">
        <v>15</v>
      </c>
      <c r="W706" s="46">
        <v>0</v>
      </c>
      <c r="X706" s="46">
        <v>0</v>
      </c>
      <c r="Y706" s="48">
        <v>4578000</v>
      </c>
      <c r="Z706" s="46">
        <v>42</v>
      </c>
      <c r="AA706" s="46">
        <v>0</v>
      </c>
      <c r="AB706" s="46">
        <v>0</v>
      </c>
      <c r="AC706" s="46">
        <v>22412900</v>
      </c>
      <c r="AD706" s="46">
        <v>195</v>
      </c>
      <c r="AF706" s="47">
        <f t="shared" si="10"/>
        <v>17834900</v>
      </c>
    </row>
    <row r="707" spans="1:32" hidden="1" x14ac:dyDescent="0.3">
      <c r="A707" s="46" t="s">
        <v>614</v>
      </c>
      <c r="B707" s="46" t="str">
        <f>IFERROR(VLOOKUP($H707,매장구분!$B:$Z,2,0),"")</f>
        <v>파트너채널팀</v>
      </c>
      <c r="C707" s="46" t="str">
        <f>IFERROR(VLOOKUP($H707,매장구분!$B:$Z,3,0),"")</f>
        <v>국내</v>
      </c>
      <c r="D707" s="46" t="str">
        <f>IFERROR(VLOOKUP($H707,매장구분!$B:$Z,5,0),"")</f>
        <v>백화점</v>
      </c>
      <c r="E707" s="46" t="str">
        <f>IFERROR(VLOOKUP($H707,매장구분!$B:$Z,9,0),"")</f>
        <v>AK평택</v>
      </c>
      <c r="G707" s="46" t="s">
        <v>251</v>
      </c>
      <c r="H707" s="46" t="s">
        <v>252</v>
      </c>
      <c r="I707" s="46" t="s">
        <v>169</v>
      </c>
      <c r="J707" s="46" t="s">
        <v>175</v>
      </c>
      <c r="K707" s="46" t="s">
        <v>170</v>
      </c>
      <c r="L707" s="46" t="s">
        <v>171</v>
      </c>
      <c r="M707" s="46" t="s">
        <v>77</v>
      </c>
      <c r="N707" s="46" t="s">
        <v>172</v>
      </c>
      <c r="O707" s="46">
        <v>20540400</v>
      </c>
      <c r="P707" s="46">
        <v>224</v>
      </c>
      <c r="Q707" s="46">
        <v>0</v>
      </c>
      <c r="R707" s="46">
        <v>0</v>
      </c>
      <c r="S707" s="46">
        <v>0</v>
      </c>
      <c r="T707" s="46">
        <v>0</v>
      </c>
      <c r="U707" s="46">
        <v>1840100</v>
      </c>
      <c r="V707" s="46">
        <v>15</v>
      </c>
      <c r="W707" s="46">
        <v>0</v>
      </c>
      <c r="X707" s="46">
        <v>0</v>
      </c>
      <c r="Y707" s="48">
        <v>0</v>
      </c>
      <c r="Z707" s="46">
        <v>0</v>
      </c>
      <c r="AA707" s="46">
        <v>0</v>
      </c>
      <c r="AB707" s="46">
        <v>0</v>
      </c>
      <c r="AC707" s="46">
        <v>22380500</v>
      </c>
      <c r="AD707" s="46">
        <v>239</v>
      </c>
      <c r="AF707" s="47">
        <f t="shared" ref="AF707:AF770" si="11">IFERROR(AC707-Y707,"")</f>
        <v>22380500</v>
      </c>
    </row>
    <row r="708" spans="1:32" hidden="1" x14ac:dyDescent="0.3">
      <c r="A708" s="46" t="s">
        <v>614</v>
      </c>
      <c r="B708" s="46" t="str">
        <f>IFERROR(VLOOKUP($H708,매장구분!$B:$Z,2,0),"")</f>
        <v>파트너채널팀</v>
      </c>
      <c r="C708" s="46" t="str">
        <f>IFERROR(VLOOKUP($H708,매장구분!$B:$Z,3,0),"")</f>
        <v>국내</v>
      </c>
      <c r="D708" s="46" t="str">
        <f>IFERROR(VLOOKUP($H708,매장구분!$B:$Z,5,0),"")</f>
        <v>백화점</v>
      </c>
      <c r="E708" s="46" t="str">
        <f>IFERROR(VLOOKUP($H708,매장구분!$B:$Z,9,0),"")</f>
        <v>아이파크용산</v>
      </c>
      <c r="G708" s="46" t="s">
        <v>496</v>
      </c>
      <c r="H708" s="46" t="s">
        <v>497</v>
      </c>
      <c r="I708" s="46" t="s">
        <v>169</v>
      </c>
      <c r="J708" s="46" t="s">
        <v>175</v>
      </c>
      <c r="K708" s="46" t="s">
        <v>170</v>
      </c>
      <c r="L708" s="46" t="s">
        <v>171</v>
      </c>
      <c r="M708" s="46" t="s">
        <v>188</v>
      </c>
      <c r="N708" s="46" t="s">
        <v>317</v>
      </c>
      <c r="O708" s="46">
        <v>4211600</v>
      </c>
      <c r="P708" s="46">
        <v>55</v>
      </c>
      <c r="Q708" s="46">
        <v>0</v>
      </c>
      <c r="R708" s="46">
        <v>0</v>
      </c>
      <c r="S708" s="46">
        <v>0</v>
      </c>
      <c r="T708" s="46">
        <v>0</v>
      </c>
      <c r="U708" s="46">
        <v>54500</v>
      </c>
      <c r="V708" s="46">
        <v>1</v>
      </c>
      <c r="W708" s="46">
        <v>0</v>
      </c>
      <c r="X708" s="46">
        <v>0</v>
      </c>
      <c r="Y708" s="48">
        <v>21715300</v>
      </c>
      <c r="Z708" s="46">
        <v>208</v>
      </c>
      <c r="AA708" s="46">
        <v>0</v>
      </c>
      <c r="AB708" s="46">
        <v>0</v>
      </c>
      <c r="AC708" s="46">
        <v>25981400</v>
      </c>
      <c r="AD708" s="46">
        <v>264</v>
      </c>
      <c r="AF708" s="47">
        <f t="shared" si="11"/>
        <v>4266100</v>
      </c>
    </row>
    <row r="709" spans="1:32" hidden="1" x14ac:dyDescent="0.3">
      <c r="A709" s="46" t="s">
        <v>614</v>
      </c>
      <c r="B709" s="46" t="str">
        <f>IFERROR(VLOOKUP($H709,매장구분!$B:$Z,2,0),"")</f>
        <v>파트너채널팀</v>
      </c>
      <c r="C709" s="46" t="str">
        <f>IFERROR(VLOOKUP($H709,매장구분!$B:$Z,3,0),"")</f>
        <v>국내</v>
      </c>
      <c r="D709" s="46" t="str">
        <f>IFERROR(VLOOKUP($H709,매장구분!$B:$Z,5,0),"")</f>
        <v>백화점</v>
      </c>
      <c r="E709" s="46" t="str">
        <f>IFERROR(VLOOKUP($H709,매장구분!$B:$Z,9,0),"")</f>
        <v>롯데안산</v>
      </c>
      <c r="G709" s="46" t="s">
        <v>200</v>
      </c>
      <c r="H709" s="46" t="s">
        <v>201</v>
      </c>
      <c r="I709" s="46" t="s">
        <v>169</v>
      </c>
      <c r="J709" s="46" t="s">
        <v>175</v>
      </c>
      <c r="K709" s="46" t="s">
        <v>170</v>
      </c>
      <c r="L709" s="46" t="s">
        <v>171</v>
      </c>
      <c r="M709" s="46" t="s">
        <v>77</v>
      </c>
      <c r="N709" s="46" t="s">
        <v>172</v>
      </c>
      <c r="O709" s="46">
        <v>13234400</v>
      </c>
      <c r="P709" s="46">
        <v>135</v>
      </c>
      <c r="Q709" s="46">
        <v>0</v>
      </c>
      <c r="R709" s="46">
        <v>0</v>
      </c>
      <c r="S709" s="46">
        <v>0</v>
      </c>
      <c r="T709" s="46">
        <v>0</v>
      </c>
      <c r="U709" s="46">
        <v>1602000</v>
      </c>
      <c r="V709" s="46">
        <v>8</v>
      </c>
      <c r="W709" s="46">
        <v>0</v>
      </c>
      <c r="X709" s="46">
        <v>0</v>
      </c>
      <c r="Y709" s="48">
        <v>6645000</v>
      </c>
      <c r="Z709" s="46">
        <v>55</v>
      </c>
      <c r="AA709" s="46">
        <v>0</v>
      </c>
      <c r="AB709" s="46">
        <v>0</v>
      </c>
      <c r="AC709" s="46">
        <v>21481400</v>
      </c>
      <c r="AD709" s="46">
        <v>198</v>
      </c>
      <c r="AF709" s="47">
        <f t="shared" si="11"/>
        <v>14836400</v>
      </c>
    </row>
    <row r="710" spans="1:32" hidden="1" x14ac:dyDescent="0.3">
      <c r="A710" s="46" t="s">
        <v>614</v>
      </c>
      <c r="B710" s="46" t="str">
        <f>IFERROR(VLOOKUP($H710,매장구분!$B:$Z,2,0),"")</f>
        <v>파트너채널팀</v>
      </c>
      <c r="C710" s="46" t="str">
        <f>IFERROR(VLOOKUP($H710,매장구분!$B:$Z,3,0),"")</f>
        <v>국내</v>
      </c>
      <c r="D710" s="46" t="str">
        <f>IFERROR(VLOOKUP($H710,매장구분!$B:$Z,5,0),"")</f>
        <v>백화점</v>
      </c>
      <c r="E710" s="46" t="str">
        <f>IFERROR(VLOOKUP($H710,매장구분!$B:$Z,9,0),"")</f>
        <v>롯데동탄</v>
      </c>
      <c r="G710" s="46" t="s">
        <v>406</v>
      </c>
      <c r="H710" s="46" t="s">
        <v>407</v>
      </c>
      <c r="I710" s="46" t="s">
        <v>169</v>
      </c>
      <c r="J710" s="46" t="s">
        <v>175</v>
      </c>
      <c r="K710" s="46" t="s">
        <v>170</v>
      </c>
      <c r="L710" s="46" t="s">
        <v>171</v>
      </c>
      <c r="M710" s="46" t="s">
        <v>77</v>
      </c>
      <c r="N710" s="46" t="s">
        <v>172</v>
      </c>
      <c r="O710" s="46">
        <v>14627900</v>
      </c>
      <c r="P710" s="46">
        <v>138</v>
      </c>
      <c r="Q710" s="46">
        <v>0</v>
      </c>
      <c r="R710" s="46">
        <v>0</v>
      </c>
      <c r="S710" s="46">
        <v>0</v>
      </c>
      <c r="T710" s="46">
        <v>0</v>
      </c>
      <c r="U710" s="46">
        <v>3189000</v>
      </c>
      <c r="V710" s="46">
        <v>11</v>
      </c>
      <c r="W710" s="46">
        <v>0</v>
      </c>
      <c r="X710" s="46">
        <v>0</v>
      </c>
      <c r="Y710" s="48">
        <v>5338000</v>
      </c>
      <c r="Z710" s="46">
        <v>42</v>
      </c>
      <c r="AA710" s="46">
        <v>0</v>
      </c>
      <c r="AB710" s="46">
        <v>0</v>
      </c>
      <c r="AC710" s="46">
        <v>23154900</v>
      </c>
      <c r="AD710" s="46">
        <v>191</v>
      </c>
      <c r="AF710" s="47">
        <f t="shared" si="11"/>
        <v>17816900</v>
      </c>
    </row>
    <row r="711" spans="1:32" hidden="1" x14ac:dyDescent="0.3">
      <c r="A711" s="46" t="s">
        <v>614</v>
      </c>
      <c r="B711" s="46" t="str">
        <f>IFERROR(VLOOKUP($H711,매장구분!$B:$Z,2,0),"")</f>
        <v>파트너채널팀</v>
      </c>
      <c r="C711" s="46" t="str">
        <f>IFERROR(VLOOKUP($H711,매장구분!$B:$Z,3,0),"")</f>
        <v>국내</v>
      </c>
      <c r="D711" s="46" t="str">
        <f>IFERROR(VLOOKUP($H711,매장구분!$B:$Z,5,0),"")</f>
        <v>백화점</v>
      </c>
      <c r="E711" s="46" t="str">
        <f>IFERROR(VLOOKUP($H711,매장구분!$B:$Z,9,0),"")</f>
        <v>롯데일산</v>
      </c>
      <c r="G711" s="46" t="s">
        <v>508</v>
      </c>
      <c r="H711" s="46" t="s">
        <v>509</v>
      </c>
      <c r="I711" s="46" t="s">
        <v>169</v>
      </c>
      <c r="J711" s="46" t="s">
        <v>175</v>
      </c>
      <c r="K711" s="46" t="s">
        <v>170</v>
      </c>
      <c r="L711" s="46" t="s">
        <v>171</v>
      </c>
      <c r="M711" s="46" t="s">
        <v>77</v>
      </c>
      <c r="N711" s="46" t="s">
        <v>172</v>
      </c>
      <c r="O711" s="46">
        <v>14879300</v>
      </c>
      <c r="P711" s="46">
        <v>116</v>
      </c>
      <c r="Q711" s="46">
        <v>0</v>
      </c>
      <c r="R711" s="46">
        <v>0</v>
      </c>
      <c r="S711" s="46">
        <v>0</v>
      </c>
      <c r="T711" s="46">
        <v>0</v>
      </c>
      <c r="U711" s="46">
        <v>1286100</v>
      </c>
      <c r="V711" s="46">
        <v>9</v>
      </c>
      <c r="W711" s="46">
        <v>0</v>
      </c>
      <c r="X711" s="46">
        <v>0</v>
      </c>
      <c r="Y711" s="48">
        <v>12338000</v>
      </c>
      <c r="Z711" s="46">
        <v>88</v>
      </c>
      <c r="AA711" s="46">
        <v>0</v>
      </c>
      <c r="AB711" s="46">
        <v>0</v>
      </c>
      <c r="AC711" s="46">
        <v>28503400</v>
      </c>
      <c r="AD711" s="46">
        <v>213</v>
      </c>
      <c r="AF711" s="47">
        <f t="shared" si="11"/>
        <v>16165400</v>
      </c>
    </row>
    <row r="712" spans="1:32" hidden="1" x14ac:dyDescent="0.3">
      <c r="A712" s="46" t="s">
        <v>614</v>
      </c>
      <c r="B712" s="46" t="str">
        <f>IFERROR(VLOOKUP($H712,매장구분!$B:$Z,2,0),"")</f>
        <v>리테일채널팀</v>
      </c>
      <c r="C712" s="46" t="str">
        <f>IFERROR(VLOOKUP($H712,매장구분!$B:$Z,3,0),"")</f>
        <v>국내</v>
      </c>
      <c r="D712" s="46" t="str">
        <f>IFERROR(VLOOKUP($H712,매장구분!$B:$Z,5,0),"")</f>
        <v>대리점</v>
      </c>
      <c r="E712" s="46" t="str">
        <f>IFERROR(VLOOKUP($H712,매장구분!$B:$Z,9,0),"")</f>
        <v>보령(대-위)</v>
      </c>
      <c r="G712" s="46" t="s">
        <v>211</v>
      </c>
      <c r="H712" s="46" t="s">
        <v>212</v>
      </c>
      <c r="I712" s="46" t="s">
        <v>169</v>
      </c>
      <c r="J712" s="46" t="s">
        <v>79</v>
      </c>
      <c r="K712" s="46" t="s">
        <v>170</v>
      </c>
      <c r="L712" s="46" t="s">
        <v>171</v>
      </c>
      <c r="M712" s="46" t="s">
        <v>196</v>
      </c>
      <c r="N712" s="46" t="s">
        <v>197</v>
      </c>
      <c r="O712" s="46">
        <v>7039500</v>
      </c>
      <c r="P712" s="46">
        <v>56</v>
      </c>
      <c r="Q712" s="46">
        <v>0</v>
      </c>
      <c r="R712" s="46">
        <v>0</v>
      </c>
      <c r="S712" s="46">
        <v>0</v>
      </c>
      <c r="T712" s="46">
        <v>0</v>
      </c>
      <c r="U712" s="46">
        <v>-159000</v>
      </c>
      <c r="V712" s="46">
        <v>-1</v>
      </c>
      <c r="W712" s="46">
        <v>0</v>
      </c>
      <c r="X712" s="46">
        <v>0</v>
      </c>
      <c r="Y712" s="48">
        <v>0</v>
      </c>
      <c r="Z712" s="46">
        <v>0</v>
      </c>
      <c r="AA712" s="46">
        <v>0</v>
      </c>
      <c r="AB712" s="46">
        <v>0</v>
      </c>
      <c r="AC712" s="46">
        <v>6880500</v>
      </c>
      <c r="AD712" s="46">
        <v>55</v>
      </c>
      <c r="AF712" s="47">
        <f t="shared" si="11"/>
        <v>6880500</v>
      </c>
    </row>
    <row r="713" spans="1:32" hidden="1" x14ac:dyDescent="0.3">
      <c r="A713" s="46" t="s">
        <v>614</v>
      </c>
      <c r="B713" s="46" t="str">
        <f>IFERROR(VLOOKUP($H713,매장구분!$B:$Z,2,0),"")</f>
        <v>리테일채널팀</v>
      </c>
      <c r="C713" s="46" t="str">
        <f>IFERROR(VLOOKUP($H713,매장구분!$B:$Z,3,0),"")</f>
        <v>국내</v>
      </c>
      <c r="D713" s="46" t="str">
        <f>IFERROR(VLOOKUP($H713,매장구분!$B:$Z,5,0),"")</f>
        <v>대리점</v>
      </c>
      <c r="E713" s="46" t="str">
        <f>IFERROR(VLOOKUP($H713,매장구분!$B:$Z,9,0),"")</f>
        <v>여수(대-위)</v>
      </c>
      <c r="G713" s="46" t="s">
        <v>198</v>
      </c>
      <c r="H713" s="46" t="s">
        <v>199</v>
      </c>
      <c r="I713" s="46" t="s">
        <v>169</v>
      </c>
      <c r="J713" s="46" t="s">
        <v>79</v>
      </c>
      <c r="K713" s="46" t="s">
        <v>170</v>
      </c>
      <c r="L713" s="46" t="s">
        <v>171</v>
      </c>
      <c r="M713" s="46" t="s">
        <v>196</v>
      </c>
      <c r="N713" s="46" t="s">
        <v>197</v>
      </c>
      <c r="O713" s="46">
        <v>11119700</v>
      </c>
      <c r="P713" s="46">
        <v>103</v>
      </c>
      <c r="Q713" s="46">
        <v>0</v>
      </c>
      <c r="R713" s="46">
        <v>0</v>
      </c>
      <c r="S713" s="46">
        <v>0</v>
      </c>
      <c r="T713" s="46">
        <v>0</v>
      </c>
      <c r="U713" s="46">
        <v>940000</v>
      </c>
      <c r="V713" s="46">
        <v>5</v>
      </c>
      <c r="W713" s="46">
        <v>0</v>
      </c>
      <c r="X713" s="46">
        <v>0</v>
      </c>
      <c r="Y713" s="48">
        <v>0</v>
      </c>
      <c r="Z713" s="46">
        <v>0</v>
      </c>
      <c r="AA713" s="46">
        <v>0</v>
      </c>
      <c r="AB713" s="46">
        <v>0</v>
      </c>
      <c r="AC713" s="46">
        <v>12059700</v>
      </c>
      <c r="AD713" s="46">
        <v>108</v>
      </c>
      <c r="AF713" s="47">
        <f t="shared" si="11"/>
        <v>12059700</v>
      </c>
    </row>
    <row r="714" spans="1:32" hidden="1" x14ac:dyDescent="0.3">
      <c r="A714" s="46" t="s">
        <v>614</v>
      </c>
      <c r="B714" s="46" t="str">
        <f>IFERROR(VLOOKUP($H714,매장구분!$B:$Z,2,0),"")</f>
        <v>리테일채널팀</v>
      </c>
      <c r="C714" s="46" t="str">
        <f>IFERROR(VLOOKUP($H714,매장구분!$B:$Z,3,0),"")</f>
        <v>국내</v>
      </c>
      <c r="D714" s="46" t="str">
        <f>IFERROR(VLOOKUP($H714,매장구분!$B:$Z,5,0),"")</f>
        <v>대리점</v>
      </c>
      <c r="E714" s="46" t="str">
        <f>IFERROR(VLOOKUP($H714,매장구분!$B:$Z,9,0),"")</f>
        <v>경산(대-위)</v>
      </c>
      <c r="G714" s="46" t="s">
        <v>556</v>
      </c>
      <c r="H714" s="46" t="s">
        <v>557</v>
      </c>
      <c r="I714" s="46" t="s">
        <v>169</v>
      </c>
      <c r="J714" s="46" t="s">
        <v>79</v>
      </c>
      <c r="K714" s="46" t="s">
        <v>170</v>
      </c>
      <c r="L714" s="46" t="s">
        <v>171</v>
      </c>
      <c r="M714" s="46" t="s">
        <v>196</v>
      </c>
      <c r="N714" s="46" t="s">
        <v>197</v>
      </c>
      <c r="O714" s="46">
        <v>13463900</v>
      </c>
      <c r="P714" s="46">
        <v>99</v>
      </c>
      <c r="Q714" s="46">
        <v>0</v>
      </c>
      <c r="R714" s="46">
        <v>0</v>
      </c>
      <c r="S714" s="46">
        <v>0</v>
      </c>
      <c r="T714" s="46">
        <v>0</v>
      </c>
      <c r="U714" s="46">
        <v>819000</v>
      </c>
      <c r="V714" s="46">
        <v>8</v>
      </c>
      <c r="W714" s="46">
        <v>0</v>
      </c>
      <c r="X714" s="46">
        <v>0</v>
      </c>
      <c r="Y714" s="48">
        <v>0</v>
      </c>
      <c r="Z714" s="46">
        <v>0</v>
      </c>
      <c r="AA714" s="46">
        <v>0</v>
      </c>
      <c r="AB714" s="46">
        <v>0</v>
      </c>
      <c r="AC714" s="46">
        <v>14282900</v>
      </c>
      <c r="AD714" s="46">
        <v>107</v>
      </c>
      <c r="AF714" s="47">
        <f t="shared" si="11"/>
        <v>14282900</v>
      </c>
    </row>
    <row r="715" spans="1:32" hidden="1" x14ac:dyDescent="0.3">
      <c r="A715" s="46" t="s">
        <v>614</v>
      </c>
      <c r="B715" s="46" t="str">
        <f>IFERROR(VLOOKUP($H715,매장구분!$B:$Z,2,0),"")</f>
        <v>E-biz</v>
      </c>
      <c r="C715" s="46" t="str">
        <f>IFERROR(VLOOKUP($H715,매장구분!$B:$Z,3,0),"")</f>
        <v>국내</v>
      </c>
      <c r="D715" s="46" t="str">
        <f>IFERROR(VLOOKUP($H715,매장구분!$B:$Z,5,0),"")</f>
        <v>온(제휴몰)</v>
      </c>
      <c r="E715" s="46" t="str">
        <f>IFERROR(VLOOKUP($H715,매장구분!$B:$Z,9,0),"")</f>
        <v>SSF샵(제휴몰)</v>
      </c>
      <c r="G715" s="46" t="s">
        <v>342</v>
      </c>
      <c r="H715" s="46" t="s">
        <v>343</v>
      </c>
      <c r="I715" s="46" t="s">
        <v>169</v>
      </c>
      <c r="J715" s="46" t="s">
        <v>180</v>
      </c>
      <c r="K715" s="46" t="s">
        <v>170</v>
      </c>
      <c r="L715" s="46" t="s">
        <v>181</v>
      </c>
      <c r="M715" s="46" t="s">
        <v>181</v>
      </c>
      <c r="N715" s="46" t="s">
        <v>185</v>
      </c>
      <c r="O715" s="46">
        <v>-956500</v>
      </c>
      <c r="P715" s="46">
        <v>1</v>
      </c>
      <c r="Q715" s="46">
        <v>0</v>
      </c>
      <c r="R715" s="46">
        <v>0</v>
      </c>
      <c r="S715" s="46">
        <v>0</v>
      </c>
      <c r="T715" s="46">
        <v>0</v>
      </c>
      <c r="U715" s="46">
        <v>0</v>
      </c>
      <c r="V715" s="46">
        <v>0</v>
      </c>
      <c r="W715" s="46">
        <v>0</v>
      </c>
      <c r="X715" s="46">
        <v>0</v>
      </c>
      <c r="Y715" s="48">
        <v>0</v>
      </c>
      <c r="Z715" s="46">
        <v>0</v>
      </c>
      <c r="AA715" s="46">
        <v>0</v>
      </c>
      <c r="AB715" s="46">
        <v>0</v>
      </c>
      <c r="AC715" s="46">
        <v>-956500</v>
      </c>
      <c r="AD715" s="46">
        <v>1</v>
      </c>
      <c r="AF715" s="47">
        <f t="shared" si="11"/>
        <v>-956500</v>
      </c>
    </row>
    <row r="716" spans="1:32" hidden="1" x14ac:dyDescent="0.3">
      <c r="A716" s="46" t="s">
        <v>614</v>
      </c>
      <c r="B716" s="46" t="str">
        <f>IFERROR(VLOOKUP($H716,매장구분!$B:$Z,2,0),"")</f>
        <v>리테일채널팀</v>
      </c>
      <c r="C716" s="46" t="str">
        <f>IFERROR(VLOOKUP($H716,매장구분!$B:$Z,3,0),"")</f>
        <v>국내</v>
      </c>
      <c r="D716" s="46" t="str">
        <f>IFERROR(VLOOKUP($H716,매장구분!$B:$Z,5,0),"")</f>
        <v>대리점</v>
      </c>
      <c r="E716" s="46" t="str">
        <f>IFERROR(VLOOKUP($H716,매장구분!$B:$Z,9,0),"")</f>
        <v>여천(대-위)</v>
      </c>
      <c r="G716" s="46" t="s">
        <v>500</v>
      </c>
      <c r="H716" s="46" t="s">
        <v>501</v>
      </c>
      <c r="I716" s="46" t="s">
        <v>169</v>
      </c>
      <c r="J716" s="46" t="s">
        <v>79</v>
      </c>
      <c r="K716" s="46" t="s">
        <v>170</v>
      </c>
      <c r="L716" s="46" t="s">
        <v>171</v>
      </c>
      <c r="M716" s="46" t="s">
        <v>196</v>
      </c>
      <c r="N716" s="46" t="s">
        <v>197</v>
      </c>
      <c r="O716" s="46">
        <v>8160866</v>
      </c>
      <c r="P716" s="46">
        <v>86</v>
      </c>
      <c r="Q716" s="46">
        <v>0</v>
      </c>
      <c r="R716" s="46">
        <v>0</v>
      </c>
      <c r="S716" s="46">
        <v>0</v>
      </c>
      <c r="T716" s="46">
        <v>0</v>
      </c>
      <c r="U716" s="46">
        <v>0</v>
      </c>
      <c r="V716" s="46">
        <v>0</v>
      </c>
      <c r="W716" s="46">
        <v>0</v>
      </c>
      <c r="X716" s="46">
        <v>0</v>
      </c>
      <c r="Y716" s="48">
        <v>0</v>
      </c>
      <c r="Z716" s="46">
        <v>0</v>
      </c>
      <c r="AA716" s="46">
        <v>0</v>
      </c>
      <c r="AB716" s="46">
        <v>0</v>
      </c>
      <c r="AC716" s="46">
        <v>8160866</v>
      </c>
      <c r="AD716" s="46">
        <v>86</v>
      </c>
      <c r="AF716" s="47">
        <f t="shared" si="11"/>
        <v>8160866</v>
      </c>
    </row>
    <row r="717" spans="1:32" hidden="1" x14ac:dyDescent="0.3">
      <c r="A717" s="46" t="s">
        <v>614</v>
      </c>
      <c r="B717" s="46" t="str">
        <f>IFERROR(VLOOKUP($H717,매장구분!$B:$Z,2,0),"")</f>
        <v>리테일채널팀</v>
      </c>
      <c r="C717" s="46" t="str">
        <f>IFERROR(VLOOKUP($H717,매장구분!$B:$Z,3,0),"")</f>
        <v>국내</v>
      </c>
      <c r="D717" s="46" t="str">
        <f>IFERROR(VLOOKUP($H717,매장구분!$B:$Z,5,0),"")</f>
        <v>상설(위탁)</v>
      </c>
      <c r="E717" s="46" t="str">
        <f>IFERROR(VLOOKUP($H717,매장구분!$B:$Z,9,0),"")</f>
        <v>신세계아울렛기장(상-위)</v>
      </c>
      <c r="G717" s="46" t="s">
        <v>277</v>
      </c>
      <c r="H717" s="46" t="s">
        <v>278</v>
      </c>
      <c r="I717" s="46" t="s">
        <v>169</v>
      </c>
      <c r="J717" s="46" t="s">
        <v>79</v>
      </c>
      <c r="K717" s="46" t="s">
        <v>170</v>
      </c>
      <c r="L717" s="46" t="s">
        <v>171</v>
      </c>
      <c r="M717" s="46" t="s">
        <v>219</v>
      </c>
      <c r="N717" s="46" t="s">
        <v>219</v>
      </c>
      <c r="O717" s="46">
        <v>2592000</v>
      </c>
      <c r="P717" s="46">
        <v>72</v>
      </c>
      <c r="Q717" s="46">
        <v>0</v>
      </c>
      <c r="R717" s="46">
        <v>0</v>
      </c>
      <c r="S717" s="46">
        <v>0</v>
      </c>
      <c r="T717" s="46">
        <v>0</v>
      </c>
      <c r="U717" s="46">
        <v>0</v>
      </c>
      <c r="V717" s="46">
        <v>0</v>
      </c>
      <c r="W717" s="46">
        <v>0</v>
      </c>
      <c r="X717" s="46">
        <v>0</v>
      </c>
      <c r="Y717" s="48">
        <v>0</v>
      </c>
      <c r="Z717" s="46">
        <v>0</v>
      </c>
      <c r="AA717" s="46">
        <v>0</v>
      </c>
      <c r="AB717" s="46">
        <v>0</v>
      </c>
      <c r="AC717" s="46">
        <v>2592000</v>
      </c>
      <c r="AD717" s="46">
        <v>72</v>
      </c>
      <c r="AF717" s="47">
        <f t="shared" si="11"/>
        <v>2592000</v>
      </c>
    </row>
    <row r="718" spans="1:32" hidden="1" x14ac:dyDescent="0.3">
      <c r="A718" s="46" t="s">
        <v>614</v>
      </c>
      <c r="B718" s="46" t="str">
        <f>IFERROR(VLOOKUP($H718,매장구분!$B:$Z,2,0),"")</f>
        <v>리테일채널팀</v>
      </c>
      <c r="C718" s="46" t="str">
        <f>IFERROR(VLOOKUP($H718,매장구분!$B:$Z,3,0),"")</f>
        <v>국내</v>
      </c>
      <c r="D718" s="46" t="str">
        <f>IFERROR(VLOOKUP($H718,매장구분!$B:$Z,5,0),"")</f>
        <v>대리점</v>
      </c>
      <c r="E718" s="46" t="str">
        <f>IFERROR(VLOOKUP($H718,매장구분!$B:$Z,9,0),"")</f>
        <v>제천(대-위)</v>
      </c>
      <c r="G718" s="46" t="s">
        <v>311</v>
      </c>
      <c r="H718" s="46" t="s">
        <v>312</v>
      </c>
      <c r="I718" s="46" t="s">
        <v>169</v>
      </c>
      <c r="J718" s="46" t="s">
        <v>79</v>
      </c>
      <c r="K718" s="46" t="s">
        <v>170</v>
      </c>
      <c r="L718" s="46" t="s">
        <v>171</v>
      </c>
      <c r="M718" s="46" t="s">
        <v>196</v>
      </c>
      <c r="N718" s="46" t="s">
        <v>197</v>
      </c>
      <c r="O718" s="46">
        <v>16101400</v>
      </c>
      <c r="P718" s="46">
        <v>112</v>
      </c>
      <c r="Q718" s="46">
        <v>0</v>
      </c>
      <c r="R718" s="46">
        <v>0</v>
      </c>
      <c r="S718" s="46">
        <v>0</v>
      </c>
      <c r="T718" s="46">
        <v>0</v>
      </c>
      <c r="U718" s="46">
        <v>3030700</v>
      </c>
      <c r="V718" s="46">
        <v>8</v>
      </c>
      <c r="W718" s="46">
        <v>0</v>
      </c>
      <c r="X718" s="46">
        <v>0</v>
      </c>
      <c r="Y718" s="48">
        <v>1751400</v>
      </c>
      <c r="Z718" s="46">
        <v>14</v>
      </c>
      <c r="AA718" s="46">
        <v>0</v>
      </c>
      <c r="AB718" s="46">
        <v>0</v>
      </c>
      <c r="AC718" s="46">
        <v>20883500</v>
      </c>
      <c r="AD718" s="46">
        <v>134</v>
      </c>
      <c r="AF718" s="47">
        <f t="shared" si="11"/>
        <v>19132100</v>
      </c>
    </row>
    <row r="719" spans="1:32" hidden="1" x14ac:dyDescent="0.3">
      <c r="A719" s="46" t="s">
        <v>614</v>
      </c>
      <c r="B719" s="46" t="str">
        <f>IFERROR(VLOOKUP($H719,매장구분!$B:$Z,2,0),"")</f>
        <v>파트너채널팀</v>
      </c>
      <c r="C719" s="46" t="str">
        <f>IFERROR(VLOOKUP($H719,매장구분!$B:$Z,3,0),"")</f>
        <v>국내</v>
      </c>
      <c r="D719" s="46" t="str">
        <f>IFERROR(VLOOKUP($H719,매장구분!$B:$Z,5,0),"")</f>
        <v>백화점</v>
      </c>
      <c r="E719" s="46" t="str">
        <f>IFERROR(VLOOKUP($H719,매장구분!$B:$Z,9,0),"")</f>
        <v>신세계경기</v>
      </c>
      <c r="G719" s="46" t="s">
        <v>356</v>
      </c>
      <c r="H719" s="46" t="s">
        <v>357</v>
      </c>
      <c r="I719" s="46" t="s">
        <v>169</v>
      </c>
      <c r="J719" s="46" t="s">
        <v>175</v>
      </c>
      <c r="K719" s="46" t="s">
        <v>170</v>
      </c>
      <c r="L719" s="46" t="s">
        <v>171</v>
      </c>
      <c r="M719" s="46" t="s">
        <v>77</v>
      </c>
      <c r="N719" s="46" t="s">
        <v>172</v>
      </c>
      <c r="O719" s="46">
        <v>63216500</v>
      </c>
      <c r="P719" s="46">
        <v>518</v>
      </c>
      <c r="Q719" s="46">
        <v>0</v>
      </c>
      <c r="R719" s="46">
        <v>0</v>
      </c>
      <c r="S719" s="46">
        <v>0</v>
      </c>
      <c r="T719" s="46">
        <v>0</v>
      </c>
      <c r="U719" s="46">
        <v>0</v>
      </c>
      <c r="V719" s="46">
        <v>0</v>
      </c>
      <c r="W719" s="46">
        <v>0</v>
      </c>
      <c r="X719" s="46">
        <v>0</v>
      </c>
      <c r="Y719" s="48">
        <v>0</v>
      </c>
      <c r="Z719" s="46">
        <v>0</v>
      </c>
      <c r="AA719" s="46">
        <v>0</v>
      </c>
      <c r="AB719" s="46">
        <v>0</v>
      </c>
      <c r="AC719" s="46">
        <v>63216500</v>
      </c>
      <c r="AD719" s="46">
        <v>518</v>
      </c>
      <c r="AF719" s="47">
        <f t="shared" si="11"/>
        <v>63216500</v>
      </c>
    </row>
    <row r="720" spans="1:32" hidden="1" x14ac:dyDescent="0.3">
      <c r="A720" s="46" t="s">
        <v>614</v>
      </c>
      <c r="B720" s="46" t="str">
        <f>IFERROR(VLOOKUP($H720,매장구분!$B:$Z,2,0),"")</f>
        <v>파트너채널팀</v>
      </c>
      <c r="C720" s="46" t="str">
        <f>IFERROR(VLOOKUP($H720,매장구분!$B:$Z,3,0),"")</f>
        <v>국내</v>
      </c>
      <c r="D720" s="46" t="str">
        <f>IFERROR(VLOOKUP($H720,매장구분!$B:$Z,5,0),"")</f>
        <v>백화점</v>
      </c>
      <c r="E720" s="46" t="str">
        <f>IFERROR(VLOOKUP($H720,매장구분!$B:$Z,9,0),"")</f>
        <v>AK분당</v>
      </c>
      <c r="G720" s="46" t="s">
        <v>582</v>
      </c>
      <c r="H720" s="46" t="s">
        <v>583</v>
      </c>
      <c r="I720" s="46" t="s">
        <v>169</v>
      </c>
      <c r="J720" s="46" t="s">
        <v>175</v>
      </c>
      <c r="K720" s="46" t="s">
        <v>170</v>
      </c>
      <c r="L720" s="46" t="s">
        <v>171</v>
      </c>
      <c r="M720" s="46" t="s">
        <v>77</v>
      </c>
      <c r="N720" s="46" t="s">
        <v>172</v>
      </c>
      <c r="O720" s="46">
        <v>8218000</v>
      </c>
      <c r="P720" s="46">
        <v>95</v>
      </c>
      <c r="Q720" s="46">
        <v>129000</v>
      </c>
      <c r="R720" s="46">
        <v>1</v>
      </c>
      <c r="S720" s="46">
        <v>0</v>
      </c>
      <c r="T720" s="46">
        <v>0</v>
      </c>
      <c r="U720" s="46">
        <v>555000</v>
      </c>
      <c r="V720" s="46">
        <v>3</v>
      </c>
      <c r="W720" s="46">
        <v>0</v>
      </c>
      <c r="X720" s="46">
        <v>0</v>
      </c>
      <c r="Y720" s="48">
        <v>8145000</v>
      </c>
      <c r="Z720" s="46">
        <v>70</v>
      </c>
      <c r="AA720" s="46">
        <v>0</v>
      </c>
      <c r="AB720" s="46">
        <v>0</v>
      </c>
      <c r="AC720" s="46">
        <v>17047000</v>
      </c>
      <c r="AD720" s="46">
        <v>169</v>
      </c>
      <c r="AF720" s="47">
        <f t="shared" si="11"/>
        <v>8902000</v>
      </c>
    </row>
    <row r="721" spans="1:32" hidden="1" x14ac:dyDescent="0.3">
      <c r="A721" s="46" t="s">
        <v>614</v>
      </c>
      <c r="B721" s="46" t="str">
        <f>IFERROR(VLOOKUP($H721,매장구분!$B:$Z,2,0),"")</f>
        <v>리테일채널팀</v>
      </c>
      <c r="C721" s="46" t="str">
        <f>IFERROR(VLOOKUP($H721,매장구분!$B:$Z,3,0),"")</f>
        <v>국내</v>
      </c>
      <c r="D721" s="46" t="str">
        <f>IFERROR(VLOOKUP($H721,매장구분!$B:$Z,5,0),"")</f>
        <v>상설(위탁)</v>
      </c>
      <c r="E721" s="46" t="str">
        <f>IFERROR(VLOOKUP($H721,매장구분!$B:$Z,9,0),"")</f>
        <v>LF스퀘어광양(상-위)</v>
      </c>
      <c r="G721" s="46" t="s">
        <v>167</v>
      </c>
      <c r="H721" s="46" t="s">
        <v>168</v>
      </c>
      <c r="I721" s="46" t="s">
        <v>169</v>
      </c>
      <c r="J721" s="46" t="s">
        <v>79</v>
      </c>
      <c r="K721" s="46" t="s">
        <v>170</v>
      </c>
      <c r="L721" s="46" t="s">
        <v>171</v>
      </c>
      <c r="M721" s="46" t="s">
        <v>77</v>
      </c>
      <c r="N721" s="46" t="s">
        <v>172</v>
      </c>
      <c r="O721" s="46">
        <v>1764000</v>
      </c>
      <c r="P721" s="46">
        <v>49</v>
      </c>
      <c r="Q721" s="46">
        <v>0</v>
      </c>
      <c r="R721" s="46">
        <v>0</v>
      </c>
      <c r="S721" s="46">
        <v>0</v>
      </c>
      <c r="T721" s="46">
        <v>0</v>
      </c>
      <c r="U721" s="46">
        <v>0</v>
      </c>
      <c r="V721" s="46">
        <v>0</v>
      </c>
      <c r="W721" s="46">
        <v>0</v>
      </c>
      <c r="X721" s="46">
        <v>0</v>
      </c>
      <c r="Y721" s="48">
        <v>0</v>
      </c>
      <c r="Z721" s="46">
        <v>0</v>
      </c>
      <c r="AA721" s="46">
        <v>0</v>
      </c>
      <c r="AB721" s="46">
        <v>0</v>
      </c>
      <c r="AC721" s="46">
        <v>1764000</v>
      </c>
      <c r="AD721" s="46">
        <v>49</v>
      </c>
      <c r="AF721" s="47">
        <f t="shared" si="11"/>
        <v>1764000</v>
      </c>
    </row>
    <row r="722" spans="1:32" hidden="1" x14ac:dyDescent="0.3">
      <c r="A722" s="46" t="s">
        <v>614</v>
      </c>
      <c r="B722" s="46" t="str">
        <f>IFERROR(VLOOKUP($H722,매장구분!$B:$Z,2,0),"")</f>
        <v>리테일채널팀</v>
      </c>
      <c r="C722" s="46" t="str">
        <f>IFERROR(VLOOKUP($H722,매장구분!$B:$Z,3,0),"")</f>
        <v>국내</v>
      </c>
      <c r="D722" s="46" t="str">
        <f>IFERROR(VLOOKUP($H722,매장구분!$B:$Z,5,0),"")</f>
        <v>상설(위탁)</v>
      </c>
      <c r="E722" s="46" t="str">
        <f>IFERROR(VLOOKUP($H722,매장구분!$B:$Z,9,0),"")</f>
        <v>NC송파(상-위)</v>
      </c>
      <c r="G722" s="46" t="s">
        <v>378</v>
      </c>
      <c r="H722" s="46" t="s">
        <v>379</v>
      </c>
      <c r="I722" s="46" t="s">
        <v>169</v>
      </c>
      <c r="J722" s="46" t="s">
        <v>79</v>
      </c>
      <c r="K722" s="46" t="s">
        <v>170</v>
      </c>
      <c r="L722" s="46" t="s">
        <v>171</v>
      </c>
      <c r="M722" s="46" t="s">
        <v>77</v>
      </c>
      <c r="N722" s="46" t="s">
        <v>238</v>
      </c>
      <c r="O722" s="46">
        <v>828000</v>
      </c>
      <c r="P722" s="46">
        <v>23</v>
      </c>
      <c r="Q722" s="46">
        <v>0</v>
      </c>
      <c r="R722" s="46">
        <v>0</v>
      </c>
      <c r="S722" s="46">
        <v>0</v>
      </c>
      <c r="T722" s="46">
        <v>0</v>
      </c>
      <c r="U722" s="46">
        <v>0</v>
      </c>
      <c r="V722" s="46">
        <v>0</v>
      </c>
      <c r="W722" s="46">
        <v>0</v>
      </c>
      <c r="X722" s="46">
        <v>0</v>
      </c>
      <c r="Y722" s="48">
        <v>0</v>
      </c>
      <c r="Z722" s="46">
        <v>0</v>
      </c>
      <c r="AA722" s="46">
        <v>0</v>
      </c>
      <c r="AB722" s="46">
        <v>0</v>
      </c>
      <c r="AC722" s="46">
        <v>828000</v>
      </c>
      <c r="AD722" s="46">
        <v>23</v>
      </c>
      <c r="AF722" s="47">
        <f t="shared" si="11"/>
        <v>828000</v>
      </c>
    </row>
    <row r="723" spans="1:32" hidden="1" x14ac:dyDescent="0.3">
      <c r="A723" s="46" t="s">
        <v>614</v>
      </c>
      <c r="B723" s="46" t="str">
        <f>IFERROR(VLOOKUP($H723,매장구분!$B:$Z,2,0),"")</f>
        <v>리테일채널팀</v>
      </c>
      <c r="C723" s="46" t="str">
        <f>IFERROR(VLOOKUP($H723,매장구분!$B:$Z,3,0),"")</f>
        <v>국내</v>
      </c>
      <c r="D723" s="46" t="str">
        <f>IFERROR(VLOOKUP($H723,매장구분!$B:$Z,5,0),"")</f>
        <v>상설(위탁)</v>
      </c>
      <c r="E723" s="46" t="str">
        <f>IFERROR(VLOOKUP($H723,매장구분!$B:$Z,9,0),"")</f>
        <v>신세계아울렛파주(상-위)</v>
      </c>
      <c r="G723" s="46" t="s">
        <v>432</v>
      </c>
      <c r="H723" s="46" t="s">
        <v>433</v>
      </c>
      <c r="I723" s="46" t="s">
        <v>169</v>
      </c>
      <c r="J723" s="46" t="s">
        <v>79</v>
      </c>
      <c r="K723" s="46" t="s">
        <v>170</v>
      </c>
      <c r="L723" s="46" t="s">
        <v>171</v>
      </c>
      <c r="M723" s="46" t="s">
        <v>219</v>
      </c>
      <c r="N723" s="46" t="s">
        <v>219</v>
      </c>
      <c r="O723" s="46">
        <v>2556000</v>
      </c>
      <c r="P723" s="46">
        <v>71</v>
      </c>
      <c r="Q723" s="46">
        <v>0</v>
      </c>
      <c r="R723" s="46">
        <v>0</v>
      </c>
      <c r="S723" s="46">
        <v>0</v>
      </c>
      <c r="T723" s="46">
        <v>0</v>
      </c>
      <c r="U723" s="46">
        <v>0</v>
      </c>
      <c r="V723" s="46">
        <v>0</v>
      </c>
      <c r="W723" s="46">
        <v>0</v>
      </c>
      <c r="X723" s="46">
        <v>0</v>
      </c>
      <c r="Y723" s="48">
        <v>0</v>
      </c>
      <c r="Z723" s="46">
        <v>0</v>
      </c>
      <c r="AA723" s="46">
        <v>0</v>
      </c>
      <c r="AB723" s="46">
        <v>0</v>
      </c>
      <c r="AC723" s="46">
        <v>2556000</v>
      </c>
      <c r="AD723" s="46">
        <v>71</v>
      </c>
      <c r="AF723" s="47">
        <f t="shared" si="11"/>
        <v>2556000</v>
      </c>
    </row>
    <row r="724" spans="1:32" hidden="1" x14ac:dyDescent="0.3">
      <c r="A724" s="46" t="s">
        <v>614</v>
      </c>
      <c r="B724" s="46" t="str">
        <f>IFERROR(VLOOKUP($H724,매장구분!$B:$Z,2,0),"")</f>
        <v>리테일채널팀</v>
      </c>
      <c r="C724" s="46" t="str">
        <f>IFERROR(VLOOKUP($H724,매장구분!$B:$Z,3,0),"")</f>
        <v>국내</v>
      </c>
      <c r="D724" s="46" t="str">
        <f>IFERROR(VLOOKUP($H724,매장구분!$B:$Z,5,0),"")</f>
        <v>직영점</v>
      </c>
      <c r="E724" s="46" t="str">
        <f>IFERROR(VLOOKUP($H724,매장구분!$B:$Z,9,0),"")</f>
        <v>타임스퀘어영등포(직)</v>
      </c>
      <c r="G724" s="46" t="s">
        <v>186</v>
      </c>
      <c r="H724" s="46" t="s">
        <v>187</v>
      </c>
      <c r="I724" s="46" t="s">
        <v>169</v>
      </c>
      <c r="J724" s="46" t="s">
        <v>180</v>
      </c>
      <c r="K724" s="46" t="s">
        <v>170</v>
      </c>
      <c r="L724" s="46" t="s">
        <v>171</v>
      </c>
      <c r="M724" s="46" t="s">
        <v>188</v>
      </c>
      <c r="N724" s="46" t="s">
        <v>189</v>
      </c>
      <c r="O724" s="46">
        <v>27861360</v>
      </c>
      <c r="P724" s="46">
        <v>270</v>
      </c>
      <c r="Q724" s="46">
        <v>0</v>
      </c>
      <c r="R724" s="46">
        <v>0</v>
      </c>
      <c r="S724" s="46">
        <v>0</v>
      </c>
      <c r="T724" s="46">
        <v>0</v>
      </c>
      <c r="U724" s="46">
        <v>852440</v>
      </c>
      <c r="V724" s="46">
        <v>6</v>
      </c>
      <c r="W724" s="46">
        <v>0</v>
      </c>
      <c r="X724" s="46">
        <v>0</v>
      </c>
      <c r="Y724" s="48">
        <v>0</v>
      </c>
      <c r="Z724" s="46">
        <v>0</v>
      </c>
      <c r="AA724" s="46">
        <v>0</v>
      </c>
      <c r="AB724" s="46">
        <v>0</v>
      </c>
      <c r="AC724" s="46">
        <v>28713800</v>
      </c>
      <c r="AD724" s="46">
        <v>276</v>
      </c>
      <c r="AF724" s="47">
        <f t="shared" si="11"/>
        <v>28713800</v>
      </c>
    </row>
    <row r="725" spans="1:32" hidden="1" x14ac:dyDescent="0.3">
      <c r="A725" s="46" t="s">
        <v>614</v>
      </c>
      <c r="B725" s="46" t="str">
        <f>IFERROR(VLOOKUP($H725,매장구분!$B:$Z,2,0),"")</f>
        <v>파트너채널팀</v>
      </c>
      <c r="C725" s="46" t="str">
        <f>IFERROR(VLOOKUP($H725,매장구분!$B:$Z,3,0),"")</f>
        <v>국내</v>
      </c>
      <c r="D725" s="46" t="str">
        <f>IFERROR(VLOOKUP($H725,매장구분!$B:$Z,5,0),"")</f>
        <v>백화점</v>
      </c>
      <c r="E725" s="46" t="str">
        <f>IFERROR(VLOOKUP($H725,매장구분!$B:$Z,9,0),"")</f>
        <v>신세계의정부</v>
      </c>
      <c r="G725" s="46" t="s">
        <v>438</v>
      </c>
      <c r="H725" s="46" t="s">
        <v>439</v>
      </c>
      <c r="I725" s="46" t="s">
        <v>169</v>
      </c>
      <c r="J725" s="46" t="s">
        <v>175</v>
      </c>
      <c r="K725" s="46" t="s">
        <v>170</v>
      </c>
      <c r="L725" s="46" t="s">
        <v>171</v>
      </c>
      <c r="M725" s="46" t="s">
        <v>77</v>
      </c>
      <c r="N725" s="46" t="s">
        <v>172</v>
      </c>
      <c r="O725" s="46">
        <v>25616600</v>
      </c>
      <c r="P725" s="46">
        <v>210</v>
      </c>
      <c r="Q725" s="46">
        <v>0</v>
      </c>
      <c r="R725" s="46">
        <v>0</v>
      </c>
      <c r="S725" s="46">
        <v>0</v>
      </c>
      <c r="T725" s="46">
        <v>0</v>
      </c>
      <c r="U725" s="46">
        <v>4342000</v>
      </c>
      <c r="V725" s="46">
        <v>18</v>
      </c>
      <c r="W725" s="46">
        <v>0</v>
      </c>
      <c r="X725" s="46">
        <v>0</v>
      </c>
      <c r="Y725" s="48">
        <v>0</v>
      </c>
      <c r="Z725" s="46">
        <v>0</v>
      </c>
      <c r="AA725" s="46">
        <v>0</v>
      </c>
      <c r="AB725" s="46">
        <v>0</v>
      </c>
      <c r="AC725" s="46">
        <v>29958600</v>
      </c>
      <c r="AD725" s="46">
        <v>228</v>
      </c>
      <c r="AF725" s="47">
        <f t="shared" si="11"/>
        <v>29958600</v>
      </c>
    </row>
    <row r="726" spans="1:32" hidden="1" x14ac:dyDescent="0.3">
      <c r="A726" s="46" t="s">
        <v>614</v>
      </c>
      <c r="B726" s="46" t="str">
        <f>IFERROR(VLOOKUP($H726,매장구분!$B:$Z,2,0),"")</f>
        <v>리테일채널팀</v>
      </c>
      <c r="C726" s="46" t="str">
        <f>IFERROR(VLOOKUP($H726,매장구분!$B:$Z,3,0),"")</f>
        <v>국내</v>
      </c>
      <c r="D726" s="46" t="str">
        <f>IFERROR(VLOOKUP($H726,매장구분!$B:$Z,5,0),"")</f>
        <v>대리점</v>
      </c>
      <c r="E726" s="46" t="str">
        <f>IFERROR(VLOOKUP($H726,매장구분!$B:$Z,9,0),"")</f>
        <v>제주(대-위)</v>
      </c>
      <c r="G726" s="46" t="s">
        <v>474</v>
      </c>
      <c r="H726" s="46" t="s">
        <v>475</v>
      </c>
      <c r="I726" s="46" t="s">
        <v>169</v>
      </c>
      <c r="J726" s="46" t="s">
        <v>79</v>
      </c>
      <c r="K726" s="46" t="s">
        <v>170</v>
      </c>
      <c r="L726" s="46" t="s">
        <v>171</v>
      </c>
      <c r="M726" s="46" t="s">
        <v>196</v>
      </c>
      <c r="N726" s="46" t="s">
        <v>197</v>
      </c>
      <c r="O726" s="46">
        <v>17399264</v>
      </c>
      <c r="P726" s="46">
        <v>152</v>
      </c>
      <c r="Q726" s="46">
        <v>0</v>
      </c>
      <c r="R726" s="46">
        <v>0</v>
      </c>
      <c r="S726" s="46">
        <v>0</v>
      </c>
      <c r="T726" s="46">
        <v>0</v>
      </c>
      <c r="U726" s="46">
        <v>1533736</v>
      </c>
      <c r="V726" s="46">
        <v>9</v>
      </c>
      <c r="W726" s="46">
        <v>0</v>
      </c>
      <c r="X726" s="46">
        <v>0</v>
      </c>
      <c r="Y726" s="48">
        <v>3518400</v>
      </c>
      <c r="Z726" s="46">
        <v>49</v>
      </c>
      <c r="AA726" s="46">
        <v>0</v>
      </c>
      <c r="AB726" s="46">
        <v>0</v>
      </c>
      <c r="AC726" s="46">
        <v>22451400</v>
      </c>
      <c r="AD726" s="46">
        <v>210</v>
      </c>
      <c r="AF726" s="47">
        <f t="shared" si="11"/>
        <v>18933000</v>
      </c>
    </row>
    <row r="727" spans="1:32" hidden="1" x14ac:dyDescent="0.3">
      <c r="A727" s="46" t="s">
        <v>614</v>
      </c>
      <c r="B727" s="46" t="str">
        <f>IFERROR(VLOOKUP($H727,매장구분!$B:$Z,2,0),"")</f>
        <v>리테일채널팀</v>
      </c>
      <c r="C727" s="46" t="str">
        <f>IFERROR(VLOOKUP($H727,매장구분!$B:$Z,3,0),"")</f>
        <v>국내</v>
      </c>
      <c r="D727" s="46" t="str">
        <f>IFERROR(VLOOKUP($H727,매장구분!$B:$Z,5,0),"")</f>
        <v>대리점</v>
      </c>
      <c r="E727" s="46" t="str">
        <f>IFERROR(VLOOKUP($H727,매장구분!$B:$Z,9,0),"")</f>
        <v>서귀포(대-위)</v>
      </c>
      <c r="G727" s="46" t="s">
        <v>313</v>
      </c>
      <c r="H727" s="46" t="s">
        <v>314</v>
      </c>
      <c r="I727" s="46" t="s">
        <v>169</v>
      </c>
      <c r="J727" s="46" t="s">
        <v>79</v>
      </c>
      <c r="K727" s="46" t="s">
        <v>170</v>
      </c>
      <c r="L727" s="46" t="s">
        <v>171</v>
      </c>
      <c r="M727" s="46" t="s">
        <v>196</v>
      </c>
      <c r="N727" s="46" t="s">
        <v>197</v>
      </c>
      <c r="O727" s="46">
        <v>12054939</v>
      </c>
      <c r="P727" s="46">
        <v>127</v>
      </c>
      <c r="Q727" s="46">
        <v>0</v>
      </c>
      <c r="R727" s="46">
        <v>0</v>
      </c>
      <c r="S727" s="46">
        <v>0</v>
      </c>
      <c r="T727" s="46">
        <v>0</v>
      </c>
      <c r="U727" s="46">
        <v>4136000</v>
      </c>
      <c r="V727" s="46">
        <v>21</v>
      </c>
      <c r="W727" s="46">
        <v>0</v>
      </c>
      <c r="X727" s="46">
        <v>0</v>
      </c>
      <c r="Y727" s="48">
        <v>0</v>
      </c>
      <c r="Z727" s="46">
        <v>0</v>
      </c>
      <c r="AA727" s="46">
        <v>0</v>
      </c>
      <c r="AB727" s="46">
        <v>0</v>
      </c>
      <c r="AC727" s="46">
        <v>16190939</v>
      </c>
      <c r="AD727" s="46">
        <v>148</v>
      </c>
      <c r="AF727" s="47">
        <f t="shared" si="11"/>
        <v>16190939</v>
      </c>
    </row>
    <row r="728" spans="1:32" hidden="1" x14ac:dyDescent="0.3">
      <c r="A728" s="46" t="s">
        <v>614</v>
      </c>
      <c r="B728" s="46" t="str">
        <f>IFERROR(VLOOKUP($H728,매장구분!$B:$Z,2,0),"")</f>
        <v>파트너채널팀</v>
      </c>
      <c r="C728" s="46" t="str">
        <f>IFERROR(VLOOKUP($H728,매장구분!$B:$Z,3,0),"")</f>
        <v>국내</v>
      </c>
      <c r="D728" s="46" t="str">
        <f>IFERROR(VLOOKUP($H728,매장구분!$B:$Z,5,0),"")</f>
        <v>백화점</v>
      </c>
      <c r="E728" s="46" t="str">
        <f>IFERROR(VLOOKUP($H728,매장구분!$B:$Z,9,0),"")</f>
        <v>롯데포항</v>
      </c>
      <c r="G728" s="46" t="s">
        <v>249</v>
      </c>
      <c r="H728" s="46" t="s">
        <v>250</v>
      </c>
      <c r="I728" s="46" t="s">
        <v>169</v>
      </c>
      <c r="J728" s="46" t="s">
        <v>175</v>
      </c>
      <c r="K728" s="46" t="s">
        <v>170</v>
      </c>
      <c r="L728" s="46" t="s">
        <v>171</v>
      </c>
      <c r="M728" s="46" t="s">
        <v>77</v>
      </c>
      <c r="N728" s="46" t="s">
        <v>172</v>
      </c>
      <c r="O728" s="46">
        <v>13034210</v>
      </c>
      <c r="P728" s="46">
        <v>113</v>
      </c>
      <c r="Q728" s="46">
        <v>0</v>
      </c>
      <c r="R728" s="46">
        <v>0</v>
      </c>
      <c r="S728" s="46">
        <v>0</v>
      </c>
      <c r="T728" s="46">
        <v>0</v>
      </c>
      <c r="U728" s="46">
        <v>2007490</v>
      </c>
      <c r="V728" s="46">
        <v>13</v>
      </c>
      <c r="W728" s="46">
        <v>0</v>
      </c>
      <c r="X728" s="46">
        <v>0</v>
      </c>
      <c r="Y728" s="48">
        <v>0</v>
      </c>
      <c r="Z728" s="46">
        <v>0</v>
      </c>
      <c r="AA728" s="46">
        <v>0</v>
      </c>
      <c r="AB728" s="46">
        <v>0</v>
      </c>
      <c r="AC728" s="46">
        <v>15041700</v>
      </c>
      <c r="AD728" s="46">
        <v>126</v>
      </c>
      <c r="AF728" s="47">
        <f t="shared" si="11"/>
        <v>15041700</v>
      </c>
    </row>
    <row r="729" spans="1:32" hidden="1" x14ac:dyDescent="0.3">
      <c r="A729" s="46" t="s">
        <v>614</v>
      </c>
      <c r="B729" s="46" t="str">
        <f>IFERROR(VLOOKUP($H729,매장구분!$B:$Z,2,0),"")</f>
        <v>파트너채널팀</v>
      </c>
      <c r="C729" s="46" t="str">
        <f>IFERROR(VLOOKUP($H729,매장구분!$B:$Z,3,0),"")</f>
        <v>국내</v>
      </c>
      <c r="D729" s="46" t="str">
        <f>IFERROR(VLOOKUP($H729,매장구분!$B:$Z,5,0),"")</f>
        <v>백화점</v>
      </c>
      <c r="E729" s="46" t="str">
        <f>IFERROR(VLOOKUP($H729,매장구분!$B:$Z,9,0),"")</f>
        <v>롯데동래</v>
      </c>
      <c r="G729" s="46" t="s">
        <v>239</v>
      </c>
      <c r="H729" s="46" t="s">
        <v>240</v>
      </c>
      <c r="I729" s="46" t="s">
        <v>169</v>
      </c>
      <c r="J729" s="46" t="s">
        <v>175</v>
      </c>
      <c r="K729" s="46" t="s">
        <v>170</v>
      </c>
      <c r="L729" s="46" t="s">
        <v>171</v>
      </c>
      <c r="M729" s="46" t="s">
        <v>77</v>
      </c>
      <c r="N729" s="46" t="s">
        <v>172</v>
      </c>
      <c r="O729" s="46">
        <v>15992900</v>
      </c>
      <c r="P729" s="46">
        <v>154</v>
      </c>
      <c r="Q729" s="46">
        <v>0</v>
      </c>
      <c r="R729" s="46">
        <v>0</v>
      </c>
      <c r="S729" s="46">
        <v>0</v>
      </c>
      <c r="T729" s="46">
        <v>0</v>
      </c>
      <c r="U729" s="46">
        <v>2417000</v>
      </c>
      <c r="V729" s="46">
        <v>13</v>
      </c>
      <c r="W729" s="46">
        <v>0</v>
      </c>
      <c r="X729" s="46">
        <v>0</v>
      </c>
      <c r="Y729" s="48">
        <v>21991000</v>
      </c>
      <c r="Z729" s="46">
        <v>169</v>
      </c>
      <c r="AA729" s="46">
        <v>0</v>
      </c>
      <c r="AB729" s="46">
        <v>0</v>
      </c>
      <c r="AC729" s="46">
        <v>40400900</v>
      </c>
      <c r="AD729" s="46">
        <v>336</v>
      </c>
      <c r="AF729" s="47">
        <f t="shared" si="11"/>
        <v>18409900</v>
      </c>
    </row>
    <row r="730" spans="1:32" hidden="1" x14ac:dyDescent="0.3">
      <c r="A730" s="46" t="s">
        <v>614</v>
      </c>
      <c r="B730" s="46" t="str">
        <f>IFERROR(VLOOKUP($H730,매장구분!$B:$Z,2,0),"")</f>
        <v>파트너채널팀</v>
      </c>
      <c r="C730" s="46" t="str">
        <f>IFERROR(VLOOKUP($H730,매장구분!$B:$Z,3,0),"")</f>
        <v>국내</v>
      </c>
      <c r="D730" s="46" t="str">
        <f>IFERROR(VLOOKUP($H730,매장구분!$B:$Z,5,0),"")</f>
        <v>백화점</v>
      </c>
      <c r="E730" s="46" t="str">
        <f>IFERROR(VLOOKUP($H730,매장구분!$B:$Z,9,0),"")</f>
        <v>신세계천안아산</v>
      </c>
      <c r="G730" s="46" t="s">
        <v>271</v>
      </c>
      <c r="H730" s="46" t="s">
        <v>272</v>
      </c>
      <c r="I730" s="46" t="s">
        <v>169</v>
      </c>
      <c r="J730" s="46" t="s">
        <v>175</v>
      </c>
      <c r="K730" s="46" t="s">
        <v>170</v>
      </c>
      <c r="L730" s="46" t="s">
        <v>171</v>
      </c>
      <c r="M730" s="46" t="s">
        <v>77</v>
      </c>
      <c r="N730" s="46" t="s">
        <v>172</v>
      </c>
      <c r="O730" s="46">
        <v>19490000</v>
      </c>
      <c r="P730" s="46">
        <v>173</v>
      </c>
      <c r="Q730" s="46">
        <v>0</v>
      </c>
      <c r="R730" s="46">
        <v>0</v>
      </c>
      <c r="S730" s="46">
        <v>0</v>
      </c>
      <c r="T730" s="46">
        <v>0</v>
      </c>
      <c r="U730" s="46">
        <v>2387000</v>
      </c>
      <c r="V730" s="46">
        <v>17</v>
      </c>
      <c r="W730" s="46">
        <v>0</v>
      </c>
      <c r="X730" s="46">
        <v>0</v>
      </c>
      <c r="Y730" s="48">
        <v>0</v>
      </c>
      <c r="Z730" s="46">
        <v>0</v>
      </c>
      <c r="AA730" s="46">
        <v>0</v>
      </c>
      <c r="AB730" s="46">
        <v>0</v>
      </c>
      <c r="AC730" s="46">
        <v>21877000</v>
      </c>
      <c r="AD730" s="46">
        <v>190</v>
      </c>
      <c r="AF730" s="47">
        <f t="shared" si="11"/>
        <v>21877000</v>
      </c>
    </row>
    <row r="731" spans="1:32" hidden="1" x14ac:dyDescent="0.3">
      <c r="A731" s="46" t="s">
        <v>614</v>
      </c>
      <c r="B731" s="46" t="str">
        <f>IFERROR(VLOOKUP($H731,매장구분!$B:$Z,2,0),"")</f>
        <v>리테일채널팀</v>
      </c>
      <c r="C731" s="46" t="str">
        <f>IFERROR(VLOOKUP($H731,매장구분!$B:$Z,3,0),"")</f>
        <v>국내</v>
      </c>
      <c r="D731" s="46" t="str">
        <f>IFERROR(VLOOKUP($H731,매장구분!$B:$Z,5,0),"")</f>
        <v>대리점</v>
      </c>
      <c r="E731" s="46" t="str">
        <f>IFERROR(VLOOKUP($H731,매장구분!$B:$Z,9,0),"")</f>
        <v>대구칠곡(대-위)</v>
      </c>
      <c r="G731" s="46" t="s">
        <v>364</v>
      </c>
      <c r="H731" s="46" t="s">
        <v>365</v>
      </c>
      <c r="I731" s="46" t="s">
        <v>169</v>
      </c>
      <c r="J731" s="46" t="s">
        <v>79</v>
      </c>
      <c r="K731" s="46" t="s">
        <v>170</v>
      </c>
      <c r="L731" s="46" t="s">
        <v>171</v>
      </c>
      <c r="M731" s="46" t="s">
        <v>196</v>
      </c>
      <c r="N731" s="46" t="s">
        <v>197</v>
      </c>
      <c r="O731" s="46">
        <v>8096162</v>
      </c>
      <c r="P731" s="46">
        <v>75</v>
      </c>
      <c r="Q731" s="46">
        <v>0</v>
      </c>
      <c r="R731" s="46">
        <v>0</v>
      </c>
      <c r="S731" s="46">
        <v>0</v>
      </c>
      <c r="T731" s="46">
        <v>0</v>
      </c>
      <c r="U731" s="46">
        <v>-90700</v>
      </c>
      <c r="V731" s="46">
        <v>-1</v>
      </c>
      <c r="W731" s="46">
        <v>0</v>
      </c>
      <c r="X731" s="46">
        <v>0</v>
      </c>
      <c r="Y731" s="48">
        <v>0</v>
      </c>
      <c r="Z731" s="46">
        <v>0</v>
      </c>
      <c r="AA731" s="46">
        <v>0</v>
      </c>
      <c r="AB731" s="46">
        <v>0</v>
      </c>
      <c r="AC731" s="46">
        <v>8005462</v>
      </c>
      <c r="AD731" s="46">
        <v>74</v>
      </c>
      <c r="AF731" s="47">
        <f t="shared" si="11"/>
        <v>8005462</v>
      </c>
    </row>
    <row r="732" spans="1:32" hidden="1" x14ac:dyDescent="0.3">
      <c r="A732" s="46" t="s">
        <v>614</v>
      </c>
      <c r="B732" s="46" t="str">
        <f>IFERROR(VLOOKUP($H732,매장구분!$B:$Z,2,0),"")</f>
        <v>리테일채널팀</v>
      </c>
      <c r="C732" s="46" t="str">
        <f>IFERROR(VLOOKUP($H732,매장구분!$B:$Z,3,0),"")</f>
        <v>국내</v>
      </c>
      <c r="D732" s="46" t="str">
        <f>IFERROR(VLOOKUP($H732,매장구분!$B:$Z,5,0),"")</f>
        <v>대리점</v>
      </c>
      <c r="E732" s="46" t="str">
        <f>IFERROR(VLOOKUP($H732,매장구분!$B:$Z,9,0),"")</f>
        <v>청주(대-위)</v>
      </c>
      <c r="G732" s="46" t="s">
        <v>265</v>
      </c>
      <c r="H732" s="46" t="s">
        <v>266</v>
      </c>
      <c r="I732" s="46" t="s">
        <v>169</v>
      </c>
      <c r="J732" s="46" t="s">
        <v>79</v>
      </c>
      <c r="K732" s="46" t="s">
        <v>170</v>
      </c>
      <c r="L732" s="46" t="s">
        <v>171</v>
      </c>
      <c r="M732" s="46" t="s">
        <v>196</v>
      </c>
      <c r="N732" s="46" t="s">
        <v>197</v>
      </c>
      <c r="O732" s="46">
        <v>41335588</v>
      </c>
      <c r="P732" s="46">
        <v>330</v>
      </c>
      <c r="Q732" s="46">
        <v>0</v>
      </c>
      <c r="R732" s="46">
        <v>0</v>
      </c>
      <c r="S732" s="46">
        <v>0</v>
      </c>
      <c r="T732" s="46">
        <v>0</v>
      </c>
      <c r="U732" s="46">
        <v>6482712</v>
      </c>
      <c r="V732" s="46">
        <v>24</v>
      </c>
      <c r="W732" s="46">
        <v>0</v>
      </c>
      <c r="X732" s="46">
        <v>0</v>
      </c>
      <c r="Y732" s="48">
        <v>6950000</v>
      </c>
      <c r="Z732" s="46">
        <v>50</v>
      </c>
      <c r="AA732" s="46">
        <v>0</v>
      </c>
      <c r="AB732" s="46">
        <v>0</v>
      </c>
      <c r="AC732" s="46">
        <v>54768300</v>
      </c>
      <c r="AD732" s="46">
        <v>404</v>
      </c>
      <c r="AF732" s="47">
        <f t="shared" si="11"/>
        <v>47818300</v>
      </c>
    </row>
    <row r="733" spans="1:32" hidden="1" x14ac:dyDescent="0.3">
      <c r="A733" s="46" t="s">
        <v>614</v>
      </c>
      <c r="B733" s="46" t="str">
        <f>IFERROR(VLOOKUP($H733,매장구분!$B:$Z,2,0),"")</f>
        <v>파트너채널팀</v>
      </c>
      <c r="C733" s="46" t="str">
        <f>IFERROR(VLOOKUP($H733,매장구분!$B:$Z,3,0),"")</f>
        <v>면세</v>
      </c>
      <c r="D733" s="46" t="str">
        <f>IFERROR(VLOOKUP($H733,매장구분!$B:$Z,5,0),"")</f>
        <v>면세</v>
      </c>
      <c r="E733" s="46" t="str">
        <f>IFERROR(VLOOKUP($H733,매장구분!$B:$Z,9,0),"")</f>
        <v>현대면세동대문</v>
      </c>
      <c r="G733" s="46" t="s">
        <v>572</v>
      </c>
      <c r="H733" s="46" t="s">
        <v>573</v>
      </c>
      <c r="I733" s="46" t="s">
        <v>169</v>
      </c>
      <c r="J733" s="46" t="s">
        <v>175</v>
      </c>
      <c r="K733" s="46" t="s">
        <v>170</v>
      </c>
      <c r="L733" s="46" t="s">
        <v>171</v>
      </c>
      <c r="M733" s="46" t="s">
        <v>176</v>
      </c>
      <c r="N733" s="46" t="s">
        <v>177</v>
      </c>
      <c r="O733" s="46">
        <v>174643100</v>
      </c>
      <c r="P733" s="46">
        <v>2369</v>
      </c>
      <c r="Q733" s="46">
        <v>0</v>
      </c>
      <c r="R733" s="46">
        <v>0</v>
      </c>
      <c r="S733" s="46">
        <v>0</v>
      </c>
      <c r="T733" s="46">
        <v>0</v>
      </c>
      <c r="U733" s="46">
        <v>0</v>
      </c>
      <c r="V733" s="46">
        <v>0</v>
      </c>
      <c r="W733" s="46">
        <v>0</v>
      </c>
      <c r="X733" s="46">
        <v>0</v>
      </c>
      <c r="Y733" s="48">
        <v>73704900</v>
      </c>
      <c r="Z733" s="46">
        <v>1184</v>
      </c>
      <c r="AA733" s="46">
        <v>0</v>
      </c>
      <c r="AB733" s="46">
        <v>0</v>
      </c>
      <c r="AC733" s="46">
        <v>248348000</v>
      </c>
      <c r="AD733" s="46">
        <v>3553</v>
      </c>
      <c r="AF733" s="47">
        <f t="shared" si="11"/>
        <v>174643100</v>
      </c>
    </row>
    <row r="734" spans="1:32" hidden="1" x14ac:dyDescent="0.3">
      <c r="A734" s="46" t="s">
        <v>614</v>
      </c>
      <c r="B734" s="46" t="str">
        <f>IFERROR(VLOOKUP($H734,매장구분!$B:$Z,2,0),"")</f>
        <v>파트너채널팀</v>
      </c>
      <c r="C734" s="46" t="str">
        <f>IFERROR(VLOOKUP($H734,매장구분!$B:$Z,3,0),"")</f>
        <v>면세</v>
      </c>
      <c r="D734" s="46" t="str">
        <f>IFERROR(VLOOKUP($H734,매장구분!$B:$Z,5,0),"")</f>
        <v>면세</v>
      </c>
      <c r="E734" s="46" t="str">
        <f>IFERROR(VLOOKUP($H734,매장구분!$B:$Z,9,0),"")</f>
        <v>신라면세제주</v>
      </c>
      <c r="G734" s="46" t="s">
        <v>334</v>
      </c>
      <c r="H734" s="46" t="s">
        <v>335</v>
      </c>
      <c r="I734" s="46" t="s">
        <v>169</v>
      </c>
      <c r="J734" s="46" t="s">
        <v>175</v>
      </c>
      <c r="K734" s="46" t="s">
        <v>170</v>
      </c>
      <c r="L734" s="46" t="s">
        <v>171</v>
      </c>
      <c r="M734" s="46" t="s">
        <v>176</v>
      </c>
      <c r="N734" s="46" t="s">
        <v>177</v>
      </c>
      <c r="O734" s="46">
        <v>145600300</v>
      </c>
      <c r="P734" s="46">
        <v>2177</v>
      </c>
      <c r="Q734" s="46">
        <v>0</v>
      </c>
      <c r="R734" s="46">
        <v>0</v>
      </c>
      <c r="S734" s="46">
        <v>0</v>
      </c>
      <c r="T734" s="46">
        <v>0</v>
      </c>
      <c r="U734" s="46">
        <v>0</v>
      </c>
      <c r="V734" s="46">
        <v>0</v>
      </c>
      <c r="W734" s="46">
        <v>0</v>
      </c>
      <c r="X734" s="46">
        <v>0</v>
      </c>
      <c r="Y734" s="48">
        <v>22169000</v>
      </c>
      <c r="Z734" s="46">
        <v>531</v>
      </c>
      <c r="AA734" s="46">
        <v>0</v>
      </c>
      <c r="AB734" s="46">
        <v>0</v>
      </c>
      <c r="AC734" s="46">
        <v>167769300</v>
      </c>
      <c r="AD734" s="46">
        <v>2708</v>
      </c>
      <c r="AF734" s="47">
        <f t="shared" si="11"/>
        <v>145600300</v>
      </c>
    </row>
    <row r="735" spans="1:32" hidden="1" x14ac:dyDescent="0.3">
      <c r="A735" s="46" t="s">
        <v>614</v>
      </c>
      <c r="B735" s="46" t="str">
        <f>IFERROR(VLOOKUP($H735,매장구분!$B:$Z,2,0),"")</f>
        <v>파트너채널팀</v>
      </c>
      <c r="C735" s="46" t="str">
        <f>IFERROR(VLOOKUP($H735,매장구분!$B:$Z,3,0),"")</f>
        <v>면세</v>
      </c>
      <c r="D735" s="46" t="str">
        <f>IFERROR(VLOOKUP($H735,매장구분!$B:$Z,5,0),"")</f>
        <v>면세</v>
      </c>
      <c r="E735" s="46" t="str">
        <f>IFERROR(VLOOKUP($H735,매장구분!$B:$Z,9,0),"")</f>
        <v>롯데면세제주</v>
      </c>
      <c r="G735" s="46" t="s">
        <v>464</v>
      </c>
      <c r="H735" s="46" t="s">
        <v>465</v>
      </c>
      <c r="I735" s="46" t="s">
        <v>169</v>
      </c>
      <c r="J735" s="46" t="s">
        <v>175</v>
      </c>
      <c r="K735" s="46" t="s">
        <v>170</v>
      </c>
      <c r="L735" s="46" t="s">
        <v>171</v>
      </c>
      <c r="M735" s="46" t="s">
        <v>176</v>
      </c>
      <c r="N735" s="46" t="s">
        <v>177</v>
      </c>
      <c r="O735" s="46">
        <v>63957300</v>
      </c>
      <c r="P735" s="46">
        <v>1031</v>
      </c>
      <c r="Q735" s="46">
        <v>0</v>
      </c>
      <c r="R735" s="46">
        <v>0</v>
      </c>
      <c r="S735" s="46">
        <v>0</v>
      </c>
      <c r="T735" s="46">
        <v>0</v>
      </c>
      <c r="U735" s="46">
        <v>0</v>
      </c>
      <c r="V735" s="46">
        <v>0</v>
      </c>
      <c r="W735" s="46">
        <v>0</v>
      </c>
      <c r="X735" s="46">
        <v>0</v>
      </c>
      <c r="Y735" s="48">
        <v>0</v>
      </c>
      <c r="Z735" s="46">
        <v>0</v>
      </c>
      <c r="AA735" s="46">
        <v>0</v>
      </c>
      <c r="AB735" s="46">
        <v>0</v>
      </c>
      <c r="AC735" s="46">
        <v>63957300</v>
      </c>
      <c r="AD735" s="46">
        <v>1031</v>
      </c>
      <c r="AF735" s="47">
        <f t="shared" si="11"/>
        <v>63957300</v>
      </c>
    </row>
    <row r="736" spans="1:32" hidden="1" x14ac:dyDescent="0.3">
      <c r="A736" s="46" t="s">
        <v>614</v>
      </c>
      <c r="B736" s="46" t="str">
        <f>IFERROR(VLOOKUP($H736,매장구분!$B:$Z,2,0),"")</f>
        <v>파트너채널팀</v>
      </c>
      <c r="C736" s="46" t="str">
        <f>IFERROR(VLOOKUP($H736,매장구분!$B:$Z,3,0),"")</f>
        <v>국내</v>
      </c>
      <c r="D736" s="46" t="str">
        <f>IFERROR(VLOOKUP($H736,매장구분!$B:$Z,5,0),"")</f>
        <v>백화점</v>
      </c>
      <c r="E736" s="46" t="str">
        <f>IFERROR(VLOOKUP($H736,매장구분!$B:$Z,9,0),"")</f>
        <v>롯데광주</v>
      </c>
      <c r="G736" s="46" t="s">
        <v>404</v>
      </c>
      <c r="H736" s="46" t="s">
        <v>405</v>
      </c>
      <c r="I736" s="46" t="s">
        <v>169</v>
      </c>
      <c r="J736" s="46" t="s">
        <v>175</v>
      </c>
      <c r="K736" s="46" t="s">
        <v>170</v>
      </c>
      <c r="L736" s="46" t="s">
        <v>171</v>
      </c>
      <c r="M736" s="46" t="s">
        <v>77</v>
      </c>
      <c r="N736" s="46" t="s">
        <v>172</v>
      </c>
      <c r="O736" s="46">
        <v>13927915</v>
      </c>
      <c r="P736" s="46">
        <v>122</v>
      </c>
      <c r="Q736" s="46">
        <v>0</v>
      </c>
      <c r="R736" s="46">
        <v>0</v>
      </c>
      <c r="S736" s="46">
        <v>0</v>
      </c>
      <c r="T736" s="46">
        <v>0</v>
      </c>
      <c r="U736" s="46">
        <v>3201285</v>
      </c>
      <c r="V736" s="46">
        <v>20</v>
      </c>
      <c r="W736" s="46">
        <v>0</v>
      </c>
      <c r="X736" s="46">
        <v>0</v>
      </c>
      <c r="Y736" s="48">
        <v>4572900</v>
      </c>
      <c r="Z736" s="46">
        <v>39</v>
      </c>
      <c r="AA736" s="46">
        <v>0</v>
      </c>
      <c r="AB736" s="46">
        <v>0</v>
      </c>
      <c r="AC736" s="46">
        <v>21702100</v>
      </c>
      <c r="AD736" s="46">
        <v>181</v>
      </c>
      <c r="AF736" s="47">
        <f t="shared" si="11"/>
        <v>17129200</v>
      </c>
    </row>
    <row r="737" spans="1:32" hidden="1" x14ac:dyDescent="0.3">
      <c r="A737" s="46" t="s">
        <v>614</v>
      </c>
      <c r="B737" s="46" t="str">
        <f>IFERROR(VLOOKUP($H737,매장구분!$B:$Z,2,0),"")</f>
        <v>리테일채널팀</v>
      </c>
      <c r="C737" s="46" t="str">
        <f>IFERROR(VLOOKUP($H737,매장구분!$B:$Z,3,0),"")</f>
        <v>국내</v>
      </c>
      <c r="D737" s="46" t="str">
        <f>IFERROR(VLOOKUP($H737,매장구분!$B:$Z,5,0),"")</f>
        <v>대리점</v>
      </c>
      <c r="E737" s="46" t="str">
        <f>IFERROR(VLOOKUP($H737,매장구분!$B:$Z,9,0),"")</f>
        <v>군산수송(대-위)</v>
      </c>
      <c r="G737" s="46" t="s">
        <v>594</v>
      </c>
      <c r="H737" s="46" t="s">
        <v>595</v>
      </c>
      <c r="I737" s="46" t="s">
        <v>169</v>
      </c>
      <c r="J737" s="46" t="s">
        <v>79</v>
      </c>
      <c r="K737" s="46" t="s">
        <v>170</v>
      </c>
      <c r="L737" s="46" t="s">
        <v>171</v>
      </c>
      <c r="M737" s="46" t="s">
        <v>196</v>
      </c>
      <c r="N737" s="46" t="s">
        <v>197</v>
      </c>
      <c r="O737" s="46">
        <v>2844000</v>
      </c>
      <c r="P737" s="46">
        <v>29</v>
      </c>
      <c r="Q737" s="46">
        <v>0</v>
      </c>
      <c r="R737" s="46">
        <v>0</v>
      </c>
      <c r="S737" s="46">
        <v>0</v>
      </c>
      <c r="T737" s="46">
        <v>0</v>
      </c>
      <c r="U737" s="46">
        <v>0</v>
      </c>
      <c r="V737" s="46">
        <v>0</v>
      </c>
      <c r="W737" s="46">
        <v>0</v>
      </c>
      <c r="X737" s="46">
        <v>0</v>
      </c>
      <c r="Y737" s="48">
        <v>0</v>
      </c>
      <c r="Z737" s="46">
        <v>0</v>
      </c>
      <c r="AA737" s="46">
        <v>0</v>
      </c>
      <c r="AB737" s="46">
        <v>0</v>
      </c>
      <c r="AC737" s="46">
        <v>2844000</v>
      </c>
      <c r="AD737" s="46">
        <v>29</v>
      </c>
      <c r="AF737" s="47">
        <f t="shared" si="11"/>
        <v>2844000</v>
      </c>
    </row>
    <row r="738" spans="1:32" hidden="1" x14ac:dyDescent="0.3">
      <c r="A738" s="46" t="s">
        <v>614</v>
      </c>
      <c r="B738" s="46" t="str">
        <f>IFERROR(VLOOKUP($H738,매장구분!$B:$Z,2,0),"")</f>
        <v>파트너채널팀</v>
      </c>
      <c r="C738" s="46" t="str">
        <f>IFERROR(VLOOKUP($H738,매장구분!$B:$Z,3,0),"")</f>
        <v>국내</v>
      </c>
      <c r="D738" s="46" t="str">
        <f>IFERROR(VLOOKUP($H738,매장구분!$B:$Z,5,0),"")</f>
        <v>백화점</v>
      </c>
      <c r="E738" s="46" t="str">
        <f>IFERROR(VLOOKUP($H738,매장구분!$B:$Z,9,0),"")</f>
        <v>현대대구</v>
      </c>
      <c r="G738" s="46" t="s">
        <v>540</v>
      </c>
      <c r="H738" s="46" t="s">
        <v>541</v>
      </c>
      <c r="I738" s="46" t="s">
        <v>169</v>
      </c>
      <c r="J738" s="46" t="s">
        <v>175</v>
      </c>
      <c r="K738" s="46" t="s">
        <v>170</v>
      </c>
      <c r="L738" s="46" t="s">
        <v>171</v>
      </c>
      <c r="M738" s="46" t="s">
        <v>77</v>
      </c>
      <c r="N738" s="46" t="s">
        <v>172</v>
      </c>
      <c r="O738" s="46">
        <v>18598117</v>
      </c>
      <c r="P738" s="46">
        <v>205</v>
      </c>
      <c r="Q738" s="46">
        <v>6389000</v>
      </c>
      <c r="R738" s="46">
        <v>49</v>
      </c>
      <c r="S738" s="46">
        <v>0</v>
      </c>
      <c r="T738" s="46">
        <v>0</v>
      </c>
      <c r="U738" s="46">
        <v>2845393</v>
      </c>
      <c r="V738" s="46">
        <v>17</v>
      </c>
      <c r="W738" s="46">
        <v>0</v>
      </c>
      <c r="X738" s="46">
        <v>0</v>
      </c>
      <c r="Y738" s="48">
        <v>0</v>
      </c>
      <c r="Z738" s="46">
        <v>0</v>
      </c>
      <c r="AA738" s="46">
        <v>0</v>
      </c>
      <c r="AB738" s="46">
        <v>0</v>
      </c>
      <c r="AC738" s="46">
        <v>27832510</v>
      </c>
      <c r="AD738" s="46">
        <v>271</v>
      </c>
      <c r="AF738" s="47">
        <f t="shared" si="11"/>
        <v>27832510</v>
      </c>
    </row>
    <row r="739" spans="1:32" hidden="1" x14ac:dyDescent="0.3">
      <c r="A739" s="46" t="s">
        <v>614</v>
      </c>
      <c r="B739" s="46" t="str">
        <f>IFERROR(VLOOKUP($H739,매장구분!$B:$Z,2,0),"")</f>
        <v>리테일채널팀</v>
      </c>
      <c r="C739" s="46" t="str">
        <f>IFERROR(VLOOKUP($H739,매장구분!$B:$Z,3,0),"")</f>
        <v>국내</v>
      </c>
      <c r="D739" s="46" t="str">
        <f>IFERROR(VLOOKUP($H739,매장구분!$B:$Z,5,0),"")</f>
        <v>직영점</v>
      </c>
      <c r="E739" s="46" t="str">
        <f>IFERROR(VLOOKUP($H739,매장구분!$B:$Z,9,0),"")</f>
        <v>스타필드수원(직)</v>
      </c>
      <c r="G739" s="46" t="s">
        <v>468</v>
      </c>
      <c r="H739" s="46" t="s">
        <v>469</v>
      </c>
      <c r="I739" s="46" t="s">
        <v>169</v>
      </c>
      <c r="J739" s="46" t="s">
        <v>180</v>
      </c>
      <c r="K739" s="46" t="s">
        <v>170</v>
      </c>
      <c r="L739" s="46" t="s">
        <v>171</v>
      </c>
      <c r="M739" s="46" t="s">
        <v>188</v>
      </c>
      <c r="N739" s="46" t="s">
        <v>189</v>
      </c>
      <c r="O739" s="46">
        <v>16332300</v>
      </c>
      <c r="P739" s="46">
        <v>201</v>
      </c>
      <c r="Q739" s="46">
        <v>0</v>
      </c>
      <c r="R739" s="46">
        <v>0</v>
      </c>
      <c r="S739" s="46">
        <v>0</v>
      </c>
      <c r="T739" s="46">
        <v>0</v>
      </c>
      <c r="U739" s="46">
        <v>1440000</v>
      </c>
      <c r="V739" s="46">
        <v>10</v>
      </c>
      <c r="W739" s="46">
        <v>0</v>
      </c>
      <c r="X739" s="46">
        <v>0</v>
      </c>
      <c r="Y739" s="48">
        <v>0</v>
      </c>
      <c r="Z739" s="46">
        <v>0</v>
      </c>
      <c r="AA739" s="46">
        <v>0</v>
      </c>
      <c r="AB739" s="46">
        <v>0</v>
      </c>
      <c r="AC739" s="46">
        <v>17772300</v>
      </c>
      <c r="AD739" s="46">
        <v>211</v>
      </c>
      <c r="AF739" s="47">
        <f t="shared" si="11"/>
        <v>17772300</v>
      </c>
    </row>
    <row r="740" spans="1:32" hidden="1" x14ac:dyDescent="0.3">
      <c r="A740" s="46" t="s">
        <v>614</v>
      </c>
      <c r="B740" s="46" t="str">
        <f>IFERROR(VLOOKUP($H740,매장구분!$B:$Z,2,0),"")</f>
        <v>리테일채널팀</v>
      </c>
      <c r="C740" s="46" t="str">
        <f>IFERROR(VLOOKUP($H740,매장구분!$B:$Z,3,0),"")</f>
        <v>국내</v>
      </c>
      <c r="D740" s="46" t="str">
        <f>IFERROR(VLOOKUP($H740,매장구분!$B:$Z,5,0),"")</f>
        <v>대리점</v>
      </c>
      <c r="E740" s="46" t="str">
        <f>IFERROR(VLOOKUP($H740,매장구분!$B:$Z,9,0),"")</f>
        <v>일산덕이(대-위)</v>
      </c>
      <c r="G740" s="46" t="s">
        <v>580</v>
      </c>
      <c r="H740" s="46" t="s">
        <v>581</v>
      </c>
      <c r="I740" s="46" t="s">
        <v>169</v>
      </c>
      <c r="J740" s="46" t="s">
        <v>79</v>
      </c>
      <c r="K740" s="46" t="s">
        <v>170</v>
      </c>
      <c r="L740" s="46" t="s">
        <v>171</v>
      </c>
      <c r="M740" s="46" t="s">
        <v>196</v>
      </c>
      <c r="N740" s="46" t="s">
        <v>197</v>
      </c>
      <c r="O740" s="46">
        <v>10114000</v>
      </c>
      <c r="P740" s="46">
        <v>73</v>
      </c>
      <c r="Q740" s="46">
        <v>0</v>
      </c>
      <c r="R740" s="46">
        <v>0</v>
      </c>
      <c r="S740" s="46">
        <v>0</v>
      </c>
      <c r="T740" s="46">
        <v>0</v>
      </c>
      <c r="U740" s="46">
        <v>253300</v>
      </c>
      <c r="V740" s="46">
        <v>3</v>
      </c>
      <c r="W740" s="46">
        <v>0</v>
      </c>
      <c r="X740" s="46">
        <v>0</v>
      </c>
      <c r="Y740" s="48">
        <v>0</v>
      </c>
      <c r="Z740" s="46">
        <v>0</v>
      </c>
      <c r="AA740" s="46">
        <v>0</v>
      </c>
      <c r="AB740" s="46">
        <v>0</v>
      </c>
      <c r="AC740" s="46">
        <v>10367300</v>
      </c>
      <c r="AD740" s="46">
        <v>76</v>
      </c>
      <c r="AF740" s="47">
        <f t="shared" si="11"/>
        <v>10367300</v>
      </c>
    </row>
    <row r="741" spans="1:32" hidden="1" x14ac:dyDescent="0.3">
      <c r="A741" s="46" t="s">
        <v>614</v>
      </c>
      <c r="B741" s="46" t="str">
        <f>IFERROR(VLOOKUP($H741,매장구분!$B:$Z,2,0),"")</f>
        <v>리테일채널팀</v>
      </c>
      <c r="C741" s="46" t="str">
        <f>IFERROR(VLOOKUP($H741,매장구분!$B:$Z,3,0),"")</f>
        <v>국내</v>
      </c>
      <c r="D741" s="46" t="str">
        <f>IFERROR(VLOOKUP($H741,매장구분!$B:$Z,5,0),"")</f>
        <v>대리점</v>
      </c>
      <c r="E741" s="46" t="str">
        <f>IFERROR(VLOOKUP($H741,매장구분!$B:$Z,9,0),"")</f>
        <v>마산합성(대-위)</v>
      </c>
      <c r="G741" s="46" t="s">
        <v>546</v>
      </c>
      <c r="H741" s="46" t="s">
        <v>547</v>
      </c>
      <c r="I741" s="46" t="s">
        <v>169</v>
      </c>
      <c r="J741" s="46" t="s">
        <v>79</v>
      </c>
      <c r="K741" s="46" t="s">
        <v>170</v>
      </c>
      <c r="L741" s="46" t="s">
        <v>171</v>
      </c>
      <c r="M741" s="46" t="s">
        <v>196</v>
      </c>
      <c r="N741" s="46" t="s">
        <v>197</v>
      </c>
      <c r="O741" s="46">
        <v>9239435</v>
      </c>
      <c r="P741" s="46">
        <v>56</v>
      </c>
      <c r="Q741" s="46">
        <v>0</v>
      </c>
      <c r="R741" s="46">
        <v>0</v>
      </c>
      <c r="S741" s="46">
        <v>0</v>
      </c>
      <c r="T741" s="46">
        <v>0</v>
      </c>
      <c r="U741" s="46">
        <v>1993165</v>
      </c>
      <c r="V741" s="46">
        <v>14</v>
      </c>
      <c r="W741" s="46">
        <v>0</v>
      </c>
      <c r="X741" s="46">
        <v>0</v>
      </c>
      <c r="Y741" s="48">
        <v>0</v>
      </c>
      <c r="Z741" s="46">
        <v>0</v>
      </c>
      <c r="AA741" s="46">
        <v>0</v>
      </c>
      <c r="AB741" s="46">
        <v>0</v>
      </c>
      <c r="AC741" s="46">
        <v>11232600</v>
      </c>
      <c r="AD741" s="46">
        <v>70</v>
      </c>
      <c r="AF741" s="47">
        <f t="shared" si="11"/>
        <v>11232600</v>
      </c>
    </row>
    <row r="742" spans="1:32" hidden="1" x14ac:dyDescent="0.3">
      <c r="A742" s="46" t="s">
        <v>614</v>
      </c>
      <c r="B742" s="46" t="str">
        <f>IFERROR(VLOOKUP($H742,매장구분!$B:$Z,2,0),"")</f>
        <v>파트너채널팀</v>
      </c>
      <c r="C742" s="46" t="str">
        <f>IFERROR(VLOOKUP($H742,매장구분!$B:$Z,3,0),"")</f>
        <v>국내</v>
      </c>
      <c r="D742" s="46" t="str">
        <f>IFERROR(VLOOKUP($H742,매장구분!$B:$Z,5,0),"")</f>
        <v>백화점</v>
      </c>
      <c r="E742" s="46" t="str">
        <f>IFERROR(VLOOKUP($H742,매장구분!$B:$Z,9,0),"")</f>
        <v>롯데부산</v>
      </c>
      <c r="G742" s="46" t="s">
        <v>452</v>
      </c>
      <c r="H742" s="46" t="s">
        <v>453</v>
      </c>
      <c r="I742" s="46" t="s">
        <v>169</v>
      </c>
      <c r="J742" s="46" t="s">
        <v>175</v>
      </c>
      <c r="K742" s="46" t="s">
        <v>170</v>
      </c>
      <c r="L742" s="46" t="s">
        <v>171</v>
      </c>
      <c r="M742" s="46" t="s">
        <v>77</v>
      </c>
      <c r="N742" s="46" t="s">
        <v>172</v>
      </c>
      <c r="O742" s="46">
        <v>21147496</v>
      </c>
      <c r="P742" s="46">
        <v>229</v>
      </c>
      <c r="Q742" s="46">
        <v>0</v>
      </c>
      <c r="R742" s="46">
        <v>0</v>
      </c>
      <c r="S742" s="46">
        <v>0</v>
      </c>
      <c r="T742" s="46">
        <v>0</v>
      </c>
      <c r="U742" s="46">
        <v>1885404</v>
      </c>
      <c r="V742" s="46">
        <v>11</v>
      </c>
      <c r="W742" s="46">
        <v>0</v>
      </c>
      <c r="X742" s="46">
        <v>0</v>
      </c>
      <c r="Y742" s="48">
        <v>65586900</v>
      </c>
      <c r="Z742" s="46">
        <v>515</v>
      </c>
      <c r="AA742" s="46">
        <v>0</v>
      </c>
      <c r="AB742" s="46">
        <v>0</v>
      </c>
      <c r="AC742" s="46">
        <v>88619800</v>
      </c>
      <c r="AD742" s="46">
        <v>755</v>
      </c>
      <c r="AF742" s="47">
        <f t="shared" si="11"/>
        <v>23032900</v>
      </c>
    </row>
    <row r="743" spans="1:32" hidden="1" x14ac:dyDescent="0.3">
      <c r="A743" s="46" t="s">
        <v>614</v>
      </c>
      <c r="B743" s="46" t="str">
        <f>IFERROR(VLOOKUP($H743,매장구분!$B:$Z,2,0),"")</f>
        <v>리테일채널팀</v>
      </c>
      <c r="C743" s="46" t="str">
        <f>IFERROR(VLOOKUP($H743,매장구분!$B:$Z,3,0),"")</f>
        <v>국내</v>
      </c>
      <c r="D743" s="46" t="str">
        <f>IFERROR(VLOOKUP($H743,매장구분!$B:$Z,5,0),"")</f>
        <v>대리점</v>
      </c>
      <c r="E743" s="46" t="str">
        <f>IFERROR(VLOOKUP($H743,매장구분!$B:$Z,9,0),"")</f>
        <v>대구성서(대-위)</v>
      </c>
      <c r="G743" s="46" t="s">
        <v>492</v>
      </c>
      <c r="H743" s="46" t="s">
        <v>493</v>
      </c>
      <c r="I743" s="46" t="s">
        <v>169</v>
      </c>
      <c r="J743" s="46" t="s">
        <v>79</v>
      </c>
      <c r="K743" s="46" t="s">
        <v>170</v>
      </c>
      <c r="L743" s="46" t="s">
        <v>171</v>
      </c>
      <c r="M743" s="46" t="s">
        <v>196</v>
      </c>
      <c r="N743" s="46" t="s">
        <v>197</v>
      </c>
      <c r="O743" s="46">
        <v>18494529</v>
      </c>
      <c r="P743" s="46">
        <v>135</v>
      </c>
      <c r="Q743" s="46">
        <v>0</v>
      </c>
      <c r="R743" s="46">
        <v>0</v>
      </c>
      <c r="S743" s="46">
        <v>0</v>
      </c>
      <c r="T743" s="46">
        <v>0</v>
      </c>
      <c r="U743" s="46">
        <v>4609544</v>
      </c>
      <c r="V743" s="46">
        <v>17</v>
      </c>
      <c r="W743" s="46">
        <v>0</v>
      </c>
      <c r="X743" s="46">
        <v>0</v>
      </c>
      <c r="Y743" s="48">
        <v>0</v>
      </c>
      <c r="Z743" s="46">
        <v>0</v>
      </c>
      <c r="AA743" s="46">
        <v>0</v>
      </c>
      <c r="AB743" s="46">
        <v>0</v>
      </c>
      <c r="AC743" s="46">
        <v>23104073</v>
      </c>
      <c r="AD743" s="46">
        <v>152</v>
      </c>
      <c r="AF743" s="47">
        <f t="shared" si="11"/>
        <v>23104073</v>
      </c>
    </row>
    <row r="744" spans="1:32" hidden="1" x14ac:dyDescent="0.3">
      <c r="A744" s="46" t="s">
        <v>614</v>
      </c>
      <c r="B744" s="46" t="str">
        <f>IFERROR(VLOOKUP($H744,매장구분!$B:$Z,2,0),"")</f>
        <v>리테일채널팀</v>
      </c>
      <c r="C744" s="46" t="str">
        <f>IFERROR(VLOOKUP($H744,매장구분!$B:$Z,3,0),"")</f>
        <v>국내</v>
      </c>
      <c r="D744" s="46" t="str">
        <f>IFERROR(VLOOKUP($H744,매장구분!$B:$Z,5,0),"")</f>
        <v>대리점</v>
      </c>
      <c r="E744" s="46" t="str">
        <f>IFERROR(VLOOKUP($H744,매장구분!$B:$Z,9,0),"")</f>
        <v>나주(대-위)</v>
      </c>
      <c r="G744" s="46" t="s">
        <v>324</v>
      </c>
      <c r="H744" s="46" t="s">
        <v>325</v>
      </c>
      <c r="I744" s="46" t="s">
        <v>169</v>
      </c>
      <c r="J744" s="46" t="s">
        <v>79</v>
      </c>
      <c r="K744" s="46" t="s">
        <v>170</v>
      </c>
      <c r="L744" s="46" t="s">
        <v>171</v>
      </c>
      <c r="M744" s="46" t="s">
        <v>196</v>
      </c>
      <c r="N744" s="46" t="s">
        <v>197</v>
      </c>
      <c r="O744" s="46">
        <v>10729864</v>
      </c>
      <c r="P744" s="46">
        <v>101</v>
      </c>
      <c r="Q744" s="46">
        <v>0</v>
      </c>
      <c r="R744" s="46">
        <v>0</v>
      </c>
      <c r="S744" s="46">
        <v>0</v>
      </c>
      <c r="T744" s="46">
        <v>0</v>
      </c>
      <c r="U744" s="46">
        <v>2800865</v>
      </c>
      <c r="V744" s="46">
        <v>14</v>
      </c>
      <c r="W744" s="46">
        <v>0</v>
      </c>
      <c r="X744" s="46">
        <v>0</v>
      </c>
      <c r="Y744" s="48">
        <v>0</v>
      </c>
      <c r="Z744" s="46">
        <v>0</v>
      </c>
      <c r="AA744" s="46">
        <v>0</v>
      </c>
      <c r="AB744" s="46">
        <v>0</v>
      </c>
      <c r="AC744" s="46">
        <v>13530729</v>
      </c>
      <c r="AD744" s="46">
        <v>115</v>
      </c>
      <c r="AF744" s="47">
        <f t="shared" si="11"/>
        <v>13530729</v>
      </c>
    </row>
    <row r="745" spans="1:32" hidden="1" x14ac:dyDescent="0.3">
      <c r="A745" s="46" t="s">
        <v>614</v>
      </c>
      <c r="B745" s="46" t="str">
        <f>IFERROR(VLOOKUP($H745,매장구분!$B:$Z,2,0),"")</f>
        <v>파트너채널팀</v>
      </c>
      <c r="C745" s="46" t="str">
        <f>IFERROR(VLOOKUP($H745,매장구분!$B:$Z,3,0),"")</f>
        <v>국내</v>
      </c>
      <c r="D745" s="46" t="str">
        <f>IFERROR(VLOOKUP($H745,매장구분!$B:$Z,5,0),"")</f>
        <v>백화점</v>
      </c>
      <c r="E745" s="46" t="str">
        <f>IFERROR(VLOOKUP($H745,매장구분!$B:$Z,9,0),"")</f>
        <v>모다아울렛천안</v>
      </c>
      <c r="G745" s="46" t="s">
        <v>267</v>
      </c>
      <c r="H745" s="46" t="s">
        <v>268</v>
      </c>
      <c r="I745" s="46" t="s">
        <v>169</v>
      </c>
      <c r="J745" s="46" t="s">
        <v>175</v>
      </c>
      <c r="K745" s="46" t="s">
        <v>170</v>
      </c>
      <c r="L745" s="46" t="s">
        <v>171</v>
      </c>
      <c r="M745" s="46" t="s">
        <v>77</v>
      </c>
      <c r="N745" s="46" t="s">
        <v>238</v>
      </c>
      <c r="O745" s="46">
        <v>11163500</v>
      </c>
      <c r="P745" s="46">
        <v>116</v>
      </c>
      <c r="Q745" s="46">
        <v>0</v>
      </c>
      <c r="R745" s="46">
        <v>0</v>
      </c>
      <c r="S745" s="46">
        <v>0</v>
      </c>
      <c r="T745" s="46">
        <v>0</v>
      </c>
      <c r="U745" s="46">
        <v>258000</v>
      </c>
      <c r="V745" s="46">
        <v>2</v>
      </c>
      <c r="W745" s="46">
        <v>0</v>
      </c>
      <c r="X745" s="46">
        <v>0</v>
      </c>
      <c r="Y745" s="48">
        <v>0</v>
      </c>
      <c r="Z745" s="46">
        <v>0</v>
      </c>
      <c r="AA745" s="46">
        <v>0</v>
      </c>
      <c r="AB745" s="46">
        <v>0</v>
      </c>
      <c r="AC745" s="46">
        <v>11421500</v>
      </c>
      <c r="AD745" s="46">
        <v>118</v>
      </c>
      <c r="AF745" s="47">
        <f t="shared" si="11"/>
        <v>11421500</v>
      </c>
    </row>
    <row r="746" spans="1:32" hidden="1" x14ac:dyDescent="0.3">
      <c r="A746" s="46" t="s">
        <v>614</v>
      </c>
      <c r="B746" s="46" t="str">
        <f>IFERROR(VLOOKUP($H746,매장구분!$B:$Z,2,0),"")</f>
        <v>파트너채널팀</v>
      </c>
      <c r="C746" s="46" t="str">
        <f>IFERROR(VLOOKUP($H746,매장구분!$B:$Z,3,0),"")</f>
        <v>국내</v>
      </c>
      <c r="D746" s="46" t="str">
        <f>IFERROR(VLOOKUP($H746,매장구분!$B:$Z,5,0),"")</f>
        <v>백화점</v>
      </c>
      <c r="E746" s="46" t="str">
        <f>IFERROR(VLOOKUP($H746,매장구분!$B:$Z,9,0),"")</f>
        <v>현대미아</v>
      </c>
      <c r="G746" s="46" t="s">
        <v>512</v>
      </c>
      <c r="H746" s="46" t="s">
        <v>513</v>
      </c>
      <c r="I746" s="46" t="s">
        <v>169</v>
      </c>
      <c r="J746" s="46" t="s">
        <v>175</v>
      </c>
      <c r="K746" s="46" t="s">
        <v>170</v>
      </c>
      <c r="L746" s="46" t="s">
        <v>171</v>
      </c>
      <c r="M746" s="46" t="s">
        <v>77</v>
      </c>
      <c r="N746" s="46" t="s">
        <v>172</v>
      </c>
      <c r="O746" s="46">
        <v>5567600</v>
      </c>
      <c r="P746" s="46">
        <v>39</v>
      </c>
      <c r="Q746" s="46">
        <v>89000</v>
      </c>
      <c r="R746" s="46">
        <v>1</v>
      </c>
      <c r="S746" s="46">
        <v>0</v>
      </c>
      <c r="T746" s="46">
        <v>0</v>
      </c>
      <c r="U746" s="46">
        <v>1147000</v>
      </c>
      <c r="V746" s="46">
        <v>3</v>
      </c>
      <c r="W746" s="46">
        <v>0</v>
      </c>
      <c r="X746" s="46">
        <v>0</v>
      </c>
      <c r="Y746" s="48">
        <v>6365000</v>
      </c>
      <c r="Z746" s="46">
        <v>43</v>
      </c>
      <c r="AA746" s="46">
        <v>1338000</v>
      </c>
      <c r="AB746" s="46">
        <v>14</v>
      </c>
      <c r="AC746" s="46">
        <v>14506600</v>
      </c>
      <c r="AD746" s="46">
        <v>100</v>
      </c>
      <c r="AF746" s="47">
        <f t="shared" si="11"/>
        <v>8141600</v>
      </c>
    </row>
    <row r="747" spans="1:32" hidden="1" x14ac:dyDescent="0.3">
      <c r="A747" s="46" t="s">
        <v>614</v>
      </c>
      <c r="B747" s="46" t="str">
        <f>IFERROR(VLOOKUP($H747,매장구분!$B:$Z,2,0),"")</f>
        <v>리테일채널팀</v>
      </c>
      <c r="C747" s="46" t="str">
        <f>IFERROR(VLOOKUP($H747,매장구분!$B:$Z,3,0),"")</f>
        <v>국내</v>
      </c>
      <c r="D747" s="46" t="str">
        <f>IFERROR(VLOOKUP($H747,매장구분!$B:$Z,5,0),"")</f>
        <v>상설(위탁)</v>
      </c>
      <c r="E747" s="46" t="str">
        <f>IFERROR(VLOOKUP($H747,매장구분!$B:$Z,9,0),"")</f>
        <v>롯데아울렛파주(상-위)</v>
      </c>
      <c r="G747" s="46" t="s">
        <v>598</v>
      </c>
      <c r="H747" s="46" t="s">
        <v>599</v>
      </c>
      <c r="I747" s="46" t="s">
        <v>169</v>
      </c>
      <c r="J747" s="46" t="s">
        <v>79</v>
      </c>
      <c r="K747" s="46" t="s">
        <v>170</v>
      </c>
      <c r="L747" s="46" t="s">
        <v>171</v>
      </c>
      <c r="M747" s="46" t="s">
        <v>219</v>
      </c>
      <c r="N747" s="46" t="s">
        <v>219</v>
      </c>
      <c r="O747" s="46">
        <v>1440000</v>
      </c>
      <c r="P747" s="46">
        <v>40</v>
      </c>
      <c r="Q747" s="46">
        <v>0</v>
      </c>
      <c r="R747" s="46">
        <v>0</v>
      </c>
      <c r="S747" s="46">
        <v>0</v>
      </c>
      <c r="T747" s="46">
        <v>0</v>
      </c>
      <c r="U747" s="46">
        <v>0</v>
      </c>
      <c r="V747" s="46">
        <v>0</v>
      </c>
      <c r="W747" s="46">
        <v>0</v>
      </c>
      <c r="X747" s="46">
        <v>0</v>
      </c>
      <c r="Y747" s="48">
        <v>0</v>
      </c>
      <c r="Z747" s="46">
        <v>0</v>
      </c>
      <c r="AA747" s="46">
        <v>0</v>
      </c>
      <c r="AB747" s="46">
        <v>0</v>
      </c>
      <c r="AC747" s="46">
        <v>1440000</v>
      </c>
      <c r="AD747" s="46">
        <v>40</v>
      </c>
      <c r="AF747" s="47">
        <f t="shared" si="11"/>
        <v>1440000</v>
      </c>
    </row>
    <row r="748" spans="1:32" hidden="1" x14ac:dyDescent="0.3">
      <c r="A748" s="46" t="s">
        <v>614</v>
      </c>
      <c r="B748" s="46" t="str">
        <f>IFERROR(VLOOKUP($H748,매장구분!$B:$Z,2,0),"")</f>
        <v>리테일채널팀</v>
      </c>
      <c r="C748" s="46" t="str">
        <f>IFERROR(VLOOKUP($H748,매장구분!$B:$Z,3,0),"")</f>
        <v>국내</v>
      </c>
      <c r="D748" s="46" t="str">
        <f>IFERROR(VLOOKUP($H748,매장구분!$B:$Z,5,0),"")</f>
        <v>상설(위탁)</v>
      </c>
      <c r="E748" s="46" t="str">
        <f>IFERROR(VLOOKUP($H748,매장구분!$B:$Z,9,0),"")</f>
        <v>마리오(상-위)</v>
      </c>
      <c r="G748" s="46" t="s">
        <v>564</v>
      </c>
      <c r="H748" s="46" t="s">
        <v>565</v>
      </c>
      <c r="I748" s="46" t="s">
        <v>169</v>
      </c>
      <c r="J748" s="46" t="s">
        <v>79</v>
      </c>
      <c r="K748" s="46" t="s">
        <v>170</v>
      </c>
      <c r="L748" s="46" t="s">
        <v>171</v>
      </c>
      <c r="M748" s="46" t="s">
        <v>77</v>
      </c>
      <c r="N748" s="46" t="s">
        <v>238</v>
      </c>
      <c r="O748" s="46">
        <v>1440000</v>
      </c>
      <c r="P748" s="46">
        <v>40</v>
      </c>
      <c r="Q748" s="46">
        <v>0</v>
      </c>
      <c r="R748" s="46">
        <v>0</v>
      </c>
      <c r="S748" s="46">
        <v>0</v>
      </c>
      <c r="T748" s="46">
        <v>0</v>
      </c>
      <c r="U748" s="46">
        <v>0</v>
      </c>
      <c r="V748" s="46">
        <v>0</v>
      </c>
      <c r="W748" s="46">
        <v>0</v>
      </c>
      <c r="X748" s="46">
        <v>0</v>
      </c>
      <c r="Y748" s="48">
        <v>0</v>
      </c>
      <c r="Z748" s="46">
        <v>0</v>
      </c>
      <c r="AA748" s="46">
        <v>0</v>
      </c>
      <c r="AB748" s="46">
        <v>0</v>
      </c>
      <c r="AC748" s="46">
        <v>1440000</v>
      </c>
      <c r="AD748" s="46">
        <v>40</v>
      </c>
      <c r="AF748" s="47">
        <f t="shared" si="11"/>
        <v>1440000</v>
      </c>
    </row>
    <row r="749" spans="1:32" hidden="1" x14ac:dyDescent="0.3">
      <c r="A749" s="46" t="s">
        <v>614</v>
      </c>
      <c r="B749" s="46" t="str">
        <f>IFERROR(VLOOKUP($H749,매장구분!$B:$Z,2,0),"")</f>
        <v>리테일채널팀</v>
      </c>
      <c r="C749" s="46" t="str">
        <f>IFERROR(VLOOKUP($H749,매장구분!$B:$Z,3,0),"")</f>
        <v>국내</v>
      </c>
      <c r="D749" s="46" t="str">
        <f>IFERROR(VLOOKUP($H749,매장구분!$B:$Z,5,0),"")</f>
        <v>대리점</v>
      </c>
      <c r="E749" s="46" t="str">
        <f>IFERROR(VLOOKUP($H749,매장구분!$B:$Z,9,0),"")</f>
        <v>스퀘어원인천(대-위)</v>
      </c>
      <c r="G749" s="46" t="s">
        <v>532</v>
      </c>
      <c r="H749" s="46" t="s">
        <v>533</v>
      </c>
      <c r="I749" s="46" t="s">
        <v>169</v>
      </c>
      <c r="J749" s="46" t="s">
        <v>79</v>
      </c>
      <c r="K749" s="46" t="s">
        <v>170</v>
      </c>
      <c r="L749" s="46" t="s">
        <v>171</v>
      </c>
      <c r="M749" s="46" t="s">
        <v>188</v>
      </c>
      <c r="N749" s="46" t="s">
        <v>317</v>
      </c>
      <c r="O749" s="46">
        <v>25513600</v>
      </c>
      <c r="P749" s="46">
        <v>203</v>
      </c>
      <c r="Q749" s="46">
        <v>0</v>
      </c>
      <c r="R749" s="46">
        <v>0</v>
      </c>
      <c r="S749" s="46">
        <v>0</v>
      </c>
      <c r="T749" s="46">
        <v>0</v>
      </c>
      <c r="U749" s="46">
        <v>1416000</v>
      </c>
      <c r="V749" s="46">
        <v>4</v>
      </c>
      <c r="W749" s="46">
        <v>0</v>
      </c>
      <c r="X749" s="46">
        <v>0</v>
      </c>
      <c r="Y749" s="48">
        <v>26516000</v>
      </c>
      <c r="Z749" s="46">
        <v>214</v>
      </c>
      <c r="AA749" s="46">
        <v>0</v>
      </c>
      <c r="AB749" s="46">
        <v>0</v>
      </c>
      <c r="AC749" s="46">
        <v>53445600</v>
      </c>
      <c r="AD749" s="46">
        <v>421</v>
      </c>
      <c r="AF749" s="47">
        <f t="shared" si="11"/>
        <v>26929600</v>
      </c>
    </row>
    <row r="750" spans="1:32" hidden="1" x14ac:dyDescent="0.3">
      <c r="A750" s="46" t="s">
        <v>614</v>
      </c>
      <c r="B750" s="46" t="str">
        <f>IFERROR(VLOOKUP($H750,매장구분!$B:$Z,2,0),"")</f>
        <v>리테일채널팀</v>
      </c>
      <c r="C750" s="46" t="str">
        <f>IFERROR(VLOOKUP($H750,매장구분!$B:$Z,3,0),"")</f>
        <v>국내</v>
      </c>
      <c r="D750" s="46" t="str">
        <f>IFERROR(VLOOKUP($H750,매장구분!$B:$Z,5,0),"")</f>
        <v>대리점</v>
      </c>
      <c r="E750" s="46" t="str">
        <f>IFERROR(VLOOKUP($H750,매장구분!$B:$Z,9,0),"")</f>
        <v>대전은행(대-위)</v>
      </c>
      <c r="G750" s="46" t="s">
        <v>456</v>
      </c>
      <c r="H750" s="46" t="s">
        <v>457</v>
      </c>
      <c r="I750" s="46" t="s">
        <v>169</v>
      </c>
      <c r="J750" s="46" t="s">
        <v>79</v>
      </c>
      <c r="K750" s="46" t="s">
        <v>170</v>
      </c>
      <c r="L750" s="46" t="s">
        <v>171</v>
      </c>
      <c r="M750" s="46" t="s">
        <v>196</v>
      </c>
      <c r="N750" s="46" t="s">
        <v>197</v>
      </c>
      <c r="O750" s="46">
        <v>20259613</v>
      </c>
      <c r="P750" s="46">
        <v>233</v>
      </c>
      <c r="Q750" s="46">
        <v>0</v>
      </c>
      <c r="R750" s="46">
        <v>0</v>
      </c>
      <c r="S750" s="46">
        <v>0</v>
      </c>
      <c r="T750" s="46">
        <v>0</v>
      </c>
      <c r="U750" s="46">
        <v>739000</v>
      </c>
      <c r="V750" s="46">
        <v>6</v>
      </c>
      <c r="W750" s="46">
        <v>0</v>
      </c>
      <c r="X750" s="46">
        <v>0</v>
      </c>
      <c r="Y750" s="48">
        <v>0</v>
      </c>
      <c r="Z750" s="46">
        <v>0</v>
      </c>
      <c r="AA750" s="46">
        <v>0</v>
      </c>
      <c r="AB750" s="46">
        <v>0</v>
      </c>
      <c r="AC750" s="46">
        <v>20998613</v>
      </c>
      <c r="AD750" s="46">
        <v>239</v>
      </c>
      <c r="AF750" s="47">
        <f t="shared" si="11"/>
        <v>20998613</v>
      </c>
    </row>
    <row r="751" spans="1:32" hidden="1" x14ac:dyDescent="0.3">
      <c r="A751" s="46" t="s">
        <v>614</v>
      </c>
      <c r="B751" s="46" t="str">
        <f>IFERROR(VLOOKUP($H751,매장구분!$B:$Z,2,0),"")</f>
        <v>E-biz</v>
      </c>
      <c r="C751" s="46" t="str">
        <f>IFERROR(VLOOKUP($H751,매장구분!$B:$Z,3,0),"")</f>
        <v>국내</v>
      </c>
      <c r="D751" s="46" t="str">
        <f>IFERROR(VLOOKUP($H751,매장구분!$B:$Z,5,0),"")</f>
        <v>온(제휴몰)</v>
      </c>
      <c r="E751" s="46" t="str">
        <f>IFERROR(VLOOKUP($H751,매장구분!$B:$Z,9,0),"")</f>
        <v>SSG닷컴(제휴몰)</v>
      </c>
      <c r="G751" s="46" t="s">
        <v>498</v>
      </c>
      <c r="H751" s="46" t="s">
        <v>499</v>
      </c>
      <c r="I751" s="46" t="s">
        <v>169</v>
      </c>
      <c r="J751" s="46" t="s">
        <v>180</v>
      </c>
      <c r="K751" s="46" t="s">
        <v>170</v>
      </c>
      <c r="L751" s="46" t="s">
        <v>181</v>
      </c>
      <c r="M751" s="46" t="s">
        <v>181</v>
      </c>
      <c r="N751" s="46" t="s">
        <v>185</v>
      </c>
      <c r="O751" s="46">
        <v>20295100</v>
      </c>
      <c r="P751" s="46">
        <v>208</v>
      </c>
      <c r="Q751" s="46">
        <v>0</v>
      </c>
      <c r="R751" s="46">
        <v>0</v>
      </c>
      <c r="S751" s="46">
        <v>0</v>
      </c>
      <c r="T751" s="46">
        <v>0</v>
      </c>
      <c r="U751" s="46">
        <v>0</v>
      </c>
      <c r="V751" s="46">
        <v>0</v>
      </c>
      <c r="W751" s="46">
        <v>0</v>
      </c>
      <c r="X751" s="46">
        <v>0</v>
      </c>
      <c r="Y751" s="48">
        <v>0</v>
      </c>
      <c r="Z751" s="46">
        <v>0</v>
      </c>
      <c r="AA751" s="46">
        <v>0</v>
      </c>
      <c r="AB751" s="46">
        <v>0</v>
      </c>
      <c r="AC751" s="46">
        <v>20295100</v>
      </c>
      <c r="AD751" s="46">
        <v>208</v>
      </c>
      <c r="AF751" s="47">
        <f t="shared" si="11"/>
        <v>20295100</v>
      </c>
    </row>
    <row r="752" spans="1:32" hidden="1" x14ac:dyDescent="0.3">
      <c r="A752" s="46" t="s">
        <v>614</v>
      </c>
      <c r="B752" s="46" t="str">
        <f>IFERROR(VLOOKUP($H752,매장구분!$B:$Z,2,0),"")</f>
        <v>파트너채널팀</v>
      </c>
      <c r="C752" s="46" t="str">
        <f>IFERROR(VLOOKUP($H752,매장구분!$B:$Z,3,0),"")</f>
        <v>국내</v>
      </c>
      <c r="D752" s="46" t="str">
        <f>IFERROR(VLOOKUP($H752,매장구분!$B:$Z,5,0),"")</f>
        <v>백화점</v>
      </c>
      <c r="E752" s="46" t="str">
        <f>IFERROR(VLOOKUP($H752,매장구분!$B:$Z,9,0),"")</f>
        <v>NC신구로</v>
      </c>
      <c r="G752" s="46" t="s">
        <v>596</v>
      </c>
      <c r="H752" s="46" t="s">
        <v>597</v>
      </c>
      <c r="I752" s="46" t="s">
        <v>169</v>
      </c>
      <c r="J752" s="46" t="s">
        <v>175</v>
      </c>
      <c r="K752" s="46" t="s">
        <v>170</v>
      </c>
      <c r="L752" s="46" t="s">
        <v>171</v>
      </c>
      <c r="M752" s="46" t="s">
        <v>77</v>
      </c>
      <c r="N752" s="46" t="s">
        <v>238</v>
      </c>
      <c r="O752" s="46">
        <v>9334100</v>
      </c>
      <c r="P752" s="46">
        <v>83</v>
      </c>
      <c r="Q752" s="46">
        <v>2047800</v>
      </c>
      <c r="R752" s="46">
        <v>31</v>
      </c>
      <c r="S752" s="46">
        <v>0</v>
      </c>
      <c r="T752" s="46">
        <v>0</v>
      </c>
      <c r="U752" s="46">
        <v>1157100</v>
      </c>
      <c r="V752" s="46">
        <v>5</v>
      </c>
      <c r="W752" s="46">
        <v>0</v>
      </c>
      <c r="X752" s="46">
        <v>0</v>
      </c>
      <c r="Y752" s="48">
        <v>0</v>
      </c>
      <c r="Z752" s="46">
        <v>0</v>
      </c>
      <c r="AA752" s="46">
        <v>0</v>
      </c>
      <c r="AB752" s="46">
        <v>0</v>
      </c>
      <c r="AC752" s="46">
        <v>12539000</v>
      </c>
      <c r="AD752" s="46">
        <v>119</v>
      </c>
      <c r="AF752" s="47">
        <f t="shared" si="11"/>
        <v>12539000</v>
      </c>
    </row>
    <row r="753" spans="1:32" hidden="1" x14ac:dyDescent="0.3">
      <c r="A753" s="46" t="s">
        <v>614</v>
      </c>
      <c r="B753" s="46" t="str">
        <f>IFERROR(VLOOKUP($H753,매장구분!$B:$Z,2,0),"")</f>
        <v>파트너채널팀</v>
      </c>
      <c r="C753" s="46" t="str">
        <f>IFERROR(VLOOKUP($H753,매장구분!$B:$Z,3,0),"")</f>
        <v>면세</v>
      </c>
      <c r="D753" s="46" t="str">
        <f>IFERROR(VLOOKUP($H753,매장구분!$B:$Z,5,0),"")</f>
        <v>면세</v>
      </c>
      <c r="E753" s="46" t="str">
        <f>IFERROR(VLOOKUP($H753,매장구분!$B:$Z,9,0),"")</f>
        <v>신라면세장충</v>
      </c>
      <c r="G753" s="46" t="s">
        <v>299</v>
      </c>
      <c r="H753" s="46" t="s">
        <v>300</v>
      </c>
      <c r="I753" s="46" t="s">
        <v>169</v>
      </c>
      <c r="J753" s="46" t="s">
        <v>175</v>
      </c>
      <c r="K753" s="46" t="s">
        <v>170</v>
      </c>
      <c r="L753" s="46" t="s">
        <v>171</v>
      </c>
      <c r="M753" s="46" t="s">
        <v>176</v>
      </c>
      <c r="N753" s="46" t="s">
        <v>177</v>
      </c>
      <c r="O753" s="46">
        <v>130498000</v>
      </c>
      <c r="P753" s="46">
        <v>955</v>
      </c>
      <c r="Q753" s="46">
        <v>0</v>
      </c>
      <c r="R753" s="46">
        <v>0</v>
      </c>
      <c r="S753" s="46">
        <v>0</v>
      </c>
      <c r="T753" s="46">
        <v>0</v>
      </c>
      <c r="U753" s="46">
        <v>0</v>
      </c>
      <c r="V753" s="46">
        <v>0</v>
      </c>
      <c r="W753" s="46">
        <v>0</v>
      </c>
      <c r="X753" s="46">
        <v>0</v>
      </c>
      <c r="Y753" s="48">
        <v>326782700</v>
      </c>
      <c r="Z753" s="46">
        <v>6872</v>
      </c>
      <c r="AA753" s="46">
        <v>0</v>
      </c>
      <c r="AB753" s="46">
        <v>0</v>
      </c>
      <c r="AC753" s="46">
        <v>457280700</v>
      </c>
      <c r="AD753" s="46">
        <v>7827</v>
      </c>
      <c r="AF753" s="47">
        <f t="shared" si="11"/>
        <v>130498000</v>
      </c>
    </row>
    <row r="754" spans="1:32" hidden="1" x14ac:dyDescent="0.3">
      <c r="A754" s="46" t="s">
        <v>614</v>
      </c>
      <c r="B754" s="46" t="str">
        <f>IFERROR(VLOOKUP($H754,매장구분!$B:$Z,2,0),"")</f>
        <v>파트너채널팀</v>
      </c>
      <c r="C754" s="46" t="str">
        <f>IFERROR(VLOOKUP($H754,매장구분!$B:$Z,3,0),"")</f>
        <v>국내</v>
      </c>
      <c r="D754" s="46" t="str">
        <f>IFERROR(VLOOKUP($H754,매장구분!$B:$Z,5,0),"")</f>
        <v>백화점</v>
      </c>
      <c r="E754" s="46" t="str">
        <f>IFERROR(VLOOKUP($H754,매장구분!$B:$Z,9,0),"")</f>
        <v>신세계영등포</v>
      </c>
      <c r="G754" s="46" t="s">
        <v>416</v>
      </c>
      <c r="H754" s="46" t="s">
        <v>417</v>
      </c>
      <c r="I754" s="46" t="s">
        <v>169</v>
      </c>
      <c r="J754" s="46" t="s">
        <v>175</v>
      </c>
      <c r="K754" s="46" t="s">
        <v>170</v>
      </c>
      <c r="L754" s="46" t="s">
        <v>171</v>
      </c>
      <c r="M754" s="46" t="s">
        <v>77</v>
      </c>
      <c r="N754" s="46" t="s">
        <v>172</v>
      </c>
      <c r="O754" s="46">
        <v>8765100</v>
      </c>
      <c r="P754" s="46">
        <v>90</v>
      </c>
      <c r="Q754" s="46">
        <v>0</v>
      </c>
      <c r="R754" s="46">
        <v>0</v>
      </c>
      <c r="S754" s="46">
        <v>0</v>
      </c>
      <c r="T754" s="46">
        <v>0</v>
      </c>
      <c r="U754" s="46">
        <v>1164000</v>
      </c>
      <c r="V754" s="46">
        <v>6</v>
      </c>
      <c r="W754" s="46">
        <v>0</v>
      </c>
      <c r="X754" s="46">
        <v>0</v>
      </c>
      <c r="Y754" s="48">
        <v>1626000</v>
      </c>
      <c r="Z754" s="46">
        <v>13</v>
      </c>
      <c r="AA754" s="46">
        <v>0</v>
      </c>
      <c r="AB754" s="46">
        <v>0</v>
      </c>
      <c r="AC754" s="46">
        <v>11555100</v>
      </c>
      <c r="AD754" s="46">
        <v>109</v>
      </c>
      <c r="AF754" s="47">
        <f t="shared" si="11"/>
        <v>9929100</v>
      </c>
    </row>
    <row r="755" spans="1:32" hidden="1" x14ac:dyDescent="0.3">
      <c r="A755" s="46" t="s">
        <v>614</v>
      </c>
      <c r="B755" s="46" t="str">
        <f>IFERROR(VLOOKUP($H755,매장구분!$B:$Z,2,0),"")</f>
        <v>E-biz</v>
      </c>
      <c r="C755" s="46" t="str">
        <f>IFERROR(VLOOKUP($H755,매장구분!$B:$Z,3,0),"")</f>
        <v>국내</v>
      </c>
      <c r="D755" s="46" t="str">
        <f>IFERROR(VLOOKUP($H755,매장구분!$B:$Z,5,0),"")</f>
        <v>온(제휴몰)</v>
      </c>
      <c r="E755" s="46" t="str">
        <f>IFERROR(VLOOKUP($H755,매장구분!$B:$Z,9,0),"")</f>
        <v>무신사(제휴몰)</v>
      </c>
      <c r="G755" s="46" t="s">
        <v>183</v>
      </c>
      <c r="H755" s="46" t="s">
        <v>184</v>
      </c>
      <c r="I755" s="46" t="s">
        <v>169</v>
      </c>
      <c r="J755" s="46" t="s">
        <v>180</v>
      </c>
      <c r="K755" s="46" t="s">
        <v>170</v>
      </c>
      <c r="L755" s="46" t="s">
        <v>181</v>
      </c>
      <c r="M755" s="46" t="s">
        <v>181</v>
      </c>
      <c r="N755" s="46" t="s">
        <v>185</v>
      </c>
      <c r="O755" s="46">
        <v>217666600</v>
      </c>
      <c r="P755" s="46">
        <v>2334</v>
      </c>
      <c r="Q755" s="46">
        <v>0</v>
      </c>
      <c r="R755" s="46">
        <v>0</v>
      </c>
      <c r="S755" s="46">
        <v>0</v>
      </c>
      <c r="T755" s="46">
        <v>0</v>
      </c>
      <c r="U755" s="46">
        <v>0</v>
      </c>
      <c r="V755" s="46">
        <v>0</v>
      </c>
      <c r="W755" s="46">
        <v>0</v>
      </c>
      <c r="X755" s="46">
        <v>0</v>
      </c>
      <c r="Y755" s="48">
        <v>0</v>
      </c>
      <c r="Z755" s="46">
        <v>0</v>
      </c>
      <c r="AA755" s="46">
        <v>0</v>
      </c>
      <c r="AB755" s="46">
        <v>0</v>
      </c>
      <c r="AC755" s="46">
        <v>217666600</v>
      </c>
      <c r="AD755" s="46">
        <v>2334</v>
      </c>
      <c r="AF755" s="47">
        <f t="shared" si="11"/>
        <v>217666600</v>
      </c>
    </row>
    <row r="756" spans="1:32" hidden="1" x14ac:dyDescent="0.3">
      <c r="A756" s="46" t="s">
        <v>614</v>
      </c>
      <c r="B756" s="46" t="str">
        <f>IFERROR(VLOOKUP($H756,매장구분!$B:$Z,2,0),"")</f>
        <v>파트너채널팀</v>
      </c>
      <c r="C756" s="46" t="str">
        <f>IFERROR(VLOOKUP($H756,매장구분!$B:$Z,3,0),"")</f>
        <v>국내</v>
      </c>
      <c r="D756" s="46" t="str">
        <f>IFERROR(VLOOKUP($H756,매장구분!$B:$Z,5,0),"")</f>
        <v>백화점</v>
      </c>
      <c r="E756" s="46" t="str">
        <f>IFERROR(VLOOKUP($H756,매장구분!$B:$Z,9,0),"")</f>
        <v>롯데김포</v>
      </c>
      <c r="G756" s="46" t="s">
        <v>190</v>
      </c>
      <c r="H756" s="46" t="s">
        <v>191</v>
      </c>
      <c r="I756" s="46" t="s">
        <v>169</v>
      </c>
      <c r="J756" s="46" t="s">
        <v>175</v>
      </c>
      <c r="K756" s="46" t="s">
        <v>170</v>
      </c>
      <c r="L756" s="46" t="s">
        <v>171</v>
      </c>
      <c r="M756" s="46" t="s">
        <v>77</v>
      </c>
      <c r="N756" s="46" t="s">
        <v>172</v>
      </c>
      <c r="O756" s="46">
        <v>28456010</v>
      </c>
      <c r="P756" s="46">
        <v>290</v>
      </c>
      <c r="Q756" s="46">
        <v>0</v>
      </c>
      <c r="R756" s="46">
        <v>0</v>
      </c>
      <c r="S756" s="46">
        <v>0</v>
      </c>
      <c r="T756" s="46">
        <v>0</v>
      </c>
      <c r="U756" s="46">
        <v>2890000</v>
      </c>
      <c r="V756" s="46">
        <v>14</v>
      </c>
      <c r="W756" s="46">
        <v>0</v>
      </c>
      <c r="X756" s="46">
        <v>0</v>
      </c>
      <c r="Y756" s="48">
        <v>0</v>
      </c>
      <c r="Z756" s="46">
        <v>0</v>
      </c>
      <c r="AA756" s="46">
        <v>0</v>
      </c>
      <c r="AB756" s="46">
        <v>0</v>
      </c>
      <c r="AC756" s="46">
        <v>31346010</v>
      </c>
      <c r="AD756" s="46">
        <v>304</v>
      </c>
      <c r="AF756" s="47">
        <f t="shared" si="11"/>
        <v>31346010</v>
      </c>
    </row>
    <row r="757" spans="1:32" hidden="1" x14ac:dyDescent="0.3">
      <c r="A757" s="46" t="s">
        <v>614</v>
      </c>
      <c r="B757" s="46" t="str">
        <f>IFERROR(VLOOKUP($H757,매장구분!$B:$Z,2,0),"")</f>
        <v>파트너채널팀</v>
      </c>
      <c r="C757" s="46" t="str">
        <f>IFERROR(VLOOKUP($H757,매장구분!$B:$Z,3,0),"")</f>
        <v>국내</v>
      </c>
      <c r="D757" s="46" t="str">
        <f>IFERROR(VLOOKUP($H757,매장구분!$B:$Z,5,0),"")</f>
        <v>백화점</v>
      </c>
      <c r="E757" s="46" t="str">
        <f>IFERROR(VLOOKUP($H757,매장구분!$B:$Z,9,0),"")</f>
        <v>신세계센텀</v>
      </c>
      <c r="G757" s="46" t="s">
        <v>301</v>
      </c>
      <c r="H757" s="46" t="s">
        <v>302</v>
      </c>
      <c r="I757" s="46" t="s">
        <v>169</v>
      </c>
      <c r="J757" s="46" t="s">
        <v>175</v>
      </c>
      <c r="K757" s="46" t="s">
        <v>170</v>
      </c>
      <c r="L757" s="46" t="s">
        <v>171</v>
      </c>
      <c r="M757" s="46" t="s">
        <v>77</v>
      </c>
      <c r="N757" s="46" t="s">
        <v>172</v>
      </c>
      <c r="O757" s="46">
        <v>21903959</v>
      </c>
      <c r="P757" s="46">
        <v>225</v>
      </c>
      <c r="Q757" s="46">
        <v>0</v>
      </c>
      <c r="R757" s="46">
        <v>0</v>
      </c>
      <c r="S757" s="46">
        <v>0</v>
      </c>
      <c r="T757" s="46">
        <v>0</v>
      </c>
      <c r="U757" s="46">
        <v>2699741</v>
      </c>
      <c r="V757" s="46">
        <v>11</v>
      </c>
      <c r="W757" s="46">
        <v>0</v>
      </c>
      <c r="X757" s="46">
        <v>0</v>
      </c>
      <c r="Y757" s="48">
        <v>0</v>
      </c>
      <c r="Z757" s="46">
        <v>0</v>
      </c>
      <c r="AA757" s="46">
        <v>0</v>
      </c>
      <c r="AB757" s="46">
        <v>0</v>
      </c>
      <c r="AC757" s="46">
        <v>24603700</v>
      </c>
      <c r="AD757" s="46">
        <v>236</v>
      </c>
      <c r="AF757" s="47">
        <f t="shared" si="11"/>
        <v>24603700</v>
      </c>
    </row>
    <row r="758" spans="1:32" hidden="1" x14ac:dyDescent="0.3">
      <c r="A758" s="46" t="s">
        <v>614</v>
      </c>
      <c r="B758" s="46" t="str">
        <f>IFERROR(VLOOKUP($H758,매장구분!$B:$Z,2,0),"")</f>
        <v>리테일채널팀</v>
      </c>
      <c r="C758" s="46" t="str">
        <f>IFERROR(VLOOKUP($H758,매장구분!$B:$Z,3,0),"")</f>
        <v>국내</v>
      </c>
      <c r="D758" s="46" t="str">
        <f>IFERROR(VLOOKUP($H758,매장구분!$B:$Z,5,0),"")</f>
        <v>직영점</v>
      </c>
      <c r="E758" s="46" t="str">
        <f>IFERROR(VLOOKUP($H758,매장구분!$B:$Z,9,0),"")</f>
        <v>스타필드고양</v>
      </c>
      <c r="G758" s="46" t="s">
        <v>592</v>
      </c>
      <c r="H758" s="46" t="s">
        <v>593</v>
      </c>
      <c r="I758" s="46" t="s">
        <v>169</v>
      </c>
      <c r="J758" s="46" t="s">
        <v>180</v>
      </c>
      <c r="K758" s="46" t="s">
        <v>170</v>
      </c>
      <c r="L758" s="46" t="s">
        <v>171</v>
      </c>
      <c r="M758" s="46" t="s">
        <v>188</v>
      </c>
      <c r="N758" s="46" t="s">
        <v>189</v>
      </c>
      <c r="O758" s="46">
        <v>30463988</v>
      </c>
      <c r="P758" s="46">
        <v>319</v>
      </c>
      <c r="Q758" s="46">
        <v>0</v>
      </c>
      <c r="R758" s="46">
        <v>0</v>
      </c>
      <c r="S758" s="46">
        <v>0</v>
      </c>
      <c r="T758" s="46">
        <v>0</v>
      </c>
      <c r="U758" s="46">
        <v>2493012</v>
      </c>
      <c r="V758" s="46">
        <v>16</v>
      </c>
      <c r="W758" s="46">
        <v>0</v>
      </c>
      <c r="X758" s="46">
        <v>0</v>
      </c>
      <c r="Y758" s="48">
        <v>0</v>
      </c>
      <c r="Z758" s="46">
        <v>0</v>
      </c>
      <c r="AA758" s="46">
        <v>0</v>
      </c>
      <c r="AB758" s="46">
        <v>0</v>
      </c>
      <c r="AC758" s="46">
        <v>32957000</v>
      </c>
      <c r="AD758" s="46">
        <v>335</v>
      </c>
      <c r="AF758" s="47">
        <f t="shared" si="11"/>
        <v>32957000</v>
      </c>
    </row>
    <row r="759" spans="1:32" hidden="1" x14ac:dyDescent="0.3">
      <c r="A759" s="46" t="s">
        <v>614</v>
      </c>
      <c r="B759" s="46" t="str">
        <f>IFERROR(VLOOKUP($H759,매장구분!$B:$Z,2,0),"")</f>
        <v>파트너채널팀</v>
      </c>
      <c r="C759" s="46" t="str">
        <f>IFERROR(VLOOKUP($H759,매장구분!$B:$Z,3,0),"")</f>
        <v>국내</v>
      </c>
      <c r="D759" s="46" t="str">
        <f>IFERROR(VLOOKUP($H759,매장구분!$B:$Z,5,0),"")</f>
        <v>백화점</v>
      </c>
      <c r="E759" s="46" t="str">
        <f>IFERROR(VLOOKUP($H759,매장구분!$B:$Z,9,0),"")</f>
        <v>신세계마산</v>
      </c>
      <c r="G759" s="46" t="s">
        <v>426</v>
      </c>
      <c r="H759" s="46" t="s">
        <v>427</v>
      </c>
      <c r="I759" s="46" t="s">
        <v>169</v>
      </c>
      <c r="J759" s="46" t="s">
        <v>175</v>
      </c>
      <c r="K759" s="46" t="s">
        <v>170</v>
      </c>
      <c r="L759" s="46" t="s">
        <v>171</v>
      </c>
      <c r="M759" s="46" t="s">
        <v>77</v>
      </c>
      <c r="N759" s="46" t="s">
        <v>172</v>
      </c>
      <c r="O759" s="46">
        <v>13076734</v>
      </c>
      <c r="P759" s="46">
        <v>111</v>
      </c>
      <c r="Q759" s="46">
        <v>0</v>
      </c>
      <c r="R759" s="46">
        <v>0</v>
      </c>
      <c r="S759" s="46">
        <v>0</v>
      </c>
      <c r="T759" s="46">
        <v>0</v>
      </c>
      <c r="U759" s="46">
        <v>2026266</v>
      </c>
      <c r="V759" s="46">
        <v>11</v>
      </c>
      <c r="W759" s="46">
        <v>0</v>
      </c>
      <c r="X759" s="46">
        <v>0</v>
      </c>
      <c r="Y759" s="48">
        <v>0</v>
      </c>
      <c r="Z759" s="46">
        <v>0</v>
      </c>
      <c r="AA759" s="46">
        <v>0</v>
      </c>
      <c r="AB759" s="46">
        <v>0</v>
      </c>
      <c r="AC759" s="46">
        <v>15103000</v>
      </c>
      <c r="AD759" s="46">
        <v>122</v>
      </c>
      <c r="AF759" s="47">
        <f t="shared" si="11"/>
        <v>15103000</v>
      </c>
    </row>
    <row r="760" spans="1:32" hidden="1" x14ac:dyDescent="0.3">
      <c r="A760" s="46" t="s">
        <v>614</v>
      </c>
      <c r="B760" s="46" t="str">
        <f>IFERROR(VLOOKUP($H760,매장구분!$B:$Z,2,0),"")</f>
        <v>리테일채널팀</v>
      </c>
      <c r="C760" s="46" t="str">
        <f>IFERROR(VLOOKUP($H760,매장구분!$B:$Z,3,0),"")</f>
        <v>국내</v>
      </c>
      <c r="D760" s="46" t="str">
        <f>IFERROR(VLOOKUP($H760,매장구분!$B:$Z,5,0),"")</f>
        <v>대리점</v>
      </c>
      <c r="E760" s="46" t="str">
        <f>IFERROR(VLOOKUP($H760,매장구분!$B:$Z,9,0),"")</f>
        <v>안산시화(대-위)</v>
      </c>
      <c r="G760" s="46" t="s">
        <v>291</v>
      </c>
      <c r="H760" s="46" t="s">
        <v>292</v>
      </c>
      <c r="I760" s="46" t="s">
        <v>169</v>
      </c>
      <c r="J760" s="46" t="s">
        <v>79</v>
      </c>
      <c r="K760" s="46" t="s">
        <v>170</v>
      </c>
      <c r="L760" s="46" t="s">
        <v>171</v>
      </c>
      <c r="M760" s="46" t="s">
        <v>196</v>
      </c>
      <c r="N760" s="46" t="s">
        <v>197</v>
      </c>
      <c r="O760" s="46">
        <v>28406256</v>
      </c>
      <c r="P760" s="46">
        <v>208</v>
      </c>
      <c r="Q760" s="46">
        <v>0</v>
      </c>
      <c r="R760" s="46">
        <v>0</v>
      </c>
      <c r="S760" s="46">
        <v>0</v>
      </c>
      <c r="T760" s="46">
        <v>0</v>
      </c>
      <c r="U760" s="46">
        <v>2084586</v>
      </c>
      <c r="V760" s="46">
        <v>13</v>
      </c>
      <c r="W760" s="46">
        <v>0</v>
      </c>
      <c r="X760" s="46">
        <v>0</v>
      </c>
      <c r="Y760" s="48">
        <v>0</v>
      </c>
      <c r="Z760" s="46">
        <v>0</v>
      </c>
      <c r="AA760" s="46">
        <v>0</v>
      </c>
      <c r="AB760" s="46">
        <v>0</v>
      </c>
      <c r="AC760" s="46">
        <v>30490842</v>
      </c>
      <c r="AD760" s="46">
        <v>221</v>
      </c>
      <c r="AF760" s="47">
        <f t="shared" si="11"/>
        <v>30490842</v>
      </c>
    </row>
    <row r="761" spans="1:32" hidden="1" x14ac:dyDescent="0.3">
      <c r="A761" s="46" t="s">
        <v>614</v>
      </c>
      <c r="B761" s="46" t="str">
        <f>IFERROR(VLOOKUP($H761,매장구분!$B:$Z,2,0),"")</f>
        <v>리테일채널팀</v>
      </c>
      <c r="C761" s="46" t="str">
        <f>IFERROR(VLOOKUP($H761,매장구분!$B:$Z,3,0),"")</f>
        <v>국내</v>
      </c>
      <c r="D761" s="46" t="str">
        <f>IFERROR(VLOOKUP($H761,매장구분!$B:$Z,5,0),"")</f>
        <v>대리점</v>
      </c>
      <c r="E761" s="46" t="str">
        <f>IFERROR(VLOOKUP($H761,매장구분!$B:$Z,9,0),"")</f>
        <v>서산(대-위)</v>
      </c>
      <c r="G761" s="46" t="s">
        <v>336</v>
      </c>
      <c r="H761" s="46" t="s">
        <v>337</v>
      </c>
      <c r="I761" s="46" t="s">
        <v>169</v>
      </c>
      <c r="J761" s="46" t="s">
        <v>79</v>
      </c>
      <c r="K761" s="46" t="s">
        <v>170</v>
      </c>
      <c r="L761" s="46" t="s">
        <v>171</v>
      </c>
      <c r="M761" s="46" t="s">
        <v>196</v>
      </c>
      <c r="N761" s="46" t="s">
        <v>197</v>
      </c>
      <c r="O761" s="46">
        <v>13209000</v>
      </c>
      <c r="P761" s="46">
        <v>109</v>
      </c>
      <c r="Q761" s="46">
        <v>0</v>
      </c>
      <c r="R761" s="46">
        <v>0</v>
      </c>
      <c r="S761" s="46">
        <v>0</v>
      </c>
      <c r="T761" s="46">
        <v>0</v>
      </c>
      <c r="U761" s="46">
        <v>476000</v>
      </c>
      <c r="V761" s="46">
        <v>4</v>
      </c>
      <c r="W761" s="46">
        <v>0</v>
      </c>
      <c r="X761" s="46">
        <v>0</v>
      </c>
      <c r="Y761" s="48">
        <v>0</v>
      </c>
      <c r="Z761" s="46">
        <v>0</v>
      </c>
      <c r="AA761" s="46">
        <v>0</v>
      </c>
      <c r="AB761" s="46">
        <v>0</v>
      </c>
      <c r="AC761" s="46">
        <v>13685000</v>
      </c>
      <c r="AD761" s="46">
        <v>113</v>
      </c>
      <c r="AF761" s="47">
        <f t="shared" si="11"/>
        <v>13685000</v>
      </c>
    </row>
    <row r="762" spans="1:32" hidden="1" x14ac:dyDescent="0.3">
      <c r="A762" s="46" t="s">
        <v>614</v>
      </c>
      <c r="B762" s="46" t="str">
        <f>IFERROR(VLOOKUP($H762,매장구분!$B:$Z,2,0),"")</f>
        <v>파트너채널팀</v>
      </c>
      <c r="C762" s="46" t="str">
        <f>IFERROR(VLOOKUP($H762,매장구분!$B:$Z,3,0),"")</f>
        <v>국내</v>
      </c>
      <c r="D762" s="46" t="str">
        <f>IFERROR(VLOOKUP($H762,매장구분!$B:$Z,5,0),"")</f>
        <v>백화점</v>
      </c>
      <c r="E762" s="46" t="str">
        <f>IFERROR(VLOOKUP($H762,매장구분!$B:$Z,9,0),"")</f>
        <v>현대신촌</v>
      </c>
      <c r="G762" s="46" t="s">
        <v>297</v>
      </c>
      <c r="H762" s="46" t="s">
        <v>298</v>
      </c>
      <c r="I762" s="46" t="s">
        <v>169</v>
      </c>
      <c r="J762" s="46" t="s">
        <v>175</v>
      </c>
      <c r="K762" s="46" t="s">
        <v>170</v>
      </c>
      <c r="L762" s="46" t="s">
        <v>171</v>
      </c>
      <c r="M762" s="46" t="s">
        <v>77</v>
      </c>
      <c r="N762" s="46" t="s">
        <v>172</v>
      </c>
      <c r="O762" s="46">
        <v>8763000</v>
      </c>
      <c r="P762" s="46">
        <v>109</v>
      </c>
      <c r="Q762" s="46">
        <v>399000</v>
      </c>
      <c r="R762" s="46">
        <v>11</v>
      </c>
      <c r="S762" s="46">
        <v>0</v>
      </c>
      <c r="T762" s="46">
        <v>0</v>
      </c>
      <c r="U762" s="46">
        <v>932000</v>
      </c>
      <c r="V762" s="46">
        <v>8</v>
      </c>
      <c r="W762" s="46">
        <v>0</v>
      </c>
      <c r="X762" s="46">
        <v>0</v>
      </c>
      <c r="Y762" s="48">
        <v>14260800</v>
      </c>
      <c r="Z762" s="46">
        <v>82</v>
      </c>
      <c r="AA762" s="46">
        <v>0</v>
      </c>
      <c r="AB762" s="46">
        <v>0</v>
      </c>
      <c r="AC762" s="46">
        <v>24354800</v>
      </c>
      <c r="AD762" s="46">
        <v>210</v>
      </c>
      <c r="AF762" s="47">
        <f t="shared" si="11"/>
        <v>10094000</v>
      </c>
    </row>
    <row r="763" spans="1:32" hidden="1" x14ac:dyDescent="0.3">
      <c r="A763" s="46" t="s">
        <v>614</v>
      </c>
      <c r="B763" s="46" t="str">
        <f>IFERROR(VLOOKUP($H763,매장구분!$B:$Z,2,0),"")</f>
        <v>리테일채널팀</v>
      </c>
      <c r="C763" s="46" t="str">
        <f>IFERROR(VLOOKUP($H763,매장구분!$B:$Z,3,0),"")</f>
        <v>국내</v>
      </c>
      <c r="D763" s="46" t="str">
        <f>IFERROR(VLOOKUP($H763,매장구분!$B:$Z,5,0),"")</f>
        <v>직영점</v>
      </c>
      <c r="E763" s="46" t="str">
        <f>IFERROR(VLOOKUP($H763,매장구분!$B:$Z,9,0),"")</f>
        <v>타임테라스동탄(직)</v>
      </c>
      <c r="G763" s="46" t="s">
        <v>408</v>
      </c>
      <c r="H763" s="46" t="s">
        <v>409</v>
      </c>
      <c r="I763" s="46" t="s">
        <v>169</v>
      </c>
      <c r="J763" s="46" t="s">
        <v>180</v>
      </c>
      <c r="K763" s="46" t="s">
        <v>170</v>
      </c>
      <c r="L763" s="46" t="s">
        <v>171</v>
      </c>
      <c r="M763" s="46" t="s">
        <v>188</v>
      </c>
      <c r="N763" s="46" t="s">
        <v>317</v>
      </c>
      <c r="O763" s="46">
        <v>8259300</v>
      </c>
      <c r="P763" s="46">
        <v>83</v>
      </c>
      <c r="Q763" s="46">
        <v>0</v>
      </c>
      <c r="R763" s="46">
        <v>0</v>
      </c>
      <c r="S763" s="46">
        <v>0</v>
      </c>
      <c r="T763" s="46">
        <v>0</v>
      </c>
      <c r="U763" s="46">
        <v>762200</v>
      </c>
      <c r="V763" s="46">
        <v>9</v>
      </c>
      <c r="W763" s="46">
        <v>0</v>
      </c>
      <c r="X763" s="46">
        <v>0</v>
      </c>
      <c r="Y763" s="48">
        <v>0</v>
      </c>
      <c r="Z763" s="46">
        <v>0</v>
      </c>
      <c r="AA763" s="46">
        <v>0</v>
      </c>
      <c r="AB763" s="46">
        <v>0</v>
      </c>
      <c r="AC763" s="46">
        <v>9021500</v>
      </c>
      <c r="AD763" s="46">
        <v>92</v>
      </c>
      <c r="AF763" s="47">
        <f t="shared" si="11"/>
        <v>9021500</v>
      </c>
    </row>
    <row r="764" spans="1:32" hidden="1" x14ac:dyDescent="0.3">
      <c r="A764" s="46" t="s">
        <v>614</v>
      </c>
      <c r="B764" s="46" t="str">
        <f>IFERROR(VLOOKUP($H764,매장구분!$B:$Z,2,0),"")</f>
        <v>리테일채널팀</v>
      </c>
      <c r="C764" s="46" t="str">
        <f>IFERROR(VLOOKUP($H764,매장구분!$B:$Z,3,0),"")</f>
        <v>국내</v>
      </c>
      <c r="D764" s="46" t="str">
        <f>IFERROR(VLOOKUP($H764,매장구분!$B:$Z,5,0),"")</f>
        <v>대리점</v>
      </c>
      <c r="E764" s="46" t="str">
        <f>IFERROR(VLOOKUP($H764,매장구분!$B:$Z,9,0),"")</f>
        <v>춘천(대-위)</v>
      </c>
      <c r="G764" s="46" t="s">
        <v>320</v>
      </c>
      <c r="H764" s="46" t="s">
        <v>321</v>
      </c>
      <c r="I764" s="46" t="s">
        <v>169</v>
      </c>
      <c r="J764" s="46" t="s">
        <v>79</v>
      </c>
      <c r="K764" s="46" t="s">
        <v>170</v>
      </c>
      <c r="L764" s="46" t="s">
        <v>171</v>
      </c>
      <c r="M764" s="46" t="s">
        <v>196</v>
      </c>
      <c r="N764" s="46" t="s">
        <v>197</v>
      </c>
      <c r="O764" s="46">
        <v>18855578</v>
      </c>
      <c r="P764" s="46">
        <v>207</v>
      </c>
      <c r="Q764" s="46">
        <v>0</v>
      </c>
      <c r="R764" s="46">
        <v>0</v>
      </c>
      <c r="S764" s="46">
        <v>0</v>
      </c>
      <c r="T764" s="46">
        <v>0</v>
      </c>
      <c r="U764" s="46">
        <v>1026363</v>
      </c>
      <c r="V764" s="46">
        <v>6</v>
      </c>
      <c r="W764" s="46">
        <v>0</v>
      </c>
      <c r="X764" s="46">
        <v>0</v>
      </c>
      <c r="Y764" s="48">
        <v>0</v>
      </c>
      <c r="Z764" s="46">
        <v>0</v>
      </c>
      <c r="AA764" s="46">
        <v>0</v>
      </c>
      <c r="AB764" s="46">
        <v>0</v>
      </c>
      <c r="AC764" s="46">
        <v>19881941</v>
      </c>
      <c r="AD764" s="46">
        <v>213</v>
      </c>
      <c r="AF764" s="47">
        <f t="shared" si="11"/>
        <v>19881941</v>
      </c>
    </row>
    <row r="765" spans="1:32" hidden="1" x14ac:dyDescent="0.3">
      <c r="A765" s="46" t="s">
        <v>614</v>
      </c>
      <c r="B765" s="46" t="str">
        <f>IFERROR(VLOOKUP($H765,매장구분!$B:$Z,2,0),"")</f>
        <v>파트너채널팀</v>
      </c>
      <c r="C765" s="46" t="str">
        <f>IFERROR(VLOOKUP($H765,매장구분!$B:$Z,3,0),"")</f>
        <v>국내</v>
      </c>
      <c r="D765" s="46" t="str">
        <f>IFERROR(VLOOKUP($H765,매장구분!$B:$Z,5,0),"")</f>
        <v>백화점</v>
      </c>
      <c r="E765" s="46" t="str">
        <f>IFERROR(VLOOKUP($H765,매장구분!$B:$Z,9,0),"")</f>
        <v>롯데분당</v>
      </c>
      <c r="G765" s="46" t="s">
        <v>470</v>
      </c>
      <c r="H765" s="46" t="s">
        <v>471</v>
      </c>
      <c r="I765" s="46" t="s">
        <v>169</v>
      </c>
      <c r="J765" s="46" t="s">
        <v>175</v>
      </c>
      <c r="K765" s="46" t="s">
        <v>170</v>
      </c>
      <c r="L765" s="46" t="s">
        <v>171</v>
      </c>
      <c r="M765" s="46" t="s">
        <v>77</v>
      </c>
      <c r="N765" s="46" t="s">
        <v>172</v>
      </c>
      <c r="O765" s="46">
        <v>4940900</v>
      </c>
      <c r="P765" s="46">
        <v>62</v>
      </c>
      <c r="Q765" s="46">
        <v>1442000</v>
      </c>
      <c r="R765" s="46">
        <v>24</v>
      </c>
      <c r="S765" s="46">
        <v>0</v>
      </c>
      <c r="T765" s="46">
        <v>0</v>
      </c>
      <c r="U765" s="46">
        <v>631100</v>
      </c>
      <c r="V765" s="46">
        <v>8</v>
      </c>
      <c r="W765" s="46">
        <v>0</v>
      </c>
      <c r="X765" s="46">
        <v>0</v>
      </c>
      <c r="Y765" s="48">
        <v>0</v>
      </c>
      <c r="Z765" s="46">
        <v>0</v>
      </c>
      <c r="AA765" s="46">
        <v>-33000</v>
      </c>
      <c r="AB765" s="46">
        <v>-1</v>
      </c>
      <c r="AC765" s="46">
        <v>6981000</v>
      </c>
      <c r="AD765" s="46">
        <v>93</v>
      </c>
      <c r="AF765" s="47">
        <f t="shared" si="11"/>
        <v>6981000</v>
      </c>
    </row>
    <row r="766" spans="1:32" hidden="1" x14ac:dyDescent="0.3">
      <c r="A766" s="46" t="s">
        <v>614</v>
      </c>
      <c r="B766" s="46" t="str">
        <f>IFERROR(VLOOKUP($H766,매장구분!$B:$Z,2,0),"")</f>
        <v>리테일채널팀</v>
      </c>
      <c r="C766" s="46" t="str">
        <f>IFERROR(VLOOKUP($H766,매장구분!$B:$Z,3,0),"")</f>
        <v>국내</v>
      </c>
      <c r="D766" s="46" t="str">
        <f>IFERROR(VLOOKUP($H766,매장구분!$B:$Z,5,0),"")</f>
        <v>대리점</v>
      </c>
      <c r="E766" s="46" t="str">
        <f>IFERROR(VLOOKUP($H766,매장구분!$B:$Z,9,0),"")</f>
        <v>남원(대-위)</v>
      </c>
      <c r="G766" s="46" t="s">
        <v>410</v>
      </c>
      <c r="H766" s="46" t="s">
        <v>411</v>
      </c>
      <c r="I766" s="46" t="s">
        <v>169</v>
      </c>
      <c r="J766" s="46" t="s">
        <v>79</v>
      </c>
      <c r="K766" s="46" t="s">
        <v>170</v>
      </c>
      <c r="L766" s="46" t="s">
        <v>171</v>
      </c>
      <c r="M766" s="46" t="s">
        <v>196</v>
      </c>
      <c r="N766" s="46" t="s">
        <v>197</v>
      </c>
      <c r="O766" s="46">
        <v>8846819</v>
      </c>
      <c r="P766" s="46">
        <v>70</v>
      </c>
      <c r="Q766" s="46">
        <v>0</v>
      </c>
      <c r="R766" s="46">
        <v>0</v>
      </c>
      <c r="S766" s="46">
        <v>0</v>
      </c>
      <c r="T766" s="46">
        <v>0</v>
      </c>
      <c r="U766" s="46">
        <v>1342000</v>
      </c>
      <c r="V766" s="46">
        <v>8</v>
      </c>
      <c r="W766" s="46">
        <v>0</v>
      </c>
      <c r="X766" s="46">
        <v>0</v>
      </c>
      <c r="Y766" s="48">
        <v>0</v>
      </c>
      <c r="Z766" s="46">
        <v>0</v>
      </c>
      <c r="AA766" s="46">
        <v>0</v>
      </c>
      <c r="AB766" s="46">
        <v>0</v>
      </c>
      <c r="AC766" s="46">
        <v>10188819</v>
      </c>
      <c r="AD766" s="46">
        <v>78</v>
      </c>
      <c r="AF766" s="47">
        <f t="shared" si="11"/>
        <v>10188819</v>
      </c>
    </row>
    <row r="767" spans="1:32" hidden="1" x14ac:dyDescent="0.3">
      <c r="A767" s="46" t="s">
        <v>614</v>
      </c>
      <c r="B767" s="46" t="str">
        <f>IFERROR(VLOOKUP($H767,매장구분!$B:$Z,2,0),"")</f>
        <v>E-biz</v>
      </c>
      <c r="C767" s="46" t="str">
        <f>IFERROR(VLOOKUP($H767,매장구분!$B:$Z,3,0),"")</f>
        <v>국내</v>
      </c>
      <c r="D767" s="46" t="str">
        <f>IFERROR(VLOOKUP($H767,매장구분!$B:$Z,5,0),"")</f>
        <v>온(제휴몰)</v>
      </c>
      <c r="E767" s="46" t="str">
        <f>IFERROR(VLOOKUP($H767,매장구분!$B:$Z,9,0),"")</f>
        <v>CJ온스타일(제휴몰)</v>
      </c>
      <c r="G767" s="46" t="s">
        <v>279</v>
      </c>
      <c r="H767" s="46" t="s">
        <v>280</v>
      </c>
      <c r="I767" s="46" t="s">
        <v>169</v>
      </c>
      <c r="J767" s="46" t="s">
        <v>180</v>
      </c>
      <c r="K767" s="46" t="s">
        <v>170</v>
      </c>
      <c r="L767" s="46" t="s">
        <v>181</v>
      </c>
      <c r="M767" s="46" t="s">
        <v>181</v>
      </c>
      <c r="N767" s="46" t="s">
        <v>185</v>
      </c>
      <c r="O767" s="46">
        <v>3155500</v>
      </c>
      <c r="P767" s="46">
        <v>41</v>
      </c>
      <c r="Q767" s="46">
        <v>0</v>
      </c>
      <c r="R767" s="46">
        <v>0</v>
      </c>
      <c r="S767" s="46">
        <v>0</v>
      </c>
      <c r="T767" s="46">
        <v>0</v>
      </c>
      <c r="U767" s="46">
        <v>0</v>
      </c>
      <c r="V767" s="46">
        <v>0</v>
      </c>
      <c r="W767" s="46">
        <v>0</v>
      </c>
      <c r="X767" s="46">
        <v>0</v>
      </c>
      <c r="Y767" s="48">
        <v>0</v>
      </c>
      <c r="Z767" s="46">
        <v>0</v>
      </c>
      <c r="AA767" s="46">
        <v>0</v>
      </c>
      <c r="AB767" s="46">
        <v>0</v>
      </c>
      <c r="AC767" s="46">
        <v>3155500</v>
      </c>
      <c r="AD767" s="46">
        <v>41</v>
      </c>
      <c r="AF767" s="47">
        <f t="shared" si="11"/>
        <v>3155500</v>
      </c>
    </row>
    <row r="768" spans="1:32" hidden="1" x14ac:dyDescent="0.3">
      <c r="A768" s="46" t="s">
        <v>614</v>
      </c>
      <c r="B768" s="46" t="str">
        <f>IFERROR(VLOOKUP($H768,매장구분!$B:$Z,2,0),"")</f>
        <v>파트너채널팀</v>
      </c>
      <c r="C768" s="46" t="str">
        <f>IFERROR(VLOOKUP($H768,매장구분!$B:$Z,3,0),"")</f>
        <v>국내</v>
      </c>
      <c r="D768" s="46" t="str">
        <f>IFERROR(VLOOKUP($H768,매장구분!$B:$Z,5,0),"")</f>
        <v>백화점</v>
      </c>
      <c r="E768" s="46" t="str">
        <f>IFERROR(VLOOKUP($H768,매장구분!$B:$Z,9,0),"")</f>
        <v>현대울산동구</v>
      </c>
      <c r="G768" s="46" t="s">
        <v>480</v>
      </c>
      <c r="H768" s="46" t="s">
        <v>481</v>
      </c>
      <c r="I768" s="46" t="s">
        <v>169</v>
      </c>
      <c r="J768" s="46" t="s">
        <v>175</v>
      </c>
      <c r="K768" s="46" t="s">
        <v>170</v>
      </c>
      <c r="L768" s="46" t="s">
        <v>171</v>
      </c>
      <c r="M768" s="46" t="s">
        <v>77</v>
      </c>
      <c r="N768" s="46" t="s">
        <v>172</v>
      </c>
      <c r="O768" s="46">
        <v>9696100</v>
      </c>
      <c r="P768" s="46">
        <v>99</v>
      </c>
      <c r="Q768" s="46">
        <v>0</v>
      </c>
      <c r="R768" s="46">
        <v>0</v>
      </c>
      <c r="S768" s="46">
        <v>0</v>
      </c>
      <c r="T768" s="46">
        <v>0</v>
      </c>
      <c r="U768" s="46">
        <v>1322000</v>
      </c>
      <c r="V768" s="46">
        <v>8</v>
      </c>
      <c r="W768" s="46">
        <v>0</v>
      </c>
      <c r="X768" s="46">
        <v>0</v>
      </c>
      <c r="Y768" s="48">
        <v>6789000</v>
      </c>
      <c r="Z768" s="46">
        <v>51</v>
      </c>
      <c r="AA768" s="46">
        <v>0</v>
      </c>
      <c r="AB768" s="46">
        <v>0</v>
      </c>
      <c r="AC768" s="46">
        <v>17807100</v>
      </c>
      <c r="AD768" s="46">
        <v>158</v>
      </c>
      <c r="AF768" s="47">
        <f t="shared" si="11"/>
        <v>11018100</v>
      </c>
    </row>
    <row r="769" spans="1:32" hidden="1" x14ac:dyDescent="0.3">
      <c r="A769" s="46" t="s">
        <v>614</v>
      </c>
      <c r="B769" s="46" t="str">
        <f>IFERROR(VLOOKUP($H769,매장구분!$B:$Z,2,0),"")</f>
        <v>리테일채널팀</v>
      </c>
      <c r="C769" s="46" t="str">
        <f>IFERROR(VLOOKUP($H769,매장구분!$B:$Z,3,0),"")</f>
        <v>국내</v>
      </c>
      <c r="D769" s="46" t="str">
        <f>IFERROR(VLOOKUP($H769,매장구분!$B:$Z,5,0),"")</f>
        <v>대리점</v>
      </c>
      <c r="E769" s="46" t="str">
        <f>IFERROR(VLOOKUP($H769,매장구분!$B:$Z,9,0),"")</f>
        <v>김포장기(대-위)</v>
      </c>
      <c r="G769" s="46" t="s">
        <v>400</v>
      </c>
      <c r="H769" s="46" t="s">
        <v>401</v>
      </c>
      <c r="I769" s="46" t="s">
        <v>169</v>
      </c>
      <c r="J769" s="46" t="s">
        <v>79</v>
      </c>
      <c r="K769" s="46" t="s">
        <v>170</v>
      </c>
      <c r="L769" s="46" t="s">
        <v>171</v>
      </c>
      <c r="M769" s="46" t="s">
        <v>196</v>
      </c>
      <c r="N769" s="46" t="s">
        <v>197</v>
      </c>
      <c r="O769" s="46">
        <v>17779400</v>
      </c>
      <c r="P769" s="46">
        <v>141</v>
      </c>
      <c r="Q769" s="46">
        <v>0</v>
      </c>
      <c r="R769" s="46">
        <v>0</v>
      </c>
      <c r="S769" s="46">
        <v>0</v>
      </c>
      <c r="T769" s="46">
        <v>0</v>
      </c>
      <c r="U769" s="46">
        <v>1074000</v>
      </c>
      <c r="V769" s="46">
        <v>7</v>
      </c>
      <c r="W769" s="46">
        <v>0</v>
      </c>
      <c r="X769" s="46">
        <v>0</v>
      </c>
      <c r="Y769" s="48">
        <v>0</v>
      </c>
      <c r="Z769" s="46">
        <v>0</v>
      </c>
      <c r="AA769" s="46">
        <v>0</v>
      </c>
      <c r="AB769" s="46">
        <v>0</v>
      </c>
      <c r="AC769" s="46">
        <v>18853400</v>
      </c>
      <c r="AD769" s="46">
        <v>148</v>
      </c>
      <c r="AF769" s="47">
        <f t="shared" si="11"/>
        <v>18853400</v>
      </c>
    </row>
    <row r="770" spans="1:32" hidden="1" x14ac:dyDescent="0.3">
      <c r="A770" s="46" t="s">
        <v>614</v>
      </c>
      <c r="B770" s="46" t="str">
        <f>IFERROR(VLOOKUP($H770,매장구분!$B:$Z,2,0),"")</f>
        <v>리테일채널팀</v>
      </c>
      <c r="C770" s="46" t="str">
        <f>IFERROR(VLOOKUP($H770,매장구분!$B:$Z,3,0),"")</f>
        <v>국내</v>
      </c>
      <c r="D770" s="46" t="str">
        <f>IFERROR(VLOOKUP($H770,매장구분!$B:$Z,5,0),"")</f>
        <v>대리점</v>
      </c>
      <c r="E770" s="46" t="str">
        <f>IFERROR(VLOOKUP($H770,매장구분!$B:$Z,9,0),"")</f>
        <v>울산무거(대-위)</v>
      </c>
      <c r="G770" s="46" t="s">
        <v>241</v>
      </c>
      <c r="H770" s="46" t="s">
        <v>242</v>
      </c>
      <c r="I770" s="46" t="s">
        <v>169</v>
      </c>
      <c r="J770" s="46" t="s">
        <v>79</v>
      </c>
      <c r="K770" s="46" t="s">
        <v>170</v>
      </c>
      <c r="L770" s="46" t="s">
        <v>171</v>
      </c>
      <c r="M770" s="46" t="s">
        <v>196</v>
      </c>
      <c r="N770" s="46" t="s">
        <v>197</v>
      </c>
      <c r="O770" s="46">
        <v>3663699</v>
      </c>
      <c r="P770" s="46">
        <v>36</v>
      </c>
      <c r="Q770" s="46">
        <v>0</v>
      </c>
      <c r="R770" s="46">
        <v>0</v>
      </c>
      <c r="S770" s="46">
        <v>0</v>
      </c>
      <c r="T770" s="46">
        <v>0</v>
      </c>
      <c r="U770" s="46">
        <v>4649501</v>
      </c>
      <c r="V770" s="46">
        <v>29</v>
      </c>
      <c r="W770" s="46">
        <v>0</v>
      </c>
      <c r="X770" s="46">
        <v>0</v>
      </c>
      <c r="Y770" s="48">
        <v>0</v>
      </c>
      <c r="Z770" s="46">
        <v>0</v>
      </c>
      <c r="AA770" s="46">
        <v>0</v>
      </c>
      <c r="AB770" s="46">
        <v>0</v>
      </c>
      <c r="AC770" s="46">
        <v>8313200</v>
      </c>
      <c r="AD770" s="46">
        <v>65</v>
      </c>
      <c r="AF770" s="47">
        <f t="shared" si="11"/>
        <v>8313200</v>
      </c>
    </row>
    <row r="771" spans="1:32" hidden="1" x14ac:dyDescent="0.3">
      <c r="A771" s="46" t="s">
        <v>614</v>
      </c>
      <c r="B771" s="46" t="str">
        <f>IFERROR(VLOOKUP($H771,매장구분!$B:$Z,2,0),"")</f>
        <v>리테일채널팀</v>
      </c>
      <c r="C771" s="46" t="str">
        <f>IFERROR(VLOOKUP($H771,매장구분!$B:$Z,3,0),"")</f>
        <v>국내</v>
      </c>
      <c r="D771" s="46" t="str">
        <f>IFERROR(VLOOKUP($H771,매장구분!$B:$Z,5,0),"")</f>
        <v>대리점</v>
      </c>
      <c r="E771" s="46" t="str">
        <f>IFERROR(VLOOKUP($H771,매장구분!$B:$Z,9,0),"")</f>
        <v>안성(대-위)</v>
      </c>
      <c r="G771" s="46" t="s">
        <v>309</v>
      </c>
      <c r="H771" s="46" t="s">
        <v>310</v>
      </c>
      <c r="I771" s="46" t="s">
        <v>169</v>
      </c>
      <c r="J771" s="46" t="s">
        <v>79</v>
      </c>
      <c r="K771" s="46" t="s">
        <v>170</v>
      </c>
      <c r="L771" s="46" t="s">
        <v>171</v>
      </c>
      <c r="M771" s="46" t="s">
        <v>196</v>
      </c>
      <c r="N771" s="46" t="s">
        <v>197</v>
      </c>
      <c r="O771" s="46">
        <v>31918000</v>
      </c>
      <c r="P771" s="46">
        <v>309</v>
      </c>
      <c r="Q771" s="46">
        <v>0</v>
      </c>
      <c r="R771" s="46">
        <v>0</v>
      </c>
      <c r="S771" s="46">
        <v>0</v>
      </c>
      <c r="T771" s="46">
        <v>0</v>
      </c>
      <c r="U771" s="46">
        <v>846000</v>
      </c>
      <c r="V771" s="46">
        <v>4</v>
      </c>
      <c r="W771" s="46">
        <v>0</v>
      </c>
      <c r="X771" s="46">
        <v>0</v>
      </c>
      <c r="Y771" s="48">
        <v>0</v>
      </c>
      <c r="Z771" s="46">
        <v>0</v>
      </c>
      <c r="AA771" s="46">
        <v>0</v>
      </c>
      <c r="AB771" s="46">
        <v>0</v>
      </c>
      <c r="AC771" s="46">
        <v>32764000</v>
      </c>
      <c r="AD771" s="46">
        <v>313</v>
      </c>
      <c r="AF771" s="47">
        <f t="shared" ref="AF771:AF834" si="12">IFERROR(AC771-Y771,"")</f>
        <v>32764000</v>
      </c>
    </row>
    <row r="772" spans="1:32" hidden="1" x14ac:dyDescent="0.3">
      <c r="A772" s="46" t="s">
        <v>614</v>
      </c>
      <c r="B772" s="46" t="str">
        <f>IFERROR(VLOOKUP($H772,매장구분!$B:$Z,2,0),"")</f>
        <v>파트너채널팀</v>
      </c>
      <c r="C772" s="46" t="str">
        <f>IFERROR(VLOOKUP($H772,매장구분!$B:$Z,3,0),"")</f>
        <v>국내</v>
      </c>
      <c r="D772" s="46" t="str">
        <f>IFERROR(VLOOKUP($H772,매장구분!$B:$Z,5,0),"")</f>
        <v>백화점</v>
      </c>
      <c r="E772" s="46" t="str">
        <f>IFERROR(VLOOKUP($H772,매장구분!$B:$Z,9,0),"")</f>
        <v>롯데창원</v>
      </c>
      <c r="G772" s="46" t="s">
        <v>548</v>
      </c>
      <c r="H772" s="46" t="s">
        <v>549</v>
      </c>
      <c r="I772" s="46" t="s">
        <v>169</v>
      </c>
      <c r="J772" s="46" t="s">
        <v>175</v>
      </c>
      <c r="K772" s="46" t="s">
        <v>170</v>
      </c>
      <c r="L772" s="46" t="s">
        <v>171</v>
      </c>
      <c r="M772" s="46" t="s">
        <v>77</v>
      </c>
      <c r="N772" s="46" t="s">
        <v>172</v>
      </c>
      <c r="O772" s="46">
        <v>25642600</v>
      </c>
      <c r="P772" s="46">
        <v>223</v>
      </c>
      <c r="Q772" s="46">
        <v>0</v>
      </c>
      <c r="R772" s="46">
        <v>0</v>
      </c>
      <c r="S772" s="46">
        <v>0</v>
      </c>
      <c r="T772" s="46">
        <v>0</v>
      </c>
      <c r="U772" s="46">
        <v>1207800</v>
      </c>
      <c r="V772" s="46">
        <v>10</v>
      </c>
      <c r="W772" s="46">
        <v>0</v>
      </c>
      <c r="X772" s="46">
        <v>0</v>
      </c>
      <c r="Y772" s="48">
        <v>0</v>
      </c>
      <c r="Z772" s="46">
        <v>0</v>
      </c>
      <c r="AA772" s="46">
        <v>0</v>
      </c>
      <c r="AB772" s="46">
        <v>0</v>
      </c>
      <c r="AC772" s="46">
        <v>26850400</v>
      </c>
      <c r="AD772" s="46">
        <v>233</v>
      </c>
      <c r="AF772" s="47">
        <f t="shared" si="12"/>
        <v>26850400</v>
      </c>
    </row>
    <row r="773" spans="1:32" hidden="1" x14ac:dyDescent="0.3">
      <c r="A773" s="46" t="s">
        <v>614</v>
      </c>
      <c r="B773" s="46" t="str">
        <f>IFERROR(VLOOKUP($H773,매장구분!$B:$Z,2,0),"")</f>
        <v>파트너채널팀</v>
      </c>
      <c r="C773" s="46" t="str">
        <f>IFERROR(VLOOKUP($H773,매장구분!$B:$Z,3,0),"")</f>
        <v>RF</v>
      </c>
      <c r="D773" s="46" t="str">
        <f>IFERROR(VLOOKUP($H773,매장구분!$B:$Z,5,0),"")</f>
        <v>백화점</v>
      </c>
      <c r="E773" s="46" t="str">
        <f>IFERROR(VLOOKUP($H773,매장구분!$B:$Z,9,0),"")</f>
        <v>롯데본점</v>
      </c>
      <c r="G773" s="46" t="s">
        <v>269</v>
      </c>
      <c r="H773" s="46" t="s">
        <v>270</v>
      </c>
      <c r="I773" s="46" t="s">
        <v>169</v>
      </c>
      <c r="J773" s="46" t="s">
        <v>175</v>
      </c>
      <c r="K773" s="46" t="s">
        <v>170</v>
      </c>
      <c r="L773" s="46" t="s">
        <v>171</v>
      </c>
      <c r="M773" s="46" t="s">
        <v>77</v>
      </c>
      <c r="N773" s="46" t="s">
        <v>172</v>
      </c>
      <c r="O773" s="46">
        <v>8826000</v>
      </c>
      <c r="P773" s="46">
        <v>144</v>
      </c>
      <c r="Q773" s="46">
        <v>-28000</v>
      </c>
      <c r="R773" s="46">
        <v>3</v>
      </c>
      <c r="S773" s="46">
        <v>0</v>
      </c>
      <c r="T773" s="46">
        <v>0</v>
      </c>
      <c r="U773" s="46">
        <v>0</v>
      </c>
      <c r="V773" s="46">
        <v>0</v>
      </c>
      <c r="W773" s="46">
        <v>0</v>
      </c>
      <c r="X773" s="46">
        <v>0</v>
      </c>
      <c r="Y773" s="48">
        <v>120860900</v>
      </c>
      <c r="Z773" s="46">
        <v>898</v>
      </c>
      <c r="AA773" s="46">
        <v>0</v>
      </c>
      <c r="AB773" s="46">
        <v>0</v>
      </c>
      <c r="AC773" s="46">
        <v>129658900</v>
      </c>
      <c r="AD773" s="46">
        <v>1045</v>
      </c>
      <c r="AF773" s="47">
        <f t="shared" si="12"/>
        <v>8798000</v>
      </c>
    </row>
    <row r="774" spans="1:32" hidden="1" x14ac:dyDescent="0.3">
      <c r="A774" s="46" t="s">
        <v>614</v>
      </c>
      <c r="B774" s="46" t="str">
        <f>IFERROR(VLOOKUP($H774,매장구분!$B:$Z,2,0),"")</f>
        <v>리테일채널팀</v>
      </c>
      <c r="C774" s="46" t="str">
        <f>IFERROR(VLOOKUP($H774,매장구분!$B:$Z,3,0),"")</f>
        <v>국내</v>
      </c>
      <c r="D774" s="46" t="str">
        <f>IFERROR(VLOOKUP($H774,매장구분!$B:$Z,5,0),"")</f>
        <v>대리점</v>
      </c>
      <c r="E774" s="46" t="str">
        <f>IFERROR(VLOOKUP($H774,매장구분!$B:$Z,9,0),"")</f>
        <v>해남(대-위)</v>
      </c>
      <c r="G774" s="46" t="s">
        <v>514</v>
      </c>
      <c r="H774" s="46" t="s">
        <v>515</v>
      </c>
      <c r="I774" s="46" t="s">
        <v>169</v>
      </c>
      <c r="J774" s="46" t="s">
        <v>79</v>
      </c>
      <c r="K774" s="46" t="s">
        <v>170</v>
      </c>
      <c r="L774" s="46" t="s">
        <v>171</v>
      </c>
      <c r="M774" s="46" t="s">
        <v>196</v>
      </c>
      <c r="N774" s="46" t="s">
        <v>197</v>
      </c>
      <c r="O774" s="46">
        <v>13408875</v>
      </c>
      <c r="P774" s="46">
        <v>127</v>
      </c>
      <c r="Q774" s="46">
        <v>0</v>
      </c>
      <c r="R774" s="46">
        <v>0</v>
      </c>
      <c r="S774" s="46">
        <v>0</v>
      </c>
      <c r="T774" s="46">
        <v>0</v>
      </c>
      <c r="U774" s="46">
        <v>3165580</v>
      </c>
      <c r="V774" s="46">
        <v>21</v>
      </c>
      <c r="W774" s="46">
        <v>0</v>
      </c>
      <c r="X774" s="46">
        <v>0</v>
      </c>
      <c r="Y774" s="48">
        <v>0</v>
      </c>
      <c r="Z774" s="46">
        <v>0</v>
      </c>
      <c r="AA774" s="46">
        <v>0</v>
      </c>
      <c r="AB774" s="46">
        <v>0</v>
      </c>
      <c r="AC774" s="46">
        <v>16574455</v>
      </c>
      <c r="AD774" s="46">
        <v>148</v>
      </c>
      <c r="AF774" s="47">
        <f t="shared" si="12"/>
        <v>16574455</v>
      </c>
    </row>
    <row r="775" spans="1:32" hidden="1" x14ac:dyDescent="0.3">
      <c r="A775" s="46" t="s">
        <v>614</v>
      </c>
      <c r="B775" s="46" t="str">
        <f>IFERROR(VLOOKUP($H775,매장구분!$B:$Z,2,0),"")</f>
        <v>리테일채널팀</v>
      </c>
      <c r="C775" s="46" t="str">
        <f>IFERROR(VLOOKUP($H775,매장구분!$B:$Z,3,0),"")</f>
        <v>국내</v>
      </c>
      <c r="D775" s="46" t="str">
        <f>IFERROR(VLOOKUP($H775,매장구분!$B:$Z,5,0),"")</f>
        <v>대리점</v>
      </c>
      <c r="E775" s="46" t="str">
        <f>IFERROR(VLOOKUP($H775,매장구분!$B:$Z,9,0),"")</f>
        <v>당진(대-위)</v>
      </c>
      <c r="G775" s="46" t="s">
        <v>462</v>
      </c>
      <c r="H775" s="46" t="s">
        <v>463</v>
      </c>
      <c r="I775" s="46" t="s">
        <v>169</v>
      </c>
      <c r="J775" s="46" t="s">
        <v>79</v>
      </c>
      <c r="K775" s="46" t="s">
        <v>170</v>
      </c>
      <c r="L775" s="46" t="s">
        <v>171</v>
      </c>
      <c r="M775" s="46" t="s">
        <v>196</v>
      </c>
      <c r="N775" s="46" t="s">
        <v>197</v>
      </c>
      <c r="O775" s="46">
        <v>13288000</v>
      </c>
      <c r="P775" s="46">
        <v>124</v>
      </c>
      <c r="Q775" s="46">
        <v>0</v>
      </c>
      <c r="R775" s="46">
        <v>0</v>
      </c>
      <c r="S775" s="46">
        <v>0</v>
      </c>
      <c r="T775" s="46">
        <v>0</v>
      </c>
      <c r="U775" s="46">
        <v>1672000</v>
      </c>
      <c r="V775" s="46">
        <v>8</v>
      </c>
      <c r="W775" s="46">
        <v>0</v>
      </c>
      <c r="X775" s="46">
        <v>0</v>
      </c>
      <c r="Y775" s="48">
        <v>13403000</v>
      </c>
      <c r="Z775" s="46">
        <v>117</v>
      </c>
      <c r="AA775" s="46">
        <v>0</v>
      </c>
      <c r="AB775" s="46">
        <v>0</v>
      </c>
      <c r="AC775" s="46">
        <v>28363000</v>
      </c>
      <c r="AD775" s="46">
        <v>249</v>
      </c>
      <c r="AF775" s="47">
        <f t="shared" si="12"/>
        <v>14960000</v>
      </c>
    </row>
    <row r="776" spans="1:32" hidden="1" x14ac:dyDescent="0.3">
      <c r="A776" s="46" t="s">
        <v>614</v>
      </c>
      <c r="B776" s="46" t="str">
        <f>IFERROR(VLOOKUP($H776,매장구분!$B:$Z,2,0),"")</f>
        <v>파트너채널팀</v>
      </c>
      <c r="C776" s="46" t="str">
        <f>IFERROR(VLOOKUP($H776,매장구분!$B:$Z,3,0),"")</f>
        <v>국내</v>
      </c>
      <c r="D776" s="46" t="str">
        <f>IFERROR(VLOOKUP($H776,매장구분!$B:$Z,5,0),"")</f>
        <v>백화점</v>
      </c>
      <c r="E776" s="46" t="str">
        <f>IFERROR(VLOOKUP($H776,매장구분!$B:$Z,9,0),"")</f>
        <v>현대중동</v>
      </c>
      <c r="G776" s="46" t="s">
        <v>494</v>
      </c>
      <c r="H776" s="46" t="s">
        <v>495</v>
      </c>
      <c r="I776" s="46" t="s">
        <v>169</v>
      </c>
      <c r="J776" s="46" t="s">
        <v>175</v>
      </c>
      <c r="K776" s="46" t="s">
        <v>170</v>
      </c>
      <c r="L776" s="46" t="s">
        <v>171</v>
      </c>
      <c r="M776" s="46" t="s">
        <v>77</v>
      </c>
      <c r="N776" s="46" t="s">
        <v>172</v>
      </c>
      <c r="O776" s="46">
        <v>28035600</v>
      </c>
      <c r="P776" s="46">
        <v>191</v>
      </c>
      <c r="Q776" s="46">
        <v>168000</v>
      </c>
      <c r="R776" s="46">
        <v>2</v>
      </c>
      <c r="S776" s="46">
        <v>0</v>
      </c>
      <c r="T776" s="46">
        <v>0</v>
      </c>
      <c r="U776" s="46">
        <v>1178000</v>
      </c>
      <c r="V776" s="46">
        <v>10</v>
      </c>
      <c r="W776" s="46">
        <v>0</v>
      </c>
      <c r="X776" s="46">
        <v>0</v>
      </c>
      <c r="Y776" s="48">
        <v>0</v>
      </c>
      <c r="Z776" s="46">
        <v>0</v>
      </c>
      <c r="AA776" s="46">
        <v>0</v>
      </c>
      <c r="AB776" s="46">
        <v>0</v>
      </c>
      <c r="AC776" s="46">
        <v>29381600</v>
      </c>
      <c r="AD776" s="46">
        <v>203</v>
      </c>
      <c r="AF776" s="47">
        <f t="shared" si="12"/>
        <v>29381600</v>
      </c>
    </row>
    <row r="777" spans="1:32" hidden="1" x14ac:dyDescent="0.3">
      <c r="A777" s="46" t="s">
        <v>614</v>
      </c>
      <c r="B777" s="46" t="str">
        <f>IFERROR(VLOOKUP($H777,매장구분!$B:$Z,2,0),"")</f>
        <v>리테일채널팀</v>
      </c>
      <c r="C777" s="46" t="str">
        <f>IFERROR(VLOOKUP($H777,매장구분!$B:$Z,3,0),"")</f>
        <v>RF</v>
      </c>
      <c r="D777" s="46" t="str">
        <f>IFERROR(VLOOKUP($H777,매장구분!$B:$Z,5,0),"")</f>
        <v>직영점</v>
      </c>
      <c r="E777" s="46" t="str">
        <f>IFERROR(VLOOKUP($H777,매장구분!$B:$Z,9,0),"")</f>
        <v>가로수길(직)</v>
      </c>
      <c r="G777" s="46" t="s">
        <v>398</v>
      </c>
      <c r="H777" s="46" t="s">
        <v>399</v>
      </c>
      <c r="I777" s="46" t="s">
        <v>169</v>
      </c>
      <c r="J777" s="46" t="s">
        <v>180</v>
      </c>
      <c r="K777" s="46" t="s">
        <v>170</v>
      </c>
      <c r="L777" s="46" t="s">
        <v>171</v>
      </c>
      <c r="M777" s="46" t="s">
        <v>196</v>
      </c>
      <c r="N777" s="46" t="s">
        <v>206</v>
      </c>
      <c r="O777" s="46">
        <v>71491700</v>
      </c>
      <c r="P777" s="46">
        <v>578</v>
      </c>
      <c r="Q777" s="46">
        <v>0</v>
      </c>
      <c r="R777" s="46">
        <v>0</v>
      </c>
      <c r="S777" s="46">
        <v>0</v>
      </c>
      <c r="T777" s="46">
        <v>0</v>
      </c>
      <c r="U777" s="46">
        <v>0</v>
      </c>
      <c r="V777" s="46">
        <v>0</v>
      </c>
      <c r="W777" s="46">
        <v>0</v>
      </c>
      <c r="X777" s="46">
        <v>0</v>
      </c>
      <c r="Y777" s="48">
        <v>0</v>
      </c>
      <c r="Z777" s="46">
        <v>0</v>
      </c>
      <c r="AA777" s="46">
        <v>0</v>
      </c>
      <c r="AB777" s="46">
        <v>0</v>
      </c>
      <c r="AC777" s="46">
        <v>71491700</v>
      </c>
      <c r="AD777" s="46">
        <v>578</v>
      </c>
      <c r="AF777" s="47">
        <f t="shared" si="12"/>
        <v>71491700</v>
      </c>
    </row>
    <row r="778" spans="1:32" hidden="1" x14ac:dyDescent="0.3">
      <c r="A778" s="46" t="s">
        <v>614</v>
      </c>
      <c r="B778" s="46" t="str">
        <f>IFERROR(VLOOKUP($H778,매장구분!$B:$Z,2,0),"")</f>
        <v>파트너채널팀</v>
      </c>
      <c r="C778" s="46" t="str">
        <f>IFERROR(VLOOKUP($H778,매장구분!$B:$Z,3,0),"")</f>
        <v>국내</v>
      </c>
      <c r="D778" s="46" t="str">
        <f>IFERROR(VLOOKUP($H778,매장구분!$B:$Z,5,0),"")</f>
        <v>백화점</v>
      </c>
      <c r="E778" s="46" t="str">
        <f>IFERROR(VLOOKUP($H778,매장구분!$B:$Z,9,0),"")</f>
        <v>모다아울렛대전</v>
      </c>
      <c r="G778" s="46" t="s">
        <v>236</v>
      </c>
      <c r="H778" s="46" t="s">
        <v>237</v>
      </c>
      <c r="I778" s="46" t="s">
        <v>169</v>
      </c>
      <c r="J778" s="46" t="s">
        <v>175</v>
      </c>
      <c r="K778" s="46" t="s">
        <v>170</v>
      </c>
      <c r="L778" s="46" t="s">
        <v>171</v>
      </c>
      <c r="M778" s="46" t="s">
        <v>77</v>
      </c>
      <c r="N778" s="46" t="s">
        <v>238</v>
      </c>
      <c r="O778" s="46">
        <v>19576900</v>
      </c>
      <c r="P778" s="46">
        <v>157</v>
      </c>
      <c r="Q778" s="46">
        <v>0</v>
      </c>
      <c r="R778" s="46">
        <v>0</v>
      </c>
      <c r="S778" s="46">
        <v>0</v>
      </c>
      <c r="T778" s="46">
        <v>0</v>
      </c>
      <c r="U778" s="46">
        <v>847300</v>
      </c>
      <c r="V778" s="46">
        <v>6</v>
      </c>
      <c r="W778" s="46">
        <v>0</v>
      </c>
      <c r="X778" s="46">
        <v>0</v>
      </c>
      <c r="Y778" s="48">
        <v>0</v>
      </c>
      <c r="Z778" s="46">
        <v>0</v>
      </c>
      <c r="AA778" s="46">
        <v>0</v>
      </c>
      <c r="AB778" s="46">
        <v>0</v>
      </c>
      <c r="AC778" s="46">
        <v>20424200</v>
      </c>
      <c r="AD778" s="46">
        <v>163</v>
      </c>
      <c r="AF778" s="47">
        <f t="shared" si="12"/>
        <v>20424200</v>
      </c>
    </row>
    <row r="779" spans="1:32" hidden="1" x14ac:dyDescent="0.3">
      <c r="A779" s="46" t="s">
        <v>614</v>
      </c>
      <c r="B779" s="46" t="str">
        <f>IFERROR(VLOOKUP($H779,매장구분!$B:$Z,2,0),"")</f>
        <v>파트너채널팀</v>
      </c>
      <c r="C779" s="46" t="str">
        <f>IFERROR(VLOOKUP($H779,매장구분!$B:$Z,3,0),"")</f>
        <v>국내</v>
      </c>
      <c r="D779" s="46" t="str">
        <f>IFERROR(VLOOKUP($H779,매장구분!$B:$Z,5,0),"")</f>
        <v>백화점</v>
      </c>
      <c r="E779" s="46" t="str">
        <f>IFERROR(VLOOKUP($H779,매장구분!$B:$Z,9,0),"")</f>
        <v>갤러리아광교</v>
      </c>
      <c r="G779" s="46" t="s">
        <v>261</v>
      </c>
      <c r="H779" s="46" t="s">
        <v>262</v>
      </c>
      <c r="I779" s="46" t="s">
        <v>169</v>
      </c>
      <c r="J779" s="46" t="s">
        <v>175</v>
      </c>
      <c r="K779" s="46" t="s">
        <v>170</v>
      </c>
      <c r="L779" s="46" t="s">
        <v>171</v>
      </c>
      <c r="M779" s="46" t="s">
        <v>77</v>
      </c>
      <c r="N779" s="46" t="s">
        <v>172</v>
      </c>
      <c r="O779" s="46">
        <v>5457300</v>
      </c>
      <c r="P779" s="46">
        <v>52</v>
      </c>
      <c r="Q779" s="46">
        <v>2568800</v>
      </c>
      <c r="R779" s="46">
        <v>36</v>
      </c>
      <c r="S779" s="46">
        <v>0</v>
      </c>
      <c r="T779" s="46">
        <v>0</v>
      </c>
      <c r="U779" s="46">
        <v>785000</v>
      </c>
      <c r="V779" s="46">
        <v>5</v>
      </c>
      <c r="W779" s="46">
        <v>0</v>
      </c>
      <c r="X779" s="46">
        <v>0</v>
      </c>
      <c r="Y779" s="48">
        <v>26784000</v>
      </c>
      <c r="Z779" s="46">
        <v>208</v>
      </c>
      <c r="AA779" s="46">
        <v>0</v>
      </c>
      <c r="AB779" s="46">
        <v>0</v>
      </c>
      <c r="AC779" s="46">
        <v>35595100</v>
      </c>
      <c r="AD779" s="46">
        <v>301</v>
      </c>
      <c r="AF779" s="47">
        <f t="shared" si="12"/>
        <v>8811100</v>
      </c>
    </row>
    <row r="780" spans="1:32" hidden="1" x14ac:dyDescent="0.3">
      <c r="A780" s="46" t="s">
        <v>614</v>
      </c>
      <c r="B780" s="46" t="str">
        <f>IFERROR(VLOOKUP($H780,매장구분!$B:$Z,2,0),"")</f>
        <v>파트너채널팀</v>
      </c>
      <c r="C780" s="46" t="str">
        <f>IFERROR(VLOOKUP($H780,매장구분!$B:$Z,3,0),"")</f>
        <v>국내</v>
      </c>
      <c r="D780" s="46" t="str">
        <f>IFERROR(VLOOKUP($H780,매장구분!$B:$Z,5,0),"")</f>
        <v>백화점</v>
      </c>
      <c r="E780" s="46" t="str">
        <f>IFERROR(VLOOKUP($H780,매장구분!$B:$Z,9,0),"")</f>
        <v>롯데잠실</v>
      </c>
      <c r="G780" s="46" t="s">
        <v>247</v>
      </c>
      <c r="H780" s="46" t="s">
        <v>248</v>
      </c>
      <c r="I780" s="46" t="s">
        <v>169</v>
      </c>
      <c r="J780" s="46" t="s">
        <v>175</v>
      </c>
      <c r="K780" s="46" t="s">
        <v>170</v>
      </c>
      <c r="L780" s="46" t="s">
        <v>171</v>
      </c>
      <c r="M780" s="46" t="s">
        <v>77</v>
      </c>
      <c r="N780" s="46" t="s">
        <v>172</v>
      </c>
      <c r="O780" s="46">
        <v>36362300</v>
      </c>
      <c r="P780" s="46">
        <v>356</v>
      </c>
      <c r="Q780" s="46">
        <v>11205300</v>
      </c>
      <c r="R780" s="46">
        <v>105</v>
      </c>
      <c r="S780" s="46">
        <v>0</v>
      </c>
      <c r="T780" s="46">
        <v>0</v>
      </c>
      <c r="U780" s="46">
        <v>12679000</v>
      </c>
      <c r="V780" s="46">
        <v>85</v>
      </c>
      <c r="W780" s="46">
        <v>0</v>
      </c>
      <c r="X780" s="46">
        <v>0</v>
      </c>
      <c r="Y780" s="48">
        <v>792000</v>
      </c>
      <c r="Z780" s="46">
        <v>8</v>
      </c>
      <c r="AA780" s="46">
        <v>0</v>
      </c>
      <c r="AB780" s="46">
        <v>0</v>
      </c>
      <c r="AC780" s="46">
        <v>61038600</v>
      </c>
      <c r="AD780" s="46">
        <v>554</v>
      </c>
      <c r="AF780" s="47">
        <f t="shared" si="12"/>
        <v>60246600</v>
      </c>
    </row>
    <row r="781" spans="1:32" hidden="1" x14ac:dyDescent="0.3">
      <c r="A781" s="46" t="s">
        <v>614</v>
      </c>
      <c r="B781" s="46" t="str">
        <f>IFERROR(VLOOKUP($H781,매장구분!$B:$Z,2,0),"")</f>
        <v>파트너채널팀</v>
      </c>
      <c r="C781" s="46" t="str">
        <f>IFERROR(VLOOKUP($H781,매장구분!$B:$Z,3,0),"")</f>
        <v>국내</v>
      </c>
      <c r="D781" s="46" t="str">
        <f>IFERROR(VLOOKUP($H781,매장구분!$B:$Z,5,0),"")</f>
        <v>백화점</v>
      </c>
      <c r="E781" s="46" t="str">
        <f>IFERROR(VLOOKUP($H781,매장구분!$B:$Z,9,0),"")</f>
        <v>현대킨텍스</v>
      </c>
      <c r="G781" s="46" t="s">
        <v>442</v>
      </c>
      <c r="H781" s="46" t="s">
        <v>443</v>
      </c>
      <c r="I781" s="46" t="s">
        <v>169</v>
      </c>
      <c r="J781" s="46" t="s">
        <v>175</v>
      </c>
      <c r="K781" s="46" t="s">
        <v>170</v>
      </c>
      <c r="L781" s="46" t="s">
        <v>171</v>
      </c>
      <c r="M781" s="46" t="s">
        <v>77</v>
      </c>
      <c r="N781" s="46" t="s">
        <v>172</v>
      </c>
      <c r="O781" s="46">
        <v>3974000</v>
      </c>
      <c r="P781" s="46">
        <v>36</v>
      </c>
      <c r="Q781" s="46">
        <v>485000</v>
      </c>
      <c r="R781" s="46">
        <v>6</v>
      </c>
      <c r="S781" s="46">
        <v>0</v>
      </c>
      <c r="T781" s="46">
        <v>0</v>
      </c>
      <c r="U781" s="46">
        <v>99000</v>
      </c>
      <c r="V781" s="46">
        <v>1</v>
      </c>
      <c r="W781" s="46">
        <v>0</v>
      </c>
      <c r="X781" s="46">
        <v>0</v>
      </c>
      <c r="Y781" s="48">
        <v>21635000</v>
      </c>
      <c r="Z781" s="46">
        <v>232</v>
      </c>
      <c r="AA781" s="46">
        <v>0</v>
      </c>
      <c r="AB781" s="46">
        <v>0</v>
      </c>
      <c r="AC781" s="46">
        <v>26193000</v>
      </c>
      <c r="AD781" s="46">
        <v>275</v>
      </c>
      <c r="AF781" s="47">
        <f t="shared" si="12"/>
        <v>4558000</v>
      </c>
    </row>
    <row r="782" spans="1:32" hidden="1" x14ac:dyDescent="0.3">
      <c r="A782" s="46" t="s">
        <v>614</v>
      </c>
      <c r="B782" s="46" t="str">
        <f>IFERROR(VLOOKUP($H782,매장구분!$B:$Z,2,0),"")</f>
        <v>리테일채널팀</v>
      </c>
      <c r="C782" s="46" t="str">
        <f>IFERROR(VLOOKUP($H782,매장구분!$B:$Z,3,0),"")</f>
        <v>국내</v>
      </c>
      <c r="D782" s="46" t="str">
        <f>IFERROR(VLOOKUP($H782,매장구분!$B:$Z,5,0),"")</f>
        <v>대리점</v>
      </c>
      <c r="E782" s="46" t="str">
        <f>IFERROR(VLOOKUP($H782,매장구분!$B:$Z,9,0),"")</f>
        <v>부천(대-위)</v>
      </c>
      <c r="G782" s="46" t="s">
        <v>530</v>
      </c>
      <c r="H782" s="46" t="s">
        <v>531</v>
      </c>
      <c r="I782" s="46" t="s">
        <v>169</v>
      </c>
      <c r="J782" s="46" t="s">
        <v>79</v>
      </c>
      <c r="K782" s="46" t="s">
        <v>170</v>
      </c>
      <c r="L782" s="46" t="s">
        <v>171</v>
      </c>
      <c r="M782" s="46" t="s">
        <v>196</v>
      </c>
      <c r="N782" s="46" t="s">
        <v>197</v>
      </c>
      <c r="O782" s="46">
        <v>13967000</v>
      </c>
      <c r="P782" s="46">
        <v>95</v>
      </c>
      <c r="Q782" s="46">
        <v>0</v>
      </c>
      <c r="R782" s="46">
        <v>0</v>
      </c>
      <c r="S782" s="46">
        <v>0</v>
      </c>
      <c r="T782" s="46">
        <v>0</v>
      </c>
      <c r="U782" s="46">
        <v>7455000</v>
      </c>
      <c r="V782" s="46">
        <v>15</v>
      </c>
      <c r="W782" s="46">
        <v>0</v>
      </c>
      <c r="X782" s="46">
        <v>0</v>
      </c>
      <c r="Y782" s="48">
        <v>6350000</v>
      </c>
      <c r="Z782" s="46">
        <v>50</v>
      </c>
      <c r="AA782" s="46">
        <v>0</v>
      </c>
      <c r="AB782" s="46">
        <v>0</v>
      </c>
      <c r="AC782" s="46">
        <v>27772000</v>
      </c>
      <c r="AD782" s="46">
        <v>160</v>
      </c>
      <c r="AF782" s="47">
        <f t="shared" si="12"/>
        <v>21422000</v>
      </c>
    </row>
    <row r="783" spans="1:32" hidden="1" x14ac:dyDescent="0.3">
      <c r="A783" s="46" t="s">
        <v>614</v>
      </c>
      <c r="B783" s="46" t="str">
        <f>IFERROR(VLOOKUP($H783,매장구분!$B:$Z,2,0),"")</f>
        <v>리테일채널팀</v>
      </c>
      <c r="C783" s="46" t="str">
        <f>IFERROR(VLOOKUP($H783,매장구분!$B:$Z,3,0),"")</f>
        <v>RF</v>
      </c>
      <c r="D783" s="46" t="str">
        <f>IFERROR(VLOOKUP($H783,매장구분!$B:$Z,5,0),"")</f>
        <v>직영점</v>
      </c>
      <c r="E783" s="46" t="str">
        <f>IFERROR(VLOOKUP($H783,매장구분!$B:$Z,9,0),"")</f>
        <v>한남(직)</v>
      </c>
      <c r="G783" s="46" t="s">
        <v>436</v>
      </c>
      <c r="H783" s="46" t="s">
        <v>437</v>
      </c>
      <c r="I783" s="46" t="s">
        <v>169</v>
      </c>
      <c r="J783" s="46" t="s">
        <v>180</v>
      </c>
      <c r="K783" s="46" t="s">
        <v>170</v>
      </c>
      <c r="L783" s="46" t="s">
        <v>171</v>
      </c>
      <c r="M783" s="46" t="s">
        <v>196</v>
      </c>
      <c r="N783" s="46" t="s">
        <v>206</v>
      </c>
      <c r="O783" s="46">
        <v>20541000</v>
      </c>
      <c r="P783" s="46">
        <v>306</v>
      </c>
      <c r="Q783" s="46">
        <v>0</v>
      </c>
      <c r="R783" s="46">
        <v>0</v>
      </c>
      <c r="S783" s="46">
        <v>0</v>
      </c>
      <c r="T783" s="46">
        <v>0</v>
      </c>
      <c r="U783" s="46">
        <v>0</v>
      </c>
      <c r="V783" s="46">
        <v>0</v>
      </c>
      <c r="W783" s="46">
        <v>0</v>
      </c>
      <c r="X783" s="46">
        <v>0</v>
      </c>
      <c r="Y783" s="48">
        <v>0</v>
      </c>
      <c r="Z783" s="46">
        <v>0</v>
      </c>
      <c r="AA783" s="46">
        <v>0</v>
      </c>
      <c r="AB783" s="46">
        <v>0</v>
      </c>
      <c r="AC783" s="46">
        <v>20541000</v>
      </c>
      <c r="AD783" s="46">
        <v>306</v>
      </c>
      <c r="AF783" s="47">
        <f t="shared" si="12"/>
        <v>20541000</v>
      </c>
    </row>
    <row r="784" spans="1:32" hidden="1" x14ac:dyDescent="0.3">
      <c r="A784" s="46" t="s">
        <v>614</v>
      </c>
      <c r="B784" s="46" t="str">
        <f>IFERROR(VLOOKUP($H784,매장구분!$B:$Z,2,0),"")</f>
        <v>리테일채널팀</v>
      </c>
      <c r="C784" s="46" t="str">
        <f>IFERROR(VLOOKUP($H784,매장구분!$B:$Z,3,0),"")</f>
        <v>국내</v>
      </c>
      <c r="D784" s="46" t="str">
        <f>IFERROR(VLOOKUP($H784,매장구분!$B:$Z,5,0),"")</f>
        <v>대리점</v>
      </c>
      <c r="E784" s="46" t="str">
        <f>IFERROR(VLOOKUP($H784,매장구분!$B:$Z,9,0),"")</f>
        <v>전주송천(대-위)</v>
      </c>
      <c r="G784" s="46" t="s">
        <v>428</v>
      </c>
      <c r="H784" s="46" t="s">
        <v>429</v>
      </c>
      <c r="I784" s="46" t="s">
        <v>169</v>
      </c>
      <c r="J784" s="46" t="s">
        <v>79</v>
      </c>
      <c r="K784" s="46" t="s">
        <v>170</v>
      </c>
      <c r="L784" s="46" t="s">
        <v>171</v>
      </c>
      <c r="M784" s="46" t="s">
        <v>196</v>
      </c>
      <c r="N784" s="46" t="s">
        <v>197</v>
      </c>
      <c r="O784" s="46">
        <v>8981817</v>
      </c>
      <c r="P784" s="46">
        <v>73</v>
      </c>
      <c r="Q784" s="46">
        <v>0</v>
      </c>
      <c r="R784" s="46">
        <v>0</v>
      </c>
      <c r="S784" s="46">
        <v>0</v>
      </c>
      <c r="T784" s="46">
        <v>0</v>
      </c>
      <c r="U784" s="46">
        <v>669130</v>
      </c>
      <c r="V784" s="46">
        <v>4</v>
      </c>
      <c r="W784" s="46">
        <v>0</v>
      </c>
      <c r="X784" s="46">
        <v>0</v>
      </c>
      <c r="Y784" s="48">
        <v>27317000</v>
      </c>
      <c r="Z784" s="46">
        <v>183</v>
      </c>
      <c r="AA784" s="46">
        <v>0</v>
      </c>
      <c r="AB784" s="46">
        <v>0</v>
      </c>
      <c r="AC784" s="46">
        <v>36967947</v>
      </c>
      <c r="AD784" s="46">
        <v>260</v>
      </c>
      <c r="AF784" s="47">
        <f t="shared" si="12"/>
        <v>9650947</v>
      </c>
    </row>
    <row r="785" spans="1:32" hidden="1" x14ac:dyDescent="0.3">
      <c r="A785" s="46" t="s">
        <v>614</v>
      </c>
      <c r="B785" s="46" t="str">
        <f>IFERROR(VLOOKUP($H785,매장구분!$B:$Z,2,0),"")</f>
        <v>파트너채널팀</v>
      </c>
      <c r="C785" s="46" t="str">
        <f>IFERROR(VLOOKUP($H785,매장구분!$B:$Z,3,0),"")</f>
        <v>국내</v>
      </c>
      <c r="D785" s="46" t="str">
        <f>IFERROR(VLOOKUP($H785,매장구분!$B:$Z,5,0),"")</f>
        <v>백화점</v>
      </c>
      <c r="E785" s="46" t="str">
        <f>IFERROR(VLOOKUP($H785,매장구분!$B:$Z,9,0),"")</f>
        <v>롯데광복</v>
      </c>
      <c r="G785" s="46" t="s">
        <v>448</v>
      </c>
      <c r="H785" s="46" t="s">
        <v>449</v>
      </c>
      <c r="I785" s="46" t="s">
        <v>169</v>
      </c>
      <c r="J785" s="46" t="s">
        <v>175</v>
      </c>
      <c r="K785" s="46" t="s">
        <v>170</v>
      </c>
      <c r="L785" s="46" t="s">
        <v>171</v>
      </c>
      <c r="M785" s="46" t="s">
        <v>77</v>
      </c>
      <c r="N785" s="46" t="s">
        <v>172</v>
      </c>
      <c r="O785" s="46">
        <v>8462085</v>
      </c>
      <c r="P785" s="46">
        <v>121</v>
      </c>
      <c r="Q785" s="46">
        <v>0</v>
      </c>
      <c r="R785" s="46">
        <v>0</v>
      </c>
      <c r="S785" s="46">
        <v>0</v>
      </c>
      <c r="T785" s="46">
        <v>0</v>
      </c>
      <c r="U785" s="46">
        <v>1136915</v>
      </c>
      <c r="V785" s="46">
        <v>9</v>
      </c>
      <c r="W785" s="46">
        <v>0</v>
      </c>
      <c r="X785" s="46">
        <v>0</v>
      </c>
      <c r="Y785" s="48">
        <v>1491000</v>
      </c>
      <c r="Z785" s="46">
        <v>17</v>
      </c>
      <c r="AA785" s="46">
        <v>0</v>
      </c>
      <c r="AB785" s="46">
        <v>0</v>
      </c>
      <c r="AC785" s="46">
        <v>11090000</v>
      </c>
      <c r="AD785" s="46">
        <v>147</v>
      </c>
      <c r="AF785" s="47">
        <f t="shared" si="12"/>
        <v>9599000</v>
      </c>
    </row>
    <row r="786" spans="1:32" hidden="1" x14ac:dyDescent="0.3">
      <c r="A786" s="46" t="s">
        <v>614</v>
      </c>
      <c r="B786" s="46" t="str">
        <f>IFERROR(VLOOKUP($H786,매장구분!$B:$Z,2,0),"")</f>
        <v>파트너채널팀</v>
      </c>
      <c r="C786" s="46" t="str">
        <f>IFERROR(VLOOKUP($H786,매장구분!$B:$Z,3,0),"")</f>
        <v>국내</v>
      </c>
      <c r="D786" s="46" t="str">
        <f>IFERROR(VLOOKUP($H786,매장구분!$B:$Z,5,0),"")</f>
        <v>백화점</v>
      </c>
      <c r="E786" s="46" t="str">
        <f>IFERROR(VLOOKUP($H786,매장구분!$B:$Z,9,0),"")</f>
        <v>신세계광주</v>
      </c>
      <c r="G786" s="46" t="s">
        <v>504</v>
      </c>
      <c r="H786" s="46" t="s">
        <v>505</v>
      </c>
      <c r="I786" s="46" t="s">
        <v>169</v>
      </c>
      <c r="J786" s="46" t="s">
        <v>175</v>
      </c>
      <c r="K786" s="46" t="s">
        <v>170</v>
      </c>
      <c r="L786" s="46" t="s">
        <v>171</v>
      </c>
      <c r="M786" s="46" t="s">
        <v>77</v>
      </c>
      <c r="N786" s="46" t="s">
        <v>172</v>
      </c>
      <c r="O786" s="46">
        <v>21801368</v>
      </c>
      <c r="P786" s="46">
        <v>198</v>
      </c>
      <c r="Q786" s="46">
        <v>0</v>
      </c>
      <c r="R786" s="46">
        <v>0</v>
      </c>
      <c r="S786" s="46">
        <v>0</v>
      </c>
      <c r="T786" s="46">
        <v>0</v>
      </c>
      <c r="U786" s="46">
        <v>2124632</v>
      </c>
      <c r="V786" s="46">
        <v>11</v>
      </c>
      <c r="W786" s="46">
        <v>0</v>
      </c>
      <c r="X786" s="46">
        <v>0</v>
      </c>
      <c r="Y786" s="48">
        <v>0</v>
      </c>
      <c r="Z786" s="46">
        <v>0</v>
      </c>
      <c r="AA786" s="46">
        <v>0</v>
      </c>
      <c r="AB786" s="46">
        <v>0</v>
      </c>
      <c r="AC786" s="46">
        <v>23926000</v>
      </c>
      <c r="AD786" s="46">
        <v>209</v>
      </c>
      <c r="AF786" s="47">
        <f t="shared" si="12"/>
        <v>23926000</v>
      </c>
    </row>
    <row r="787" spans="1:32" hidden="1" x14ac:dyDescent="0.3">
      <c r="A787" s="46" t="s">
        <v>614</v>
      </c>
      <c r="B787" s="46" t="str">
        <f>IFERROR(VLOOKUP($H787,매장구분!$B:$Z,2,0),"")</f>
        <v>리테일채널팀</v>
      </c>
      <c r="C787" s="46" t="str">
        <f>IFERROR(VLOOKUP($H787,매장구분!$B:$Z,3,0),"")</f>
        <v>국내</v>
      </c>
      <c r="D787" s="46" t="str">
        <f>IFERROR(VLOOKUP($H787,매장구분!$B:$Z,5,0),"")</f>
        <v>상설(위탁)</v>
      </c>
      <c r="E787" s="46" t="str">
        <f>IFERROR(VLOOKUP($H787,매장구분!$B:$Z,9,0),"")</f>
        <v>모다경주(상-위)</v>
      </c>
      <c r="G787" s="46" t="s">
        <v>374</v>
      </c>
      <c r="H787" s="46" t="s">
        <v>375</v>
      </c>
      <c r="I787" s="46" t="s">
        <v>169</v>
      </c>
      <c r="J787" s="46" t="s">
        <v>79</v>
      </c>
      <c r="K787" s="46" t="s">
        <v>170</v>
      </c>
      <c r="L787" s="46" t="s">
        <v>171</v>
      </c>
      <c r="M787" s="46" t="s">
        <v>77</v>
      </c>
      <c r="N787" s="46" t="s">
        <v>238</v>
      </c>
      <c r="O787" s="46">
        <v>612000</v>
      </c>
      <c r="P787" s="46">
        <v>17</v>
      </c>
      <c r="Q787" s="46">
        <v>0</v>
      </c>
      <c r="R787" s="46">
        <v>0</v>
      </c>
      <c r="S787" s="46">
        <v>0</v>
      </c>
      <c r="T787" s="46">
        <v>0</v>
      </c>
      <c r="U787" s="46">
        <v>0</v>
      </c>
      <c r="V787" s="46">
        <v>0</v>
      </c>
      <c r="W787" s="46">
        <v>0</v>
      </c>
      <c r="X787" s="46">
        <v>0</v>
      </c>
      <c r="Y787" s="48">
        <v>0</v>
      </c>
      <c r="Z787" s="46">
        <v>0</v>
      </c>
      <c r="AA787" s="46">
        <v>0</v>
      </c>
      <c r="AB787" s="46">
        <v>0</v>
      </c>
      <c r="AC787" s="46">
        <v>612000</v>
      </c>
      <c r="AD787" s="46">
        <v>17</v>
      </c>
      <c r="AF787" s="47">
        <f t="shared" si="12"/>
        <v>612000</v>
      </c>
    </row>
    <row r="788" spans="1:32" hidden="1" x14ac:dyDescent="0.3">
      <c r="A788" s="46" t="s">
        <v>614</v>
      </c>
      <c r="B788" s="46" t="str">
        <f>IFERROR(VLOOKUP($H788,매장구분!$B:$Z,2,0),"")</f>
        <v>리테일채널팀</v>
      </c>
      <c r="C788" s="46" t="str">
        <f>IFERROR(VLOOKUP($H788,매장구분!$B:$Z,3,0),"")</f>
        <v>국내</v>
      </c>
      <c r="D788" s="46" t="str">
        <f>IFERROR(VLOOKUP($H788,매장구분!$B:$Z,5,0),"")</f>
        <v>상설(위탁)</v>
      </c>
      <c r="E788" s="46" t="str">
        <f>IFERROR(VLOOKUP($H788,매장구분!$B:$Z,9,0),"")</f>
        <v>롯데아울렛수완(상-위)</v>
      </c>
      <c r="G788" s="46" t="s">
        <v>430</v>
      </c>
      <c r="H788" s="46" t="s">
        <v>431</v>
      </c>
      <c r="I788" s="46" t="s">
        <v>169</v>
      </c>
      <c r="J788" s="46" t="s">
        <v>79</v>
      </c>
      <c r="K788" s="46" t="s">
        <v>170</v>
      </c>
      <c r="L788" s="46" t="s">
        <v>171</v>
      </c>
      <c r="M788" s="46" t="s">
        <v>219</v>
      </c>
      <c r="N788" s="46" t="s">
        <v>219</v>
      </c>
      <c r="O788" s="46">
        <v>2196000</v>
      </c>
      <c r="P788" s="46">
        <v>61</v>
      </c>
      <c r="Q788" s="46">
        <v>0</v>
      </c>
      <c r="R788" s="46">
        <v>0</v>
      </c>
      <c r="S788" s="46">
        <v>0</v>
      </c>
      <c r="T788" s="46">
        <v>0</v>
      </c>
      <c r="U788" s="46">
        <v>0</v>
      </c>
      <c r="V788" s="46">
        <v>0</v>
      </c>
      <c r="W788" s="46">
        <v>0</v>
      </c>
      <c r="X788" s="46">
        <v>0</v>
      </c>
      <c r="Y788" s="48">
        <v>0</v>
      </c>
      <c r="Z788" s="46">
        <v>0</v>
      </c>
      <c r="AA788" s="46">
        <v>0</v>
      </c>
      <c r="AB788" s="46">
        <v>0</v>
      </c>
      <c r="AC788" s="46">
        <v>2196000</v>
      </c>
      <c r="AD788" s="46">
        <v>61</v>
      </c>
      <c r="AF788" s="47">
        <f t="shared" si="12"/>
        <v>2196000</v>
      </c>
    </row>
    <row r="789" spans="1:32" hidden="1" x14ac:dyDescent="0.3">
      <c r="A789" s="46" t="s">
        <v>614</v>
      </c>
      <c r="B789" s="46" t="str">
        <f>IFERROR(VLOOKUP($H789,매장구분!$B:$Z,2,0),"")</f>
        <v>리테일채널팀</v>
      </c>
      <c r="C789" s="46" t="str">
        <f>IFERROR(VLOOKUP($H789,매장구분!$B:$Z,3,0),"")</f>
        <v>국내</v>
      </c>
      <c r="D789" s="46" t="str">
        <f>IFERROR(VLOOKUP($H789,매장구분!$B:$Z,5,0),"")</f>
        <v>상설(위탁)</v>
      </c>
      <c r="E789" s="46" t="str">
        <f>IFERROR(VLOOKUP($H789,매장구분!$B:$Z,9,0),"")</f>
        <v>신세계아울렛시흥(상-위)</v>
      </c>
      <c r="G789" s="46" t="s">
        <v>524</v>
      </c>
      <c r="H789" s="46" t="s">
        <v>525</v>
      </c>
      <c r="I789" s="46" t="s">
        <v>169</v>
      </c>
      <c r="J789" s="46" t="s">
        <v>79</v>
      </c>
      <c r="K789" s="46" t="s">
        <v>170</v>
      </c>
      <c r="L789" s="46" t="s">
        <v>171</v>
      </c>
      <c r="M789" s="46" t="s">
        <v>219</v>
      </c>
      <c r="N789" s="46" t="s">
        <v>219</v>
      </c>
      <c r="O789" s="46">
        <v>2916000</v>
      </c>
      <c r="P789" s="46">
        <v>81</v>
      </c>
      <c r="Q789" s="46">
        <v>0</v>
      </c>
      <c r="R789" s="46">
        <v>0</v>
      </c>
      <c r="S789" s="46">
        <v>0</v>
      </c>
      <c r="T789" s="46">
        <v>0</v>
      </c>
      <c r="U789" s="46">
        <v>0</v>
      </c>
      <c r="V789" s="46">
        <v>0</v>
      </c>
      <c r="W789" s="46">
        <v>0</v>
      </c>
      <c r="X789" s="46">
        <v>0</v>
      </c>
      <c r="Y789" s="48">
        <v>0</v>
      </c>
      <c r="Z789" s="46">
        <v>0</v>
      </c>
      <c r="AA789" s="46">
        <v>0</v>
      </c>
      <c r="AB789" s="46">
        <v>0</v>
      </c>
      <c r="AC789" s="46">
        <v>2916000</v>
      </c>
      <c r="AD789" s="46">
        <v>81</v>
      </c>
      <c r="AF789" s="47">
        <f t="shared" si="12"/>
        <v>2916000</v>
      </c>
    </row>
    <row r="790" spans="1:32" hidden="1" x14ac:dyDescent="0.3">
      <c r="A790" s="46" t="s">
        <v>614</v>
      </c>
      <c r="B790" s="46" t="str">
        <f>IFERROR(VLOOKUP($H790,매장구분!$B:$Z,2,0),"")</f>
        <v>리테일채널팀</v>
      </c>
      <c r="C790" s="46" t="str">
        <f>IFERROR(VLOOKUP($H790,매장구분!$B:$Z,3,0),"")</f>
        <v>국내</v>
      </c>
      <c r="D790" s="46" t="str">
        <f>IFERROR(VLOOKUP($H790,매장구분!$B:$Z,5,0),"")</f>
        <v>상설(위탁)</v>
      </c>
      <c r="E790" s="46" t="str">
        <f>IFERROR(VLOOKUP($H790,매장구분!$B:$Z,9,0),"")</f>
        <v>현대아울렛가산(상-위)</v>
      </c>
      <c r="G790" s="46" t="s">
        <v>285</v>
      </c>
      <c r="H790" s="46" t="s">
        <v>286</v>
      </c>
      <c r="I790" s="46" t="s">
        <v>169</v>
      </c>
      <c r="J790" s="46" t="s">
        <v>79</v>
      </c>
      <c r="K790" s="46" t="s">
        <v>170</v>
      </c>
      <c r="L790" s="46" t="s">
        <v>171</v>
      </c>
      <c r="M790" s="46" t="s">
        <v>219</v>
      </c>
      <c r="N790" s="46" t="s">
        <v>219</v>
      </c>
      <c r="O790" s="46">
        <v>540000</v>
      </c>
      <c r="P790" s="46">
        <v>15</v>
      </c>
      <c r="Q790" s="46">
        <v>0</v>
      </c>
      <c r="R790" s="46">
        <v>0</v>
      </c>
      <c r="S790" s="46">
        <v>0</v>
      </c>
      <c r="T790" s="46">
        <v>0</v>
      </c>
      <c r="U790" s="46">
        <v>0</v>
      </c>
      <c r="V790" s="46">
        <v>0</v>
      </c>
      <c r="W790" s="46">
        <v>0</v>
      </c>
      <c r="X790" s="46">
        <v>0</v>
      </c>
      <c r="Y790" s="48">
        <v>0</v>
      </c>
      <c r="Z790" s="46">
        <v>0</v>
      </c>
      <c r="AA790" s="46">
        <v>0</v>
      </c>
      <c r="AB790" s="46">
        <v>0</v>
      </c>
      <c r="AC790" s="46">
        <v>540000</v>
      </c>
      <c r="AD790" s="46">
        <v>15</v>
      </c>
      <c r="AF790" s="47">
        <f t="shared" si="12"/>
        <v>540000</v>
      </c>
    </row>
    <row r="791" spans="1:32" hidden="1" x14ac:dyDescent="0.3">
      <c r="A791" s="46" t="s">
        <v>614</v>
      </c>
      <c r="B791" s="46" t="str">
        <f>IFERROR(VLOOKUP($H791,매장구분!$B:$Z,2,0),"")</f>
        <v>리테일채널팀</v>
      </c>
      <c r="C791" s="46" t="str">
        <f>IFERROR(VLOOKUP($H791,매장구분!$B:$Z,3,0),"")</f>
        <v>국내</v>
      </c>
      <c r="D791" s="46" t="str">
        <f>IFERROR(VLOOKUP($H791,매장구분!$B:$Z,5,0),"")</f>
        <v>상설(위탁)</v>
      </c>
      <c r="E791" s="46" t="str">
        <f>IFERROR(VLOOKUP($H791,매장구분!$B:$Z,9,0),"")</f>
        <v>현대아울렛가든5(상-위)</v>
      </c>
      <c r="G791" s="46" t="s">
        <v>372</v>
      </c>
      <c r="H791" s="46" t="s">
        <v>373</v>
      </c>
      <c r="I791" s="46" t="s">
        <v>169</v>
      </c>
      <c r="J791" s="46" t="s">
        <v>79</v>
      </c>
      <c r="K791" s="46" t="s">
        <v>170</v>
      </c>
      <c r="L791" s="46" t="s">
        <v>171</v>
      </c>
      <c r="M791" s="46" t="s">
        <v>219</v>
      </c>
      <c r="N791" s="46" t="s">
        <v>219</v>
      </c>
      <c r="O791" s="46">
        <v>1296000</v>
      </c>
      <c r="P791" s="46">
        <v>36</v>
      </c>
      <c r="Q791" s="46">
        <v>0</v>
      </c>
      <c r="R791" s="46">
        <v>0</v>
      </c>
      <c r="S791" s="46">
        <v>0</v>
      </c>
      <c r="T791" s="46">
        <v>0</v>
      </c>
      <c r="U791" s="46">
        <v>0</v>
      </c>
      <c r="V791" s="46">
        <v>0</v>
      </c>
      <c r="W791" s="46">
        <v>0</v>
      </c>
      <c r="X791" s="46">
        <v>0</v>
      </c>
      <c r="Y791" s="48">
        <v>0</v>
      </c>
      <c r="Z791" s="46">
        <v>0</v>
      </c>
      <c r="AA791" s="46">
        <v>0</v>
      </c>
      <c r="AB791" s="46">
        <v>0</v>
      </c>
      <c r="AC791" s="46">
        <v>1296000</v>
      </c>
      <c r="AD791" s="46">
        <v>36</v>
      </c>
      <c r="AF791" s="47">
        <f t="shared" si="12"/>
        <v>1296000</v>
      </c>
    </row>
    <row r="792" spans="1:32" hidden="1" x14ac:dyDescent="0.3">
      <c r="A792" s="46" t="s">
        <v>615</v>
      </c>
      <c r="B792" s="46" t="str">
        <f>IFERROR(VLOOKUP($H792,매장구분!$B:$Z,2,0),"")</f>
        <v>리테일채널팀</v>
      </c>
      <c r="C792" s="46" t="str">
        <f>IFERROR(VLOOKUP($H792,매장구분!$B:$Z,3,0),"")</f>
        <v>국내</v>
      </c>
      <c r="D792" s="46" t="str">
        <f>IFERROR(VLOOKUP($H792,매장구분!$B:$Z,5,0),"")</f>
        <v>상설(위탁)</v>
      </c>
      <c r="E792" s="46" t="str">
        <f>IFERROR(VLOOKUP($H792,매장구분!$B:$Z,9,0),"")</f>
        <v>롯데아울렛동부산(상-위)</v>
      </c>
      <c r="G792" s="46" t="s">
        <v>366</v>
      </c>
      <c r="H792" s="46" t="s">
        <v>367</v>
      </c>
      <c r="I792" s="46" t="s">
        <v>169</v>
      </c>
      <c r="J792" s="46" t="s">
        <v>79</v>
      </c>
      <c r="K792" s="46" t="s">
        <v>170</v>
      </c>
      <c r="L792" s="46" t="s">
        <v>171</v>
      </c>
      <c r="M792" s="46" t="s">
        <v>219</v>
      </c>
      <c r="N792" s="46" t="s">
        <v>219</v>
      </c>
      <c r="O792" s="46">
        <v>2988000</v>
      </c>
      <c r="P792" s="46">
        <v>83</v>
      </c>
      <c r="Q792" s="46">
        <v>0</v>
      </c>
      <c r="R792" s="46">
        <v>0</v>
      </c>
      <c r="S792" s="46">
        <v>0</v>
      </c>
      <c r="T792" s="46">
        <v>0</v>
      </c>
      <c r="U792" s="46">
        <v>0</v>
      </c>
      <c r="V792" s="46">
        <v>0</v>
      </c>
      <c r="W792" s="46">
        <v>0</v>
      </c>
      <c r="X792" s="46">
        <v>0</v>
      </c>
      <c r="Y792" s="48">
        <v>0</v>
      </c>
      <c r="Z792" s="46">
        <v>0</v>
      </c>
      <c r="AA792" s="46">
        <v>0</v>
      </c>
      <c r="AB792" s="46">
        <v>0</v>
      </c>
      <c r="AC792" s="46">
        <v>2988000</v>
      </c>
      <c r="AD792" s="46">
        <v>83</v>
      </c>
      <c r="AF792" s="47">
        <f t="shared" si="12"/>
        <v>2988000</v>
      </c>
    </row>
    <row r="793" spans="1:32" hidden="1" x14ac:dyDescent="0.3">
      <c r="A793" s="46" t="s">
        <v>615</v>
      </c>
      <c r="B793" s="46" t="str">
        <f>IFERROR(VLOOKUP($H793,매장구분!$B:$Z,2,0),"")</f>
        <v>리테일채널팀</v>
      </c>
      <c r="C793" s="46" t="str">
        <f>IFERROR(VLOOKUP($H793,매장구분!$B:$Z,3,0),"")</f>
        <v>국내</v>
      </c>
      <c r="D793" s="46" t="str">
        <f>IFERROR(VLOOKUP($H793,매장구분!$B:$Z,5,0),"")</f>
        <v>상설(위탁)</v>
      </c>
      <c r="E793" s="46" t="str">
        <f>IFERROR(VLOOKUP($H793,매장구분!$B:$Z,9,0),"")</f>
        <v>현대아울렛동대문(상-위)</v>
      </c>
      <c r="G793" s="46" t="s">
        <v>526</v>
      </c>
      <c r="H793" s="46" t="s">
        <v>527</v>
      </c>
      <c r="I793" s="46" t="s">
        <v>169</v>
      </c>
      <c r="J793" s="46" t="s">
        <v>79</v>
      </c>
      <c r="K793" s="46" t="s">
        <v>170</v>
      </c>
      <c r="L793" s="46" t="s">
        <v>171</v>
      </c>
      <c r="M793" s="46" t="s">
        <v>219</v>
      </c>
      <c r="N793" s="46" t="s">
        <v>219</v>
      </c>
      <c r="O793" s="46">
        <v>1008000</v>
      </c>
      <c r="P793" s="46">
        <v>28</v>
      </c>
      <c r="Q793" s="46">
        <v>0</v>
      </c>
      <c r="R793" s="46">
        <v>0</v>
      </c>
      <c r="S793" s="46">
        <v>0</v>
      </c>
      <c r="T793" s="46">
        <v>0</v>
      </c>
      <c r="U793" s="46">
        <v>0</v>
      </c>
      <c r="V793" s="46">
        <v>0</v>
      </c>
      <c r="W793" s="46">
        <v>0</v>
      </c>
      <c r="X793" s="46">
        <v>0</v>
      </c>
      <c r="Y793" s="48">
        <v>0</v>
      </c>
      <c r="Z793" s="46">
        <v>0</v>
      </c>
      <c r="AA793" s="46">
        <v>0</v>
      </c>
      <c r="AB793" s="46">
        <v>0</v>
      </c>
      <c r="AC793" s="46">
        <v>1008000</v>
      </c>
      <c r="AD793" s="46">
        <v>28</v>
      </c>
      <c r="AF793" s="47">
        <f t="shared" si="12"/>
        <v>1008000</v>
      </c>
    </row>
    <row r="794" spans="1:32" hidden="1" x14ac:dyDescent="0.3">
      <c r="A794" s="46" t="s">
        <v>615</v>
      </c>
      <c r="B794" s="46" t="str">
        <f>IFERROR(VLOOKUP($H794,매장구분!$B:$Z,2,0),"")</f>
        <v>리테일채널팀</v>
      </c>
      <c r="C794" s="46" t="str">
        <f>IFERROR(VLOOKUP($H794,매장구분!$B:$Z,3,0),"")</f>
        <v>국내</v>
      </c>
      <c r="D794" s="46" t="str">
        <f>IFERROR(VLOOKUP($H794,매장구분!$B:$Z,5,0),"")</f>
        <v>대리점</v>
      </c>
      <c r="E794" s="46" t="str">
        <f>IFERROR(VLOOKUP($H794,매장구분!$B:$Z,9,0),"")</f>
        <v>인천(대-위)</v>
      </c>
      <c r="G794" s="46" t="s">
        <v>215</v>
      </c>
      <c r="H794" s="46" t="s">
        <v>216</v>
      </c>
      <c r="I794" s="46" t="s">
        <v>169</v>
      </c>
      <c r="J794" s="46" t="s">
        <v>79</v>
      </c>
      <c r="K794" s="46" t="s">
        <v>170</v>
      </c>
      <c r="L794" s="46" t="s">
        <v>171</v>
      </c>
      <c r="M794" s="46" t="s">
        <v>196</v>
      </c>
      <c r="N794" s="46" t="s">
        <v>197</v>
      </c>
      <c r="O794" s="46">
        <v>8328500</v>
      </c>
      <c r="P794" s="46">
        <v>71</v>
      </c>
      <c r="Q794" s="46">
        <v>0</v>
      </c>
      <c r="R794" s="46">
        <v>0</v>
      </c>
      <c r="S794" s="46">
        <v>0</v>
      </c>
      <c r="T794" s="46">
        <v>0</v>
      </c>
      <c r="U794" s="46">
        <v>3367500</v>
      </c>
      <c r="V794" s="46">
        <v>16</v>
      </c>
      <c r="W794" s="46">
        <v>0</v>
      </c>
      <c r="X794" s="46">
        <v>0</v>
      </c>
      <c r="Y794" s="48">
        <v>0</v>
      </c>
      <c r="Z794" s="46">
        <v>0</v>
      </c>
      <c r="AA794" s="46">
        <v>0</v>
      </c>
      <c r="AB794" s="46">
        <v>0</v>
      </c>
      <c r="AC794" s="46">
        <v>11696000</v>
      </c>
      <c r="AD794" s="46">
        <v>87</v>
      </c>
      <c r="AF794" s="47">
        <f t="shared" si="12"/>
        <v>11696000</v>
      </c>
    </row>
    <row r="795" spans="1:32" hidden="1" x14ac:dyDescent="0.3">
      <c r="A795" s="46" t="s">
        <v>615</v>
      </c>
      <c r="B795" s="46" t="str">
        <f>IFERROR(VLOOKUP($H795,매장구분!$B:$Z,2,0),"")</f>
        <v>파트너채널팀</v>
      </c>
      <c r="C795" s="46" t="str">
        <f>IFERROR(VLOOKUP($H795,매장구분!$B:$Z,3,0),"")</f>
        <v>국내</v>
      </c>
      <c r="D795" s="46" t="str">
        <f>IFERROR(VLOOKUP($H795,매장구분!$B:$Z,5,0),"")</f>
        <v>백화점</v>
      </c>
      <c r="E795" s="46" t="str">
        <f>IFERROR(VLOOKUP($H795,매장구분!$B:$Z,9,0),"")</f>
        <v>신세계경기</v>
      </c>
      <c r="G795" s="46" t="s">
        <v>356</v>
      </c>
      <c r="H795" s="46" t="s">
        <v>357</v>
      </c>
      <c r="I795" s="46" t="s">
        <v>169</v>
      </c>
      <c r="J795" s="46" t="s">
        <v>175</v>
      </c>
      <c r="K795" s="46" t="s">
        <v>170</v>
      </c>
      <c r="L795" s="46" t="s">
        <v>171</v>
      </c>
      <c r="M795" s="46" t="s">
        <v>77</v>
      </c>
      <c r="N795" s="46" t="s">
        <v>172</v>
      </c>
      <c r="O795" s="46">
        <v>30696700</v>
      </c>
      <c r="P795" s="46">
        <v>226</v>
      </c>
      <c r="Q795" s="46">
        <v>0</v>
      </c>
      <c r="R795" s="46">
        <v>0</v>
      </c>
      <c r="S795" s="46">
        <v>0</v>
      </c>
      <c r="T795" s="46">
        <v>0</v>
      </c>
      <c r="U795" s="46">
        <v>380000</v>
      </c>
      <c r="V795" s="46">
        <v>4</v>
      </c>
      <c r="W795" s="46">
        <v>0</v>
      </c>
      <c r="X795" s="46">
        <v>0</v>
      </c>
      <c r="Y795" s="48">
        <v>0</v>
      </c>
      <c r="Z795" s="46">
        <v>0</v>
      </c>
      <c r="AA795" s="46">
        <v>0</v>
      </c>
      <c r="AB795" s="46">
        <v>0</v>
      </c>
      <c r="AC795" s="46">
        <v>31076700</v>
      </c>
      <c r="AD795" s="46">
        <v>230</v>
      </c>
      <c r="AF795" s="47">
        <f t="shared" si="12"/>
        <v>31076700</v>
      </c>
    </row>
    <row r="796" spans="1:32" hidden="1" x14ac:dyDescent="0.3">
      <c r="A796" s="46" t="s">
        <v>615</v>
      </c>
      <c r="B796" s="46" t="str">
        <f>IFERROR(VLOOKUP($H796,매장구분!$B:$Z,2,0),"")</f>
        <v>파트너채널팀</v>
      </c>
      <c r="C796" s="46" t="str">
        <f>IFERROR(VLOOKUP($H796,매장구분!$B:$Z,3,0),"")</f>
        <v>면세</v>
      </c>
      <c r="D796" s="46" t="str">
        <f>IFERROR(VLOOKUP($H796,매장구분!$B:$Z,5,0),"")</f>
        <v>면세</v>
      </c>
      <c r="E796" s="46" t="str">
        <f>IFERROR(VLOOKUP($H796,매장구분!$B:$Z,9,0),"")</f>
        <v>신라면세용산</v>
      </c>
      <c r="G796" s="46" t="s">
        <v>542</v>
      </c>
      <c r="H796" s="46" t="s">
        <v>543</v>
      </c>
      <c r="I796" s="46" t="s">
        <v>169</v>
      </c>
      <c r="J796" s="46" t="s">
        <v>175</v>
      </c>
      <c r="K796" s="46" t="s">
        <v>170</v>
      </c>
      <c r="L796" s="46" t="s">
        <v>171</v>
      </c>
      <c r="M796" s="46" t="s">
        <v>176</v>
      </c>
      <c r="N796" s="46" t="s">
        <v>177</v>
      </c>
      <c r="O796" s="46">
        <v>331000</v>
      </c>
      <c r="P796" s="46">
        <v>9</v>
      </c>
      <c r="Q796" s="46">
        <v>0</v>
      </c>
      <c r="R796" s="46">
        <v>0</v>
      </c>
      <c r="S796" s="46">
        <v>0</v>
      </c>
      <c r="T796" s="46">
        <v>0</v>
      </c>
      <c r="U796" s="46">
        <v>0</v>
      </c>
      <c r="V796" s="46">
        <v>0</v>
      </c>
      <c r="W796" s="46">
        <v>0</v>
      </c>
      <c r="X796" s="46">
        <v>0</v>
      </c>
      <c r="Y796" s="48">
        <v>560402900</v>
      </c>
      <c r="Z796" s="46">
        <v>10687</v>
      </c>
      <c r="AA796" s="46">
        <v>0</v>
      </c>
      <c r="AB796" s="46">
        <v>0</v>
      </c>
      <c r="AC796" s="46">
        <v>560733900</v>
      </c>
      <c r="AD796" s="46">
        <v>10696</v>
      </c>
      <c r="AF796" s="47">
        <f t="shared" si="12"/>
        <v>331000</v>
      </c>
    </row>
    <row r="797" spans="1:32" hidden="1" x14ac:dyDescent="0.3">
      <c r="A797" s="46" t="s">
        <v>615</v>
      </c>
      <c r="B797" s="46" t="str">
        <f>IFERROR(VLOOKUP($H797,매장구분!$B:$Z,2,0),"")</f>
        <v>리테일채널팀</v>
      </c>
      <c r="C797" s="46" t="str">
        <f>IFERROR(VLOOKUP($H797,매장구분!$B:$Z,3,0),"")</f>
        <v>국내</v>
      </c>
      <c r="D797" s="46" t="str">
        <f>IFERROR(VLOOKUP($H797,매장구분!$B:$Z,5,0),"")</f>
        <v>직영점</v>
      </c>
      <c r="E797" s="46" t="str">
        <f>IFERROR(VLOOKUP($H797,매장구분!$B:$Z,9,0),"")</f>
        <v>타임스퀘어영등포(직)</v>
      </c>
      <c r="G797" s="46" t="s">
        <v>186</v>
      </c>
      <c r="H797" s="46" t="s">
        <v>187</v>
      </c>
      <c r="I797" s="46" t="s">
        <v>169</v>
      </c>
      <c r="J797" s="46" t="s">
        <v>180</v>
      </c>
      <c r="K797" s="46" t="s">
        <v>170</v>
      </c>
      <c r="L797" s="46" t="s">
        <v>171</v>
      </c>
      <c r="M797" s="46" t="s">
        <v>188</v>
      </c>
      <c r="N797" s="46" t="s">
        <v>189</v>
      </c>
      <c r="O797" s="46">
        <v>31024900</v>
      </c>
      <c r="P797" s="46">
        <v>278</v>
      </c>
      <c r="Q797" s="46">
        <v>0</v>
      </c>
      <c r="R797" s="46">
        <v>0</v>
      </c>
      <c r="S797" s="46">
        <v>0</v>
      </c>
      <c r="T797" s="46">
        <v>0</v>
      </c>
      <c r="U797" s="46">
        <v>1213600</v>
      </c>
      <c r="V797" s="46">
        <v>7</v>
      </c>
      <c r="W797" s="46">
        <v>0</v>
      </c>
      <c r="X797" s="46">
        <v>0</v>
      </c>
      <c r="Y797" s="48">
        <v>0</v>
      </c>
      <c r="Z797" s="46">
        <v>0</v>
      </c>
      <c r="AA797" s="46">
        <v>0</v>
      </c>
      <c r="AB797" s="46">
        <v>0</v>
      </c>
      <c r="AC797" s="46">
        <v>32238500</v>
      </c>
      <c r="AD797" s="46">
        <v>285</v>
      </c>
      <c r="AF797" s="47">
        <f t="shared" si="12"/>
        <v>32238500</v>
      </c>
    </row>
    <row r="798" spans="1:32" hidden="1" x14ac:dyDescent="0.3">
      <c r="A798" s="46" t="s">
        <v>615</v>
      </c>
      <c r="B798" s="46" t="str">
        <f>IFERROR(VLOOKUP($H798,매장구분!$B:$Z,2,0),"")</f>
        <v>파트너채널팀</v>
      </c>
      <c r="C798" s="46" t="str">
        <f>IFERROR(VLOOKUP($H798,매장구분!$B:$Z,3,0),"")</f>
        <v>면세</v>
      </c>
      <c r="D798" s="46" t="str">
        <f>IFERROR(VLOOKUP($H798,매장구분!$B:$Z,5,0),"")</f>
        <v>면세</v>
      </c>
      <c r="E798" s="46" t="str">
        <f>IFERROR(VLOOKUP($H798,매장구분!$B:$Z,9,0),"")</f>
        <v>현대면세동대문</v>
      </c>
      <c r="G798" s="46" t="s">
        <v>572</v>
      </c>
      <c r="H798" s="46" t="s">
        <v>573</v>
      </c>
      <c r="I798" s="46" t="s">
        <v>169</v>
      </c>
      <c r="J798" s="46" t="s">
        <v>175</v>
      </c>
      <c r="K798" s="46" t="s">
        <v>170</v>
      </c>
      <c r="L798" s="46" t="s">
        <v>171</v>
      </c>
      <c r="M798" s="46" t="s">
        <v>176</v>
      </c>
      <c r="N798" s="46" t="s">
        <v>177</v>
      </c>
      <c r="O798" s="46">
        <v>182588600</v>
      </c>
      <c r="P798" s="46">
        <v>1926</v>
      </c>
      <c r="Q798" s="46">
        <v>0</v>
      </c>
      <c r="R798" s="46">
        <v>0</v>
      </c>
      <c r="S798" s="46">
        <v>0</v>
      </c>
      <c r="T798" s="46">
        <v>0</v>
      </c>
      <c r="U798" s="46">
        <v>0</v>
      </c>
      <c r="V798" s="46">
        <v>0</v>
      </c>
      <c r="W798" s="46">
        <v>0</v>
      </c>
      <c r="X798" s="46">
        <v>0</v>
      </c>
      <c r="Y798" s="48">
        <v>53423300</v>
      </c>
      <c r="Z798" s="46">
        <v>714</v>
      </c>
      <c r="AA798" s="46">
        <v>0</v>
      </c>
      <c r="AB798" s="46">
        <v>0</v>
      </c>
      <c r="AC798" s="46">
        <v>236011900</v>
      </c>
      <c r="AD798" s="46">
        <v>2640</v>
      </c>
      <c r="AF798" s="47">
        <f t="shared" si="12"/>
        <v>182588600</v>
      </c>
    </row>
    <row r="799" spans="1:32" hidden="1" x14ac:dyDescent="0.3">
      <c r="A799" s="46" t="s">
        <v>615</v>
      </c>
      <c r="B799" s="46" t="str">
        <f>IFERROR(VLOOKUP($H799,매장구분!$B:$Z,2,0),"")</f>
        <v>리테일채널팀</v>
      </c>
      <c r="C799" s="46" t="str">
        <f>IFERROR(VLOOKUP($H799,매장구분!$B:$Z,3,0),"")</f>
        <v>국내</v>
      </c>
      <c r="D799" s="46" t="str">
        <f>IFERROR(VLOOKUP($H799,매장구분!$B:$Z,5,0),"")</f>
        <v>대리점</v>
      </c>
      <c r="E799" s="46" t="str">
        <f>IFERROR(VLOOKUP($H799,매장구분!$B:$Z,9,0),"")</f>
        <v>부천(대-위)</v>
      </c>
      <c r="G799" s="46" t="s">
        <v>530</v>
      </c>
      <c r="H799" s="46" t="s">
        <v>531</v>
      </c>
      <c r="I799" s="46" t="s">
        <v>169</v>
      </c>
      <c r="J799" s="46" t="s">
        <v>79</v>
      </c>
      <c r="K799" s="46" t="s">
        <v>170</v>
      </c>
      <c r="L799" s="46" t="s">
        <v>171</v>
      </c>
      <c r="M799" s="46" t="s">
        <v>196</v>
      </c>
      <c r="N799" s="46" t="s">
        <v>197</v>
      </c>
      <c r="O799" s="46">
        <v>16186397</v>
      </c>
      <c r="P799" s="46">
        <v>105</v>
      </c>
      <c r="Q799" s="46">
        <v>0</v>
      </c>
      <c r="R799" s="46">
        <v>0</v>
      </c>
      <c r="S799" s="46">
        <v>0</v>
      </c>
      <c r="T799" s="46">
        <v>0</v>
      </c>
      <c r="U799" s="46">
        <v>7609603</v>
      </c>
      <c r="V799" s="46">
        <v>15</v>
      </c>
      <c r="W799" s="46">
        <v>0</v>
      </c>
      <c r="X799" s="46">
        <v>0</v>
      </c>
      <c r="Y799" s="48">
        <v>5560000</v>
      </c>
      <c r="Z799" s="46">
        <v>40</v>
      </c>
      <c r="AA799" s="46">
        <v>0</v>
      </c>
      <c r="AB799" s="46">
        <v>0</v>
      </c>
      <c r="AC799" s="46">
        <v>29356000</v>
      </c>
      <c r="AD799" s="46">
        <v>160</v>
      </c>
      <c r="AF799" s="47">
        <f t="shared" si="12"/>
        <v>23796000</v>
      </c>
    </row>
    <row r="800" spans="1:32" hidden="1" x14ac:dyDescent="0.3">
      <c r="A800" s="46" t="s">
        <v>615</v>
      </c>
      <c r="B800" s="46" t="str">
        <f>IFERROR(VLOOKUP($H800,매장구분!$B:$Z,2,0),"")</f>
        <v>파트너채널팀</v>
      </c>
      <c r="C800" s="46" t="str">
        <f>IFERROR(VLOOKUP($H800,매장구분!$B:$Z,3,0),"")</f>
        <v>국내</v>
      </c>
      <c r="D800" s="46" t="str">
        <f>IFERROR(VLOOKUP($H800,매장구분!$B:$Z,5,0),"")</f>
        <v>백화점</v>
      </c>
      <c r="E800" s="46" t="str">
        <f>IFERROR(VLOOKUP($H800,매장구분!$B:$Z,9,0),"")</f>
        <v>현대디큐브시티</v>
      </c>
      <c r="G800" s="46" t="s">
        <v>584</v>
      </c>
      <c r="H800" s="46" t="s">
        <v>585</v>
      </c>
      <c r="I800" s="46" t="s">
        <v>169</v>
      </c>
      <c r="J800" s="46" t="s">
        <v>175</v>
      </c>
      <c r="K800" s="46" t="s">
        <v>170</v>
      </c>
      <c r="L800" s="46" t="s">
        <v>171</v>
      </c>
      <c r="M800" s="46" t="s">
        <v>77</v>
      </c>
      <c r="N800" s="46" t="s">
        <v>172</v>
      </c>
      <c r="O800" s="46">
        <v>7182500</v>
      </c>
      <c r="P800" s="46">
        <v>91</v>
      </c>
      <c r="Q800" s="46">
        <v>620000</v>
      </c>
      <c r="R800" s="46">
        <v>4</v>
      </c>
      <c r="S800" s="46">
        <v>0</v>
      </c>
      <c r="T800" s="46">
        <v>0</v>
      </c>
      <c r="U800" s="46">
        <v>-80000</v>
      </c>
      <c r="V800" s="46">
        <v>0</v>
      </c>
      <c r="W800" s="46">
        <v>0</v>
      </c>
      <c r="X800" s="46">
        <v>0</v>
      </c>
      <c r="Y800" s="48">
        <v>0</v>
      </c>
      <c r="Z800" s="46">
        <v>0</v>
      </c>
      <c r="AA800" s="46">
        <v>0</v>
      </c>
      <c r="AB800" s="46">
        <v>0</v>
      </c>
      <c r="AC800" s="46">
        <v>7722500</v>
      </c>
      <c r="AD800" s="46">
        <v>95</v>
      </c>
      <c r="AF800" s="47">
        <f t="shared" si="12"/>
        <v>7722500</v>
      </c>
    </row>
    <row r="801" spans="1:32" hidden="1" x14ac:dyDescent="0.3">
      <c r="A801" s="46" t="s">
        <v>615</v>
      </c>
      <c r="B801" s="46" t="str">
        <f>IFERROR(VLOOKUP($H801,매장구분!$B:$Z,2,0),"")</f>
        <v>파트너채널팀</v>
      </c>
      <c r="C801" s="46" t="str">
        <f>IFERROR(VLOOKUP($H801,매장구분!$B:$Z,3,0),"")</f>
        <v>면세</v>
      </c>
      <c r="D801" s="46" t="str">
        <f>IFERROR(VLOOKUP($H801,매장구분!$B:$Z,5,0),"")</f>
        <v>면세</v>
      </c>
      <c r="E801" s="46" t="str">
        <f>IFERROR(VLOOKUP($H801,매장구분!$B:$Z,9,0),"")</f>
        <v>롯데면세월드</v>
      </c>
      <c r="G801" s="46" t="s">
        <v>213</v>
      </c>
      <c r="H801" s="46" t="s">
        <v>214</v>
      </c>
      <c r="I801" s="46" t="s">
        <v>169</v>
      </c>
      <c r="J801" s="46" t="s">
        <v>175</v>
      </c>
      <c r="K801" s="46" t="s">
        <v>170</v>
      </c>
      <c r="L801" s="46" t="s">
        <v>171</v>
      </c>
      <c r="M801" s="46" t="s">
        <v>176</v>
      </c>
      <c r="N801" s="46" t="s">
        <v>177</v>
      </c>
      <c r="O801" s="46">
        <v>6252600</v>
      </c>
      <c r="P801" s="46">
        <v>85</v>
      </c>
      <c r="Q801" s="46">
        <v>0</v>
      </c>
      <c r="R801" s="46">
        <v>0</v>
      </c>
      <c r="S801" s="46">
        <v>0</v>
      </c>
      <c r="T801" s="46">
        <v>0</v>
      </c>
      <c r="U801" s="46">
        <v>0</v>
      </c>
      <c r="V801" s="46">
        <v>0</v>
      </c>
      <c r="W801" s="46">
        <v>0</v>
      </c>
      <c r="X801" s="46">
        <v>0</v>
      </c>
      <c r="Y801" s="48">
        <v>185528000</v>
      </c>
      <c r="Z801" s="46">
        <v>1452</v>
      </c>
      <c r="AA801" s="46">
        <v>0</v>
      </c>
      <c r="AB801" s="46">
        <v>0</v>
      </c>
      <c r="AC801" s="46">
        <v>191780600</v>
      </c>
      <c r="AD801" s="46">
        <v>1537</v>
      </c>
      <c r="AF801" s="47">
        <f t="shared" si="12"/>
        <v>6252600</v>
      </c>
    </row>
    <row r="802" spans="1:32" hidden="1" x14ac:dyDescent="0.3">
      <c r="A802" s="46" t="s">
        <v>615</v>
      </c>
      <c r="B802" s="46" t="str">
        <f>IFERROR(VLOOKUP($H802,매장구분!$B:$Z,2,0),"")</f>
        <v>파트너채널팀</v>
      </c>
      <c r="C802" s="46" t="str">
        <f>IFERROR(VLOOKUP($H802,매장구분!$B:$Z,3,0),"")</f>
        <v>국내</v>
      </c>
      <c r="D802" s="46" t="str">
        <f>IFERROR(VLOOKUP($H802,매장구분!$B:$Z,5,0),"")</f>
        <v>백화점</v>
      </c>
      <c r="E802" s="46" t="str">
        <f>IFERROR(VLOOKUP($H802,매장구분!$B:$Z,9,0),"")</f>
        <v>롯데노원</v>
      </c>
      <c r="G802" s="46" t="s">
        <v>472</v>
      </c>
      <c r="H802" s="46" t="s">
        <v>473</v>
      </c>
      <c r="I802" s="46" t="s">
        <v>169</v>
      </c>
      <c r="J802" s="46" t="s">
        <v>175</v>
      </c>
      <c r="K802" s="46" t="s">
        <v>170</v>
      </c>
      <c r="L802" s="46" t="s">
        <v>171</v>
      </c>
      <c r="M802" s="46" t="s">
        <v>77</v>
      </c>
      <c r="N802" s="46" t="s">
        <v>172</v>
      </c>
      <c r="O802" s="46">
        <v>35980600</v>
      </c>
      <c r="P802" s="46">
        <v>293</v>
      </c>
      <c r="Q802" s="46">
        <v>0</v>
      </c>
      <c r="R802" s="46">
        <v>0</v>
      </c>
      <c r="S802" s="46">
        <v>0</v>
      </c>
      <c r="T802" s="46">
        <v>0</v>
      </c>
      <c r="U802" s="46">
        <v>7014000</v>
      </c>
      <c r="V802" s="46">
        <v>36</v>
      </c>
      <c r="W802" s="46">
        <v>0</v>
      </c>
      <c r="X802" s="46">
        <v>0</v>
      </c>
      <c r="Y802" s="48">
        <v>0</v>
      </c>
      <c r="Z802" s="46">
        <v>0</v>
      </c>
      <c r="AA802" s="46">
        <v>0</v>
      </c>
      <c r="AB802" s="46">
        <v>0</v>
      </c>
      <c r="AC802" s="46">
        <v>42994600</v>
      </c>
      <c r="AD802" s="46">
        <v>329</v>
      </c>
      <c r="AF802" s="47">
        <f t="shared" si="12"/>
        <v>42994600</v>
      </c>
    </row>
    <row r="803" spans="1:32" hidden="1" x14ac:dyDescent="0.3">
      <c r="A803" s="46" t="s">
        <v>615</v>
      </c>
      <c r="B803" s="46" t="str">
        <f>IFERROR(VLOOKUP($H803,매장구분!$B:$Z,2,0),"")</f>
        <v>리테일채널팀</v>
      </c>
      <c r="C803" s="46" t="str">
        <f>IFERROR(VLOOKUP($H803,매장구분!$B:$Z,3,0),"")</f>
        <v>RF</v>
      </c>
      <c r="D803" s="46" t="str">
        <f>IFERROR(VLOOKUP($H803,매장구분!$B:$Z,5,0),"")</f>
        <v>직영점</v>
      </c>
      <c r="E803" s="46" t="str">
        <f>IFERROR(VLOOKUP($H803,매장구분!$B:$Z,9,0),"")</f>
        <v>한남(직)</v>
      </c>
      <c r="G803" s="46" t="s">
        <v>436</v>
      </c>
      <c r="H803" s="46" t="s">
        <v>437</v>
      </c>
      <c r="I803" s="46" t="s">
        <v>169</v>
      </c>
      <c r="J803" s="46" t="s">
        <v>180</v>
      </c>
      <c r="K803" s="46" t="s">
        <v>170</v>
      </c>
      <c r="L803" s="46" t="s">
        <v>171</v>
      </c>
      <c r="M803" s="46" t="s">
        <v>196</v>
      </c>
      <c r="N803" s="46" t="s">
        <v>206</v>
      </c>
      <c r="O803" s="46">
        <v>20246800</v>
      </c>
      <c r="P803" s="46">
        <v>253</v>
      </c>
      <c r="Q803" s="46">
        <v>0</v>
      </c>
      <c r="R803" s="46">
        <v>0</v>
      </c>
      <c r="S803" s="46">
        <v>0</v>
      </c>
      <c r="T803" s="46">
        <v>0</v>
      </c>
      <c r="U803" s="46">
        <v>119000</v>
      </c>
      <c r="V803" s="46">
        <v>1</v>
      </c>
      <c r="W803" s="46">
        <v>0</v>
      </c>
      <c r="X803" s="46">
        <v>0</v>
      </c>
      <c r="Y803" s="48">
        <v>0</v>
      </c>
      <c r="Z803" s="46">
        <v>0</v>
      </c>
      <c r="AA803" s="46">
        <v>0</v>
      </c>
      <c r="AB803" s="46">
        <v>0</v>
      </c>
      <c r="AC803" s="46">
        <v>20365800</v>
      </c>
      <c r="AD803" s="46">
        <v>254</v>
      </c>
      <c r="AF803" s="47">
        <f t="shared" si="12"/>
        <v>20365800</v>
      </c>
    </row>
    <row r="804" spans="1:32" hidden="1" x14ac:dyDescent="0.3">
      <c r="A804" s="46" t="s">
        <v>615</v>
      </c>
      <c r="B804" s="46" t="str">
        <f>IFERROR(VLOOKUP($H804,매장구분!$B:$Z,2,0),"")</f>
        <v>리테일채널팀</v>
      </c>
      <c r="C804" s="46" t="str">
        <f>IFERROR(VLOOKUP($H804,매장구분!$B:$Z,3,0),"")</f>
        <v>국내</v>
      </c>
      <c r="D804" s="46" t="str">
        <f>IFERROR(VLOOKUP($H804,매장구분!$B:$Z,5,0),"")</f>
        <v>대리점</v>
      </c>
      <c r="E804" s="46" t="str">
        <f>IFERROR(VLOOKUP($H804,매장구분!$B:$Z,9,0),"")</f>
        <v>안산중앙(대-위)</v>
      </c>
      <c r="G804" s="46" t="s">
        <v>307</v>
      </c>
      <c r="H804" s="46" t="s">
        <v>308</v>
      </c>
      <c r="I804" s="46" t="s">
        <v>169</v>
      </c>
      <c r="J804" s="46" t="s">
        <v>79</v>
      </c>
      <c r="K804" s="46" t="s">
        <v>170</v>
      </c>
      <c r="L804" s="46" t="s">
        <v>171</v>
      </c>
      <c r="M804" s="46" t="s">
        <v>196</v>
      </c>
      <c r="N804" s="46" t="s">
        <v>197</v>
      </c>
      <c r="O804" s="46">
        <v>13752900</v>
      </c>
      <c r="P804" s="46">
        <v>102</v>
      </c>
      <c r="Q804" s="46">
        <v>0</v>
      </c>
      <c r="R804" s="46">
        <v>0</v>
      </c>
      <c r="S804" s="46">
        <v>0</v>
      </c>
      <c r="T804" s="46">
        <v>0</v>
      </c>
      <c r="U804" s="46">
        <v>2769000</v>
      </c>
      <c r="V804" s="46">
        <v>11</v>
      </c>
      <c r="W804" s="46">
        <v>0</v>
      </c>
      <c r="X804" s="46">
        <v>0</v>
      </c>
      <c r="Y804" s="48">
        <v>7495000</v>
      </c>
      <c r="Z804" s="46">
        <v>55</v>
      </c>
      <c r="AA804" s="46">
        <v>0</v>
      </c>
      <c r="AB804" s="46">
        <v>0</v>
      </c>
      <c r="AC804" s="46">
        <v>24016900</v>
      </c>
      <c r="AD804" s="46">
        <v>168</v>
      </c>
      <c r="AF804" s="47">
        <f t="shared" si="12"/>
        <v>16521900</v>
      </c>
    </row>
    <row r="805" spans="1:32" hidden="1" x14ac:dyDescent="0.3">
      <c r="A805" s="46" t="s">
        <v>615</v>
      </c>
      <c r="B805" s="46" t="str">
        <f>IFERROR(VLOOKUP($H805,매장구분!$B:$Z,2,0),"")</f>
        <v>리테일채널팀</v>
      </c>
      <c r="C805" s="46" t="str">
        <f>IFERROR(VLOOKUP($H805,매장구분!$B:$Z,3,0),"")</f>
        <v>국내</v>
      </c>
      <c r="D805" s="46" t="str">
        <f>IFERROR(VLOOKUP($H805,매장구분!$B:$Z,5,0),"")</f>
        <v>직영점</v>
      </c>
      <c r="E805" s="46" t="str">
        <f>IFERROR(VLOOKUP($H805,매장구분!$B:$Z,9,0),"")</f>
        <v>스타필드하남(직)</v>
      </c>
      <c r="G805" s="46" t="s">
        <v>394</v>
      </c>
      <c r="H805" s="46" t="s">
        <v>395</v>
      </c>
      <c r="I805" s="46" t="s">
        <v>169</v>
      </c>
      <c r="J805" s="46" t="s">
        <v>180</v>
      </c>
      <c r="K805" s="46" t="s">
        <v>170</v>
      </c>
      <c r="L805" s="46" t="s">
        <v>171</v>
      </c>
      <c r="M805" s="46" t="s">
        <v>188</v>
      </c>
      <c r="N805" s="46" t="s">
        <v>189</v>
      </c>
      <c r="O805" s="46">
        <v>25268000</v>
      </c>
      <c r="P805" s="46">
        <v>262</v>
      </c>
      <c r="Q805" s="46">
        <v>0</v>
      </c>
      <c r="R805" s="46">
        <v>0</v>
      </c>
      <c r="S805" s="46">
        <v>0</v>
      </c>
      <c r="T805" s="46">
        <v>0</v>
      </c>
      <c r="U805" s="46">
        <v>-6069000</v>
      </c>
      <c r="V805" s="46">
        <v>-21</v>
      </c>
      <c r="W805" s="46">
        <v>0</v>
      </c>
      <c r="X805" s="46">
        <v>0</v>
      </c>
      <c r="Y805" s="48">
        <v>0</v>
      </c>
      <c r="Z805" s="46">
        <v>0</v>
      </c>
      <c r="AA805" s="46">
        <v>0</v>
      </c>
      <c r="AB805" s="46">
        <v>0</v>
      </c>
      <c r="AC805" s="46">
        <v>19199000</v>
      </c>
      <c r="AD805" s="46">
        <v>241</v>
      </c>
      <c r="AF805" s="47">
        <f t="shared" si="12"/>
        <v>19199000</v>
      </c>
    </row>
    <row r="806" spans="1:32" hidden="1" x14ac:dyDescent="0.3">
      <c r="A806" s="46" t="s">
        <v>615</v>
      </c>
      <c r="B806" s="46" t="str">
        <f>IFERROR(VLOOKUP($H806,매장구분!$B:$Z,2,0),"")</f>
        <v>파트너채널팀</v>
      </c>
      <c r="C806" s="46" t="str">
        <f>IFERROR(VLOOKUP($H806,매장구분!$B:$Z,3,0),"")</f>
        <v>국내</v>
      </c>
      <c r="D806" s="46" t="str">
        <f>IFERROR(VLOOKUP($H806,매장구분!$B:$Z,5,0),"")</f>
        <v>백화점</v>
      </c>
      <c r="E806" s="46" t="str">
        <f>IFERROR(VLOOKUP($H806,매장구분!$B:$Z,9,0),"")</f>
        <v>롯데인천</v>
      </c>
      <c r="G806" s="46" t="s">
        <v>245</v>
      </c>
      <c r="H806" s="46" t="s">
        <v>246</v>
      </c>
      <c r="I806" s="46" t="s">
        <v>169</v>
      </c>
      <c r="J806" s="46" t="s">
        <v>175</v>
      </c>
      <c r="K806" s="46" t="s">
        <v>170</v>
      </c>
      <c r="L806" s="46" t="s">
        <v>171</v>
      </c>
      <c r="M806" s="46" t="s">
        <v>77</v>
      </c>
      <c r="N806" s="46" t="s">
        <v>172</v>
      </c>
      <c r="O806" s="46">
        <v>23230282</v>
      </c>
      <c r="P806" s="46">
        <v>222</v>
      </c>
      <c r="Q806" s="46">
        <v>0</v>
      </c>
      <c r="R806" s="46">
        <v>0</v>
      </c>
      <c r="S806" s="46">
        <v>0</v>
      </c>
      <c r="T806" s="46">
        <v>0</v>
      </c>
      <c r="U806" s="46">
        <v>2707918</v>
      </c>
      <c r="V806" s="46">
        <v>19</v>
      </c>
      <c r="W806" s="46">
        <v>0</v>
      </c>
      <c r="X806" s="46">
        <v>0</v>
      </c>
      <c r="Y806" s="48">
        <v>20301600</v>
      </c>
      <c r="Z806" s="46">
        <v>126</v>
      </c>
      <c r="AA806" s="46">
        <v>0</v>
      </c>
      <c r="AB806" s="46">
        <v>0</v>
      </c>
      <c r="AC806" s="46">
        <v>46239800</v>
      </c>
      <c r="AD806" s="46">
        <v>367</v>
      </c>
      <c r="AF806" s="47">
        <f t="shared" si="12"/>
        <v>25938200</v>
      </c>
    </row>
    <row r="807" spans="1:32" hidden="1" x14ac:dyDescent="0.3">
      <c r="A807" s="46" t="s">
        <v>615</v>
      </c>
      <c r="B807" s="46" t="str">
        <f>IFERROR(VLOOKUP($H807,매장구분!$B:$Z,2,0),"")</f>
        <v>리테일채널팀</v>
      </c>
      <c r="C807" s="46" t="str">
        <f>IFERROR(VLOOKUP($H807,매장구분!$B:$Z,3,0),"")</f>
        <v>RF</v>
      </c>
      <c r="D807" s="46" t="str">
        <f>IFERROR(VLOOKUP($H807,매장구분!$B:$Z,5,0),"")</f>
        <v>대리점</v>
      </c>
      <c r="E807" s="46" t="str">
        <f>IFERROR(VLOOKUP($H807,매장구분!$B:$Z,9,0),"")</f>
        <v>두타(대-위)</v>
      </c>
      <c r="G807" s="46" t="s">
        <v>600</v>
      </c>
      <c r="H807" s="46" t="s">
        <v>601</v>
      </c>
      <c r="I807" s="46" t="s">
        <v>169</v>
      </c>
      <c r="J807" s="46" t="s">
        <v>79</v>
      </c>
      <c r="K807" s="46" t="s">
        <v>170</v>
      </c>
      <c r="L807" s="46" t="s">
        <v>171</v>
      </c>
      <c r="M807" s="46" t="s">
        <v>196</v>
      </c>
      <c r="N807" s="46" t="s">
        <v>197</v>
      </c>
      <c r="O807" s="46">
        <v>13399800</v>
      </c>
      <c r="P807" s="46">
        <v>134</v>
      </c>
      <c r="Q807" s="46">
        <v>0</v>
      </c>
      <c r="R807" s="46">
        <v>0</v>
      </c>
      <c r="S807" s="46">
        <v>0</v>
      </c>
      <c r="T807" s="46">
        <v>0</v>
      </c>
      <c r="U807" s="46">
        <v>463200</v>
      </c>
      <c r="V807" s="46">
        <v>1</v>
      </c>
      <c r="W807" s="46">
        <v>0</v>
      </c>
      <c r="X807" s="46">
        <v>0</v>
      </c>
      <c r="Y807" s="48">
        <v>7867200</v>
      </c>
      <c r="Z807" s="46">
        <v>42</v>
      </c>
      <c r="AA807" s="46">
        <v>0</v>
      </c>
      <c r="AB807" s="46">
        <v>0</v>
      </c>
      <c r="AC807" s="46">
        <v>21730200</v>
      </c>
      <c r="AD807" s="46">
        <v>177</v>
      </c>
      <c r="AF807" s="47">
        <f t="shared" si="12"/>
        <v>13863000</v>
      </c>
    </row>
    <row r="808" spans="1:32" hidden="1" x14ac:dyDescent="0.3">
      <c r="A808" s="46" t="s">
        <v>615</v>
      </c>
      <c r="B808" s="46" t="str">
        <f>IFERROR(VLOOKUP($H808,매장구분!$B:$Z,2,0),"")</f>
        <v>리테일채널팀</v>
      </c>
      <c r="C808" s="46" t="str">
        <f>IFERROR(VLOOKUP($H808,매장구분!$B:$Z,3,0),"")</f>
        <v>국내</v>
      </c>
      <c r="D808" s="46" t="str">
        <f>IFERROR(VLOOKUP($H808,매장구분!$B:$Z,5,0),"")</f>
        <v>대리점</v>
      </c>
      <c r="E808" s="46" t="str">
        <f>IFERROR(VLOOKUP($H808,매장구분!$B:$Z,9,0),"")</f>
        <v>여천(대-위)</v>
      </c>
      <c r="G808" s="46" t="s">
        <v>500</v>
      </c>
      <c r="H808" s="46" t="s">
        <v>501</v>
      </c>
      <c r="I808" s="46" t="s">
        <v>169</v>
      </c>
      <c r="J808" s="46" t="s">
        <v>79</v>
      </c>
      <c r="K808" s="46" t="s">
        <v>170</v>
      </c>
      <c r="L808" s="46" t="s">
        <v>171</v>
      </c>
      <c r="M808" s="46" t="s">
        <v>196</v>
      </c>
      <c r="N808" s="46" t="s">
        <v>197</v>
      </c>
      <c r="O808" s="46">
        <v>6332696</v>
      </c>
      <c r="P808" s="46">
        <v>77</v>
      </c>
      <c r="Q808" s="46">
        <v>0</v>
      </c>
      <c r="R808" s="46">
        <v>0</v>
      </c>
      <c r="S808" s="46">
        <v>0</v>
      </c>
      <c r="T808" s="46">
        <v>0</v>
      </c>
      <c r="U808" s="46">
        <v>944604</v>
      </c>
      <c r="V808" s="46">
        <v>5</v>
      </c>
      <c r="W808" s="46">
        <v>0</v>
      </c>
      <c r="X808" s="46">
        <v>0</v>
      </c>
      <c r="Y808" s="48">
        <v>0</v>
      </c>
      <c r="Z808" s="46">
        <v>0</v>
      </c>
      <c r="AA808" s="46">
        <v>0</v>
      </c>
      <c r="AB808" s="46">
        <v>0</v>
      </c>
      <c r="AC808" s="46">
        <v>7277300</v>
      </c>
      <c r="AD808" s="46">
        <v>82</v>
      </c>
      <c r="AF808" s="47">
        <f t="shared" si="12"/>
        <v>7277300</v>
      </c>
    </row>
    <row r="809" spans="1:32" hidden="1" x14ac:dyDescent="0.3">
      <c r="A809" s="46" t="s">
        <v>615</v>
      </c>
      <c r="B809" s="46" t="str">
        <f>IFERROR(VLOOKUP($H809,매장구분!$B:$Z,2,0),"")</f>
        <v>파트너채널팀</v>
      </c>
      <c r="C809" s="46" t="str">
        <f>IFERROR(VLOOKUP($H809,매장구분!$B:$Z,3,0),"")</f>
        <v>국내</v>
      </c>
      <c r="D809" s="46" t="str">
        <f>IFERROR(VLOOKUP($H809,매장구분!$B:$Z,5,0),"")</f>
        <v>백화점</v>
      </c>
      <c r="E809" s="46" t="str">
        <f>IFERROR(VLOOKUP($H809,매장구분!$B:$Z,9,0),"")</f>
        <v>아이파크용산</v>
      </c>
      <c r="G809" s="46" t="s">
        <v>496</v>
      </c>
      <c r="H809" s="46" t="s">
        <v>497</v>
      </c>
      <c r="I809" s="46" t="s">
        <v>169</v>
      </c>
      <c r="J809" s="46" t="s">
        <v>175</v>
      </c>
      <c r="K809" s="46" t="s">
        <v>170</v>
      </c>
      <c r="L809" s="46" t="s">
        <v>171</v>
      </c>
      <c r="M809" s="46" t="s">
        <v>188</v>
      </c>
      <c r="N809" s="46" t="s">
        <v>317</v>
      </c>
      <c r="O809" s="46">
        <v>3445900</v>
      </c>
      <c r="P809" s="46">
        <v>36</v>
      </c>
      <c r="Q809" s="46">
        <v>0</v>
      </c>
      <c r="R809" s="46">
        <v>0</v>
      </c>
      <c r="S809" s="46">
        <v>0</v>
      </c>
      <c r="T809" s="46">
        <v>0</v>
      </c>
      <c r="U809" s="46">
        <v>238000</v>
      </c>
      <c r="V809" s="46">
        <v>2</v>
      </c>
      <c r="W809" s="46">
        <v>0</v>
      </c>
      <c r="X809" s="46">
        <v>0</v>
      </c>
      <c r="Y809" s="48">
        <v>16580800</v>
      </c>
      <c r="Z809" s="46">
        <v>141</v>
      </c>
      <c r="AA809" s="46">
        <v>0</v>
      </c>
      <c r="AB809" s="46">
        <v>0</v>
      </c>
      <c r="AC809" s="46">
        <v>20264700</v>
      </c>
      <c r="AD809" s="46">
        <v>179</v>
      </c>
      <c r="AF809" s="47">
        <f t="shared" si="12"/>
        <v>3683900</v>
      </c>
    </row>
    <row r="810" spans="1:32" hidden="1" x14ac:dyDescent="0.3">
      <c r="A810" s="46" t="s">
        <v>615</v>
      </c>
      <c r="B810" s="46" t="str">
        <f>IFERROR(VLOOKUP($H810,매장구분!$B:$Z,2,0),"")</f>
        <v>리테일채널팀</v>
      </c>
      <c r="C810" s="46" t="str">
        <f>IFERROR(VLOOKUP($H810,매장구분!$B:$Z,3,0),"")</f>
        <v>국내</v>
      </c>
      <c r="D810" s="46" t="str">
        <f>IFERROR(VLOOKUP($H810,매장구분!$B:$Z,5,0),"")</f>
        <v>대리점</v>
      </c>
      <c r="E810" s="46" t="str">
        <f>IFERROR(VLOOKUP($H810,매장구분!$B:$Z,9,0),"")</f>
        <v>남원(대-위)</v>
      </c>
      <c r="G810" s="46" t="s">
        <v>410</v>
      </c>
      <c r="H810" s="46" t="s">
        <v>411</v>
      </c>
      <c r="I810" s="46" t="s">
        <v>169</v>
      </c>
      <c r="J810" s="46" t="s">
        <v>79</v>
      </c>
      <c r="K810" s="46" t="s">
        <v>170</v>
      </c>
      <c r="L810" s="46" t="s">
        <v>171</v>
      </c>
      <c r="M810" s="46" t="s">
        <v>196</v>
      </c>
      <c r="N810" s="46" t="s">
        <v>197</v>
      </c>
      <c r="O810" s="46">
        <v>7332398</v>
      </c>
      <c r="P810" s="46">
        <v>64</v>
      </c>
      <c r="Q810" s="46">
        <v>0</v>
      </c>
      <c r="R810" s="46">
        <v>0</v>
      </c>
      <c r="S810" s="46">
        <v>0</v>
      </c>
      <c r="T810" s="46">
        <v>0</v>
      </c>
      <c r="U810" s="46">
        <v>1209689</v>
      </c>
      <c r="V810" s="46">
        <v>7</v>
      </c>
      <c r="W810" s="46">
        <v>0</v>
      </c>
      <c r="X810" s="46">
        <v>0</v>
      </c>
      <c r="Y810" s="48">
        <v>0</v>
      </c>
      <c r="Z810" s="46">
        <v>0</v>
      </c>
      <c r="AA810" s="46">
        <v>0</v>
      </c>
      <c r="AB810" s="46">
        <v>0</v>
      </c>
      <c r="AC810" s="46">
        <v>8542087</v>
      </c>
      <c r="AD810" s="46">
        <v>71</v>
      </c>
      <c r="AF810" s="47">
        <f t="shared" si="12"/>
        <v>8542087</v>
      </c>
    </row>
    <row r="811" spans="1:32" hidden="1" x14ac:dyDescent="0.3">
      <c r="A811" s="46" t="s">
        <v>615</v>
      </c>
      <c r="B811" s="46" t="str">
        <f>IFERROR(VLOOKUP($H811,매장구분!$B:$Z,2,0),"")</f>
        <v>파트너채널팀</v>
      </c>
      <c r="C811" s="46" t="str">
        <f>IFERROR(VLOOKUP($H811,매장구분!$B:$Z,3,0),"")</f>
        <v>국내</v>
      </c>
      <c r="D811" s="46" t="str">
        <f>IFERROR(VLOOKUP($H811,매장구분!$B:$Z,5,0),"")</f>
        <v>백화점</v>
      </c>
      <c r="E811" s="46" t="str">
        <f>IFERROR(VLOOKUP($H811,매장구분!$B:$Z,9,0),"")</f>
        <v>롯데평촌</v>
      </c>
      <c r="G811" s="46" t="s">
        <v>412</v>
      </c>
      <c r="H811" s="46" t="s">
        <v>413</v>
      </c>
      <c r="I811" s="46" t="s">
        <v>169</v>
      </c>
      <c r="J811" s="46" t="s">
        <v>175</v>
      </c>
      <c r="K811" s="46" t="s">
        <v>170</v>
      </c>
      <c r="L811" s="46" t="s">
        <v>171</v>
      </c>
      <c r="M811" s="46" t="s">
        <v>77</v>
      </c>
      <c r="N811" s="46" t="s">
        <v>172</v>
      </c>
      <c r="O811" s="46">
        <v>12777500</v>
      </c>
      <c r="P811" s="46">
        <v>140</v>
      </c>
      <c r="Q811" s="46">
        <v>1415000</v>
      </c>
      <c r="R811" s="46">
        <v>5</v>
      </c>
      <c r="S811" s="46">
        <v>0</v>
      </c>
      <c r="T811" s="46">
        <v>0</v>
      </c>
      <c r="U811" s="46">
        <v>2467700</v>
      </c>
      <c r="V811" s="46">
        <v>14</v>
      </c>
      <c r="W811" s="46">
        <v>0</v>
      </c>
      <c r="X811" s="46">
        <v>0</v>
      </c>
      <c r="Y811" s="48">
        <v>14904700</v>
      </c>
      <c r="Z811" s="46">
        <v>81</v>
      </c>
      <c r="AA811" s="46">
        <v>0</v>
      </c>
      <c r="AB811" s="46">
        <v>0</v>
      </c>
      <c r="AC811" s="46">
        <v>31564900</v>
      </c>
      <c r="AD811" s="46">
        <v>240</v>
      </c>
      <c r="AF811" s="47">
        <f t="shared" si="12"/>
        <v>16660200</v>
      </c>
    </row>
    <row r="812" spans="1:32" hidden="1" x14ac:dyDescent="0.3">
      <c r="A812" s="46" t="s">
        <v>615</v>
      </c>
      <c r="B812" s="46" t="str">
        <f>IFERROR(VLOOKUP($H812,매장구분!$B:$Z,2,0),"")</f>
        <v>파트너채널팀</v>
      </c>
      <c r="C812" s="46" t="str">
        <f>IFERROR(VLOOKUP($H812,매장구분!$B:$Z,3,0),"")</f>
        <v>국내</v>
      </c>
      <c r="D812" s="46" t="str">
        <f>IFERROR(VLOOKUP($H812,매장구분!$B:$Z,5,0),"")</f>
        <v>백화점</v>
      </c>
      <c r="E812" s="46" t="str">
        <f>IFERROR(VLOOKUP($H812,매장구분!$B:$Z,9,0),"")</f>
        <v>롯데잠실</v>
      </c>
      <c r="G812" s="46" t="s">
        <v>247</v>
      </c>
      <c r="H812" s="46" t="s">
        <v>248</v>
      </c>
      <c r="I812" s="46" t="s">
        <v>169</v>
      </c>
      <c r="J812" s="46" t="s">
        <v>175</v>
      </c>
      <c r="K812" s="46" t="s">
        <v>170</v>
      </c>
      <c r="L812" s="46" t="s">
        <v>171</v>
      </c>
      <c r="M812" s="46" t="s">
        <v>77</v>
      </c>
      <c r="N812" s="46" t="s">
        <v>172</v>
      </c>
      <c r="O812" s="46">
        <v>27542300</v>
      </c>
      <c r="P812" s="46">
        <v>385</v>
      </c>
      <c r="Q812" s="46">
        <v>17647500</v>
      </c>
      <c r="R812" s="46">
        <v>137</v>
      </c>
      <c r="S812" s="46">
        <v>0</v>
      </c>
      <c r="T812" s="46">
        <v>0</v>
      </c>
      <c r="U812" s="46">
        <v>6885100</v>
      </c>
      <c r="V812" s="46">
        <v>50</v>
      </c>
      <c r="W812" s="46">
        <v>0</v>
      </c>
      <c r="X812" s="46">
        <v>0</v>
      </c>
      <c r="Y812" s="48">
        <v>19532300</v>
      </c>
      <c r="Z812" s="46">
        <v>126</v>
      </c>
      <c r="AA812" s="46">
        <v>0</v>
      </c>
      <c r="AB812" s="46">
        <v>0</v>
      </c>
      <c r="AC812" s="46">
        <v>71607200</v>
      </c>
      <c r="AD812" s="46">
        <v>698</v>
      </c>
      <c r="AF812" s="47">
        <f t="shared" si="12"/>
        <v>52074900</v>
      </c>
    </row>
    <row r="813" spans="1:32" hidden="1" x14ac:dyDescent="0.3">
      <c r="A813" s="46" t="s">
        <v>615</v>
      </c>
      <c r="B813" s="46" t="str">
        <f>IFERROR(VLOOKUP($H813,매장구분!$B:$Z,2,0),"")</f>
        <v>E-biz</v>
      </c>
      <c r="C813" s="46" t="str">
        <f>IFERROR(VLOOKUP($H813,매장구분!$B:$Z,3,0),"")</f>
        <v>국내</v>
      </c>
      <c r="D813" s="46" t="str">
        <f>IFERROR(VLOOKUP($H813,매장구분!$B:$Z,5,0),"")</f>
        <v>온(제휴몰)</v>
      </c>
      <c r="E813" s="46" t="str">
        <f>IFERROR(VLOOKUP($H813,매장구분!$B:$Z,9,0),"")</f>
        <v>SSF샵(제휴몰)</v>
      </c>
      <c r="G813" s="46" t="s">
        <v>342</v>
      </c>
      <c r="H813" s="46" t="s">
        <v>343</v>
      </c>
      <c r="I813" s="46" t="s">
        <v>169</v>
      </c>
      <c r="J813" s="46" t="s">
        <v>180</v>
      </c>
      <c r="K813" s="46" t="s">
        <v>170</v>
      </c>
      <c r="L813" s="46" t="s">
        <v>181</v>
      </c>
      <c r="M813" s="46" t="s">
        <v>181</v>
      </c>
      <c r="N813" s="46" t="s">
        <v>185</v>
      </c>
      <c r="O813" s="46">
        <v>472500</v>
      </c>
      <c r="P813" s="46">
        <v>7</v>
      </c>
      <c r="Q813" s="46">
        <v>0</v>
      </c>
      <c r="R813" s="46">
        <v>0</v>
      </c>
      <c r="S813" s="46">
        <v>0</v>
      </c>
      <c r="T813" s="46">
        <v>0</v>
      </c>
      <c r="U813" s="46">
        <v>0</v>
      </c>
      <c r="V813" s="46">
        <v>0</v>
      </c>
      <c r="W813" s="46">
        <v>0</v>
      </c>
      <c r="X813" s="46">
        <v>0</v>
      </c>
      <c r="Y813" s="48">
        <v>0</v>
      </c>
      <c r="Z813" s="46">
        <v>0</v>
      </c>
      <c r="AA813" s="46">
        <v>0</v>
      </c>
      <c r="AB813" s="46">
        <v>0</v>
      </c>
      <c r="AC813" s="46">
        <v>472500</v>
      </c>
      <c r="AD813" s="46">
        <v>7</v>
      </c>
      <c r="AF813" s="47">
        <f t="shared" si="12"/>
        <v>472500</v>
      </c>
    </row>
    <row r="814" spans="1:32" hidden="1" x14ac:dyDescent="0.3">
      <c r="A814" s="46" t="s">
        <v>615</v>
      </c>
      <c r="B814" s="46" t="str">
        <f>IFERROR(VLOOKUP($H814,매장구분!$B:$Z,2,0),"")</f>
        <v>리테일채널팀</v>
      </c>
      <c r="C814" s="46" t="str">
        <f>IFERROR(VLOOKUP($H814,매장구분!$B:$Z,3,0),"")</f>
        <v>국내</v>
      </c>
      <c r="D814" s="46" t="str">
        <f>IFERROR(VLOOKUP($H814,매장구분!$B:$Z,5,0),"")</f>
        <v>대리점</v>
      </c>
      <c r="E814" s="46" t="str">
        <f>IFERROR(VLOOKUP($H814,매장구분!$B:$Z,9,0),"")</f>
        <v>전주중앙(대-위)</v>
      </c>
      <c r="G814" s="46" t="s">
        <v>293</v>
      </c>
      <c r="H814" s="46" t="s">
        <v>294</v>
      </c>
      <c r="I814" s="46" t="s">
        <v>169</v>
      </c>
      <c r="J814" s="46" t="s">
        <v>79</v>
      </c>
      <c r="K814" s="46" t="s">
        <v>170</v>
      </c>
      <c r="L814" s="46" t="s">
        <v>171</v>
      </c>
      <c r="M814" s="46" t="s">
        <v>196</v>
      </c>
      <c r="N814" s="46" t="s">
        <v>197</v>
      </c>
      <c r="O814" s="46">
        <v>11326400</v>
      </c>
      <c r="P814" s="46">
        <v>92</v>
      </c>
      <c r="Q814" s="46">
        <v>1858800</v>
      </c>
      <c r="R814" s="46">
        <v>12</v>
      </c>
      <c r="S814" s="46">
        <v>0</v>
      </c>
      <c r="T814" s="46">
        <v>0</v>
      </c>
      <c r="U814" s="46">
        <v>458200</v>
      </c>
      <c r="V814" s="46">
        <v>3</v>
      </c>
      <c r="W814" s="46">
        <v>0</v>
      </c>
      <c r="X814" s="46">
        <v>0</v>
      </c>
      <c r="Y814" s="48">
        <v>0</v>
      </c>
      <c r="Z814" s="46">
        <v>0</v>
      </c>
      <c r="AA814" s="46">
        <v>-119000</v>
      </c>
      <c r="AB814" s="46">
        <v>-1</v>
      </c>
      <c r="AC814" s="46">
        <v>13524400</v>
      </c>
      <c r="AD814" s="46">
        <v>106</v>
      </c>
      <c r="AF814" s="47">
        <f t="shared" si="12"/>
        <v>13524400</v>
      </c>
    </row>
    <row r="815" spans="1:32" hidden="1" x14ac:dyDescent="0.3">
      <c r="A815" s="46" t="s">
        <v>615</v>
      </c>
      <c r="B815" s="46" t="str">
        <f>IFERROR(VLOOKUP($H815,매장구분!$B:$Z,2,0),"")</f>
        <v>리테일채널팀</v>
      </c>
      <c r="C815" s="46" t="str">
        <f>IFERROR(VLOOKUP($H815,매장구분!$B:$Z,3,0),"")</f>
        <v>국내</v>
      </c>
      <c r="D815" s="46" t="str">
        <f>IFERROR(VLOOKUP($H815,매장구분!$B:$Z,5,0),"")</f>
        <v>대리점</v>
      </c>
      <c r="E815" s="46" t="str">
        <f>IFERROR(VLOOKUP($H815,매장구분!$B:$Z,9,0),"")</f>
        <v>제주(대-위)</v>
      </c>
      <c r="G815" s="46" t="s">
        <v>474</v>
      </c>
      <c r="H815" s="46" t="s">
        <v>475</v>
      </c>
      <c r="I815" s="46" t="s">
        <v>169</v>
      </c>
      <c r="J815" s="46" t="s">
        <v>79</v>
      </c>
      <c r="K815" s="46" t="s">
        <v>170</v>
      </c>
      <c r="L815" s="46" t="s">
        <v>171</v>
      </c>
      <c r="M815" s="46" t="s">
        <v>196</v>
      </c>
      <c r="N815" s="46" t="s">
        <v>197</v>
      </c>
      <c r="O815" s="46">
        <v>17551400</v>
      </c>
      <c r="P815" s="46">
        <v>154</v>
      </c>
      <c r="Q815" s="46">
        <v>0</v>
      </c>
      <c r="R815" s="46">
        <v>0</v>
      </c>
      <c r="S815" s="46">
        <v>0</v>
      </c>
      <c r="T815" s="46">
        <v>0</v>
      </c>
      <c r="U815" s="46">
        <v>507000</v>
      </c>
      <c r="V815" s="46">
        <v>3</v>
      </c>
      <c r="W815" s="46">
        <v>0</v>
      </c>
      <c r="X815" s="46">
        <v>0</v>
      </c>
      <c r="Y815" s="48">
        <v>2848000</v>
      </c>
      <c r="Z815" s="46">
        <v>47</v>
      </c>
      <c r="AA815" s="46">
        <v>0</v>
      </c>
      <c r="AB815" s="46">
        <v>0</v>
      </c>
      <c r="AC815" s="46">
        <v>20906400</v>
      </c>
      <c r="AD815" s="46">
        <v>204</v>
      </c>
      <c r="AF815" s="47">
        <f t="shared" si="12"/>
        <v>18058400</v>
      </c>
    </row>
    <row r="816" spans="1:32" hidden="1" x14ac:dyDescent="0.3">
      <c r="A816" s="46" t="s">
        <v>615</v>
      </c>
      <c r="B816" s="46" t="str">
        <f>IFERROR(VLOOKUP($H816,매장구분!$B:$Z,2,0),"")</f>
        <v>파트너채널팀</v>
      </c>
      <c r="C816" s="46" t="str">
        <f>IFERROR(VLOOKUP($H816,매장구분!$B:$Z,3,0),"")</f>
        <v>국내</v>
      </c>
      <c r="D816" s="46" t="str">
        <f>IFERROR(VLOOKUP($H816,매장구분!$B:$Z,5,0),"")</f>
        <v>백화점</v>
      </c>
      <c r="E816" s="46" t="str">
        <f>IFERROR(VLOOKUP($H816,매장구분!$B:$Z,9,0),"")</f>
        <v>롯데상인</v>
      </c>
      <c r="G816" s="46" t="s">
        <v>348</v>
      </c>
      <c r="H816" s="46" t="s">
        <v>349</v>
      </c>
      <c r="I816" s="46" t="s">
        <v>169</v>
      </c>
      <c r="J816" s="46" t="s">
        <v>175</v>
      </c>
      <c r="K816" s="46" t="s">
        <v>170</v>
      </c>
      <c r="L816" s="46" t="s">
        <v>171</v>
      </c>
      <c r="M816" s="46" t="s">
        <v>77</v>
      </c>
      <c r="N816" s="46" t="s">
        <v>172</v>
      </c>
      <c r="O816" s="46">
        <v>6503000</v>
      </c>
      <c r="P816" s="46">
        <v>65</v>
      </c>
      <c r="Q816" s="46">
        <v>167500</v>
      </c>
      <c r="R816" s="46">
        <v>4</v>
      </c>
      <c r="S816" s="46">
        <v>0</v>
      </c>
      <c r="T816" s="46">
        <v>0</v>
      </c>
      <c r="U816" s="46">
        <v>1403000</v>
      </c>
      <c r="V816" s="46">
        <v>7</v>
      </c>
      <c r="W816" s="46">
        <v>0</v>
      </c>
      <c r="X816" s="46">
        <v>0</v>
      </c>
      <c r="Y816" s="48">
        <v>4547000</v>
      </c>
      <c r="Z816" s="46">
        <v>28</v>
      </c>
      <c r="AA816" s="46">
        <v>219000</v>
      </c>
      <c r="AB816" s="46">
        <v>1</v>
      </c>
      <c r="AC816" s="46">
        <v>12839500</v>
      </c>
      <c r="AD816" s="46">
        <v>105</v>
      </c>
      <c r="AF816" s="47">
        <f t="shared" si="12"/>
        <v>8292500</v>
      </c>
    </row>
    <row r="817" spans="1:32" hidden="1" x14ac:dyDescent="0.3">
      <c r="A817" s="46" t="s">
        <v>615</v>
      </c>
      <c r="B817" s="46" t="str">
        <f>IFERROR(VLOOKUP($H817,매장구분!$B:$Z,2,0),"")</f>
        <v>리테일채널팀</v>
      </c>
      <c r="C817" s="46" t="str">
        <f>IFERROR(VLOOKUP($H817,매장구분!$B:$Z,3,0),"")</f>
        <v>국내</v>
      </c>
      <c r="D817" s="46" t="str">
        <f>IFERROR(VLOOKUP($H817,매장구분!$B:$Z,5,0),"")</f>
        <v>상설(위탁)</v>
      </c>
      <c r="E817" s="46" t="str">
        <f>IFERROR(VLOOKUP($H817,매장구분!$B:$Z,9,0),"")</f>
        <v>롯데아울렛청주(상-위)</v>
      </c>
      <c r="G817" s="46" t="s">
        <v>478</v>
      </c>
      <c r="H817" s="46" t="s">
        <v>479</v>
      </c>
      <c r="I817" s="46" t="s">
        <v>169</v>
      </c>
      <c r="J817" s="46" t="s">
        <v>79</v>
      </c>
      <c r="K817" s="46" t="s">
        <v>170</v>
      </c>
      <c r="L817" s="46" t="s">
        <v>171</v>
      </c>
      <c r="M817" s="46" t="s">
        <v>219</v>
      </c>
      <c r="N817" s="46" t="s">
        <v>219</v>
      </c>
      <c r="O817" s="46">
        <v>1800000</v>
      </c>
      <c r="P817" s="46">
        <v>50</v>
      </c>
      <c r="Q817" s="46">
        <v>0</v>
      </c>
      <c r="R817" s="46">
        <v>0</v>
      </c>
      <c r="S817" s="46">
        <v>0</v>
      </c>
      <c r="T817" s="46">
        <v>0</v>
      </c>
      <c r="U817" s="46">
        <v>0</v>
      </c>
      <c r="V817" s="46">
        <v>0</v>
      </c>
      <c r="W817" s="46">
        <v>0</v>
      </c>
      <c r="X817" s="46">
        <v>0</v>
      </c>
      <c r="Y817" s="48">
        <v>0</v>
      </c>
      <c r="Z817" s="46">
        <v>0</v>
      </c>
      <c r="AA817" s="46">
        <v>0</v>
      </c>
      <c r="AB817" s="46">
        <v>0</v>
      </c>
      <c r="AC817" s="46">
        <v>1800000</v>
      </c>
      <c r="AD817" s="46">
        <v>50</v>
      </c>
      <c r="AF817" s="47">
        <f t="shared" si="12"/>
        <v>1800000</v>
      </c>
    </row>
    <row r="818" spans="1:32" hidden="1" x14ac:dyDescent="0.3">
      <c r="A818" s="46" t="s">
        <v>615</v>
      </c>
      <c r="B818" s="46" t="str">
        <f>IFERROR(VLOOKUP($H818,매장구분!$B:$Z,2,0),"")</f>
        <v>리테일채널팀</v>
      </c>
      <c r="C818" s="46" t="str">
        <f>IFERROR(VLOOKUP($H818,매장구분!$B:$Z,3,0),"")</f>
        <v>국내</v>
      </c>
      <c r="D818" s="46" t="str">
        <f>IFERROR(VLOOKUP($H818,매장구분!$B:$Z,5,0),"")</f>
        <v>직영점</v>
      </c>
      <c r="E818" s="46" t="str">
        <f>IFERROR(VLOOKUP($H818,매장구분!$B:$Z,9,0),"")</f>
        <v>스타필드고양</v>
      </c>
      <c r="G818" s="46" t="s">
        <v>592</v>
      </c>
      <c r="H818" s="46" t="s">
        <v>593</v>
      </c>
      <c r="I818" s="46" t="s">
        <v>169</v>
      </c>
      <c r="J818" s="46" t="s">
        <v>180</v>
      </c>
      <c r="K818" s="46" t="s">
        <v>170</v>
      </c>
      <c r="L818" s="46" t="s">
        <v>171</v>
      </c>
      <c r="M818" s="46" t="s">
        <v>188</v>
      </c>
      <c r="N818" s="46" t="s">
        <v>189</v>
      </c>
      <c r="O818" s="46">
        <v>27753318</v>
      </c>
      <c r="P818" s="46">
        <v>296</v>
      </c>
      <c r="Q818" s="46">
        <v>0</v>
      </c>
      <c r="R818" s="46">
        <v>0</v>
      </c>
      <c r="S818" s="46">
        <v>0</v>
      </c>
      <c r="T818" s="46">
        <v>0</v>
      </c>
      <c r="U818" s="46">
        <v>2011282</v>
      </c>
      <c r="V818" s="46">
        <v>13</v>
      </c>
      <c r="W818" s="46">
        <v>0</v>
      </c>
      <c r="X818" s="46">
        <v>0</v>
      </c>
      <c r="Y818" s="48">
        <v>0</v>
      </c>
      <c r="Z818" s="46">
        <v>0</v>
      </c>
      <c r="AA818" s="46">
        <v>0</v>
      </c>
      <c r="AB818" s="46">
        <v>0</v>
      </c>
      <c r="AC818" s="46">
        <v>29764600</v>
      </c>
      <c r="AD818" s="46">
        <v>309</v>
      </c>
      <c r="AF818" s="47">
        <f t="shared" si="12"/>
        <v>29764600</v>
      </c>
    </row>
    <row r="819" spans="1:32" hidden="1" x14ac:dyDescent="0.3">
      <c r="A819" s="46" t="s">
        <v>615</v>
      </c>
      <c r="B819" s="46" t="str">
        <f>IFERROR(VLOOKUP($H819,매장구분!$B:$Z,2,0),"")</f>
        <v>파트너채널팀</v>
      </c>
      <c r="C819" s="46" t="str">
        <f>IFERROR(VLOOKUP($H819,매장구분!$B:$Z,3,0),"")</f>
        <v>국내</v>
      </c>
      <c r="D819" s="46" t="str">
        <f>IFERROR(VLOOKUP($H819,매장구분!$B:$Z,5,0),"")</f>
        <v>백화점</v>
      </c>
      <c r="E819" s="46" t="str">
        <f>IFERROR(VLOOKUP($H819,매장구분!$B:$Z,9,0),"")</f>
        <v>롯데구리</v>
      </c>
      <c r="G819" s="46" t="s">
        <v>232</v>
      </c>
      <c r="H819" s="46" t="s">
        <v>233</v>
      </c>
      <c r="I819" s="46" t="s">
        <v>169</v>
      </c>
      <c r="J819" s="46" t="s">
        <v>175</v>
      </c>
      <c r="K819" s="46" t="s">
        <v>170</v>
      </c>
      <c r="L819" s="46" t="s">
        <v>171</v>
      </c>
      <c r="M819" s="46" t="s">
        <v>77</v>
      </c>
      <c r="N819" s="46" t="s">
        <v>172</v>
      </c>
      <c r="O819" s="46">
        <v>7541597</v>
      </c>
      <c r="P819" s="46">
        <v>101</v>
      </c>
      <c r="Q819" s="46">
        <v>1928100</v>
      </c>
      <c r="R819" s="46">
        <v>20</v>
      </c>
      <c r="S819" s="46">
        <v>0</v>
      </c>
      <c r="T819" s="46">
        <v>0</v>
      </c>
      <c r="U819" s="46">
        <v>2006633</v>
      </c>
      <c r="V819" s="46">
        <v>16</v>
      </c>
      <c r="W819" s="46">
        <v>0</v>
      </c>
      <c r="X819" s="46">
        <v>0</v>
      </c>
      <c r="Y819" s="48">
        <v>1476000</v>
      </c>
      <c r="Z819" s="46">
        <v>12</v>
      </c>
      <c r="AA819" s="46">
        <v>0</v>
      </c>
      <c r="AB819" s="46">
        <v>0</v>
      </c>
      <c r="AC819" s="46">
        <v>12952330</v>
      </c>
      <c r="AD819" s="46">
        <v>149</v>
      </c>
      <c r="AF819" s="47">
        <f t="shared" si="12"/>
        <v>11476330</v>
      </c>
    </row>
    <row r="820" spans="1:32" hidden="1" x14ac:dyDescent="0.3">
      <c r="A820" s="46" t="s">
        <v>615</v>
      </c>
      <c r="B820" s="46" t="str">
        <f>IFERROR(VLOOKUP($H820,매장구분!$B:$Z,2,0),"")</f>
        <v>리테일채널팀</v>
      </c>
      <c r="C820" s="46" t="str">
        <f>IFERROR(VLOOKUP($H820,매장구분!$B:$Z,3,0),"")</f>
        <v>국내</v>
      </c>
      <c r="D820" s="46" t="str">
        <f>IFERROR(VLOOKUP($H820,매장구분!$B:$Z,5,0),"")</f>
        <v>대리점</v>
      </c>
      <c r="E820" s="46" t="str">
        <f>IFERROR(VLOOKUP($H820,매장구분!$B:$Z,9,0),"")</f>
        <v>포천(대-위)</v>
      </c>
      <c r="G820" s="46" t="s">
        <v>289</v>
      </c>
      <c r="H820" s="46" t="s">
        <v>290</v>
      </c>
      <c r="I820" s="46" t="s">
        <v>169</v>
      </c>
      <c r="J820" s="46" t="s">
        <v>79</v>
      </c>
      <c r="K820" s="46" t="s">
        <v>170</v>
      </c>
      <c r="L820" s="46" t="s">
        <v>171</v>
      </c>
      <c r="M820" s="46" t="s">
        <v>196</v>
      </c>
      <c r="N820" s="46" t="s">
        <v>197</v>
      </c>
      <c r="O820" s="46">
        <v>9686135</v>
      </c>
      <c r="P820" s="46">
        <v>75</v>
      </c>
      <c r="Q820" s="46">
        <v>0</v>
      </c>
      <c r="R820" s="46">
        <v>0</v>
      </c>
      <c r="S820" s="46">
        <v>0</v>
      </c>
      <c r="T820" s="46">
        <v>0</v>
      </c>
      <c r="U820" s="46">
        <v>328000</v>
      </c>
      <c r="V820" s="46">
        <v>2</v>
      </c>
      <c r="W820" s="46">
        <v>0</v>
      </c>
      <c r="X820" s="46">
        <v>0</v>
      </c>
      <c r="Y820" s="48">
        <v>0</v>
      </c>
      <c r="Z820" s="46">
        <v>0</v>
      </c>
      <c r="AA820" s="46">
        <v>0</v>
      </c>
      <c r="AB820" s="46">
        <v>0</v>
      </c>
      <c r="AC820" s="46">
        <v>10014135</v>
      </c>
      <c r="AD820" s="46">
        <v>77</v>
      </c>
      <c r="AF820" s="47">
        <f t="shared" si="12"/>
        <v>10014135</v>
      </c>
    </row>
    <row r="821" spans="1:32" hidden="1" x14ac:dyDescent="0.3">
      <c r="A821" s="46" t="s">
        <v>615</v>
      </c>
      <c r="B821" s="46" t="str">
        <f>IFERROR(VLOOKUP($H821,매장구분!$B:$Z,2,0),"")</f>
        <v>리테일채널팀</v>
      </c>
      <c r="C821" s="46" t="str">
        <f>IFERROR(VLOOKUP($H821,매장구분!$B:$Z,3,0),"")</f>
        <v>국내</v>
      </c>
      <c r="D821" s="46" t="str">
        <f>IFERROR(VLOOKUP($H821,매장구분!$B:$Z,5,0),"")</f>
        <v>대리점</v>
      </c>
      <c r="E821" s="46" t="str">
        <f>IFERROR(VLOOKUP($H821,매장구분!$B:$Z,9,0),"")</f>
        <v>광주용봉(대-위)</v>
      </c>
      <c r="G821" s="46" t="s">
        <v>606</v>
      </c>
      <c r="H821" s="46" t="s">
        <v>607</v>
      </c>
      <c r="I821" s="46" t="s">
        <v>169</v>
      </c>
      <c r="J821" s="46" t="s">
        <v>79</v>
      </c>
      <c r="K821" s="46" t="s">
        <v>170</v>
      </c>
      <c r="L821" s="46" t="s">
        <v>171</v>
      </c>
      <c r="M821" s="46" t="s">
        <v>196</v>
      </c>
      <c r="N821" s="46" t="s">
        <v>197</v>
      </c>
      <c r="O821" s="46">
        <v>4858969</v>
      </c>
      <c r="P821" s="46">
        <v>54</v>
      </c>
      <c r="Q821" s="46">
        <v>0</v>
      </c>
      <c r="R821" s="46">
        <v>0</v>
      </c>
      <c r="S821" s="46">
        <v>0</v>
      </c>
      <c r="T821" s="46">
        <v>0</v>
      </c>
      <c r="U821" s="46">
        <v>1715531</v>
      </c>
      <c r="V821" s="46">
        <v>12</v>
      </c>
      <c r="W821" s="46">
        <v>0</v>
      </c>
      <c r="X821" s="46">
        <v>0</v>
      </c>
      <c r="Y821" s="48">
        <v>0</v>
      </c>
      <c r="Z821" s="46">
        <v>0</v>
      </c>
      <c r="AA821" s="46">
        <v>0</v>
      </c>
      <c r="AB821" s="46">
        <v>0</v>
      </c>
      <c r="AC821" s="46">
        <v>6574500</v>
      </c>
      <c r="AD821" s="46">
        <v>66</v>
      </c>
      <c r="AF821" s="47">
        <f t="shared" si="12"/>
        <v>6574500</v>
      </c>
    </row>
    <row r="822" spans="1:32" hidden="1" x14ac:dyDescent="0.3">
      <c r="A822" s="46" t="s">
        <v>615</v>
      </c>
      <c r="B822" s="46" t="str">
        <f>IFERROR(VLOOKUP($H822,매장구분!$B:$Z,2,0),"")</f>
        <v>리테일채널팀</v>
      </c>
      <c r="C822" s="46" t="str">
        <f>IFERROR(VLOOKUP($H822,매장구분!$B:$Z,3,0),"")</f>
        <v>RF</v>
      </c>
      <c r="D822" s="46" t="str">
        <f>IFERROR(VLOOKUP($H822,매장구분!$B:$Z,5,0),"")</f>
        <v>직영점</v>
      </c>
      <c r="E822" s="46" t="str">
        <f>IFERROR(VLOOKUP($H822,매장구분!$B:$Z,9,0),"")</f>
        <v>명동중앙(직)</v>
      </c>
      <c r="G822" s="46" t="s">
        <v>538</v>
      </c>
      <c r="H822" s="46" t="s">
        <v>539</v>
      </c>
      <c r="I822" s="46" t="s">
        <v>169</v>
      </c>
      <c r="J822" s="46" t="s">
        <v>180</v>
      </c>
      <c r="K822" s="46" t="s">
        <v>170</v>
      </c>
      <c r="L822" s="46" t="s">
        <v>171</v>
      </c>
      <c r="M822" s="46" t="s">
        <v>196</v>
      </c>
      <c r="N822" s="46" t="s">
        <v>206</v>
      </c>
      <c r="O822" s="46">
        <v>205224000</v>
      </c>
      <c r="P822" s="46">
        <v>2706</v>
      </c>
      <c r="Q822" s="46">
        <v>0</v>
      </c>
      <c r="R822" s="46">
        <v>0</v>
      </c>
      <c r="S822" s="46">
        <v>0</v>
      </c>
      <c r="T822" s="46">
        <v>0</v>
      </c>
      <c r="U822" s="46">
        <v>0</v>
      </c>
      <c r="V822" s="46">
        <v>0</v>
      </c>
      <c r="W822" s="46">
        <v>0</v>
      </c>
      <c r="X822" s="46">
        <v>0</v>
      </c>
      <c r="Y822" s="48">
        <v>0</v>
      </c>
      <c r="Z822" s="46">
        <v>0</v>
      </c>
      <c r="AA822" s="46">
        <v>0</v>
      </c>
      <c r="AB822" s="46">
        <v>0</v>
      </c>
      <c r="AC822" s="46">
        <v>205224000</v>
      </c>
      <c r="AD822" s="46">
        <v>2706</v>
      </c>
      <c r="AF822" s="47">
        <f t="shared" si="12"/>
        <v>205224000</v>
      </c>
    </row>
    <row r="823" spans="1:32" hidden="1" x14ac:dyDescent="0.3">
      <c r="A823" s="46" t="s">
        <v>615</v>
      </c>
      <c r="B823" s="46" t="str">
        <f>IFERROR(VLOOKUP($H823,매장구분!$B:$Z,2,0),"")</f>
        <v>파트너채널팀</v>
      </c>
      <c r="C823" s="46" t="str">
        <f>IFERROR(VLOOKUP($H823,매장구분!$B:$Z,3,0),"")</f>
        <v>국내</v>
      </c>
      <c r="D823" s="46" t="str">
        <f>IFERROR(VLOOKUP($H823,매장구분!$B:$Z,5,0),"")</f>
        <v>백화점</v>
      </c>
      <c r="E823" s="46" t="str">
        <f>IFERROR(VLOOKUP($H823,매장구분!$B:$Z,9,0),"")</f>
        <v>신세계센텀</v>
      </c>
      <c r="G823" s="46" t="s">
        <v>301</v>
      </c>
      <c r="H823" s="46" t="s">
        <v>302</v>
      </c>
      <c r="I823" s="46" t="s">
        <v>169</v>
      </c>
      <c r="J823" s="46" t="s">
        <v>175</v>
      </c>
      <c r="K823" s="46" t="s">
        <v>170</v>
      </c>
      <c r="L823" s="46" t="s">
        <v>171</v>
      </c>
      <c r="M823" s="46" t="s">
        <v>77</v>
      </c>
      <c r="N823" s="46" t="s">
        <v>172</v>
      </c>
      <c r="O823" s="46">
        <v>22542700</v>
      </c>
      <c r="P823" s="46">
        <v>208</v>
      </c>
      <c r="Q823" s="46">
        <v>0</v>
      </c>
      <c r="R823" s="46">
        <v>0</v>
      </c>
      <c r="S823" s="46">
        <v>0</v>
      </c>
      <c r="T823" s="46">
        <v>0</v>
      </c>
      <c r="U823" s="46">
        <v>692100</v>
      </c>
      <c r="V823" s="46">
        <v>6</v>
      </c>
      <c r="W823" s="46">
        <v>0</v>
      </c>
      <c r="X823" s="46">
        <v>0</v>
      </c>
      <c r="Y823" s="48">
        <v>0</v>
      </c>
      <c r="Z823" s="46">
        <v>0</v>
      </c>
      <c r="AA823" s="46">
        <v>0</v>
      </c>
      <c r="AB823" s="46">
        <v>0</v>
      </c>
      <c r="AC823" s="46">
        <v>23234800</v>
      </c>
      <c r="AD823" s="46">
        <v>214</v>
      </c>
      <c r="AF823" s="47">
        <f t="shared" si="12"/>
        <v>23234800</v>
      </c>
    </row>
    <row r="824" spans="1:32" hidden="1" x14ac:dyDescent="0.3">
      <c r="A824" s="46" t="s">
        <v>615</v>
      </c>
      <c r="B824" s="46" t="str">
        <f>IFERROR(VLOOKUP($H824,매장구분!$B:$Z,2,0),"")</f>
        <v>파트너채널팀</v>
      </c>
      <c r="C824" s="46" t="str">
        <f>IFERROR(VLOOKUP($H824,매장구분!$B:$Z,3,0),"")</f>
        <v>국내</v>
      </c>
      <c r="D824" s="46" t="str">
        <f>IFERROR(VLOOKUP($H824,매장구분!$B:$Z,5,0),"")</f>
        <v>백화점</v>
      </c>
      <c r="E824" s="46" t="str">
        <f>IFERROR(VLOOKUP($H824,매장구분!$B:$Z,9,0),"")</f>
        <v>신세계하남</v>
      </c>
      <c r="G824" s="46" t="s">
        <v>243</v>
      </c>
      <c r="H824" s="46" t="s">
        <v>244</v>
      </c>
      <c r="I824" s="46" t="s">
        <v>169</v>
      </c>
      <c r="J824" s="46" t="s">
        <v>175</v>
      </c>
      <c r="K824" s="46" t="s">
        <v>170</v>
      </c>
      <c r="L824" s="46" t="s">
        <v>171</v>
      </c>
      <c r="M824" s="46" t="s">
        <v>77</v>
      </c>
      <c r="N824" s="46" t="s">
        <v>172</v>
      </c>
      <c r="O824" s="46">
        <v>16677800</v>
      </c>
      <c r="P824" s="46">
        <v>164</v>
      </c>
      <c r="Q824" s="46">
        <v>1430500</v>
      </c>
      <c r="R824" s="46">
        <v>17</v>
      </c>
      <c r="S824" s="46">
        <v>0</v>
      </c>
      <c r="T824" s="46">
        <v>0</v>
      </c>
      <c r="U824" s="46">
        <v>1456300</v>
      </c>
      <c r="V824" s="46">
        <v>8</v>
      </c>
      <c r="W824" s="46">
        <v>0</v>
      </c>
      <c r="X824" s="46">
        <v>0</v>
      </c>
      <c r="Y824" s="48">
        <v>2034000</v>
      </c>
      <c r="Z824" s="46">
        <v>6</v>
      </c>
      <c r="AA824" s="46">
        <v>0</v>
      </c>
      <c r="AB824" s="46">
        <v>0</v>
      </c>
      <c r="AC824" s="46">
        <v>21598600</v>
      </c>
      <c r="AD824" s="46">
        <v>195</v>
      </c>
      <c r="AF824" s="47">
        <f t="shared" si="12"/>
        <v>19564600</v>
      </c>
    </row>
    <row r="825" spans="1:32" hidden="1" x14ac:dyDescent="0.3">
      <c r="A825" s="46" t="s">
        <v>615</v>
      </c>
      <c r="B825" s="46" t="str">
        <f>IFERROR(VLOOKUP($H825,매장구분!$B:$Z,2,0),"")</f>
        <v>리테일채널팀</v>
      </c>
      <c r="C825" s="46" t="str">
        <f>IFERROR(VLOOKUP($H825,매장구분!$B:$Z,3,0),"")</f>
        <v>국내</v>
      </c>
      <c r="D825" s="46" t="str">
        <f>IFERROR(VLOOKUP($H825,매장구분!$B:$Z,5,0),"")</f>
        <v>대리점</v>
      </c>
      <c r="E825" s="46" t="str">
        <f>IFERROR(VLOOKUP($H825,매장구분!$B:$Z,9,0),"")</f>
        <v>포항(대-위)</v>
      </c>
      <c r="G825" s="46" t="s">
        <v>338</v>
      </c>
      <c r="H825" s="46" t="s">
        <v>339</v>
      </c>
      <c r="I825" s="46" t="s">
        <v>169</v>
      </c>
      <c r="J825" s="46" t="s">
        <v>79</v>
      </c>
      <c r="K825" s="46" t="s">
        <v>170</v>
      </c>
      <c r="L825" s="46" t="s">
        <v>171</v>
      </c>
      <c r="M825" s="46" t="s">
        <v>196</v>
      </c>
      <c r="N825" s="46" t="s">
        <v>197</v>
      </c>
      <c r="O825" s="46">
        <v>13496590</v>
      </c>
      <c r="P825" s="46">
        <v>108</v>
      </c>
      <c r="Q825" s="46">
        <v>0</v>
      </c>
      <c r="R825" s="46">
        <v>0</v>
      </c>
      <c r="S825" s="46">
        <v>0</v>
      </c>
      <c r="T825" s="46">
        <v>0</v>
      </c>
      <c r="U825" s="46">
        <v>-182790</v>
      </c>
      <c r="V825" s="46">
        <v>-1</v>
      </c>
      <c r="W825" s="46">
        <v>0</v>
      </c>
      <c r="X825" s="46">
        <v>0</v>
      </c>
      <c r="Y825" s="48">
        <v>0</v>
      </c>
      <c r="Z825" s="46">
        <v>0</v>
      </c>
      <c r="AA825" s="46">
        <v>0</v>
      </c>
      <c r="AB825" s="46">
        <v>0</v>
      </c>
      <c r="AC825" s="46">
        <v>13313800</v>
      </c>
      <c r="AD825" s="46">
        <v>107</v>
      </c>
      <c r="AF825" s="47">
        <f t="shared" si="12"/>
        <v>13313800</v>
      </c>
    </row>
    <row r="826" spans="1:32" hidden="1" x14ac:dyDescent="0.3">
      <c r="A826" s="46" t="s">
        <v>615</v>
      </c>
      <c r="B826" s="46" t="str">
        <f>IFERROR(VLOOKUP($H826,매장구분!$B:$Z,2,0),"")</f>
        <v>리테일채널팀</v>
      </c>
      <c r="C826" s="46" t="str">
        <f>IFERROR(VLOOKUP($H826,매장구분!$B:$Z,3,0),"")</f>
        <v>국내</v>
      </c>
      <c r="D826" s="46" t="str">
        <f>IFERROR(VLOOKUP($H826,매장구분!$B:$Z,5,0),"")</f>
        <v>대리점</v>
      </c>
      <c r="E826" s="46" t="str">
        <f>IFERROR(VLOOKUP($H826,매장구분!$B:$Z,9,0),"")</f>
        <v>천안쌍용(대-위)</v>
      </c>
      <c r="G826" s="46" t="s">
        <v>574</v>
      </c>
      <c r="H826" s="46" t="s">
        <v>575</v>
      </c>
      <c r="I826" s="46" t="s">
        <v>169</v>
      </c>
      <c r="J826" s="46" t="s">
        <v>79</v>
      </c>
      <c r="K826" s="46" t="s">
        <v>170</v>
      </c>
      <c r="L826" s="46" t="s">
        <v>171</v>
      </c>
      <c r="M826" s="46" t="s">
        <v>196</v>
      </c>
      <c r="N826" s="46" t="s">
        <v>197</v>
      </c>
      <c r="O826" s="46">
        <v>6135178</v>
      </c>
      <c r="P826" s="46">
        <v>36</v>
      </c>
      <c r="Q826" s="46">
        <v>0</v>
      </c>
      <c r="R826" s="46">
        <v>0</v>
      </c>
      <c r="S826" s="46">
        <v>0</v>
      </c>
      <c r="T826" s="46">
        <v>0</v>
      </c>
      <c r="U826" s="46">
        <v>2285000</v>
      </c>
      <c r="V826" s="46">
        <v>5</v>
      </c>
      <c r="W826" s="46">
        <v>0</v>
      </c>
      <c r="X826" s="46">
        <v>0</v>
      </c>
      <c r="Y826" s="48">
        <v>381822</v>
      </c>
      <c r="Z826" s="46">
        <v>7</v>
      </c>
      <c r="AA826" s="46">
        <v>0</v>
      </c>
      <c r="AB826" s="46">
        <v>0</v>
      </c>
      <c r="AC826" s="46">
        <v>8802000</v>
      </c>
      <c r="AD826" s="46">
        <v>48</v>
      </c>
      <c r="AF826" s="47">
        <f t="shared" si="12"/>
        <v>8420178</v>
      </c>
    </row>
    <row r="827" spans="1:32" hidden="1" x14ac:dyDescent="0.3">
      <c r="A827" s="46" t="s">
        <v>615</v>
      </c>
      <c r="B827" s="46" t="str">
        <f>IFERROR(VLOOKUP($H827,매장구분!$B:$Z,2,0),"")</f>
        <v>리테일채널팀</v>
      </c>
      <c r="C827" s="46" t="str">
        <f>IFERROR(VLOOKUP($H827,매장구분!$B:$Z,3,0),"")</f>
        <v>국내</v>
      </c>
      <c r="D827" s="46" t="str">
        <f>IFERROR(VLOOKUP($H827,매장구분!$B:$Z,5,0),"")</f>
        <v>대리점</v>
      </c>
      <c r="E827" s="46" t="str">
        <f>IFERROR(VLOOKUP($H827,매장구분!$B:$Z,9,0),"")</f>
        <v>영주(대-위)</v>
      </c>
      <c r="G827" s="46" t="s">
        <v>392</v>
      </c>
      <c r="H827" s="46" t="s">
        <v>393</v>
      </c>
      <c r="I827" s="46" t="s">
        <v>169</v>
      </c>
      <c r="J827" s="46" t="s">
        <v>79</v>
      </c>
      <c r="K827" s="46" t="s">
        <v>170</v>
      </c>
      <c r="L827" s="46" t="s">
        <v>171</v>
      </c>
      <c r="M827" s="46" t="s">
        <v>196</v>
      </c>
      <c r="N827" s="46" t="s">
        <v>197</v>
      </c>
      <c r="O827" s="46">
        <v>11786852</v>
      </c>
      <c r="P827" s="46">
        <v>87</v>
      </c>
      <c r="Q827" s="46">
        <v>0</v>
      </c>
      <c r="R827" s="46">
        <v>0</v>
      </c>
      <c r="S827" s="46">
        <v>0</v>
      </c>
      <c r="T827" s="46">
        <v>0</v>
      </c>
      <c r="U827" s="46">
        <v>1928000</v>
      </c>
      <c r="V827" s="46">
        <v>12</v>
      </c>
      <c r="W827" s="46">
        <v>0</v>
      </c>
      <c r="X827" s="46">
        <v>0</v>
      </c>
      <c r="Y827" s="48">
        <v>0</v>
      </c>
      <c r="Z827" s="46">
        <v>0</v>
      </c>
      <c r="AA827" s="46">
        <v>0</v>
      </c>
      <c r="AB827" s="46">
        <v>0</v>
      </c>
      <c r="AC827" s="46">
        <v>13714852</v>
      </c>
      <c r="AD827" s="46">
        <v>99</v>
      </c>
      <c r="AF827" s="47">
        <f t="shared" si="12"/>
        <v>13714852</v>
      </c>
    </row>
    <row r="828" spans="1:32" hidden="1" x14ac:dyDescent="0.3">
      <c r="A828" s="46" t="s">
        <v>615</v>
      </c>
      <c r="B828" s="46" t="str">
        <f>IFERROR(VLOOKUP($H828,매장구분!$B:$Z,2,0),"")</f>
        <v>파트너채널팀</v>
      </c>
      <c r="C828" s="46" t="str">
        <f>IFERROR(VLOOKUP($H828,매장구분!$B:$Z,3,0),"")</f>
        <v>국내</v>
      </c>
      <c r="D828" s="46" t="str">
        <f>IFERROR(VLOOKUP($H828,매장구분!$B:$Z,5,0),"")</f>
        <v>백화점</v>
      </c>
      <c r="E828" s="46" t="str">
        <f>IFERROR(VLOOKUP($H828,매장구분!$B:$Z,9,0),"")</f>
        <v>현대판교</v>
      </c>
      <c r="G828" s="46" t="s">
        <v>257</v>
      </c>
      <c r="H828" s="46" t="s">
        <v>258</v>
      </c>
      <c r="I828" s="46" t="s">
        <v>169</v>
      </c>
      <c r="J828" s="46" t="s">
        <v>175</v>
      </c>
      <c r="K828" s="46" t="s">
        <v>170</v>
      </c>
      <c r="L828" s="46" t="s">
        <v>171</v>
      </c>
      <c r="M828" s="46" t="s">
        <v>77</v>
      </c>
      <c r="N828" s="46" t="s">
        <v>172</v>
      </c>
      <c r="O828" s="46">
        <v>14765360</v>
      </c>
      <c r="P828" s="46">
        <v>164</v>
      </c>
      <c r="Q828" s="46">
        <v>4461700</v>
      </c>
      <c r="R828" s="46">
        <v>28</v>
      </c>
      <c r="S828" s="46">
        <v>0</v>
      </c>
      <c r="T828" s="46">
        <v>0</v>
      </c>
      <c r="U828" s="46">
        <v>1508940</v>
      </c>
      <c r="V828" s="46">
        <v>13</v>
      </c>
      <c r="W828" s="46">
        <v>0</v>
      </c>
      <c r="X828" s="46">
        <v>0</v>
      </c>
      <c r="Y828" s="48">
        <v>52961100</v>
      </c>
      <c r="Z828" s="46">
        <v>356</v>
      </c>
      <c r="AA828" s="46">
        <v>0</v>
      </c>
      <c r="AB828" s="46">
        <v>0</v>
      </c>
      <c r="AC828" s="46">
        <v>73697100</v>
      </c>
      <c r="AD828" s="46">
        <v>561</v>
      </c>
      <c r="AF828" s="47">
        <f t="shared" si="12"/>
        <v>20736000</v>
      </c>
    </row>
    <row r="829" spans="1:32" hidden="1" x14ac:dyDescent="0.3">
      <c r="A829" s="46" t="s">
        <v>615</v>
      </c>
      <c r="B829" s="46" t="str">
        <f>IFERROR(VLOOKUP($H829,매장구분!$B:$Z,2,0),"")</f>
        <v>리테일채널팀</v>
      </c>
      <c r="C829" s="46" t="str">
        <f>IFERROR(VLOOKUP($H829,매장구분!$B:$Z,3,0),"")</f>
        <v>국내</v>
      </c>
      <c r="D829" s="46" t="str">
        <f>IFERROR(VLOOKUP($H829,매장구분!$B:$Z,5,0),"")</f>
        <v>대리점</v>
      </c>
      <c r="E829" s="46" t="str">
        <f>IFERROR(VLOOKUP($H829,매장구분!$B:$Z,9,0),"")</f>
        <v>퍼스트빌리지(대-위)</v>
      </c>
      <c r="G829" s="46" t="s">
        <v>440</v>
      </c>
      <c r="H829" s="46" t="s">
        <v>441</v>
      </c>
      <c r="I829" s="46" t="s">
        <v>169</v>
      </c>
      <c r="J829" s="46" t="s">
        <v>79</v>
      </c>
      <c r="K829" s="46" t="s">
        <v>170</v>
      </c>
      <c r="L829" s="46" t="s">
        <v>171</v>
      </c>
      <c r="M829" s="46" t="s">
        <v>196</v>
      </c>
      <c r="N829" s="46" t="s">
        <v>197</v>
      </c>
      <c r="O829" s="46">
        <v>19557934</v>
      </c>
      <c r="P829" s="46">
        <v>163</v>
      </c>
      <c r="Q829" s="46">
        <v>0</v>
      </c>
      <c r="R829" s="46">
        <v>0</v>
      </c>
      <c r="S829" s="46">
        <v>0</v>
      </c>
      <c r="T829" s="46">
        <v>0</v>
      </c>
      <c r="U829" s="46">
        <v>1141966</v>
      </c>
      <c r="V829" s="46">
        <v>5</v>
      </c>
      <c r="W829" s="46">
        <v>0</v>
      </c>
      <c r="X829" s="46">
        <v>0</v>
      </c>
      <c r="Y829" s="48">
        <v>0</v>
      </c>
      <c r="Z829" s="46">
        <v>0</v>
      </c>
      <c r="AA829" s="46">
        <v>0</v>
      </c>
      <c r="AB829" s="46">
        <v>0</v>
      </c>
      <c r="AC829" s="46">
        <v>20699900</v>
      </c>
      <c r="AD829" s="46">
        <v>168</v>
      </c>
      <c r="AF829" s="47">
        <f t="shared" si="12"/>
        <v>20699900</v>
      </c>
    </row>
    <row r="830" spans="1:32" hidden="1" x14ac:dyDescent="0.3">
      <c r="A830" s="46" t="s">
        <v>615</v>
      </c>
      <c r="B830" s="46" t="str">
        <f>IFERROR(VLOOKUP($H830,매장구분!$B:$Z,2,0),"")</f>
        <v>파트너채널팀</v>
      </c>
      <c r="C830" s="46" t="str">
        <f>IFERROR(VLOOKUP($H830,매장구분!$B:$Z,3,0),"")</f>
        <v>국내</v>
      </c>
      <c r="D830" s="46" t="str">
        <f>IFERROR(VLOOKUP($H830,매장구분!$B:$Z,5,0),"")</f>
        <v>백화점</v>
      </c>
      <c r="E830" s="46" t="str">
        <f>IFERROR(VLOOKUP($H830,매장구분!$B:$Z,9,0),"")</f>
        <v>롯데미아</v>
      </c>
      <c r="G830" s="46" t="s">
        <v>350</v>
      </c>
      <c r="H830" s="46" t="s">
        <v>351</v>
      </c>
      <c r="I830" s="46" t="s">
        <v>169</v>
      </c>
      <c r="J830" s="46" t="s">
        <v>175</v>
      </c>
      <c r="K830" s="46" t="s">
        <v>170</v>
      </c>
      <c r="L830" s="46" t="s">
        <v>171</v>
      </c>
      <c r="M830" s="46" t="s">
        <v>77</v>
      </c>
      <c r="N830" s="46" t="s">
        <v>172</v>
      </c>
      <c r="O830" s="46">
        <v>20688400</v>
      </c>
      <c r="P830" s="46">
        <v>140</v>
      </c>
      <c r="Q830" s="46">
        <v>0</v>
      </c>
      <c r="R830" s="46">
        <v>0</v>
      </c>
      <c r="S830" s="46">
        <v>0</v>
      </c>
      <c r="T830" s="46">
        <v>0</v>
      </c>
      <c r="U830" s="46">
        <v>0</v>
      </c>
      <c r="V830" s="46">
        <v>0</v>
      </c>
      <c r="W830" s="46">
        <v>0</v>
      </c>
      <c r="X830" s="46">
        <v>0</v>
      </c>
      <c r="Y830" s="48">
        <v>0</v>
      </c>
      <c r="Z830" s="46">
        <v>0</v>
      </c>
      <c r="AA830" s="46">
        <v>0</v>
      </c>
      <c r="AB830" s="46">
        <v>0</v>
      </c>
      <c r="AC830" s="46">
        <v>20688400</v>
      </c>
      <c r="AD830" s="46">
        <v>140</v>
      </c>
      <c r="AF830" s="47">
        <f t="shared" si="12"/>
        <v>20688400</v>
      </c>
    </row>
    <row r="831" spans="1:32" hidden="1" x14ac:dyDescent="0.3">
      <c r="A831" s="46" t="s">
        <v>615</v>
      </c>
      <c r="B831" s="46" t="str">
        <f>IFERROR(VLOOKUP($H831,매장구분!$B:$Z,2,0),"")</f>
        <v>파트너채널팀</v>
      </c>
      <c r="C831" s="46" t="str">
        <f>IFERROR(VLOOKUP($H831,매장구분!$B:$Z,3,0),"")</f>
        <v>국내</v>
      </c>
      <c r="D831" s="46" t="str">
        <f>IFERROR(VLOOKUP($H831,매장구분!$B:$Z,5,0),"")</f>
        <v>백화점</v>
      </c>
      <c r="E831" s="46" t="str">
        <f>IFERROR(VLOOKUP($H831,매장구분!$B:$Z,9,0),"")</f>
        <v>AK원주</v>
      </c>
      <c r="G831" s="46" t="s">
        <v>396</v>
      </c>
      <c r="H831" s="46" t="s">
        <v>397</v>
      </c>
      <c r="I831" s="46" t="s">
        <v>169</v>
      </c>
      <c r="J831" s="46" t="s">
        <v>175</v>
      </c>
      <c r="K831" s="46" t="s">
        <v>170</v>
      </c>
      <c r="L831" s="46" t="s">
        <v>171</v>
      </c>
      <c r="M831" s="46" t="s">
        <v>77</v>
      </c>
      <c r="N831" s="46" t="s">
        <v>172</v>
      </c>
      <c r="O831" s="46">
        <v>24854400</v>
      </c>
      <c r="P831" s="46">
        <v>198</v>
      </c>
      <c r="Q831" s="46">
        <v>0</v>
      </c>
      <c r="R831" s="46">
        <v>0</v>
      </c>
      <c r="S831" s="46">
        <v>0</v>
      </c>
      <c r="T831" s="46">
        <v>0</v>
      </c>
      <c r="U831" s="46">
        <v>0</v>
      </c>
      <c r="V831" s="46">
        <v>0</v>
      </c>
      <c r="W831" s="46">
        <v>0</v>
      </c>
      <c r="X831" s="46">
        <v>0</v>
      </c>
      <c r="Y831" s="48">
        <v>1790000</v>
      </c>
      <c r="Z831" s="46">
        <v>10</v>
      </c>
      <c r="AA831" s="46">
        <v>0</v>
      </c>
      <c r="AB831" s="46">
        <v>0</v>
      </c>
      <c r="AC831" s="46">
        <v>26644400</v>
      </c>
      <c r="AD831" s="46">
        <v>208</v>
      </c>
      <c r="AF831" s="47">
        <f t="shared" si="12"/>
        <v>24854400</v>
      </c>
    </row>
    <row r="832" spans="1:32" hidden="1" x14ac:dyDescent="0.3">
      <c r="A832" s="46" t="s">
        <v>615</v>
      </c>
      <c r="B832" s="46" t="str">
        <f>IFERROR(VLOOKUP($H832,매장구분!$B:$Z,2,0),"")</f>
        <v>리테일채널팀</v>
      </c>
      <c r="C832" s="46" t="str">
        <f>IFERROR(VLOOKUP($H832,매장구분!$B:$Z,3,0),"")</f>
        <v>국내</v>
      </c>
      <c r="D832" s="46" t="str">
        <f>IFERROR(VLOOKUP($H832,매장구분!$B:$Z,5,0),"")</f>
        <v>대리점</v>
      </c>
      <c r="E832" s="46" t="str">
        <f>IFERROR(VLOOKUP($H832,매장구분!$B:$Z,9,0),"")</f>
        <v>제천(대-위)</v>
      </c>
      <c r="G832" s="46" t="s">
        <v>311</v>
      </c>
      <c r="H832" s="46" t="s">
        <v>312</v>
      </c>
      <c r="I832" s="46" t="s">
        <v>169</v>
      </c>
      <c r="J832" s="46" t="s">
        <v>79</v>
      </c>
      <c r="K832" s="46" t="s">
        <v>170</v>
      </c>
      <c r="L832" s="46" t="s">
        <v>171</v>
      </c>
      <c r="M832" s="46" t="s">
        <v>196</v>
      </c>
      <c r="N832" s="46" t="s">
        <v>197</v>
      </c>
      <c r="O832" s="46">
        <v>9345721</v>
      </c>
      <c r="P832" s="46">
        <v>65</v>
      </c>
      <c r="Q832" s="46">
        <v>0</v>
      </c>
      <c r="R832" s="46">
        <v>0</v>
      </c>
      <c r="S832" s="46">
        <v>0</v>
      </c>
      <c r="T832" s="46">
        <v>0</v>
      </c>
      <c r="U832" s="46">
        <v>4143379</v>
      </c>
      <c r="V832" s="46">
        <v>11</v>
      </c>
      <c r="W832" s="46">
        <v>0</v>
      </c>
      <c r="X832" s="46">
        <v>0</v>
      </c>
      <c r="Y832" s="48">
        <v>0</v>
      </c>
      <c r="Z832" s="46">
        <v>0</v>
      </c>
      <c r="AA832" s="46">
        <v>0</v>
      </c>
      <c r="AB832" s="46">
        <v>0</v>
      </c>
      <c r="AC832" s="46">
        <v>13489100</v>
      </c>
      <c r="AD832" s="46">
        <v>76</v>
      </c>
      <c r="AF832" s="47">
        <f t="shared" si="12"/>
        <v>13489100</v>
      </c>
    </row>
    <row r="833" spans="1:32" hidden="1" x14ac:dyDescent="0.3">
      <c r="A833" s="46" t="s">
        <v>615</v>
      </c>
      <c r="B833" s="46" t="str">
        <f>IFERROR(VLOOKUP($H833,매장구분!$B:$Z,2,0),"")</f>
        <v>파트너채널팀</v>
      </c>
      <c r="C833" s="46" t="str">
        <f>IFERROR(VLOOKUP($H833,매장구분!$B:$Z,3,0),"")</f>
        <v>국내</v>
      </c>
      <c r="D833" s="46" t="str">
        <f>IFERROR(VLOOKUP($H833,매장구분!$B:$Z,5,0),"")</f>
        <v>백화점</v>
      </c>
      <c r="E833" s="46" t="str">
        <f>IFERROR(VLOOKUP($H833,매장구분!$B:$Z,9,0),"")</f>
        <v>갤러리아진주</v>
      </c>
      <c r="G833" s="46" t="s">
        <v>516</v>
      </c>
      <c r="H833" s="46" t="s">
        <v>517</v>
      </c>
      <c r="I833" s="46" t="s">
        <v>169</v>
      </c>
      <c r="J833" s="46" t="s">
        <v>175</v>
      </c>
      <c r="K833" s="46" t="s">
        <v>170</v>
      </c>
      <c r="L833" s="46" t="s">
        <v>171</v>
      </c>
      <c r="M833" s="46" t="s">
        <v>77</v>
      </c>
      <c r="N833" s="46" t="s">
        <v>172</v>
      </c>
      <c r="O833" s="46">
        <v>10559934</v>
      </c>
      <c r="P833" s="46">
        <v>88</v>
      </c>
      <c r="Q833" s="46">
        <v>93000</v>
      </c>
      <c r="R833" s="46">
        <v>7</v>
      </c>
      <c r="S833" s="46">
        <v>0</v>
      </c>
      <c r="T833" s="46">
        <v>0</v>
      </c>
      <c r="U833" s="46">
        <v>3792966</v>
      </c>
      <c r="V833" s="46">
        <v>22</v>
      </c>
      <c r="W833" s="46">
        <v>0</v>
      </c>
      <c r="X833" s="46">
        <v>0</v>
      </c>
      <c r="Y833" s="48">
        <v>0</v>
      </c>
      <c r="Z833" s="46">
        <v>0</v>
      </c>
      <c r="AA833" s="46">
        <v>0</v>
      </c>
      <c r="AB833" s="46">
        <v>0</v>
      </c>
      <c r="AC833" s="46">
        <v>14445900</v>
      </c>
      <c r="AD833" s="46">
        <v>117</v>
      </c>
      <c r="AF833" s="47">
        <f t="shared" si="12"/>
        <v>14445900</v>
      </c>
    </row>
    <row r="834" spans="1:32" hidden="1" x14ac:dyDescent="0.3">
      <c r="A834" s="46" t="s">
        <v>615</v>
      </c>
      <c r="B834" s="46" t="str">
        <f>IFERROR(VLOOKUP($H834,매장구분!$B:$Z,2,0),"")</f>
        <v>리테일채널팀</v>
      </c>
      <c r="C834" s="46" t="str">
        <f>IFERROR(VLOOKUP($H834,매장구분!$B:$Z,3,0),"")</f>
        <v>국내</v>
      </c>
      <c r="D834" s="46" t="str">
        <f>IFERROR(VLOOKUP($H834,매장구분!$B:$Z,5,0),"")</f>
        <v>대리점</v>
      </c>
      <c r="E834" s="46" t="str">
        <f>IFERROR(VLOOKUP($H834,매장구분!$B:$Z,9,0),"")</f>
        <v>상주(대-위)</v>
      </c>
      <c r="G834" s="46" t="s">
        <v>388</v>
      </c>
      <c r="H834" s="46" t="s">
        <v>389</v>
      </c>
      <c r="I834" s="46" t="s">
        <v>169</v>
      </c>
      <c r="J834" s="46" t="s">
        <v>79</v>
      </c>
      <c r="K834" s="46" t="s">
        <v>170</v>
      </c>
      <c r="L834" s="46" t="s">
        <v>171</v>
      </c>
      <c r="M834" s="46" t="s">
        <v>196</v>
      </c>
      <c r="N834" s="46" t="s">
        <v>197</v>
      </c>
      <c r="O834" s="46">
        <v>6534517</v>
      </c>
      <c r="P834" s="46">
        <v>52</v>
      </c>
      <c r="Q834" s="46">
        <v>0</v>
      </c>
      <c r="R834" s="46">
        <v>0</v>
      </c>
      <c r="S834" s="46">
        <v>0</v>
      </c>
      <c r="T834" s="46">
        <v>0</v>
      </c>
      <c r="U834" s="46">
        <v>531000</v>
      </c>
      <c r="V834" s="46">
        <v>4</v>
      </c>
      <c r="W834" s="46">
        <v>0</v>
      </c>
      <c r="X834" s="46">
        <v>0</v>
      </c>
      <c r="Y834" s="48">
        <v>0</v>
      </c>
      <c r="Z834" s="46">
        <v>0</v>
      </c>
      <c r="AA834" s="46">
        <v>0</v>
      </c>
      <c r="AB834" s="46">
        <v>0</v>
      </c>
      <c r="AC834" s="46">
        <v>7065517</v>
      </c>
      <c r="AD834" s="46">
        <v>56</v>
      </c>
      <c r="AF834" s="47">
        <f t="shared" si="12"/>
        <v>7065517</v>
      </c>
    </row>
    <row r="835" spans="1:32" hidden="1" x14ac:dyDescent="0.3">
      <c r="A835" s="46" t="s">
        <v>615</v>
      </c>
      <c r="B835" s="46" t="str">
        <f>IFERROR(VLOOKUP($H835,매장구분!$B:$Z,2,0),"")</f>
        <v>리테일채널팀</v>
      </c>
      <c r="C835" s="46" t="str">
        <f>IFERROR(VLOOKUP($H835,매장구분!$B:$Z,3,0),"")</f>
        <v>국내</v>
      </c>
      <c r="D835" s="46" t="str">
        <f>IFERROR(VLOOKUP($H835,매장구분!$B:$Z,5,0),"")</f>
        <v>상설(위탁)</v>
      </c>
      <c r="E835" s="46" t="str">
        <f>IFERROR(VLOOKUP($H835,매장구분!$B:$Z,9,0),"")</f>
        <v>신세계아울렛시흥(상-위)</v>
      </c>
      <c r="G835" s="46" t="s">
        <v>524</v>
      </c>
      <c r="H835" s="46" t="s">
        <v>525</v>
      </c>
      <c r="I835" s="46" t="s">
        <v>169</v>
      </c>
      <c r="J835" s="46" t="s">
        <v>79</v>
      </c>
      <c r="K835" s="46" t="s">
        <v>170</v>
      </c>
      <c r="L835" s="46" t="s">
        <v>171</v>
      </c>
      <c r="M835" s="46" t="s">
        <v>219</v>
      </c>
      <c r="N835" s="46" t="s">
        <v>219</v>
      </c>
      <c r="O835" s="46">
        <v>2664000</v>
      </c>
      <c r="P835" s="46">
        <v>74</v>
      </c>
      <c r="Q835" s="46">
        <v>0</v>
      </c>
      <c r="R835" s="46">
        <v>0</v>
      </c>
      <c r="S835" s="46">
        <v>0</v>
      </c>
      <c r="T835" s="46">
        <v>0</v>
      </c>
      <c r="U835" s="46">
        <v>0</v>
      </c>
      <c r="V835" s="46">
        <v>0</v>
      </c>
      <c r="W835" s="46">
        <v>0</v>
      </c>
      <c r="X835" s="46">
        <v>0</v>
      </c>
      <c r="Y835" s="48">
        <v>0</v>
      </c>
      <c r="Z835" s="46">
        <v>0</v>
      </c>
      <c r="AA835" s="46">
        <v>0</v>
      </c>
      <c r="AB835" s="46">
        <v>0</v>
      </c>
      <c r="AC835" s="46">
        <v>2664000</v>
      </c>
      <c r="AD835" s="46">
        <v>74</v>
      </c>
      <c r="AF835" s="47">
        <f t="shared" ref="AF835:AF898" si="13">IFERROR(AC835-Y835,"")</f>
        <v>2664000</v>
      </c>
    </row>
    <row r="836" spans="1:32" hidden="1" x14ac:dyDescent="0.3">
      <c r="A836" s="46" t="s">
        <v>615</v>
      </c>
      <c r="B836" s="46" t="str">
        <f>IFERROR(VLOOKUP($H836,매장구분!$B:$Z,2,0),"")</f>
        <v>리테일채널팀</v>
      </c>
      <c r="C836" s="46" t="str">
        <f>IFERROR(VLOOKUP($H836,매장구분!$B:$Z,3,0),"")</f>
        <v>국내</v>
      </c>
      <c r="D836" s="46" t="str">
        <f>IFERROR(VLOOKUP($H836,매장구분!$B:$Z,5,0),"")</f>
        <v>대리점</v>
      </c>
      <c r="E836" s="46" t="str">
        <f>IFERROR(VLOOKUP($H836,매장구분!$B:$Z,9,0),"")</f>
        <v>남양주삼패(대-위)</v>
      </c>
      <c r="G836" s="46" t="s">
        <v>586</v>
      </c>
      <c r="H836" s="46" t="s">
        <v>587</v>
      </c>
      <c r="I836" s="46" t="s">
        <v>169</v>
      </c>
      <c r="J836" s="46" t="s">
        <v>79</v>
      </c>
      <c r="K836" s="46" t="s">
        <v>170</v>
      </c>
      <c r="L836" s="46" t="s">
        <v>171</v>
      </c>
      <c r="M836" s="46" t="s">
        <v>196</v>
      </c>
      <c r="N836" s="46" t="s">
        <v>197</v>
      </c>
      <c r="O836" s="46">
        <v>3482000</v>
      </c>
      <c r="P836" s="46">
        <v>43</v>
      </c>
      <c r="Q836" s="46">
        <v>0</v>
      </c>
      <c r="R836" s="46">
        <v>0</v>
      </c>
      <c r="S836" s="46">
        <v>0</v>
      </c>
      <c r="T836" s="46">
        <v>0</v>
      </c>
      <c r="U836" s="46">
        <v>642300</v>
      </c>
      <c r="V836" s="46">
        <v>6</v>
      </c>
      <c r="W836" s="46">
        <v>0</v>
      </c>
      <c r="X836" s="46">
        <v>0</v>
      </c>
      <c r="Y836" s="48">
        <v>11854000</v>
      </c>
      <c r="Z836" s="46">
        <v>86</v>
      </c>
      <c r="AA836" s="46">
        <v>0</v>
      </c>
      <c r="AB836" s="46">
        <v>0</v>
      </c>
      <c r="AC836" s="46">
        <v>15978300</v>
      </c>
      <c r="AD836" s="46">
        <v>135</v>
      </c>
      <c r="AF836" s="47">
        <f t="shared" si="13"/>
        <v>4124300</v>
      </c>
    </row>
    <row r="837" spans="1:32" hidden="1" x14ac:dyDescent="0.3">
      <c r="A837" s="46" t="s">
        <v>615</v>
      </c>
      <c r="B837" s="46" t="str">
        <f>IFERROR(VLOOKUP($H837,매장구분!$B:$Z,2,0),"")</f>
        <v>파트너채널팀</v>
      </c>
      <c r="C837" s="46" t="str">
        <f>IFERROR(VLOOKUP($H837,매장구분!$B:$Z,3,0),"")</f>
        <v>국내</v>
      </c>
      <c r="D837" s="46" t="str">
        <f>IFERROR(VLOOKUP($H837,매장구분!$B:$Z,5,0),"")</f>
        <v>백화점</v>
      </c>
      <c r="E837" s="46" t="str">
        <f>IFERROR(VLOOKUP($H837,매장구분!$B:$Z,9,0),"")</f>
        <v>모다아울렛천안</v>
      </c>
      <c r="G837" s="46" t="s">
        <v>267</v>
      </c>
      <c r="H837" s="46" t="s">
        <v>268</v>
      </c>
      <c r="I837" s="46" t="s">
        <v>169</v>
      </c>
      <c r="J837" s="46" t="s">
        <v>175</v>
      </c>
      <c r="K837" s="46" t="s">
        <v>170</v>
      </c>
      <c r="L837" s="46" t="s">
        <v>171</v>
      </c>
      <c r="M837" s="46" t="s">
        <v>77</v>
      </c>
      <c r="N837" s="46" t="s">
        <v>238</v>
      </c>
      <c r="O837" s="46">
        <v>9331300</v>
      </c>
      <c r="P837" s="46">
        <v>87</v>
      </c>
      <c r="Q837" s="46">
        <v>0</v>
      </c>
      <c r="R837" s="46">
        <v>0</v>
      </c>
      <c r="S837" s="46">
        <v>0</v>
      </c>
      <c r="T837" s="46">
        <v>0</v>
      </c>
      <c r="U837" s="46">
        <v>1864900</v>
      </c>
      <c r="V837" s="46">
        <v>7</v>
      </c>
      <c r="W837" s="46">
        <v>0</v>
      </c>
      <c r="X837" s="46">
        <v>0</v>
      </c>
      <c r="Y837" s="48">
        <v>0</v>
      </c>
      <c r="Z837" s="46">
        <v>0</v>
      </c>
      <c r="AA837" s="46">
        <v>0</v>
      </c>
      <c r="AB837" s="46">
        <v>0</v>
      </c>
      <c r="AC837" s="46">
        <v>11196200</v>
      </c>
      <c r="AD837" s="46">
        <v>94</v>
      </c>
      <c r="AF837" s="47">
        <f t="shared" si="13"/>
        <v>11196200</v>
      </c>
    </row>
    <row r="838" spans="1:32" hidden="1" x14ac:dyDescent="0.3">
      <c r="A838" s="46" t="s">
        <v>615</v>
      </c>
      <c r="B838" s="46" t="str">
        <f>IFERROR(VLOOKUP($H838,매장구분!$B:$Z,2,0),"")</f>
        <v>리테일채널팀</v>
      </c>
      <c r="C838" s="46" t="str">
        <f>IFERROR(VLOOKUP($H838,매장구분!$B:$Z,3,0),"")</f>
        <v>국내</v>
      </c>
      <c r="D838" s="46" t="str">
        <f>IFERROR(VLOOKUP($H838,매장구분!$B:$Z,5,0),"")</f>
        <v>대리점</v>
      </c>
      <c r="E838" s="46" t="str">
        <f>IFERROR(VLOOKUP($H838,매장구분!$B:$Z,9,0),"")</f>
        <v>세정광주(대-위)</v>
      </c>
      <c r="G838" s="46" t="s">
        <v>346</v>
      </c>
      <c r="H838" s="46" t="s">
        <v>347</v>
      </c>
      <c r="I838" s="46" t="s">
        <v>169</v>
      </c>
      <c r="J838" s="46" t="s">
        <v>79</v>
      </c>
      <c r="K838" s="46" t="s">
        <v>170</v>
      </c>
      <c r="L838" s="46" t="s">
        <v>171</v>
      </c>
      <c r="M838" s="46" t="s">
        <v>196</v>
      </c>
      <c r="N838" s="46" t="s">
        <v>197</v>
      </c>
      <c r="O838" s="46">
        <v>13588600</v>
      </c>
      <c r="P838" s="46">
        <v>112</v>
      </c>
      <c r="Q838" s="46">
        <v>0</v>
      </c>
      <c r="R838" s="46">
        <v>0</v>
      </c>
      <c r="S838" s="46">
        <v>0</v>
      </c>
      <c r="T838" s="46">
        <v>0</v>
      </c>
      <c r="U838" s="46">
        <v>2268400</v>
      </c>
      <c r="V838" s="46">
        <v>9</v>
      </c>
      <c r="W838" s="46">
        <v>0</v>
      </c>
      <c r="X838" s="46">
        <v>0</v>
      </c>
      <c r="Y838" s="48">
        <v>0</v>
      </c>
      <c r="Z838" s="46">
        <v>0</v>
      </c>
      <c r="AA838" s="46">
        <v>0</v>
      </c>
      <c r="AB838" s="46">
        <v>0</v>
      </c>
      <c r="AC838" s="46">
        <v>15857000</v>
      </c>
      <c r="AD838" s="46">
        <v>121</v>
      </c>
      <c r="AF838" s="47">
        <f t="shared" si="13"/>
        <v>15857000</v>
      </c>
    </row>
    <row r="839" spans="1:32" hidden="1" x14ac:dyDescent="0.3">
      <c r="A839" s="46" t="s">
        <v>615</v>
      </c>
      <c r="B839" s="46" t="str">
        <f>IFERROR(VLOOKUP($H839,매장구분!$B:$Z,2,0),"")</f>
        <v>리테일채널팀</v>
      </c>
      <c r="C839" s="46" t="str">
        <f>IFERROR(VLOOKUP($H839,매장구분!$B:$Z,3,0),"")</f>
        <v>국내</v>
      </c>
      <c r="D839" s="46" t="str">
        <f>IFERROR(VLOOKUP($H839,매장구분!$B:$Z,5,0),"")</f>
        <v>대리점</v>
      </c>
      <c r="E839" s="46" t="str">
        <f>IFERROR(VLOOKUP($H839,매장구분!$B:$Z,9,0),"")</f>
        <v>나주(대-위)</v>
      </c>
      <c r="G839" s="46" t="s">
        <v>324</v>
      </c>
      <c r="H839" s="46" t="s">
        <v>325</v>
      </c>
      <c r="I839" s="46" t="s">
        <v>169</v>
      </c>
      <c r="J839" s="46" t="s">
        <v>79</v>
      </c>
      <c r="K839" s="46" t="s">
        <v>170</v>
      </c>
      <c r="L839" s="46" t="s">
        <v>171</v>
      </c>
      <c r="M839" s="46" t="s">
        <v>196</v>
      </c>
      <c r="N839" s="46" t="s">
        <v>197</v>
      </c>
      <c r="O839" s="46">
        <v>20258665</v>
      </c>
      <c r="P839" s="46">
        <v>163</v>
      </c>
      <c r="Q839" s="46">
        <v>0</v>
      </c>
      <c r="R839" s="46">
        <v>0</v>
      </c>
      <c r="S839" s="46">
        <v>0</v>
      </c>
      <c r="T839" s="46">
        <v>0</v>
      </c>
      <c r="U839" s="46">
        <v>3154402</v>
      </c>
      <c r="V839" s="46">
        <v>18</v>
      </c>
      <c r="W839" s="46">
        <v>0</v>
      </c>
      <c r="X839" s="46">
        <v>0</v>
      </c>
      <c r="Y839" s="48">
        <v>0</v>
      </c>
      <c r="Z839" s="46">
        <v>0</v>
      </c>
      <c r="AA839" s="46">
        <v>0</v>
      </c>
      <c r="AB839" s="46">
        <v>0</v>
      </c>
      <c r="AC839" s="46">
        <v>23413067</v>
      </c>
      <c r="AD839" s="46">
        <v>181</v>
      </c>
      <c r="AF839" s="47">
        <f t="shared" si="13"/>
        <v>23413067</v>
      </c>
    </row>
    <row r="840" spans="1:32" hidden="1" x14ac:dyDescent="0.3">
      <c r="A840" s="46" t="s">
        <v>615</v>
      </c>
      <c r="B840" s="46" t="str">
        <f>IFERROR(VLOOKUP($H840,매장구분!$B:$Z,2,0),"")</f>
        <v>리테일채널팀</v>
      </c>
      <c r="C840" s="46" t="str">
        <f>IFERROR(VLOOKUP($H840,매장구분!$B:$Z,3,0),"")</f>
        <v>국내</v>
      </c>
      <c r="D840" s="46" t="str">
        <f>IFERROR(VLOOKUP($H840,매장구분!$B:$Z,5,0),"")</f>
        <v>상설(위탁)</v>
      </c>
      <c r="E840" s="46" t="str">
        <f>IFERROR(VLOOKUP($H840,매장구분!$B:$Z,9,0),"")</f>
        <v>신세계아울렛파주(상-위)</v>
      </c>
      <c r="G840" s="46" t="s">
        <v>432</v>
      </c>
      <c r="H840" s="46" t="s">
        <v>433</v>
      </c>
      <c r="I840" s="46" t="s">
        <v>169</v>
      </c>
      <c r="J840" s="46" t="s">
        <v>79</v>
      </c>
      <c r="K840" s="46" t="s">
        <v>170</v>
      </c>
      <c r="L840" s="46" t="s">
        <v>171</v>
      </c>
      <c r="M840" s="46" t="s">
        <v>219</v>
      </c>
      <c r="N840" s="46" t="s">
        <v>219</v>
      </c>
      <c r="O840" s="46">
        <v>3564000</v>
      </c>
      <c r="P840" s="46">
        <v>99</v>
      </c>
      <c r="Q840" s="46">
        <v>0</v>
      </c>
      <c r="R840" s="46">
        <v>0</v>
      </c>
      <c r="S840" s="46">
        <v>0</v>
      </c>
      <c r="T840" s="46">
        <v>0</v>
      </c>
      <c r="U840" s="46">
        <v>0</v>
      </c>
      <c r="V840" s="46">
        <v>0</v>
      </c>
      <c r="W840" s="46">
        <v>0</v>
      </c>
      <c r="X840" s="46">
        <v>0</v>
      </c>
      <c r="Y840" s="48">
        <v>0</v>
      </c>
      <c r="Z840" s="46">
        <v>0</v>
      </c>
      <c r="AA840" s="46">
        <v>0</v>
      </c>
      <c r="AB840" s="46">
        <v>0</v>
      </c>
      <c r="AC840" s="46">
        <v>3564000</v>
      </c>
      <c r="AD840" s="46">
        <v>99</v>
      </c>
      <c r="AF840" s="47">
        <f t="shared" si="13"/>
        <v>3564000</v>
      </c>
    </row>
    <row r="841" spans="1:32" hidden="1" x14ac:dyDescent="0.3">
      <c r="A841" s="46" t="s">
        <v>615</v>
      </c>
      <c r="B841" s="46" t="str">
        <f>IFERROR(VLOOKUP($H841,매장구분!$B:$Z,2,0),"")</f>
        <v>리테일채널팀</v>
      </c>
      <c r="C841" s="46" t="str">
        <f>IFERROR(VLOOKUP($H841,매장구분!$B:$Z,3,0),"")</f>
        <v>국내</v>
      </c>
      <c r="D841" s="46" t="str">
        <f>IFERROR(VLOOKUP($H841,매장구분!$B:$Z,5,0),"")</f>
        <v>상설(위탁)</v>
      </c>
      <c r="E841" s="46" t="str">
        <f>IFERROR(VLOOKUP($H841,매장구분!$B:$Z,9,0),"")</f>
        <v>롯데아울렛부여(상-위)</v>
      </c>
      <c r="G841" s="46" t="s">
        <v>281</v>
      </c>
      <c r="H841" s="46" t="s">
        <v>282</v>
      </c>
      <c r="I841" s="46" t="s">
        <v>169</v>
      </c>
      <c r="J841" s="46" t="s">
        <v>79</v>
      </c>
      <c r="K841" s="46" t="s">
        <v>170</v>
      </c>
      <c r="L841" s="46" t="s">
        <v>171</v>
      </c>
      <c r="M841" s="46" t="s">
        <v>219</v>
      </c>
      <c r="N841" s="46" t="s">
        <v>219</v>
      </c>
      <c r="O841" s="46">
        <v>1548000</v>
      </c>
      <c r="P841" s="46">
        <v>43</v>
      </c>
      <c r="Q841" s="46">
        <v>0</v>
      </c>
      <c r="R841" s="46">
        <v>0</v>
      </c>
      <c r="S841" s="46">
        <v>0</v>
      </c>
      <c r="T841" s="46">
        <v>0</v>
      </c>
      <c r="U841" s="46">
        <v>0</v>
      </c>
      <c r="V841" s="46">
        <v>0</v>
      </c>
      <c r="W841" s="46">
        <v>0</v>
      </c>
      <c r="X841" s="46">
        <v>0</v>
      </c>
      <c r="Y841" s="48">
        <v>0</v>
      </c>
      <c r="Z841" s="46">
        <v>0</v>
      </c>
      <c r="AA841" s="46">
        <v>0</v>
      </c>
      <c r="AB841" s="46">
        <v>0</v>
      </c>
      <c r="AC841" s="46">
        <v>1548000</v>
      </c>
      <c r="AD841" s="46">
        <v>43</v>
      </c>
      <c r="AF841" s="47">
        <f t="shared" si="13"/>
        <v>1548000</v>
      </c>
    </row>
    <row r="842" spans="1:32" hidden="1" x14ac:dyDescent="0.3">
      <c r="A842" s="46" t="s">
        <v>615</v>
      </c>
      <c r="B842" s="46" t="str">
        <f>IFERROR(VLOOKUP($H842,매장구분!$B:$Z,2,0),"")</f>
        <v>리테일채널팀</v>
      </c>
      <c r="C842" s="46" t="str">
        <f>IFERROR(VLOOKUP($H842,매장구분!$B:$Z,3,0),"")</f>
        <v>국내</v>
      </c>
      <c r="D842" s="46" t="str">
        <f>IFERROR(VLOOKUP($H842,매장구분!$B:$Z,5,0),"")</f>
        <v>상설(위탁)</v>
      </c>
      <c r="E842" s="46" t="str">
        <f>IFERROR(VLOOKUP($H842,매장구분!$B:$Z,9,0),"")</f>
        <v>현대아울렛가든5(상-위)</v>
      </c>
      <c r="G842" s="46" t="s">
        <v>372</v>
      </c>
      <c r="H842" s="46" t="s">
        <v>373</v>
      </c>
      <c r="I842" s="46" t="s">
        <v>169</v>
      </c>
      <c r="J842" s="46" t="s">
        <v>79</v>
      </c>
      <c r="K842" s="46" t="s">
        <v>170</v>
      </c>
      <c r="L842" s="46" t="s">
        <v>171</v>
      </c>
      <c r="M842" s="46" t="s">
        <v>219</v>
      </c>
      <c r="N842" s="46" t="s">
        <v>219</v>
      </c>
      <c r="O842" s="46">
        <v>612000</v>
      </c>
      <c r="P842" s="46">
        <v>17</v>
      </c>
      <c r="Q842" s="46">
        <v>0</v>
      </c>
      <c r="R842" s="46">
        <v>0</v>
      </c>
      <c r="S842" s="46">
        <v>0</v>
      </c>
      <c r="T842" s="46">
        <v>0</v>
      </c>
      <c r="U842" s="46">
        <v>0</v>
      </c>
      <c r="V842" s="46">
        <v>0</v>
      </c>
      <c r="W842" s="46">
        <v>0</v>
      </c>
      <c r="X842" s="46">
        <v>0</v>
      </c>
      <c r="Y842" s="48">
        <v>0</v>
      </c>
      <c r="Z842" s="46">
        <v>0</v>
      </c>
      <c r="AA842" s="46">
        <v>0</v>
      </c>
      <c r="AB842" s="46">
        <v>0</v>
      </c>
      <c r="AC842" s="46">
        <v>612000</v>
      </c>
      <c r="AD842" s="46">
        <v>17</v>
      </c>
      <c r="AF842" s="47">
        <f t="shared" si="13"/>
        <v>612000</v>
      </c>
    </row>
    <row r="843" spans="1:32" hidden="1" x14ac:dyDescent="0.3">
      <c r="A843" s="46" t="s">
        <v>615</v>
      </c>
      <c r="B843" s="46" t="str">
        <f>IFERROR(VLOOKUP($H843,매장구분!$B:$Z,2,0),"")</f>
        <v>리테일채널팀</v>
      </c>
      <c r="C843" s="46" t="str">
        <f>IFERROR(VLOOKUP($H843,매장구분!$B:$Z,3,0),"")</f>
        <v>국내</v>
      </c>
      <c r="D843" s="46" t="str">
        <f>IFERROR(VLOOKUP($H843,매장구분!$B:$Z,5,0),"")</f>
        <v>상설(위탁)</v>
      </c>
      <c r="E843" s="46" t="str">
        <f>IFERROR(VLOOKUP($H843,매장구분!$B:$Z,9,0),"")</f>
        <v>마리오(상-위)</v>
      </c>
      <c r="G843" s="46" t="s">
        <v>564</v>
      </c>
      <c r="H843" s="46" t="s">
        <v>565</v>
      </c>
      <c r="I843" s="46" t="s">
        <v>169</v>
      </c>
      <c r="J843" s="46" t="s">
        <v>79</v>
      </c>
      <c r="K843" s="46" t="s">
        <v>170</v>
      </c>
      <c r="L843" s="46" t="s">
        <v>171</v>
      </c>
      <c r="M843" s="46" t="s">
        <v>77</v>
      </c>
      <c r="N843" s="46" t="s">
        <v>238</v>
      </c>
      <c r="O843" s="46">
        <v>540000</v>
      </c>
      <c r="P843" s="46">
        <v>15</v>
      </c>
      <c r="Q843" s="46">
        <v>0</v>
      </c>
      <c r="R843" s="46">
        <v>0</v>
      </c>
      <c r="S843" s="46">
        <v>0</v>
      </c>
      <c r="T843" s="46">
        <v>0</v>
      </c>
      <c r="U843" s="46">
        <v>0</v>
      </c>
      <c r="V843" s="46">
        <v>0</v>
      </c>
      <c r="W843" s="46">
        <v>0</v>
      </c>
      <c r="X843" s="46">
        <v>0</v>
      </c>
      <c r="Y843" s="48">
        <v>0</v>
      </c>
      <c r="Z843" s="46">
        <v>0</v>
      </c>
      <c r="AA843" s="46">
        <v>0</v>
      </c>
      <c r="AB843" s="46">
        <v>0</v>
      </c>
      <c r="AC843" s="46">
        <v>540000</v>
      </c>
      <c r="AD843" s="46">
        <v>15</v>
      </c>
      <c r="AF843" s="47">
        <f t="shared" si="13"/>
        <v>540000</v>
      </c>
    </row>
    <row r="844" spans="1:32" hidden="1" x14ac:dyDescent="0.3">
      <c r="A844" s="46" t="s">
        <v>615</v>
      </c>
      <c r="B844" s="46" t="str">
        <f>IFERROR(VLOOKUP($H844,매장구분!$B:$Z,2,0),"")</f>
        <v>리테일채널팀</v>
      </c>
      <c r="C844" s="46" t="str">
        <f>IFERROR(VLOOKUP($H844,매장구분!$B:$Z,3,0),"")</f>
        <v>국내</v>
      </c>
      <c r="D844" s="46" t="str">
        <f>IFERROR(VLOOKUP($H844,매장구분!$B:$Z,5,0),"")</f>
        <v>상설(위탁)</v>
      </c>
      <c r="E844" s="46" t="str">
        <f>IFERROR(VLOOKUP($H844,매장구분!$B:$Z,9,0),"")</f>
        <v>현대아울렛대구(상-위)</v>
      </c>
      <c r="G844" s="46" t="s">
        <v>590</v>
      </c>
      <c r="H844" s="46" t="s">
        <v>591</v>
      </c>
      <c r="I844" s="46" t="s">
        <v>169</v>
      </c>
      <c r="J844" s="46" t="s">
        <v>79</v>
      </c>
      <c r="K844" s="46" t="s">
        <v>170</v>
      </c>
      <c r="L844" s="46" t="s">
        <v>171</v>
      </c>
      <c r="M844" s="46" t="s">
        <v>219</v>
      </c>
      <c r="N844" s="46" t="s">
        <v>219</v>
      </c>
      <c r="O844" s="46">
        <v>468000</v>
      </c>
      <c r="P844" s="46">
        <v>13</v>
      </c>
      <c r="Q844" s="46">
        <v>0</v>
      </c>
      <c r="R844" s="46">
        <v>0</v>
      </c>
      <c r="S844" s="46">
        <v>0</v>
      </c>
      <c r="T844" s="46">
        <v>0</v>
      </c>
      <c r="U844" s="46">
        <v>0</v>
      </c>
      <c r="V844" s="46">
        <v>0</v>
      </c>
      <c r="W844" s="46">
        <v>0</v>
      </c>
      <c r="X844" s="46">
        <v>0</v>
      </c>
      <c r="Y844" s="48">
        <v>0</v>
      </c>
      <c r="Z844" s="46">
        <v>0</v>
      </c>
      <c r="AA844" s="46">
        <v>0</v>
      </c>
      <c r="AB844" s="46">
        <v>0</v>
      </c>
      <c r="AC844" s="46">
        <v>468000</v>
      </c>
      <c r="AD844" s="46">
        <v>13</v>
      </c>
      <c r="AF844" s="47">
        <f t="shared" si="13"/>
        <v>468000</v>
      </c>
    </row>
    <row r="845" spans="1:32" hidden="1" x14ac:dyDescent="0.3">
      <c r="A845" s="46" t="s">
        <v>615</v>
      </c>
      <c r="B845" s="46" t="str">
        <f>IFERROR(VLOOKUP($H845,매장구분!$B:$Z,2,0),"")</f>
        <v>리테일채널팀</v>
      </c>
      <c r="C845" s="46" t="str">
        <f>IFERROR(VLOOKUP($H845,매장구분!$B:$Z,3,0),"")</f>
        <v>국내</v>
      </c>
      <c r="D845" s="46" t="str">
        <f>IFERROR(VLOOKUP($H845,매장구분!$B:$Z,5,0),"")</f>
        <v>상설(위탁)</v>
      </c>
      <c r="E845" s="46" t="str">
        <f>IFERROR(VLOOKUP($H845,매장구분!$B:$Z,9,0),"")</f>
        <v>현대아울렛가산(상-위)</v>
      </c>
      <c r="G845" s="46" t="s">
        <v>285</v>
      </c>
      <c r="H845" s="46" t="s">
        <v>286</v>
      </c>
      <c r="I845" s="46" t="s">
        <v>169</v>
      </c>
      <c r="J845" s="46" t="s">
        <v>79</v>
      </c>
      <c r="K845" s="46" t="s">
        <v>170</v>
      </c>
      <c r="L845" s="46" t="s">
        <v>171</v>
      </c>
      <c r="M845" s="46" t="s">
        <v>219</v>
      </c>
      <c r="N845" s="46" t="s">
        <v>219</v>
      </c>
      <c r="O845" s="46">
        <v>612000</v>
      </c>
      <c r="P845" s="46">
        <v>17</v>
      </c>
      <c r="Q845" s="46">
        <v>0</v>
      </c>
      <c r="R845" s="46">
        <v>0</v>
      </c>
      <c r="S845" s="46">
        <v>0</v>
      </c>
      <c r="T845" s="46">
        <v>0</v>
      </c>
      <c r="U845" s="46">
        <v>0</v>
      </c>
      <c r="V845" s="46">
        <v>0</v>
      </c>
      <c r="W845" s="46">
        <v>0</v>
      </c>
      <c r="X845" s="46">
        <v>0</v>
      </c>
      <c r="Y845" s="48">
        <v>0</v>
      </c>
      <c r="Z845" s="46">
        <v>0</v>
      </c>
      <c r="AA845" s="46">
        <v>0</v>
      </c>
      <c r="AB845" s="46">
        <v>0</v>
      </c>
      <c r="AC845" s="46">
        <v>612000</v>
      </c>
      <c r="AD845" s="46">
        <v>17</v>
      </c>
      <c r="AF845" s="47">
        <f t="shared" si="13"/>
        <v>612000</v>
      </c>
    </row>
    <row r="846" spans="1:32" hidden="1" x14ac:dyDescent="0.3">
      <c r="A846" s="46" t="s">
        <v>615</v>
      </c>
      <c r="B846" s="46" t="str">
        <f>IFERROR(VLOOKUP($H846,매장구분!$B:$Z,2,0),"")</f>
        <v>리테일채널팀</v>
      </c>
      <c r="C846" s="46" t="str">
        <f>IFERROR(VLOOKUP($H846,매장구분!$B:$Z,3,0),"")</f>
        <v>국내</v>
      </c>
      <c r="D846" s="46" t="str">
        <f>IFERROR(VLOOKUP($H846,매장구분!$B:$Z,5,0),"")</f>
        <v>대리점</v>
      </c>
      <c r="E846" s="46" t="str">
        <f>IFERROR(VLOOKUP($H846,매장구분!$B:$Z,9,0),"")</f>
        <v>안산시화(대-위)</v>
      </c>
      <c r="G846" s="46" t="s">
        <v>291</v>
      </c>
      <c r="H846" s="46" t="s">
        <v>292</v>
      </c>
      <c r="I846" s="46" t="s">
        <v>169</v>
      </c>
      <c r="J846" s="46" t="s">
        <v>79</v>
      </c>
      <c r="K846" s="46" t="s">
        <v>170</v>
      </c>
      <c r="L846" s="46" t="s">
        <v>171</v>
      </c>
      <c r="M846" s="46" t="s">
        <v>196</v>
      </c>
      <c r="N846" s="46" t="s">
        <v>197</v>
      </c>
      <c r="O846" s="46">
        <v>27817122</v>
      </c>
      <c r="P846" s="46">
        <v>196</v>
      </c>
      <c r="Q846" s="46">
        <v>0</v>
      </c>
      <c r="R846" s="46">
        <v>0</v>
      </c>
      <c r="S846" s="46">
        <v>0</v>
      </c>
      <c r="T846" s="46">
        <v>0</v>
      </c>
      <c r="U846" s="46">
        <v>2073375</v>
      </c>
      <c r="V846" s="46">
        <v>14</v>
      </c>
      <c r="W846" s="46">
        <v>0</v>
      </c>
      <c r="X846" s="46">
        <v>0</v>
      </c>
      <c r="Y846" s="48">
        <v>0</v>
      </c>
      <c r="Z846" s="46">
        <v>0</v>
      </c>
      <c r="AA846" s="46">
        <v>0</v>
      </c>
      <c r="AB846" s="46">
        <v>0</v>
      </c>
      <c r="AC846" s="46">
        <v>29890497</v>
      </c>
      <c r="AD846" s="46">
        <v>210</v>
      </c>
      <c r="AF846" s="47">
        <f t="shared" si="13"/>
        <v>29890497</v>
      </c>
    </row>
    <row r="847" spans="1:32" hidden="1" x14ac:dyDescent="0.3">
      <c r="A847" s="46" t="s">
        <v>615</v>
      </c>
      <c r="B847" s="46" t="str">
        <f>IFERROR(VLOOKUP($H847,매장구분!$B:$Z,2,0),"")</f>
        <v>파트너채널팀</v>
      </c>
      <c r="C847" s="46" t="str">
        <f>IFERROR(VLOOKUP($H847,매장구분!$B:$Z,3,0),"")</f>
        <v>국내</v>
      </c>
      <c r="D847" s="46" t="str">
        <f>IFERROR(VLOOKUP($H847,매장구분!$B:$Z,5,0),"")</f>
        <v>백화점</v>
      </c>
      <c r="E847" s="46" t="str">
        <f>IFERROR(VLOOKUP($H847,매장구분!$B:$Z,9,0),"")</f>
        <v>롯데안산</v>
      </c>
      <c r="G847" s="46" t="s">
        <v>200</v>
      </c>
      <c r="H847" s="46" t="s">
        <v>201</v>
      </c>
      <c r="I847" s="46" t="s">
        <v>169</v>
      </c>
      <c r="J847" s="46" t="s">
        <v>175</v>
      </c>
      <c r="K847" s="46" t="s">
        <v>170</v>
      </c>
      <c r="L847" s="46" t="s">
        <v>171</v>
      </c>
      <c r="M847" s="46" t="s">
        <v>77</v>
      </c>
      <c r="N847" s="46" t="s">
        <v>172</v>
      </c>
      <c r="O847" s="46">
        <v>14958000</v>
      </c>
      <c r="P847" s="46">
        <v>145</v>
      </c>
      <c r="Q847" s="46">
        <v>0</v>
      </c>
      <c r="R847" s="46">
        <v>0</v>
      </c>
      <c r="S847" s="46">
        <v>0</v>
      </c>
      <c r="T847" s="46">
        <v>0</v>
      </c>
      <c r="U847" s="46">
        <v>2176000</v>
      </c>
      <c r="V847" s="46">
        <v>14</v>
      </c>
      <c r="W847" s="46">
        <v>0</v>
      </c>
      <c r="X847" s="46">
        <v>0</v>
      </c>
      <c r="Y847" s="48">
        <v>0</v>
      </c>
      <c r="Z847" s="46">
        <v>0</v>
      </c>
      <c r="AA847" s="46">
        <v>0</v>
      </c>
      <c r="AB847" s="46">
        <v>0</v>
      </c>
      <c r="AC847" s="46">
        <v>17134000</v>
      </c>
      <c r="AD847" s="46">
        <v>159</v>
      </c>
      <c r="AF847" s="47">
        <f t="shared" si="13"/>
        <v>17134000</v>
      </c>
    </row>
    <row r="848" spans="1:32" hidden="1" x14ac:dyDescent="0.3">
      <c r="A848" s="46" t="s">
        <v>615</v>
      </c>
      <c r="B848" s="46" t="str">
        <f>IFERROR(VLOOKUP($H848,매장구분!$B:$Z,2,0),"")</f>
        <v>파트너채널팀</v>
      </c>
      <c r="C848" s="46" t="str">
        <f>IFERROR(VLOOKUP($H848,매장구분!$B:$Z,3,0),"")</f>
        <v>국내</v>
      </c>
      <c r="D848" s="46" t="str">
        <f>IFERROR(VLOOKUP($H848,매장구분!$B:$Z,5,0),"")</f>
        <v>백화점</v>
      </c>
      <c r="E848" s="46" t="str">
        <f>IFERROR(VLOOKUP($H848,매장구분!$B:$Z,9,0),"")</f>
        <v>신세계영등포</v>
      </c>
      <c r="G848" s="46" t="s">
        <v>416</v>
      </c>
      <c r="H848" s="46" t="s">
        <v>417</v>
      </c>
      <c r="I848" s="46" t="s">
        <v>169</v>
      </c>
      <c r="J848" s="46" t="s">
        <v>175</v>
      </c>
      <c r="K848" s="46" t="s">
        <v>170</v>
      </c>
      <c r="L848" s="46" t="s">
        <v>171</v>
      </c>
      <c r="M848" s="46" t="s">
        <v>77</v>
      </c>
      <c r="N848" s="46" t="s">
        <v>172</v>
      </c>
      <c r="O848" s="46">
        <v>9915800</v>
      </c>
      <c r="P848" s="46">
        <v>96</v>
      </c>
      <c r="Q848" s="46">
        <v>0</v>
      </c>
      <c r="R848" s="46">
        <v>0</v>
      </c>
      <c r="S848" s="46">
        <v>0</v>
      </c>
      <c r="T848" s="46">
        <v>0</v>
      </c>
      <c r="U848" s="46">
        <v>1088300</v>
      </c>
      <c r="V848" s="46">
        <v>6</v>
      </c>
      <c r="W848" s="46">
        <v>0</v>
      </c>
      <c r="X848" s="46">
        <v>0</v>
      </c>
      <c r="Y848" s="48">
        <v>2535900</v>
      </c>
      <c r="Z848" s="46">
        <v>21</v>
      </c>
      <c r="AA848" s="46">
        <v>0</v>
      </c>
      <c r="AB848" s="46">
        <v>0</v>
      </c>
      <c r="AC848" s="46">
        <v>13540000</v>
      </c>
      <c r="AD848" s="46">
        <v>123</v>
      </c>
      <c r="AF848" s="47">
        <f t="shared" si="13"/>
        <v>11004100</v>
      </c>
    </row>
    <row r="849" spans="1:32" hidden="1" x14ac:dyDescent="0.3">
      <c r="A849" s="46" t="s">
        <v>615</v>
      </c>
      <c r="B849" s="46" t="str">
        <f>IFERROR(VLOOKUP($H849,매장구분!$B:$Z,2,0),"")</f>
        <v>파트너채널팀</v>
      </c>
      <c r="C849" s="46" t="str">
        <f>IFERROR(VLOOKUP($H849,매장구분!$B:$Z,3,0),"")</f>
        <v>RF</v>
      </c>
      <c r="D849" s="46" t="str">
        <f>IFERROR(VLOOKUP($H849,매장구분!$B:$Z,5,0),"")</f>
        <v>백화점</v>
      </c>
      <c r="E849" s="46" t="str">
        <f>IFERROR(VLOOKUP($H849,매장구분!$B:$Z,9,0),"")</f>
        <v>신세계본점</v>
      </c>
      <c r="G849" s="46" t="s">
        <v>450</v>
      </c>
      <c r="H849" s="46" t="s">
        <v>451</v>
      </c>
      <c r="I849" s="46" t="s">
        <v>169</v>
      </c>
      <c r="J849" s="46" t="s">
        <v>175</v>
      </c>
      <c r="K849" s="46" t="s">
        <v>170</v>
      </c>
      <c r="L849" s="46" t="s">
        <v>171</v>
      </c>
      <c r="M849" s="46" t="s">
        <v>77</v>
      </c>
      <c r="N849" s="46" t="s">
        <v>172</v>
      </c>
      <c r="O849" s="46">
        <v>48402200</v>
      </c>
      <c r="P849" s="46">
        <v>242</v>
      </c>
      <c r="Q849" s="46">
        <v>56500</v>
      </c>
      <c r="R849" s="46">
        <v>1</v>
      </c>
      <c r="S849" s="46">
        <v>0</v>
      </c>
      <c r="T849" s="46">
        <v>0</v>
      </c>
      <c r="U849" s="46">
        <v>847000</v>
      </c>
      <c r="V849" s="46">
        <v>3</v>
      </c>
      <c r="W849" s="46">
        <v>0</v>
      </c>
      <c r="X849" s="46">
        <v>0</v>
      </c>
      <c r="Y849" s="48">
        <v>0</v>
      </c>
      <c r="Z849" s="46">
        <v>0</v>
      </c>
      <c r="AA849" s="46">
        <v>0</v>
      </c>
      <c r="AB849" s="46">
        <v>0</v>
      </c>
      <c r="AC849" s="46">
        <v>49305700</v>
      </c>
      <c r="AD849" s="46">
        <v>246</v>
      </c>
      <c r="AF849" s="47">
        <f t="shared" si="13"/>
        <v>49305700</v>
      </c>
    </row>
    <row r="850" spans="1:32" hidden="1" x14ac:dyDescent="0.3">
      <c r="A850" s="46" t="s">
        <v>615</v>
      </c>
      <c r="B850" s="46" t="str">
        <f>IFERROR(VLOOKUP($H850,매장구분!$B:$Z,2,0),"")</f>
        <v>E-biz</v>
      </c>
      <c r="C850" s="46" t="str">
        <f>IFERROR(VLOOKUP($H850,매장구분!$B:$Z,3,0),"")</f>
        <v>국내</v>
      </c>
      <c r="D850" s="46" t="str">
        <f>IFERROR(VLOOKUP($H850,매장구분!$B:$Z,5,0),"")</f>
        <v>온(제휴몰)</v>
      </c>
      <c r="E850" s="46" t="str">
        <f>IFERROR(VLOOKUP($H850,매장구분!$B:$Z,9,0),"")</f>
        <v>카카오선물하기(제휴몰)</v>
      </c>
      <c r="G850" s="46" t="s">
        <v>209</v>
      </c>
      <c r="H850" s="46" t="s">
        <v>210</v>
      </c>
      <c r="I850" s="46" t="s">
        <v>169</v>
      </c>
      <c r="J850" s="46" t="s">
        <v>180</v>
      </c>
      <c r="K850" s="46" t="s">
        <v>170</v>
      </c>
      <c r="L850" s="46" t="s">
        <v>181</v>
      </c>
      <c r="M850" s="46" t="s">
        <v>181</v>
      </c>
      <c r="N850" s="46" t="s">
        <v>185</v>
      </c>
      <c r="O850" s="46">
        <v>35968100</v>
      </c>
      <c r="P850" s="46">
        <v>912</v>
      </c>
      <c r="Q850" s="46">
        <v>0</v>
      </c>
      <c r="R850" s="46">
        <v>0</v>
      </c>
      <c r="S850" s="46">
        <v>0</v>
      </c>
      <c r="T850" s="46">
        <v>0</v>
      </c>
      <c r="U850" s="46">
        <v>0</v>
      </c>
      <c r="V850" s="46">
        <v>0</v>
      </c>
      <c r="W850" s="46">
        <v>0</v>
      </c>
      <c r="X850" s="46">
        <v>0</v>
      </c>
      <c r="Y850" s="48">
        <v>0</v>
      </c>
      <c r="Z850" s="46">
        <v>0</v>
      </c>
      <c r="AA850" s="46">
        <v>0</v>
      </c>
      <c r="AB850" s="46">
        <v>0</v>
      </c>
      <c r="AC850" s="46">
        <v>35968100</v>
      </c>
      <c r="AD850" s="46">
        <v>912</v>
      </c>
      <c r="AF850" s="47">
        <f t="shared" si="13"/>
        <v>35968100</v>
      </c>
    </row>
    <row r="851" spans="1:32" hidden="1" x14ac:dyDescent="0.3">
      <c r="A851" s="46" t="s">
        <v>615</v>
      </c>
      <c r="B851" s="46" t="str">
        <f>IFERROR(VLOOKUP($H851,매장구분!$B:$Z,2,0),"")</f>
        <v>파트너채널팀</v>
      </c>
      <c r="C851" s="46" t="str">
        <f>IFERROR(VLOOKUP($H851,매장구분!$B:$Z,3,0),"")</f>
        <v>국내</v>
      </c>
      <c r="D851" s="46" t="str">
        <f>IFERROR(VLOOKUP($H851,매장구분!$B:$Z,5,0),"")</f>
        <v>백화점</v>
      </c>
      <c r="E851" s="46" t="str">
        <f>IFERROR(VLOOKUP($H851,매장구분!$B:$Z,9,0),"")</f>
        <v>신세계김해</v>
      </c>
      <c r="G851" s="46" t="s">
        <v>454</v>
      </c>
      <c r="H851" s="46" t="s">
        <v>455</v>
      </c>
      <c r="I851" s="46" t="s">
        <v>169</v>
      </c>
      <c r="J851" s="46" t="s">
        <v>175</v>
      </c>
      <c r="K851" s="46" t="s">
        <v>170</v>
      </c>
      <c r="L851" s="46" t="s">
        <v>171</v>
      </c>
      <c r="M851" s="46" t="s">
        <v>77</v>
      </c>
      <c r="N851" s="46" t="s">
        <v>172</v>
      </c>
      <c r="O851" s="46">
        <v>11128500</v>
      </c>
      <c r="P851" s="46">
        <v>96</v>
      </c>
      <c r="Q851" s="46">
        <v>2024000</v>
      </c>
      <c r="R851" s="46">
        <v>17</v>
      </c>
      <c r="S851" s="46">
        <v>0</v>
      </c>
      <c r="T851" s="46">
        <v>0</v>
      </c>
      <c r="U851" s="46">
        <v>966000</v>
      </c>
      <c r="V851" s="46">
        <v>8</v>
      </c>
      <c r="W851" s="46">
        <v>0</v>
      </c>
      <c r="X851" s="46">
        <v>0</v>
      </c>
      <c r="Y851" s="48">
        <v>0</v>
      </c>
      <c r="Z851" s="46">
        <v>0</v>
      </c>
      <c r="AA851" s="46">
        <v>0</v>
      </c>
      <c r="AB851" s="46">
        <v>0</v>
      </c>
      <c r="AC851" s="46">
        <v>14118500</v>
      </c>
      <c r="AD851" s="46">
        <v>121</v>
      </c>
      <c r="AF851" s="47">
        <f t="shared" si="13"/>
        <v>14118500</v>
      </c>
    </row>
    <row r="852" spans="1:32" hidden="1" x14ac:dyDescent="0.3">
      <c r="A852" s="46" t="s">
        <v>615</v>
      </c>
      <c r="B852" s="46" t="str">
        <f>IFERROR(VLOOKUP($H852,매장구분!$B:$Z,2,0),"")</f>
        <v>리테일채널팀</v>
      </c>
      <c r="C852" s="46" t="str">
        <f>IFERROR(VLOOKUP($H852,매장구분!$B:$Z,3,0),"")</f>
        <v>RF</v>
      </c>
      <c r="D852" s="46" t="str">
        <f>IFERROR(VLOOKUP($H852,매장구분!$B:$Z,5,0),"")</f>
        <v>대리점</v>
      </c>
      <c r="E852" s="46" t="str">
        <f>IFERROR(VLOOKUP($H852,매장구분!$B:$Z,9,0),"")</f>
        <v>부산광복(대-위)</v>
      </c>
      <c r="G852" s="46" t="s">
        <v>326</v>
      </c>
      <c r="H852" s="46" t="s">
        <v>327</v>
      </c>
      <c r="I852" s="46" t="s">
        <v>169</v>
      </c>
      <c r="J852" s="46" t="s">
        <v>79</v>
      </c>
      <c r="K852" s="46" t="s">
        <v>170</v>
      </c>
      <c r="L852" s="46" t="s">
        <v>171</v>
      </c>
      <c r="M852" s="46" t="s">
        <v>196</v>
      </c>
      <c r="N852" s="46" t="s">
        <v>197</v>
      </c>
      <c r="O852" s="46">
        <v>4514300</v>
      </c>
      <c r="P852" s="46">
        <v>118</v>
      </c>
      <c r="Q852" s="46">
        <v>0</v>
      </c>
      <c r="R852" s="46">
        <v>0</v>
      </c>
      <c r="S852" s="46">
        <v>0</v>
      </c>
      <c r="T852" s="46">
        <v>0</v>
      </c>
      <c r="U852" s="46">
        <v>3732800</v>
      </c>
      <c r="V852" s="46">
        <v>34</v>
      </c>
      <c r="W852" s="46">
        <v>0</v>
      </c>
      <c r="X852" s="46">
        <v>0</v>
      </c>
      <c r="Y852" s="48">
        <v>25353440</v>
      </c>
      <c r="Z852" s="46">
        <v>220</v>
      </c>
      <c r="AA852" s="46">
        <v>0</v>
      </c>
      <c r="AB852" s="46">
        <v>0</v>
      </c>
      <c r="AC852" s="46">
        <v>33600540</v>
      </c>
      <c r="AD852" s="46">
        <v>372</v>
      </c>
      <c r="AF852" s="47">
        <f t="shared" si="13"/>
        <v>8247100</v>
      </c>
    </row>
    <row r="853" spans="1:32" hidden="1" x14ac:dyDescent="0.3">
      <c r="A853" s="46" t="s">
        <v>615</v>
      </c>
      <c r="B853" s="46" t="str">
        <f>IFERROR(VLOOKUP($H853,매장구분!$B:$Z,2,0),"")</f>
        <v>리테일채널팀</v>
      </c>
      <c r="C853" s="46" t="str">
        <f>IFERROR(VLOOKUP($H853,매장구분!$B:$Z,3,0),"")</f>
        <v>국내</v>
      </c>
      <c r="D853" s="46" t="str">
        <f>IFERROR(VLOOKUP($H853,매장구분!$B:$Z,5,0),"")</f>
        <v>대리점</v>
      </c>
      <c r="E853" s="46" t="str">
        <f>IFERROR(VLOOKUP($H853,매장구분!$B:$Z,9,0),"")</f>
        <v>홍성(대-위)</v>
      </c>
      <c r="G853" s="46" t="s">
        <v>418</v>
      </c>
      <c r="H853" s="46" t="s">
        <v>419</v>
      </c>
      <c r="I853" s="46" t="s">
        <v>169</v>
      </c>
      <c r="J853" s="46" t="s">
        <v>79</v>
      </c>
      <c r="K853" s="46" t="s">
        <v>170</v>
      </c>
      <c r="L853" s="46" t="s">
        <v>171</v>
      </c>
      <c r="M853" s="46" t="s">
        <v>196</v>
      </c>
      <c r="N853" s="46" t="s">
        <v>197</v>
      </c>
      <c r="O853" s="46">
        <v>15698000</v>
      </c>
      <c r="P853" s="46">
        <v>99</v>
      </c>
      <c r="Q853" s="46">
        <v>0</v>
      </c>
      <c r="R853" s="46">
        <v>0</v>
      </c>
      <c r="S853" s="46">
        <v>0</v>
      </c>
      <c r="T853" s="46">
        <v>0</v>
      </c>
      <c r="U853" s="46">
        <v>955000</v>
      </c>
      <c r="V853" s="46">
        <v>5</v>
      </c>
      <c r="W853" s="46">
        <v>0</v>
      </c>
      <c r="X853" s="46">
        <v>0</v>
      </c>
      <c r="Y853" s="48">
        <v>4019000</v>
      </c>
      <c r="Z853" s="46">
        <v>21</v>
      </c>
      <c r="AA853" s="46">
        <v>0</v>
      </c>
      <c r="AB853" s="46">
        <v>0</v>
      </c>
      <c r="AC853" s="46">
        <v>20672000</v>
      </c>
      <c r="AD853" s="46">
        <v>125</v>
      </c>
      <c r="AF853" s="47">
        <f t="shared" si="13"/>
        <v>16653000</v>
      </c>
    </row>
    <row r="854" spans="1:32" hidden="1" x14ac:dyDescent="0.3">
      <c r="A854" s="46" t="s">
        <v>615</v>
      </c>
      <c r="B854" s="46" t="str">
        <f>IFERROR(VLOOKUP($H854,매장구분!$B:$Z,2,0),"")</f>
        <v>리테일채널팀</v>
      </c>
      <c r="C854" s="46" t="str">
        <f>IFERROR(VLOOKUP($H854,매장구분!$B:$Z,3,0),"")</f>
        <v>국내</v>
      </c>
      <c r="D854" s="46" t="str">
        <f>IFERROR(VLOOKUP($H854,매장구분!$B:$Z,5,0),"")</f>
        <v>대리점</v>
      </c>
      <c r="E854" s="46" t="str">
        <f>IFERROR(VLOOKUP($H854,매장구분!$B:$Z,9,0),"")</f>
        <v>청주(대-위)</v>
      </c>
      <c r="G854" s="46" t="s">
        <v>265</v>
      </c>
      <c r="H854" s="46" t="s">
        <v>266</v>
      </c>
      <c r="I854" s="46" t="s">
        <v>169</v>
      </c>
      <c r="J854" s="46" t="s">
        <v>79</v>
      </c>
      <c r="K854" s="46" t="s">
        <v>170</v>
      </c>
      <c r="L854" s="46" t="s">
        <v>171</v>
      </c>
      <c r="M854" s="46" t="s">
        <v>196</v>
      </c>
      <c r="N854" s="46" t="s">
        <v>197</v>
      </c>
      <c r="O854" s="46">
        <v>31070500</v>
      </c>
      <c r="P854" s="46">
        <v>249</v>
      </c>
      <c r="Q854" s="46">
        <v>0</v>
      </c>
      <c r="R854" s="46">
        <v>0</v>
      </c>
      <c r="S854" s="46">
        <v>0</v>
      </c>
      <c r="T854" s="46">
        <v>0</v>
      </c>
      <c r="U854" s="46">
        <v>463000</v>
      </c>
      <c r="V854" s="46">
        <v>1</v>
      </c>
      <c r="W854" s="46">
        <v>0</v>
      </c>
      <c r="X854" s="46">
        <v>0</v>
      </c>
      <c r="Y854" s="48">
        <v>2822000</v>
      </c>
      <c r="Z854" s="46">
        <v>18</v>
      </c>
      <c r="AA854" s="46">
        <v>0</v>
      </c>
      <c r="AB854" s="46">
        <v>0</v>
      </c>
      <c r="AC854" s="46">
        <v>34355500</v>
      </c>
      <c r="AD854" s="46">
        <v>268</v>
      </c>
      <c r="AF854" s="47">
        <f t="shared" si="13"/>
        <v>31533500</v>
      </c>
    </row>
    <row r="855" spans="1:32" hidden="1" x14ac:dyDescent="0.3">
      <c r="A855" s="46" t="s">
        <v>615</v>
      </c>
      <c r="B855" s="46" t="str">
        <f>IFERROR(VLOOKUP($H855,매장구분!$B:$Z,2,0),"")</f>
        <v>리테일채널팀</v>
      </c>
      <c r="C855" s="46" t="str">
        <f>IFERROR(VLOOKUP($H855,매장구분!$B:$Z,3,0),"")</f>
        <v>국내</v>
      </c>
      <c r="D855" s="46" t="str">
        <f>IFERROR(VLOOKUP($H855,매장구분!$B:$Z,5,0),"")</f>
        <v>직영점</v>
      </c>
      <c r="E855" s="46" t="str">
        <f>IFERROR(VLOOKUP($H855,매장구분!$B:$Z,9,0),"")</f>
        <v>타임테라스동탄(직)</v>
      </c>
      <c r="G855" s="46" t="s">
        <v>408</v>
      </c>
      <c r="H855" s="46" t="s">
        <v>409</v>
      </c>
      <c r="I855" s="46" t="s">
        <v>169</v>
      </c>
      <c r="J855" s="46" t="s">
        <v>180</v>
      </c>
      <c r="K855" s="46" t="s">
        <v>170</v>
      </c>
      <c r="L855" s="46" t="s">
        <v>171</v>
      </c>
      <c r="M855" s="46" t="s">
        <v>188</v>
      </c>
      <c r="N855" s="46" t="s">
        <v>317</v>
      </c>
      <c r="O855" s="46">
        <v>8192100</v>
      </c>
      <c r="P855" s="46">
        <v>81</v>
      </c>
      <c r="Q855" s="46">
        <v>0</v>
      </c>
      <c r="R855" s="46">
        <v>0</v>
      </c>
      <c r="S855" s="46">
        <v>0</v>
      </c>
      <c r="T855" s="46">
        <v>0</v>
      </c>
      <c r="U855" s="46">
        <v>-2321100</v>
      </c>
      <c r="V855" s="46">
        <v>-24</v>
      </c>
      <c r="W855" s="46">
        <v>0</v>
      </c>
      <c r="X855" s="46">
        <v>0</v>
      </c>
      <c r="Y855" s="48">
        <v>0</v>
      </c>
      <c r="Z855" s="46">
        <v>0</v>
      </c>
      <c r="AA855" s="46">
        <v>0</v>
      </c>
      <c r="AB855" s="46">
        <v>0</v>
      </c>
      <c r="AC855" s="46">
        <v>5871000</v>
      </c>
      <c r="AD855" s="46">
        <v>57</v>
      </c>
      <c r="AF855" s="47">
        <f t="shared" si="13"/>
        <v>5871000</v>
      </c>
    </row>
    <row r="856" spans="1:32" hidden="1" x14ac:dyDescent="0.3">
      <c r="A856" s="46" t="s">
        <v>615</v>
      </c>
      <c r="B856" s="46" t="str">
        <f>IFERROR(VLOOKUP($H856,매장구분!$B:$Z,2,0),"")</f>
        <v>파트너채널팀</v>
      </c>
      <c r="C856" s="46" t="str">
        <f>IFERROR(VLOOKUP($H856,매장구분!$B:$Z,3,0),"")</f>
        <v>국내</v>
      </c>
      <c r="D856" s="46" t="str">
        <f>IFERROR(VLOOKUP($H856,매장구분!$B:$Z,5,0),"")</f>
        <v>백화점</v>
      </c>
      <c r="E856" s="46" t="str">
        <f>IFERROR(VLOOKUP($H856,매장구분!$B:$Z,9,0),"")</f>
        <v>엔터식스안양</v>
      </c>
      <c r="G856" s="46" t="s">
        <v>414</v>
      </c>
      <c r="H856" s="46" t="s">
        <v>415</v>
      </c>
      <c r="I856" s="46" t="s">
        <v>169</v>
      </c>
      <c r="J856" s="46" t="s">
        <v>175</v>
      </c>
      <c r="K856" s="46" t="s">
        <v>170</v>
      </c>
      <c r="L856" s="46" t="s">
        <v>171</v>
      </c>
      <c r="M856" s="46" t="s">
        <v>188</v>
      </c>
      <c r="N856" s="46" t="s">
        <v>317</v>
      </c>
      <c r="O856" s="46">
        <v>13494800</v>
      </c>
      <c r="P856" s="46">
        <v>153</v>
      </c>
      <c r="Q856" s="46">
        <v>577000</v>
      </c>
      <c r="R856" s="46">
        <v>11</v>
      </c>
      <c r="S856" s="46">
        <v>0</v>
      </c>
      <c r="T856" s="46">
        <v>0</v>
      </c>
      <c r="U856" s="46">
        <v>893000</v>
      </c>
      <c r="V856" s="46">
        <v>7</v>
      </c>
      <c r="W856" s="46">
        <v>0</v>
      </c>
      <c r="X856" s="46">
        <v>0</v>
      </c>
      <c r="Y856" s="48">
        <v>0</v>
      </c>
      <c r="Z856" s="46">
        <v>0</v>
      </c>
      <c r="AA856" s="46">
        <v>0</v>
      </c>
      <c r="AB856" s="46">
        <v>0</v>
      </c>
      <c r="AC856" s="46">
        <v>14964800</v>
      </c>
      <c r="AD856" s="46">
        <v>171</v>
      </c>
      <c r="AF856" s="47">
        <f t="shared" si="13"/>
        <v>14964800</v>
      </c>
    </row>
    <row r="857" spans="1:32" hidden="1" x14ac:dyDescent="0.3">
      <c r="A857" s="46" t="s">
        <v>615</v>
      </c>
      <c r="B857" s="46" t="str">
        <f>IFERROR(VLOOKUP($H857,매장구분!$B:$Z,2,0),"")</f>
        <v>리테일채널팀</v>
      </c>
      <c r="C857" s="46" t="str">
        <f>IFERROR(VLOOKUP($H857,매장구분!$B:$Z,3,0),"")</f>
        <v>국내</v>
      </c>
      <c r="D857" s="46" t="str">
        <f>IFERROR(VLOOKUP($H857,매장구분!$B:$Z,5,0),"")</f>
        <v>대리점</v>
      </c>
      <c r="E857" s="46" t="str">
        <f>IFERROR(VLOOKUP($H857,매장구분!$B:$Z,9,0),"")</f>
        <v>시흥(대-위)</v>
      </c>
      <c r="G857" s="46" t="s">
        <v>330</v>
      </c>
      <c r="H857" s="46" t="s">
        <v>331</v>
      </c>
      <c r="I857" s="46" t="s">
        <v>169</v>
      </c>
      <c r="J857" s="46" t="s">
        <v>79</v>
      </c>
      <c r="K857" s="46" t="s">
        <v>170</v>
      </c>
      <c r="L857" s="46" t="s">
        <v>171</v>
      </c>
      <c r="M857" s="46" t="s">
        <v>196</v>
      </c>
      <c r="N857" s="46" t="s">
        <v>197</v>
      </c>
      <c r="O857" s="46">
        <v>5945400</v>
      </c>
      <c r="P857" s="46">
        <v>51</v>
      </c>
      <c r="Q857" s="46">
        <v>0</v>
      </c>
      <c r="R857" s="46">
        <v>0</v>
      </c>
      <c r="S857" s="46">
        <v>0</v>
      </c>
      <c r="T857" s="46">
        <v>0</v>
      </c>
      <c r="U857" s="46">
        <v>99000</v>
      </c>
      <c r="V857" s="46">
        <v>1</v>
      </c>
      <c r="W857" s="46">
        <v>0</v>
      </c>
      <c r="X857" s="46">
        <v>0</v>
      </c>
      <c r="Y857" s="48">
        <v>0</v>
      </c>
      <c r="Z857" s="46">
        <v>0</v>
      </c>
      <c r="AA857" s="46">
        <v>0</v>
      </c>
      <c r="AB857" s="46">
        <v>0</v>
      </c>
      <c r="AC857" s="46">
        <v>6044400</v>
      </c>
      <c r="AD857" s="46">
        <v>52</v>
      </c>
      <c r="AF857" s="47">
        <f t="shared" si="13"/>
        <v>6044400</v>
      </c>
    </row>
    <row r="858" spans="1:32" hidden="1" x14ac:dyDescent="0.3">
      <c r="A858" s="46" t="s">
        <v>615</v>
      </c>
      <c r="B858" s="46" t="str">
        <f>IFERROR(VLOOKUP($H858,매장구분!$B:$Z,2,0),"")</f>
        <v>리테일채널팀</v>
      </c>
      <c r="C858" s="46" t="str">
        <f>IFERROR(VLOOKUP($H858,매장구분!$B:$Z,3,0),"")</f>
        <v>국내</v>
      </c>
      <c r="D858" s="46" t="str">
        <f>IFERROR(VLOOKUP($H858,매장구분!$B:$Z,5,0),"")</f>
        <v>대리점</v>
      </c>
      <c r="E858" s="46" t="str">
        <f>IFERROR(VLOOKUP($H858,매장구분!$B:$Z,9,0),"")</f>
        <v>서귀포(대-위)</v>
      </c>
      <c r="G858" s="46" t="s">
        <v>313</v>
      </c>
      <c r="H858" s="46" t="s">
        <v>314</v>
      </c>
      <c r="I858" s="46" t="s">
        <v>169</v>
      </c>
      <c r="J858" s="46" t="s">
        <v>79</v>
      </c>
      <c r="K858" s="46" t="s">
        <v>170</v>
      </c>
      <c r="L858" s="46" t="s">
        <v>171</v>
      </c>
      <c r="M858" s="46" t="s">
        <v>196</v>
      </c>
      <c r="N858" s="46" t="s">
        <v>197</v>
      </c>
      <c r="O858" s="46">
        <v>16669600</v>
      </c>
      <c r="P858" s="46">
        <v>156</v>
      </c>
      <c r="Q858" s="46">
        <v>0</v>
      </c>
      <c r="R858" s="46">
        <v>0</v>
      </c>
      <c r="S858" s="46">
        <v>0</v>
      </c>
      <c r="T858" s="46">
        <v>0</v>
      </c>
      <c r="U858" s="46">
        <v>3034231</v>
      </c>
      <c r="V858" s="46">
        <v>15</v>
      </c>
      <c r="W858" s="46">
        <v>0</v>
      </c>
      <c r="X858" s="46">
        <v>0</v>
      </c>
      <c r="Y858" s="48">
        <v>0</v>
      </c>
      <c r="Z858" s="46">
        <v>0</v>
      </c>
      <c r="AA858" s="46">
        <v>0</v>
      </c>
      <c r="AB858" s="46">
        <v>0</v>
      </c>
      <c r="AC858" s="46">
        <v>19703831</v>
      </c>
      <c r="AD858" s="46">
        <v>171</v>
      </c>
      <c r="AF858" s="47">
        <f t="shared" si="13"/>
        <v>19703831</v>
      </c>
    </row>
    <row r="859" spans="1:32" hidden="1" x14ac:dyDescent="0.3">
      <c r="A859" s="46" t="s">
        <v>615</v>
      </c>
      <c r="B859" s="46" t="str">
        <f>IFERROR(VLOOKUP($H859,매장구분!$B:$Z,2,0),"")</f>
        <v>파트너채널팀</v>
      </c>
      <c r="C859" s="46" t="str">
        <f>IFERROR(VLOOKUP($H859,매장구분!$B:$Z,3,0),"")</f>
        <v>국내</v>
      </c>
      <c r="D859" s="46" t="str">
        <f>IFERROR(VLOOKUP($H859,매장구분!$B:$Z,5,0),"")</f>
        <v>백화점</v>
      </c>
      <c r="E859" s="46" t="str">
        <f>IFERROR(VLOOKUP($H859,매장구분!$B:$Z,9,0),"")</f>
        <v>롯데포항</v>
      </c>
      <c r="G859" s="46" t="s">
        <v>249</v>
      </c>
      <c r="H859" s="46" t="s">
        <v>250</v>
      </c>
      <c r="I859" s="46" t="s">
        <v>169</v>
      </c>
      <c r="J859" s="46" t="s">
        <v>175</v>
      </c>
      <c r="K859" s="46" t="s">
        <v>170</v>
      </c>
      <c r="L859" s="46" t="s">
        <v>171</v>
      </c>
      <c r="M859" s="46" t="s">
        <v>77</v>
      </c>
      <c r="N859" s="46" t="s">
        <v>172</v>
      </c>
      <c r="O859" s="46">
        <v>10768050</v>
      </c>
      <c r="P859" s="46">
        <v>94</v>
      </c>
      <c r="Q859" s="46">
        <v>0</v>
      </c>
      <c r="R859" s="46">
        <v>0</v>
      </c>
      <c r="S859" s="46">
        <v>0</v>
      </c>
      <c r="T859" s="46">
        <v>0</v>
      </c>
      <c r="U859" s="46">
        <v>2505050</v>
      </c>
      <c r="V859" s="46">
        <v>17</v>
      </c>
      <c r="W859" s="46">
        <v>0</v>
      </c>
      <c r="X859" s="46">
        <v>0</v>
      </c>
      <c r="Y859" s="48">
        <v>0</v>
      </c>
      <c r="Z859" s="46">
        <v>0</v>
      </c>
      <c r="AA859" s="46">
        <v>0</v>
      </c>
      <c r="AB859" s="46">
        <v>0</v>
      </c>
      <c r="AC859" s="46">
        <v>13273100</v>
      </c>
      <c r="AD859" s="46">
        <v>111</v>
      </c>
      <c r="AF859" s="47">
        <f t="shared" si="13"/>
        <v>13273100</v>
      </c>
    </row>
    <row r="860" spans="1:32" hidden="1" x14ac:dyDescent="0.3">
      <c r="A860" s="46" t="s">
        <v>615</v>
      </c>
      <c r="B860" s="46" t="str">
        <f>IFERROR(VLOOKUP($H860,매장구분!$B:$Z,2,0),"")</f>
        <v>파트너채널팀</v>
      </c>
      <c r="C860" s="46" t="str">
        <f>IFERROR(VLOOKUP($H860,매장구분!$B:$Z,3,0),"")</f>
        <v>국내</v>
      </c>
      <c r="D860" s="46" t="str">
        <f>IFERROR(VLOOKUP($H860,매장구분!$B:$Z,5,0),"")</f>
        <v>백화점</v>
      </c>
      <c r="E860" s="46" t="str">
        <f>IFERROR(VLOOKUP($H860,매장구분!$B:$Z,9,0),"")</f>
        <v>현대중동</v>
      </c>
      <c r="G860" s="46" t="s">
        <v>494</v>
      </c>
      <c r="H860" s="46" t="s">
        <v>495</v>
      </c>
      <c r="I860" s="46" t="s">
        <v>169</v>
      </c>
      <c r="J860" s="46" t="s">
        <v>175</v>
      </c>
      <c r="K860" s="46" t="s">
        <v>170</v>
      </c>
      <c r="L860" s="46" t="s">
        <v>171</v>
      </c>
      <c r="M860" s="46" t="s">
        <v>77</v>
      </c>
      <c r="N860" s="46" t="s">
        <v>172</v>
      </c>
      <c r="O860" s="46">
        <v>22112000</v>
      </c>
      <c r="P860" s="46">
        <v>162</v>
      </c>
      <c r="Q860" s="46">
        <v>46000</v>
      </c>
      <c r="R860" s="46">
        <v>1</v>
      </c>
      <c r="S860" s="46">
        <v>0</v>
      </c>
      <c r="T860" s="46">
        <v>0</v>
      </c>
      <c r="U860" s="46">
        <v>1912000</v>
      </c>
      <c r="V860" s="46">
        <v>8</v>
      </c>
      <c r="W860" s="46">
        <v>0</v>
      </c>
      <c r="X860" s="46">
        <v>0</v>
      </c>
      <c r="Y860" s="48">
        <v>0</v>
      </c>
      <c r="Z860" s="46">
        <v>0</v>
      </c>
      <c r="AA860" s="46">
        <v>0</v>
      </c>
      <c r="AB860" s="46">
        <v>0</v>
      </c>
      <c r="AC860" s="46">
        <v>24070000</v>
      </c>
      <c r="AD860" s="46">
        <v>171</v>
      </c>
      <c r="AF860" s="47">
        <f t="shared" si="13"/>
        <v>24070000</v>
      </c>
    </row>
    <row r="861" spans="1:32" hidden="1" x14ac:dyDescent="0.3">
      <c r="A861" s="46" t="s">
        <v>615</v>
      </c>
      <c r="B861" s="46" t="str">
        <f>IFERROR(VLOOKUP($H861,매장구분!$B:$Z,2,0),"")</f>
        <v>리테일채널팀</v>
      </c>
      <c r="C861" s="46" t="str">
        <f>IFERROR(VLOOKUP($H861,매장구분!$B:$Z,3,0),"")</f>
        <v>국내</v>
      </c>
      <c r="D861" s="46" t="str">
        <f>IFERROR(VLOOKUP($H861,매장구분!$B:$Z,5,0),"")</f>
        <v>대리점</v>
      </c>
      <c r="E861" s="46" t="str">
        <f>IFERROR(VLOOKUP($H861,매장구분!$B:$Z,9,0),"")</f>
        <v>스퀘어원인천(대-위)</v>
      </c>
      <c r="G861" s="46" t="s">
        <v>532</v>
      </c>
      <c r="H861" s="46" t="s">
        <v>533</v>
      </c>
      <c r="I861" s="46" t="s">
        <v>169</v>
      </c>
      <c r="J861" s="46" t="s">
        <v>79</v>
      </c>
      <c r="K861" s="46" t="s">
        <v>170</v>
      </c>
      <c r="L861" s="46" t="s">
        <v>171</v>
      </c>
      <c r="M861" s="46" t="s">
        <v>188</v>
      </c>
      <c r="N861" s="46" t="s">
        <v>317</v>
      </c>
      <c r="O861" s="46">
        <v>28546000</v>
      </c>
      <c r="P861" s="46">
        <v>231</v>
      </c>
      <c r="Q861" s="46">
        <v>0</v>
      </c>
      <c r="R861" s="46">
        <v>0</v>
      </c>
      <c r="S861" s="46">
        <v>0</v>
      </c>
      <c r="T861" s="46">
        <v>0</v>
      </c>
      <c r="U861" s="46">
        <v>2600000</v>
      </c>
      <c r="V861" s="46">
        <v>11</v>
      </c>
      <c r="W861" s="46">
        <v>0</v>
      </c>
      <c r="X861" s="46">
        <v>0</v>
      </c>
      <c r="Y861" s="48">
        <v>7686000</v>
      </c>
      <c r="Z861" s="46">
        <v>64</v>
      </c>
      <c r="AA861" s="46">
        <v>0</v>
      </c>
      <c r="AB861" s="46">
        <v>0</v>
      </c>
      <c r="AC861" s="46">
        <v>38832000</v>
      </c>
      <c r="AD861" s="46">
        <v>306</v>
      </c>
      <c r="AF861" s="47">
        <f t="shared" si="13"/>
        <v>31146000</v>
      </c>
    </row>
    <row r="862" spans="1:32" hidden="1" x14ac:dyDescent="0.3">
      <c r="A862" s="46" t="s">
        <v>615</v>
      </c>
      <c r="B862" s="46" t="str">
        <f>IFERROR(VLOOKUP($H862,매장구분!$B:$Z,2,0),"")</f>
        <v>파트너채널팀</v>
      </c>
      <c r="C862" s="46" t="str">
        <f>IFERROR(VLOOKUP($H862,매장구분!$B:$Z,3,0),"")</f>
        <v>면세</v>
      </c>
      <c r="D862" s="46" t="str">
        <f>IFERROR(VLOOKUP($H862,매장구분!$B:$Z,5,0),"")</f>
        <v>면세</v>
      </c>
      <c r="E862" s="46" t="str">
        <f>IFERROR(VLOOKUP($H862,매장구분!$B:$Z,9,0),"")</f>
        <v>신라면세장충</v>
      </c>
      <c r="G862" s="46" t="s">
        <v>299</v>
      </c>
      <c r="H862" s="46" t="s">
        <v>300</v>
      </c>
      <c r="I862" s="46" t="s">
        <v>169</v>
      </c>
      <c r="J862" s="46" t="s">
        <v>175</v>
      </c>
      <c r="K862" s="46" t="s">
        <v>170</v>
      </c>
      <c r="L862" s="46" t="s">
        <v>171</v>
      </c>
      <c r="M862" s="46" t="s">
        <v>176</v>
      </c>
      <c r="N862" s="46" t="s">
        <v>177</v>
      </c>
      <c r="O862" s="46">
        <v>48544000</v>
      </c>
      <c r="P862" s="46">
        <v>299</v>
      </c>
      <c r="Q862" s="46">
        <v>0</v>
      </c>
      <c r="R862" s="46">
        <v>0</v>
      </c>
      <c r="S862" s="46">
        <v>0</v>
      </c>
      <c r="T862" s="46">
        <v>0</v>
      </c>
      <c r="U862" s="46">
        <v>0</v>
      </c>
      <c r="V862" s="46">
        <v>0</v>
      </c>
      <c r="W862" s="46">
        <v>0</v>
      </c>
      <c r="X862" s="46">
        <v>0</v>
      </c>
      <c r="Y862" s="48">
        <v>365155200</v>
      </c>
      <c r="Z862" s="46">
        <v>7460</v>
      </c>
      <c r="AA862" s="46">
        <v>0</v>
      </c>
      <c r="AB862" s="46">
        <v>0</v>
      </c>
      <c r="AC862" s="46">
        <v>413699200</v>
      </c>
      <c r="AD862" s="46">
        <v>7759</v>
      </c>
      <c r="AF862" s="47">
        <f t="shared" si="13"/>
        <v>48544000</v>
      </c>
    </row>
    <row r="863" spans="1:32" hidden="1" x14ac:dyDescent="0.3">
      <c r="A863" s="46" t="s">
        <v>615</v>
      </c>
      <c r="B863" s="46" t="str">
        <f>IFERROR(VLOOKUP($H863,매장구분!$B:$Z,2,0),"")</f>
        <v>파트너채널팀</v>
      </c>
      <c r="C863" s="46" t="str">
        <f>IFERROR(VLOOKUP($H863,매장구분!$B:$Z,3,0),"")</f>
        <v>국내</v>
      </c>
      <c r="D863" s="46" t="str">
        <f>IFERROR(VLOOKUP($H863,매장구분!$B:$Z,5,0),"")</f>
        <v>백화점</v>
      </c>
      <c r="E863" s="46" t="str">
        <f>IFERROR(VLOOKUP($H863,매장구분!$B:$Z,9,0),"")</f>
        <v>현대충청</v>
      </c>
      <c r="G863" s="46" t="s">
        <v>358</v>
      </c>
      <c r="H863" s="46" t="s">
        <v>359</v>
      </c>
      <c r="I863" s="46" t="s">
        <v>169</v>
      </c>
      <c r="J863" s="46" t="s">
        <v>175</v>
      </c>
      <c r="K863" s="46" t="s">
        <v>170</v>
      </c>
      <c r="L863" s="46" t="s">
        <v>171</v>
      </c>
      <c r="M863" s="46" t="s">
        <v>77</v>
      </c>
      <c r="N863" s="46" t="s">
        <v>172</v>
      </c>
      <c r="O863" s="46">
        <v>29792600</v>
      </c>
      <c r="P863" s="46">
        <v>230</v>
      </c>
      <c r="Q863" s="46">
        <v>0</v>
      </c>
      <c r="R863" s="46">
        <v>0</v>
      </c>
      <c r="S863" s="46">
        <v>0</v>
      </c>
      <c r="T863" s="46">
        <v>0</v>
      </c>
      <c r="U863" s="46">
        <v>0</v>
      </c>
      <c r="V863" s="46">
        <v>0</v>
      </c>
      <c r="W863" s="46">
        <v>0</v>
      </c>
      <c r="X863" s="46">
        <v>0</v>
      </c>
      <c r="Y863" s="48">
        <v>8777000</v>
      </c>
      <c r="Z863" s="46">
        <v>107</v>
      </c>
      <c r="AA863" s="46">
        <v>0</v>
      </c>
      <c r="AB863" s="46">
        <v>0</v>
      </c>
      <c r="AC863" s="46">
        <v>38569600</v>
      </c>
      <c r="AD863" s="46">
        <v>337</v>
      </c>
      <c r="AF863" s="47">
        <f t="shared" si="13"/>
        <v>29792600</v>
      </c>
    </row>
    <row r="864" spans="1:32" hidden="1" x14ac:dyDescent="0.3">
      <c r="A864" s="46" t="s">
        <v>615</v>
      </c>
      <c r="B864" s="46" t="str">
        <f>IFERROR(VLOOKUP($H864,매장구분!$B:$Z,2,0),"")</f>
        <v>파트너채널팀</v>
      </c>
      <c r="C864" s="46" t="str">
        <f>IFERROR(VLOOKUP($H864,매장구분!$B:$Z,3,0),"")</f>
        <v>면세</v>
      </c>
      <c r="D864" s="46" t="str">
        <f>IFERROR(VLOOKUP($H864,매장구분!$B:$Z,5,0),"")</f>
        <v>면세</v>
      </c>
      <c r="E864" s="46" t="str">
        <f>IFERROR(VLOOKUP($H864,매장구분!$B:$Z,9,0),"")</f>
        <v>롯데면세제주</v>
      </c>
      <c r="G864" s="46" t="s">
        <v>464</v>
      </c>
      <c r="H864" s="46" t="s">
        <v>465</v>
      </c>
      <c r="I864" s="46" t="s">
        <v>169</v>
      </c>
      <c r="J864" s="46" t="s">
        <v>175</v>
      </c>
      <c r="K864" s="46" t="s">
        <v>170</v>
      </c>
      <c r="L864" s="46" t="s">
        <v>171</v>
      </c>
      <c r="M864" s="46" t="s">
        <v>176</v>
      </c>
      <c r="N864" s="46" t="s">
        <v>177</v>
      </c>
      <c r="O864" s="46">
        <v>94278700</v>
      </c>
      <c r="P864" s="46">
        <v>1118</v>
      </c>
      <c r="Q864" s="46">
        <v>0</v>
      </c>
      <c r="R864" s="46">
        <v>0</v>
      </c>
      <c r="S864" s="46">
        <v>0</v>
      </c>
      <c r="T864" s="46">
        <v>0</v>
      </c>
      <c r="U864" s="46">
        <v>0</v>
      </c>
      <c r="V864" s="46">
        <v>0</v>
      </c>
      <c r="W864" s="46">
        <v>0</v>
      </c>
      <c r="X864" s="46">
        <v>0</v>
      </c>
      <c r="Y864" s="48">
        <v>0</v>
      </c>
      <c r="Z864" s="46">
        <v>0</v>
      </c>
      <c r="AA864" s="46">
        <v>0</v>
      </c>
      <c r="AB864" s="46">
        <v>0</v>
      </c>
      <c r="AC864" s="46">
        <v>94278700</v>
      </c>
      <c r="AD864" s="46">
        <v>1118</v>
      </c>
      <c r="AF864" s="47">
        <f t="shared" si="13"/>
        <v>94278700</v>
      </c>
    </row>
    <row r="865" spans="1:32" hidden="1" x14ac:dyDescent="0.3">
      <c r="A865" s="46" t="s">
        <v>615</v>
      </c>
      <c r="B865" s="46" t="str">
        <f>IFERROR(VLOOKUP($H865,매장구분!$B:$Z,2,0),"")</f>
        <v>리테일채널팀</v>
      </c>
      <c r="C865" s="46" t="str">
        <f>IFERROR(VLOOKUP($H865,매장구분!$B:$Z,3,0),"")</f>
        <v>국내</v>
      </c>
      <c r="D865" s="46" t="str">
        <f>IFERROR(VLOOKUP($H865,매장구분!$B:$Z,5,0),"")</f>
        <v>직영점</v>
      </c>
      <c r="E865" s="46" t="str">
        <f>IFERROR(VLOOKUP($H865,매장구분!$B:$Z,9,0),"")</f>
        <v>동성로</v>
      </c>
      <c r="G865" s="46" t="s">
        <v>204</v>
      </c>
      <c r="H865" s="46" t="s">
        <v>205</v>
      </c>
      <c r="I865" s="46" t="s">
        <v>169</v>
      </c>
      <c r="J865" s="46" t="s">
        <v>180</v>
      </c>
      <c r="K865" s="46" t="s">
        <v>170</v>
      </c>
      <c r="L865" s="46" t="s">
        <v>171</v>
      </c>
      <c r="M865" s="46" t="s">
        <v>196</v>
      </c>
      <c r="N865" s="46" t="s">
        <v>206</v>
      </c>
      <c r="O865" s="46">
        <v>16169710</v>
      </c>
      <c r="P865" s="46">
        <v>188</v>
      </c>
      <c r="Q865" s="46">
        <v>0</v>
      </c>
      <c r="R865" s="46">
        <v>0</v>
      </c>
      <c r="S865" s="46">
        <v>0</v>
      </c>
      <c r="T865" s="46">
        <v>0</v>
      </c>
      <c r="U865" s="46">
        <v>952400</v>
      </c>
      <c r="V865" s="46">
        <v>4</v>
      </c>
      <c r="W865" s="46">
        <v>0</v>
      </c>
      <c r="X865" s="46">
        <v>0</v>
      </c>
      <c r="Y865" s="48">
        <v>0</v>
      </c>
      <c r="Z865" s="46">
        <v>0</v>
      </c>
      <c r="AA865" s="46">
        <v>0</v>
      </c>
      <c r="AB865" s="46">
        <v>0</v>
      </c>
      <c r="AC865" s="46">
        <v>17122110</v>
      </c>
      <c r="AD865" s="46">
        <v>192</v>
      </c>
      <c r="AF865" s="47">
        <f t="shared" si="13"/>
        <v>17122110</v>
      </c>
    </row>
    <row r="866" spans="1:32" hidden="1" x14ac:dyDescent="0.3">
      <c r="A866" s="46" t="s">
        <v>615</v>
      </c>
      <c r="B866" s="46" t="str">
        <f>IFERROR(VLOOKUP($H866,매장구분!$B:$Z,2,0),"")</f>
        <v>파트너채널팀</v>
      </c>
      <c r="C866" s="46" t="str">
        <f>IFERROR(VLOOKUP($H866,매장구분!$B:$Z,3,0),"")</f>
        <v>국내</v>
      </c>
      <c r="D866" s="46" t="str">
        <f>IFERROR(VLOOKUP($H866,매장구분!$B:$Z,5,0),"")</f>
        <v>백화점</v>
      </c>
      <c r="E866" s="46" t="str">
        <f>IFERROR(VLOOKUP($H866,매장구분!$B:$Z,9,0),"")</f>
        <v>갤러리아센터시티</v>
      </c>
      <c r="G866" s="46" t="s">
        <v>259</v>
      </c>
      <c r="H866" s="46" t="s">
        <v>260</v>
      </c>
      <c r="I866" s="46" t="s">
        <v>169</v>
      </c>
      <c r="J866" s="46" t="s">
        <v>175</v>
      </c>
      <c r="K866" s="46" t="s">
        <v>170</v>
      </c>
      <c r="L866" s="46" t="s">
        <v>171</v>
      </c>
      <c r="M866" s="46" t="s">
        <v>77</v>
      </c>
      <c r="N866" s="46" t="s">
        <v>172</v>
      </c>
      <c r="O866" s="46">
        <v>5826000</v>
      </c>
      <c r="P866" s="46">
        <v>59</v>
      </c>
      <c r="Q866" s="46">
        <v>358000</v>
      </c>
      <c r="R866" s="46">
        <v>6</v>
      </c>
      <c r="S866" s="46">
        <v>0</v>
      </c>
      <c r="T866" s="46">
        <v>0</v>
      </c>
      <c r="U866" s="46">
        <v>914000</v>
      </c>
      <c r="V866" s="46">
        <v>6</v>
      </c>
      <c r="W866" s="46">
        <v>0</v>
      </c>
      <c r="X866" s="46">
        <v>0</v>
      </c>
      <c r="Y866" s="48">
        <v>0</v>
      </c>
      <c r="Z866" s="46">
        <v>0</v>
      </c>
      <c r="AA866" s="46">
        <v>0</v>
      </c>
      <c r="AB866" s="46">
        <v>0</v>
      </c>
      <c r="AC866" s="46">
        <v>7098000</v>
      </c>
      <c r="AD866" s="46">
        <v>71</v>
      </c>
      <c r="AF866" s="47">
        <f t="shared" si="13"/>
        <v>7098000</v>
      </c>
    </row>
    <row r="867" spans="1:32" hidden="1" x14ac:dyDescent="0.3">
      <c r="A867" s="46" t="s">
        <v>615</v>
      </c>
      <c r="B867" s="46" t="str">
        <f>IFERROR(VLOOKUP($H867,매장구분!$B:$Z,2,0),"")</f>
        <v>리테일채널팀</v>
      </c>
      <c r="C867" s="46" t="str">
        <f>IFERROR(VLOOKUP($H867,매장구분!$B:$Z,3,0),"")</f>
        <v>국내</v>
      </c>
      <c r="D867" s="46" t="str">
        <f>IFERROR(VLOOKUP($H867,매장구분!$B:$Z,5,0),"")</f>
        <v>대리점</v>
      </c>
      <c r="E867" s="46" t="str">
        <f>IFERROR(VLOOKUP($H867,매장구분!$B:$Z,9,0),"")</f>
        <v>대구성서(대-위)</v>
      </c>
      <c r="G867" s="46" t="s">
        <v>492</v>
      </c>
      <c r="H867" s="46" t="s">
        <v>493</v>
      </c>
      <c r="I867" s="46" t="s">
        <v>169</v>
      </c>
      <c r="J867" s="46" t="s">
        <v>79</v>
      </c>
      <c r="K867" s="46" t="s">
        <v>170</v>
      </c>
      <c r="L867" s="46" t="s">
        <v>171</v>
      </c>
      <c r="M867" s="46" t="s">
        <v>196</v>
      </c>
      <c r="N867" s="46" t="s">
        <v>197</v>
      </c>
      <c r="O867" s="46">
        <v>20662859</v>
      </c>
      <c r="P867" s="46">
        <v>147</v>
      </c>
      <c r="Q867" s="46">
        <v>0</v>
      </c>
      <c r="R867" s="46">
        <v>0</v>
      </c>
      <c r="S867" s="46">
        <v>0</v>
      </c>
      <c r="T867" s="46">
        <v>0</v>
      </c>
      <c r="U867" s="46">
        <v>-59052</v>
      </c>
      <c r="V867" s="46">
        <v>2</v>
      </c>
      <c r="W867" s="46">
        <v>0</v>
      </c>
      <c r="X867" s="46">
        <v>0</v>
      </c>
      <c r="Y867" s="48">
        <v>0</v>
      </c>
      <c r="Z867" s="46">
        <v>0</v>
      </c>
      <c r="AA867" s="46">
        <v>0</v>
      </c>
      <c r="AB867" s="46">
        <v>0</v>
      </c>
      <c r="AC867" s="46">
        <v>20603807</v>
      </c>
      <c r="AD867" s="46">
        <v>149</v>
      </c>
      <c r="AF867" s="47">
        <f t="shared" si="13"/>
        <v>20603807</v>
      </c>
    </row>
    <row r="868" spans="1:32" hidden="1" x14ac:dyDescent="0.3">
      <c r="A868" s="46" t="s">
        <v>615</v>
      </c>
      <c r="B868" s="46" t="str">
        <f>IFERROR(VLOOKUP($H868,매장구분!$B:$Z,2,0),"")</f>
        <v>리테일채널팀</v>
      </c>
      <c r="C868" s="46" t="str">
        <f>IFERROR(VLOOKUP($H868,매장구분!$B:$Z,3,0),"")</f>
        <v>국내</v>
      </c>
      <c r="D868" s="46" t="str">
        <f>IFERROR(VLOOKUP($H868,매장구분!$B:$Z,5,0),"")</f>
        <v>대리점</v>
      </c>
      <c r="E868" s="46" t="str">
        <f>IFERROR(VLOOKUP($H868,매장구분!$B:$Z,9,0),"")</f>
        <v>아이즈빌부평(대-위)</v>
      </c>
      <c r="G868" s="46" t="s">
        <v>315</v>
      </c>
      <c r="H868" s="46" t="s">
        <v>316</v>
      </c>
      <c r="I868" s="46" t="s">
        <v>169</v>
      </c>
      <c r="J868" s="46" t="s">
        <v>79</v>
      </c>
      <c r="K868" s="46" t="s">
        <v>170</v>
      </c>
      <c r="L868" s="46" t="s">
        <v>171</v>
      </c>
      <c r="M868" s="46" t="s">
        <v>188</v>
      </c>
      <c r="N868" s="46" t="s">
        <v>317</v>
      </c>
      <c r="O868" s="46">
        <v>40599320</v>
      </c>
      <c r="P868" s="46">
        <v>335</v>
      </c>
      <c r="Q868" s="46">
        <v>0</v>
      </c>
      <c r="R868" s="46">
        <v>0</v>
      </c>
      <c r="S868" s="46">
        <v>0</v>
      </c>
      <c r="T868" s="46">
        <v>0</v>
      </c>
      <c r="U868" s="46">
        <v>1933000</v>
      </c>
      <c r="V868" s="46">
        <v>12</v>
      </c>
      <c r="W868" s="46">
        <v>0</v>
      </c>
      <c r="X868" s="46">
        <v>0</v>
      </c>
      <c r="Y868" s="48">
        <v>0</v>
      </c>
      <c r="Z868" s="46">
        <v>0</v>
      </c>
      <c r="AA868" s="46">
        <v>0</v>
      </c>
      <c r="AB868" s="46">
        <v>0</v>
      </c>
      <c r="AC868" s="46">
        <v>42532320</v>
      </c>
      <c r="AD868" s="46">
        <v>347</v>
      </c>
      <c r="AF868" s="47">
        <f t="shared" si="13"/>
        <v>42532320</v>
      </c>
    </row>
    <row r="869" spans="1:32" hidden="1" x14ac:dyDescent="0.3">
      <c r="A869" s="46" t="s">
        <v>615</v>
      </c>
      <c r="B869" s="46" t="str">
        <f>IFERROR(VLOOKUP($H869,매장구분!$B:$Z,2,0),"")</f>
        <v>리테일채널팀</v>
      </c>
      <c r="C869" s="46" t="str">
        <f>IFERROR(VLOOKUP($H869,매장구분!$B:$Z,3,0),"")</f>
        <v>국내</v>
      </c>
      <c r="D869" s="46" t="str">
        <f>IFERROR(VLOOKUP($H869,매장구분!$B:$Z,5,0),"")</f>
        <v>직영점</v>
      </c>
      <c r="E869" s="46" t="str">
        <f>IFERROR(VLOOKUP($H869,매장구분!$B:$Z,9,0),"")</f>
        <v>트리플스트리트(직)</v>
      </c>
      <c r="G869" s="46" t="s">
        <v>576</v>
      </c>
      <c r="H869" s="46" t="s">
        <v>577</v>
      </c>
      <c r="I869" s="46" t="s">
        <v>169</v>
      </c>
      <c r="J869" s="46" t="s">
        <v>180</v>
      </c>
      <c r="K869" s="46" t="s">
        <v>170</v>
      </c>
      <c r="L869" s="46" t="s">
        <v>171</v>
      </c>
      <c r="M869" s="46" t="s">
        <v>188</v>
      </c>
      <c r="N869" s="46" t="s">
        <v>317</v>
      </c>
      <c r="O869" s="46">
        <v>14113000</v>
      </c>
      <c r="P869" s="46">
        <v>142</v>
      </c>
      <c r="Q869" s="46">
        <v>0</v>
      </c>
      <c r="R869" s="46">
        <v>0</v>
      </c>
      <c r="S869" s="46">
        <v>0</v>
      </c>
      <c r="T869" s="46">
        <v>0</v>
      </c>
      <c r="U869" s="46">
        <v>-1077000</v>
      </c>
      <c r="V869" s="46">
        <v>1</v>
      </c>
      <c r="W869" s="46">
        <v>0</v>
      </c>
      <c r="X869" s="46">
        <v>0</v>
      </c>
      <c r="Y869" s="48">
        <v>0</v>
      </c>
      <c r="Z869" s="46">
        <v>0</v>
      </c>
      <c r="AA869" s="46">
        <v>0</v>
      </c>
      <c r="AB869" s="46">
        <v>0</v>
      </c>
      <c r="AC869" s="46">
        <v>13036000</v>
      </c>
      <c r="AD869" s="46">
        <v>143</v>
      </c>
      <c r="AF869" s="47">
        <f t="shared" si="13"/>
        <v>13036000</v>
      </c>
    </row>
    <row r="870" spans="1:32" hidden="1" x14ac:dyDescent="0.3">
      <c r="A870" s="46" t="s">
        <v>615</v>
      </c>
      <c r="B870" s="46" t="str">
        <f>IFERROR(VLOOKUP($H870,매장구분!$B:$Z,2,0),"")</f>
        <v>리테일채널팀</v>
      </c>
      <c r="C870" s="46" t="str">
        <f>IFERROR(VLOOKUP($H870,매장구분!$B:$Z,3,0),"")</f>
        <v>국내</v>
      </c>
      <c r="D870" s="46" t="str">
        <f>IFERROR(VLOOKUP($H870,매장구분!$B:$Z,5,0),"")</f>
        <v>상설(위탁)</v>
      </c>
      <c r="E870" s="46" t="str">
        <f>IFERROR(VLOOKUP($H870,매장구분!$B:$Z,9,0),"")</f>
        <v>롯데아울렛진주(상-위)</v>
      </c>
      <c r="G870" s="46" t="s">
        <v>528</v>
      </c>
      <c r="H870" s="46" t="s">
        <v>529</v>
      </c>
      <c r="I870" s="46" t="s">
        <v>169</v>
      </c>
      <c r="J870" s="46" t="s">
        <v>79</v>
      </c>
      <c r="K870" s="46" t="s">
        <v>170</v>
      </c>
      <c r="L870" s="46" t="s">
        <v>171</v>
      </c>
      <c r="M870" s="46" t="s">
        <v>219</v>
      </c>
      <c r="N870" s="46" t="s">
        <v>219</v>
      </c>
      <c r="O870" s="46">
        <v>1260000</v>
      </c>
      <c r="P870" s="46">
        <v>35</v>
      </c>
      <c r="Q870" s="46">
        <v>0</v>
      </c>
      <c r="R870" s="46">
        <v>0</v>
      </c>
      <c r="S870" s="46">
        <v>0</v>
      </c>
      <c r="T870" s="46">
        <v>0</v>
      </c>
      <c r="U870" s="46">
        <v>0</v>
      </c>
      <c r="V870" s="46">
        <v>0</v>
      </c>
      <c r="W870" s="46">
        <v>0</v>
      </c>
      <c r="X870" s="46">
        <v>0</v>
      </c>
      <c r="Y870" s="48">
        <v>0</v>
      </c>
      <c r="Z870" s="46">
        <v>0</v>
      </c>
      <c r="AA870" s="46">
        <v>0</v>
      </c>
      <c r="AB870" s="46">
        <v>0</v>
      </c>
      <c r="AC870" s="46">
        <v>1260000</v>
      </c>
      <c r="AD870" s="46">
        <v>35</v>
      </c>
      <c r="AF870" s="47">
        <f t="shared" si="13"/>
        <v>1260000</v>
      </c>
    </row>
    <row r="871" spans="1:32" hidden="1" x14ac:dyDescent="0.3">
      <c r="A871" s="46" t="s">
        <v>615</v>
      </c>
      <c r="B871" s="46" t="str">
        <f>IFERROR(VLOOKUP($H871,매장구분!$B:$Z,2,0),"")</f>
        <v>리테일채널팀</v>
      </c>
      <c r="C871" s="46" t="str">
        <f>IFERROR(VLOOKUP($H871,매장구분!$B:$Z,3,0),"")</f>
        <v>국내</v>
      </c>
      <c r="D871" s="46" t="str">
        <f>IFERROR(VLOOKUP($H871,매장구분!$B:$Z,5,0),"")</f>
        <v>상설(위탁)</v>
      </c>
      <c r="E871" s="46" t="str">
        <f>IFERROR(VLOOKUP($H871,매장구분!$B:$Z,9,0),"")</f>
        <v>NC강서(상-위)</v>
      </c>
      <c r="G871" s="46" t="s">
        <v>376</v>
      </c>
      <c r="H871" s="46" t="s">
        <v>377</v>
      </c>
      <c r="I871" s="46" t="s">
        <v>169</v>
      </c>
      <c r="J871" s="46" t="s">
        <v>79</v>
      </c>
      <c r="K871" s="46" t="s">
        <v>170</v>
      </c>
      <c r="L871" s="46" t="s">
        <v>171</v>
      </c>
      <c r="M871" s="46" t="s">
        <v>77</v>
      </c>
      <c r="N871" s="46" t="s">
        <v>238</v>
      </c>
      <c r="O871" s="46">
        <v>756000</v>
      </c>
      <c r="P871" s="46">
        <v>21</v>
      </c>
      <c r="Q871" s="46">
        <v>0</v>
      </c>
      <c r="R871" s="46">
        <v>0</v>
      </c>
      <c r="S871" s="46">
        <v>0</v>
      </c>
      <c r="T871" s="46">
        <v>0</v>
      </c>
      <c r="U871" s="46">
        <v>0</v>
      </c>
      <c r="V871" s="46">
        <v>0</v>
      </c>
      <c r="W871" s="46">
        <v>0</v>
      </c>
      <c r="X871" s="46">
        <v>0</v>
      </c>
      <c r="Y871" s="48">
        <v>0</v>
      </c>
      <c r="Z871" s="46">
        <v>0</v>
      </c>
      <c r="AA871" s="46">
        <v>0</v>
      </c>
      <c r="AB871" s="46">
        <v>0</v>
      </c>
      <c r="AC871" s="46">
        <v>756000</v>
      </c>
      <c r="AD871" s="46">
        <v>21</v>
      </c>
      <c r="AF871" s="47">
        <f t="shared" si="13"/>
        <v>756000</v>
      </c>
    </row>
    <row r="872" spans="1:32" hidden="1" x14ac:dyDescent="0.3">
      <c r="A872" s="46" t="s">
        <v>615</v>
      </c>
      <c r="B872" s="46" t="str">
        <f>IFERROR(VLOOKUP($H872,매장구분!$B:$Z,2,0),"")</f>
        <v>리테일채널팀</v>
      </c>
      <c r="C872" s="46" t="str">
        <f>IFERROR(VLOOKUP($H872,매장구분!$B:$Z,3,0),"")</f>
        <v>국내</v>
      </c>
      <c r="D872" s="46" t="str">
        <f>IFERROR(VLOOKUP($H872,매장구분!$B:$Z,5,0),"")</f>
        <v>상설(위탁)</v>
      </c>
      <c r="E872" s="46" t="str">
        <f>IFERROR(VLOOKUP($H872,매장구분!$B:$Z,9,0),"")</f>
        <v>롯데아울렛김해(상-위)</v>
      </c>
      <c r="G872" s="46" t="s">
        <v>370</v>
      </c>
      <c r="H872" s="46" t="s">
        <v>371</v>
      </c>
      <c r="I872" s="46" t="s">
        <v>169</v>
      </c>
      <c r="J872" s="46" t="s">
        <v>79</v>
      </c>
      <c r="K872" s="46" t="s">
        <v>170</v>
      </c>
      <c r="L872" s="46" t="s">
        <v>171</v>
      </c>
      <c r="M872" s="46" t="s">
        <v>219</v>
      </c>
      <c r="N872" s="46" t="s">
        <v>219</v>
      </c>
      <c r="O872" s="46">
        <v>2340000</v>
      </c>
      <c r="P872" s="46">
        <v>65</v>
      </c>
      <c r="Q872" s="46">
        <v>0</v>
      </c>
      <c r="R872" s="46">
        <v>0</v>
      </c>
      <c r="S872" s="46">
        <v>0</v>
      </c>
      <c r="T872" s="46">
        <v>0</v>
      </c>
      <c r="U872" s="46">
        <v>0</v>
      </c>
      <c r="V872" s="46">
        <v>0</v>
      </c>
      <c r="W872" s="46">
        <v>0</v>
      </c>
      <c r="X872" s="46">
        <v>0</v>
      </c>
      <c r="Y872" s="48">
        <v>0</v>
      </c>
      <c r="Z872" s="46">
        <v>0</v>
      </c>
      <c r="AA872" s="46">
        <v>0</v>
      </c>
      <c r="AB872" s="46">
        <v>0</v>
      </c>
      <c r="AC872" s="46">
        <v>2340000</v>
      </c>
      <c r="AD872" s="46">
        <v>65</v>
      </c>
      <c r="AF872" s="47">
        <f t="shared" si="13"/>
        <v>2340000</v>
      </c>
    </row>
    <row r="873" spans="1:32" hidden="1" x14ac:dyDescent="0.3">
      <c r="A873" s="46" t="s">
        <v>615</v>
      </c>
      <c r="B873" s="46" t="str">
        <f>IFERROR(VLOOKUP($H873,매장구분!$B:$Z,2,0),"")</f>
        <v>파트너채널팀</v>
      </c>
      <c r="C873" s="46" t="str">
        <f>IFERROR(VLOOKUP($H873,매장구분!$B:$Z,3,0),"")</f>
        <v>국내</v>
      </c>
      <c r="D873" s="46" t="str">
        <f>IFERROR(VLOOKUP($H873,매장구분!$B:$Z,5,0),"")</f>
        <v>백화점</v>
      </c>
      <c r="E873" s="46" t="str">
        <f>IFERROR(VLOOKUP($H873,매장구분!$B:$Z,9,0),"")</f>
        <v>롯데동탄</v>
      </c>
      <c r="G873" s="46" t="s">
        <v>406</v>
      </c>
      <c r="H873" s="46" t="s">
        <v>407</v>
      </c>
      <c r="I873" s="46" t="s">
        <v>169</v>
      </c>
      <c r="J873" s="46" t="s">
        <v>175</v>
      </c>
      <c r="K873" s="46" t="s">
        <v>170</v>
      </c>
      <c r="L873" s="46" t="s">
        <v>171</v>
      </c>
      <c r="M873" s="46" t="s">
        <v>77</v>
      </c>
      <c r="N873" s="46" t="s">
        <v>172</v>
      </c>
      <c r="O873" s="46">
        <v>13491300</v>
      </c>
      <c r="P873" s="46">
        <v>142</v>
      </c>
      <c r="Q873" s="46">
        <v>0</v>
      </c>
      <c r="R873" s="46">
        <v>0</v>
      </c>
      <c r="S873" s="46">
        <v>0</v>
      </c>
      <c r="T873" s="46">
        <v>0</v>
      </c>
      <c r="U873" s="46">
        <v>1801000</v>
      </c>
      <c r="V873" s="46">
        <v>9</v>
      </c>
      <c r="W873" s="46">
        <v>0</v>
      </c>
      <c r="X873" s="46">
        <v>0</v>
      </c>
      <c r="Y873" s="48">
        <v>0</v>
      </c>
      <c r="Z873" s="46">
        <v>0</v>
      </c>
      <c r="AA873" s="46">
        <v>0</v>
      </c>
      <c r="AB873" s="46">
        <v>0</v>
      </c>
      <c r="AC873" s="46">
        <v>15292300</v>
      </c>
      <c r="AD873" s="46">
        <v>151</v>
      </c>
      <c r="AF873" s="47">
        <f t="shared" si="13"/>
        <v>15292300</v>
      </c>
    </row>
    <row r="874" spans="1:32" hidden="1" x14ac:dyDescent="0.3">
      <c r="A874" s="46" t="s">
        <v>615</v>
      </c>
      <c r="B874" s="46" t="str">
        <f>IFERROR(VLOOKUP($H874,매장구분!$B:$Z,2,0),"")</f>
        <v>리테일채널팀</v>
      </c>
      <c r="C874" s="46" t="str">
        <f>IFERROR(VLOOKUP($H874,매장구분!$B:$Z,3,0),"")</f>
        <v>국내</v>
      </c>
      <c r="D874" s="46" t="str">
        <f>IFERROR(VLOOKUP($H874,매장구분!$B:$Z,5,0),"")</f>
        <v>직영점</v>
      </c>
      <c r="E874" s="46" t="str">
        <f>IFERROR(VLOOKUP($H874,매장구분!$B:$Z,9,0),"")</f>
        <v>스타필드안성(직)</v>
      </c>
      <c r="G874" s="46" t="s">
        <v>554</v>
      </c>
      <c r="H874" s="46" t="s">
        <v>555</v>
      </c>
      <c r="I874" s="46" t="s">
        <v>169</v>
      </c>
      <c r="J874" s="46" t="s">
        <v>180</v>
      </c>
      <c r="K874" s="46" t="s">
        <v>170</v>
      </c>
      <c r="L874" s="46" t="s">
        <v>171</v>
      </c>
      <c r="M874" s="46" t="s">
        <v>188</v>
      </c>
      <c r="N874" s="46" t="s">
        <v>189</v>
      </c>
      <c r="O874" s="46">
        <v>15695500</v>
      </c>
      <c r="P874" s="46">
        <v>156</v>
      </c>
      <c r="Q874" s="46">
        <v>0</v>
      </c>
      <c r="R874" s="46">
        <v>0</v>
      </c>
      <c r="S874" s="46">
        <v>0</v>
      </c>
      <c r="T874" s="46">
        <v>0</v>
      </c>
      <c r="U874" s="46">
        <v>1660000</v>
      </c>
      <c r="V874" s="46">
        <v>10</v>
      </c>
      <c r="W874" s="46">
        <v>0</v>
      </c>
      <c r="X874" s="46">
        <v>0</v>
      </c>
      <c r="Y874" s="48">
        <v>0</v>
      </c>
      <c r="Z874" s="46">
        <v>0</v>
      </c>
      <c r="AA874" s="46">
        <v>0</v>
      </c>
      <c r="AB874" s="46">
        <v>0</v>
      </c>
      <c r="AC874" s="46">
        <v>17355500</v>
      </c>
      <c r="AD874" s="46">
        <v>166</v>
      </c>
      <c r="AF874" s="47">
        <f t="shared" si="13"/>
        <v>17355500</v>
      </c>
    </row>
    <row r="875" spans="1:32" hidden="1" x14ac:dyDescent="0.3">
      <c r="A875" s="46" t="s">
        <v>615</v>
      </c>
      <c r="B875" s="46" t="str">
        <f>IFERROR(VLOOKUP($H875,매장구분!$B:$Z,2,0),"")</f>
        <v>E-biz</v>
      </c>
      <c r="C875" s="46" t="str">
        <f>IFERROR(VLOOKUP($H875,매장구분!$B:$Z,3,0),"")</f>
        <v>국내</v>
      </c>
      <c r="D875" s="46" t="str">
        <f>IFERROR(VLOOKUP($H875,매장구분!$B:$Z,5,0),"")</f>
        <v>온(제휴몰)</v>
      </c>
      <c r="E875" s="46" t="str">
        <f>IFERROR(VLOOKUP($H875,매장구분!$B:$Z,9,0),"")</f>
        <v>29CM(제휴몰)</v>
      </c>
      <c r="G875" s="46" t="s">
        <v>518</v>
      </c>
      <c r="H875" s="46" t="s">
        <v>519</v>
      </c>
      <c r="I875" s="46" t="s">
        <v>169</v>
      </c>
      <c r="J875" s="46" t="s">
        <v>180</v>
      </c>
      <c r="K875" s="46" t="s">
        <v>170</v>
      </c>
      <c r="L875" s="46" t="s">
        <v>181</v>
      </c>
      <c r="M875" s="46" t="s">
        <v>181</v>
      </c>
      <c r="N875" s="46" t="s">
        <v>185</v>
      </c>
      <c r="O875" s="46">
        <v>14713300</v>
      </c>
      <c r="P875" s="46">
        <v>228</v>
      </c>
      <c r="Q875" s="46">
        <v>0</v>
      </c>
      <c r="R875" s="46">
        <v>0</v>
      </c>
      <c r="S875" s="46">
        <v>0</v>
      </c>
      <c r="T875" s="46">
        <v>0</v>
      </c>
      <c r="U875" s="46">
        <v>0</v>
      </c>
      <c r="V875" s="46">
        <v>0</v>
      </c>
      <c r="W875" s="46">
        <v>0</v>
      </c>
      <c r="X875" s="46">
        <v>0</v>
      </c>
      <c r="Y875" s="48">
        <v>0</v>
      </c>
      <c r="Z875" s="46">
        <v>0</v>
      </c>
      <c r="AA875" s="46">
        <v>0</v>
      </c>
      <c r="AB875" s="46">
        <v>0</v>
      </c>
      <c r="AC875" s="46">
        <v>14713300</v>
      </c>
      <c r="AD875" s="46">
        <v>228</v>
      </c>
      <c r="AF875" s="47">
        <f t="shared" si="13"/>
        <v>14713300</v>
      </c>
    </row>
    <row r="876" spans="1:32" hidden="1" x14ac:dyDescent="0.3">
      <c r="A876" s="46" t="s">
        <v>615</v>
      </c>
      <c r="B876" s="46" t="str">
        <f>IFERROR(VLOOKUP($H876,매장구분!$B:$Z,2,0),"")</f>
        <v>E-biz</v>
      </c>
      <c r="C876" s="46" t="str">
        <f>IFERROR(VLOOKUP($H876,매장구분!$B:$Z,3,0),"")</f>
        <v>국내</v>
      </c>
      <c r="D876" s="46" t="str">
        <f>IFERROR(VLOOKUP($H876,매장구분!$B:$Z,5,0),"")</f>
        <v>온(제휴몰)</v>
      </c>
      <c r="E876" s="46" t="str">
        <f>IFERROR(VLOOKUP($H876,매장구분!$B:$Z,9,0),"")</f>
        <v>무신사(제휴몰)</v>
      </c>
      <c r="G876" s="46" t="s">
        <v>183</v>
      </c>
      <c r="H876" s="46" t="s">
        <v>184</v>
      </c>
      <c r="I876" s="46" t="s">
        <v>169</v>
      </c>
      <c r="J876" s="46" t="s">
        <v>180</v>
      </c>
      <c r="K876" s="46" t="s">
        <v>170</v>
      </c>
      <c r="L876" s="46" t="s">
        <v>181</v>
      </c>
      <c r="M876" s="46" t="s">
        <v>181</v>
      </c>
      <c r="N876" s="46" t="s">
        <v>185</v>
      </c>
      <c r="O876" s="46">
        <v>447385110</v>
      </c>
      <c r="P876" s="46">
        <v>4362</v>
      </c>
      <c r="Q876" s="46">
        <v>0</v>
      </c>
      <c r="R876" s="46">
        <v>0</v>
      </c>
      <c r="S876" s="46">
        <v>0</v>
      </c>
      <c r="T876" s="46">
        <v>0</v>
      </c>
      <c r="U876" s="46">
        <v>0</v>
      </c>
      <c r="V876" s="46">
        <v>0</v>
      </c>
      <c r="W876" s="46">
        <v>0</v>
      </c>
      <c r="X876" s="46">
        <v>0</v>
      </c>
      <c r="Y876" s="48">
        <v>0</v>
      </c>
      <c r="Z876" s="46">
        <v>0</v>
      </c>
      <c r="AA876" s="46">
        <v>0</v>
      </c>
      <c r="AB876" s="46">
        <v>0</v>
      </c>
      <c r="AC876" s="46">
        <v>447385110</v>
      </c>
      <c r="AD876" s="46">
        <v>4362</v>
      </c>
      <c r="AF876" s="47">
        <f t="shared" si="13"/>
        <v>447385110</v>
      </c>
    </row>
    <row r="877" spans="1:32" hidden="1" x14ac:dyDescent="0.3">
      <c r="A877" s="46" t="s">
        <v>615</v>
      </c>
      <c r="B877" s="46" t="str">
        <f>IFERROR(VLOOKUP($H877,매장구분!$B:$Z,2,0),"")</f>
        <v>파트너채널팀</v>
      </c>
      <c r="C877" s="46" t="str">
        <f>IFERROR(VLOOKUP($H877,매장구분!$B:$Z,3,0),"")</f>
        <v>국내</v>
      </c>
      <c r="D877" s="46" t="str">
        <f>IFERROR(VLOOKUP($H877,매장구분!$B:$Z,5,0),"")</f>
        <v>백화점</v>
      </c>
      <c r="E877" s="46" t="str">
        <f>IFERROR(VLOOKUP($H877,매장구분!$B:$Z,9,0),"")</f>
        <v>갤러리아광교</v>
      </c>
      <c r="G877" s="46" t="s">
        <v>261</v>
      </c>
      <c r="H877" s="46" t="s">
        <v>262</v>
      </c>
      <c r="I877" s="46" t="s">
        <v>169</v>
      </c>
      <c r="J877" s="46" t="s">
        <v>175</v>
      </c>
      <c r="K877" s="46" t="s">
        <v>170</v>
      </c>
      <c r="L877" s="46" t="s">
        <v>171</v>
      </c>
      <c r="M877" s="46" t="s">
        <v>77</v>
      </c>
      <c r="N877" s="46" t="s">
        <v>172</v>
      </c>
      <c r="O877" s="46">
        <v>5807000</v>
      </c>
      <c r="P877" s="46">
        <v>60</v>
      </c>
      <c r="Q877" s="46">
        <v>2261100</v>
      </c>
      <c r="R877" s="46">
        <v>32</v>
      </c>
      <c r="S877" s="46">
        <v>0</v>
      </c>
      <c r="T877" s="46">
        <v>0</v>
      </c>
      <c r="U877" s="46">
        <v>0</v>
      </c>
      <c r="V877" s="46">
        <v>0</v>
      </c>
      <c r="W877" s="46">
        <v>0</v>
      </c>
      <c r="X877" s="46">
        <v>0</v>
      </c>
      <c r="Y877" s="48">
        <v>0</v>
      </c>
      <c r="Z877" s="46">
        <v>0</v>
      </c>
      <c r="AA877" s="46">
        <v>0</v>
      </c>
      <c r="AB877" s="46">
        <v>0</v>
      </c>
      <c r="AC877" s="46">
        <v>8068100</v>
      </c>
      <c r="AD877" s="46">
        <v>92</v>
      </c>
      <c r="AF877" s="47">
        <f t="shared" si="13"/>
        <v>8068100</v>
      </c>
    </row>
    <row r="878" spans="1:32" hidden="1" x14ac:dyDescent="0.3">
      <c r="A878" s="46" t="s">
        <v>615</v>
      </c>
      <c r="B878" s="46" t="str">
        <f>IFERROR(VLOOKUP($H878,매장구분!$B:$Z,2,0),"")</f>
        <v>파트너채널팀</v>
      </c>
      <c r="C878" s="46" t="str">
        <f>IFERROR(VLOOKUP($H878,매장구분!$B:$Z,3,0),"")</f>
        <v>국내</v>
      </c>
      <c r="D878" s="46" t="str">
        <f>IFERROR(VLOOKUP($H878,매장구분!$B:$Z,5,0),"")</f>
        <v>백화점</v>
      </c>
      <c r="E878" s="46" t="str">
        <f>IFERROR(VLOOKUP($H878,매장구분!$B:$Z,9,0),"")</f>
        <v>롯데대전</v>
      </c>
      <c r="G878" s="46" t="s">
        <v>476</v>
      </c>
      <c r="H878" s="46" t="s">
        <v>477</v>
      </c>
      <c r="I878" s="46" t="s">
        <v>169</v>
      </c>
      <c r="J878" s="46" t="s">
        <v>175</v>
      </c>
      <c r="K878" s="46" t="s">
        <v>170</v>
      </c>
      <c r="L878" s="46" t="s">
        <v>171</v>
      </c>
      <c r="M878" s="46" t="s">
        <v>77</v>
      </c>
      <c r="N878" s="46" t="s">
        <v>172</v>
      </c>
      <c r="O878" s="46">
        <v>16296200</v>
      </c>
      <c r="P878" s="46">
        <v>152</v>
      </c>
      <c r="Q878" s="46">
        <v>0</v>
      </c>
      <c r="R878" s="46">
        <v>0</v>
      </c>
      <c r="S878" s="46">
        <v>0</v>
      </c>
      <c r="T878" s="46">
        <v>0</v>
      </c>
      <c r="U878" s="46">
        <v>156000</v>
      </c>
      <c r="V878" s="46">
        <v>4</v>
      </c>
      <c r="W878" s="46">
        <v>0</v>
      </c>
      <c r="X878" s="46">
        <v>0</v>
      </c>
      <c r="Y878" s="48">
        <v>0</v>
      </c>
      <c r="Z878" s="46">
        <v>0</v>
      </c>
      <c r="AA878" s="46">
        <v>0</v>
      </c>
      <c r="AB878" s="46">
        <v>0</v>
      </c>
      <c r="AC878" s="46">
        <v>16452200</v>
      </c>
      <c r="AD878" s="46">
        <v>156</v>
      </c>
      <c r="AF878" s="47">
        <f t="shared" si="13"/>
        <v>16452200</v>
      </c>
    </row>
    <row r="879" spans="1:32" hidden="1" x14ac:dyDescent="0.3">
      <c r="A879" s="46" t="s">
        <v>615</v>
      </c>
      <c r="B879" s="46" t="str">
        <f>IFERROR(VLOOKUP($H879,매장구분!$B:$Z,2,0),"")</f>
        <v>리테일채널팀</v>
      </c>
      <c r="C879" s="46" t="str">
        <f>IFERROR(VLOOKUP($H879,매장구분!$B:$Z,3,0),"")</f>
        <v>국내</v>
      </c>
      <c r="D879" s="46" t="str">
        <f>IFERROR(VLOOKUP($H879,매장구분!$B:$Z,5,0),"")</f>
        <v>대리점</v>
      </c>
      <c r="E879" s="46" t="str">
        <f>IFERROR(VLOOKUP($H879,매장구분!$B:$Z,9,0),"")</f>
        <v>경기광주(대-위)</v>
      </c>
      <c r="G879" s="46" t="s">
        <v>362</v>
      </c>
      <c r="H879" s="46" t="s">
        <v>363</v>
      </c>
      <c r="I879" s="46" t="s">
        <v>169</v>
      </c>
      <c r="J879" s="46" t="s">
        <v>79</v>
      </c>
      <c r="K879" s="46" t="s">
        <v>170</v>
      </c>
      <c r="L879" s="46" t="s">
        <v>171</v>
      </c>
      <c r="M879" s="46" t="s">
        <v>196</v>
      </c>
      <c r="N879" s="46" t="s">
        <v>197</v>
      </c>
      <c r="O879" s="46">
        <v>8911908</v>
      </c>
      <c r="P879" s="46">
        <v>86</v>
      </c>
      <c r="Q879" s="46">
        <v>0</v>
      </c>
      <c r="R879" s="46">
        <v>0</v>
      </c>
      <c r="S879" s="46">
        <v>0</v>
      </c>
      <c r="T879" s="46">
        <v>0</v>
      </c>
      <c r="U879" s="46">
        <v>872333</v>
      </c>
      <c r="V879" s="46">
        <v>6</v>
      </c>
      <c r="W879" s="46">
        <v>0</v>
      </c>
      <c r="X879" s="46">
        <v>0</v>
      </c>
      <c r="Y879" s="48">
        <v>0</v>
      </c>
      <c r="Z879" s="46">
        <v>0</v>
      </c>
      <c r="AA879" s="46">
        <v>0</v>
      </c>
      <c r="AB879" s="46">
        <v>0</v>
      </c>
      <c r="AC879" s="46">
        <v>9784241</v>
      </c>
      <c r="AD879" s="46">
        <v>92</v>
      </c>
      <c r="AF879" s="47">
        <f t="shared" si="13"/>
        <v>9784241</v>
      </c>
    </row>
    <row r="880" spans="1:32" hidden="1" x14ac:dyDescent="0.3">
      <c r="A880" s="46" t="s">
        <v>615</v>
      </c>
      <c r="B880" s="46" t="str">
        <f>IFERROR(VLOOKUP($H880,매장구분!$B:$Z,2,0),"")</f>
        <v>파트너채널팀</v>
      </c>
      <c r="C880" s="46" t="str">
        <f>IFERROR(VLOOKUP($H880,매장구분!$B:$Z,3,0),"")</f>
        <v>국내</v>
      </c>
      <c r="D880" s="46" t="str">
        <f>IFERROR(VLOOKUP($H880,매장구분!$B:$Z,5,0),"")</f>
        <v>백화점</v>
      </c>
      <c r="E880" s="46" t="str">
        <f>IFERROR(VLOOKUP($H880,매장구분!$B:$Z,9,0),"")</f>
        <v>신세계강남</v>
      </c>
      <c r="G880" s="46" t="s">
        <v>234</v>
      </c>
      <c r="H880" s="46" t="s">
        <v>235</v>
      </c>
      <c r="I880" s="46" t="s">
        <v>169</v>
      </c>
      <c r="J880" s="46" t="s">
        <v>175</v>
      </c>
      <c r="K880" s="46" t="s">
        <v>170</v>
      </c>
      <c r="L880" s="46" t="s">
        <v>171</v>
      </c>
      <c r="M880" s="46" t="s">
        <v>77</v>
      </c>
      <c r="N880" s="46" t="s">
        <v>172</v>
      </c>
      <c r="O880" s="46">
        <v>33097847</v>
      </c>
      <c r="P880" s="46">
        <v>280</v>
      </c>
      <c r="Q880" s="46">
        <v>13523000</v>
      </c>
      <c r="R880" s="46">
        <v>136</v>
      </c>
      <c r="S880" s="46">
        <v>0</v>
      </c>
      <c r="T880" s="46">
        <v>0</v>
      </c>
      <c r="U880" s="46">
        <v>4650953</v>
      </c>
      <c r="V880" s="46">
        <v>35</v>
      </c>
      <c r="W880" s="46">
        <v>0</v>
      </c>
      <c r="X880" s="46">
        <v>0</v>
      </c>
      <c r="Y880" s="48">
        <v>0</v>
      </c>
      <c r="Z880" s="46">
        <v>0</v>
      </c>
      <c r="AA880" s="46">
        <v>0</v>
      </c>
      <c r="AB880" s="46">
        <v>0</v>
      </c>
      <c r="AC880" s="46">
        <v>51271800</v>
      </c>
      <c r="AD880" s="46">
        <v>451</v>
      </c>
      <c r="AF880" s="47">
        <f t="shared" si="13"/>
        <v>51271800</v>
      </c>
    </row>
    <row r="881" spans="1:32" hidden="1" x14ac:dyDescent="0.3">
      <c r="A881" s="46" t="s">
        <v>615</v>
      </c>
      <c r="B881" s="46" t="str">
        <f>IFERROR(VLOOKUP($H881,매장구분!$B:$Z,2,0),"")</f>
        <v>리테일채널팀</v>
      </c>
      <c r="C881" s="46" t="str">
        <f>IFERROR(VLOOKUP($H881,매장구분!$B:$Z,3,0),"")</f>
        <v>국내</v>
      </c>
      <c r="D881" s="46" t="str">
        <f>IFERROR(VLOOKUP($H881,매장구분!$B:$Z,5,0),"")</f>
        <v>대리점</v>
      </c>
      <c r="E881" s="46" t="str">
        <f>IFERROR(VLOOKUP($H881,매장구분!$B:$Z,9,0),"")</f>
        <v>여수(대-위)</v>
      </c>
      <c r="G881" s="46" t="s">
        <v>198</v>
      </c>
      <c r="H881" s="46" t="s">
        <v>199</v>
      </c>
      <c r="I881" s="46" t="s">
        <v>169</v>
      </c>
      <c r="J881" s="46" t="s">
        <v>79</v>
      </c>
      <c r="K881" s="46" t="s">
        <v>170</v>
      </c>
      <c r="L881" s="46" t="s">
        <v>171</v>
      </c>
      <c r="M881" s="46" t="s">
        <v>196</v>
      </c>
      <c r="N881" s="46" t="s">
        <v>197</v>
      </c>
      <c r="O881" s="46">
        <v>13031050</v>
      </c>
      <c r="P881" s="46">
        <v>124</v>
      </c>
      <c r="Q881" s="46">
        <v>0</v>
      </c>
      <c r="R881" s="46">
        <v>0</v>
      </c>
      <c r="S881" s="46">
        <v>0</v>
      </c>
      <c r="T881" s="46">
        <v>0</v>
      </c>
      <c r="U881" s="46">
        <v>599250</v>
      </c>
      <c r="V881" s="46">
        <v>6</v>
      </c>
      <c r="W881" s="46">
        <v>0</v>
      </c>
      <c r="X881" s="46">
        <v>0</v>
      </c>
      <c r="Y881" s="48">
        <v>0</v>
      </c>
      <c r="Z881" s="46">
        <v>0</v>
      </c>
      <c r="AA881" s="46">
        <v>0</v>
      </c>
      <c r="AB881" s="46">
        <v>0</v>
      </c>
      <c r="AC881" s="46">
        <v>13630300</v>
      </c>
      <c r="AD881" s="46">
        <v>130</v>
      </c>
      <c r="AF881" s="47">
        <f t="shared" si="13"/>
        <v>13630300</v>
      </c>
    </row>
    <row r="882" spans="1:32" hidden="1" x14ac:dyDescent="0.3">
      <c r="A882" s="46" t="s">
        <v>615</v>
      </c>
      <c r="B882" s="46" t="str">
        <f>IFERROR(VLOOKUP($H882,매장구분!$B:$Z,2,0),"")</f>
        <v>파트너채널팀</v>
      </c>
      <c r="C882" s="46" t="str">
        <f>IFERROR(VLOOKUP($H882,매장구분!$B:$Z,3,0),"")</f>
        <v>면세</v>
      </c>
      <c r="D882" s="46" t="str">
        <f>IFERROR(VLOOKUP($H882,매장구분!$B:$Z,5,0),"")</f>
        <v>면세</v>
      </c>
      <c r="E882" s="46" t="str">
        <f>IFERROR(VLOOKUP($H882,매장구분!$B:$Z,9,0),"")</f>
        <v>신세계면세명동</v>
      </c>
      <c r="G882" s="46" t="s">
        <v>173</v>
      </c>
      <c r="H882" s="46" t="s">
        <v>174</v>
      </c>
      <c r="I882" s="46" t="s">
        <v>169</v>
      </c>
      <c r="J882" s="46" t="s">
        <v>175</v>
      </c>
      <c r="K882" s="46" t="s">
        <v>170</v>
      </c>
      <c r="L882" s="46" t="s">
        <v>171</v>
      </c>
      <c r="M882" s="46" t="s">
        <v>176</v>
      </c>
      <c r="N882" s="46" t="s">
        <v>177</v>
      </c>
      <c r="O882" s="46">
        <v>207519800</v>
      </c>
      <c r="P882" s="46">
        <v>2889</v>
      </c>
      <c r="Q882" s="46">
        <v>0</v>
      </c>
      <c r="R882" s="46">
        <v>0</v>
      </c>
      <c r="S882" s="46">
        <v>0</v>
      </c>
      <c r="T882" s="46">
        <v>0</v>
      </c>
      <c r="U882" s="46">
        <v>0</v>
      </c>
      <c r="V882" s="46">
        <v>0</v>
      </c>
      <c r="W882" s="46">
        <v>0</v>
      </c>
      <c r="X882" s="46">
        <v>0</v>
      </c>
      <c r="Y882" s="48">
        <v>25336000</v>
      </c>
      <c r="Z882" s="46">
        <v>343</v>
      </c>
      <c r="AA882" s="46">
        <v>0</v>
      </c>
      <c r="AB882" s="46">
        <v>0</v>
      </c>
      <c r="AC882" s="46">
        <v>232855800</v>
      </c>
      <c r="AD882" s="46">
        <v>3232</v>
      </c>
      <c r="AF882" s="47">
        <f t="shared" si="13"/>
        <v>207519800</v>
      </c>
    </row>
    <row r="883" spans="1:32" hidden="1" x14ac:dyDescent="0.3">
      <c r="A883" s="46" t="s">
        <v>615</v>
      </c>
      <c r="B883" s="46" t="str">
        <f>IFERROR(VLOOKUP($H883,매장구분!$B:$Z,2,0),"")</f>
        <v>리테일채널팀</v>
      </c>
      <c r="C883" s="46" t="str">
        <f>IFERROR(VLOOKUP($H883,매장구분!$B:$Z,3,0),"")</f>
        <v>국내</v>
      </c>
      <c r="D883" s="46" t="str">
        <f>IFERROR(VLOOKUP($H883,매장구분!$B:$Z,5,0),"")</f>
        <v>대리점</v>
      </c>
      <c r="E883" s="46" t="str">
        <f>IFERROR(VLOOKUP($H883,매장구분!$B:$Z,9,0),"")</f>
        <v>구미(대-위)</v>
      </c>
      <c r="G883" s="46" t="s">
        <v>458</v>
      </c>
      <c r="H883" s="46" t="s">
        <v>459</v>
      </c>
      <c r="I883" s="46" t="s">
        <v>169</v>
      </c>
      <c r="J883" s="46" t="s">
        <v>79</v>
      </c>
      <c r="K883" s="46" t="s">
        <v>170</v>
      </c>
      <c r="L883" s="46" t="s">
        <v>171</v>
      </c>
      <c r="M883" s="46" t="s">
        <v>196</v>
      </c>
      <c r="N883" s="46" t="s">
        <v>197</v>
      </c>
      <c r="O883" s="46">
        <v>15742310</v>
      </c>
      <c r="P883" s="46">
        <v>162</v>
      </c>
      <c r="Q883" s="46">
        <v>0</v>
      </c>
      <c r="R883" s="46">
        <v>0</v>
      </c>
      <c r="S883" s="46">
        <v>0</v>
      </c>
      <c r="T883" s="46">
        <v>0</v>
      </c>
      <c r="U883" s="46">
        <v>2948290</v>
      </c>
      <c r="V883" s="46">
        <v>18</v>
      </c>
      <c r="W883" s="46">
        <v>0</v>
      </c>
      <c r="X883" s="46">
        <v>0</v>
      </c>
      <c r="Y883" s="48">
        <v>0</v>
      </c>
      <c r="Z883" s="46">
        <v>0</v>
      </c>
      <c r="AA883" s="46">
        <v>0</v>
      </c>
      <c r="AB883" s="46">
        <v>0</v>
      </c>
      <c r="AC883" s="46">
        <v>18690600</v>
      </c>
      <c r="AD883" s="46">
        <v>180</v>
      </c>
      <c r="AF883" s="47">
        <f t="shared" si="13"/>
        <v>18690600</v>
      </c>
    </row>
    <row r="884" spans="1:32" hidden="1" x14ac:dyDescent="0.3">
      <c r="A884" s="46" t="s">
        <v>615</v>
      </c>
      <c r="B884" s="46" t="str">
        <f>IFERROR(VLOOKUP($H884,매장구분!$B:$Z,2,0),"")</f>
        <v>리테일채널팀</v>
      </c>
      <c r="C884" s="46" t="str">
        <f>IFERROR(VLOOKUP($H884,매장구분!$B:$Z,3,0),"")</f>
        <v>국내</v>
      </c>
      <c r="D884" s="46" t="str">
        <f>IFERROR(VLOOKUP($H884,매장구분!$B:$Z,5,0),"")</f>
        <v>상설(위탁)</v>
      </c>
      <c r="E884" s="46" t="str">
        <f>IFERROR(VLOOKUP($H884,매장구분!$B:$Z,9,0),"")</f>
        <v>신세계아울렛기장(상-위)</v>
      </c>
      <c r="G884" s="46" t="s">
        <v>277</v>
      </c>
      <c r="H884" s="46" t="s">
        <v>278</v>
      </c>
      <c r="I884" s="46" t="s">
        <v>169</v>
      </c>
      <c r="J884" s="46" t="s">
        <v>79</v>
      </c>
      <c r="K884" s="46" t="s">
        <v>170</v>
      </c>
      <c r="L884" s="46" t="s">
        <v>171</v>
      </c>
      <c r="M884" s="46" t="s">
        <v>219</v>
      </c>
      <c r="N884" s="46" t="s">
        <v>219</v>
      </c>
      <c r="O884" s="46">
        <v>1872000</v>
      </c>
      <c r="P884" s="46">
        <v>52</v>
      </c>
      <c r="Q884" s="46">
        <v>0</v>
      </c>
      <c r="R884" s="46">
        <v>0</v>
      </c>
      <c r="S884" s="46">
        <v>0</v>
      </c>
      <c r="T884" s="46">
        <v>0</v>
      </c>
      <c r="U884" s="46">
        <v>0</v>
      </c>
      <c r="V884" s="46">
        <v>0</v>
      </c>
      <c r="W884" s="46">
        <v>0</v>
      </c>
      <c r="X884" s="46">
        <v>0</v>
      </c>
      <c r="Y884" s="48">
        <v>0</v>
      </c>
      <c r="Z884" s="46">
        <v>0</v>
      </c>
      <c r="AA884" s="46">
        <v>0</v>
      </c>
      <c r="AB884" s="46">
        <v>0</v>
      </c>
      <c r="AC884" s="46">
        <v>1872000</v>
      </c>
      <c r="AD884" s="46">
        <v>52</v>
      </c>
      <c r="AF884" s="47">
        <f t="shared" si="13"/>
        <v>1872000</v>
      </c>
    </row>
    <row r="885" spans="1:32" hidden="1" x14ac:dyDescent="0.3">
      <c r="A885" s="46" t="s">
        <v>615</v>
      </c>
      <c r="B885" s="46" t="str">
        <f>IFERROR(VLOOKUP($H885,매장구분!$B:$Z,2,0),"")</f>
        <v>리테일채널팀</v>
      </c>
      <c r="C885" s="46" t="str">
        <f>IFERROR(VLOOKUP($H885,매장구분!$B:$Z,3,0),"")</f>
        <v>국내</v>
      </c>
      <c r="D885" s="46" t="str">
        <f>IFERROR(VLOOKUP($H885,매장구분!$B:$Z,5,0),"")</f>
        <v>대리점</v>
      </c>
      <c r="E885" s="46" t="str">
        <f>IFERROR(VLOOKUP($H885,매장구분!$B:$Z,9,0),"")</f>
        <v>거제(대-위)</v>
      </c>
      <c r="G885" s="46" t="s">
        <v>502</v>
      </c>
      <c r="H885" s="46" t="s">
        <v>503</v>
      </c>
      <c r="I885" s="46" t="s">
        <v>169</v>
      </c>
      <c r="J885" s="46" t="s">
        <v>79</v>
      </c>
      <c r="K885" s="46" t="s">
        <v>170</v>
      </c>
      <c r="L885" s="46" t="s">
        <v>171</v>
      </c>
      <c r="M885" s="46" t="s">
        <v>196</v>
      </c>
      <c r="N885" s="46" t="s">
        <v>197</v>
      </c>
      <c r="O885" s="46">
        <v>16772723</v>
      </c>
      <c r="P885" s="46">
        <v>141</v>
      </c>
      <c r="Q885" s="46">
        <v>0</v>
      </c>
      <c r="R885" s="46">
        <v>0</v>
      </c>
      <c r="S885" s="46">
        <v>0</v>
      </c>
      <c r="T885" s="46">
        <v>0</v>
      </c>
      <c r="U885" s="46">
        <v>3991177</v>
      </c>
      <c r="V885" s="46">
        <v>19</v>
      </c>
      <c r="W885" s="46">
        <v>0</v>
      </c>
      <c r="X885" s="46">
        <v>0</v>
      </c>
      <c r="Y885" s="48">
        <v>0</v>
      </c>
      <c r="Z885" s="46">
        <v>0</v>
      </c>
      <c r="AA885" s="46">
        <v>0</v>
      </c>
      <c r="AB885" s="46">
        <v>0</v>
      </c>
      <c r="AC885" s="46">
        <v>20763900</v>
      </c>
      <c r="AD885" s="46">
        <v>160</v>
      </c>
      <c r="AF885" s="47">
        <f t="shared" si="13"/>
        <v>20763900</v>
      </c>
    </row>
    <row r="886" spans="1:32" hidden="1" x14ac:dyDescent="0.3">
      <c r="A886" s="46" t="s">
        <v>615</v>
      </c>
      <c r="B886" s="46" t="str">
        <f>IFERROR(VLOOKUP($H886,매장구분!$B:$Z,2,0),"")</f>
        <v>리테일채널팀</v>
      </c>
      <c r="C886" s="46" t="str">
        <f>IFERROR(VLOOKUP($H886,매장구분!$B:$Z,3,0),"")</f>
        <v>국내</v>
      </c>
      <c r="D886" s="46" t="str">
        <f>IFERROR(VLOOKUP($H886,매장구분!$B:$Z,5,0),"")</f>
        <v>대리점</v>
      </c>
      <c r="E886" s="46" t="str">
        <f>IFERROR(VLOOKUP($H886,매장구분!$B:$Z,9,0),"")</f>
        <v>광명(대-위)</v>
      </c>
      <c r="G886" s="46" t="s">
        <v>420</v>
      </c>
      <c r="H886" s="46" t="s">
        <v>421</v>
      </c>
      <c r="I886" s="46" t="s">
        <v>169</v>
      </c>
      <c r="J886" s="46" t="s">
        <v>79</v>
      </c>
      <c r="K886" s="46" t="s">
        <v>170</v>
      </c>
      <c r="L886" s="46" t="s">
        <v>171</v>
      </c>
      <c r="M886" s="46" t="s">
        <v>196</v>
      </c>
      <c r="N886" s="46" t="s">
        <v>197</v>
      </c>
      <c r="O886" s="46">
        <v>16671000</v>
      </c>
      <c r="P886" s="46">
        <v>146</v>
      </c>
      <c r="Q886" s="46">
        <v>0</v>
      </c>
      <c r="R886" s="46">
        <v>0</v>
      </c>
      <c r="S886" s="46">
        <v>0</v>
      </c>
      <c r="T886" s="46">
        <v>0</v>
      </c>
      <c r="U886" s="46">
        <v>1236000</v>
      </c>
      <c r="V886" s="46">
        <v>4</v>
      </c>
      <c r="W886" s="46">
        <v>0</v>
      </c>
      <c r="X886" s="46">
        <v>0</v>
      </c>
      <c r="Y886" s="48">
        <v>48988000</v>
      </c>
      <c r="Z886" s="46">
        <v>360</v>
      </c>
      <c r="AA886" s="46">
        <v>0</v>
      </c>
      <c r="AB886" s="46">
        <v>0</v>
      </c>
      <c r="AC886" s="46">
        <v>66895000</v>
      </c>
      <c r="AD886" s="46">
        <v>510</v>
      </c>
      <c r="AF886" s="47">
        <f t="shared" si="13"/>
        <v>17907000</v>
      </c>
    </row>
    <row r="887" spans="1:32" hidden="1" x14ac:dyDescent="0.3">
      <c r="A887" s="46" t="s">
        <v>615</v>
      </c>
      <c r="B887" s="46" t="str">
        <f>IFERROR(VLOOKUP($H887,매장구분!$B:$Z,2,0),"")</f>
        <v>파트너채널팀</v>
      </c>
      <c r="C887" s="46" t="str">
        <f>IFERROR(VLOOKUP($H887,매장구분!$B:$Z,3,0),"")</f>
        <v>면세</v>
      </c>
      <c r="D887" s="46" t="str">
        <f>IFERROR(VLOOKUP($H887,매장구분!$B:$Z,5,0),"")</f>
        <v>면세</v>
      </c>
      <c r="E887" s="46" t="str">
        <f>IFERROR(VLOOKUP($H887,매장구분!$B:$Z,9,0),"")</f>
        <v>현대면세무역</v>
      </c>
      <c r="G887" s="46" t="s">
        <v>466</v>
      </c>
      <c r="H887" s="46" t="s">
        <v>467</v>
      </c>
      <c r="I887" s="46" t="s">
        <v>169</v>
      </c>
      <c r="J887" s="46" t="s">
        <v>175</v>
      </c>
      <c r="K887" s="46" t="s">
        <v>170</v>
      </c>
      <c r="L887" s="46" t="s">
        <v>171</v>
      </c>
      <c r="M887" s="46" t="s">
        <v>176</v>
      </c>
      <c r="N887" s="46" t="s">
        <v>177</v>
      </c>
      <c r="O887" s="46">
        <v>169507800</v>
      </c>
      <c r="P887" s="46">
        <v>1913</v>
      </c>
      <c r="Q887" s="46">
        <v>0</v>
      </c>
      <c r="R887" s="46">
        <v>0</v>
      </c>
      <c r="S887" s="46">
        <v>0</v>
      </c>
      <c r="T887" s="46">
        <v>0</v>
      </c>
      <c r="U887" s="46">
        <v>0</v>
      </c>
      <c r="V887" s="46">
        <v>0</v>
      </c>
      <c r="W887" s="46">
        <v>0</v>
      </c>
      <c r="X887" s="46">
        <v>0</v>
      </c>
      <c r="Y887" s="48">
        <v>62727300</v>
      </c>
      <c r="Z887" s="46">
        <v>437</v>
      </c>
      <c r="AA887" s="46">
        <v>0</v>
      </c>
      <c r="AB887" s="46">
        <v>0</v>
      </c>
      <c r="AC887" s="46">
        <v>232235100</v>
      </c>
      <c r="AD887" s="46">
        <v>2350</v>
      </c>
      <c r="AF887" s="47">
        <f t="shared" si="13"/>
        <v>169507800</v>
      </c>
    </row>
    <row r="888" spans="1:32" hidden="1" x14ac:dyDescent="0.3">
      <c r="A888" s="46" t="s">
        <v>615</v>
      </c>
      <c r="B888" s="46" t="str">
        <f>IFERROR(VLOOKUP($H888,매장구분!$B:$Z,2,0),"")</f>
        <v>파트너채널팀</v>
      </c>
      <c r="C888" s="46" t="str">
        <f>IFERROR(VLOOKUP($H888,매장구분!$B:$Z,3,0),"")</f>
        <v>국내</v>
      </c>
      <c r="D888" s="46" t="str">
        <f>IFERROR(VLOOKUP($H888,매장구분!$B:$Z,5,0),"")</f>
        <v>백화점</v>
      </c>
      <c r="E888" s="46" t="str">
        <f>IFERROR(VLOOKUP($H888,매장구분!$B:$Z,9,0),"")</f>
        <v>롯데영등포</v>
      </c>
      <c r="G888" s="46" t="s">
        <v>202</v>
      </c>
      <c r="H888" s="46" t="s">
        <v>203</v>
      </c>
      <c r="I888" s="46" t="s">
        <v>169</v>
      </c>
      <c r="J888" s="46" t="s">
        <v>175</v>
      </c>
      <c r="K888" s="46" t="s">
        <v>170</v>
      </c>
      <c r="L888" s="46" t="s">
        <v>171</v>
      </c>
      <c r="M888" s="46" t="s">
        <v>77</v>
      </c>
      <c r="N888" s="46" t="s">
        <v>172</v>
      </c>
      <c r="O888" s="46">
        <v>18000800</v>
      </c>
      <c r="P888" s="46">
        <v>127</v>
      </c>
      <c r="Q888" s="46">
        <v>5743600</v>
      </c>
      <c r="R888" s="46">
        <v>59</v>
      </c>
      <c r="S888" s="46">
        <v>0</v>
      </c>
      <c r="T888" s="46">
        <v>0</v>
      </c>
      <c r="U888" s="46">
        <v>1501000</v>
      </c>
      <c r="V888" s="46">
        <v>9</v>
      </c>
      <c r="W888" s="46">
        <v>0</v>
      </c>
      <c r="X888" s="46">
        <v>0</v>
      </c>
      <c r="Y888" s="48">
        <v>2092500</v>
      </c>
      <c r="Z888" s="46">
        <v>15</v>
      </c>
      <c r="AA888" s="46">
        <v>0</v>
      </c>
      <c r="AB888" s="46">
        <v>0</v>
      </c>
      <c r="AC888" s="46">
        <v>27337900</v>
      </c>
      <c r="AD888" s="46">
        <v>210</v>
      </c>
      <c r="AF888" s="47">
        <f t="shared" si="13"/>
        <v>25245400</v>
      </c>
    </row>
    <row r="889" spans="1:32" hidden="1" x14ac:dyDescent="0.3">
      <c r="A889" s="46" t="s">
        <v>615</v>
      </c>
      <c r="B889" s="46" t="str">
        <f>IFERROR(VLOOKUP($H889,매장구분!$B:$Z,2,0),"")</f>
        <v>리테일채널팀</v>
      </c>
      <c r="C889" s="46" t="str">
        <f>IFERROR(VLOOKUP($H889,매장구분!$B:$Z,3,0),"")</f>
        <v>RF</v>
      </c>
      <c r="D889" s="46" t="str">
        <f>IFERROR(VLOOKUP($H889,매장구분!$B:$Z,5,0),"")</f>
        <v>직영점</v>
      </c>
      <c r="E889" s="46" t="str">
        <f>IFERROR(VLOOKUP($H889,매장구분!$B:$Z,9,0),"")</f>
        <v>가로수길(직)</v>
      </c>
      <c r="G889" s="46" t="s">
        <v>398</v>
      </c>
      <c r="H889" s="46" t="s">
        <v>399</v>
      </c>
      <c r="I889" s="46" t="s">
        <v>169</v>
      </c>
      <c r="J889" s="46" t="s">
        <v>180</v>
      </c>
      <c r="K889" s="46" t="s">
        <v>170</v>
      </c>
      <c r="L889" s="46" t="s">
        <v>171</v>
      </c>
      <c r="M889" s="46" t="s">
        <v>196</v>
      </c>
      <c r="N889" s="46" t="s">
        <v>206</v>
      </c>
      <c r="O889" s="46">
        <v>75984000</v>
      </c>
      <c r="P889" s="46">
        <v>667</v>
      </c>
      <c r="Q889" s="46">
        <v>0</v>
      </c>
      <c r="R889" s="46">
        <v>0</v>
      </c>
      <c r="S889" s="46">
        <v>0</v>
      </c>
      <c r="T889" s="46">
        <v>0</v>
      </c>
      <c r="U889" s="46">
        <v>139000</v>
      </c>
      <c r="V889" s="46">
        <v>1</v>
      </c>
      <c r="W889" s="46">
        <v>0</v>
      </c>
      <c r="X889" s="46">
        <v>0</v>
      </c>
      <c r="Y889" s="48">
        <v>0</v>
      </c>
      <c r="Z889" s="46">
        <v>0</v>
      </c>
      <c r="AA889" s="46">
        <v>0</v>
      </c>
      <c r="AB889" s="46">
        <v>0</v>
      </c>
      <c r="AC889" s="46">
        <v>76123000</v>
      </c>
      <c r="AD889" s="46">
        <v>668</v>
      </c>
      <c r="AF889" s="47">
        <f t="shared" si="13"/>
        <v>76123000</v>
      </c>
    </row>
    <row r="890" spans="1:32" hidden="1" x14ac:dyDescent="0.3">
      <c r="A890" s="46" t="s">
        <v>615</v>
      </c>
      <c r="B890" s="46" t="str">
        <f>IFERROR(VLOOKUP($H890,매장구분!$B:$Z,2,0),"")</f>
        <v>리테일채널팀</v>
      </c>
      <c r="C890" s="46" t="str">
        <f>IFERROR(VLOOKUP($H890,매장구분!$B:$Z,3,0),"")</f>
        <v>국내</v>
      </c>
      <c r="D890" s="46" t="str">
        <f>IFERROR(VLOOKUP($H890,매장구분!$B:$Z,5,0),"")</f>
        <v>대리점</v>
      </c>
      <c r="E890" s="46" t="str">
        <f>IFERROR(VLOOKUP($H890,매장구분!$B:$Z,9,0),"")</f>
        <v>화성봉담(대-위)</v>
      </c>
      <c r="G890" s="46" t="s">
        <v>273</v>
      </c>
      <c r="H890" s="46" t="s">
        <v>274</v>
      </c>
      <c r="I890" s="46" t="s">
        <v>169</v>
      </c>
      <c r="J890" s="46" t="s">
        <v>79</v>
      </c>
      <c r="K890" s="46" t="s">
        <v>170</v>
      </c>
      <c r="L890" s="46" t="s">
        <v>171</v>
      </c>
      <c r="M890" s="46" t="s">
        <v>196</v>
      </c>
      <c r="N890" s="46" t="s">
        <v>197</v>
      </c>
      <c r="O890" s="46">
        <v>8744837</v>
      </c>
      <c r="P890" s="46">
        <v>71</v>
      </c>
      <c r="Q890" s="46">
        <v>0</v>
      </c>
      <c r="R890" s="46">
        <v>0</v>
      </c>
      <c r="S890" s="46">
        <v>0</v>
      </c>
      <c r="T890" s="46">
        <v>0</v>
      </c>
      <c r="U890" s="46">
        <v>1990163</v>
      </c>
      <c r="V890" s="46">
        <v>10</v>
      </c>
      <c r="W890" s="46">
        <v>0</v>
      </c>
      <c r="X890" s="46">
        <v>0</v>
      </c>
      <c r="Y890" s="48">
        <v>10624500</v>
      </c>
      <c r="Z890" s="46">
        <v>82</v>
      </c>
      <c r="AA890" s="46">
        <v>0</v>
      </c>
      <c r="AB890" s="46">
        <v>0</v>
      </c>
      <c r="AC890" s="46">
        <v>21359500</v>
      </c>
      <c r="AD890" s="46">
        <v>163</v>
      </c>
      <c r="AF890" s="47">
        <f t="shared" si="13"/>
        <v>10735000</v>
      </c>
    </row>
    <row r="891" spans="1:32" hidden="1" x14ac:dyDescent="0.3">
      <c r="A891" s="46" t="s">
        <v>615</v>
      </c>
      <c r="B891" s="46" t="str">
        <f>IFERROR(VLOOKUP($H891,매장구분!$B:$Z,2,0),"")</f>
        <v>파트너채널팀</v>
      </c>
      <c r="C891" s="46" t="str">
        <f>IFERROR(VLOOKUP($H891,매장구분!$B:$Z,3,0),"")</f>
        <v>국내</v>
      </c>
      <c r="D891" s="46" t="str">
        <f>IFERROR(VLOOKUP($H891,매장구분!$B:$Z,5,0),"")</f>
        <v>백화점</v>
      </c>
      <c r="E891" s="46" t="str">
        <f>IFERROR(VLOOKUP($H891,매장구분!$B:$Z,9,0),"")</f>
        <v>롯데청량리</v>
      </c>
      <c r="G891" s="46" t="s">
        <v>255</v>
      </c>
      <c r="H891" s="46" t="s">
        <v>256</v>
      </c>
      <c r="I891" s="46" t="s">
        <v>169</v>
      </c>
      <c r="J891" s="46" t="s">
        <v>175</v>
      </c>
      <c r="K891" s="46" t="s">
        <v>170</v>
      </c>
      <c r="L891" s="46" t="s">
        <v>171</v>
      </c>
      <c r="M891" s="46" t="s">
        <v>77</v>
      </c>
      <c r="N891" s="46" t="s">
        <v>172</v>
      </c>
      <c r="O891" s="46">
        <v>10537200</v>
      </c>
      <c r="P891" s="46">
        <v>114</v>
      </c>
      <c r="Q891" s="46">
        <v>2746500</v>
      </c>
      <c r="R891" s="46">
        <v>14</v>
      </c>
      <c r="S891" s="46">
        <v>0</v>
      </c>
      <c r="T891" s="46">
        <v>0</v>
      </c>
      <c r="U891" s="46">
        <v>956000</v>
      </c>
      <c r="V891" s="46">
        <v>4</v>
      </c>
      <c r="W891" s="46">
        <v>0</v>
      </c>
      <c r="X891" s="46">
        <v>0</v>
      </c>
      <c r="Y891" s="48">
        <v>1351000</v>
      </c>
      <c r="Z891" s="46">
        <v>9</v>
      </c>
      <c r="AA891" s="46">
        <v>0</v>
      </c>
      <c r="AB891" s="46">
        <v>0</v>
      </c>
      <c r="AC891" s="46">
        <v>15590700</v>
      </c>
      <c r="AD891" s="46">
        <v>141</v>
      </c>
      <c r="AF891" s="47">
        <f t="shared" si="13"/>
        <v>14239700</v>
      </c>
    </row>
    <row r="892" spans="1:32" hidden="1" x14ac:dyDescent="0.3">
      <c r="A892" s="46" t="s">
        <v>615</v>
      </c>
      <c r="B892" s="46" t="str">
        <f>IFERROR(VLOOKUP($H892,매장구분!$B:$Z,2,0),"")</f>
        <v>리테일채널팀</v>
      </c>
      <c r="C892" s="46" t="str">
        <f>IFERROR(VLOOKUP($H892,매장구분!$B:$Z,3,0),"")</f>
        <v>국내</v>
      </c>
      <c r="D892" s="46" t="str">
        <f>IFERROR(VLOOKUP($H892,매장구분!$B:$Z,5,0),"")</f>
        <v>대리점</v>
      </c>
      <c r="E892" s="46" t="str">
        <f>IFERROR(VLOOKUP($H892,매장구분!$B:$Z,9,0),"")</f>
        <v>일산덕이(대-위)</v>
      </c>
      <c r="G892" s="46" t="s">
        <v>580</v>
      </c>
      <c r="H892" s="46" t="s">
        <v>581</v>
      </c>
      <c r="I892" s="46" t="s">
        <v>169</v>
      </c>
      <c r="J892" s="46" t="s">
        <v>79</v>
      </c>
      <c r="K892" s="46" t="s">
        <v>170</v>
      </c>
      <c r="L892" s="46" t="s">
        <v>171</v>
      </c>
      <c r="M892" s="46" t="s">
        <v>196</v>
      </c>
      <c r="N892" s="46" t="s">
        <v>197</v>
      </c>
      <c r="O892" s="46">
        <v>5741000</v>
      </c>
      <c r="P892" s="46">
        <v>61</v>
      </c>
      <c r="Q892" s="46">
        <v>0</v>
      </c>
      <c r="R892" s="46">
        <v>0</v>
      </c>
      <c r="S892" s="46">
        <v>0</v>
      </c>
      <c r="T892" s="46">
        <v>0</v>
      </c>
      <c r="U892" s="46">
        <v>0</v>
      </c>
      <c r="V892" s="46">
        <v>0</v>
      </c>
      <c r="W892" s="46">
        <v>0</v>
      </c>
      <c r="X892" s="46">
        <v>0</v>
      </c>
      <c r="Y892" s="48">
        <v>0</v>
      </c>
      <c r="Z892" s="46">
        <v>0</v>
      </c>
      <c r="AA892" s="46">
        <v>0</v>
      </c>
      <c r="AB892" s="46">
        <v>0</v>
      </c>
      <c r="AC892" s="46">
        <v>5741000</v>
      </c>
      <c r="AD892" s="46">
        <v>61</v>
      </c>
      <c r="AF892" s="47">
        <f t="shared" si="13"/>
        <v>5741000</v>
      </c>
    </row>
    <row r="893" spans="1:32" hidden="1" x14ac:dyDescent="0.3">
      <c r="A893" s="46" t="s">
        <v>615</v>
      </c>
      <c r="B893" s="46" t="str">
        <f>IFERROR(VLOOKUP($H893,매장구분!$B:$Z,2,0),"")</f>
        <v>파트너채널팀</v>
      </c>
      <c r="C893" s="46" t="str">
        <f>IFERROR(VLOOKUP($H893,매장구분!$B:$Z,3,0),"")</f>
        <v>국내</v>
      </c>
      <c r="D893" s="46" t="str">
        <f>IFERROR(VLOOKUP($H893,매장구분!$B:$Z,5,0),"")</f>
        <v>백화점</v>
      </c>
      <c r="E893" s="46" t="str">
        <f>IFERROR(VLOOKUP($H893,매장구분!$B:$Z,9,0),"")</f>
        <v>AK분당</v>
      </c>
      <c r="G893" s="46" t="s">
        <v>582</v>
      </c>
      <c r="H893" s="46" t="s">
        <v>583</v>
      </c>
      <c r="I893" s="46" t="s">
        <v>169</v>
      </c>
      <c r="J893" s="46" t="s">
        <v>175</v>
      </c>
      <c r="K893" s="46" t="s">
        <v>170</v>
      </c>
      <c r="L893" s="46" t="s">
        <v>171</v>
      </c>
      <c r="M893" s="46" t="s">
        <v>77</v>
      </c>
      <c r="N893" s="46" t="s">
        <v>172</v>
      </c>
      <c r="O893" s="46">
        <v>14677000</v>
      </c>
      <c r="P893" s="46">
        <v>90</v>
      </c>
      <c r="Q893" s="46">
        <v>0</v>
      </c>
      <c r="R893" s="46">
        <v>0</v>
      </c>
      <c r="S893" s="46">
        <v>0</v>
      </c>
      <c r="T893" s="46">
        <v>0</v>
      </c>
      <c r="U893" s="46">
        <v>591000</v>
      </c>
      <c r="V893" s="46">
        <v>6</v>
      </c>
      <c r="W893" s="46">
        <v>0</v>
      </c>
      <c r="X893" s="46">
        <v>0</v>
      </c>
      <c r="Y893" s="48">
        <v>6483000</v>
      </c>
      <c r="Z893" s="46">
        <v>37</v>
      </c>
      <c r="AA893" s="46">
        <v>0</v>
      </c>
      <c r="AB893" s="46">
        <v>0</v>
      </c>
      <c r="AC893" s="46">
        <v>21751000</v>
      </c>
      <c r="AD893" s="46">
        <v>133</v>
      </c>
      <c r="AF893" s="47">
        <f t="shared" si="13"/>
        <v>15268000</v>
      </c>
    </row>
    <row r="894" spans="1:32" hidden="1" x14ac:dyDescent="0.3">
      <c r="A894" s="46" t="s">
        <v>615</v>
      </c>
      <c r="B894" s="46" t="str">
        <f>IFERROR(VLOOKUP($H894,매장구분!$B:$Z,2,0),"")</f>
        <v>파트너채널팀</v>
      </c>
      <c r="C894" s="46" t="str">
        <f>IFERROR(VLOOKUP($H894,매장구분!$B:$Z,3,0),"")</f>
        <v>국내</v>
      </c>
      <c r="D894" s="46" t="str">
        <f>IFERROR(VLOOKUP($H894,매장구분!$B:$Z,5,0),"")</f>
        <v>백화점</v>
      </c>
      <c r="E894" s="46" t="str">
        <f>IFERROR(VLOOKUP($H894,매장구분!$B:$Z,9,0),"")</f>
        <v>롯데수원</v>
      </c>
      <c r="G894" s="46" t="s">
        <v>402</v>
      </c>
      <c r="H894" s="46" t="s">
        <v>403</v>
      </c>
      <c r="I894" s="46" t="s">
        <v>169</v>
      </c>
      <c r="J894" s="46" t="s">
        <v>175</v>
      </c>
      <c r="K894" s="46" t="s">
        <v>170</v>
      </c>
      <c r="L894" s="46" t="s">
        <v>171</v>
      </c>
      <c r="M894" s="46" t="s">
        <v>77</v>
      </c>
      <c r="N894" s="46" t="s">
        <v>172</v>
      </c>
      <c r="O894" s="46">
        <v>35823200</v>
      </c>
      <c r="P894" s="46">
        <v>306</v>
      </c>
      <c r="Q894" s="46">
        <v>1629000</v>
      </c>
      <c r="R894" s="46">
        <v>21</v>
      </c>
      <c r="S894" s="46">
        <v>0</v>
      </c>
      <c r="T894" s="46">
        <v>0</v>
      </c>
      <c r="U894" s="46">
        <v>-578000</v>
      </c>
      <c r="V894" s="46">
        <v>-2</v>
      </c>
      <c r="W894" s="46">
        <v>0</v>
      </c>
      <c r="X894" s="46">
        <v>0</v>
      </c>
      <c r="Y894" s="48">
        <v>0</v>
      </c>
      <c r="Z894" s="46">
        <v>0</v>
      </c>
      <c r="AA894" s="46">
        <v>0</v>
      </c>
      <c r="AB894" s="46">
        <v>0</v>
      </c>
      <c r="AC894" s="46">
        <v>36874200</v>
      </c>
      <c r="AD894" s="46">
        <v>325</v>
      </c>
      <c r="AF894" s="47">
        <f t="shared" si="13"/>
        <v>36874200</v>
      </c>
    </row>
    <row r="895" spans="1:32" hidden="1" x14ac:dyDescent="0.3">
      <c r="A895" s="46" t="s">
        <v>615</v>
      </c>
      <c r="B895" s="46" t="str">
        <f>IFERROR(VLOOKUP($H895,매장구분!$B:$Z,2,0),"")</f>
        <v>리테일채널팀</v>
      </c>
      <c r="C895" s="46" t="str">
        <f>IFERROR(VLOOKUP($H895,매장구분!$B:$Z,3,0),"")</f>
        <v>국내</v>
      </c>
      <c r="D895" s="46" t="str">
        <f>IFERROR(VLOOKUP($H895,매장구분!$B:$Z,5,0),"")</f>
        <v>대리점</v>
      </c>
      <c r="E895" s="46" t="str">
        <f>IFERROR(VLOOKUP($H895,매장구분!$B:$Z,9,0),"")</f>
        <v>구미인동(대-위)</v>
      </c>
      <c r="G895" s="46" t="s">
        <v>558</v>
      </c>
      <c r="H895" s="46" t="s">
        <v>559</v>
      </c>
      <c r="I895" s="46" t="s">
        <v>169</v>
      </c>
      <c r="J895" s="46" t="s">
        <v>79</v>
      </c>
      <c r="K895" s="46" t="s">
        <v>170</v>
      </c>
      <c r="L895" s="46" t="s">
        <v>171</v>
      </c>
      <c r="M895" s="46" t="s">
        <v>196</v>
      </c>
      <c r="N895" s="46" t="s">
        <v>197</v>
      </c>
      <c r="O895" s="46">
        <v>8432913</v>
      </c>
      <c r="P895" s="46">
        <v>81</v>
      </c>
      <c r="Q895" s="46">
        <v>0</v>
      </c>
      <c r="R895" s="46">
        <v>0</v>
      </c>
      <c r="S895" s="46">
        <v>0</v>
      </c>
      <c r="T895" s="46">
        <v>0</v>
      </c>
      <c r="U895" s="46">
        <v>1189187</v>
      </c>
      <c r="V895" s="46">
        <v>6</v>
      </c>
      <c r="W895" s="46">
        <v>0</v>
      </c>
      <c r="X895" s="46">
        <v>0</v>
      </c>
      <c r="Y895" s="48">
        <v>0</v>
      </c>
      <c r="Z895" s="46">
        <v>0</v>
      </c>
      <c r="AA895" s="46">
        <v>0</v>
      </c>
      <c r="AB895" s="46">
        <v>0</v>
      </c>
      <c r="AC895" s="46">
        <v>9622100</v>
      </c>
      <c r="AD895" s="46">
        <v>87</v>
      </c>
      <c r="AF895" s="47">
        <f t="shared" si="13"/>
        <v>9622100</v>
      </c>
    </row>
    <row r="896" spans="1:32" hidden="1" x14ac:dyDescent="0.3">
      <c r="A896" s="46" t="s">
        <v>615</v>
      </c>
      <c r="B896" s="46" t="str">
        <f>IFERROR(VLOOKUP($H896,매장구분!$B:$Z,2,0),"")</f>
        <v>리테일채널팀</v>
      </c>
      <c r="C896" s="46" t="str">
        <f>IFERROR(VLOOKUP($H896,매장구분!$B:$Z,3,0),"")</f>
        <v>국내</v>
      </c>
      <c r="D896" s="46" t="str">
        <f>IFERROR(VLOOKUP($H896,매장구분!$B:$Z,5,0),"")</f>
        <v>상설(위탁)</v>
      </c>
      <c r="E896" s="46" t="str">
        <f>IFERROR(VLOOKUP($H896,매장구분!$B:$Z,9,0),"")</f>
        <v>LF스퀘어광양(상-위)</v>
      </c>
      <c r="G896" s="46" t="s">
        <v>167</v>
      </c>
      <c r="H896" s="46" t="s">
        <v>168</v>
      </c>
      <c r="I896" s="46" t="s">
        <v>169</v>
      </c>
      <c r="J896" s="46" t="s">
        <v>79</v>
      </c>
      <c r="K896" s="46" t="s">
        <v>170</v>
      </c>
      <c r="L896" s="46" t="s">
        <v>171</v>
      </c>
      <c r="M896" s="46" t="s">
        <v>77</v>
      </c>
      <c r="N896" s="46" t="s">
        <v>172</v>
      </c>
      <c r="O896" s="46">
        <v>1548000</v>
      </c>
      <c r="P896" s="46">
        <v>43</v>
      </c>
      <c r="Q896" s="46">
        <v>0</v>
      </c>
      <c r="R896" s="46">
        <v>0</v>
      </c>
      <c r="S896" s="46">
        <v>0</v>
      </c>
      <c r="T896" s="46">
        <v>0</v>
      </c>
      <c r="U896" s="46">
        <v>0</v>
      </c>
      <c r="V896" s="46">
        <v>0</v>
      </c>
      <c r="W896" s="46">
        <v>0</v>
      </c>
      <c r="X896" s="46">
        <v>0</v>
      </c>
      <c r="Y896" s="48">
        <v>0</v>
      </c>
      <c r="Z896" s="46">
        <v>0</v>
      </c>
      <c r="AA896" s="46">
        <v>0</v>
      </c>
      <c r="AB896" s="46">
        <v>0</v>
      </c>
      <c r="AC896" s="46">
        <v>1548000</v>
      </c>
      <c r="AD896" s="46">
        <v>43</v>
      </c>
      <c r="AF896" s="47">
        <f t="shared" si="13"/>
        <v>1548000</v>
      </c>
    </row>
    <row r="897" spans="1:32" hidden="1" x14ac:dyDescent="0.3">
      <c r="A897" s="46" t="s">
        <v>615</v>
      </c>
      <c r="B897" s="46" t="str">
        <f>IFERROR(VLOOKUP($H897,매장구분!$B:$Z,2,0),"")</f>
        <v>파트너채널팀</v>
      </c>
      <c r="C897" s="46" t="str">
        <f>IFERROR(VLOOKUP($H897,매장구분!$B:$Z,3,0),"")</f>
        <v>국내</v>
      </c>
      <c r="D897" s="46" t="str">
        <f>IFERROR(VLOOKUP($H897,매장구분!$B:$Z,5,0),"")</f>
        <v>백화점</v>
      </c>
      <c r="E897" s="46" t="str">
        <f>IFERROR(VLOOKUP($H897,매장구분!$B:$Z,9,0),"")</f>
        <v>엔터식스왕십리</v>
      </c>
      <c r="G897" s="46" t="s">
        <v>444</v>
      </c>
      <c r="H897" s="46" t="s">
        <v>445</v>
      </c>
      <c r="I897" s="46" t="s">
        <v>169</v>
      </c>
      <c r="J897" s="46" t="s">
        <v>175</v>
      </c>
      <c r="K897" s="46" t="s">
        <v>170</v>
      </c>
      <c r="L897" s="46" t="s">
        <v>171</v>
      </c>
      <c r="M897" s="46" t="s">
        <v>77</v>
      </c>
      <c r="N897" s="46" t="s">
        <v>238</v>
      </c>
      <c r="O897" s="46">
        <v>10691210</v>
      </c>
      <c r="P897" s="46">
        <v>92</v>
      </c>
      <c r="Q897" s="46">
        <v>0</v>
      </c>
      <c r="R897" s="46">
        <v>0</v>
      </c>
      <c r="S897" s="46">
        <v>0</v>
      </c>
      <c r="T897" s="46">
        <v>0</v>
      </c>
      <c r="U897" s="46">
        <v>4387100</v>
      </c>
      <c r="V897" s="46">
        <v>21</v>
      </c>
      <c r="W897" s="46">
        <v>0</v>
      </c>
      <c r="X897" s="46">
        <v>0</v>
      </c>
      <c r="Y897" s="48">
        <v>0</v>
      </c>
      <c r="Z897" s="46">
        <v>0</v>
      </c>
      <c r="AA897" s="46">
        <v>0</v>
      </c>
      <c r="AB897" s="46">
        <v>0</v>
      </c>
      <c r="AC897" s="46">
        <v>15078310</v>
      </c>
      <c r="AD897" s="46">
        <v>113</v>
      </c>
      <c r="AF897" s="47">
        <f t="shared" si="13"/>
        <v>15078310</v>
      </c>
    </row>
    <row r="898" spans="1:32" hidden="1" x14ac:dyDescent="0.3">
      <c r="A898" s="46" t="s">
        <v>615</v>
      </c>
      <c r="B898" s="46" t="str">
        <f>IFERROR(VLOOKUP($H898,매장구분!$B:$Z,2,0),"")</f>
        <v>리테일채널팀</v>
      </c>
      <c r="C898" s="46" t="str">
        <f>IFERROR(VLOOKUP($H898,매장구분!$B:$Z,3,0),"")</f>
        <v>국내</v>
      </c>
      <c r="D898" s="46" t="str">
        <f>IFERROR(VLOOKUP($H898,매장구분!$B:$Z,5,0),"")</f>
        <v>대리점</v>
      </c>
      <c r="E898" s="46" t="str">
        <f>IFERROR(VLOOKUP($H898,매장구분!$B:$Z,9,0),"")</f>
        <v>대전은행(대-위)</v>
      </c>
      <c r="G898" s="46" t="s">
        <v>456</v>
      </c>
      <c r="H898" s="46" t="s">
        <v>457</v>
      </c>
      <c r="I898" s="46" t="s">
        <v>169</v>
      </c>
      <c r="J898" s="46" t="s">
        <v>79</v>
      </c>
      <c r="K898" s="46" t="s">
        <v>170</v>
      </c>
      <c r="L898" s="46" t="s">
        <v>171</v>
      </c>
      <c r="M898" s="46" t="s">
        <v>196</v>
      </c>
      <c r="N898" s="46" t="s">
        <v>197</v>
      </c>
      <c r="O898" s="46">
        <v>12802471</v>
      </c>
      <c r="P898" s="46">
        <v>125</v>
      </c>
      <c r="Q898" s="46">
        <v>0</v>
      </c>
      <c r="R898" s="46">
        <v>0</v>
      </c>
      <c r="S898" s="46">
        <v>0</v>
      </c>
      <c r="T898" s="46">
        <v>0</v>
      </c>
      <c r="U898" s="46">
        <v>1537637</v>
      </c>
      <c r="V898" s="46">
        <v>8</v>
      </c>
      <c r="W898" s="46">
        <v>0</v>
      </c>
      <c r="X898" s="46">
        <v>0</v>
      </c>
      <c r="Y898" s="48">
        <v>9578000</v>
      </c>
      <c r="Z898" s="46">
        <v>72</v>
      </c>
      <c r="AA898" s="46">
        <v>0</v>
      </c>
      <c r="AB898" s="46">
        <v>0</v>
      </c>
      <c r="AC898" s="46">
        <v>23918108</v>
      </c>
      <c r="AD898" s="46">
        <v>205</v>
      </c>
      <c r="AF898" s="47">
        <f t="shared" si="13"/>
        <v>14340108</v>
      </c>
    </row>
    <row r="899" spans="1:32" hidden="1" x14ac:dyDescent="0.3">
      <c r="A899" s="46" t="s">
        <v>615</v>
      </c>
      <c r="B899" s="46" t="str">
        <f>IFERROR(VLOOKUP($H899,매장구분!$B:$Z,2,0),"")</f>
        <v>E-biz</v>
      </c>
      <c r="C899" s="46" t="str">
        <f>IFERROR(VLOOKUP($H899,매장구분!$B:$Z,3,0),"")</f>
        <v>국내</v>
      </c>
      <c r="D899" s="46" t="str">
        <f>IFERROR(VLOOKUP($H899,매장구분!$B:$Z,5,0),"")</f>
        <v>온(제휴몰)</v>
      </c>
      <c r="E899" s="46" t="str">
        <f>IFERROR(VLOOKUP($H899,매장구분!$B:$Z,9,0),"")</f>
        <v>네이버스토어(제휴몰)</v>
      </c>
      <c r="G899" s="46" t="s">
        <v>207</v>
      </c>
      <c r="H899" s="46" t="s">
        <v>208</v>
      </c>
      <c r="I899" s="46" t="s">
        <v>169</v>
      </c>
      <c r="J899" s="46" t="s">
        <v>180</v>
      </c>
      <c r="K899" s="46" t="s">
        <v>170</v>
      </c>
      <c r="L899" s="46" t="s">
        <v>181</v>
      </c>
      <c r="M899" s="46" t="s">
        <v>181</v>
      </c>
      <c r="N899" s="46" t="s">
        <v>185</v>
      </c>
      <c r="O899" s="46">
        <v>188228300</v>
      </c>
      <c r="P899" s="46">
        <v>1940</v>
      </c>
      <c r="Q899" s="46">
        <v>0</v>
      </c>
      <c r="R899" s="46">
        <v>0</v>
      </c>
      <c r="S899" s="46">
        <v>0</v>
      </c>
      <c r="T899" s="46">
        <v>0</v>
      </c>
      <c r="U899" s="46">
        <v>0</v>
      </c>
      <c r="V899" s="46">
        <v>0</v>
      </c>
      <c r="W899" s="46">
        <v>0</v>
      </c>
      <c r="X899" s="46">
        <v>0</v>
      </c>
      <c r="Y899" s="48">
        <v>0</v>
      </c>
      <c r="Z899" s="46">
        <v>0</v>
      </c>
      <c r="AA899" s="46">
        <v>0</v>
      </c>
      <c r="AB899" s="46">
        <v>0</v>
      </c>
      <c r="AC899" s="46">
        <v>188228300</v>
      </c>
      <c r="AD899" s="46">
        <v>1940</v>
      </c>
      <c r="AF899" s="47">
        <f t="shared" ref="AF899:AF962" si="14">IFERROR(AC899-Y899,"")</f>
        <v>188228300</v>
      </c>
    </row>
    <row r="900" spans="1:32" hidden="1" x14ac:dyDescent="0.3">
      <c r="A900" s="46" t="s">
        <v>615</v>
      </c>
      <c r="B900" s="46" t="str">
        <f>IFERROR(VLOOKUP($H900,매장구분!$B:$Z,2,0),"")</f>
        <v>파트너채널팀</v>
      </c>
      <c r="C900" s="46" t="str">
        <f>IFERROR(VLOOKUP($H900,매장구분!$B:$Z,3,0),"")</f>
        <v>국내</v>
      </c>
      <c r="D900" s="46" t="str">
        <f>IFERROR(VLOOKUP($H900,매장구분!$B:$Z,5,0),"")</f>
        <v>백화점</v>
      </c>
      <c r="E900" s="46" t="str">
        <f>IFERROR(VLOOKUP($H900,매장구분!$B:$Z,9,0),"")</f>
        <v>현대울산</v>
      </c>
      <c r="G900" s="46" t="s">
        <v>344</v>
      </c>
      <c r="H900" s="46" t="s">
        <v>345</v>
      </c>
      <c r="I900" s="46" t="s">
        <v>169</v>
      </c>
      <c r="J900" s="46" t="s">
        <v>175</v>
      </c>
      <c r="K900" s="46" t="s">
        <v>170</v>
      </c>
      <c r="L900" s="46" t="s">
        <v>171</v>
      </c>
      <c r="M900" s="46" t="s">
        <v>77</v>
      </c>
      <c r="N900" s="46" t="s">
        <v>172</v>
      </c>
      <c r="O900" s="46">
        <v>31123280</v>
      </c>
      <c r="P900" s="46">
        <v>205</v>
      </c>
      <c r="Q900" s="46">
        <v>0</v>
      </c>
      <c r="R900" s="46">
        <v>0</v>
      </c>
      <c r="S900" s="46">
        <v>0</v>
      </c>
      <c r="T900" s="46">
        <v>0</v>
      </c>
      <c r="U900" s="46">
        <v>3376720</v>
      </c>
      <c r="V900" s="46">
        <v>18</v>
      </c>
      <c r="W900" s="46">
        <v>0</v>
      </c>
      <c r="X900" s="46">
        <v>0</v>
      </c>
      <c r="Y900" s="48">
        <v>8866000</v>
      </c>
      <c r="Z900" s="46">
        <v>44</v>
      </c>
      <c r="AA900" s="46">
        <v>0</v>
      </c>
      <c r="AB900" s="46">
        <v>0</v>
      </c>
      <c r="AC900" s="46">
        <v>43366000</v>
      </c>
      <c r="AD900" s="46">
        <v>267</v>
      </c>
      <c r="AF900" s="47">
        <f t="shared" si="14"/>
        <v>34500000</v>
      </c>
    </row>
    <row r="901" spans="1:32" hidden="1" x14ac:dyDescent="0.3">
      <c r="A901" s="46" t="s">
        <v>615</v>
      </c>
      <c r="B901" s="46" t="str">
        <f>IFERROR(VLOOKUP($H901,매장구분!$B:$Z,2,0),"")</f>
        <v>파트너채널팀</v>
      </c>
      <c r="C901" s="46" t="str">
        <f>IFERROR(VLOOKUP($H901,매장구분!$B:$Z,3,0),"")</f>
        <v>국내</v>
      </c>
      <c r="D901" s="46" t="str">
        <f>IFERROR(VLOOKUP($H901,매장구분!$B:$Z,5,0),"")</f>
        <v>백화점</v>
      </c>
      <c r="E901" s="46" t="str">
        <f>IFERROR(VLOOKUP($H901,매장구분!$B:$Z,9,0),"")</f>
        <v>현대신촌</v>
      </c>
      <c r="G901" s="46" t="s">
        <v>297</v>
      </c>
      <c r="H901" s="46" t="s">
        <v>298</v>
      </c>
      <c r="I901" s="46" t="s">
        <v>169</v>
      </c>
      <c r="J901" s="46" t="s">
        <v>175</v>
      </c>
      <c r="K901" s="46" t="s">
        <v>170</v>
      </c>
      <c r="L901" s="46" t="s">
        <v>171</v>
      </c>
      <c r="M901" s="46" t="s">
        <v>77</v>
      </c>
      <c r="N901" s="46" t="s">
        <v>172</v>
      </c>
      <c r="O901" s="46">
        <v>10056517</v>
      </c>
      <c r="P901" s="46">
        <v>120</v>
      </c>
      <c r="Q901" s="46">
        <v>472000</v>
      </c>
      <c r="R901" s="46">
        <v>12</v>
      </c>
      <c r="S901" s="46">
        <v>0</v>
      </c>
      <c r="T901" s="46">
        <v>0</v>
      </c>
      <c r="U901" s="46">
        <v>562983</v>
      </c>
      <c r="V901" s="46">
        <v>5</v>
      </c>
      <c r="W901" s="46">
        <v>0</v>
      </c>
      <c r="X901" s="46">
        <v>0</v>
      </c>
      <c r="Y901" s="48">
        <v>21442000</v>
      </c>
      <c r="Z901" s="46">
        <v>100</v>
      </c>
      <c r="AA901" s="46">
        <v>0</v>
      </c>
      <c r="AB901" s="46">
        <v>0</v>
      </c>
      <c r="AC901" s="46">
        <v>32533500</v>
      </c>
      <c r="AD901" s="46">
        <v>237</v>
      </c>
      <c r="AF901" s="47">
        <f t="shared" si="14"/>
        <v>11091500</v>
      </c>
    </row>
    <row r="902" spans="1:32" hidden="1" x14ac:dyDescent="0.3">
      <c r="A902" s="46" t="s">
        <v>615</v>
      </c>
      <c r="B902" s="46" t="str">
        <f>IFERROR(VLOOKUP($H902,매장구분!$B:$Z,2,0),"")</f>
        <v>파트너채널팀</v>
      </c>
      <c r="C902" s="46" t="str">
        <f>IFERROR(VLOOKUP($H902,매장구분!$B:$Z,3,0),"")</f>
        <v>국내</v>
      </c>
      <c r="D902" s="46" t="str">
        <f>IFERROR(VLOOKUP($H902,매장구분!$B:$Z,5,0),"")</f>
        <v>백화점</v>
      </c>
      <c r="E902" s="46" t="str">
        <f>IFERROR(VLOOKUP($H902,매장구분!$B:$Z,9,0),"")</f>
        <v>신세계대전</v>
      </c>
      <c r="G902" s="46" t="s">
        <v>263</v>
      </c>
      <c r="H902" s="46" t="s">
        <v>264</v>
      </c>
      <c r="I902" s="46" t="s">
        <v>169</v>
      </c>
      <c r="J902" s="46" t="s">
        <v>175</v>
      </c>
      <c r="K902" s="46" t="s">
        <v>170</v>
      </c>
      <c r="L902" s="46" t="s">
        <v>171</v>
      </c>
      <c r="M902" s="46" t="s">
        <v>77</v>
      </c>
      <c r="N902" s="46" t="s">
        <v>172</v>
      </c>
      <c r="O902" s="46">
        <v>23365900</v>
      </c>
      <c r="P902" s="46">
        <v>183</v>
      </c>
      <c r="Q902" s="46">
        <v>0</v>
      </c>
      <c r="R902" s="46">
        <v>0</v>
      </c>
      <c r="S902" s="46">
        <v>0</v>
      </c>
      <c r="T902" s="46">
        <v>0</v>
      </c>
      <c r="U902" s="46">
        <v>12891000</v>
      </c>
      <c r="V902" s="46">
        <v>70</v>
      </c>
      <c r="W902" s="46">
        <v>0</v>
      </c>
      <c r="X902" s="46">
        <v>0</v>
      </c>
      <c r="Y902" s="48">
        <v>12567500</v>
      </c>
      <c r="Z902" s="46">
        <v>78</v>
      </c>
      <c r="AA902" s="46">
        <v>0</v>
      </c>
      <c r="AB902" s="46">
        <v>0</v>
      </c>
      <c r="AC902" s="46">
        <v>48824400</v>
      </c>
      <c r="AD902" s="46">
        <v>331</v>
      </c>
      <c r="AF902" s="47">
        <f t="shared" si="14"/>
        <v>36256900</v>
      </c>
    </row>
    <row r="903" spans="1:32" hidden="1" x14ac:dyDescent="0.3">
      <c r="A903" s="46" t="s">
        <v>615</v>
      </c>
      <c r="B903" s="46" t="str">
        <f>IFERROR(VLOOKUP($H903,매장구분!$B:$Z,2,0),"")</f>
        <v>파트너채널팀</v>
      </c>
      <c r="C903" s="46" t="str">
        <f>IFERROR(VLOOKUP($H903,매장구분!$B:$Z,3,0),"")</f>
        <v>국내</v>
      </c>
      <c r="D903" s="46" t="str">
        <f>IFERROR(VLOOKUP($H903,매장구분!$B:$Z,5,0),"")</f>
        <v>백화점</v>
      </c>
      <c r="E903" s="46" t="str">
        <f>IFERROR(VLOOKUP($H903,매장구분!$B:$Z,9,0),"")</f>
        <v>롯데중동</v>
      </c>
      <c r="G903" s="46" t="s">
        <v>510</v>
      </c>
      <c r="H903" s="46" t="s">
        <v>511</v>
      </c>
      <c r="I903" s="46" t="s">
        <v>169</v>
      </c>
      <c r="J903" s="46" t="s">
        <v>175</v>
      </c>
      <c r="K903" s="46" t="s">
        <v>170</v>
      </c>
      <c r="L903" s="46" t="s">
        <v>171</v>
      </c>
      <c r="M903" s="46" t="s">
        <v>77</v>
      </c>
      <c r="N903" s="46" t="s">
        <v>172</v>
      </c>
      <c r="O903" s="46">
        <v>16783400</v>
      </c>
      <c r="P903" s="46">
        <v>130</v>
      </c>
      <c r="Q903" s="46">
        <v>396500</v>
      </c>
      <c r="R903" s="46">
        <v>4</v>
      </c>
      <c r="S903" s="46">
        <v>0</v>
      </c>
      <c r="T903" s="46">
        <v>0</v>
      </c>
      <c r="U903" s="46">
        <v>3505000</v>
      </c>
      <c r="V903" s="46">
        <v>15</v>
      </c>
      <c r="W903" s="46">
        <v>0</v>
      </c>
      <c r="X903" s="46">
        <v>0</v>
      </c>
      <c r="Y903" s="48">
        <v>0</v>
      </c>
      <c r="Z903" s="46">
        <v>0</v>
      </c>
      <c r="AA903" s="46">
        <v>-248000</v>
      </c>
      <c r="AB903" s="46">
        <v>-2</v>
      </c>
      <c r="AC903" s="46">
        <v>20436900</v>
      </c>
      <c r="AD903" s="46">
        <v>147</v>
      </c>
      <c r="AF903" s="47">
        <f t="shared" si="14"/>
        <v>20436900</v>
      </c>
    </row>
    <row r="904" spans="1:32" hidden="1" x14ac:dyDescent="0.3">
      <c r="A904" s="46" t="s">
        <v>615</v>
      </c>
      <c r="B904" s="46" t="str">
        <f>IFERROR(VLOOKUP($H904,매장구분!$B:$Z,2,0),"")</f>
        <v>파트너채널팀</v>
      </c>
      <c r="C904" s="46" t="str">
        <f>IFERROR(VLOOKUP($H904,매장구분!$B:$Z,3,0),"")</f>
        <v>국내</v>
      </c>
      <c r="D904" s="46" t="str">
        <f>IFERROR(VLOOKUP($H904,매장구분!$B:$Z,5,0),"")</f>
        <v>백화점</v>
      </c>
      <c r="E904" s="46" t="str">
        <f>IFERROR(VLOOKUP($H904,매장구분!$B:$Z,9,0),"")</f>
        <v>롯데건대</v>
      </c>
      <c r="G904" s="46" t="s">
        <v>354</v>
      </c>
      <c r="H904" s="46" t="s">
        <v>355</v>
      </c>
      <c r="I904" s="46" t="s">
        <v>169</v>
      </c>
      <c r="J904" s="46" t="s">
        <v>175</v>
      </c>
      <c r="K904" s="46" t="s">
        <v>170</v>
      </c>
      <c r="L904" s="46" t="s">
        <v>171</v>
      </c>
      <c r="M904" s="46" t="s">
        <v>77</v>
      </c>
      <c r="N904" s="46" t="s">
        <v>172</v>
      </c>
      <c r="O904" s="46">
        <v>19182100</v>
      </c>
      <c r="P904" s="46">
        <v>121</v>
      </c>
      <c r="Q904" s="46">
        <v>0</v>
      </c>
      <c r="R904" s="46">
        <v>0</v>
      </c>
      <c r="S904" s="46">
        <v>0</v>
      </c>
      <c r="T904" s="46">
        <v>0</v>
      </c>
      <c r="U904" s="46">
        <v>96000</v>
      </c>
      <c r="V904" s="46">
        <v>4</v>
      </c>
      <c r="W904" s="46">
        <v>0</v>
      </c>
      <c r="X904" s="46">
        <v>0</v>
      </c>
      <c r="Y904" s="48">
        <v>4434700</v>
      </c>
      <c r="Z904" s="46">
        <v>44</v>
      </c>
      <c r="AA904" s="46">
        <v>0</v>
      </c>
      <c r="AB904" s="46">
        <v>0</v>
      </c>
      <c r="AC904" s="46">
        <v>23712800</v>
      </c>
      <c r="AD904" s="46">
        <v>169</v>
      </c>
      <c r="AF904" s="47">
        <f t="shared" si="14"/>
        <v>19278100</v>
      </c>
    </row>
    <row r="905" spans="1:32" hidden="1" x14ac:dyDescent="0.3">
      <c r="A905" s="46" t="s">
        <v>615</v>
      </c>
      <c r="B905" s="46" t="str">
        <f>IFERROR(VLOOKUP($H905,매장구분!$B:$Z,2,0),"")</f>
        <v>리테일채널팀</v>
      </c>
      <c r="C905" s="46" t="str">
        <f>IFERROR(VLOOKUP($H905,매장구분!$B:$Z,3,0),"")</f>
        <v>국내</v>
      </c>
      <c r="D905" s="46" t="str">
        <f>IFERROR(VLOOKUP($H905,매장구분!$B:$Z,5,0),"")</f>
        <v>직영점</v>
      </c>
      <c r="E905" s="46" t="str">
        <f>IFERROR(VLOOKUP($H905,매장구분!$B:$Z,9,0),"")</f>
        <v>타임스트림신림(직)</v>
      </c>
      <c r="G905" s="46" t="s">
        <v>360</v>
      </c>
      <c r="H905" s="46" t="s">
        <v>361</v>
      </c>
      <c r="I905" s="46" t="s">
        <v>169</v>
      </c>
      <c r="J905" s="46" t="s">
        <v>180</v>
      </c>
      <c r="K905" s="46" t="s">
        <v>170</v>
      </c>
      <c r="L905" s="46" t="s">
        <v>171</v>
      </c>
      <c r="M905" s="46" t="s">
        <v>188</v>
      </c>
      <c r="N905" s="46" t="s">
        <v>317</v>
      </c>
      <c r="O905" s="46">
        <v>10286000</v>
      </c>
      <c r="P905" s="46">
        <v>114</v>
      </c>
      <c r="Q905" s="46">
        <v>0</v>
      </c>
      <c r="R905" s="46">
        <v>0</v>
      </c>
      <c r="S905" s="46">
        <v>0</v>
      </c>
      <c r="T905" s="46">
        <v>0</v>
      </c>
      <c r="U905" s="46">
        <v>215100</v>
      </c>
      <c r="V905" s="46">
        <v>1</v>
      </c>
      <c r="W905" s="46">
        <v>0</v>
      </c>
      <c r="X905" s="46">
        <v>0</v>
      </c>
      <c r="Y905" s="48">
        <v>0</v>
      </c>
      <c r="Z905" s="46">
        <v>0</v>
      </c>
      <c r="AA905" s="46">
        <v>0</v>
      </c>
      <c r="AB905" s="46">
        <v>0</v>
      </c>
      <c r="AC905" s="46">
        <v>10501100</v>
      </c>
      <c r="AD905" s="46">
        <v>115</v>
      </c>
      <c r="AF905" s="47">
        <f t="shared" si="14"/>
        <v>10501100</v>
      </c>
    </row>
    <row r="906" spans="1:32" hidden="1" x14ac:dyDescent="0.3">
      <c r="A906" s="46" t="s">
        <v>615</v>
      </c>
      <c r="B906" s="46" t="str">
        <f>IFERROR(VLOOKUP($H906,매장구분!$B:$Z,2,0),"")</f>
        <v>파트너채널팀</v>
      </c>
      <c r="C906" s="46" t="str">
        <f>IFERROR(VLOOKUP($H906,매장구분!$B:$Z,3,0),"")</f>
        <v>국내</v>
      </c>
      <c r="D906" s="46" t="str">
        <f>IFERROR(VLOOKUP($H906,매장구분!$B:$Z,5,0),"")</f>
        <v>백화점</v>
      </c>
      <c r="E906" s="46" t="str">
        <f>IFERROR(VLOOKUP($H906,매장구분!$B:$Z,9,0),"")</f>
        <v>롯데부산</v>
      </c>
      <c r="G906" s="46" t="s">
        <v>452</v>
      </c>
      <c r="H906" s="46" t="s">
        <v>453</v>
      </c>
      <c r="I906" s="46" t="s">
        <v>169</v>
      </c>
      <c r="J906" s="46" t="s">
        <v>175</v>
      </c>
      <c r="K906" s="46" t="s">
        <v>170</v>
      </c>
      <c r="L906" s="46" t="s">
        <v>171</v>
      </c>
      <c r="M906" s="46" t="s">
        <v>77</v>
      </c>
      <c r="N906" s="46" t="s">
        <v>172</v>
      </c>
      <c r="O906" s="46">
        <v>15394800</v>
      </c>
      <c r="P906" s="46">
        <v>211</v>
      </c>
      <c r="Q906" s="46">
        <v>0</v>
      </c>
      <c r="R906" s="46">
        <v>0</v>
      </c>
      <c r="S906" s="46">
        <v>0</v>
      </c>
      <c r="T906" s="46">
        <v>0</v>
      </c>
      <c r="U906" s="46">
        <v>2170100</v>
      </c>
      <c r="V906" s="46">
        <v>11</v>
      </c>
      <c r="W906" s="46">
        <v>0</v>
      </c>
      <c r="X906" s="46">
        <v>0</v>
      </c>
      <c r="Y906" s="48">
        <v>0</v>
      </c>
      <c r="Z906" s="46">
        <v>0</v>
      </c>
      <c r="AA906" s="46">
        <v>0</v>
      </c>
      <c r="AB906" s="46">
        <v>0</v>
      </c>
      <c r="AC906" s="46">
        <v>17564900</v>
      </c>
      <c r="AD906" s="46">
        <v>222</v>
      </c>
      <c r="AF906" s="47">
        <f t="shared" si="14"/>
        <v>17564900</v>
      </c>
    </row>
    <row r="907" spans="1:32" hidden="1" x14ac:dyDescent="0.3">
      <c r="A907" s="46" t="s">
        <v>615</v>
      </c>
      <c r="B907" s="46" t="str">
        <f>IFERROR(VLOOKUP($H907,매장구분!$B:$Z,2,0),"")</f>
        <v>리테일채널팀</v>
      </c>
      <c r="C907" s="46" t="str">
        <f>IFERROR(VLOOKUP($H907,매장구분!$B:$Z,3,0),"")</f>
        <v>국내</v>
      </c>
      <c r="D907" s="46" t="str">
        <f>IFERROR(VLOOKUP($H907,매장구분!$B:$Z,5,0),"")</f>
        <v>직영점</v>
      </c>
      <c r="E907" s="46" t="str">
        <f>IFERROR(VLOOKUP($H907,매장구분!$B:$Z,9,0),"")</f>
        <v>충장로</v>
      </c>
      <c r="G907" s="46" t="s">
        <v>544</v>
      </c>
      <c r="H907" s="46" t="s">
        <v>545</v>
      </c>
      <c r="I907" s="46" t="s">
        <v>169</v>
      </c>
      <c r="J907" s="46" t="s">
        <v>180</v>
      </c>
      <c r="K907" s="46" t="s">
        <v>170</v>
      </c>
      <c r="L907" s="46" t="s">
        <v>171</v>
      </c>
      <c r="M907" s="46" t="s">
        <v>196</v>
      </c>
      <c r="N907" s="46" t="s">
        <v>206</v>
      </c>
      <c r="O907" s="46">
        <v>26297376</v>
      </c>
      <c r="P907" s="46">
        <v>264</v>
      </c>
      <c r="Q907" s="46">
        <v>0</v>
      </c>
      <c r="R907" s="46">
        <v>0</v>
      </c>
      <c r="S907" s="46">
        <v>0</v>
      </c>
      <c r="T907" s="46">
        <v>0</v>
      </c>
      <c r="U907" s="46">
        <v>1129524</v>
      </c>
      <c r="V907" s="46">
        <v>7</v>
      </c>
      <c r="W907" s="46">
        <v>0</v>
      </c>
      <c r="X907" s="46">
        <v>0</v>
      </c>
      <c r="Y907" s="48">
        <v>0</v>
      </c>
      <c r="Z907" s="46">
        <v>0</v>
      </c>
      <c r="AA907" s="46">
        <v>0</v>
      </c>
      <c r="AB907" s="46">
        <v>0</v>
      </c>
      <c r="AC907" s="46">
        <v>27426900</v>
      </c>
      <c r="AD907" s="46">
        <v>271</v>
      </c>
      <c r="AF907" s="47">
        <f t="shared" si="14"/>
        <v>27426900</v>
      </c>
    </row>
    <row r="908" spans="1:32" hidden="1" x14ac:dyDescent="0.3">
      <c r="A908" s="46" t="s">
        <v>615</v>
      </c>
      <c r="B908" s="46" t="str">
        <f>IFERROR(VLOOKUP($H908,매장구분!$B:$Z,2,0),"")</f>
        <v>파트너채널팀</v>
      </c>
      <c r="C908" s="46" t="str">
        <f>IFERROR(VLOOKUP($H908,매장구분!$B:$Z,3,0),"")</f>
        <v>국내</v>
      </c>
      <c r="D908" s="46" t="str">
        <f>IFERROR(VLOOKUP($H908,매장구분!$B:$Z,5,0),"")</f>
        <v>백화점</v>
      </c>
      <c r="E908" s="46" t="str">
        <f>IFERROR(VLOOKUP($H908,매장구분!$B:$Z,9,0),"")</f>
        <v>현대미아</v>
      </c>
      <c r="G908" s="46" t="s">
        <v>512</v>
      </c>
      <c r="H908" s="46" t="s">
        <v>513</v>
      </c>
      <c r="I908" s="46" t="s">
        <v>169</v>
      </c>
      <c r="J908" s="46" t="s">
        <v>175</v>
      </c>
      <c r="K908" s="46" t="s">
        <v>170</v>
      </c>
      <c r="L908" s="46" t="s">
        <v>171</v>
      </c>
      <c r="M908" s="46" t="s">
        <v>77</v>
      </c>
      <c r="N908" s="46" t="s">
        <v>172</v>
      </c>
      <c r="O908" s="46">
        <v>4711500</v>
      </c>
      <c r="P908" s="46">
        <v>36</v>
      </c>
      <c r="Q908" s="46">
        <v>0</v>
      </c>
      <c r="R908" s="46">
        <v>0</v>
      </c>
      <c r="S908" s="46">
        <v>0</v>
      </c>
      <c r="T908" s="46">
        <v>0</v>
      </c>
      <c r="U908" s="46">
        <v>397000</v>
      </c>
      <c r="V908" s="46">
        <v>3</v>
      </c>
      <c r="W908" s="46">
        <v>0</v>
      </c>
      <c r="X908" s="46">
        <v>0</v>
      </c>
      <c r="Y908" s="48">
        <v>6151000</v>
      </c>
      <c r="Z908" s="46">
        <v>32</v>
      </c>
      <c r="AA908" s="46">
        <v>2080000</v>
      </c>
      <c r="AB908" s="46">
        <v>17</v>
      </c>
      <c r="AC908" s="46">
        <v>13339500</v>
      </c>
      <c r="AD908" s="46">
        <v>88</v>
      </c>
      <c r="AF908" s="47">
        <f t="shared" si="14"/>
        <v>7188500</v>
      </c>
    </row>
    <row r="909" spans="1:32" hidden="1" x14ac:dyDescent="0.3">
      <c r="A909" s="46" t="s">
        <v>615</v>
      </c>
      <c r="B909" s="46" t="str">
        <f>IFERROR(VLOOKUP($H909,매장구분!$B:$Z,2,0),"")</f>
        <v>파트너채널팀</v>
      </c>
      <c r="C909" s="46" t="str">
        <f>IFERROR(VLOOKUP($H909,매장구분!$B:$Z,3,0),"")</f>
        <v>국내</v>
      </c>
      <c r="D909" s="46" t="str">
        <f>IFERROR(VLOOKUP($H909,매장구분!$B:$Z,5,0),"")</f>
        <v>백화점</v>
      </c>
      <c r="E909" s="46" t="str">
        <f>IFERROR(VLOOKUP($H909,매장구분!$B:$Z,9,0),"")</f>
        <v>현대목동</v>
      </c>
      <c r="G909" s="46" t="s">
        <v>604</v>
      </c>
      <c r="H909" s="46" t="s">
        <v>605</v>
      </c>
      <c r="I909" s="46" t="s">
        <v>169</v>
      </c>
      <c r="J909" s="46" t="s">
        <v>175</v>
      </c>
      <c r="K909" s="46" t="s">
        <v>170</v>
      </c>
      <c r="L909" s="46" t="s">
        <v>171</v>
      </c>
      <c r="M909" s="46" t="s">
        <v>77</v>
      </c>
      <c r="N909" s="46" t="s">
        <v>172</v>
      </c>
      <c r="O909" s="46">
        <v>19692200</v>
      </c>
      <c r="P909" s="46">
        <v>142</v>
      </c>
      <c r="Q909" s="46">
        <v>4835100</v>
      </c>
      <c r="R909" s="46">
        <v>110</v>
      </c>
      <c r="S909" s="46">
        <v>0</v>
      </c>
      <c r="T909" s="46">
        <v>0</v>
      </c>
      <c r="U909" s="46">
        <v>3234800</v>
      </c>
      <c r="V909" s="46">
        <v>18</v>
      </c>
      <c r="W909" s="46">
        <v>0</v>
      </c>
      <c r="X909" s="46">
        <v>0</v>
      </c>
      <c r="Y909" s="48">
        <v>19474000</v>
      </c>
      <c r="Z909" s="46">
        <v>120</v>
      </c>
      <c r="AA909" s="46">
        <v>-677000</v>
      </c>
      <c r="AB909" s="46">
        <v>-3</v>
      </c>
      <c r="AC909" s="46">
        <v>46559100</v>
      </c>
      <c r="AD909" s="46">
        <v>387</v>
      </c>
      <c r="AF909" s="47">
        <f t="shared" si="14"/>
        <v>27085100</v>
      </c>
    </row>
    <row r="910" spans="1:32" hidden="1" x14ac:dyDescent="0.3">
      <c r="A910" s="46" t="s">
        <v>615</v>
      </c>
      <c r="B910" s="46" t="str">
        <f>IFERROR(VLOOKUP($H910,매장구분!$B:$Z,2,0),"")</f>
        <v>파트너채널팀</v>
      </c>
      <c r="C910" s="46" t="str">
        <f>IFERROR(VLOOKUP($H910,매장구분!$B:$Z,3,0),"")</f>
        <v>국내</v>
      </c>
      <c r="D910" s="46" t="str">
        <f>IFERROR(VLOOKUP($H910,매장구분!$B:$Z,5,0),"")</f>
        <v>백화점</v>
      </c>
      <c r="E910" s="46" t="str">
        <f>IFERROR(VLOOKUP($H910,매장구분!$B:$Z,9,0),"")</f>
        <v>롯데울산</v>
      </c>
      <c r="G910" s="46" t="s">
        <v>460</v>
      </c>
      <c r="H910" s="46" t="s">
        <v>461</v>
      </c>
      <c r="I910" s="46" t="s">
        <v>169</v>
      </c>
      <c r="J910" s="46" t="s">
        <v>175</v>
      </c>
      <c r="K910" s="46" t="s">
        <v>170</v>
      </c>
      <c r="L910" s="46" t="s">
        <v>171</v>
      </c>
      <c r="M910" s="46" t="s">
        <v>77</v>
      </c>
      <c r="N910" s="46" t="s">
        <v>172</v>
      </c>
      <c r="O910" s="46">
        <v>27945800</v>
      </c>
      <c r="P910" s="46">
        <v>233</v>
      </c>
      <c r="Q910" s="46">
        <v>0</v>
      </c>
      <c r="R910" s="46">
        <v>0</v>
      </c>
      <c r="S910" s="46">
        <v>0</v>
      </c>
      <c r="T910" s="46">
        <v>0</v>
      </c>
      <c r="U910" s="46">
        <v>7982000</v>
      </c>
      <c r="V910" s="46">
        <v>40</v>
      </c>
      <c r="W910" s="46">
        <v>0</v>
      </c>
      <c r="X910" s="46">
        <v>0</v>
      </c>
      <c r="Y910" s="48">
        <v>0</v>
      </c>
      <c r="Z910" s="46">
        <v>0</v>
      </c>
      <c r="AA910" s="46">
        <v>0</v>
      </c>
      <c r="AB910" s="46">
        <v>0</v>
      </c>
      <c r="AC910" s="46">
        <v>35927800</v>
      </c>
      <c r="AD910" s="46">
        <v>273</v>
      </c>
      <c r="AF910" s="47">
        <f t="shared" si="14"/>
        <v>35927800</v>
      </c>
    </row>
    <row r="911" spans="1:32" hidden="1" x14ac:dyDescent="0.3">
      <c r="A911" s="46" t="s">
        <v>615</v>
      </c>
      <c r="B911" s="46" t="str">
        <f>IFERROR(VLOOKUP($H911,매장구분!$B:$Z,2,0),"")</f>
        <v>파트너채널팀</v>
      </c>
      <c r="C911" s="46" t="str">
        <f>IFERROR(VLOOKUP($H911,매장구분!$B:$Z,3,0),"")</f>
        <v>국내</v>
      </c>
      <c r="D911" s="46" t="str">
        <f>IFERROR(VLOOKUP($H911,매장구분!$B:$Z,5,0),"")</f>
        <v>백화점</v>
      </c>
      <c r="E911" s="46" t="str">
        <f>IFERROR(VLOOKUP($H911,매장구분!$B:$Z,9,0),"")</f>
        <v>현대천호</v>
      </c>
      <c r="G911" s="46" t="s">
        <v>305</v>
      </c>
      <c r="H911" s="46" t="s">
        <v>306</v>
      </c>
      <c r="I911" s="46" t="s">
        <v>169</v>
      </c>
      <c r="J911" s="46" t="s">
        <v>175</v>
      </c>
      <c r="K911" s="46" t="s">
        <v>170</v>
      </c>
      <c r="L911" s="46" t="s">
        <v>171</v>
      </c>
      <c r="M911" s="46" t="s">
        <v>77</v>
      </c>
      <c r="N911" s="46" t="s">
        <v>172</v>
      </c>
      <c r="O911" s="46">
        <v>6931000</v>
      </c>
      <c r="P911" s="46">
        <v>65</v>
      </c>
      <c r="Q911" s="46">
        <v>3541000</v>
      </c>
      <c r="R911" s="46">
        <v>22</v>
      </c>
      <c r="S911" s="46">
        <v>0</v>
      </c>
      <c r="T911" s="46">
        <v>0</v>
      </c>
      <c r="U911" s="46">
        <v>2556000</v>
      </c>
      <c r="V911" s="46">
        <v>14</v>
      </c>
      <c r="W911" s="46">
        <v>0</v>
      </c>
      <c r="X911" s="46">
        <v>0</v>
      </c>
      <c r="Y911" s="48">
        <v>0</v>
      </c>
      <c r="Z911" s="46">
        <v>0</v>
      </c>
      <c r="AA911" s="46">
        <v>0</v>
      </c>
      <c r="AB911" s="46">
        <v>0</v>
      </c>
      <c r="AC911" s="46">
        <v>13028000</v>
      </c>
      <c r="AD911" s="46">
        <v>101</v>
      </c>
      <c r="AF911" s="47">
        <f t="shared" si="14"/>
        <v>13028000</v>
      </c>
    </row>
    <row r="912" spans="1:32" hidden="1" x14ac:dyDescent="0.3">
      <c r="A912" s="46" t="s">
        <v>615</v>
      </c>
      <c r="B912" s="46" t="str">
        <f>IFERROR(VLOOKUP($H912,매장구분!$B:$Z,2,0),"")</f>
        <v>파트너채널팀</v>
      </c>
      <c r="C912" s="46" t="str">
        <f>IFERROR(VLOOKUP($H912,매장구분!$B:$Z,3,0),"")</f>
        <v>RF</v>
      </c>
      <c r="D912" s="46" t="str">
        <f>IFERROR(VLOOKUP($H912,매장구분!$B:$Z,5,0),"")</f>
        <v>백화점</v>
      </c>
      <c r="E912" s="46" t="str">
        <f>IFERROR(VLOOKUP($H912,매장구분!$B:$Z,9,0),"")</f>
        <v>롯데본점</v>
      </c>
      <c r="G912" s="46" t="s">
        <v>269</v>
      </c>
      <c r="H912" s="46" t="s">
        <v>270</v>
      </c>
      <c r="I912" s="46" t="s">
        <v>169</v>
      </c>
      <c r="J912" s="46" t="s">
        <v>175</v>
      </c>
      <c r="K912" s="46" t="s">
        <v>170</v>
      </c>
      <c r="L912" s="46" t="s">
        <v>171</v>
      </c>
      <c r="M912" s="46" t="s">
        <v>77</v>
      </c>
      <c r="N912" s="46" t="s">
        <v>172</v>
      </c>
      <c r="O912" s="46">
        <v>15936000</v>
      </c>
      <c r="P912" s="46">
        <v>226</v>
      </c>
      <c r="Q912" s="46">
        <v>99000</v>
      </c>
      <c r="R912" s="46">
        <v>1</v>
      </c>
      <c r="S912" s="46">
        <v>0</v>
      </c>
      <c r="T912" s="46">
        <v>0</v>
      </c>
      <c r="U912" s="46">
        <v>0</v>
      </c>
      <c r="V912" s="46">
        <v>0</v>
      </c>
      <c r="W912" s="46">
        <v>0</v>
      </c>
      <c r="X912" s="46">
        <v>0</v>
      </c>
      <c r="Y912" s="48">
        <v>114653100</v>
      </c>
      <c r="Z912" s="46">
        <v>872</v>
      </c>
      <c r="AA912" s="46">
        <v>0</v>
      </c>
      <c r="AB912" s="46">
        <v>0</v>
      </c>
      <c r="AC912" s="46">
        <v>130688100</v>
      </c>
      <c r="AD912" s="46">
        <v>1099</v>
      </c>
      <c r="AF912" s="47">
        <f t="shared" si="14"/>
        <v>16035000</v>
      </c>
    </row>
    <row r="913" spans="1:32" hidden="1" x14ac:dyDescent="0.3">
      <c r="A913" s="46" t="s">
        <v>615</v>
      </c>
      <c r="B913" s="46" t="str">
        <f>IFERROR(VLOOKUP($H913,매장구분!$B:$Z,2,0),"")</f>
        <v>파트너채널팀</v>
      </c>
      <c r="C913" s="46" t="str">
        <f>IFERROR(VLOOKUP($H913,매장구분!$B:$Z,3,0),"")</f>
        <v>면세</v>
      </c>
      <c r="D913" s="46" t="str">
        <f>IFERROR(VLOOKUP($H913,매장구분!$B:$Z,5,0),"")</f>
        <v>면세</v>
      </c>
      <c r="E913" s="46" t="str">
        <f>IFERROR(VLOOKUP($H913,매장구분!$B:$Z,9,0),"")</f>
        <v>신라면세제주</v>
      </c>
      <c r="G913" s="46" t="s">
        <v>334</v>
      </c>
      <c r="H913" s="46" t="s">
        <v>335</v>
      </c>
      <c r="I913" s="46" t="s">
        <v>169</v>
      </c>
      <c r="J913" s="46" t="s">
        <v>175</v>
      </c>
      <c r="K913" s="46" t="s">
        <v>170</v>
      </c>
      <c r="L913" s="46" t="s">
        <v>171</v>
      </c>
      <c r="M913" s="46" t="s">
        <v>176</v>
      </c>
      <c r="N913" s="46" t="s">
        <v>177</v>
      </c>
      <c r="O913" s="46">
        <v>127172100</v>
      </c>
      <c r="P913" s="46">
        <v>1858</v>
      </c>
      <c r="Q913" s="46">
        <v>36000</v>
      </c>
      <c r="R913" s="46">
        <v>1</v>
      </c>
      <c r="S913" s="46">
        <v>0</v>
      </c>
      <c r="T913" s="46">
        <v>0</v>
      </c>
      <c r="U913" s="46">
        <v>0</v>
      </c>
      <c r="V913" s="46">
        <v>0</v>
      </c>
      <c r="W913" s="46">
        <v>0</v>
      </c>
      <c r="X913" s="46">
        <v>0</v>
      </c>
      <c r="Y913" s="48">
        <v>25952000</v>
      </c>
      <c r="Z913" s="46">
        <v>193</v>
      </c>
      <c r="AA913" s="46">
        <v>0</v>
      </c>
      <c r="AB913" s="46">
        <v>0</v>
      </c>
      <c r="AC913" s="46">
        <v>153160100</v>
      </c>
      <c r="AD913" s="46">
        <v>2052</v>
      </c>
      <c r="AF913" s="47">
        <f t="shared" si="14"/>
        <v>127208100</v>
      </c>
    </row>
    <row r="914" spans="1:32" hidden="1" x14ac:dyDescent="0.3">
      <c r="A914" s="46" t="s">
        <v>615</v>
      </c>
      <c r="B914" s="46" t="str">
        <f>IFERROR(VLOOKUP($H914,매장구분!$B:$Z,2,0),"")</f>
        <v>파트너채널팀</v>
      </c>
      <c r="C914" s="46" t="str">
        <f>IFERROR(VLOOKUP($H914,매장구분!$B:$Z,3,0),"")</f>
        <v>국내</v>
      </c>
      <c r="D914" s="46" t="str">
        <f>IFERROR(VLOOKUP($H914,매장구분!$B:$Z,5,0),"")</f>
        <v>백화점</v>
      </c>
      <c r="E914" s="46" t="str">
        <f>IFERROR(VLOOKUP($H914,매장구분!$B:$Z,9,0),"")</f>
        <v>현대울산동구</v>
      </c>
      <c r="G914" s="46" t="s">
        <v>480</v>
      </c>
      <c r="H914" s="46" t="s">
        <v>481</v>
      </c>
      <c r="I914" s="46" t="s">
        <v>169</v>
      </c>
      <c r="J914" s="46" t="s">
        <v>175</v>
      </c>
      <c r="K914" s="46" t="s">
        <v>170</v>
      </c>
      <c r="L914" s="46" t="s">
        <v>171</v>
      </c>
      <c r="M914" s="46" t="s">
        <v>77</v>
      </c>
      <c r="N914" s="46" t="s">
        <v>172</v>
      </c>
      <c r="O914" s="46">
        <v>8823000</v>
      </c>
      <c r="P914" s="46">
        <v>78</v>
      </c>
      <c r="Q914" s="46">
        <v>0</v>
      </c>
      <c r="R914" s="46">
        <v>0</v>
      </c>
      <c r="S914" s="46">
        <v>0</v>
      </c>
      <c r="T914" s="46">
        <v>0</v>
      </c>
      <c r="U914" s="46">
        <v>966000</v>
      </c>
      <c r="V914" s="46">
        <v>4</v>
      </c>
      <c r="W914" s="46">
        <v>0</v>
      </c>
      <c r="X914" s="46">
        <v>0</v>
      </c>
      <c r="Y914" s="48">
        <v>5283000</v>
      </c>
      <c r="Z914" s="46">
        <v>37</v>
      </c>
      <c r="AA914" s="46">
        <v>0</v>
      </c>
      <c r="AB914" s="46">
        <v>0</v>
      </c>
      <c r="AC914" s="46">
        <v>15072000</v>
      </c>
      <c r="AD914" s="46">
        <v>119</v>
      </c>
      <c r="AF914" s="47">
        <f t="shared" si="14"/>
        <v>9789000</v>
      </c>
    </row>
    <row r="915" spans="1:32" hidden="1" x14ac:dyDescent="0.3">
      <c r="A915" s="46" t="s">
        <v>615</v>
      </c>
      <c r="B915" s="46" t="str">
        <f>IFERROR(VLOOKUP($H915,매장구분!$B:$Z,2,0),"")</f>
        <v>리테일채널팀</v>
      </c>
      <c r="C915" s="46" t="str">
        <f>IFERROR(VLOOKUP($H915,매장구분!$B:$Z,3,0),"")</f>
        <v>국내</v>
      </c>
      <c r="D915" s="46" t="str">
        <f>IFERROR(VLOOKUP($H915,매장구분!$B:$Z,5,0),"")</f>
        <v>대리점</v>
      </c>
      <c r="E915" s="46" t="str">
        <f>IFERROR(VLOOKUP($H915,매장구분!$B:$Z,9,0),"")</f>
        <v>원주(대-위)</v>
      </c>
      <c r="G915" s="46" t="s">
        <v>224</v>
      </c>
      <c r="H915" s="46" t="s">
        <v>225</v>
      </c>
      <c r="I915" s="46" t="s">
        <v>169</v>
      </c>
      <c r="J915" s="46" t="s">
        <v>79</v>
      </c>
      <c r="K915" s="46" t="s">
        <v>170</v>
      </c>
      <c r="L915" s="46" t="s">
        <v>171</v>
      </c>
      <c r="M915" s="46" t="s">
        <v>196</v>
      </c>
      <c r="N915" s="46" t="s">
        <v>197</v>
      </c>
      <c r="O915" s="46">
        <v>22111856</v>
      </c>
      <c r="P915" s="46">
        <v>155</v>
      </c>
      <c r="Q915" s="46">
        <v>0</v>
      </c>
      <c r="R915" s="46">
        <v>0</v>
      </c>
      <c r="S915" s="46">
        <v>0</v>
      </c>
      <c r="T915" s="46">
        <v>0</v>
      </c>
      <c r="U915" s="46">
        <v>-1139256</v>
      </c>
      <c r="V915" s="46">
        <v>-3</v>
      </c>
      <c r="W915" s="46">
        <v>0</v>
      </c>
      <c r="X915" s="46">
        <v>0</v>
      </c>
      <c r="Y915" s="48">
        <v>0</v>
      </c>
      <c r="Z915" s="46">
        <v>0</v>
      </c>
      <c r="AA915" s="46">
        <v>0</v>
      </c>
      <c r="AB915" s="46">
        <v>0</v>
      </c>
      <c r="AC915" s="46">
        <v>20972600</v>
      </c>
      <c r="AD915" s="46">
        <v>152</v>
      </c>
      <c r="AF915" s="47">
        <f t="shared" si="14"/>
        <v>20972600</v>
      </c>
    </row>
    <row r="916" spans="1:32" hidden="1" x14ac:dyDescent="0.3">
      <c r="A916" s="46" t="s">
        <v>615</v>
      </c>
      <c r="B916" s="46" t="str">
        <f>IFERROR(VLOOKUP($H916,매장구분!$B:$Z,2,0),"")</f>
        <v>리테일채널팀</v>
      </c>
      <c r="C916" s="46" t="str">
        <f>IFERROR(VLOOKUP($H916,매장구분!$B:$Z,3,0),"")</f>
        <v>국내</v>
      </c>
      <c r="D916" s="46" t="str">
        <f>IFERROR(VLOOKUP($H916,매장구분!$B:$Z,5,0),"")</f>
        <v>상설(위탁)</v>
      </c>
      <c r="E916" s="46" t="str">
        <f>IFERROR(VLOOKUP($H916,매장구분!$B:$Z,9,0),"")</f>
        <v>NC송파(상-위)</v>
      </c>
      <c r="G916" s="46" t="s">
        <v>378</v>
      </c>
      <c r="H916" s="46" t="s">
        <v>379</v>
      </c>
      <c r="I916" s="46" t="s">
        <v>169</v>
      </c>
      <c r="J916" s="46" t="s">
        <v>79</v>
      </c>
      <c r="K916" s="46" t="s">
        <v>170</v>
      </c>
      <c r="L916" s="46" t="s">
        <v>171</v>
      </c>
      <c r="M916" s="46" t="s">
        <v>77</v>
      </c>
      <c r="N916" s="46" t="s">
        <v>238</v>
      </c>
      <c r="O916" s="46">
        <v>1044000</v>
      </c>
      <c r="P916" s="46">
        <v>29</v>
      </c>
      <c r="Q916" s="46">
        <v>0</v>
      </c>
      <c r="R916" s="46">
        <v>0</v>
      </c>
      <c r="S916" s="46">
        <v>0</v>
      </c>
      <c r="T916" s="46">
        <v>0</v>
      </c>
      <c r="U916" s="46">
        <v>0</v>
      </c>
      <c r="V916" s="46">
        <v>0</v>
      </c>
      <c r="W916" s="46">
        <v>0</v>
      </c>
      <c r="X916" s="46">
        <v>0</v>
      </c>
      <c r="Y916" s="48">
        <v>0</v>
      </c>
      <c r="Z916" s="46">
        <v>0</v>
      </c>
      <c r="AA916" s="46">
        <v>0</v>
      </c>
      <c r="AB916" s="46">
        <v>0</v>
      </c>
      <c r="AC916" s="46">
        <v>1044000</v>
      </c>
      <c r="AD916" s="46">
        <v>29</v>
      </c>
      <c r="AF916" s="47">
        <f t="shared" si="14"/>
        <v>1044000</v>
      </c>
    </row>
    <row r="917" spans="1:32" hidden="1" x14ac:dyDescent="0.3">
      <c r="A917" s="46" t="s">
        <v>615</v>
      </c>
      <c r="B917" s="46" t="str">
        <f>IFERROR(VLOOKUP($H917,매장구분!$B:$Z,2,0),"")</f>
        <v>리테일채널팀</v>
      </c>
      <c r="C917" s="46" t="str">
        <f>IFERROR(VLOOKUP($H917,매장구분!$B:$Z,3,0),"")</f>
        <v>국내</v>
      </c>
      <c r="D917" s="46" t="str">
        <f>IFERROR(VLOOKUP($H917,매장구분!$B:$Z,5,0),"")</f>
        <v>직영점</v>
      </c>
      <c r="E917" s="46" t="str">
        <f>IFERROR(VLOOKUP($H917,매장구분!$B:$Z,9,0),"")</f>
        <v>스타필드수원(직)</v>
      </c>
      <c r="G917" s="46" t="s">
        <v>468</v>
      </c>
      <c r="H917" s="46" t="s">
        <v>469</v>
      </c>
      <c r="I917" s="46" t="s">
        <v>169</v>
      </c>
      <c r="J917" s="46" t="s">
        <v>180</v>
      </c>
      <c r="K917" s="46" t="s">
        <v>170</v>
      </c>
      <c r="L917" s="46" t="s">
        <v>171</v>
      </c>
      <c r="M917" s="46" t="s">
        <v>188</v>
      </c>
      <c r="N917" s="46" t="s">
        <v>189</v>
      </c>
      <c r="O917" s="46">
        <v>16995000</v>
      </c>
      <c r="P917" s="46">
        <v>210</v>
      </c>
      <c r="Q917" s="46">
        <v>0</v>
      </c>
      <c r="R917" s="46">
        <v>0</v>
      </c>
      <c r="S917" s="46">
        <v>0</v>
      </c>
      <c r="T917" s="46">
        <v>0</v>
      </c>
      <c r="U917" s="46">
        <v>1799000</v>
      </c>
      <c r="V917" s="46">
        <v>11</v>
      </c>
      <c r="W917" s="46">
        <v>0</v>
      </c>
      <c r="X917" s="46">
        <v>0</v>
      </c>
      <c r="Y917" s="48">
        <v>0</v>
      </c>
      <c r="Z917" s="46">
        <v>0</v>
      </c>
      <c r="AA917" s="46">
        <v>0</v>
      </c>
      <c r="AB917" s="46">
        <v>0</v>
      </c>
      <c r="AC917" s="46">
        <v>18794000</v>
      </c>
      <c r="AD917" s="46">
        <v>221</v>
      </c>
      <c r="AF917" s="47">
        <f t="shared" si="14"/>
        <v>18794000</v>
      </c>
    </row>
    <row r="918" spans="1:32" hidden="1" x14ac:dyDescent="0.3">
      <c r="A918" s="46" t="s">
        <v>615</v>
      </c>
      <c r="B918" s="46" t="str">
        <f>IFERROR(VLOOKUP($H918,매장구분!$B:$Z,2,0),"")</f>
        <v>E-biz</v>
      </c>
      <c r="C918" s="46" t="str">
        <f>IFERROR(VLOOKUP($H918,매장구분!$B:$Z,3,0),"")</f>
        <v>국내</v>
      </c>
      <c r="D918" s="46" t="str">
        <f>IFERROR(VLOOKUP($H918,매장구분!$B:$Z,5,0),"")</f>
        <v>온(제휴몰)</v>
      </c>
      <c r="E918" s="46" t="str">
        <f>IFERROR(VLOOKUP($H918,매장구분!$B:$Z,9,0),"")</f>
        <v>MLB 글로벌</v>
      </c>
      <c r="G918" s="46" t="s">
        <v>578</v>
      </c>
      <c r="H918" s="46" t="s">
        <v>579</v>
      </c>
      <c r="I918" s="46" t="s">
        <v>169</v>
      </c>
      <c r="J918" s="46" t="s">
        <v>180</v>
      </c>
      <c r="K918" s="46" t="s">
        <v>170</v>
      </c>
      <c r="L918" s="46" t="s">
        <v>181</v>
      </c>
      <c r="M918" s="46" t="s">
        <v>181</v>
      </c>
      <c r="N918" s="46" t="s">
        <v>182</v>
      </c>
      <c r="O918" s="46">
        <v>1322060</v>
      </c>
      <c r="P918" s="46">
        <v>9</v>
      </c>
      <c r="Q918" s="46">
        <v>0</v>
      </c>
      <c r="R918" s="46">
        <v>0</v>
      </c>
      <c r="S918" s="46">
        <v>0</v>
      </c>
      <c r="T918" s="46">
        <v>0</v>
      </c>
      <c r="U918" s="46">
        <v>0</v>
      </c>
      <c r="V918" s="46">
        <v>0</v>
      </c>
      <c r="W918" s="46">
        <v>0</v>
      </c>
      <c r="X918" s="46">
        <v>0</v>
      </c>
      <c r="Y918" s="48">
        <v>0</v>
      </c>
      <c r="Z918" s="46">
        <v>0</v>
      </c>
      <c r="AA918" s="46">
        <v>0</v>
      </c>
      <c r="AB918" s="46">
        <v>0</v>
      </c>
      <c r="AC918" s="46">
        <v>1322060</v>
      </c>
      <c r="AD918" s="46">
        <v>9</v>
      </c>
      <c r="AF918" s="47">
        <f t="shared" si="14"/>
        <v>1322060</v>
      </c>
    </row>
    <row r="919" spans="1:32" hidden="1" x14ac:dyDescent="0.3">
      <c r="A919" s="46" t="s">
        <v>615</v>
      </c>
      <c r="B919" s="46" t="str">
        <f>IFERROR(VLOOKUP($H919,매장구분!$B:$Z,2,0),"")</f>
        <v>파트너채널팀</v>
      </c>
      <c r="C919" s="46" t="str">
        <f>IFERROR(VLOOKUP($H919,매장구분!$B:$Z,3,0),"")</f>
        <v>국내</v>
      </c>
      <c r="D919" s="46" t="str">
        <f>IFERROR(VLOOKUP($H919,매장구분!$B:$Z,5,0),"")</f>
        <v>백화점</v>
      </c>
      <c r="E919" s="46" t="str">
        <f>IFERROR(VLOOKUP($H919,매장구분!$B:$Z,9,0),"")</f>
        <v>갤러리아대전</v>
      </c>
      <c r="G919" s="46" t="s">
        <v>303</v>
      </c>
      <c r="H919" s="46" t="s">
        <v>304</v>
      </c>
      <c r="I919" s="46" t="s">
        <v>169</v>
      </c>
      <c r="J919" s="46" t="s">
        <v>175</v>
      </c>
      <c r="K919" s="46" t="s">
        <v>170</v>
      </c>
      <c r="L919" s="46" t="s">
        <v>171</v>
      </c>
      <c r="M919" s="46" t="s">
        <v>77</v>
      </c>
      <c r="N919" s="46" t="s">
        <v>172</v>
      </c>
      <c r="O919" s="46">
        <v>14409000</v>
      </c>
      <c r="P919" s="46">
        <v>117</v>
      </c>
      <c r="Q919" s="46">
        <v>1724000</v>
      </c>
      <c r="R919" s="46">
        <v>24</v>
      </c>
      <c r="S919" s="46">
        <v>0</v>
      </c>
      <c r="T919" s="46">
        <v>0</v>
      </c>
      <c r="U919" s="46">
        <v>1863000</v>
      </c>
      <c r="V919" s="46">
        <v>7</v>
      </c>
      <c r="W919" s="46">
        <v>0</v>
      </c>
      <c r="X919" s="46">
        <v>0</v>
      </c>
      <c r="Y919" s="48">
        <v>8946000</v>
      </c>
      <c r="Z919" s="46">
        <v>70</v>
      </c>
      <c r="AA919" s="46">
        <v>0</v>
      </c>
      <c r="AB919" s="46">
        <v>0</v>
      </c>
      <c r="AC919" s="46">
        <v>26942000</v>
      </c>
      <c r="AD919" s="46">
        <v>218</v>
      </c>
      <c r="AF919" s="47">
        <f t="shared" si="14"/>
        <v>17996000</v>
      </c>
    </row>
    <row r="920" spans="1:32" hidden="1" x14ac:dyDescent="0.3">
      <c r="A920" s="46" t="s">
        <v>615</v>
      </c>
      <c r="B920" s="46" t="str">
        <f>IFERROR(VLOOKUP($H920,매장구분!$B:$Z,2,0),"")</f>
        <v>리테일채널팀</v>
      </c>
      <c r="C920" s="46" t="str">
        <f>IFERROR(VLOOKUP($H920,매장구분!$B:$Z,3,0),"")</f>
        <v>국내</v>
      </c>
      <c r="D920" s="46" t="str">
        <f>IFERROR(VLOOKUP($H920,매장구분!$B:$Z,5,0),"")</f>
        <v>대리점</v>
      </c>
      <c r="E920" s="46" t="str">
        <f>IFERROR(VLOOKUP($H920,매장구분!$B:$Z,9,0),"")</f>
        <v>정읍(대-위)</v>
      </c>
      <c r="G920" s="46" t="s">
        <v>318</v>
      </c>
      <c r="H920" s="46" t="s">
        <v>319</v>
      </c>
      <c r="I920" s="46" t="s">
        <v>169</v>
      </c>
      <c r="J920" s="46" t="s">
        <v>79</v>
      </c>
      <c r="K920" s="46" t="s">
        <v>170</v>
      </c>
      <c r="L920" s="46" t="s">
        <v>171</v>
      </c>
      <c r="M920" s="46" t="s">
        <v>196</v>
      </c>
      <c r="N920" s="46" t="s">
        <v>197</v>
      </c>
      <c r="O920" s="46">
        <v>9376465</v>
      </c>
      <c r="P920" s="46">
        <v>91</v>
      </c>
      <c r="Q920" s="46">
        <v>0</v>
      </c>
      <c r="R920" s="46">
        <v>0</v>
      </c>
      <c r="S920" s="46">
        <v>0</v>
      </c>
      <c r="T920" s="46">
        <v>0</v>
      </c>
      <c r="U920" s="46">
        <v>1141000</v>
      </c>
      <c r="V920" s="46">
        <v>9</v>
      </c>
      <c r="W920" s="46">
        <v>0</v>
      </c>
      <c r="X920" s="46">
        <v>0</v>
      </c>
      <c r="Y920" s="48">
        <v>0</v>
      </c>
      <c r="Z920" s="46">
        <v>0</v>
      </c>
      <c r="AA920" s="46">
        <v>0</v>
      </c>
      <c r="AB920" s="46">
        <v>0</v>
      </c>
      <c r="AC920" s="46">
        <v>10517465</v>
      </c>
      <c r="AD920" s="46">
        <v>100</v>
      </c>
      <c r="AF920" s="47">
        <f t="shared" si="14"/>
        <v>10517465</v>
      </c>
    </row>
    <row r="921" spans="1:32" hidden="1" x14ac:dyDescent="0.3">
      <c r="A921" s="46" t="s">
        <v>615</v>
      </c>
      <c r="B921" s="46" t="str">
        <f>IFERROR(VLOOKUP($H921,매장구분!$B:$Z,2,0),"")</f>
        <v>리테일채널팀</v>
      </c>
      <c r="C921" s="46" t="str">
        <f>IFERROR(VLOOKUP($H921,매장구분!$B:$Z,3,0),"")</f>
        <v>국내</v>
      </c>
      <c r="D921" s="46" t="str">
        <f>IFERROR(VLOOKUP($H921,매장구분!$B:$Z,5,0),"")</f>
        <v>대리점</v>
      </c>
      <c r="E921" s="46" t="str">
        <f>IFERROR(VLOOKUP($H921,매장구분!$B:$Z,9,0),"")</f>
        <v>순천연향(대-위)</v>
      </c>
      <c r="G921" s="46" t="s">
        <v>390</v>
      </c>
      <c r="H921" s="46" t="s">
        <v>391</v>
      </c>
      <c r="I921" s="46" t="s">
        <v>169</v>
      </c>
      <c r="J921" s="46" t="s">
        <v>79</v>
      </c>
      <c r="K921" s="46" t="s">
        <v>170</v>
      </c>
      <c r="L921" s="46" t="s">
        <v>171</v>
      </c>
      <c r="M921" s="46" t="s">
        <v>196</v>
      </c>
      <c r="N921" s="46" t="s">
        <v>197</v>
      </c>
      <c r="O921" s="46">
        <v>23976400</v>
      </c>
      <c r="P921" s="46">
        <v>198</v>
      </c>
      <c r="Q921" s="46">
        <v>0</v>
      </c>
      <c r="R921" s="46">
        <v>0</v>
      </c>
      <c r="S921" s="46">
        <v>0</v>
      </c>
      <c r="T921" s="46">
        <v>0</v>
      </c>
      <c r="U921" s="46">
        <v>5248000</v>
      </c>
      <c r="V921" s="46">
        <v>29</v>
      </c>
      <c r="W921" s="46">
        <v>0</v>
      </c>
      <c r="X921" s="46">
        <v>0</v>
      </c>
      <c r="Y921" s="48">
        <v>0</v>
      </c>
      <c r="Z921" s="46">
        <v>0</v>
      </c>
      <c r="AA921" s="46">
        <v>0</v>
      </c>
      <c r="AB921" s="46">
        <v>0</v>
      </c>
      <c r="AC921" s="46">
        <v>29224400</v>
      </c>
      <c r="AD921" s="46">
        <v>227</v>
      </c>
      <c r="AF921" s="47">
        <f t="shared" si="14"/>
        <v>29224400</v>
      </c>
    </row>
    <row r="922" spans="1:32" hidden="1" x14ac:dyDescent="0.3">
      <c r="A922" s="46" t="s">
        <v>615</v>
      </c>
      <c r="B922" s="46" t="str">
        <f>IFERROR(VLOOKUP($H922,매장구분!$B:$Z,2,0),"")</f>
        <v>리테일채널팀</v>
      </c>
      <c r="C922" s="46" t="str">
        <f>IFERROR(VLOOKUP($H922,매장구분!$B:$Z,3,0),"")</f>
        <v>국내</v>
      </c>
      <c r="D922" s="46" t="str">
        <f>IFERROR(VLOOKUP($H922,매장구분!$B:$Z,5,0),"")</f>
        <v>대리점</v>
      </c>
      <c r="E922" s="46" t="str">
        <f>IFERROR(VLOOKUP($H922,매장구분!$B:$Z,9,0),"")</f>
        <v>목포하당(대-위)</v>
      </c>
      <c r="G922" s="46" t="s">
        <v>486</v>
      </c>
      <c r="H922" s="46" t="s">
        <v>487</v>
      </c>
      <c r="I922" s="46" t="s">
        <v>169</v>
      </c>
      <c r="J922" s="46" t="s">
        <v>79</v>
      </c>
      <c r="K922" s="46" t="s">
        <v>170</v>
      </c>
      <c r="L922" s="46" t="s">
        <v>171</v>
      </c>
      <c r="M922" s="46" t="s">
        <v>196</v>
      </c>
      <c r="N922" s="46" t="s">
        <v>197</v>
      </c>
      <c r="O922" s="46">
        <v>29068567</v>
      </c>
      <c r="P922" s="46">
        <v>227</v>
      </c>
      <c r="Q922" s="46">
        <v>0</v>
      </c>
      <c r="R922" s="46">
        <v>0</v>
      </c>
      <c r="S922" s="46">
        <v>0</v>
      </c>
      <c r="T922" s="46">
        <v>0</v>
      </c>
      <c r="U922" s="46">
        <v>3144048</v>
      </c>
      <c r="V922" s="46">
        <v>17</v>
      </c>
      <c r="W922" s="46">
        <v>0</v>
      </c>
      <c r="X922" s="46">
        <v>0</v>
      </c>
      <c r="Y922" s="48">
        <v>0</v>
      </c>
      <c r="Z922" s="46">
        <v>0</v>
      </c>
      <c r="AA922" s="46">
        <v>0</v>
      </c>
      <c r="AB922" s="46">
        <v>0</v>
      </c>
      <c r="AC922" s="46">
        <v>32212615</v>
      </c>
      <c r="AD922" s="46">
        <v>244</v>
      </c>
      <c r="AF922" s="47">
        <f t="shared" si="14"/>
        <v>32212615</v>
      </c>
    </row>
    <row r="923" spans="1:32" hidden="1" x14ac:dyDescent="0.3">
      <c r="A923" s="46" t="s">
        <v>615</v>
      </c>
      <c r="B923" s="46" t="str">
        <f>IFERROR(VLOOKUP($H923,매장구분!$B:$Z,2,0),"")</f>
        <v>파트너채널팀</v>
      </c>
      <c r="C923" s="46" t="str">
        <f>IFERROR(VLOOKUP($H923,매장구분!$B:$Z,3,0),"")</f>
        <v>국내</v>
      </c>
      <c r="D923" s="46" t="str">
        <f>IFERROR(VLOOKUP($H923,매장구분!$B:$Z,5,0),"")</f>
        <v>백화점</v>
      </c>
      <c r="E923" s="46" t="str">
        <f>IFERROR(VLOOKUP($H923,매장구분!$B:$Z,9,0),"")</f>
        <v>AK평택</v>
      </c>
      <c r="G923" s="46" t="s">
        <v>251</v>
      </c>
      <c r="H923" s="46" t="s">
        <v>252</v>
      </c>
      <c r="I923" s="46" t="s">
        <v>169</v>
      </c>
      <c r="J923" s="46" t="s">
        <v>175</v>
      </c>
      <c r="K923" s="46" t="s">
        <v>170</v>
      </c>
      <c r="L923" s="46" t="s">
        <v>171</v>
      </c>
      <c r="M923" s="46" t="s">
        <v>77</v>
      </c>
      <c r="N923" s="46" t="s">
        <v>172</v>
      </c>
      <c r="O923" s="46">
        <v>19033600</v>
      </c>
      <c r="P923" s="46">
        <v>173</v>
      </c>
      <c r="Q923" s="46">
        <v>0</v>
      </c>
      <c r="R923" s="46">
        <v>0</v>
      </c>
      <c r="S923" s="46">
        <v>0</v>
      </c>
      <c r="T923" s="46">
        <v>0</v>
      </c>
      <c r="U923" s="46">
        <v>451100</v>
      </c>
      <c r="V923" s="46">
        <v>4</v>
      </c>
      <c r="W923" s="46">
        <v>0</v>
      </c>
      <c r="X923" s="46">
        <v>0</v>
      </c>
      <c r="Y923" s="48">
        <v>0</v>
      </c>
      <c r="Z923" s="46">
        <v>0</v>
      </c>
      <c r="AA923" s="46">
        <v>0</v>
      </c>
      <c r="AB923" s="46">
        <v>0</v>
      </c>
      <c r="AC923" s="46">
        <v>19484700</v>
      </c>
      <c r="AD923" s="46">
        <v>177</v>
      </c>
      <c r="AF923" s="47">
        <f t="shared" si="14"/>
        <v>19484700</v>
      </c>
    </row>
    <row r="924" spans="1:32" hidden="1" x14ac:dyDescent="0.3">
      <c r="A924" s="46" t="s">
        <v>615</v>
      </c>
      <c r="B924" s="46" t="str">
        <f>IFERROR(VLOOKUP($H924,매장구분!$B:$Z,2,0),"")</f>
        <v>파트너채널팀</v>
      </c>
      <c r="C924" s="46" t="str">
        <f>IFERROR(VLOOKUP($H924,매장구분!$B:$Z,3,0),"")</f>
        <v>국내</v>
      </c>
      <c r="D924" s="46" t="str">
        <f>IFERROR(VLOOKUP($H924,매장구분!$B:$Z,5,0),"")</f>
        <v>백화점</v>
      </c>
      <c r="E924" s="46" t="str">
        <f>IFERROR(VLOOKUP($H924,매장구분!$B:$Z,9,0),"")</f>
        <v>AK수원</v>
      </c>
      <c r="G924" s="46" t="s">
        <v>552</v>
      </c>
      <c r="H924" s="46" t="s">
        <v>553</v>
      </c>
      <c r="I924" s="46" t="s">
        <v>169</v>
      </c>
      <c r="J924" s="46" t="s">
        <v>175</v>
      </c>
      <c r="K924" s="46" t="s">
        <v>170</v>
      </c>
      <c r="L924" s="46" t="s">
        <v>171</v>
      </c>
      <c r="M924" s="46" t="s">
        <v>77</v>
      </c>
      <c r="N924" s="46" t="s">
        <v>172</v>
      </c>
      <c r="O924" s="46">
        <v>19176100</v>
      </c>
      <c r="P924" s="46">
        <v>184</v>
      </c>
      <c r="Q924" s="46">
        <v>0</v>
      </c>
      <c r="R924" s="46">
        <v>0</v>
      </c>
      <c r="S924" s="46">
        <v>0</v>
      </c>
      <c r="T924" s="46">
        <v>0</v>
      </c>
      <c r="U924" s="46">
        <v>1502100</v>
      </c>
      <c r="V924" s="46">
        <v>13</v>
      </c>
      <c r="W924" s="46">
        <v>0</v>
      </c>
      <c r="X924" s="46">
        <v>0</v>
      </c>
      <c r="Y924" s="48">
        <v>24441000</v>
      </c>
      <c r="Z924" s="46">
        <v>190</v>
      </c>
      <c r="AA924" s="46">
        <v>0</v>
      </c>
      <c r="AB924" s="46">
        <v>0</v>
      </c>
      <c r="AC924" s="46">
        <v>45119200</v>
      </c>
      <c r="AD924" s="46">
        <v>387</v>
      </c>
      <c r="AF924" s="47">
        <f t="shared" si="14"/>
        <v>20678200</v>
      </c>
    </row>
    <row r="925" spans="1:32" hidden="1" x14ac:dyDescent="0.3">
      <c r="A925" s="46" t="s">
        <v>615</v>
      </c>
      <c r="B925" s="46" t="str">
        <f>IFERROR(VLOOKUP($H925,매장구분!$B:$Z,2,0),"")</f>
        <v>리테일채널팀</v>
      </c>
      <c r="C925" s="46" t="str">
        <f>IFERROR(VLOOKUP($H925,매장구분!$B:$Z,3,0),"")</f>
        <v>국내</v>
      </c>
      <c r="D925" s="46" t="str">
        <f>IFERROR(VLOOKUP($H925,매장구분!$B:$Z,5,0),"")</f>
        <v>대리점</v>
      </c>
      <c r="E925" s="46" t="str">
        <f>IFERROR(VLOOKUP($H925,매장구분!$B:$Z,9,0),"")</f>
        <v>보령(대-위)</v>
      </c>
      <c r="G925" s="46" t="s">
        <v>211</v>
      </c>
      <c r="H925" s="46" t="s">
        <v>212</v>
      </c>
      <c r="I925" s="46" t="s">
        <v>169</v>
      </c>
      <c r="J925" s="46" t="s">
        <v>79</v>
      </c>
      <c r="K925" s="46" t="s">
        <v>170</v>
      </c>
      <c r="L925" s="46" t="s">
        <v>171</v>
      </c>
      <c r="M925" s="46" t="s">
        <v>196</v>
      </c>
      <c r="N925" s="46" t="s">
        <v>197</v>
      </c>
      <c r="O925" s="46">
        <v>7129000</v>
      </c>
      <c r="P925" s="46">
        <v>66</v>
      </c>
      <c r="Q925" s="46">
        <v>0</v>
      </c>
      <c r="R925" s="46">
        <v>0</v>
      </c>
      <c r="S925" s="46">
        <v>0</v>
      </c>
      <c r="T925" s="46">
        <v>0</v>
      </c>
      <c r="U925" s="46">
        <v>297000</v>
      </c>
      <c r="V925" s="46">
        <v>3</v>
      </c>
      <c r="W925" s="46">
        <v>0</v>
      </c>
      <c r="X925" s="46">
        <v>0</v>
      </c>
      <c r="Y925" s="48">
        <v>0</v>
      </c>
      <c r="Z925" s="46">
        <v>0</v>
      </c>
      <c r="AA925" s="46">
        <v>0</v>
      </c>
      <c r="AB925" s="46">
        <v>0</v>
      </c>
      <c r="AC925" s="46">
        <v>7426000</v>
      </c>
      <c r="AD925" s="46">
        <v>69</v>
      </c>
      <c r="AF925" s="47">
        <f t="shared" si="14"/>
        <v>7426000</v>
      </c>
    </row>
    <row r="926" spans="1:32" hidden="1" x14ac:dyDescent="0.3">
      <c r="A926" s="46" t="s">
        <v>615</v>
      </c>
      <c r="B926" s="46" t="str">
        <f>IFERROR(VLOOKUP($H926,매장구분!$B:$Z,2,0),"")</f>
        <v>리테일채널팀</v>
      </c>
      <c r="C926" s="46" t="str">
        <f>IFERROR(VLOOKUP($H926,매장구분!$B:$Z,3,0),"")</f>
        <v>국내</v>
      </c>
      <c r="D926" s="46" t="str">
        <f>IFERROR(VLOOKUP($H926,매장구분!$B:$Z,5,0),"")</f>
        <v>대리점</v>
      </c>
      <c r="E926" s="46" t="str">
        <f>IFERROR(VLOOKUP($H926,매장구분!$B:$Z,9,0),"")</f>
        <v>경산(대-위)</v>
      </c>
      <c r="G926" s="46" t="s">
        <v>556</v>
      </c>
      <c r="H926" s="46" t="s">
        <v>557</v>
      </c>
      <c r="I926" s="46" t="s">
        <v>169</v>
      </c>
      <c r="J926" s="46" t="s">
        <v>79</v>
      </c>
      <c r="K926" s="46" t="s">
        <v>170</v>
      </c>
      <c r="L926" s="46" t="s">
        <v>171</v>
      </c>
      <c r="M926" s="46" t="s">
        <v>196</v>
      </c>
      <c r="N926" s="46" t="s">
        <v>197</v>
      </c>
      <c r="O926" s="46">
        <v>10305419</v>
      </c>
      <c r="P926" s="46">
        <v>79</v>
      </c>
      <c r="Q926" s="46">
        <v>0</v>
      </c>
      <c r="R926" s="46">
        <v>0</v>
      </c>
      <c r="S926" s="46">
        <v>0</v>
      </c>
      <c r="T926" s="46">
        <v>0</v>
      </c>
      <c r="U926" s="46">
        <v>1576334</v>
      </c>
      <c r="V926" s="46">
        <v>7</v>
      </c>
      <c r="W926" s="46">
        <v>0</v>
      </c>
      <c r="X926" s="46">
        <v>0</v>
      </c>
      <c r="Y926" s="48">
        <v>0</v>
      </c>
      <c r="Z926" s="46">
        <v>0</v>
      </c>
      <c r="AA926" s="46">
        <v>0</v>
      </c>
      <c r="AB926" s="46">
        <v>0</v>
      </c>
      <c r="AC926" s="46">
        <v>11881753</v>
      </c>
      <c r="AD926" s="46">
        <v>86</v>
      </c>
      <c r="AF926" s="47">
        <f t="shared" si="14"/>
        <v>11881753</v>
      </c>
    </row>
    <row r="927" spans="1:32" hidden="1" x14ac:dyDescent="0.3">
      <c r="A927" s="46" t="s">
        <v>615</v>
      </c>
      <c r="B927" s="46" t="str">
        <f>IFERROR(VLOOKUP($H927,매장구분!$B:$Z,2,0),"")</f>
        <v>리테일채널팀</v>
      </c>
      <c r="C927" s="46" t="str">
        <f>IFERROR(VLOOKUP($H927,매장구분!$B:$Z,3,0),"")</f>
        <v>국내</v>
      </c>
      <c r="D927" s="46" t="str">
        <f>IFERROR(VLOOKUP($H927,매장구분!$B:$Z,5,0),"")</f>
        <v>대리점</v>
      </c>
      <c r="E927" s="46" t="str">
        <f>IFERROR(VLOOKUP($H927,매장구분!$B:$Z,9,0),"")</f>
        <v>안동(대-위)</v>
      </c>
      <c r="G927" s="46" t="s">
        <v>424</v>
      </c>
      <c r="H927" s="46" t="s">
        <v>425</v>
      </c>
      <c r="I927" s="46" t="s">
        <v>169</v>
      </c>
      <c r="J927" s="46" t="s">
        <v>79</v>
      </c>
      <c r="K927" s="46" t="s">
        <v>170</v>
      </c>
      <c r="L927" s="46" t="s">
        <v>171</v>
      </c>
      <c r="M927" s="46" t="s">
        <v>196</v>
      </c>
      <c r="N927" s="46" t="s">
        <v>197</v>
      </c>
      <c r="O927" s="46">
        <v>13430100</v>
      </c>
      <c r="P927" s="46">
        <v>103</v>
      </c>
      <c r="Q927" s="46">
        <v>0</v>
      </c>
      <c r="R927" s="46">
        <v>0</v>
      </c>
      <c r="S927" s="46">
        <v>0</v>
      </c>
      <c r="T927" s="46">
        <v>0</v>
      </c>
      <c r="U927" s="46">
        <v>1584300</v>
      </c>
      <c r="V927" s="46">
        <v>6</v>
      </c>
      <c r="W927" s="46">
        <v>0</v>
      </c>
      <c r="X927" s="46">
        <v>0</v>
      </c>
      <c r="Y927" s="48">
        <v>0</v>
      </c>
      <c r="Z927" s="46">
        <v>0</v>
      </c>
      <c r="AA927" s="46">
        <v>0</v>
      </c>
      <c r="AB927" s="46">
        <v>0</v>
      </c>
      <c r="AC927" s="46">
        <v>15014400</v>
      </c>
      <c r="AD927" s="46">
        <v>109</v>
      </c>
      <c r="AF927" s="47">
        <f t="shared" si="14"/>
        <v>15014400</v>
      </c>
    </row>
    <row r="928" spans="1:32" hidden="1" x14ac:dyDescent="0.3">
      <c r="A928" s="46" t="s">
        <v>615</v>
      </c>
      <c r="B928" s="46" t="str">
        <f>IFERROR(VLOOKUP($H928,매장구분!$B:$Z,2,0),"")</f>
        <v>파트너채널팀</v>
      </c>
      <c r="C928" s="46" t="str">
        <f>IFERROR(VLOOKUP($H928,매장구분!$B:$Z,3,0),"")</f>
        <v>국내</v>
      </c>
      <c r="D928" s="46" t="str">
        <f>IFERROR(VLOOKUP($H928,매장구분!$B:$Z,5,0),"")</f>
        <v>백화점</v>
      </c>
      <c r="E928" s="46" t="str">
        <f>IFERROR(VLOOKUP($H928,매장구분!$B:$Z,9,0),"")</f>
        <v>롯데창원</v>
      </c>
      <c r="G928" s="46" t="s">
        <v>548</v>
      </c>
      <c r="H928" s="46" t="s">
        <v>549</v>
      </c>
      <c r="I928" s="46" t="s">
        <v>169</v>
      </c>
      <c r="J928" s="46" t="s">
        <v>175</v>
      </c>
      <c r="K928" s="46" t="s">
        <v>170</v>
      </c>
      <c r="L928" s="46" t="s">
        <v>171</v>
      </c>
      <c r="M928" s="46" t="s">
        <v>77</v>
      </c>
      <c r="N928" s="46" t="s">
        <v>172</v>
      </c>
      <c r="O928" s="46">
        <v>21995500</v>
      </c>
      <c r="P928" s="46">
        <v>178</v>
      </c>
      <c r="Q928" s="46">
        <v>0</v>
      </c>
      <c r="R928" s="46">
        <v>0</v>
      </c>
      <c r="S928" s="46">
        <v>0</v>
      </c>
      <c r="T928" s="46">
        <v>0</v>
      </c>
      <c r="U928" s="46">
        <v>510100</v>
      </c>
      <c r="V928" s="46">
        <v>4</v>
      </c>
      <c r="W928" s="46">
        <v>0</v>
      </c>
      <c r="X928" s="46">
        <v>0</v>
      </c>
      <c r="Y928" s="48">
        <v>0</v>
      </c>
      <c r="Z928" s="46">
        <v>0</v>
      </c>
      <c r="AA928" s="46">
        <v>0</v>
      </c>
      <c r="AB928" s="46">
        <v>0</v>
      </c>
      <c r="AC928" s="46">
        <v>22505600</v>
      </c>
      <c r="AD928" s="46">
        <v>182</v>
      </c>
      <c r="AF928" s="47">
        <f t="shared" si="14"/>
        <v>22505600</v>
      </c>
    </row>
    <row r="929" spans="1:32" hidden="1" x14ac:dyDescent="0.3">
      <c r="A929" s="46" t="s">
        <v>615</v>
      </c>
      <c r="B929" s="46" t="str">
        <f>IFERROR(VLOOKUP($H929,매장구분!$B:$Z,2,0),"")</f>
        <v>리테일채널팀</v>
      </c>
      <c r="C929" s="46" t="str">
        <f>IFERROR(VLOOKUP($H929,매장구분!$B:$Z,3,0),"")</f>
        <v>국내</v>
      </c>
      <c r="D929" s="46" t="str">
        <f>IFERROR(VLOOKUP($H929,매장구분!$B:$Z,5,0),"")</f>
        <v>대리점</v>
      </c>
      <c r="E929" s="46" t="str">
        <f>IFERROR(VLOOKUP($H929,매장구분!$B:$Z,9,0),"")</f>
        <v>안성(대-위)</v>
      </c>
      <c r="G929" s="46" t="s">
        <v>309</v>
      </c>
      <c r="H929" s="46" t="s">
        <v>310</v>
      </c>
      <c r="I929" s="46" t="s">
        <v>169</v>
      </c>
      <c r="J929" s="46" t="s">
        <v>79</v>
      </c>
      <c r="K929" s="46" t="s">
        <v>170</v>
      </c>
      <c r="L929" s="46" t="s">
        <v>171</v>
      </c>
      <c r="M929" s="46" t="s">
        <v>196</v>
      </c>
      <c r="N929" s="46" t="s">
        <v>197</v>
      </c>
      <c r="O929" s="46">
        <v>18727000</v>
      </c>
      <c r="P929" s="46">
        <v>147</v>
      </c>
      <c r="Q929" s="46">
        <v>0</v>
      </c>
      <c r="R929" s="46">
        <v>0</v>
      </c>
      <c r="S929" s="46">
        <v>0</v>
      </c>
      <c r="T929" s="46">
        <v>0</v>
      </c>
      <c r="U929" s="46">
        <v>1103000</v>
      </c>
      <c r="V929" s="46">
        <v>7</v>
      </c>
      <c r="W929" s="46">
        <v>0</v>
      </c>
      <c r="X929" s="46">
        <v>0</v>
      </c>
      <c r="Y929" s="48">
        <v>0</v>
      </c>
      <c r="Z929" s="46">
        <v>0</v>
      </c>
      <c r="AA929" s="46">
        <v>0</v>
      </c>
      <c r="AB929" s="46">
        <v>0</v>
      </c>
      <c r="AC929" s="46">
        <v>19830000</v>
      </c>
      <c r="AD929" s="46">
        <v>154</v>
      </c>
      <c r="AF929" s="47">
        <f t="shared" si="14"/>
        <v>19830000</v>
      </c>
    </row>
    <row r="930" spans="1:32" hidden="1" x14ac:dyDescent="0.3">
      <c r="A930" s="46" t="s">
        <v>615</v>
      </c>
      <c r="B930" s="46" t="str">
        <f>IFERROR(VLOOKUP($H930,매장구분!$B:$Z,2,0),"")</f>
        <v>리테일채널팀</v>
      </c>
      <c r="C930" s="46" t="str">
        <f>IFERROR(VLOOKUP($H930,매장구분!$B:$Z,3,0),"")</f>
        <v>국내</v>
      </c>
      <c r="D930" s="46" t="str">
        <f>IFERROR(VLOOKUP($H930,매장구분!$B:$Z,5,0),"")</f>
        <v>대리점</v>
      </c>
      <c r="E930" s="46" t="str">
        <f>IFERROR(VLOOKUP($H930,매장구분!$B:$Z,9,0),"")</f>
        <v>대구칠곡(대-위)</v>
      </c>
      <c r="G930" s="46" t="s">
        <v>364</v>
      </c>
      <c r="H930" s="46" t="s">
        <v>365</v>
      </c>
      <c r="I930" s="46" t="s">
        <v>169</v>
      </c>
      <c r="J930" s="46" t="s">
        <v>79</v>
      </c>
      <c r="K930" s="46" t="s">
        <v>170</v>
      </c>
      <c r="L930" s="46" t="s">
        <v>171</v>
      </c>
      <c r="M930" s="46" t="s">
        <v>196</v>
      </c>
      <c r="N930" s="46" t="s">
        <v>197</v>
      </c>
      <c r="O930" s="46">
        <v>11305000</v>
      </c>
      <c r="P930" s="46">
        <v>77</v>
      </c>
      <c r="Q930" s="46">
        <v>0</v>
      </c>
      <c r="R930" s="46">
        <v>0</v>
      </c>
      <c r="S930" s="46">
        <v>0</v>
      </c>
      <c r="T930" s="46">
        <v>0</v>
      </c>
      <c r="U930" s="46">
        <v>822100</v>
      </c>
      <c r="V930" s="46">
        <v>4</v>
      </c>
      <c r="W930" s="46">
        <v>0</v>
      </c>
      <c r="X930" s="46">
        <v>0</v>
      </c>
      <c r="Y930" s="48">
        <v>0</v>
      </c>
      <c r="Z930" s="46">
        <v>0</v>
      </c>
      <c r="AA930" s="46">
        <v>0</v>
      </c>
      <c r="AB930" s="46">
        <v>0</v>
      </c>
      <c r="AC930" s="46">
        <v>12127100</v>
      </c>
      <c r="AD930" s="46">
        <v>81</v>
      </c>
      <c r="AF930" s="47">
        <f t="shared" si="14"/>
        <v>12127100</v>
      </c>
    </row>
    <row r="931" spans="1:32" hidden="1" x14ac:dyDescent="0.3">
      <c r="A931" s="46" t="s">
        <v>615</v>
      </c>
      <c r="B931" s="46" t="str">
        <f>IFERROR(VLOOKUP($H931,매장구분!$B:$Z,2,0),"")</f>
        <v>파트너채널팀</v>
      </c>
      <c r="C931" s="46" t="str">
        <f>IFERROR(VLOOKUP($H931,매장구분!$B:$Z,3,0),"")</f>
        <v>국내</v>
      </c>
      <c r="D931" s="46" t="str">
        <f>IFERROR(VLOOKUP($H931,매장구분!$B:$Z,5,0),"")</f>
        <v>백화점</v>
      </c>
      <c r="E931" s="46" t="str">
        <f>IFERROR(VLOOKUP($H931,매장구분!$B:$Z,9,0),"")</f>
        <v>현대킨텍스</v>
      </c>
      <c r="G931" s="46" t="s">
        <v>442</v>
      </c>
      <c r="H931" s="46" t="s">
        <v>443</v>
      </c>
      <c r="I931" s="46" t="s">
        <v>169</v>
      </c>
      <c r="J931" s="46" t="s">
        <v>175</v>
      </c>
      <c r="K931" s="46" t="s">
        <v>170</v>
      </c>
      <c r="L931" s="46" t="s">
        <v>171</v>
      </c>
      <c r="M931" s="46" t="s">
        <v>77</v>
      </c>
      <c r="N931" s="46" t="s">
        <v>172</v>
      </c>
      <c r="O931" s="46">
        <v>5757000</v>
      </c>
      <c r="P931" s="46">
        <v>68</v>
      </c>
      <c r="Q931" s="46">
        <v>-49000</v>
      </c>
      <c r="R931" s="46">
        <v>-1</v>
      </c>
      <c r="S931" s="46">
        <v>0</v>
      </c>
      <c r="T931" s="46">
        <v>0</v>
      </c>
      <c r="U931" s="46">
        <v>388000</v>
      </c>
      <c r="V931" s="46">
        <v>4</v>
      </c>
      <c r="W931" s="46">
        <v>0</v>
      </c>
      <c r="X931" s="46">
        <v>0</v>
      </c>
      <c r="Y931" s="48">
        <v>4862000</v>
      </c>
      <c r="Z931" s="46">
        <v>22</v>
      </c>
      <c r="AA931" s="46">
        <v>0</v>
      </c>
      <c r="AB931" s="46">
        <v>0</v>
      </c>
      <c r="AC931" s="46">
        <v>10958000</v>
      </c>
      <c r="AD931" s="46">
        <v>93</v>
      </c>
      <c r="AF931" s="47">
        <f t="shared" si="14"/>
        <v>6096000</v>
      </c>
    </row>
    <row r="932" spans="1:32" hidden="1" x14ac:dyDescent="0.3">
      <c r="A932" s="46" t="s">
        <v>615</v>
      </c>
      <c r="B932" s="46" t="str">
        <f>IFERROR(VLOOKUP($H932,매장구분!$B:$Z,2,0),"")</f>
        <v>리테일채널팀</v>
      </c>
      <c r="C932" s="46" t="str">
        <f>IFERROR(VLOOKUP($H932,매장구분!$B:$Z,3,0),"")</f>
        <v>국내</v>
      </c>
      <c r="D932" s="46" t="str">
        <f>IFERROR(VLOOKUP($H932,매장구분!$B:$Z,5,0),"")</f>
        <v>대리점</v>
      </c>
      <c r="E932" s="46" t="str">
        <f>IFERROR(VLOOKUP($H932,매장구분!$B:$Z,9,0),"")</f>
        <v>통영(대-위)</v>
      </c>
      <c r="G932" s="46" t="s">
        <v>506</v>
      </c>
      <c r="H932" s="46" t="s">
        <v>507</v>
      </c>
      <c r="I932" s="46" t="s">
        <v>169</v>
      </c>
      <c r="J932" s="46" t="s">
        <v>79</v>
      </c>
      <c r="K932" s="46" t="s">
        <v>170</v>
      </c>
      <c r="L932" s="46" t="s">
        <v>171</v>
      </c>
      <c r="M932" s="46" t="s">
        <v>196</v>
      </c>
      <c r="N932" s="46" t="s">
        <v>197</v>
      </c>
      <c r="O932" s="46">
        <v>9531900</v>
      </c>
      <c r="P932" s="46">
        <v>71</v>
      </c>
      <c r="Q932" s="46">
        <v>0</v>
      </c>
      <c r="R932" s="46">
        <v>0</v>
      </c>
      <c r="S932" s="46">
        <v>0</v>
      </c>
      <c r="T932" s="46">
        <v>0</v>
      </c>
      <c r="U932" s="46">
        <v>330000</v>
      </c>
      <c r="V932" s="46">
        <v>0</v>
      </c>
      <c r="W932" s="46">
        <v>0</v>
      </c>
      <c r="X932" s="46">
        <v>0</v>
      </c>
      <c r="Y932" s="48">
        <v>0</v>
      </c>
      <c r="Z932" s="46">
        <v>0</v>
      </c>
      <c r="AA932" s="46">
        <v>0</v>
      </c>
      <c r="AB932" s="46">
        <v>0</v>
      </c>
      <c r="AC932" s="46">
        <v>9861900</v>
      </c>
      <c r="AD932" s="46">
        <v>71</v>
      </c>
      <c r="AF932" s="47">
        <f t="shared" si="14"/>
        <v>9861900</v>
      </c>
    </row>
    <row r="933" spans="1:32" hidden="1" x14ac:dyDescent="0.3">
      <c r="A933" s="46" t="s">
        <v>615</v>
      </c>
      <c r="B933" s="46" t="str">
        <f>IFERROR(VLOOKUP($H933,매장구분!$B:$Z,2,0),"")</f>
        <v>리테일채널팀</v>
      </c>
      <c r="C933" s="46" t="str">
        <f>IFERROR(VLOOKUP($H933,매장구분!$B:$Z,3,0),"")</f>
        <v>국내</v>
      </c>
      <c r="D933" s="46" t="str">
        <f>IFERROR(VLOOKUP($H933,매장구분!$B:$Z,5,0),"")</f>
        <v>대리점</v>
      </c>
      <c r="E933" s="46" t="str">
        <f>IFERROR(VLOOKUP($H933,매장구분!$B:$Z,9,0),"")</f>
        <v>군산수송(대-위)</v>
      </c>
      <c r="G933" s="46" t="s">
        <v>594</v>
      </c>
      <c r="H933" s="46" t="s">
        <v>595</v>
      </c>
      <c r="I933" s="46" t="s">
        <v>169</v>
      </c>
      <c r="J933" s="46" t="s">
        <v>79</v>
      </c>
      <c r="K933" s="46" t="s">
        <v>170</v>
      </c>
      <c r="L933" s="46" t="s">
        <v>171</v>
      </c>
      <c r="M933" s="46" t="s">
        <v>196</v>
      </c>
      <c r="N933" s="46" t="s">
        <v>197</v>
      </c>
      <c r="O933" s="46">
        <v>726000</v>
      </c>
      <c r="P933" s="46">
        <v>8</v>
      </c>
      <c r="Q933" s="46">
        <v>0</v>
      </c>
      <c r="R933" s="46">
        <v>0</v>
      </c>
      <c r="S933" s="46">
        <v>0</v>
      </c>
      <c r="T933" s="46">
        <v>0</v>
      </c>
      <c r="U933" s="46">
        <v>0</v>
      </c>
      <c r="V933" s="46">
        <v>0</v>
      </c>
      <c r="W933" s="46">
        <v>0</v>
      </c>
      <c r="X933" s="46">
        <v>0</v>
      </c>
      <c r="Y933" s="48">
        <v>0</v>
      </c>
      <c r="Z933" s="46">
        <v>0</v>
      </c>
      <c r="AA933" s="46">
        <v>0</v>
      </c>
      <c r="AB933" s="46">
        <v>0</v>
      </c>
      <c r="AC933" s="46">
        <v>726000</v>
      </c>
      <c r="AD933" s="46">
        <v>8</v>
      </c>
      <c r="AF933" s="47">
        <f t="shared" si="14"/>
        <v>726000</v>
      </c>
    </row>
    <row r="934" spans="1:32" hidden="1" x14ac:dyDescent="0.3">
      <c r="A934" s="46" t="s">
        <v>615</v>
      </c>
      <c r="B934" s="46" t="str">
        <f>IFERROR(VLOOKUP($H934,매장구분!$B:$Z,2,0),"")</f>
        <v>리테일채널팀</v>
      </c>
      <c r="C934" s="46" t="str">
        <f>IFERROR(VLOOKUP($H934,매장구분!$B:$Z,3,0),"")</f>
        <v>국내</v>
      </c>
      <c r="D934" s="46" t="str">
        <f>IFERROR(VLOOKUP($H934,매장구분!$B:$Z,5,0),"")</f>
        <v>상설(위탁)</v>
      </c>
      <c r="E934" s="46" t="str">
        <f>IFERROR(VLOOKUP($H934,매장구분!$B:$Z,9,0),"")</f>
        <v>롯데아울렛수완(상-위)</v>
      </c>
      <c r="G934" s="46" t="s">
        <v>430</v>
      </c>
      <c r="H934" s="46" t="s">
        <v>431</v>
      </c>
      <c r="I934" s="46" t="s">
        <v>169</v>
      </c>
      <c r="J934" s="46" t="s">
        <v>79</v>
      </c>
      <c r="K934" s="46" t="s">
        <v>170</v>
      </c>
      <c r="L934" s="46" t="s">
        <v>171</v>
      </c>
      <c r="M934" s="46" t="s">
        <v>219</v>
      </c>
      <c r="N934" s="46" t="s">
        <v>219</v>
      </c>
      <c r="O934" s="46">
        <v>2232000</v>
      </c>
      <c r="P934" s="46">
        <v>62</v>
      </c>
      <c r="Q934" s="46">
        <v>0</v>
      </c>
      <c r="R934" s="46">
        <v>0</v>
      </c>
      <c r="S934" s="46">
        <v>0</v>
      </c>
      <c r="T934" s="46">
        <v>0</v>
      </c>
      <c r="U934" s="46">
        <v>0</v>
      </c>
      <c r="V934" s="46">
        <v>0</v>
      </c>
      <c r="W934" s="46">
        <v>0</v>
      </c>
      <c r="X934" s="46">
        <v>0</v>
      </c>
      <c r="Y934" s="48">
        <v>0</v>
      </c>
      <c r="Z934" s="46">
        <v>0</v>
      </c>
      <c r="AA934" s="46">
        <v>0</v>
      </c>
      <c r="AB934" s="46">
        <v>0</v>
      </c>
      <c r="AC934" s="46">
        <v>2232000</v>
      </c>
      <c r="AD934" s="46">
        <v>62</v>
      </c>
      <c r="AF934" s="47">
        <f t="shared" si="14"/>
        <v>2232000</v>
      </c>
    </row>
    <row r="935" spans="1:32" hidden="1" x14ac:dyDescent="0.3">
      <c r="A935" s="46" t="s">
        <v>615</v>
      </c>
      <c r="B935" s="46" t="str">
        <f>IFERROR(VLOOKUP($H935,매장구분!$B:$Z,2,0),"")</f>
        <v>리테일채널팀</v>
      </c>
      <c r="C935" s="46" t="str">
        <f>IFERROR(VLOOKUP($H935,매장구분!$B:$Z,3,0),"")</f>
        <v>국내</v>
      </c>
      <c r="D935" s="46" t="str">
        <f>IFERROR(VLOOKUP($H935,매장구분!$B:$Z,5,0),"")</f>
        <v>상설(위탁)</v>
      </c>
      <c r="E935" s="46" t="str">
        <f>IFERROR(VLOOKUP($H935,매장구분!$B:$Z,9,0),"")</f>
        <v>모다경주(상-위)</v>
      </c>
      <c r="G935" s="46" t="s">
        <v>374</v>
      </c>
      <c r="H935" s="46" t="s">
        <v>375</v>
      </c>
      <c r="I935" s="46" t="s">
        <v>169</v>
      </c>
      <c r="J935" s="46" t="s">
        <v>79</v>
      </c>
      <c r="K935" s="46" t="s">
        <v>170</v>
      </c>
      <c r="L935" s="46" t="s">
        <v>171</v>
      </c>
      <c r="M935" s="46" t="s">
        <v>77</v>
      </c>
      <c r="N935" s="46" t="s">
        <v>238</v>
      </c>
      <c r="O935" s="46">
        <v>576000</v>
      </c>
      <c r="P935" s="46">
        <v>16</v>
      </c>
      <c r="Q935" s="46">
        <v>0</v>
      </c>
      <c r="R935" s="46">
        <v>0</v>
      </c>
      <c r="S935" s="46">
        <v>0</v>
      </c>
      <c r="T935" s="46">
        <v>0</v>
      </c>
      <c r="U935" s="46">
        <v>0</v>
      </c>
      <c r="V935" s="46">
        <v>0</v>
      </c>
      <c r="W935" s="46">
        <v>0</v>
      </c>
      <c r="X935" s="46">
        <v>0</v>
      </c>
      <c r="Y935" s="48">
        <v>0</v>
      </c>
      <c r="Z935" s="46">
        <v>0</v>
      </c>
      <c r="AA935" s="46">
        <v>0</v>
      </c>
      <c r="AB935" s="46">
        <v>0</v>
      </c>
      <c r="AC935" s="46">
        <v>576000</v>
      </c>
      <c r="AD935" s="46">
        <v>16</v>
      </c>
      <c r="AF935" s="47">
        <f t="shared" si="14"/>
        <v>576000</v>
      </c>
    </row>
    <row r="936" spans="1:32" hidden="1" x14ac:dyDescent="0.3">
      <c r="A936" s="46" t="s">
        <v>615</v>
      </c>
      <c r="B936" s="46" t="str">
        <f>IFERROR(VLOOKUP($H936,매장구분!$B:$Z,2,0),"")</f>
        <v>리테일채널팀</v>
      </c>
      <c r="C936" s="46" t="str">
        <f>IFERROR(VLOOKUP($H936,매장구분!$B:$Z,3,0),"")</f>
        <v>국내</v>
      </c>
      <c r="D936" s="46" t="str">
        <f>IFERROR(VLOOKUP($H936,매장구분!$B:$Z,5,0),"")</f>
        <v>상설(위탁)</v>
      </c>
      <c r="E936" s="46" t="str">
        <f>IFERROR(VLOOKUP($H936,매장구분!$B:$Z,9,0),"")</f>
        <v>롯데아울렛율하(상-위)</v>
      </c>
      <c r="G936" s="46" t="s">
        <v>610</v>
      </c>
      <c r="H936" s="46" t="s">
        <v>611</v>
      </c>
      <c r="I936" s="46" t="s">
        <v>169</v>
      </c>
      <c r="J936" s="46" t="s">
        <v>79</v>
      </c>
      <c r="K936" s="46" t="s">
        <v>170</v>
      </c>
      <c r="L936" s="46" t="s">
        <v>171</v>
      </c>
      <c r="M936" s="46" t="s">
        <v>219</v>
      </c>
      <c r="N936" s="46" t="s">
        <v>219</v>
      </c>
      <c r="O936" s="46">
        <v>396000</v>
      </c>
      <c r="P936" s="46">
        <v>11</v>
      </c>
      <c r="Q936" s="46">
        <v>0</v>
      </c>
      <c r="R936" s="46">
        <v>0</v>
      </c>
      <c r="S936" s="46">
        <v>0</v>
      </c>
      <c r="T936" s="46">
        <v>0</v>
      </c>
      <c r="U936" s="46">
        <v>0</v>
      </c>
      <c r="V936" s="46">
        <v>0</v>
      </c>
      <c r="W936" s="46">
        <v>0</v>
      </c>
      <c r="X936" s="46">
        <v>0</v>
      </c>
      <c r="Y936" s="48">
        <v>0</v>
      </c>
      <c r="Z936" s="46">
        <v>0</v>
      </c>
      <c r="AA936" s="46">
        <v>0</v>
      </c>
      <c r="AB936" s="46">
        <v>0</v>
      </c>
      <c r="AC936" s="46">
        <v>396000</v>
      </c>
      <c r="AD936" s="46">
        <v>11</v>
      </c>
      <c r="AF936" s="47">
        <f t="shared" si="14"/>
        <v>396000</v>
      </c>
    </row>
    <row r="937" spans="1:32" hidden="1" x14ac:dyDescent="0.3">
      <c r="A937" s="46" t="s">
        <v>615</v>
      </c>
      <c r="B937" s="46" t="str">
        <f>IFERROR(VLOOKUP($H937,매장구분!$B:$Z,2,0),"")</f>
        <v>리테일채널팀</v>
      </c>
      <c r="C937" s="46" t="str">
        <f>IFERROR(VLOOKUP($H937,매장구분!$B:$Z,3,0),"")</f>
        <v>국내</v>
      </c>
      <c r="D937" s="46" t="str">
        <f>IFERROR(VLOOKUP($H937,매장구분!$B:$Z,5,0),"")</f>
        <v>상설(위탁)</v>
      </c>
      <c r="E937" s="46" t="str">
        <f>IFERROR(VLOOKUP($H937,매장구분!$B:$Z,9,0),"")</f>
        <v>신세계아울렛여주(상-위)</v>
      </c>
      <c r="G937" s="46" t="s">
        <v>380</v>
      </c>
      <c r="H937" s="46" t="s">
        <v>381</v>
      </c>
      <c r="I937" s="46" t="s">
        <v>169</v>
      </c>
      <c r="J937" s="46" t="s">
        <v>79</v>
      </c>
      <c r="K937" s="46" t="s">
        <v>170</v>
      </c>
      <c r="L937" s="46" t="s">
        <v>171</v>
      </c>
      <c r="M937" s="46" t="s">
        <v>219</v>
      </c>
      <c r="N937" s="46" t="s">
        <v>219</v>
      </c>
      <c r="O937" s="46">
        <v>2016000</v>
      </c>
      <c r="P937" s="46">
        <v>56</v>
      </c>
      <c r="Q937" s="46">
        <v>0</v>
      </c>
      <c r="R937" s="46">
        <v>0</v>
      </c>
      <c r="S937" s="46">
        <v>0</v>
      </c>
      <c r="T937" s="46">
        <v>0</v>
      </c>
      <c r="U937" s="46">
        <v>0</v>
      </c>
      <c r="V937" s="46">
        <v>0</v>
      </c>
      <c r="W937" s="46">
        <v>0</v>
      </c>
      <c r="X937" s="46">
        <v>0</v>
      </c>
      <c r="Y937" s="48">
        <v>0</v>
      </c>
      <c r="Z937" s="46">
        <v>0</v>
      </c>
      <c r="AA937" s="46">
        <v>0</v>
      </c>
      <c r="AB937" s="46">
        <v>0</v>
      </c>
      <c r="AC937" s="46">
        <v>2016000</v>
      </c>
      <c r="AD937" s="46">
        <v>56</v>
      </c>
      <c r="AF937" s="47">
        <f t="shared" si="14"/>
        <v>2016000</v>
      </c>
    </row>
    <row r="938" spans="1:32" hidden="1" x14ac:dyDescent="0.3">
      <c r="A938" s="46" t="s">
        <v>615</v>
      </c>
      <c r="B938" s="46" t="str">
        <f>IFERROR(VLOOKUP($H938,매장구분!$B:$Z,2,0),"")</f>
        <v>리테일채널팀</v>
      </c>
      <c r="C938" s="46" t="str">
        <f>IFERROR(VLOOKUP($H938,매장구분!$B:$Z,3,0),"")</f>
        <v>국내</v>
      </c>
      <c r="D938" s="46" t="str">
        <f>IFERROR(VLOOKUP($H938,매장구분!$B:$Z,5,0),"")</f>
        <v>대리점</v>
      </c>
      <c r="E938" s="46" t="str">
        <f>IFERROR(VLOOKUP($H938,매장구분!$B:$Z,9,0),"")</f>
        <v>속초(대-위)</v>
      </c>
      <c r="G938" s="46" t="s">
        <v>488</v>
      </c>
      <c r="H938" s="46" t="s">
        <v>489</v>
      </c>
      <c r="I938" s="46" t="s">
        <v>169</v>
      </c>
      <c r="J938" s="46" t="s">
        <v>79</v>
      </c>
      <c r="K938" s="46" t="s">
        <v>170</v>
      </c>
      <c r="L938" s="46" t="s">
        <v>171</v>
      </c>
      <c r="M938" s="46" t="s">
        <v>196</v>
      </c>
      <c r="N938" s="46" t="s">
        <v>197</v>
      </c>
      <c r="O938" s="46">
        <v>14985000</v>
      </c>
      <c r="P938" s="46">
        <v>128</v>
      </c>
      <c r="Q938" s="46">
        <v>0</v>
      </c>
      <c r="R938" s="46">
        <v>0</v>
      </c>
      <c r="S938" s="46">
        <v>0</v>
      </c>
      <c r="T938" s="46">
        <v>0</v>
      </c>
      <c r="U938" s="46">
        <v>1316000</v>
      </c>
      <c r="V938" s="46">
        <v>8</v>
      </c>
      <c r="W938" s="46">
        <v>0</v>
      </c>
      <c r="X938" s="46">
        <v>0</v>
      </c>
      <c r="Y938" s="48">
        <v>0</v>
      </c>
      <c r="Z938" s="46">
        <v>0</v>
      </c>
      <c r="AA938" s="46">
        <v>0</v>
      </c>
      <c r="AB938" s="46">
        <v>0</v>
      </c>
      <c r="AC938" s="46">
        <v>16301000</v>
      </c>
      <c r="AD938" s="46">
        <v>136</v>
      </c>
      <c r="AF938" s="47">
        <f t="shared" si="14"/>
        <v>16301000</v>
      </c>
    </row>
    <row r="939" spans="1:32" hidden="1" x14ac:dyDescent="0.3">
      <c r="A939" s="46" t="s">
        <v>615</v>
      </c>
      <c r="B939" s="46" t="str">
        <f>IFERROR(VLOOKUP($H939,매장구분!$B:$Z,2,0),"")</f>
        <v>리테일채널팀</v>
      </c>
      <c r="C939" s="46" t="str">
        <f>IFERROR(VLOOKUP($H939,매장구분!$B:$Z,3,0),"")</f>
        <v>국내</v>
      </c>
      <c r="D939" s="46" t="str">
        <f>IFERROR(VLOOKUP($H939,매장구분!$B:$Z,5,0),"")</f>
        <v>대리점</v>
      </c>
      <c r="E939" s="46" t="str">
        <f>IFERROR(VLOOKUP($H939,매장구분!$B:$Z,9,0),"")</f>
        <v>서산(대-위)</v>
      </c>
      <c r="G939" s="46" t="s">
        <v>336</v>
      </c>
      <c r="H939" s="46" t="s">
        <v>337</v>
      </c>
      <c r="I939" s="46" t="s">
        <v>169</v>
      </c>
      <c r="J939" s="46" t="s">
        <v>79</v>
      </c>
      <c r="K939" s="46" t="s">
        <v>170</v>
      </c>
      <c r="L939" s="46" t="s">
        <v>171</v>
      </c>
      <c r="M939" s="46" t="s">
        <v>196</v>
      </c>
      <c r="N939" s="46" t="s">
        <v>197</v>
      </c>
      <c r="O939" s="46">
        <v>11878900</v>
      </c>
      <c r="P939" s="46">
        <v>90</v>
      </c>
      <c r="Q939" s="46">
        <v>0</v>
      </c>
      <c r="R939" s="46">
        <v>0</v>
      </c>
      <c r="S939" s="46">
        <v>0</v>
      </c>
      <c r="T939" s="46">
        <v>0</v>
      </c>
      <c r="U939" s="46">
        <v>847000</v>
      </c>
      <c r="V939" s="46">
        <v>7</v>
      </c>
      <c r="W939" s="46">
        <v>0</v>
      </c>
      <c r="X939" s="46">
        <v>0</v>
      </c>
      <c r="Y939" s="48">
        <v>0</v>
      </c>
      <c r="Z939" s="46">
        <v>0</v>
      </c>
      <c r="AA939" s="46">
        <v>0</v>
      </c>
      <c r="AB939" s="46">
        <v>0</v>
      </c>
      <c r="AC939" s="46">
        <v>12725900</v>
      </c>
      <c r="AD939" s="46">
        <v>97</v>
      </c>
      <c r="AF939" s="47">
        <f t="shared" si="14"/>
        <v>12725900</v>
      </c>
    </row>
    <row r="940" spans="1:32" hidden="1" x14ac:dyDescent="0.3">
      <c r="A940" s="46" t="s">
        <v>615</v>
      </c>
      <c r="B940" s="46" t="str">
        <f>IFERROR(VLOOKUP($H940,매장구분!$B:$Z,2,0),"")</f>
        <v>E-biz</v>
      </c>
      <c r="C940" s="46" t="str">
        <f>IFERROR(VLOOKUP($H940,매장구분!$B:$Z,3,0),"")</f>
        <v>국내</v>
      </c>
      <c r="D940" s="46" t="str">
        <f>IFERROR(VLOOKUP($H940,매장구분!$B:$Z,5,0),"")</f>
        <v>온(자사몰)</v>
      </c>
      <c r="E940" s="46" t="str">
        <f>IFERROR(VLOOKUP($H940,매장구분!$B:$Z,9,0),"")</f>
        <v>온라인쇼핑몰</v>
      </c>
      <c r="G940" s="46" t="s">
        <v>178</v>
      </c>
      <c r="H940" s="46" t="s">
        <v>179</v>
      </c>
      <c r="I940" s="46" t="s">
        <v>169</v>
      </c>
      <c r="J940" s="46" t="s">
        <v>180</v>
      </c>
      <c r="K940" s="46" t="s">
        <v>170</v>
      </c>
      <c r="L940" s="46" t="s">
        <v>181</v>
      </c>
      <c r="M940" s="46" t="s">
        <v>181</v>
      </c>
      <c r="N940" s="46" t="s">
        <v>182</v>
      </c>
      <c r="O940" s="46">
        <v>258407640</v>
      </c>
      <c r="P940" s="46">
        <v>2624</v>
      </c>
      <c r="Q940" s="46">
        <v>0</v>
      </c>
      <c r="R940" s="46">
        <v>0</v>
      </c>
      <c r="S940" s="46">
        <v>0</v>
      </c>
      <c r="T940" s="46">
        <v>0</v>
      </c>
      <c r="U940" s="46">
        <v>0</v>
      </c>
      <c r="V940" s="46">
        <v>0</v>
      </c>
      <c r="W940" s="46">
        <v>0</v>
      </c>
      <c r="X940" s="46">
        <v>0</v>
      </c>
      <c r="Y940" s="48">
        <v>0</v>
      </c>
      <c r="Z940" s="46">
        <v>0</v>
      </c>
      <c r="AA940" s="46">
        <v>0</v>
      </c>
      <c r="AB940" s="46">
        <v>0</v>
      </c>
      <c r="AC940" s="46">
        <v>258407640</v>
      </c>
      <c r="AD940" s="46">
        <v>2624</v>
      </c>
      <c r="AF940" s="47">
        <f t="shared" si="14"/>
        <v>258407640</v>
      </c>
    </row>
    <row r="941" spans="1:32" hidden="1" x14ac:dyDescent="0.3">
      <c r="A941" s="46" t="s">
        <v>615</v>
      </c>
      <c r="B941" s="46" t="str">
        <f>IFERROR(VLOOKUP($H941,매장구분!$B:$Z,2,0),"")</f>
        <v>파트너채널팀</v>
      </c>
      <c r="C941" s="46" t="str">
        <f>IFERROR(VLOOKUP($H941,매장구분!$B:$Z,3,0),"")</f>
        <v>국내</v>
      </c>
      <c r="D941" s="46" t="str">
        <f>IFERROR(VLOOKUP($H941,매장구분!$B:$Z,5,0),"")</f>
        <v>백화점</v>
      </c>
      <c r="E941" s="46" t="str">
        <f>IFERROR(VLOOKUP($H941,매장구분!$B:$Z,9,0),"")</f>
        <v>롯데일산</v>
      </c>
      <c r="G941" s="46" t="s">
        <v>508</v>
      </c>
      <c r="H941" s="46" t="s">
        <v>509</v>
      </c>
      <c r="I941" s="46" t="s">
        <v>169</v>
      </c>
      <c r="J941" s="46" t="s">
        <v>175</v>
      </c>
      <c r="K941" s="46" t="s">
        <v>170</v>
      </c>
      <c r="L941" s="46" t="s">
        <v>171</v>
      </c>
      <c r="M941" s="46" t="s">
        <v>77</v>
      </c>
      <c r="N941" s="46" t="s">
        <v>172</v>
      </c>
      <c r="O941" s="46">
        <v>11758500</v>
      </c>
      <c r="P941" s="46">
        <v>113</v>
      </c>
      <c r="Q941" s="46">
        <v>0</v>
      </c>
      <c r="R941" s="46">
        <v>0</v>
      </c>
      <c r="S941" s="46">
        <v>0</v>
      </c>
      <c r="T941" s="46">
        <v>0</v>
      </c>
      <c r="U941" s="46">
        <v>1975000</v>
      </c>
      <c r="V941" s="46">
        <v>9</v>
      </c>
      <c r="W941" s="46">
        <v>0</v>
      </c>
      <c r="X941" s="46">
        <v>0</v>
      </c>
      <c r="Y941" s="48">
        <v>5385000</v>
      </c>
      <c r="Z941" s="46">
        <v>37</v>
      </c>
      <c r="AA941" s="46">
        <v>0</v>
      </c>
      <c r="AB941" s="46">
        <v>0</v>
      </c>
      <c r="AC941" s="46">
        <v>19118500</v>
      </c>
      <c r="AD941" s="46">
        <v>159</v>
      </c>
      <c r="AF941" s="47">
        <f t="shared" si="14"/>
        <v>13733500</v>
      </c>
    </row>
    <row r="942" spans="1:32" hidden="1" x14ac:dyDescent="0.3">
      <c r="A942" s="46" t="s">
        <v>615</v>
      </c>
      <c r="B942" s="46" t="str">
        <f>IFERROR(VLOOKUP($H942,매장구분!$B:$Z,2,0),"")</f>
        <v>파트너채널팀</v>
      </c>
      <c r="C942" s="46" t="str">
        <f>IFERROR(VLOOKUP($H942,매장구분!$B:$Z,3,0),"")</f>
        <v>국내</v>
      </c>
      <c r="D942" s="46" t="str">
        <f>IFERROR(VLOOKUP($H942,매장구분!$B:$Z,5,0),"")</f>
        <v>백화점</v>
      </c>
      <c r="E942" s="46" t="str">
        <f>IFERROR(VLOOKUP($H942,매장구분!$B:$Z,9,0),"")</f>
        <v>신세계대구</v>
      </c>
      <c r="G942" s="46" t="s">
        <v>192</v>
      </c>
      <c r="H942" s="46" t="s">
        <v>193</v>
      </c>
      <c r="I942" s="46" t="s">
        <v>169</v>
      </c>
      <c r="J942" s="46" t="s">
        <v>175</v>
      </c>
      <c r="K942" s="46" t="s">
        <v>170</v>
      </c>
      <c r="L942" s="46" t="s">
        <v>171</v>
      </c>
      <c r="M942" s="46" t="s">
        <v>77</v>
      </c>
      <c r="N942" s="46" t="s">
        <v>172</v>
      </c>
      <c r="O942" s="46">
        <v>31435300</v>
      </c>
      <c r="P942" s="46">
        <v>286</v>
      </c>
      <c r="Q942" s="46">
        <v>0</v>
      </c>
      <c r="R942" s="46">
        <v>0</v>
      </c>
      <c r="S942" s="46">
        <v>0</v>
      </c>
      <c r="T942" s="46">
        <v>0</v>
      </c>
      <c r="U942" s="46">
        <v>1201000</v>
      </c>
      <c r="V942" s="46">
        <v>9</v>
      </c>
      <c r="W942" s="46">
        <v>0</v>
      </c>
      <c r="X942" s="46">
        <v>0</v>
      </c>
      <c r="Y942" s="48">
        <v>0</v>
      </c>
      <c r="Z942" s="46">
        <v>0</v>
      </c>
      <c r="AA942" s="46">
        <v>0</v>
      </c>
      <c r="AB942" s="46">
        <v>0</v>
      </c>
      <c r="AC942" s="46">
        <v>32636300</v>
      </c>
      <c r="AD942" s="46">
        <v>295</v>
      </c>
      <c r="AF942" s="47">
        <f t="shared" si="14"/>
        <v>32636300</v>
      </c>
    </row>
    <row r="943" spans="1:32" hidden="1" x14ac:dyDescent="0.3">
      <c r="A943" s="46" t="s">
        <v>615</v>
      </c>
      <c r="B943" s="46" t="str">
        <f>IFERROR(VLOOKUP($H943,매장구분!$B:$Z,2,0),"")</f>
        <v>파트너채널팀</v>
      </c>
      <c r="C943" s="46" t="str">
        <f>IFERROR(VLOOKUP($H943,매장구분!$B:$Z,3,0),"")</f>
        <v>국내</v>
      </c>
      <c r="D943" s="46" t="str">
        <f>IFERROR(VLOOKUP($H943,매장구분!$B:$Z,5,0),"")</f>
        <v>백화점</v>
      </c>
      <c r="E943" s="46" t="str">
        <f>IFERROR(VLOOKUP($H943,매장구분!$B:$Z,9,0),"")</f>
        <v>모다아울렛대전</v>
      </c>
      <c r="G943" s="46" t="s">
        <v>236</v>
      </c>
      <c r="H943" s="46" t="s">
        <v>237</v>
      </c>
      <c r="I943" s="46" t="s">
        <v>169</v>
      </c>
      <c r="J943" s="46" t="s">
        <v>175</v>
      </c>
      <c r="K943" s="46" t="s">
        <v>170</v>
      </c>
      <c r="L943" s="46" t="s">
        <v>171</v>
      </c>
      <c r="M943" s="46" t="s">
        <v>77</v>
      </c>
      <c r="N943" s="46" t="s">
        <v>238</v>
      </c>
      <c r="O943" s="46">
        <v>16395000</v>
      </c>
      <c r="P943" s="46">
        <v>123</v>
      </c>
      <c r="Q943" s="46">
        <v>0</v>
      </c>
      <c r="R943" s="46">
        <v>0</v>
      </c>
      <c r="S943" s="46">
        <v>0</v>
      </c>
      <c r="T943" s="46">
        <v>0</v>
      </c>
      <c r="U943" s="46">
        <v>1788300</v>
      </c>
      <c r="V943" s="46">
        <v>10</v>
      </c>
      <c r="W943" s="46">
        <v>0</v>
      </c>
      <c r="X943" s="46">
        <v>0</v>
      </c>
      <c r="Y943" s="48">
        <v>0</v>
      </c>
      <c r="Z943" s="46">
        <v>0</v>
      </c>
      <c r="AA943" s="46">
        <v>0</v>
      </c>
      <c r="AB943" s="46">
        <v>0</v>
      </c>
      <c r="AC943" s="46">
        <v>18183300</v>
      </c>
      <c r="AD943" s="46">
        <v>133</v>
      </c>
      <c r="AF943" s="47">
        <f t="shared" si="14"/>
        <v>18183300</v>
      </c>
    </row>
    <row r="944" spans="1:32" hidden="1" x14ac:dyDescent="0.3">
      <c r="A944" s="46" t="s">
        <v>615</v>
      </c>
      <c r="B944" s="46" t="str">
        <f>IFERROR(VLOOKUP($H944,매장구분!$B:$Z,2,0),"")</f>
        <v>E-biz</v>
      </c>
      <c r="C944" s="46" t="str">
        <f>IFERROR(VLOOKUP($H944,매장구분!$B:$Z,3,0),"")</f>
        <v>국내</v>
      </c>
      <c r="D944" s="46" t="str">
        <f>IFERROR(VLOOKUP($H944,매장구분!$B:$Z,5,0),"")</f>
        <v>온(제휴몰)</v>
      </c>
      <c r="E944" s="46" t="str">
        <f>IFERROR(VLOOKUP($H944,매장구분!$B:$Z,9,0),"")</f>
        <v>GS SHOP(제휴몰)</v>
      </c>
      <c r="G944" s="46" t="s">
        <v>550</v>
      </c>
      <c r="H944" s="46" t="s">
        <v>551</v>
      </c>
      <c r="I944" s="46" t="s">
        <v>169</v>
      </c>
      <c r="J944" s="46" t="s">
        <v>180</v>
      </c>
      <c r="K944" s="46" t="s">
        <v>170</v>
      </c>
      <c r="L944" s="46" t="s">
        <v>181</v>
      </c>
      <c r="M944" s="46" t="s">
        <v>181</v>
      </c>
      <c r="N944" s="46" t="s">
        <v>185</v>
      </c>
      <c r="O944" s="46">
        <v>23047300</v>
      </c>
      <c r="P944" s="46">
        <v>185</v>
      </c>
      <c r="Q944" s="46">
        <v>0</v>
      </c>
      <c r="R944" s="46">
        <v>0</v>
      </c>
      <c r="S944" s="46">
        <v>0</v>
      </c>
      <c r="T944" s="46">
        <v>0</v>
      </c>
      <c r="U944" s="46">
        <v>0</v>
      </c>
      <c r="V944" s="46">
        <v>0</v>
      </c>
      <c r="W944" s="46">
        <v>0</v>
      </c>
      <c r="X944" s="46">
        <v>0</v>
      </c>
      <c r="Y944" s="48">
        <v>0</v>
      </c>
      <c r="Z944" s="46">
        <v>0</v>
      </c>
      <c r="AA944" s="46">
        <v>0</v>
      </c>
      <c r="AB944" s="46">
        <v>0</v>
      </c>
      <c r="AC944" s="46">
        <v>23047300</v>
      </c>
      <c r="AD944" s="46">
        <v>185</v>
      </c>
      <c r="AF944" s="47">
        <f t="shared" si="14"/>
        <v>23047300</v>
      </c>
    </row>
    <row r="945" spans="1:32" hidden="1" x14ac:dyDescent="0.3">
      <c r="A945" s="46" t="s">
        <v>615</v>
      </c>
      <c r="B945" s="46" t="str">
        <f>IFERROR(VLOOKUP($H945,매장구분!$B:$Z,2,0),"")</f>
        <v>파트너채널팀</v>
      </c>
      <c r="C945" s="46" t="str">
        <f>IFERROR(VLOOKUP($H945,매장구분!$B:$Z,3,0),"")</f>
        <v>국내</v>
      </c>
      <c r="D945" s="46" t="str">
        <f>IFERROR(VLOOKUP($H945,매장구분!$B:$Z,5,0),"")</f>
        <v>백화점</v>
      </c>
      <c r="E945" s="46" t="str">
        <f>IFERROR(VLOOKUP($H945,매장구분!$B:$Z,9,0),"")</f>
        <v>현대대구</v>
      </c>
      <c r="G945" s="46" t="s">
        <v>540</v>
      </c>
      <c r="H945" s="46" t="s">
        <v>541</v>
      </c>
      <c r="I945" s="46" t="s">
        <v>169</v>
      </c>
      <c r="J945" s="46" t="s">
        <v>175</v>
      </c>
      <c r="K945" s="46" t="s">
        <v>170</v>
      </c>
      <c r="L945" s="46" t="s">
        <v>171</v>
      </c>
      <c r="M945" s="46" t="s">
        <v>77</v>
      </c>
      <c r="N945" s="46" t="s">
        <v>172</v>
      </c>
      <c r="O945" s="46">
        <v>14067000</v>
      </c>
      <c r="P945" s="46">
        <v>171</v>
      </c>
      <c r="Q945" s="46">
        <v>7993000</v>
      </c>
      <c r="R945" s="46">
        <v>69</v>
      </c>
      <c r="S945" s="46">
        <v>0</v>
      </c>
      <c r="T945" s="46">
        <v>0</v>
      </c>
      <c r="U945" s="46">
        <v>1890700</v>
      </c>
      <c r="V945" s="46">
        <v>14</v>
      </c>
      <c r="W945" s="46">
        <v>0</v>
      </c>
      <c r="X945" s="46">
        <v>0</v>
      </c>
      <c r="Y945" s="48">
        <v>0</v>
      </c>
      <c r="Z945" s="46">
        <v>0</v>
      </c>
      <c r="AA945" s="46">
        <v>0</v>
      </c>
      <c r="AB945" s="46">
        <v>0</v>
      </c>
      <c r="AC945" s="46">
        <v>23950700</v>
      </c>
      <c r="AD945" s="46">
        <v>254</v>
      </c>
      <c r="AF945" s="47">
        <f t="shared" si="14"/>
        <v>23950700</v>
      </c>
    </row>
    <row r="946" spans="1:32" hidden="1" x14ac:dyDescent="0.3">
      <c r="A946" s="46" t="s">
        <v>615</v>
      </c>
      <c r="B946" s="46" t="str">
        <f>IFERROR(VLOOKUP($H946,매장구분!$B:$Z,2,0),"")</f>
        <v>파트너채널팀</v>
      </c>
      <c r="C946" s="46" t="str">
        <f>IFERROR(VLOOKUP($H946,매장구분!$B:$Z,3,0),"")</f>
        <v>국내</v>
      </c>
      <c r="D946" s="46" t="str">
        <f>IFERROR(VLOOKUP($H946,매장구분!$B:$Z,5,0),"")</f>
        <v>백화점</v>
      </c>
      <c r="E946" s="46" t="str">
        <f>IFERROR(VLOOKUP($H946,매장구분!$B:$Z,9,0),"")</f>
        <v>롯데김포</v>
      </c>
      <c r="G946" s="46" t="s">
        <v>190</v>
      </c>
      <c r="H946" s="46" t="s">
        <v>191</v>
      </c>
      <c r="I946" s="46" t="s">
        <v>169</v>
      </c>
      <c r="J946" s="46" t="s">
        <v>175</v>
      </c>
      <c r="K946" s="46" t="s">
        <v>170</v>
      </c>
      <c r="L946" s="46" t="s">
        <v>171</v>
      </c>
      <c r="M946" s="46" t="s">
        <v>77</v>
      </c>
      <c r="N946" s="46" t="s">
        <v>172</v>
      </c>
      <c r="O946" s="46">
        <v>30602700</v>
      </c>
      <c r="P946" s="46">
        <v>328</v>
      </c>
      <c r="Q946" s="46">
        <v>0</v>
      </c>
      <c r="R946" s="46">
        <v>0</v>
      </c>
      <c r="S946" s="46">
        <v>0</v>
      </c>
      <c r="T946" s="46">
        <v>0</v>
      </c>
      <c r="U946" s="46">
        <v>4657100</v>
      </c>
      <c r="V946" s="46">
        <v>20</v>
      </c>
      <c r="W946" s="46">
        <v>0</v>
      </c>
      <c r="X946" s="46">
        <v>0</v>
      </c>
      <c r="Y946" s="48">
        <v>0</v>
      </c>
      <c r="Z946" s="46">
        <v>0</v>
      </c>
      <c r="AA946" s="46">
        <v>0</v>
      </c>
      <c r="AB946" s="46">
        <v>0</v>
      </c>
      <c r="AC946" s="46">
        <v>35259800</v>
      </c>
      <c r="AD946" s="46">
        <v>348</v>
      </c>
      <c r="AF946" s="47">
        <f t="shared" si="14"/>
        <v>35259800</v>
      </c>
    </row>
    <row r="947" spans="1:32" hidden="1" x14ac:dyDescent="0.3">
      <c r="A947" s="46" t="s">
        <v>615</v>
      </c>
      <c r="B947" s="46" t="str">
        <f>IFERROR(VLOOKUP($H947,매장구분!$B:$Z,2,0),"")</f>
        <v>파트너채널팀</v>
      </c>
      <c r="C947" s="46" t="str">
        <f>IFERROR(VLOOKUP($H947,매장구분!$B:$Z,3,0),"")</f>
        <v>국내</v>
      </c>
      <c r="D947" s="46" t="str">
        <f>IFERROR(VLOOKUP($H947,매장구분!$B:$Z,5,0),"")</f>
        <v>백화점</v>
      </c>
      <c r="E947" s="46" t="str">
        <f>IFERROR(VLOOKUP($H947,매장구분!$B:$Z,9,0),"")</f>
        <v>신세계마산</v>
      </c>
      <c r="G947" s="46" t="s">
        <v>426</v>
      </c>
      <c r="H947" s="46" t="s">
        <v>427</v>
      </c>
      <c r="I947" s="46" t="s">
        <v>169</v>
      </c>
      <c r="J947" s="46" t="s">
        <v>175</v>
      </c>
      <c r="K947" s="46" t="s">
        <v>170</v>
      </c>
      <c r="L947" s="46" t="s">
        <v>171</v>
      </c>
      <c r="M947" s="46" t="s">
        <v>77</v>
      </c>
      <c r="N947" s="46" t="s">
        <v>172</v>
      </c>
      <c r="O947" s="46">
        <v>9003000</v>
      </c>
      <c r="P947" s="46">
        <v>97</v>
      </c>
      <c r="Q947" s="46">
        <v>0</v>
      </c>
      <c r="R947" s="46">
        <v>0</v>
      </c>
      <c r="S947" s="46">
        <v>0</v>
      </c>
      <c r="T947" s="46">
        <v>0</v>
      </c>
      <c r="U947" s="46">
        <v>1791000</v>
      </c>
      <c r="V947" s="46">
        <v>9</v>
      </c>
      <c r="W947" s="46">
        <v>0</v>
      </c>
      <c r="X947" s="46">
        <v>0</v>
      </c>
      <c r="Y947" s="48">
        <v>0</v>
      </c>
      <c r="Z947" s="46">
        <v>0</v>
      </c>
      <c r="AA947" s="46">
        <v>0</v>
      </c>
      <c r="AB947" s="46">
        <v>0</v>
      </c>
      <c r="AC947" s="46">
        <v>10794000</v>
      </c>
      <c r="AD947" s="46">
        <v>106</v>
      </c>
      <c r="AF947" s="47">
        <f t="shared" si="14"/>
        <v>10794000</v>
      </c>
    </row>
    <row r="948" spans="1:32" hidden="1" x14ac:dyDescent="0.3">
      <c r="A948" s="46" t="s">
        <v>615</v>
      </c>
      <c r="B948" s="46" t="str">
        <f>IFERROR(VLOOKUP($H948,매장구분!$B:$Z,2,0),"")</f>
        <v>파트너채널팀</v>
      </c>
      <c r="C948" s="46" t="str">
        <f>IFERROR(VLOOKUP($H948,매장구분!$B:$Z,3,0),"")</f>
        <v>면세</v>
      </c>
      <c r="D948" s="46" t="str">
        <f>IFERROR(VLOOKUP($H948,매장구분!$B:$Z,5,0),"")</f>
        <v>면세</v>
      </c>
      <c r="E948" s="46" t="str">
        <f>IFERROR(VLOOKUP($H948,매장구분!$B:$Z,9,0),"")</f>
        <v>롯데면세소공</v>
      </c>
      <c r="G948" s="46" t="s">
        <v>384</v>
      </c>
      <c r="H948" s="46" t="s">
        <v>385</v>
      </c>
      <c r="I948" s="46" t="s">
        <v>169</v>
      </c>
      <c r="J948" s="46" t="s">
        <v>175</v>
      </c>
      <c r="K948" s="46" t="s">
        <v>170</v>
      </c>
      <c r="L948" s="46" t="s">
        <v>171</v>
      </c>
      <c r="M948" s="46" t="s">
        <v>176</v>
      </c>
      <c r="N948" s="46" t="s">
        <v>177</v>
      </c>
      <c r="O948" s="46">
        <v>146826800</v>
      </c>
      <c r="P948" s="46">
        <v>1880</v>
      </c>
      <c r="Q948" s="46">
        <v>0</v>
      </c>
      <c r="R948" s="46">
        <v>0</v>
      </c>
      <c r="S948" s="46">
        <v>0</v>
      </c>
      <c r="T948" s="46">
        <v>0</v>
      </c>
      <c r="U948" s="46">
        <v>0</v>
      </c>
      <c r="V948" s="46">
        <v>0</v>
      </c>
      <c r="W948" s="46">
        <v>0</v>
      </c>
      <c r="X948" s="46">
        <v>0</v>
      </c>
      <c r="Y948" s="48">
        <v>101318500</v>
      </c>
      <c r="Z948" s="46">
        <v>2320</v>
      </c>
      <c r="AA948" s="46">
        <v>0</v>
      </c>
      <c r="AB948" s="46">
        <v>0</v>
      </c>
      <c r="AC948" s="46">
        <v>248145300</v>
      </c>
      <c r="AD948" s="46">
        <v>4200</v>
      </c>
      <c r="AF948" s="47">
        <f t="shared" si="14"/>
        <v>146826800</v>
      </c>
    </row>
    <row r="949" spans="1:32" hidden="1" x14ac:dyDescent="0.3">
      <c r="A949" s="46" t="s">
        <v>615</v>
      </c>
      <c r="B949" s="46" t="str">
        <f>IFERROR(VLOOKUP($H949,매장구분!$B:$Z,2,0),"")</f>
        <v>리테일채널팀</v>
      </c>
      <c r="C949" s="46" t="str">
        <f>IFERROR(VLOOKUP($H949,매장구분!$B:$Z,3,0),"")</f>
        <v>국내</v>
      </c>
      <c r="D949" s="46" t="str">
        <f>IFERROR(VLOOKUP($H949,매장구분!$B:$Z,5,0),"")</f>
        <v>대리점</v>
      </c>
      <c r="E949" s="46" t="str">
        <f>IFERROR(VLOOKUP($H949,매장구분!$B:$Z,9,0),"")</f>
        <v>김포장기(대-위)</v>
      </c>
      <c r="G949" s="46" t="s">
        <v>400</v>
      </c>
      <c r="H949" s="46" t="s">
        <v>401</v>
      </c>
      <c r="I949" s="46" t="s">
        <v>169</v>
      </c>
      <c r="J949" s="46" t="s">
        <v>79</v>
      </c>
      <c r="K949" s="46" t="s">
        <v>170</v>
      </c>
      <c r="L949" s="46" t="s">
        <v>171</v>
      </c>
      <c r="M949" s="46" t="s">
        <v>196</v>
      </c>
      <c r="N949" s="46" t="s">
        <v>197</v>
      </c>
      <c r="O949" s="46">
        <v>14008300</v>
      </c>
      <c r="P949" s="46">
        <v>129</v>
      </c>
      <c r="Q949" s="46">
        <v>0</v>
      </c>
      <c r="R949" s="46">
        <v>0</v>
      </c>
      <c r="S949" s="46">
        <v>0</v>
      </c>
      <c r="T949" s="46">
        <v>0</v>
      </c>
      <c r="U949" s="46">
        <v>1441000</v>
      </c>
      <c r="V949" s="46">
        <v>9</v>
      </c>
      <c r="W949" s="46">
        <v>0</v>
      </c>
      <c r="X949" s="46">
        <v>0</v>
      </c>
      <c r="Y949" s="48">
        <v>0</v>
      </c>
      <c r="Z949" s="46">
        <v>0</v>
      </c>
      <c r="AA949" s="46">
        <v>0</v>
      </c>
      <c r="AB949" s="46">
        <v>0</v>
      </c>
      <c r="AC949" s="46">
        <v>15449300</v>
      </c>
      <c r="AD949" s="46">
        <v>138</v>
      </c>
      <c r="AF949" s="47">
        <f t="shared" si="14"/>
        <v>15449300</v>
      </c>
    </row>
    <row r="950" spans="1:32" hidden="1" x14ac:dyDescent="0.3">
      <c r="A950" s="46" t="s">
        <v>615</v>
      </c>
      <c r="B950" s="46" t="str">
        <f>IFERROR(VLOOKUP($H950,매장구분!$B:$Z,2,0),"")</f>
        <v>리테일채널팀</v>
      </c>
      <c r="C950" s="46" t="str">
        <f>IFERROR(VLOOKUP($H950,매장구분!$B:$Z,3,0),"")</f>
        <v>국내</v>
      </c>
      <c r="D950" s="46" t="str">
        <f>IFERROR(VLOOKUP($H950,매장구분!$B:$Z,5,0),"")</f>
        <v>대리점</v>
      </c>
      <c r="E950" s="46" t="str">
        <f>IFERROR(VLOOKUP($H950,매장구분!$B:$Z,9,0),"")</f>
        <v>성남신흥(대-위)</v>
      </c>
      <c r="G950" s="46" t="s">
        <v>228</v>
      </c>
      <c r="H950" s="46" t="s">
        <v>229</v>
      </c>
      <c r="I950" s="46" t="s">
        <v>169</v>
      </c>
      <c r="J950" s="46" t="s">
        <v>79</v>
      </c>
      <c r="K950" s="46" t="s">
        <v>170</v>
      </c>
      <c r="L950" s="46" t="s">
        <v>171</v>
      </c>
      <c r="M950" s="46" t="s">
        <v>196</v>
      </c>
      <c r="N950" s="46" t="s">
        <v>197</v>
      </c>
      <c r="O950" s="46">
        <v>18862344</v>
      </c>
      <c r="P950" s="46">
        <v>141</v>
      </c>
      <c r="Q950" s="46">
        <v>0</v>
      </c>
      <c r="R950" s="46">
        <v>0</v>
      </c>
      <c r="S950" s="46">
        <v>0</v>
      </c>
      <c r="T950" s="46">
        <v>0</v>
      </c>
      <c r="U950" s="46">
        <v>648000</v>
      </c>
      <c r="V950" s="46">
        <v>2</v>
      </c>
      <c r="W950" s="46">
        <v>0</v>
      </c>
      <c r="X950" s="46">
        <v>0</v>
      </c>
      <c r="Y950" s="48">
        <v>10617000</v>
      </c>
      <c r="Z950" s="46">
        <v>39</v>
      </c>
      <c r="AA950" s="46">
        <v>0</v>
      </c>
      <c r="AB950" s="46">
        <v>0</v>
      </c>
      <c r="AC950" s="46">
        <v>30127344</v>
      </c>
      <c r="AD950" s="46">
        <v>182</v>
      </c>
      <c r="AF950" s="47">
        <f t="shared" si="14"/>
        <v>19510344</v>
      </c>
    </row>
    <row r="951" spans="1:32" hidden="1" x14ac:dyDescent="0.3">
      <c r="A951" s="46" t="s">
        <v>615</v>
      </c>
      <c r="B951" s="46" t="str">
        <f>IFERROR(VLOOKUP($H951,매장구분!$B:$Z,2,0),"")</f>
        <v>리테일채널팀</v>
      </c>
      <c r="C951" s="46" t="str">
        <f>IFERROR(VLOOKUP($H951,매장구분!$B:$Z,3,0),"")</f>
        <v>국내</v>
      </c>
      <c r="D951" s="46" t="str">
        <f>IFERROR(VLOOKUP($H951,매장구분!$B:$Z,5,0),"")</f>
        <v>대리점</v>
      </c>
      <c r="E951" s="46" t="str">
        <f>IFERROR(VLOOKUP($H951,매장구분!$B:$Z,9,0),"")</f>
        <v>오산(대-위)</v>
      </c>
      <c r="G951" s="46" t="s">
        <v>226</v>
      </c>
      <c r="H951" s="46" t="s">
        <v>227</v>
      </c>
      <c r="I951" s="46" t="s">
        <v>169</v>
      </c>
      <c r="J951" s="46" t="s">
        <v>79</v>
      </c>
      <c r="K951" s="46" t="s">
        <v>170</v>
      </c>
      <c r="L951" s="46" t="s">
        <v>171</v>
      </c>
      <c r="M951" s="46" t="s">
        <v>196</v>
      </c>
      <c r="N951" s="46" t="s">
        <v>197</v>
      </c>
      <c r="O951" s="46">
        <v>15215024</v>
      </c>
      <c r="P951" s="46">
        <v>118</v>
      </c>
      <c r="Q951" s="46">
        <v>0</v>
      </c>
      <c r="R951" s="46">
        <v>0</v>
      </c>
      <c r="S951" s="46">
        <v>0</v>
      </c>
      <c r="T951" s="46">
        <v>0</v>
      </c>
      <c r="U951" s="46">
        <v>3071287</v>
      </c>
      <c r="V951" s="46">
        <v>12</v>
      </c>
      <c r="W951" s="46">
        <v>0</v>
      </c>
      <c r="X951" s="46">
        <v>0</v>
      </c>
      <c r="Y951" s="48">
        <v>0</v>
      </c>
      <c r="Z951" s="46">
        <v>0</v>
      </c>
      <c r="AA951" s="46">
        <v>0</v>
      </c>
      <c r="AB951" s="46">
        <v>0</v>
      </c>
      <c r="AC951" s="46">
        <v>18286311</v>
      </c>
      <c r="AD951" s="46">
        <v>130</v>
      </c>
      <c r="AF951" s="47">
        <f t="shared" si="14"/>
        <v>18286311</v>
      </c>
    </row>
    <row r="952" spans="1:32" hidden="1" x14ac:dyDescent="0.3">
      <c r="A952" s="46" t="s">
        <v>615</v>
      </c>
      <c r="B952" s="46" t="str">
        <f>IFERROR(VLOOKUP($H952,매장구분!$B:$Z,2,0),"")</f>
        <v>리테일채널팀</v>
      </c>
      <c r="C952" s="46" t="str">
        <f>IFERROR(VLOOKUP($H952,매장구분!$B:$Z,3,0),"")</f>
        <v>국내</v>
      </c>
      <c r="D952" s="46" t="str">
        <f>IFERROR(VLOOKUP($H952,매장구분!$B:$Z,5,0),"")</f>
        <v>대리점</v>
      </c>
      <c r="E952" s="46" t="str">
        <f>IFERROR(VLOOKUP($H952,매장구분!$B:$Z,9,0),"")</f>
        <v>강릉(대-위)</v>
      </c>
      <c r="G952" s="46" t="s">
        <v>230</v>
      </c>
      <c r="H952" s="46" t="s">
        <v>231</v>
      </c>
      <c r="I952" s="46" t="s">
        <v>169</v>
      </c>
      <c r="J952" s="46" t="s">
        <v>79</v>
      </c>
      <c r="K952" s="46" t="s">
        <v>170</v>
      </c>
      <c r="L952" s="46" t="s">
        <v>171</v>
      </c>
      <c r="M952" s="46" t="s">
        <v>196</v>
      </c>
      <c r="N952" s="46" t="s">
        <v>197</v>
      </c>
      <c r="O952" s="46">
        <v>14022529</v>
      </c>
      <c r="P952" s="46">
        <v>122</v>
      </c>
      <c r="Q952" s="46">
        <v>0</v>
      </c>
      <c r="R952" s="46">
        <v>0</v>
      </c>
      <c r="S952" s="46">
        <v>0</v>
      </c>
      <c r="T952" s="46">
        <v>0</v>
      </c>
      <c r="U952" s="46">
        <v>711371</v>
      </c>
      <c r="V952" s="46">
        <v>11</v>
      </c>
      <c r="W952" s="46">
        <v>0</v>
      </c>
      <c r="X952" s="46">
        <v>0</v>
      </c>
      <c r="Y952" s="48">
        <v>0</v>
      </c>
      <c r="Z952" s="46">
        <v>0</v>
      </c>
      <c r="AA952" s="46">
        <v>0</v>
      </c>
      <c r="AB952" s="46">
        <v>0</v>
      </c>
      <c r="AC952" s="46">
        <v>14733900</v>
      </c>
      <c r="AD952" s="46">
        <v>133</v>
      </c>
      <c r="AF952" s="47">
        <f t="shared" si="14"/>
        <v>14733900</v>
      </c>
    </row>
    <row r="953" spans="1:32" hidden="1" x14ac:dyDescent="0.3">
      <c r="A953" s="46" t="s">
        <v>615</v>
      </c>
      <c r="B953" s="46" t="str">
        <f>IFERROR(VLOOKUP($H953,매장구분!$B:$Z,2,0),"")</f>
        <v>리테일채널팀</v>
      </c>
      <c r="C953" s="46" t="str">
        <f>IFERROR(VLOOKUP($H953,매장구분!$B:$Z,3,0),"")</f>
        <v>국내</v>
      </c>
      <c r="D953" s="46" t="str">
        <f>IFERROR(VLOOKUP($H953,매장구분!$B:$Z,5,0),"")</f>
        <v>대리점</v>
      </c>
      <c r="E953" s="46" t="str">
        <f>IFERROR(VLOOKUP($H953,매장구분!$B:$Z,9,0),"")</f>
        <v>안산한대(대-위)</v>
      </c>
      <c r="G953" s="46" t="s">
        <v>295</v>
      </c>
      <c r="H953" s="46" t="s">
        <v>296</v>
      </c>
      <c r="I953" s="46" t="s">
        <v>169</v>
      </c>
      <c r="J953" s="46" t="s">
        <v>79</v>
      </c>
      <c r="K953" s="46" t="s">
        <v>170</v>
      </c>
      <c r="L953" s="46" t="s">
        <v>171</v>
      </c>
      <c r="M953" s="46" t="s">
        <v>196</v>
      </c>
      <c r="N953" s="46" t="s">
        <v>197</v>
      </c>
      <c r="O953" s="46">
        <v>17823499</v>
      </c>
      <c r="P953" s="46">
        <v>147</v>
      </c>
      <c r="Q953" s="46">
        <v>0</v>
      </c>
      <c r="R953" s="46">
        <v>0</v>
      </c>
      <c r="S953" s="46">
        <v>0</v>
      </c>
      <c r="T953" s="46">
        <v>0</v>
      </c>
      <c r="U953" s="46">
        <v>1813000</v>
      </c>
      <c r="V953" s="46">
        <v>11</v>
      </c>
      <c r="W953" s="46">
        <v>0</v>
      </c>
      <c r="X953" s="46">
        <v>0</v>
      </c>
      <c r="Y953" s="48">
        <v>0</v>
      </c>
      <c r="Z953" s="46">
        <v>0</v>
      </c>
      <c r="AA953" s="46">
        <v>0</v>
      </c>
      <c r="AB953" s="46">
        <v>0</v>
      </c>
      <c r="AC953" s="46">
        <v>19636499</v>
      </c>
      <c r="AD953" s="46">
        <v>158</v>
      </c>
      <c r="AF953" s="47">
        <f t="shared" si="14"/>
        <v>19636499</v>
      </c>
    </row>
    <row r="954" spans="1:32" hidden="1" x14ac:dyDescent="0.3">
      <c r="A954" s="46" t="s">
        <v>615</v>
      </c>
      <c r="B954" s="46" t="str">
        <f>IFERROR(VLOOKUP($H954,매장구분!$B:$Z,2,0),"")</f>
        <v>리테일채널팀</v>
      </c>
      <c r="C954" s="46" t="str">
        <f>IFERROR(VLOOKUP($H954,매장구분!$B:$Z,3,0),"")</f>
        <v>RF</v>
      </c>
      <c r="D954" s="46" t="str">
        <f>IFERROR(VLOOKUP($H954,매장구분!$B:$Z,5,0),"")</f>
        <v>대리점</v>
      </c>
      <c r="E954" s="46" t="str">
        <f>IFERROR(VLOOKUP($H954,매장구분!$B:$Z,9,0),"")</f>
        <v>신제주(대-위)</v>
      </c>
      <c r="G954" s="46" t="s">
        <v>340</v>
      </c>
      <c r="H954" s="46" t="s">
        <v>341</v>
      </c>
      <c r="I954" s="46" t="s">
        <v>169</v>
      </c>
      <c r="J954" s="46" t="s">
        <v>79</v>
      </c>
      <c r="K954" s="46" t="s">
        <v>170</v>
      </c>
      <c r="L954" s="46" t="s">
        <v>171</v>
      </c>
      <c r="M954" s="46" t="s">
        <v>196</v>
      </c>
      <c r="N954" s="46" t="s">
        <v>197</v>
      </c>
      <c r="O954" s="46">
        <v>23179800</v>
      </c>
      <c r="P954" s="46">
        <v>227</v>
      </c>
      <c r="Q954" s="46">
        <v>0</v>
      </c>
      <c r="R954" s="46">
        <v>0</v>
      </c>
      <c r="S954" s="46">
        <v>0</v>
      </c>
      <c r="T954" s="46">
        <v>0</v>
      </c>
      <c r="U954" s="46">
        <v>778000</v>
      </c>
      <c r="V954" s="46">
        <v>2</v>
      </c>
      <c r="W954" s="46">
        <v>0</v>
      </c>
      <c r="X954" s="46">
        <v>0</v>
      </c>
      <c r="Y954" s="48">
        <v>12643200</v>
      </c>
      <c r="Z954" s="46">
        <v>132</v>
      </c>
      <c r="AA954" s="46">
        <v>0</v>
      </c>
      <c r="AB954" s="46">
        <v>0</v>
      </c>
      <c r="AC954" s="46">
        <v>36601000</v>
      </c>
      <c r="AD954" s="46">
        <v>361</v>
      </c>
      <c r="AF954" s="47">
        <f t="shared" si="14"/>
        <v>23957800</v>
      </c>
    </row>
    <row r="955" spans="1:32" hidden="1" x14ac:dyDescent="0.3">
      <c r="A955" s="46" t="s">
        <v>615</v>
      </c>
      <c r="B955" s="46" t="str">
        <f>IFERROR(VLOOKUP($H955,매장구분!$B:$Z,2,0),"")</f>
        <v>리테일채널팀</v>
      </c>
      <c r="C955" s="46" t="str">
        <f>IFERROR(VLOOKUP($H955,매장구분!$B:$Z,3,0),"")</f>
        <v>RF</v>
      </c>
      <c r="D955" s="46" t="str">
        <f>IFERROR(VLOOKUP($H955,매장구분!$B:$Z,5,0),"")</f>
        <v>직영점</v>
      </c>
      <c r="E955" s="46" t="str">
        <f>IFERROR(VLOOKUP($H955,매장구분!$B:$Z,9,0),"")</f>
        <v>홍대(직)</v>
      </c>
      <c r="G955" s="46" t="s">
        <v>386</v>
      </c>
      <c r="H955" s="46" t="s">
        <v>387</v>
      </c>
      <c r="I955" s="46" t="s">
        <v>169</v>
      </c>
      <c r="J955" s="46" t="s">
        <v>180</v>
      </c>
      <c r="K955" s="46" t="s">
        <v>170</v>
      </c>
      <c r="L955" s="46" t="s">
        <v>171</v>
      </c>
      <c r="M955" s="46" t="s">
        <v>196</v>
      </c>
      <c r="N955" s="46" t="s">
        <v>206</v>
      </c>
      <c r="O955" s="46">
        <v>24390900</v>
      </c>
      <c r="P955" s="46">
        <v>281</v>
      </c>
      <c r="Q955" s="46">
        <v>0</v>
      </c>
      <c r="R955" s="46">
        <v>0</v>
      </c>
      <c r="S955" s="46">
        <v>0</v>
      </c>
      <c r="T955" s="46">
        <v>0</v>
      </c>
      <c r="U955" s="46">
        <v>0</v>
      </c>
      <c r="V955" s="46">
        <v>0</v>
      </c>
      <c r="W955" s="46">
        <v>0</v>
      </c>
      <c r="X955" s="46">
        <v>0</v>
      </c>
      <c r="Y955" s="48">
        <v>0</v>
      </c>
      <c r="Z955" s="46">
        <v>0</v>
      </c>
      <c r="AA955" s="46">
        <v>0</v>
      </c>
      <c r="AB955" s="46">
        <v>0</v>
      </c>
      <c r="AC955" s="46">
        <v>24390900</v>
      </c>
      <c r="AD955" s="46">
        <v>281</v>
      </c>
      <c r="AF955" s="47">
        <f t="shared" si="14"/>
        <v>24390900</v>
      </c>
    </row>
    <row r="956" spans="1:32" hidden="1" x14ac:dyDescent="0.3">
      <c r="A956" s="46" t="s">
        <v>615</v>
      </c>
      <c r="B956" s="46" t="str">
        <f>IFERROR(VLOOKUP($H956,매장구분!$B:$Z,2,0),"")</f>
        <v>파트너채널팀</v>
      </c>
      <c r="C956" s="46" t="str">
        <f>IFERROR(VLOOKUP($H956,매장구분!$B:$Z,3,0),"")</f>
        <v>도매</v>
      </c>
      <c r="D956" s="46" t="str">
        <f>IFERROR(VLOOKUP($H956,매장구분!$B:$Z,5,0),"")</f>
        <v>도매</v>
      </c>
      <c r="E956" s="46" t="str">
        <f>IFERROR(VLOOKUP($H956,매장구분!$B:$Z,9,0),"")</f>
        <v>온라인완주</v>
      </c>
      <c r="G956" s="46" t="s">
        <v>566</v>
      </c>
      <c r="H956" s="46" t="s">
        <v>567</v>
      </c>
      <c r="I956" s="46" t="s">
        <v>169</v>
      </c>
      <c r="J956" s="46" t="s">
        <v>180</v>
      </c>
      <c r="K956" s="46" t="s">
        <v>170</v>
      </c>
      <c r="L956" s="46" t="s">
        <v>568</v>
      </c>
      <c r="M956" s="46" t="s">
        <v>181</v>
      </c>
      <c r="N956" s="46" t="s">
        <v>568</v>
      </c>
      <c r="O956" s="46">
        <v>64060920</v>
      </c>
      <c r="P956" s="46">
        <v>2307</v>
      </c>
      <c r="Q956" s="46">
        <v>0</v>
      </c>
      <c r="R956" s="46">
        <v>0</v>
      </c>
      <c r="S956" s="46">
        <v>0</v>
      </c>
      <c r="T956" s="46">
        <v>0</v>
      </c>
      <c r="U956" s="46">
        <v>0</v>
      </c>
      <c r="V956" s="46">
        <v>0</v>
      </c>
      <c r="W956" s="46">
        <v>0</v>
      </c>
      <c r="X956" s="46">
        <v>0</v>
      </c>
      <c r="Y956" s="48">
        <v>0</v>
      </c>
      <c r="Z956" s="46">
        <v>0</v>
      </c>
      <c r="AA956" s="46">
        <v>0</v>
      </c>
      <c r="AB956" s="46">
        <v>0</v>
      </c>
      <c r="AC956" s="46">
        <v>64060920</v>
      </c>
      <c r="AD956" s="46">
        <v>2307</v>
      </c>
      <c r="AF956" s="47">
        <f t="shared" si="14"/>
        <v>64060920</v>
      </c>
    </row>
    <row r="957" spans="1:32" hidden="1" x14ac:dyDescent="0.3">
      <c r="A957" s="46" t="s">
        <v>615</v>
      </c>
      <c r="B957" s="46" t="str">
        <f>IFERROR(VLOOKUP($H957,매장구분!$B:$Z,2,0),"")</f>
        <v>리테일채널팀</v>
      </c>
      <c r="C957" s="46" t="str">
        <f>IFERROR(VLOOKUP($H957,매장구분!$B:$Z,3,0),"")</f>
        <v>국내</v>
      </c>
      <c r="D957" s="46" t="str">
        <f>IFERROR(VLOOKUP($H957,매장구분!$B:$Z,5,0),"")</f>
        <v>대리점</v>
      </c>
      <c r="E957" s="46" t="str">
        <f>IFERROR(VLOOKUP($H957,매장구분!$B:$Z,9,0),"")</f>
        <v>충주(대-위)</v>
      </c>
      <c r="G957" s="46" t="s">
        <v>322</v>
      </c>
      <c r="H957" s="46" t="s">
        <v>323</v>
      </c>
      <c r="I957" s="46" t="s">
        <v>169</v>
      </c>
      <c r="J957" s="46" t="s">
        <v>79</v>
      </c>
      <c r="K957" s="46" t="s">
        <v>170</v>
      </c>
      <c r="L957" s="46" t="s">
        <v>171</v>
      </c>
      <c r="M957" s="46" t="s">
        <v>196</v>
      </c>
      <c r="N957" s="46" t="s">
        <v>197</v>
      </c>
      <c r="O957" s="46">
        <v>5745000</v>
      </c>
      <c r="P957" s="46">
        <v>46</v>
      </c>
      <c r="Q957" s="46">
        <v>0</v>
      </c>
      <c r="R957" s="46">
        <v>0</v>
      </c>
      <c r="S957" s="46">
        <v>0</v>
      </c>
      <c r="T957" s="46">
        <v>0</v>
      </c>
      <c r="U957" s="46">
        <v>0</v>
      </c>
      <c r="V957" s="46">
        <v>0</v>
      </c>
      <c r="W957" s="46">
        <v>0</v>
      </c>
      <c r="X957" s="46">
        <v>0</v>
      </c>
      <c r="Y957" s="48">
        <v>17006000</v>
      </c>
      <c r="Z957" s="46">
        <v>127</v>
      </c>
      <c r="AA957" s="46">
        <v>0</v>
      </c>
      <c r="AB957" s="46">
        <v>0</v>
      </c>
      <c r="AC957" s="46">
        <v>22751000</v>
      </c>
      <c r="AD957" s="46">
        <v>173</v>
      </c>
      <c r="AF957" s="47">
        <f t="shared" si="14"/>
        <v>5745000</v>
      </c>
    </row>
    <row r="958" spans="1:32" hidden="1" x14ac:dyDescent="0.3">
      <c r="A958" s="46" t="s">
        <v>615</v>
      </c>
      <c r="B958" s="46" t="str">
        <f>IFERROR(VLOOKUP($H958,매장구분!$B:$Z,2,0),"")</f>
        <v>리테일채널팀</v>
      </c>
      <c r="C958" s="46" t="str">
        <f>IFERROR(VLOOKUP($H958,매장구분!$B:$Z,3,0),"")</f>
        <v>국내</v>
      </c>
      <c r="D958" s="46" t="str">
        <f>IFERROR(VLOOKUP($H958,매장구분!$B:$Z,5,0),"")</f>
        <v>대리점</v>
      </c>
      <c r="E958" s="46" t="str">
        <f>IFERROR(VLOOKUP($H958,매장구분!$B:$Z,9,0),"")</f>
        <v>아산(대-위)</v>
      </c>
      <c r="G958" s="46" t="s">
        <v>194</v>
      </c>
      <c r="H958" s="46" t="s">
        <v>195</v>
      </c>
      <c r="I958" s="46" t="s">
        <v>169</v>
      </c>
      <c r="J958" s="46" t="s">
        <v>79</v>
      </c>
      <c r="K958" s="46" t="s">
        <v>170</v>
      </c>
      <c r="L958" s="46" t="s">
        <v>171</v>
      </c>
      <c r="M958" s="46" t="s">
        <v>196</v>
      </c>
      <c r="N958" s="46" t="s">
        <v>197</v>
      </c>
      <c r="O958" s="46">
        <v>10445000</v>
      </c>
      <c r="P958" s="46">
        <v>87</v>
      </c>
      <c r="Q958" s="46">
        <v>0</v>
      </c>
      <c r="R958" s="46">
        <v>0</v>
      </c>
      <c r="S958" s="46">
        <v>0</v>
      </c>
      <c r="T958" s="46">
        <v>0</v>
      </c>
      <c r="U958" s="46">
        <v>4099684</v>
      </c>
      <c r="V958" s="46">
        <v>20</v>
      </c>
      <c r="W958" s="46">
        <v>0</v>
      </c>
      <c r="X958" s="46">
        <v>0</v>
      </c>
      <c r="Y958" s="48">
        <v>0</v>
      </c>
      <c r="Z958" s="46">
        <v>0</v>
      </c>
      <c r="AA958" s="46">
        <v>0</v>
      </c>
      <c r="AB958" s="46">
        <v>0</v>
      </c>
      <c r="AC958" s="46">
        <v>14544684</v>
      </c>
      <c r="AD958" s="46">
        <v>107</v>
      </c>
      <c r="AF958" s="47">
        <f t="shared" si="14"/>
        <v>14544684</v>
      </c>
    </row>
    <row r="959" spans="1:32" hidden="1" x14ac:dyDescent="0.3">
      <c r="A959" s="46" t="s">
        <v>615</v>
      </c>
      <c r="B959" s="46" t="str">
        <f>IFERROR(VLOOKUP($H959,매장구분!$B:$Z,2,0),"")</f>
        <v>파트너채널팀</v>
      </c>
      <c r="C959" s="46" t="str">
        <f>IFERROR(VLOOKUP($H959,매장구분!$B:$Z,3,0),"")</f>
        <v>국내</v>
      </c>
      <c r="D959" s="46" t="str">
        <f>IFERROR(VLOOKUP($H959,매장구분!$B:$Z,5,0),"")</f>
        <v>백화점</v>
      </c>
      <c r="E959" s="46" t="str">
        <f>IFERROR(VLOOKUP($H959,매장구분!$B:$Z,9,0),"")</f>
        <v>롯데분당</v>
      </c>
      <c r="G959" s="46" t="s">
        <v>470</v>
      </c>
      <c r="H959" s="46" t="s">
        <v>471</v>
      </c>
      <c r="I959" s="46" t="s">
        <v>169</v>
      </c>
      <c r="J959" s="46" t="s">
        <v>175</v>
      </c>
      <c r="K959" s="46" t="s">
        <v>170</v>
      </c>
      <c r="L959" s="46" t="s">
        <v>171</v>
      </c>
      <c r="M959" s="46" t="s">
        <v>77</v>
      </c>
      <c r="N959" s="46" t="s">
        <v>172</v>
      </c>
      <c r="O959" s="46">
        <v>4596600</v>
      </c>
      <c r="P959" s="46">
        <v>48</v>
      </c>
      <c r="Q959" s="46">
        <v>718500</v>
      </c>
      <c r="R959" s="46">
        <v>18</v>
      </c>
      <c r="S959" s="46">
        <v>0</v>
      </c>
      <c r="T959" s="46">
        <v>0</v>
      </c>
      <c r="U959" s="46">
        <v>902400</v>
      </c>
      <c r="V959" s="46">
        <v>5</v>
      </c>
      <c r="W959" s="46">
        <v>0</v>
      </c>
      <c r="X959" s="46">
        <v>0</v>
      </c>
      <c r="Y959" s="48">
        <v>0</v>
      </c>
      <c r="Z959" s="46">
        <v>0</v>
      </c>
      <c r="AA959" s="46">
        <v>0</v>
      </c>
      <c r="AB959" s="46">
        <v>0</v>
      </c>
      <c r="AC959" s="46">
        <v>6217500</v>
      </c>
      <c r="AD959" s="46">
        <v>71</v>
      </c>
      <c r="AF959" s="47">
        <f t="shared" si="14"/>
        <v>6217500</v>
      </c>
    </row>
    <row r="960" spans="1:32" hidden="1" x14ac:dyDescent="0.3">
      <c r="A960" s="46" t="s">
        <v>615</v>
      </c>
      <c r="B960" s="46" t="str">
        <f>IFERROR(VLOOKUP($H960,매장구분!$B:$Z,2,0),"")</f>
        <v>파트너채널팀</v>
      </c>
      <c r="C960" s="46" t="str">
        <f>IFERROR(VLOOKUP($H960,매장구분!$B:$Z,3,0),"")</f>
        <v>국내</v>
      </c>
      <c r="D960" s="46" t="str">
        <f>IFERROR(VLOOKUP($H960,매장구분!$B:$Z,5,0),"")</f>
        <v>백화점</v>
      </c>
      <c r="E960" s="46" t="str">
        <f>IFERROR(VLOOKUP($H960,매장구분!$B:$Z,9,0),"")</f>
        <v>롯데대구</v>
      </c>
      <c r="G960" s="46" t="s">
        <v>536</v>
      </c>
      <c r="H960" s="46" t="s">
        <v>537</v>
      </c>
      <c r="I960" s="46" t="s">
        <v>169</v>
      </c>
      <c r="J960" s="46" t="s">
        <v>175</v>
      </c>
      <c r="K960" s="46" t="s">
        <v>170</v>
      </c>
      <c r="L960" s="46" t="s">
        <v>171</v>
      </c>
      <c r="M960" s="46" t="s">
        <v>77</v>
      </c>
      <c r="N960" s="46" t="s">
        <v>172</v>
      </c>
      <c r="O960" s="46">
        <v>8921800</v>
      </c>
      <c r="P960" s="46">
        <v>74</v>
      </c>
      <c r="Q960" s="46">
        <v>3247700</v>
      </c>
      <c r="R960" s="46">
        <v>25</v>
      </c>
      <c r="S960" s="46">
        <v>0</v>
      </c>
      <c r="T960" s="46">
        <v>0</v>
      </c>
      <c r="U960" s="46">
        <v>637000</v>
      </c>
      <c r="V960" s="46">
        <v>3</v>
      </c>
      <c r="W960" s="46">
        <v>0</v>
      </c>
      <c r="X960" s="46">
        <v>0</v>
      </c>
      <c r="Y960" s="48">
        <v>0</v>
      </c>
      <c r="Z960" s="46">
        <v>0</v>
      </c>
      <c r="AA960" s="46">
        <v>0</v>
      </c>
      <c r="AB960" s="46">
        <v>0</v>
      </c>
      <c r="AC960" s="46">
        <v>12806500</v>
      </c>
      <c r="AD960" s="46">
        <v>102</v>
      </c>
      <c r="AF960" s="47">
        <f t="shared" si="14"/>
        <v>12806500</v>
      </c>
    </row>
    <row r="961" spans="1:32" hidden="1" x14ac:dyDescent="0.3">
      <c r="A961" s="46" t="s">
        <v>615</v>
      </c>
      <c r="B961" s="46" t="str">
        <f>IFERROR(VLOOKUP($H961,매장구분!$B:$Z,2,0),"")</f>
        <v>리테일채널팀</v>
      </c>
      <c r="C961" s="46" t="str">
        <f>IFERROR(VLOOKUP($H961,매장구분!$B:$Z,3,0),"")</f>
        <v>국내</v>
      </c>
      <c r="D961" s="46" t="str">
        <f>IFERROR(VLOOKUP($H961,매장구분!$B:$Z,5,0),"")</f>
        <v>대리점</v>
      </c>
      <c r="E961" s="46" t="str">
        <f>IFERROR(VLOOKUP($H961,매장구분!$B:$Z,9,0),"")</f>
        <v>당진(대-위)</v>
      </c>
      <c r="G961" s="46" t="s">
        <v>462</v>
      </c>
      <c r="H961" s="46" t="s">
        <v>463</v>
      </c>
      <c r="I961" s="46" t="s">
        <v>169</v>
      </c>
      <c r="J961" s="46" t="s">
        <v>79</v>
      </c>
      <c r="K961" s="46" t="s">
        <v>170</v>
      </c>
      <c r="L961" s="46" t="s">
        <v>171</v>
      </c>
      <c r="M961" s="46" t="s">
        <v>196</v>
      </c>
      <c r="N961" s="46" t="s">
        <v>197</v>
      </c>
      <c r="O961" s="46">
        <v>11990862</v>
      </c>
      <c r="P961" s="46">
        <v>92</v>
      </c>
      <c r="Q961" s="46">
        <v>0</v>
      </c>
      <c r="R961" s="46">
        <v>0</v>
      </c>
      <c r="S961" s="46">
        <v>0</v>
      </c>
      <c r="T961" s="46">
        <v>0</v>
      </c>
      <c r="U961" s="46">
        <v>238000</v>
      </c>
      <c r="V961" s="46">
        <v>2</v>
      </c>
      <c r="W961" s="46">
        <v>0</v>
      </c>
      <c r="X961" s="46">
        <v>0</v>
      </c>
      <c r="Y961" s="48">
        <v>9132000</v>
      </c>
      <c r="Z961" s="46">
        <v>68</v>
      </c>
      <c r="AA961" s="46">
        <v>0</v>
      </c>
      <c r="AB961" s="46">
        <v>0</v>
      </c>
      <c r="AC961" s="46">
        <v>21360862</v>
      </c>
      <c r="AD961" s="46">
        <v>162</v>
      </c>
      <c r="AF961" s="47">
        <f t="shared" si="14"/>
        <v>12228862</v>
      </c>
    </row>
    <row r="962" spans="1:32" hidden="1" x14ac:dyDescent="0.3">
      <c r="A962" s="46" t="s">
        <v>615</v>
      </c>
      <c r="B962" s="46" t="str">
        <f>IFERROR(VLOOKUP($H962,매장구분!$B:$Z,2,0),"")</f>
        <v>파트너채널팀</v>
      </c>
      <c r="C962" s="46" t="str">
        <f>IFERROR(VLOOKUP($H962,매장구분!$B:$Z,3,0),"")</f>
        <v>국내</v>
      </c>
      <c r="D962" s="46" t="str">
        <f>IFERROR(VLOOKUP($H962,매장구분!$B:$Z,5,0),"")</f>
        <v>백화점</v>
      </c>
      <c r="E962" s="46" t="str">
        <f>IFERROR(VLOOKUP($H962,매장구분!$B:$Z,9,0),"")</f>
        <v>NC신구로</v>
      </c>
      <c r="G962" s="46" t="s">
        <v>596</v>
      </c>
      <c r="H962" s="46" t="s">
        <v>597</v>
      </c>
      <c r="I962" s="46" t="s">
        <v>169</v>
      </c>
      <c r="J962" s="46" t="s">
        <v>175</v>
      </c>
      <c r="K962" s="46" t="s">
        <v>170</v>
      </c>
      <c r="L962" s="46" t="s">
        <v>171</v>
      </c>
      <c r="M962" s="46" t="s">
        <v>77</v>
      </c>
      <c r="N962" s="46" t="s">
        <v>238</v>
      </c>
      <c r="O962" s="46">
        <v>8535500</v>
      </c>
      <c r="P962" s="46">
        <v>95</v>
      </c>
      <c r="Q962" s="46">
        <v>4436800</v>
      </c>
      <c r="R962" s="46">
        <v>57</v>
      </c>
      <c r="S962" s="46">
        <v>0</v>
      </c>
      <c r="T962" s="46">
        <v>0</v>
      </c>
      <c r="U962" s="46">
        <v>687600</v>
      </c>
      <c r="V962" s="46">
        <v>5</v>
      </c>
      <c r="W962" s="46">
        <v>0</v>
      </c>
      <c r="X962" s="46">
        <v>0</v>
      </c>
      <c r="Y962" s="48">
        <v>0</v>
      </c>
      <c r="Z962" s="46">
        <v>0</v>
      </c>
      <c r="AA962" s="46">
        <v>0</v>
      </c>
      <c r="AB962" s="46">
        <v>0</v>
      </c>
      <c r="AC962" s="46">
        <v>13659900</v>
      </c>
      <c r="AD962" s="46">
        <v>157</v>
      </c>
      <c r="AF962" s="47">
        <f t="shared" si="14"/>
        <v>13659900</v>
      </c>
    </row>
    <row r="963" spans="1:32" hidden="1" x14ac:dyDescent="0.3">
      <c r="A963" s="46" t="s">
        <v>615</v>
      </c>
      <c r="B963" s="46" t="str">
        <f>IFERROR(VLOOKUP($H963,매장구분!$B:$Z,2,0),"")</f>
        <v>파트너채널팀</v>
      </c>
      <c r="C963" s="46" t="str">
        <f>IFERROR(VLOOKUP($H963,매장구분!$B:$Z,3,0),"")</f>
        <v>국내</v>
      </c>
      <c r="D963" s="46" t="str">
        <f>IFERROR(VLOOKUP($H963,매장구분!$B:$Z,5,0),"")</f>
        <v>백화점</v>
      </c>
      <c r="E963" s="46" t="str">
        <f>IFERROR(VLOOKUP($H963,매장구분!$B:$Z,9,0),"")</f>
        <v>롯데강남</v>
      </c>
      <c r="G963" s="46" t="s">
        <v>275</v>
      </c>
      <c r="H963" s="46" t="s">
        <v>276</v>
      </c>
      <c r="I963" s="46" t="s">
        <v>169</v>
      </c>
      <c r="J963" s="46" t="s">
        <v>175</v>
      </c>
      <c r="K963" s="46" t="s">
        <v>170</v>
      </c>
      <c r="L963" s="46" t="s">
        <v>171</v>
      </c>
      <c r="M963" s="46" t="s">
        <v>77</v>
      </c>
      <c r="N963" s="46" t="s">
        <v>172</v>
      </c>
      <c r="O963" s="46">
        <v>7947000</v>
      </c>
      <c r="P963" s="46">
        <v>73</v>
      </c>
      <c r="Q963" s="46">
        <v>0</v>
      </c>
      <c r="R963" s="46">
        <v>0</v>
      </c>
      <c r="S963" s="46">
        <v>0</v>
      </c>
      <c r="T963" s="46">
        <v>0</v>
      </c>
      <c r="U963" s="46">
        <v>2061400</v>
      </c>
      <c r="V963" s="46">
        <v>11</v>
      </c>
      <c r="W963" s="46">
        <v>0</v>
      </c>
      <c r="X963" s="46">
        <v>0</v>
      </c>
      <c r="Y963" s="48">
        <v>0</v>
      </c>
      <c r="Z963" s="46">
        <v>0</v>
      </c>
      <c r="AA963" s="46">
        <v>0</v>
      </c>
      <c r="AB963" s="46">
        <v>0</v>
      </c>
      <c r="AC963" s="46">
        <v>10008400</v>
      </c>
      <c r="AD963" s="46">
        <v>84</v>
      </c>
      <c r="AF963" s="47">
        <f t="shared" ref="AF963:AF1026" si="15">IFERROR(AC963-Y963,"")</f>
        <v>10008400</v>
      </c>
    </row>
    <row r="964" spans="1:32" hidden="1" x14ac:dyDescent="0.3">
      <c r="A964" s="46" t="s">
        <v>615</v>
      </c>
      <c r="B964" s="46" t="str">
        <f>IFERROR(VLOOKUP($H964,매장구분!$B:$Z,2,0),"")</f>
        <v>E-biz</v>
      </c>
      <c r="C964" s="46" t="str">
        <f>IFERROR(VLOOKUP($H964,매장구분!$B:$Z,3,0),"")</f>
        <v>국내</v>
      </c>
      <c r="D964" s="46" t="str">
        <f>IFERROR(VLOOKUP($H964,매장구분!$B:$Z,5,0),"")</f>
        <v>온(제휴몰)</v>
      </c>
      <c r="E964" s="46" t="str">
        <f>IFERROR(VLOOKUP($H964,매장구분!$B:$Z,9,0),"")</f>
        <v>CJ온스타일(제휴몰)</v>
      </c>
      <c r="G964" s="46" t="s">
        <v>279</v>
      </c>
      <c r="H964" s="46" t="s">
        <v>280</v>
      </c>
      <c r="I964" s="46" t="s">
        <v>169</v>
      </c>
      <c r="J964" s="46" t="s">
        <v>180</v>
      </c>
      <c r="K964" s="46" t="s">
        <v>170</v>
      </c>
      <c r="L964" s="46" t="s">
        <v>181</v>
      </c>
      <c r="M964" s="46" t="s">
        <v>181</v>
      </c>
      <c r="N964" s="46" t="s">
        <v>185</v>
      </c>
      <c r="O964" s="46">
        <v>4384800</v>
      </c>
      <c r="P964" s="46">
        <v>46</v>
      </c>
      <c r="Q964" s="46">
        <v>0</v>
      </c>
      <c r="R964" s="46">
        <v>0</v>
      </c>
      <c r="S964" s="46">
        <v>0</v>
      </c>
      <c r="T964" s="46">
        <v>0</v>
      </c>
      <c r="U964" s="46">
        <v>0</v>
      </c>
      <c r="V964" s="46">
        <v>0</v>
      </c>
      <c r="W964" s="46">
        <v>0</v>
      </c>
      <c r="X964" s="46">
        <v>0</v>
      </c>
      <c r="Y964" s="48">
        <v>0</v>
      </c>
      <c r="Z964" s="46">
        <v>0</v>
      </c>
      <c r="AA964" s="46">
        <v>0</v>
      </c>
      <c r="AB964" s="46">
        <v>0</v>
      </c>
      <c r="AC964" s="46">
        <v>4384800</v>
      </c>
      <c r="AD964" s="46">
        <v>46</v>
      </c>
      <c r="AF964" s="47">
        <f t="shared" si="15"/>
        <v>4384800</v>
      </c>
    </row>
    <row r="965" spans="1:32" hidden="1" x14ac:dyDescent="0.3">
      <c r="A965" s="46" t="s">
        <v>615</v>
      </c>
      <c r="B965" s="46" t="str">
        <f>IFERROR(VLOOKUP($H965,매장구분!$B:$Z,2,0),"")</f>
        <v>파트너채널팀</v>
      </c>
      <c r="C965" s="46" t="str">
        <f>IFERROR(VLOOKUP($H965,매장구분!$B:$Z,3,0),"")</f>
        <v>국내</v>
      </c>
      <c r="D965" s="46" t="str">
        <f>IFERROR(VLOOKUP($H965,매장구분!$B:$Z,5,0),"")</f>
        <v>백화점</v>
      </c>
      <c r="E965" s="46" t="str">
        <f>IFERROR(VLOOKUP($H965,매장구분!$B:$Z,9,0),"")</f>
        <v>롯데아울렛의왕(직)</v>
      </c>
      <c r="G965" s="46" t="s">
        <v>352</v>
      </c>
      <c r="H965" s="46" t="s">
        <v>353</v>
      </c>
      <c r="I965" s="46" t="s">
        <v>169</v>
      </c>
      <c r="J965" s="46" t="s">
        <v>180</v>
      </c>
      <c r="K965" s="46" t="s">
        <v>170</v>
      </c>
      <c r="L965" s="46" t="s">
        <v>171</v>
      </c>
      <c r="M965" s="46" t="s">
        <v>219</v>
      </c>
      <c r="N965" s="46" t="s">
        <v>219</v>
      </c>
      <c r="O965" s="46">
        <v>12193359</v>
      </c>
      <c r="P965" s="46">
        <v>138</v>
      </c>
      <c r="Q965" s="46">
        <v>0</v>
      </c>
      <c r="R965" s="46">
        <v>0</v>
      </c>
      <c r="S965" s="46">
        <v>0</v>
      </c>
      <c r="T965" s="46">
        <v>0</v>
      </c>
      <c r="U965" s="46">
        <v>1349241</v>
      </c>
      <c r="V965" s="46">
        <v>6</v>
      </c>
      <c r="W965" s="46">
        <v>0</v>
      </c>
      <c r="X965" s="46">
        <v>0</v>
      </c>
      <c r="Y965" s="48">
        <v>0</v>
      </c>
      <c r="Z965" s="46">
        <v>0</v>
      </c>
      <c r="AA965" s="46">
        <v>0</v>
      </c>
      <c r="AB965" s="46">
        <v>0</v>
      </c>
      <c r="AC965" s="46">
        <v>13542600</v>
      </c>
      <c r="AD965" s="46">
        <v>144</v>
      </c>
      <c r="AF965" s="47">
        <f t="shared" si="15"/>
        <v>13542600</v>
      </c>
    </row>
    <row r="966" spans="1:32" hidden="1" x14ac:dyDescent="0.3">
      <c r="A966" s="46" t="s">
        <v>615</v>
      </c>
      <c r="B966" s="46" t="str">
        <f>IFERROR(VLOOKUP($H966,매장구분!$B:$Z,2,0),"")</f>
        <v>리테일채널팀</v>
      </c>
      <c r="C966" s="46" t="str">
        <f>IFERROR(VLOOKUP($H966,매장구분!$B:$Z,3,0),"")</f>
        <v>국내</v>
      </c>
      <c r="D966" s="46" t="str">
        <f>IFERROR(VLOOKUP($H966,매장구분!$B:$Z,5,0),"")</f>
        <v>상설(위탁)</v>
      </c>
      <c r="E966" s="46" t="str">
        <f>IFERROR(VLOOKUP($H966,매장구분!$B:$Z,9,0),"")</f>
        <v>콜렉티드(상-위)</v>
      </c>
      <c r="G966" s="46" t="s">
        <v>434</v>
      </c>
      <c r="H966" s="46" t="s">
        <v>435</v>
      </c>
      <c r="I966" s="46" t="s">
        <v>169</v>
      </c>
      <c r="J966" s="46" t="s">
        <v>79</v>
      </c>
      <c r="K966" s="46" t="s">
        <v>170</v>
      </c>
      <c r="L966" s="46" t="s">
        <v>171</v>
      </c>
      <c r="M966" s="46" t="s">
        <v>219</v>
      </c>
      <c r="N966" s="46" t="s">
        <v>219</v>
      </c>
      <c r="O966" s="46">
        <v>144000</v>
      </c>
      <c r="P966" s="46">
        <v>4</v>
      </c>
      <c r="Q966" s="46">
        <v>0</v>
      </c>
      <c r="R966" s="46">
        <v>0</v>
      </c>
      <c r="S966" s="46">
        <v>0</v>
      </c>
      <c r="T966" s="46">
        <v>0</v>
      </c>
      <c r="U966" s="46">
        <v>0</v>
      </c>
      <c r="V966" s="46">
        <v>0</v>
      </c>
      <c r="W966" s="46">
        <v>0</v>
      </c>
      <c r="X966" s="46">
        <v>0</v>
      </c>
      <c r="Y966" s="48">
        <v>0</v>
      </c>
      <c r="Z966" s="46">
        <v>0</v>
      </c>
      <c r="AA966" s="46">
        <v>0</v>
      </c>
      <c r="AB966" s="46">
        <v>0</v>
      </c>
      <c r="AC966" s="46">
        <v>144000</v>
      </c>
      <c r="AD966" s="46">
        <v>4</v>
      </c>
      <c r="AF966" s="47">
        <f t="shared" si="15"/>
        <v>144000</v>
      </c>
    </row>
    <row r="967" spans="1:32" hidden="1" x14ac:dyDescent="0.3">
      <c r="A967" s="46" t="s">
        <v>615</v>
      </c>
      <c r="B967" s="46" t="str">
        <f>IFERROR(VLOOKUP($H967,매장구분!$B:$Z,2,0),"")</f>
        <v>리테일채널팀</v>
      </c>
      <c r="C967" s="46" t="str">
        <f>IFERROR(VLOOKUP($H967,매장구분!$B:$Z,3,0),"")</f>
        <v>국내</v>
      </c>
      <c r="D967" s="46" t="str">
        <f>IFERROR(VLOOKUP($H967,매장구분!$B:$Z,5,0),"")</f>
        <v>상설(위탁)</v>
      </c>
      <c r="E967" s="46" t="str">
        <f>IFERROR(VLOOKUP($H967,매장구분!$B:$Z,9,0),"")</f>
        <v>롯데아울렛파주(상-위)</v>
      </c>
      <c r="G967" s="46" t="s">
        <v>598</v>
      </c>
      <c r="H967" s="46" t="s">
        <v>599</v>
      </c>
      <c r="I967" s="46" t="s">
        <v>169</v>
      </c>
      <c r="J967" s="46" t="s">
        <v>79</v>
      </c>
      <c r="K967" s="46" t="s">
        <v>170</v>
      </c>
      <c r="L967" s="46" t="s">
        <v>171</v>
      </c>
      <c r="M967" s="46" t="s">
        <v>219</v>
      </c>
      <c r="N967" s="46" t="s">
        <v>219</v>
      </c>
      <c r="O967" s="46">
        <v>1440000</v>
      </c>
      <c r="P967" s="46">
        <v>40</v>
      </c>
      <c r="Q967" s="46">
        <v>0</v>
      </c>
      <c r="R967" s="46">
        <v>0</v>
      </c>
      <c r="S967" s="46">
        <v>0</v>
      </c>
      <c r="T967" s="46">
        <v>0</v>
      </c>
      <c r="U967" s="46">
        <v>0</v>
      </c>
      <c r="V967" s="46">
        <v>0</v>
      </c>
      <c r="W967" s="46">
        <v>0</v>
      </c>
      <c r="X967" s="46">
        <v>0</v>
      </c>
      <c r="Y967" s="48">
        <v>0</v>
      </c>
      <c r="Z967" s="46">
        <v>0</v>
      </c>
      <c r="AA967" s="46">
        <v>0</v>
      </c>
      <c r="AB967" s="46">
        <v>0</v>
      </c>
      <c r="AC967" s="46">
        <v>1440000</v>
      </c>
      <c r="AD967" s="46">
        <v>40</v>
      </c>
      <c r="AF967" s="47">
        <f t="shared" si="15"/>
        <v>1440000</v>
      </c>
    </row>
    <row r="968" spans="1:32" hidden="1" x14ac:dyDescent="0.3">
      <c r="A968" s="46" t="s">
        <v>615</v>
      </c>
      <c r="B968" s="46" t="str">
        <f>IFERROR(VLOOKUP($H968,매장구분!$B:$Z,2,0),"")</f>
        <v>리테일채널팀</v>
      </c>
      <c r="C968" s="46" t="str">
        <f>IFERROR(VLOOKUP($H968,매장구분!$B:$Z,3,0),"")</f>
        <v>국내</v>
      </c>
      <c r="D968" s="46" t="str">
        <f>IFERROR(VLOOKUP($H968,매장구분!$B:$Z,5,0),"")</f>
        <v>상설(위탁)</v>
      </c>
      <c r="E968" s="46" t="str">
        <f>IFERROR(VLOOKUP($H968,매장구분!$B:$Z,9,0),"")</f>
        <v>롯데아울렛봉무(상-위)</v>
      </c>
      <c r="G968" s="46" t="s">
        <v>220</v>
      </c>
      <c r="H968" s="46" t="s">
        <v>221</v>
      </c>
      <c r="I968" s="46" t="s">
        <v>169</v>
      </c>
      <c r="J968" s="46" t="s">
        <v>79</v>
      </c>
      <c r="K968" s="46" t="s">
        <v>170</v>
      </c>
      <c r="L968" s="46" t="s">
        <v>171</v>
      </c>
      <c r="M968" s="46" t="s">
        <v>219</v>
      </c>
      <c r="N968" s="46" t="s">
        <v>219</v>
      </c>
      <c r="O968" s="46">
        <v>1800000</v>
      </c>
      <c r="P968" s="46">
        <v>50</v>
      </c>
      <c r="Q968" s="46">
        <v>0</v>
      </c>
      <c r="R968" s="46">
        <v>0</v>
      </c>
      <c r="S968" s="46">
        <v>0</v>
      </c>
      <c r="T968" s="46">
        <v>0</v>
      </c>
      <c r="U968" s="46">
        <v>0</v>
      </c>
      <c r="V968" s="46">
        <v>0</v>
      </c>
      <c r="W968" s="46">
        <v>0</v>
      </c>
      <c r="X968" s="46">
        <v>0</v>
      </c>
      <c r="Y968" s="48">
        <v>0</v>
      </c>
      <c r="Z968" s="46">
        <v>0</v>
      </c>
      <c r="AA968" s="46">
        <v>0</v>
      </c>
      <c r="AB968" s="46">
        <v>0</v>
      </c>
      <c r="AC968" s="46">
        <v>1800000</v>
      </c>
      <c r="AD968" s="46">
        <v>50</v>
      </c>
      <c r="AF968" s="47">
        <f t="shared" si="15"/>
        <v>1800000</v>
      </c>
    </row>
    <row r="969" spans="1:32" hidden="1" x14ac:dyDescent="0.3">
      <c r="A969" s="46" t="s">
        <v>615</v>
      </c>
      <c r="B969" s="46" t="str">
        <f>IFERROR(VLOOKUP($H969,매장구분!$B:$Z,2,0),"")</f>
        <v>리테일채널팀</v>
      </c>
      <c r="C969" s="46" t="str">
        <f>IFERROR(VLOOKUP($H969,매장구분!$B:$Z,3,0),"")</f>
        <v>국내</v>
      </c>
      <c r="D969" s="46" t="str">
        <f>IFERROR(VLOOKUP($H969,매장구분!$B:$Z,5,0),"")</f>
        <v>상설(위탁)</v>
      </c>
      <c r="E969" s="46" t="str">
        <f>IFERROR(VLOOKUP($H969,매장구분!$B:$Z,9,0),"")</f>
        <v>롯데아울렛군산(상-위)</v>
      </c>
      <c r="G969" s="46" t="s">
        <v>602</v>
      </c>
      <c r="H969" s="46" t="s">
        <v>603</v>
      </c>
      <c r="I969" s="46" t="s">
        <v>169</v>
      </c>
      <c r="J969" s="46" t="s">
        <v>79</v>
      </c>
      <c r="K969" s="46" t="s">
        <v>170</v>
      </c>
      <c r="L969" s="46" t="s">
        <v>171</v>
      </c>
      <c r="M969" s="46" t="s">
        <v>219</v>
      </c>
      <c r="N969" s="46" t="s">
        <v>219</v>
      </c>
      <c r="O969" s="46">
        <v>504000</v>
      </c>
      <c r="P969" s="46">
        <v>14</v>
      </c>
      <c r="Q969" s="46">
        <v>0</v>
      </c>
      <c r="R969" s="46">
        <v>0</v>
      </c>
      <c r="S969" s="46">
        <v>0</v>
      </c>
      <c r="T969" s="46">
        <v>0</v>
      </c>
      <c r="U969" s="46">
        <v>0</v>
      </c>
      <c r="V969" s="46">
        <v>0</v>
      </c>
      <c r="W969" s="46">
        <v>0</v>
      </c>
      <c r="X969" s="46">
        <v>0</v>
      </c>
      <c r="Y969" s="48">
        <v>0</v>
      </c>
      <c r="Z969" s="46">
        <v>0</v>
      </c>
      <c r="AA969" s="46">
        <v>0</v>
      </c>
      <c r="AB969" s="46">
        <v>0</v>
      </c>
      <c r="AC969" s="46">
        <v>504000</v>
      </c>
      <c r="AD969" s="46">
        <v>14</v>
      </c>
      <c r="AF969" s="47">
        <f t="shared" si="15"/>
        <v>504000</v>
      </c>
    </row>
    <row r="970" spans="1:32" hidden="1" x14ac:dyDescent="0.3">
      <c r="A970" s="46" t="s">
        <v>615</v>
      </c>
      <c r="B970" s="46" t="str">
        <f>IFERROR(VLOOKUP($H970,매장구분!$B:$Z,2,0),"")</f>
        <v>리테일채널팀</v>
      </c>
      <c r="C970" s="46" t="str">
        <f>IFERROR(VLOOKUP($H970,매장구분!$B:$Z,3,0),"")</f>
        <v>국내</v>
      </c>
      <c r="D970" s="46" t="str">
        <f>IFERROR(VLOOKUP($H970,매장구분!$B:$Z,5,0),"")</f>
        <v>대리점</v>
      </c>
      <c r="E970" s="46" t="str">
        <f>IFERROR(VLOOKUP($H970,매장구분!$B:$Z,9,0),"")</f>
        <v>마산합성(대-위)</v>
      </c>
      <c r="G970" s="46" t="s">
        <v>546</v>
      </c>
      <c r="H970" s="46" t="s">
        <v>547</v>
      </c>
      <c r="I970" s="46" t="s">
        <v>169</v>
      </c>
      <c r="J970" s="46" t="s">
        <v>79</v>
      </c>
      <c r="K970" s="46" t="s">
        <v>170</v>
      </c>
      <c r="L970" s="46" t="s">
        <v>171</v>
      </c>
      <c r="M970" s="46" t="s">
        <v>196</v>
      </c>
      <c r="N970" s="46" t="s">
        <v>197</v>
      </c>
      <c r="O970" s="46">
        <v>9871336</v>
      </c>
      <c r="P970" s="46">
        <v>101</v>
      </c>
      <c r="Q970" s="46">
        <v>0</v>
      </c>
      <c r="R970" s="46">
        <v>0</v>
      </c>
      <c r="S970" s="46">
        <v>0</v>
      </c>
      <c r="T970" s="46">
        <v>0</v>
      </c>
      <c r="U970" s="46">
        <v>4027864</v>
      </c>
      <c r="V970" s="46">
        <v>23</v>
      </c>
      <c r="W970" s="46">
        <v>0</v>
      </c>
      <c r="X970" s="46">
        <v>0</v>
      </c>
      <c r="Y970" s="48">
        <v>0</v>
      </c>
      <c r="Z970" s="46">
        <v>0</v>
      </c>
      <c r="AA970" s="46">
        <v>0</v>
      </c>
      <c r="AB970" s="46">
        <v>0</v>
      </c>
      <c r="AC970" s="46">
        <v>13899200</v>
      </c>
      <c r="AD970" s="46">
        <v>124</v>
      </c>
      <c r="AF970" s="47">
        <f t="shared" si="15"/>
        <v>13899200</v>
      </c>
    </row>
    <row r="971" spans="1:32" hidden="1" x14ac:dyDescent="0.3">
      <c r="A971" s="46" t="s">
        <v>615</v>
      </c>
      <c r="B971" s="46" t="str">
        <f>IFERROR(VLOOKUP($H971,매장구분!$B:$Z,2,0),"")</f>
        <v>리테일채널팀</v>
      </c>
      <c r="C971" s="46" t="str">
        <f>IFERROR(VLOOKUP($H971,매장구분!$B:$Z,3,0),"")</f>
        <v>국내</v>
      </c>
      <c r="D971" s="46" t="str">
        <f>IFERROR(VLOOKUP($H971,매장구분!$B:$Z,5,0),"")</f>
        <v>대리점</v>
      </c>
      <c r="E971" s="46" t="str">
        <f>IFERROR(VLOOKUP($H971,매장구분!$B:$Z,9,0),"")</f>
        <v>춘천(대-위)</v>
      </c>
      <c r="G971" s="46" t="s">
        <v>320</v>
      </c>
      <c r="H971" s="46" t="s">
        <v>321</v>
      </c>
      <c r="I971" s="46" t="s">
        <v>169</v>
      </c>
      <c r="J971" s="46" t="s">
        <v>79</v>
      </c>
      <c r="K971" s="46" t="s">
        <v>170</v>
      </c>
      <c r="L971" s="46" t="s">
        <v>171</v>
      </c>
      <c r="M971" s="46" t="s">
        <v>196</v>
      </c>
      <c r="N971" s="46" t="s">
        <v>197</v>
      </c>
      <c r="O971" s="46">
        <v>19969168</v>
      </c>
      <c r="P971" s="46">
        <v>204</v>
      </c>
      <c r="Q971" s="46">
        <v>0</v>
      </c>
      <c r="R971" s="46">
        <v>0</v>
      </c>
      <c r="S971" s="46">
        <v>0</v>
      </c>
      <c r="T971" s="46">
        <v>0</v>
      </c>
      <c r="U971" s="46">
        <v>1144000</v>
      </c>
      <c r="V971" s="46">
        <v>6</v>
      </c>
      <c r="W971" s="46">
        <v>0</v>
      </c>
      <c r="X971" s="46">
        <v>0</v>
      </c>
      <c r="Y971" s="48">
        <v>0</v>
      </c>
      <c r="Z971" s="46">
        <v>0</v>
      </c>
      <c r="AA971" s="46">
        <v>0</v>
      </c>
      <c r="AB971" s="46">
        <v>0</v>
      </c>
      <c r="AC971" s="46">
        <v>21113168</v>
      </c>
      <c r="AD971" s="46">
        <v>210</v>
      </c>
      <c r="AF971" s="47">
        <f t="shared" si="15"/>
        <v>21113168</v>
      </c>
    </row>
    <row r="972" spans="1:32" hidden="1" x14ac:dyDescent="0.3">
      <c r="A972" s="46" t="s">
        <v>615</v>
      </c>
      <c r="B972" s="46" t="str">
        <f>IFERROR(VLOOKUP($H972,매장구분!$B:$Z,2,0),"")</f>
        <v>리테일채널팀</v>
      </c>
      <c r="C972" s="46" t="str">
        <f>IFERROR(VLOOKUP($H972,매장구분!$B:$Z,3,0),"")</f>
        <v>국내</v>
      </c>
      <c r="D972" s="46" t="str">
        <f>IFERROR(VLOOKUP($H972,매장구분!$B:$Z,5,0),"")</f>
        <v>대리점</v>
      </c>
      <c r="E972" s="46" t="str">
        <f>IFERROR(VLOOKUP($H972,매장구분!$B:$Z,9,0),"")</f>
        <v>동해(대-위)</v>
      </c>
      <c r="G972" s="46" t="s">
        <v>534</v>
      </c>
      <c r="H972" s="46" t="s">
        <v>535</v>
      </c>
      <c r="I972" s="46" t="s">
        <v>169</v>
      </c>
      <c r="J972" s="46" t="s">
        <v>79</v>
      </c>
      <c r="K972" s="46" t="s">
        <v>170</v>
      </c>
      <c r="L972" s="46" t="s">
        <v>171</v>
      </c>
      <c r="M972" s="46" t="s">
        <v>196</v>
      </c>
      <c r="N972" s="46" t="s">
        <v>197</v>
      </c>
      <c r="O972" s="46">
        <v>13126659</v>
      </c>
      <c r="P972" s="46">
        <v>104</v>
      </c>
      <c r="Q972" s="46">
        <v>0</v>
      </c>
      <c r="R972" s="46">
        <v>0</v>
      </c>
      <c r="S972" s="46">
        <v>0</v>
      </c>
      <c r="T972" s="46">
        <v>0</v>
      </c>
      <c r="U972" s="46">
        <v>10125935</v>
      </c>
      <c r="V972" s="46">
        <v>59</v>
      </c>
      <c r="W972" s="46">
        <v>0</v>
      </c>
      <c r="X972" s="46">
        <v>0</v>
      </c>
      <c r="Y972" s="48">
        <v>0</v>
      </c>
      <c r="Z972" s="46">
        <v>0</v>
      </c>
      <c r="AA972" s="46">
        <v>0</v>
      </c>
      <c r="AB972" s="46">
        <v>0</v>
      </c>
      <c r="AC972" s="46">
        <v>23252594</v>
      </c>
      <c r="AD972" s="46">
        <v>163</v>
      </c>
      <c r="AF972" s="47">
        <f t="shared" si="15"/>
        <v>23252594</v>
      </c>
    </row>
    <row r="973" spans="1:32" hidden="1" x14ac:dyDescent="0.3">
      <c r="A973" s="46" t="s">
        <v>615</v>
      </c>
      <c r="B973" s="46" t="str">
        <f>IFERROR(VLOOKUP($H973,매장구분!$B:$Z,2,0),"")</f>
        <v>리테일채널팀</v>
      </c>
      <c r="C973" s="46" t="str">
        <f>IFERROR(VLOOKUP($H973,매장구분!$B:$Z,3,0),"")</f>
        <v>국내</v>
      </c>
      <c r="D973" s="46" t="str">
        <f>IFERROR(VLOOKUP($H973,매장구분!$B:$Z,5,0),"")</f>
        <v>직영점</v>
      </c>
      <c r="E973" s="46" t="str">
        <f>IFERROR(VLOOKUP($H973,매장구분!$B:$Z,9,0),"")</f>
        <v>강남사옥(직)</v>
      </c>
      <c r="G973" s="46" t="s">
        <v>482</v>
      </c>
      <c r="H973" s="46" t="s">
        <v>483</v>
      </c>
      <c r="I973" s="46" t="s">
        <v>169</v>
      </c>
      <c r="J973" s="46" t="s">
        <v>180</v>
      </c>
      <c r="K973" s="46" t="s">
        <v>170</v>
      </c>
      <c r="L973" s="46" t="s">
        <v>171</v>
      </c>
      <c r="M973" s="46" t="s">
        <v>196</v>
      </c>
      <c r="N973" s="46" t="s">
        <v>206</v>
      </c>
      <c r="O973" s="46">
        <v>32815496</v>
      </c>
      <c r="P973" s="46">
        <v>309</v>
      </c>
      <c r="Q973" s="46">
        <v>0</v>
      </c>
      <c r="R973" s="46">
        <v>0</v>
      </c>
      <c r="S973" s="46">
        <v>0</v>
      </c>
      <c r="T973" s="46">
        <v>0</v>
      </c>
      <c r="U973" s="46">
        <v>1094862</v>
      </c>
      <c r="V973" s="46">
        <v>18</v>
      </c>
      <c r="W973" s="46">
        <v>0</v>
      </c>
      <c r="X973" s="46">
        <v>0</v>
      </c>
      <c r="Y973" s="48">
        <v>0</v>
      </c>
      <c r="Z973" s="46">
        <v>0</v>
      </c>
      <c r="AA973" s="46">
        <v>0</v>
      </c>
      <c r="AB973" s="46">
        <v>0</v>
      </c>
      <c r="AC973" s="46">
        <v>33910358</v>
      </c>
      <c r="AD973" s="46">
        <v>327</v>
      </c>
      <c r="AF973" s="47">
        <f t="shared" si="15"/>
        <v>33910358</v>
      </c>
    </row>
    <row r="974" spans="1:32" hidden="1" x14ac:dyDescent="0.3">
      <c r="A974" s="46" t="s">
        <v>615</v>
      </c>
      <c r="B974" s="46" t="str">
        <f>IFERROR(VLOOKUP($H974,매장구분!$B:$Z,2,0),"")</f>
        <v>E-biz</v>
      </c>
      <c r="C974" s="46" t="str">
        <f>IFERROR(VLOOKUP($H974,매장구분!$B:$Z,3,0),"")</f>
        <v>국내</v>
      </c>
      <c r="D974" s="46" t="str">
        <f>IFERROR(VLOOKUP($H974,매장구분!$B:$Z,5,0),"")</f>
        <v>온(제휴몰)</v>
      </c>
      <c r="E974" s="46" t="str">
        <f>IFERROR(VLOOKUP($H974,매장구분!$B:$Z,9,0),"")</f>
        <v>롯데ON(제휴몰)</v>
      </c>
      <c r="G974" s="46" t="s">
        <v>253</v>
      </c>
      <c r="H974" s="46" t="s">
        <v>254</v>
      </c>
      <c r="I974" s="46" t="s">
        <v>169</v>
      </c>
      <c r="J974" s="46" t="s">
        <v>180</v>
      </c>
      <c r="K974" s="46" t="s">
        <v>170</v>
      </c>
      <c r="L974" s="46" t="s">
        <v>181</v>
      </c>
      <c r="M974" s="46" t="s">
        <v>181</v>
      </c>
      <c r="N974" s="46" t="s">
        <v>185</v>
      </c>
      <c r="O974" s="46">
        <v>60901200</v>
      </c>
      <c r="P974" s="46">
        <v>453</v>
      </c>
      <c r="Q974" s="46">
        <v>0</v>
      </c>
      <c r="R974" s="46">
        <v>0</v>
      </c>
      <c r="S974" s="46">
        <v>0</v>
      </c>
      <c r="T974" s="46">
        <v>0</v>
      </c>
      <c r="U974" s="46">
        <v>0</v>
      </c>
      <c r="V974" s="46">
        <v>0</v>
      </c>
      <c r="W974" s="46">
        <v>0</v>
      </c>
      <c r="X974" s="46">
        <v>0</v>
      </c>
      <c r="Y974" s="48">
        <v>0</v>
      </c>
      <c r="Z974" s="46">
        <v>0</v>
      </c>
      <c r="AA974" s="46">
        <v>0</v>
      </c>
      <c r="AB974" s="46">
        <v>0</v>
      </c>
      <c r="AC974" s="46">
        <v>60901200</v>
      </c>
      <c r="AD974" s="46">
        <v>453</v>
      </c>
      <c r="AF974" s="47">
        <f t="shared" si="15"/>
        <v>60901200</v>
      </c>
    </row>
    <row r="975" spans="1:32" hidden="1" x14ac:dyDescent="0.3">
      <c r="A975" s="46" t="s">
        <v>615</v>
      </c>
      <c r="B975" s="46" t="str">
        <f>IFERROR(VLOOKUP($H975,매장구분!$B:$Z,2,0),"")</f>
        <v>파트너채널팀</v>
      </c>
      <c r="C975" s="46" t="str">
        <f>IFERROR(VLOOKUP($H975,매장구분!$B:$Z,3,0),"")</f>
        <v>국내</v>
      </c>
      <c r="D975" s="46" t="str">
        <f>IFERROR(VLOOKUP($H975,매장구분!$B:$Z,5,0),"")</f>
        <v>백화점</v>
      </c>
      <c r="E975" s="46" t="str">
        <f>IFERROR(VLOOKUP($H975,매장구분!$B:$Z,9,0),"")</f>
        <v>롯데전주</v>
      </c>
      <c r="G975" s="46" t="s">
        <v>446</v>
      </c>
      <c r="H975" s="46" t="s">
        <v>447</v>
      </c>
      <c r="I975" s="46" t="s">
        <v>169</v>
      </c>
      <c r="J975" s="46" t="s">
        <v>175</v>
      </c>
      <c r="K975" s="46" t="s">
        <v>170</v>
      </c>
      <c r="L975" s="46" t="s">
        <v>171</v>
      </c>
      <c r="M975" s="46" t="s">
        <v>77</v>
      </c>
      <c r="N975" s="46" t="s">
        <v>172</v>
      </c>
      <c r="O975" s="46">
        <v>14252000</v>
      </c>
      <c r="P975" s="46">
        <v>136</v>
      </c>
      <c r="Q975" s="46">
        <v>0</v>
      </c>
      <c r="R975" s="46">
        <v>0</v>
      </c>
      <c r="S975" s="46">
        <v>0</v>
      </c>
      <c r="T975" s="46">
        <v>0</v>
      </c>
      <c r="U975" s="46">
        <v>986000</v>
      </c>
      <c r="V975" s="46">
        <v>4</v>
      </c>
      <c r="W975" s="46">
        <v>0</v>
      </c>
      <c r="X975" s="46">
        <v>0</v>
      </c>
      <c r="Y975" s="48">
        <v>0</v>
      </c>
      <c r="Z975" s="46">
        <v>0</v>
      </c>
      <c r="AA975" s="46">
        <v>0</v>
      </c>
      <c r="AB975" s="46">
        <v>0</v>
      </c>
      <c r="AC975" s="46">
        <v>15238000</v>
      </c>
      <c r="AD975" s="46">
        <v>140</v>
      </c>
      <c r="AF975" s="47">
        <f t="shared" si="15"/>
        <v>15238000</v>
      </c>
    </row>
    <row r="976" spans="1:32" hidden="1" x14ac:dyDescent="0.3">
      <c r="A976" s="46" t="s">
        <v>615</v>
      </c>
      <c r="B976" s="46" t="str">
        <f>IFERROR(VLOOKUP($H976,매장구분!$B:$Z,2,0),"")</f>
        <v>파트너채널팀</v>
      </c>
      <c r="C976" s="46" t="str">
        <f>IFERROR(VLOOKUP($H976,매장구분!$B:$Z,3,0),"")</f>
        <v>국내</v>
      </c>
      <c r="D976" s="46" t="str">
        <f>IFERROR(VLOOKUP($H976,매장구분!$B:$Z,5,0),"")</f>
        <v>백화점</v>
      </c>
      <c r="E976" s="46" t="str">
        <f>IFERROR(VLOOKUP($H976,매장구분!$B:$Z,9,0),"")</f>
        <v>신세계천안아산</v>
      </c>
      <c r="G976" s="46" t="s">
        <v>271</v>
      </c>
      <c r="H976" s="46" t="s">
        <v>272</v>
      </c>
      <c r="I976" s="46" t="s">
        <v>169</v>
      </c>
      <c r="J976" s="46" t="s">
        <v>175</v>
      </c>
      <c r="K976" s="46" t="s">
        <v>170</v>
      </c>
      <c r="L976" s="46" t="s">
        <v>171</v>
      </c>
      <c r="M976" s="46" t="s">
        <v>77</v>
      </c>
      <c r="N976" s="46" t="s">
        <v>172</v>
      </c>
      <c r="O976" s="46">
        <v>22551200</v>
      </c>
      <c r="P976" s="46">
        <v>202</v>
      </c>
      <c r="Q976" s="46">
        <v>0</v>
      </c>
      <c r="R976" s="46">
        <v>0</v>
      </c>
      <c r="S976" s="46">
        <v>0</v>
      </c>
      <c r="T976" s="46">
        <v>0</v>
      </c>
      <c r="U976" s="46">
        <v>2976000</v>
      </c>
      <c r="V976" s="46">
        <v>14</v>
      </c>
      <c r="W976" s="46">
        <v>0</v>
      </c>
      <c r="X976" s="46">
        <v>0</v>
      </c>
      <c r="Y976" s="48">
        <v>0</v>
      </c>
      <c r="Z976" s="46">
        <v>0</v>
      </c>
      <c r="AA976" s="46">
        <v>0</v>
      </c>
      <c r="AB976" s="46">
        <v>0</v>
      </c>
      <c r="AC976" s="46">
        <v>25527200</v>
      </c>
      <c r="AD976" s="46">
        <v>216</v>
      </c>
      <c r="AF976" s="47">
        <f t="shared" si="15"/>
        <v>25527200</v>
      </c>
    </row>
    <row r="977" spans="1:32" hidden="1" x14ac:dyDescent="0.3">
      <c r="A977" s="46" t="s">
        <v>615</v>
      </c>
      <c r="B977" s="46" t="str">
        <f>IFERROR(VLOOKUP($H977,매장구분!$B:$Z,2,0),"")</f>
        <v>리테일채널팀</v>
      </c>
      <c r="C977" s="46" t="str">
        <f>IFERROR(VLOOKUP($H977,매장구분!$B:$Z,3,0),"")</f>
        <v>국내</v>
      </c>
      <c r="D977" s="46" t="str">
        <f>IFERROR(VLOOKUP($H977,매장구분!$B:$Z,5,0),"")</f>
        <v>대리점</v>
      </c>
      <c r="E977" s="46" t="str">
        <f>IFERROR(VLOOKUP($H977,매장구분!$B:$Z,9,0),"")</f>
        <v>전주송천(대-위)</v>
      </c>
      <c r="G977" s="46" t="s">
        <v>428</v>
      </c>
      <c r="H977" s="46" t="s">
        <v>429</v>
      </c>
      <c r="I977" s="46" t="s">
        <v>169</v>
      </c>
      <c r="J977" s="46" t="s">
        <v>79</v>
      </c>
      <c r="K977" s="46" t="s">
        <v>170</v>
      </c>
      <c r="L977" s="46" t="s">
        <v>171</v>
      </c>
      <c r="M977" s="46" t="s">
        <v>196</v>
      </c>
      <c r="N977" s="46" t="s">
        <v>197</v>
      </c>
      <c r="O977" s="46">
        <v>8850000</v>
      </c>
      <c r="P977" s="46">
        <v>58</v>
      </c>
      <c r="Q977" s="46">
        <v>0</v>
      </c>
      <c r="R977" s="46">
        <v>0</v>
      </c>
      <c r="S977" s="46">
        <v>0</v>
      </c>
      <c r="T977" s="46">
        <v>0</v>
      </c>
      <c r="U977" s="46">
        <v>149000</v>
      </c>
      <c r="V977" s="46">
        <v>1</v>
      </c>
      <c r="W977" s="46">
        <v>0</v>
      </c>
      <c r="X977" s="46">
        <v>0</v>
      </c>
      <c r="Y977" s="48">
        <v>2092000</v>
      </c>
      <c r="Z977" s="46">
        <v>21</v>
      </c>
      <c r="AA977" s="46">
        <v>0</v>
      </c>
      <c r="AB977" s="46">
        <v>0</v>
      </c>
      <c r="AC977" s="46">
        <v>11091000</v>
      </c>
      <c r="AD977" s="46">
        <v>80</v>
      </c>
      <c r="AF977" s="47">
        <f t="shared" si="15"/>
        <v>8999000</v>
      </c>
    </row>
    <row r="978" spans="1:32" hidden="1" x14ac:dyDescent="0.3">
      <c r="A978" s="46" t="s">
        <v>615</v>
      </c>
      <c r="B978" s="46" t="str">
        <f>IFERROR(VLOOKUP($H978,매장구분!$B:$Z,2,0),"")</f>
        <v>파트너채널팀</v>
      </c>
      <c r="C978" s="46" t="str">
        <f>IFERROR(VLOOKUP($H978,매장구분!$B:$Z,3,0),"")</f>
        <v>국내</v>
      </c>
      <c r="D978" s="46" t="str">
        <f>IFERROR(VLOOKUP($H978,매장구분!$B:$Z,5,0),"")</f>
        <v>백화점</v>
      </c>
      <c r="E978" s="46" t="str">
        <f>IFERROR(VLOOKUP($H978,매장구분!$B:$Z,9,0),"")</f>
        <v>롯데광주</v>
      </c>
      <c r="G978" s="46" t="s">
        <v>404</v>
      </c>
      <c r="H978" s="46" t="s">
        <v>405</v>
      </c>
      <c r="I978" s="46" t="s">
        <v>169</v>
      </c>
      <c r="J978" s="46" t="s">
        <v>175</v>
      </c>
      <c r="K978" s="46" t="s">
        <v>170</v>
      </c>
      <c r="L978" s="46" t="s">
        <v>171</v>
      </c>
      <c r="M978" s="46" t="s">
        <v>77</v>
      </c>
      <c r="N978" s="46" t="s">
        <v>172</v>
      </c>
      <c r="O978" s="46">
        <v>16150400</v>
      </c>
      <c r="P978" s="46">
        <v>120</v>
      </c>
      <c r="Q978" s="46">
        <v>0</v>
      </c>
      <c r="R978" s="46">
        <v>0</v>
      </c>
      <c r="S978" s="46">
        <v>0</v>
      </c>
      <c r="T978" s="46">
        <v>0</v>
      </c>
      <c r="U978" s="46">
        <v>1940300</v>
      </c>
      <c r="V978" s="46">
        <v>14</v>
      </c>
      <c r="W978" s="46">
        <v>0</v>
      </c>
      <c r="X978" s="46">
        <v>0</v>
      </c>
      <c r="Y978" s="48">
        <v>0</v>
      </c>
      <c r="Z978" s="46">
        <v>0</v>
      </c>
      <c r="AA978" s="46">
        <v>0</v>
      </c>
      <c r="AB978" s="46">
        <v>0</v>
      </c>
      <c r="AC978" s="46">
        <v>18090700</v>
      </c>
      <c r="AD978" s="46">
        <v>134</v>
      </c>
      <c r="AF978" s="47">
        <f t="shared" si="15"/>
        <v>18090700</v>
      </c>
    </row>
    <row r="979" spans="1:32" hidden="1" x14ac:dyDescent="0.3">
      <c r="A979" s="46" t="s">
        <v>615</v>
      </c>
      <c r="B979" s="46" t="str">
        <f>IFERROR(VLOOKUP($H979,매장구분!$B:$Z,2,0),"")</f>
        <v>파트너채널팀</v>
      </c>
      <c r="C979" s="46" t="str">
        <f>IFERROR(VLOOKUP($H979,매장구분!$B:$Z,3,0),"")</f>
        <v>국내</v>
      </c>
      <c r="D979" s="46" t="str">
        <f>IFERROR(VLOOKUP($H979,매장구분!$B:$Z,5,0),"")</f>
        <v>백화점</v>
      </c>
      <c r="E979" s="46" t="str">
        <f>IFERROR(VLOOKUP($H979,매장구분!$B:$Z,9,0),"")</f>
        <v>더현대서울</v>
      </c>
      <c r="G979" s="46" t="s">
        <v>422</v>
      </c>
      <c r="H979" s="46" t="s">
        <v>423</v>
      </c>
      <c r="I979" s="46" t="s">
        <v>169</v>
      </c>
      <c r="J979" s="46" t="s">
        <v>175</v>
      </c>
      <c r="K979" s="46" t="s">
        <v>170</v>
      </c>
      <c r="L979" s="46" t="s">
        <v>171</v>
      </c>
      <c r="M979" s="46" t="s">
        <v>188</v>
      </c>
      <c r="N979" s="46" t="s">
        <v>189</v>
      </c>
      <c r="O979" s="46">
        <v>41080872</v>
      </c>
      <c r="P979" s="46">
        <v>414</v>
      </c>
      <c r="Q979" s="46">
        <v>0</v>
      </c>
      <c r="R979" s="46">
        <v>0</v>
      </c>
      <c r="S979" s="46">
        <v>0</v>
      </c>
      <c r="T979" s="46">
        <v>0</v>
      </c>
      <c r="U979" s="46">
        <v>1636928</v>
      </c>
      <c r="V979" s="46">
        <v>12</v>
      </c>
      <c r="W979" s="46">
        <v>0</v>
      </c>
      <c r="X979" s="46">
        <v>0</v>
      </c>
      <c r="Y979" s="48">
        <v>0</v>
      </c>
      <c r="Z979" s="46">
        <v>0</v>
      </c>
      <c r="AA979" s="46">
        <v>0</v>
      </c>
      <c r="AB979" s="46">
        <v>0</v>
      </c>
      <c r="AC979" s="46">
        <v>42717800</v>
      </c>
      <c r="AD979" s="46">
        <v>426</v>
      </c>
      <c r="AF979" s="47">
        <f t="shared" si="15"/>
        <v>42717800</v>
      </c>
    </row>
    <row r="980" spans="1:32" hidden="1" x14ac:dyDescent="0.3">
      <c r="A980" s="46" t="s">
        <v>615</v>
      </c>
      <c r="B980" s="46" t="str">
        <f>IFERROR(VLOOKUP($H980,매장구분!$B:$Z,2,0),"")</f>
        <v>파트너채널팀</v>
      </c>
      <c r="C980" s="46" t="str">
        <f>IFERROR(VLOOKUP($H980,매장구분!$B:$Z,3,0),"")</f>
        <v>국내</v>
      </c>
      <c r="D980" s="46" t="str">
        <f>IFERROR(VLOOKUP($H980,매장구분!$B:$Z,5,0),"")</f>
        <v>백화점</v>
      </c>
      <c r="E980" s="46" t="str">
        <f>IFERROR(VLOOKUP($H980,매장구분!$B:$Z,9,0),"")</f>
        <v>롯데광복</v>
      </c>
      <c r="G980" s="46" t="s">
        <v>448</v>
      </c>
      <c r="H980" s="46" t="s">
        <v>449</v>
      </c>
      <c r="I980" s="46" t="s">
        <v>169</v>
      </c>
      <c r="J980" s="46" t="s">
        <v>175</v>
      </c>
      <c r="K980" s="46" t="s">
        <v>170</v>
      </c>
      <c r="L980" s="46" t="s">
        <v>171</v>
      </c>
      <c r="M980" s="46" t="s">
        <v>77</v>
      </c>
      <c r="N980" s="46" t="s">
        <v>172</v>
      </c>
      <c r="O980" s="46">
        <v>9103400</v>
      </c>
      <c r="P980" s="46">
        <v>116</v>
      </c>
      <c r="Q980" s="46">
        <v>341000</v>
      </c>
      <c r="R980" s="46">
        <v>3</v>
      </c>
      <c r="S980" s="46">
        <v>0</v>
      </c>
      <c r="T980" s="46">
        <v>0</v>
      </c>
      <c r="U980" s="46">
        <v>885100</v>
      </c>
      <c r="V980" s="46">
        <v>6</v>
      </c>
      <c r="W980" s="46">
        <v>0</v>
      </c>
      <c r="X980" s="46">
        <v>0</v>
      </c>
      <c r="Y980" s="48">
        <v>0</v>
      </c>
      <c r="Z980" s="46">
        <v>0</v>
      </c>
      <c r="AA980" s="46">
        <v>0</v>
      </c>
      <c r="AB980" s="46">
        <v>0</v>
      </c>
      <c r="AC980" s="46">
        <v>10329500</v>
      </c>
      <c r="AD980" s="46">
        <v>125</v>
      </c>
      <c r="AF980" s="47">
        <f t="shared" si="15"/>
        <v>10329500</v>
      </c>
    </row>
    <row r="981" spans="1:32" hidden="1" x14ac:dyDescent="0.3">
      <c r="A981" s="46" t="s">
        <v>615</v>
      </c>
      <c r="B981" s="46" t="str">
        <f>IFERROR(VLOOKUP($H981,매장구분!$B:$Z,2,0),"")</f>
        <v>리테일채널팀</v>
      </c>
      <c r="C981" s="46" t="str">
        <f>IFERROR(VLOOKUP($H981,매장구분!$B:$Z,3,0),"")</f>
        <v>국내</v>
      </c>
      <c r="D981" s="46" t="str">
        <f>IFERROR(VLOOKUP($H981,매장구분!$B:$Z,5,0),"")</f>
        <v>대리점</v>
      </c>
      <c r="E981" s="46" t="str">
        <f>IFERROR(VLOOKUP($H981,매장구분!$B:$Z,9,0),"")</f>
        <v>울산무거(대-위)</v>
      </c>
      <c r="G981" s="46" t="s">
        <v>241</v>
      </c>
      <c r="H981" s="46" t="s">
        <v>242</v>
      </c>
      <c r="I981" s="46" t="s">
        <v>169</v>
      </c>
      <c r="J981" s="46" t="s">
        <v>79</v>
      </c>
      <c r="K981" s="46" t="s">
        <v>170</v>
      </c>
      <c r="L981" s="46" t="s">
        <v>171</v>
      </c>
      <c r="M981" s="46" t="s">
        <v>196</v>
      </c>
      <c r="N981" s="46" t="s">
        <v>197</v>
      </c>
      <c r="O981" s="46">
        <v>7166493</v>
      </c>
      <c r="P981" s="46">
        <v>69</v>
      </c>
      <c r="Q981" s="46">
        <v>0</v>
      </c>
      <c r="R981" s="46">
        <v>0</v>
      </c>
      <c r="S981" s="46">
        <v>0</v>
      </c>
      <c r="T981" s="46">
        <v>0</v>
      </c>
      <c r="U981" s="46">
        <v>7650407</v>
      </c>
      <c r="V981" s="46">
        <v>33</v>
      </c>
      <c r="W981" s="46">
        <v>0</v>
      </c>
      <c r="X981" s="46">
        <v>0</v>
      </c>
      <c r="Y981" s="48">
        <v>0</v>
      </c>
      <c r="Z981" s="46">
        <v>0</v>
      </c>
      <c r="AA981" s="46">
        <v>0</v>
      </c>
      <c r="AB981" s="46">
        <v>0</v>
      </c>
      <c r="AC981" s="46">
        <v>14816900</v>
      </c>
      <c r="AD981" s="46">
        <v>102</v>
      </c>
      <c r="AF981" s="47">
        <f t="shared" si="15"/>
        <v>14816900</v>
      </c>
    </row>
    <row r="982" spans="1:32" hidden="1" x14ac:dyDescent="0.3">
      <c r="A982" s="46" t="s">
        <v>615</v>
      </c>
      <c r="B982" s="46" t="str">
        <f>IFERROR(VLOOKUP($H982,매장구분!$B:$Z,2,0),"")</f>
        <v>파트너채널팀</v>
      </c>
      <c r="C982" s="46" t="str">
        <f>IFERROR(VLOOKUP($H982,매장구분!$B:$Z,3,0),"")</f>
        <v>국내</v>
      </c>
      <c r="D982" s="46" t="str">
        <f>IFERROR(VLOOKUP($H982,매장구분!$B:$Z,5,0),"")</f>
        <v>백화점</v>
      </c>
      <c r="E982" s="46" t="str">
        <f>IFERROR(VLOOKUP($H982,매장구분!$B:$Z,9,0),"")</f>
        <v>신세계광주</v>
      </c>
      <c r="G982" s="46" t="s">
        <v>504</v>
      </c>
      <c r="H982" s="46" t="s">
        <v>505</v>
      </c>
      <c r="I982" s="46" t="s">
        <v>169</v>
      </c>
      <c r="J982" s="46" t="s">
        <v>175</v>
      </c>
      <c r="K982" s="46" t="s">
        <v>170</v>
      </c>
      <c r="L982" s="46" t="s">
        <v>171</v>
      </c>
      <c r="M982" s="46" t="s">
        <v>77</v>
      </c>
      <c r="N982" s="46" t="s">
        <v>172</v>
      </c>
      <c r="O982" s="46">
        <v>20011140</v>
      </c>
      <c r="P982" s="46">
        <v>176</v>
      </c>
      <c r="Q982" s="46">
        <v>0</v>
      </c>
      <c r="R982" s="46">
        <v>0</v>
      </c>
      <c r="S982" s="46">
        <v>0</v>
      </c>
      <c r="T982" s="46">
        <v>0</v>
      </c>
      <c r="U982" s="46">
        <v>2427860</v>
      </c>
      <c r="V982" s="46">
        <v>10</v>
      </c>
      <c r="W982" s="46">
        <v>0</v>
      </c>
      <c r="X982" s="46">
        <v>0</v>
      </c>
      <c r="Y982" s="48">
        <v>0</v>
      </c>
      <c r="Z982" s="46">
        <v>0</v>
      </c>
      <c r="AA982" s="46">
        <v>0</v>
      </c>
      <c r="AB982" s="46">
        <v>0</v>
      </c>
      <c r="AC982" s="46">
        <v>22439000</v>
      </c>
      <c r="AD982" s="46">
        <v>186</v>
      </c>
      <c r="AF982" s="47">
        <f t="shared" si="15"/>
        <v>22439000</v>
      </c>
    </row>
    <row r="983" spans="1:32" hidden="1" x14ac:dyDescent="0.3">
      <c r="A983" s="46" t="s">
        <v>615</v>
      </c>
      <c r="B983" s="46" t="str">
        <f>IFERROR(VLOOKUP($H983,매장구분!$B:$Z,2,0),"")</f>
        <v>파트너채널팀</v>
      </c>
      <c r="C983" s="46" t="str">
        <f>IFERROR(VLOOKUP($H983,매장구분!$B:$Z,3,0),"")</f>
        <v>국내</v>
      </c>
      <c r="D983" s="46" t="str">
        <f>IFERROR(VLOOKUP($H983,매장구분!$B:$Z,5,0),"")</f>
        <v>백화점</v>
      </c>
      <c r="E983" s="46" t="str">
        <f>IFERROR(VLOOKUP($H983,매장구분!$B:$Z,9,0),"")</f>
        <v>신세계의정부</v>
      </c>
      <c r="G983" s="46" t="s">
        <v>438</v>
      </c>
      <c r="H983" s="46" t="s">
        <v>439</v>
      </c>
      <c r="I983" s="46" t="s">
        <v>169</v>
      </c>
      <c r="J983" s="46" t="s">
        <v>175</v>
      </c>
      <c r="K983" s="46" t="s">
        <v>170</v>
      </c>
      <c r="L983" s="46" t="s">
        <v>171</v>
      </c>
      <c r="M983" s="46" t="s">
        <v>77</v>
      </c>
      <c r="N983" s="46" t="s">
        <v>172</v>
      </c>
      <c r="O983" s="46">
        <v>27032200</v>
      </c>
      <c r="P983" s="46">
        <v>227</v>
      </c>
      <c r="Q983" s="46">
        <v>0</v>
      </c>
      <c r="R983" s="46">
        <v>0</v>
      </c>
      <c r="S983" s="46">
        <v>0</v>
      </c>
      <c r="T983" s="46">
        <v>0</v>
      </c>
      <c r="U983" s="46">
        <v>3139100</v>
      </c>
      <c r="V983" s="46">
        <v>16</v>
      </c>
      <c r="W983" s="46">
        <v>0</v>
      </c>
      <c r="X983" s="46">
        <v>0</v>
      </c>
      <c r="Y983" s="48">
        <v>0</v>
      </c>
      <c r="Z983" s="46">
        <v>0</v>
      </c>
      <c r="AA983" s="46">
        <v>0</v>
      </c>
      <c r="AB983" s="46">
        <v>0</v>
      </c>
      <c r="AC983" s="46">
        <v>30171300</v>
      </c>
      <c r="AD983" s="46">
        <v>243</v>
      </c>
      <c r="AF983" s="47">
        <f t="shared" si="15"/>
        <v>30171300</v>
      </c>
    </row>
    <row r="984" spans="1:32" hidden="1" x14ac:dyDescent="0.3">
      <c r="A984" s="46" t="s">
        <v>615</v>
      </c>
      <c r="B984" s="46" t="str">
        <f>IFERROR(VLOOKUP($H984,매장구분!$B:$Z,2,0),"")</f>
        <v>파트너채널팀</v>
      </c>
      <c r="C984" s="46" t="str">
        <f>IFERROR(VLOOKUP($H984,매장구분!$B:$Z,3,0),"")</f>
        <v>국내</v>
      </c>
      <c r="D984" s="46" t="str">
        <f>IFERROR(VLOOKUP($H984,매장구분!$B:$Z,5,0),"")</f>
        <v>백화점</v>
      </c>
      <c r="E984" s="46" t="str">
        <f>IFERROR(VLOOKUP($H984,매장구분!$B:$Z,9,0),"")</f>
        <v>에버세이브청주</v>
      </c>
      <c r="G984" s="46" t="s">
        <v>328</v>
      </c>
      <c r="H984" s="46" t="s">
        <v>329</v>
      </c>
      <c r="I984" s="46" t="s">
        <v>169</v>
      </c>
      <c r="J984" s="46" t="s">
        <v>175</v>
      </c>
      <c r="K984" s="46" t="s">
        <v>170</v>
      </c>
      <c r="L984" s="46" t="s">
        <v>171</v>
      </c>
      <c r="M984" s="46" t="s">
        <v>77</v>
      </c>
      <c r="N984" s="46" t="s">
        <v>238</v>
      </c>
      <c r="O984" s="46">
        <v>13883310</v>
      </c>
      <c r="P984" s="46">
        <v>117</v>
      </c>
      <c r="Q984" s="46">
        <v>0</v>
      </c>
      <c r="R984" s="46">
        <v>0</v>
      </c>
      <c r="S984" s="46">
        <v>0</v>
      </c>
      <c r="T984" s="46">
        <v>0</v>
      </c>
      <c r="U984" s="46">
        <v>1443890</v>
      </c>
      <c r="V984" s="46">
        <v>7</v>
      </c>
      <c r="W984" s="46">
        <v>0</v>
      </c>
      <c r="X984" s="46">
        <v>0</v>
      </c>
      <c r="Y984" s="48">
        <v>0</v>
      </c>
      <c r="Z984" s="46">
        <v>0</v>
      </c>
      <c r="AA984" s="46">
        <v>0</v>
      </c>
      <c r="AB984" s="46">
        <v>0</v>
      </c>
      <c r="AC984" s="46">
        <v>15327200</v>
      </c>
      <c r="AD984" s="46">
        <v>124</v>
      </c>
      <c r="AF984" s="47">
        <f t="shared" si="15"/>
        <v>15327200</v>
      </c>
    </row>
    <row r="985" spans="1:32" hidden="1" x14ac:dyDescent="0.3">
      <c r="A985" s="46" t="s">
        <v>615</v>
      </c>
      <c r="B985" s="46" t="str">
        <f>IFERROR(VLOOKUP($H985,매장구분!$B:$Z,2,0),"")</f>
        <v>리테일채널팀</v>
      </c>
      <c r="C985" s="46" t="str">
        <f>IFERROR(VLOOKUP($H985,매장구분!$B:$Z,3,0),"")</f>
        <v>국내</v>
      </c>
      <c r="D985" s="46" t="str">
        <f>IFERROR(VLOOKUP($H985,매장구분!$B:$Z,5,0),"")</f>
        <v>대리점</v>
      </c>
      <c r="E985" s="46" t="str">
        <f>IFERROR(VLOOKUP($H985,매장구분!$B:$Z,9,0),"")</f>
        <v>해남(대-위)</v>
      </c>
      <c r="G985" s="46" t="s">
        <v>514</v>
      </c>
      <c r="H985" s="46" t="s">
        <v>515</v>
      </c>
      <c r="I985" s="46" t="s">
        <v>169</v>
      </c>
      <c r="J985" s="46" t="s">
        <v>79</v>
      </c>
      <c r="K985" s="46" t="s">
        <v>170</v>
      </c>
      <c r="L985" s="46" t="s">
        <v>171</v>
      </c>
      <c r="M985" s="46" t="s">
        <v>196</v>
      </c>
      <c r="N985" s="46" t="s">
        <v>197</v>
      </c>
      <c r="O985" s="46">
        <v>15606345</v>
      </c>
      <c r="P985" s="46">
        <v>152</v>
      </c>
      <c r="Q985" s="46">
        <v>0</v>
      </c>
      <c r="R985" s="46">
        <v>0</v>
      </c>
      <c r="S985" s="46">
        <v>0</v>
      </c>
      <c r="T985" s="46">
        <v>0</v>
      </c>
      <c r="U985" s="46">
        <v>5951000</v>
      </c>
      <c r="V985" s="46">
        <v>31</v>
      </c>
      <c r="W985" s="46">
        <v>0</v>
      </c>
      <c r="X985" s="46">
        <v>0</v>
      </c>
      <c r="Y985" s="48">
        <v>0</v>
      </c>
      <c r="Z985" s="46">
        <v>0</v>
      </c>
      <c r="AA985" s="46">
        <v>0</v>
      </c>
      <c r="AB985" s="46">
        <v>0</v>
      </c>
      <c r="AC985" s="46">
        <v>21557345</v>
      </c>
      <c r="AD985" s="46">
        <v>183</v>
      </c>
      <c r="AF985" s="47">
        <f t="shared" si="15"/>
        <v>21557345</v>
      </c>
    </row>
    <row r="986" spans="1:32" hidden="1" x14ac:dyDescent="0.3">
      <c r="A986" s="46" t="s">
        <v>615</v>
      </c>
      <c r="B986" s="46" t="str">
        <f>IFERROR(VLOOKUP($H986,매장구분!$B:$Z,2,0),"")</f>
        <v>리테일채널팀</v>
      </c>
      <c r="C986" s="46" t="str">
        <f>IFERROR(VLOOKUP($H986,매장구분!$B:$Z,3,0),"")</f>
        <v>국내</v>
      </c>
      <c r="D986" s="46" t="str">
        <f>IFERROR(VLOOKUP($H986,매장구분!$B:$Z,5,0),"")</f>
        <v>대리점</v>
      </c>
      <c r="E986" s="46" t="str">
        <f>IFERROR(VLOOKUP($H986,매장구분!$B:$Z,9,0),"")</f>
        <v>부평(대-위)</v>
      </c>
      <c r="G986" s="46" t="s">
        <v>588</v>
      </c>
      <c r="H986" s="46" t="s">
        <v>589</v>
      </c>
      <c r="I986" s="46" t="s">
        <v>169</v>
      </c>
      <c r="J986" s="46" t="s">
        <v>79</v>
      </c>
      <c r="K986" s="46" t="s">
        <v>170</v>
      </c>
      <c r="L986" s="46" t="s">
        <v>171</v>
      </c>
      <c r="M986" s="46" t="s">
        <v>196</v>
      </c>
      <c r="N986" s="46" t="s">
        <v>197</v>
      </c>
      <c r="O986" s="46">
        <v>17676200</v>
      </c>
      <c r="P986" s="46">
        <v>125</v>
      </c>
      <c r="Q986" s="46">
        <v>0</v>
      </c>
      <c r="R986" s="46">
        <v>0</v>
      </c>
      <c r="S986" s="46">
        <v>0</v>
      </c>
      <c r="T986" s="46">
        <v>0</v>
      </c>
      <c r="U986" s="46">
        <v>-499500</v>
      </c>
      <c r="V986" s="46">
        <v>2</v>
      </c>
      <c r="W986" s="46">
        <v>0</v>
      </c>
      <c r="X986" s="46">
        <v>0</v>
      </c>
      <c r="Y986" s="48">
        <v>0</v>
      </c>
      <c r="Z986" s="46">
        <v>0</v>
      </c>
      <c r="AA986" s="46">
        <v>0</v>
      </c>
      <c r="AB986" s="46">
        <v>0</v>
      </c>
      <c r="AC986" s="46">
        <v>17176700</v>
      </c>
      <c r="AD986" s="46">
        <v>127</v>
      </c>
      <c r="AF986" s="47">
        <f t="shared" si="15"/>
        <v>17176700</v>
      </c>
    </row>
    <row r="987" spans="1:32" hidden="1" x14ac:dyDescent="0.3">
      <c r="A987" s="46" t="s">
        <v>615</v>
      </c>
      <c r="B987" s="46" t="str">
        <f>IFERROR(VLOOKUP($H987,매장구분!$B:$Z,2,0),"")</f>
        <v>E-biz</v>
      </c>
      <c r="C987" s="46" t="str">
        <f>IFERROR(VLOOKUP($H987,매장구분!$B:$Z,3,0),"")</f>
        <v>국내</v>
      </c>
      <c r="D987" s="46" t="str">
        <f>IFERROR(VLOOKUP($H987,매장구분!$B:$Z,5,0),"")</f>
        <v>온(제휴몰)</v>
      </c>
      <c r="E987" s="46" t="str">
        <f>IFERROR(VLOOKUP($H987,매장구분!$B:$Z,9,0),"")</f>
        <v>SSG닷컴(제휴몰)</v>
      </c>
      <c r="G987" s="46" t="s">
        <v>498</v>
      </c>
      <c r="H987" s="46" t="s">
        <v>499</v>
      </c>
      <c r="I987" s="46" t="s">
        <v>169</v>
      </c>
      <c r="J987" s="46" t="s">
        <v>180</v>
      </c>
      <c r="K987" s="46" t="s">
        <v>170</v>
      </c>
      <c r="L987" s="46" t="s">
        <v>181</v>
      </c>
      <c r="M987" s="46" t="s">
        <v>181</v>
      </c>
      <c r="N987" s="46" t="s">
        <v>185</v>
      </c>
      <c r="O987" s="46">
        <v>19889400</v>
      </c>
      <c r="P987" s="46">
        <v>183</v>
      </c>
      <c r="Q987" s="46">
        <v>0</v>
      </c>
      <c r="R987" s="46">
        <v>0</v>
      </c>
      <c r="S987" s="46">
        <v>0</v>
      </c>
      <c r="T987" s="46">
        <v>0</v>
      </c>
      <c r="U987" s="46">
        <v>0</v>
      </c>
      <c r="V987" s="46">
        <v>0</v>
      </c>
      <c r="W987" s="46">
        <v>0</v>
      </c>
      <c r="X987" s="46">
        <v>0</v>
      </c>
      <c r="Y987" s="48">
        <v>0</v>
      </c>
      <c r="Z987" s="46">
        <v>0</v>
      </c>
      <c r="AA987" s="46">
        <v>0</v>
      </c>
      <c r="AB987" s="46">
        <v>0</v>
      </c>
      <c r="AC987" s="46">
        <v>19889400</v>
      </c>
      <c r="AD987" s="46">
        <v>183</v>
      </c>
      <c r="AF987" s="47">
        <f t="shared" si="15"/>
        <v>19889400</v>
      </c>
    </row>
    <row r="988" spans="1:32" hidden="1" x14ac:dyDescent="0.3">
      <c r="A988" s="46" t="s">
        <v>615</v>
      </c>
      <c r="B988" s="46" t="str">
        <f>IFERROR(VLOOKUP($H988,매장구분!$B:$Z,2,0),"")</f>
        <v>파트너채널팀</v>
      </c>
      <c r="C988" s="46" t="str">
        <f>IFERROR(VLOOKUP($H988,매장구분!$B:$Z,3,0),"")</f>
        <v>국내</v>
      </c>
      <c r="D988" s="46" t="str">
        <f>IFERROR(VLOOKUP($H988,매장구분!$B:$Z,5,0),"")</f>
        <v>백화점</v>
      </c>
      <c r="E988" s="46" t="str">
        <f>IFERROR(VLOOKUP($H988,매장구분!$B:$Z,9,0),"")</f>
        <v>롯데동래</v>
      </c>
      <c r="G988" s="46" t="s">
        <v>239</v>
      </c>
      <c r="H988" s="46" t="s">
        <v>240</v>
      </c>
      <c r="I988" s="46" t="s">
        <v>169</v>
      </c>
      <c r="J988" s="46" t="s">
        <v>175</v>
      </c>
      <c r="K988" s="46" t="s">
        <v>170</v>
      </c>
      <c r="L988" s="46" t="s">
        <v>171</v>
      </c>
      <c r="M988" s="46" t="s">
        <v>77</v>
      </c>
      <c r="N988" s="46" t="s">
        <v>172</v>
      </c>
      <c r="O988" s="46">
        <v>19135282</v>
      </c>
      <c r="P988" s="46">
        <v>146</v>
      </c>
      <c r="Q988" s="46">
        <v>0</v>
      </c>
      <c r="R988" s="46">
        <v>0</v>
      </c>
      <c r="S988" s="46">
        <v>0</v>
      </c>
      <c r="T988" s="46">
        <v>0</v>
      </c>
      <c r="U988" s="46">
        <v>1180018</v>
      </c>
      <c r="V988" s="46">
        <v>6</v>
      </c>
      <c r="W988" s="46">
        <v>0</v>
      </c>
      <c r="X988" s="46">
        <v>0</v>
      </c>
      <c r="Y988" s="48">
        <v>4905000</v>
      </c>
      <c r="Z988" s="46">
        <v>50</v>
      </c>
      <c r="AA988" s="46">
        <v>0</v>
      </c>
      <c r="AB988" s="46">
        <v>0</v>
      </c>
      <c r="AC988" s="46">
        <v>25220300</v>
      </c>
      <c r="AD988" s="46">
        <v>202</v>
      </c>
      <c r="AF988" s="47">
        <f t="shared" si="15"/>
        <v>20315300</v>
      </c>
    </row>
    <row r="989" spans="1:32" hidden="1" x14ac:dyDescent="0.3">
      <c r="A989" s="46" t="s">
        <v>615</v>
      </c>
      <c r="B989" s="46" t="str">
        <f>IFERROR(VLOOKUP($H989,매장구분!$B:$Z,2,0),"")</f>
        <v>리테일채널팀</v>
      </c>
      <c r="C989" s="46" t="str">
        <f>IFERROR(VLOOKUP($H989,매장구분!$B:$Z,3,0),"")</f>
        <v>국내</v>
      </c>
      <c r="D989" s="46" t="str">
        <f>IFERROR(VLOOKUP($H989,매장구분!$B:$Z,5,0),"")</f>
        <v>대리점</v>
      </c>
      <c r="E989" s="46" t="str">
        <f>IFERROR(VLOOKUP($H989,매장구분!$B:$Z,9,0),"")</f>
        <v>익산(대-위)</v>
      </c>
      <c r="G989" s="46" t="s">
        <v>490</v>
      </c>
      <c r="H989" s="46" t="s">
        <v>491</v>
      </c>
      <c r="I989" s="46" t="s">
        <v>169</v>
      </c>
      <c r="J989" s="46" t="s">
        <v>79</v>
      </c>
      <c r="K989" s="46" t="s">
        <v>170</v>
      </c>
      <c r="L989" s="46" t="s">
        <v>171</v>
      </c>
      <c r="M989" s="46" t="s">
        <v>196</v>
      </c>
      <c r="N989" s="46" t="s">
        <v>197</v>
      </c>
      <c r="O989" s="46">
        <v>15406030</v>
      </c>
      <c r="P989" s="46">
        <v>134</v>
      </c>
      <c r="Q989" s="46">
        <v>0</v>
      </c>
      <c r="R989" s="46">
        <v>0</v>
      </c>
      <c r="S989" s="46">
        <v>0</v>
      </c>
      <c r="T989" s="46">
        <v>0</v>
      </c>
      <c r="U989" s="46">
        <v>3002360</v>
      </c>
      <c r="V989" s="46">
        <v>13</v>
      </c>
      <c r="W989" s="46">
        <v>0</v>
      </c>
      <c r="X989" s="46">
        <v>0</v>
      </c>
      <c r="Y989" s="48">
        <v>5143000</v>
      </c>
      <c r="Z989" s="46">
        <v>37</v>
      </c>
      <c r="AA989" s="46">
        <v>0</v>
      </c>
      <c r="AB989" s="46">
        <v>0</v>
      </c>
      <c r="AC989" s="46">
        <v>23551390</v>
      </c>
      <c r="AD989" s="46">
        <v>184</v>
      </c>
      <c r="AF989" s="47">
        <f t="shared" si="15"/>
        <v>18408390</v>
      </c>
    </row>
    <row r="990" spans="1:32" hidden="1" x14ac:dyDescent="0.3">
      <c r="A990" s="46" t="s">
        <v>615</v>
      </c>
      <c r="B990" s="46" t="str">
        <f>IFERROR(VLOOKUP($H990,매장구분!$B:$Z,2,0),"")</f>
        <v>리테일채널팀</v>
      </c>
      <c r="C990" s="46" t="str">
        <f>IFERROR(VLOOKUP($H990,매장구분!$B:$Z,3,0),"")</f>
        <v>국내</v>
      </c>
      <c r="D990" s="46" t="str">
        <f>IFERROR(VLOOKUP($H990,매장구분!$B:$Z,5,0),"")</f>
        <v>상설(위탁)</v>
      </c>
      <c r="E990" s="46" t="str">
        <f>IFERROR(VLOOKUP($H990,매장구분!$B:$Z,9,0),"")</f>
        <v>현대아울렛대전(상-위)</v>
      </c>
      <c r="G990" s="46" t="s">
        <v>287</v>
      </c>
      <c r="H990" s="46" t="s">
        <v>288</v>
      </c>
      <c r="I990" s="46" t="s">
        <v>169</v>
      </c>
      <c r="J990" s="46" t="s">
        <v>79</v>
      </c>
      <c r="K990" s="46" t="s">
        <v>170</v>
      </c>
      <c r="L990" s="46" t="s">
        <v>171</v>
      </c>
      <c r="M990" s="46" t="s">
        <v>219</v>
      </c>
      <c r="N990" s="46" t="s">
        <v>219</v>
      </c>
      <c r="O990" s="46">
        <v>1152000</v>
      </c>
      <c r="P990" s="46">
        <v>32</v>
      </c>
      <c r="Q990" s="46">
        <v>0</v>
      </c>
      <c r="R990" s="46">
        <v>0</v>
      </c>
      <c r="S990" s="46">
        <v>0</v>
      </c>
      <c r="T990" s="46">
        <v>0</v>
      </c>
      <c r="U990" s="46">
        <v>0</v>
      </c>
      <c r="V990" s="46">
        <v>0</v>
      </c>
      <c r="W990" s="46">
        <v>0</v>
      </c>
      <c r="X990" s="46">
        <v>0</v>
      </c>
      <c r="Y990" s="48">
        <v>0</v>
      </c>
      <c r="Z990" s="46">
        <v>0</v>
      </c>
      <c r="AA990" s="46">
        <v>0</v>
      </c>
      <c r="AB990" s="46">
        <v>0</v>
      </c>
      <c r="AC990" s="46">
        <v>1152000</v>
      </c>
      <c r="AD990" s="46">
        <v>32</v>
      </c>
      <c r="AF990" s="47">
        <f t="shared" si="15"/>
        <v>1152000</v>
      </c>
    </row>
    <row r="991" spans="1:32" hidden="1" x14ac:dyDescent="0.3">
      <c r="A991" s="46" t="s">
        <v>615</v>
      </c>
      <c r="B991" s="46" t="str">
        <f>IFERROR(VLOOKUP($H991,매장구분!$B:$Z,2,0),"")</f>
        <v>리테일채널팀</v>
      </c>
      <c r="C991" s="46" t="str">
        <f>IFERROR(VLOOKUP($H991,매장구분!$B:$Z,3,0),"")</f>
        <v>국내</v>
      </c>
      <c r="D991" s="46" t="str">
        <f>IFERROR(VLOOKUP($H991,매장구분!$B:$Z,5,0),"")</f>
        <v>상설(위탁)</v>
      </c>
      <c r="E991" s="46" t="str">
        <f>IFERROR(VLOOKUP($H991,매장구분!$B:$Z,9,0),"")</f>
        <v>LF스퀘어양주(상-위)</v>
      </c>
      <c r="G991" s="46" t="s">
        <v>283</v>
      </c>
      <c r="H991" s="46" t="s">
        <v>284</v>
      </c>
      <c r="I991" s="46" t="s">
        <v>169</v>
      </c>
      <c r="J991" s="46" t="s">
        <v>79</v>
      </c>
      <c r="K991" s="46" t="s">
        <v>170</v>
      </c>
      <c r="L991" s="46" t="s">
        <v>171</v>
      </c>
      <c r="M991" s="46" t="s">
        <v>77</v>
      </c>
      <c r="N991" s="46" t="s">
        <v>172</v>
      </c>
      <c r="O991" s="46">
        <v>1656000</v>
      </c>
      <c r="P991" s="46">
        <v>46</v>
      </c>
      <c r="Q991" s="46">
        <v>0</v>
      </c>
      <c r="R991" s="46">
        <v>0</v>
      </c>
      <c r="S991" s="46">
        <v>0</v>
      </c>
      <c r="T991" s="46">
        <v>0</v>
      </c>
      <c r="U991" s="46">
        <v>0</v>
      </c>
      <c r="V991" s="46">
        <v>0</v>
      </c>
      <c r="W991" s="46">
        <v>0</v>
      </c>
      <c r="X991" s="46">
        <v>0</v>
      </c>
      <c r="Y991" s="48">
        <v>0</v>
      </c>
      <c r="Z991" s="46">
        <v>0</v>
      </c>
      <c r="AA991" s="46">
        <v>0</v>
      </c>
      <c r="AB991" s="46">
        <v>0</v>
      </c>
      <c r="AC991" s="46">
        <v>1656000</v>
      </c>
      <c r="AD991" s="46">
        <v>46</v>
      </c>
      <c r="AF991" s="47">
        <f t="shared" si="15"/>
        <v>1656000</v>
      </c>
    </row>
    <row r="992" spans="1:32" hidden="1" x14ac:dyDescent="0.3">
      <c r="B992" s="46" t="str">
        <f>IFERROR(VLOOKUP($H992,매장구분!$B:$Z,2,0),"")</f>
        <v/>
      </c>
      <c r="C992" s="46" t="str">
        <f>IFERROR(VLOOKUP($H992,매장구분!$B:$Z,3,0),"")</f>
        <v/>
      </c>
      <c r="D992" s="46" t="str">
        <f>IFERROR(VLOOKUP($H992,매장구분!$B:$Z,5,0),"")</f>
        <v/>
      </c>
      <c r="E992" s="46" t="str">
        <f>IFERROR(VLOOKUP($H992,매장구분!$B:$Z,9,0),"")</f>
        <v/>
      </c>
      <c r="AF992" s="47">
        <f t="shared" si="15"/>
        <v>0</v>
      </c>
    </row>
    <row r="993" spans="2:32" hidden="1" x14ac:dyDescent="0.3">
      <c r="B993" s="46" t="str">
        <f>IFERROR(VLOOKUP($H993,매장구분!$B:$Z,2,0),"")</f>
        <v/>
      </c>
      <c r="C993" s="46" t="str">
        <f>IFERROR(VLOOKUP($H993,매장구분!$B:$Z,3,0),"")</f>
        <v/>
      </c>
      <c r="D993" s="46" t="str">
        <f>IFERROR(VLOOKUP($H993,매장구분!$B:$Z,5,0),"")</f>
        <v/>
      </c>
      <c r="E993" s="46" t="str">
        <f>IFERROR(VLOOKUP($H993,매장구분!$B:$Z,9,0),"")</f>
        <v/>
      </c>
      <c r="AF993" s="47">
        <f t="shared" si="15"/>
        <v>0</v>
      </c>
    </row>
    <row r="994" spans="2:32" hidden="1" x14ac:dyDescent="0.3">
      <c r="B994" s="46" t="str">
        <f>IFERROR(VLOOKUP($H994,매장구분!$B:$Z,2,0),"")</f>
        <v/>
      </c>
      <c r="C994" s="46" t="str">
        <f>IFERROR(VLOOKUP($H994,매장구분!$B:$Z,3,0),"")</f>
        <v/>
      </c>
      <c r="D994" s="46" t="str">
        <f>IFERROR(VLOOKUP($H994,매장구분!$B:$Z,5,0),"")</f>
        <v/>
      </c>
      <c r="E994" s="46" t="str">
        <f>IFERROR(VLOOKUP($H994,매장구분!$B:$Z,9,0),"")</f>
        <v/>
      </c>
      <c r="AF994" s="47">
        <f t="shared" si="15"/>
        <v>0</v>
      </c>
    </row>
    <row r="995" spans="2:32" hidden="1" x14ac:dyDescent="0.3">
      <c r="B995" s="46" t="str">
        <f>IFERROR(VLOOKUP($H995,매장구분!$B:$Z,2,0),"")</f>
        <v/>
      </c>
      <c r="C995" s="46" t="str">
        <f>IFERROR(VLOOKUP($H995,매장구분!$B:$Z,3,0),"")</f>
        <v/>
      </c>
      <c r="D995" s="46" t="str">
        <f>IFERROR(VLOOKUP($H995,매장구분!$B:$Z,5,0),"")</f>
        <v/>
      </c>
      <c r="E995" s="46" t="str">
        <f>IFERROR(VLOOKUP($H995,매장구분!$B:$Z,9,0),"")</f>
        <v/>
      </c>
      <c r="AF995" s="47">
        <f t="shared" si="15"/>
        <v>0</v>
      </c>
    </row>
    <row r="996" spans="2:32" hidden="1" x14ac:dyDescent="0.3">
      <c r="B996" s="46" t="str">
        <f>IFERROR(VLOOKUP($H996,매장구분!$B:$Z,2,0),"")</f>
        <v/>
      </c>
      <c r="C996" s="46" t="str">
        <f>IFERROR(VLOOKUP($H996,매장구분!$B:$Z,3,0),"")</f>
        <v/>
      </c>
      <c r="D996" s="46" t="str">
        <f>IFERROR(VLOOKUP($H996,매장구분!$B:$Z,5,0),"")</f>
        <v/>
      </c>
      <c r="E996" s="46" t="str">
        <f>IFERROR(VLOOKUP($H996,매장구분!$B:$Z,9,0),"")</f>
        <v/>
      </c>
      <c r="AF996" s="47">
        <f t="shared" si="15"/>
        <v>0</v>
      </c>
    </row>
    <row r="997" spans="2:32" hidden="1" x14ac:dyDescent="0.3">
      <c r="B997" s="46" t="str">
        <f>IFERROR(VLOOKUP($H997,매장구분!$B:$Z,2,0),"")</f>
        <v/>
      </c>
      <c r="C997" s="46" t="str">
        <f>IFERROR(VLOOKUP($H997,매장구분!$B:$Z,3,0),"")</f>
        <v/>
      </c>
      <c r="D997" s="46" t="str">
        <f>IFERROR(VLOOKUP($H997,매장구분!$B:$Z,5,0),"")</f>
        <v/>
      </c>
      <c r="E997" s="46" t="str">
        <f>IFERROR(VLOOKUP($H997,매장구분!$B:$Z,9,0),"")</f>
        <v/>
      </c>
      <c r="AF997" s="47">
        <f t="shared" si="15"/>
        <v>0</v>
      </c>
    </row>
    <row r="998" spans="2:32" hidden="1" x14ac:dyDescent="0.3">
      <c r="B998" s="46" t="str">
        <f>IFERROR(VLOOKUP($H998,매장구분!$B:$Z,2,0),"")</f>
        <v/>
      </c>
      <c r="C998" s="46" t="str">
        <f>IFERROR(VLOOKUP($H998,매장구분!$B:$Z,3,0),"")</f>
        <v/>
      </c>
      <c r="D998" s="46" t="str">
        <f>IFERROR(VLOOKUP($H998,매장구분!$B:$Z,5,0),"")</f>
        <v/>
      </c>
      <c r="E998" s="46" t="str">
        <f>IFERROR(VLOOKUP($H998,매장구분!$B:$Z,9,0),"")</f>
        <v/>
      </c>
      <c r="AF998" s="47">
        <f t="shared" si="15"/>
        <v>0</v>
      </c>
    </row>
    <row r="999" spans="2:32" hidden="1" x14ac:dyDescent="0.3">
      <c r="B999" s="46" t="str">
        <f>IFERROR(VLOOKUP($H999,매장구분!$B:$Z,2,0),"")</f>
        <v/>
      </c>
      <c r="C999" s="46" t="str">
        <f>IFERROR(VLOOKUP($H999,매장구분!$B:$Z,3,0),"")</f>
        <v/>
      </c>
      <c r="D999" s="46" t="str">
        <f>IFERROR(VLOOKUP($H999,매장구분!$B:$Z,5,0),"")</f>
        <v/>
      </c>
      <c r="E999" s="46" t="str">
        <f>IFERROR(VLOOKUP($H999,매장구분!$B:$Z,9,0),"")</f>
        <v/>
      </c>
      <c r="AF999" s="47">
        <f t="shared" si="15"/>
        <v>0</v>
      </c>
    </row>
    <row r="1000" spans="2:32" hidden="1" x14ac:dyDescent="0.3">
      <c r="B1000" s="46" t="str">
        <f>IFERROR(VLOOKUP($H1000,매장구분!$B:$Z,2,0),"")</f>
        <v/>
      </c>
      <c r="C1000" s="46" t="str">
        <f>IFERROR(VLOOKUP($H1000,매장구분!$B:$Z,3,0),"")</f>
        <v/>
      </c>
      <c r="D1000" s="46" t="str">
        <f>IFERROR(VLOOKUP($H1000,매장구분!$B:$Z,5,0),"")</f>
        <v/>
      </c>
      <c r="E1000" s="46" t="str">
        <f>IFERROR(VLOOKUP($H1000,매장구분!$B:$Z,9,0),"")</f>
        <v/>
      </c>
      <c r="AF1000" s="47">
        <f t="shared" si="15"/>
        <v>0</v>
      </c>
    </row>
    <row r="1001" spans="2:32" hidden="1" x14ac:dyDescent="0.3">
      <c r="B1001" s="46" t="str">
        <f>IFERROR(VLOOKUP($H1001,매장구분!$B:$Z,2,0),"")</f>
        <v/>
      </c>
      <c r="C1001" s="46" t="str">
        <f>IFERROR(VLOOKUP($H1001,매장구분!$B:$Z,3,0),"")</f>
        <v/>
      </c>
      <c r="D1001" s="46" t="str">
        <f>IFERROR(VLOOKUP($H1001,매장구분!$B:$Z,5,0),"")</f>
        <v/>
      </c>
      <c r="E1001" s="46" t="str">
        <f>IFERROR(VLOOKUP($H1001,매장구분!$B:$Z,9,0),"")</f>
        <v/>
      </c>
      <c r="AF1001" s="47">
        <f t="shared" si="15"/>
        <v>0</v>
      </c>
    </row>
    <row r="1002" spans="2:32" hidden="1" x14ac:dyDescent="0.3">
      <c r="B1002" s="46" t="str">
        <f>IFERROR(VLOOKUP($H1002,매장구분!$B:$Z,2,0),"")</f>
        <v/>
      </c>
      <c r="C1002" s="46" t="str">
        <f>IFERROR(VLOOKUP($H1002,매장구분!$B:$Z,3,0),"")</f>
        <v/>
      </c>
      <c r="D1002" s="46" t="str">
        <f>IFERROR(VLOOKUP($H1002,매장구분!$B:$Z,5,0),"")</f>
        <v/>
      </c>
      <c r="E1002" s="46" t="str">
        <f>IFERROR(VLOOKUP($H1002,매장구분!$B:$Z,9,0),"")</f>
        <v/>
      </c>
      <c r="AF1002" s="47">
        <f t="shared" si="15"/>
        <v>0</v>
      </c>
    </row>
    <row r="1003" spans="2:32" hidden="1" x14ac:dyDescent="0.3">
      <c r="B1003" s="46" t="str">
        <f>IFERROR(VLOOKUP($H1003,매장구분!$B:$Z,2,0),"")</f>
        <v/>
      </c>
      <c r="C1003" s="46" t="str">
        <f>IFERROR(VLOOKUP($H1003,매장구분!$B:$Z,3,0),"")</f>
        <v/>
      </c>
      <c r="D1003" s="46" t="str">
        <f>IFERROR(VLOOKUP($H1003,매장구분!$B:$Z,5,0),"")</f>
        <v/>
      </c>
      <c r="E1003" s="46" t="str">
        <f>IFERROR(VLOOKUP($H1003,매장구분!$B:$Z,9,0),"")</f>
        <v/>
      </c>
      <c r="AF1003" s="47">
        <f t="shared" si="15"/>
        <v>0</v>
      </c>
    </row>
    <row r="1004" spans="2:32" hidden="1" x14ac:dyDescent="0.3">
      <c r="B1004" s="46" t="str">
        <f>IFERROR(VLOOKUP($H1004,매장구분!$B:$Z,2,0),"")</f>
        <v/>
      </c>
      <c r="C1004" s="46" t="str">
        <f>IFERROR(VLOOKUP($H1004,매장구분!$B:$Z,3,0),"")</f>
        <v/>
      </c>
      <c r="D1004" s="46" t="str">
        <f>IFERROR(VLOOKUP($H1004,매장구분!$B:$Z,5,0),"")</f>
        <v/>
      </c>
      <c r="E1004" s="46" t="str">
        <f>IFERROR(VLOOKUP($H1004,매장구분!$B:$Z,9,0),"")</f>
        <v/>
      </c>
      <c r="AF1004" s="47">
        <f t="shared" si="15"/>
        <v>0</v>
      </c>
    </row>
    <row r="1005" spans="2:32" hidden="1" x14ac:dyDescent="0.3">
      <c r="B1005" s="46" t="str">
        <f>IFERROR(VLOOKUP($H1005,매장구분!$B:$Z,2,0),"")</f>
        <v/>
      </c>
      <c r="C1005" s="46" t="str">
        <f>IFERROR(VLOOKUP($H1005,매장구분!$B:$Z,3,0),"")</f>
        <v/>
      </c>
      <c r="D1005" s="46" t="str">
        <f>IFERROR(VLOOKUP($H1005,매장구분!$B:$Z,5,0),"")</f>
        <v/>
      </c>
      <c r="E1005" s="46" t="str">
        <f>IFERROR(VLOOKUP($H1005,매장구분!$B:$Z,9,0),"")</f>
        <v/>
      </c>
      <c r="AF1005" s="47">
        <f t="shared" si="15"/>
        <v>0</v>
      </c>
    </row>
    <row r="1006" spans="2:32" hidden="1" x14ac:dyDescent="0.3">
      <c r="B1006" s="46" t="str">
        <f>IFERROR(VLOOKUP($H1006,매장구분!$B:$Z,2,0),"")</f>
        <v/>
      </c>
      <c r="C1006" s="46" t="str">
        <f>IFERROR(VLOOKUP($H1006,매장구분!$B:$Z,3,0),"")</f>
        <v/>
      </c>
      <c r="D1006" s="46" t="str">
        <f>IFERROR(VLOOKUP($H1006,매장구분!$B:$Z,5,0),"")</f>
        <v/>
      </c>
      <c r="E1006" s="46" t="str">
        <f>IFERROR(VLOOKUP($H1006,매장구분!$B:$Z,9,0),"")</f>
        <v/>
      </c>
      <c r="AF1006" s="47">
        <f t="shared" si="15"/>
        <v>0</v>
      </c>
    </row>
    <row r="1007" spans="2:32" hidden="1" x14ac:dyDescent="0.3">
      <c r="B1007" s="46" t="str">
        <f>IFERROR(VLOOKUP($H1007,매장구분!$B:$Z,2,0),"")</f>
        <v/>
      </c>
      <c r="C1007" s="46" t="str">
        <f>IFERROR(VLOOKUP($H1007,매장구분!$B:$Z,3,0),"")</f>
        <v/>
      </c>
      <c r="D1007" s="46" t="str">
        <f>IFERROR(VLOOKUP($H1007,매장구분!$B:$Z,5,0),"")</f>
        <v/>
      </c>
      <c r="E1007" s="46" t="str">
        <f>IFERROR(VLOOKUP($H1007,매장구분!$B:$Z,9,0),"")</f>
        <v/>
      </c>
      <c r="AF1007" s="47">
        <f t="shared" si="15"/>
        <v>0</v>
      </c>
    </row>
    <row r="1008" spans="2:32" hidden="1" x14ac:dyDescent="0.3">
      <c r="B1008" s="46" t="str">
        <f>IFERROR(VLOOKUP($H1008,매장구분!$B:$Z,2,0),"")</f>
        <v/>
      </c>
      <c r="C1008" s="46" t="str">
        <f>IFERROR(VLOOKUP($H1008,매장구분!$B:$Z,3,0),"")</f>
        <v/>
      </c>
      <c r="D1008" s="46" t="str">
        <f>IFERROR(VLOOKUP($H1008,매장구분!$B:$Z,5,0),"")</f>
        <v/>
      </c>
      <c r="E1008" s="46" t="str">
        <f>IFERROR(VLOOKUP($H1008,매장구분!$B:$Z,9,0),"")</f>
        <v/>
      </c>
      <c r="AF1008" s="47">
        <f t="shared" si="15"/>
        <v>0</v>
      </c>
    </row>
    <row r="1009" spans="2:32" hidden="1" x14ac:dyDescent="0.3">
      <c r="B1009" s="46" t="str">
        <f>IFERROR(VLOOKUP($H1009,매장구분!$B:$Z,2,0),"")</f>
        <v/>
      </c>
      <c r="C1009" s="46" t="str">
        <f>IFERROR(VLOOKUP($H1009,매장구분!$B:$Z,3,0),"")</f>
        <v/>
      </c>
      <c r="D1009" s="46" t="str">
        <f>IFERROR(VLOOKUP($H1009,매장구분!$B:$Z,5,0),"")</f>
        <v/>
      </c>
      <c r="E1009" s="46" t="str">
        <f>IFERROR(VLOOKUP($H1009,매장구분!$B:$Z,9,0),"")</f>
        <v/>
      </c>
      <c r="AF1009" s="47">
        <f t="shared" si="15"/>
        <v>0</v>
      </c>
    </row>
    <row r="1010" spans="2:32" hidden="1" x14ac:dyDescent="0.3">
      <c r="B1010" s="46" t="str">
        <f>IFERROR(VLOOKUP($H1010,매장구분!$B:$Z,2,0),"")</f>
        <v/>
      </c>
      <c r="C1010" s="46" t="str">
        <f>IFERROR(VLOOKUP($H1010,매장구분!$B:$Z,3,0),"")</f>
        <v/>
      </c>
      <c r="D1010" s="46" t="str">
        <f>IFERROR(VLOOKUP($H1010,매장구분!$B:$Z,5,0),"")</f>
        <v/>
      </c>
      <c r="E1010" s="46" t="str">
        <f>IFERROR(VLOOKUP($H1010,매장구분!$B:$Z,9,0),"")</f>
        <v/>
      </c>
      <c r="AF1010" s="47">
        <f t="shared" si="15"/>
        <v>0</v>
      </c>
    </row>
    <row r="1011" spans="2:32" hidden="1" x14ac:dyDescent="0.3">
      <c r="B1011" s="46" t="str">
        <f>IFERROR(VLOOKUP($H1011,매장구분!$B:$Z,2,0),"")</f>
        <v/>
      </c>
      <c r="C1011" s="46" t="str">
        <f>IFERROR(VLOOKUP($H1011,매장구분!$B:$Z,3,0),"")</f>
        <v/>
      </c>
      <c r="D1011" s="46" t="str">
        <f>IFERROR(VLOOKUP($H1011,매장구분!$B:$Z,5,0),"")</f>
        <v/>
      </c>
      <c r="E1011" s="46" t="str">
        <f>IFERROR(VLOOKUP($H1011,매장구분!$B:$Z,9,0),"")</f>
        <v/>
      </c>
      <c r="AF1011" s="47">
        <f t="shared" si="15"/>
        <v>0</v>
      </c>
    </row>
    <row r="1012" spans="2:32" hidden="1" x14ac:dyDescent="0.3">
      <c r="B1012" s="46" t="str">
        <f>IFERROR(VLOOKUP($H1012,매장구분!$B:$Z,2,0),"")</f>
        <v/>
      </c>
      <c r="C1012" s="46" t="str">
        <f>IFERROR(VLOOKUP($H1012,매장구분!$B:$Z,3,0),"")</f>
        <v/>
      </c>
      <c r="D1012" s="46" t="str">
        <f>IFERROR(VLOOKUP($H1012,매장구분!$B:$Z,5,0),"")</f>
        <v/>
      </c>
      <c r="E1012" s="46" t="str">
        <f>IFERROR(VLOOKUP($H1012,매장구분!$B:$Z,9,0),"")</f>
        <v/>
      </c>
      <c r="AF1012" s="47">
        <f t="shared" si="15"/>
        <v>0</v>
      </c>
    </row>
    <row r="1013" spans="2:32" hidden="1" x14ac:dyDescent="0.3">
      <c r="B1013" s="46" t="str">
        <f>IFERROR(VLOOKUP($H1013,매장구분!$B:$Z,2,0),"")</f>
        <v/>
      </c>
      <c r="C1013" s="46" t="str">
        <f>IFERROR(VLOOKUP($H1013,매장구분!$B:$Z,3,0),"")</f>
        <v/>
      </c>
      <c r="D1013" s="46" t="str">
        <f>IFERROR(VLOOKUP($H1013,매장구분!$B:$Z,5,0),"")</f>
        <v/>
      </c>
      <c r="E1013" s="46" t="str">
        <f>IFERROR(VLOOKUP($H1013,매장구분!$B:$Z,9,0),"")</f>
        <v/>
      </c>
      <c r="AF1013" s="47">
        <f t="shared" si="15"/>
        <v>0</v>
      </c>
    </row>
    <row r="1014" spans="2:32" hidden="1" x14ac:dyDescent="0.3">
      <c r="B1014" s="46" t="str">
        <f>IFERROR(VLOOKUP($H1014,매장구분!$B:$Z,2,0),"")</f>
        <v/>
      </c>
      <c r="C1014" s="46" t="str">
        <f>IFERROR(VLOOKUP($H1014,매장구분!$B:$Z,3,0),"")</f>
        <v/>
      </c>
      <c r="D1014" s="46" t="str">
        <f>IFERROR(VLOOKUP($H1014,매장구분!$B:$Z,5,0),"")</f>
        <v/>
      </c>
      <c r="E1014" s="46" t="str">
        <f>IFERROR(VLOOKUP($H1014,매장구분!$B:$Z,9,0),"")</f>
        <v/>
      </c>
      <c r="AF1014" s="47">
        <f t="shared" si="15"/>
        <v>0</v>
      </c>
    </row>
    <row r="1015" spans="2:32" hidden="1" x14ac:dyDescent="0.3">
      <c r="B1015" s="46" t="str">
        <f>IFERROR(VLOOKUP($H1015,매장구분!$B:$Z,2,0),"")</f>
        <v/>
      </c>
      <c r="C1015" s="46" t="str">
        <f>IFERROR(VLOOKUP($H1015,매장구분!$B:$Z,3,0),"")</f>
        <v/>
      </c>
      <c r="D1015" s="46" t="str">
        <f>IFERROR(VLOOKUP($H1015,매장구분!$B:$Z,5,0),"")</f>
        <v/>
      </c>
      <c r="E1015" s="46" t="str">
        <f>IFERROR(VLOOKUP($H1015,매장구분!$B:$Z,9,0),"")</f>
        <v/>
      </c>
      <c r="AF1015" s="47">
        <f t="shared" si="15"/>
        <v>0</v>
      </c>
    </row>
    <row r="1016" spans="2:32" hidden="1" x14ac:dyDescent="0.3">
      <c r="B1016" s="46" t="str">
        <f>IFERROR(VLOOKUP($H1016,매장구분!$B:$Z,2,0),"")</f>
        <v/>
      </c>
      <c r="C1016" s="46" t="str">
        <f>IFERROR(VLOOKUP($H1016,매장구분!$B:$Z,3,0),"")</f>
        <v/>
      </c>
      <c r="D1016" s="46" t="str">
        <f>IFERROR(VLOOKUP($H1016,매장구분!$B:$Z,5,0),"")</f>
        <v/>
      </c>
      <c r="E1016" s="46" t="str">
        <f>IFERROR(VLOOKUP($H1016,매장구분!$B:$Z,9,0),"")</f>
        <v/>
      </c>
      <c r="AF1016" s="47">
        <f t="shared" si="15"/>
        <v>0</v>
      </c>
    </row>
    <row r="1017" spans="2:32" hidden="1" x14ac:dyDescent="0.3">
      <c r="B1017" s="46" t="str">
        <f>IFERROR(VLOOKUP($H1017,매장구분!$B:$Z,2,0),"")</f>
        <v/>
      </c>
      <c r="C1017" s="46" t="str">
        <f>IFERROR(VLOOKUP($H1017,매장구분!$B:$Z,3,0),"")</f>
        <v/>
      </c>
      <c r="D1017" s="46" t="str">
        <f>IFERROR(VLOOKUP($H1017,매장구분!$B:$Z,5,0),"")</f>
        <v/>
      </c>
      <c r="E1017" s="46" t="str">
        <f>IFERROR(VLOOKUP($H1017,매장구분!$B:$Z,9,0),"")</f>
        <v/>
      </c>
      <c r="AF1017" s="47">
        <f t="shared" si="15"/>
        <v>0</v>
      </c>
    </row>
    <row r="1018" spans="2:32" hidden="1" x14ac:dyDescent="0.3">
      <c r="B1018" s="46" t="str">
        <f>IFERROR(VLOOKUP($H1018,매장구분!$B:$Z,2,0),"")</f>
        <v/>
      </c>
      <c r="C1018" s="46" t="str">
        <f>IFERROR(VLOOKUP($H1018,매장구분!$B:$Z,3,0),"")</f>
        <v/>
      </c>
      <c r="D1018" s="46" t="str">
        <f>IFERROR(VLOOKUP($H1018,매장구분!$B:$Z,5,0),"")</f>
        <v/>
      </c>
      <c r="E1018" s="46" t="str">
        <f>IFERROR(VLOOKUP($H1018,매장구분!$B:$Z,9,0),"")</f>
        <v/>
      </c>
      <c r="AF1018" s="47">
        <f t="shared" si="15"/>
        <v>0</v>
      </c>
    </row>
    <row r="1019" spans="2:32" hidden="1" x14ac:dyDescent="0.3">
      <c r="B1019" s="46" t="str">
        <f>IFERROR(VLOOKUP($H1019,매장구분!$B:$Z,2,0),"")</f>
        <v/>
      </c>
      <c r="C1019" s="46" t="str">
        <f>IFERROR(VLOOKUP($H1019,매장구분!$B:$Z,3,0),"")</f>
        <v/>
      </c>
      <c r="D1019" s="46" t="str">
        <f>IFERROR(VLOOKUP($H1019,매장구분!$B:$Z,5,0),"")</f>
        <v/>
      </c>
      <c r="E1019" s="46" t="str">
        <f>IFERROR(VLOOKUP($H1019,매장구분!$B:$Z,9,0),"")</f>
        <v/>
      </c>
      <c r="AF1019" s="47">
        <f t="shared" si="15"/>
        <v>0</v>
      </c>
    </row>
    <row r="1020" spans="2:32" hidden="1" x14ac:dyDescent="0.3">
      <c r="B1020" s="46" t="str">
        <f>IFERROR(VLOOKUP($H1020,매장구분!$B:$Z,2,0),"")</f>
        <v/>
      </c>
      <c r="C1020" s="46" t="str">
        <f>IFERROR(VLOOKUP($H1020,매장구분!$B:$Z,3,0),"")</f>
        <v/>
      </c>
      <c r="D1020" s="46" t="str">
        <f>IFERROR(VLOOKUP($H1020,매장구분!$B:$Z,5,0),"")</f>
        <v/>
      </c>
      <c r="E1020" s="46" t="str">
        <f>IFERROR(VLOOKUP($H1020,매장구분!$B:$Z,9,0),"")</f>
        <v/>
      </c>
      <c r="AF1020" s="47">
        <f t="shared" si="15"/>
        <v>0</v>
      </c>
    </row>
    <row r="1021" spans="2:32" hidden="1" x14ac:dyDescent="0.3">
      <c r="B1021" s="46" t="str">
        <f>IFERROR(VLOOKUP($H1021,매장구분!$B:$Z,2,0),"")</f>
        <v/>
      </c>
      <c r="C1021" s="46" t="str">
        <f>IFERROR(VLOOKUP($H1021,매장구분!$B:$Z,3,0),"")</f>
        <v/>
      </c>
      <c r="D1021" s="46" t="str">
        <f>IFERROR(VLOOKUP($H1021,매장구분!$B:$Z,5,0),"")</f>
        <v/>
      </c>
      <c r="E1021" s="46" t="str">
        <f>IFERROR(VLOOKUP($H1021,매장구분!$B:$Z,9,0),"")</f>
        <v/>
      </c>
      <c r="AF1021" s="47">
        <f t="shared" si="15"/>
        <v>0</v>
      </c>
    </row>
    <row r="1022" spans="2:32" hidden="1" x14ac:dyDescent="0.3">
      <c r="B1022" s="46" t="str">
        <f>IFERROR(VLOOKUP($H1022,매장구분!$B:$Z,2,0),"")</f>
        <v/>
      </c>
      <c r="C1022" s="46" t="str">
        <f>IFERROR(VLOOKUP($H1022,매장구분!$B:$Z,3,0),"")</f>
        <v/>
      </c>
      <c r="D1022" s="46" t="str">
        <f>IFERROR(VLOOKUP($H1022,매장구분!$B:$Z,5,0),"")</f>
        <v/>
      </c>
      <c r="E1022" s="46" t="str">
        <f>IFERROR(VLOOKUP($H1022,매장구분!$B:$Z,9,0),"")</f>
        <v/>
      </c>
      <c r="AF1022" s="47">
        <f t="shared" si="15"/>
        <v>0</v>
      </c>
    </row>
    <row r="1023" spans="2:32" hidden="1" x14ac:dyDescent="0.3">
      <c r="B1023" s="46" t="str">
        <f>IFERROR(VLOOKUP($H1023,매장구분!$B:$Z,2,0),"")</f>
        <v/>
      </c>
      <c r="C1023" s="46" t="str">
        <f>IFERROR(VLOOKUP($H1023,매장구분!$B:$Z,3,0),"")</f>
        <v/>
      </c>
      <c r="D1023" s="46" t="str">
        <f>IFERROR(VLOOKUP($H1023,매장구분!$B:$Z,5,0),"")</f>
        <v/>
      </c>
      <c r="E1023" s="46" t="str">
        <f>IFERROR(VLOOKUP($H1023,매장구분!$B:$Z,9,0),"")</f>
        <v/>
      </c>
      <c r="AF1023" s="47">
        <f t="shared" si="15"/>
        <v>0</v>
      </c>
    </row>
    <row r="1024" spans="2:32" hidden="1" x14ac:dyDescent="0.3">
      <c r="B1024" s="46" t="str">
        <f>IFERROR(VLOOKUP($H1024,매장구분!$B:$Z,2,0),"")</f>
        <v/>
      </c>
      <c r="C1024" s="46" t="str">
        <f>IFERROR(VLOOKUP($H1024,매장구분!$B:$Z,3,0),"")</f>
        <v/>
      </c>
      <c r="D1024" s="46" t="str">
        <f>IFERROR(VLOOKUP($H1024,매장구분!$B:$Z,5,0),"")</f>
        <v/>
      </c>
      <c r="E1024" s="46" t="str">
        <f>IFERROR(VLOOKUP($H1024,매장구분!$B:$Z,9,0),"")</f>
        <v/>
      </c>
      <c r="AF1024" s="47">
        <f t="shared" si="15"/>
        <v>0</v>
      </c>
    </row>
    <row r="1025" spans="2:32" hidden="1" x14ac:dyDescent="0.3">
      <c r="B1025" s="46" t="str">
        <f>IFERROR(VLOOKUP($H1025,매장구분!$B:$Z,2,0),"")</f>
        <v/>
      </c>
      <c r="C1025" s="46" t="str">
        <f>IFERROR(VLOOKUP($H1025,매장구분!$B:$Z,3,0),"")</f>
        <v/>
      </c>
      <c r="D1025" s="46" t="str">
        <f>IFERROR(VLOOKUP($H1025,매장구분!$B:$Z,5,0),"")</f>
        <v/>
      </c>
      <c r="E1025" s="46" t="str">
        <f>IFERROR(VLOOKUP($H1025,매장구분!$B:$Z,9,0),"")</f>
        <v/>
      </c>
      <c r="AF1025" s="47">
        <f t="shared" si="15"/>
        <v>0</v>
      </c>
    </row>
    <row r="1026" spans="2:32" hidden="1" x14ac:dyDescent="0.3">
      <c r="B1026" s="46" t="str">
        <f>IFERROR(VLOOKUP($H1026,매장구분!$B:$Z,2,0),"")</f>
        <v/>
      </c>
      <c r="C1026" s="46" t="str">
        <f>IFERROR(VLOOKUP($H1026,매장구분!$B:$Z,3,0),"")</f>
        <v/>
      </c>
      <c r="D1026" s="46" t="str">
        <f>IFERROR(VLOOKUP($H1026,매장구분!$B:$Z,5,0),"")</f>
        <v/>
      </c>
      <c r="E1026" s="46" t="str">
        <f>IFERROR(VLOOKUP($H1026,매장구분!$B:$Z,9,0),"")</f>
        <v/>
      </c>
      <c r="AF1026" s="47">
        <f t="shared" si="15"/>
        <v>0</v>
      </c>
    </row>
    <row r="1027" spans="2:32" hidden="1" x14ac:dyDescent="0.3">
      <c r="B1027" s="46" t="str">
        <f>IFERROR(VLOOKUP($H1027,매장구분!$B:$Z,2,0),"")</f>
        <v/>
      </c>
      <c r="C1027" s="46" t="str">
        <f>IFERROR(VLOOKUP($H1027,매장구분!$B:$Z,3,0),"")</f>
        <v/>
      </c>
      <c r="D1027" s="46" t="str">
        <f>IFERROR(VLOOKUP($H1027,매장구분!$B:$Z,5,0),"")</f>
        <v/>
      </c>
      <c r="E1027" s="46" t="str">
        <f>IFERROR(VLOOKUP($H1027,매장구분!$B:$Z,9,0),"")</f>
        <v/>
      </c>
      <c r="AF1027" s="47">
        <f t="shared" ref="AF1027:AF1090" si="16">IFERROR(AC1027-Y1027,"")</f>
        <v>0</v>
      </c>
    </row>
    <row r="1028" spans="2:32" hidden="1" x14ac:dyDescent="0.3">
      <c r="B1028" s="46" t="str">
        <f>IFERROR(VLOOKUP($H1028,매장구분!$B:$Z,2,0),"")</f>
        <v/>
      </c>
      <c r="C1028" s="46" t="str">
        <f>IFERROR(VLOOKUP($H1028,매장구분!$B:$Z,3,0),"")</f>
        <v/>
      </c>
      <c r="D1028" s="46" t="str">
        <f>IFERROR(VLOOKUP($H1028,매장구분!$B:$Z,5,0),"")</f>
        <v/>
      </c>
      <c r="E1028" s="46" t="str">
        <f>IFERROR(VLOOKUP($H1028,매장구분!$B:$Z,9,0),"")</f>
        <v/>
      </c>
      <c r="AF1028" s="47">
        <f t="shared" si="16"/>
        <v>0</v>
      </c>
    </row>
    <row r="1029" spans="2:32" hidden="1" x14ac:dyDescent="0.3">
      <c r="B1029" s="46" t="str">
        <f>IFERROR(VLOOKUP($H1029,매장구분!$B:$Z,2,0),"")</f>
        <v/>
      </c>
      <c r="C1029" s="46" t="str">
        <f>IFERROR(VLOOKUP($H1029,매장구분!$B:$Z,3,0),"")</f>
        <v/>
      </c>
      <c r="D1029" s="46" t="str">
        <f>IFERROR(VLOOKUP($H1029,매장구분!$B:$Z,5,0),"")</f>
        <v/>
      </c>
      <c r="E1029" s="46" t="str">
        <f>IFERROR(VLOOKUP($H1029,매장구분!$B:$Z,9,0),"")</f>
        <v/>
      </c>
      <c r="AF1029" s="47">
        <f t="shared" si="16"/>
        <v>0</v>
      </c>
    </row>
    <row r="1030" spans="2:32" hidden="1" x14ac:dyDescent="0.3">
      <c r="B1030" s="46" t="str">
        <f>IFERROR(VLOOKUP($H1030,매장구분!$B:$Z,2,0),"")</f>
        <v/>
      </c>
      <c r="C1030" s="46" t="str">
        <f>IFERROR(VLOOKUP($H1030,매장구분!$B:$Z,3,0),"")</f>
        <v/>
      </c>
      <c r="D1030" s="46" t="str">
        <f>IFERROR(VLOOKUP($H1030,매장구분!$B:$Z,5,0),"")</f>
        <v/>
      </c>
      <c r="E1030" s="46" t="str">
        <f>IFERROR(VLOOKUP($H1030,매장구분!$B:$Z,9,0),"")</f>
        <v/>
      </c>
      <c r="AF1030" s="47">
        <f t="shared" si="16"/>
        <v>0</v>
      </c>
    </row>
    <row r="1031" spans="2:32" hidden="1" x14ac:dyDescent="0.3">
      <c r="B1031" s="46" t="str">
        <f>IFERROR(VLOOKUP($H1031,매장구분!$B:$Z,2,0),"")</f>
        <v/>
      </c>
      <c r="C1031" s="46" t="str">
        <f>IFERROR(VLOOKUP($H1031,매장구분!$B:$Z,3,0),"")</f>
        <v/>
      </c>
      <c r="D1031" s="46" t="str">
        <f>IFERROR(VLOOKUP($H1031,매장구분!$B:$Z,5,0),"")</f>
        <v/>
      </c>
      <c r="E1031" s="46" t="str">
        <f>IFERROR(VLOOKUP($H1031,매장구분!$B:$Z,9,0),"")</f>
        <v/>
      </c>
      <c r="AF1031" s="47">
        <f t="shared" si="16"/>
        <v>0</v>
      </c>
    </row>
    <row r="1032" spans="2:32" hidden="1" x14ac:dyDescent="0.3">
      <c r="B1032" s="46" t="str">
        <f>IFERROR(VLOOKUP($H1032,매장구분!$B:$Z,2,0),"")</f>
        <v/>
      </c>
      <c r="C1032" s="46" t="str">
        <f>IFERROR(VLOOKUP($H1032,매장구분!$B:$Z,3,0),"")</f>
        <v/>
      </c>
      <c r="D1032" s="46" t="str">
        <f>IFERROR(VLOOKUP($H1032,매장구분!$B:$Z,5,0),"")</f>
        <v/>
      </c>
      <c r="E1032" s="46" t="str">
        <f>IFERROR(VLOOKUP($H1032,매장구분!$B:$Z,9,0),"")</f>
        <v/>
      </c>
      <c r="AF1032" s="47">
        <f t="shared" si="16"/>
        <v>0</v>
      </c>
    </row>
    <row r="1033" spans="2:32" hidden="1" x14ac:dyDescent="0.3">
      <c r="B1033" s="46" t="str">
        <f>IFERROR(VLOOKUP($H1033,매장구분!$B:$Z,2,0),"")</f>
        <v/>
      </c>
      <c r="C1033" s="46" t="str">
        <f>IFERROR(VLOOKUP($H1033,매장구분!$B:$Z,3,0),"")</f>
        <v/>
      </c>
      <c r="D1033" s="46" t="str">
        <f>IFERROR(VLOOKUP($H1033,매장구분!$B:$Z,5,0),"")</f>
        <v/>
      </c>
      <c r="E1033" s="46" t="str">
        <f>IFERROR(VLOOKUP($H1033,매장구분!$B:$Z,9,0),"")</f>
        <v/>
      </c>
      <c r="AF1033" s="47">
        <f t="shared" si="16"/>
        <v>0</v>
      </c>
    </row>
    <row r="1034" spans="2:32" hidden="1" x14ac:dyDescent="0.3">
      <c r="B1034" s="46" t="str">
        <f>IFERROR(VLOOKUP($H1034,매장구분!$B:$Z,2,0),"")</f>
        <v/>
      </c>
      <c r="C1034" s="46" t="str">
        <f>IFERROR(VLOOKUP($H1034,매장구분!$B:$Z,3,0),"")</f>
        <v/>
      </c>
      <c r="D1034" s="46" t="str">
        <f>IFERROR(VLOOKUP($H1034,매장구분!$B:$Z,5,0),"")</f>
        <v/>
      </c>
      <c r="E1034" s="46" t="str">
        <f>IFERROR(VLOOKUP($H1034,매장구분!$B:$Z,9,0),"")</f>
        <v/>
      </c>
      <c r="AF1034" s="47">
        <f t="shared" si="16"/>
        <v>0</v>
      </c>
    </row>
    <row r="1035" spans="2:32" hidden="1" x14ac:dyDescent="0.3">
      <c r="B1035" s="46" t="str">
        <f>IFERROR(VLOOKUP($H1035,매장구분!$B:$Z,2,0),"")</f>
        <v/>
      </c>
      <c r="C1035" s="46" t="str">
        <f>IFERROR(VLOOKUP($H1035,매장구분!$B:$Z,3,0),"")</f>
        <v/>
      </c>
      <c r="D1035" s="46" t="str">
        <f>IFERROR(VLOOKUP($H1035,매장구분!$B:$Z,5,0),"")</f>
        <v/>
      </c>
      <c r="E1035" s="46" t="str">
        <f>IFERROR(VLOOKUP($H1035,매장구분!$B:$Z,9,0),"")</f>
        <v/>
      </c>
      <c r="AF1035" s="47">
        <f t="shared" si="16"/>
        <v>0</v>
      </c>
    </row>
    <row r="1036" spans="2:32" x14ac:dyDescent="0.3">
      <c r="AF1036" s="47">
        <f t="shared" si="16"/>
        <v>0</v>
      </c>
    </row>
    <row r="1037" spans="2:32" x14ac:dyDescent="0.3">
      <c r="AF1037" s="47">
        <f t="shared" si="16"/>
        <v>0</v>
      </c>
    </row>
    <row r="1038" spans="2:32" x14ac:dyDescent="0.3">
      <c r="AF1038" s="47">
        <f t="shared" si="16"/>
        <v>0</v>
      </c>
    </row>
    <row r="1039" spans="2:32" x14ac:dyDescent="0.3">
      <c r="AF1039" s="47">
        <f t="shared" si="16"/>
        <v>0</v>
      </c>
    </row>
    <row r="1040" spans="2:32" x14ac:dyDescent="0.3">
      <c r="AF1040" s="47">
        <f t="shared" si="16"/>
        <v>0</v>
      </c>
    </row>
    <row r="1041" spans="32:32" x14ac:dyDescent="0.3">
      <c r="AF1041" s="47">
        <f t="shared" si="16"/>
        <v>0</v>
      </c>
    </row>
    <row r="1042" spans="32:32" x14ac:dyDescent="0.3">
      <c r="AF1042" s="47">
        <f t="shared" si="16"/>
        <v>0</v>
      </c>
    </row>
    <row r="1043" spans="32:32" x14ac:dyDescent="0.3">
      <c r="AF1043" s="47">
        <f t="shared" si="16"/>
        <v>0</v>
      </c>
    </row>
    <row r="1044" spans="32:32" x14ac:dyDescent="0.3">
      <c r="AF1044" s="47">
        <f t="shared" si="16"/>
        <v>0</v>
      </c>
    </row>
    <row r="1045" spans="32:32" x14ac:dyDescent="0.3">
      <c r="AF1045" s="47">
        <f t="shared" si="16"/>
        <v>0</v>
      </c>
    </row>
    <row r="1046" spans="32:32" x14ac:dyDescent="0.3">
      <c r="AF1046" s="47">
        <f t="shared" si="16"/>
        <v>0</v>
      </c>
    </row>
    <row r="1047" spans="32:32" x14ac:dyDescent="0.3">
      <c r="AF1047" s="47">
        <f t="shared" si="16"/>
        <v>0</v>
      </c>
    </row>
    <row r="1048" spans="32:32" x14ac:dyDescent="0.3">
      <c r="AF1048" s="47">
        <f t="shared" si="16"/>
        <v>0</v>
      </c>
    </row>
    <row r="1049" spans="32:32" x14ac:dyDescent="0.3">
      <c r="AF1049" s="47">
        <f t="shared" si="16"/>
        <v>0</v>
      </c>
    </row>
    <row r="1050" spans="32:32" x14ac:dyDescent="0.3">
      <c r="AF1050" s="47">
        <f t="shared" si="16"/>
        <v>0</v>
      </c>
    </row>
    <row r="1051" spans="32:32" x14ac:dyDescent="0.3">
      <c r="AF1051" s="47">
        <f t="shared" si="16"/>
        <v>0</v>
      </c>
    </row>
    <row r="1052" spans="32:32" x14ac:dyDescent="0.3">
      <c r="AF1052" s="47">
        <f t="shared" si="16"/>
        <v>0</v>
      </c>
    </row>
    <row r="1053" spans="32:32" x14ac:dyDescent="0.3">
      <c r="AF1053" s="47">
        <f t="shared" si="16"/>
        <v>0</v>
      </c>
    </row>
    <row r="1054" spans="32:32" x14ac:dyDescent="0.3">
      <c r="AF1054" s="47">
        <f t="shared" si="16"/>
        <v>0</v>
      </c>
    </row>
    <row r="1055" spans="32:32" x14ac:dyDescent="0.3">
      <c r="AF1055" s="47">
        <f t="shared" si="16"/>
        <v>0</v>
      </c>
    </row>
    <row r="1056" spans="32:32" x14ac:dyDescent="0.3">
      <c r="AF1056" s="47">
        <f t="shared" si="16"/>
        <v>0</v>
      </c>
    </row>
    <row r="1057" spans="32:32" x14ac:dyDescent="0.3">
      <c r="AF1057" s="47">
        <f t="shared" si="16"/>
        <v>0</v>
      </c>
    </row>
    <row r="1058" spans="32:32" x14ac:dyDescent="0.3">
      <c r="AF1058" s="47">
        <f t="shared" si="16"/>
        <v>0</v>
      </c>
    </row>
    <row r="1059" spans="32:32" x14ac:dyDescent="0.3">
      <c r="AF1059" s="47">
        <f t="shared" si="16"/>
        <v>0</v>
      </c>
    </row>
    <row r="1060" spans="32:32" x14ac:dyDescent="0.3">
      <c r="AF1060" s="47">
        <f t="shared" si="16"/>
        <v>0</v>
      </c>
    </row>
    <row r="1061" spans="32:32" x14ac:dyDescent="0.3">
      <c r="AF1061" s="47">
        <f t="shared" si="16"/>
        <v>0</v>
      </c>
    </row>
    <row r="1062" spans="32:32" x14ac:dyDescent="0.3">
      <c r="AF1062" s="47">
        <f t="shared" si="16"/>
        <v>0</v>
      </c>
    </row>
    <row r="1063" spans="32:32" x14ac:dyDescent="0.3">
      <c r="AF1063" s="47">
        <f t="shared" si="16"/>
        <v>0</v>
      </c>
    </row>
    <row r="1064" spans="32:32" x14ac:dyDescent="0.3">
      <c r="AF1064" s="47">
        <f t="shared" si="16"/>
        <v>0</v>
      </c>
    </row>
    <row r="1065" spans="32:32" x14ac:dyDescent="0.3">
      <c r="AF1065" s="47">
        <f t="shared" si="16"/>
        <v>0</v>
      </c>
    </row>
    <row r="1066" spans="32:32" x14ac:dyDescent="0.3">
      <c r="AF1066" s="47">
        <f t="shared" si="16"/>
        <v>0</v>
      </c>
    </row>
    <row r="1067" spans="32:32" x14ac:dyDescent="0.3">
      <c r="AF1067" s="47">
        <f t="shared" si="16"/>
        <v>0</v>
      </c>
    </row>
    <row r="1068" spans="32:32" x14ac:dyDescent="0.3">
      <c r="AF1068" s="47">
        <f t="shared" si="16"/>
        <v>0</v>
      </c>
    </row>
    <row r="1069" spans="32:32" x14ac:dyDescent="0.3">
      <c r="AF1069" s="47">
        <f t="shared" si="16"/>
        <v>0</v>
      </c>
    </row>
    <row r="1070" spans="32:32" x14ac:dyDescent="0.3">
      <c r="AF1070" s="47">
        <f t="shared" si="16"/>
        <v>0</v>
      </c>
    </row>
    <row r="1071" spans="32:32" x14ac:dyDescent="0.3">
      <c r="AF1071" s="47">
        <f t="shared" si="16"/>
        <v>0</v>
      </c>
    </row>
    <row r="1072" spans="32:32" x14ac:dyDescent="0.3">
      <c r="AF1072" s="47">
        <f t="shared" si="16"/>
        <v>0</v>
      </c>
    </row>
    <row r="1073" spans="32:32" x14ac:dyDescent="0.3">
      <c r="AF1073" s="47">
        <f t="shared" si="16"/>
        <v>0</v>
      </c>
    </row>
    <row r="1074" spans="32:32" x14ac:dyDescent="0.3">
      <c r="AF1074" s="47">
        <f t="shared" si="16"/>
        <v>0</v>
      </c>
    </row>
    <row r="1075" spans="32:32" x14ac:dyDescent="0.3">
      <c r="AF1075" s="47">
        <f t="shared" si="16"/>
        <v>0</v>
      </c>
    </row>
    <row r="1076" spans="32:32" x14ac:dyDescent="0.3">
      <c r="AF1076" s="47">
        <f t="shared" si="16"/>
        <v>0</v>
      </c>
    </row>
    <row r="1077" spans="32:32" x14ac:dyDescent="0.3">
      <c r="AF1077" s="47">
        <f t="shared" si="16"/>
        <v>0</v>
      </c>
    </row>
    <row r="1078" spans="32:32" x14ac:dyDescent="0.3">
      <c r="AF1078" s="47">
        <f t="shared" si="16"/>
        <v>0</v>
      </c>
    </row>
    <row r="1079" spans="32:32" x14ac:dyDescent="0.3">
      <c r="AF1079" s="47">
        <f t="shared" si="16"/>
        <v>0</v>
      </c>
    </row>
    <row r="1080" spans="32:32" x14ac:dyDescent="0.3">
      <c r="AF1080" s="47">
        <f t="shared" si="16"/>
        <v>0</v>
      </c>
    </row>
    <row r="1081" spans="32:32" x14ac:dyDescent="0.3">
      <c r="AF1081" s="47">
        <f t="shared" si="16"/>
        <v>0</v>
      </c>
    </row>
    <row r="1082" spans="32:32" x14ac:dyDescent="0.3">
      <c r="AF1082" s="47">
        <f t="shared" si="16"/>
        <v>0</v>
      </c>
    </row>
    <row r="1083" spans="32:32" x14ac:dyDescent="0.3">
      <c r="AF1083" s="47">
        <f t="shared" si="16"/>
        <v>0</v>
      </c>
    </row>
    <row r="1084" spans="32:32" x14ac:dyDescent="0.3">
      <c r="AF1084" s="47">
        <f t="shared" si="16"/>
        <v>0</v>
      </c>
    </row>
    <row r="1085" spans="32:32" x14ac:dyDescent="0.3">
      <c r="AF1085" s="47">
        <f t="shared" si="16"/>
        <v>0</v>
      </c>
    </row>
    <row r="1086" spans="32:32" x14ac:dyDescent="0.3">
      <c r="AF1086" s="47">
        <f t="shared" si="16"/>
        <v>0</v>
      </c>
    </row>
    <row r="1087" spans="32:32" x14ac:dyDescent="0.3">
      <c r="AF1087" s="47">
        <f t="shared" si="16"/>
        <v>0</v>
      </c>
    </row>
    <row r="1088" spans="32:32" x14ac:dyDescent="0.3">
      <c r="AF1088" s="47">
        <f t="shared" si="16"/>
        <v>0</v>
      </c>
    </row>
    <row r="1089" spans="32:32" x14ac:dyDescent="0.3">
      <c r="AF1089" s="47">
        <f t="shared" si="16"/>
        <v>0</v>
      </c>
    </row>
    <row r="1090" spans="32:32" x14ac:dyDescent="0.3">
      <c r="AF1090" s="47">
        <f t="shared" si="16"/>
        <v>0</v>
      </c>
    </row>
    <row r="1091" spans="32:32" x14ac:dyDescent="0.3">
      <c r="AF1091" s="47">
        <f t="shared" ref="AF1091:AF1154" si="17">IFERROR(AC1091-Y1091,"")</f>
        <v>0</v>
      </c>
    </row>
    <row r="1092" spans="32:32" x14ac:dyDescent="0.3">
      <c r="AF1092" s="47">
        <f t="shared" si="17"/>
        <v>0</v>
      </c>
    </row>
    <row r="1093" spans="32:32" x14ac:dyDescent="0.3">
      <c r="AF1093" s="47">
        <f t="shared" si="17"/>
        <v>0</v>
      </c>
    </row>
    <row r="1094" spans="32:32" x14ac:dyDescent="0.3">
      <c r="AF1094" s="47">
        <f t="shared" si="17"/>
        <v>0</v>
      </c>
    </row>
    <row r="1095" spans="32:32" x14ac:dyDescent="0.3">
      <c r="AF1095" s="47">
        <f t="shared" si="17"/>
        <v>0</v>
      </c>
    </row>
    <row r="1096" spans="32:32" x14ac:dyDescent="0.3">
      <c r="AF1096" s="47">
        <f t="shared" si="17"/>
        <v>0</v>
      </c>
    </row>
    <row r="1097" spans="32:32" x14ac:dyDescent="0.3">
      <c r="AF1097" s="47">
        <f t="shared" si="17"/>
        <v>0</v>
      </c>
    </row>
    <row r="1098" spans="32:32" x14ac:dyDescent="0.3">
      <c r="AF1098" s="47">
        <f t="shared" si="17"/>
        <v>0</v>
      </c>
    </row>
    <row r="1099" spans="32:32" x14ac:dyDescent="0.3">
      <c r="AF1099" s="47">
        <f t="shared" si="17"/>
        <v>0</v>
      </c>
    </row>
    <row r="1100" spans="32:32" x14ac:dyDescent="0.3">
      <c r="AF1100" s="47">
        <f t="shared" si="17"/>
        <v>0</v>
      </c>
    </row>
    <row r="1101" spans="32:32" x14ac:dyDescent="0.3">
      <c r="AF1101" s="47">
        <f t="shared" si="17"/>
        <v>0</v>
      </c>
    </row>
    <row r="1102" spans="32:32" x14ac:dyDescent="0.3">
      <c r="AF1102" s="47">
        <f t="shared" si="17"/>
        <v>0</v>
      </c>
    </row>
    <row r="1103" spans="32:32" x14ac:dyDescent="0.3">
      <c r="AF1103" s="47">
        <f t="shared" si="17"/>
        <v>0</v>
      </c>
    </row>
    <row r="1104" spans="32:32" x14ac:dyDescent="0.3">
      <c r="AF1104" s="47">
        <f t="shared" si="17"/>
        <v>0</v>
      </c>
    </row>
    <row r="1105" spans="32:32" x14ac:dyDescent="0.3">
      <c r="AF1105" s="47">
        <f t="shared" si="17"/>
        <v>0</v>
      </c>
    </row>
    <row r="1106" spans="32:32" x14ac:dyDescent="0.3">
      <c r="AF1106" s="47">
        <f t="shared" si="17"/>
        <v>0</v>
      </c>
    </row>
    <row r="1107" spans="32:32" x14ac:dyDescent="0.3">
      <c r="AF1107" s="47">
        <f t="shared" si="17"/>
        <v>0</v>
      </c>
    </row>
    <row r="1108" spans="32:32" x14ac:dyDescent="0.3">
      <c r="AF1108" s="47">
        <f t="shared" si="17"/>
        <v>0</v>
      </c>
    </row>
    <row r="1109" spans="32:32" x14ac:dyDescent="0.3">
      <c r="AF1109" s="47">
        <f t="shared" si="17"/>
        <v>0</v>
      </c>
    </row>
    <row r="1110" spans="32:32" x14ac:dyDescent="0.3">
      <c r="AF1110" s="47">
        <f t="shared" si="17"/>
        <v>0</v>
      </c>
    </row>
    <row r="1111" spans="32:32" x14ac:dyDescent="0.3">
      <c r="AF1111" s="47">
        <f t="shared" si="17"/>
        <v>0</v>
      </c>
    </row>
    <row r="1112" spans="32:32" x14ac:dyDescent="0.3">
      <c r="AF1112" s="47">
        <f t="shared" si="17"/>
        <v>0</v>
      </c>
    </row>
    <row r="1113" spans="32:32" x14ac:dyDescent="0.3">
      <c r="AF1113" s="47">
        <f t="shared" si="17"/>
        <v>0</v>
      </c>
    </row>
    <row r="1114" spans="32:32" x14ac:dyDescent="0.3">
      <c r="AF1114" s="47">
        <f t="shared" si="17"/>
        <v>0</v>
      </c>
    </row>
    <row r="1115" spans="32:32" x14ac:dyDescent="0.3">
      <c r="AF1115" s="47">
        <f t="shared" si="17"/>
        <v>0</v>
      </c>
    </row>
    <row r="1116" spans="32:32" x14ac:dyDescent="0.3">
      <c r="AF1116" s="47">
        <f t="shared" si="17"/>
        <v>0</v>
      </c>
    </row>
    <row r="1117" spans="32:32" x14ac:dyDescent="0.3">
      <c r="AF1117" s="47">
        <f t="shared" si="17"/>
        <v>0</v>
      </c>
    </row>
    <row r="1118" spans="32:32" x14ac:dyDescent="0.3">
      <c r="AF1118" s="47">
        <f t="shared" si="17"/>
        <v>0</v>
      </c>
    </row>
    <row r="1119" spans="32:32" x14ac:dyDescent="0.3">
      <c r="AF1119" s="47">
        <f t="shared" si="17"/>
        <v>0</v>
      </c>
    </row>
    <row r="1120" spans="32:32" x14ac:dyDescent="0.3">
      <c r="AF1120" s="47">
        <f t="shared" si="17"/>
        <v>0</v>
      </c>
    </row>
    <row r="1121" spans="32:32" x14ac:dyDescent="0.3">
      <c r="AF1121" s="47">
        <f t="shared" si="17"/>
        <v>0</v>
      </c>
    </row>
    <row r="1122" spans="32:32" x14ac:dyDescent="0.3">
      <c r="AF1122" s="47">
        <f t="shared" si="17"/>
        <v>0</v>
      </c>
    </row>
    <row r="1123" spans="32:32" x14ac:dyDescent="0.3">
      <c r="AF1123" s="47">
        <f t="shared" si="17"/>
        <v>0</v>
      </c>
    </row>
    <row r="1124" spans="32:32" x14ac:dyDescent="0.3">
      <c r="AF1124" s="47">
        <f t="shared" si="17"/>
        <v>0</v>
      </c>
    </row>
    <row r="1125" spans="32:32" x14ac:dyDescent="0.3">
      <c r="AF1125" s="47">
        <f t="shared" si="17"/>
        <v>0</v>
      </c>
    </row>
    <row r="1126" spans="32:32" x14ac:dyDescent="0.3">
      <c r="AF1126" s="47">
        <f t="shared" si="17"/>
        <v>0</v>
      </c>
    </row>
    <row r="1127" spans="32:32" x14ac:dyDescent="0.3">
      <c r="AF1127" s="47">
        <f t="shared" si="17"/>
        <v>0</v>
      </c>
    </row>
    <row r="1128" spans="32:32" x14ac:dyDescent="0.3">
      <c r="AF1128" s="47">
        <f t="shared" si="17"/>
        <v>0</v>
      </c>
    </row>
    <row r="1129" spans="32:32" x14ac:dyDescent="0.3">
      <c r="AF1129" s="47">
        <f t="shared" si="17"/>
        <v>0</v>
      </c>
    </row>
    <row r="1130" spans="32:32" x14ac:dyDescent="0.3">
      <c r="AF1130" s="47">
        <f t="shared" si="17"/>
        <v>0</v>
      </c>
    </row>
    <row r="1131" spans="32:32" x14ac:dyDescent="0.3">
      <c r="AF1131" s="47">
        <f t="shared" si="17"/>
        <v>0</v>
      </c>
    </row>
    <row r="1132" spans="32:32" x14ac:dyDescent="0.3">
      <c r="AF1132" s="47">
        <f t="shared" si="17"/>
        <v>0</v>
      </c>
    </row>
    <row r="1133" spans="32:32" x14ac:dyDescent="0.3">
      <c r="AF1133" s="47">
        <f t="shared" si="17"/>
        <v>0</v>
      </c>
    </row>
    <row r="1134" spans="32:32" x14ac:dyDescent="0.3">
      <c r="AF1134" s="47">
        <f t="shared" si="17"/>
        <v>0</v>
      </c>
    </row>
    <row r="1135" spans="32:32" x14ac:dyDescent="0.3">
      <c r="AF1135" s="47">
        <f t="shared" si="17"/>
        <v>0</v>
      </c>
    </row>
    <row r="1136" spans="32:32" x14ac:dyDescent="0.3">
      <c r="AF1136" s="47">
        <f t="shared" si="17"/>
        <v>0</v>
      </c>
    </row>
    <row r="1137" spans="32:32" x14ac:dyDescent="0.3">
      <c r="AF1137" s="47">
        <f t="shared" si="17"/>
        <v>0</v>
      </c>
    </row>
    <row r="1138" spans="32:32" x14ac:dyDescent="0.3">
      <c r="AF1138" s="47">
        <f t="shared" si="17"/>
        <v>0</v>
      </c>
    </row>
    <row r="1139" spans="32:32" x14ac:dyDescent="0.3">
      <c r="AF1139" s="47">
        <f t="shared" si="17"/>
        <v>0</v>
      </c>
    </row>
    <row r="1140" spans="32:32" x14ac:dyDescent="0.3">
      <c r="AF1140" s="47">
        <f t="shared" si="17"/>
        <v>0</v>
      </c>
    </row>
    <row r="1141" spans="32:32" x14ac:dyDescent="0.3">
      <c r="AF1141" s="47">
        <f t="shared" si="17"/>
        <v>0</v>
      </c>
    </row>
    <row r="1142" spans="32:32" x14ac:dyDescent="0.3">
      <c r="AF1142" s="47">
        <f t="shared" si="17"/>
        <v>0</v>
      </c>
    </row>
    <row r="1143" spans="32:32" x14ac:dyDescent="0.3">
      <c r="AF1143" s="47">
        <f t="shared" si="17"/>
        <v>0</v>
      </c>
    </row>
    <row r="1144" spans="32:32" x14ac:dyDescent="0.3">
      <c r="AF1144" s="47">
        <f t="shared" si="17"/>
        <v>0</v>
      </c>
    </row>
    <row r="1145" spans="32:32" x14ac:dyDescent="0.3">
      <c r="AF1145" s="47">
        <f t="shared" si="17"/>
        <v>0</v>
      </c>
    </row>
    <row r="1146" spans="32:32" x14ac:dyDescent="0.3">
      <c r="AF1146" s="47">
        <f t="shared" si="17"/>
        <v>0</v>
      </c>
    </row>
    <row r="1147" spans="32:32" x14ac:dyDescent="0.3">
      <c r="AF1147" s="47">
        <f t="shared" si="17"/>
        <v>0</v>
      </c>
    </row>
    <row r="1148" spans="32:32" x14ac:dyDescent="0.3">
      <c r="AF1148" s="47">
        <f t="shared" si="17"/>
        <v>0</v>
      </c>
    </row>
    <row r="1149" spans="32:32" x14ac:dyDescent="0.3">
      <c r="AF1149" s="47">
        <f t="shared" si="17"/>
        <v>0</v>
      </c>
    </row>
    <row r="1150" spans="32:32" x14ac:dyDescent="0.3">
      <c r="AF1150" s="47">
        <f t="shared" si="17"/>
        <v>0</v>
      </c>
    </row>
    <row r="1151" spans="32:32" x14ac:dyDescent="0.3">
      <c r="AF1151" s="47">
        <f t="shared" si="17"/>
        <v>0</v>
      </c>
    </row>
    <row r="1152" spans="32:32" x14ac:dyDescent="0.3">
      <c r="AF1152" s="47">
        <f t="shared" si="17"/>
        <v>0</v>
      </c>
    </row>
    <row r="1153" spans="32:32" x14ac:dyDescent="0.3">
      <c r="AF1153" s="47">
        <f t="shared" si="17"/>
        <v>0</v>
      </c>
    </row>
    <row r="1154" spans="32:32" x14ac:dyDescent="0.3">
      <c r="AF1154" s="47">
        <f t="shared" si="17"/>
        <v>0</v>
      </c>
    </row>
    <row r="1155" spans="32:32" x14ac:dyDescent="0.3">
      <c r="AF1155" s="47">
        <f t="shared" ref="AF1155:AF1218" si="18">IFERROR(AC1155-Y1155,"")</f>
        <v>0</v>
      </c>
    </row>
    <row r="1156" spans="32:32" x14ac:dyDescent="0.3">
      <c r="AF1156" s="47">
        <f t="shared" si="18"/>
        <v>0</v>
      </c>
    </row>
    <row r="1157" spans="32:32" x14ac:dyDescent="0.3">
      <c r="AF1157" s="47">
        <f t="shared" si="18"/>
        <v>0</v>
      </c>
    </row>
    <row r="1158" spans="32:32" x14ac:dyDescent="0.3">
      <c r="AF1158" s="47">
        <f t="shared" si="18"/>
        <v>0</v>
      </c>
    </row>
    <row r="1159" spans="32:32" x14ac:dyDescent="0.3">
      <c r="AF1159" s="47">
        <f t="shared" si="18"/>
        <v>0</v>
      </c>
    </row>
    <row r="1160" spans="32:32" x14ac:dyDescent="0.3">
      <c r="AF1160" s="47">
        <f t="shared" si="18"/>
        <v>0</v>
      </c>
    </row>
    <row r="1161" spans="32:32" x14ac:dyDescent="0.3">
      <c r="AF1161" s="47">
        <f t="shared" si="18"/>
        <v>0</v>
      </c>
    </row>
    <row r="1162" spans="32:32" x14ac:dyDescent="0.3">
      <c r="AF1162" s="47">
        <f t="shared" si="18"/>
        <v>0</v>
      </c>
    </row>
    <row r="1163" spans="32:32" x14ac:dyDescent="0.3">
      <c r="AF1163" s="47">
        <f t="shared" si="18"/>
        <v>0</v>
      </c>
    </row>
    <row r="1164" spans="32:32" x14ac:dyDescent="0.3">
      <c r="AF1164" s="47">
        <f t="shared" si="18"/>
        <v>0</v>
      </c>
    </row>
    <row r="1165" spans="32:32" x14ac:dyDescent="0.3">
      <c r="AF1165" s="47">
        <f t="shared" si="18"/>
        <v>0</v>
      </c>
    </row>
    <row r="1166" spans="32:32" x14ac:dyDescent="0.3">
      <c r="AF1166" s="47">
        <f t="shared" si="18"/>
        <v>0</v>
      </c>
    </row>
    <row r="1167" spans="32:32" x14ac:dyDescent="0.3">
      <c r="AF1167" s="47">
        <f t="shared" si="18"/>
        <v>0</v>
      </c>
    </row>
    <row r="1168" spans="32:32" x14ac:dyDescent="0.3">
      <c r="AF1168" s="47">
        <f t="shared" si="18"/>
        <v>0</v>
      </c>
    </row>
    <row r="1169" spans="32:32" x14ac:dyDescent="0.3">
      <c r="AF1169" s="47">
        <f t="shared" si="18"/>
        <v>0</v>
      </c>
    </row>
    <row r="1170" spans="32:32" x14ac:dyDescent="0.3">
      <c r="AF1170" s="47">
        <f t="shared" si="18"/>
        <v>0</v>
      </c>
    </row>
    <row r="1171" spans="32:32" x14ac:dyDescent="0.3">
      <c r="AF1171" s="47">
        <f t="shared" si="18"/>
        <v>0</v>
      </c>
    </row>
    <row r="1172" spans="32:32" x14ac:dyDescent="0.3">
      <c r="AF1172" s="47">
        <f t="shared" si="18"/>
        <v>0</v>
      </c>
    </row>
    <row r="1173" spans="32:32" x14ac:dyDescent="0.3">
      <c r="AF1173" s="47">
        <f t="shared" si="18"/>
        <v>0</v>
      </c>
    </row>
    <row r="1174" spans="32:32" x14ac:dyDescent="0.3">
      <c r="AF1174" s="47">
        <f t="shared" si="18"/>
        <v>0</v>
      </c>
    </row>
    <row r="1175" spans="32:32" x14ac:dyDescent="0.3">
      <c r="AF1175" s="47">
        <f t="shared" si="18"/>
        <v>0</v>
      </c>
    </row>
    <row r="1176" spans="32:32" x14ac:dyDescent="0.3">
      <c r="AF1176" s="47">
        <f t="shared" si="18"/>
        <v>0</v>
      </c>
    </row>
    <row r="1177" spans="32:32" x14ac:dyDescent="0.3">
      <c r="AF1177" s="47">
        <f t="shared" si="18"/>
        <v>0</v>
      </c>
    </row>
    <row r="1178" spans="32:32" x14ac:dyDescent="0.3">
      <c r="AF1178" s="47">
        <f t="shared" si="18"/>
        <v>0</v>
      </c>
    </row>
    <row r="1179" spans="32:32" x14ac:dyDescent="0.3">
      <c r="AF1179" s="47">
        <f t="shared" si="18"/>
        <v>0</v>
      </c>
    </row>
    <row r="1180" spans="32:32" x14ac:dyDescent="0.3">
      <c r="AF1180" s="47">
        <f t="shared" si="18"/>
        <v>0</v>
      </c>
    </row>
    <row r="1181" spans="32:32" x14ac:dyDescent="0.3">
      <c r="AF1181" s="47">
        <f t="shared" si="18"/>
        <v>0</v>
      </c>
    </row>
    <row r="1182" spans="32:32" x14ac:dyDescent="0.3">
      <c r="AF1182" s="47">
        <f t="shared" si="18"/>
        <v>0</v>
      </c>
    </row>
    <row r="1183" spans="32:32" x14ac:dyDescent="0.3">
      <c r="AF1183" s="47">
        <f t="shared" si="18"/>
        <v>0</v>
      </c>
    </row>
    <row r="1184" spans="32:32" x14ac:dyDescent="0.3">
      <c r="AF1184" s="47">
        <f t="shared" si="18"/>
        <v>0</v>
      </c>
    </row>
    <row r="1185" spans="32:32" x14ac:dyDescent="0.3">
      <c r="AF1185" s="47">
        <f t="shared" si="18"/>
        <v>0</v>
      </c>
    </row>
    <row r="1186" spans="32:32" x14ac:dyDescent="0.3">
      <c r="AF1186" s="47">
        <f t="shared" si="18"/>
        <v>0</v>
      </c>
    </row>
    <row r="1187" spans="32:32" x14ac:dyDescent="0.3">
      <c r="AF1187" s="47">
        <f t="shared" si="18"/>
        <v>0</v>
      </c>
    </row>
    <row r="1188" spans="32:32" x14ac:dyDescent="0.3">
      <c r="AF1188" s="47">
        <f t="shared" si="18"/>
        <v>0</v>
      </c>
    </row>
    <row r="1189" spans="32:32" x14ac:dyDescent="0.3">
      <c r="AF1189" s="47">
        <f t="shared" si="18"/>
        <v>0</v>
      </c>
    </row>
    <row r="1190" spans="32:32" x14ac:dyDescent="0.3">
      <c r="AF1190" s="47">
        <f t="shared" si="18"/>
        <v>0</v>
      </c>
    </row>
    <row r="1191" spans="32:32" x14ac:dyDescent="0.3">
      <c r="AF1191" s="47">
        <f t="shared" si="18"/>
        <v>0</v>
      </c>
    </row>
    <row r="1192" spans="32:32" x14ac:dyDescent="0.3">
      <c r="AF1192" s="47">
        <f t="shared" si="18"/>
        <v>0</v>
      </c>
    </row>
    <row r="1193" spans="32:32" x14ac:dyDescent="0.3">
      <c r="AF1193" s="47">
        <f t="shared" si="18"/>
        <v>0</v>
      </c>
    </row>
    <row r="1194" spans="32:32" x14ac:dyDescent="0.3">
      <c r="AF1194" s="47">
        <f t="shared" si="18"/>
        <v>0</v>
      </c>
    </row>
    <row r="1195" spans="32:32" x14ac:dyDescent="0.3">
      <c r="AF1195" s="47">
        <f t="shared" si="18"/>
        <v>0</v>
      </c>
    </row>
    <row r="1196" spans="32:32" x14ac:dyDescent="0.3">
      <c r="AF1196" s="47">
        <f t="shared" si="18"/>
        <v>0</v>
      </c>
    </row>
    <row r="1197" spans="32:32" x14ac:dyDescent="0.3">
      <c r="AF1197" s="47">
        <f t="shared" si="18"/>
        <v>0</v>
      </c>
    </row>
    <row r="1198" spans="32:32" x14ac:dyDescent="0.3">
      <c r="AF1198" s="47">
        <f t="shared" si="18"/>
        <v>0</v>
      </c>
    </row>
    <row r="1199" spans="32:32" x14ac:dyDescent="0.3">
      <c r="AF1199" s="47">
        <f t="shared" si="18"/>
        <v>0</v>
      </c>
    </row>
    <row r="1200" spans="32:32" x14ac:dyDescent="0.3">
      <c r="AF1200" s="47">
        <f t="shared" si="18"/>
        <v>0</v>
      </c>
    </row>
    <row r="1201" spans="32:32" x14ac:dyDescent="0.3">
      <c r="AF1201" s="47">
        <f t="shared" si="18"/>
        <v>0</v>
      </c>
    </row>
    <row r="1202" spans="32:32" x14ac:dyDescent="0.3">
      <c r="AF1202" s="47">
        <f t="shared" si="18"/>
        <v>0</v>
      </c>
    </row>
    <row r="1203" spans="32:32" x14ac:dyDescent="0.3">
      <c r="AF1203" s="47">
        <f t="shared" si="18"/>
        <v>0</v>
      </c>
    </row>
    <row r="1204" spans="32:32" x14ac:dyDescent="0.3">
      <c r="AF1204" s="47">
        <f t="shared" si="18"/>
        <v>0</v>
      </c>
    </row>
    <row r="1205" spans="32:32" x14ac:dyDescent="0.3">
      <c r="AF1205" s="47">
        <f t="shared" si="18"/>
        <v>0</v>
      </c>
    </row>
    <row r="1206" spans="32:32" x14ac:dyDescent="0.3">
      <c r="AF1206" s="47">
        <f t="shared" si="18"/>
        <v>0</v>
      </c>
    </row>
    <row r="1207" spans="32:32" x14ac:dyDescent="0.3">
      <c r="AF1207" s="47">
        <f t="shared" si="18"/>
        <v>0</v>
      </c>
    </row>
    <row r="1208" spans="32:32" x14ac:dyDescent="0.3">
      <c r="AF1208" s="47">
        <f t="shared" si="18"/>
        <v>0</v>
      </c>
    </row>
    <row r="1209" spans="32:32" x14ac:dyDescent="0.3">
      <c r="AF1209" s="47">
        <f t="shared" si="18"/>
        <v>0</v>
      </c>
    </row>
    <row r="1210" spans="32:32" x14ac:dyDescent="0.3">
      <c r="AF1210" s="47">
        <f t="shared" si="18"/>
        <v>0</v>
      </c>
    </row>
    <row r="1211" spans="32:32" x14ac:dyDescent="0.3">
      <c r="AF1211" s="47">
        <f t="shared" si="18"/>
        <v>0</v>
      </c>
    </row>
    <row r="1212" spans="32:32" x14ac:dyDescent="0.3">
      <c r="AF1212" s="47">
        <f t="shared" si="18"/>
        <v>0</v>
      </c>
    </row>
    <row r="1213" spans="32:32" x14ac:dyDescent="0.3">
      <c r="AF1213" s="47">
        <f t="shared" si="18"/>
        <v>0</v>
      </c>
    </row>
    <row r="1214" spans="32:32" x14ac:dyDescent="0.3">
      <c r="AF1214" s="47">
        <f t="shared" si="18"/>
        <v>0</v>
      </c>
    </row>
    <row r="1215" spans="32:32" x14ac:dyDescent="0.3">
      <c r="AF1215" s="47">
        <f t="shared" si="18"/>
        <v>0</v>
      </c>
    </row>
    <row r="1216" spans="32:32" x14ac:dyDescent="0.3">
      <c r="AF1216" s="47">
        <f t="shared" si="18"/>
        <v>0</v>
      </c>
    </row>
    <row r="1217" spans="32:32" x14ac:dyDescent="0.3">
      <c r="AF1217" s="47">
        <f t="shared" si="18"/>
        <v>0</v>
      </c>
    </row>
    <row r="1218" spans="32:32" x14ac:dyDescent="0.3">
      <c r="AF1218" s="47">
        <f t="shared" si="18"/>
        <v>0</v>
      </c>
    </row>
    <row r="1219" spans="32:32" x14ac:dyDescent="0.3">
      <c r="AF1219" s="47">
        <f t="shared" ref="AF1219:AF1282" si="19">IFERROR(AC1219-Y1219,"")</f>
        <v>0</v>
      </c>
    </row>
    <row r="1220" spans="32:32" x14ac:dyDescent="0.3">
      <c r="AF1220" s="47">
        <f t="shared" si="19"/>
        <v>0</v>
      </c>
    </row>
    <row r="1221" spans="32:32" x14ac:dyDescent="0.3">
      <c r="AF1221" s="47">
        <f t="shared" si="19"/>
        <v>0</v>
      </c>
    </row>
    <row r="1222" spans="32:32" x14ac:dyDescent="0.3">
      <c r="AF1222" s="47">
        <f t="shared" si="19"/>
        <v>0</v>
      </c>
    </row>
    <row r="1223" spans="32:32" x14ac:dyDescent="0.3">
      <c r="AF1223" s="47">
        <f t="shared" si="19"/>
        <v>0</v>
      </c>
    </row>
    <row r="1224" spans="32:32" x14ac:dyDescent="0.3">
      <c r="AF1224" s="47">
        <f t="shared" si="19"/>
        <v>0</v>
      </c>
    </row>
    <row r="1225" spans="32:32" x14ac:dyDescent="0.3">
      <c r="AF1225" s="47">
        <f t="shared" si="19"/>
        <v>0</v>
      </c>
    </row>
    <row r="1226" spans="32:32" x14ac:dyDescent="0.3">
      <c r="AF1226" s="47">
        <f t="shared" si="19"/>
        <v>0</v>
      </c>
    </row>
    <row r="1227" spans="32:32" x14ac:dyDescent="0.3">
      <c r="AF1227" s="47">
        <f t="shared" si="19"/>
        <v>0</v>
      </c>
    </row>
    <row r="1228" spans="32:32" x14ac:dyDescent="0.3">
      <c r="AF1228" s="47">
        <f t="shared" si="19"/>
        <v>0</v>
      </c>
    </row>
    <row r="1229" spans="32:32" x14ac:dyDescent="0.3">
      <c r="AF1229" s="47">
        <f t="shared" si="19"/>
        <v>0</v>
      </c>
    </row>
    <row r="1230" spans="32:32" x14ac:dyDescent="0.3">
      <c r="AF1230" s="47">
        <f t="shared" si="19"/>
        <v>0</v>
      </c>
    </row>
    <row r="1231" spans="32:32" x14ac:dyDescent="0.3">
      <c r="AF1231" s="47">
        <f t="shared" si="19"/>
        <v>0</v>
      </c>
    </row>
    <row r="1232" spans="32:32" x14ac:dyDescent="0.3">
      <c r="AF1232" s="47">
        <f t="shared" si="19"/>
        <v>0</v>
      </c>
    </row>
    <row r="1233" spans="32:32" x14ac:dyDescent="0.3">
      <c r="AF1233" s="47">
        <f t="shared" si="19"/>
        <v>0</v>
      </c>
    </row>
    <row r="1234" spans="32:32" x14ac:dyDescent="0.3">
      <c r="AF1234" s="47">
        <f t="shared" si="19"/>
        <v>0</v>
      </c>
    </row>
    <row r="1235" spans="32:32" x14ac:dyDescent="0.3">
      <c r="AF1235" s="47">
        <f t="shared" si="19"/>
        <v>0</v>
      </c>
    </row>
    <row r="1236" spans="32:32" x14ac:dyDescent="0.3">
      <c r="AF1236" s="47">
        <f t="shared" si="19"/>
        <v>0</v>
      </c>
    </row>
    <row r="1237" spans="32:32" x14ac:dyDescent="0.3">
      <c r="AF1237" s="47">
        <f t="shared" si="19"/>
        <v>0</v>
      </c>
    </row>
    <row r="1238" spans="32:32" x14ac:dyDescent="0.3">
      <c r="AF1238" s="47">
        <f t="shared" si="19"/>
        <v>0</v>
      </c>
    </row>
    <row r="1239" spans="32:32" x14ac:dyDescent="0.3">
      <c r="AF1239" s="47">
        <f t="shared" si="19"/>
        <v>0</v>
      </c>
    </row>
    <row r="1240" spans="32:32" x14ac:dyDescent="0.3">
      <c r="AF1240" s="47">
        <f t="shared" si="19"/>
        <v>0</v>
      </c>
    </row>
    <row r="1241" spans="32:32" x14ac:dyDescent="0.3">
      <c r="AF1241" s="47">
        <f t="shared" si="19"/>
        <v>0</v>
      </c>
    </row>
    <row r="1242" spans="32:32" x14ac:dyDescent="0.3">
      <c r="AF1242" s="47">
        <f t="shared" si="19"/>
        <v>0</v>
      </c>
    </row>
    <row r="1243" spans="32:32" x14ac:dyDescent="0.3">
      <c r="AF1243" s="47">
        <f t="shared" si="19"/>
        <v>0</v>
      </c>
    </row>
    <row r="1244" spans="32:32" x14ac:dyDescent="0.3">
      <c r="AF1244" s="47">
        <f t="shared" si="19"/>
        <v>0</v>
      </c>
    </row>
    <row r="1245" spans="32:32" x14ac:dyDescent="0.3">
      <c r="AF1245" s="47">
        <f t="shared" si="19"/>
        <v>0</v>
      </c>
    </row>
    <row r="1246" spans="32:32" x14ac:dyDescent="0.3">
      <c r="AF1246" s="47">
        <f t="shared" si="19"/>
        <v>0</v>
      </c>
    </row>
    <row r="1247" spans="32:32" x14ac:dyDescent="0.3">
      <c r="AF1247" s="47">
        <f t="shared" si="19"/>
        <v>0</v>
      </c>
    </row>
    <row r="1248" spans="32:32" x14ac:dyDescent="0.3">
      <c r="AF1248" s="47">
        <f t="shared" si="19"/>
        <v>0</v>
      </c>
    </row>
    <row r="1249" spans="32:32" x14ac:dyDescent="0.3">
      <c r="AF1249" s="47">
        <f t="shared" si="19"/>
        <v>0</v>
      </c>
    </row>
    <row r="1250" spans="32:32" x14ac:dyDescent="0.3">
      <c r="AF1250" s="47">
        <f t="shared" si="19"/>
        <v>0</v>
      </c>
    </row>
    <row r="1251" spans="32:32" x14ac:dyDescent="0.3">
      <c r="AF1251" s="47">
        <f t="shared" si="19"/>
        <v>0</v>
      </c>
    </row>
    <row r="1252" spans="32:32" x14ac:dyDescent="0.3">
      <c r="AF1252" s="47">
        <f t="shared" si="19"/>
        <v>0</v>
      </c>
    </row>
    <row r="1253" spans="32:32" x14ac:dyDescent="0.3">
      <c r="AF1253" s="47">
        <f t="shared" si="19"/>
        <v>0</v>
      </c>
    </row>
    <row r="1254" spans="32:32" x14ac:dyDescent="0.3">
      <c r="AF1254" s="47">
        <f t="shared" si="19"/>
        <v>0</v>
      </c>
    </row>
    <row r="1255" spans="32:32" x14ac:dyDescent="0.3">
      <c r="AF1255" s="47">
        <f t="shared" si="19"/>
        <v>0</v>
      </c>
    </row>
    <row r="1256" spans="32:32" x14ac:dyDescent="0.3">
      <c r="AF1256" s="47">
        <f t="shared" si="19"/>
        <v>0</v>
      </c>
    </row>
    <row r="1257" spans="32:32" x14ac:dyDescent="0.3">
      <c r="AF1257" s="47">
        <f t="shared" si="19"/>
        <v>0</v>
      </c>
    </row>
    <row r="1258" spans="32:32" x14ac:dyDescent="0.3">
      <c r="AF1258" s="47">
        <f t="shared" si="19"/>
        <v>0</v>
      </c>
    </row>
    <row r="1259" spans="32:32" x14ac:dyDescent="0.3">
      <c r="AF1259" s="47">
        <f t="shared" si="19"/>
        <v>0</v>
      </c>
    </row>
    <row r="1260" spans="32:32" x14ac:dyDescent="0.3">
      <c r="AF1260" s="47">
        <f t="shared" si="19"/>
        <v>0</v>
      </c>
    </row>
    <row r="1261" spans="32:32" x14ac:dyDescent="0.3">
      <c r="AF1261" s="47">
        <f t="shared" si="19"/>
        <v>0</v>
      </c>
    </row>
    <row r="1262" spans="32:32" x14ac:dyDescent="0.3">
      <c r="AF1262" s="47">
        <f t="shared" si="19"/>
        <v>0</v>
      </c>
    </row>
    <row r="1263" spans="32:32" x14ac:dyDescent="0.3">
      <c r="AF1263" s="47">
        <f t="shared" si="19"/>
        <v>0</v>
      </c>
    </row>
    <row r="1264" spans="32:32" x14ac:dyDescent="0.3">
      <c r="AF1264" s="47">
        <f t="shared" si="19"/>
        <v>0</v>
      </c>
    </row>
    <row r="1265" spans="32:32" x14ac:dyDescent="0.3">
      <c r="AF1265" s="47">
        <f t="shared" si="19"/>
        <v>0</v>
      </c>
    </row>
    <row r="1266" spans="32:32" x14ac:dyDescent="0.3">
      <c r="AF1266" s="47">
        <f t="shared" si="19"/>
        <v>0</v>
      </c>
    </row>
    <row r="1267" spans="32:32" x14ac:dyDescent="0.3">
      <c r="AF1267" s="47">
        <f t="shared" si="19"/>
        <v>0</v>
      </c>
    </row>
    <row r="1268" spans="32:32" x14ac:dyDescent="0.3">
      <c r="AF1268" s="47">
        <f t="shared" si="19"/>
        <v>0</v>
      </c>
    </row>
    <row r="1269" spans="32:32" x14ac:dyDescent="0.3">
      <c r="AF1269" s="47">
        <f t="shared" si="19"/>
        <v>0</v>
      </c>
    </row>
    <row r="1270" spans="32:32" x14ac:dyDescent="0.3">
      <c r="AF1270" s="47">
        <f t="shared" si="19"/>
        <v>0</v>
      </c>
    </row>
    <row r="1271" spans="32:32" x14ac:dyDescent="0.3">
      <c r="AF1271" s="47">
        <f t="shared" si="19"/>
        <v>0</v>
      </c>
    </row>
    <row r="1272" spans="32:32" x14ac:dyDescent="0.3">
      <c r="AF1272" s="47">
        <f t="shared" si="19"/>
        <v>0</v>
      </c>
    </row>
    <row r="1273" spans="32:32" x14ac:dyDescent="0.3">
      <c r="AF1273" s="47">
        <f t="shared" si="19"/>
        <v>0</v>
      </c>
    </row>
    <row r="1274" spans="32:32" x14ac:dyDescent="0.3">
      <c r="AF1274" s="47">
        <f t="shared" si="19"/>
        <v>0</v>
      </c>
    </row>
    <row r="1275" spans="32:32" x14ac:dyDescent="0.3">
      <c r="AF1275" s="47">
        <f t="shared" si="19"/>
        <v>0</v>
      </c>
    </row>
    <row r="1276" spans="32:32" x14ac:dyDescent="0.3">
      <c r="AF1276" s="47">
        <f t="shared" si="19"/>
        <v>0</v>
      </c>
    </row>
    <row r="1277" spans="32:32" x14ac:dyDescent="0.3">
      <c r="AF1277" s="47">
        <f t="shared" si="19"/>
        <v>0</v>
      </c>
    </row>
    <row r="1278" spans="32:32" x14ac:dyDescent="0.3">
      <c r="AF1278" s="47">
        <f t="shared" si="19"/>
        <v>0</v>
      </c>
    </row>
    <row r="1279" spans="32:32" x14ac:dyDescent="0.3">
      <c r="AF1279" s="47">
        <f t="shared" si="19"/>
        <v>0</v>
      </c>
    </row>
    <row r="1280" spans="32:32" x14ac:dyDescent="0.3">
      <c r="AF1280" s="47">
        <f t="shared" si="19"/>
        <v>0</v>
      </c>
    </row>
    <row r="1281" spans="32:32" x14ac:dyDescent="0.3">
      <c r="AF1281" s="47">
        <f t="shared" si="19"/>
        <v>0</v>
      </c>
    </row>
    <row r="1282" spans="32:32" x14ac:dyDescent="0.3">
      <c r="AF1282" s="47">
        <f t="shared" si="19"/>
        <v>0</v>
      </c>
    </row>
    <row r="1283" spans="32:32" x14ac:dyDescent="0.3">
      <c r="AF1283" s="47">
        <f t="shared" ref="AF1283:AF1346" si="20">IFERROR(AC1283-Y1283,"")</f>
        <v>0</v>
      </c>
    </row>
    <row r="1284" spans="32:32" x14ac:dyDescent="0.3">
      <c r="AF1284" s="47">
        <f t="shared" si="20"/>
        <v>0</v>
      </c>
    </row>
    <row r="1285" spans="32:32" x14ac:dyDescent="0.3">
      <c r="AF1285" s="47">
        <f t="shared" si="20"/>
        <v>0</v>
      </c>
    </row>
    <row r="1286" spans="32:32" x14ac:dyDescent="0.3">
      <c r="AF1286" s="47">
        <f t="shared" si="20"/>
        <v>0</v>
      </c>
    </row>
    <row r="1287" spans="32:32" x14ac:dyDescent="0.3">
      <c r="AF1287" s="47">
        <f t="shared" si="20"/>
        <v>0</v>
      </c>
    </row>
    <row r="1288" spans="32:32" x14ac:dyDescent="0.3">
      <c r="AF1288" s="47">
        <f t="shared" si="20"/>
        <v>0</v>
      </c>
    </row>
    <row r="1289" spans="32:32" x14ac:dyDescent="0.3">
      <c r="AF1289" s="47">
        <f t="shared" si="20"/>
        <v>0</v>
      </c>
    </row>
    <row r="1290" spans="32:32" x14ac:dyDescent="0.3">
      <c r="AF1290" s="47">
        <f t="shared" si="20"/>
        <v>0</v>
      </c>
    </row>
    <row r="1291" spans="32:32" x14ac:dyDescent="0.3">
      <c r="AF1291" s="47">
        <f t="shared" si="20"/>
        <v>0</v>
      </c>
    </row>
    <row r="1292" spans="32:32" x14ac:dyDescent="0.3">
      <c r="AF1292" s="47">
        <f t="shared" si="20"/>
        <v>0</v>
      </c>
    </row>
    <row r="1293" spans="32:32" x14ac:dyDescent="0.3">
      <c r="AF1293" s="47">
        <f t="shared" si="20"/>
        <v>0</v>
      </c>
    </row>
    <row r="1294" spans="32:32" x14ac:dyDescent="0.3">
      <c r="AF1294" s="47">
        <f t="shared" si="20"/>
        <v>0</v>
      </c>
    </row>
    <row r="1295" spans="32:32" x14ac:dyDescent="0.3">
      <c r="AF1295" s="47">
        <f t="shared" si="20"/>
        <v>0</v>
      </c>
    </row>
    <row r="1296" spans="32:32" x14ac:dyDescent="0.3">
      <c r="AF1296" s="47">
        <f t="shared" si="20"/>
        <v>0</v>
      </c>
    </row>
    <row r="1297" spans="32:32" x14ac:dyDescent="0.3">
      <c r="AF1297" s="47">
        <f t="shared" si="20"/>
        <v>0</v>
      </c>
    </row>
    <row r="1298" spans="32:32" x14ac:dyDescent="0.3">
      <c r="AF1298" s="47">
        <f t="shared" si="20"/>
        <v>0</v>
      </c>
    </row>
    <row r="1299" spans="32:32" x14ac:dyDescent="0.3">
      <c r="AF1299" s="47">
        <f t="shared" si="20"/>
        <v>0</v>
      </c>
    </row>
    <row r="1300" spans="32:32" x14ac:dyDescent="0.3">
      <c r="AF1300" s="47">
        <f t="shared" si="20"/>
        <v>0</v>
      </c>
    </row>
    <row r="1301" spans="32:32" x14ac:dyDescent="0.3">
      <c r="AF1301" s="47">
        <f t="shared" si="20"/>
        <v>0</v>
      </c>
    </row>
    <row r="1302" spans="32:32" x14ac:dyDescent="0.3">
      <c r="AF1302" s="47">
        <f t="shared" si="20"/>
        <v>0</v>
      </c>
    </row>
    <row r="1303" spans="32:32" x14ac:dyDescent="0.3">
      <c r="AF1303" s="47">
        <f t="shared" si="20"/>
        <v>0</v>
      </c>
    </row>
    <row r="1304" spans="32:32" x14ac:dyDescent="0.3">
      <c r="AF1304" s="47">
        <f t="shared" si="20"/>
        <v>0</v>
      </c>
    </row>
    <row r="1305" spans="32:32" x14ac:dyDescent="0.3">
      <c r="AF1305" s="47">
        <f t="shared" si="20"/>
        <v>0</v>
      </c>
    </row>
    <row r="1306" spans="32:32" x14ac:dyDescent="0.3">
      <c r="AF1306" s="47">
        <f t="shared" si="20"/>
        <v>0</v>
      </c>
    </row>
    <row r="1307" spans="32:32" x14ac:dyDescent="0.3">
      <c r="AF1307" s="47">
        <f t="shared" si="20"/>
        <v>0</v>
      </c>
    </row>
    <row r="1308" spans="32:32" x14ac:dyDescent="0.3">
      <c r="AF1308" s="47">
        <f t="shared" si="20"/>
        <v>0</v>
      </c>
    </row>
    <row r="1309" spans="32:32" x14ac:dyDescent="0.3">
      <c r="AF1309" s="47">
        <f t="shared" si="20"/>
        <v>0</v>
      </c>
    </row>
    <row r="1310" spans="32:32" x14ac:dyDescent="0.3">
      <c r="AF1310" s="47">
        <f t="shared" si="20"/>
        <v>0</v>
      </c>
    </row>
    <row r="1311" spans="32:32" x14ac:dyDescent="0.3">
      <c r="AF1311" s="47">
        <f t="shared" si="20"/>
        <v>0</v>
      </c>
    </row>
    <row r="1312" spans="32:32" x14ac:dyDescent="0.3">
      <c r="AF1312" s="47">
        <f t="shared" si="20"/>
        <v>0</v>
      </c>
    </row>
    <row r="1313" spans="32:32" x14ac:dyDescent="0.3">
      <c r="AF1313" s="47">
        <f t="shared" si="20"/>
        <v>0</v>
      </c>
    </row>
    <row r="1314" spans="32:32" x14ac:dyDescent="0.3">
      <c r="AF1314" s="47">
        <f t="shared" si="20"/>
        <v>0</v>
      </c>
    </row>
    <row r="1315" spans="32:32" x14ac:dyDescent="0.3">
      <c r="AF1315" s="47">
        <f t="shared" si="20"/>
        <v>0</v>
      </c>
    </row>
    <row r="1316" spans="32:32" x14ac:dyDescent="0.3">
      <c r="AF1316" s="47">
        <f t="shared" si="20"/>
        <v>0</v>
      </c>
    </row>
    <row r="1317" spans="32:32" x14ac:dyDescent="0.3">
      <c r="AF1317" s="47">
        <f t="shared" si="20"/>
        <v>0</v>
      </c>
    </row>
    <row r="1318" spans="32:32" x14ac:dyDescent="0.3">
      <c r="AF1318" s="47">
        <f t="shared" si="20"/>
        <v>0</v>
      </c>
    </row>
    <row r="1319" spans="32:32" x14ac:dyDescent="0.3">
      <c r="AF1319" s="47">
        <f t="shared" si="20"/>
        <v>0</v>
      </c>
    </row>
    <row r="1320" spans="32:32" x14ac:dyDescent="0.3">
      <c r="AF1320" s="47">
        <f t="shared" si="20"/>
        <v>0</v>
      </c>
    </row>
    <row r="1321" spans="32:32" x14ac:dyDescent="0.3">
      <c r="AF1321" s="47">
        <f t="shared" si="20"/>
        <v>0</v>
      </c>
    </row>
    <row r="1322" spans="32:32" x14ac:dyDescent="0.3">
      <c r="AF1322" s="47">
        <f t="shared" si="20"/>
        <v>0</v>
      </c>
    </row>
    <row r="1323" spans="32:32" x14ac:dyDescent="0.3">
      <c r="AF1323" s="47">
        <f t="shared" si="20"/>
        <v>0</v>
      </c>
    </row>
    <row r="1324" spans="32:32" x14ac:dyDescent="0.3">
      <c r="AF1324" s="47">
        <f t="shared" si="20"/>
        <v>0</v>
      </c>
    </row>
    <row r="1325" spans="32:32" x14ac:dyDescent="0.3">
      <c r="AF1325" s="47">
        <f t="shared" si="20"/>
        <v>0</v>
      </c>
    </row>
    <row r="1326" spans="32:32" x14ac:dyDescent="0.3">
      <c r="AF1326" s="47">
        <f t="shared" si="20"/>
        <v>0</v>
      </c>
    </row>
    <row r="1327" spans="32:32" x14ac:dyDescent="0.3">
      <c r="AF1327" s="47">
        <f t="shared" si="20"/>
        <v>0</v>
      </c>
    </row>
    <row r="1328" spans="32:32" x14ac:dyDescent="0.3">
      <c r="AF1328" s="47">
        <f t="shared" si="20"/>
        <v>0</v>
      </c>
    </row>
    <row r="1329" spans="32:32" x14ac:dyDescent="0.3">
      <c r="AF1329" s="47">
        <f t="shared" si="20"/>
        <v>0</v>
      </c>
    </row>
    <row r="1330" spans="32:32" x14ac:dyDescent="0.3">
      <c r="AF1330" s="47">
        <f t="shared" si="20"/>
        <v>0</v>
      </c>
    </row>
    <row r="1331" spans="32:32" x14ac:dyDescent="0.3">
      <c r="AF1331" s="47">
        <f t="shared" si="20"/>
        <v>0</v>
      </c>
    </row>
    <row r="1332" spans="32:32" x14ac:dyDescent="0.3">
      <c r="AF1332" s="47">
        <f t="shared" si="20"/>
        <v>0</v>
      </c>
    </row>
    <row r="1333" spans="32:32" x14ac:dyDescent="0.3">
      <c r="AF1333" s="47">
        <f t="shared" si="20"/>
        <v>0</v>
      </c>
    </row>
    <row r="1334" spans="32:32" x14ac:dyDescent="0.3">
      <c r="AF1334" s="47">
        <f t="shared" si="20"/>
        <v>0</v>
      </c>
    </row>
    <row r="1335" spans="32:32" x14ac:dyDescent="0.3">
      <c r="AF1335" s="47">
        <f t="shared" si="20"/>
        <v>0</v>
      </c>
    </row>
    <row r="1336" spans="32:32" x14ac:dyDescent="0.3">
      <c r="AF1336" s="47">
        <f t="shared" si="20"/>
        <v>0</v>
      </c>
    </row>
    <row r="1337" spans="32:32" x14ac:dyDescent="0.3">
      <c r="AF1337" s="47">
        <f t="shared" si="20"/>
        <v>0</v>
      </c>
    </row>
    <row r="1338" spans="32:32" x14ac:dyDescent="0.3">
      <c r="AF1338" s="47">
        <f t="shared" si="20"/>
        <v>0</v>
      </c>
    </row>
    <row r="1339" spans="32:32" x14ac:dyDescent="0.3">
      <c r="AF1339" s="47">
        <f t="shared" si="20"/>
        <v>0</v>
      </c>
    </row>
    <row r="1340" spans="32:32" x14ac:dyDescent="0.3">
      <c r="AF1340" s="47">
        <f t="shared" si="20"/>
        <v>0</v>
      </c>
    </row>
    <row r="1341" spans="32:32" x14ac:dyDescent="0.3">
      <c r="AF1341" s="47">
        <f t="shared" si="20"/>
        <v>0</v>
      </c>
    </row>
    <row r="1342" spans="32:32" x14ac:dyDescent="0.3">
      <c r="AF1342" s="47">
        <f t="shared" si="20"/>
        <v>0</v>
      </c>
    </row>
    <row r="1343" spans="32:32" x14ac:dyDescent="0.3">
      <c r="AF1343" s="47">
        <f t="shared" si="20"/>
        <v>0</v>
      </c>
    </row>
    <row r="1344" spans="32:32" x14ac:dyDescent="0.3">
      <c r="AF1344" s="47">
        <f t="shared" si="20"/>
        <v>0</v>
      </c>
    </row>
    <row r="1345" spans="32:32" x14ac:dyDescent="0.3">
      <c r="AF1345" s="47">
        <f t="shared" si="20"/>
        <v>0</v>
      </c>
    </row>
    <row r="1346" spans="32:32" x14ac:dyDescent="0.3">
      <c r="AF1346" s="47">
        <f t="shared" si="20"/>
        <v>0</v>
      </c>
    </row>
    <row r="1347" spans="32:32" x14ac:dyDescent="0.3">
      <c r="AF1347" s="47">
        <f t="shared" ref="AF1347:AF1410" si="21">IFERROR(AC1347-Y1347,"")</f>
        <v>0</v>
      </c>
    </row>
    <row r="1348" spans="32:32" x14ac:dyDescent="0.3">
      <c r="AF1348" s="47">
        <f t="shared" si="21"/>
        <v>0</v>
      </c>
    </row>
    <row r="1349" spans="32:32" x14ac:dyDescent="0.3">
      <c r="AF1349" s="47">
        <f t="shared" si="21"/>
        <v>0</v>
      </c>
    </row>
    <row r="1350" spans="32:32" x14ac:dyDescent="0.3">
      <c r="AF1350" s="47">
        <f t="shared" si="21"/>
        <v>0</v>
      </c>
    </row>
    <row r="1351" spans="32:32" x14ac:dyDescent="0.3">
      <c r="AF1351" s="47">
        <f t="shared" si="21"/>
        <v>0</v>
      </c>
    </row>
    <row r="1352" spans="32:32" x14ac:dyDescent="0.3">
      <c r="AF1352" s="47">
        <f t="shared" si="21"/>
        <v>0</v>
      </c>
    </row>
    <row r="1353" spans="32:32" x14ac:dyDescent="0.3">
      <c r="AF1353" s="47">
        <f t="shared" si="21"/>
        <v>0</v>
      </c>
    </row>
    <row r="1354" spans="32:32" x14ac:dyDescent="0.3">
      <c r="AF1354" s="47">
        <f t="shared" si="21"/>
        <v>0</v>
      </c>
    </row>
    <row r="1355" spans="32:32" x14ac:dyDescent="0.3">
      <c r="AF1355" s="47">
        <f t="shared" si="21"/>
        <v>0</v>
      </c>
    </row>
    <row r="1356" spans="32:32" x14ac:dyDescent="0.3">
      <c r="AF1356" s="47">
        <f t="shared" si="21"/>
        <v>0</v>
      </c>
    </row>
    <row r="1357" spans="32:32" x14ac:dyDescent="0.3">
      <c r="AF1357" s="47">
        <f t="shared" si="21"/>
        <v>0</v>
      </c>
    </row>
    <row r="1358" spans="32:32" x14ac:dyDescent="0.3">
      <c r="AF1358" s="47">
        <f t="shared" si="21"/>
        <v>0</v>
      </c>
    </row>
    <row r="1359" spans="32:32" x14ac:dyDescent="0.3">
      <c r="AF1359" s="47">
        <f t="shared" si="21"/>
        <v>0</v>
      </c>
    </row>
    <row r="1360" spans="32:32" x14ac:dyDescent="0.3">
      <c r="AF1360" s="47">
        <f t="shared" si="21"/>
        <v>0</v>
      </c>
    </row>
    <row r="1361" spans="32:32" x14ac:dyDescent="0.3">
      <c r="AF1361" s="47">
        <f t="shared" si="21"/>
        <v>0</v>
      </c>
    </row>
    <row r="1362" spans="32:32" x14ac:dyDescent="0.3">
      <c r="AF1362" s="47">
        <f t="shared" si="21"/>
        <v>0</v>
      </c>
    </row>
    <row r="1363" spans="32:32" x14ac:dyDescent="0.3">
      <c r="AF1363" s="47">
        <f t="shared" si="21"/>
        <v>0</v>
      </c>
    </row>
    <row r="1364" spans="32:32" x14ac:dyDescent="0.3">
      <c r="AF1364" s="47">
        <f t="shared" si="21"/>
        <v>0</v>
      </c>
    </row>
    <row r="1365" spans="32:32" x14ac:dyDescent="0.3">
      <c r="AF1365" s="47">
        <f t="shared" si="21"/>
        <v>0</v>
      </c>
    </row>
    <row r="1366" spans="32:32" x14ac:dyDescent="0.3">
      <c r="AF1366" s="47">
        <f t="shared" si="21"/>
        <v>0</v>
      </c>
    </row>
    <row r="1367" spans="32:32" x14ac:dyDescent="0.3">
      <c r="AF1367" s="47">
        <f t="shared" si="21"/>
        <v>0</v>
      </c>
    </row>
    <row r="1368" spans="32:32" x14ac:dyDescent="0.3">
      <c r="AF1368" s="47">
        <f t="shared" si="21"/>
        <v>0</v>
      </c>
    </row>
    <row r="1369" spans="32:32" x14ac:dyDescent="0.3">
      <c r="AF1369" s="47">
        <f t="shared" si="21"/>
        <v>0</v>
      </c>
    </row>
    <row r="1370" spans="32:32" x14ac:dyDescent="0.3">
      <c r="AF1370" s="47">
        <f t="shared" si="21"/>
        <v>0</v>
      </c>
    </row>
    <row r="1371" spans="32:32" x14ac:dyDescent="0.3">
      <c r="AF1371" s="47">
        <f t="shared" si="21"/>
        <v>0</v>
      </c>
    </row>
    <row r="1372" spans="32:32" x14ac:dyDescent="0.3">
      <c r="AF1372" s="47">
        <f t="shared" si="21"/>
        <v>0</v>
      </c>
    </row>
    <row r="1373" spans="32:32" x14ac:dyDescent="0.3">
      <c r="AF1373" s="47">
        <f t="shared" si="21"/>
        <v>0</v>
      </c>
    </row>
    <row r="1374" spans="32:32" x14ac:dyDescent="0.3">
      <c r="AF1374" s="47">
        <f t="shared" si="21"/>
        <v>0</v>
      </c>
    </row>
    <row r="1375" spans="32:32" x14ac:dyDescent="0.3">
      <c r="AF1375" s="47">
        <f t="shared" si="21"/>
        <v>0</v>
      </c>
    </row>
    <row r="1376" spans="32:32" x14ac:dyDescent="0.3">
      <c r="AF1376" s="47">
        <f t="shared" si="21"/>
        <v>0</v>
      </c>
    </row>
    <row r="1377" spans="32:32" x14ac:dyDescent="0.3">
      <c r="AF1377" s="47">
        <f t="shared" si="21"/>
        <v>0</v>
      </c>
    </row>
    <row r="1378" spans="32:32" x14ac:dyDescent="0.3">
      <c r="AF1378" s="47">
        <f t="shared" si="21"/>
        <v>0</v>
      </c>
    </row>
    <row r="1379" spans="32:32" x14ac:dyDescent="0.3">
      <c r="AF1379" s="47">
        <f t="shared" si="21"/>
        <v>0</v>
      </c>
    </row>
    <row r="1380" spans="32:32" x14ac:dyDescent="0.3">
      <c r="AF1380" s="47">
        <f t="shared" si="21"/>
        <v>0</v>
      </c>
    </row>
    <row r="1381" spans="32:32" x14ac:dyDescent="0.3">
      <c r="AF1381" s="47">
        <f t="shared" si="21"/>
        <v>0</v>
      </c>
    </row>
    <row r="1382" spans="32:32" x14ac:dyDescent="0.3">
      <c r="AF1382" s="47">
        <f t="shared" si="21"/>
        <v>0</v>
      </c>
    </row>
    <row r="1383" spans="32:32" x14ac:dyDescent="0.3">
      <c r="AF1383" s="47">
        <f t="shared" si="21"/>
        <v>0</v>
      </c>
    </row>
    <row r="1384" spans="32:32" x14ac:dyDescent="0.3">
      <c r="AF1384" s="47">
        <f t="shared" si="21"/>
        <v>0</v>
      </c>
    </row>
    <row r="1385" spans="32:32" x14ac:dyDescent="0.3">
      <c r="AF1385" s="47">
        <f t="shared" si="21"/>
        <v>0</v>
      </c>
    </row>
    <row r="1386" spans="32:32" x14ac:dyDescent="0.3">
      <c r="AF1386" s="47">
        <f t="shared" si="21"/>
        <v>0</v>
      </c>
    </row>
    <row r="1387" spans="32:32" x14ac:dyDescent="0.3">
      <c r="AF1387" s="47">
        <f t="shared" si="21"/>
        <v>0</v>
      </c>
    </row>
    <row r="1388" spans="32:32" x14ac:dyDescent="0.3">
      <c r="AF1388" s="47">
        <f t="shared" si="21"/>
        <v>0</v>
      </c>
    </row>
    <row r="1389" spans="32:32" x14ac:dyDescent="0.3">
      <c r="AF1389" s="47">
        <f t="shared" si="21"/>
        <v>0</v>
      </c>
    </row>
    <row r="1390" spans="32:32" x14ac:dyDescent="0.3">
      <c r="AF1390" s="47">
        <f t="shared" si="21"/>
        <v>0</v>
      </c>
    </row>
    <row r="1391" spans="32:32" x14ac:dyDescent="0.3">
      <c r="AF1391" s="47">
        <f t="shared" si="21"/>
        <v>0</v>
      </c>
    </row>
    <row r="1392" spans="32:32" x14ac:dyDescent="0.3">
      <c r="AF1392" s="47">
        <f t="shared" si="21"/>
        <v>0</v>
      </c>
    </row>
    <row r="1393" spans="32:32" x14ac:dyDescent="0.3">
      <c r="AF1393" s="47">
        <f t="shared" si="21"/>
        <v>0</v>
      </c>
    </row>
    <row r="1394" spans="32:32" x14ac:dyDescent="0.3">
      <c r="AF1394" s="47">
        <f t="shared" si="21"/>
        <v>0</v>
      </c>
    </row>
    <row r="1395" spans="32:32" x14ac:dyDescent="0.3">
      <c r="AF1395" s="47">
        <f t="shared" si="21"/>
        <v>0</v>
      </c>
    </row>
    <row r="1396" spans="32:32" x14ac:dyDescent="0.3">
      <c r="AF1396" s="47">
        <f t="shared" si="21"/>
        <v>0</v>
      </c>
    </row>
    <row r="1397" spans="32:32" x14ac:dyDescent="0.3">
      <c r="AF1397" s="47">
        <f t="shared" si="21"/>
        <v>0</v>
      </c>
    </row>
    <row r="1398" spans="32:32" x14ac:dyDescent="0.3">
      <c r="AF1398" s="47">
        <f t="shared" si="21"/>
        <v>0</v>
      </c>
    </row>
    <row r="1399" spans="32:32" x14ac:dyDescent="0.3">
      <c r="AF1399" s="47">
        <f t="shared" si="21"/>
        <v>0</v>
      </c>
    </row>
    <row r="1400" spans="32:32" x14ac:dyDescent="0.3">
      <c r="AF1400" s="47">
        <f t="shared" si="21"/>
        <v>0</v>
      </c>
    </row>
    <row r="1401" spans="32:32" x14ac:dyDescent="0.3">
      <c r="AF1401" s="47">
        <f t="shared" si="21"/>
        <v>0</v>
      </c>
    </row>
    <row r="1402" spans="32:32" x14ac:dyDescent="0.3">
      <c r="AF1402" s="47">
        <f t="shared" si="21"/>
        <v>0</v>
      </c>
    </row>
    <row r="1403" spans="32:32" x14ac:dyDescent="0.3">
      <c r="AF1403" s="47">
        <f t="shared" si="21"/>
        <v>0</v>
      </c>
    </row>
    <row r="1404" spans="32:32" x14ac:dyDescent="0.3">
      <c r="AF1404" s="47">
        <f t="shared" si="21"/>
        <v>0</v>
      </c>
    </row>
    <row r="1405" spans="32:32" x14ac:dyDescent="0.3">
      <c r="AF1405" s="47">
        <f t="shared" si="21"/>
        <v>0</v>
      </c>
    </row>
    <row r="1406" spans="32:32" x14ac:dyDescent="0.3">
      <c r="AF1406" s="47">
        <f t="shared" si="21"/>
        <v>0</v>
      </c>
    </row>
    <row r="1407" spans="32:32" x14ac:dyDescent="0.3">
      <c r="AF1407" s="47">
        <f t="shared" si="21"/>
        <v>0</v>
      </c>
    </row>
    <row r="1408" spans="32:32" x14ac:dyDescent="0.3">
      <c r="AF1408" s="47">
        <f t="shared" si="21"/>
        <v>0</v>
      </c>
    </row>
    <row r="1409" spans="32:32" x14ac:dyDescent="0.3">
      <c r="AF1409" s="47">
        <f t="shared" si="21"/>
        <v>0</v>
      </c>
    </row>
    <row r="1410" spans="32:32" x14ac:dyDescent="0.3">
      <c r="AF1410" s="47">
        <f t="shared" si="21"/>
        <v>0</v>
      </c>
    </row>
    <row r="1411" spans="32:32" x14ac:dyDescent="0.3">
      <c r="AF1411" s="47">
        <f t="shared" ref="AF1411:AF1474" si="22">IFERROR(AC1411-Y1411,"")</f>
        <v>0</v>
      </c>
    </row>
    <row r="1412" spans="32:32" x14ac:dyDescent="0.3">
      <c r="AF1412" s="47">
        <f t="shared" si="22"/>
        <v>0</v>
      </c>
    </row>
    <row r="1413" spans="32:32" x14ac:dyDescent="0.3">
      <c r="AF1413" s="47">
        <f t="shared" si="22"/>
        <v>0</v>
      </c>
    </row>
    <row r="1414" spans="32:32" x14ac:dyDescent="0.3">
      <c r="AF1414" s="47">
        <f t="shared" si="22"/>
        <v>0</v>
      </c>
    </row>
    <row r="1415" spans="32:32" x14ac:dyDescent="0.3">
      <c r="AF1415" s="47">
        <f t="shared" si="22"/>
        <v>0</v>
      </c>
    </row>
    <row r="1416" spans="32:32" x14ac:dyDescent="0.3">
      <c r="AF1416" s="47">
        <f t="shared" si="22"/>
        <v>0</v>
      </c>
    </row>
    <row r="1417" spans="32:32" x14ac:dyDescent="0.3">
      <c r="AF1417" s="47">
        <f t="shared" si="22"/>
        <v>0</v>
      </c>
    </row>
    <row r="1418" spans="32:32" x14ac:dyDescent="0.3">
      <c r="AF1418" s="47">
        <f t="shared" si="22"/>
        <v>0</v>
      </c>
    </row>
    <row r="1419" spans="32:32" x14ac:dyDescent="0.3">
      <c r="AF1419" s="47">
        <f t="shared" si="22"/>
        <v>0</v>
      </c>
    </row>
    <row r="1420" spans="32:32" x14ac:dyDescent="0.3">
      <c r="AF1420" s="47">
        <f t="shared" si="22"/>
        <v>0</v>
      </c>
    </row>
    <row r="1421" spans="32:32" x14ac:dyDescent="0.3">
      <c r="AF1421" s="47">
        <f t="shared" si="22"/>
        <v>0</v>
      </c>
    </row>
    <row r="1422" spans="32:32" x14ac:dyDescent="0.3">
      <c r="AF1422" s="47">
        <f t="shared" si="22"/>
        <v>0</v>
      </c>
    </row>
    <row r="1423" spans="32:32" x14ac:dyDescent="0.3">
      <c r="AF1423" s="47">
        <f t="shared" si="22"/>
        <v>0</v>
      </c>
    </row>
    <row r="1424" spans="32:32" x14ac:dyDescent="0.3">
      <c r="AF1424" s="47">
        <f t="shared" si="22"/>
        <v>0</v>
      </c>
    </row>
    <row r="1425" spans="32:32" x14ac:dyDescent="0.3">
      <c r="AF1425" s="47">
        <f t="shared" si="22"/>
        <v>0</v>
      </c>
    </row>
    <row r="1426" spans="32:32" x14ac:dyDescent="0.3">
      <c r="AF1426" s="47">
        <f t="shared" si="22"/>
        <v>0</v>
      </c>
    </row>
    <row r="1427" spans="32:32" x14ac:dyDescent="0.3">
      <c r="AF1427" s="47">
        <f t="shared" si="22"/>
        <v>0</v>
      </c>
    </row>
    <row r="1428" spans="32:32" x14ac:dyDescent="0.3">
      <c r="AF1428" s="47">
        <f t="shared" si="22"/>
        <v>0</v>
      </c>
    </row>
    <row r="1429" spans="32:32" x14ac:dyDescent="0.3">
      <c r="AF1429" s="47">
        <f t="shared" si="22"/>
        <v>0</v>
      </c>
    </row>
    <row r="1430" spans="32:32" x14ac:dyDescent="0.3">
      <c r="AF1430" s="47">
        <f t="shared" si="22"/>
        <v>0</v>
      </c>
    </row>
    <row r="1431" spans="32:32" x14ac:dyDescent="0.3">
      <c r="AF1431" s="47">
        <f t="shared" si="22"/>
        <v>0</v>
      </c>
    </row>
    <row r="1432" spans="32:32" x14ac:dyDescent="0.3">
      <c r="AF1432" s="47">
        <f t="shared" si="22"/>
        <v>0</v>
      </c>
    </row>
    <row r="1433" spans="32:32" x14ac:dyDescent="0.3">
      <c r="AF1433" s="47">
        <f t="shared" si="22"/>
        <v>0</v>
      </c>
    </row>
    <row r="1434" spans="32:32" x14ac:dyDescent="0.3">
      <c r="AF1434" s="47">
        <f t="shared" si="22"/>
        <v>0</v>
      </c>
    </row>
    <row r="1435" spans="32:32" x14ac:dyDescent="0.3">
      <c r="AF1435" s="47">
        <f t="shared" si="22"/>
        <v>0</v>
      </c>
    </row>
    <row r="1436" spans="32:32" x14ac:dyDescent="0.3">
      <c r="AF1436" s="47">
        <f t="shared" si="22"/>
        <v>0</v>
      </c>
    </row>
    <row r="1437" spans="32:32" x14ac:dyDescent="0.3">
      <c r="AF1437" s="47">
        <f t="shared" si="22"/>
        <v>0</v>
      </c>
    </row>
    <row r="1438" spans="32:32" x14ac:dyDescent="0.3">
      <c r="AF1438" s="47">
        <f t="shared" si="22"/>
        <v>0</v>
      </c>
    </row>
    <row r="1439" spans="32:32" x14ac:dyDescent="0.3">
      <c r="AF1439" s="47">
        <f t="shared" si="22"/>
        <v>0</v>
      </c>
    </row>
    <row r="1440" spans="32:32" x14ac:dyDescent="0.3">
      <c r="AF1440" s="47">
        <f t="shared" si="22"/>
        <v>0</v>
      </c>
    </row>
    <row r="1441" spans="32:32" x14ac:dyDescent="0.3">
      <c r="AF1441" s="47">
        <f t="shared" si="22"/>
        <v>0</v>
      </c>
    </row>
    <row r="1442" spans="32:32" x14ac:dyDescent="0.3">
      <c r="AF1442" s="47">
        <f t="shared" si="22"/>
        <v>0</v>
      </c>
    </row>
    <row r="1443" spans="32:32" x14ac:dyDescent="0.3">
      <c r="AF1443" s="47">
        <f t="shared" si="22"/>
        <v>0</v>
      </c>
    </row>
    <row r="1444" spans="32:32" x14ac:dyDescent="0.3">
      <c r="AF1444" s="47">
        <f t="shared" si="22"/>
        <v>0</v>
      </c>
    </row>
    <row r="1445" spans="32:32" x14ac:dyDescent="0.3">
      <c r="AF1445" s="47">
        <f t="shared" si="22"/>
        <v>0</v>
      </c>
    </row>
    <row r="1446" spans="32:32" x14ac:dyDescent="0.3">
      <c r="AF1446" s="47">
        <f t="shared" si="22"/>
        <v>0</v>
      </c>
    </row>
    <row r="1447" spans="32:32" x14ac:dyDescent="0.3">
      <c r="AF1447" s="47">
        <f t="shared" si="22"/>
        <v>0</v>
      </c>
    </row>
    <row r="1448" spans="32:32" x14ac:dyDescent="0.3">
      <c r="AF1448" s="47">
        <f t="shared" si="22"/>
        <v>0</v>
      </c>
    </row>
    <row r="1449" spans="32:32" x14ac:dyDescent="0.3">
      <c r="AF1449" s="47">
        <f t="shared" si="22"/>
        <v>0</v>
      </c>
    </row>
    <row r="1450" spans="32:32" x14ac:dyDescent="0.3">
      <c r="AF1450" s="47">
        <f t="shared" si="22"/>
        <v>0</v>
      </c>
    </row>
    <row r="1451" spans="32:32" x14ac:dyDescent="0.3">
      <c r="AF1451" s="47">
        <f t="shared" si="22"/>
        <v>0</v>
      </c>
    </row>
    <row r="1452" spans="32:32" x14ac:dyDescent="0.3">
      <c r="AF1452" s="47">
        <f t="shared" si="22"/>
        <v>0</v>
      </c>
    </row>
    <row r="1453" spans="32:32" x14ac:dyDescent="0.3">
      <c r="AF1453" s="47">
        <f t="shared" si="22"/>
        <v>0</v>
      </c>
    </row>
    <row r="1454" spans="32:32" x14ac:dyDescent="0.3">
      <c r="AF1454" s="47">
        <f t="shared" si="22"/>
        <v>0</v>
      </c>
    </row>
    <row r="1455" spans="32:32" x14ac:dyDescent="0.3">
      <c r="AF1455" s="47">
        <f t="shared" si="22"/>
        <v>0</v>
      </c>
    </row>
    <row r="1456" spans="32:32" x14ac:dyDescent="0.3">
      <c r="AF1456" s="47">
        <f t="shared" si="22"/>
        <v>0</v>
      </c>
    </row>
    <row r="1457" spans="32:32" x14ac:dyDescent="0.3">
      <c r="AF1457" s="47">
        <f t="shared" si="22"/>
        <v>0</v>
      </c>
    </row>
    <row r="1458" spans="32:32" x14ac:dyDescent="0.3">
      <c r="AF1458" s="47">
        <f t="shared" si="22"/>
        <v>0</v>
      </c>
    </row>
    <row r="1459" spans="32:32" x14ac:dyDescent="0.3">
      <c r="AF1459" s="47">
        <f t="shared" si="22"/>
        <v>0</v>
      </c>
    </row>
    <row r="1460" spans="32:32" x14ac:dyDescent="0.3">
      <c r="AF1460" s="47">
        <f t="shared" si="22"/>
        <v>0</v>
      </c>
    </row>
    <row r="1461" spans="32:32" x14ac:dyDescent="0.3">
      <c r="AF1461" s="47">
        <f t="shared" si="22"/>
        <v>0</v>
      </c>
    </row>
    <row r="1462" spans="32:32" x14ac:dyDescent="0.3">
      <c r="AF1462" s="47">
        <f t="shared" si="22"/>
        <v>0</v>
      </c>
    </row>
    <row r="1463" spans="32:32" x14ac:dyDescent="0.3">
      <c r="AF1463" s="47">
        <f t="shared" si="22"/>
        <v>0</v>
      </c>
    </row>
    <row r="1464" spans="32:32" x14ac:dyDescent="0.3">
      <c r="AF1464" s="47">
        <f t="shared" si="22"/>
        <v>0</v>
      </c>
    </row>
    <row r="1465" spans="32:32" x14ac:dyDescent="0.3">
      <c r="AF1465" s="47">
        <f t="shared" si="22"/>
        <v>0</v>
      </c>
    </row>
    <row r="1466" spans="32:32" x14ac:dyDescent="0.3">
      <c r="AF1466" s="47">
        <f t="shared" si="22"/>
        <v>0</v>
      </c>
    </row>
    <row r="1467" spans="32:32" x14ac:dyDescent="0.3">
      <c r="AF1467" s="47">
        <f t="shared" si="22"/>
        <v>0</v>
      </c>
    </row>
    <row r="1468" spans="32:32" x14ac:dyDescent="0.3">
      <c r="AF1468" s="47">
        <f t="shared" si="22"/>
        <v>0</v>
      </c>
    </row>
    <row r="1469" spans="32:32" x14ac:dyDescent="0.3">
      <c r="AF1469" s="47">
        <f t="shared" si="22"/>
        <v>0</v>
      </c>
    </row>
    <row r="1470" spans="32:32" x14ac:dyDescent="0.3">
      <c r="AF1470" s="47">
        <f t="shared" si="22"/>
        <v>0</v>
      </c>
    </row>
    <row r="1471" spans="32:32" x14ac:dyDescent="0.3">
      <c r="AF1471" s="47">
        <f t="shared" si="22"/>
        <v>0</v>
      </c>
    </row>
    <row r="1472" spans="32:32" x14ac:dyDescent="0.3">
      <c r="AF1472" s="47">
        <f t="shared" si="22"/>
        <v>0</v>
      </c>
    </row>
    <row r="1473" spans="32:32" x14ac:dyDescent="0.3">
      <c r="AF1473" s="47">
        <f t="shared" si="22"/>
        <v>0</v>
      </c>
    </row>
    <row r="1474" spans="32:32" x14ac:dyDescent="0.3">
      <c r="AF1474" s="47">
        <f t="shared" si="22"/>
        <v>0</v>
      </c>
    </row>
    <row r="1475" spans="32:32" x14ac:dyDescent="0.3">
      <c r="AF1475" s="47">
        <f t="shared" ref="AF1475:AF1538" si="23">IFERROR(AC1475-Y1475,"")</f>
        <v>0</v>
      </c>
    </row>
    <row r="1476" spans="32:32" x14ac:dyDescent="0.3">
      <c r="AF1476" s="47">
        <f t="shared" si="23"/>
        <v>0</v>
      </c>
    </row>
    <row r="1477" spans="32:32" x14ac:dyDescent="0.3">
      <c r="AF1477" s="47">
        <f t="shared" si="23"/>
        <v>0</v>
      </c>
    </row>
    <row r="1478" spans="32:32" x14ac:dyDescent="0.3">
      <c r="AF1478" s="47">
        <f t="shared" si="23"/>
        <v>0</v>
      </c>
    </row>
    <row r="1479" spans="32:32" x14ac:dyDescent="0.3">
      <c r="AF1479" s="47">
        <f t="shared" si="23"/>
        <v>0</v>
      </c>
    </row>
    <row r="1480" spans="32:32" x14ac:dyDescent="0.3">
      <c r="AF1480" s="47">
        <f t="shared" si="23"/>
        <v>0</v>
      </c>
    </row>
    <row r="1481" spans="32:32" x14ac:dyDescent="0.3">
      <c r="AF1481" s="47">
        <f t="shared" si="23"/>
        <v>0</v>
      </c>
    </row>
    <row r="1482" spans="32:32" x14ac:dyDescent="0.3">
      <c r="AF1482" s="47">
        <f t="shared" si="23"/>
        <v>0</v>
      </c>
    </row>
    <row r="1483" spans="32:32" x14ac:dyDescent="0.3">
      <c r="AF1483" s="47">
        <f t="shared" si="23"/>
        <v>0</v>
      </c>
    </row>
    <row r="1484" spans="32:32" x14ac:dyDescent="0.3">
      <c r="AF1484" s="47">
        <f t="shared" si="23"/>
        <v>0</v>
      </c>
    </row>
    <row r="1485" spans="32:32" x14ac:dyDescent="0.3">
      <c r="AF1485" s="47">
        <f t="shared" si="23"/>
        <v>0</v>
      </c>
    </row>
    <row r="1486" spans="32:32" x14ac:dyDescent="0.3">
      <c r="AF1486" s="47">
        <f t="shared" si="23"/>
        <v>0</v>
      </c>
    </row>
    <row r="1487" spans="32:32" x14ac:dyDescent="0.3">
      <c r="AF1487" s="47">
        <f t="shared" si="23"/>
        <v>0</v>
      </c>
    </row>
    <row r="1488" spans="32:32" x14ac:dyDescent="0.3">
      <c r="AF1488" s="47">
        <f t="shared" si="23"/>
        <v>0</v>
      </c>
    </row>
    <row r="1489" spans="32:32" x14ac:dyDescent="0.3">
      <c r="AF1489" s="47">
        <f t="shared" si="23"/>
        <v>0</v>
      </c>
    </row>
    <row r="1490" spans="32:32" x14ac:dyDescent="0.3">
      <c r="AF1490" s="47">
        <f t="shared" si="23"/>
        <v>0</v>
      </c>
    </row>
    <row r="1491" spans="32:32" x14ac:dyDescent="0.3">
      <c r="AF1491" s="47">
        <f t="shared" si="23"/>
        <v>0</v>
      </c>
    </row>
    <row r="1492" spans="32:32" x14ac:dyDescent="0.3">
      <c r="AF1492" s="47">
        <f t="shared" si="23"/>
        <v>0</v>
      </c>
    </row>
    <row r="1493" spans="32:32" x14ac:dyDescent="0.3">
      <c r="AF1493" s="47">
        <f t="shared" si="23"/>
        <v>0</v>
      </c>
    </row>
    <row r="1494" spans="32:32" x14ac:dyDescent="0.3">
      <c r="AF1494" s="47">
        <f t="shared" si="23"/>
        <v>0</v>
      </c>
    </row>
    <row r="1495" spans="32:32" x14ac:dyDescent="0.3">
      <c r="AF1495" s="47">
        <f t="shared" si="23"/>
        <v>0</v>
      </c>
    </row>
    <row r="1496" spans="32:32" x14ac:dyDescent="0.3">
      <c r="AF1496" s="47">
        <f t="shared" si="23"/>
        <v>0</v>
      </c>
    </row>
    <row r="1497" spans="32:32" x14ac:dyDescent="0.3">
      <c r="AF1497" s="47">
        <f t="shared" si="23"/>
        <v>0</v>
      </c>
    </row>
    <row r="1498" spans="32:32" x14ac:dyDescent="0.3">
      <c r="AF1498" s="47">
        <f t="shared" si="23"/>
        <v>0</v>
      </c>
    </row>
    <row r="1499" spans="32:32" x14ac:dyDescent="0.3">
      <c r="AF1499" s="47">
        <f t="shared" si="23"/>
        <v>0</v>
      </c>
    </row>
    <row r="1500" spans="32:32" x14ac:dyDescent="0.3">
      <c r="AF1500" s="47">
        <f t="shared" si="23"/>
        <v>0</v>
      </c>
    </row>
    <row r="1501" spans="32:32" x14ac:dyDescent="0.3">
      <c r="AF1501" s="47">
        <f t="shared" si="23"/>
        <v>0</v>
      </c>
    </row>
    <row r="1502" spans="32:32" x14ac:dyDescent="0.3">
      <c r="AF1502" s="47">
        <f t="shared" si="23"/>
        <v>0</v>
      </c>
    </row>
    <row r="1503" spans="32:32" x14ac:dyDescent="0.3">
      <c r="AF1503" s="47">
        <f t="shared" si="23"/>
        <v>0</v>
      </c>
    </row>
    <row r="1504" spans="32:32" x14ac:dyDescent="0.3">
      <c r="AF1504" s="47">
        <f t="shared" si="23"/>
        <v>0</v>
      </c>
    </row>
    <row r="1505" spans="32:32" x14ac:dyDescent="0.3">
      <c r="AF1505" s="47">
        <f t="shared" si="23"/>
        <v>0</v>
      </c>
    </row>
    <row r="1506" spans="32:32" x14ac:dyDescent="0.3">
      <c r="AF1506" s="47">
        <f t="shared" si="23"/>
        <v>0</v>
      </c>
    </row>
    <row r="1507" spans="32:32" x14ac:dyDescent="0.3">
      <c r="AF1507" s="47">
        <f t="shared" si="23"/>
        <v>0</v>
      </c>
    </row>
    <row r="1508" spans="32:32" x14ac:dyDescent="0.3">
      <c r="AF1508" s="47">
        <f t="shared" si="23"/>
        <v>0</v>
      </c>
    </row>
    <row r="1509" spans="32:32" x14ac:dyDescent="0.3">
      <c r="AF1509" s="47">
        <f t="shared" si="23"/>
        <v>0</v>
      </c>
    </row>
    <row r="1510" spans="32:32" x14ac:dyDescent="0.3">
      <c r="AF1510" s="47">
        <f t="shared" si="23"/>
        <v>0</v>
      </c>
    </row>
    <row r="1511" spans="32:32" x14ac:dyDescent="0.3">
      <c r="AF1511" s="47">
        <f t="shared" si="23"/>
        <v>0</v>
      </c>
    </row>
    <row r="1512" spans="32:32" x14ac:dyDescent="0.3">
      <c r="AF1512" s="47">
        <f t="shared" si="23"/>
        <v>0</v>
      </c>
    </row>
    <row r="1513" spans="32:32" x14ac:dyDescent="0.3">
      <c r="AF1513" s="47">
        <f t="shared" si="23"/>
        <v>0</v>
      </c>
    </row>
    <row r="1514" spans="32:32" x14ac:dyDescent="0.3">
      <c r="AF1514" s="47">
        <f t="shared" si="23"/>
        <v>0</v>
      </c>
    </row>
    <row r="1515" spans="32:32" x14ac:dyDescent="0.3">
      <c r="AF1515" s="47">
        <f t="shared" si="23"/>
        <v>0</v>
      </c>
    </row>
    <row r="1516" spans="32:32" x14ac:dyDescent="0.3">
      <c r="AF1516" s="47">
        <f t="shared" si="23"/>
        <v>0</v>
      </c>
    </row>
    <row r="1517" spans="32:32" x14ac:dyDescent="0.3">
      <c r="AF1517" s="47">
        <f t="shared" si="23"/>
        <v>0</v>
      </c>
    </row>
    <row r="1518" spans="32:32" x14ac:dyDescent="0.3">
      <c r="AF1518" s="47">
        <f t="shared" si="23"/>
        <v>0</v>
      </c>
    </row>
    <row r="1519" spans="32:32" x14ac:dyDescent="0.3">
      <c r="AF1519" s="47">
        <f t="shared" si="23"/>
        <v>0</v>
      </c>
    </row>
    <row r="1520" spans="32:32" x14ac:dyDescent="0.3">
      <c r="AF1520" s="47">
        <f t="shared" si="23"/>
        <v>0</v>
      </c>
    </row>
    <row r="1521" spans="32:32" x14ac:dyDescent="0.3">
      <c r="AF1521" s="47">
        <f t="shared" si="23"/>
        <v>0</v>
      </c>
    </row>
    <row r="1522" spans="32:32" x14ac:dyDescent="0.3">
      <c r="AF1522" s="47">
        <f t="shared" si="23"/>
        <v>0</v>
      </c>
    </row>
    <row r="1523" spans="32:32" x14ac:dyDescent="0.3">
      <c r="AF1523" s="47">
        <f t="shared" si="23"/>
        <v>0</v>
      </c>
    </row>
    <row r="1524" spans="32:32" x14ac:dyDescent="0.3">
      <c r="AF1524" s="47">
        <f t="shared" si="23"/>
        <v>0</v>
      </c>
    </row>
    <row r="1525" spans="32:32" x14ac:dyDescent="0.3">
      <c r="AF1525" s="47">
        <f t="shared" si="23"/>
        <v>0</v>
      </c>
    </row>
    <row r="1526" spans="32:32" x14ac:dyDescent="0.3">
      <c r="AF1526" s="47">
        <f t="shared" si="23"/>
        <v>0</v>
      </c>
    </row>
    <row r="1527" spans="32:32" x14ac:dyDescent="0.3">
      <c r="AF1527" s="47">
        <f t="shared" si="23"/>
        <v>0</v>
      </c>
    </row>
    <row r="1528" spans="32:32" x14ac:dyDescent="0.3">
      <c r="AF1528" s="47">
        <f t="shared" si="23"/>
        <v>0</v>
      </c>
    </row>
    <row r="1529" spans="32:32" x14ac:dyDescent="0.3">
      <c r="AF1529" s="47">
        <f t="shared" si="23"/>
        <v>0</v>
      </c>
    </row>
    <row r="1530" spans="32:32" x14ac:dyDescent="0.3">
      <c r="AF1530" s="47">
        <f t="shared" si="23"/>
        <v>0</v>
      </c>
    </row>
    <row r="1531" spans="32:32" x14ac:dyDescent="0.3">
      <c r="AF1531" s="47">
        <f t="shared" si="23"/>
        <v>0</v>
      </c>
    </row>
    <row r="1532" spans="32:32" x14ac:dyDescent="0.3">
      <c r="AF1532" s="47">
        <f t="shared" si="23"/>
        <v>0</v>
      </c>
    </row>
    <row r="1533" spans="32:32" x14ac:dyDescent="0.3">
      <c r="AF1533" s="47">
        <f t="shared" si="23"/>
        <v>0</v>
      </c>
    </row>
    <row r="1534" spans="32:32" x14ac:dyDescent="0.3">
      <c r="AF1534" s="47">
        <f t="shared" si="23"/>
        <v>0</v>
      </c>
    </row>
    <row r="1535" spans="32:32" x14ac:dyDescent="0.3">
      <c r="AF1535" s="47">
        <f t="shared" si="23"/>
        <v>0</v>
      </c>
    </row>
    <row r="1536" spans="32:32" x14ac:dyDescent="0.3">
      <c r="AF1536" s="47">
        <f t="shared" si="23"/>
        <v>0</v>
      </c>
    </row>
    <row r="1537" spans="32:32" x14ac:dyDescent="0.3">
      <c r="AF1537" s="47">
        <f t="shared" si="23"/>
        <v>0</v>
      </c>
    </row>
    <row r="1538" spans="32:32" x14ac:dyDescent="0.3">
      <c r="AF1538" s="47">
        <f t="shared" si="23"/>
        <v>0</v>
      </c>
    </row>
    <row r="1539" spans="32:32" x14ac:dyDescent="0.3">
      <c r="AF1539" s="47">
        <f t="shared" ref="AF1539:AF1602" si="24">IFERROR(AC1539-Y1539,"")</f>
        <v>0</v>
      </c>
    </row>
    <row r="1540" spans="32:32" x14ac:dyDescent="0.3">
      <c r="AF1540" s="47">
        <f t="shared" si="24"/>
        <v>0</v>
      </c>
    </row>
    <row r="1541" spans="32:32" x14ac:dyDescent="0.3">
      <c r="AF1541" s="47">
        <f t="shared" si="24"/>
        <v>0</v>
      </c>
    </row>
    <row r="1542" spans="32:32" x14ac:dyDescent="0.3">
      <c r="AF1542" s="47">
        <f t="shared" si="24"/>
        <v>0</v>
      </c>
    </row>
    <row r="1543" spans="32:32" x14ac:dyDescent="0.3">
      <c r="AF1543" s="47">
        <f t="shared" si="24"/>
        <v>0</v>
      </c>
    </row>
    <row r="1544" spans="32:32" x14ac:dyDescent="0.3">
      <c r="AF1544" s="47">
        <f t="shared" si="24"/>
        <v>0</v>
      </c>
    </row>
    <row r="1545" spans="32:32" x14ac:dyDescent="0.3">
      <c r="AF1545" s="47">
        <f t="shared" si="24"/>
        <v>0</v>
      </c>
    </row>
    <row r="1546" spans="32:32" x14ac:dyDescent="0.3">
      <c r="AF1546" s="47">
        <f t="shared" si="24"/>
        <v>0</v>
      </c>
    </row>
    <row r="1547" spans="32:32" x14ac:dyDescent="0.3">
      <c r="AF1547" s="47">
        <f t="shared" si="24"/>
        <v>0</v>
      </c>
    </row>
    <row r="1548" spans="32:32" x14ac:dyDescent="0.3">
      <c r="AF1548" s="47">
        <f t="shared" si="24"/>
        <v>0</v>
      </c>
    </row>
    <row r="1549" spans="32:32" x14ac:dyDescent="0.3">
      <c r="AF1549" s="47">
        <f t="shared" si="24"/>
        <v>0</v>
      </c>
    </row>
    <row r="1550" spans="32:32" x14ac:dyDescent="0.3">
      <c r="AF1550" s="47">
        <f t="shared" si="24"/>
        <v>0</v>
      </c>
    </row>
    <row r="1551" spans="32:32" x14ac:dyDescent="0.3">
      <c r="AF1551" s="47">
        <f t="shared" si="24"/>
        <v>0</v>
      </c>
    </row>
    <row r="1552" spans="32:32" x14ac:dyDescent="0.3">
      <c r="AF1552" s="47">
        <f t="shared" si="24"/>
        <v>0</v>
      </c>
    </row>
    <row r="1553" spans="32:32" x14ac:dyDescent="0.3">
      <c r="AF1553" s="47">
        <f t="shared" si="24"/>
        <v>0</v>
      </c>
    </row>
    <row r="1554" spans="32:32" x14ac:dyDescent="0.3">
      <c r="AF1554" s="47">
        <f t="shared" si="24"/>
        <v>0</v>
      </c>
    </row>
    <row r="1555" spans="32:32" x14ac:dyDescent="0.3">
      <c r="AF1555" s="47">
        <f t="shared" si="24"/>
        <v>0</v>
      </c>
    </row>
    <row r="1556" spans="32:32" x14ac:dyDescent="0.3">
      <c r="AF1556" s="47">
        <f t="shared" si="24"/>
        <v>0</v>
      </c>
    </row>
    <row r="1557" spans="32:32" x14ac:dyDescent="0.3">
      <c r="AF1557" s="47">
        <f t="shared" si="24"/>
        <v>0</v>
      </c>
    </row>
    <row r="1558" spans="32:32" x14ac:dyDescent="0.3">
      <c r="AF1558" s="47">
        <f t="shared" si="24"/>
        <v>0</v>
      </c>
    </row>
    <row r="1559" spans="32:32" x14ac:dyDescent="0.3">
      <c r="AF1559" s="47">
        <f t="shared" si="24"/>
        <v>0</v>
      </c>
    </row>
    <row r="1560" spans="32:32" x14ac:dyDescent="0.3">
      <c r="AF1560" s="47">
        <f t="shared" si="24"/>
        <v>0</v>
      </c>
    </row>
    <row r="1561" spans="32:32" x14ac:dyDescent="0.3">
      <c r="AF1561" s="47">
        <f t="shared" si="24"/>
        <v>0</v>
      </c>
    </row>
    <row r="1562" spans="32:32" x14ac:dyDescent="0.3">
      <c r="AF1562" s="47">
        <f t="shared" si="24"/>
        <v>0</v>
      </c>
    </row>
    <row r="1563" spans="32:32" x14ac:dyDescent="0.3">
      <c r="AF1563" s="47">
        <f t="shared" si="24"/>
        <v>0</v>
      </c>
    </row>
    <row r="1564" spans="32:32" x14ac:dyDescent="0.3">
      <c r="AF1564" s="47">
        <f t="shared" si="24"/>
        <v>0</v>
      </c>
    </row>
    <row r="1565" spans="32:32" x14ac:dyDescent="0.3">
      <c r="AF1565" s="47">
        <f t="shared" si="24"/>
        <v>0</v>
      </c>
    </row>
    <row r="1566" spans="32:32" x14ac:dyDescent="0.3">
      <c r="AF1566" s="47">
        <f t="shared" si="24"/>
        <v>0</v>
      </c>
    </row>
    <row r="1567" spans="32:32" x14ac:dyDescent="0.3">
      <c r="AF1567" s="47">
        <f t="shared" si="24"/>
        <v>0</v>
      </c>
    </row>
    <row r="1568" spans="32:32" x14ac:dyDescent="0.3">
      <c r="AF1568" s="47">
        <f t="shared" si="24"/>
        <v>0</v>
      </c>
    </row>
    <row r="1569" spans="32:32" x14ac:dyDescent="0.3">
      <c r="AF1569" s="47">
        <f t="shared" si="24"/>
        <v>0</v>
      </c>
    </row>
    <row r="1570" spans="32:32" x14ac:dyDescent="0.3">
      <c r="AF1570" s="47">
        <f t="shared" si="24"/>
        <v>0</v>
      </c>
    </row>
    <row r="1571" spans="32:32" x14ac:dyDescent="0.3">
      <c r="AF1571" s="47">
        <f t="shared" si="24"/>
        <v>0</v>
      </c>
    </row>
    <row r="1572" spans="32:32" x14ac:dyDescent="0.3">
      <c r="AF1572" s="47">
        <f t="shared" si="24"/>
        <v>0</v>
      </c>
    </row>
    <row r="1573" spans="32:32" x14ac:dyDescent="0.3">
      <c r="AF1573" s="47">
        <f t="shared" si="24"/>
        <v>0</v>
      </c>
    </row>
    <row r="1574" spans="32:32" x14ac:dyDescent="0.3">
      <c r="AF1574" s="47">
        <f t="shared" si="24"/>
        <v>0</v>
      </c>
    </row>
    <row r="1575" spans="32:32" x14ac:dyDescent="0.3">
      <c r="AF1575" s="47">
        <f t="shared" si="24"/>
        <v>0</v>
      </c>
    </row>
    <row r="1576" spans="32:32" x14ac:dyDescent="0.3">
      <c r="AF1576" s="47">
        <f t="shared" si="24"/>
        <v>0</v>
      </c>
    </row>
    <row r="1577" spans="32:32" x14ac:dyDescent="0.3">
      <c r="AF1577" s="47">
        <f t="shared" si="24"/>
        <v>0</v>
      </c>
    </row>
    <row r="1578" spans="32:32" x14ac:dyDescent="0.3">
      <c r="AF1578" s="47">
        <f t="shared" si="24"/>
        <v>0</v>
      </c>
    </row>
    <row r="1579" spans="32:32" x14ac:dyDescent="0.3">
      <c r="AF1579" s="47">
        <f t="shared" si="24"/>
        <v>0</v>
      </c>
    </row>
    <row r="1580" spans="32:32" x14ac:dyDescent="0.3">
      <c r="AF1580" s="47">
        <f t="shared" si="24"/>
        <v>0</v>
      </c>
    </row>
    <row r="1581" spans="32:32" x14ac:dyDescent="0.3">
      <c r="AF1581" s="47">
        <f t="shared" si="24"/>
        <v>0</v>
      </c>
    </row>
    <row r="1582" spans="32:32" x14ac:dyDescent="0.3">
      <c r="AF1582" s="47">
        <f t="shared" si="24"/>
        <v>0</v>
      </c>
    </row>
    <row r="1583" spans="32:32" x14ac:dyDescent="0.3">
      <c r="AF1583" s="47">
        <f t="shared" si="24"/>
        <v>0</v>
      </c>
    </row>
    <row r="1584" spans="32:32" x14ac:dyDescent="0.3">
      <c r="AF1584" s="47">
        <f t="shared" si="24"/>
        <v>0</v>
      </c>
    </row>
    <row r="1585" spans="32:32" x14ac:dyDescent="0.3">
      <c r="AF1585" s="47">
        <f t="shared" si="24"/>
        <v>0</v>
      </c>
    </row>
    <row r="1586" spans="32:32" x14ac:dyDescent="0.3">
      <c r="AF1586" s="47">
        <f t="shared" si="24"/>
        <v>0</v>
      </c>
    </row>
    <row r="1587" spans="32:32" x14ac:dyDescent="0.3">
      <c r="AF1587" s="47">
        <f t="shared" si="24"/>
        <v>0</v>
      </c>
    </row>
    <row r="1588" spans="32:32" x14ac:dyDescent="0.3">
      <c r="AF1588" s="47">
        <f t="shared" si="24"/>
        <v>0</v>
      </c>
    </row>
    <row r="1589" spans="32:32" x14ac:dyDescent="0.3">
      <c r="AF1589" s="47">
        <f t="shared" si="24"/>
        <v>0</v>
      </c>
    </row>
    <row r="1590" spans="32:32" x14ac:dyDescent="0.3">
      <c r="AF1590" s="47">
        <f t="shared" si="24"/>
        <v>0</v>
      </c>
    </row>
    <row r="1591" spans="32:32" x14ac:dyDescent="0.3">
      <c r="AF1591" s="47">
        <f t="shared" si="24"/>
        <v>0</v>
      </c>
    </row>
    <row r="1592" spans="32:32" x14ac:dyDescent="0.3">
      <c r="AF1592" s="47">
        <f t="shared" si="24"/>
        <v>0</v>
      </c>
    </row>
    <row r="1593" spans="32:32" x14ac:dyDescent="0.3">
      <c r="AF1593" s="47">
        <f t="shared" si="24"/>
        <v>0</v>
      </c>
    </row>
    <row r="1594" spans="32:32" x14ac:dyDescent="0.3">
      <c r="AF1594" s="47">
        <f t="shared" si="24"/>
        <v>0</v>
      </c>
    </row>
    <row r="1595" spans="32:32" x14ac:dyDescent="0.3">
      <c r="AF1595" s="47">
        <f t="shared" si="24"/>
        <v>0</v>
      </c>
    </row>
    <row r="1596" spans="32:32" x14ac:dyDescent="0.3">
      <c r="AF1596" s="47">
        <f t="shared" si="24"/>
        <v>0</v>
      </c>
    </row>
    <row r="1597" spans="32:32" x14ac:dyDescent="0.3">
      <c r="AF1597" s="47">
        <f t="shared" si="24"/>
        <v>0</v>
      </c>
    </row>
    <row r="1598" spans="32:32" x14ac:dyDescent="0.3">
      <c r="AF1598" s="47">
        <f t="shared" si="24"/>
        <v>0</v>
      </c>
    </row>
    <row r="1599" spans="32:32" x14ac:dyDescent="0.3">
      <c r="AF1599" s="47">
        <f t="shared" si="24"/>
        <v>0</v>
      </c>
    </row>
    <row r="1600" spans="32:32" x14ac:dyDescent="0.3">
      <c r="AF1600" s="47">
        <f t="shared" si="24"/>
        <v>0</v>
      </c>
    </row>
    <row r="1601" spans="32:32" x14ac:dyDescent="0.3">
      <c r="AF1601" s="47">
        <f t="shared" si="24"/>
        <v>0</v>
      </c>
    </row>
    <row r="1602" spans="32:32" x14ac:dyDescent="0.3">
      <c r="AF1602" s="47">
        <f t="shared" si="24"/>
        <v>0</v>
      </c>
    </row>
    <row r="1603" spans="32:32" x14ac:dyDescent="0.3">
      <c r="AF1603" s="47">
        <f t="shared" ref="AF1603:AF1666" si="25">IFERROR(AC1603-Y1603,"")</f>
        <v>0</v>
      </c>
    </row>
    <row r="1604" spans="32:32" x14ac:dyDescent="0.3">
      <c r="AF1604" s="47">
        <f t="shared" si="25"/>
        <v>0</v>
      </c>
    </row>
    <row r="1605" spans="32:32" x14ac:dyDescent="0.3">
      <c r="AF1605" s="47">
        <f t="shared" si="25"/>
        <v>0</v>
      </c>
    </row>
    <row r="1606" spans="32:32" x14ac:dyDescent="0.3">
      <c r="AF1606" s="47">
        <f t="shared" si="25"/>
        <v>0</v>
      </c>
    </row>
    <row r="1607" spans="32:32" x14ac:dyDescent="0.3">
      <c r="AF1607" s="47">
        <f t="shared" si="25"/>
        <v>0</v>
      </c>
    </row>
    <row r="1608" spans="32:32" x14ac:dyDescent="0.3">
      <c r="AF1608" s="47">
        <f t="shared" si="25"/>
        <v>0</v>
      </c>
    </row>
    <row r="1609" spans="32:32" x14ac:dyDescent="0.3">
      <c r="AF1609" s="47">
        <f t="shared" si="25"/>
        <v>0</v>
      </c>
    </row>
    <row r="1610" spans="32:32" x14ac:dyDescent="0.3">
      <c r="AF1610" s="47">
        <f t="shared" si="25"/>
        <v>0</v>
      </c>
    </row>
    <row r="1611" spans="32:32" x14ac:dyDescent="0.3">
      <c r="AF1611" s="47">
        <f t="shared" si="25"/>
        <v>0</v>
      </c>
    </row>
    <row r="1612" spans="32:32" x14ac:dyDescent="0.3">
      <c r="AF1612" s="47">
        <f t="shared" si="25"/>
        <v>0</v>
      </c>
    </row>
    <row r="1613" spans="32:32" x14ac:dyDescent="0.3">
      <c r="AF1613" s="47">
        <f t="shared" si="25"/>
        <v>0</v>
      </c>
    </row>
    <row r="1614" spans="32:32" x14ac:dyDescent="0.3">
      <c r="AF1614" s="47">
        <f t="shared" si="25"/>
        <v>0</v>
      </c>
    </row>
    <row r="1615" spans="32:32" x14ac:dyDescent="0.3">
      <c r="AF1615" s="47">
        <f t="shared" si="25"/>
        <v>0</v>
      </c>
    </row>
    <row r="1616" spans="32:32" x14ac:dyDescent="0.3">
      <c r="AF1616" s="47">
        <f t="shared" si="25"/>
        <v>0</v>
      </c>
    </row>
    <row r="1617" spans="32:32" x14ac:dyDescent="0.3">
      <c r="AF1617" s="47">
        <f t="shared" si="25"/>
        <v>0</v>
      </c>
    </row>
    <row r="1618" spans="32:32" x14ac:dyDescent="0.3">
      <c r="AF1618" s="47">
        <f t="shared" si="25"/>
        <v>0</v>
      </c>
    </row>
    <row r="1619" spans="32:32" x14ac:dyDescent="0.3">
      <c r="AF1619" s="47">
        <f t="shared" si="25"/>
        <v>0</v>
      </c>
    </row>
    <row r="1620" spans="32:32" x14ac:dyDescent="0.3">
      <c r="AF1620" s="47">
        <f t="shared" si="25"/>
        <v>0</v>
      </c>
    </row>
    <row r="1621" spans="32:32" x14ac:dyDescent="0.3">
      <c r="AF1621" s="47">
        <f t="shared" si="25"/>
        <v>0</v>
      </c>
    </row>
    <row r="1622" spans="32:32" x14ac:dyDescent="0.3">
      <c r="AF1622" s="47">
        <f t="shared" si="25"/>
        <v>0</v>
      </c>
    </row>
    <row r="1623" spans="32:32" x14ac:dyDescent="0.3">
      <c r="AF1623" s="47">
        <f t="shared" si="25"/>
        <v>0</v>
      </c>
    </row>
    <row r="1624" spans="32:32" x14ac:dyDescent="0.3">
      <c r="AF1624" s="47">
        <f t="shared" si="25"/>
        <v>0</v>
      </c>
    </row>
    <row r="1625" spans="32:32" x14ac:dyDescent="0.3">
      <c r="AF1625" s="47">
        <f t="shared" si="25"/>
        <v>0</v>
      </c>
    </row>
    <row r="1626" spans="32:32" x14ac:dyDescent="0.3">
      <c r="AF1626" s="47">
        <f t="shared" si="25"/>
        <v>0</v>
      </c>
    </row>
    <row r="1627" spans="32:32" x14ac:dyDescent="0.3">
      <c r="AF1627" s="47">
        <f t="shared" si="25"/>
        <v>0</v>
      </c>
    </row>
    <row r="1628" spans="32:32" x14ac:dyDescent="0.3">
      <c r="AF1628" s="47">
        <f t="shared" si="25"/>
        <v>0</v>
      </c>
    </row>
    <row r="1629" spans="32:32" x14ac:dyDescent="0.3">
      <c r="AF1629" s="47">
        <f t="shared" si="25"/>
        <v>0</v>
      </c>
    </row>
    <row r="1630" spans="32:32" x14ac:dyDescent="0.3">
      <c r="AF1630" s="47">
        <f t="shared" si="25"/>
        <v>0</v>
      </c>
    </row>
    <row r="1631" spans="32:32" x14ac:dyDescent="0.3">
      <c r="AF1631" s="47">
        <f t="shared" si="25"/>
        <v>0</v>
      </c>
    </row>
    <row r="1632" spans="32:32" x14ac:dyDescent="0.3">
      <c r="AF1632" s="47">
        <f t="shared" si="25"/>
        <v>0</v>
      </c>
    </row>
    <row r="1633" spans="32:32" x14ac:dyDescent="0.3">
      <c r="AF1633" s="47">
        <f t="shared" si="25"/>
        <v>0</v>
      </c>
    </row>
    <row r="1634" spans="32:32" x14ac:dyDescent="0.3">
      <c r="AF1634" s="47">
        <f t="shared" si="25"/>
        <v>0</v>
      </c>
    </row>
    <row r="1635" spans="32:32" x14ac:dyDescent="0.3">
      <c r="AF1635" s="47">
        <f t="shared" si="25"/>
        <v>0</v>
      </c>
    </row>
    <row r="1636" spans="32:32" x14ac:dyDescent="0.3">
      <c r="AF1636" s="47">
        <f t="shared" si="25"/>
        <v>0</v>
      </c>
    </row>
    <row r="1637" spans="32:32" x14ac:dyDescent="0.3">
      <c r="AF1637" s="47">
        <f t="shared" si="25"/>
        <v>0</v>
      </c>
    </row>
    <row r="1638" spans="32:32" x14ac:dyDescent="0.3">
      <c r="AF1638" s="47">
        <f t="shared" si="25"/>
        <v>0</v>
      </c>
    </row>
    <row r="1639" spans="32:32" x14ac:dyDescent="0.3">
      <c r="AF1639" s="47">
        <f t="shared" si="25"/>
        <v>0</v>
      </c>
    </row>
    <row r="1640" spans="32:32" x14ac:dyDescent="0.3">
      <c r="AF1640" s="47">
        <f t="shared" si="25"/>
        <v>0</v>
      </c>
    </row>
    <row r="1641" spans="32:32" x14ac:dyDescent="0.3">
      <c r="AF1641" s="47">
        <f t="shared" si="25"/>
        <v>0</v>
      </c>
    </row>
    <row r="1642" spans="32:32" x14ac:dyDescent="0.3">
      <c r="AF1642" s="47">
        <f t="shared" si="25"/>
        <v>0</v>
      </c>
    </row>
    <row r="1643" spans="32:32" x14ac:dyDescent="0.3">
      <c r="AF1643" s="47">
        <f t="shared" si="25"/>
        <v>0</v>
      </c>
    </row>
    <row r="1644" spans="32:32" x14ac:dyDescent="0.3">
      <c r="AF1644" s="47">
        <f t="shared" si="25"/>
        <v>0</v>
      </c>
    </row>
    <row r="1645" spans="32:32" x14ac:dyDescent="0.3">
      <c r="AF1645" s="47">
        <f t="shared" si="25"/>
        <v>0</v>
      </c>
    </row>
    <row r="1646" spans="32:32" x14ac:dyDescent="0.3">
      <c r="AF1646" s="47">
        <f t="shared" si="25"/>
        <v>0</v>
      </c>
    </row>
    <row r="1647" spans="32:32" x14ac:dyDescent="0.3">
      <c r="AF1647" s="47">
        <f t="shared" si="25"/>
        <v>0</v>
      </c>
    </row>
    <row r="1648" spans="32:32" x14ac:dyDescent="0.3">
      <c r="AF1648" s="47">
        <f t="shared" si="25"/>
        <v>0</v>
      </c>
    </row>
    <row r="1649" spans="32:32" x14ac:dyDescent="0.3">
      <c r="AF1649" s="47">
        <f t="shared" si="25"/>
        <v>0</v>
      </c>
    </row>
    <row r="1650" spans="32:32" x14ac:dyDescent="0.3">
      <c r="AF1650" s="47">
        <f t="shared" si="25"/>
        <v>0</v>
      </c>
    </row>
    <row r="1651" spans="32:32" x14ac:dyDescent="0.3">
      <c r="AF1651" s="47">
        <f t="shared" si="25"/>
        <v>0</v>
      </c>
    </row>
    <row r="1652" spans="32:32" x14ac:dyDescent="0.3">
      <c r="AF1652" s="47">
        <f t="shared" si="25"/>
        <v>0</v>
      </c>
    </row>
    <row r="1653" spans="32:32" x14ac:dyDescent="0.3">
      <c r="AF1653" s="47">
        <f t="shared" si="25"/>
        <v>0</v>
      </c>
    </row>
    <row r="1654" spans="32:32" x14ac:dyDescent="0.3">
      <c r="AF1654" s="47">
        <f t="shared" si="25"/>
        <v>0</v>
      </c>
    </row>
    <row r="1655" spans="32:32" x14ac:dyDescent="0.3">
      <c r="AF1655" s="47">
        <f t="shared" si="25"/>
        <v>0</v>
      </c>
    </row>
    <row r="1656" spans="32:32" x14ac:dyDescent="0.3">
      <c r="AF1656" s="47">
        <f t="shared" si="25"/>
        <v>0</v>
      </c>
    </row>
    <row r="1657" spans="32:32" x14ac:dyDescent="0.3">
      <c r="AF1657" s="47">
        <f t="shared" si="25"/>
        <v>0</v>
      </c>
    </row>
    <row r="1658" spans="32:32" x14ac:dyDescent="0.3">
      <c r="AF1658" s="47">
        <f t="shared" si="25"/>
        <v>0</v>
      </c>
    </row>
    <row r="1659" spans="32:32" x14ac:dyDescent="0.3">
      <c r="AF1659" s="47">
        <f t="shared" si="25"/>
        <v>0</v>
      </c>
    </row>
    <row r="1660" spans="32:32" x14ac:dyDescent="0.3">
      <c r="AF1660" s="47">
        <f t="shared" si="25"/>
        <v>0</v>
      </c>
    </row>
    <row r="1661" spans="32:32" x14ac:dyDescent="0.3">
      <c r="AF1661" s="47">
        <f t="shared" si="25"/>
        <v>0</v>
      </c>
    </row>
    <row r="1662" spans="32:32" x14ac:dyDescent="0.3">
      <c r="AF1662" s="47">
        <f t="shared" si="25"/>
        <v>0</v>
      </c>
    </row>
    <row r="1663" spans="32:32" x14ac:dyDescent="0.3">
      <c r="AF1663" s="47">
        <f t="shared" si="25"/>
        <v>0</v>
      </c>
    </row>
    <row r="1664" spans="32:32" x14ac:dyDescent="0.3">
      <c r="AF1664" s="47">
        <f t="shared" si="25"/>
        <v>0</v>
      </c>
    </row>
    <row r="1665" spans="32:32" x14ac:dyDescent="0.3">
      <c r="AF1665" s="47">
        <f t="shared" si="25"/>
        <v>0</v>
      </c>
    </row>
    <row r="1666" spans="32:32" x14ac:dyDescent="0.3">
      <c r="AF1666" s="47">
        <f t="shared" si="25"/>
        <v>0</v>
      </c>
    </row>
    <row r="1667" spans="32:32" x14ac:dyDescent="0.3">
      <c r="AF1667" s="47">
        <f t="shared" ref="AF1667:AF1730" si="26">IFERROR(AC1667-Y1667,"")</f>
        <v>0</v>
      </c>
    </row>
    <row r="1668" spans="32:32" x14ac:dyDescent="0.3">
      <c r="AF1668" s="47">
        <f t="shared" si="26"/>
        <v>0</v>
      </c>
    </row>
    <row r="1669" spans="32:32" x14ac:dyDescent="0.3">
      <c r="AF1669" s="47">
        <f t="shared" si="26"/>
        <v>0</v>
      </c>
    </row>
    <row r="1670" spans="32:32" x14ac:dyDescent="0.3">
      <c r="AF1670" s="47">
        <f t="shared" si="26"/>
        <v>0</v>
      </c>
    </row>
    <row r="1671" spans="32:32" x14ac:dyDescent="0.3">
      <c r="AF1671" s="47">
        <f t="shared" si="26"/>
        <v>0</v>
      </c>
    </row>
    <row r="1672" spans="32:32" x14ac:dyDescent="0.3">
      <c r="AF1672" s="47">
        <f t="shared" si="26"/>
        <v>0</v>
      </c>
    </row>
    <row r="1673" spans="32:32" x14ac:dyDescent="0.3">
      <c r="AF1673" s="47">
        <f t="shared" si="26"/>
        <v>0</v>
      </c>
    </row>
    <row r="1674" spans="32:32" x14ac:dyDescent="0.3">
      <c r="AF1674" s="47">
        <f t="shared" si="26"/>
        <v>0</v>
      </c>
    </row>
    <row r="1675" spans="32:32" x14ac:dyDescent="0.3">
      <c r="AF1675" s="47">
        <f t="shared" si="26"/>
        <v>0</v>
      </c>
    </row>
    <row r="1676" spans="32:32" x14ac:dyDescent="0.3">
      <c r="AF1676" s="47">
        <f t="shared" si="26"/>
        <v>0</v>
      </c>
    </row>
    <row r="1677" spans="32:32" x14ac:dyDescent="0.3">
      <c r="AF1677" s="47">
        <f t="shared" si="26"/>
        <v>0</v>
      </c>
    </row>
    <row r="1678" spans="32:32" x14ac:dyDescent="0.3">
      <c r="AF1678" s="47">
        <f t="shared" si="26"/>
        <v>0</v>
      </c>
    </row>
    <row r="1679" spans="32:32" x14ac:dyDescent="0.3">
      <c r="AF1679" s="47">
        <f t="shared" si="26"/>
        <v>0</v>
      </c>
    </row>
    <row r="1680" spans="32:32" x14ac:dyDescent="0.3">
      <c r="AF1680" s="47">
        <f t="shared" si="26"/>
        <v>0</v>
      </c>
    </row>
    <row r="1681" spans="32:32" x14ac:dyDescent="0.3">
      <c r="AF1681" s="47">
        <f t="shared" si="26"/>
        <v>0</v>
      </c>
    </row>
    <row r="1682" spans="32:32" x14ac:dyDescent="0.3">
      <c r="AF1682" s="47">
        <f t="shared" si="26"/>
        <v>0</v>
      </c>
    </row>
    <row r="1683" spans="32:32" x14ac:dyDescent="0.3">
      <c r="AF1683" s="47">
        <f t="shared" si="26"/>
        <v>0</v>
      </c>
    </row>
    <row r="1684" spans="32:32" x14ac:dyDescent="0.3">
      <c r="AF1684" s="47">
        <f t="shared" si="26"/>
        <v>0</v>
      </c>
    </row>
    <row r="1685" spans="32:32" x14ac:dyDescent="0.3">
      <c r="AF1685" s="47">
        <f t="shared" si="26"/>
        <v>0</v>
      </c>
    </row>
    <row r="1686" spans="32:32" x14ac:dyDescent="0.3">
      <c r="AF1686" s="47">
        <f t="shared" si="26"/>
        <v>0</v>
      </c>
    </row>
    <row r="1687" spans="32:32" x14ac:dyDescent="0.3">
      <c r="AF1687" s="47">
        <f t="shared" si="26"/>
        <v>0</v>
      </c>
    </row>
    <row r="1688" spans="32:32" x14ac:dyDescent="0.3">
      <c r="AF1688" s="47">
        <f t="shared" si="26"/>
        <v>0</v>
      </c>
    </row>
    <row r="1689" spans="32:32" x14ac:dyDescent="0.3">
      <c r="AF1689" s="47">
        <f t="shared" si="26"/>
        <v>0</v>
      </c>
    </row>
    <row r="1690" spans="32:32" x14ac:dyDescent="0.3">
      <c r="AF1690" s="47">
        <f t="shared" si="26"/>
        <v>0</v>
      </c>
    </row>
    <row r="1691" spans="32:32" x14ac:dyDescent="0.3">
      <c r="AF1691" s="47">
        <f t="shared" si="26"/>
        <v>0</v>
      </c>
    </row>
    <row r="1692" spans="32:32" x14ac:dyDescent="0.3">
      <c r="AF1692" s="47">
        <f t="shared" si="26"/>
        <v>0</v>
      </c>
    </row>
    <row r="1693" spans="32:32" x14ac:dyDescent="0.3">
      <c r="AF1693" s="47">
        <f t="shared" si="26"/>
        <v>0</v>
      </c>
    </row>
    <row r="1694" spans="32:32" x14ac:dyDescent="0.3">
      <c r="AF1694" s="47">
        <f t="shared" si="26"/>
        <v>0</v>
      </c>
    </row>
    <row r="1695" spans="32:32" x14ac:dyDescent="0.3">
      <c r="AF1695" s="47">
        <f t="shared" si="26"/>
        <v>0</v>
      </c>
    </row>
    <row r="1696" spans="32:32" x14ac:dyDescent="0.3">
      <c r="AF1696" s="47">
        <f t="shared" si="26"/>
        <v>0</v>
      </c>
    </row>
    <row r="1697" spans="32:32" x14ac:dyDescent="0.3">
      <c r="AF1697" s="47">
        <f t="shared" si="26"/>
        <v>0</v>
      </c>
    </row>
    <row r="1698" spans="32:32" x14ac:dyDescent="0.3">
      <c r="AF1698" s="47">
        <f t="shared" si="26"/>
        <v>0</v>
      </c>
    </row>
    <row r="1699" spans="32:32" x14ac:dyDescent="0.3">
      <c r="AF1699" s="47">
        <f t="shared" si="26"/>
        <v>0</v>
      </c>
    </row>
    <row r="1700" spans="32:32" x14ac:dyDescent="0.3">
      <c r="AF1700" s="47">
        <f t="shared" si="26"/>
        <v>0</v>
      </c>
    </row>
    <row r="1701" spans="32:32" x14ac:dyDescent="0.3">
      <c r="AF1701" s="47">
        <f t="shared" si="26"/>
        <v>0</v>
      </c>
    </row>
    <row r="1702" spans="32:32" x14ac:dyDescent="0.3">
      <c r="AF1702" s="47">
        <f t="shared" si="26"/>
        <v>0</v>
      </c>
    </row>
    <row r="1703" spans="32:32" x14ac:dyDescent="0.3">
      <c r="AF1703" s="47">
        <f t="shared" si="26"/>
        <v>0</v>
      </c>
    </row>
    <row r="1704" spans="32:32" x14ac:dyDescent="0.3">
      <c r="AF1704" s="47">
        <f t="shared" si="26"/>
        <v>0</v>
      </c>
    </row>
    <row r="1705" spans="32:32" x14ac:dyDescent="0.3">
      <c r="AF1705" s="47">
        <f t="shared" si="26"/>
        <v>0</v>
      </c>
    </row>
    <row r="1706" spans="32:32" x14ac:dyDescent="0.3">
      <c r="AF1706" s="47">
        <f t="shared" si="26"/>
        <v>0</v>
      </c>
    </row>
    <row r="1707" spans="32:32" x14ac:dyDescent="0.3">
      <c r="AF1707" s="47">
        <f t="shared" si="26"/>
        <v>0</v>
      </c>
    </row>
    <row r="1708" spans="32:32" x14ac:dyDescent="0.3">
      <c r="AF1708" s="47">
        <f t="shared" si="26"/>
        <v>0</v>
      </c>
    </row>
    <row r="1709" spans="32:32" x14ac:dyDescent="0.3">
      <c r="AF1709" s="47">
        <f t="shared" si="26"/>
        <v>0</v>
      </c>
    </row>
    <row r="1710" spans="32:32" x14ac:dyDescent="0.3">
      <c r="AF1710" s="47">
        <f t="shared" si="26"/>
        <v>0</v>
      </c>
    </row>
    <row r="1711" spans="32:32" x14ac:dyDescent="0.3">
      <c r="AF1711" s="47">
        <f t="shared" si="26"/>
        <v>0</v>
      </c>
    </row>
    <row r="1712" spans="32:32" x14ac:dyDescent="0.3">
      <c r="AF1712" s="47">
        <f t="shared" si="26"/>
        <v>0</v>
      </c>
    </row>
    <row r="1713" spans="32:32" x14ac:dyDescent="0.3">
      <c r="AF1713" s="47">
        <f t="shared" si="26"/>
        <v>0</v>
      </c>
    </row>
    <row r="1714" spans="32:32" x14ac:dyDescent="0.3">
      <c r="AF1714" s="47">
        <f t="shared" si="26"/>
        <v>0</v>
      </c>
    </row>
    <row r="1715" spans="32:32" x14ac:dyDescent="0.3">
      <c r="AF1715" s="47">
        <f t="shared" si="26"/>
        <v>0</v>
      </c>
    </row>
    <row r="1716" spans="32:32" x14ac:dyDescent="0.3">
      <c r="AF1716" s="47">
        <f t="shared" si="26"/>
        <v>0</v>
      </c>
    </row>
    <row r="1717" spans="32:32" x14ac:dyDescent="0.3">
      <c r="AF1717" s="47">
        <f t="shared" si="26"/>
        <v>0</v>
      </c>
    </row>
    <row r="1718" spans="32:32" x14ac:dyDescent="0.3">
      <c r="AF1718" s="47">
        <f t="shared" si="26"/>
        <v>0</v>
      </c>
    </row>
    <row r="1719" spans="32:32" x14ac:dyDescent="0.3">
      <c r="AF1719" s="47">
        <f t="shared" si="26"/>
        <v>0</v>
      </c>
    </row>
    <row r="1720" spans="32:32" x14ac:dyDescent="0.3">
      <c r="AF1720" s="47">
        <f t="shared" si="26"/>
        <v>0</v>
      </c>
    </row>
    <row r="1721" spans="32:32" x14ac:dyDescent="0.3">
      <c r="AF1721" s="47">
        <f t="shared" si="26"/>
        <v>0</v>
      </c>
    </row>
    <row r="1722" spans="32:32" x14ac:dyDescent="0.3">
      <c r="AF1722" s="47">
        <f t="shared" si="26"/>
        <v>0</v>
      </c>
    </row>
    <row r="1723" spans="32:32" x14ac:dyDescent="0.3">
      <c r="AF1723" s="47">
        <f t="shared" si="26"/>
        <v>0</v>
      </c>
    </row>
    <row r="1724" spans="32:32" x14ac:dyDescent="0.3">
      <c r="AF1724" s="47">
        <f t="shared" si="26"/>
        <v>0</v>
      </c>
    </row>
    <row r="1725" spans="32:32" x14ac:dyDescent="0.3">
      <c r="AF1725" s="47">
        <f t="shared" si="26"/>
        <v>0</v>
      </c>
    </row>
    <row r="1726" spans="32:32" x14ac:dyDescent="0.3">
      <c r="AF1726" s="47">
        <f t="shared" si="26"/>
        <v>0</v>
      </c>
    </row>
    <row r="1727" spans="32:32" x14ac:dyDescent="0.3">
      <c r="AF1727" s="47">
        <f t="shared" si="26"/>
        <v>0</v>
      </c>
    </row>
    <row r="1728" spans="32:32" x14ac:dyDescent="0.3">
      <c r="AF1728" s="47">
        <f t="shared" si="26"/>
        <v>0</v>
      </c>
    </row>
    <row r="1729" spans="32:32" x14ac:dyDescent="0.3">
      <c r="AF1729" s="47">
        <f t="shared" si="26"/>
        <v>0</v>
      </c>
    </row>
    <row r="1730" spans="32:32" x14ac:dyDescent="0.3">
      <c r="AF1730" s="47">
        <f t="shared" si="26"/>
        <v>0</v>
      </c>
    </row>
    <row r="1731" spans="32:32" x14ac:dyDescent="0.3">
      <c r="AF1731" s="47">
        <f t="shared" ref="AF1731:AF1794" si="27">IFERROR(AC1731-Y1731,"")</f>
        <v>0</v>
      </c>
    </row>
    <row r="1732" spans="32:32" x14ac:dyDescent="0.3">
      <c r="AF1732" s="47">
        <f t="shared" si="27"/>
        <v>0</v>
      </c>
    </row>
    <row r="1733" spans="32:32" x14ac:dyDescent="0.3">
      <c r="AF1733" s="47">
        <f t="shared" si="27"/>
        <v>0</v>
      </c>
    </row>
    <row r="1734" spans="32:32" x14ac:dyDescent="0.3">
      <c r="AF1734" s="47">
        <f t="shared" si="27"/>
        <v>0</v>
      </c>
    </row>
    <row r="1735" spans="32:32" x14ac:dyDescent="0.3">
      <c r="AF1735" s="47">
        <f t="shared" si="27"/>
        <v>0</v>
      </c>
    </row>
    <row r="1736" spans="32:32" x14ac:dyDescent="0.3">
      <c r="AF1736" s="47">
        <f t="shared" si="27"/>
        <v>0</v>
      </c>
    </row>
    <row r="1737" spans="32:32" x14ac:dyDescent="0.3">
      <c r="AF1737" s="47">
        <f t="shared" si="27"/>
        <v>0</v>
      </c>
    </row>
    <row r="1738" spans="32:32" x14ac:dyDescent="0.3">
      <c r="AF1738" s="47">
        <f t="shared" si="27"/>
        <v>0</v>
      </c>
    </row>
    <row r="1739" spans="32:32" x14ac:dyDescent="0.3">
      <c r="AF1739" s="47">
        <f t="shared" si="27"/>
        <v>0</v>
      </c>
    </row>
    <row r="1740" spans="32:32" x14ac:dyDescent="0.3">
      <c r="AF1740" s="47">
        <f t="shared" si="27"/>
        <v>0</v>
      </c>
    </row>
    <row r="1741" spans="32:32" x14ac:dyDescent="0.3">
      <c r="AF1741" s="47">
        <f t="shared" si="27"/>
        <v>0</v>
      </c>
    </row>
    <row r="1742" spans="32:32" x14ac:dyDescent="0.3">
      <c r="AF1742" s="47">
        <f t="shared" si="27"/>
        <v>0</v>
      </c>
    </row>
    <row r="1743" spans="32:32" x14ac:dyDescent="0.3">
      <c r="AF1743" s="47">
        <f t="shared" si="27"/>
        <v>0</v>
      </c>
    </row>
    <row r="1744" spans="32:32" x14ac:dyDescent="0.3">
      <c r="AF1744" s="47">
        <f t="shared" si="27"/>
        <v>0</v>
      </c>
    </row>
    <row r="1745" spans="32:32" x14ac:dyDescent="0.3">
      <c r="AF1745" s="47">
        <f t="shared" si="27"/>
        <v>0</v>
      </c>
    </row>
    <row r="1746" spans="32:32" x14ac:dyDescent="0.3">
      <c r="AF1746" s="47">
        <f t="shared" si="27"/>
        <v>0</v>
      </c>
    </row>
    <row r="1747" spans="32:32" x14ac:dyDescent="0.3">
      <c r="AF1747" s="47">
        <f t="shared" si="27"/>
        <v>0</v>
      </c>
    </row>
    <row r="1748" spans="32:32" x14ac:dyDescent="0.3">
      <c r="AF1748" s="47">
        <f t="shared" si="27"/>
        <v>0</v>
      </c>
    </row>
    <row r="1749" spans="32:32" x14ac:dyDescent="0.3">
      <c r="AF1749" s="47">
        <f t="shared" si="27"/>
        <v>0</v>
      </c>
    </row>
    <row r="1750" spans="32:32" x14ac:dyDescent="0.3">
      <c r="AF1750" s="47">
        <f t="shared" si="27"/>
        <v>0</v>
      </c>
    </row>
    <row r="1751" spans="32:32" x14ac:dyDescent="0.3">
      <c r="AF1751" s="47">
        <f t="shared" si="27"/>
        <v>0</v>
      </c>
    </row>
    <row r="1752" spans="32:32" x14ac:dyDescent="0.3">
      <c r="AF1752" s="47">
        <f t="shared" si="27"/>
        <v>0</v>
      </c>
    </row>
    <row r="1753" spans="32:32" x14ac:dyDescent="0.3">
      <c r="AF1753" s="47">
        <f t="shared" si="27"/>
        <v>0</v>
      </c>
    </row>
    <row r="1754" spans="32:32" x14ac:dyDescent="0.3">
      <c r="AF1754" s="47">
        <f t="shared" si="27"/>
        <v>0</v>
      </c>
    </row>
    <row r="1755" spans="32:32" x14ac:dyDescent="0.3">
      <c r="AF1755" s="47">
        <f t="shared" si="27"/>
        <v>0</v>
      </c>
    </row>
    <row r="1756" spans="32:32" x14ac:dyDescent="0.3">
      <c r="AF1756" s="47">
        <f t="shared" si="27"/>
        <v>0</v>
      </c>
    </row>
    <row r="1757" spans="32:32" x14ac:dyDescent="0.3">
      <c r="AF1757" s="47">
        <f t="shared" si="27"/>
        <v>0</v>
      </c>
    </row>
    <row r="1758" spans="32:32" x14ac:dyDescent="0.3">
      <c r="AF1758" s="47">
        <f t="shared" si="27"/>
        <v>0</v>
      </c>
    </row>
    <row r="1759" spans="32:32" x14ac:dyDescent="0.3">
      <c r="AF1759" s="47">
        <f t="shared" si="27"/>
        <v>0</v>
      </c>
    </row>
    <row r="1760" spans="32:32" x14ac:dyDescent="0.3">
      <c r="AF1760" s="47">
        <f t="shared" si="27"/>
        <v>0</v>
      </c>
    </row>
    <row r="1761" spans="32:32" x14ac:dyDescent="0.3">
      <c r="AF1761" s="47">
        <f t="shared" si="27"/>
        <v>0</v>
      </c>
    </row>
    <row r="1762" spans="32:32" x14ac:dyDescent="0.3">
      <c r="AF1762" s="47">
        <f t="shared" si="27"/>
        <v>0</v>
      </c>
    </row>
    <row r="1763" spans="32:32" x14ac:dyDescent="0.3">
      <c r="AF1763" s="47">
        <f t="shared" si="27"/>
        <v>0</v>
      </c>
    </row>
    <row r="1764" spans="32:32" x14ac:dyDescent="0.3">
      <c r="AF1764" s="47">
        <f t="shared" si="27"/>
        <v>0</v>
      </c>
    </row>
    <row r="1765" spans="32:32" x14ac:dyDescent="0.3">
      <c r="AF1765" s="47">
        <f t="shared" si="27"/>
        <v>0</v>
      </c>
    </row>
    <row r="1766" spans="32:32" x14ac:dyDescent="0.3">
      <c r="AF1766" s="47">
        <f t="shared" si="27"/>
        <v>0</v>
      </c>
    </row>
    <row r="1767" spans="32:32" x14ac:dyDescent="0.3">
      <c r="AF1767" s="47">
        <f t="shared" si="27"/>
        <v>0</v>
      </c>
    </row>
    <row r="1768" spans="32:32" x14ac:dyDescent="0.3">
      <c r="AF1768" s="47">
        <f t="shared" si="27"/>
        <v>0</v>
      </c>
    </row>
    <row r="1769" spans="32:32" x14ac:dyDescent="0.3">
      <c r="AF1769" s="47">
        <f t="shared" si="27"/>
        <v>0</v>
      </c>
    </row>
    <row r="1770" spans="32:32" x14ac:dyDescent="0.3">
      <c r="AF1770" s="47">
        <f t="shared" si="27"/>
        <v>0</v>
      </c>
    </row>
    <row r="1771" spans="32:32" x14ac:dyDescent="0.3">
      <c r="AF1771" s="47">
        <f t="shared" si="27"/>
        <v>0</v>
      </c>
    </row>
    <row r="1772" spans="32:32" x14ac:dyDescent="0.3">
      <c r="AF1772" s="47">
        <f t="shared" si="27"/>
        <v>0</v>
      </c>
    </row>
    <row r="1773" spans="32:32" x14ac:dyDescent="0.3">
      <c r="AF1773" s="47">
        <f t="shared" si="27"/>
        <v>0</v>
      </c>
    </row>
    <row r="1774" spans="32:32" x14ac:dyDescent="0.3">
      <c r="AF1774" s="47">
        <f t="shared" si="27"/>
        <v>0</v>
      </c>
    </row>
    <row r="1775" spans="32:32" x14ac:dyDescent="0.3">
      <c r="AF1775" s="47">
        <f t="shared" si="27"/>
        <v>0</v>
      </c>
    </row>
    <row r="1776" spans="32:32" x14ac:dyDescent="0.3">
      <c r="AF1776" s="47">
        <f t="shared" si="27"/>
        <v>0</v>
      </c>
    </row>
    <row r="1777" spans="32:32" x14ac:dyDescent="0.3">
      <c r="AF1777" s="47">
        <f t="shared" si="27"/>
        <v>0</v>
      </c>
    </row>
    <row r="1778" spans="32:32" x14ac:dyDescent="0.3">
      <c r="AF1778" s="47">
        <f t="shared" si="27"/>
        <v>0</v>
      </c>
    </row>
    <row r="1779" spans="32:32" x14ac:dyDescent="0.3">
      <c r="AF1779" s="47">
        <f t="shared" si="27"/>
        <v>0</v>
      </c>
    </row>
    <row r="1780" spans="32:32" x14ac:dyDescent="0.3">
      <c r="AF1780" s="47">
        <f t="shared" si="27"/>
        <v>0</v>
      </c>
    </row>
    <row r="1781" spans="32:32" x14ac:dyDescent="0.3">
      <c r="AF1781" s="47">
        <f t="shared" si="27"/>
        <v>0</v>
      </c>
    </row>
    <row r="1782" spans="32:32" x14ac:dyDescent="0.3">
      <c r="AF1782" s="47">
        <f t="shared" si="27"/>
        <v>0</v>
      </c>
    </row>
    <row r="1783" spans="32:32" x14ac:dyDescent="0.3">
      <c r="AF1783" s="47">
        <f t="shared" si="27"/>
        <v>0</v>
      </c>
    </row>
    <row r="1784" spans="32:32" x14ac:dyDescent="0.3">
      <c r="AF1784" s="47">
        <f t="shared" si="27"/>
        <v>0</v>
      </c>
    </row>
    <row r="1785" spans="32:32" x14ac:dyDescent="0.3">
      <c r="AF1785" s="47">
        <f t="shared" si="27"/>
        <v>0</v>
      </c>
    </row>
    <row r="1786" spans="32:32" x14ac:dyDescent="0.3">
      <c r="AF1786" s="47">
        <f t="shared" si="27"/>
        <v>0</v>
      </c>
    </row>
    <row r="1787" spans="32:32" x14ac:dyDescent="0.3">
      <c r="AF1787" s="47">
        <f t="shared" si="27"/>
        <v>0</v>
      </c>
    </row>
    <row r="1788" spans="32:32" x14ac:dyDescent="0.3">
      <c r="AF1788" s="47">
        <f t="shared" si="27"/>
        <v>0</v>
      </c>
    </row>
    <row r="1789" spans="32:32" x14ac:dyDescent="0.3">
      <c r="AF1789" s="47">
        <f t="shared" si="27"/>
        <v>0</v>
      </c>
    </row>
    <row r="1790" spans="32:32" x14ac:dyDescent="0.3">
      <c r="AF1790" s="47">
        <f t="shared" si="27"/>
        <v>0</v>
      </c>
    </row>
    <row r="1791" spans="32:32" x14ac:dyDescent="0.3">
      <c r="AF1791" s="47">
        <f t="shared" si="27"/>
        <v>0</v>
      </c>
    </row>
    <row r="1792" spans="32:32" x14ac:dyDescent="0.3">
      <c r="AF1792" s="47">
        <f t="shared" si="27"/>
        <v>0</v>
      </c>
    </row>
    <row r="1793" spans="32:32" x14ac:dyDescent="0.3">
      <c r="AF1793" s="47">
        <f t="shared" si="27"/>
        <v>0</v>
      </c>
    </row>
    <row r="1794" spans="32:32" x14ac:dyDescent="0.3">
      <c r="AF1794" s="47">
        <f t="shared" si="27"/>
        <v>0</v>
      </c>
    </row>
    <row r="1795" spans="32:32" x14ac:dyDescent="0.3">
      <c r="AF1795" s="47">
        <f t="shared" ref="AF1795:AF1858" si="28">IFERROR(AC1795-Y1795,"")</f>
        <v>0</v>
      </c>
    </row>
    <row r="1796" spans="32:32" x14ac:dyDescent="0.3">
      <c r="AF1796" s="47">
        <f t="shared" si="28"/>
        <v>0</v>
      </c>
    </row>
    <row r="1797" spans="32:32" x14ac:dyDescent="0.3">
      <c r="AF1797" s="47">
        <f t="shared" si="28"/>
        <v>0</v>
      </c>
    </row>
    <row r="1798" spans="32:32" x14ac:dyDescent="0.3">
      <c r="AF1798" s="47">
        <f t="shared" si="28"/>
        <v>0</v>
      </c>
    </row>
    <row r="1799" spans="32:32" x14ac:dyDescent="0.3">
      <c r="AF1799" s="47">
        <f t="shared" si="28"/>
        <v>0</v>
      </c>
    </row>
    <row r="1800" spans="32:32" x14ac:dyDescent="0.3">
      <c r="AF1800" s="47">
        <f t="shared" si="28"/>
        <v>0</v>
      </c>
    </row>
    <row r="1801" spans="32:32" x14ac:dyDescent="0.3">
      <c r="AF1801" s="47">
        <f t="shared" si="28"/>
        <v>0</v>
      </c>
    </row>
    <row r="1802" spans="32:32" x14ac:dyDescent="0.3">
      <c r="AF1802" s="47">
        <f t="shared" si="28"/>
        <v>0</v>
      </c>
    </row>
    <row r="1803" spans="32:32" x14ac:dyDescent="0.3">
      <c r="AF1803" s="47">
        <f t="shared" si="28"/>
        <v>0</v>
      </c>
    </row>
    <row r="1804" spans="32:32" x14ac:dyDescent="0.3">
      <c r="AF1804" s="47">
        <f t="shared" si="28"/>
        <v>0</v>
      </c>
    </row>
    <row r="1805" spans="32:32" x14ac:dyDescent="0.3">
      <c r="AF1805" s="47">
        <f t="shared" si="28"/>
        <v>0</v>
      </c>
    </row>
    <row r="1806" spans="32:32" x14ac:dyDescent="0.3">
      <c r="AF1806" s="47">
        <f t="shared" si="28"/>
        <v>0</v>
      </c>
    </row>
    <row r="1807" spans="32:32" x14ac:dyDescent="0.3">
      <c r="AF1807" s="47">
        <f t="shared" si="28"/>
        <v>0</v>
      </c>
    </row>
    <row r="1808" spans="32:32" x14ac:dyDescent="0.3">
      <c r="AF1808" s="47">
        <f t="shared" si="28"/>
        <v>0</v>
      </c>
    </row>
    <row r="1809" spans="32:32" x14ac:dyDescent="0.3">
      <c r="AF1809" s="47">
        <f t="shared" si="28"/>
        <v>0</v>
      </c>
    </row>
    <row r="1810" spans="32:32" x14ac:dyDescent="0.3">
      <c r="AF1810" s="47">
        <f t="shared" si="28"/>
        <v>0</v>
      </c>
    </row>
    <row r="1811" spans="32:32" x14ac:dyDescent="0.3">
      <c r="AF1811" s="47">
        <f t="shared" si="28"/>
        <v>0</v>
      </c>
    </row>
    <row r="1812" spans="32:32" x14ac:dyDescent="0.3">
      <c r="AF1812" s="47">
        <f t="shared" si="28"/>
        <v>0</v>
      </c>
    </row>
    <row r="1813" spans="32:32" x14ac:dyDescent="0.3">
      <c r="AF1813" s="47">
        <f t="shared" si="28"/>
        <v>0</v>
      </c>
    </row>
    <row r="1814" spans="32:32" x14ac:dyDescent="0.3">
      <c r="AF1814" s="47">
        <f t="shared" si="28"/>
        <v>0</v>
      </c>
    </row>
    <row r="1815" spans="32:32" x14ac:dyDescent="0.3">
      <c r="AF1815" s="47">
        <f t="shared" si="28"/>
        <v>0</v>
      </c>
    </row>
    <row r="1816" spans="32:32" x14ac:dyDescent="0.3">
      <c r="AF1816" s="47">
        <f t="shared" si="28"/>
        <v>0</v>
      </c>
    </row>
    <row r="1817" spans="32:32" x14ac:dyDescent="0.3">
      <c r="AF1817" s="47">
        <f t="shared" si="28"/>
        <v>0</v>
      </c>
    </row>
    <row r="1818" spans="32:32" x14ac:dyDescent="0.3">
      <c r="AF1818" s="47">
        <f t="shared" si="28"/>
        <v>0</v>
      </c>
    </row>
    <row r="1819" spans="32:32" x14ac:dyDescent="0.3">
      <c r="AF1819" s="47">
        <f t="shared" si="28"/>
        <v>0</v>
      </c>
    </row>
    <row r="1820" spans="32:32" x14ac:dyDescent="0.3">
      <c r="AF1820" s="47">
        <f t="shared" si="28"/>
        <v>0</v>
      </c>
    </row>
    <row r="1821" spans="32:32" x14ac:dyDescent="0.3">
      <c r="AF1821" s="47">
        <f t="shared" si="28"/>
        <v>0</v>
      </c>
    </row>
    <row r="1822" spans="32:32" x14ac:dyDescent="0.3">
      <c r="AF1822" s="47">
        <f t="shared" si="28"/>
        <v>0</v>
      </c>
    </row>
    <row r="1823" spans="32:32" x14ac:dyDescent="0.3">
      <c r="AF1823" s="47">
        <f t="shared" si="28"/>
        <v>0</v>
      </c>
    </row>
    <row r="1824" spans="32:32" x14ac:dyDescent="0.3">
      <c r="AF1824" s="47">
        <f t="shared" si="28"/>
        <v>0</v>
      </c>
    </row>
    <row r="1825" spans="32:32" x14ac:dyDescent="0.3">
      <c r="AF1825" s="47">
        <f t="shared" si="28"/>
        <v>0</v>
      </c>
    </row>
    <row r="1826" spans="32:32" x14ac:dyDescent="0.3">
      <c r="AF1826" s="47">
        <f t="shared" si="28"/>
        <v>0</v>
      </c>
    </row>
    <row r="1827" spans="32:32" x14ac:dyDescent="0.3">
      <c r="AF1827" s="47">
        <f t="shared" si="28"/>
        <v>0</v>
      </c>
    </row>
    <row r="1828" spans="32:32" x14ac:dyDescent="0.3">
      <c r="AF1828" s="47">
        <f t="shared" si="28"/>
        <v>0</v>
      </c>
    </row>
    <row r="1829" spans="32:32" x14ac:dyDescent="0.3">
      <c r="AF1829" s="47">
        <f t="shared" si="28"/>
        <v>0</v>
      </c>
    </row>
    <row r="1830" spans="32:32" x14ac:dyDescent="0.3">
      <c r="AF1830" s="47">
        <f t="shared" si="28"/>
        <v>0</v>
      </c>
    </row>
    <row r="1831" spans="32:32" x14ac:dyDescent="0.3">
      <c r="AF1831" s="47">
        <f t="shared" si="28"/>
        <v>0</v>
      </c>
    </row>
    <row r="1832" spans="32:32" x14ac:dyDescent="0.3">
      <c r="AF1832" s="47">
        <f t="shared" si="28"/>
        <v>0</v>
      </c>
    </row>
    <row r="1833" spans="32:32" x14ac:dyDescent="0.3">
      <c r="AF1833" s="47">
        <f t="shared" si="28"/>
        <v>0</v>
      </c>
    </row>
    <row r="1834" spans="32:32" x14ac:dyDescent="0.3">
      <c r="AF1834" s="47">
        <f t="shared" si="28"/>
        <v>0</v>
      </c>
    </row>
    <row r="1835" spans="32:32" x14ac:dyDescent="0.3">
      <c r="AF1835" s="47">
        <f t="shared" si="28"/>
        <v>0</v>
      </c>
    </row>
    <row r="1836" spans="32:32" x14ac:dyDescent="0.3">
      <c r="AF1836" s="47">
        <f t="shared" si="28"/>
        <v>0</v>
      </c>
    </row>
    <row r="1837" spans="32:32" x14ac:dyDescent="0.3">
      <c r="AF1837" s="47">
        <f t="shared" si="28"/>
        <v>0</v>
      </c>
    </row>
    <row r="1838" spans="32:32" x14ac:dyDescent="0.3">
      <c r="AF1838" s="47">
        <f t="shared" si="28"/>
        <v>0</v>
      </c>
    </row>
    <row r="1839" spans="32:32" x14ac:dyDescent="0.3">
      <c r="AF1839" s="47">
        <f t="shared" si="28"/>
        <v>0</v>
      </c>
    </row>
    <row r="1840" spans="32:32" x14ac:dyDescent="0.3">
      <c r="AF1840" s="47">
        <f t="shared" si="28"/>
        <v>0</v>
      </c>
    </row>
    <row r="1841" spans="32:32" x14ac:dyDescent="0.3">
      <c r="AF1841" s="47">
        <f t="shared" si="28"/>
        <v>0</v>
      </c>
    </row>
    <row r="1842" spans="32:32" x14ac:dyDescent="0.3">
      <c r="AF1842" s="47">
        <f t="shared" si="28"/>
        <v>0</v>
      </c>
    </row>
    <row r="1843" spans="32:32" x14ac:dyDescent="0.3">
      <c r="AF1843" s="47">
        <f t="shared" si="28"/>
        <v>0</v>
      </c>
    </row>
    <row r="1844" spans="32:32" x14ac:dyDescent="0.3">
      <c r="AF1844" s="47">
        <f t="shared" si="28"/>
        <v>0</v>
      </c>
    </row>
    <row r="1845" spans="32:32" x14ac:dyDescent="0.3">
      <c r="AF1845" s="47">
        <f t="shared" si="28"/>
        <v>0</v>
      </c>
    </row>
    <row r="1846" spans="32:32" x14ac:dyDescent="0.3">
      <c r="AF1846" s="47">
        <f t="shared" si="28"/>
        <v>0</v>
      </c>
    </row>
    <row r="1847" spans="32:32" x14ac:dyDescent="0.3">
      <c r="AF1847" s="47">
        <f t="shared" si="28"/>
        <v>0</v>
      </c>
    </row>
    <row r="1848" spans="32:32" x14ac:dyDescent="0.3">
      <c r="AF1848" s="47">
        <f t="shared" si="28"/>
        <v>0</v>
      </c>
    </row>
    <row r="1849" spans="32:32" x14ac:dyDescent="0.3">
      <c r="AF1849" s="47">
        <f t="shared" si="28"/>
        <v>0</v>
      </c>
    </row>
    <row r="1850" spans="32:32" x14ac:dyDescent="0.3">
      <c r="AF1850" s="47">
        <f t="shared" si="28"/>
        <v>0</v>
      </c>
    </row>
    <row r="1851" spans="32:32" x14ac:dyDescent="0.3">
      <c r="AF1851" s="47">
        <f t="shared" si="28"/>
        <v>0</v>
      </c>
    </row>
    <row r="1852" spans="32:32" x14ac:dyDescent="0.3">
      <c r="AF1852" s="47">
        <f t="shared" si="28"/>
        <v>0</v>
      </c>
    </row>
    <row r="1853" spans="32:32" x14ac:dyDescent="0.3">
      <c r="AF1853" s="47">
        <f t="shared" si="28"/>
        <v>0</v>
      </c>
    </row>
    <row r="1854" spans="32:32" x14ac:dyDescent="0.3">
      <c r="AF1854" s="47">
        <f t="shared" si="28"/>
        <v>0</v>
      </c>
    </row>
    <row r="1855" spans="32:32" x14ac:dyDescent="0.3">
      <c r="AF1855" s="47">
        <f t="shared" si="28"/>
        <v>0</v>
      </c>
    </row>
    <row r="1856" spans="32:32" x14ac:dyDescent="0.3">
      <c r="AF1856" s="47">
        <f t="shared" si="28"/>
        <v>0</v>
      </c>
    </row>
    <row r="1857" spans="32:32" x14ac:dyDescent="0.3">
      <c r="AF1857" s="47">
        <f t="shared" si="28"/>
        <v>0</v>
      </c>
    </row>
    <row r="1858" spans="32:32" x14ac:dyDescent="0.3">
      <c r="AF1858" s="47">
        <f t="shared" si="28"/>
        <v>0</v>
      </c>
    </row>
    <row r="1859" spans="32:32" x14ac:dyDescent="0.3">
      <c r="AF1859" s="47">
        <f t="shared" ref="AF1859:AF1922" si="29">IFERROR(AC1859-Y1859,"")</f>
        <v>0</v>
      </c>
    </row>
    <row r="1860" spans="32:32" x14ac:dyDescent="0.3">
      <c r="AF1860" s="47">
        <f t="shared" si="29"/>
        <v>0</v>
      </c>
    </row>
    <row r="1861" spans="32:32" x14ac:dyDescent="0.3">
      <c r="AF1861" s="47">
        <f t="shared" si="29"/>
        <v>0</v>
      </c>
    </row>
    <row r="1862" spans="32:32" x14ac:dyDescent="0.3">
      <c r="AF1862" s="47">
        <f t="shared" si="29"/>
        <v>0</v>
      </c>
    </row>
    <row r="1863" spans="32:32" x14ac:dyDescent="0.3">
      <c r="AF1863" s="47">
        <f t="shared" si="29"/>
        <v>0</v>
      </c>
    </row>
    <row r="1864" spans="32:32" x14ac:dyDescent="0.3">
      <c r="AF1864" s="47">
        <f t="shared" si="29"/>
        <v>0</v>
      </c>
    </row>
    <row r="1865" spans="32:32" x14ac:dyDescent="0.3">
      <c r="AF1865" s="47">
        <f t="shared" si="29"/>
        <v>0</v>
      </c>
    </row>
    <row r="1866" spans="32:32" x14ac:dyDescent="0.3">
      <c r="AF1866" s="47">
        <f t="shared" si="29"/>
        <v>0</v>
      </c>
    </row>
    <row r="1867" spans="32:32" x14ac:dyDescent="0.3">
      <c r="AF1867" s="47">
        <f t="shared" si="29"/>
        <v>0</v>
      </c>
    </row>
    <row r="1868" spans="32:32" x14ac:dyDescent="0.3">
      <c r="AF1868" s="47">
        <f t="shared" si="29"/>
        <v>0</v>
      </c>
    </row>
    <row r="1869" spans="32:32" x14ac:dyDescent="0.3">
      <c r="AF1869" s="47">
        <f t="shared" si="29"/>
        <v>0</v>
      </c>
    </row>
    <row r="1870" spans="32:32" x14ac:dyDescent="0.3">
      <c r="AF1870" s="47">
        <f t="shared" si="29"/>
        <v>0</v>
      </c>
    </row>
    <row r="1871" spans="32:32" x14ac:dyDescent="0.3">
      <c r="AF1871" s="47">
        <f t="shared" si="29"/>
        <v>0</v>
      </c>
    </row>
    <row r="1872" spans="32:32" x14ac:dyDescent="0.3">
      <c r="AF1872" s="47">
        <f t="shared" si="29"/>
        <v>0</v>
      </c>
    </row>
    <row r="1873" spans="32:32" x14ac:dyDescent="0.3">
      <c r="AF1873" s="47">
        <f t="shared" si="29"/>
        <v>0</v>
      </c>
    </row>
    <row r="1874" spans="32:32" x14ac:dyDescent="0.3">
      <c r="AF1874" s="47">
        <f t="shared" si="29"/>
        <v>0</v>
      </c>
    </row>
    <row r="1875" spans="32:32" x14ac:dyDescent="0.3">
      <c r="AF1875" s="47">
        <f t="shared" si="29"/>
        <v>0</v>
      </c>
    </row>
    <row r="1876" spans="32:32" x14ac:dyDescent="0.3">
      <c r="AF1876" s="47">
        <f t="shared" si="29"/>
        <v>0</v>
      </c>
    </row>
    <row r="1877" spans="32:32" x14ac:dyDescent="0.3">
      <c r="AF1877" s="47">
        <f t="shared" si="29"/>
        <v>0</v>
      </c>
    </row>
    <row r="1878" spans="32:32" x14ac:dyDescent="0.3">
      <c r="AF1878" s="47">
        <f t="shared" si="29"/>
        <v>0</v>
      </c>
    </row>
    <row r="1879" spans="32:32" x14ac:dyDescent="0.3">
      <c r="AF1879" s="47">
        <f t="shared" si="29"/>
        <v>0</v>
      </c>
    </row>
    <row r="1880" spans="32:32" x14ac:dyDescent="0.3">
      <c r="AF1880" s="47">
        <f t="shared" si="29"/>
        <v>0</v>
      </c>
    </row>
    <row r="1881" spans="32:32" x14ac:dyDescent="0.3">
      <c r="AF1881" s="47">
        <f t="shared" si="29"/>
        <v>0</v>
      </c>
    </row>
    <row r="1882" spans="32:32" x14ac:dyDescent="0.3">
      <c r="AF1882" s="47">
        <f t="shared" si="29"/>
        <v>0</v>
      </c>
    </row>
    <row r="1883" spans="32:32" x14ac:dyDescent="0.3">
      <c r="AF1883" s="47">
        <f t="shared" si="29"/>
        <v>0</v>
      </c>
    </row>
    <row r="1884" spans="32:32" x14ac:dyDescent="0.3">
      <c r="AF1884" s="47">
        <f t="shared" si="29"/>
        <v>0</v>
      </c>
    </row>
    <row r="1885" spans="32:32" x14ac:dyDescent="0.3">
      <c r="AF1885" s="47">
        <f t="shared" si="29"/>
        <v>0</v>
      </c>
    </row>
    <row r="1886" spans="32:32" x14ac:dyDescent="0.3">
      <c r="AF1886" s="47">
        <f t="shared" si="29"/>
        <v>0</v>
      </c>
    </row>
    <row r="1887" spans="32:32" x14ac:dyDescent="0.3">
      <c r="AF1887" s="47">
        <f t="shared" si="29"/>
        <v>0</v>
      </c>
    </row>
    <row r="1888" spans="32:32" x14ac:dyDescent="0.3">
      <c r="AF1888" s="47">
        <f t="shared" si="29"/>
        <v>0</v>
      </c>
    </row>
    <row r="1889" spans="32:32" x14ac:dyDescent="0.3">
      <c r="AF1889" s="47">
        <f t="shared" si="29"/>
        <v>0</v>
      </c>
    </row>
    <row r="1890" spans="32:32" x14ac:dyDescent="0.3">
      <c r="AF1890" s="47">
        <f t="shared" si="29"/>
        <v>0</v>
      </c>
    </row>
    <row r="1891" spans="32:32" x14ac:dyDescent="0.3">
      <c r="AF1891" s="47">
        <f t="shared" si="29"/>
        <v>0</v>
      </c>
    </row>
    <row r="1892" spans="32:32" x14ac:dyDescent="0.3">
      <c r="AF1892" s="47">
        <f t="shared" si="29"/>
        <v>0</v>
      </c>
    </row>
    <row r="1893" spans="32:32" x14ac:dyDescent="0.3">
      <c r="AF1893" s="47">
        <f t="shared" si="29"/>
        <v>0</v>
      </c>
    </row>
    <row r="1894" spans="32:32" x14ac:dyDescent="0.3">
      <c r="AF1894" s="47">
        <f t="shared" si="29"/>
        <v>0</v>
      </c>
    </row>
    <row r="1895" spans="32:32" x14ac:dyDescent="0.3">
      <c r="AF1895" s="47">
        <f t="shared" si="29"/>
        <v>0</v>
      </c>
    </row>
    <row r="1896" spans="32:32" x14ac:dyDescent="0.3">
      <c r="AF1896" s="47">
        <f t="shared" si="29"/>
        <v>0</v>
      </c>
    </row>
    <row r="1897" spans="32:32" x14ac:dyDescent="0.3">
      <c r="AF1897" s="47">
        <f t="shared" si="29"/>
        <v>0</v>
      </c>
    </row>
    <row r="1898" spans="32:32" x14ac:dyDescent="0.3">
      <c r="AF1898" s="47">
        <f t="shared" si="29"/>
        <v>0</v>
      </c>
    </row>
    <row r="1899" spans="32:32" x14ac:dyDescent="0.3">
      <c r="AF1899" s="47">
        <f t="shared" si="29"/>
        <v>0</v>
      </c>
    </row>
    <row r="1900" spans="32:32" x14ac:dyDescent="0.3">
      <c r="AF1900" s="47">
        <f t="shared" si="29"/>
        <v>0</v>
      </c>
    </row>
    <row r="1901" spans="32:32" x14ac:dyDescent="0.3">
      <c r="AF1901" s="47">
        <f t="shared" si="29"/>
        <v>0</v>
      </c>
    </row>
    <row r="1902" spans="32:32" x14ac:dyDescent="0.3">
      <c r="AF1902" s="47">
        <f t="shared" si="29"/>
        <v>0</v>
      </c>
    </row>
    <row r="1903" spans="32:32" x14ac:dyDescent="0.3">
      <c r="AF1903" s="47">
        <f t="shared" si="29"/>
        <v>0</v>
      </c>
    </row>
    <row r="1904" spans="32:32" x14ac:dyDescent="0.3">
      <c r="AF1904" s="47">
        <f t="shared" si="29"/>
        <v>0</v>
      </c>
    </row>
    <row r="1905" spans="32:32" x14ac:dyDescent="0.3">
      <c r="AF1905" s="47">
        <f t="shared" si="29"/>
        <v>0</v>
      </c>
    </row>
    <row r="1906" spans="32:32" x14ac:dyDescent="0.3">
      <c r="AF1906" s="47">
        <f t="shared" si="29"/>
        <v>0</v>
      </c>
    </row>
    <row r="1907" spans="32:32" x14ac:dyDescent="0.3">
      <c r="AF1907" s="47">
        <f t="shared" si="29"/>
        <v>0</v>
      </c>
    </row>
    <row r="1908" spans="32:32" x14ac:dyDescent="0.3">
      <c r="AF1908" s="47">
        <f t="shared" si="29"/>
        <v>0</v>
      </c>
    </row>
    <row r="1909" spans="32:32" x14ac:dyDescent="0.3">
      <c r="AF1909" s="47">
        <f t="shared" si="29"/>
        <v>0</v>
      </c>
    </row>
    <row r="1910" spans="32:32" x14ac:dyDescent="0.3">
      <c r="AF1910" s="47">
        <f t="shared" si="29"/>
        <v>0</v>
      </c>
    </row>
    <row r="1911" spans="32:32" x14ac:dyDescent="0.3">
      <c r="AF1911" s="47">
        <f t="shared" si="29"/>
        <v>0</v>
      </c>
    </row>
    <row r="1912" spans="32:32" x14ac:dyDescent="0.3">
      <c r="AF1912" s="47">
        <f t="shared" si="29"/>
        <v>0</v>
      </c>
    </row>
    <row r="1913" spans="32:32" x14ac:dyDescent="0.3">
      <c r="AF1913" s="47">
        <f t="shared" si="29"/>
        <v>0</v>
      </c>
    </row>
    <row r="1914" spans="32:32" x14ac:dyDescent="0.3">
      <c r="AF1914" s="47">
        <f t="shared" si="29"/>
        <v>0</v>
      </c>
    </row>
    <row r="1915" spans="32:32" x14ac:dyDescent="0.3">
      <c r="AF1915" s="47">
        <f t="shared" si="29"/>
        <v>0</v>
      </c>
    </row>
    <row r="1916" spans="32:32" x14ac:dyDescent="0.3">
      <c r="AF1916" s="47">
        <f t="shared" si="29"/>
        <v>0</v>
      </c>
    </row>
    <row r="1917" spans="32:32" x14ac:dyDescent="0.3">
      <c r="AF1917" s="47">
        <f t="shared" si="29"/>
        <v>0</v>
      </c>
    </row>
    <row r="1918" spans="32:32" x14ac:dyDescent="0.3">
      <c r="AF1918" s="47">
        <f t="shared" si="29"/>
        <v>0</v>
      </c>
    </row>
    <row r="1919" spans="32:32" x14ac:dyDescent="0.3">
      <c r="AF1919" s="47">
        <f t="shared" si="29"/>
        <v>0</v>
      </c>
    </row>
    <row r="1920" spans="32:32" x14ac:dyDescent="0.3">
      <c r="AF1920" s="47">
        <f t="shared" si="29"/>
        <v>0</v>
      </c>
    </row>
    <row r="1921" spans="32:32" x14ac:dyDescent="0.3">
      <c r="AF1921" s="47">
        <f t="shared" si="29"/>
        <v>0</v>
      </c>
    </row>
    <row r="1922" spans="32:32" x14ac:dyDescent="0.3">
      <c r="AF1922" s="47">
        <f t="shared" si="29"/>
        <v>0</v>
      </c>
    </row>
    <row r="1923" spans="32:32" x14ac:dyDescent="0.3">
      <c r="AF1923" s="47">
        <f t="shared" ref="AF1923:AF1945" si="30">IFERROR(AC1923-Y1923,"")</f>
        <v>0</v>
      </c>
    </row>
    <row r="1924" spans="32:32" x14ac:dyDescent="0.3">
      <c r="AF1924" s="47">
        <f t="shared" si="30"/>
        <v>0</v>
      </c>
    </row>
    <row r="1925" spans="32:32" x14ac:dyDescent="0.3">
      <c r="AF1925" s="47">
        <f t="shared" si="30"/>
        <v>0</v>
      </c>
    </row>
    <row r="1926" spans="32:32" x14ac:dyDescent="0.3">
      <c r="AF1926" s="47">
        <f t="shared" si="30"/>
        <v>0</v>
      </c>
    </row>
    <row r="1927" spans="32:32" x14ac:dyDescent="0.3">
      <c r="AF1927" s="47">
        <f t="shared" si="30"/>
        <v>0</v>
      </c>
    </row>
    <row r="1928" spans="32:32" x14ac:dyDescent="0.3">
      <c r="AF1928" s="47">
        <f t="shared" si="30"/>
        <v>0</v>
      </c>
    </row>
    <row r="1929" spans="32:32" x14ac:dyDescent="0.3">
      <c r="AF1929" s="47">
        <f t="shared" si="30"/>
        <v>0</v>
      </c>
    </row>
    <row r="1930" spans="32:32" x14ac:dyDescent="0.3">
      <c r="AF1930" s="47">
        <f t="shared" si="30"/>
        <v>0</v>
      </c>
    </row>
    <row r="1931" spans="32:32" x14ac:dyDescent="0.3">
      <c r="AF1931" s="47">
        <f t="shared" si="30"/>
        <v>0</v>
      </c>
    </row>
    <row r="1932" spans="32:32" x14ac:dyDescent="0.3">
      <c r="AF1932" s="47">
        <f t="shared" si="30"/>
        <v>0</v>
      </c>
    </row>
    <row r="1933" spans="32:32" x14ac:dyDescent="0.3">
      <c r="AF1933" s="47">
        <f t="shared" si="30"/>
        <v>0</v>
      </c>
    </row>
    <row r="1934" spans="32:32" x14ac:dyDescent="0.3">
      <c r="AF1934" s="47">
        <f t="shared" si="30"/>
        <v>0</v>
      </c>
    </row>
    <row r="1935" spans="32:32" x14ac:dyDescent="0.3">
      <c r="AF1935" s="47">
        <f t="shared" si="30"/>
        <v>0</v>
      </c>
    </row>
    <row r="1936" spans="32:32" x14ac:dyDescent="0.3">
      <c r="AF1936" s="47">
        <f t="shared" si="30"/>
        <v>0</v>
      </c>
    </row>
    <row r="1937" spans="32:32" x14ac:dyDescent="0.3">
      <c r="AF1937" s="47">
        <f t="shared" si="30"/>
        <v>0</v>
      </c>
    </row>
    <row r="1938" spans="32:32" x14ac:dyDescent="0.3">
      <c r="AF1938" s="47">
        <f t="shared" si="30"/>
        <v>0</v>
      </c>
    </row>
    <row r="1939" spans="32:32" x14ac:dyDescent="0.3">
      <c r="AF1939" s="47">
        <f t="shared" si="30"/>
        <v>0</v>
      </c>
    </row>
    <row r="1940" spans="32:32" x14ac:dyDescent="0.3">
      <c r="AF1940" s="47">
        <f t="shared" si="30"/>
        <v>0</v>
      </c>
    </row>
    <row r="1941" spans="32:32" x14ac:dyDescent="0.3">
      <c r="AF1941" s="47">
        <f t="shared" si="30"/>
        <v>0</v>
      </c>
    </row>
    <row r="1942" spans="32:32" x14ac:dyDescent="0.3">
      <c r="AF1942" s="47">
        <f t="shared" si="30"/>
        <v>0</v>
      </c>
    </row>
    <row r="1943" spans="32:32" x14ac:dyDescent="0.3">
      <c r="AF1943" s="47">
        <f t="shared" si="30"/>
        <v>0</v>
      </c>
    </row>
    <row r="1944" spans="32:32" x14ac:dyDescent="0.3">
      <c r="AF1944" s="47">
        <f t="shared" si="30"/>
        <v>0</v>
      </c>
    </row>
    <row r="1945" spans="32:32" x14ac:dyDescent="0.3">
      <c r="AF1945" s="47">
        <f t="shared" si="30"/>
        <v>0</v>
      </c>
    </row>
  </sheetData>
  <autoFilter ref="A2:BG1035" xr:uid="{E5DAF320-398C-417A-92BF-7706B2CC007E}">
    <filterColumn colId="0">
      <filters>
        <filter val="1W"/>
        <filter val="2W"/>
      </filters>
    </filterColumn>
    <filterColumn colId="2">
      <filters>
        <filter val="국내"/>
      </filters>
    </filterColumn>
  </autoFilter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F1E9-0057-42F7-8D2E-AC666D069343}">
  <sheetPr>
    <tabColor rgb="FFFF0000"/>
  </sheetPr>
  <dimension ref="A2:BG1945"/>
  <sheetViews>
    <sheetView zoomScale="70" zoomScaleNormal="70" workbookViewId="0">
      <pane xSplit="8" ySplit="2" topLeftCell="I158" activePane="bottomRight" state="frozen"/>
      <selection pane="topRight" activeCell="A827" sqref="A827:A1017"/>
      <selection pane="bottomLeft" activeCell="A827" sqref="A827:A1017"/>
      <selection pane="bottomRight" activeCell="AC3" sqref="AC3:AC203"/>
    </sheetView>
  </sheetViews>
  <sheetFormatPr defaultRowHeight="16.5" x14ac:dyDescent="0.3"/>
  <cols>
    <col min="1" max="4" width="9" style="46"/>
    <col min="5" max="5" width="20.75" style="46" bestFit="1" customWidth="1"/>
    <col min="6" max="7" width="9" style="46" bestFit="1" customWidth="1"/>
    <col min="8" max="8" width="20.375" style="46" bestFit="1" customWidth="1"/>
    <col min="9" max="9" width="9" style="46" bestFit="1" customWidth="1"/>
    <col min="10" max="10" width="9.875" style="46" bestFit="1" customWidth="1"/>
    <col min="11" max="13" width="9" style="46" bestFit="1" customWidth="1"/>
    <col min="14" max="14" width="11.625" style="46" bestFit="1" customWidth="1"/>
    <col min="15" max="15" width="11.5" style="46" bestFit="1" customWidth="1"/>
    <col min="16" max="20" width="9.375" style="46" bestFit="1" customWidth="1"/>
    <col min="21" max="21" width="10.25" style="46" bestFit="1" customWidth="1"/>
    <col min="22" max="24" width="9.375" style="46" bestFit="1" customWidth="1"/>
    <col min="25" max="25" width="11.625" style="48" bestFit="1" customWidth="1"/>
    <col min="26" max="28" width="9.375" style="46" bestFit="1" customWidth="1"/>
    <col min="29" max="29" width="11.625" style="46" bestFit="1" customWidth="1"/>
    <col min="30" max="30" width="9.125" style="46" bestFit="1" customWidth="1"/>
    <col min="31" max="31" width="9" style="46" bestFit="1" customWidth="1"/>
    <col min="32" max="32" width="12.625" style="48" customWidth="1"/>
    <col min="33" max="59" width="9" style="46"/>
  </cols>
  <sheetData>
    <row r="2" spans="1:32" x14ac:dyDescent="0.3">
      <c r="A2" s="46" t="s">
        <v>136</v>
      </c>
      <c r="B2" s="46" t="s">
        <v>137</v>
      </c>
      <c r="C2" s="46" t="s">
        <v>138</v>
      </c>
      <c r="D2" s="46" t="s">
        <v>139</v>
      </c>
      <c r="E2" s="46" t="s">
        <v>140</v>
      </c>
      <c r="F2" s="49" t="s">
        <v>141</v>
      </c>
      <c r="G2" s="50" t="s">
        <v>142</v>
      </c>
      <c r="H2" s="50" t="s">
        <v>143</v>
      </c>
      <c r="I2" s="50" t="s">
        <v>144</v>
      </c>
      <c r="J2" s="50" t="s">
        <v>145</v>
      </c>
      <c r="K2" s="50" t="s">
        <v>146</v>
      </c>
      <c r="L2" s="50" t="s">
        <v>147</v>
      </c>
      <c r="M2" s="50" t="s">
        <v>148</v>
      </c>
      <c r="N2" s="50" t="s">
        <v>149</v>
      </c>
      <c r="O2" s="50" t="s">
        <v>150</v>
      </c>
      <c r="P2" s="50" t="s">
        <v>151</v>
      </c>
      <c r="Q2" s="50" t="s">
        <v>152</v>
      </c>
      <c r="R2" s="50" t="s">
        <v>153</v>
      </c>
      <c r="S2" s="50" t="s">
        <v>154</v>
      </c>
      <c r="T2" s="50" t="s">
        <v>155</v>
      </c>
      <c r="U2" s="50" t="s">
        <v>156</v>
      </c>
      <c r="V2" s="50" t="s">
        <v>157</v>
      </c>
      <c r="W2" s="50" t="s">
        <v>158</v>
      </c>
      <c r="X2" s="50" t="s">
        <v>159</v>
      </c>
      <c r="Y2" s="50" t="s">
        <v>160</v>
      </c>
      <c r="Z2" s="50" t="s">
        <v>161</v>
      </c>
      <c r="AA2" s="50" t="s">
        <v>162</v>
      </c>
      <c r="AB2" s="50" t="s">
        <v>163</v>
      </c>
      <c r="AC2" s="50" t="s">
        <v>164</v>
      </c>
      <c r="AD2" s="51" t="s">
        <v>165</v>
      </c>
      <c r="AF2" s="52" t="s">
        <v>166</v>
      </c>
    </row>
    <row r="3" spans="1:32" x14ac:dyDescent="0.3">
      <c r="B3" s="46" t="str">
        <f>IFERROR(VLOOKUP($H3,매장구분!$B:$Z,2,0),"")</f>
        <v>리테일채널팀</v>
      </c>
      <c r="C3" s="46" t="str">
        <f>IFERROR(VLOOKUP($H3,매장구분!$B:$Z,3,0),"")</f>
        <v>국내</v>
      </c>
      <c r="D3" s="46" t="str">
        <f>IFERROR(VLOOKUP($H3,매장구분!$B:$Z,5,0),"")</f>
        <v>상설(위탁)</v>
      </c>
      <c r="E3" s="46" t="str">
        <f>IFERROR(VLOOKUP($H3,매장구분!$B:$Z,9,0),"")</f>
        <v>LF스퀘어광양(상-위)</v>
      </c>
      <c r="F3" s="53"/>
      <c r="G3" s="54" t="s">
        <v>167</v>
      </c>
      <c r="H3" s="55" t="s">
        <v>168</v>
      </c>
      <c r="I3" s="55" t="s">
        <v>169</v>
      </c>
      <c r="J3" s="55" t="s">
        <v>79</v>
      </c>
      <c r="K3" s="55" t="s">
        <v>170</v>
      </c>
      <c r="L3" s="55" t="s">
        <v>171</v>
      </c>
      <c r="M3" s="55" t="s">
        <v>77</v>
      </c>
      <c r="N3" s="55" t="s">
        <v>172</v>
      </c>
      <c r="O3" s="55">
        <v>7200000</v>
      </c>
      <c r="P3" s="55">
        <v>200</v>
      </c>
      <c r="Q3" s="55">
        <v>0</v>
      </c>
      <c r="R3" s="55">
        <v>0</v>
      </c>
      <c r="S3" s="55">
        <v>0</v>
      </c>
      <c r="T3" s="55">
        <v>0</v>
      </c>
      <c r="U3" s="55">
        <v>0</v>
      </c>
      <c r="V3" s="55">
        <v>0</v>
      </c>
      <c r="W3" s="55">
        <v>0</v>
      </c>
      <c r="X3" s="55">
        <v>0</v>
      </c>
      <c r="Y3" s="56">
        <v>0</v>
      </c>
      <c r="Z3" s="55">
        <v>0</v>
      </c>
      <c r="AA3" s="55">
        <v>0</v>
      </c>
      <c r="AB3" s="55">
        <v>0</v>
      </c>
      <c r="AC3" s="55">
        <v>7200000</v>
      </c>
      <c r="AD3" s="57">
        <v>200</v>
      </c>
      <c r="AF3" s="47">
        <f t="shared" ref="AF3:AF66" si="0">IFERROR(AC3-Y3,"")</f>
        <v>7200000</v>
      </c>
    </row>
    <row r="4" spans="1:32" x14ac:dyDescent="0.3">
      <c r="B4" s="46" t="str">
        <f>IFERROR(VLOOKUP($H4,매장구분!$B:$Z,2,0),"")</f>
        <v>E-biz</v>
      </c>
      <c r="C4" s="46" t="str">
        <f>IFERROR(VLOOKUP($H4,매장구분!$B:$Z,3,0),"")</f>
        <v>국내</v>
      </c>
      <c r="D4" s="46" t="str">
        <f>IFERROR(VLOOKUP($H4,매장구분!$B:$Z,5,0),"")</f>
        <v>온(자사몰)</v>
      </c>
      <c r="E4" s="46" t="str">
        <f>IFERROR(VLOOKUP($H4,매장구분!$B:$Z,9,0),"")</f>
        <v>온라인쇼핑몰</v>
      </c>
      <c r="F4" s="58"/>
      <c r="G4" s="59" t="s">
        <v>178</v>
      </c>
      <c r="H4" s="60" t="s">
        <v>179</v>
      </c>
      <c r="I4" s="60" t="s">
        <v>169</v>
      </c>
      <c r="J4" s="60" t="s">
        <v>180</v>
      </c>
      <c r="K4" s="60" t="s">
        <v>170</v>
      </c>
      <c r="L4" s="60" t="s">
        <v>181</v>
      </c>
      <c r="M4" s="60" t="s">
        <v>181</v>
      </c>
      <c r="N4" s="60" t="s">
        <v>182</v>
      </c>
      <c r="O4" s="60">
        <v>898820620</v>
      </c>
      <c r="P4" s="60">
        <v>9962</v>
      </c>
      <c r="Q4" s="60">
        <v>0</v>
      </c>
      <c r="R4" s="60">
        <v>0</v>
      </c>
      <c r="S4" s="60">
        <v>0</v>
      </c>
      <c r="T4" s="60">
        <v>0</v>
      </c>
      <c r="U4" s="60">
        <v>0</v>
      </c>
      <c r="V4" s="60">
        <v>0</v>
      </c>
      <c r="W4" s="60">
        <v>0</v>
      </c>
      <c r="X4" s="60">
        <v>0</v>
      </c>
      <c r="Y4" s="61">
        <v>0</v>
      </c>
      <c r="Z4" s="60">
        <v>0</v>
      </c>
      <c r="AA4" s="60">
        <v>0</v>
      </c>
      <c r="AB4" s="60">
        <v>0</v>
      </c>
      <c r="AC4" s="60">
        <v>898820620</v>
      </c>
      <c r="AD4" s="62">
        <v>9962</v>
      </c>
      <c r="AF4" s="47">
        <f t="shared" si="0"/>
        <v>898820620</v>
      </c>
    </row>
    <row r="5" spans="1:32" x14ac:dyDescent="0.3">
      <c r="B5" s="46" t="str">
        <f>IFERROR(VLOOKUP($H5,매장구분!$B:$Z,2,0),"")</f>
        <v>파트너채널팀</v>
      </c>
      <c r="C5" s="46" t="str">
        <f>IFERROR(VLOOKUP($H5,매장구분!$B:$Z,3,0),"")</f>
        <v>면세</v>
      </c>
      <c r="D5" s="46" t="str">
        <f>IFERROR(VLOOKUP($H5,매장구분!$B:$Z,5,0),"")</f>
        <v>면세</v>
      </c>
      <c r="E5" s="46" t="str">
        <f>IFERROR(VLOOKUP($H5,매장구분!$B:$Z,9,0),"")</f>
        <v>롯데면세월드</v>
      </c>
      <c r="F5" s="53"/>
      <c r="G5" s="54" t="s">
        <v>213</v>
      </c>
      <c r="H5" s="55" t="s">
        <v>214</v>
      </c>
      <c r="I5" s="55" t="s">
        <v>169</v>
      </c>
      <c r="J5" s="55" t="s">
        <v>175</v>
      </c>
      <c r="K5" s="55" t="s">
        <v>170</v>
      </c>
      <c r="L5" s="55" t="s">
        <v>171</v>
      </c>
      <c r="M5" s="55" t="s">
        <v>176</v>
      </c>
      <c r="N5" s="55" t="s">
        <v>177</v>
      </c>
      <c r="O5" s="55">
        <v>41343600</v>
      </c>
      <c r="P5" s="55">
        <v>596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6">
        <v>677195600</v>
      </c>
      <c r="Z5" s="55">
        <v>4825</v>
      </c>
      <c r="AA5" s="55">
        <v>0</v>
      </c>
      <c r="AB5" s="55">
        <v>0</v>
      </c>
      <c r="AC5" s="55">
        <v>718539200</v>
      </c>
      <c r="AD5" s="57">
        <v>5421</v>
      </c>
      <c r="AF5" s="47">
        <f t="shared" si="0"/>
        <v>41343600</v>
      </c>
    </row>
    <row r="6" spans="1:32" x14ac:dyDescent="0.3">
      <c r="B6" s="46" t="str">
        <f>IFERROR(VLOOKUP($H6,매장구분!$B:$Z,2,0),"")</f>
        <v>리테일채널팀</v>
      </c>
      <c r="C6" s="46" t="str">
        <f>IFERROR(VLOOKUP($H6,매장구분!$B:$Z,3,0),"")</f>
        <v>국내</v>
      </c>
      <c r="D6" s="46" t="str">
        <f>IFERROR(VLOOKUP($H6,매장구분!$B:$Z,5,0),"")</f>
        <v>대리점</v>
      </c>
      <c r="E6" s="46" t="str">
        <f>IFERROR(VLOOKUP($H6,매장구분!$B:$Z,9,0),"")</f>
        <v>인천(대-위)</v>
      </c>
      <c r="F6" s="58"/>
      <c r="G6" s="59" t="s">
        <v>215</v>
      </c>
      <c r="H6" s="60" t="s">
        <v>216</v>
      </c>
      <c r="I6" s="60" t="s">
        <v>169</v>
      </c>
      <c r="J6" s="60" t="s">
        <v>79</v>
      </c>
      <c r="K6" s="60" t="s">
        <v>170</v>
      </c>
      <c r="L6" s="60" t="s">
        <v>171</v>
      </c>
      <c r="M6" s="60" t="s">
        <v>196</v>
      </c>
      <c r="N6" s="60" t="s">
        <v>197</v>
      </c>
      <c r="O6" s="60">
        <v>37709056</v>
      </c>
      <c r="P6" s="60">
        <v>319</v>
      </c>
      <c r="Q6" s="60">
        <v>0</v>
      </c>
      <c r="R6" s="60">
        <v>0</v>
      </c>
      <c r="S6" s="60">
        <v>0</v>
      </c>
      <c r="T6" s="60">
        <v>0</v>
      </c>
      <c r="U6" s="60">
        <v>12737344</v>
      </c>
      <c r="V6" s="60">
        <v>64</v>
      </c>
      <c r="W6" s="60">
        <v>0</v>
      </c>
      <c r="X6" s="60">
        <v>0</v>
      </c>
      <c r="Y6" s="61">
        <v>0</v>
      </c>
      <c r="Z6" s="60">
        <v>0</v>
      </c>
      <c r="AA6" s="60">
        <v>0</v>
      </c>
      <c r="AB6" s="60">
        <v>0</v>
      </c>
      <c r="AC6" s="60">
        <v>50446400</v>
      </c>
      <c r="AD6" s="62">
        <v>383</v>
      </c>
      <c r="AF6" s="47">
        <f t="shared" si="0"/>
        <v>50446400</v>
      </c>
    </row>
    <row r="7" spans="1:32" x14ac:dyDescent="0.3">
      <c r="B7" s="46" t="str">
        <f>IFERROR(VLOOKUP($H7,매장구분!$B:$Z,2,0),"")</f>
        <v>파트너채널팀</v>
      </c>
      <c r="C7" s="46" t="str">
        <f>IFERROR(VLOOKUP($H7,매장구분!$B:$Z,3,0),"")</f>
        <v>면세</v>
      </c>
      <c r="D7" s="46" t="str">
        <f>IFERROR(VLOOKUP($H7,매장구분!$B:$Z,5,0),"")</f>
        <v>면세</v>
      </c>
      <c r="E7" s="46" t="str">
        <f>IFERROR(VLOOKUP($H7,매장구분!$B:$Z,9,0),"")</f>
        <v>현대면세동대문</v>
      </c>
      <c r="F7" s="53"/>
      <c r="G7" s="54" t="s">
        <v>572</v>
      </c>
      <c r="H7" s="55" t="s">
        <v>573</v>
      </c>
      <c r="I7" s="55" t="s">
        <v>169</v>
      </c>
      <c r="J7" s="55" t="s">
        <v>175</v>
      </c>
      <c r="K7" s="55" t="s">
        <v>170</v>
      </c>
      <c r="L7" s="55" t="s">
        <v>171</v>
      </c>
      <c r="M7" s="55" t="s">
        <v>176</v>
      </c>
      <c r="N7" s="55" t="s">
        <v>177</v>
      </c>
      <c r="O7" s="55">
        <v>595092900</v>
      </c>
      <c r="P7" s="55">
        <v>7778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56">
        <v>746266200</v>
      </c>
      <c r="Z7" s="55">
        <v>9904</v>
      </c>
      <c r="AA7" s="55">
        <v>0</v>
      </c>
      <c r="AB7" s="55">
        <v>0</v>
      </c>
      <c r="AC7" s="55">
        <v>1341359100</v>
      </c>
      <c r="AD7" s="57">
        <v>17682</v>
      </c>
      <c r="AF7" s="47">
        <f t="shared" si="0"/>
        <v>595092900</v>
      </c>
    </row>
    <row r="8" spans="1:32" x14ac:dyDescent="0.3">
      <c r="B8" s="46" t="str">
        <f>IFERROR(VLOOKUP($H8,매장구분!$B:$Z,2,0),"")</f>
        <v>E-biz</v>
      </c>
      <c r="C8" s="46" t="str">
        <f>IFERROR(VLOOKUP($H8,매장구분!$B:$Z,3,0),"")</f>
        <v>국내</v>
      </c>
      <c r="D8" s="46" t="str">
        <f>IFERROR(VLOOKUP($H8,매장구분!$B:$Z,5,0),"")</f>
        <v>온(제휴몰)</v>
      </c>
      <c r="E8" s="46" t="str">
        <f>IFERROR(VLOOKUP($H8,매장구분!$B:$Z,9,0),"")</f>
        <v>네이버스토어(제휴몰)</v>
      </c>
      <c r="F8" s="58"/>
      <c r="G8" s="59" t="s">
        <v>207</v>
      </c>
      <c r="H8" s="60" t="s">
        <v>208</v>
      </c>
      <c r="I8" s="60" t="s">
        <v>169</v>
      </c>
      <c r="J8" s="60" t="s">
        <v>180</v>
      </c>
      <c r="K8" s="60" t="s">
        <v>170</v>
      </c>
      <c r="L8" s="60" t="s">
        <v>181</v>
      </c>
      <c r="M8" s="60" t="s">
        <v>181</v>
      </c>
      <c r="N8" s="60" t="s">
        <v>185</v>
      </c>
      <c r="O8" s="60">
        <v>618288800</v>
      </c>
      <c r="P8" s="60">
        <v>6909</v>
      </c>
      <c r="Q8" s="60">
        <v>0</v>
      </c>
      <c r="R8" s="60">
        <v>0</v>
      </c>
      <c r="S8" s="60">
        <v>0</v>
      </c>
      <c r="T8" s="60">
        <v>0</v>
      </c>
      <c r="U8" s="60">
        <v>0</v>
      </c>
      <c r="V8" s="60">
        <v>0</v>
      </c>
      <c r="W8" s="60">
        <v>0</v>
      </c>
      <c r="X8" s="60">
        <v>0</v>
      </c>
      <c r="Y8" s="61">
        <v>0</v>
      </c>
      <c r="Z8" s="60">
        <v>0</v>
      </c>
      <c r="AA8" s="60">
        <v>0</v>
      </c>
      <c r="AB8" s="60">
        <v>0</v>
      </c>
      <c r="AC8" s="60">
        <v>618288800</v>
      </c>
      <c r="AD8" s="62">
        <v>6909</v>
      </c>
      <c r="AF8" s="47">
        <f t="shared" si="0"/>
        <v>618288800</v>
      </c>
    </row>
    <row r="9" spans="1:32" x14ac:dyDescent="0.3">
      <c r="B9" s="46" t="str">
        <f>IFERROR(VLOOKUP($H9,매장구분!$B:$Z,2,0),"")</f>
        <v>E-biz</v>
      </c>
      <c r="C9" s="46" t="str">
        <f>IFERROR(VLOOKUP($H9,매장구분!$B:$Z,3,0),"")</f>
        <v>국내</v>
      </c>
      <c r="D9" s="46" t="str">
        <f>IFERROR(VLOOKUP($H9,매장구분!$B:$Z,5,0),"")</f>
        <v>온(제휴몰)</v>
      </c>
      <c r="E9" s="46" t="str">
        <f>IFERROR(VLOOKUP($H9,매장구분!$B:$Z,9,0),"")</f>
        <v>무신사(제휴몰)</v>
      </c>
      <c r="F9" s="53"/>
      <c r="G9" s="54" t="s">
        <v>183</v>
      </c>
      <c r="H9" s="55" t="s">
        <v>184</v>
      </c>
      <c r="I9" s="55" t="s">
        <v>169</v>
      </c>
      <c r="J9" s="55" t="s">
        <v>180</v>
      </c>
      <c r="K9" s="55" t="s">
        <v>170</v>
      </c>
      <c r="L9" s="55" t="s">
        <v>181</v>
      </c>
      <c r="M9" s="55" t="s">
        <v>181</v>
      </c>
      <c r="N9" s="55" t="s">
        <v>185</v>
      </c>
      <c r="O9" s="55">
        <v>1029758010</v>
      </c>
      <c r="P9" s="55">
        <v>11413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6">
        <v>0</v>
      </c>
      <c r="Z9" s="55">
        <v>0</v>
      </c>
      <c r="AA9" s="55">
        <v>0</v>
      </c>
      <c r="AB9" s="55">
        <v>0</v>
      </c>
      <c r="AC9" s="55">
        <v>1029758010</v>
      </c>
      <c r="AD9" s="57">
        <v>11413</v>
      </c>
      <c r="AF9" s="47">
        <f t="shared" si="0"/>
        <v>1029758010</v>
      </c>
    </row>
    <row r="10" spans="1:32" x14ac:dyDescent="0.3">
      <c r="B10" s="46" t="str">
        <f>IFERROR(VLOOKUP($H10,매장구분!$B:$Z,2,0),"")</f>
        <v>리테일채널팀</v>
      </c>
      <c r="C10" s="46" t="str">
        <f>IFERROR(VLOOKUP($H10,매장구분!$B:$Z,3,0),"")</f>
        <v>국내</v>
      </c>
      <c r="D10" s="46" t="str">
        <f>IFERROR(VLOOKUP($H10,매장구분!$B:$Z,5,0),"")</f>
        <v>대리점</v>
      </c>
      <c r="E10" s="46" t="str">
        <f>IFERROR(VLOOKUP($H10,매장구분!$B:$Z,9,0),"")</f>
        <v>아산(대-위)</v>
      </c>
      <c r="F10" s="58"/>
      <c r="G10" s="59" t="s">
        <v>194</v>
      </c>
      <c r="H10" s="60" t="s">
        <v>195</v>
      </c>
      <c r="I10" s="60" t="s">
        <v>169</v>
      </c>
      <c r="J10" s="60" t="s">
        <v>79</v>
      </c>
      <c r="K10" s="60" t="s">
        <v>170</v>
      </c>
      <c r="L10" s="60" t="s">
        <v>171</v>
      </c>
      <c r="M10" s="60" t="s">
        <v>196</v>
      </c>
      <c r="N10" s="60" t="s">
        <v>197</v>
      </c>
      <c r="O10" s="60">
        <v>49069405</v>
      </c>
      <c r="P10" s="60">
        <v>440</v>
      </c>
      <c r="Q10" s="60">
        <v>0</v>
      </c>
      <c r="R10" s="60">
        <v>0</v>
      </c>
      <c r="S10" s="60">
        <v>0</v>
      </c>
      <c r="T10" s="60">
        <v>0</v>
      </c>
      <c r="U10" s="60">
        <v>14987447</v>
      </c>
      <c r="V10" s="60">
        <v>107</v>
      </c>
      <c r="W10" s="60">
        <v>0</v>
      </c>
      <c r="X10" s="60">
        <v>0</v>
      </c>
      <c r="Y10" s="61">
        <v>0</v>
      </c>
      <c r="Z10" s="60">
        <v>0</v>
      </c>
      <c r="AA10" s="60">
        <v>0</v>
      </c>
      <c r="AB10" s="60">
        <v>0</v>
      </c>
      <c r="AC10" s="60">
        <v>64056852</v>
      </c>
      <c r="AD10" s="62">
        <v>547</v>
      </c>
      <c r="AF10" s="47">
        <f t="shared" si="0"/>
        <v>64056852</v>
      </c>
    </row>
    <row r="11" spans="1:32" x14ac:dyDescent="0.3">
      <c r="B11" s="46" t="str">
        <f>IFERROR(VLOOKUP($H11,매장구분!$B:$Z,2,0),"")</f>
        <v>파트너채널팀</v>
      </c>
      <c r="C11" s="46" t="str">
        <f>IFERROR(VLOOKUP($H11,매장구분!$B:$Z,3,0),"")</f>
        <v>국내</v>
      </c>
      <c r="D11" s="46" t="str">
        <f>IFERROR(VLOOKUP($H11,매장구분!$B:$Z,5,0),"")</f>
        <v>백화점</v>
      </c>
      <c r="E11" s="46" t="str">
        <f>IFERROR(VLOOKUP($H11,매장구분!$B:$Z,9,0),"")</f>
        <v>롯데영등포</v>
      </c>
      <c r="F11" s="53"/>
      <c r="G11" s="54" t="s">
        <v>202</v>
      </c>
      <c r="H11" s="55" t="s">
        <v>203</v>
      </c>
      <c r="I11" s="55" t="s">
        <v>169</v>
      </c>
      <c r="J11" s="55" t="s">
        <v>175</v>
      </c>
      <c r="K11" s="55" t="s">
        <v>170</v>
      </c>
      <c r="L11" s="55" t="s">
        <v>171</v>
      </c>
      <c r="M11" s="55" t="s">
        <v>77</v>
      </c>
      <c r="N11" s="55" t="s">
        <v>172</v>
      </c>
      <c r="O11" s="55">
        <v>59779868</v>
      </c>
      <c r="P11" s="55">
        <v>495</v>
      </c>
      <c r="Q11" s="55">
        <v>30544000</v>
      </c>
      <c r="R11" s="55">
        <v>382</v>
      </c>
      <c r="S11" s="55">
        <v>0</v>
      </c>
      <c r="T11" s="55">
        <v>0</v>
      </c>
      <c r="U11" s="55">
        <v>5132932</v>
      </c>
      <c r="V11" s="55">
        <v>28</v>
      </c>
      <c r="W11" s="55">
        <v>0</v>
      </c>
      <c r="X11" s="55">
        <v>0</v>
      </c>
      <c r="Y11" s="56">
        <v>2092500</v>
      </c>
      <c r="Z11" s="55">
        <v>15</v>
      </c>
      <c r="AA11" s="55">
        <v>0</v>
      </c>
      <c r="AB11" s="55">
        <v>0</v>
      </c>
      <c r="AC11" s="55">
        <v>97549300</v>
      </c>
      <c r="AD11" s="57">
        <v>920</v>
      </c>
      <c r="AF11" s="47">
        <f t="shared" si="0"/>
        <v>95456800</v>
      </c>
    </row>
    <row r="12" spans="1:32" x14ac:dyDescent="0.3">
      <c r="B12" s="46" t="str">
        <f>IFERROR(VLOOKUP($H12,매장구분!$B:$Z,2,0),"")</f>
        <v>리테일채널팀</v>
      </c>
      <c r="C12" s="46" t="str">
        <f>IFERROR(VLOOKUP($H12,매장구분!$B:$Z,3,0),"")</f>
        <v>국내</v>
      </c>
      <c r="D12" s="46" t="str">
        <f>IFERROR(VLOOKUP($H12,매장구분!$B:$Z,5,0),"")</f>
        <v>직영점</v>
      </c>
      <c r="E12" s="46" t="str">
        <f>IFERROR(VLOOKUP($H12,매장구분!$B:$Z,9,0),"")</f>
        <v>타임스퀘어영등포(직)</v>
      </c>
      <c r="F12" s="58"/>
      <c r="G12" s="59" t="s">
        <v>186</v>
      </c>
      <c r="H12" s="60" t="s">
        <v>187</v>
      </c>
      <c r="I12" s="60" t="s">
        <v>169</v>
      </c>
      <c r="J12" s="60" t="s">
        <v>180</v>
      </c>
      <c r="K12" s="60" t="s">
        <v>170</v>
      </c>
      <c r="L12" s="60" t="s">
        <v>171</v>
      </c>
      <c r="M12" s="60" t="s">
        <v>188</v>
      </c>
      <c r="N12" s="60" t="s">
        <v>189</v>
      </c>
      <c r="O12" s="60">
        <v>110368860</v>
      </c>
      <c r="P12" s="60">
        <v>1150</v>
      </c>
      <c r="Q12" s="60">
        <v>0</v>
      </c>
      <c r="R12" s="60">
        <v>0</v>
      </c>
      <c r="S12" s="60">
        <v>0</v>
      </c>
      <c r="T12" s="60">
        <v>0</v>
      </c>
      <c r="U12" s="60">
        <v>3388540</v>
      </c>
      <c r="V12" s="60">
        <v>23</v>
      </c>
      <c r="W12" s="60">
        <v>0</v>
      </c>
      <c r="X12" s="60">
        <v>0</v>
      </c>
      <c r="Y12" s="61">
        <v>0</v>
      </c>
      <c r="Z12" s="60">
        <v>0</v>
      </c>
      <c r="AA12" s="60">
        <v>0</v>
      </c>
      <c r="AB12" s="60">
        <v>0</v>
      </c>
      <c r="AC12" s="60">
        <v>113757400</v>
      </c>
      <c r="AD12" s="62">
        <v>1173</v>
      </c>
      <c r="AF12" s="47">
        <f t="shared" si="0"/>
        <v>113757400</v>
      </c>
    </row>
    <row r="13" spans="1:32" x14ac:dyDescent="0.3">
      <c r="B13" s="46" t="str">
        <f>IFERROR(VLOOKUP($H13,매장구분!$B:$Z,2,0),"")</f>
        <v>E-biz</v>
      </c>
      <c r="C13" s="46" t="str">
        <f>IFERROR(VLOOKUP($H13,매장구분!$B:$Z,3,0),"")</f>
        <v>국내</v>
      </c>
      <c r="D13" s="46" t="str">
        <f>IFERROR(VLOOKUP($H13,매장구분!$B:$Z,5,0),"")</f>
        <v>온(제휴몰)</v>
      </c>
      <c r="E13" s="46" t="str">
        <f>IFERROR(VLOOKUP($H13,매장구분!$B:$Z,9,0),"")</f>
        <v>카카오선물하기(제휴몰)</v>
      </c>
      <c r="F13" s="53"/>
      <c r="G13" s="54" t="s">
        <v>209</v>
      </c>
      <c r="H13" s="55" t="s">
        <v>210</v>
      </c>
      <c r="I13" s="55" t="s">
        <v>169</v>
      </c>
      <c r="J13" s="55" t="s">
        <v>180</v>
      </c>
      <c r="K13" s="55" t="s">
        <v>170</v>
      </c>
      <c r="L13" s="55" t="s">
        <v>181</v>
      </c>
      <c r="M13" s="55" t="s">
        <v>181</v>
      </c>
      <c r="N13" s="55" t="s">
        <v>185</v>
      </c>
      <c r="O13" s="55">
        <v>197544800</v>
      </c>
      <c r="P13" s="55">
        <v>5093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6">
        <v>0</v>
      </c>
      <c r="Z13" s="55">
        <v>0</v>
      </c>
      <c r="AA13" s="55">
        <v>0</v>
      </c>
      <c r="AB13" s="55">
        <v>0</v>
      </c>
      <c r="AC13" s="55">
        <v>197544800</v>
      </c>
      <c r="AD13" s="57">
        <v>5093</v>
      </c>
      <c r="AF13" s="47">
        <f t="shared" si="0"/>
        <v>197544800</v>
      </c>
    </row>
    <row r="14" spans="1:32" x14ac:dyDescent="0.3">
      <c r="B14" s="46" t="str">
        <f>IFERROR(VLOOKUP($H14,매장구분!$B:$Z,2,0),"")</f>
        <v>리테일채널팀</v>
      </c>
      <c r="C14" s="46" t="str">
        <f>IFERROR(VLOOKUP($H14,매장구분!$B:$Z,3,0),"")</f>
        <v>국내</v>
      </c>
      <c r="D14" s="46" t="str">
        <f>IFERROR(VLOOKUP($H14,매장구분!$B:$Z,5,0),"")</f>
        <v>대리점</v>
      </c>
      <c r="E14" s="46" t="str">
        <f>IFERROR(VLOOKUP($H14,매장구분!$B:$Z,9,0),"")</f>
        <v>여수(대-위)</v>
      </c>
      <c r="F14" s="58"/>
      <c r="G14" s="59" t="s">
        <v>198</v>
      </c>
      <c r="H14" s="60" t="s">
        <v>199</v>
      </c>
      <c r="I14" s="60" t="s">
        <v>169</v>
      </c>
      <c r="J14" s="60" t="s">
        <v>79</v>
      </c>
      <c r="K14" s="60" t="s">
        <v>170</v>
      </c>
      <c r="L14" s="60" t="s">
        <v>171</v>
      </c>
      <c r="M14" s="60" t="s">
        <v>196</v>
      </c>
      <c r="N14" s="60" t="s">
        <v>197</v>
      </c>
      <c r="O14" s="60">
        <v>47465250</v>
      </c>
      <c r="P14" s="60">
        <v>459</v>
      </c>
      <c r="Q14" s="60">
        <v>0</v>
      </c>
      <c r="R14" s="60">
        <v>0</v>
      </c>
      <c r="S14" s="60">
        <v>0</v>
      </c>
      <c r="T14" s="60">
        <v>0</v>
      </c>
      <c r="U14" s="60">
        <v>4430850</v>
      </c>
      <c r="V14" s="60">
        <v>27</v>
      </c>
      <c r="W14" s="60">
        <v>0</v>
      </c>
      <c r="X14" s="60">
        <v>0</v>
      </c>
      <c r="Y14" s="61">
        <v>0</v>
      </c>
      <c r="Z14" s="60">
        <v>0</v>
      </c>
      <c r="AA14" s="60">
        <v>0</v>
      </c>
      <c r="AB14" s="60">
        <v>0</v>
      </c>
      <c r="AC14" s="60">
        <v>51896100</v>
      </c>
      <c r="AD14" s="62">
        <v>486</v>
      </c>
      <c r="AF14" s="47">
        <f t="shared" si="0"/>
        <v>51896100</v>
      </c>
    </row>
    <row r="15" spans="1:32" x14ac:dyDescent="0.3">
      <c r="B15" s="46" t="str">
        <f>IFERROR(VLOOKUP($H15,매장구분!$B:$Z,2,0),"")</f>
        <v>파트너채널팀</v>
      </c>
      <c r="C15" s="46" t="str">
        <f>IFERROR(VLOOKUP($H15,매장구분!$B:$Z,3,0),"")</f>
        <v>국내</v>
      </c>
      <c r="D15" s="46" t="str">
        <f>IFERROR(VLOOKUP($H15,매장구분!$B:$Z,5,0),"")</f>
        <v>백화점</v>
      </c>
      <c r="E15" s="46" t="str">
        <f>IFERROR(VLOOKUP($H15,매장구분!$B:$Z,9,0),"")</f>
        <v>롯데김포</v>
      </c>
      <c r="F15" s="53"/>
      <c r="G15" s="54" t="s">
        <v>190</v>
      </c>
      <c r="H15" s="55" t="s">
        <v>191</v>
      </c>
      <c r="I15" s="55" t="s">
        <v>169</v>
      </c>
      <c r="J15" s="55" t="s">
        <v>175</v>
      </c>
      <c r="K15" s="55" t="s">
        <v>170</v>
      </c>
      <c r="L15" s="55" t="s">
        <v>171</v>
      </c>
      <c r="M15" s="55" t="s">
        <v>77</v>
      </c>
      <c r="N15" s="55" t="s">
        <v>172</v>
      </c>
      <c r="O15" s="55">
        <v>109972910</v>
      </c>
      <c r="P15" s="55">
        <v>1242</v>
      </c>
      <c r="Q15" s="55">
        <v>0</v>
      </c>
      <c r="R15" s="55">
        <v>0</v>
      </c>
      <c r="S15" s="55">
        <v>0</v>
      </c>
      <c r="T15" s="55">
        <v>0</v>
      </c>
      <c r="U15" s="55">
        <v>16671700</v>
      </c>
      <c r="V15" s="55">
        <v>81</v>
      </c>
      <c r="W15" s="55">
        <v>0</v>
      </c>
      <c r="X15" s="55">
        <v>0</v>
      </c>
      <c r="Y15" s="56">
        <v>0</v>
      </c>
      <c r="Z15" s="55">
        <v>0</v>
      </c>
      <c r="AA15" s="55">
        <v>0</v>
      </c>
      <c r="AB15" s="55">
        <v>0</v>
      </c>
      <c r="AC15" s="55">
        <v>126644610</v>
      </c>
      <c r="AD15" s="57">
        <v>1323</v>
      </c>
      <c r="AF15" s="47">
        <f t="shared" si="0"/>
        <v>126644610</v>
      </c>
    </row>
    <row r="16" spans="1:32" x14ac:dyDescent="0.3">
      <c r="B16" s="46" t="str">
        <f>IFERROR(VLOOKUP($H16,매장구분!$B:$Z,2,0),"")</f>
        <v>파트너채널팀</v>
      </c>
      <c r="C16" s="46" t="str">
        <f>IFERROR(VLOOKUP($H16,매장구분!$B:$Z,3,0),"")</f>
        <v>면세</v>
      </c>
      <c r="D16" s="46" t="str">
        <f>IFERROR(VLOOKUP($H16,매장구분!$B:$Z,5,0),"")</f>
        <v>면세</v>
      </c>
      <c r="E16" s="46" t="str">
        <f>IFERROR(VLOOKUP($H16,매장구분!$B:$Z,9,0),"")</f>
        <v>신세계면세명동</v>
      </c>
      <c r="F16" s="58"/>
      <c r="G16" s="59" t="s">
        <v>173</v>
      </c>
      <c r="H16" s="60" t="s">
        <v>174</v>
      </c>
      <c r="I16" s="60" t="s">
        <v>169</v>
      </c>
      <c r="J16" s="60" t="s">
        <v>175</v>
      </c>
      <c r="K16" s="60" t="s">
        <v>170</v>
      </c>
      <c r="L16" s="60" t="s">
        <v>171</v>
      </c>
      <c r="M16" s="60" t="s">
        <v>176</v>
      </c>
      <c r="N16" s="60" t="s">
        <v>177</v>
      </c>
      <c r="O16" s="60">
        <v>706109900</v>
      </c>
      <c r="P16" s="60">
        <v>10279</v>
      </c>
      <c r="Q16" s="60">
        <v>0</v>
      </c>
      <c r="R16" s="60">
        <v>0</v>
      </c>
      <c r="S16" s="60">
        <v>0</v>
      </c>
      <c r="T16" s="60">
        <v>0</v>
      </c>
      <c r="U16" s="60">
        <v>0</v>
      </c>
      <c r="V16" s="60">
        <v>0</v>
      </c>
      <c r="W16" s="60">
        <v>0</v>
      </c>
      <c r="X16" s="60">
        <v>0</v>
      </c>
      <c r="Y16" s="61">
        <v>450738500</v>
      </c>
      <c r="Z16" s="60">
        <v>6793</v>
      </c>
      <c r="AA16" s="60">
        <v>0</v>
      </c>
      <c r="AB16" s="60">
        <v>0</v>
      </c>
      <c r="AC16" s="60">
        <v>1156848400</v>
      </c>
      <c r="AD16" s="62">
        <v>17072</v>
      </c>
      <c r="AF16" s="47">
        <f t="shared" si="0"/>
        <v>706109900</v>
      </c>
    </row>
    <row r="17" spans="2:32" x14ac:dyDescent="0.3">
      <c r="B17" s="46" t="str">
        <f>IFERROR(VLOOKUP($H17,매장구분!$B:$Z,2,0),"")</f>
        <v>파트너채널팀</v>
      </c>
      <c r="C17" s="46" t="str">
        <f>IFERROR(VLOOKUP($H17,매장구분!$B:$Z,3,0),"")</f>
        <v>국내</v>
      </c>
      <c r="D17" s="46" t="str">
        <f>IFERROR(VLOOKUP($H17,매장구분!$B:$Z,5,0),"")</f>
        <v>백화점</v>
      </c>
      <c r="E17" s="46" t="str">
        <f>IFERROR(VLOOKUP($H17,매장구분!$B:$Z,9,0),"")</f>
        <v>롯데안산</v>
      </c>
      <c r="F17" s="53"/>
      <c r="G17" s="54" t="s">
        <v>200</v>
      </c>
      <c r="H17" s="55" t="s">
        <v>201</v>
      </c>
      <c r="I17" s="55" t="s">
        <v>169</v>
      </c>
      <c r="J17" s="55" t="s">
        <v>175</v>
      </c>
      <c r="K17" s="55" t="s">
        <v>170</v>
      </c>
      <c r="L17" s="55" t="s">
        <v>171</v>
      </c>
      <c r="M17" s="55" t="s">
        <v>77</v>
      </c>
      <c r="N17" s="55" t="s">
        <v>172</v>
      </c>
      <c r="O17" s="55">
        <v>49761800</v>
      </c>
      <c r="P17" s="55">
        <v>500</v>
      </c>
      <c r="Q17" s="55">
        <v>0</v>
      </c>
      <c r="R17" s="55">
        <v>0</v>
      </c>
      <c r="S17" s="55">
        <v>0</v>
      </c>
      <c r="T17" s="55">
        <v>0</v>
      </c>
      <c r="U17" s="55">
        <v>8074900</v>
      </c>
      <c r="V17" s="55">
        <v>48</v>
      </c>
      <c r="W17" s="55">
        <v>0</v>
      </c>
      <c r="X17" s="55">
        <v>0</v>
      </c>
      <c r="Y17" s="56">
        <v>35602000</v>
      </c>
      <c r="Z17" s="55">
        <v>158</v>
      </c>
      <c r="AA17" s="55">
        <v>0</v>
      </c>
      <c r="AB17" s="55">
        <v>0</v>
      </c>
      <c r="AC17" s="55">
        <v>93438700</v>
      </c>
      <c r="AD17" s="57">
        <v>706</v>
      </c>
      <c r="AF17" s="47">
        <f t="shared" si="0"/>
        <v>57836700</v>
      </c>
    </row>
    <row r="18" spans="2:32" x14ac:dyDescent="0.3">
      <c r="B18" s="46" t="str">
        <f>IFERROR(VLOOKUP($H18,매장구분!$B:$Z,2,0),"")</f>
        <v>리테일채널팀</v>
      </c>
      <c r="C18" s="46" t="str">
        <f>IFERROR(VLOOKUP($H18,매장구분!$B:$Z,3,0),"")</f>
        <v>국내</v>
      </c>
      <c r="D18" s="46" t="str">
        <f>IFERROR(VLOOKUP($H18,매장구분!$B:$Z,5,0),"")</f>
        <v>직영점</v>
      </c>
      <c r="E18" s="46" t="str">
        <f>IFERROR(VLOOKUP($H18,매장구분!$B:$Z,9,0),"")</f>
        <v>동성로</v>
      </c>
      <c r="F18" s="58"/>
      <c r="G18" s="59" t="s">
        <v>204</v>
      </c>
      <c r="H18" s="60" t="s">
        <v>205</v>
      </c>
      <c r="I18" s="60" t="s">
        <v>169</v>
      </c>
      <c r="J18" s="60" t="s">
        <v>180</v>
      </c>
      <c r="K18" s="60" t="s">
        <v>170</v>
      </c>
      <c r="L18" s="60" t="s">
        <v>171</v>
      </c>
      <c r="M18" s="60" t="s">
        <v>196</v>
      </c>
      <c r="N18" s="60" t="s">
        <v>206</v>
      </c>
      <c r="O18" s="60">
        <v>71286810</v>
      </c>
      <c r="P18" s="60">
        <v>860</v>
      </c>
      <c r="Q18" s="60">
        <v>0</v>
      </c>
      <c r="R18" s="60">
        <v>0</v>
      </c>
      <c r="S18" s="60">
        <v>0</v>
      </c>
      <c r="T18" s="60">
        <v>0</v>
      </c>
      <c r="U18" s="60">
        <v>5279100</v>
      </c>
      <c r="V18" s="60">
        <v>25</v>
      </c>
      <c r="W18" s="60">
        <v>0</v>
      </c>
      <c r="X18" s="60">
        <v>0</v>
      </c>
      <c r="Y18" s="61">
        <v>0</v>
      </c>
      <c r="Z18" s="60">
        <v>0</v>
      </c>
      <c r="AA18" s="60">
        <v>0</v>
      </c>
      <c r="AB18" s="60">
        <v>0</v>
      </c>
      <c r="AC18" s="60">
        <v>76565910</v>
      </c>
      <c r="AD18" s="62">
        <v>885</v>
      </c>
      <c r="AF18" s="47">
        <f t="shared" si="0"/>
        <v>76565910</v>
      </c>
    </row>
    <row r="19" spans="2:32" x14ac:dyDescent="0.3">
      <c r="B19" s="46" t="str">
        <f>IFERROR(VLOOKUP($H19,매장구분!$B:$Z,2,0),"")</f>
        <v>파트너채널팀</v>
      </c>
      <c r="C19" s="46" t="str">
        <f>IFERROR(VLOOKUP($H19,매장구분!$B:$Z,3,0),"")</f>
        <v>도매</v>
      </c>
      <c r="D19" s="46" t="str">
        <f>IFERROR(VLOOKUP($H19,매장구분!$B:$Z,5,0),"")</f>
        <v>도매</v>
      </c>
      <c r="E19" s="46" t="str">
        <f>IFERROR(VLOOKUP($H19,매장구분!$B:$Z,9,0),"")</f>
        <v>온라인완주</v>
      </c>
      <c r="F19" s="53"/>
      <c r="G19" s="54" t="s">
        <v>566</v>
      </c>
      <c r="H19" s="55" t="s">
        <v>567</v>
      </c>
      <c r="I19" s="55" t="s">
        <v>169</v>
      </c>
      <c r="J19" s="55" t="s">
        <v>180</v>
      </c>
      <c r="K19" s="55" t="s">
        <v>170</v>
      </c>
      <c r="L19" s="55" t="s">
        <v>568</v>
      </c>
      <c r="M19" s="55" t="s">
        <v>181</v>
      </c>
      <c r="N19" s="55" t="s">
        <v>568</v>
      </c>
      <c r="O19" s="55">
        <v>281214486</v>
      </c>
      <c r="P19" s="55">
        <v>9764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6">
        <v>0</v>
      </c>
      <c r="Z19" s="55">
        <v>0</v>
      </c>
      <c r="AA19" s="55">
        <v>0</v>
      </c>
      <c r="AB19" s="55">
        <v>0</v>
      </c>
      <c r="AC19" s="55">
        <v>281214486</v>
      </c>
      <c r="AD19" s="57">
        <v>9764</v>
      </c>
      <c r="AF19" s="47">
        <f t="shared" si="0"/>
        <v>281214486</v>
      </c>
    </row>
    <row r="20" spans="2:32" x14ac:dyDescent="0.3">
      <c r="B20" s="46" t="str">
        <f>IFERROR(VLOOKUP($H20,매장구분!$B:$Z,2,0),"")</f>
        <v>리테일채널팀</v>
      </c>
      <c r="C20" s="46" t="str">
        <f>IFERROR(VLOOKUP($H20,매장구분!$B:$Z,3,0),"")</f>
        <v>국내</v>
      </c>
      <c r="D20" s="46" t="str">
        <f>IFERROR(VLOOKUP($H20,매장구분!$B:$Z,5,0),"")</f>
        <v>대리점</v>
      </c>
      <c r="E20" s="46" t="str">
        <f>IFERROR(VLOOKUP($H20,매장구분!$B:$Z,9,0),"")</f>
        <v>보령(대-위)</v>
      </c>
      <c r="F20" s="58"/>
      <c r="G20" s="59" t="s">
        <v>211</v>
      </c>
      <c r="H20" s="60" t="s">
        <v>212</v>
      </c>
      <c r="I20" s="60" t="s">
        <v>169</v>
      </c>
      <c r="J20" s="60" t="s">
        <v>79</v>
      </c>
      <c r="K20" s="60" t="s">
        <v>170</v>
      </c>
      <c r="L20" s="60" t="s">
        <v>171</v>
      </c>
      <c r="M20" s="60" t="s">
        <v>196</v>
      </c>
      <c r="N20" s="60" t="s">
        <v>197</v>
      </c>
      <c r="O20" s="60">
        <v>26985600</v>
      </c>
      <c r="P20" s="60">
        <v>253</v>
      </c>
      <c r="Q20" s="60">
        <v>0</v>
      </c>
      <c r="R20" s="60">
        <v>0</v>
      </c>
      <c r="S20" s="60">
        <v>0</v>
      </c>
      <c r="T20" s="60">
        <v>0</v>
      </c>
      <c r="U20" s="60">
        <v>851000</v>
      </c>
      <c r="V20" s="60">
        <v>9</v>
      </c>
      <c r="W20" s="60">
        <v>0</v>
      </c>
      <c r="X20" s="60">
        <v>0</v>
      </c>
      <c r="Y20" s="61">
        <v>0</v>
      </c>
      <c r="Z20" s="60">
        <v>0</v>
      </c>
      <c r="AA20" s="60">
        <v>0</v>
      </c>
      <c r="AB20" s="60">
        <v>0</v>
      </c>
      <c r="AC20" s="60">
        <v>27836600</v>
      </c>
      <c r="AD20" s="62">
        <v>262</v>
      </c>
      <c r="AF20" s="47">
        <f t="shared" si="0"/>
        <v>27836600</v>
      </c>
    </row>
    <row r="21" spans="2:32" x14ac:dyDescent="0.3">
      <c r="B21" s="46" t="str">
        <f>IFERROR(VLOOKUP($H21,매장구분!$B:$Z,2,0),"")</f>
        <v>파트너채널팀</v>
      </c>
      <c r="C21" s="46" t="str">
        <f>IFERROR(VLOOKUP($H21,매장구분!$B:$Z,3,0),"")</f>
        <v>국내</v>
      </c>
      <c r="D21" s="46" t="str">
        <f>IFERROR(VLOOKUP($H21,매장구분!$B:$Z,5,0),"")</f>
        <v>백화점</v>
      </c>
      <c r="E21" s="46" t="str">
        <f>IFERROR(VLOOKUP($H21,매장구분!$B:$Z,9,0),"")</f>
        <v>신세계대구</v>
      </c>
      <c r="F21" s="53"/>
      <c r="G21" s="54" t="s">
        <v>192</v>
      </c>
      <c r="H21" s="55" t="s">
        <v>193</v>
      </c>
      <c r="I21" s="55" t="s">
        <v>169</v>
      </c>
      <c r="J21" s="55" t="s">
        <v>175</v>
      </c>
      <c r="K21" s="55" t="s">
        <v>170</v>
      </c>
      <c r="L21" s="55" t="s">
        <v>171</v>
      </c>
      <c r="M21" s="55" t="s">
        <v>77</v>
      </c>
      <c r="N21" s="55" t="s">
        <v>172</v>
      </c>
      <c r="O21" s="55">
        <v>140437900</v>
      </c>
      <c r="P21" s="55">
        <v>1394</v>
      </c>
      <c r="Q21" s="55">
        <v>0</v>
      </c>
      <c r="R21" s="55">
        <v>0</v>
      </c>
      <c r="S21" s="55">
        <v>0</v>
      </c>
      <c r="T21" s="55">
        <v>0</v>
      </c>
      <c r="U21" s="55">
        <v>7593100</v>
      </c>
      <c r="V21" s="55">
        <v>46</v>
      </c>
      <c r="W21" s="55">
        <v>0</v>
      </c>
      <c r="X21" s="55">
        <v>0</v>
      </c>
      <c r="Y21" s="56">
        <v>27849000</v>
      </c>
      <c r="Z21" s="55">
        <v>201</v>
      </c>
      <c r="AA21" s="55">
        <v>0</v>
      </c>
      <c r="AB21" s="55">
        <v>0</v>
      </c>
      <c r="AC21" s="55">
        <v>175880000</v>
      </c>
      <c r="AD21" s="57">
        <v>1641</v>
      </c>
      <c r="AF21" s="47">
        <f t="shared" si="0"/>
        <v>148031000</v>
      </c>
    </row>
    <row r="22" spans="2:32" x14ac:dyDescent="0.3">
      <c r="B22" s="46" t="str">
        <f>IFERROR(VLOOKUP($H22,매장구분!$B:$Z,2,0),"")</f>
        <v>리테일채널팀</v>
      </c>
      <c r="C22" s="46" t="str">
        <f>IFERROR(VLOOKUP($H22,매장구분!$B:$Z,3,0),"")</f>
        <v>국내</v>
      </c>
      <c r="D22" s="46" t="str">
        <f>IFERROR(VLOOKUP($H22,매장구분!$B:$Z,5,0),"")</f>
        <v>대리점</v>
      </c>
      <c r="E22" s="46" t="str">
        <f>IFERROR(VLOOKUP($H22,매장구분!$B:$Z,9,0),"")</f>
        <v>천안쌍용(대-위)</v>
      </c>
      <c r="F22" s="58"/>
      <c r="G22" s="59" t="s">
        <v>574</v>
      </c>
      <c r="H22" s="60" t="s">
        <v>575</v>
      </c>
      <c r="I22" s="60" t="s">
        <v>169</v>
      </c>
      <c r="J22" s="60" t="s">
        <v>79</v>
      </c>
      <c r="K22" s="60" t="s">
        <v>170</v>
      </c>
      <c r="L22" s="60" t="s">
        <v>171</v>
      </c>
      <c r="M22" s="60" t="s">
        <v>196</v>
      </c>
      <c r="N22" s="60" t="s">
        <v>197</v>
      </c>
      <c r="O22" s="60">
        <v>20791078</v>
      </c>
      <c r="P22" s="60">
        <v>190</v>
      </c>
      <c r="Q22" s="60">
        <v>0</v>
      </c>
      <c r="R22" s="60">
        <v>0</v>
      </c>
      <c r="S22" s="60">
        <v>0</v>
      </c>
      <c r="T22" s="60">
        <v>0</v>
      </c>
      <c r="U22" s="60">
        <v>5161700</v>
      </c>
      <c r="V22" s="60">
        <v>20</v>
      </c>
      <c r="W22" s="60">
        <v>0</v>
      </c>
      <c r="X22" s="60">
        <v>0</v>
      </c>
      <c r="Y22" s="61">
        <v>5418922</v>
      </c>
      <c r="Z22" s="60">
        <v>52</v>
      </c>
      <c r="AA22" s="60">
        <v>0</v>
      </c>
      <c r="AB22" s="60">
        <v>0</v>
      </c>
      <c r="AC22" s="60">
        <v>31371700</v>
      </c>
      <c r="AD22" s="62">
        <v>262</v>
      </c>
      <c r="AF22" s="47">
        <f t="shared" si="0"/>
        <v>25952778</v>
      </c>
    </row>
    <row r="23" spans="2:32" x14ac:dyDescent="0.3">
      <c r="B23" s="46" t="str">
        <f>IFERROR(VLOOKUP($H23,매장구분!$B:$Z,2,0),"")</f>
        <v>리테일채널팀</v>
      </c>
      <c r="C23" s="46" t="str">
        <f>IFERROR(VLOOKUP($H23,매장구분!$B:$Z,3,0),"")</f>
        <v>국내</v>
      </c>
      <c r="D23" s="46" t="str">
        <f>IFERROR(VLOOKUP($H23,매장구분!$B:$Z,5,0),"")</f>
        <v>상설(위탁)</v>
      </c>
      <c r="E23" s="46" t="str">
        <f>IFERROR(VLOOKUP($H23,매장구분!$B:$Z,9,0),"")</f>
        <v>롯데아울렛봉무(상-위)</v>
      </c>
      <c r="F23" s="53"/>
      <c r="G23" s="54" t="s">
        <v>220</v>
      </c>
      <c r="H23" s="55" t="s">
        <v>221</v>
      </c>
      <c r="I23" s="55" t="s">
        <v>169</v>
      </c>
      <c r="J23" s="55" t="s">
        <v>79</v>
      </c>
      <c r="K23" s="55" t="s">
        <v>170</v>
      </c>
      <c r="L23" s="55" t="s">
        <v>171</v>
      </c>
      <c r="M23" s="55" t="s">
        <v>219</v>
      </c>
      <c r="N23" s="55" t="s">
        <v>219</v>
      </c>
      <c r="O23" s="55">
        <v>12744000</v>
      </c>
      <c r="P23" s="55">
        <v>354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6">
        <v>0</v>
      </c>
      <c r="Z23" s="55">
        <v>0</v>
      </c>
      <c r="AA23" s="55">
        <v>0</v>
      </c>
      <c r="AB23" s="55">
        <v>0</v>
      </c>
      <c r="AC23" s="55">
        <v>12744000</v>
      </c>
      <c r="AD23" s="57">
        <v>354</v>
      </c>
      <c r="AF23" s="47">
        <f t="shared" si="0"/>
        <v>12744000</v>
      </c>
    </row>
    <row r="24" spans="2:32" x14ac:dyDescent="0.3">
      <c r="B24" s="46" t="str">
        <f>IFERROR(VLOOKUP($H24,매장구분!$B:$Z,2,0),"")</f>
        <v>리테일채널팀</v>
      </c>
      <c r="C24" s="46" t="str">
        <f>IFERROR(VLOOKUP($H24,매장구분!$B:$Z,3,0),"")</f>
        <v>국내</v>
      </c>
      <c r="D24" s="46" t="str">
        <f>IFERROR(VLOOKUP($H24,매장구분!$B:$Z,5,0),"")</f>
        <v>대리점</v>
      </c>
      <c r="E24" s="46" t="str">
        <f>IFERROR(VLOOKUP($H24,매장구분!$B:$Z,9,0),"")</f>
        <v>성남신흥(대-위)</v>
      </c>
      <c r="F24" s="58"/>
      <c r="G24" s="59" t="s">
        <v>228</v>
      </c>
      <c r="H24" s="60" t="s">
        <v>229</v>
      </c>
      <c r="I24" s="60" t="s">
        <v>169</v>
      </c>
      <c r="J24" s="60" t="s">
        <v>79</v>
      </c>
      <c r="K24" s="60" t="s">
        <v>170</v>
      </c>
      <c r="L24" s="60" t="s">
        <v>171</v>
      </c>
      <c r="M24" s="60" t="s">
        <v>196</v>
      </c>
      <c r="N24" s="60" t="s">
        <v>197</v>
      </c>
      <c r="O24" s="60">
        <v>92903606</v>
      </c>
      <c r="P24" s="60">
        <v>670</v>
      </c>
      <c r="Q24" s="60">
        <v>0</v>
      </c>
      <c r="R24" s="60">
        <v>0</v>
      </c>
      <c r="S24" s="60">
        <v>0</v>
      </c>
      <c r="T24" s="60">
        <v>0</v>
      </c>
      <c r="U24" s="60">
        <v>2203505</v>
      </c>
      <c r="V24" s="60">
        <v>12</v>
      </c>
      <c r="W24" s="60">
        <v>0</v>
      </c>
      <c r="X24" s="60">
        <v>0</v>
      </c>
      <c r="Y24" s="61">
        <v>89822495</v>
      </c>
      <c r="Z24" s="60">
        <v>456</v>
      </c>
      <c r="AA24" s="60">
        <v>0</v>
      </c>
      <c r="AB24" s="60">
        <v>0</v>
      </c>
      <c r="AC24" s="60">
        <v>184929606</v>
      </c>
      <c r="AD24" s="62">
        <v>1138</v>
      </c>
      <c r="AF24" s="47">
        <f t="shared" si="0"/>
        <v>95107111</v>
      </c>
    </row>
    <row r="25" spans="2:32" x14ac:dyDescent="0.3">
      <c r="B25" s="46" t="str">
        <f>IFERROR(VLOOKUP($H25,매장구분!$B:$Z,2,0),"")</f>
        <v>파트너채널팀</v>
      </c>
      <c r="C25" s="46" t="str">
        <f>IFERROR(VLOOKUP($H25,매장구분!$B:$Z,3,0),"")</f>
        <v>국내</v>
      </c>
      <c r="D25" s="46" t="str">
        <f>IFERROR(VLOOKUP($H25,매장구분!$B:$Z,5,0),"")</f>
        <v>백화점</v>
      </c>
      <c r="E25" s="46" t="str">
        <f>IFERROR(VLOOKUP($H25,매장구분!$B:$Z,9,0),"")</f>
        <v>신세계대전</v>
      </c>
      <c r="F25" s="53"/>
      <c r="G25" s="54" t="s">
        <v>263</v>
      </c>
      <c r="H25" s="55" t="s">
        <v>264</v>
      </c>
      <c r="I25" s="55" t="s">
        <v>169</v>
      </c>
      <c r="J25" s="55" t="s">
        <v>175</v>
      </c>
      <c r="K25" s="55" t="s">
        <v>170</v>
      </c>
      <c r="L25" s="55" t="s">
        <v>171</v>
      </c>
      <c r="M25" s="55" t="s">
        <v>77</v>
      </c>
      <c r="N25" s="55" t="s">
        <v>172</v>
      </c>
      <c r="O25" s="55">
        <v>66705319</v>
      </c>
      <c r="P25" s="55">
        <v>675</v>
      </c>
      <c r="Q25" s="55">
        <v>0</v>
      </c>
      <c r="R25" s="55">
        <v>0</v>
      </c>
      <c r="S25" s="55">
        <v>0</v>
      </c>
      <c r="T25" s="55">
        <v>0</v>
      </c>
      <c r="U25" s="55">
        <v>33854681</v>
      </c>
      <c r="V25" s="55">
        <v>204</v>
      </c>
      <c r="W25" s="55">
        <v>0</v>
      </c>
      <c r="X25" s="55">
        <v>0</v>
      </c>
      <c r="Y25" s="56">
        <v>20820500</v>
      </c>
      <c r="Z25" s="55">
        <v>135</v>
      </c>
      <c r="AA25" s="55">
        <v>0</v>
      </c>
      <c r="AB25" s="55">
        <v>0</v>
      </c>
      <c r="AC25" s="55">
        <v>121380500</v>
      </c>
      <c r="AD25" s="57">
        <v>1014</v>
      </c>
      <c r="AF25" s="47">
        <f t="shared" si="0"/>
        <v>100560000</v>
      </c>
    </row>
    <row r="26" spans="2:32" x14ac:dyDescent="0.3">
      <c r="B26" s="46" t="str">
        <f>IFERROR(VLOOKUP($H26,매장구분!$B:$Z,2,0),"")</f>
        <v>리테일채널팀</v>
      </c>
      <c r="C26" s="46" t="str">
        <f>IFERROR(VLOOKUP($H26,매장구분!$B:$Z,3,0),"")</f>
        <v>국내</v>
      </c>
      <c r="D26" s="46" t="str">
        <f>IFERROR(VLOOKUP($H26,매장구분!$B:$Z,5,0),"")</f>
        <v>대리점</v>
      </c>
      <c r="E26" s="46" t="str">
        <f>IFERROR(VLOOKUP($H26,매장구분!$B:$Z,9,0),"")</f>
        <v>청주(대-위)</v>
      </c>
      <c r="F26" s="58"/>
      <c r="G26" s="59" t="s">
        <v>265</v>
      </c>
      <c r="H26" s="60" t="s">
        <v>266</v>
      </c>
      <c r="I26" s="60" t="s">
        <v>169</v>
      </c>
      <c r="J26" s="60" t="s">
        <v>79</v>
      </c>
      <c r="K26" s="60" t="s">
        <v>170</v>
      </c>
      <c r="L26" s="60" t="s">
        <v>171</v>
      </c>
      <c r="M26" s="60" t="s">
        <v>196</v>
      </c>
      <c r="N26" s="60" t="s">
        <v>197</v>
      </c>
      <c r="O26" s="60">
        <v>165888432</v>
      </c>
      <c r="P26" s="60">
        <v>1150</v>
      </c>
      <c r="Q26" s="60">
        <v>0</v>
      </c>
      <c r="R26" s="60">
        <v>0</v>
      </c>
      <c r="S26" s="60">
        <v>0</v>
      </c>
      <c r="T26" s="60">
        <v>0</v>
      </c>
      <c r="U26" s="60">
        <v>15222712</v>
      </c>
      <c r="V26" s="60">
        <v>48</v>
      </c>
      <c r="W26" s="60">
        <v>0</v>
      </c>
      <c r="X26" s="60">
        <v>0</v>
      </c>
      <c r="Y26" s="61">
        <v>23034000</v>
      </c>
      <c r="Z26" s="60">
        <v>206</v>
      </c>
      <c r="AA26" s="60">
        <v>0</v>
      </c>
      <c r="AB26" s="60">
        <v>0</v>
      </c>
      <c r="AC26" s="60">
        <v>204145144</v>
      </c>
      <c r="AD26" s="62">
        <v>1404</v>
      </c>
      <c r="AF26" s="47">
        <f t="shared" si="0"/>
        <v>181111144</v>
      </c>
    </row>
    <row r="27" spans="2:32" x14ac:dyDescent="0.3">
      <c r="B27" s="46" t="str">
        <f>IFERROR(VLOOKUP($H27,매장구분!$B:$Z,2,0),"")</f>
        <v>파트너채널팀</v>
      </c>
      <c r="C27" s="46" t="str">
        <f>IFERROR(VLOOKUP($H27,매장구분!$B:$Z,3,0),"")</f>
        <v>국내</v>
      </c>
      <c r="D27" s="46" t="str">
        <f>IFERROR(VLOOKUP($H27,매장구분!$B:$Z,5,0),"")</f>
        <v>백화점</v>
      </c>
      <c r="E27" s="46" t="str">
        <f>IFERROR(VLOOKUP($H27,매장구분!$B:$Z,9,0),"")</f>
        <v>롯데청량리</v>
      </c>
      <c r="F27" s="53"/>
      <c r="G27" s="54" t="s">
        <v>255</v>
      </c>
      <c r="H27" s="55" t="s">
        <v>256</v>
      </c>
      <c r="I27" s="55" t="s">
        <v>169</v>
      </c>
      <c r="J27" s="55" t="s">
        <v>175</v>
      </c>
      <c r="K27" s="55" t="s">
        <v>170</v>
      </c>
      <c r="L27" s="55" t="s">
        <v>171</v>
      </c>
      <c r="M27" s="55" t="s">
        <v>77</v>
      </c>
      <c r="N27" s="55" t="s">
        <v>172</v>
      </c>
      <c r="O27" s="55">
        <v>44223900</v>
      </c>
      <c r="P27" s="55">
        <v>505</v>
      </c>
      <c r="Q27" s="55">
        <v>6699000</v>
      </c>
      <c r="R27" s="55">
        <v>57</v>
      </c>
      <c r="S27" s="55">
        <v>0</v>
      </c>
      <c r="T27" s="55">
        <v>0</v>
      </c>
      <c r="U27" s="55">
        <v>2782000</v>
      </c>
      <c r="V27" s="55">
        <v>15</v>
      </c>
      <c r="W27" s="55">
        <v>0</v>
      </c>
      <c r="X27" s="55">
        <v>0</v>
      </c>
      <c r="Y27" s="56">
        <v>2641000</v>
      </c>
      <c r="Z27" s="55">
        <v>19</v>
      </c>
      <c r="AA27" s="55">
        <v>0</v>
      </c>
      <c r="AB27" s="55">
        <v>0</v>
      </c>
      <c r="AC27" s="55">
        <v>56345900</v>
      </c>
      <c r="AD27" s="57">
        <v>596</v>
      </c>
      <c r="AF27" s="47">
        <f t="shared" si="0"/>
        <v>53704900</v>
      </c>
    </row>
    <row r="28" spans="2:32" x14ac:dyDescent="0.3">
      <c r="B28" s="46" t="str">
        <f>IFERROR(VLOOKUP($H28,매장구분!$B:$Z,2,0),"")</f>
        <v>파트너채널팀</v>
      </c>
      <c r="C28" s="46" t="str">
        <f>IFERROR(VLOOKUP($H28,매장구분!$B:$Z,3,0),"")</f>
        <v>국내</v>
      </c>
      <c r="D28" s="46" t="str">
        <f>IFERROR(VLOOKUP($H28,매장구분!$B:$Z,5,0),"")</f>
        <v>백화점</v>
      </c>
      <c r="E28" s="46" t="str">
        <f>IFERROR(VLOOKUP($H28,매장구분!$B:$Z,9,0),"")</f>
        <v>롯데잠실</v>
      </c>
      <c r="F28" s="58"/>
      <c r="G28" s="59" t="s">
        <v>247</v>
      </c>
      <c r="H28" s="60" t="s">
        <v>248</v>
      </c>
      <c r="I28" s="60" t="s">
        <v>169</v>
      </c>
      <c r="J28" s="60" t="s">
        <v>175</v>
      </c>
      <c r="K28" s="60" t="s">
        <v>170</v>
      </c>
      <c r="L28" s="60" t="s">
        <v>171</v>
      </c>
      <c r="M28" s="60" t="s">
        <v>77</v>
      </c>
      <c r="N28" s="60" t="s">
        <v>172</v>
      </c>
      <c r="O28" s="60">
        <v>140434320</v>
      </c>
      <c r="P28" s="60">
        <v>1374</v>
      </c>
      <c r="Q28" s="60">
        <v>43881800</v>
      </c>
      <c r="R28" s="60">
        <v>422</v>
      </c>
      <c r="S28" s="60">
        <v>0</v>
      </c>
      <c r="T28" s="60">
        <v>0</v>
      </c>
      <c r="U28" s="60">
        <v>39895028</v>
      </c>
      <c r="V28" s="60">
        <v>251</v>
      </c>
      <c r="W28" s="60">
        <v>0</v>
      </c>
      <c r="X28" s="60">
        <v>0</v>
      </c>
      <c r="Y28" s="61">
        <v>57176852</v>
      </c>
      <c r="Z28" s="60">
        <v>391</v>
      </c>
      <c r="AA28" s="60">
        <v>-33300</v>
      </c>
      <c r="AB28" s="60">
        <v>-1</v>
      </c>
      <c r="AC28" s="60">
        <v>281354700</v>
      </c>
      <c r="AD28" s="62">
        <v>2437</v>
      </c>
      <c r="AF28" s="47">
        <f t="shared" si="0"/>
        <v>224177848</v>
      </c>
    </row>
    <row r="29" spans="2:32" x14ac:dyDescent="0.3">
      <c r="B29" s="46" t="str">
        <f>IFERROR(VLOOKUP($H29,매장구분!$B:$Z,2,0),"")</f>
        <v>리테일채널팀</v>
      </c>
      <c r="C29" s="46" t="str">
        <f>IFERROR(VLOOKUP($H29,매장구분!$B:$Z,3,0),"")</f>
        <v>국내</v>
      </c>
      <c r="D29" s="46" t="str">
        <f>IFERROR(VLOOKUP($H29,매장구분!$B:$Z,5,0),"")</f>
        <v>대리점</v>
      </c>
      <c r="E29" s="46" t="str">
        <f>IFERROR(VLOOKUP($H29,매장구분!$B:$Z,9,0),"")</f>
        <v>강릉(대-위)</v>
      </c>
      <c r="F29" s="53"/>
      <c r="G29" s="54" t="s">
        <v>230</v>
      </c>
      <c r="H29" s="55" t="s">
        <v>231</v>
      </c>
      <c r="I29" s="55" t="s">
        <v>169</v>
      </c>
      <c r="J29" s="55" t="s">
        <v>79</v>
      </c>
      <c r="K29" s="55" t="s">
        <v>170</v>
      </c>
      <c r="L29" s="55" t="s">
        <v>171</v>
      </c>
      <c r="M29" s="55" t="s">
        <v>196</v>
      </c>
      <c r="N29" s="55" t="s">
        <v>197</v>
      </c>
      <c r="O29" s="55">
        <v>47439843</v>
      </c>
      <c r="P29" s="55">
        <v>439</v>
      </c>
      <c r="Q29" s="55">
        <v>0</v>
      </c>
      <c r="R29" s="55">
        <v>0</v>
      </c>
      <c r="S29" s="55">
        <v>0</v>
      </c>
      <c r="T29" s="55">
        <v>0</v>
      </c>
      <c r="U29" s="55">
        <v>19039861</v>
      </c>
      <c r="V29" s="55">
        <v>124</v>
      </c>
      <c r="W29" s="55">
        <v>0</v>
      </c>
      <c r="X29" s="55">
        <v>0</v>
      </c>
      <c r="Y29" s="56">
        <v>0</v>
      </c>
      <c r="Z29" s="55">
        <v>0</v>
      </c>
      <c r="AA29" s="55">
        <v>0</v>
      </c>
      <c r="AB29" s="55">
        <v>0</v>
      </c>
      <c r="AC29" s="55">
        <v>66479704</v>
      </c>
      <c r="AD29" s="57">
        <v>563</v>
      </c>
      <c r="AF29" s="47">
        <f t="shared" si="0"/>
        <v>66479704</v>
      </c>
    </row>
    <row r="30" spans="2:32" x14ac:dyDescent="0.3">
      <c r="B30" s="46" t="str">
        <f>IFERROR(VLOOKUP($H30,매장구분!$B:$Z,2,0),"")</f>
        <v>리테일채널팀</v>
      </c>
      <c r="C30" s="46" t="str">
        <f>IFERROR(VLOOKUP($H30,매장구분!$B:$Z,3,0),"")</f>
        <v>국내</v>
      </c>
      <c r="D30" s="46" t="str">
        <f>IFERROR(VLOOKUP($H30,매장구분!$B:$Z,5,0),"")</f>
        <v>대리점</v>
      </c>
      <c r="E30" s="46" t="str">
        <f>IFERROR(VLOOKUP($H30,매장구분!$B:$Z,9,0),"")</f>
        <v>화성봉담(대-위)</v>
      </c>
      <c r="F30" s="58"/>
      <c r="G30" s="59" t="s">
        <v>273</v>
      </c>
      <c r="H30" s="60" t="s">
        <v>274</v>
      </c>
      <c r="I30" s="60" t="s">
        <v>169</v>
      </c>
      <c r="J30" s="60" t="s">
        <v>79</v>
      </c>
      <c r="K30" s="60" t="s">
        <v>170</v>
      </c>
      <c r="L30" s="60" t="s">
        <v>171</v>
      </c>
      <c r="M30" s="60" t="s">
        <v>196</v>
      </c>
      <c r="N30" s="60" t="s">
        <v>197</v>
      </c>
      <c r="O30" s="60">
        <v>43102107</v>
      </c>
      <c r="P30" s="60">
        <v>343</v>
      </c>
      <c r="Q30" s="60">
        <v>0</v>
      </c>
      <c r="R30" s="60">
        <v>0</v>
      </c>
      <c r="S30" s="60">
        <v>0</v>
      </c>
      <c r="T30" s="60">
        <v>0</v>
      </c>
      <c r="U30" s="60">
        <v>6569311</v>
      </c>
      <c r="V30" s="60">
        <v>34</v>
      </c>
      <c r="W30" s="60">
        <v>0</v>
      </c>
      <c r="X30" s="60">
        <v>0</v>
      </c>
      <c r="Y30" s="61">
        <v>61307000</v>
      </c>
      <c r="Z30" s="60">
        <v>605</v>
      </c>
      <c r="AA30" s="60">
        <v>0</v>
      </c>
      <c r="AB30" s="60">
        <v>0</v>
      </c>
      <c r="AC30" s="60">
        <v>110978418</v>
      </c>
      <c r="AD30" s="62">
        <v>982</v>
      </c>
      <c r="AF30" s="47">
        <f t="shared" si="0"/>
        <v>49671418</v>
      </c>
    </row>
    <row r="31" spans="2:32" x14ac:dyDescent="0.3">
      <c r="B31" s="46" t="str">
        <f>IFERROR(VLOOKUP($H31,매장구분!$B:$Z,2,0),"")</f>
        <v>파트너채널팀</v>
      </c>
      <c r="C31" s="46" t="str">
        <f>IFERROR(VLOOKUP($H31,매장구분!$B:$Z,3,0),"")</f>
        <v>국내</v>
      </c>
      <c r="D31" s="46" t="str">
        <f>IFERROR(VLOOKUP($H31,매장구분!$B:$Z,5,0),"")</f>
        <v>백화점</v>
      </c>
      <c r="E31" s="46" t="str">
        <f>IFERROR(VLOOKUP($H31,매장구분!$B:$Z,9,0),"")</f>
        <v>롯데인천</v>
      </c>
      <c r="F31" s="53"/>
      <c r="G31" s="54" t="s">
        <v>245</v>
      </c>
      <c r="H31" s="55" t="s">
        <v>246</v>
      </c>
      <c r="I31" s="55" t="s">
        <v>169</v>
      </c>
      <c r="J31" s="55" t="s">
        <v>175</v>
      </c>
      <c r="K31" s="55" t="s">
        <v>170</v>
      </c>
      <c r="L31" s="55" t="s">
        <v>171</v>
      </c>
      <c r="M31" s="55" t="s">
        <v>77</v>
      </c>
      <c r="N31" s="55" t="s">
        <v>172</v>
      </c>
      <c r="O31" s="55">
        <v>111915637</v>
      </c>
      <c r="P31" s="55">
        <v>1063</v>
      </c>
      <c r="Q31" s="55">
        <v>36000</v>
      </c>
      <c r="R31" s="55">
        <v>1</v>
      </c>
      <c r="S31" s="55">
        <v>0</v>
      </c>
      <c r="T31" s="55">
        <v>0</v>
      </c>
      <c r="U31" s="55">
        <v>17052363</v>
      </c>
      <c r="V31" s="55">
        <v>90</v>
      </c>
      <c r="W31" s="55">
        <v>0</v>
      </c>
      <c r="X31" s="55">
        <v>0</v>
      </c>
      <c r="Y31" s="56">
        <v>85655600</v>
      </c>
      <c r="Z31" s="55">
        <v>497</v>
      </c>
      <c r="AA31" s="55">
        <v>0</v>
      </c>
      <c r="AB31" s="55">
        <v>0</v>
      </c>
      <c r="AC31" s="55">
        <v>214659600</v>
      </c>
      <c r="AD31" s="57">
        <v>1651</v>
      </c>
      <c r="AF31" s="47">
        <f t="shared" si="0"/>
        <v>129004000</v>
      </c>
    </row>
    <row r="32" spans="2:32" x14ac:dyDescent="0.3">
      <c r="B32" s="46" t="str">
        <f>IFERROR(VLOOKUP($H32,매장구분!$B:$Z,2,0),"")</f>
        <v>파트너채널팀</v>
      </c>
      <c r="C32" s="46" t="str">
        <f>IFERROR(VLOOKUP($H32,매장구분!$B:$Z,3,0),"")</f>
        <v>국내</v>
      </c>
      <c r="D32" s="46" t="str">
        <f>IFERROR(VLOOKUP($H32,매장구분!$B:$Z,5,0),"")</f>
        <v>백화점</v>
      </c>
      <c r="E32" s="46" t="str">
        <f>IFERROR(VLOOKUP($H32,매장구분!$B:$Z,9,0),"")</f>
        <v>롯데구리</v>
      </c>
      <c r="F32" s="58"/>
      <c r="G32" s="59" t="s">
        <v>232</v>
      </c>
      <c r="H32" s="60" t="s">
        <v>233</v>
      </c>
      <c r="I32" s="60" t="s">
        <v>169</v>
      </c>
      <c r="J32" s="60" t="s">
        <v>175</v>
      </c>
      <c r="K32" s="60" t="s">
        <v>170</v>
      </c>
      <c r="L32" s="60" t="s">
        <v>171</v>
      </c>
      <c r="M32" s="60" t="s">
        <v>77</v>
      </c>
      <c r="N32" s="60" t="s">
        <v>172</v>
      </c>
      <c r="O32" s="60">
        <v>45437787</v>
      </c>
      <c r="P32" s="60">
        <v>494</v>
      </c>
      <c r="Q32" s="60">
        <v>8760400</v>
      </c>
      <c r="R32" s="60">
        <v>118</v>
      </c>
      <c r="S32" s="60">
        <v>0</v>
      </c>
      <c r="T32" s="60">
        <v>0</v>
      </c>
      <c r="U32" s="60">
        <v>8294333</v>
      </c>
      <c r="V32" s="60">
        <v>61</v>
      </c>
      <c r="W32" s="60">
        <v>0</v>
      </c>
      <c r="X32" s="60">
        <v>0</v>
      </c>
      <c r="Y32" s="61">
        <v>10107900</v>
      </c>
      <c r="Z32" s="60">
        <v>62</v>
      </c>
      <c r="AA32" s="60">
        <v>0</v>
      </c>
      <c r="AB32" s="60">
        <v>0</v>
      </c>
      <c r="AC32" s="60">
        <v>72600420</v>
      </c>
      <c r="AD32" s="62">
        <v>735</v>
      </c>
      <c r="AF32" s="47">
        <f t="shared" si="0"/>
        <v>62492520</v>
      </c>
    </row>
    <row r="33" spans="2:32" x14ac:dyDescent="0.3">
      <c r="B33" s="46" t="str">
        <f>IFERROR(VLOOKUP($H33,매장구분!$B:$Z,2,0),"")</f>
        <v>파트너채널팀</v>
      </c>
      <c r="C33" s="46" t="str">
        <f>IFERROR(VLOOKUP($H33,매장구분!$B:$Z,3,0),"")</f>
        <v>국내</v>
      </c>
      <c r="D33" s="46" t="str">
        <f>IFERROR(VLOOKUP($H33,매장구분!$B:$Z,5,0),"")</f>
        <v>백화점</v>
      </c>
      <c r="E33" s="46" t="str">
        <f>IFERROR(VLOOKUP($H33,매장구분!$B:$Z,9,0),"")</f>
        <v>현대판교</v>
      </c>
      <c r="F33" s="53"/>
      <c r="G33" s="54" t="s">
        <v>257</v>
      </c>
      <c r="H33" s="55" t="s">
        <v>258</v>
      </c>
      <c r="I33" s="55" t="s">
        <v>169</v>
      </c>
      <c r="J33" s="55" t="s">
        <v>175</v>
      </c>
      <c r="K33" s="55" t="s">
        <v>170</v>
      </c>
      <c r="L33" s="55" t="s">
        <v>171</v>
      </c>
      <c r="M33" s="55" t="s">
        <v>77</v>
      </c>
      <c r="N33" s="55" t="s">
        <v>172</v>
      </c>
      <c r="O33" s="55">
        <v>74155190</v>
      </c>
      <c r="P33" s="55">
        <v>743</v>
      </c>
      <c r="Q33" s="55">
        <v>9322000</v>
      </c>
      <c r="R33" s="55">
        <v>62</v>
      </c>
      <c r="S33" s="55">
        <v>0</v>
      </c>
      <c r="T33" s="55">
        <v>0</v>
      </c>
      <c r="U33" s="55">
        <v>8476740</v>
      </c>
      <c r="V33" s="55">
        <v>50</v>
      </c>
      <c r="W33" s="55">
        <v>0</v>
      </c>
      <c r="X33" s="55">
        <v>0</v>
      </c>
      <c r="Y33" s="56">
        <v>173625000</v>
      </c>
      <c r="Z33" s="55">
        <v>1241</v>
      </c>
      <c r="AA33" s="55">
        <v>0</v>
      </c>
      <c r="AB33" s="55">
        <v>0</v>
      </c>
      <c r="AC33" s="55">
        <v>265578930</v>
      </c>
      <c r="AD33" s="57">
        <v>2096</v>
      </c>
      <c r="AF33" s="47">
        <f t="shared" si="0"/>
        <v>91953930</v>
      </c>
    </row>
    <row r="34" spans="2:32" x14ac:dyDescent="0.3">
      <c r="B34" s="46" t="str">
        <f>IFERROR(VLOOKUP($H34,매장구분!$B:$Z,2,0),"")</f>
        <v>파트너채널팀</v>
      </c>
      <c r="C34" s="46" t="str">
        <f>IFERROR(VLOOKUP($H34,매장구분!$B:$Z,3,0),"")</f>
        <v>국내</v>
      </c>
      <c r="D34" s="46" t="str">
        <f>IFERROR(VLOOKUP($H34,매장구분!$B:$Z,5,0),"")</f>
        <v>백화점</v>
      </c>
      <c r="E34" s="46" t="str">
        <f>IFERROR(VLOOKUP($H34,매장구분!$B:$Z,9,0),"")</f>
        <v>모다아울렛천안</v>
      </c>
      <c r="F34" s="58"/>
      <c r="G34" s="59" t="s">
        <v>267</v>
      </c>
      <c r="H34" s="60" t="s">
        <v>268</v>
      </c>
      <c r="I34" s="60" t="s">
        <v>169</v>
      </c>
      <c r="J34" s="60" t="s">
        <v>175</v>
      </c>
      <c r="K34" s="60" t="s">
        <v>170</v>
      </c>
      <c r="L34" s="60" t="s">
        <v>171</v>
      </c>
      <c r="M34" s="60" t="s">
        <v>77</v>
      </c>
      <c r="N34" s="60" t="s">
        <v>238</v>
      </c>
      <c r="O34" s="60">
        <v>39375522</v>
      </c>
      <c r="P34" s="60">
        <v>429</v>
      </c>
      <c r="Q34" s="60">
        <v>0</v>
      </c>
      <c r="R34" s="60">
        <v>0</v>
      </c>
      <c r="S34" s="60">
        <v>0</v>
      </c>
      <c r="T34" s="60">
        <v>0</v>
      </c>
      <c r="U34" s="60">
        <v>4205078</v>
      </c>
      <c r="V34" s="60">
        <v>24</v>
      </c>
      <c r="W34" s="60">
        <v>0</v>
      </c>
      <c r="X34" s="60">
        <v>0</v>
      </c>
      <c r="Y34" s="61">
        <v>0</v>
      </c>
      <c r="Z34" s="60">
        <v>0</v>
      </c>
      <c r="AA34" s="60">
        <v>0</v>
      </c>
      <c r="AB34" s="60">
        <v>0</v>
      </c>
      <c r="AC34" s="60">
        <v>43580600</v>
      </c>
      <c r="AD34" s="62">
        <v>453</v>
      </c>
      <c r="AF34" s="47">
        <f t="shared" si="0"/>
        <v>43580600</v>
      </c>
    </row>
    <row r="35" spans="2:32" x14ac:dyDescent="0.3">
      <c r="B35" s="46" t="str">
        <f>IFERROR(VLOOKUP($H35,매장구분!$B:$Z,2,0),"")</f>
        <v>파트너채널팀</v>
      </c>
      <c r="C35" s="46" t="str">
        <f>IFERROR(VLOOKUP($H35,매장구분!$B:$Z,3,0),"")</f>
        <v>국내</v>
      </c>
      <c r="D35" s="46" t="str">
        <f>IFERROR(VLOOKUP($H35,매장구분!$B:$Z,5,0),"")</f>
        <v>백화점</v>
      </c>
      <c r="E35" s="46" t="str">
        <f>IFERROR(VLOOKUP($H35,매장구분!$B:$Z,9,0),"")</f>
        <v>AK평택</v>
      </c>
      <c r="F35" s="53"/>
      <c r="G35" s="54" t="s">
        <v>251</v>
      </c>
      <c r="H35" s="55" t="s">
        <v>252</v>
      </c>
      <c r="I35" s="55" t="s">
        <v>169</v>
      </c>
      <c r="J35" s="55" t="s">
        <v>175</v>
      </c>
      <c r="K35" s="55" t="s">
        <v>170</v>
      </c>
      <c r="L35" s="55" t="s">
        <v>171</v>
      </c>
      <c r="M35" s="55" t="s">
        <v>77</v>
      </c>
      <c r="N35" s="55" t="s">
        <v>172</v>
      </c>
      <c r="O35" s="55">
        <v>88590900</v>
      </c>
      <c r="P35" s="55">
        <v>925</v>
      </c>
      <c r="Q35" s="55">
        <v>0</v>
      </c>
      <c r="R35" s="55">
        <v>0</v>
      </c>
      <c r="S35" s="55">
        <v>0</v>
      </c>
      <c r="T35" s="55">
        <v>0</v>
      </c>
      <c r="U35" s="55">
        <v>4390700</v>
      </c>
      <c r="V35" s="55">
        <v>34</v>
      </c>
      <c r="W35" s="55">
        <v>0</v>
      </c>
      <c r="X35" s="55">
        <v>0</v>
      </c>
      <c r="Y35" s="56">
        <v>2071000</v>
      </c>
      <c r="Z35" s="55">
        <v>19</v>
      </c>
      <c r="AA35" s="55">
        <v>0</v>
      </c>
      <c r="AB35" s="55">
        <v>0</v>
      </c>
      <c r="AC35" s="55">
        <v>95052600</v>
      </c>
      <c r="AD35" s="57">
        <v>978</v>
      </c>
      <c r="AF35" s="47">
        <f t="shared" si="0"/>
        <v>92981600</v>
      </c>
    </row>
    <row r="36" spans="2:32" x14ac:dyDescent="0.3">
      <c r="B36" s="46" t="str">
        <f>IFERROR(VLOOKUP($H36,매장구분!$B:$Z,2,0),"")</f>
        <v>파트너채널팀</v>
      </c>
      <c r="C36" s="46" t="str">
        <f>IFERROR(VLOOKUP($H36,매장구분!$B:$Z,3,0),"")</f>
        <v>국내</v>
      </c>
      <c r="D36" s="46" t="str">
        <f>IFERROR(VLOOKUP($H36,매장구분!$B:$Z,5,0),"")</f>
        <v>백화점</v>
      </c>
      <c r="E36" s="46" t="str">
        <f>IFERROR(VLOOKUP($H36,매장구분!$B:$Z,9,0),"")</f>
        <v>모다아울렛대전</v>
      </c>
      <c r="F36" s="58"/>
      <c r="G36" s="59" t="s">
        <v>236</v>
      </c>
      <c r="H36" s="60" t="s">
        <v>237</v>
      </c>
      <c r="I36" s="60" t="s">
        <v>169</v>
      </c>
      <c r="J36" s="60" t="s">
        <v>175</v>
      </c>
      <c r="K36" s="60" t="s">
        <v>170</v>
      </c>
      <c r="L36" s="60" t="s">
        <v>171</v>
      </c>
      <c r="M36" s="60" t="s">
        <v>77</v>
      </c>
      <c r="N36" s="60" t="s">
        <v>238</v>
      </c>
      <c r="O36" s="60">
        <v>78843300</v>
      </c>
      <c r="P36" s="60">
        <v>675</v>
      </c>
      <c r="Q36" s="60">
        <v>0</v>
      </c>
      <c r="R36" s="60">
        <v>0</v>
      </c>
      <c r="S36" s="60">
        <v>0</v>
      </c>
      <c r="T36" s="60">
        <v>0</v>
      </c>
      <c r="U36" s="60">
        <v>6228400</v>
      </c>
      <c r="V36" s="60">
        <v>38</v>
      </c>
      <c r="W36" s="60">
        <v>0</v>
      </c>
      <c r="X36" s="60">
        <v>0</v>
      </c>
      <c r="Y36" s="61">
        <v>0</v>
      </c>
      <c r="Z36" s="60">
        <v>0</v>
      </c>
      <c r="AA36" s="60">
        <v>0</v>
      </c>
      <c r="AB36" s="60">
        <v>0</v>
      </c>
      <c r="AC36" s="60">
        <v>85071700</v>
      </c>
      <c r="AD36" s="62">
        <v>713</v>
      </c>
      <c r="AF36" s="47">
        <f t="shared" si="0"/>
        <v>85071700</v>
      </c>
    </row>
    <row r="37" spans="2:32" x14ac:dyDescent="0.3">
      <c r="B37" s="46" t="str">
        <f>IFERROR(VLOOKUP($H37,매장구분!$B:$Z,2,0),"")</f>
        <v>리테일채널팀</v>
      </c>
      <c r="C37" s="46" t="str">
        <f>IFERROR(VLOOKUP($H37,매장구분!$B:$Z,3,0),"")</f>
        <v>국내</v>
      </c>
      <c r="D37" s="46" t="str">
        <f>IFERROR(VLOOKUP($H37,매장구분!$B:$Z,5,0),"")</f>
        <v>대리점</v>
      </c>
      <c r="E37" s="46" t="str">
        <f>IFERROR(VLOOKUP($H37,매장구분!$B:$Z,9,0),"")</f>
        <v>오산(대-위)</v>
      </c>
      <c r="F37" s="53"/>
      <c r="G37" s="54" t="s">
        <v>226</v>
      </c>
      <c r="H37" s="55" t="s">
        <v>227</v>
      </c>
      <c r="I37" s="55" t="s">
        <v>169</v>
      </c>
      <c r="J37" s="55" t="s">
        <v>79</v>
      </c>
      <c r="K37" s="55" t="s">
        <v>170</v>
      </c>
      <c r="L37" s="55" t="s">
        <v>171</v>
      </c>
      <c r="M37" s="55" t="s">
        <v>196</v>
      </c>
      <c r="N37" s="55" t="s">
        <v>197</v>
      </c>
      <c r="O37" s="55">
        <v>63574227</v>
      </c>
      <c r="P37" s="55">
        <v>518</v>
      </c>
      <c r="Q37" s="55">
        <v>0</v>
      </c>
      <c r="R37" s="55">
        <v>0</v>
      </c>
      <c r="S37" s="55">
        <v>0</v>
      </c>
      <c r="T37" s="55">
        <v>0</v>
      </c>
      <c r="U37" s="55">
        <v>7773264</v>
      </c>
      <c r="V37" s="55">
        <v>42</v>
      </c>
      <c r="W37" s="55">
        <v>0</v>
      </c>
      <c r="X37" s="55">
        <v>0</v>
      </c>
      <c r="Y37" s="56">
        <v>0</v>
      </c>
      <c r="Z37" s="55">
        <v>0</v>
      </c>
      <c r="AA37" s="55">
        <v>0</v>
      </c>
      <c r="AB37" s="55">
        <v>0</v>
      </c>
      <c r="AC37" s="55">
        <v>71347491</v>
      </c>
      <c r="AD37" s="57">
        <v>560</v>
      </c>
      <c r="AF37" s="47">
        <f t="shared" si="0"/>
        <v>71347491</v>
      </c>
    </row>
    <row r="38" spans="2:32" x14ac:dyDescent="0.3">
      <c r="B38" s="46" t="str">
        <f>IFERROR(VLOOKUP($H38,매장구분!$B:$Z,2,0),"")</f>
        <v>파트너채널팀</v>
      </c>
      <c r="C38" s="46" t="str">
        <f>IFERROR(VLOOKUP($H38,매장구분!$B:$Z,3,0),"")</f>
        <v>국내</v>
      </c>
      <c r="D38" s="46" t="str">
        <f>IFERROR(VLOOKUP($H38,매장구분!$B:$Z,5,0),"")</f>
        <v>백화점</v>
      </c>
      <c r="E38" s="46" t="str">
        <f>IFERROR(VLOOKUP($H38,매장구분!$B:$Z,9,0),"")</f>
        <v>신세계하남</v>
      </c>
      <c r="F38" s="58"/>
      <c r="G38" s="59" t="s">
        <v>243</v>
      </c>
      <c r="H38" s="60" t="s">
        <v>244</v>
      </c>
      <c r="I38" s="60" t="s">
        <v>169</v>
      </c>
      <c r="J38" s="60" t="s">
        <v>175</v>
      </c>
      <c r="K38" s="60" t="s">
        <v>170</v>
      </c>
      <c r="L38" s="60" t="s">
        <v>171</v>
      </c>
      <c r="M38" s="60" t="s">
        <v>77</v>
      </c>
      <c r="N38" s="60" t="s">
        <v>172</v>
      </c>
      <c r="O38" s="60">
        <v>75481600</v>
      </c>
      <c r="P38" s="60">
        <v>731</v>
      </c>
      <c r="Q38" s="60">
        <v>7574000</v>
      </c>
      <c r="R38" s="60">
        <v>79</v>
      </c>
      <c r="S38" s="60">
        <v>0</v>
      </c>
      <c r="T38" s="60">
        <v>0</v>
      </c>
      <c r="U38" s="60">
        <v>9799100</v>
      </c>
      <c r="V38" s="60">
        <v>49</v>
      </c>
      <c r="W38" s="60">
        <v>0</v>
      </c>
      <c r="X38" s="60">
        <v>0</v>
      </c>
      <c r="Y38" s="61">
        <v>2034000</v>
      </c>
      <c r="Z38" s="60">
        <v>6</v>
      </c>
      <c r="AA38" s="60">
        <v>0</v>
      </c>
      <c r="AB38" s="60">
        <v>0</v>
      </c>
      <c r="AC38" s="60">
        <v>94888700</v>
      </c>
      <c r="AD38" s="62">
        <v>865</v>
      </c>
      <c r="AF38" s="47">
        <f t="shared" si="0"/>
        <v>92854700</v>
      </c>
    </row>
    <row r="39" spans="2:32" x14ac:dyDescent="0.3">
      <c r="B39" s="46" t="str">
        <f>IFERROR(VLOOKUP($H39,매장구분!$B:$Z,2,0),"")</f>
        <v>E-biz</v>
      </c>
      <c r="C39" s="46" t="str">
        <f>IFERROR(VLOOKUP($H39,매장구분!$B:$Z,3,0),"")</f>
        <v>국내</v>
      </c>
      <c r="D39" s="46" t="str">
        <f>IFERROR(VLOOKUP($H39,매장구분!$B:$Z,5,0),"")</f>
        <v>온(제휴몰)</v>
      </c>
      <c r="E39" s="46" t="str">
        <f>IFERROR(VLOOKUP($H39,매장구분!$B:$Z,9,0),"")</f>
        <v>롯데ON(제휴몰)</v>
      </c>
      <c r="F39" s="53"/>
      <c r="G39" s="54" t="s">
        <v>253</v>
      </c>
      <c r="H39" s="55" t="s">
        <v>254</v>
      </c>
      <c r="I39" s="55" t="s">
        <v>169</v>
      </c>
      <c r="J39" s="55" t="s">
        <v>180</v>
      </c>
      <c r="K39" s="55" t="s">
        <v>170</v>
      </c>
      <c r="L39" s="55" t="s">
        <v>181</v>
      </c>
      <c r="M39" s="55" t="s">
        <v>181</v>
      </c>
      <c r="N39" s="55" t="s">
        <v>185</v>
      </c>
      <c r="O39" s="55">
        <v>153542600</v>
      </c>
      <c r="P39" s="55">
        <v>1479</v>
      </c>
      <c r="Q39" s="55">
        <v>0</v>
      </c>
      <c r="R39" s="55">
        <v>0</v>
      </c>
      <c r="S39" s="55">
        <v>0</v>
      </c>
      <c r="T39" s="55">
        <v>0</v>
      </c>
      <c r="U39" s="55">
        <v>0</v>
      </c>
      <c r="V39" s="55">
        <v>0</v>
      </c>
      <c r="W39" s="55">
        <v>0</v>
      </c>
      <c r="X39" s="55">
        <v>0</v>
      </c>
      <c r="Y39" s="56">
        <v>0</v>
      </c>
      <c r="Z39" s="55">
        <v>0</v>
      </c>
      <c r="AA39" s="55">
        <v>0</v>
      </c>
      <c r="AB39" s="55">
        <v>0</v>
      </c>
      <c r="AC39" s="55">
        <v>153542600</v>
      </c>
      <c r="AD39" s="57">
        <v>1479</v>
      </c>
      <c r="AF39" s="47">
        <f t="shared" si="0"/>
        <v>153542600</v>
      </c>
    </row>
    <row r="40" spans="2:32" x14ac:dyDescent="0.3">
      <c r="B40" s="46" t="str">
        <f>IFERROR(VLOOKUP($H40,매장구분!$B:$Z,2,0),"")</f>
        <v>파트너채널팀</v>
      </c>
      <c r="C40" s="46" t="str">
        <f>IFERROR(VLOOKUP($H40,매장구분!$B:$Z,3,0),"")</f>
        <v>RF</v>
      </c>
      <c r="D40" s="46" t="str">
        <f>IFERROR(VLOOKUP($H40,매장구분!$B:$Z,5,0),"")</f>
        <v>백화점</v>
      </c>
      <c r="E40" s="46" t="str">
        <f>IFERROR(VLOOKUP($H40,매장구분!$B:$Z,9,0),"")</f>
        <v>롯데본점</v>
      </c>
      <c r="F40" s="58"/>
      <c r="G40" s="59" t="s">
        <v>269</v>
      </c>
      <c r="H40" s="60" t="s">
        <v>270</v>
      </c>
      <c r="I40" s="60" t="s">
        <v>169</v>
      </c>
      <c r="J40" s="60" t="s">
        <v>175</v>
      </c>
      <c r="K40" s="60" t="s">
        <v>170</v>
      </c>
      <c r="L40" s="60" t="s">
        <v>171</v>
      </c>
      <c r="M40" s="60" t="s">
        <v>77</v>
      </c>
      <c r="N40" s="60" t="s">
        <v>172</v>
      </c>
      <c r="O40" s="60">
        <v>52717800</v>
      </c>
      <c r="P40" s="60">
        <v>795</v>
      </c>
      <c r="Q40" s="60">
        <v>2052000</v>
      </c>
      <c r="R40" s="60">
        <v>38</v>
      </c>
      <c r="S40" s="60">
        <v>0</v>
      </c>
      <c r="T40" s="60">
        <v>0</v>
      </c>
      <c r="U40" s="60">
        <v>0</v>
      </c>
      <c r="V40" s="60">
        <v>0</v>
      </c>
      <c r="W40" s="60">
        <v>0</v>
      </c>
      <c r="X40" s="60">
        <v>0</v>
      </c>
      <c r="Y40" s="61">
        <v>432242500</v>
      </c>
      <c r="Z40" s="60">
        <v>2770</v>
      </c>
      <c r="AA40" s="60">
        <v>0</v>
      </c>
      <c r="AB40" s="60">
        <v>0</v>
      </c>
      <c r="AC40" s="60">
        <v>487012300</v>
      </c>
      <c r="AD40" s="62">
        <v>3603</v>
      </c>
      <c r="AF40" s="47">
        <f t="shared" si="0"/>
        <v>54769800</v>
      </c>
    </row>
    <row r="41" spans="2:32" x14ac:dyDescent="0.3">
      <c r="B41" s="46" t="str">
        <f>IFERROR(VLOOKUP($H41,매장구분!$B:$Z,2,0),"")</f>
        <v>파트너채널팀</v>
      </c>
      <c r="C41" s="46" t="str">
        <f>IFERROR(VLOOKUP($H41,매장구분!$B:$Z,3,0),"")</f>
        <v>국내</v>
      </c>
      <c r="D41" s="46" t="str">
        <f>IFERROR(VLOOKUP($H41,매장구분!$B:$Z,5,0),"")</f>
        <v>백화점</v>
      </c>
      <c r="E41" s="46" t="str">
        <f>IFERROR(VLOOKUP($H41,매장구분!$B:$Z,9,0),"")</f>
        <v>롯데강남</v>
      </c>
      <c r="F41" s="53"/>
      <c r="G41" s="54" t="s">
        <v>275</v>
      </c>
      <c r="H41" s="55" t="s">
        <v>276</v>
      </c>
      <c r="I41" s="55" t="s">
        <v>169</v>
      </c>
      <c r="J41" s="55" t="s">
        <v>175</v>
      </c>
      <c r="K41" s="55" t="s">
        <v>170</v>
      </c>
      <c r="L41" s="55" t="s">
        <v>171</v>
      </c>
      <c r="M41" s="55" t="s">
        <v>77</v>
      </c>
      <c r="N41" s="55" t="s">
        <v>172</v>
      </c>
      <c r="O41" s="55">
        <v>27408700</v>
      </c>
      <c r="P41" s="55">
        <v>299</v>
      </c>
      <c r="Q41" s="55">
        <v>12375000</v>
      </c>
      <c r="R41" s="55">
        <v>125</v>
      </c>
      <c r="S41" s="55">
        <v>0</v>
      </c>
      <c r="T41" s="55">
        <v>0</v>
      </c>
      <c r="U41" s="55">
        <v>6452600</v>
      </c>
      <c r="V41" s="55">
        <v>38</v>
      </c>
      <c r="W41" s="55">
        <v>0</v>
      </c>
      <c r="X41" s="55">
        <v>0</v>
      </c>
      <c r="Y41" s="56">
        <v>0</v>
      </c>
      <c r="Z41" s="55">
        <v>0</v>
      </c>
      <c r="AA41" s="55">
        <v>0</v>
      </c>
      <c r="AB41" s="55">
        <v>0</v>
      </c>
      <c r="AC41" s="55">
        <v>46236300</v>
      </c>
      <c r="AD41" s="57">
        <v>462</v>
      </c>
      <c r="AF41" s="47">
        <f t="shared" si="0"/>
        <v>46236300</v>
      </c>
    </row>
    <row r="42" spans="2:32" x14ac:dyDescent="0.3">
      <c r="B42" s="46" t="str">
        <f>IFERROR(VLOOKUP($H42,매장구분!$B:$Z,2,0),"")</f>
        <v>파트너채널팀</v>
      </c>
      <c r="C42" s="46" t="str">
        <f>IFERROR(VLOOKUP($H42,매장구분!$B:$Z,3,0),"")</f>
        <v>국내</v>
      </c>
      <c r="D42" s="46" t="str">
        <f>IFERROR(VLOOKUP($H42,매장구분!$B:$Z,5,0),"")</f>
        <v>백화점</v>
      </c>
      <c r="E42" s="46" t="str">
        <f>IFERROR(VLOOKUP($H42,매장구분!$B:$Z,9,0),"")</f>
        <v>롯데동래</v>
      </c>
      <c r="F42" s="58"/>
      <c r="G42" s="59" t="s">
        <v>239</v>
      </c>
      <c r="H42" s="60" t="s">
        <v>240</v>
      </c>
      <c r="I42" s="60" t="s">
        <v>169</v>
      </c>
      <c r="J42" s="60" t="s">
        <v>175</v>
      </c>
      <c r="K42" s="60" t="s">
        <v>170</v>
      </c>
      <c r="L42" s="60" t="s">
        <v>171</v>
      </c>
      <c r="M42" s="60" t="s">
        <v>77</v>
      </c>
      <c r="N42" s="60" t="s">
        <v>172</v>
      </c>
      <c r="O42" s="60">
        <v>81418674</v>
      </c>
      <c r="P42" s="60">
        <v>683</v>
      </c>
      <c r="Q42" s="60">
        <v>0</v>
      </c>
      <c r="R42" s="60">
        <v>0</v>
      </c>
      <c r="S42" s="60">
        <v>0</v>
      </c>
      <c r="T42" s="60">
        <v>0</v>
      </c>
      <c r="U42" s="60">
        <v>10166126</v>
      </c>
      <c r="V42" s="60">
        <v>60</v>
      </c>
      <c r="W42" s="60">
        <v>0</v>
      </c>
      <c r="X42" s="60">
        <v>0</v>
      </c>
      <c r="Y42" s="61">
        <v>47468000</v>
      </c>
      <c r="Z42" s="60">
        <v>447</v>
      </c>
      <c r="AA42" s="60">
        <v>0</v>
      </c>
      <c r="AB42" s="60">
        <v>0</v>
      </c>
      <c r="AC42" s="60">
        <v>139052800</v>
      </c>
      <c r="AD42" s="62">
        <v>1190</v>
      </c>
      <c r="AF42" s="47">
        <f t="shared" si="0"/>
        <v>91584800</v>
      </c>
    </row>
    <row r="43" spans="2:32" x14ac:dyDescent="0.3">
      <c r="B43" s="46" t="str">
        <f>IFERROR(VLOOKUP($H43,매장구분!$B:$Z,2,0),"")</f>
        <v>리테일채널팀</v>
      </c>
      <c r="C43" s="46" t="str">
        <f>IFERROR(VLOOKUP($H43,매장구분!$B:$Z,3,0),"")</f>
        <v>국내</v>
      </c>
      <c r="D43" s="46" t="str">
        <f>IFERROR(VLOOKUP($H43,매장구분!$B:$Z,5,0),"")</f>
        <v>대리점</v>
      </c>
      <c r="E43" s="46" t="str">
        <f>IFERROR(VLOOKUP($H43,매장구분!$B:$Z,9,0),"")</f>
        <v>원주(대-위)</v>
      </c>
      <c r="F43" s="53"/>
      <c r="G43" s="54" t="s">
        <v>224</v>
      </c>
      <c r="H43" s="55" t="s">
        <v>225</v>
      </c>
      <c r="I43" s="55" t="s">
        <v>169</v>
      </c>
      <c r="J43" s="55" t="s">
        <v>79</v>
      </c>
      <c r="K43" s="55" t="s">
        <v>170</v>
      </c>
      <c r="L43" s="55" t="s">
        <v>171</v>
      </c>
      <c r="M43" s="55" t="s">
        <v>196</v>
      </c>
      <c r="N43" s="55" t="s">
        <v>197</v>
      </c>
      <c r="O43" s="55">
        <v>98661868</v>
      </c>
      <c r="P43" s="55">
        <v>788</v>
      </c>
      <c r="Q43" s="55">
        <v>0</v>
      </c>
      <c r="R43" s="55">
        <v>0</v>
      </c>
      <c r="S43" s="55">
        <v>0</v>
      </c>
      <c r="T43" s="55">
        <v>0</v>
      </c>
      <c r="U43" s="55">
        <v>7854688</v>
      </c>
      <c r="V43" s="55">
        <v>33</v>
      </c>
      <c r="W43" s="55">
        <v>0</v>
      </c>
      <c r="X43" s="55">
        <v>0</v>
      </c>
      <c r="Y43" s="56">
        <v>0</v>
      </c>
      <c r="Z43" s="55">
        <v>0</v>
      </c>
      <c r="AA43" s="55">
        <v>0</v>
      </c>
      <c r="AB43" s="55">
        <v>0</v>
      </c>
      <c r="AC43" s="55">
        <v>106516556</v>
      </c>
      <c r="AD43" s="57">
        <v>821</v>
      </c>
      <c r="AF43" s="47">
        <f t="shared" si="0"/>
        <v>106516556</v>
      </c>
    </row>
    <row r="44" spans="2:32" x14ac:dyDescent="0.3">
      <c r="B44" s="46" t="str">
        <f>IFERROR(VLOOKUP($H44,매장구분!$B:$Z,2,0),"")</f>
        <v>리테일채널팀</v>
      </c>
      <c r="C44" s="46" t="str">
        <f>IFERROR(VLOOKUP($H44,매장구분!$B:$Z,3,0),"")</f>
        <v>국내</v>
      </c>
      <c r="D44" s="46" t="str">
        <f>IFERROR(VLOOKUP($H44,매장구분!$B:$Z,5,0),"")</f>
        <v>대리점</v>
      </c>
      <c r="E44" s="46" t="str">
        <f>IFERROR(VLOOKUP($H44,매장구분!$B:$Z,9,0),"")</f>
        <v>울산무거(대-위)</v>
      </c>
      <c r="F44" s="58"/>
      <c r="G44" s="59" t="s">
        <v>241</v>
      </c>
      <c r="H44" s="60" t="s">
        <v>242</v>
      </c>
      <c r="I44" s="60" t="s">
        <v>169</v>
      </c>
      <c r="J44" s="60" t="s">
        <v>79</v>
      </c>
      <c r="K44" s="60" t="s">
        <v>170</v>
      </c>
      <c r="L44" s="60" t="s">
        <v>171</v>
      </c>
      <c r="M44" s="60" t="s">
        <v>196</v>
      </c>
      <c r="N44" s="60" t="s">
        <v>197</v>
      </c>
      <c r="O44" s="60">
        <v>20332286</v>
      </c>
      <c r="P44" s="60">
        <v>214</v>
      </c>
      <c r="Q44" s="60">
        <v>0</v>
      </c>
      <c r="R44" s="60">
        <v>0</v>
      </c>
      <c r="S44" s="60">
        <v>0</v>
      </c>
      <c r="T44" s="60">
        <v>0</v>
      </c>
      <c r="U44" s="60">
        <v>26322414</v>
      </c>
      <c r="V44" s="60">
        <v>162</v>
      </c>
      <c r="W44" s="60">
        <v>0</v>
      </c>
      <c r="X44" s="60">
        <v>0</v>
      </c>
      <c r="Y44" s="61">
        <v>235800</v>
      </c>
      <c r="Z44" s="60">
        <v>2</v>
      </c>
      <c r="AA44" s="60">
        <v>0</v>
      </c>
      <c r="AB44" s="60">
        <v>0</v>
      </c>
      <c r="AC44" s="60">
        <v>46890500</v>
      </c>
      <c r="AD44" s="62">
        <v>378</v>
      </c>
      <c r="AF44" s="47">
        <f t="shared" si="0"/>
        <v>46654700</v>
      </c>
    </row>
    <row r="45" spans="2:32" x14ac:dyDescent="0.3">
      <c r="B45" s="46" t="str">
        <f>IFERROR(VLOOKUP($H45,매장구분!$B:$Z,2,0),"")</f>
        <v>파트너채널팀</v>
      </c>
      <c r="C45" s="46" t="str">
        <f>IFERROR(VLOOKUP($H45,매장구분!$B:$Z,3,0),"")</f>
        <v>국내</v>
      </c>
      <c r="D45" s="46" t="str">
        <f>IFERROR(VLOOKUP($H45,매장구분!$B:$Z,5,0),"")</f>
        <v>백화점</v>
      </c>
      <c r="E45" s="46" t="str">
        <f>IFERROR(VLOOKUP($H45,매장구분!$B:$Z,9,0),"")</f>
        <v>신세계천안아산</v>
      </c>
      <c r="F45" s="53"/>
      <c r="G45" s="54" t="s">
        <v>271</v>
      </c>
      <c r="H45" s="55" t="s">
        <v>272</v>
      </c>
      <c r="I45" s="55" t="s">
        <v>169</v>
      </c>
      <c r="J45" s="55" t="s">
        <v>175</v>
      </c>
      <c r="K45" s="55" t="s">
        <v>170</v>
      </c>
      <c r="L45" s="55" t="s">
        <v>171</v>
      </c>
      <c r="M45" s="55" t="s">
        <v>77</v>
      </c>
      <c r="N45" s="55" t="s">
        <v>172</v>
      </c>
      <c r="O45" s="55">
        <v>79227140</v>
      </c>
      <c r="P45" s="55">
        <v>819</v>
      </c>
      <c r="Q45" s="55">
        <v>0</v>
      </c>
      <c r="R45" s="55">
        <v>0</v>
      </c>
      <c r="S45" s="55">
        <v>0</v>
      </c>
      <c r="T45" s="55">
        <v>0</v>
      </c>
      <c r="U45" s="55">
        <v>12532660</v>
      </c>
      <c r="V45" s="55">
        <v>66</v>
      </c>
      <c r="W45" s="55">
        <v>0</v>
      </c>
      <c r="X45" s="55">
        <v>0</v>
      </c>
      <c r="Y45" s="56">
        <v>0</v>
      </c>
      <c r="Z45" s="55">
        <v>0</v>
      </c>
      <c r="AA45" s="55">
        <v>0</v>
      </c>
      <c r="AB45" s="55">
        <v>0</v>
      </c>
      <c r="AC45" s="55">
        <v>91759800</v>
      </c>
      <c r="AD45" s="57">
        <v>885</v>
      </c>
      <c r="AF45" s="47">
        <f t="shared" si="0"/>
        <v>91759800</v>
      </c>
    </row>
    <row r="46" spans="2:32" x14ac:dyDescent="0.3">
      <c r="B46" s="46" t="str">
        <f>IFERROR(VLOOKUP($H46,매장구분!$B:$Z,2,0),"")</f>
        <v>파트너채널팀</v>
      </c>
      <c r="C46" s="46" t="str">
        <f>IFERROR(VLOOKUP($H46,매장구분!$B:$Z,3,0),"")</f>
        <v>국내</v>
      </c>
      <c r="D46" s="46" t="str">
        <f>IFERROR(VLOOKUP($H46,매장구분!$B:$Z,5,0),"")</f>
        <v>백화점</v>
      </c>
      <c r="E46" s="46" t="str">
        <f>IFERROR(VLOOKUP($H46,매장구분!$B:$Z,9,0),"")</f>
        <v>갤러리아광교</v>
      </c>
      <c r="F46" s="58"/>
      <c r="G46" s="59" t="s">
        <v>261</v>
      </c>
      <c r="H46" s="60" t="s">
        <v>262</v>
      </c>
      <c r="I46" s="60" t="s">
        <v>169</v>
      </c>
      <c r="J46" s="60" t="s">
        <v>175</v>
      </c>
      <c r="K46" s="60" t="s">
        <v>170</v>
      </c>
      <c r="L46" s="60" t="s">
        <v>171</v>
      </c>
      <c r="M46" s="60" t="s">
        <v>77</v>
      </c>
      <c r="N46" s="60" t="s">
        <v>172</v>
      </c>
      <c r="O46" s="60">
        <v>20561800</v>
      </c>
      <c r="P46" s="60">
        <v>216</v>
      </c>
      <c r="Q46" s="60">
        <v>10951100</v>
      </c>
      <c r="R46" s="60">
        <v>151</v>
      </c>
      <c r="S46" s="60">
        <v>0</v>
      </c>
      <c r="T46" s="60">
        <v>0</v>
      </c>
      <c r="U46" s="60">
        <v>1283000</v>
      </c>
      <c r="V46" s="60">
        <v>7</v>
      </c>
      <c r="W46" s="60">
        <v>0</v>
      </c>
      <c r="X46" s="60">
        <v>0</v>
      </c>
      <c r="Y46" s="61">
        <v>35720000</v>
      </c>
      <c r="Z46" s="60">
        <v>242</v>
      </c>
      <c r="AA46" s="60">
        <v>0</v>
      </c>
      <c r="AB46" s="60">
        <v>0</v>
      </c>
      <c r="AC46" s="60">
        <v>68515900</v>
      </c>
      <c r="AD46" s="62">
        <v>616</v>
      </c>
      <c r="AF46" s="47">
        <f t="shared" si="0"/>
        <v>32795900</v>
      </c>
    </row>
    <row r="47" spans="2:32" x14ac:dyDescent="0.3">
      <c r="B47" s="46" t="str">
        <f>IFERROR(VLOOKUP($H47,매장구분!$B:$Z,2,0),"")</f>
        <v>E-biz</v>
      </c>
      <c r="C47" s="46" t="str">
        <f>IFERROR(VLOOKUP($H47,매장구분!$B:$Z,3,0),"")</f>
        <v>국내</v>
      </c>
      <c r="D47" s="46" t="str">
        <f>IFERROR(VLOOKUP($H47,매장구분!$B:$Z,5,0),"")</f>
        <v>온(제휴몰)</v>
      </c>
      <c r="E47" s="46" t="str">
        <f>IFERROR(VLOOKUP($H47,매장구분!$B:$Z,9,0),"")</f>
        <v>MLB 글로벌</v>
      </c>
      <c r="F47" s="53"/>
      <c r="G47" s="54" t="s">
        <v>578</v>
      </c>
      <c r="H47" s="55" t="s">
        <v>579</v>
      </c>
      <c r="I47" s="55" t="s">
        <v>169</v>
      </c>
      <c r="J47" s="55" t="s">
        <v>180</v>
      </c>
      <c r="K47" s="55" t="s">
        <v>170</v>
      </c>
      <c r="L47" s="55" t="s">
        <v>181</v>
      </c>
      <c r="M47" s="55" t="s">
        <v>181</v>
      </c>
      <c r="N47" s="55" t="s">
        <v>182</v>
      </c>
      <c r="O47" s="55">
        <v>7048129</v>
      </c>
      <c r="P47" s="55">
        <v>63</v>
      </c>
      <c r="Q47" s="55">
        <v>0</v>
      </c>
      <c r="R47" s="55">
        <v>0</v>
      </c>
      <c r="S47" s="55">
        <v>0</v>
      </c>
      <c r="T47" s="55">
        <v>0</v>
      </c>
      <c r="U47" s="55">
        <v>0</v>
      </c>
      <c r="V47" s="55">
        <v>0</v>
      </c>
      <c r="W47" s="55">
        <v>0</v>
      </c>
      <c r="X47" s="55">
        <v>0</v>
      </c>
      <c r="Y47" s="56">
        <v>0</v>
      </c>
      <c r="Z47" s="55">
        <v>0</v>
      </c>
      <c r="AA47" s="55">
        <v>0</v>
      </c>
      <c r="AB47" s="55">
        <v>0</v>
      </c>
      <c r="AC47" s="55">
        <v>7048129</v>
      </c>
      <c r="AD47" s="57">
        <v>63</v>
      </c>
      <c r="AF47" s="47">
        <f t="shared" si="0"/>
        <v>7048129</v>
      </c>
    </row>
    <row r="48" spans="2:32" x14ac:dyDescent="0.3">
      <c r="B48" s="46" t="str">
        <f>IFERROR(VLOOKUP($H48,매장구분!$B:$Z,2,0),"")</f>
        <v>리테일채널팀</v>
      </c>
      <c r="C48" s="46" t="str">
        <f>IFERROR(VLOOKUP($H48,매장구분!$B:$Z,3,0),"")</f>
        <v>국내</v>
      </c>
      <c r="D48" s="46" t="str">
        <f>IFERROR(VLOOKUP($H48,매장구분!$B:$Z,5,0),"")</f>
        <v>직영점</v>
      </c>
      <c r="E48" s="46" t="str">
        <f>IFERROR(VLOOKUP($H48,매장구분!$B:$Z,9,0),"")</f>
        <v>트리플스트리트(직)</v>
      </c>
      <c r="F48" s="58"/>
      <c r="G48" s="59" t="s">
        <v>576</v>
      </c>
      <c r="H48" s="60" t="s">
        <v>577</v>
      </c>
      <c r="I48" s="60" t="s">
        <v>169</v>
      </c>
      <c r="J48" s="60" t="s">
        <v>180</v>
      </c>
      <c r="K48" s="60" t="s">
        <v>170</v>
      </c>
      <c r="L48" s="60" t="s">
        <v>171</v>
      </c>
      <c r="M48" s="60" t="s">
        <v>188</v>
      </c>
      <c r="N48" s="60" t="s">
        <v>317</v>
      </c>
      <c r="O48" s="60">
        <v>60215540</v>
      </c>
      <c r="P48" s="60">
        <v>730</v>
      </c>
      <c r="Q48" s="60">
        <v>0</v>
      </c>
      <c r="R48" s="60">
        <v>0</v>
      </c>
      <c r="S48" s="60">
        <v>0</v>
      </c>
      <c r="T48" s="60">
        <v>0</v>
      </c>
      <c r="U48" s="60">
        <v>6399008</v>
      </c>
      <c r="V48" s="60">
        <v>35</v>
      </c>
      <c r="W48" s="60">
        <v>0</v>
      </c>
      <c r="X48" s="60">
        <v>0</v>
      </c>
      <c r="Y48" s="61">
        <v>0</v>
      </c>
      <c r="Z48" s="60">
        <v>0</v>
      </c>
      <c r="AA48" s="60">
        <v>0</v>
      </c>
      <c r="AB48" s="60">
        <v>0</v>
      </c>
      <c r="AC48" s="60">
        <v>66614548</v>
      </c>
      <c r="AD48" s="62">
        <v>765</v>
      </c>
      <c r="AF48" s="47">
        <f t="shared" si="0"/>
        <v>66614548</v>
      </c>
    </row>
    <row r="49" spans="2:32" x14ac:dyDescent="0.3">
      <c r="B49" s="46" t="str">
        <f>IFERROR(VLOOKUP($H49,매장구분!$B:$Z,2,0),"")</f>
        <v>파트너채널팀</v>
      </c>
      <c r="C49" s="46" t="str">
        <f>IFERROR(VLOOKUP($H49,매장구분!$B:$Z,3,0),"")</f>
        <v>국내</v>
      </c>
      <c r="D49" s="46" t="str">
        <f>IFERROR(VLOOKUP($H49,매장구분!$B:$Z,5,0),"")</f>
        <v>백화점</v>
      </c>
      <c r="E49" s="46" t="str">
        <f>IFERROR(VLOOKUP($H49,매장구분!$B:$Z,9,0),"")</f>
        <v>롯데포항</v>
      </c>
      <c r="F49" s="53"/>
      <c r="G49" s="54" t="s">
        <v>249</v>
      </c>
      <c r="H49" s="55" t="s">
        <v>250</v>
      </c>
      <c r="I49" s="55" t="s">
        <v>169</v>
      </c>
      <c r="J49" s="55" t="s">
        <v>175</v>
      </c>
      <c r="K49" s="55" t="s">
        <v>170</v>
      </c>
      <c r="L49" s="55" t="s">
        <v>171</v>
      </c>
      <c r="M49" s="55" t="s">
        <v>77</v>
      </c>
      <c r="N49" s="55" t="s">
        <v>172</v>
      </c>
      <c r="O49" s="55">
        <v>48824180</v>
      </c>
      <c r="P49" s="55">
        <v>457</v>
      </c>
      <c r="Q49" s="55">
        <v>0</v>
      </c>
      <c r="R49" s="55">
        <v>0</v>
      </c>
      <c r="S49" s="55">
        <v>0</v>
      </c>
      <c r="T49" s="55">
        <v>0</v>
      </c>
      <c r="U49" s="55">
        <v>11343930</v>
      </c>
      <c r="V49" s="55">
        <v>70</v>
      </c>
      <c r="W49" s="55">
        <v>0</v>
      </c>
      <c r="X49" s="55">
        <v>0</v>
      </c>
      <c r="Y49" s="56">
        <v>0</v>
      </c>
      <c r="Z49" s="55">
        <v>0</v>
      </c>
      <c r="AA49" s="55">
        <v>0</v>
      </c>
      <c r="AB49" s="55">
        <v>0</v>
      </c>
      <c r="AC49" s="55">
        <v>60168110</v>
      </c>
      <c r="AD49" s="57">
        <v>527</v>
      </c>
      <c r="AF49" s="47">
        <f t="shared" si="0"/>
        <v>60168110</v>
      </c>
    </row>
    <row r="50" spans="2:32" x14ac:dyDescent="0.3">
      <c r="B50" s="46" t="str">
        <f>IFERROR(VLOOKUP($H50,매장구분!$B:$Z,2,0),"")</f>
        <v>파트너채널팀</v>
      </c>
      <c r="C50" s="46" t="str">
        <f>IFERROR(VLOOKUP($H50,매장구분!$B:$Z,3,0),"")</f>
        <v>국내</v>
      </c>
      <c r="D50" s="46" t="str">
        <f>IFERROR(VLOOKUP($H50,매장구분!$B:$Z,5,0),"")</f>
        <v>백화점</v>
      </c>
      <c r="E50" s="46" t="str">
        <f>IFERROR(VLOOKUP($H50,매장구분!$B:$Z,9,0),"")</f>
        <v>신세계강남</v>
      </c>
      <c r="F50" s="58"/>
      <c r="G50" s="59" t="s">
        <v>234</v>
      </c>
      <c r="H50" s="60" t="s">
        <v>235</v>
      </c>
      <c r="I50" s="60" t="s">
        <v>169</v>
      </c>
      <c r="J50" s="60" t="s">
        <v>175</v>
      </c>
      <c r="K50" s="60" t="s">
        <v>170</v>
      </c>
      <c r="L50" s="60" t="s">
        <v>171</v>
      </c>
      <c r="M50" s="60" t="s">
        <v>77</v>
      </c>
      <c r="N50" s="60" t="s">
        <v>172</v>
      </c>
      <c r="O50" s="60">
        <v>155777257</v>
      </c>
      <c r="P50" s="60">
        <v>1492</v>
      </c>
      <c r="Q50" s="60">
        <v>64639000</v>
      </c>
      <c r="R50" s="60">
        <v>636</v>
      </c>
      <c r="S50" s="60">
        <v>0</v>
      </c>
      <c r="T50" s="60">
        <v>0</v>
      </c>
      <c r="U50" s="60">
        <v>13263653</v>
      </c>
      <c r="V50" s="60">
        <v>86</v>
      </c>
      <c r="W50" s="60">
        <v>0</v>
      </c>
      <c r="X50" s="60">
        <v>0</v>
      </c>
      <c r="Y50" s="61">
        <v>0</v>
      </c>
      <c r="Z50" s="60">
        <v>0</v>
      </c>
      <c r="AA50" s="60">
        <v>0</v>
      </c>
      <c r="AB50" s="60">
        <v>0</v>
      </c>
      <c r="AC50" s="60">
        <v>233679910</v>
      </c>
      <c r="AD50" s="62">
        <v>2214</v>
      </c>
      <c r="AF50" s="47">
        <f t="shared" si="0"/>
        <v>233679910</v>
      </c>
    </row>
    <row r="51" spans="2:32" x14ac:dyDescent="0.3">
      <c r="B51" s="46" t="str">
        <f>IFERROR(VLOOKUP($H51,매장구분!$B:$Z,2,0),"")</f>
        <v>E-biz</v>
      </c>
      <c r="C51" s="46" t="str">
        <f>IFERROR(VLOOKUP($H51,매장구분!$B:$Z,3,0),"")</f>
        <v>국내</v>
      </c>
      <c r="D51" s="46" t="str">
        <f>IFERROR(VLOOKUP($H51,매장구분!$B:$Z,5,0),"")</f>
        <v>온(제휴몰)</v>
      </c>
      <c r="E51" s="46" t="str">
        <f>IFERROR(VLOOKUP($H51,매장구분!$B:$Z,9,0),"")</f>
        <v>CJ온스타일(제휴몰)</v>
      </c>
      <c r="F51" s="53"/>
      <c r="G51" s="54" t="s">
        <v>279</v>
      </c>
      <c r="H51" s="55" t="s">
        <v>280</v>
      </c>
      <c r="I51" s="55" t="s">
        <v>169</v>
      </c>
      <c r="J51" s="55" t="s">
        <v>180</v>
      </c>
      <c r="K51" s="55" t="s">
        <v>170</v>
      </c>
      <c r="L51" s="55" t="s">
        <v>181</v>
      </c>
      <c r="M51" s="55" t="s">
        <v>181</v>
      </c>
      <c r="N51" s="55" t="s">
        <v>185</v>
      </c>
      <c r="O51" s="55">
        <v>17935200</v>
      </c>
      <c r="P51" s="55">
        <v>234</v>
      </c>
      <c r="Q51" s="55">
        <v>0</v>
      </c>
      <c r="R51" s="55">
        <v>0</v>
      </c>
      <c r="S51" s="55">
        <v>0</v>
      </c>
      <c r="T51" s="55">
        <v>0</v>
      </c>
      <c r="U51" s="55">
        <v>0</v>
      </c>
      <c r="V51" s="55">
        <v>0</v>
      </c>
      <c r="W51" s="55">
        <v>0</v>
      </c>
      <c r="X51" s="55">
        <v>0</v>
      </c>
      <c r="Y51" s="56">
        <v>0</v>
      </c>
      <c r="Z51" s="55">
        <v>0</v>
      </c>
      <c r="AA51" s="55">
        <v>0</v>
      </c>
      <c r="AB51" s="55">
        <v>0</v>
      </c>
      <c r="AC51" s="55">
        <v>17935200</v>
      </c>
      <c r="AD51" s="57">
        <v>234</v>
      </c>
      <c r="AF51" s="47">
        <f t="shared" si="0"/>
        <v>17935200</v>
      </c>
    </row>
    <row r="52" spans="2:32" x14ac:dyDescent="0.3">
      <c r="B52" s="46" t="str">
        <f>IFERROR(VLOOKUP($H52,매장구분!$B:$Z,2,0),"")</f>
        <v>파트너채널팀</v>
      </c>
      <c r="C52" s="46" t="str">
        <f>IFERROR(VLOOKUP($H52,매장구분!$B:$Z,3,0),"")</f>
        <v>국내</v>
      </c>
      <c r="D52" s="46" t="str">
        <f>IFERROR(VLOOKUP($H52,매장구분!$B:$Z,5,0),"")</f>
        <v>백화점</v>
      </c>
      <c r="E52" s="46" t="str">
        <f>IFERROR(VLOOKUP($H52,매장구분!$B:$Z,9,0),"")</f>
        <v>갤러리아센터시티</v>
      </c>
      <c r="F52" s="58"/>
      <c r="G52" s="59" t="s">
        <v>259</v>
      </c>
      <c r="H52" s="60" t="s">
        <v>260</v>
      </c>
      <c r="I52" s="60" t="s">
        <v>169</v>
      </c>
      <c r="J52" s="60" t="s">
        <v>175</v>
      </c>
      <c r="K52" s="60" t="s">
        <v>170</v>
      </c>
      <c r="L52" s="60" t="s">
        <v>171</v>
      </c>
      <c r="M52" s="60" t="s">
        <v>77</v>
      </c>
      <c r="N52" s="60" t="s">
        <v>172</v>
      </c>
      <c r="O52" s="60">
        <v>34913400</v>
      </c>
      <c r="P52" s="60">
        <v>310</v>
      </c>
      <c r="Q52" s="60">
        <v>3840000</v>
      </c>
      <c r="R52" s="60">
        <v>48</v>
      </c>
      <c r="S52" s="60">
        <v>0</v>
      </c>
      <c r="T52" s="60">
        <v>0</v>
      </c>
      <c r="U52" s="60">
        <v>7608000</v>
      </c>
      <c r="V52" s="60">
        <v>44</v>
      </c>
      <c r="W52" s="60">
        <v>0</v>
      </c>
      <c r="X52" s="60">
        <v>0</v>
      </c>
      <c r="Y52" s="61">
        <v>20245000</v>
      </c>
      <c r="Z52" s="60">
        <v>136</v>
      </c>
      <c r="AA52" s="60">
        <v>0</v>
      </c>
      <c r="AB52" s="60">
        <v>0</v>
      </c>
      <c r="AC52" s="60">
        <v>66606400</v>
      </c>
      <c r="AD52" s="62">
        <v>538</v>
      </c>
      <c r="AF52" s="47">
        <f t="shared" si="0"/>
        <v>46361400</v>
      </c>
    </row>
    <row r="53" spans="2:32" x14ac:dyDescent="0.3">
      <c r="B53" s="46" t="str">
        <f>IFERROR(VLOOKUP($H53,매장구분!$B:$Z,2,0),"")</f>
        <v>리테일채널팀</v>
      </c>
      <c r="C53" s="46" t="str">
        <f>IFERROR(VLOOKUP($H53,매장구분!$B:$Z,3,0),"")</f>
        <v>국내</v>
      </c>
      <c r="D53" s="46" t="str">
        <f>IFERROR(VLOOKUP($H53,매장구분!$B:$Z,5,0),"")</f>
        <v>상설(위탁)</v>
      </c>
      <c r="E53" s="46" t="str">
        <f>IFERROR(VLOOKUP($H53,매장구분!$B:$Z,9,0),"")</f>
        <v>LF스퀘어양주(상-위)</v>
      </c>
      <c r="F53" s="53"/>
      <c r="G53" s="54" t="s">
        <v>283</v>
      </c>
      <c r="H53" s="55" t="s">
        <v>284</v>
      </c>
      <c r="I53" s="55" t="s">
        <v>169</v>
      </c>
      <c r="J53" s="55" t="s">
        <v>79</v>
      </c>
      <c r="K53" s="55" t="s">
        <v>170</v>
      </c>
      <c r="L53" s="55" t="s">
        <v>171</v>
      </c>
      <c r="M53" s="55" t="s">
        <v>77</v>
      </c>
      <c r="N53" s="55" t="s">
        <v>172</v>
      </c>
      <c r="O53" s="55">
        <v>6408000</v>
      </c>
      <c r="P53" s="55">
        <v>178</v>
      </c>
      <c r="Q53" s="55">
        <v>0</v>
      </c>
      <c r="R53" s="55">
        <v>0</v>
      </c>
      <c r="S53" s="55">
        <v>0</v>
      </c>
      <c r="T53" s="55">
        <v>0</v>
      </c>
      <c r="U53" s="55">
        <v>0</v>
      </c>
      <c r="V53" s="55">
        <v>0</v>
      </c>
      <c r="W53" s="55">
        <v>0</v>
      </c>
      <c r="X53" s="55">
        <v>0</v>
      </c>
      <c r="Y53" s="56">
        <v>0</v>
      </c>
      <c r="Z53" s="55">
        <v>0</v>
      </c>
      <c r="AA53" s="55">
        <v>0</v>
      </c>
      <c r="AB53" s="55">
        <v>0</v>
      </c>
      <c r="AC53" s="55">
        <v>6408000</v>
      </c>
      <c r="AD53" s="57">
        <v>178</v>
      </c>
      <c r="AF53" s="47">
        <f t="shared" si="0"/>
        <v>6408000</v>
      </c>
    </row>
    <row r="54" spans="2:32" x14ac:dyDescent="0.3">
      <c r="B54" s="46" t="str">
        <f>IFERROR(VLOOKUP($H54,매장구분!$B:$Z,2,0),"")</f>
        <v>리테일채널팀</v>
      </c>
      <c r="C54" s="46" t="str">
        <f>IFERROR(VLOOKUP($H54,매장구분!$B:$Z,3,0),"")</f>
        <v>국내</v>
      </c>
      <c r="D54" s="46" t="str">
        <f>IFERROR(VLOOKUP($H54,매장구분!$B:$Z,5,0),"")</f>
        <v>상설(위탁)</v>
      </c>
      <c r="E54" s="46" t="str">
        <f>IFERROR(VLOOKUP($H54,매장구분!$B:$Z,9,0),"")</f>
        <v>현대아울렛가산(상-위)</v>
      </c>
      <c r="F54" s="58"/>
      <c r="G54" s="59" t="s">
        <v>285</v>
      </c>
      <c r="H54" s="60" t="s">
        <v>286</v>
      </c>
      <c r="I54" s="60" t="s">
        <v>169</v>
      </c>
      <c r="J54" s="60" t="s">
        <v>79</v>
      </c>
      <c r="K54" s="60" t="s">
        <v>170</v>
      </c>
      <c r="L54" s="60" t="s">
        <v>171</v>
      </c>
      <c r="M54" s="60" t="s">
        <v>219</v>
      </c>
      <c r="N54" s="60" t="s">
        <v>219</v>
      </c>
      <c r="O54" s="60">
        <v>2916000</v>
      </c>
      <c r="P54" s="60">
        <v>81</v>
      </c>
      <c r="Q54" s="60">
        <v>0</v>
      </c>
      <c r="R54" s="60">
        <v>0</v>
      </c>
      <c r="S54" s="60">
        <v>0</v>
      </c>
      <c r="T54" s="60">
        <v>0</v>
      </c>
      <c r="U54" s="60">
        <v>0</v>
      </c>
      <c r="V54" s="60">
        <v>0</v>
      </c>
      <c r="W54" s="60">
        <v>0</v>
      </c>
      <c r="X54" s="60">
        <v>0</v>
      </c>
      <c r="Y54" s="61">
        <v>0</v>
      </c>
      <c r="Z54" s="60">
        <v>0</v>
      </c>
      <c r="AA54" s="60">
        <v>0</v>
      </c>
      <c r="AB54" s="60">
        <v>0</v>
      </c>
      <c r="AC54" s="60">
        <v>2916000</v>
      </c>
      <c r="AD54" s="62">
        <v>81</v>
      </c>
      <c r="AF54" s="47">
        <f t="shared" si="0"/>
        <v>2916000</v>
      </c>
    </row>
    <row r="55" spans="2:32" x14ac:dyDescent="0.3">
      <c r="B55" s="46" t="str">
        <f>IFERROR(VLOOKUP($H55,매장구분!$B:$Z,2,0),"")</f>
        <v>리테일채널팀</v>
      </c>
      <c r="C55" s="46" t="str">
        <f>IFERROR(VLOOKUP($H55,매장구분!$B:$Z,3,0),"")</f>
        <v>국내</v>
      </c>
      <c r="D55" s="46" t="str">
        <f>IFERROR(VLOOKUP($H55,매장구분!$B:$Z,5,0),"")</f>
        <v>상설(위탁)</v>
      </c>
      <c r="E55" s="46" t="str">
        <f>IFERROR(VLOOKUP($H55,매장구분!$B:$Z,9,0),"")</f>
        <v>롯데아울렛부여(상-위)</v>
      </c>
      <c r="F55" s="53"/>
      <c r="G55" s="54" t="s">
        <v>281</v>
      </c>
      <c r="H55" s="55" t="s">
        <v>282</v>
      </c>
      <c r="I55" s="55" t="s">
        <v>169</v>
      </c>
      <c r="J55" s="55" t="s">
        <v>79</v>
      </c>
      <c r="K55" s="55" t="s">
        <v>170</v>
      </c>
      <c r="L55" s="55" t="s">
        <v>171</v>
      </c>
      <c r="M55" s="55" t="s">
        <v>219</v>
      </c>
      <c r="N55" s="55" t="s">
        <v>219</v>
      </c>
      <c r="O55" s="55">
        <v>9468000</v>
      </c>
      <c r="P55" s="55">
        <v>263</v>
      </c>
      <c r="Q55" s="55">
        <v>0</v>
      </c>
      <c r="R55" s="55">
        <v>0</v>
      </c>
      <c r="S55" s="55">
        <v>0</v>
      </c>
      <c r="T55" s="55">
        <v>0</v>
      </c>
      <c r="U55" s="55">
        <v>0</v>
      </c>
      <c r="V55" s="55">
        <v>0</v>
      </c>
      <c r="W55" s="55">
        <v>0</v>
      </c>
      <c r="X55" s="55">
        <v>0</v>
      </c>
      <c r="Y55" s="56">
        <v>0</v>
      </c>
      <c r="Z55" s="55">
        <v>0</v>
      </c>
      <c r="AA55" s="55">
        <v>0</v>
      </c>
      <c r="AB55" s="55">
        <v>0</v>
      </c>
      <c r="AC55" s="55">
        <v>9468000</v>
      </c>
      <c r="AD55" s="57">
        <v>263</v>
      </c>
      <c r="AF55" s="47">
        <f t="shared" si="0"/>
        <v>9468000</v>
      </c>
    </row>
    <row r="56" spans="2:32" x14ac:dyDescent="0.3">
      <c r="B56" s="46" t="str">
        <f>IFERROR(VLOOKUP($H56,매장구분!$B:$Z,2,0),"")</f>
        <v>리테일채널팀</v>
      </c>
      <c r="C56" s="46" t="str">
        <f>IFERROR(VLOOKUP($H56,매장구분!$B:$Z,3,0),"")</f>
        <v>국내</v>
      </c>
      <c r="D56" s="46" t="str">
        <f>IFERROR(VLOOKUP($H56,매장구분!$B:$Z,5,0),"")</f>
        <v>상설(위탁)</v>
      </c>
      <c r="E56" s="46" t="str">
        <f>IFERROR(VLOOKUP($H56,매장구분!$B:$Z,9,0),"")</f>
        <v>신세계아울렛기장(상-위)</v>
      </c>
      <c r="F56" s="58"/>
      <c r="G56" s="59" t="s">
        <v>277</v>
      </c>
      <c r="H56" s="60" t="s">
        <v>278</v>
      </c>
      <c r="I56" s="60" t="s">
        <v>169</v>
      </c>
      <c r="J56" s="60" t="s">
        <v>79</v>
      </c>
      <c r="K56" s="60" t="s">
        <v>170</v>
      </c>
      <c r="L56" s="60" t="s">
        <v>171</v>
      </c>
      <c r="M56" s="60" t="s">
        <v>219</v>
      </c>
      <c r="N56" s="60" t="s">
        <v>219</v>
      </c>
      <c r="O56" s="60">
        <v>10080000</v>
      </c>
      <c r="P56" s="60">
        <v>280</v>
      </c>
      <c r="Q56" s="60">
        <v>0</v>
      </c>
      <c r="R56" s="60">
        <v>0</v>
      </c>
      <c r="S56" s="60">
        <v>0</v>
      </c>
      <c r="T56" s="60">
        <v>0</v>
      </c>
      <c r="U56" s="60">
        <v>0</v>
      </c>
      <c r="V56" s="60">
        <v>0</v>
      </c>
      <c r="W56" s="60">
        <v>0</v>
      </c>
      <c r="X56" s="60">
        <v>0</v>
      </c>
      <c r="Y56" s="61">
        <v>0</v>
      </c>
      <c r="Z56" s="60">
        <v>0</v>
      </c>
      <c r="AA56" s="60">
        <v>0</v>
      </c>
      <c r="AB56" s="60">
        <v>0</v>
      </c>
      <c r="AC56" s="60">
        <v>10080000</v>
      </c>
      <c r="AD56" s="62">
        <v>280</v>
      </c>
      <c r="AF56" s="47">
        <f t="shared" si="0"/>
        <v>10080000</v>
      </c>
    </row>
    <row r="57" spans="2:32" x14ac:dyDescent="0.3">
      <c r="B57" s="46" t="str">
        <f>IFERROR(VLOOKUP($H57,매장구분!$B:$Z,2,0),"")</f>
        <v>리테일채널팀</v>
      </c>
      <c r="C57" s="46" t="str">
        <f>IFERROR(VLOOKUP($H57,매장구분!$B:$Z,3,0),"")</f>
        <v>국내</v>
      </c>
      <c r="D57" s="46" t="str">
        <f>IFERROR(VLOOKUP($H57,매장구분!$B:$Z,5,0),"")</f>
        <v>대리점</v>
      </c>
      <c r="E57" s="46" t="str">
        <f>IFERROR(VLOOKUP($H57,매장구분!$B:$Z,9,0),"")</f>
        <v>전주중앙(대-위)</v>
      </c>
      <c r="F57" s="53"/>
      <c r="G57" s="54" t="s">
        <v>293</v>
      </c>
      <c r="H57" s="55" t="s">
        <v>294</v>
      </c>
      <c r="I57" s="55" t="s">
        <v>169</v>
      </c>
      <c r="J57" s="55" t="s">
        <v>79</v>
      </c>
      <c r="K57" s="55" t="s">
        <v>170</v>
      </c>
      <c r="L57" s="55" t="s">
        <v>171</v>
      </c>
      <c r="M57" s="55" t="s">
        <v>196</v>
      </c>
      <c r="N57" s="55" t="s">
        <v>197</v>
      </c>
      <c r="O57" s="55">
        <v>57952110</v>
      </c>
      <c r="P57" s="55">
        <v>553</v>
      </c>
      <c r="Q57" s="55">
        <v>1858800</v>
      </c>
      <c r="R57" s="55">
        <v>12</v>
      </c>
      <c r="S57" s="55">
        <v>0</v>
      </c>
      <c r="T57" s="55">
        <v>0</v>
      </c>
      <c r="U57" s="55">
        <v>3301990</v>
      </c>
      <c r="V57" s="55">
        <v>22</v>
      </c>
      <c r="W57" s="55">
        <v>0</v>
      </c>
      <c r="X57" s="55">
        <v>0</v>
      </c>
      <c r="Y57" s="56">
        <v>0</v>
      </c>
      <c r="Z57" s="55">
        <v>0</v>
      </c>
      <c r="AA57" s="55">
        <v>-119000</v>
      </c>
      <c r="AB57" s="55">
        <v>-1</v>
      </c>
      <c r="AC57" s="55">
        <v>62993900</v>
      </c>
      <c r="AD57" s="57">
        <v>586</v>
      </c>
      <c r="AF57" s="47">
        <f t="shared" si="0"/>
        <v>62993900</v>
      </c>
    </row>
    <row r="58" spans="2:32" x14ac:dyDescent="0.3">
      <c r="B58" s="46" t="str">
        <f>IFERROR(VLOOKUP($H58,매장구분!$B:$Z,2,0),"")</f>
        <v>리테일채널팀</v>
      </c>
      <c r="C58" s="46" t="str">
        <f>IFERROR(VLOOKUP($H58,매장구분!$B:$Z,3,0),"")</f>
        <v>국내</v>
      </c>
      <c r="D58" s="46" t="str">
        <f>IFERROR(VLOOKUP($H58,매장구분!$B:$Z,5,0),"")</f>
        <v>대리점</v>
      </c>
      <c r="E58" s="46" t="str">
        <f>IFERROR(VLOOKUP($H58,매장구분!$B:$Z,9,0),"")</f>
        <v>포천(대-위)</v>
      </c>
      <c r="F58" s="58"/>
      <c r="G58" s="59" t="s">
        <v>289</v>
      </c>
      <c r="H58" s="60" t="s">
        <v>290</v>
      </c>
      <c r="I58" s="60" t="s">
        <v>169</v>
      </c>
      <c r="J58" s="60" t="s">
        <v>79</v>
      </c>
      <c r="K58" s="60" t="s">
        <v>170</v>
      </c>
      <c r="L58" s="60" t="s">
        <v>171</v>
      </c>
      <c r="M58" s="60" t="s">
        <v>196</v>
      </c>
      <c r="N58" s="60" t="s">
        <v>197</v>
      </c>
      <c r="O58" s="60">
        <v>40827635</v>
      </c>
      <c r="P58" s="60">
        <v>357</v>
      </c>
      <c r="Q58" s="60">
        <v>0</v>
      </c>
      <c r="R58" s="60">
        <v>0</v>
      </c>
      <c r="S58" s="60">
        <v>0</v>
      </c>
      <c r="T58" s="60">
        <v>0</v>
      </c>
      <c r="U58" s="60">
        <v>2062400</v>
      </c>
      <c r="V58" s="60">
        <v>14</v>
      </c>
      <c r="W58" s="60">
        <v>0</v>
      </c>
      <c r="X58" s="60">
        <v>0</v>
      </c>
      <c r="Y58" s="61">
        <v>0</v>
      </c>
      <c r="Z58" s="60">
        <v>0</v>
      </c>
      <c r="AA58" s="60">
        <v>0</v>
      </c>
      <c r="AB58" s="60">
        <v>0</v>
      </c>
      <c r="AC58" s="60">
        <v>42890035</v>
      </c>
      <c r="AD58" s="62">
        <v>371</v>
      </c>
      <c r="AF58" s="47">
        <f t="shared" si="0"/>
        <v>42890035</v>
      </c>
    </row>
    <row r="59" spans="2:32" x14ac:dyDescent="0.3">
      <c r="B59" s="46" t="str">
        <f>IFERROR(VLOOKUP($H59,매장구분!$B:$Z,2,0),"")</f>
        <v>리테일채널팀</v>
      </c>
      <c r="C59" s="46" t="str">
        <f>IFERROR(VLOOKUP($H59,매장구분!$B:$Z,3,0),"")</f>
        <v>RF</v>
      </c>
      <c r="D59" s="46" t="str">
        <f>IFERROR(VLOOKUP($H59,매장구분!$B:$Z,5,0),"")</f>
        <v>대리점</v>
      </c>
      <c r="E59" s="46" t="str">
        <f>IFERROR(VLOOKUP($H59,매장구분!$B:$Z,9,0),"")</f>
        <v>부산광복(대-위)</v>
      </c>
      <c r="F59" s="53"/>
      <c r="G59" s="54" t="s">
        <v>326</v>
      </c>
      <c r="H59" s="55" t="s">
        <v>327</v>
      </c>
      <c r="I59" s="55" t="s">
        <v>169</v>
      </c>
      <c r="J59" s="55" t="s">
        <v>79</v>
      </c>
      <c r="K59" s="55" t="s">
        <v>170</v>
      </c>
      <c r="L59" s="55" t="s">
        <v>171</v>
      </c>
      <c r="M59" s="55" t="s">
        <v>196</v>
      </c>
      <c r="N59" s="55" t="s">
        <v>197</v>
      </c>
      <c r="O59" s="55">
        <v>27959400</v>
      </c>
      <c r="P59" s="55">
        <v>555</v>
      </c>
      <c r="Q59" s="55">
        <v>0</v>
      </c>
      <c r="R59" s="55">
        <v>0</v>
      </c>
      <c r="S59" s="55">
        <v>0</v>
      </c>
      <c r="T59" s="55">
        <v>0</v>
      </c>
      <c r="U59" s="55">
        <v>14297800</v>
      </c>
      <c r="V59" s="55">
        <v>130</v>
      </c>
      <c r="W59" s="55">
        <v>0</v>
      </c>
      <c r="X59" s="55">
        <v>0</v>
      </c>
      <c r="Y59" s="56">
        <v>117294320</v>
      </c>
      <c r="Z59" s="55">
        <v>1081</v>
      </c>
      <c r="AA59" s="55">
        <v>0</v>
      </c>
      <c r="AB59" s="55">
        <v>0</v>
      </c>
      <c r="AC59" s="55">
        <v>159551520</v>
      </c>
      <c r="AD59" s="57">
        <v>1766</v>
      </c>
      <c r="AF59" s="47">
        <f t="shared" si="0"/>
        <v>42257200</v>
      </c>
    </row>
    <row r="60" spans="2:32" x14ac:dyDescent="0.3">
      <c r="B60" s="46" t="str">
        <f>IFERROR(VLOOKUP($H60,매장구분!$B:$Z,2,0),"")</f>
        <v>파트너채널팀</v>
      </c>
      <c r="C60" s="46" t="str">
        <f>IFERROR(VLOOKUP($H60,매장구분!$B:$Z,3,0),"")</f>
        <v>국내</v>
      </c>
      <c r="D60" s="46" t="str">
        <f>IFERROR(VLOOKUP($H60,매장구분!$B:$Z,5,0),"")</f>
        <v>백화점</v>
      </c>
      <c r="E60" s="46" t="str">
        <f>IFERROR(VLOOKUP($H60,매장구분!$B:$Z,9,0),"")</f>
        <v>갤러리아대전</v>
      </c>
      <c r="F60" s="58"/>
      <c r="G60" s="59" t="s">
        <v>303</v>
      </c>
      <c r="H60" s="60" t="s">
        <v>304</v>
      </c>
      <c r="I60" s="60" t="s">
        <v>169</v>
      </c>
      <c r="J60" s="60" t="s">
        <v>175</v>
      </c>
      <c r="K60" s="60" t="s">
        <v>170</v>
      </c>
      <c r="L60" s="60" t="s">
        <v>171</v>
      </c>
      <c r="M60" s="60" t="s">
        <v>77</v>
      </c>
      <c r="N60" s="60" t="s">
        <v>172</v>
      </c>
      <c r="O60" s="60">
        <v>69907220</v>
      </c>
      <c r="P60" s="60">
        <v>574</v>
      </c>
      <c r="Q60" s="60">
        <v>4646800</v>
      </c>
      <c r="R60" s="60">
        <v>64</v>
      </c>
      <c r="S60" s="60">
        <v>0</v>
      </c>
      <c r="T60" s="60">
        <v>0</v>
      </c>
      <c r="U60" s="60">
        <v>12662400</v>
      </c>
      <c r="V60" s="60">
        <v>66</v>
      </c>
      <c r="W60" s="60">
        <v>0</v>
      </c>
      <c r="X60" s="60">
        <v>0</v>
      </c>
      <c r="Y60" s="61">
        <v>55229000</v>
      </c>
      <c r="Z60" s="60">
        <v>396</v>
      </c>
      <c r="AA60" s="60">
        <v>0</v>
      </c>
      <c r="AB60" s="60">
        <v>0</v>
      </c>
      <c r="AC60" s="60">
        <v>142445420</v>
      </c>
      <c r="AD60" s="62">
        <v>1100</v>
      </c>
      <c r="AF60" s="47">
        <f t="shared" si="0"/>
        <v>87216420</v>
      </c>
    </row>
    <row r="61" spans="2:32" x14ac:dyDescent="0.3">
      <c r="B61" s="46" t="str">
        <f>IFERROR(VLOOKUP($H61,매장구분!$B:$Z,2,0),"")</f>
        <v>파트너채널팀</v>
      </c>
      <c r="C61" s="46" t="str">
        <f>IFERROR(VLOOKUP($H61,매장구분!$B:$Z,3,0),"")</f>
        <v>국내</v>
      </c>
      <c r="D61" s="46" t="str">
        <f>IFERROR(VLOOKUP($H61,매장구분!$B:$Z,5,0),"")</f>
        <v>백화점</v>
      </c>
      <c r="E61" s="46" t="str">
        <f>IFERROR(VLOOKUP($H61,매장구분!$B:$Z,9,0),"")</f>
        <v>신세계센텀</v>
      </c>
      <c r="F61" s="53"/>
      <c r="G61" s="54" t="s">
        <v>301</v>
      </c>
      <c r="H61" s="55" t="s">
        <v>302</v>
      </c>
      <c r="I61" s="55" t="s">
        <v>169</v>
      </c>
      <c r="J61" s="55" t="s">
        <v>175</v>
      </c>
      <c r="K61" s="55" t="s">
        <v>170</v>
      </c>
      <c r="L61" s="55" t="s">
        <v>171</v>
      </c>
      <c r="M61" s="55" t="s">
        <v>77</v>
      </c>
      <c r="N61" s="55" t="s">
        <v>172</v>
      </c>
      <c r="O61" s="55">
        <v>163998259</v>
      </c>
      <c r="P61" s="55">
        <v>1545</v>
      </c>
      <c r="Q61" s="55">
        <v>0</v>
      </c>
      <c r="R61" s="55">
        <v>0</v>
      </c>
      <c r="S61" s="55">
        <v>0</v>
      </c>
      <c r="T61" s="55">
        <v>0</v>
      </c>
      <c r="U61" s="55">
        <v>3743941</v>
      </c>
      <c r="V61" s="55">
        <v>19</v>
      </c>
      <c r="W61" s="55">
        <v>0</v>
      </c>
      <c r="X61" s="55">
        <v>0</v>
      </c>
      <c r="Y61" s="56">
        <v>0</v>
      </c>
      <c r="Z61" s="55">
        <v>0</v>
      </c>
      <c r="AA61" s="55">
        <v>0</v>
      </c>
      <c r="AB61" s="55">
        <v>0</v>
      </c>
      <c r="AC61" s="55">
        <v>167742200</v>
      </c>
      <c r="AD61" s="57">
        <v>1564</v>
      </c>
      <c r="AF61" s="47">
        <f t="shared" si="0"/>
        <v>167742200</v>
      </c>
    </row>
    <row r="62" spans="2:32" x14ac:dyDescent="0.3">
      <c r="B62" s="46" t="str">
        <f>IFERROR(VLOOKUP($H62,매장구분!$B:$Z,2,0),"")</f>
        <v>리테일채널팀</v>
      </c>
      <c r="C62" s="46" t="str">
        <f>IFERROR(VLOOKUP($H62,매장구분!$B:$Z,3,0),"")</f>
        <v>국내</v>
      </c>
      <c r="D62" s="46" t="str">
        <f>IFERROR(VLOOKUP($H62,매장구분!$B:$Z,5,0),"")</f>
        <v>대리점</v>
      </c>
      <c r="E62" s="46" t="str">
        <f>IFERROR(VLOOKUP($H62,매장구분!$B:$Z,9,0),"")</f>
        <v>아이즈빌부평(대-위)</v>
      </c>
      <c r="F62" s="58"/>
      <c r="G62" s="59" t="s">
        <v>315</v>
      </c>
      <c r="H62" s="60" t="s">
        <v>316</v>
      </c>
      <c r="I62" s="60" t="s">
        <v>169</v>
      </c>
      <c r="J62" s="60" t="s">
        <v>79</v>
      </c>
      <c r="K62" s="60" t="s">
        <v>170</v>
      </c>
      <c r="L62" s="60" t="s">
        <v>171</v>
      </c>
      <c r="M62" s="60" t="s">
        <v>188</v>
      </c>
      <c r="N62" s="60" t="s">
        <v>317</v>
      </c>
      <c r="O62" s="60">
        <v>115114133</v>
      </c>
      <c r="P62" s="60">
        <v>914</v>
      </c>
      <c r="Q62" s="60">
        <v>0</v>
      </c>
      <c r="R62" s="60">
        <v>0</v>
      </c>
      <c r="S62" s="60">
        <v>0</v>
      </c>
      <c r="T62" s="60">
        <v>0</v>
      </c>
      <c r="U62" s="60">
        <v>4253617</v>
      </c>
      <c r="V62" s="60">
        <v>28</v>
      </c>
      <c r="W62" s="60">
        <v>0</v>
      </c>
      <c r="X62" s="60">
        <v>0</v>
      </c>
      <c r="Y62" s="61">
        <v>0</v>
      </c>
      <c r="Z62" s="60">
        <v>0</v>
      </c>
      <c r="AA62" s="60">
        <v>0</v>
      </c>
      <c r="AB62" s="60">
        <v>0</v>
      </c>
      <c r="AC62" s="60">
        <v>119367750</v>
      </c>
      <c r="AD62" s="62">
        <v>942</v>
      </c>
      <c r="AF62" s="47">
        <f t="shared" si="0"/>
        <v>119367750</v>
      </c>
    </row>
    <row r="63" spans="2:32" x14ac:dyDescent="0.3">
      <c r="B63" s="46" t="str">
        <f>IFERROR(VLOOKUP($H63,매장구분!$B:$Z,2,0),"")</f>
        <v>파트너채널팀</v>
      </c>
      <c r="C63" s="46" t="str">
        <f>IFERROR(VLOOKUP($H63,매장구분!$B:$Z,3,0),"")</f>
        <v>국내</v>
      </c>
      <c r="D63" s="46" t="str">
        <f>IFERROR(VLOOKUP($H63,매장구분!$B:$Z,5,0),"")</f>
        <v>백화점</v>
      </c>
      <c r="E63" s="46" t="str">
        <f>IFERROR(VLOOKUP($H63,매장구분!$B:$Z,9,0),"")</f>
        <v>현대천호</v>
      </c>
      <c r="F63" s="53"/>
      <c r="G63" s="54" t="s">
        <v>305</v>
      </c>
      <c r="H63" s="55" t="s">
        <v>306</v>
      </c>
      <c r="I63" s="55" t="s">
        <v>169</v>
      </c>
      <c r="J63" s="55" t="s">
        <v>175</v>
      </c>
      <c r="K63" s="55" t="s">
        <v>170</v>
      </c>
      <c r="L63" s="55" t="s">
        <v>171</v>
      </c>
      <c r="M63" s="55" t="s">
        <v>77</v>
      </c>
      <c r="N63" s="55" t="s">
        <v>172</v>
      </c>
      <c r="O63" s="55">
        <v>35518800</v>
      </c>
      <c r="P63" s="55">
        <v>369</v>
      </c>
      <c r="Q63" s="55">
        <v>11896000</v>
      </c>
      <c r="R63" s="55">
        <v>85</v>
      </c>
      <c r="S63" s="55">
        <v>0</v>
      </c>
      <c r="T63" s="55">
        <v>0</v>
      </c>
      <c r="U63" s="55">
        <v>4592900</v>
      </c>
      <c r="V63" s="55">
        <v>32</v>
      </c>
      <c r="W63" s="55">
        <v>0</v>
      </c>
      <c r="X63" s="55">
        <v>0</v>
      </c>
      <c r="Y63" s="56">
        <v>31211100</v>
      </c>
      <c r="Z63" s="55">
        <v>268</v>
      </c>
      <c r="AA63" s="55">
        <v>0</v>
      </c>
      <c r="AB63" s="55">
        <v>0</v>
      </c>
      <c r="AC63" s="55">
        <v>83218800</v>
      </c>
      <c r="AD63" s="57">
        <v>754</v>
      </c>
      <c r="AF63" s="47">
        <f t="shared" si="0"/>
        <v>52007700</v>
      </c>
    </row>
    <row r="64" spans="2:32" x14ac:dyDescent="0.3">
      <c r="B64" s="46" t="str">
        <f>IFERROR(VLOOKUP($H64,매장구분!$B:$Z,2,0),"")</f>
        <v>리테일채널팀</v>
      </c>
      <c r="C64" s="46" t="str">
        <f>IFERROR(VLOOKUP($H64,매장구분!$B:$Z,3,0),"")</f>
        <v>국내</v>
      </c>
      <c r="D64" s="46" t="str">
        <f>IFERROR(VLOOKUP($H64,매장구분!$B:$Z,5,0),"")</f>
        <v>대리점</v>
      </c>
      <c r="E64" s="46" t="str">
        <f>IFERROR(VLOOKUP($H64,매장구분!$B:$Z,9,0),"")</f>
        <v>나주(대-위)</v>
      </c>
      <c r="F64" s="58"/>
      <c r="G64" s="59" t="s">
        <v>324</v>
      </c>
      <c r="H64" s="60" t="s">
        <v>325</v>
      </c>
      <c r="I64" s="60" t="s">
        <v>169</v>
      </c>
      <c r="J64" s="60" t="s">
        <v>79</v>
      </c>
      <c r="K64" s="60" t="s">
        <v>170</v>
      </c>
      <c r="L64" s="60" t="s">
        <v>171</v>
      </c>
      <c r="M64" s="60" t="s">
        <v>196</v>
      </c>
      <c r="N64" s="60" t="s">
        <v>197</v>
      </c>
      <c r="O64" s="60">
        <v>64050719</v>
      </c>
      <c r="P64" s="60">
        <v>569</v>
      </c>
      <c r="Q64" s="60">
        <v>0</v>
      </c>
      <c r="R64" s="60">
        <v>0</v>
      </c>
      <c r="S64" s="60">
        <v>0</v>
      </c>
      <c r="T64" s="60">
        <v>0</v>
      </c>
      <c r="U64" s="60">
        <v>8859383</v>
      </c>
      <c r="V64" s="60">
        <v>58</v>
      </c>
      <c r="W64" s="60">
        <v>0</v>
      </c>
      <c r="X64" s="60">
        <v>0</v>
      </c>
      <c r="Y64" s="61">
        <v>0</v>
      </c>
      <c r="Z64" s="60">
        <v>0</v>
      </c>
      <c r="AA64" s="60">
        <v>0</v>
      </c>
      <c r="AB64" s="60">
        <v>0</v>
      </c>
      <c r="AC64" s="60">
        <v>72910102</v>
      </c>
      <c r="AD64" s="62">
        <v>627</v>
      </c>
      <c r="AF64" s="47">
        <f t="shared" si="0"/>
        <v>72910102</v>
      </c>
    </row>
    <row r="65" spans="2:32" x14ac:dyDescent="0.3">
      <c r="B65" s="46" t="str">
        <f>IFERROR(VLOOKUP($H65,매장구분!$B:$Z,2,0),"")</f>
        <v>리테일채널팀</v>
      </c>
      <c r="C65" s="46" t="str">
        <f>IFERROR(VLOOKUP($H65,매장구분!$B:$Z,3,0),"")</f>
        <v>국내</v>
      </c>
      <c r="D65" s="46" t="str">
        <f>IFERROR(VLOOKUP($H65,매장구분!$B:$Z,5,0),"")</f>
        <v>대리점</v>
      </c>
      <c r="E65" s="46" t="str">
        <f>IFERROR(VLOOKUP($H65,매장구분!$B:$Z,9,0),"")</f>
        <v>서귀포(대-위)</v>
      </c>
      <c r="F65" s="53"/>
      <c r="G65" s="54" t="s">
        <v>313</v>
      </c>
      <c r="H65" s="55" t="s">
        <v>314</v>
      </c>
      <c r="I65" s="55" t="s">
        <v>169</v>
      </c>
      <c r="J65" s="55" t="s">
        <v>79</v>
      </c>
      <c r="K65" s="55" t="s">
        <v>170</v>
      </c>
      <c r="L65" s="55" t="s">
        <v>171</v>
      </c>
      <c r="M65" s="55" t="s">
        <v>196</v>
      </c>
      <c r="N65" s="55" t="s">
        <v>197</v>
      </c>
      <c r="O65" s="55">
        <v>47353026</v>
      </c>
      <c r="P65" s="55">
        <v>527</v>
      </c>
      <c r="Q65" s="55">
        <v>0</v>
      </c>
      <c r="R65" s="55">
        <v>0</v>
      </c>
      <c r="S65" s="55">
        <v>0</v>
      </c>
      <c r="T65" s="55">
        <v>0</v>
      </c>
      <c r="U65" s="55">
        <v>15639831</v>
      </c>
      <c r="V65" s="55">
        <v>95</v>
      </c>
      <c r="W65" s="55">
        <v>0</v>
      </c>
      <c r="X65" s="55">
        <v>0</v>
      </c>
      <c r="Y65" s="56">
        <v>0</v>
      </c>
      <c r="Z65" s="55">
        <v>0</v>
      </c>
      <c r="AA65" s="55">
        <v>0</v>
      </c>
      <c r="AB65" s="55">
        <v>0</v>
      </c>
      <c r="AC65" s="55">
        <v>62992857</v>
      </c>
      <c r="AD65" s="57">
        <v>622</v>
      </c>
      <c r="AF65" s="47">
        <f t="shared" si="0"/>
        <v>62992857</v>
      </c>
    </row>
    <row r="66" spans="2:32" x14ac:dyDescent="0.3">
      <c r="B66" s="46" t="str">
        <f>IFERROR(VLOOKUP($H66,매장구분!$B:$Z,2,0),"")</f>
        <v>파트너채널팀</v>
      </c>
      <c r="C66" s="46" t="str">
        <f>IFERROR(VLOOKUP($H66,매장구분!$B:$Z,3,0),"")</f>
        <v>국내</v>
      </c>
      <c r="D66" s="46" t="str">
        <f>IFERROR(VLOOKUP($H66,매장구분!$B:$Z,5,0),"")</f>
        <v>백화점</v>
      </c>
      <c r="E66" s="46" t="str">
        <f>IFERROR(VLOOKUP($H66,매장구분!$B:$Z,9,0),"")</f>
        <v>AK분당</v>
      </c>
      <c r="F66" s="58"/>
      <c r="G66" s="59" t="s">
        <v>582</v>
      </c>
      <c r="H66" s="60" t="s">
        <v>583</v>
      </c>
      <c r="I66" s="60" t="s">
        <v>169</v>
      </c>
      <c r="J66" s="60" t="s">
        <v>175</v>
      </c>
      <c r="K66" s="60" t="s">
        <v>170</v>
      </c>
      <c r="L66" s="60" t="s">
        <v>171</v>
      </c>
      <c r="M66" s="60" t="s">
        <v>77</v>
      </c>
      <c r="N66" s="60" t="s">
        <v>172</v>
      </c>
      <c r="O66" s="60">
        <v>48284800</v>
      </c>
      <c r="P66" s="60">
        <v>333</v>
      </c>
      <c r="Q66" s="60">
        <v>129000</v>
      </c>
      <c r="R66" s="60">
        <v>1</v>
      </c>
      <c r="S66" s="60">
        <v>0</v>
      </c>
      <c r="T66" s="60">
        <v>0</v>
      </c>
      <c r="U66" s="60">
        <v>2592200</v>
      </c>
      <c r="V66" s="60">
        <v>18</v>
      </c>
      <c r="W66" s="60">
        <v>0</v>
      </c>
      <c r="X66" s="60">
        <v>0</v>
      </c>
      <c r="Y66" s="61">
        <v>14628000</v>
      </c>
      <c r="Z66" s="60">
        <v>107</v>
      </c>
      <c r="AA66" s="60">
        <v>0</v>
      </c>
      <c r="AB66" s="60">
        <v>0</v>
      </c>
      <c r="AC66" s="60">
        <v>65634000</v>
      </c>
      <c r="AD66" s="62">
        <v>459</v>
      </c>
      <c r="AF66" s="47">
        <f t="shared" si="0"/>
        <v>51006000</v>
      </c>
    </row>
    <row r="67" spans="2:32" x14ac:dyDescent="0.3">
      <c r="B67" s="46" t="str">
        <f>IFERROR(VLOOKUP($H67,매장구분!$B:$Z,2,0),"")</f>
        <v>리테일채널팀</v>
      </c>
      <c r="C67" s="46" t="str">
        <f>IFERROR(VLOOKUP($H67,매장구분!$B:$Z,3,0),"")</f>
        <v>국내</v>
      </c>
      <c r="D67" s="46" t="str">
        <f>IFERROR(VLOOKUP($H67,매장구분!$B:$Z,5,0),"")</f>
        <v>대리점</v>
      </c>
      <c r="E67" s="46" t="str">
        <f>IFERROR(VLOOKUP($H67,매장구분!$B:$Z,9,0),"")</f>
        <v>안산한대(대-위)</v>
      </c>
      <c r="F67" s="53"/>
      <c r="G67" s="54" t="s">
        <v>295</v>
      </c>
      <c r="H67" s="55" t="s">
        <v>296</v>
      </c>
      <c r="I67" s="55" t="s">
        <v>169</v>
      </c>
      <c r="J67" s="55" t="s">
        <v>79</v>
      </c>
      <c r="K67" s="55" t="s">
        <v>170</v>
      </c>
      <c r="L67" s="55" t="s">
        <v>171</v>
      </c>
      <c r="M67" s="55" t="s">
        <v>196</v>
      </c>
      <c r="N67" s="55" t="s">
        <v>197</v>
      </c>
      <c r="O67" s="55">
        <v>74251017</v>
      </c>
      <c r="P67" s="55">
        <v>639</v>
      </c>
      <c r="Q67" s="55">
        <v>0</v>
      </c>
      <c r="R67" s="55">
        <v>0</v>
      </c>
      <c r="S67" s="55">
        <v>0</v>
      </c>
      <c r="T67" s="55">
        <v>0</v>
      </c>
      <c r="U67" s="55">
        <v>8361186</v>
      </c>
      <c r="V67" s="55">
        <v>48</v>
      </c>
      <c r="W67" s="55">
        <v>0</v>
      </c>
      <c r="X67" s="55">
        <v>0</v>
      </c>
      <c r="Y67" s="56">
        <v>0</v>
      </c>
      <c r="Z67" s="55">
        <v>0</v>
      </c>
      <c r="AA67" s="55">
        <v>0</v>
      </c>
      <c r="AB67" s="55">
        <v>0</v>
      </c>
      <c r="AC67" s="55">
        <v>82612203</v>
      </c>
      <c r="AD67" s="57">
        <v>687</v>
      </c>
      <c r="AF67" s="47">
        <f t="shared" ref="AF67:AF130" si="1">IFERROR(AC67-Y67,"")</f>
        <v>82612203</v>
      </c>
    </row>
    <row r="68" spans="2:32" x14ac:dyDescent="0.3">
      <c r="B68" s="46" t="str">
        <f>IFERROR(VLOOKUP($H68,매장구분!$B:$Z,2,0),"")</f>
        <v>리테일채널팀</v>
      </c>
      <c r="C68" s="46" t="str">
        <f>IFERROR(VLOOKUP($H68,매장구분!$B:$Z,3,0),"")</f>
        <v>국내</v>
      </c>
      <c r="D68" s="46" t="str">
        <f>IFERROR(VLOOKUP($H68,매장구분!$B:$Z,5,0),"")</f>
        <v>대리점</v>
      </c>
      <c r="E68" s="46" t="str">
        <f>IFERROR(VLOOKUP($H68,매장구분!$B:$Z,9,0),"")</f>
        <v>안산시화(대-위)</v>
      </c>
      <c r="F68" s="58"/>
      <c r="G68" s="59" t="s">
        <v>291</v>
      </c>
      <c r="H68" s="60" t="s">
        <v>292</v>
      </c>
      <c r="I68" s="60" t="s">
        <v>169</v>
      </c>
      <c r="J68" s="60" t="s">
        <v>79</v>
      </c>
      <c r="K68" s="60" t="s">
        <v>170</v>
      </c>
      <c r="L68" s="60" t="s">
        <v>171</v>
      </c>
      <c r="M68" s="60" t="s">
        <v>196</v>
      </c>
      <c r="N68" s="60" t="s">
        <v>197</v>
      </c>
      <c r="O68" s="60">
        <v>108031190</v>
      </c>
      <c r="P68" s="60">
        <v>791</v>
      </c>
      <c r="Q68" s="60">
        <v>0</v>
      </c>
      <c r="R68" s="60">
        <v>0</v>
      </c>
      <c r="S68" s="60">
        <v>0</v>
      </c>
      <c r="T68" s="60">
        <v>0</v>
      </c>
      <c r="U68" s="60">
        <v>8897001</v>
      </c>
      <c r="V68" s="60">
        <v>56</v>
      </c>
      <c r="W68" s="60">
        <v>0</v>
      </c>
      <c r="X68" s="60">
        <v>0</v>
      </c>
      <c r="Y68" s="61">
        <v>0</v>
      </c>
      <c r="Z68" s="60">
        <v>0</v>
      </c>
      <c r="AA68" s="60">
        <v>0</v>
      </c>
      <c r="AB68" s="60">
        <v>0</v>
      </c>
      <c r="AC68" s="60">
        <v>116928191</v>
      </c>
      <c r="AD68" s="62">
        <v>847</v>
      </c>
      <c r="AF68" s="47">
        <f t="shared" si="1"/>
        <v>116928191</v>
      </c>
    </row>
    <row r="69" spans="2:32" x14ac:dyDescent="0.3">
      <c r="B69" s="46" t="str">
        <f>IFERROR(VLOOKUP($H69,매장구분!$B:$Z,2,0),"")</f>
        <v>리테일채널팀</v>
      </c>
      <c r="C69" s="46" t="str">
        <f>IFERROR(VLOOKUP($H69,매장구분!$B:$Z,3,0),"")</f>
        <v>국내</v>
      </c>
      <c r="D69" s="46" t="str">
        <f>IFERROR(VLOOKUP($H69,매장구분!$B:$Z,5,0),"")</f>
        <v>대리점</v>
      </c>
      <c r="E69" s="46" t="str">
        <f>IFERROR(VLOOKUP($H69,매장구분!$B:$Z,9,0),"")</f>
        <v>안산중앙(대-위)</v>
      </c>
      <c r="F69" s="53"/>
      <c r="G69" s="54" t="s">
        <v>307</v>
      </c>
      <c r="H69" s="55" t="s">
        <v>308</v>
      </c>
      <c r="I69" s="55" t="s">
        <v>169</v>
      </c>
      <c r="J69" s="55" t="s">
        <v>79</v>
      </c>
      <c r="K69" s="55" t="s">
        <v>170</v>
      </c>
      <c r="L69" s="55" t="s">
        <v>171</v>
      </c>
      <c r="M69" s="55" t="s">
        <v>196</v>
      </c>
      <c r="N69" s="55" t="s">
        <v>197</v>
      </c>
      <c r="O69" s="55">
        <v>72733881</v>
      </c>
      <c r="P69" s="55">
        <v>619</v>
      </c>
      <c r="Q69" s="55">
        <v>0</v>
      </c>
      <c r="R69" s="55">
        <v>0</v>
      </c>
      <c r="S69" s="55">
        <v>0</v>
      </c>
      <c r="T69" s="55">
        <v>0</v>
      </c>
      <c r="U69" s="55">
        <v>5037453</v>
      </c>
      <c r="V69" s="55">
        <v>23</v>
      </c>
      <c r="W69" s="55">
        <v>0</v>
      </c>
      <c r="X69" s="55">
        <v>0</v>
      </c>
      <c r="Y69" s="56">
        <v>37290000</v>
      </c>
      <c r="Z69" s="55">
        <v>260</v>
      </c>
      <c r="AA69" s="55">
        <v>0</v>
      </c>
      <c r="AB69" s="55">
        <v>0</v>
      </c>
      <c r="AC69" s="55">
        <v>115061334</v>
      </c>
      <c r="AD69" s="57">
        <v>902</v>
      </c>
      <c r="AF69" s="47">
        <f t="shared" si="1"/>
        <v>77771334</v>
      </c>
    </row>
    <row r="70" spans="2:32" x14ac:dyDescent="0.3">
      <c r="B70" s="46" t="str">
        <f>IFERROR(VLOOKUP($H70,매장구분!$B:$Z,2,0),"")</f>
        <v>리테일채널팀</v>
      </c>
      <c r="C70" s="46" t="str">
        <f>IFERROR(VLOOKUP($H70,매장구분!$B:$Z,3,0),"")</f>
        <v>국내</v>
      </c>
      <c r="D70" s="46" t="str">
        <f>IFERROR(VLOOKUP($H70,매장구분!$B:$Z,5,0),"")</f>
        <v>대리점</v>
      </c>
      <c r="E70" s="46" t="str">
        <f>IFERROR(VLOOKUP($H70,매장구분!$B:$Z,9,0),"")</f>
        <v>안성(대-위)</v>
      </c>
      <c r="F70" s="58"/>
      <c r="G70" s="59" t="s">
        <v>309</v>
      </c>
      <c r="H70" s="60" t="s">
        <v>310</v>
      </c>
      <c r="I70" s="60" t="s">
        <v>169</v>
      </c>
      <c r="J70" s="60" t="s">
        <v>79</v>
      </c>
      <c r="K70" s="60" t="s">
        <v>170</v>
      </c>
      <c r="L70" s="60" t="s">
        <v>171</v>
      </c>
      <c r="M70" s="60" t="s">
        <v>196</v>
      </c>
      <c r="N70" s="60" t="s">
        <v>197</v>
      </c>
      <c r="O70" s="60">
        <v>103102191</v>
      </c>
      <c r="P70" s="60">
        <v>936</v>
      </c>
      <c r="Q70" s="60">
        <v>0</v>
      </c>
      <c r="R70" s="60">
        <v>0</v>
      </c>
      <c r="S70" s="60">
        <v>0</v>
      </c>
      <c r="T70" s="60">
        <v>0</v>
      </c>
      <c r="U70" s="60">
        <v>2458200</v>
      </c>
      <c r="V70" s="60">
        <v>16</v>
      </c>
      <c r="W70" s="60">
        <v>0</v>
      </c>
      <c r="X70" s="60">
        <v>0</v>
      </c>
      <c r="Y70" s="61">
        <v>0</v>
      </c>
      <c r="Z70" s="60">
        <v>0</v>
      </c>
      <c r="AA70" s="60">
        <v>0</v>
      </c>
      <c r="AB70" s="60">
        <v>0</v>
      </c>
      <c r="AC70" s="60">
        <v>105560391</v>
      </c>
      <c r="AD70" s="62">
        <v>952</v>
      </c>
      <c r="AF70" s="47">
        <f t="shared" si="1"/>
        <v>105560391</v>
      </c>
    </row>
    <row r="71" spans="2:32" x14ac:dyDescent="0.3">
      <c r="B71" s="46" t="str">
        <f>IFERROR(VLOOKUP($H71,매장구분!$B:$Z,2,0),"")</f>
        <v>리테일채널팀</v>
      </c>
      <c r="C71" s="46" t="str">
        <f>IFERROR(VLOOKUP($H71,매장구분!$B:$Z,3,0),"")</f>
        <v>국내</v>
      </c>
      <c r="D71" s="46" t="str">
        <f>IFERROR(VLOOKUP($H71,매장구분!$B:$Z,5,0),"")</f>
        <v>대리점</v>
      </c>
      <c r="E71" s="46" t="str">
        <f>IFERROR(VLOOKUP($H71,매장구분!$B:$Z,9,0),"")</f>
        <v>춘천(대-위)</v>
      </c>
      <c r="F71" s="53"/>
      <c r="G71" s="54" t="s">
        <v>320</v>
      </c>
      <c r="H71" s="55" t="s">
        <v>321</v>
      </c>
      <c r="I71" s="55" t="s">
        <v>169</v>
      </c>
      <c r="J71" s="55" t="s">
        <v>79</v>
      </c>
      <c r="K71" s="55" t="s">
        <v>170</v>
      </c>
      <c r="L71" s="55" t="s">
        <v>171</v>
      </c>
      <c r="M71" s="55" t="s">
        <v>196</v>
      </c>
      <c r="N71" s="55" t="s">
        <v>197</v>
      </c>
      <c r="O71" s="55">
        <v>72825577</v>
      </c>
      <c r="P71" s="55">
        <v>818</v>
      </c>
      <c r="Q71" s="55">
        <v>0</v>
      </c>
      <c r="R71" s="55">
        <v>0</v>
      </c>
      <c r="S71" s="55">
        <v>0</v>
      </c>
      <c r="T71" s="55">
        <v>0</v>
      </c>
      <c r="U71" s="55">
        <v>3297419</v>
      </c>
      <c r="V71" s="55">
        <v>20</v>
      </c>
      <c r="W71" s="55">
        <v>0</v>
      </c>
      <c r="X71" s="55">
        <v>0</v>
      </c>
      <c r="Y71" s="56">
        <v>0</v>
      </c>
      <c r="Z71" s="55">
        <v>0</v>
      </c>
      <c r="AA71" s="55">
        <v>0</v>
      </c>
      <c r="AB71" s="55">
        <v>0</v>
      </c>
      <c r="AC71" s="55">
        <v>76122996</v>
      </c>
      <c r="AD71" s="57">
        <v>838</v>
      </c>
      <c r="AF71" s="47">
        <f t="shared" si="1"/>
        <v>76122996</v>
      </c>
    </row>
    <row r="72" spans="2:32" x14ac:dyDescent="0.3">
      <c r="B72" s="46" t="str">
        <f>IFERROR(VLOOKUP($H72,매장구분!$B:$Z,2,0),"")</f>
        <v>리테일채널팀</v>
      </c>
      <c r="C72" s="46" t="str">
        <f>IFERROR(VLOOKUP($H72,매장구분!$B:$Z,3,0),"")</f>
        <v>국내</v>
      </c>
      <c r="D72" s="46" t="str">
        <f>IFERROR(VLOOKUP($H72,매장구분!$B:$Z,5,0),"")</f>
        <v>대리점</v>
      </c>
      <c r="E72" s="46" t="str">
        <f>IFERROR(VLOOKUP($H72,매장구분!$B:$Z,9,0),"")</f>
        <v>제천(대-위)</v>
      </c>
      <c r="F72" s="58"/>
      <c r="G72" s="59" t="s">
        <v>311</v>
      </c>
      <c r="H72" s="60" t="s">
        <v>312</v>
      </c>
      <c r="I72" s="60" t="s">
        <v>169</v>
      </c>
      <c r="J72" s="60" t="s">
        <v>79</v>
      </c>
      <c r="K72" s="60" t="s">
        <v>170</v>
      </c>
      <c r="L72" s="60" t="s">
        <v>171</v>
      </c>
      <c r="M72" s="60" t="s">
        <v>196</v>
      </c>
      <c r="N72" s="60" t="s">
        <v>197</v>
      </c>
      <c r="O72" s="60">
        <v>46945731</v>
      </c>
      <c r="P72" s="60">
        <v>391</v>
      </c>
      <c r="Q72" s="60">
        <v>0</v>
      </c>
      <c r="R72" s="60">
        <v>0</v>
      </c>
      <c r="S72" s="60">
        <v>0</v>
      </c>
      <c r="T72" s="60">
        <v>0</v>
      </c>
      <c r="U72" s="60">
        <v>10151279</v>
      </c>
      <c r="V72" s="60">
        <v>31</v>
      </c>
      <c r="W72" s="60">
        <v>0</v>
      </c>
      <c r="X72" s="60">
        <v>0</v>
      </c>
      <c r="Y72" s="61">
        <v>7988400</v>
      </c>
      <c r="Z72" s="60">
        <v>84</v>
      </c>
      <c r="AA72" s="60">
        <v>0</v>
      </c>
      <c r="AB72" s="60">
        <v>0</v>
      </c>
      <c r="AC72" s="60">
        <v>65085410</v>
      </c>
      <c r="AD72" s="62">
        <v>506</v>
      </c>
      <c r="AF72" s="47">
        <f t="shared" si="1"/>
        <v>57097010</v>
      </c>
    </row>
    <row r="73" spans="2:32" x14ac:dyDescent="0.3">
      <c r="B73" s="46" t="str">
        <f>IFERROR(VLOOKUP($H73,매장구분!$B:$Z,2,0),"")</f>
        <v>파트너채널팀</v>
      </c>
      <c r="C73" s="46" t="str">
        <f>IFERROR(VLOOKUP($H73,매장구분!$B:$Z,3,0),"")</f>
        <v>면세</v>
      </c>
      <c r="D73" s="46" t="str">
        <f>IFERROR(VLOOKUP($H73,매장구분!$B:$Z,5,0),"")</f>
        <v>면세</v>
      </c>
      <c r="E73" s="46" t="str">
        <f>IFERROR(VLOOKUP($H73,매장구분!$B:$Z,9,0),"")</f>
        <v>신라면세장충</v>
      </c>
      <c r="F73" s="53"/>
      <c r="G73" s="54" t="s">
        <v>299</v>
      </c>
      <c r="H73" s="55" t="s">
        <v>300</v>
      </c>
      <c r="I73" s="55" t="s">
        <v>169</v>
      </c>
      <c r="J73" s="55" t="s">
        <v>175</v>
      </c>
      <c r="K73" s="55" t="s">
        <v>170</v>
      </c>
      <c r="L73" s="55" t="s">
        <v>171</v>
      </c>
      <c r="M73" s="55" t="s">
        <v>176</v>
      </c>
      <c r="N73" s="55" t="s">
        <v>177</v>
      </c>
      <c r="O73" s="55">
        <v>473222000</v>
      </c>
      <c r="P73" s="55">
        <v>4320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6">
        <v>1592734300</v>
      </c>
      <c r="Z73" s="55">
        <v>32551</v>
      </c>
      <c r="AA73" s="55">
        <v>0</v>
      </c>
      <c r="AB73" s="55">
        <v>0</v>
      </c>
      <c r="AC73" s="55">
        <v>2065956300</v>
      </c>
      <c r="AD73" s="57">
        <v>36871</v>
      </c>
      <c r="AF73" s="47">
        <f t="shared" si="1"/>
        <v>473222000</v>
      </c>
    </row>
    <row r="74" spans="2:32" x14ac:dyDescent="0.3">
      <c r="B74" s="46" t="str">
        <f>IFERROR(VLOOKUP($H74,매장구분!$B:$Z,2,0),"")</f>
        <v>파트너채널팀</v>
      </c>
      <c r="C74" s="46" t="str">
        <f>IFERROR(VLOOKUP($H74,매장구분!$B:$Z,3,0),"")</f>
        <v>국내</v>
      </c>
      <c r="D74" s="46" t="str">
        <f>IFERROR(VLOOKUP($H74,매장구분!$B:$Z,5,0),"")</f>
        <v>백화점</v>
      </c>
      <c r="E74" s="46" t="str">
        <f>IFERROR(VLOOKUP($H74,매장구분!$B:$Z,9,0),"")</f>
        <v>현대신촌</v>
      </c>
      <c r="F74" s="58"/>
      <c r="G74" s="59" t="s">
        <v>297</v>
      </c>
      <c r="H74" s="60" t="s">
        <v>298</v>
      </c>
      <c r="I74" s="60" t="s">
        <v>169</v>
      </c>
      <c r="J74" s="60" t="s">
        <v>175</v>
      </c>
      <c r="K74" s="60" t="s">
        <v>170</v>
      </c>
      <c r="L74" s="60" t="s">
        <v>171</v>
      </c>
      <c r="M74" s="60" t="s">
        <v>77</v>
      </c>
      <c r="N74" s="60" t="s">
        <v>172</v>
      </c>
      <c r="O74" s="60">
        <v>42101817</v>
      </c>
      <c r="P74" s="60">
        <v>522</v>
      </c>
      <c r="Q74" s="60">
        <v>3995000</v>
      </c>
      <c r="R74" s="60">
        <v>109</v>
      </c>
      <c r="S74" s="60">
        <v>0</v>
      </c>
      <c r="T74" s="60">
        <v>0</v>
      </c>
      <c r="U74" s="60">
        <v>2995383</v>
      </c>
      <c r="V74" s="60">
        <v>24</v>
      </c>
      <c r="W74" s="60">
        <v>0</v>
      </c>
      <c r="X74" s="60">
        <v>0</v>
      </c>
      <c r="Y74" s="61">
        <v>80316100</v>
      </c>
      <c r="Z74" s="60">
        <v>461</v>
      </c>
      <c r="AA74" s="60">
        <v>0</v>
      </c>
      <c r="AB74" s="60">
        <v>0</v>
      </c>
      <c r="AC74" s="60">
        <v>129408300</v>
      </c>
      <c r="AD74" s="62">
        <v>1116</v>
      </c>
      <c r="AF74" s="47">
        <f t="shared" si="1"/>
        <v>49092200</v>
      </c>
    </row>
    <row r="75" spans="2:32" x14ac:dyDescent="0.3">
      <c r="B75" s="46" t="str">
        <f>IFERROR(VLOOKUP($H75,매장구분!$B:$Z,2,0),"")</f>
        <v>파트너채널팀</v>
      </c>
      <c r="C75" s="46" t="str">
        <f>IFERROR(VLOOKUP($H75,매장구분!$B:$Z,3,0),"")</f>
        <v>국내</v>
      </c>
      <c r="D75" s="46" t="str">
        <f>IFERROR(VLOOKUP($H75,매장구분!$B:$Z,5,0),"")</f>
        <v>백화점</v>
      </c>
      <c r="E75" s="46" t="str">
        <f>IFERROR(VLOOKUP($H75,매장구분!$B:$Z,9,0),"")</f>
        <v>에버세이브청주</v>
      </c>
      <c r="F75" s="53"/>
      <c r="G75" s="54" t="s">
        <v>328</v>
      </c>
      <c r="H75" s="55" t="s">
        <v>329</v>
      </c>
      <c r="I75" s="55" t="s">
        <v>169</v>
      </c>
      <c r="J75" s="55" t="s">
        <v>175</v>
      </c>
      <c r="K75" s="55" t="s">
        <v>170</v>
      </c>
      <c r="L75" s="55" t="s">
        <v>171</v>
      </c>
      <c r="M75" s="55" t="s">
        <v>77</v>
      </c>
      <c r="N75" s="55" t="s">
        <v>238</v>
      </c>
      <c r="O75" s="55">
        <v>57524206</v>
      </c>
      <c r="P75" s="55">
        <v>520</v>
      </c>
      <c r="Q75" s="55">
        <v>0</v>
      </c>
      <c r="R75" s="55">
        <v>0</v>
      </c>
      <c r="S75" s="55">
        <v>0</v>
      </c>
      <c r="T75" s="55">
        <v>0</v>
      </c>
      <c r="U75" s="55">
        <v>4180494</v>
      </c>
      <c r="V75" s="55">
        <v>26</v>
      </c>
      <c r="W75" s="55">
        <v>0</v>
      </c>
      <c r="X75" s="55">
        <v>0</v>
      </c>
      <c r="Y75" s="56">
        <v>0</v>
      </c>
      <c r="Z75" s="55">
        <v>0</v>
      </c>
      <c r="AA75" s="55">
        <v>0</v>
      </c>
      <c r="AB75" s="55">
        <v>0</v>
      </c>
      <c r="AC75" s="55">
        <v>61704700</v>
      </c>
      <c r="AD75" s="57">
        <v>546</v>
      </c>
      <c r="AF75" s="47">
        <f t="shared" si="1"/>
        <v>61704700</v>
      </c>
    </row>
    <row r="76" spans="2:32" x14ac:dyDescent="0.3">
      <c r="B76" s="46" t="str">
        <f>IFERROR(VLOOKUP($H76,매장구분!$B:$Z,2,0),"")</f>
        <v>리테일채널팀</v>
      </c>
      <c r="C76" s="46" t="str">
        <f>IFERROR(VLOOKUP($H76,매장구분!$B:$Z,3,0),"")</f>
        <v>국내</v>
      </c>
      <c r="D76" s="46" t="str">
        <f>IFERROR(VLOOKUP($H76,매장구분!$B:$Z,5,0),"")</f>
        <v>대리점</v>
      </c>
      <c r="E76" s="46" t="str">
        <f>IFERROR(VLOOKUP($H76,매장구분!$B:$Z,9,0),"")</f>
        <v>일산덕이(대-위)</v>
      </c>
      <c r="F76" s="58"/>
      <c r="G76" s="59" t="s">
        <v>580</v>
      </c>
      <c r="H76" s="60" t="s">
        <v>581</v>
      </c>
      <c r="I76" s="60" t="s">
        <v>169</v>
      </c>
      <c r="J76" s="60" t="s">
        <v>79</v>
      </c>
      <c r="K76" s="60" t="s">
        <v>170</v>
      </c>
      <c r="L76" s="60" t="s">
        <v>171</v>
      </c>
      <c r="M76" s="60" t="s">
        <v>196</v>
      </c>
      <c r="N76" s="60" t="s">
        <v>197</v>
      </c>
      <c r="O76" s="60">
        <v>29253949</v>
      </c>
      <c r="P76" s="60">
        <v>245</v>
      </c>
      <c r="Q76" s="60">
        <v>0</v>
      </c>
      <c r="R76" s="60">
        <v>0</v>
      </c>
      <c r="S76" s="60">
        <v>0</v>
      </c>
      <c r="T76" s="60">
        <v>0</v>
      </c>
      <c r="U76" s="60">
        <v>1218300</v>
      </c>
      <c r="V76" s="60">
        <v>8</v>
      </c>
      <c r="W76" s="60">
        <v>0</v>
      </c>
      <c r="X76" s="60">
        <v>0</v>
      </c>
      <c r="Y76" s="61">
        <v>0</v>
      </c>
      <c r="Z76" s="60">
        <v>0</v>
      </c>
      <c r="AA76" s="60">
        <v>0</v>
      </c>
      <c r="AB76" s="60">
        <v>0</v>
      </c>
      <c r="AC76" s="60">
        <v>30472249</v>
      </c>
      <c r="AD76" s="62">
        <v>253</v>
      </c>
      <c r="AF76" s="47">
        <f t="shared" si="1"/>
        <v>30472249</v>
      </c>
    </row>
    <row r="77" spans="2:32" x14ac:dyDescent="0.3">
      <c r="B77" s="46" t="str">
        <f>IFERROR(VLOOKUP($H77,매장구분!$B:$Z,2,0),"")</f>
        <v>리테일채널팀</v>
      </c>
      <c r="C77" s="46" t="str">
        <f>IFERROR(VLOOKUP($H77,매장구분!$B:$Z,3,0),"")</f>
        <v>국내</v>
      </c>
      <c r="D77" s="46" t="str">
        <f>IFERROR(VLOOKUP($H77,매장구분!$B:$Z,5,0),"")</f>
        <v>대리점</v>
      </c>
      <c r="E77" s="46" t="str">
        <f>IFERROR(VLOOKUP($H77,매장구분!$B:$Z,9,0),"")</f>
        <v>시흥(대-위)</v>
      </c>
      <c r="F77" s="53"/>
      <c r="G77" s="54" t="s">
        <v>330</v>
      </c>
      <c r="H77" s="55" t="s">
        <v>331</v>
      </c>
      <c r="I77" s="55" t="s">
        <v>169</v>
      </c>
      <c r="J77" s="55" t="s">
        <v>79</v>
      </c>
      <c r="K77" s="55" t="s">
        <v>170</v>
      </c>
      <c r="L77" s="55" t="s">
        <v>171</v>
      </c>
      <c r="M77" s="55" t="s">
        <v>196</v>
      </c>
      <c r="N77" s="55" t="s">
        <v>197</v>
      </c>
      <c r="O77" s="55">
        <v>32246467</v>
      </c>
      <c r="P77" s="55">
        <v>296</v>
      </c>
      <c r="Q77" s="55">
        <v>0</v>
      </c>
      <c r="R77" s="55">
        <v>0</v>
      </c>
      <c r="S77" s="55">
        <v>0</v>
      </c>
      <c r="T77" s="55">
        <v>0</v>
      </c>
      <c r="U77" s="55">
        <v>1470692</v>
      </c>
      <c r="V77" s="55">
        <v>9</v>
      </c>
      <c r="W77" s="55">
        <v>0</v>
      </c>
      <c r="X77" s="55">
        <v>0</v>
      </c>
      <c r="Y77" s="56">
        <v>0</v>
      </c>
      <c r="Z77" s="55">
        <v>0</v>
      </c>
      <c r="AA77" s="55">
        <v>0</v>
      </c>
      <c r="AB77" s="55">
        <v>0</v>
      </c>
      <c r="AC77" s="55">
        <v>33717159</v>
      </c>
      <c r="AD77" s="57">
        <v>305</v>
      </c>
      <c r="AF77" s="47">
        <f t="shared" si="1"/>
        <v>33717159</v>
      </c>
    </row>
    <row r="78" spans="2:32" x14ac:dyDescent="0.3">
      <c r="B78" s="46" t="str">
        <f>IFERROR(VLOOKUP($H78,매장구분!$B:$Z,2,0),"")</f>
        <v>리테일채널팀</v>
      </c>
      <c r="C78" s="46" t="str">
        <f>IFERROR(VLOOKUP($H78,매장구분!$B:$Z,3,0),"")</f>
        <v>국내</v>
      </c>
      <c r="D78" s="46" t="str">
        <f>IFERROR(VLOOKUP($H78,매장구분!$B:$Z,5,0),"")</f>
        <v>대리점</v>
      </c>
      <c r="E78" s="46" t="str">
        <f>IFERROR(VLOOKUP($H78,매장구분!$B:$Z,9,0),"")</f>
        <v>충주(대-위)</v>
      </c>
      <c r="F78" s="58"/>
      <c r="G78" s="59" t="s">
        <v>322</v>
      </c>
      <c r="H78" s="60" t="s">
        <v>323</v>
      </c>
      <c r="I78" s="60" t="s">
        <v>169</v>
      </c>
      <c r="J78" s="60" t="s">
        <v>79</v>
      </c>
      <c r="K78" s="60" t="s">
        <v>170</v>
      </c>
      <c r="L78" s="60" t="s">
        <v>171</v>
      </c>
      <c r="M78" s="60" t="s">
        <v>196</v>
      </c>
      <c r="N78" s="60" t="s">
        <v>197</v>
      </c>
      <c r="O78" s="60">
        <v>35636656</v>
      </c>
      <c r="P78" s="60">
        <v>338</v>
      </c>
      <c r="Q78" s="60">
        <v>0</v>
      </c>
      <c r="R78" s="60">
        <v>0</v>
      </c>
      <c r="S78" s="60">
        <v>0</v>
      </c>
      <c r="T78" s="60">
        <v>0</v>
      </c>
      <c r="U78" s="60">
        <v>0</v>
      </c>
      <c r="V78" s="60">
        <v>0</v>
      </c>
      <c r="W78" s="60">
        <v>0</v>
      </c>
      <c r="X78" s="60">
        <v>0</v>
      </c>
      <c r="Y78" s="61">
        <v>56332637</v>
      </c>
      <c r="Z78" s="60">
        <v>434</v>
      </c>
      <c r="AA78" s="60">
        <v>0</v>
      </c>
      <c r="AB78" s="60">
        <v>0</v>
      </c>
      <c r="AC78" s="60">
        <v>91969293</v>
      </c>
      <c r="AD78" s="62">
        <v>772</v>
      </c>
      <c r="AF78" s="47">
        <f t="shared" si="1"/>
        <v>35636656</v>
      </c>
    </row>
    <row r="79" spans="2:32" x14ac:dyDescent="0.3">
      <c r="B79" s="46" t="str">
        <f>IFERROR(VLOOKUP($H79,매장구분!$B:$Z,2,0),"")</f>
        <v>리테일채널팀</v>
      </c>
      <c r="C79" s="46" t="str">
        <f>IFERROR(VLOOKUP($H79,매장구분!$B:$Z,3,0),"")</f>
        <v>국내</v>
      </c>
      <c r="D79" s="46" t="str">
        <f>IFERROR(VLOOKUP($H79,매장구분!$B:$Z,5,0),"")</f>
        <v>대리점</v>
      </c>
      <c r="E79" s="46" t="str">
        <f>IFERROR(VLOOKUP($H79,매장구분!$B:$Z,9,0),"")</f>
        <v>정읍(대-위)</v>
      </c>
      <c r="F79" s="53"/>
      <c r="G79" s="54" t="s">
        <v>318</v>
      </c>
      <c r="H79" s="55" t="s">
        <v>319</v>
      </c>
      <c r="I79" s="55" t="s">
        <v>169</v>
      </c>
      <c r="J79" s="55" t="s">
        <v>79</v>
      </c>
      <c r="K79" s="55" t="s">
        <v>170</v>
      </c>
      <c r="L79" s="55" t="s">
        <v>171</v>
      </c>
      <c r="M79" s="55" t="s">
        <v>196</v>
      </c>
      <c r="N79" s="55" t="s">
        <v>197</v>
      </c>
      <c r="O79" s="55">
        <v>37267345</v>
      </c>
      <c r="P79" s="55">
        <v>363</v>
      </c>
      <c r="Q79" s="55">
        <v>0</v>
      </c>
      <c r="R79" s="55">
        <v>0</v>
      </c>
      <c r="S79" s="55">
        <v>0</v>
      </c>
      <c r="T79" s="55">
        <v>0</v>
      </c>
      <c r="U79" s="55">
        <v>3611100</v>
      </c>
      <c r="V79" s="55">
        <v>25</v>
      </c>
      <c r="W79" s="55">
        <v>0</v>
      </c>
      <c r="X79" s="55">
        <v>0</v>
      </c>
      <c r="Y79" s="56">
        <v>0</v>
      </c>
      <c r="Z79" s="55">
        <v>0</v>
      </c>
      <c r="AA79" s="55">
        <v>0</v>
      </c>
      <c r="AB79" s="55">
        <v>0</v>
      </c>
      <c r="AC79" s="55">
        <v>40878445</v>
      </c>
      <c r="AD79" s="57">
        <v>388</v>
      </c>
      <c r="AF79" s="47">
        <f t="shared" si="1"/>
        <v>40878445</v>
      </c>
    </row>
    <row r="80" spans="2:32" x14ac:dyDescent="0.3">
      <c r="B80" s="46" t="str">
        <f>IFERROR(VLOOKUP($H80,매장구분!$B:$Z,2,0),"")</f>
        <v>리테일채널팀</v>
      </c>
      <c r="C80" s="46" t="str">
        <f>IFERROR(VLOOKUP($H80,매장구분!$B:$Z,3,0),"")</f>
        <v>국내</v>
      </c>
      <c r="D80" s="46" t="str">
        <f>IFERROR(VLOOKUP($H80,매장구분!$B:$Z,5,0),"")</f>
        <v>상설(위탁)</v>
      </c>
      <c r="E80" s="46" t="str">
        <f>IFERROR(VLOOKUP($H80,매장구분!$B:$Z,9,0),"")</f>
        <v>현대아울렛대전(상-위)</v>
      </c>
      <c r="F80" s="58"/>
      <c r="G80" s="59" t="s">
        <v>287</v>
      </c>
      <c r="H80" s="60" t="s">
        <v>288</v>
      </c>
      <c r="I80" s="60" t="s">
        <v>169</v>
      </c>
      <c r="J80" s="60" t="s">
        <v>79</v>
      </c>
      <c r="K80" s="60" t="s">
        <v>170</v>
      </c>
      <c r="L80" s="60" t="s">
        <v>171</v>
      </c>
      <c r="M80" s="60" t="s">
        <v>219</v>
      </c>
      <c r="N80" s="60" t="s">
        <v>219</v>
      </c>
      <c r="O80" s="60">
        <v>288000</v>
      </c>
      <c r="P80" s="60">
        <v>8</v>
      </c>
      <c r="Q80" s="60">
        <v>0</v>
      </c>
      <c r="R80" s="60">
        <v>0</v>
      </c>
      <c r="S80" s="60">
        <v>0</v>
      </c>
      <c r="T80" s="60">
        <v>0</v>
      </c>
      <c r="U80" s="60">
        <v>0</v>
      </c>
      <c r="V80" s="60">
        <v>0</v>
      </c>
      <c r="W80" s="60">
        <v>0</v>
      </c>
      <c r="X80" s="60">
        <v>0</v>
      </c>
      <c r="Y80" s="61">
        <v>0</v>
      </c>
      <c r="Z80" s="60">
        <v>0</v>
      </c>
      <c r="AA80" s="60">
        <v>0</v>
      </c>
      <c r="AB80" s="60">
        <v>0</v>
      </c>
      <c r="AC80" s="60">
        <v>288000</v>
      </c>
      <c r="AD80" s="62">
        <v>8</v>
      </c>
      <c r="AF80" s="47">
        <f t="shared" si="1"/>
        <v>288000</v>
      </c>
    </row>
    <row r="81" spans="2:32" x14ac:dyDescent="0.3">
      <c r="B81" s="46" t="str">
        <f>IFERROR(VLOOKUP($H81,매장구분!$B:$Z,2,0),"")</f>
        <v>리테일채널팀</v>
      </c>
      <c r="C81" s="46" t="str">
        <f>IFERROR(VLOOKUP($H81,매장구분!$B:$Z,3,0),"")</f>
        <v>국내</v>
      </c>
      <c r="D81" s="46" t="str">
        <f>IFERROR(VLOOKUP($H81,매장구분!$B:$Z,5,0),"")</f>
        <v>상설(위탁)</v>
      </c>
      <c r="E81" s="46" t="str">
        <f>IFERROR(VLOOKUP($H81,매장구분!$B:$Z,9,0),"")</f>
        <v>신세계아울렛여주(상-위)</v>
      </c>
      <c r="F81" s="53"/>
      <c r="G81" s="54" t="s">
        <v>380</v>
      </c>
      <c r="H81" s="55" t="s">
        <v>381</v>
      </c>
      <c r="I81" s="55" t="s">
        <v>169</v>
      </c>
      <c r="J81" s="55" t="s">
        <v>79</v>
      </c>
      <c r="K81" s="55" t="s">
        <v>170</v>
      </c>
      <c r="L81" s="55" t="s">
        <v>171</v>
      </c>
      <c r="M81" s="55" t="s">
        <v>219</v>
      </c>
      <c r="N81" s="55" t="s">
        <v>219</v>
      </c>
      <c r="O81" s="55">
        <v>16092000</v>
      </c>
      <c r="P81" s="55">
        <v>447</v>
      </c>
      <c r="Q81" s="55">
        <v>0</v>
      </c>
      <c r="R81" s="55">
        <v>0</v>
      </c>
      <c r="S81" s="55">
        <v>0</v>
      </c>
      <c r="T81" s="55">
        <v>0</v>
      </c>
      <c r="U81" s="55">
        <v>0</v>
      </c>
      <c r="V81" s="55">
        <v>0</v>
      </c>
      <c r="W81" s="55">
        <v>0</v>
      </c>
      <c r="X81" s="55">
        <v>0</v>
      </c>
      <c r="Y81" s="56">
        <v>0</v>
      </c>
      <c r="Z81" s="55">
        <v>0</v>
      </c>
      <c r="AA81" s="55">
        <v>0</v>
      </c>
      <c r="AB81" s="55">
        <v>0</v>
      </c>
      <c r="AC81" s="55">
        <v>16092000</v>
      </c>
      <c r="AD81" s="57">
        <v>447</v>
      </c>
      <c r="AF81" s="47">
        <f t="shared" si="1"/>
        <v>16092000</v>
      </c>
    </row>
    <row r="82" spans="2:32" x14ac:dyDescent="0.3">
      <c r="B82" s="46" t="str">
        <f>IFERROR(VLOOKUP($H82,매장구분!$B:$Z,2,0),"")</f>
        <v>리테일채널팀</v>
      </c>
      <c r="C82" s="46" t="str">
        <f>IFERROR(VLOOKUP($H82,매장구분!$B:$Z,3,0),"")</f>
        <v>국내</v>
      </c>
      <c r="D82" s="46" t="str">
        <f>IFERROR(VLOOKUP($H82,매장구분!$B:$Z,5,0),"")</f>
        <v>상설(위탁)</v>
      </c>
      <c r="E82" s="46" t="str">
        <f>IFERROR(VLOOKUP($H82,매장구분!$B:$Z,9,0),"")</f>
        <v>NC송파(상-위)</v>
      </c>
      <c r="F82" s="58"/>
      <c r="G82" s="59" t="s">
        <v>378</v>
      </c>
      <c r="H82" s="60" t="s">
        <v>379</v>
      </c>
      <c r="I82" s="60" t="s">
        <v>169</v>
      </c>
      <c r="J82" s="60" t="s">
        <v>79</v>
      </c>
      <c r="K82" s="60" t="s">
        <v>170</v>
      </c>
      <c r="L82" s="60" t="s">
        <v>171</v>
      </c>
      <c r="M82" s="60" t="s">
        <v>77</v>
      </c>
      <c r="N82" s="60" t="s">
        <v>238</v>
      </c>
      <c r="O82" s="60">
        <v>3816000</v>
      </c>
      <c r="P82" s="60">
        <v>106</v>
      </c>
      <c r="Q82" s="60">
        <v>0</v>
      </c>
      <c r="R82" s="60">
        <v>0</v>
      </c>
      <c r="S82" s="60">
        <v>0</v>
      </c>
      <c r="T82" s="60">
        <v>0</v>
      </c>
      <c r="U82" s="60">
        <v>0</v>
      </c>
      <c r="V82" s="60">
        <v>0</v>
      </c>
      <c r="W82" s="60">
        <v>0</v>
      </c>
      <c r="X82" s="60">
        <v>0</v>
      </c>
      <c r="Y82" s="61">
        <v>0</v>
      </c>
      <c r="Z82" s="60">
        <v>0</v>
      </c>
      <c r="AA82" s="60">
        <v>0</v>
      </c>
      <c r="AB82" s="60">
        <v>0</v>
      </c>
      <c r="AC82" s="60">
        <v>3816000</v>
      </c>
      <c r="AD82" s="62">
        <v>106</v>
      </c>
      <c r="AF82" s="47">
        <f t="shared" si="1"/>
        <v>3816000</v>
      </c>
    </row>
    <row r="83" spans="2:32" x14ac:dyDescent="0.3">
      <c r="B83" s="46" t="str">
        <f>IFERROR(VLOOKUP($H83,매장구분!$B:$Z,2,0),"")</f>
        <v>파트너채널팀</v>
      </c>
      <c r="C83" s="46" t="str">
        <f>IFERROR(VLOOKUP($H83,매장구분!$B:$Z,3,0),"")</f>
        <v>국내</v>
      </c>
      <c r="D83" s="46" t="str">
        <f>IFERROR(VLOOKUP($H83,매장구분!$B:$Z,5,0),"")</f>
        <v>백화점</v>
      </c>
      <c r="E83" s="46" t="str">
        <f>IFERROR(VLOOKUP($H83,매장구분!$B:$Z,9,0),"")</f>
        <v>신세계경기</v>
      </c>
      <c r="F83" s="53"/>
      <c r="G83" s="54" t="s">
        <v>356</v>
      </c>
      <c r="H83" s="55" t="s">
        <v>357</v>
      </c>
      <c r="I83" s="55" t="s">
        <v>169</v>
      </c>
      <c r="J83" s="55" t="s">
        <v>175</v>
      </c>
      <c r="K83" s="55" t="s">
        <v>170</v>
      </c>
      <c r="L83" s="55" t="s">
        <v>171</v>
      </c>
      <c r="M83" s="55" t="s">
        <v>77</v>
      </c>
      <c r="N83" s="55" t="s">
        <v>172</v>
      </c>
      <c r="O83" s="55">
        <v>120935000</v>
      </c>
      <c r="P83" s="55">
        <v>1054</v>
      </c>
      <c r="Q83" s="55">
        <v>0</v>
      </c>
      <c r="R83" s="55">
        <v>0</v>
      </c>
      <c r="S83" s="55">
        <v>0</v>
      </c>
      <c r="T83" s="55">
        <v>0</v>
      </c>
      <c r="U83" s="55">
        <v>1194000</v>
      </c>
      <c r="V83" s="55">
        <v>10</v>
      </c>
      <c r="W83" s="55">
        <v>0</v>
      </c>
      <c r="X83" s="55">
        <v>0</v>
      </c>
      <c r="Y83" s="56">
        <v>0</v>
      </c>
      <c r="Z83" s="55">
        <v>0</v>
      </c>
      <c r="AA83" s="55">
        <v>0</v>
      </c>
      <c r="AB83" s="55">
        <v>0</v>
      </c>
      <c r="AC83" s="55">
        <v>122129000</v>
      </c>
      <c r="AD83" s="57">
        <v>1064</v>
      </c>
      <c r="AF83" s="47">
        <f t="shared" si="1"/>
        <v>122129000</v>
      </c>
    </row>
    <row r="84" spans="2:32" x14ac:dyDescent="0.3">
      <c r="B84" s="46" t="str">
        <f>IFERROR(VLOOKUP($H84,매장구분!$B:$Z,2,0),"")</f>
        <v>리테일채널팀</v>
      </c>
      <c r="C84" s="46" t="str">
        <f>IFERROR(VLOOKUP($H84,매장구분!$B:$Z,3,0),"")</f>
        <v>국내</v>
      </c>
      <c r="D84" s="46" t="str">
        <f>IFERROR(VLOOKUP($H84,매장구분!$B:$Z,5,0),"")</f>
        <v>대리점</v>
      </c>
      <c r="E84" s="46" t="str">
        <f>IFERROR(VLOOKUP($H84,매장구분!$B:$Z,9,0),"")</f>
        <v>부평(대-위)</v>
      </c>
      <c r="F84" s="58"/>
      <c r="G84" s="59" t="s">
        <v>588</v>
      </c>
      <c r="H84" s="60" t="s">
        <v>589</v>
      </c>
      <c r="I84" s="60" t="s">
        <v>169</v>
      </c>
      <c r="J84" s="60" t="s">
        <v>79</v>
      </c>
      <c r="K84" s="60" t="s">
        <v>170</v>
      </c>
      <c r="L84" s="60" t="s">
        <v>171</v>
      </c>
      <c r="M84" s="60" t="s">
        <v>196</v>
      </c>
      <c r="N84" s="60" t="s">
        <v>197</v>
      </c>
      <c r="O84" s="60">
        <v>62896100</v>
      </c>
      <c r="P84" s="60">
        <v>606</v>
      </c>
      <c r="Q84" s="60">
        <v>0</v>
      </c>
      <c r="R84" s="60">
        <v>0</v>
      </c>
      <c r="S84" s="60">
        <v>0</v>
      </c>
      <c r="T84" s="60">
        <v>0</v>
      </c>
      <c r="U84" s="60">
        <v>7247200</v>
      </c>
      <c r="V84" s="60">
        <v>41</v>
      </c>
      <c r="W84" s="60">
        <v>0</v>
      </c>
      <c r="X84" s="60">
        <v>0</v>
      </c>
      <c r="Y84" s="61">
        <v>0</v>
      </c>
      <c r="Z84" s="60">
        <v>0</v>
      </c>
      <c r="AA84" s="60">
        <v>0</v>
      </c>
      <c r="AB84" s="60">
        <v>0</v>
      </c>
      <c r="AC84" s="60">
        <v>70143300</v>
      </c>
      <c r="AD84" s="62">
        <v>647</v>
      </c>
      <c r="AF84" s="47">
        <f t="shared" si="1"/>
        <v>70143300</v>
      </c>
    </row>
    <row r="85" spans="2:32" x14ac:dyDescent="0.3">
      <c r="B85" s="46" t="str">
        <f>IFERROR(VLOOKUP($H85,매장구분!$B:$Z,2,0),"")</f>
        <v>파트너채널팀</v>
      </c>
      <c r="C85" s="46" t="str">
        <f>IFERROR(VLOOKUP($H85,매장구분!$B:$Z,3,0),"")</f>
        <v>국내</v>
      </c>
      <c r="D85" s="46" t="str">
        <f>IFERROR(VLOOKUP($H85,매장구분!$B:$Z,5,0),"")</f>
        <v>백화점</v>
      </c>
      <c r="E85" s="46" t="str">
        <f>IFERROR(VLOOKUP($H85,매장구분!$B:$Z,9,0),"")</f>
        <v>롯데건대</v>
      </c>
      <c r="F85" s="53"/>
      <c r="G85" s="54" t="s">
        <v>354</v>
      </c>
      <c r="H85" s="55" t="s">
        <v>355</v>
      </c>
      <c r="I85" s="55" t="s">
        <v>169</v>
      </c>
      <c r="J85" s="55" t="s">
        <v>175</v>
      </c>
      <c r="K85" s="55" t="s">
        <v>170</v>
      </c>
      <c r="L85" s="55" t="s">
        <v>171</v>
      </c>
      <c r="M85" s="55" t="s">
        <v>77</v>
      </c>
      <c r="N85" s="55" t="s">
        <v>172</v>
      </c>
      <c r="O85" s="55">
        <v>72157300</v>
      </c>
      <c r="P85" s="55">
        <v>590</v>
      </c>
      <c r="Q85" s="55">
        <v>0</v>
      </c>
      <c r="R85" s="55">
        <v>0</v>
      </c>
      <c r="S85" s="55">
        <v>0</v>
      </c>
      <c r="T85" s="55">
        <v>0</v>
      </c>
      <c r="U85" s="55">
        <v>3740300</v>
      </c>
      <c r="V85" s="55">
        <v>25</v>
      </c>
      <c r="W85" s="55">
        <v>0</v>
      </c>
      <c r="X85" s="55">
        <v>0</v>
      </c>
      <c r="Y85" s="56">
        <v>26509400</v>
      </c>
      <c r="Z85" s="55">
        <v>192</v>
      </c>
      <c r="AA85" s="55">
        <v>0</v>
      </c>
      <c r="AB85" s="55">
        <v>0</v>
      </c>
      <c r="AC85" s="55">
        <v>102407000</v>
      </c>
      <c r="AD85" s="57">
        <v>807</v>
      </c>
      <c r="AF85" s="47">
        <f t="shared" si="1"/>
        <v>75897600</v>
      </c>
    </row>
    <row r="86" spans="2:32" x14ac:dyDescent="0.3">
      <c r="B86" s="46" t="str">
        <f>IFERROR(VLOOKUP($H86,매장구분!$B:$Z,2,0),"")</f>
        <v>리테일채널팀</v>
      </c>
      <c r="C86" s="46" t="str">
        <f>IFERROR(VLOOKUP($H86,매장구분!$B:$Z,3,0),"")</f>
        <v>국내</v>
      </c>
      <c r="D86" s="46" t="str">
        <f>IFERROR(VLOOKUP($H86,매장구분!$B:$Z,5,0),"")</f>
        <v>대리점</v>
      </c>
      <c r="E86" s="46" t="str">
        <f>IFERROR(VLOOKUP($H86,매장구분!$B:$Z,9,0),"")</f>
        <v>대구칠곡(대-위)</v>
      </c>
      <c r="F86" s="58"/>
      <c r="G86" s="59" t="s">
        <v>364</v>
      </c>
      <c r="H86" s="60" t="s">
        <v>365</v>
      </c>
      <c r="I86" s="60" t="s">
        <v>169</v>
      </c>
      <c r="J86" s="60" t="s">
        <v>79</v>
      </c>
      <c r="K86" s="60" t="s">
        <v>170</v>
      </c>
      <c r="L86" s="60" t="s">
        <v>171</v>
      </c>
      <c r="M86" s="60" t="s">
        <v>196</v>
      </c>
      <c r="N86" s="60" t="s">
        <v>197</v>
      </c>
      <c r="O86" s="60">
        <v>33153667</v>
      </c>
      <c r="P86" s="60">
        <v>286</v>
      </c>
      <c r="Q86" s="60">
        <v>0</v>
      </c>
      <c r="R86" s="60">
        <v>0</v>
      </c>
      <c r="S86" s="60">
        <v>0</v>
      </c>
      <c r="T86" s="60">
        <v>0</v>
      </c>
      <c r="U86" s="60">
        <v>3617122</v>
      </c>
      <c r="V86" s="60">
        <v>17</v>
      </c>
      <c r="W86" s="60">
        <v>0</v>
      </c>
      <c r="X86" s="60">
        <v>0</v>
      </c>
      <c r="Y86" s="61">
        <v>0</v>
      </c>
      <c r="Z86" s="60">
        <v>0</v>
      </c>
      <c r="AA86" s="60">
        <v>0</v>
      </c>
      <c r="AB86" s="60">
        <v>0</v>
      </c>
      <c r="AC86" s="60">
        <v>36770789</v>
      </c>
      <c r="AD86" s="62">
        <v>303</v>
      </c>
      <c r="AF86" s="47">
        <f t="shared" si="1"/>
        <v>36770789</v>
      </c>
    </row>
    <row r="87" spans="2:32" x14ac:dyDescent="0.3">
      <c r="B87" s="46" t="str">
        <f>IFERROR(VLOOKUP($H87,매장구분!$B:$Z,2,0),"")</f>
        <v>리테일채널팀</v>
      </c>
      <c r="C87" s="46" t="str">
        <f>IFERROR(VLOOKUP($H87,매장구분!$B:$Z,3,0),"")</f>
        <v>RF</v>
      </c>
      <c r="D87" s="46" t="str">
        <f>IFERROR(VLOOKUP($H87,매장구분!$B:$Z,5,0),"")</f>
        <v>대리점</v>
      </c>
      <c r="E87" s="46" t="str">
        <f>IFERROR(VLOOKUP($H87,매장구분!$B:$Z,9,0),"")</f>
        <v>신제주(대-위)</v>
      </c>
      <c r="F87" s="53"/>
      <c r="G87" s="54" t="s">
        <v>340</v>
      </c>
      <c r="H87" s="55" t="s">
        <v>341</v>
      </c>
      <c r="I87" s="55" t="s">
        <v>169</v>
      </c>
      <c r="J87" s="55" t="s">
        <v>79</v>
      </c>
      <c r="K87" s="55" t="s">
        <v>170</v>
      </c>
      <c r="L87" s="55" t="s">
        <v>171</v>
      </c>
      <c r="M87" s="55" t="s">
        <v>196</v>
      </c>
      <c r="N87" s="55" t="s">
        <v>197</v>
      </c>
      <c r="O87" s="55">
        <v>92745900</v>
      </c>
      <c r="P87" s="55">
        <v>942</v>
      </c>
      <c r="Q87" s="55">
        <v>0</v>
      </c>
      <c r="R87" s="55">
        <v>0</v>
      </c>
      <c r="S87" s="55">
        <v>0</v>
      </c>
      <c r="T87" s="55">
        <v>0</v>
      </c>
      <c r="U87" s="55">
        <v>1244000</v>
      </c>
      <c r="V87" s="55">
        <v>6</v>
      </c>
      <c r="W87" s="55">
        <v>0</v>
      </c>
      <c r="X87" s="55">
        <v>0</v>
      </c>
      <c r="Y87" s="56">
        <v>67793600</v>
      </c>
      <c r="Z87" s="55">
        <v>969</v>
      </c>
      <c r="AA87" s="55">
        <v>0</v>
      </c>
      <c r="AB87" s="55">
        <v>0</v>
      </c>
      <c r="AC87" s="55">
        <v>161783500</v>
      </c>
      <c r="AD87" s="57">
        <v>1917</v>
      </c>
      <c r="AF87" s="47">
        <f t="shared" si="1"/>
        <v>93989900</v>
      </c>
    </row>
    <row r="88" spans="2:32" x14ac:dyDescent="0.3">
      <c r="B88" s="46" t="str">
        <f>IFERROR(VLOOKUP($H88,매장구분!$B:$Z,2,0),"")</f>
        <v>파트너채널팀</v>
      </c>
      <c r="C88" s="46" t="str">
        <f>IFERROR(VLOOKUP($H88,매장구분!$B:$Z,3,0),"")</f>
        <v>국내</v>
      </c>
      <c r="D88" s="46" t="str">
        <f>IFERROR(VLOOKUP($H88,매장구분!$B:$Z,5,0),"")</f>
        <v>백화점</v>
      </c>
      <c r="E88" s="46" t="str">
        <f>IFERROR(VLOOKUP($H88,매장구분!$B:$Z,9,0),"")</f>
        <v>현대충청</v>
      </c>
      <c r="F88" s="58"/>
      <c r="G88" s="59" t="s">
        <v>358</v>
      </c>
      <c r="H88" s="60" t="s">
        <v>359</v>
      </c>
      <c r="I88" s="60" t="s">
        <v>169</v>
      </c>
      <c r="J88" s="60" t="s">
        <v>175</v>
      </c>
      <c r="K88" s="60" t="s">
        <v>170</v>
      </c>
      <c r="L88" s="60" t="s">
        <v>171</v>
      </c>
      <c r="M88" s="60" t="s">
        <v>77</v>
      </c>
      <c r="N88" s="60" t="s">
        <v>172</v>
      </c>
      <c r="O88" s="60">
        <v>125242800</v>
      </c>
      <c r="P88" s="60">
        <v>994</v>
      </c>
      <c r="Q88" s="60">
        <v>0</v>
      </c>
      <c r="R88" s="60">
        <v>0</v>
      </c>
      <c r="S88" s="60">
        <v>0</v>
      </c>
      <c r="T88" s="60">
        <v>0</v>
      </c>
      <c r="U88" s="60">
        <v>109000</v>
      </c>
      <c r="V88" s="60">
        <v>1</v>
      </c>
      <c r="W88" s="60">
        <v>0</v>
      </c>
      <c r="X88" s="60">
        <v>0</v>
      </c>
      <c r="Y88" s="61">
        <v>63760300</v>
      </c>
      <c r="Z88" s="60">
        <v>496</v>
      </c>
      <c r="AA88" s="60">
        <v>0</v>
      </c>
      <c r="AB88" s="60">
        <v>0</v>
      </c>
      <c r="AC88" s="60">
        <v>189112100</v>
      </c>
      <c r="AD88" s="62">
        <v>1491</v>
      </c>
      <c r="AF88" s="47">
        <f t="shared" si="1"/>
        <v>125351800</v>
      </c>
    </row>
    <row r="89" spans="2:32" x14ac:dyDescent="0.3">
      <c r="B89" s="46" t="str">
        <f>IFERROR(VLOOKUP($H89,매장구분!$B:$Z,2,0),"")</f>
        <v>파트너채널팀</v>
      </c>
      <c r="C89" s="46" t="str">
        <f>IFERROR(VLOOKUP($H89,매장구분!$B:$Z,3,0),"")</f>
        <v>면세</v>
      </c>
      <c r="D89" s="46" t="str">
        <f>IFERROR(VLOOKUP($H89,매장구분!$B:$Z,5,0),"")</f>
        <v>면세</v>
      </c>
      <c r="E89" s="46" t="str">
        <f>IFERROR(VLOOKUP($H89,매장구분!$B:$Z,9,0),"")</f>
        <v>신라면세제주</v>
      </c>
      <c r="F89" s="53"/>
      <c r="G89" s="54" t="s">
        <v>334</v>
      </c>
      <c r="H89" s="55" t="s">
        <v>335</v>
      </c>
      <c r="I89" s="55" t="s">
        <v>169</v>
      </c>
      <c r="J89" s="55" t="s">
        <v>175</v>
      </c>
      <c r="K89" s="55" t="s">
        <v>170</v>
      </c>
      <c r="L89" s="55" t="s">
        <v>171</v>
      </c>
      <c r="M89" s="55" t="s">
        <v>176</v>
      </c>
      <c r="N89" s="55" t="s">
        <v>177</v>
      </c>
      <c r="O89" s="55">
        <v>573116500</v>
      </c>
      <c r="P89" s="55">
        <v>9410</v>
      </c>
      <c r="Q89" s="55">
        <v>36000</v>
      </c>
      <c r="R89" s="55">
        <v>1</v>
      </c>
      <c r="S89" s="55">
        <v>0</v>
      </c>
      <c r="T89" s="55">
        <v>0</v>
      </c>
      <c r="U89" s="55">
        <v>0</v>
      </c>
      <c r="V89" s="55">
        <v>0</v>
      </c>
      <c r="W89" s="55">
        <v>0</v>
      </c>
      <c r="X89" s="55">
        <v>0</v>
      </c>
      <c r="Y89" s="56">
        <v>48121000</v>
      </c>
      <c r="Z89" s="55">
        <v>724</v>
      </c>
      <c r="AA89" s="55">
        <v>0</v>
      </c>
      <c r="AB89" s="55">
        <v>0</v>
      </c>
      <c r="AC89" s="55">
        <v>621273500</v>
      </c>
      <c r="AD89" s="57">
        <v>10135</v>
      </c>
      <c r="AF89" s="47">
        <f t="shared" si="1"/>
        <v>573152500</v>
      </c>
    </row>
    <row r="90" spans="2:32" x14ac:dyDescent="0.3">
      <c r="B90" s="46" t="str">
        <f>IFERROR(VLOOKUP($H90,매장구분!$B:$Z,2,0),"")</f>
        <v>파트너채널팀</v>
      </c>
      <c r="C90" s="46" t="str">
        <f>IFERROR(VLOOKUP($H90,매장구분!$B:$Z,3,0),"")</f>
        <v>국내</v>
      </c>
      <c r="D90" s="46" t="str">
        <f>IFERROR(VLOOKUP($H90,매장구분!$B:$Z,5,0),"")</f>
        <v>백화점</v>
      </c>
      <c r="E90" s="46" t="str">
        <f>IFERROR(VLOOKUP($H90,매장구분!$B:$Z,9,0),"")</f>
        <v>롯데상인</v>
      </c>
      <c r="F90" s="58"/>
      <c r="G90" s="59" t="s">
        <v>348</v>
      </c>
      <c r="H90" s="60" t="s">
        <v>349</v>
      </c>
      <c r="I90" s="60" t="s">
        <v>169</v>
      </c>
      <c r="J90" s="60" t="s">
        <v>175</v>
      </c>
      <c r="K90" s="60" t="s">
        <v>170</v>
      </c>
      <c r="L90" s="60" t="s">
        <v>171</v>
      </c>
      <c r="M90" s="60" t="s">
        <v>77</v>
      </c>
      <c r="N90" s="60" t="s">
        <v>172</v>
      </c>
      <c r="O90" s="60">
        <v>28756506</v>
      </c>
      <c r="P90" s="60">
        <v>322</v>
      </c>
      <c r="Q90" s="60">
        <v>2366300</v>
      </c>
      <c r="R90" s="60">
        <v>37</v>
      </c>
      <c r="S90" s="60">
        <v>0</v>
      </c>
      <c r="T90" s="60">
        <v>0</v>
      </c>
      <c r="U90" s="60">
        <v>15779994</v>
      </c>
      <c r="V90" s="60">
        <v>91</v>
      </c>
      <c r="W90" s="60">
        <v>0</v>
      </c>
      <c r="X90" s="60">
        <v>0</v>
      </c>
      <c r="Y90" s="61">
        <v>2937000</v>
      </c>
      <c r="Z90" s="60">
        <v>23</v>
      </c>
      <c r="AA90" s="60">
        <v>-560800</v>
      </c>
      <c r="AB90" s="60">
        <v>-7</v>
      </c>
      <c r="AC90" s="60">
        <v>49279000</v>
      </c>
      <c r="AD90" s="62">
        <v>466</v>
      </c>
      <c r="AF90" s="47">
        <f t="shared" si="1"/>
        <v>46342000</v>
      </c>
    </row>
    <row r="91" spans="2:32" x14ac:dyDescent="0.3">
      <c r="B91" s="46" t="str">
        <f>IFERROR(VLOOKUP($H91,매장구분!$B:$Z,2,0),"")</f>
        <v>파트너채널팀</v>
      </c>
      <c r="C91" s="46" t="str">
        <f>IFERROR(VLOOKUP($H91,매장구분!$B:$Z,3,0),"")</f>
        <v>국내</v>
      </c>
      <c r="D91" s="46" t="str">
        <f>IFERROR(VLOOKUP($H91,매장구분!$B:$Z,5,0),"")</f>
        <v>백화점</v>
      </c>
      <c r="E91" s="46" t="str">
        <f>IFERROR(VLOOKUP($H91,매장구분!$B:$Z,9,0),"")</f>
        <v>롯데미아</v>
      </c>
      <c r="F91" s="53"/>
      <c r="G91" s="54" t="s">
        <v>350</v>
      </c>
      <c r="H91" s="55" t="s">
        <v>351</v>
      </c>
      <c r="I91" s="55" t="s">
        <v>169</v>
      </c>
      <c r="J91" s="55" t="s">
        <v>175</v>
      </c>
      <c r="K91" s="55" t="s">
        <v>170</v>
      </c>
      <c r="L91" s="55" t="s">
        <v>171</v>
      </c>
      <c r="M91" s="55" t="s">
        <v>77</v>
      </c>
      <c r="N91" s="55" t="s">
        <v>172</v>
      </c>
      <c r="O91" s="55">
        <v>115882500</v>
      </c>
      <c r="P91" s="55">
        <v>847</v>
      </c>
      <c r="Q91" s="55">
        <v>0</v>
      </c>
      <c r="R91" s="55">
        <v>0</v>
      </c>
      <c r="S91" s="55">
        <v>0</v>
      </c>
      <c r="T91" s="55">
        <v>0</v>
      </c>
      <c r="U91" s="55">
        <v>0</v>
      </c>
      <c r="V91" s="55">
        <v>0</v>
      </c>
      <c r="W91" s="55">
        <v>0</v>
      </c>
      <c r="X91" s="55">
        <v>0</v>
      </c>
      <c r="Y91" s="56">
        <v>0</v>
      </c>
      <c r="Z91" s="55">
        <v>0</v>
      </c>
      <c r="AA91" s="55">
        <v>0</v>
      </c>
      <c r="AB91" s="55">
        <v>0</v>
      </c>
      <c r="AC91" s="55">
        <v>115882500</v>
      </c>
      <c r="AD91" s="57">
        <v>847</v>
      </c>
      <c r="AF91" s="47">
        <f t="shared" si="1"/>
        <v>115882500</v>
      </c>
    </row>
    <row r="92" spans="2:32" x14ac:dyDescent="0.3">
      <c r="B92" s="46" t="str">
        <f>IFERROR(VLOOKUP($H92,매장구분!$B:$Z,2,0),"")</f>
        <v>파트너채널팀</v>
      </c>
      <c r="C92" s="46" t="str">
        <f>IFERROR(VLOOKUP($H92,매장구분!$B:$Z,3,0),"")</f>
        <v>국내</v>
      </c>
      <c r="D92" s="46" t="str">
        <f>IFERROR(VLOOKUP($H92,매장구분!$B:$Z,5,0),"")</f>
        <v>백화점</v>
      </c>
      <c r="E92" s="46" t="str">
        <f>IFERROR(VLOOKUP($H92,매장구분!$B:$Z,9,0),"")</f>
        <v>롯데아울렛의왕(직)</v>
      </c>
      <c r="F92" s="58"/>
      <c r="G92" s="59" t="s">
        <v>352</v>
      </c>
      <c r="H92" s="60" t="s">
        <v>353</v>
      </c>
      <c r="I92" s="60" t="s">
        <v>169</v>
      </c>
      <c r="J92" s="60" t="s">
        <v>180</v>
      </c>
      <c r="K92" s="60" t="s">
        <v>170</v>
      </c>
      <c r="L92" s="60" t="s">
        <v>171</v>
      </c>
      <c r="M92" s="60" t="s">
        <v>219</v>
      </c>
      <c r="N92" s="60" t="s">
        <v>219</v>
      </c>
      <c r="O92" s="60">
        <v>50487682</v>
      </c>
      <c r="P92" s="60">
        <v>607</v>
      </c>
      <c r="Q92" s="60">
        <v>0</v>
      </c>
      <c r="R92" s="60">
        <v>0</v>
      </c>
      <c r="S92" s="60">
        <v>0</v>
      </c>
      <c r="T92" s="60">
        <v>0</v>
      </c>
      <c r="U92" s="60">
        <v>8810618</v>
      </c>
      <c r="V92" s="60">
        <v>47</v>
      </c>
      <c r="W92" s="60">
        <v>0</v>
      </c>
      <c r="X92" s="60">
        <v>0</v>
      </c>
      <c r="Y92" s="61">
        <v>0</v>
      </c>
      <c r="Z92" s="60">
        <v>0</v>
      </c>
      <c r="AA92" s="60">
        <v>0</v>
      </c>
      <c r="AB92" s="60">
        <v>0</v>
      </c>
      <c r="AC92" s="60">
        <v>59298300</v>
      </c>
      <c r="AD92" s="62">
        <v>654</v>
      </c>
      <c r="AF92" s="47">
        <f t="shared" si="1"/>
        <v>59298300</v>
      </c>
    </row>
    <row r="93" spans="2:32" x14ac:dyDescent="0.3">
      <c r="B93" s="46" t="str">
        <f>IFERROR(VLOOKUP($H93,매장구분!$B:$Z,2,0),"")</f>
        <v>파트너채널팀</v>
      </c>
      <c r="C93" s="46" t="str">
        <f>IFERROR(VLOOKUP($H93,매장구분!$B:$Z,3,0),"")</f>
        <v>국내</v>
      </c>
      <c r="D93" s="46" t="str">
        <f>IFERROR(VLOOKUP($H93,매장구분!$B:$Z,5,0),"")</f>
        <v>백화점</v>
      </c>
      <c r="E93" s="46" t="str">
        <f>IFERROR(VLOOKUP($H93,매장구분!$B:$Z,9,0),"")</f>
        <v>현대울산</v>
      </c>
      <c r="F93" s="53"/>
      <c r="G93" s="54" t="s">
        <v>344</v>
      </c>
      <c r="H93" s="55" t="s">
        <v>345</v>
      </c>
      <c r="I93" s="55" t="s">
        <v>169</v>
      </c>
      <c r="J93" s="55" t="s">
        <v>175</v>
      </c>
      <c r="K93" s="55" t="s">
        <v>170</v>
      </c>
      <c r="L93" s="55" t="s">
        <v>171</v>
      </c>
      <c r="M93" s="55" t="s">
        <v>77</v>
      </c>
      <c r="N93" s="55" t="s">
        <v>172</v>
      </c>
      <c r="O93" s="55">
        <v>128029177</v>
      </c>
      <c r="P93" s="55">
        <v>1003</v>
      </c>
      <c r="Q93" s="55">
        <v>0</v>
      </c>
      <c r="R93" s="55">
        <v>0</v>
      </c>
      <c r="S93" s="55">
        <v>0</v>
      </c>
      <c r="T93" s="55">
        <v>0</v>
      </c>
      <c r="U93" s="55">
        <v>11096023</v>
      </c>
      <c r="V93" s="55">
        <v>79</v>
      </c>
      <c r="W93" s="55">
        <v>0</v>
      </c>
      <c r="X93" s="55">
        <v>0</v>
      </c>
      <c r="Y93" s="56">
        <v>35547100</v>
      </c>
      <c r="Z93" s="55">
        <v>250</v>
      </c>
      <c r="AA93" s="55">
        <v>0</v>
      </c>
      <c r="AB93" s="55">
        <v>0</v>
      </c>
      <c r="AC93" s="55">
        <v>174672300</v>
      </c>
      <c r="AD93" s="57">
        <v>1332</v>
      </c>
      <c r="AF93" s="47">
        <f t="shared" si="1"/>
        <v>139125200</v>
      </c>
    </row>
    <row r="94" spans="2:32" x14ac:dyDescent="0.3">
      <c r="B94" s="46" t="str">
        <f>IFERROR(VLOOKUP($H94,매장구분!$B:$Z,2,0),"")</f>
        <v>리테일채널팀</v>
      </c>
      <c r="C94" s="46" t="str">
        <f>IFERROR(VLOOKUP($H94,매장구분!$B:$Z,3,0),"")</f>
        <v>국내</v>
      </c>
      <c r="D94" s="46" t="str">
        <f>IFERROR(VLOOKUP($H94,매장구분!$B:$Z,5,0),"")</f>
        <v>대리점</v>
      </c>
      <c r="E94" s="46" t="str">
        <f>IFERROR(VLOOKUP($H94,매장구분!$B:$Z,9,0),"")</f>
        <v>포항(대-위)</v>
      </c>
      <c r="F94" s="58"/>
      <c r="G94" s="59" t="s">
        <v>338</v>
      </c>
      <c r="H94" s="60" t="s">
        <v>339</v>
      </c>
      <c r="I94" s="60" t="s">
        <v>169</v>
      </c>
      <c r="J94" s="60" t="s">
        <v>79</v>
      </c>
      <c r="K94" s="60" t="s">
        <v>170</v>
      </c>
      <c r="L94" s="60" t="s">
        <v>171</v>
      </c>
      <c r="M94" s="60" t="s">
        <v>196</v>
      </c>
      <c r="N94" s="60" t="s">
        <v>197</v>
      </c>
      <c r="O94" s="60">
        <v>76098810</v>
      </c>
      <c r="P94" s="60">
        <v>660</v>
      </c>
      <c r="Q94" s="60">
        <v>0</v>
      </c>
      <c r="R94" s="60">
        <v>0</v>
      </c>
      <c r="S94" s="60">
        <v>0</v>
      </c>
      <c r="T94" s="60">
        <v>0</v>
      </c>
      <c r="U94" s="60">
        <v>1427900</v>
      </c>
      <c r="V94" s="60">
        <v>11</v>
      </c>
      <c r="W94" s="60">
        <v>0</v>
      </c>
      <c r="X94" s="60">
        <v>0</v>
      </c>
      <c r="Y94" s="61">
        <v>0</v>
      </c>
      <c r="Z94" s="60">
        <v>0</v>
      </c>
      <c r="AA94" s="60">
        <v>0</v>
      </c>
      <c r="AB94" s="60">
        <v>0</v>
      </c>
      <c r="AC94" s="60">
        <v>77526710</v>
      </c>
      <c r="AD94" s="62">
        <v>671</v>
      </c>
      <c r="AF94" s="47">
        <f t="shared" si="1"/>
        <v>77526710</v>
      </c>
    </row>
    <row r="95" spans="2:32" x14ac:dyDescent="0.3">
      <c r="B95" s="46" t="str">
        <f>IFERROR(VLOOKUP($H95,매장구분!$B:$Z,2,0),"")</f>
        <v>E-biz</v>
      </c>
      <c r="C95" s="46" t="str">
        <f>IFERROR(VLOOKUP($H95,매장구분!$B:$Z,3,0),"")</f>
        <v>국내</v>
      </c>
      <c r="D95" s="46" t="str">
        <f>IFERROR(VLOOKUP($H95,매장구분!$B:$Z,5,0),"")</f>
        <v>온(제휴몰)</v>
      </c>
      <c r="E95" s="46" t="str">
        <f>IFERROR(VLOOKUP($H95,매장구분!$B:$Z,9,0),"")</f>
        <v>SSF샵(제휴몰)</v>
      </c>
      <c r="F95" s="53"/>
      <c r="G95" s="54" t="s">
        <v>342</v>
      </c>
      <c r="H95" s="55" t="s">
        <v>343</v>
      </c>
      <c r="I95" s="55" t="s">
        <v>169</v>
      </c>
      <c r="J95" s="55" t="s">
        <v>180</v>
      </c>
      <c r="K95" s="55" t="s">
        <v>170</v>
      </c>
      <c r="L95" s="55" t="s">
        <v>181</v>
      </c>
      <c r="M95" s="55" t="s">
        <v>181</v>
      </c>
      <c r="N95" s="55" t="s">
        <v>185</v>
      </c>
      <c r="O95" s="55">
        <v>37344700</v>
      </c>
      <c r="P95" s="55">
        <v>267</v>
      </c>
      <c r="Q95" s="55">
        <v>0</v>
      </c>
      <c r="R95" s="55">
        <v>0</v>
      </c>
      <c r="S95" s="55">
        <v>0</v>
      </c>
      <c r="T95" s="55">
        <v>0</v>
      </c>
      <c r="U95" s="55">
        <v>0</v>
      </c>
      <c r="V95" s="55">
        <v>0</v>
      </c>
      <c r="W95" s="55">
        <v>0</v>
      </c>
      <c r="X95" s="55">
        <v>0</v>
      </c>
      <c r="Y95" s="56">
        <v>0</v>
      </c>
      <c r="Z95" s="55">
        <v>0</v>
      </c>
      <c r="AA95" s="55">
        <v>0</v>
      </c>
      <c r="AB95" s="55">
        <v>0</v>
      </c>
      <c r="AC95" s="55">
        <v>37344700</v>
      </c>
      <c r="AD95" s="57">
        <v>267</v>
      </c>
      <c r="AF95" s="47">
        <f t="shared" si="1"/>
        <v>37344700</v>
      </c>
    </row>
    <row r="96" spans="2:32" x14ac:dyDescent="0.3">
      <c r="B96" s="46" t="str">
        <f>IFERROR(VLOOKUP($H96,매장구분!$B:$Z,2,0),"")</f>
        <v>리테일채널팀</v>
      </c>
      <c r="C96" s="46" t="str">
        <f>IFERROR(VLOOKUP($H96,매장구분!$B:$Z,3,0),"")</f>
        <v>국내</v>
      </c>
      <c r="D96" s="46" t="str">
        <f>IFERROR(VLOOKUP($H96,매장구분!$B:$Z,5,0),"")</f>
        <v>직영점</v>
      </c>
      <c r="E96" s="46" t="str">
        <f>IFERROR(VLOOKUP($H96,매장구분!$B:$Z,9,0),"")</f>
        <v>타임스트림신림(직)</v>
      </c>
      <c r="F96" s="58"/>
      <c r="G96" s="59" t="s">
        <v>360</v>
      </c>
      <c r="H96" s="60" t="s">
        <v>361</v>
      </c>
      <c r="I96" s="60" t="s">
        <v>169</v>
      </c>
      <c r="J96" s="60" t="s">
        <v>180</v>
      </c>
      <c r="K96" s="60" t="s">
        <v>170</v>
      </c>
      <c r="L96" s="60" t="s">
        <v>171</v>
      </c>
      <c r="M96" s="60" t="s">
        <v>188</v>
      </c>
      <c r="N96" s="60" t="s">
        <v>317</v>
      </c>
      <c r="O96" s="60">
        <v>37076100</v>
      </c>
      <c r="P96" s="60">
        <v>431</v>
      </c>
      <c r="Q96" s="60">
        <v>0</v>
      </c>
      <c r="R96" s="60">
        <v>0</v>
      </c>
      <c r="S96" s="60">
        <v>0</v>
      </c>
      <c r="T96" s="60">
        <v>0</v>
      </c>
      <c r="U96" s="60">
        <v>3561400</v>
      </c>
      <c r="V96" s="60">
        <v>24</v>
      </c>
      <c r="W96" s="60">
        <v>0</v>
      </c>
      <c r="X96" s="60">
        <v>0</v>
      </c>
      <c r="Y96" s="61">
        <v>0</v>
      </c>
      <c r="Z96" s="60">
        <v>0</v>
      </c>
      <c r="AA96" s="60">
        <v>0</v>
      </c>
      <c r="AB96" s="60">
        <v>0</v>
      </c>
      <c r="AC96" s="60">
        <v>40637500</v>
      </c>
      <c r="AD96" s="62">
        <v>455</v>
      </c>
      <c r="AF96" s="47">
        <f t="shared" si="1"/>
        <v>40637500</v>
      </c>
    </row>
    <row r="97" spans="2:32" x14ac:dyDescent="0.3">
      <c r="B97" s="46" t="str">
        <f>IFERROR(VLOOKUP($H97,매장구분!$B:$Z,2,0),"")</f>
        <v>리테일채널팀</v>
      </c>
      <c r="C97" s="46" t="str">
        <f>IFERROR(VLOOKUP($H97,매장구분!$B:$Z,3,0),"")</f>
        <v>국내</v>
      </c>
      <c r="D97" s="46" t="str">
        <f>IFERROR(VLOOKUP($H97,매장구분!$B:$Z,5,0),"")</f>
        <v>대리점</v>
      </c>
      <c r="E97" s="46" t="str">
        <f>IFERROR(VLOOKUP($H97,매장구분!$B:$Z,9,0),"")</f>
        <v>서산(대-위)</v>
      </c>
      <c r="F97" s="53"/>
      <c r="G97" s="54" t="s">
        <v>336</v>
      </c>
      <c r="H97" s="55" t="s">
        <v>337</v>
      </c>
      <c r="I97" s="55" t="s">
        <v>169</v>
      </c>
      <c r="J97" s="55" t="s">
        <v>79</v>
      </c>
      <c r="K97" s="55" t="s">
        <v>170</v>
      </c>
      <c r="L97" s="55" t="s">
        <v>171</v>
      </c>
      <c r="M97" s="55" t="s">
        <v>196</v>
      </c>
      <c r="N97" s="55" t="s">
        <v>197</v>
      </c>
      <c r="O97" s="55">
        <v>46342700</v>
      </c>
      <c r="P97" s="55">
        <v>416</v>
      </c>
      <c r="Q97" s="55">
        <v>0</v>
      </c>
      <c r="R97" s="55">
        <v>0</v>
      </c>
      <c r="S97" s="55">
        <v>0</v>
      </c>
      <c r="T97" s="55">
        <v>0</v>
      </c>
      <c r="U97" s="55">
        <v>3753700</v>
      </c>
      <c r="V97" s="55">
        <v>30</v>
      </c>
      <c r="W97" s="55">
        <v>0</v>
      </c>
      <c r="X97" s="55">
        <v>0</v>
      </c>
      <c r="Y97" s="56">
        <v>0</v>
      </c>
      <c r="Z97" s="55">
        <v>0</v>
      </c>
      <c r="AA97" s="55">
        <v>0</v>
      </c>
      <c r="AB97" s="55">
        <v>0</v>
      </c>
      <c r="AC97" s="55">
        <v>50096400</v>
      </c>
      <c r="AD97" s="57">
        <v>446</v>
      </c>
      <c r="AF97" s="47">
        <f t="shared" si="1"/>
        <v>50096400</v>
      </c>
    </row>
    <row r="98" spans="2:32" x14ac:dyDescent="0.3">
      <c r="B98" s="46" t="str">
        <f>IFERROR(VLOOKUP($H98,매장구분!$B:$Z,2,0),"")</f>
        <v>리테일채널팀</v>
      </c>
      <c r="C98" s="46" t="str">
        <f>IFERROR(VLOOKUP($H98,매장구분!$B:$Z,3,0),"")</f>
        <v>국내</v>
      </c>
      <c r="D98" s="46" t="str">
        <f>IFERROR(VLOOKUP($H98,매장구분!$B:$Z,5,0),"")</f>
        <v>대리점</v>
      </c>
      <c r="E98" s="46" t="str">
        <f>IFERROR(VLOOKUP($H98,매장구분!$B:$Z,9,0),"")</f>
        <v>경기광주(대-위)</v>
      </c>
      <c r="F98" s="58"/>
      <c r="G98" s="59" t="s">
        <v>362</v>
      </c>
      <c r="H98" s="60" t="s">
        <v>363</v>
      </c>
      <c r="I98" s="60" t="s">
        <v>169</v>
      </c>
      <c r="J98" s="60" t="s">
        <v>79</v>
      </c>
      <c r="K98" s="60" t="s">
        <v>170</v>
      </c>
      <c r="L98" s="60" t="s">
        <v>171</v>
      </c>
      <c r="M98" s="60" t="s">
        <v>196</v>
      </c>
      <c r="N98" s="60" t="s">
        <v>197</v>
      </c>
      <c r="O98" s="60">
        <v>40615429</v>
      </c>
      <c r="P98" s="60">
        <v>398</v>
      </c>
      <c r="Q98" s="60">
        <v>0</v>
      </c>
      <c r="R98" s="60">
        <v>0</v>
      </c>
      <c r="S98" s="60">
        <v>0</v>
      </c>
      <c r="T98" s="60">
        <v>0</v>
      </c>
      <c r="U98" s="60">
        <v>2771333</v>
      </c>
      <c r="V98" s="60">
        <v>17</v>
      </c>
      <c r="W98" s="60">
        <v>0</v>
      </c>
      <c r="X98" s="60">
        <v>0</v>
      </c>
      <c r="Y98" s="61">
        <v>0</v>
      </c>
      <c r="Z98" s="60">
        <v>0</v>
      </c>
      <c r="AA98" s="60">
        <v>0</v>
      </c>
      <c r="AB98" s="60">
        <v>0</v>
      </c>
      <c r="AC98" s="60">
        <v>43386762</v>
      </c>
      <c r="AD98" s="62">
        <v>415</v>
      </c>
      <c r="AF98" s="47">
        <f t="shared" si="1"/>
        <v>43386762</v>
      </c>
    </row>
    <row r="99" spans="2:32" x14ac:dyDescent="0.3">
      <c r="B99" s="46" t="str">
        <f>IFERROR(VLOOKUP($H99,매장구분!$B:$Z,2,0),"")</f>
        <v>리테일채널팀</v>
      </c>
      <c r="C99" s="46" t="str">
        <f>IFERROR(VLOOKUP($H99,매장구분!$B:$Z,3,0),"")</f>
        <v>국내</v>
      </c>
      <c r="D99" s="46" t="str">
        <f>IFERROR(VLOOKUP($H99,매장구분!$B:$Z,5,0),"")</f>
        <v>대리점</v>
      </c>
      <c r="E99" s="46" t="str">
        <f>IFERROR(VLOOKUP($H99,매장구분!$B:$Z,9,0),"")</f>
        <v>남양주삼패(대-위)</v>
      </c>
      <c r="F99" s="53"/>
      <c r="G99" s="54" t="s">
        <v>586</v>
      </c>
      <c r="H99" s="55" t="s">
        <v>587</v>
      </c>
      <c r="I99" s="55" t="s">
        <v>169</v>
      </c>
      <c r="J99" s="55" t="s">
        <v>79</v>
      </c>
      <c r="K99" s="55" t="s">
        <v>170</v>
      </c>
      <c r="L99" s="55" t="s">
        <v>171</v>
      </c>
      <c r="M99" s="55" t="s">
        <v>196</v>
      </c>
      <c r="N99" s="55" t="s">
        <v>197</v>
      </c>
      <c r="O99" s="55">
        <v>19628576</v>
      </c>
      <c r="P99" s="55">
        <v>205</v>
      </c>
      <c r="Q99" s="55">
        <v>0</v>
      </c>
      <c r="R99" s="55">
        <v>0</v>
      </c>
      <c r="S99" s="55">
        <v>0</v>
      </c>
      <c r="T99" s="55">
        <v>0</v>
      </c>
      <c r="U99" s="55">
        <v>9084424</v>
      </c>
      <c r="V99" s="55">
        <v>78</v>
      </c>
      <c r="W99" s="55">
        <v>0</v>
      </c>
      <c r="X99" s="55">
        <v>0</v>
      </c>
      <c r="Y99" s="56">
        <v>140297500</v>
      </c>
      <c r="Z99" s="55">
        <v>1151</v>
      </c>
      <c r="AA99" s="55">
        <v>0</v>
      </c>
      <c r="AB99" s="55">
        <v>0</v>
      </c>
      <c r="AC99" s="55">
        <v>169010500</v>
      </c>
      <c r="AD99" s="57">
        <v>1434</v>
      </c>
      <c r="AF99" s="47">
        <f t="shared" si="1"/>
        <v>28713000</v>
      </c>
    </row>
    <row r="100" spans="2:32" x14ac:dyDescent="0.3">
      <c r="B100" s="46" t="str">
        <f>IFERROR(VLOOKUP($H100,매장구분!$B:$Z,2,0),"")</f>
        <v>리테일채널팀</v>
      </c>
      <c r="C100" s="46" t="str">
        <f>IFERROR(VLOOKUP($H100,매장구분!$B:$Z,3,0),"")</f>
        <v>국내</v>
      </c>
      <c r="D100" s="46" t="str">
        <f>IFERROR(VLOOKUP($H100,매장구분!$B:$Z,5,0),"")</f>
        <v>대리점</v>
      </c>
      <c r="E100" s="46" t="str">
        <f>IFERROR(VLOOKUP($H100,매장구분!$B:$Z,9,0),"")</f>
        <v>세정광주(대-위)</v>
      </c>
      <c r="F100" s="58"/>
      <c r="G100" s="59" t="s">
        <v>346</v>
      </c>
      <c r="H100" s="60" t="s">
        <v>347</v>
      </c>
      <c r="I100" s="60" t="s">
        <v>169</v>
      </c>
      <c r="J100" s="60" t="s">
        <v>79</v>
      </c>
      <c r="K100" s="60" t="s">
        <v>170</v>
      </c>
      <c r="L100" s="60" t="s">
        <v>171</v>
      </c>
      <c r="M100" s="60" t="s">
        <v>196</v>
      </c>
      <c r="N100" s="60" t="s">
        <v>197</v>
      </c>
      <c r="O100" s="60">
        <v>77959935</v>
      </c>
      <c r="P100" s="60">
        <v>694</v>
      </c>
      <c r="Q100" s="60">
        <v>0</v>
      </c>
      <c r="R100" s="60">
        <v>0</v>
      </c>
      <c r="S100" s="60">
        <v>0</v>
      </c>
      <c r="T100" s="60">
        <v>0</v>
      </c>
      <c r="U100" s="60">
        <v>5017965</v>
      </c>
      <c r="V100" s="60">
        <v>28</v>
      </c>
      <c r="W100" s="60">
        <v>0</v>
      </c>
      <c r="X100" s="60">
        <v>0</v>
      </c>
      <c r="Y100" s="61">
        <v>15505000</v>
      </c>
      <c r="Z100" s="60">
        <v>135</v>
      </c>
      <c r="AA100" s="60">
        <v>0</v>
      </c>
      <c r="AB100" s="60">
        <v>0</v>
      </c>
      <c r="AC100" s="60">
        <v>98482900</v>
      </c>
      <c r="AD100" s="62">
        <v>857</v>
      </c>
      <c r="AF100" s="47">
        <f t="shared" si="1"/>
        <v>82977900</v>
      </c>
    </row>
    <row r="101" spans="2:32" x14ac:dyDescent="0.3">
      <c r="B101" s="46" t="str">
        <f>IFERROR(VLOOKUP($H101,매장구분!$B:$Z,2,0),"")</f>
        <v>파트너채널팀</v>
      </c>
      <c r="C101" s="46" t="str">
        <f>IFERROR(VLOOKUP($H101,매장구분!$B:$Z,3,0),"")</f>
        <v>국내</v>
      </c>
      <c r="D101" s="46" t="str">
        <f>IFERROR(VLOOKUP($H101,매장구분!$B:$Z,5,0),"")</f>
        <v>백화점</v>
      </c>
      <c r="E101" s="46" t="str">
        <f>IFERROR(VLOOKUP($H101,매장구분!$B:$Z,9,0),"")</f>
        <v>현대디큐브시티</v>
      </c>
      <c r="F101" s="53"/>
      <c r="G101" s="54" t="s">
        <v>584</v>
      </c>
      <c r="H101" s="55" t="s">
        <v>585</v>
      </c>
      <c r="I101" s="55" t="s">
        <v>169</v>
      </c>
      <c r="J101" s="55" t="s">
        <v>175</v>
      </c>
      <c r="K101" s="55" t="s">
        <v>170</v>
      </c>
      <c r="L101" s="55" t="s">
        <v>171</v>
      </c>
      <c r="M101" s="55" t="s">
        <v>77</v>
      </c>
      <c r="N101" s="55" t="s">
        <v>172</v>
      </c>
      <c r="O101" s="55">
        <v>27952112</v>
      </c>
      <c r="P101" s="55">
        <v>342</v>
      </c>
      <c r="Q101" s="55">
        <v>1099000</v>
      </c>
      <c r="R101" s="55">
        <v>9</v>
      </c>
      <c r="S101" s="55">
        <v>0</v>
      </c>
      <c r="T101" s="55">
        <v>0</v>
      </c>
      <c r="U101" s="55">
        <v>3229500</v>
      </c>
      <c r="V101" s="55">
        <v>17</v>
      </c>
      <c r="W101" s="55">
        <v>0</v>
      </c>
      <c r="X101" s="55">
        <v>0</v>
      </c>
      <c r="Y101" s="56">
        <v>47848188</v>
      </c>
      <c r="Z101" s="55">
        <v>814</v>
      </c>
      <c r="AA101" s="55">
        <v>0</v>
      </c>
      <c r="AB101" s="55">
        <v>0</v>
      </c>
      <c r="AC101" s="55">
        <v>80128800</v>
      </c>
      <c r="AD101" s="57">
        <v>1182</v>
      </c>
      <c r="AF101" s="47">
        <f t="shared" si="1"/>
        <v>32280612</v>
      </c>
    </row>
    <row r="102" spans="2:32" x14ac:dyDescent="0.3">
      <c r="B102" s="46" t="str">
        <f>IFERROR(VLOOKUP($H102,매장구분!$B:$Z,2,0),"")</f>
        <v>리테일채널팀</v>
      </c>
      <c r="C102" s="46" t="str">
        <f>IFERROR(VLOOKUP($H102,매장구분!$B:$Z,3,0),"")</f>
        <v>국내</v>
      </c>
      <c r="D102" s="46" t="str">
        <f>IFERROR(VLOOKUP($H102,매장구분!$B:$Z,5,0),"")</f>
        <v>상설(위탁)</v>
      </c>
      <c r="E102" s="46" t="str">
        <f>IFERROR(VLOOKUP($H102,매장구분!$B:$Z,9,0),"")</f>
        <v>현대아울렛대구(상-위)</v>
      </c>
      <c r="F102" s="58"/>
      <c r="G102" s="59" t="s">
        <v>590</v>
      </c>
      <c r="H102" s="60" t="s">
        <v>591</v>
      </c>
      <c r="I102" s="60" t="s">
        <v>169</v>
      </c>
      <c r="J102" s="60" t="s">
        <v>79</v>
      </c>
      <c r="K102" s="60" t="s">
        <v>170</v>
      </c>
      <c r="L102" s="60" t="s">
        <v>171</v>
      </c>
      <c r="M102" s="60" t="s">
        <v>219</v>
      </c>
      <c r="N102" s="60" t="s">
        <v>219</v>
      </c>
      <c r="O102" s="60">
        <v>2520000</v>
      </c>
      <c r="P102" s="60">
        <v>70</v>
      </c>
      <c r="Q102" s="60">
        <v>0</v>
      </c>
      <c r="R102" s="60">
        <v>0</v>
      </c>
      <c r="S102" s="60">
        <v>0</v>
      </c>
      <c r="T102" s="60">
        <v>0</v>
      </c>
      <c r="U102" s="60">
        <v>0</v>
      </c>
      <c r="V102" s="60">
        <v>0</v>
      </c>
      <c r="W102" s="60">
        <v>0</v>
      </c>
      <c r="X102" s="60">
        <v>0</v>
      </c>
      <c r="Y102" s="61">
        <v>0</v>
      </c>
      <c r="Z102" s="60">
        <v>0</v>
      </c>
      <c r="AA102" s="60">
        <v>0</v>
      </c>
      <c r="AB102" s="60">
        <v>0</v>
      </c>
      <c r="AC102" s="60">
        <v>2520000</v>
      </c>
      <c r="AD102" s="62">
        <v>70</v>
      </c>
      <c r="AF102" s="47">
        <f t="shared" si="1"/>
        <v>2520000</v>
      </c>
    </row>
    <row r="103" spans="2:32" x14ac:dyDescent="0.3">
      <c r="B103" s="46" t="str">
        <f>IFERROR(VLOOKUP($H103,매장구분!$B:$Z,2,0),"")</f>
        <v>리테일채널팀</v>
      </c>
      <c r="C103" s="46" t="str">
        <f>IFERROR(VLOOKUP($H103,매장구분!$B:$Z,3,0),"")</f>
        <v>국내</v>
      </c>
      <c r="D103" s="46" t="str">
        <f>IFERROR(VLOOKUP($H103,매장구분!$B:$Z,5,0),"")</f>
        <v>상설(위탁)</v>
      </c>
      <c r="E103" s="46" t="str">
        <f>IFERROR(VLOOKUP($H103,매장구분!$B:$Z,9,0),"")</f>
        <v>롯데아울렛동부산(상-위)</v>
      </c>
      <c r="F103" s="53"/>
      <c r="G103" s="54" t="s">
        <v>366</v>
      </c>
      <c r="H103" s="55" t="s">
        <v>367</v>
      </c>
      <c r="I103" s="55" t="s">
        <v>169</v>
      </c>
      <c r="J103" s="55" t="s">
        <v>79</v>
      </c>
      <c r="K103" s="55" t="s">
        <v>170</v>
      </c>
      <c r="L103" s="55" t="s">
        <v>171</v>
      </c>
      <c r="M103" s="55" t="s">
        <v>219</v>
      </c>
      <c r="N103" s="55" t="s">
        <v>219</v>
      </c>
      <c r="O103" s="55">
        <v>17424000</v>
      </c>
      <c r="P103" s="55">
        <v>484</v>
      </c>
      <c r="Q103" s="55">
        <v>36000</v>
      </c>
      <c r="R103" s="55">
        <v>1</v>
      </c>
      <c r="S103" s="55">
        <v>0</v>
      </c>
      <c r="T103" s="55">
        <v>0</v>
      </c>
      <c r="U103" s="55">
        <v>0</v>
      </c>
      <c r="V103" s="55">
        <v>0</v>
      </c>
      <c r="W103" s="55">
        <v>0</v>
      </c>
      <c r="X103" s="55">
        <v>0</v>
      </c>
      <c r="Y103" s="56">
        <v>0</v>
      </c>
      <c r="Z103" s="55">
        <v>0</v>
      </c>
      <c r="AA103" s="55">
        <v>0</v>
      </c>
      <c r="AB103" s="55">
        <v>0</v>
      </c>
      <c r="AC103" s="55">
        <v>17460000</v>
      </c>
      <c r="AD103" s="57">
        <v>485</v>
      </c>
      <c r="AF103" s="47">
        <f t="shared" si="1"/>
        <v>17460000</v>
      </c>
    </row>
    <row r="104" spans="2:32" x14ac:dyDescent="0.3">
      <c r="B104" s="46" t="str">
        <f>IFERROR(VLOOKUP($H104,매장구분!$B:$Z,2,0),"")</f>
        <v>리테일채널팀</v>
      </c>
      <c r="C104" s="46" t="str">
        <f>IFERROR(VLOOKUP($H104,매장구분!$B:$Z,3,0),"")</f>
        <v>국내</v>
      </c>
      <c r="D104" s="46" t="str">
        <f>IFERROR(VLOOKUP($H104,매장구분!$B:$Z,5,0),"")</f>
        <v>상설(위탁)</v>
      </c>
      <c r="E104" s="46" t="str">
        <f>IFERROR(VLOOKUP($H104,매장구분!$B:$Z,9,0),"")</f>
        <v>NC강서(상-위)</v>
      </c>
      <c r="F104" s="58"/>
      <c r="G104" s="59" t="s">
        <v>376</v>
      </c>
      <c r="H104" s="60" t="s">
        <v>377</v>
      </c>
      <c r="I104" s="60" t="s">
        <v>169</v>
      </c>
      <c r="J104" s="60" t="s">
        <v>79</v>
      </c>
      <c r="K104" s="60" t="s">
        <v>170</v>
      </c>
      <c r="L104" s="60" t="s">
        <v>171</v>
      </c>
      <c r="M104" s="60" t="s">
        <v>77</v>
      </c>
      <c r="N104" s="60" t="s">
        <v>238</v>
      </c>
      <c r="O104" s="60">
        <v>4500000</v>
      </c>
      <c r="P104" s="60">
        <v>125</v>
      </c>
      <c r="Q104" s="60">
        <v>0</v>
      </c>
      <c r="R104" s="60">
        <v>0</v>
      </c>
      <c r="S104" s="60">
        <v>0</v>
      </c>
      <c r="T104" s="60">
        <v>0</v>
      </c>
      <c r="U104" s="60">
        <v>0</v>
      </c>
      <c r="V104" s="60">
        <v>0</v>
      </c>
      <c r="W104" s="60">
        <v>0</v>
      </c>
      <c r="X104" s="60">
        <v>0</v>
      </c>
      <c r="Y104" s="61">
        <v>0</v>
      </c>
      <c r="Z104" s="60">
        <v>0</v>
      </c>
      <c r="AA104" s="60">
        <v>0</v>
      </c>
      <c r="AB104" s="60">
        <v>0</v>
      </c>
      <c r="AC104" s="60">
        <v>4500000</v>
      </c>
      <c r="AD104" s="62">
        <v>125</v>
      </c>
      <c r="AF104" s="47">
        <f t="shared" si="1"/>
        <v>4500000</v>
      </c>
    </row>
    <row r="105" spans="2:32" x14ac:dyDescent="0.3">
      <c r="B105" s="46" t="str">
        <f>IFERROR(VLOOKUP($H105,매장구분!$B:$Z,2,0),"")</f>
        <v>리테일채널팀</v>
      </c>
      <c r="C105" s="46" t="str">
        <f>IFERROR(VLOOKUP($H105,매장구분!$B:$Z,3,0),"")</f>
        <v>국내</v>
      </c>
      <c r="D105" s="46" t="str">
        <f>IFERROR(VLOOKUP($H105,매장구분!$B:$Z,5,0),"")</f>
        <v>상설(위탁)</v>
      </c>
      <c r="E105" s="46" t="str">
        <f>IFERROR(VLOOKUP($H105,매장구분!$B:$Z,9,0),"")</f>
        <v>모다경주(상-위)</v>
      </c>
      <c r="F105" s="53"/>
      <c r="G105" s="54" t="s">
        <v>374</v>
      </c>
      <c r="H105" s="55" t="s">
        <v>375</v>
      </c>
      <c r="I105" s="55" t="s">
        <v>169</v>
      </c>
      <c r="J105" s="55" t="s">
        <v>79</v>
      </c>
      <c r="K105" s="55" t="s">
        <v>170</v>
      </c>
      <c r="L105" s="55" t="s">
        <v>171</v>
      </c>
      <c r="M105" s="55" t="s">
        <v>77</v>
      </c>
      <c r="N105" s="55" t="s">
        <v>238</v>
      </c>
      <c r="O105" s="55">
        <v>2556000</v>
      </c>
      <c r="P105" s="55">
        <v>71</v>
      </c>
      <c r="Q105" s="55">
        <v>0</v>
      </c>
      <c r="R105" s="55">
        <v>0</v>
      </c>
      <c r="S105" s="55">
        <v>0</v>
      </c>
      <c r="T105" s="55">
        <v>0</v>
      </c>
      <c r="U105" s="55">
        <v>0</v>
      </c>
      <c r="V105" s="55">
        <v>0</v>
      </c>
      <c r="W105" s="55">
        <v>0</v>
      </c>
      <c r="X105" s="55">
        <v>0</v>
      </c>
      <c r="Y105" s="56">
        <v>0</v>
      </c>
      <c r="Z105" s="55">
        <v>0</v>
      </c>
      <c r="AA105" s="55">
        <v>0</v>
      </c>
      <c r="AB105" s="55">
        <v>0</v>
      </c>
      <c r="AC105" s="55">
        <v>2556000</v>
      </c>
      <c r="AD105" s="57">
        <v>71</v>
      </c>
      <c r="AF105" s="47">
        <f t="shared" si="1"/>
        <v>2556000</v>
      </c>
    </row>
    <row r="106" spans="2:32" x14ac:dyDescent="0.3">
      <c r="B106" s="46" t="str">
        <f>IFERROR(VLOOKUP($H106,매장구분!$B:$Z,2,0),"")</f>
        <v>리테일채널팀</v>
      </c>
      <c r="C106" s="46" t="str">
        <f>IFERROR(VLOOKUP($H106,매장구분!$B:$Z,3,0),"")</f>
        <v>국내</v>
      </c>
      <c r="D106" s="46" t="str">
        <f>IFERROR(VLOOKUP($H106,매장구분!$B:$Z,5,0),"")</f>
        <v>상설(위탁)</v>
      </c>
      <c r="E106" s="46" t="str">
        <f>IFERROR(VLOOKUP($H106,매장구분!$B:$Z,9,0),"")</f>
        <v>현대아울렛가든5(상-위)</v>
      </c>
      <c r="F106" s="58"/>
      <c r="G106" s="59" t="s">
        <v>372</v>
      </c>
      <c r="H106" s="60" t="s">
        <v>373</v>
      </c>
      <c r="I106" s="60" t="s">
        <v>169</v>
      </c>
      <c r="J106" s="60" t="s">
        <v>79</v>
      </c>
      <c r="K106" s="60" t="s">
        <v>170</v>
      </c>
      <c r="L106" s="60" t="s">
        <v>171</v>
      </c>
      <c r="M106" s="60" t="s">
        <v>219</v>
      </c>
      <c r="N106" s="60" t="s">
        <v>219</v>
      </c>
      <c r="O106" s="60">
        <v>4608000</v>
      </c>
      <c r="P106" s="60">
        <v>128</v>
      </c>
      <c r="Q106" s="60">
        <v>0</v>
      </c>
      <c r="R106" s="60">
        <v>0</v>
      </c>
      <c r="S106" s="60">
        <v>0</v>
      </c>
      <c r="T106" s="60">
        <v>0</v>
      </c>
      <c r="U106" s="60">
        <v>0</v>
      </c>
      <c r="V106" s="60">
        <v>0</v>
      </c>
      <c r="W106" s="60">
        <v>0</v>
      </c>
      <c r="X106" s="60">
        <v>0</v>
      </c>
      <c r="Y106" s="61">
        <v>0</v>
      </c>
      <c r="Z106" s="60">
        <v>0</v>
      </c>
      <c r="AA106" s="60">
        <v>0</v>
      </c>
      <c r="AB106" s="60">
        <v>0</v>
      </c>
      <c r="AC106" s="60">
        <v>4608000</v>
      </c>
      <c r="AD106" s="62">
        <v>128</v>
      </c>
      <c r="AF106" s="47">
        <f t="shared" si="1"/>
        <v>4608000</v>
      </c>
    </row>
    <row r="107" spans="2:32" x14ac:dyDescent="0.3">
      <c r="B107" s="46" t="str">
        <f>IFERROR(VLOOKUP($H107,매장구분!$B:$Z,2,0),"")</f>
        <v>리테일채널팀</v>
      </c>
      <c r="C107" s="46" t="str">
        <f>IFERROR(VLOOKUP($H107,매장구분!$B:$Z,3,0),"")</f>
        <v>국내</v>
      </c>
      <c r="D107" s="46" t="str">
        <f>IFERROR(VLOOKUP($H107,매장구분!$B:$Z,5,0),"")</f>
        <v>상설(위탁)</v>
      </c>
      <c r="E107" s="46" t="str">
        <f>IFERROR(VLOOKUP($H107,매장구분!$B:$Z,9,0),"")</f>
        <v>롯데아울렛김해(상-위)</v>
      </c>
      <c r="F107" s="53"/>
      <c r="G107" s="54" t="s">
        <v>370</v>
      </c>
      <c r="H107" s="55" t="s">
        <v>371</v>
      </c>
      <c r="I107" s="55" t="s">
        <v>169</v>
      </c>
      <c r="J107" s="55" t="s">
        <v>79</v>
      </c>
      <c r="K107" s="55" t="s">
        <v>170</v>
      </c>
      <c r="L107" s="55" t="s">
        <v>171</v>
      </c>
      <c r="M107" s="55" t="s">
        <v>219</v>
      </c>
      <c r="N107" s="55" t="s">
        <v>219</v>
      </c>
      <c r="O107" s="55">
        <v>18612000</v>
      </c>
      <c r="P107" s="55">
        <v>517</v>
      </c>
      <c r="Q107" s="55">
        <v>0</v>
      </c>
      <c r="R107" s="55">
        <v>0</v>
      </c>
      <c r="S107" s="55">
        <v>0</v>
      </c>
      <c r="T107" s="55">
        <v>0</v>
      </c>
      <c r="U107" s="55">
        <v>0</v>
      </c>
      <c r="V107" s="55">
        <v>0</v>
      </c>
      <c r="W107" s="55">
        <v>0</v>
      </c>
      <c r="X107" s="55">
        <v>0</v>
      </c>
      <c r="Y107" s="56">
        <v>0</v>
      </c>
      <c r="Z107" s="55">
        <v>0</v>
      </c>
      <c r="AA107" s="55">
        <v>0</v>
      </c>
      <c r="AB107" s="55">
        <v>0</v>
      </c>
      <c r="AC107" s="55">
        <v>18612000</v>
      </c>
      <c r="AD107" s="57">
        <v>517</v>
      </c>
      <c r="AF107" s="47">
        <f t="shared" si="1"/>
        <v>18612000</v>
      </c>
    </row>
    <row r="108" spans="2:32" x14ac:dyDescent="0.3">
      <c r="B108" s="46" t="str">
        <f>IFERROR(VLOOKUP($H108,매장구분!$B:$Z,2,0),"")</f>
        <v>리테일채널팀</v>
      </c>
      <c r="C108" s="46" t="str">
        <f>IFERROR(VLOOKUP($H108,매장구분!$B:$Z,3,0),"")</f>
        <v>국내</v>
      </c>
      <c r="D108" s="46" t="str">
        <f>IFERROR(VLOOKUP($H108,매장구분!$B:$Z,5,0),"")</f>
        <v>대리점</v>
      </c>
      <c r="E108" s="46" t="str">
        <f>IFERROR(VLOOKUP($H108,매장구분!$B:$Z,9,0),"")</f>
        <v>홍성(대-위)</v>
      </c>
      <c r="F108" s="58"/>
      <c r="G108" s="59" t="s">
        <v>418</v>
      </c>
      <c r="H108" s="60" t="s">
        <v>419</v>
      </c>
      <c r="I108" s="60" t="s">
        <v>169</v>
      </c>
      <c r="J108" s="60" t="s">
        <v>79</v>
      </c>
      <c r="K108" s="60" t="s">
        <v>170</v>
      </c>
      <c r="L108" s="60" t="s">
        <v>171</v>
      </c>
      <c r="M108" s="60" t="s">
        <v>196</v>
      </c>
      <c r="N108" s="60" t="s">
        <v>197</v>
      </c>
      <c r="O108" s="60">
        <v>58989841</v>
      </c>
      <c r="P108" s="60">
        <v>421</v>
      </c>
      <c r="Q108" s="60">
        <v>0</v>
      </c>
      <c r="R108" s="60">
        <v>0</v>
      </c>
      <c r="S108" s="60">
        <v>0</v>
      </c>
      <c r="T108" s="60">
        <v>0</v>
      </c>
      <c r="U108" s="60">
        <v>2980593</v>
      </c>
      <c r="V108" s="60">
        <v>14</v>
      </c>
      <c r="W108" s="60">
        <v>0</v>
      </c>
      <c r="X108" s="60">
        <v>0</v>
      </c>
      <c r="Y108" s="61">
        <v>7013728</v>
      </c>
      <c r="Z108" s="60">
        <v>48</v>
      </c>
      <c r="AA108" s="60">
        <v>0</v>
      </c>
      <c r="AB108" s="60">
        <v>0</v>
      </c>
      <c r="AC108" s="60">
        <v>68984162</v>
      </c>
      <c r="AD108" s="62">
        <v>483</v>
      </c>
      <c r="AF108" s="47">
        <f t="shared" si="1"/>
        <v>61970434</v>
      </c>
    </row>
    <row r="109" spans="2:32" x14ac:dyDescent="0.3">
      <c r="B109" s="46" t="str">
        <f>IFERROR(VLOOKUP($H109,매장구분!$B:$Z,2,0),"")</f>
        <v>파트너채널팀</v>
      </c>
      <c r="C109" s="46" t="str">
        <f>IFERROR(VLOOKUP($H109,매장구분!$B:$Z,3,0),"")</f>
        <v>국내</v>
      </c>
      <c r="D109" s="46" t="str">
        <f>IFERROR(VLOOKUP($H109,매장구분!$B:$Z,5,0),"")</f>
        <v>백화점</v>
      </c>
      <c r="E109" s="46" t="str">
        <f>IFERROR(VLOOKUP($H109,매장구분!$B:$Z,9,0),"")</f>
        <v>롯데수원</v>
      </c>
      <c r="F109" s="53"/>
      <c r="G109" s="54" t="s">
        <v>402</v>
      </c>
      <c r="H109" s="55" t="s">
        <v>403</v>
      </c>
      <c r="I109" s="55" t="s">
        <v>169</v>
      </c>
      <c r="J109" s="55" t="s">
        <v>175</v>
      </c>
      <c r="K109" s="55" t="s">
        <v>170</v>
      </c>
      <c r="L109" s="55" t="s">
        <v>171</v>
      </c>
      <c r="M109" s="55" t="s">
        <v>77</v>
      </c>
      <c r="N109" s="55" t="s">
        <v>172</v>
      </c>
      <c r="O109" s="55">
        <v>156890900</v>
      </c>
      <c r="P109" s="55">
        <v>1310</v>
      </c>
      <c r="Q109" s="55">
        <v>8254700</v>
      </c>
      <c r="R109" s="55">
        <v>152</v>
      </c>
      <c r="S109" s="55">
        <v>0</v>
      </c>
      <c r="T109" s="55">
        <v>0</v>
      </c>
      <c r="U109" s="55">
        <v>-1195900</v>
      </c>
      <c r="V109" s="55">
        <v>-9</v>
      </c>
      <c r="W109" s="55">
        <v>0</v>
      </c>
      <c r="X109" s="55">
        <v>0</v>
      </c>
      <c r="Y109" s="56">
        <v>0</v>
      </c>
      <c r="Z109" s="55">
        <v>0</v>
      </c>
      <c r="AA109" s="55">
        <v>0</v>
      </c>
      <c r="AB109" s="55">
        <v>0</v>
      </c>
      <c r="AC109" s="55">
        <v>163949700</v>
      </c>
      <c r="AD109" s="57">
        <v>1453</v>
      </c>
      <c r="AF109" s="47">
        <f t="shared" si="1"/>
        <v>163949700</v>
      </c>
    </row>
    <row r="110" spans="2:32" x14ac:dyDescent="0.3">
      <c r="B110" s="46" t="str">
        <f>IFERROR(VLOOKUP($H110,매장구분!$B:$Z,2,0),"")</f>
        <v>파트너채널팀</v>
      </c>
      <c r="C110" s="46" t="str">
        <f>IFERROR(VLOOKUP($H110,매장구분!$B:$Z,3,0),"")</f>
        <v>국내</v>
      </c>
      <c r="D110" s="46" t="str">
        <f>IFERROR(VLOOKUP($H110,매장구분!$B:$Z,5,0),"")</f>
        <v>백화점</v>
      </c>
      <c r="E110" s="46" t="str">
        <f>IFERROR(VLOOKUP($H110,매장구분!$B:$Z,9,0),"")</f>
        <v>신세계영등포</v>
      </c>
      <c r="F110" s="58"/>
      <c r="G110" s="59" t="s">
        <v>416</v>
      </c>
      <c r="H110" s="60" t="s">
        <v>417</v>
      </c>
      <c r="I110" s="60" t="s">
        <v>169</v>
      </c>
      <c r="J110" s="60" t="s">
        <v>175</v>
      </c>
      <c r="K110" s="60" t="s">
        <v>170</v>
      </c>
      <c r="L110" s="60" t="s">
        <v>171</v>
      </c>
      <c r="M110" s="60" t="s">
        <v>77</v>
      </c>
      <c r="N110" s="60" t="s">
        <v>172</v>
      </c>
      <c r="O110" s="60">
        <v>47875899</v>
      </c>
      <c r="P110" s="60">
        <v>463</v>
      </c>
      <c r="Q110" s="60">
        <v>0</v>
      </c>
      <c r="R110" s="60">
        <v>0</v>
      </c>
      <c r="S110" s="60">
        <v>0</v>
      </c>
      <c r="T110" s="60">
        <v>0</v>
      </c>
      <c r="U110" s="60">
        <v>7514801</v>
      </c>
      <c r="V110" s="60">
        <v>41</v>
      </c>
      <c r="W110" s="60">
        <v>0</v>
      </c>
      <c r="X110" s="60">
        <v>0</v>
      </c>
      <c r="Y110" s="61">
        <v>11393900</v>
      </c>
      <c r="Z110" s="60">
        <v>65</v>
      </c>
      <c r="AA110" s="60">
        <v>0</v>
      </c>
      <c r="AB110" s="60">
        <v>0</v>
      </c>
      <c r="AC110" s="60">
        <v>66784600</v>
      </c>
      <c r="AD110" s="62">
        <v>569</v>
      </c>
      <c r="AF110" s="47">
        <f t="shared" si="1"/>
        <v>55390700</v>
      </c>
    </row>
    <row r="111" spans="2:32" x14ac:dyDescent="0.3">
      <c r="B111" s="46" t="str">
        <f>IFERROR(VLOOKUP($H111,매장구분!$B:$Z,2,0),"")</f>
        <v>파트너채널팀</v>
      </c>
      <c r="C111" s="46" t="str">
        <f>IFERROR(VLOOKUP($H111,매장구분!$B:$Z,3,0),"")</f>
        <v>국내</v>
      </c>
      <c r="D111" s="46" t="str">
        <f>IFERROR(VLOOKUP($H111,매장구분!$B:$Z,5,0),"")</f>
        <v>백화점</v>
      </c>
      <c r="E111" s="46" t="str">
        <f>IFERROR(VLOOKUP($H111,매장구분!$B:$Z,9,0),"")</f>
        <v>AK원주</v>
      </c>
      <c r="F111" s="53"/>
      <c r="G111" s="54" t="s">
        <v>396</v>
      </c>
      <c r="H111" s="55" t="s">
        <v>397</v>
      </c>
      <c r="I111" s="55" t="s">
        <v>169</v>
      </c>
      <c r="J111" s="55" t="s">
        <v>175</v>
      </c>
      <c r="K111" s="55" t="s">
        <v>170</v>
      </c>
      <c r="L111" s="55" t="s">
        <v>171</v>
      </c>
      <c r="M111" s="55" t="s">
        <v>77</v>
      </c>
      <c r="N111" s="55" t="s">
        <v>172</v>
      </c>
      <c r="O111" s="55">
        <v>116986500</v>
      </c>
      <c r="P111" s="55">
        <v>926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  <c r="V111" s="55">
        <v>0</v>
      </c>
      <c r="W111" s="55">
        <v>0</v>
      </c>
      <c r="X111" s="55">
        <v>0</v>
      </c>
      <c r="Y111" s="56">
        <v>22565100</v>
      </c>
      <c r="Z111" s="55">
        <v>89</v>
      </c>
      <c r="AA111" s="55">
        <v>0</v>
      </c>
      <c r="AB111" s="55">
        <v>0</v>
      </c>
      <c r="AC111" s="55">
        <v>139551600</v>
      </c>
      <c r="AD111" s="57">
        <v>1015</v>
      </c>
      <c r="AF111" s="47">
        <f t="shared" si="1"/>
        <v>116986500</v>
      </c>
    </row>
    <row r="112" spans="2:32" x14ac:dyDescent="0.3">
      <c r="B112" s="46" t="str">
        <f>IFERROR(VLOOKUP($H112,매장구분!$B:$Z,2,0),"")</f>
        <v>파트너채널팀</v>
      </c>
      <c r="C112" s="46" t="str">
        <f>IFERROR(VLOOKUP($H112,매장구분!$B:$Z,3,0),"")</f>
        <v>국내</v>
      </c>
      <c r="D112" s="46" t="str">
        <f>IFERROR(VLOOKUP($H112,매장구분!$B:$Z,5,0),"")</f>
        <v>백화점</v>
      </c>
      <c r="E112" s="46" t="str">
        <f>IFERROR(VLOOKUP($H112,매장구분!$B:$Z,9,0),"")</f>
        <v>롯데평촌</v>
      </c>
      <c r="F112" s="58"/>
      <c r="G112" s="59" t="s">
        <v>412</v>
      </c>
      <c r="H112" s="60" t="s">
        <v>413</v>
      </c>
      <c r="I112" s="60" t="s">
        <v>169</v>
      </c>
      <c r="J112" s="60" t="s">
        <v>175</v>
      </c>
      <c r="K112" s="60" t="s">
        <v>170</v>
      </c>
      <c r="L112" s="60" t="s">
        <v>171</v>
      </c>
      <c r="M112" s="60" t="s">
        <v>77</v>
      </c>
      <c r="N112" s="60" t="s">
        <v>172</v>
      </c>
      <c r="O112" s="60">
        <v>75463657</v>
      </c>
      <c r="P112" s="60">
        <v>766</v>
      </c>
      <c r="Q112" s="60">
        <v>2272000</v>
      </c>
      <c r="R112" s="60">
        <v>12</v>
      </c>
      <c r="S112" s="60">
        <v>0</v>
      </c>
      <c r="T112" s="60">
        <v>0</v>
      </c>
      <c r="U112" s="60">
        <v>7967843</v>
      </c>
      <c r="V112" s="60">
        <v>59</v>
      </c>
      <c r="W112" s="60">
        <v>0</v>
      </c>
      <c r="X112" s="60">
        <v>0</v>
      </c>
      <c r="Y112" s="61">
        <v>81972300</v>
      </c>
      <c r="Z112" s="60">
        <v>546</v>
      </c>
      <c r="AA112" s="60">
        <v>0</v>
      </c>
      <c r="AB112" s="60">
        <v>0</v>
      </c>
      <c r="AC112" s="60">
        <v>167675800</v>
      </c>
      <c r="AD112" s="62">
        <v>1383</v>
      </c>
      <c r="AF112" s="47">
        <f t="shared" si="1"/>
        <v>85703500</v>
      </c>
    </row>
    <row r="113" spans="2:32" x14ac:dyDescent="0.3">
      <c r="B113" s="46" t="str">
        <f>IFERROR(VLOOKUP($H113,매장구분!$B:$Z,2,0),"")</f>
        <v>리테일채널팀</v>
      </c>
      <c r="C113" s="46" t="str">
        <f>IFERROR(VLOOKUP($H113,매장구분!$B:$Z,3,0),"")</f>
        <v>국내</v>
      </c>
      <c r="D113" s="46" t="str">
        <f>IFERROR(VLOOKUP($H113,매장구분!$B:$Z,5,0),"")</f>
        <v>대리점</v>
      </c>
      <c r="E113" s="46" t="str">
        <f>IFERROR(VLOOKUP($H113,매장구분!$B:$Z,9,0),"")</f>
        <v>군산수송(대-위)</v>
      </c>
      <c r="F113" s="53"/>
      <c r="G113" s="54" t="s">
        <v>594</v>
      </c>
      <c r="H113" s="55" t="s">
        <v>595</v>
      </c>
      <c r="I113" s="55" t="s">
        <v>169</v>
      </c>
      <c r="J113" s="55" t="s">
        <v>79</v>
      </c>
      <c r="K113" s="55" t="s">
        <v>170</v>
      </c>
      <c r="L113" s="55" t="s">
        <v>171</v>
      </c>
      <c r="M113" s="55" t="s">
        <v>196</v>
      </c>
      <c r="N113" s="55" t="s">
        <v>197</v>
      </c>
      <c r="O113" s="55">
        <v>9663600</v>
      </c>
      <c r="P113" s="55">
        <v>107</v>
      </c>
      <c r="Q113" s="55">
        <v>0</v>
      </c>
      <c r="R113" s="55">
        <v>0</v>
      </c>
      <c r="S113" s="55">
        <v>0</v>
      </c>
      <c r="T113" s="55">
        <v>0</v>
      </c>
      <c r="U113" s="55">
        <v>456300</v>
      </c>
      <c r="V113" s="55">
        <v>2</v>
      </c>
      <c r="W113" s="55">
        <v>0</v>
      </c>
      <c r="X113" s="55">
        <v>0</v>
      </c>
      <c r="Y113" s="56">
        <v>7149000</v>
      </c>
      <c r="Z113" s="55">
        <v>73</v>
      </c>
      <c r="AA113" s="55">
        <v>0</v>
      </c>
      <c r="AB113" s="55">
        <v>0</v>
      </c>
      <c r="AC113" s="55">
        <v>17268900</v>
      </c>
      <c r="AD113" s="57">
        <v>182</v>
      </c>
      <c r="AF113" s="47">
        <f t="shared" si="1"/>
        <v>10119900</v>
      </c>
    </row>
    <row r="114" spans="2:32" x14ac:dyDescent="0.3">
      <c r="B114" s="46" t="str">
        <f>IFERROR(VLOOKUP($H114,매장구분!$B:$Z,2,0),"")</f>
        <v>파트너채널팀</v>
      </c>
      <c r="C114" s="46" t="str">
        <f>IFERROR(VLOOKUP($H114,매장구분!$B:$Z,3,0),"")</f>
        <v>면세</v>
      </c>
      <c r="D114" s="46" t="str">
        <f>IFERROR(VLOOKUP($H114,매장구분!$B:$Z,5,0),"")</f>
        <v>면세</v>
      </c>
      <c r="E114" s="46" t="str">
        <f>IFERROR(VLOOKUP($H114,매장구분!$B:$Z,9,0),"")</f>
        <v>롯데면세소공</v>
      </c>
      <c r="F114" s="58"/>
      <c r="G114" s="59" t="s">
        <v>384</v>
      </c>
      <c r="H114" s="60" t="s">
        <v>385</v>
      </c>
      <c r="I114" s="60" t="s">
        <v>169</v>
      </c>
      <c r="J114" s="60" t="s">
        <v>175</v>
      </c>
      <c r="K114" s="60" t="s">
        <v>170</v>
      </c>
      <c r="L114" s="60" t="s">
        <v>171</v>
      </c>
      <c r="M114" s="60" t="s">
        <v>176</v>
      </c>
      <c r="N114" s="60" t="s">
        <v>177</v>
      </c>
      <c r="O114" s="60">
        <v>670913200</v>
      </c>
      <c r="P114" s="60">
        <v>9400</v>
      </c>
      <c r="Q114" s="60">
        <v>0</v>
      </c>
      <c r="R114" s="60">
        <v>0</v>
      </c>
      <c r="S114" s="60">
        <v>0</v>
      </c>
      <c r="T114" s="60">
        <v>0</v>
      </c>
      <c r="U114" s="60">
        <v>0</v>
      </c>
      <c r="V114" s="60">
        <v>0</v>
      </c>
      <c r="W114" s="60">
        <v>0</v>
      </c>
      <c r="X114" s="60">
        <v>0</v>
      </c>
      <c r="Y114" s="61">
        <v>1205137000</v>
      </c>
      <c r="Z114" s="60">
        <v>21134</v>
      </c>
      <c r="AA114" s="60">
        <v>0</v>
      </c>
      <c r="AB114" s="60">
        <v>0</v>
      </c>
      <c r="AC114" s="60">
        <v>1876050200</v>
      </c>
      <c r="AD114" s="62">
        <v>30534</v>
      </c>
      <c r="AF114" s="47">
        <f t="shared" si="1"/>
        <v>670913200</v>
      </c>
    </row>
    <row r="115" spans="2:32" x14ac:dyDescent="0.3">
      <c r="B115" s="46" t="str">
        <f>IFERROR(VLOOKUP($H115,매장구분!$B:$Z,2,0),"")</f>
        <v>파트너채널팀</v>
      </c>
      <c r="C115" s="46" t="str">
        <f>IFERROR(VLOOKUP($H115,매장구분!$B:$Z,3,0),"")</f>
        <v>국내</v>
      </c>
      <c r="D115" s="46" t="str">
        <f>IFERROR(VLOOKUP($H115,매장구분!$B:$Z,5,0),"")</f>
        <v>백화점</v>
      </c>
      <c r="E115" s="46" t="str">
        <f>IFERROR(VLOOKUP($H115,매장구분!$B:$Z,9,0),"")</f>
        <v>더현대서울</v>
      </c>
      <c r="F115" s="53"/>
      <c r="G115" s="54" t="s">
        <v>422</v>
      </c>
      <c r="H115" s="55" t="s">
        <v>423</v>
      </c>
      <c r="I115" s="55" t="s">
        <v>169</v>
      </c>
      <c r="J115" s="55" t="s">
        <v>175</v>
      </c>
      <c r="K115" s="55" t="s">
        <v>170</v>
      </c>
      <c r="L115" s="55" t="s">
        <v>171</v>
      </c>
      <c r="M115" s="55" t="s">
        <v>188</v>
      </c>
      <c r="N115" s="55" t="s">
        <v>189</v>
      </c>
      <c r="O115" s="55">
        <v>178965210</v>
      </c>
      <c r="P115" s="55">
        <v>2036</v>
      </c>
      <c r="Q115" s="55">
        <v>0</v>
      </c>
      <c r="R115" s="55">
        <v>0</v>
      </c>
      <c r="S115" s="55">
        <v>0</v>
      </c>
      <c r="T115" s="55">
        <v>0</v>
      </c>
      <c r="U115" s="55">
        <v>9379000</v>
      </c>
      <c r="V115" s="55">
        <v>62</v>
      </c>
      <c r="W115" s="55">
        <v>0</v>
      </c>
      <c r="X115" s="55">
        <v>0</v>
      </c>
      <c r="Y115" s="56">
        <v>111200000</v>
      </c>
      <c r="Z115" s="55">
        <v>800</v>
      </c>
      <c r="AA115" s="55">
        <v>0</v>
      </c>
      <c r="AB115" s="55">
        <v>0</v>
      </c>
      <c r="AC115" s="55">
        <v>299544210</v>
      </c>
      <c r="AD115" s="57">
        <v>2898</v>
      </c>
      <c r="AF115" s="47">
        <f t="shared" si="1"/>
        <v>188344210</v>
      </c>
    </row>
    <row r="116" spans="2:32" x14ac:dyDescent="0.3">
      <c r="B116" s="46" t="str">
        <f>IFERROR(VLOOKUP($H116,매장구분!$B:$Z,2,0),"")</f>
        <v>리테일채널팀</v>
      </c>
      <c r="C116" s="46" t="str">
        <f>IFERROR(VLOOKUP($H116,매장구분!$B:$Z,3,0),"")</f>
        <v>국내</v>
      </c>
      <c r="D116" s="46" t="str">
        <f>IFERROR(VLOOKUP($H116,매장구분!$B:$Z,5,0),"")</f>
        <v>대리점</v>
      </c>
      <c r="E116" s="46" t="str">
        <f>IFERROR(VLOOKUP($H116,매장구분!$B:$Z,9,0),"")</f>
        <v>남원(대-위)</v>
      </c>
      <c r="F116" s="58"/>
      <c r="G116" s="59" t="s">
        <v>410</v>
      </c>
      <c r="H116" s="60" t="s">
        <v>411</v>
      </c>
      <c r="I116" s="60" t="s">
        <v>169</v>
      </c>
      <c r="J116" s="60" t="s">
        <v>79</v>
      </c>
      <c r="K116" s="60" t="s">
        <v>170</v>
      </c>
      <c r="L116" s="60" t="s">
        <v>171</v>
      </c>
      <c r="M116" s="60" t="s">
        <v>196</v>
      </c>
      <c r="N116" s="60" t="s">
        <v>197</v>
      </c>
      <c r="O116" s="60">
        <v>33908572</v>
      </c>
      <c r="P116" s="60">
        <v>291</v>
      </c>
      <c r="Q116" s="60">
        <v>0</v>
      </c>
      <c r="R116" s="60">
        <v>0</v>
      </c>
      <c r="S116" s="60">
        <v>0</v>
      </c>
      <c r="T116" s="60">
        <v>0</v>
      </c>
      <c r="U116" s="60">
        <v>3068702</v>
      </c>
      <c r="V116" s="60">
        <v>20</v>
      </c>
      <c r="W116" s="60">
        <v>0</v>
      </c>
      <c r="X116" s="60">
        <v>0</v>
      </c>
      <c r="Y116" s="61">
        <v>0</v>
      </c>
      <c r="Z116" s="60">
        <v>0</v>
      </c>
      <c r="AA116" s="60">
        <v>0</v>
      </c>
      <c r="AB116" s="60">
        <v>0</v>
      </c>
      <c r="AC116" s="60">
        <v>36977274</v>
      </c>
      <c r="AD116" s="62">
        <v>311</v>
      </c>
      <c r="AF116" s="47">
        <f t="shared" si="1"/>
        <v>36977274</v>
      </c>
    </row>
    <row r="117" spans="2:32" x14ac:dyDescent="0.3">
      <c r="B117" s="46" t="str">
        <f>IFERROR(VLOOKUP($H117,매장구분!$B:$Z,2,0),"")</f>
        <v>리테일채널팀</v>
      </c>
      <c r="C117" s="46" t="str">
        <f>IFERROR(VLOOKUP($H117,매장구분!$B:$Z,3,0),"")</f>
        <v>국내</v>
      </c>
      <c r="D117" s="46" t="str">
        <f>IFERROR(VLOOKUP($H117,매장구분!$B:$Z,5,0),"")</f>
        <v>직영점</v>
      </c>
      <c r="E117" s="46" t="str">
        <f>IFERROR(VLOOKUP($H117,매장구분!$B:$Z,9,0),"")</f>
        <v>스타필드하남(직)</v>
      </c>
      <c r="F117" s="53"/>
      <c r="G117" s="54" t="s">
        <v>394</v>
      </c>
      <c r="H117" s="55" t="s">
        <v>395</v>
      </c>
      <c r="I117" s="55" t="s">
        <v>169</v>
      </c>
      <c r="J117" s="55" t="s">
        <v>180</v>
      </c>
      <c r="K117" s="55" t="s">
        <v>170</v>
      </c>
      <c r="L117" s="55" t="s">
        <v>171</v>
      </c>
      <c r="M117" s="55" t="s">
        <v>188</v>
      </c>
      <c r="N117" s="55" t="s">
        <v>189</v>
      </c>
      <c r="O117" s="55">
        <v>102034900</v>
      </c>
      <c r="P117" s="55">
        <v>1115</v>
      </c>
      <c r="Q117" s="55">
        <v>0</v>
      </c>
      <c r="R117" s="55">
        <v>0</v>
      </c>
      <c r="S117" s="55">
        <v>0</v>
      </c>
      <c r="T117" s="55">
        <v>0</v>
      </c>
      <c r="U117" s="55">
        <v>5859000</v>
      </c>
      <c r="V117" s="55">
        <v>31</v>
      </c>
      <c r="W117" s="55">
        <v>0</v>
      </c>
      <c r="X117" s="55">
        <v>0</v>
      </c>
      <c r="Y117" s="56">
        <v>0</v>
      </c>
      <c r="Z117" s="55">
        <v>0</v>
      </c>
      <c r="AA117" s="55">
        <v>0</v>
      </c>
      <c r="AB117" s="55">
        <v>0</v>
      </c>
      <c r="AC117" s="55">
        <v>107893900</v>
      </c>
      <c r="AD117" s="57">
        <v>1146</v>
      </c>
      <c r="AF117" s="47">
        <f t="shared" si="1"/>
        <v>107893900</v>
      </c>
    </row>
    <row r="118" spans="2:32" x14ac:dyDescent="0.3">
      <c r="B118" s="46" t="str">
        <f>IFERROR(VLOOKUP($H118,매장구분!$B:$Z,2,0),"")</f>
        <v>리테일채널팀</v>
      </c>
      <c r="C118" s="46" t="str">
        <f>IFERROR(VLOOKUP($H118,매장구분!$B:$Z,3,0),"")</f>
        <v>RF</v>
      </c>
      <c r="D118" s="46" t="str">
        <f>IFERROR(VLOOKUP($H118,매장구분!$B:$Z,5,0),"")</f>
        <v>직영점</v>
      </c>
      <c r="E118" s="46" t="str">
        <f>IFERROR(VLOOKUP($H118,매장구분!$B:$Z,9,0),"")</f>
        <v>가로수길(직)</v>
      </c>
      <c r="F118" s="58"/>
      <c r="G118" s="59" t="s">
        <v>398</v>
      </c>
      <c r="H118" s="60" t="s">
        <v>399</v>
      </c>
      <c r="I118" s="60" t="s">
        <v>169</v>
      </c>
      <c r="J118" s="60" t="s">
        <v>180</v>
      </c>
      <c r="K118" s="60" t="s">
        <v>170</v>
      </c>
      <c r="L118" s="60" t="s">
        <v>171</v>
      </c>
      <c r="M118" s="60" t="s">
        <v>196</v>
      </c>
      <c r="N118" s="60" t="s">
        <v>206</v>
      </c>
      <c r="O118" s="60">
        <v>390358800</v>
      </c>
      <c r="P118" s="60">
        <v>3289</v>
      </c>
      <c r="Q118" s="60">
        <v>0</v>
      </c>
      <c r="R118" s="60">
        <v>0</v>
      </c>
      <c r="S118" s="60">
        <v>0</v>
      </c>
      <c r="T118" s="60">
        <v>0</v>
      </c>
      <c r="U118" s="60">
        <v>139000</v>
      </c>
      <c r="V118" s="60">
        <v>1</v>
      </c>
      <c r="W118" s="60">
        <v>0</v>
      </c>
      <c r="X118" s="60">
        <v>0</v>
      </c>
      <c r="Y118" s="61">
        <v>0</v>
      </c>
      <c r="Z118" s="60">
        <v>0</v>
      </c>
      <c r="AA118" s="60">
        <v>0</v>
      </c>
      <c r="AB118" s="60">
        <v>0</v>
      </c>
      <c r="AC118" s="60">
        <v>390497800</v>
      </c>
      <c r="AD118" s="62">
        <v>3290</v>
      </c>
      <c r="AF118" s="47">
        <f t="shared" si="1"/>
        <v>390497800</v>
      </c>
    </row>
    <row r="119" spans="2:32" x14ac:dyDescent="0.3">
      <c r="B119" s="46" t="str">
        <f>IFERROR(VLOOKUP($H119,매장구분!$B:$Z,2,0),"")</f>
        <v>리테일채널팀</v>
      </c>
      <c r="C119" s="46" t="str">
        <f>IFERROR(VLOOKUP($H119,매장구분!$B:$Z,3,0),"")</f>
        <v>국내</v>
      </c>
      <c r="D119" s="46" t="str">
        <f>IFERROR(VLOOKUP($H119,매장구분!$B:$Z,5,0),"")</f>
        <v>대리점</v>
      </c>
      <c r="E119" s="46" t="str">
        <f>IFERROR(VLOOKUP($H119,매장구분!$B:$Z,9,0),"")</f>
        <v>순천연향(대-위)</v>
      </c>
      <c r="F119" s="53"/>
      <c r="G119" s="54" t="s">
        <v>390</v>
      </c>
      <c r="H119" s="55" t="s">
        <v>391</v>
      </c>
      <c r="I119" s="55" t="s">
        <v>169</v>
      </c>
      <c r="J119" s="55" t="s">
        <v>79</v>
      </c>
      <c r="K119" s="55" t="s">
        <v>170</v>
      </c>
      <c r="L119" s="55" t="s">
        <v>171</v>
      </c>
      <c r="M119" s="55" t="s">
        <v>196</v>
      </c>
      <c r="N119" s="55" t="s">
        <v>197</v>
      </c>
      <c r="O119" s="55">
        <v>114230886</v>
      </c>
      <c r="P119" s="55">
        <v>980</v>
      </c>
      <c r="Q119" s="55">
        <v>0</v>
      </c>
      <c r="R119" s="55">
        <v>0</v>
      </c>
      <c r="S119" s="55">
        <v>0</v>
      </c>
      <c r="T119" s="55">
        <v>0</v>
      </c>
      <c r="U119" s="55">
        <v>15092538</v>
      </c>
      <c r="V119" s="55">
        <v>81</v>
      </c>
      <c r="W119" s="55">
        <v>0</v>
      </c>
      <c r="X119" s="55">
        <v>0</v>
      </c>
      <c r="Y119" s="56">
        <v>0</v>
      </c>
      <c r="Z119" s="55">
        <v>0</v>
      </c>
      <c r="AA119" s="55">
        <v>0</v>
      </c>
      <c r="AB119" s="55">
        <v>0</v>
      </c>
      <c r="AC119" s="55">
        <v>129323424</v>
      </c>
      <c r="AD119" s="57">
        <v>1061</v>
      </c>
      <c r="AF119" s="47">
        <f t="shared" si="1"/>
        <v>129323424</v>
      </c>
    </row>
    <row r="120" spans="2:32" x14ac:dyDescent="0.3">
      <c r="B120" s="46" t="str">
        <f>IFERROR(VLOOKUP($H120,매장구분!$B:$Z,2,0),"")</f>
        <v>리테일채널팀</v>
      </c>
      <c r="C120" s="46" t="str">
        <f>IFERROR(VLOOKUP($H120,매장구분!$B:$Z,3,0),"")</f>
        <v>국내</v>
      </c>
      <c r="D120" s="46" t="str">
        <f>IFERROR(VLOOKUP($H120,매장구분!$B:$Z,5,0),"")</f>
        <v>직영점</v>
      </c>
      <c r="E120" s="46" t="str">
        <f>IFERROR(VLOOKUP($H120,매장구분!$B:$Z,9,0),"")</f>
        <v>타임테라스동탄(직)</v>
      </c>
      <c r="F120" s="58"/>
      <c r="G120" s="59" t="s">
        <v>408</v>
      </c>
      <c r="H120" s="60" t="s">
        <v>409</v>
      </c>
      <c r="I120" s="60" t="s">
        <v>169</v>
      </c>
      <c r="J120" s="60" t="s">
        <v>180</v>
      </c>
      <c r="K120" s="60" t="s">
        <v>170</v>
      </c>
      <c r="L120" s="60" t="s">
        <v>171</v>
      </c>
      <c r="M120" s="60" t="s">
        <v>188</v>
      </c>
      <c r="N120" s="60" t="s">
        <v>317</v>
      </c>
      <c r="O120" s="60">
        <v>29712580</v>
      </c>
      <c r="P120" s="60">
        <v>333</v>
      </c>
      <c r="Q120" s="60">
        <v>0</v>
      </c>
      <c r="R120" s="60">
        <v>0</v>
      </c>
      <c r="S120" s="60">
        <v>0</v>
      </c>
      <c r="T120" s="60">
        <v>0</v>
      </c>
      <c r="U120" s="60">
        <v>2987620</v>
      </c>
      <c r="V120" s="60">
        <v>18</v>
      </c>
      <c r="W120" s="60">
        <v>0</v>
      </c>
      <c r="X120" s="60">
        <v>0</v>
      </c>
      <c r="Y120" s="61">
        <v>0</v>
      </c>
      <c r="Z120" s="60">
        <v>0</v>
      </c>
      <c r="AA120" s="60">
        <v>0</v>
      </c>
      <c r="AB120" s="60">
        <v>0</v>
      </c>
      <c r="AC120" s="60">
        <v>32700200</v>
      </c>
      <c r="AD120" s="62">
        <v>351</v>
      </c>
      <c r="AF120" s="47">
        <f t="shared" si="1"/>
        <v>32700200</v>
      </c>
    </row>
    <row r="121" spans="2:32" x14ac:dyDescent="0.3">
      <c r="B121" s="46" t="str">
        <f>IFERROR(VLOOKUP($H121,매장구분!$B:$Z,2,0),"")</f>
        <v>파트너채널팀</v>
      </c>
      <c r="C121" s="46" t="str">
        <f>IFERROR(VLOOKUP($H121,매장구분!$B:$Z,3,0),"")</f>
        <v>국내</v>
      </c>
      <c r="D121" s="46" t="str">
        <f>IFERROR(VLOOKUP($H121,매장구분!$B:$Z,5,0),"")</f>
        <v>백화점</v>
      </c>
      <c r="E121" s="46" t="str">
        <f>IFERROR(VLOOKUP($H121,매장구분!$B:$Z,9,0),"")</f>
        <v>롯데광주</v>
      </c>
      <c r="F121" s="53"/>
      <c r="G121" s="54" t="s">
        <v>404</v>
      </c>
      <c r="H121" s="55" t="s">
        <v>405</v>
      </c>
      <c r="I121" s="55" t="s">
        <v>169</v>
      </c>
      <c r="J121" s="55" t="s">
        <v>175</v>
      </c>
      <c r="K121" s="55" t="s">
        <v>170</v>
      </c>
      <c r="L121" s="55" t="s">
        <v>171</v>
      </c>
      <c r="M121" s="55" t="s">
        <v>77</v>
      </c>
      <c r="N121" s="55" t="s">
        <v>172</v>
      </c>
      <c r="O121" s="55">
        <v>50094215</v>
      </c>
      <c r="P121" s="55">
        <v>473</v>
      </c>
      <c r="Q121" s="55">
        <v>0</v>
      </c>
      <c r="R121" s="55">
        <v>0</v>
      </c>
      <c r="S121" s="55">
        <v>0</v>
      </c>
      <c r="T121" s="55">
        <v>0</v>
      </c>
      <c r="U121" s="55">
        <v>8260785</v>
      </c>
      <c r="V121" s="55">
        <v>55</v>
      </c>
      <c r="W121" s="55">
        <v>0</v>
      </c>
      <c r="X121" s="55">
        <v>0</v>
      </c>
      <c r="Y121" s="56">
        <v>7600900</v>
      </c>
      <c r="Z121" s="55">
        <v>62</v>
      </c>
      <c r="AA121" s="55">
        <v>0</v>
      </c>
      <c r="AB121" s="55">
        <v>0</v>
      </c>
      <c r="AC121" s="55">
        <v>65955900</v>
      </c>
      <c r="AD121" s="57">
        <v>590</v>
      </c>
      <c r="AF121" s="47">
        <f t="shared" si="1"/>
        <v>58355000</v>
      </c>
    </row>
    <row r="122" spans="2:32" x14ac:dyDescent="0.3">
      <c r="B122" s="46" t="str">
        <f>IFERROR(VLOOKUP($H122,매장구분!$B:$Z,2,0),"")</f>
        <v>파트너채널팀</v>
      </c>
      <c r="C122" s="46" t="str">
        <f>IFERROR(VLOOKUP($H122,매장구분!$B:$Z,3,0),"")</f>
        <v>국내</v>
      </c>
      <c r="D122" s="46" t="str">
        <f>IFERROR(VLOOKUP($H122,매장구분!$B:$Z,5,0),"")</f>
        <v>백화점</v>
      </c>
      <c r="E122" s="46" t="str">
        <f>IFERROR(VLOOKUP($H122,매장구분!$B:$Z,9,0),"")</f>
        <v>신세계마산</v>
      </c>
      <c r="F122" s="58"/>
      <c r="G122" s="59" t="s">
        <v>426</v>
      </c>
      <c r="H122" s="60" t="s">
        <v>427</v>
      </c>
      <c r="I122" s="60" t="s">
        <v>169</v>
      </c>
      <c r="J122" s="60" t="s">
        <v>175</v>
      </c>
      <c r="K122" s="60" t="s">
        <v>170</v>
      </c>
      <c r="L122" s="60" t="s">
        <v>171</v>
      </c>
      <c r="M122" s="60" t="s">
        <v>77</v>
      </c>
      <c r="N122" s="60" t="s">
        <v>172</v>
      </c>
      <c r="O122" s="60">
        <v>44089334</v>
      </c>
      <c r="P122" s="60">
        <v>398</v>
      </c>
      <c r="Q122" s="60">
        <v>0</v>
      </c>
      <c r="R122" s="60">
        <v>0</v>
      </c>
      <c r="S122" s="60">
        <v>0</v>
      </c>
      <c r="T122" s="60">
        <v>0</v>
      </c>
      <c r="U122" s="60">
        <v>5996266</v>
      </c>
      <c r="V122" s="60">
        <v>37</v>
      </c>
      <c r="W122" s="60">
        <v>0</v>
      </c>
      <c r="X122" s="60">
        <v>0</v>
      </c>
      <c r="Y122" s="61">
        <v>0</v>
      </c>
      <c r="Z122" s="60">
        <v>0</v>
      </c>
      <c r="AA122" s="60">
        <v>0</v>
      </c>
      <c r="AB122" s="60">
        <v>0</v>
      </c>
      <c r="AC122" s="60">
        <v>50085600</v>
      </c>
      <c r="AD122" s="62">
        <v>435</v>
      </c>
      <c r="AF122" s="47">
        <f t="shared" si="1"/>
        <v>50085600</v>
      </c>
    </row>
    <row r="123" spans="2:32" x14ac:dyDescent="0.3">
      <c r="B123" s="46" t="str">
        <f>IFERROR(VLOOKUP($H123,매장구분!$B:$Z,2,0),"")</f>
        <v>리테일채널팀</v>
      </c>
      <c r="C123" s="46" t="str">
        <f>IFERROR(VLOOKUP($H123,매장구분!$B:$Z,3,0),"")</f>
        <v>RF</v>
      </c>
      <c r="D123" s="46" t="str">
        <f>IFERROR(VLOOKUP($H123,매장구분!$B:$Z,5,0),"")</f>
        <v>직영점</v>
      </c>
      <c r="E123" s="46" t="str">
        <f>IFERROR(VLOOKUP($H123,매장구분!$B:$Z,9,0),"")</f>
        <v>홍대(직)</v>
      </c>
      <c r="F123" s="53"/>
      <c r="G123" s="54" t="s">
        <v>386</v>
      </c>
      <c r="H123" s="55" t="s">
        <v>387</v>
      </c>
      <c r="I123" s="55" t="s">
        <v>169</v>
      </c>
      <c r="J123" s="55" t="s">
        <v>180</v>
      </c>
      <c r="K123" s="55" t="s">
        <v>170</v>
      </c>
      <c r="L123" s="55" t="s">
        <v>171</v>
      </c>
      <c r="M123" s="55" t="s">
        <v>196</v>
      </c>
      <c r="N123" s="55" t="s">
        <v>206</v>
      </c>
      <c r="O123" s="55">
        <v>143325300</v>
      </c>
      <c r="P123" s="55">
        <v>1615</v>
      </c>
      <c r="Q123" s="55">
        <v>0</v>
      </c>
      <c r="R123" s="55">
        <v>0</v>
      </c>
      <c r="S123" s="55">
        <v>0</v>
      </c>
      <c r="T123" s="55">
        <v>0</v>
      </c>
      <c r="U123" s="55">
        <v>159000</v>
      </c>
      <c r="V123" s="55">
        <v>1</v>
      </c>
      <c r="W123" s="55">
        <v>0</v>
      </c>
      <c r="X123" s="55">
        <v>0</v>
      </c>
      <c r="Y123" s="56">
        <v>0</v>
      </c>
      <c r="Z123" s="55">
        <v>0</v>
      </c>
      <c r="AA123" s="55">
        <v>0</v>
      </c>
      <c r="AB123" s="55">
        <v>0</v>
      </c>
      <c r="AC123" s="55">
        <v>143484300</v>
      </c>
      <c r="AD123" s="57">
        <v>1616</v>
      </c>
      <c r="AF123" s="47">
        <f t="shared" si="1"/>
        <v>143484300</v>
      </c>
    </row>
    <row r="124" spans="2:32" x14ac:dyDescent="0.3">
      <c r="B124" s="46" t="str">
        <f>IFERROR(VLOOKUP($H124,매장구분!$B:$Z,2,0),"")</f>
        <v>리테일채널팀</v>
      </c>
      <c r="C124" s="46" t="str">
        <f>IFERROR(VLOOKUP($H124,매장구분!$B:$Z,3,0),"")</f>
        <v>국내</v>
      </c>
      <c r="D124" s="46" t="str">
        <f>IFERROR(VLOOKUP($H124,매장구분!$B:$Z,5,0),"")</f>
        <v>대리점</v>
      </c>
      <c r="E124" s="46" t="str">
        <f>IFERROR(VLOOKUP($H124,매장구분!$B:$Z,9,0),"")</f>
        <v>영주(대-위)</v>
      </c>
      <c r="F124" s="58"/>
      <c r="G124" s="59" t="s">
        <v>392</v>
      </c>
      <c r="H124" s="60" t="s">
        <v>393</v>
      </c>
      <c r="I124" s="60" t="s">
        <v>169</v>
      </c>
      <c r="J124" s="60" t="s">
        <v>79</v>
      </c>
      <c r="K124" s="60" t="s">
        <v>170</v>
      </c>
      <c r="L124" s="60" t="s">
        <v>171</v>
      </c>
      <c r="M124" s="60" t="s">
        <v>196</v>
      </c>
      <c r="N124" s="60" t="s">
        <v>197</v>
      </c>
      <c r="O124" s="60">
        <v>37111234</v>
      </c>
      <c r="P124" s="60">
        <v>315</v>
      </c>
      <c r="Q124" s="60">
        <v>0</v>
      </c>
      <c r="R124" s="60">
        <v>0</v>
      </c>
      <c r="S124" s="60">
        <v>0</v>
      </c>
      <c r="T124" s="60">
        <v>0</v>
      </c>
      <c r="U124" s="60">
        <v>12166752</v>
      </c>
      <c r="V124" s="60">
        <v>59</v>
      </c>
      <c r="W124" s="60">
        <v>0</v>
      </c>
      <c r="X124" s="60">
        <v>0</v>
      </c>
      <c r="Y124" s="61">
        <v>0</v>
      </c>
      <c r="Z124" s="60">
        <v>0</v>
      </c>
      <c r="AA124" s="60">
        <v>0</v>
      </c>
      <c r="AB124" s="60">
        <v>0</v>
      </c>
      <c r="AC124" s="60">
        <v>49277986</v>
      </c>
      <c r="AD124" s="62">
        <v>374</v>
      </c>
      <c r="AF124" s="47">
        <f t="shared" si="1"/>
        <v>49277986</v>
      </c>
    </row>
    <row r="125" spans="2:32" x14ac:dyDescent="0.3">
      <c r="B125" s="46" t="str">
        <f>IFERROR(VLOOKUP($H125,매장구분!$B:$Z,2,0),"")</f>
        <v>파트너채널팀</v>
      </c>
      <c r="C125" s="46" t="str">
        <f>IFERROR(VLOOKUP($H125,매장구분!$B:$Z,3,0),"")</f>
        <v>국내</v>
      </c>
      <c r="D125" s="46" t="str">
        <f>IFERROR(VLOOKUP($H125,매장구분!$B:$Z,5,0),"")</f>
        <v>백화점</v>
      </c>
      <c r="E125" s="46" t="str">
        <f>IFERROR(VLOOKUP($H125,매장구분!$B:$Z,9,0),"")</f>
        <v>NC신구로</v>
      </c>
      <c r="F125" s="53"/>
      <c r="G125" s="54" t="s">
        <v>596</v>
      </c>
      <c r="H125" s="55" t="s">
        <v>597</v>
      </c>
      <c r="I125" s="55" t="s">
        <v>169</v>
      </c>
      <c r="J125" s="55" t="s">
        <v>175</v>
      </c>
      <c r="K125" s="55" t="s">
        <v>170</v>
      </c>
      <c r="L125" s="55" t="s">
        <v>171</v>
      </c>
      <c r="M125" s="55" t="s">
        <v>77</v>
      </c>
      <c r="N125" s="55" t="s">
        <v>238</v>
      </c>
      <c r="O125" s="55">
        <v>33389700</v>
      </c>
      <c r="P125" s="55">
        <v>387</v>
      </c>
      <c r="Q125" s="55">
        <v>10913100</v>
      </c>
      <c r="R125" s="55">
        <v>158</v>
      </c>
      <c r="S125" s="55">
        <v>0</v>
      </c>
      <c r="T125" s="55">
        <v>0</v>
      </c>
      <c r="U125" s="55">
        <v>4727000</v>
      </c>
      <c r="V125" s="55">
        <v>29</v>
      </c>
      <c r="W125" s="55">
        <v>0</v>
      </c>
      <c r="X125" s="55">
        <v>0</v>
      </c>
      <c r="Y125" s="56">
        <v>0</v>
      </c>
      <c r="Z125" s="55">
        <v>0</v>
      </c>
      <c r="AA125" s="55">
        <v>0</v>
      </c>
      <c r="AB125" s="55">
        <v>0</v>
      </c>
      <c r="AC125" s="55">
        <v>49029800</v>
      </c>
      <c r="AD125" s="57">
        <v>574</v>
      </c>
      <c r="AF125" s="47">
        <f t="shared" si="1"/>
        <v>49029800</v>
      </c>
    </row>
    <row r="126" spans="2:32" x14ac:dyDescent="0.3">
      <c r="B126" s="46" t="str">
        <f>IFERROR(VLOOKUP($H126,매장구분!$B:$Z,2,0),"")</f>
        <v>리테일채널팀</v>
      </c>
      <c r="C126" s="46" t="str">
        <f>IFERROR(VLOOKUP($H126,매장구분!$B:$Z,3,0),"")</f>
        <v>국내</v>
      </c>
      <c r="D126" s="46" t="str">
        <f>IFERROR(VLOOKUP($H126,매장구분!$B:$Z,5,0),"")</f>
        <v>대리점</v>
      </c>
      <c r="E126" s="46" t="str">
        <f>IFERROR(VLOOKUP($H126,매장구분!$B:$Z,9,0),"")</f>
        <v>전주송천(대-위)</v>
      </c>
      <c r="F126" s="58"/>
      <c r="G126" s="59" t="s">
        <v>428</v>
      </c>
      <c r="H126" s="60" t="s">
        <v>429</v>
      </c>
      <c r="I126" s="60" t="s">
        <v>169</v>
      </c>
      <c r="J126" s="60" t="s">
        <v>79</v>
      </c>
      <c r="K126" s="60" t="s">
        <v>170</v>
      </c>
      <c r="L126" s="60" t="s">
        <v>171</v>
      </c>
      <c r="M126" s="60" t="s">
        <v>196</v>
      </c>
      <c r="N126" s="60" t="s">
        <v>197</v>
      </c>
      <c r="O126" s="60">
        <v>34370104</v>
      </c>
      <c r="P126" s="60">
        <v>296</v>
      </c>
      <c r="Q126" s="60">
        <v>0</v>
      </c>
      <c r="R126" s="60">
        <v>0</v>
      </c>
      <c r="S126" s="60">
        <v>0</v>
      </c>
      <c r="T126" s="60">
        <v>0</v>
      </c>
      <c r="U126" s="60">
        <v>2126971</v>
      </c>
      <c r="V126" s="60">
        <v>16</v>
      </c>
      <c r="W126" s="60">
        <v>0</v>
      </c>
      <c r="X126" s="60">
        <v>0</v>
      </c>
      <c r="Y126" s="61">
        <v>47369900</v>
      </c>
      <c r="Z126" s="60">
        <v>377</v>
      </c>
      <c r="AA126" s="60">
        <v>0</v>
      </c>
      <c r="AB126" s="60">
        <v>0</v>
      </c>
      <c r="AC126" s="60">
        <v>83866975</v>
      </c>
      <c r="AD126" s="62">
        <v>689</v>
      </c>
      <c r="AF126" s="47">
        <f t="shared" si="1"/>
        <v>36497075</v>
      </c>
    </row>
    <row r="127" spans="2:32" x14ac:dyDescent="0.3">
      <c r="B127" s="46" t="str">
        <f>IFERROR(VLOOKUP($H127,매장구분!$B:$Z,2,0),"")</f>
        <v>파트너채널팀</v>
      </c>
      <c r="C127" s="46" t="str">
        <f>IFERROR(VLOOKUP($H127,매장구분!$B:$Z,3,0),"")</f>
        <v>국내</v>
      </c>
      <c r="D127" s="46" t="str">
        <f>IFERROR(VLOOKUP($H127,매장구분!$B:$Z,5,0),"")</f>
        <v>백화점</v>
      </c>
      <c r="E127" s="46" t="str">
        <f>IFERROR(VLOOKUP($H127,매장구분!$B:$Z,9,0),"")</f>
        <v>엔터식스안양</v>
      </c>
      <c r="F127" s="53"/>
      <c r="G127" s="54" t="s">
        <v>414</v>
      </c>
      <c r="H127" s="55" t="s">
        <v>415</v>
      </c>
      <c r="I127" s="55" t="s">
        <v>169</v>
      </c>
      <c r="J127" s="55" t="s">
        <v>175</v>
      </c>
      <c r="K127" s="55" t="s">
        <v>170</v>
      </c>
      <c r="L127" s="55" t="s">
        <v>171</v>
      </c>
      <c r="M127" s="55" t="s">
        <v>188</v>
      </c>
      <c r="N127" s="55" t="s">
        <v>317</v>
      </c>
      <c r="O127" s="55">
        <v>58099000</v>
      </c>
      <c r="P127" s="55">
        <v>701</v>
      </c>
      <c r="Q127" s="55">
        <v>17628000</v>
      </c>
      <c r="R127" s="55">
        <v>114</v>
      </c>
      <c r="S127" s="55">
        <v>0</v>
      </c>
      <c r="T127" s="55">
        <v>0</v>
      </c>
      <c r="U127" s="55">
        <v>3973400</v>
      </c>
      <c r="V127" s="55">
        <v>29</v>
      </c>
      <c r="W127" s="55">
        <v>0</v>
      </c>
      <c r="X127" s="55">
        <v>0</v>
      </c>
      <c r="Y127" s="56">
        <v>0</v>
      </c>
      <c r="Z127" s="55">
        <v>0</v>
      </c>
      <c r="AA127" s="55">
        <v>0</v>
      </c>
      <c r="AB127" s="55">
        <v>0</v>
      </c>
      <c r="AC127" s="55">
        <v>79700400</v>
      </c>
      <c r="AD127" s="57">
        <v>844</v>
      </c>
      <c r="AF127" s="47">
        <f t="shared" si="1"/>
        <v>79700400</v>
      </c>
    </row>
    <row r="128" spans="2:32" x14ac:dyDescent="0.3">
      <c r="B128" s="46" t="str">
        <f>IFERROR(VLOOKUP($H128,매장구분!$B:$Z,2,0),"")</f>
        <v>리테일채널팀</v>
      </c>
      <c r="C128" s="46" t="str">
        <f>IFERROR(VLOOKUP($H128,매장구분!$B:$Z,3,0),"")</f>
        <v>국내</v>
      </c>
      <c r="D128" s="46" t="str">
        <f>IFERROR(VLOOKUP($H128,매장구분!$B:$Z,5,0),"")</f>
        <v>대리점</v>
      </c>
      <c r="E128" s="46" t="str">
        <f>IFERROR(VLOOKUP($H128,매장구분!$B:$Z,9,0),"")</f>
        <v>광명(대-위)</v>
      </c>
      <c r="F128" s="58"/>
      <c r="G128" s="59" t="s">
        <v>420</v>
      </c>
      <c r="H128" s="60" t="s">
        <v>421</v>
      </c>
      <c r="I128" s="60" t="s">
        <v>169</v>
      </c>
      <c r="J128" s="60" t="s">
        <v>79</v>
      </c>
      <c r="K128" s="60" t="s">
        <v>170</v>
      </c>
      <c r="L128" s="60" t="s">
        <v>171</v>
      </c>
      <c r="M128" s="60" t="s">
        <v>196</v>
      </c>
      <c r="N128" s="60" t="s">
        <v>197</v>
      </c>
      <c r="O128" s="60">
        <v>56013361</v>
      </c>
      <c r="P128" s="60">
        <v>548</v>
      </c>
      <c r="Q128" s="60">
        <v>0</v>
      </c>
      <c r="R128" s="60">
        <v>0</v>
      </c>
      <c r="S128" s="60">
        <v>0</v>
      </c>
      <c r="T128" s="60">
        <v>0</v>
      </c>
      <c r="U128" s="60">
        <v>3936439</v>
      </c>
      <c r="V128" s="60">
        <v>22</v>
      </c>
      <c r="W128" s="60">
        <v>0</v>
      </c>
      <c r="X128" s="60">
        <v>0</v>
      </c>
      <c r="Y128" s="61">
        <v>153183000</v>
      </c>
      <c r="Z128" s="60">
        <v>1015</v>
      </c>
      <c r="AA128" s="60">
        <v>0</v>
      </c>
      <c r="AB128" s="60">
        <v>0</v>
      </c>
      <c r="AC128" s="60">
        <v>213132800</v>
      </c>
      <c r="AD128" s="62">
        <v>1585</v>
      </c>
      <c r="AF128" s="47">
        <f t="shared" si="1"/>
        <v>59949800</v>
      </c>
    </row>
    <row r="129" spans="2:32" x14ac:dyDescent="0.3">
      <c r="B129" s="46" t="str">
        <f>IFERROR(VLOOKUP($H129,매장구분!$B:$Z,2,0),"")</f>
        <v>리테일채널팀</v>
      </c>
      <c r="C129" s="46" t="str">
        <f>IFERROR(VLOOKUP($H129,매장구분!$B:$Z,3,0),"")</f>
        <v>국내</v>
      </c>
      <c r="D129" s="46" t="str">
        <f>IFERROR(VLOOKUP($H129,매장구분!$B:$Z,5,0),"")</f>
        <v>대리점</v>
      </c>
      <c r="E129" s="46" t="str">
        <f>IFERROR(VLOOKUP($H129,매장구분!$B:$Z,9,0),"")</f>
        <v>김포장기(대-위)</v>
      </c>
      <c r="F129" s="53"/>
      <c r="G129" s="54" t="s">
        <v>400</v>
      </c>
      <c r="H129" s="55" t="s">
        <v>401</v>
      </c>
      <c r="I129" s="55" t="s">
        <v>169</v>
      </c>
      <c r="J129" s="55" t="s">
        <v>79</v>
      </c>
      <c r="K129" s="55" t="s">
        <v>170</v>
      </c>
      <c r="L129" s="55" t="s">
        <v>171</v>
      </c>
      <c r="M129" s="55" t="s">
        <v>196</v>
      </c>
      <c r="N129" s="55" t="s">
        <v>197</v>
      </c>
      <c r="O129" s="55">
        <v>61951479</v>
      </c>
      <c r="P129" s="55">
        <v>541</v>
      </c>
      <c r="Q129" s="55">
        <v>0</v>
      </c>
      <c r="R129" s="55">
        <v>0</v>
      </c>
      <c r="S129" s="55">
        <v>0</v>
      </c>
      <c r="T129" s="55">
        <v>0</v>
      </c>
      <c r="U129" s="55">
        <v>4464821</v>
      </c>
      <c r="V129" s="55">
        <v>32</v>
      </c>
      <c r="W129" s="55">
        <v>0</v>
      </c>
      <c r="X129" s="55">
        <v>0</v>
      </c>
      <c r="Y129" s="56">
        <v>0</v>
      </c>
      <c r="Z129" s="55">
        <v>0</v>
      </c>
      <c r="AA129" s="55">
        <v>0</v>
      </c>
      <c r="AB129" s="55">
        <v>0</v>
      </c>
      <c r="AC129" s="55">
        <v>66416300</v>
      </c>
      <c r="AD129" s="57">
        <v>573</v>
      </c>
      <c r="AF129" s="47">
        <f t="shared" si="1"/>
        <v>66416300</v>
      </c>
    </row>
    <row r="130" spans="2:32" x14ac:dyDescent="0.3">
      <c r="B130" s="46" t="str">
        <f>IFERROR(VLOOKUP($H130,매장구분!$B:$Z,2,0),"")</f>
        <v>리테일채널팀</v>
      </c>
      <c r="C130" s="46" t="str">
        <f>IFERROR(VLOOKUP($H130,매장구분!$B:$Z,3,0),"")</f>
        <v>국내</v>
      </c>
      <c r="D130" s="46" t="str">
        <f>IFERROR(VLOOKUP($H130,매장구분!$B:$Z,5,0),"")</f>
        <v>직영점</v>
      </c>
      <c r="E130" s="46" t="str">
        <f>IFERROR(VLOOKUP($H130,매장구분!$B:$Z,9,0),"")</f>
        <v>스타필드고양</v>
      </c>
      <c r="F130" s="58"/>
      <c r="G130" s="59" t="s">
        <v>592</v>
      </c>
      <c r="H130" s="60" t="s">
        <v>593</v>
      </c>
      <c r="I130" s="60" t="s">
        <v>169</v>
      </c>
      <c r="J130" s="60" t="s">
        <v>180</v>
      </c>
      <c r="K130" s="60" t="s">
        <v>170</v>
      </c>
      <c r="L130" s="60" t="s">
        <v>171</v>
      </c>
      <c r="M130" s="60" t="s">
        <v>188</v>
      </c>
      <c r="N130" s="60" t="s">
        <v>189</v>
      </c>
      <c r="O130" s="60">
        <v>100961888</v>
      </c>
      <c r="P130" s="60">
        <v>1256</v>
      </c>
      <c r="Q130" s="60">
        <v>0</v>
      </c>
      <c r="R130" s="60">
        <v>0</v>
      </c>
      <c r="S130" s="60">
        <v>0</v>
      </c>
      <c r="T130" s="60">
        <v>0</v>
      </c>
      <c r="U130" s="60">
        <v>13477712</v>
      </c>
      <c r="V130" s="60">
        <v>74</v>
      </c>
      <c r="W130" s="60">
        <v>0</v>
      </c>
      <c r="X130" s="60">
        <v>0</v>
      </c>
      <c r="Y130" s="61">
        <v>0</v>
      </c>
      <c r="Z130" s="60">
        <v>0</v>
      </c>
      <c r="AA130" s="60">
        <v>0</v>
      </c>
      <c r="AB130" s="60">
        <v>0</v>
      </c>
      <c r="AC130" s="60">
        <v>114439600</v>
      </c>
      <c r="AD130" s="62">
        <v>1330</v>
      </c>
      <c r="AF130" s="47">
        <f t="shared" si="1"/>
        <v>114439600</v>
      </c>
    </row>
    <row r="131" spans="2:32" x14ac:dyDescent="0.3">
      <c r="B131" s="46" t="str">
        <f>IFERROR(VLOOKUP($H131,매장구분!$B:$Z,2,0),"")</f>
        <v>파트너채널팀</v>
      </c>
      <c r="C131" s="46" t="str">
        <f>IFERROR(VLOOKUP($H131,매장구분!$B:$Z,3,0),"")</f>
        <v>국내</v>
      </c>
      <c r="D131" s="46" t="str">
        <f>IFERROR(VLOOKUP($H131,매장구분!$B:$Z,5,0),"")</f>
        <v>백화점</v>
      </c>
      <c r="E131" s="46" t="str">
        <f>IFERROR(VLOOKUP($H131,매장구분!$B:$Z,9,0),"")</f>
        <v>롯데동탄</v>
      </c>
      <c r="F131" s="53"/>
      <c r="G131" s="54" t="s">
        <v>406</v>
      </c>
      <c r="H131" s="55" t="s">
        <v>407</v>
      </c>
      <c r="I131" s="55" t="s">
        <v>169</v>
      </c>
      <c r="J131" s="55" t="s">
        <v>175</v>
      </c>
      <c r="K131" s="55" t="s">
        <v>170</v>
      </c>
      <c r="L131" s="55" t="s">
        <v>171</v>
      </c>
      <c r="M131" s="55" t="s">
        <v>77</v>
      </c>
      <c r="N131" s="55" t="s">
        <v>172</v>
      </c>
      <c r="O131" s="55">
        <v>50059900</v>
      </c>
      <c r="P131" s="55">
        <v>554</v>
      </c>
      <c r="Q131" s="55">
        <v>0</v>
      </c>
      <c r="R131" s="55">
        <v>0</v>
      </c>
      <c r="S131" s="55">
        <v>0</v>
      </c>
      <c r="T131" s="55">
        <v>0</v>
      </c>
      <c r="U131" s="55">
        <v>7555600</v>
      </c>
      <c r="V131" s="55">
        <v>37</v>
      </c>
      <c r="W131" s="55">
        <v>0</v>
      </c>
      <c r="X131" s="55">
        <v>0</v>
      </c>
      <c r="Y131" s="56">
        <v>5338000</v>
      </c>
      <c r="Z131" s="55">
        <v>42</v>
      </c>
      <c r="AA131" s="55">
        <v>0</v>
      </c>
      <c r="AB131" s="55">
        <v>0</v>
      </c>
      <c r="AC131" s="55">
        <v>62953500</v>
      </c>
      <c r="AD131" s="57">
        <v>633</v>
      </c>
      <c r="AF131" s="47">
        <f t="shared" ref="AF131:AF194" si="2">IFERROR(AC131-Y131,"")</f>
        <v>57615500</v>
      </c>
    </row>
    <row r="132" spans="2:32" x14ac:dyDescent="0.3">
      <c r="B132" s="46" t="str">
        <f>IFERROR(VLOOKUP($H132,매장구분!$B:$Z,2,0),"")</f>
        <v>리테일채널팀</v>
      </c>
      <c r="C132" s="46" t="str">
        <f>IFERROR(VLOOKUP($H132,매장구분!$B:$Z,3,0),"")</f>
        <v>국내</v>
      </c>
      <c r="D132" s="46" t="str">
        <f>IFERROR(VLOOKUP($H132,매장구분!$B:$Z,5,0),"")</f>
        <v>대리점</v>
      </c>
      <c r="E132" s="46" t="str">
        <f>IFERROR(VLOOKUP($H132,매장구분!$B:$Z,9,0),"")</f>
        <v>상주(대-위)</v>
      </c>
      <c r="F132" s="58"/>
      <c r="G132" s="59" t="s">
        <v>388</v>
      </c>
      <c r="H132" s="60" t="s">
        <v>389</v>
      </c>
      <c r="I132" s="60" t="s">
        <v>169</v>
      </c>
      <c r="J132" s="60" t="s">
        <v>79</v>
      </c>
      <c r="K132" s="60" t="s">
        <v>170</v>
      </c>
      <c r="L132" s="60" t="s">
        <v>171</v>
      </c>
      <c r="M132" s="60" t="s">
        <v>196</v>
      </c>
      <c r="N132" s="60" t="s">
        <v>197</v>
      </c>
      <c r="O132" s="60">
        <v>30405073</v>
      </c>
      <c r="P132" s="60">
        <v>256</v>
      </c>
      <c r="Q132" s="60">
        <v>0</v>
      </c>
      <c r="R132" s="60">
        <v>0</v>
      </c>
      <c r="S132" s="60">
        <v>0</v>
      </c>
      <c r="T132" s="60">
        <v>0</v>
      </c>
      <c r="U132" s="60">
        <v>3238760</v>
      </c>
      <c r="V132" s="60">
        <v>23</v>
      </c>
      <c r="W132" s="60">
        <v>0</v>
      </c>
      <c r="X132" s="60">
        <v>0</v>
      </c>
      <c r="Y132" s="61">
        <v>0</v>
      </c>
      <c r="Z132" s="60">
        <v>0</v>
      </c>
      <c r="AA132" s="60">
        <v>0</v>
      </c>
      <c r="AB132" s="60">
        <v>0</v>
      </c>
      <c r="AC132" s="60">
        <v>33643833</v>
      </c>
      <c r="AD132" s="62">
        <v>279</v>
      </c>
      <c r="AF132" s="47">
        <f t="shared" si="2"/>
        <v>33643833</v>
      </c>
    </row>
    <row r="133" spans="2:32" x14ac:dyDescent="0.3">
      <c r="B133" s="46" t="str">
        <f>IFERROR(VLOOKUP($H133,매장구분!$B:$Z,2,0),"")</f>
        <v>리테일채널팀</v>
      </c>
      <c r="C133" s="46" t="str">
        <f>IFERROR(VLOOKUP($H133,매장구분!$B:$Z,3,0),"")</f>
        <v>국내</v>
      </c>
      <c r="D133" s="46" t="str">
        <f>IFERROR(VLOOKUP($H133,매장구분!$B:$Z,5,0),"")</f>
        <v>대리점</v>
      </c>
      <c r="E133" s="46" t="str">
        <f>IFERROR(VLOOKUP($H133,매장구분!$B:$Z,9,0),"")</f>
        <v>안동(대-위)</v>
      </c>
      <c r="F133" s="53"/>
      <c r="G133" s="54" t="s">
        <v>424</v>
      </c>
      <c r="H133" s="55" t="s">
        <v>425</v>
      </c>
      <c r="I133" s="55" t="s">
        <v>169</v>
      </c>
      <c r="J133" s="55" t="s">
        <v>79</v>
      </c>
      <c r="K133" s="55" t="s">
        <v>170</v>
      </c>
      <c r="L133" s="55" t="s">
        <v>171</v>
      </c>
      <c r="M133" s="55" t="s">
        <v>196</v>
      </c>
      <c r="N133" s="55" t="s">
        <v>197</v>
      </c>
      <c r="O133" s="55">
        <v>34671020</v>
      </c>
      <c r="P133" s="55">
        <v>322</v>
      </c>
      <c r="Q133" s="55">
        <v>0</v>
      </c>
      <c r="R133" s="55">
        <v>0</v>
      </c>
      <c r="S133" s="55">
        <v>0</v>
      </c>
      <c r="T133" s="55">
        <v>0</v>
      </c>
      <c r="U133" s="55">
        <v>3730600</v>
      </c>
      <c r="V133" s="55">
        <v>20</v>
      </c>
      <c r="W133" s="55">
        <v>0</v>
      </c>
      <c r="X133" s="55">
        <v>0</v>
      </c>
      <c r="Y133" s="56">
        <v>0</v>
      </c>
      <c r="Z133" s="55">
        <v>0</v>
      </c>
      <c r="AA133" s="55">
        <v>0</v>
      </c>
      <c r="AB133" s="55">
        <v>0</v>
      </c>
      <c r="AC133" s="55">
        <v>38401620</v>
      </c>
      <c r="AD133" s="57">
        <v>342</v>
      </c>
      <c r="AF133" s="47">
        <f t="shared" si="2"/>
        <v>38401620</v>
      </c>
    </row>
    <row r="134" spans="2:32" x14ac:dyDescent="0.3">
      <c r="B134" s="46" t="str">
        <f>IFERROR(VLOOKUP($H134,매장구분!$B:$Z,2,0),"")</f>
        <v>리테일채널팀</v>
      </c>
      <c r="C134" s="46" t="str">
        <f>IFERROR(VLOOKUP($H134,매장구분!$B:$Z,3,0),"")</f>
        <v>국내</v>
      </c>
      <c r="D134" s="46" t="str">
        <f>IFERROR(VLOOKUP($H134,매장구분!$B:$Z,5,0),"")</f>
        <v>상설(위탁)</v>
      </c>
      <c r="E134" s="46" t="str">
        <f>IFERROR(VLOOKUP($H134,매장구분!$B:$Z,9,0),"")</f>
        <v>콜렉티드(상-위)</v>
      </c>
      <c r="F134" s="58"/>
      <c r="G134" s="59" t="s">
        <v>434</v>
      </c>
      <c r="H134" s="60" t="s">
        <v>435</v>
      </c>
      <c r="I134" s="60" t="s">
        <v>169</v>
      </c>
      <c r="J134" s="60" t="s">
        <v>79</v>
      </c>
      <c r="K134" s="60" t="s">
        <v>170</v>
      </c>
      <c r="L134" s="60" t="s">
        <v>171</v>
      </c>
      <c r="M134" s="60" t="s">
        <v>219</v>
      </c>
      <c r="N134" s="60" t="s">
        <v>219</v>
      </c>
      <c r="O134" s="60">
        <v>756000</v>
      </c>
      <c r="P134" s="60">
        <v>21</v>
      </c>
      <c r="Q134" s="60">
        <v>0</v>
      </c>
      <c r="R134" s="60">
        <v>0</v>
      </c>
      <c r="S134" s="60">
        <v>0</v>
      </c>
      <c r="T134" s="60">
        <v>0</v>
      </c>
      <c r="U134" s="60">
        <v>0</v>
      </c>
      <c r="V134" s="60">
        <v>0</v>
      </c>
      <c r="W134" s="60">
        <v>0</v>
      </c>
      <c r="X134" s="60">
        <v>0</v>
      </c>
      <c r="Y134" s="61">
        <v>0</v>
      </c>
      <c r="Z134" s="60">
        <v>0</v>
      </c>
      <c r="AA134" s="60">
        <v>0</v>
      </c>
      <c r="AB134" s="60">
        <v>0</v>
      </c>
      <c r="AC134" s="60">
        <v>756000</v>
      </c>
      <c r="AD134" s="62">
        <v>21</v>
      </c>
      <c r="AF134" s="47">
        <f t="shared" si="2"/>
        <v>756000</v>
      </c>
    </row>
    <row r="135" spans="2:32" x14ac:dyDescent="0.3">
      <c r="B135" s="46" t="str">
        <f>IFERROR(VLOOKUP($H135,매장구분!$B:$Z,2,0),"")</f>
        <v>리테일채널팀</v>
      </c>
      <c r="C135" s="46" t="str">
        <f>IFERROR(VLOOKUP($H135,매장구분!$B:$Z,3,0),"")</f>
        <v>국내</v>
      </c>
      <c r="D135" s="46" t="str">
        <f>IFERROR(VLOOKUP($H135,매장구분!$B:$Z,5,0),"")</f>
        <v>상설(위탁)</v>
      </c>
      <c r="E135" s="46" t="str">
        <f>IFERROR(VLOOKUP($H135,매장구분!$B:$Z,9,0),"")</f>
        <v>롯데아울렛수완(상-위)</v>
      </c>
      <c r="F135" s="53"/>
      <c r="G135" s="54" t="s">
        <v>430</v>
      </c>
      <c r="H135" s="55" t="s">
        <v>431</v>
      </c>
      <c r="I135" s="55" t="s">
        <v>169</v>
      </c>
      <c r="J135" s="55" t="s">
        <v>79</v>
      </c>
      <c r="K135" s="55" t="s">
        <v>170</v>
      </c>
      <c r="L135" s="55" t="s">
        <v>171</v>
      </c>
      <c r="M135" s="55" t="s">
        <v>219</v>
      </c>
      <c r="N135" s="55" t="s">
        <v>219</v>
      </c>
      <c r="O135" s="55">
        <v>10548000</v>
      </c>
      <c r="P135" s="55">
        <v>293</v>
      </c>
      <c r="Q135" s="55">
        <v>0</v>
      </c>
      <c r="R135" s="55">
        <v>0</v>
      </c>
      <c r="S135" s="55">
        <v>0</v>
      </c>
      <c r="T135" s="55">
        <v>0</v>
      </c>
      <c r="U135" s="55">
        <v>0</v>
      </c>
      <c r="V135" s="55">
        <v>0</v>
      </c>
      <c r="W135" s="55">
        <v>0</v>
      </c>
      <c r="X135" s="55">
        <v>0</v>
      </c>
      <c r="Y135" s="56">
        <v>0</v>
      </c>
      <c r="Z135" s="55">
        <v>0</v>
      </c>
      <c r="AA135" s="55">
        <v>0</v>
      </c>
      <c r="AB135" s="55">
        <v>0</v>
      </c>
      <c r="AC135" s="55">
        <v>10548000</v>
      </c>
      <c r="AD135" s="57">
        <v>293</v>
      </c>
      <c r="AF135" s="47">
        <f t="shared" si="2"/>
        <v>10548000</v>
      </c>
    </row>
    <row r="136" spans="2:32" x14ac:dyDescent="0.3">
      <c r="B136" s="46" t="str">
        <f>IFERROR(VLOOKUP($H136,매장구분!$B:$Z,2,0),"")</f>
        <v>리테일채널팀</v>
      </c>
      <c r="C136" s="46" t="str">
        <f>IFERROR(VLOOKUP($H136,매장구분!$B:$Z,3,0),"")</f>
        <v>국내</v>
      </c>
      <c r="D136" s="46" t="str">
        <f>IFERROR(VLOOKUP($H136,매장구분!$B:$Z,5,0),"")</f>
        <v>상설(위탁)</v>
      </c>
      <c r="E136" s="46" t="str">
        <f>IFERROR(VLOOKUP($H136,매장구분!$B:$Z,9,0),"")</f>
        <v>신세계아울렛파주(상-위)</v>
      </c>
      <c r="F136" s="58"/>
      <c r="G136" s="59" t="s">
        <v>432</v>
      </c>
      <c r="H136" s="60" t="s">
        <v>433</v>
      </c>
      <c r="I136" s="60" t="s">
        <v>169</v>
      </c>
      <c r="J136" s="60" t="s">
        <v>79</v>
      </c>
      <c r="K136" s="60" t="s">
        <v>170</v>
      </c>
      <c r="L136" s="60" t="s">
        <v>171</v>
      </c>
      <c r="M136" s="60" t="s">
        <v>219</v>
      </c>
      <c r="N136" s="60" t="s">
        <v>219</v>
      </c>
      <c r="O136" s="60">
        <v>14472000</v>
      </c>
      <c r="P136" s="60">
        <v>402</v>
      </c>
      <c r="Q136" s="60">
        <v>0</v>
      </c>
      <c r="R136" s="60">
        <v>0</v>
      </c>
      <c r="S136" s="60">
        <v>0</v>
      </c>
      <c r="T136" s="60">
        <v>0</v>
      </c>
      <c r="U136" s="60">
        <v>0</v>
      </c>
      <c r="V136" s="60">
        <v>0</v>
      </c>
      <c r="W136" s="60">
        <v>0</v>
      </c>
      <c r="X136" s="60">
        <v>0</v>
      </c>
      <c r="Y136" s="61">
        <v>0</v>
      </c>
      <c r="Z136" s="60">
        <v>0</v>
      </c>
      <c r="AA136" s="60">
        <v>0</v>
      </c>
      <c r="AB136" s="60">
        <v>0</v>
      </c>
      <c r="AC136" s="60">
        <v>14472000</v>
      </c>
      <c r="AD136" s="62">
        <v>402</v>
      </c>
      <c r="AF136" s="47">
        <f t="shared" si="2"/>
        <v>14472000</v>
      </c>
    </row>
    <row r="137" spans="2:32" x14ac:dyDescent="0.3">
      <c r="B137" s="46" t="str">
        <f>IFERROR(VLOOKUP($H137,매장구분!$B:$Z,2,0),"")</f>
        <v>리테일채널팀</v>
      </c>
      <c r="C137" s="46" t="str">
        <f>IFERROR(VLOOKUP($H137,매장구분!$B:$Z,3,0),"")</f>
        <v>국내</v>
      </c>
      <c r="D137" s="46" t="str">
        <f>IFERROR(VLOOKUP($H137,매장구분!$B:$Z,5,0),"")</f>
        <v>상설(위탁)</v>
      </c>
      <c r="E137" s="46" t="str">
        <f>IFERROR(VLOOKUP($H137,매장구분!$B:$Z,9,0),"")</f>
        <v>롯데아울렛파주(상-위)</v>
      </c>
      <c r="F137" s="53"/>
      <c r="G137" s="54" t="s">
        <v>598</v>
      </c>
      <c r="H137" s="55" t="s">
        <v>599</v>
      </c>
      <c r="I137" s="55" t="s">
        <v>169</v>
      </c>
      <c r="J137" s="55" t="s">
        <v>79</v>
      </c>
      <c r="K137" s="55" t="s">
        <v>170</v>
      </c>
      <c r="L137" s="55" t="s">
        <v>171</v>
      </c>
      <c r="M137" s="55" t="s">
        <v>219</v>
      </c>
      <c r="N137" s="55" t="s">
        <v>219</v>
      </c>
      <c r="O137" s="55">
        <v>8964000</v>
      </c>
      <c r="P137" s="55">
        <v>249</v>
      </c>
      <c r="Q137" s="55">
        <v>0</v>
      </c>
      <c r="R137" s="55">
        <v>0</v>
      </c>
      <c r="S137" s="55">
        <v>0</v>
      </c>
      <c r="T137" s="55">
        <v>0</v>
      </c>
      <c r="U137" s="55">
        <v>0</v>
      </c>
      <c r="V137" s="55">
        <v>0</v>
      </c>
      <c r="W137" s="55">
        <v>0</v>
      </c>
      <c r="X137" s="55">
        <v>0</v>
      </c>
      <c r="Y137" s="56">
        <v>0</v>
      </c>
      <c r="Z137" s="55">
        <v>0</v>
      </c>
      <c r="AA137" s="55">
        <v>0</v>
      </c>
      <c r="AB137" s="55">
        <v>0</v>
      </c>
      <c r="AC137" s="55">
        <v>8964000</v>
      </c>
      <c r="AD137" s="57">
        <v>249</v>
      </c>
      <c r="AF137" s="47">
        <f t="shared" si="2"/>
        <v>8964000</v>
      </c>
    </row>
    <row r="138" spans="2:32" x14ac:dyDescent="0.3">
      <c r="B138" s="46" t="str">
        <f>IFERROR(VLOOKUP($H138,매장구분!$B:$Z,2,0),"")</f>
        <v>리테일채널팀</v>
      </c>
      <c r="C138" s="46" t="str">
        <f>IFERROR(VLOOKUP($H138,매장구분!$B:$Z,3,0),"")</f>
        <v>국내</v>
      </c>
      <c r="D138" s="46" t="str">
        <f>IFERROR(VLOOKUP($H138,매장구분!$B:$Z,5,0),"")</f>
        <v>상설(위탁)</v>
      </c>
      <c r="E138" s="46" t="str">
        <f>IFERROR(VLOOKUP($H138,매장구분!$B:$Z,9,0),"")</f>
        <v>롯데아울렛청주(상-위)</v>
      </c>
      <c r="F138" s="58"/>
      <c r="G138" s="59" t="s">
        <v>478</v>
      </c>
      <c r="H138" s="60" t="s">
        <v>479</v>
      </c>
      <c r="I138" s="60" t="s">
        <v>169</v>
      </c>
      <c r="J138" s="60" t="s">
        <v>79</v>
      </c>
      <c r="K138" s="60" t="s">
        <v>170</v>
      </c>
      <c r="L138" s="60" t="s">
        <v>171</v>
      </c>
      <c r="M138" s="60" t="s">
        <v>219</v>
      </c>
      <c r="N138" s="60" t="s">
        <v>219</v>
      </c>
      <c r="O138" s="60">
        <v>7632000</v>
      </c>
      <c r="P138" s="60">
        <v>212</v>
      </c>
      <c r="Q138" s="60">
        <v>0</v>
      </c>
      <c r="R138" s="60">
        <v>0</v>
      </c>
      <c r="S138" s="60">
        <v>0</v>
      </c>
      <c r="T138" s="60">
        <v>0</v>
      </c>
      <c r="U138" s="60">
        <v>0</v>
      </c>
      <c r="V138" s="60">
        <v>0</v>
      </c>
      <c r="W138" s="60">
        <v>0</v>
      </c>
      <c r="X138" s="60">
        <v>0</v>
      </c>
      <c r="Y138" s="61">
        <v>0</v>
      </c>
      <c r="Z138" s="60">
        <v>0</v>
      </c>
      <c r="AA138" s="60">
        <v>0</v>
      </c>
      <c r="AB138" s="60">
        <v>0</v>
      </c>
      <c r="AC138" s="60">
        <v>7632000</v>
      </c>
      <c r="AD138" s="62">
        <v>212</v>
      </c>
      <c r="AF138" s="47">
        <f t="shared" si="2"/>
        <v>7632000</v>
      </c>
    </row>
    <row r="139" spans="2:32" x14ac:dyDescent="0.3">
      <c r="B139" s="46" t="str">
        <f>IFERROR(VLOOKUP($H139,매장구분!$B:$Z,2,0),"")</f>
        <v>파트너채널팀</v>
      </c>
      <c r="C139" s="46" t="str">
        <f>IFERROR(VLOOKUP($H139,매장구분!$B:$Z,3,0),"")</f>
        <v>국내</v>
      </c>
      <c r="D139" s="46" t="str">
        <f>IFERROR(VLOOKUP($H139,매장구분!$B:$Z,5,0),"")</f>
        <v>백화점</v>
      </c>
      <c r="E139" s="46" t="str">
        <f>IFERROR(VLOOKUP($H139,매장구분!$B:$Z,9,0),"")</f>
        <v>롯데분당</v>
      </c>
      <c r="F139" s="53"/>
      <c r="G139" s="54" t="s">
        <v>470</v>
      </c>
      <c r="H139" s="55" t="s">
        <v>471</v>
      </c>
      <c r="I139" s="55" t="s">
        <v>169</v>
      </c>
      <c r="J139" s="55" t="s">
        <v>175</v>
      </c>
      <c r="K139" s="55" t="s">
        <v>170</v>
      </c>
      <c r="L139" s="55" t="s">
        <v>171</v>
      </c>
      <c r="M139" s="55" t="s">
        <v>77</v>
      </c>
      <c r="N139" s="55" t="s">
        <v>172</v>
      </c>
      <c r="O139" s="55">
        <v>19254300</v>
      </c>
      <c r="P139" s="55">
        <v>233</v>
      </c>
      <c r="Q139" s="55">
        <v>3992500</v>
      </c>
      <c r="R139" s="55">
        <v>83</v>
      </c>
      <c r="S139" s="55">
        <v>0</v>
      </c>
      <c r="T139" s="55">
        <v>0</v>
      </c>
      <c r="U139" s="55">
        <v>3787500</v>
      </c>
      <c r="V139" s="55">
        <v>34</v>
      </c>
      <c r="W139" s="55">
        <v>0</v>
      </c>
      <c r="X139" s="55">
        <v>0</v>
      </c>
      <c r="Y139" s="56">
        <v>45500</v>
      </c>
      <c r="Z139" s="55">
        <v>1</v>
      </c>
      <c r="AA139" s="55">
        <v>-33000</v>
      </c>
      <c r="AB139" s="55">
        <v>-1</v>
      </c>
      <c r="AC139" s="55">
        <v>27046800</v>
      </c>
      <c r="AD139" s="57">
        <v>350</v>
      </c>
      <c r="AF139" s="47">
        <f t="shared" si="2"/>
        <v>27001300</v>
      </c>
    </row>
    <row r="140" spans="2:32" x14ac:dyDescent="0.3">
      <c r="B140" s="46" t="str">
        <f>IFERROR(VLOOKUP($H140,매장구분!$B:$Z,2,0),"")</f>
        <v>파트너채널팀</v>
      </c>
      <c r="C140" s="46" t="str">
        <f>IFERROR(VLOOKUP($H140,매장구분!$B:$Z,3,0),"")</f>
        <v>국내</v>
      </c>
      <c r="D140" s="46" t="str">
        <f>IFERROR(VLOOKUP($H140,매장구분!$B:$Z,5,0),"")</f>
        <v>백화점</v>
      </c>
      <c r="E140" s="46" t="str">
        <f>IFERROR(VLOOKUP($H140,매장구분!$B:$Z,9,0),"")</f>
        <v>롯데부산</v>
      </c>
      <c r="F140" s="58"/>
      <c r="G140" s="59" t="s">
        <v>452</v>
      </c>
      <c r="H140" s="60" t="s">
        <v>453</v>
      </c>
      <c r="I140" s="60" t="s">
        <v>169</v>
      </c>
      <c r="J140" s="60" t="s">
        <v>175</v>
      </c>
      <c r="K140" s="60" t="s">
        <v>170</v>
      </c>
      <c r="L140" s="60" t="s">
        <v>171</v>
      </c>
      <c r="M140" s="60" t="s">
        <v>77</v>
      </c>
      <c r="N140" s="60" t="s">
        <v>172</v>
      </c>
      <c r="O140" s="60">
        <v>93417876</v>
      </c>
      <c r="P140" s="60">
        <v>1059</v>
      </c>
      <c r="Q140" s="60">
        <v>0</v>
      </c>
      <c r="R140" s="60">
        <v>0</v>
      </c>
      <c r="S140" s="60">
        <v>0</v>
      </c>
      <c r="T140" s="60">
        <v>0</v>
      </c>
      <c r="U140" s="60">
        <v>7777634</v>
      </c>
      <c r="V140" s="60">
        <v>45</v>
      </c>
      <c r="W140" s="60">
        <v>0</v>
      </c>
      <c r="X140" s="60">
        <v>0</v>
      </c>
      <c r="Y140" s="61">
        <v>248263600</v>
      </c>
      <c r="Z140" s="60">
        <v>1804</v>
      </c>
      <c r="AA140" s="60">
        <v>0</v>
      </c>
      <c r="AB140" s="60">
        <v>0</v>
      </c>
      <c r="AC140" s="60">
        <v>349459110</v>
      </c>
      <c r="AD140" s="62">
        <v>2908</v>
      </c>
      <c r="AF140" s="47">
        <f t="shared" si="2"/>
        <v>101195510</v>
      </c>
    </row>
    <row r="141" spans="2:32" x14ac:dyDescent="0.3">
      <c r="B141" s="46" t="str">
        <f>IFERROR(VLOOKUP($H141,매장구분!$B:$Z,2,0),"")</f>
        <v>파트너채널팀</v>
      </c>
      <c r="C141" s="46" t="str">
        <f>IFERROR(VLOOKUP($H141,매장구분!$B:$Z,3,0),"")</f>
        <v>면세</v>
      </c>
      <c r="D141" s="46" t="str">
        <f>IFERROR(VLOOKUP($H141,매장구분!$B:$Z,5,0),"")</f>
        <v>면세</v>
      </c>
      <c r="E141" s="46" t="str">
        <f>IFERROR(VLOOKUP($H141,매장구분!$B:$Z,9,0),"")</f>
        <v>롯데면세제주</v>
      </c>
      <c r="F141" s="53"/>
      <c r="G141" s="54" t="s">
        <v>464</v>
      </c>
      <c r="H141" s="55" t="s">
        <v>465</v>
      </c>
      <c r="I141" s="55" t="s">
        <v>169</v>
      </c>
      <c r="J141" s="55" t="s">
        <v>175</v>
      </c>
      <c r="K141" s="55" t="s">
        <v>170</v>
      </c>
      <c r="L141" s="55" t="s">
        <v>171</v>
      </c>
      <c r="M141" s="55" t="s">
        <v>176</v>
      </c>
      <c r="N141" s="55" t="s">
        <v>177</v>
      </c>
      <c r="O141" s="55">
        <v>378763300</v>
      </c>
      <c r="P141" s="55">
        <v>4834</v>
      </c>
      <c r="Q141" s="55">
        <v>0</v>
      </c>
      <c r="R141" s="55">
        <v>0</v>
      </c>
      <c r="S141" s="55">
        <v>0</v>
      </c>
      <c r="T141" s="55">
        <v>0</v>
      </c>
      <c r="U141" s="55">
        <v>0</v>
      </c>
      <c r="V141" s="55">
        <v>0</v>
      </c>
      <c r="W141" s="55">
        <v>0</v>
      </c>
      <c r="X141" s="55">
        <v>0</v>
      </c>
      <c r="Y141" s="56">
        <v>0</v>
      </c>
      <c r="Z141" s="55">
        <v>0</v>
      </c>
      <c r="AA141" s="55">
        <v>0</v>
      </c>
      <c r="AB141" s="55">
        <v>0</v>
      </c>
      <c r="AC141" s="55">
        <v>378763300</v>
      </c>
      <c r="AD141" s="57">
        <v>4834</v>
      </c>
      <c r="AF141" s="47">
        <f t="shared" si="2"/>
        <v>378763300</v>
      </c>
    </row>
    <row r="142" spans="2:32" x14ac:dyDescent="0.3">
      <c r="B142" s="46" t="str">
        <f>IFERROR(VLOOKUP($H142,매장구분!$B:$Z,2,0),"")</f>
        <v>리테일채널팀</v>
      </c>
      <c r="C142" s="46" t="str">
        <f>IFERROR(VLOOKUP($H142,매장구분!$B:$Z,3,0),"")</f>
        <v>국내</v>
      </c>
      <c r="D142" s="46" t="str">
        <f>IFERROR(VLOOKUP($H142,매장구분!$B:$Z,5,0),"")</f>
        <v>직영점</v>
      </c>
      <c r="E142" s="46" t="str">
        <f>IFERROR(VLOOKUP($H142,매장구분!$B:$Z,9,0),"")</f>
        <v>강남사옥(직)</v>
      </c>
      <c r="F142" s="58"/>
      <c r="G142" s="59" t="s">
        <v>482</v>
      </c>
      <c r="H142" s="60" t="s">
        <v>483</v>
      </c>
      <c r="I142" s="60" t="s">
        <v>169</v>
      </c>
      <c r="J142" s="60" t="s">
        <v>180</v>
      </c>
      <c r="K142" s="60" t="s">
        <v>170</v>
      </c>
      <c r="L142" s="60" t="s">
        <v>171</v>
      </c>
      <c r="M142" s="60" t="s">
        <v>196</v>
      </c>
      <c r="N142" s="60" t="s">
        <v>206</v>
      </c>
      <c r="O142" s="60">
        <v>134867220</v>
      </c>
      <c r="P142" s="60">
        <v>1304</v>
      </c>
      <c r="Q142" s="60">
        <v>0</v>
      </c>
      <c r="R142" s="60">
        <v>0</v>
      </c>
      <c r="S142" s="60">
        <v>0</v>
      </c>
      <c r="T142" s="60">
        <v>0</v>
      </c>
      <c r="U142" s="60">
        <v>5213322</v>
      </c>
      <c r="V142" s="60">
        <v>67</v>
      </c>
      <c r="W142" s="60">
        <v>0</v>
      </c>
      <c r="X142" s="60">
        <v>0</v>
      </c>
      <c r="Y142" s="61">
        <v>0</v>
      </c>
      <c r="Z142" s="60">
        <v>0</v>
      </c>
      <c r="AA142" s="60">
        <v>0</v>
      </c>
      <c r="AB142" s="60">
        <v>0</v>
      </c>
      <c r="AC142" s="60">
        <v>140080542</v>
      </c>
      <c r="AD142" s="62">
        <v>1371</v>
      </c>
      <c r="AF142" s="47">
        <f t="shared" si="2"/>
        <v>140080542</v>
      </c>
    </row>
    <row r="143" spans="2:32" x14ac:dyDescent="0.3">
      <c r="B143" s="46" t="str">
        <f>IFERROR(VLOOKUP($H143,매장구분!$B:$Z,2,0),"")</f>
        <v>파트너채널팀</v>
      </c>
      <c r="C143" s="46" t="str">
        <f>IFERROR(VLOOKUP($H143,매장구분!$B:$Z,3,0),"")</f>
        <v>국내</v>
      </c>
      <c r="D143" s="46" t="str">
        <f>IFERROR(VLOOKUP($H143,매장구분!$B:$Z,5,0),"")</f>
        <v>백화점</v>
      </c>
      <c r="E143" s="46" t="str">
        <f>IFERROR(VLOOKUP($H143,매장구분!$B:$Z,9,0),"")</f>
        <v>롯데광복</v>
      </c>
      <c r="F143" s="53"/>
      <c r="G143" s="54" t="s">
        <v>448</v>
      </c>
      <c r="H143" s="55" t="s">
        <v>449</v>
      </c>
      <c r="I143" s="55" t="s">
        <v>169</v>
      </c>
      <c r="J143" s="55" t="s">
        <v>175</v>
      </c>
      <c r="K143" s="55" t="s">
        <v>170</v>
      </c>
      <c r="L143" s="55" t="s">
        <v>171</v>
      </c>
      <c r="M143" s="55" t="s">
        <v>77</v>
      </c>
      <c r="N143" s="55" t="s">
        <v>172</v>
      </c>
      <c r="O143" s="55">
        <v>38571582</v>
      </c>
      <c r="P143" s="55">
        <v>512</v>
      </c>
      <c r="Q143" s="55">
        <v>0</v>
      </c>
      <c r="R143" s="55">
        <v>0</v>
      </c>
      <c r="S143" s="55">
        <v>0</v>
      </c>
      <c r="T143" s="55">
        <v>0</v>
      </c>
      <c r="U143" s="55">
        <v>4916218</v>
      </c>
      <c r="V143" s="55">
        <v>34</v>
      </c>
      <c r="W143" s="55">
        <v>0</v>
      </c>
      <c r="X143" s="55">
        <v>0</v>
      </c>
      <c r="Y143" s="56">
        <v>22822700</v>
      </c>
      <c r="Z143" s="55">
        <v>252</v>
      </c>
      <c r="AA143" s="55">
        <v>0</v>
      </c>
      <c r="AB143" s="55">
        <v>0</v>
      </c>
      <c r="AC143" s="55">
        <v>66310500</v>
      </c>
      <c r="AD143" s="57">
        <v>798</v>
      </c>
      <c r="AF143" s="47">
        <f t="shared" si="2"/>
        <v>43487800</v>
      </c>
    </row>
    <row r="144" spans="2:32" x14ac:dyDescent="0.3">
      <c r="B144" s="46" t="str">
        <f>IFERROR(VLOOKUP($H144,매장구분!$B:$Z,2,0),"")</f>
        <v>리테일채널팀</v>
      </c>
      <c r="C144" s="46" t="str">
        <f>IFERROR(VLOOKUP($H144,매장구분!$B:$Z,3,0),"")</f>
        <v>국내</v>
      </c>
      <c r="D144" s="46" t="str">
        <f>IFERROR(VLOOKUP($H144,매장구분!$B:$Z,5,0),"")</f>
        <v>대리점</v>
      </c>
      <c r="E144" s="46" t="str">
        <f>IFERROR(VLOOKUP($H144,매장구분!$B:$Z,9,0),"")</f>
        <v>퍼스트빌리지(대-위)</v>
      </c>
      <c r="F144" s="58"/>
      <c r="G144" s="59" t="s">
        <v>440</v>
      </c>
      <c r="H144" s="60" t="s">
        <v>441</v>
      </c>
      <c r="I144" s="60" t="s">
        <v>169</v>
      </c>
      <c r="J144" s="60" t="s">
        <v>79</v>
      </c>
      <c r="K144" s="60" t="s">
        <v>170</v>
      </c>
      <c r="L144" s="60" t="s">
        <v>171</v>
      </c>
      <c r="M144" s="60" t="s">
        <v>196</v>
      </c>
      <c r="N144" s="60" t="s">
        <v>197</v>
      </c>
      <c r="O144" s="60">
        <v>88277872</v>
      </c>
      <c r="P144" s="60">
        <v>777</v>
      </c>
      <c r="Q144" s="60">
        <v>0</v>
      </c>
      <c r="R144" s="60">
        <v>0</v>
      </c>
      <c r="S144" s="60">
        <v>0</v>
      </c>
      <c r="T144" s="60">
        <v>0</v>
      </c>
      <c r="U144" s="60">
        <v>7538573</v>
      </c>
      <c r="V144" s="60">
        <v>45</v>
      </c>
      <c r="W144" s="60">
        <v>0</v>
      </c>
      <c r="X144" s="60">
        <v>0</v>
      </c>
      <c r="Y144" s="61">
        <v>0</v>
      </c>
      <c r="Z144" s="60">
        <v>0</v>
      </c>
      <c r="AA144" s="60">
        <v>0</v>
      </c>
      <c r="AB144" s="60">
        <v>0</v>
      </c>
      <c r="AC144" s="60">
        <v>95816445</v>
      </c>
      <c r="AD144" s="62">
        <v>822</v>
      </c>
      <c r="AF144" s="47">
        <f t="shared" si="2"/>
        <v>95816445</v>
      </c>
    </row>
    <row r="145" spans="2:32" x14ac:dyDescent="0.3">
      <c r="B145" s="46" t="str">
        <f>IFERROR(VLOOKUP($H145,매장구분!$B:$Z,2,0),"")</f>
        <v>파트너채널팀</v>
      </c>
      <c r="C145" s="46" t="str">
        <f>IFERROR(VLOOKUP($H145,매장구분!$B:$Z,3,0),"")</f>
        <v>국내</v>
      </c>
      <c r="D145" s="46" t="str">
        <f>IFERROR(VLOOKUP($H145,매장구분!$B:$Z,5,0),"")</f>
        <v>백화점</v>
      </c>
      <c r="E145" s="46" t="str">
        <f>IFERROR(VLOOKUP($H145,매장구분!$B:$Z,9,0),"")</f>
        <v>현대킨텍스</v>
      </c>
      <c r="F145" s="53"/>
      <c r="G145" s="54" t="s">
        <v>442</v>
      </c>
      <c r="H145" s="55" t="s">
        <v>443</v>
      </c>
      <c r="I145" s="55" t="s">
        <v>169</v>
      </c>
      <c r="J145" s="55" t="s">
        <v>175</v>
      </c>
      <c r="K145" s="55" t="s">
        <v>170</v>
      </c>
      <c r="L145" s="55" t="s">
        <v>171</v>
      </c>
      <c r="M145" s="55" t="s">
        <v>77</v>
      </c>
      <c r="N145" s="55" t="s">
        <v>172</v>
      </c>
      <c r="O145" s="55">
        <v>25218500</v>
      </c>
      <c r="P145" s="55">
        <v>250</v>
      </c>
      <c r="Q145" s="55">
        <v>511000</v>
      </c>
      <c r="R145" s="55">
        <v>7</v>
      </c>
      <c r="S145" s="55">
        <v>0</v>
      </c>
      <c r="T145" s="55">
        <v>0</v>
      </c>
      <c r="U145" s="55">
        <v>4435400</v>
      </c>
      <c r="V145" s="55">
        <v>24</v>
      </c>
      <c r="W145" s="55">
        <v>0</v>
      </c>
      <c r="X145" s="55">
        <v>0</v>
      </c>
      <c r="Y145" s="56">
        <v>49855900</v>
      </c>
      <c r="Z145" s="55">
        <v>395</v>
      </c>
      <c r="AA145" s="55">
        <v>0</v>
      </c>
      <c r="AB145" s="55">
        <v>0</v>
      </c>
      <c r="AC145" s="55">
        <v>80020800</v>
      </c>
      <c r="AD145" s="57">
        <v>676</v>
      </c>
      <c r="AF145" s="47">
        <f t="shared" si="2"/>
        <v>30164900</v>
      </c>
    </row>
    <row r="146" spans="2:32" x14ac:dyDescent="0.3">
      <c r="B146" s="46" t="str">
        <f>IFERROR(VLOOKUP($H146,매장구분!$B:$Z,2,0),"")</f>
        <v>파트너채널팀</v>
      </c>
      <c r="C146" s="46" t="str">
        <f>IFERROR(VLOOKUP($H146,매장구분!$B:$Z,3,0),"")</f>
        <v>국내</v>
      </c>
      <c r="D146" s="46" t="str">
        <f>IFERROR(VLOOKUP($H146,매장구분!$B:$Z,5,0),"")</f>
        <v>백화점</v>
      </c>
      <c r="E146" s="46" t="str">
        <f>IFERROR(VLOOKUP($H146,매장구분!$B:$Z,9,0),"")</f>
        <v>롯데전주</v>
      </c>
      <c r="F146" s="58"/>
      <c r="G146" s="59" t="s">
        <v>446</v>
      </c>
      <c r="H146" s="60" t="s">
        <v>447</v>
      </c>
      <c r="I146" s="60" t="s">
        <v>169</v>
      </c>
      <c r="J146" s="60" t="s">
        <v>175</v>
      </c>
      <c r="K146" s="60" t="s">
        <v>170</v>
      </c>
      <c r="L146" s="60" t="s">
        <v>171</v>
      </c>
      <c r="M146" s="60" t="s">
        <v>77</v>
      </c>
      <c r="N146" s="60" t="s">
        <v>172</v>
      </c>
      <c r="O146" s="60">
        <v>54298900</v>
      </c>
      <c r="P146" s="60">
        <v>573</v>
      </c>
      <c r="Q146" s="60">
        <v>438000</v>
      </c>
      <c r="R146" s="60">
        <v>4</v>
      </c>
      <c r="S146" s="60">
        <v>0</v>
      </c>
      <c r="T146" s="60">
        <v>0</v>
      </c>
      <c r="U146" s="60">
        <v>6778600</v>
      </c>
      <c r="V146" s="60">
        <v>34</v>
      </c>
      <c r="W146" s="60">
        <v>0</v>
      </c>
      <c r="X146" s="60">
        <v>0</v>
      </c>
      <c r="Y146" s="61">
        <v>0</v>
      </c>
      <c r="Z146" s="60">
        <v>0</v>
      </c>
      <c r="AA146" s="60">
        <v>0</v>
      </c>
      <c r="AB146" s="60">
        <v>0</v>
      </c>
      <c r="AC146" s="60">
        <v>61515500</v>
      </c>
      <c r="AD146" s="62">
        <v>611</v>
      </c>
      <c r="AF146" s="47">
        <f t="shared" si="2"/>
        <v>61515500</v>
      </c>
    </row>
    <row r="147" spans="2:32" x14ac:dyDescent="0.3">
      <c r="B147" s="46" t="str">
        <f>IFERROR(VLOOKUP($H147,매장구분!$B:$Z,2,0),"")</f>
        <v>리테일채널팀</v>
      </c>
      <c r="C147" s="46" t="str">
        <f>IFERROR(VLOOKUP($H147,매장구분!$B:$Z,3,0),"")</f>
        <v>국내</v>
      </c>
      <c r="D147" s="46" t="str">
        <f>IFERROR(VLOOKUP($H147,매장구분!$B:$Z,5,0),"")</f>
        <v>직영점</v>
      </c>
      <c r="E147" s="46" t="str">
        <f>IFERROR(VLOOKUP($H147,매장구분!$B:$Z,9,0),"")</f>
        <v>스타필드수원(직)</v>
      </c>
      <c r="F147" s="53"/>
      <c r="G147" s="54" t="s">
        <v>468</v>
      </c>
      <c r="H147" s="55" t="s">
        <v>469</v>
      </c>
      <c r="I147" s="55" t="s">
        <v>169</v>
      </c>
      <c r="J147" s="55" t="s">
        <v>180</v>
      </c>
      <c r="K147" s="55" t="s">
        <v>170</v>
      </c>
      <c r="L147" s="55" t="s">
        <v>171</v>
      </c>
      <c r="M147" s="55" t="s">
        <v>188</v>
      </c>
      <c r="N147" s="55" t="s">
        <v>189</v>
      </c>
      <c r="O147" s="55">
        <v>71251700</v>
      </c>
      <c r="P147" s="55">
        <v>891</v>
      </c>
      <c r="Q147" s="55">
        <v>0</v>
      </c>
      <c r="R147" s="55">
        <v>0</v>
      </c>
      <c r="S147" s="55">
        <v>0</v>
      </c>
      <c r="T147" s="55">
        <v>0</v>
      </c>
      <c r="U147" s="55">
        <v>7504100</v>
      </c>
      <c r="V147" s="55">
        <v>42</v>
      </c>
      <c r="W147" s="55">
        <v>0</v>
      </c>
      <c r="X147" s="55">
        <v>0</v>
      </c>
      <c r="Y147" s="56">
        <v>0</v>
      </c>
      <c r="Z147" s="55">
        <v>0</v>
      </c>
      <c r="AA147" s="55">
        <v>0</v>
      </c>
      <c r="AB147" s="55">
        <v>0</v>
      </c>
      <c r="AC147" s="55">
        <v>78755800</v>
      </c>
      <c r="AD147" s="57">
        <v>933</v>
      </c>
      <c r="AF147" s="47">
        <f t="shared" si="2"/>
        <v>78755800</v>
      </c>
    </row>
    <row r="148" spans="2:32" x14ac:dyDescent="0.3">
      <c r="B148" s="46" t="str">
        <f>IFERROR(VLOOKUP($H148,매장구분!$B:$Z,2,0),"")</f>
        <v>리테일채널팀</v>
      </c>
      <c r="C148" s="46" t="str">
        <f>IFERROR(VLOOKUP($H148,매장구분!$B:$Z,3,0),"")</f>
        <v>국내</v>
      </c>
      <c r="D148" s="46" t="str">
        <f>IFERROR(VLOOKUP($H148,매장구분!$B:$Z,5,0),"")</f>
        <v>대리점</v>
      </c>
      <c r="E148" s="46" t="str">
        <f>IFERROR(VLOOKUP($H148,매장구분!$B:$Z,9,0),"")</f>
        <v>구미(대-위)</v>
      </c>
      <c r="F148" s="58"/>
      <c r="G148" s="59" t="s">
        <v>458</v>
      </c>
      <c r="H148" s="60" t="s">
        <v>459</v>
      </c>
      <c r="I148" s="60" t="s">
        <v>169</v>
      </c>
      <c r="J148" s="60" t="s">
        <v>79</v>
      </c>
      <c r="K148" s="60" t="s">
        <v>170</v>
      </c>
      <c r="L148" s="60" t="s">
        <v>171</v>
      </c>
      <c r="M148" s="60" t="s">
        <v>196</v>
      </c>
      <c r="N148" s="60" t="s">
        <v>197</v>
      </c>
      <c r="O148" s="60">
        <v>70463510</v>
      </c>
      <c r="P148" s="60">
        <v>702</v>
      </c>
      <c r="Q148" s="60">
        <v>0</v>
      </c>
      <c r="R148" s="60">
        <v>0</v>
      </c>
      <c r="S148" s="60">
        <v>0</v>
      </c>
      <c r="T148" s="60">
        <v>0</v>
      </c>
      <c r="U148" s="60">
        <v>11388590</v>
      </c>
      <c r="V148" s="60">
        <v>66</v>
      </c>
      <c r="W148" s="60">
        <v>0</v>
      </c>
      <c r="X148" s="60">
        <v>0</v>
      </c>
      <c r="Y148" s="61">
        <v>0</v>
      </c>
      <c r="Z148" s="60">
        <v>0</v>
      </c>
      <c r="AA148" s="60">
        <v>0</v>
      </c>
      <c r="AB148" s="60">
        <v>0</v>
      </c>
      <c r="AC148" s="60">
        <v>81852100</v>
      </c>
      <c r="AD148" s="62">
        <v>768</v>
      </c>
      <c r="AF148" s="47">
        <f t="shared" si="2"/>
        <v>81852100</v>
      </c>
    </row>
    <row r="149" spans="2:32" x14ac:dyDescent="0.3">
      <c r="B149" s="46" t="str">
        <f>IFERROR(VLOOKUP($H149,매장구분!$B:$Z,2,0),"")</f>
        <v>파트너채널팀</v>
      </c>
      <c r="C149" s="46" t="str">
        <f>IFERROR(VLOOKUP($H149,매장구분!$B:$Z,3,0),"")</f>
        <v>국내</v>
      </c>
      <c r="D149" s="46" t="str">
        <f>IFERROR(VLOOKUP($H149,매장구분!$B:$Z,5,0),"")</f>
        <v>백화점</v>
      </c>
      <c r="E149" s="46" t="str">
        <f>IFERROR(VLOOKUP($H149,매장구분!$B:$Z,9,0),"")</f>
        <v>신세계김해</v>
      </c>
      <c r="F149" s="53"/>
      <c r="G149" s="54" t="s">
        <v>454</v>
      </c>
      <c r="H149" s="55" t="s">
        <v>455</v>
      </c>
      <c r="I149" s="55" t="s">
        <v>169</v>
      </c>
      <c r="J149" s="55" t="s">
        <v>175</v>
      </c>
      <c r="K149" s="55" t="s">
        <v>170</v>
      </c>
      <c r="L149" s="55" t="s">
        <v>171</v>
      </c>
      <c r="M149" s="55" t="s">
        <v>77</v>
      </c>
      <c r="N149" s="55" t="s">
        <v>172</v>
      </c>
      <c r="O149" s="55">
        <v>45690300</v>
      </c>
      <c r="P149" s="55">
        <v>487</v>
      </c>
      <c r="Q149" s="55">
        <v>2024000</v>
      </c>
      <c r="R149" s="55">
        <v>17</v>
      </c>
      <c r="S149" s="55">
        <v>0</v>
      </c>
      <c r="T149" s="55">
        <v>0</v>
      </c>
      <c r="U149" s="55">
        <v>3587200</v>
      </c>
      <c r="V149" s="55">
        <v>22</v>
      </c>
      <c r="W149" s="55">
        <v>0</v>
      </c>
      <c r="X149" s="55">
        <v>0</v>
      </c>
      <c r="Y149" s="56">
        <v>0</v>
      </c>
      <c r="Z149" s="55">
        <v>0</v>
      </c>
      <c r="AA149" s="55">
        <v>0</v>
      </c>
      <c r="AB149" s="55">
        <v>0</v>
      </c>
      <c r="AC149" s="55">
        <v>51301500</v>
      </c>
      <c r="AD149" s="57">
        <v>526</v>
      </c>
      <c r="AF149" s="47">
        <f t="shared" si="2"/>
        <v>51301500</v>
      </c>
    </row>
    <row r="150" spans="2:32" x14ac:dyDescent="0.3">
      <c r="B150" s="46" t="str">
        <f>IFERROR(VLOOKUP($H150,매장구분!$B:$Z,2,0),"")</f>
        <v>파트너채널팀</v>
      </c>
      <c r="C150" s="46" t="str">
        <f>IFERROR(VLOOKUP($H150,매장구분!$B:$Z,3,0),"")</f>
        <v>면세</v>
      </c>
      <c r="D150" s="46" t="str">
        <f>IFERROR(VLOOKUP($H150,매장구분!$B:$Z,5,0),"")</f>
        <v>면세</v>
      </c>
      <c r="E150" s="46" t="str">
        <f>IFERROR(VLOOKUP($H150,매장구분!$B:$Z,9,0),"")</f>
        <v>현대면세무역</v>
      </c>
      <c r="F150" s="58"/>
      <c r="G150" s="59" t="s">
        <v>466</v>
      </c>
      <c r="H150" s="60" t="s">
        <v>467</v>
      </c>
      <c r="I150" s="60" t="s">
        <v>169</v>
      </c>
      <c r="J150" s="60" t="s">
        <v>175</v>
      </c>
      <c r="K150" s="60" t="s">
        <v>170</v>
      </c>
      <c r="L150" s="60" t="s">
        <v>171</v>
      </c>
      <c r="M150" s="60" t="s">
        <v>176</v>
      </c>
      <c r="N150" s="60" t="s">
        <v>177</v>
      </c>
      <c r="O150" s="60">
        <v>412768200</v>
      </c>
      <c r="P150" s="60">
        <v>4386</v>
      </c>
      <c r="Q150" s="60">
        <v>0</v>
      </c>
      <c r="R150" s="60">
        <v>0</v>
      </c>
      <c r="S150" s="60">
        <v>0</v>
      </c>
      <c r="T150" s="60">
        <v>0</v>
      </c>
      <c r="U150" s="60">
        <v>0</v>
      </c>
      <c r="V150" s="60">
        <v>0</v>
      </c>
      <c r="W150" s="60">
        <v>0</v>
      </c>
      <c r="X150" s="60">
        <v>0</v>
      </c>
      <c r="Y150" s="61">
        <v>697417300</v>
      </c>
      <c r="Z150" s="60">
        <v>6961</v>
      </c>
      <c r="AA150" s="60">
        <v>0</v>
      </c>
      <c r="AB150" s="60">
        <v>0</v>
      </c>
      <c r="AC150" s="60">
        <v>1110185500</v>
      </c>
      <c r="AD150" s="62">
        <v>11347</v>
      </c>
      <c r="AF150" s="47">
        <f t="shared" si="2"/>
        <v>412768200</v>
      </c>
    </row>
    <row r="151" spans="2:32" x14ac:dyDescent="0.3">
      <c r="B151" s="46" t="str">
        <f>IFERROR(VLOOKUP($H151,매장구분!$B:$Z,2,0),"")</f>
        <v>파트너채널팀</v>
      </c>
      <c r="C151" s="46" t="str">
        <f>IFERROR(VLOOKUP($H151,매장구분!$B:$Z,3,0),"")</f>
        <v>국내</v>
      </c>
      <c r="D151" s="46" t="str">
        <f>IFERROR(VLOOKUP($H151,매장구분!$B:$Z,5,0),"")</f>
        <v>백화점</v>
      </c>
      <c r="E151" s="46" t="str">
        <f>IFERROR(VLOOKUP($H151,매장구분!$B:$Z,9,0),"")</f>
        <v>롯데울산</v>
      </c>
      <c r="F151" s="53"/>
      <c r="G151" s="54" t="s">
        <v>460</v>
      </c>
      <c r="H151" s="55" t="s">
        <v>461</v>
      </c>
      <c r="I151" s="55" t="s">
        <v>169</v>
      </c>
      <c r="J151" s="55" t="s">
        <v>175</v>
      </c>
      <c r="K151" s="55" t="s">
        <v>170</v>
      </c>
      <c r="L151" s="55" t="s">
        <v>171</v>
      </c>
      <c r="M151" s="55" t="s">
        <v>77</v>
      </c>
      <c r="N151" s="55" t="s">
        <v>172</v>
      </c>
      <c r="O151" s="55">
        <v>107190700</v>
      </c>
      <c r="P151" s="55">
        <v>927</v>
      </c>
      <c r="Q151" s="55">
        <v>0</v>
      </c>
      <c r="R151" s="55">
        <v>0</v>
      </c>
      <c r="S151" s="55">
        <v>0</v>
      </c>
      <c r="T151" s="55">
        <v>0</v>
      </c>
      <c r="U151" s="55">
        <v>25593800</v>
      </c>
      <c r="V151" s="55">
        <v>141</v>
      </c>
      <c r="W151" s="55">
        <v>0</v>
      </c>
      <c r="X151" s="55">
        <v>0</v>
      </c>
      <c r="Y151" s="56">
        <v>1490000</v>
      </c>
      <c r="Z151" s="55">
        <v>10</v>
      </c>
      <c r="AA151" s="55">
        <v>0</v>
      </c>
      <c r="AB151" s="55">
        <v>0</v>
      </c>
      <c r="AC151" s="55">
        <v>134274500</v>
      </c>
      <c r="AD151" s="57">
        <v>1078</v>
      </c>
      <c r="AF151" s="47">
        <f t="shared" si="2"/>
        <v>132784500</v>
      </c>
    </row>
    <row r="152" spans="2:32" x14ac:dyDescent="0.3">
      <c r="B152" s="46" t="str">
        <f>IFERROR(VLOOKUP($H152,매장구분!$B:$Z,2,0),"")</f>
        <v>파트너채널팀</v>
      </c>
      <c r="C152" s="46" t="str">
        <f>IFERROR(VLOOKUP($H152,매장구분!$B:$Z,3,0),"")</f>
        <v>국내</v>
      </c>
      <c r="D152" s="46" t="str">
        <f>IFERROR(VLOOKUP($H152,매장구분!$B:$Z,5,0),"")</f>
        <v>백화점</v>
      </c>
      <c r="E152" s="46" t="str">
        <f>IFERROR(VLOOKUP($H152,매장구분!$B:$Z,9,0),"")</f>
        <v>롯데노원</v>
      </c>
      <c r="F152" s="58"/>
      <c r="G152" s="59" t="s">
        <v>472</v>
      </c>
      <c r="H152" s="60" t="s">
        <v>473</v>
      </c>
      <c r="I152" s="60" t="s">
        <v>169</v>
      </c>
      <c r="J152" s="60" t="s">
        <v>175</v>
      </c>
      <c r="K152" s="60" t="s">
        <v>170</v>
      </c>
      <c r="L152" s="60" t="s">
        <v>171</v>
      </c>
      <c r="M152" s="60" t="s">
        <v>77</v>
      </c>
      <c r="N152" s="60" t="s">
        <v>172</v>
      </c>
      <c r="O152" s="60">
        <v>157002275</v>
      </c>
      <c r="P152" s="60">
        <v>1369</v>
      </c>
      <c r="Q152" s="60">
        <v>72000</v>
      </c>
      <c r="R152" s="60">
        <v>2</v>
      </c>
      <c r="S152" s="60">
        <v>0</v>
      </c>
      <c r="T152" s="60">
        <v>0</v>
      </c>
      <c r="U152" s="60">
        <v>24219200</v>
      </c>
      <c r="V152" s="60">
        <v>154</v>
      </c>
      <c r="W152" s="60">
        <v>0</v>
      </c>
      <c r="X152" s="60">
        <v>0</v>
      </c>
      <c r="Y152" s="61">
        <v>222725</v>
      </c>
      <c r="Z152" s="60">
        <v>3</v>
      </c>
      <c r="AA152" s="60">
        <v>0</v>
      </c>
      <c r="AB152" s="60">
        <v>0</v>
      </c>
      <c r="AC152" s="60">
        <v>181516200</v>
      </c>
      <c r="AD152" s="62">
        <v>1528</v>
      </c>
      <c r="AF152" s="47">
        <f t="shared" si="2"/>
        <v>181293475</v>
      </c>
    </row>
    <row r="153" spans="2:32" x14ac:dyDescent="0.3">
      <c r="B153" s="46" t="str">
        <f>IFERROR(VLOOKUP($H153,매장구분!$B:$Z,2,0),"")</f>
        <v>리테일채널팀</v>
      </c>
      <c r="C153" s="46" t="str">
        <f>IFERROR(VLOOKUP($H153,매장구분!$B:$Z,3,0),"")</f>
        <v>국내</v>
      </c>
      <c r="D153" s="46" t="str">
        <f>IFERROR(VLOOKUP($H153,매장구분!$B:$Z,5,0),"")</f>
        <v>대리점</v>
      </c>
      <c r="E153" s="46" t="str">
        <f>IFERROR(VLOOKUP($H153,매장구분!$B:$Z,9,0),"")</f>
        <v>대전은행(대-위)</v>
      </c>
      <c r="F153" s="53"/>
      <c r="G153" s="54" t="s">
        <v>456</v>
      </c>
      <c r="H153" s="55" t="s">
        <v>457</v>
      </c>
      <c r="I153" s="55" t="s">
        <v>169</v>
      </c>
      <c r="J153" s="55" t="s">
        <v>79</v>
      </c>
      <c r="K153" s="55" t="s">
        <v>170</v>
      </c>
      <c r="L153" s="55" t="s">
        <v>171</v>
      </c>
      <c r="M153" s="55" t="s">
        <v>196</v>
      </c>
      <c r="N153" s="55" t="s">
        <v>197</v>
      </c>
      <c r="O153" s="55">
        <v>58474373</v>
      </c>
      <c r="P153" s="55">
        <v>652</v>
      </c>
      <c r="Q153" s="55">
        <v>0</v>
      </c>
      <c r="R153" s="55">
        <v>0</v>
      </c>
      <c r="S153" s="55">
        <v>0</v>
      </c>
      <c r="T153" s="55">
        <v>0</v>
      </c>
      <c r="U153" s="55">
        <v>2593601</v>
      </c>
      <c r="V153" s="55">
        <v>18</v>
      </c>
      <c r="W153" s="55">
        <v>0</v>
      </c>
      <c r="X153" s="55">
        <v>0</v>
      </c>
      <c r="Y153" s="56">
        <v>42558000</v>
      </c>
      <c r="Z153" s="55">
        <v>392</v>
      </c>
      <c r="AA153" s="55">
        <v>0</v>
      </c>
      <c r="AB153" s="55">
        <v>0</v>
      </c>
      <c r="AC153" s="55">
        <v>103625974</v>
      </c>
      <c r="AD153" s="57">
        <v>1062</v>
      </c>
      <c r="AF153" s="47">
        <f t="shared" si="2"/>
        <v>61067974</v>
      </c>
    </row>
    <row r="154" spans="2:32" x14ac:dyDescent="0.3">
      <c r="B154" s="46" t="str">
        <f>IFERROR(VLOOKUP($H154,매장구분!$B:$Z,2,0),"")</f>
        <v>리테일채널팀</v>
      </c>
      <c r="C154" s="46" t="str">
        <f>IFERROR(VLOOKUP($H154,매장구분!$B:$Z,3,0),"")</f>
        <v>국내</v>
      </c>
      <c r="D154" s="46" t="str">
        <f>IFERROR(VLOOKUP($H154,매장구분!$B:$Z,5,0),"")</f>
        <v>대리점</v>
      </c>
      <c r="E154" s="46" t="str">
        <f>IFERROR(VLOOKUP($H154,매장구분!$B:$Z,9,0),"")</f>
        <v>제주(대-위)</v>
      </c>
      <c r="F154" s="58"/>
      <c r="G154" s="59" t="s">
        <v>474</v>
      </c>
      <c r="H154" s="60" t="s">
        <v>475</v>
      </c>
      <c r="I154" s="60" t="s">
        <v>169</v>
      </c>
      <c r="J154" s="60" t="s">
        <v>79</v>
      </c>
      <c r="K154" s="60" t="s">
        <v>170</v>
      </c>
      <c r="L154" s="60" t="s">
        <v>171</v>
      </c>
      <c r="M154" s="60" t="s">
        <v>196</v>
      </c>
      <c r="N154" s="60" t="s">
        <v>197</v>
      </c>
      <c r="O154" s="60">
        <v>67046400</v>
      </c>
      <c r="P154" s="60">
        <v>647</v>
      </c>
      <c r="Q154" s="60">
        <v>0</v>
      </c>
      <c r="R154" s="60">
        <v>0</v>
      </c>
      <c r="S154" s="60">
        <v>0</v>
      </c>
      <c r="T154" s="60">
        <v>0</v>
      </c>
      <c r="U154" s="60">
        <v>2723860</v>
      </c>
      <c r="V154" s="60">
        <v>16</v>
      </c>
      <c r="W154" s="60">
        <v>0</v>
      </c>
      <c r="X154" s="60">
        <v>0</v>
      </c>
      <c r="Y154" s="61">
        <v>12005600</v>
      </c>
      <c r="Z154" s="60">
        <v>202</v>
      </c>
      <c r="AA154" s="60">
        <v>0</v>
      </c>
      <c r="AB154" s="60">
        <v>0</v>
      </c>
      <c r="AC154" s="60">
        <v>81775860</v>
      </c>
      <c r="AD154" s="62">
        <v>865</v>
      </c>
      <c r="AF154" s="47">
        <f t="shared" si="2"/>
        <v>69770260</v>
      </c>
    </row>
    <row r="155" spans="2:32" x14ac:dyDescent="0.3">
      <c r="B155" s="46" t="str">
        <f>IFERROR(VLOOKUP($H155,매장구분!$B:$Z,2,0),"")</f>
        <v>파트너채널팀</v>
      </c>
      <c r="C155" s="46" t="str">
        <f>IFERROR(VLOOKUP($H155,매장구분!$B:$Z,3,0),"")</f>
        <v>국내</v>
      </c>
      <c r="D155" s="46" t="str">
        <f>IFERROR(VLOOKUP($H155,매장구분!$B:$Z,5,0),"")</f>
        <v>백화점</v>
      </c>
      <c r="E155" s="46" t="str">
        <f>IFERROR(VLOOKUP($H155,매장구분!$B:$Z,9,0),"")</f>
        <v>엔터식스왕십리</v>
      </c>
      <c r="F155" s="53"/>
      <c r="G155" s="54" t="s">
        <v>444</v>
      </c>
      <c r="H155" s="55" t="s">
        <v>445</v>
      </c>
      <c r="I155" s="55" t="s">
        <v>169</v>
      </c>
      <c r="J155" s="55" t="s">
        <v>175</v>
      </c>
      <c r="K155" s="55" t="s">
        <v>170</v>
      </c>
      <c r="L155" s="55" t="s">
        <v>171</v>
      </c>
      <c r="M155" s="55" t="s">
        <v>77</v>
      </c>
      <c r="N155" s="55" t="s">
        <v>238</v>
      </c>
      <c r="O155" s="55">
        <v>34364700</v>
      </c>
      <c r="P155" s="55">
        <v>332</v>
      </c>
      <c r="Q155" s="55">
        <v>131000</v>
      </c>
      <c r="R155" s="55">
        <v>3</v>
      </c>
      <c r="S155" s="55">
        <v>0</v>
      </c>
      <c r="T155" s="55">
        <v>0</v>
      </c>
      <c r="U155" s="55">
        <v>16794200</v>
      </c>
      <c r="V155" s="55">
        <v>102</v>
      </c>
      <c r="W155" s="55">
        <v>0</v>
      </c>
      <c r="X155" s="55">
        <v>0</v>
      </c>
      <c r="Y155" s="56">
        <v>0</v>
      </c>
      <c r="Z155" s="55">
        <v>0</v>
      </c>
      <c r="AA155" s="55">
        <v>0</v>
      </c>
      <c r="AB155" s="55">
        <v>0</v>
      </c>
      <c r="AC155" s="55">
        <v>51289900</v>
      </c>
      <c r="AD155" s="57">
        <v>437</v>
      </c>
      <c r="AF155" s="47">
        <f t="shared" si="2"/>
        <v>51289900</v>
      </c>
    </row>
    <row r="156" spans="2:32" x14ac:dyDescent="0.3">
      <c r="B156" s="46" t="str">
        <f>IFERROR(VLOOKUP($H156,매장구분!$B:$Z,2,0),"")</f>
        <v>파트너채널팀</v>
      </c>
      <c r="C156" s="46" t="str">
        <f>IFERROR(VLOOKUP($H156,매장구분!$B:$Z,3,0),"")</f>
        <v>국내</v>
      </c>
      <c r="D156" s="46" t="str">
        <f>IFERROR(VLOOKUP($H156,매장구분!$B:$Z,5,0),"")</f>
        <v>백화점</v>
      </c>
      <c r="E156" s="46" t="str">
        <f>IFERROR(VLOOKUP($H156,매장구분!$B:$Z,9,0),"")</f>
        <v>롯데대전</v>
      </c>
      <c r="F156" s="58"/>
      <c r="G156" s="59" t="s">
        <v>476</v>
      </c>
      <c r="H156" s="60" t="s">
        <v>477</v>
      </c>
      <c r="I156" s="60" t="s">
        <v>169</v>
      </c>
      <c r="J156" s="60" t="s">
        <v>175</v>
      </c>
      <c r="K156" s="60" t="s">
        <v>170</v>
      </c>
      <c r="L156" s="60" t="s">
        <v>171</v>
      </c>
      <c r="M156" s="60" t="s">
        <v>77</v>
      </c>
      <c r="N156" s="60" t="s">
        <v>172</v>
      </c>
      <c r="O156" s="60">
        <v>49458100</v>
      </c>
      <c r="P156" s="60">
        <v>434</v>
      </c>
      <c r="Q156" s="60">
        <v>0</v>
      </c>
      <c r="R156" s="60">
        <v>0</v>
      </c>
      <c r="S156" s="60">
        <v>0</v>
      </c>
      <c r="T156" s="60">
        <v>0</v>
      </c>
      <c r="U156" s="60">
        <v>5662900</v>
      </c>
      <c r="V156" s="60">
        <v>28</v>
      </c>
      <c r="W156" s="60">
        <v>0</v>
      </c>
      <c r="X156" s="60">
        <v>0</v>
      </c>
      <c r="Y156" s="61">
        <v>0</v>
      </c>
      <c r="Z156" s="60">
        <v>0</v>
      </c>
      <c r="AA156" s="60">
        <v>0</v>
      </c>
      <c r="AB156" s="60">
        <v>0</v>
      </c>
      <c r="AC156" s="60">
        <v>55121000</v>
      </c>
      <c r="AD156" s="62">
        <v>462</v>
      </c>
      <c r="AF156" s="47">
        <f t="shared" si="2"/>
        <v>55121000</v>
      </c>
    </row>
    <row r="157" spans="2:32" x14ac:dyDescent="0.3">
      <c r="B157" s="46" t="str">
        <f>IFERROR(VLOOKUP($H157,매장구분!$B:$Z,2,0),"")</f>
        <v>파트너채널팀</v>
      </c>
      <c r="C157" s="46" t="str">
        <f>IFERROR(VLOOKUP($H157,매장구분!$B:$Z,3,0),"")</f>
        <v>국내</v>
      </c>
      <c r="D157" s="46" t="str">
        <f>IFERROR(VLOOKUP($H157,매장구분!$B:$Z,5,0),"")</f>
        <v>백화점</v>
      </c>
      <c r="E157" s="46" t="str">
        <f>IFERROR(VLOOKUP($H157,매장구분!$B:$Z,9,0),"")</f>
        <v>신세계의정부</v>
      </c>
      <c r="F157" s="53"/>
      <c r="G157" s="54" t="s">
        <v>438</v>
      </c>
      <c r="H157" s="55" t="s">
        <v>439</v>
      </c>
      <c r="I157" s="55" t="s">
        <v>169</v>
      </c>
      <c r="J157" s="55" t="s">
        <v>175</v>
      </c>
      <c r="K157" s="55" t="s">
        <v>170</v>
      </c>
      <c r="L157" s="55" t="s">
        <v>171</v>
      </c>
      <c r="M157" s="55" t="s">
        <v>77</v>
      </c>
      <c r="N157" s="55" t="s">
        <v>172</v>
      </c>
      <c r="O157" s="55">
        <v>90694800</v>
      </c>
      <c r="P157" s="55">
        <v>852</v>
      </c>
      <c r="Q157" s="55">
        <v>0</v>
      </c>
      <c r="R157" s="55">
        <v>0</v>
      </c>
      <c r="S157" s="55">
        <v>0</v>
      </c>
      <c r="T157" s="55">
        <v>0</v>
      </c>
      <c r="U157" s="55">
        <v>13842900</v>
      </c>
      <c r="V157" s="55">
        <v>70</v>
      </c>
      <c r="W157" s="55">
        <v>0</v>
      </c>
      <c r="X157" s="55">
        <v>0</v>
      </c>
      <c r="Y157" s="56">
        <v>0</v>
      </c>
      <c r="Z157" s="55">
        <v>0</v>
      </c>
      <c r="AA157" s="55">
        <v>0</v>
      </c>
      <c r="AB157" s="55">
        <v>0</v>
      </c>
      <c r="AC157" s="55">
        <v>104537700</v>
      </c>
      <c r="AD157" s="57">
        <v>922</v>
      </c>
      <c r="AF157" s="47">
        <f t="shared" si="2"/>
        <v>104537700</v>
      </c>
    </row>
    <row r="158" spans="2:32" x14ac:dyDescent="0.3">
      <c r="B158" s="46" t="str">
        <f>IFERROR(VLOOKUP($H158,매장구분!$B:$Z,2,0),"")</f>
        <v>파트너채널팀</v>
      </c>
      <c r="C158" s="46" t="str">
        <f>IFERROR(VLOOKUP($H158,매장구분!$B:$Z,3,0),"")</f>
        <v>국내</v>
      </c>
      <c r="D158" s="46" t="str">
        <f>IFERROR(VLOOKUP($H158,매장구분!$B:$Z,5,0),"")</f>
        <v>백화점</v>
      </c>
      <c r="E158" s="46" t="str">
        <f>IFERROR(VLOOKUP($H158,매장구분!$B:$Z,9,0),"")</f>
        <v>현대울산동구</v>
      </c>
      <c r="F158" s="58"/>
      <c r="G158" s="59" t="s">
        <v>480</v>
      </c>
      <c r="H158" s="60" t="s">
        <v>481</v>
      </c>
      <c r="I158" s="60" t="s">
        <v>169</v>
      </c>
      <c r="J158" s="60" t="s">
        <v>175</v>
      </c>
      <c r="K158" s="60" t="s">
        <v>170</v>
      </c>
      <c r="L158" s="60" t="s">
        <v>171</v>
      </c>
      <c r="M158" s="60" t="s">
        <v>77</v>
      </c>
      <c r="N158" s="60" t="s">
        <v>172</v>
      </c>
      <c r="O158" s="60">
        <v>39095600</v>
      </c>
      <c r="P158" s="60">
        <v>375</v>
      </c>
      <c r="Q158" s="60">
        <v>0</v>
      </c>
      <c r="R158" s="60">
        <v>0</v>
      </c>
      <c r="S158" s="60">
        <v>0</v>
      </c>
      <c r="T158" s="60">
        <v>0</v>
      </c>
      <c r="U158" s="60">
        <v>4574400</v>
      </c>
      <c r="V158" s="60">
        <v>28</v>
      </c>
      <c r="W158" s="60">
        <v>0</v>
      </c>
      <c r="X158" s="60">
        <v>0</v>
      </c>
      <c r="Y158" s="61">
        <v>12072000</v>
      </c>
      <c r="Z158" s="60">
        <v>88</v>
      </c>
      <c r="AA158" s="60">
        <v>0</v>
      </c>
      <c r="AB158" s="60">
        <v>0</v>
      </c>
      <c r="AC158" s="60">
        <v>55742000</v>
      </c>
      <c r="AD158" s="62">
        <v>491</v>
      </c>
      <c r="AF158" s="47">
        <f t="shared" si="2"/>
        <v>43670000</v>
      </c>
    </row>
    <row r="159" spans="2:32" x14ac:dyDescent="0.3">
      <c r="B159" s="46" t="str">
        <f>IFERROR(VLOOKUP($H159,매장구분!$B:$Z,2,0),"")</f>
        <v>리테일채널팀</v>
      </c>
      <c r="C159" s="46" t="str">
        <f>IFERROR(VLOOKUP($H159,매장구분!$B:$Z,3,0),"")</f>
        <v>RF</v>
      </c>
      <c r="D159" s="46" t="str">
        <f>IFERROR(VLOOKUP($H159,매장구분!$B:$Z,5,0),"")</f>
        <v>대리점</v>
      </c>
      <c r="E159" s="46" t="str">
        <f>IFERROR(VLOOKUP($H159,매장구분!$B:$Z,9,0),"")</f>
        <v>두타(대-위)</v>
      </c>
      <c r="F159" s="53"/>
      <c r="G159" s="54" t="s">
        <v>600</v>
      </c>
      <c r="H159" s="55" t="s">
        <v>601</v>
      </c>
      <c r="I159" s="55" t="s">
        <v>169</v>
      </c>
      <c r="J159" s="55" t="s">
        <v>79</v>
      </c>
      <c r="K159" s="55" t="s">
        <v>170</v>
      </c>
      <c r="L159" s="55" t="s">
        <v>171</v>
      </c>
      <c r="M159" s="55" t="s">
        <v>196</v>
      </c>
      <c r="N159" s="55" t="s">
        <v>197</v>
      </c>
      <c r="O159" s="55">
        <v>51598096</v>
      </c>
      <c r="P159" s="55">
        <v>516</v>
      </c>
      <c r="Q159" s="55">
        <v>0</v>
      </c>
      <c r="R159" s="55">
        <v>0</v>
      </c>
      <c r="S159" s="55">
        <v>0</v>
      </c>
      <c r="T159" s="55">
        <v>0</v>
      </c>
      <c r="U159" s="55">
        <v>1741304</v>
      </c>
      <c r="V159" s="55">
        <v>6</v>
      </c>
      <c r="W159" s="55">
        <v>0</v>
      </c>
      <c r="X159" s="55">
        <v>0</v>
      </c>
      <c r="Y159" s="56">
        <v>35254400</v>
      </c>
      <c r="Z159" s="55">
        <v>202</v>
      </c>
      <c r="AA159" s="55">
        <v>0</v>
      </c>
      <c r="AB159" s="55">
        <v>0</v>
      </c>
      <c r="AC159" s="55">
        <v>88593800</v>
      </c>
      <c r="AD159" s="57">
        <v>724</v>
      </c>
      <c r="AF159" s="47">
        <f t="shared" si="2"/>
        <v>53339400</v>
      </c>
    </row>
    <row r="160" spans="2:32" x14ac:dyDescent="0.3">
      <c r="B160" s="46" t="str">
        <f>IFERROR(VLOOKUP($H160,매장구분!$B:$Z,2,0),"")</f>
        <v>리테일채널팀</v>
      </c>
      <c r="C160" s="46" t="str">
        <f>IFERROR(VLOOKUP($H160,매장구분!$B:$Z,3,0),"")</f>
        <v>RF</v>
      </c>
      <c r="D160" s="46" t="str">
        <f>IFERROR(VLOOKUP($H160,매장구분!$B:$Z,5,0),"")</f>
        <v>직영점</v>
      </c>
      <c r="E160" s="46" t="str">
        <f>IFERROR(VLOOKUP($H160,매장구분!$B:$Z,9,0),"")</f>
        <v>한남(직)</v>
      </c>
      <c r="F160" s="58"/>
      <c r="G160" s="59" t="s">
        <v>436</v>
      </c>
      <c r="H160" s="60" t="s">
        <v>437</v>
      </c>
      <c r="I160" s="60" t="s">
        <v>169</v>
      </c>
      <c r="J160" s="60" t="s">
        <v>180</v>
      </c>
      <c r="K160" s="60" t="s">
        <v>170</v>
      </c>
      <c r="L160" s="60" t="s">
        <v>171</v>
      </c>
      <c r="M160" s="60" t="s">
        <v>196</v>
      </c>
      <c r="N160" s="60" t="s">
        <v>206</v>
      </c>
      <c r="O160" s="60">
        <v>94294900</v>
      </c>
      <c r="P160" s="60">
        <v>1302</v>
      </c>
      <c r="Q160" s="60">
        <v>0</v>
      </c>
      <c r="R160" s="60">
        <v>0</v>
      </c>
      <c r="S160" s="60">
        <v>0</v>
      </c>
      <c r="T160" s="60">
        <v>0</v>
      </c>
      <c r="U160" s="60">
        <v>455000</v>
      </c>
      <c r="V160" s="60">
        <v>5</v>
      </c>
      <c r="W160" s="60">
        <v>0</v>
      </c>
      <c r="X160" s="60">
        <v>0</v>
      </c>
      <c r="Y160" s="61">
        <v>0</v>
      </c>
      <c r="Z160" s="60">
        <v>0</v>
      </c>
      <c r="AA160" s="60">
        <v>0</v>
      </c>
      <c r="AB160" s="60">
        <v>0</v>
      </c>
      <c r="AC160" s="60">
        <v>94749900</v>
      </c>
      <c r="AD160" s="62">
        <v>1307</v>
      </c>
      <c r="AF160" s="47">
        <f t="shared" si="2"/>
        <v>94749900</v>
      </c>
    </row>
    <row r="161" spans="2:32" x14ac:dyDescent="0.3">
      <c r="B161" s="46" t="str">
        <f>IFERROR(VLOOKUP($H161,매장구분!$B:$Z,2,0),"")</f>
        <v>파트너채널팀</v>
      </c>
      <c r="C161" s="46" t="str">
        <f>IFERROR(VLOOKUP($H161,매장구분!$B:$Z,3,0),"")</f>
        <v>RF</v>
      </c>
      <c r="D161" s="46" t="str">
        <f>IFERROR(VLOOKUP($H161,매장구분!$B:$Z,5,0),"")</f>
        <v>백화점</v>
      </c>
      <c r="E161" s="46" t="str">
        <f>IFERROR(VLOOKUP($H161,매장구분!$B:$Z,9,0),"")</f>
        <v>신세계본점</v>
      </c>
      <c r="F161" s="53"/>
      <c r="G161" s="54" t="s">
        <v>450</v>
      </c>
      <c r="H161" s="55" t="s">
        <v>451</v>
      </c>
      <c r="I161" s="55" t="s">
        <v>169</v>
      </c>
      <c r="J161" s="55" t="s">
        <v>175</v>
      </c>
      <c r="K161" s="55" t="s">
        <v>170</v>
      </c>
      <c r="L161" s="55" t="s">
        <v>171</v>
      </c>
      <c r="M161" s="55" t="s">
        <v>77</v>
      </c>
      <c r="N161" s="55" t="s">
        <v>172</v>
      </c>
      <c r="O161" s="55">
        <v>205036722</v>
      </c>
      <c r="P161" s="55">
        <v>1297</v>
      </c>
      <c r="Q161" s="55">
        <v>1240500</v>
      </c>
      <c r="R161" s="55">
        <v>20</v>
      </c>
      <c r="S161" s="55">
        <v>0</v>
      </c>
      <c r="T161" s="55">
        <v>0</v>
      </c>
      <c r="U161" s="55">
        <v>4150008</v>
      </c>
      <c r="V161" s="55">
        <v>19</v>
      </c>
      <c r="W161" s="55">
        <v>0</v>
      </c>
      <c r="X161" s="55">
        <v>0</v>
      </c>
      <c r="Y161" s="56">
        <v>0</v>
      </c>
      <c r="Z161" s="55">
        <v>0</v>
      </c>
      <c r="AA161" s="55">
        <v>0</v>
      </c>
      <c r="AB161" s="55">
        <v>0</v>
      </c>
      <c r="AC161" s="55">
        <v>210427230</v>
      </c>
      <c r="AD161" s="57">
        <v>1336</v>
      </c>
      <c r="AF161" s="47">
        <f t="shared" si="2"/>
        <v>210427230</v>
      </c>
    </row>
    <row r="162" spans="2:32" x14ac:dyDescent="0.3">
      <c r="B162" s="46" t="str">
        <f>IFERROR(VLOOKUP($H162,매장구분!$B:$Z,2,0),"")</f>
        <v>리테일채널팀</v>
      </c>
      <c r="C162" s="46" t="str">
        <f>IFERROR(VLOOKUP($H162,매장구분!$B:$Z,3,0),"")</f>
        <v>국내</v>
      </c>
      <c r="D162" s="46" t="str">
        <f>IFERROR(VLOOKUP($H162,매장구분!$B:$Z,5,0),"")</f>
        <v>대리점</v>
      </c>
      <c r="E162" s="46" t="str">
        <f>IFERROR(VLOOKUP($H162,매장구분!$B:$Z,9,0),"")</f>
        <v>당진(대-위)</v>
      </c>
      <c r="F162" s="58"/>
      <c r="G162" s="59" t="s">
        <v>462</v>
      </c>
      <c r="H162" s="60" t="s">
        <v>463</v>
      </c>
      <c r="I162" s="60" t="s">
        <v>169</v>
      </c>
      <c r="J162" s="60" t="s">
        <v>79</v>
      </c>
      <c r="K162" s="60" t="s">
        <v>170</v>
      </c>
      <c r="L162" s="60" t="s">
        <v>171</v>
      </c>
      <c r="M162" s="60" t="s">
        <v>196</v>
      </c>
      <c r="N162" s="60" t="s">
        <v>197</v>
      </c>
      <c r="O162" s="60">
        <v>55360723</v>
      </c>
      <c r="P162" s="60">
        <v>483</v>
      </c>
      <c r="Q162" s="60">
        <v>0</v>
      </c>
      <c r="R162" s="60">
        <v>0</v>
      </c>
      <c r="S162" s="60">
        <v>0</v>
      </c>
      <c r="T162" s="60">
        <v>0</v>
      </c>
      <c r="U162" s="60">
        <v>4184000</v>
      </c>
      <c r="V162" s="60">
        <v>26</v>
      </c>
      <c r="W162" s="60">
        <v>0</v>
      </c>
      <c r="X162" s="60">
        <v>0</v>
      </c>
      <c r="Y162" s="61">
        <v>22535000</v>
      </c>
      <c r="Z162" s="60">
        <v>185</v>
      </c>
      <c r="AA162" s="60">
        <v>0</v>
      </c>
      <c r="AB162" s="60">
        <v>0</v>
      </c>
      <c r="AC162" s="60">
        <v>82079723</v>
      </c>
      <c r="AD162" s="62">
        <v>694</v>
      </c>
      <c r="AF162" s="47">
        <f t="shared" si="2"/>
        <v>59544723</v>
      </c>
    </row>
    <row r="163" spans="2:32" x14ac:dyDescent="0.3">
      <c r="B163" s="46" t="str">
        <f>IFERROR(VLOOKUP($H163,매장구분!$B:$Z,2,0),"")</f>
        <v>리테일채널팀</v>
      </c>
      <c r="C163" s="46" t="str">
        <f>IFERROR(VLOOKUP($H163,매장구분!$B:$Z,3,0),"")</f>
        <v>국내</v>
      </c>
      <c r="D163" s="46" t="str">
        <f>IFERROR(VLOOKUP($H163,매장구분!$B:$Z,5,0),"")</f>
        <v>상설(위탁)</v>
      </c>
      <c r="E163" s="46" t="str">
        <f>IFERROR(VLOOKUP($H163,매장구분!$B:$Z,9,0),"")</f>
        <v>롯데아울렛군산(상-위)</v>
      </c>
      <c r="F163" s="53"/>
      <c r="G163" s="54" t="s">
        <v>602</v>
      </c>
      <c r="H163" s="55" t="s">
        <v>603</v>
      </c>
      <c r="I163" s="55" t="s">
        <v>169</v>
      </c>
      <c r="J163" s="55" t="s">
        <v>79</v>
      </c>
      <c r="K163" s="55" t="s">
        <v>170</v>
      </c>
      <c r="L163" s="55" t="s">
        <v>171</v>
      </c>
      <c r="M163" s="55" t="s">
        <v>219</v>
      </c>
      <c r="N163" s="55" t="s">
        <v>219</v>
      </c>
      <c r="O163" s="55">
        <v>2916000</v>
      </c>
      <c r="P163" s="55">
        <v>81</v>
      </c>
      <c r="Q163" s="55">
        <v>0</v>
      </c>
      <c r="R163" s="55">
        <v>0</v>
      </c>
      <c r="S163" s="55">
        <v>0</v>
      </c>
      <c r="T163" s="55">
        <v>0</v>
      </c>
      <c r="U163" s="55">
        <v>0</v>
      </c>
      <c r="V163" s="55">
        <v>0</v>
      </c>
      <c r="W163" s="55">
        <v>0</v>
      </c>
      <c r="X163" s="55">
        <v>0</v>
      </c>
      <c r="Y163" s="56">
        <v>0</v>
      </c>
      <c r="Z163" s="55">
        <v>0</v>
      </c>
      <c r="AA163" s="55">
        <v>0</v>
      </c>
      <c r="AB163" s="55">
        <v>0</v>
      </c>
      <c r="AC163" s="55">
        <v>2916000</v>
      </c>
      <c r="AD163" s="57">
        <v>81</v>
      </c>
      <c r="AF163" s="47">
        <f t="shared" si="2"/>
        <v>2916000</v>
      </c>
    </row>
    <row r="164" spans="2:32" x14ac:dyDescent="0.3">
      <c r="B164" s="46" t="str">
        <f>IFERROR(VLOOKUP($H164,매장구분!$B:$Z,2,0),"")</f>
        <v>리테일채널팀</v>
      </c>
      <c r="C164" s="46" t="str">
        <f>IFERROR(VLOOKUP($H164,매장구분!$B:$Z,3,0),"")</f>
        <v>국내</v>
      </c>
      <c r="D164" s="46" t="str">
        <f>IFERROR(VLOOKUP($H164,매장구분!$B:$Z,5,0),"")</f>
        <v>대리점</v>
      </c>
      <c r="E164" s="46" t="str">
        <f>IFERROR(VLOOKUP($H164,매장구분!$B:$Z,9,0),"")</f>
        <v>여천(대-위)</v>
      </c>
      <c r="F164" s="58"/>
      <c r="G164" s="59" t="s">
        <v>500</v>
      </c>
      <c r="H164" s="60" t="s">
        <v>501</v>
      </c>
      <c r="I164" s="60" t="s">
        <v>169</v>
      </c>
      <c r="J164" s="60" t="s">
        <v>79</v>
      </c>
      <c r="K164" s="60" t="s">
        <v>170</v>
      </c>
      <c r="L164" s="60" t="s">
        <v>171</v>
      </c>
      <c r="M164" s="60" t="s">
        <v>196</v>
      </c>
      <c r="N164" s="60" t="s">
        <v>197</v>
      </c>
      <c r="O164" s="60">
        <v>30427949</v>
      </c>
      <c r="P164" s="60">
        <v>341</v>
      </c>
      <c r="Q164" s="60">
        <v>0</v>
      </c>
      <c r="R164" s="60">
        <v>0</v>
      </c>
      <c r="S164" s="60">
        <v>0</v>
      </c>
      <c r="T164" s="60">
        <v>0</v>
      </c>
      <c r="U164" s="60">
        <v>4076217</v>
      </c>
      <c r="V164" s="60">
        <v>27</v>
      </c>
      <c r="W164" s="60">
        <v>0</v>
      </c>
      <c r="X164" s="60">
        <v>0</v>
      </c>
      <c r="Y164" s="61">
        <v>0</v>
      </c>
      <c r="Z164" s="60">
        <v>0</v>
      </c>
      <c r="AA164" s="60">
        <v>0</v>
      </c>
      <c r="AB164" s="60">
        <v>0</v>
      </c>
      <c r="AC164" s="60">
        <v>34504166</v>
      </c>
      <c r="AD164" s="62">
        <v>368</v>
      </c>
      <c r="AF164" s="47">
        <f t="shared" si="2"/>
        <v>34504166</v>
      </c>
    </row>
    <row r="165" spans="2:32" x14ac:dyDescent="0.3">
      <c r="B165" s="46" t="str">
        <f>IFERROR(VLOOKUP($H165,매장구분!$B:$Z,2,0),"")</f>
        <v>리테일채널팀</v>
      </c>
      <c r="C165" s="46" t="str">
        <f>IFERROR(VLOOKUP($H165,매장구분!$B:$Z,3,0),"")</f>
        <v>국내</v>
      </c>
      <c r="D165" s="46" t="str">
        <f>IFERROR(VLOOKUP($H165,매장구분!$B:$Z,5,0),"")</f>
        <v>대리점</v>
      </c>
      <c r="E165" s="46" t="str">
        <f>IFERROR(VLOOKUP($H165,매장구분!$B:$Z,9,0),"")</f>
        <v>목포하당(대-위)</v>
      </c>
      <c r="F165" s="53"/>
      <c r="G165" s="54" t="s">
        <v>486</v>
      </c>
      <c r="H165" s="55" t="s">
        <v>487</v>
      </c>
      <c r="I165" s="55" t="s">
        <v>169</v>
      </c>
      <c r="J165" s="55" t="s">
        <v>79</v>
      </c>
      <c r="K165" s="55" t="s">
        <v>170</v>
      </c>
      <c r="L165" s="55" t="s">
        <v>171</v>
      </c>
      <c r="M165" s="55" t="s">
        <v>196</v>
      </c>
      <c r="N165" s="55" t="s">
        <v>197</v>
      </c>
      <c r="O165" s="55">
        <v>125067341</v>
      </c>
      <c r="P165" s="55">
        <v>1036</v>
      </c>
      <c r="Q165" s="55">
        <v>0</v>
      </c>
      <c r="R165" s="55">
        <v>0</v>
      </c>
      <c r="S165" s="55">
        <v>0</v>
      </c>
      <c r="T165" s="55">
        <v>0</v>
      </c>
      <c r="U165" s="55">
        <v>6442999</v>
      </c>
      <c r="V165" s="55">
        <v>40</v>
      </c>
      <c r="W165" s="55">
        <v>0</v>
      </c>
      <c r="X165" s="55">
        <v>0</v>
      </c>
      <c r="Y165" s="56">
        <v>0</v>
      </c>
      <c r="Z165" s="55">
        <v>0</v>
      </c>
      <c r="AA165" s="55">
        <v>0</v>
      </c>
      <c r="AB165" s="55">
        <v>0</v>
      </c>
      <c r="AC165" s="55">
        <v>131510340</v>
      </c>
      <c r="AD165" s="57">
        <v>1076</v>
      </c>
      <c r="AF165" s="47">
        <f t="shared" si="2"/>
        <v>131510340</v>
      </c>
    </row>
    <row r="166" spans="2:32" x14ac:dyDescent="0.3">
      <c r="B166" s="46" t="str">
        <f>IFERROR(VLOOKUP($H166,매장구분!$B:$Z,2,0),"")</f>
        <v>파트너채널팀</v>
      </c>
      <c r="C166" s="46" t="str">
        <f>IFERROR(VLOOKUP($H166,매장구분!$B:$Z,3,0),"")</f>
        <v>국내</v>
      </c>
      <c r="D166" s="46" t="str">
        <f>IFERROR(VLOOKUP($H166,매장구분!$B:$Z,5,0),"")</f>
        <v>백화점</v>
      </c>
      <c r="E166" s="46" t="str">
        <f>IFERROR(VLOOKUP($H166,매장구분!$B:$Z,9,0),"")</f>
        <v>롯데일산</v>
      </c>
      <c r="F166" s="58"/>
      <c r="G166" s="59" t="s">
        <v>508</v>
      </c>
      <c r="H166" s="60" t="s">
        <v>509</v>
      </c>
      <c r="I166" s="60" t="s">
        <v>169</v>
      </c>
      <c r="J166" s="60" t="s">
        <v>175</v>
      </c>
      <c r="K166" s="60" t="s">
        <v>170</v>
      </c>
      <c r="L166" s="60" t="s">
        <v>171</v>
      </c>
      <c r="M166" s="60" t="s">
        <v>77</v>
      </c>
      <c r="N166" s="60" t="s">
        <v>172</v>
      </c>
      <c r="O166" s="60">
        <v>64354100</v>
      </c>
      <c r="P166" s="60">
        <v>593</v>
      </c>
      <c r="Q166" s="60">
        <v>43000</v>
      </c>
      <c r="R166" s="60">
        <v>1</v>
      </c>
      <c r="S166" s="60">
        <v>0</v>
      </c>
      <c r="T166" s="60">
        <v>0</v>
      </c>
      <c r="U166" s="60">
        <v>4596900</v>
      </c>
      <c r="V166" s="60">
        <v>31</v>
      </c>
      <c r="W166" s="60">
        <v>0</v>
      </c>
      <c r="X166" s="60">
        <v>0</v>
      </c>
      <c r="Y166" s="61">
        <v>34807100</v>
      </c>
      <c r="Z166" s="60">
        <v>273</v>
      </c>
      <c r="AA166" s="60">
        <v>0</v>
      </c>
      <c r="AB166" s="60">
        <v>0</v>
      </c>
      <c r="AC166" s="60">
        <v>103801100</v>
      </c>
      <c r="AD166" s="62">
        <v>898</v>
      </c>
      <c r="AF166" s="47">
        <f t="shared" si="2"/>
        <v>68994000</v>
      </c>
    </row>
    <row r="167" spans="2:32" x14ac:dyDescent="0.3">
      <c r="B167" s="46" t="str">
        <f>IFERROR(VLOOKUP($H167,매장구분!$B:$Z,2,0),"")</f>
        <v>리테일채널팀</v>
      </c>
      <c r="C167" s="46" t="str">
        <f>IFERROR(VLOOKUP($H167,매장구분!$B:$Z,3,0),"")</f>
        <v>국내</v>
      </c>
      <c r="D167" s="46" t="str">
        <f>IFERROR(VLOOKUP($H167,매장구분!$B:$Z,5,0),"")</f>
        <v>대리점</v>
      </c>
      <c r="E167" s="46" t="str">
        <f>IFERROR(VLOOKUP($H167,매장구분!$B:$Z,9,0),"")</f>
        <v>통영(대-위)</v>
      </c>
      <c r="F167" s="53"/>
      <c r="G167" s="54" t="s">
        <v>506</v>
      </c>
      <c r="H167" s="55" t="s">
        <v>507</v>
      </c>
      <c r="I167" s="55" t="s">
        <v>169</v>
      </c>
      <c r="J167" s="55" t="s">
        <v>79</v>
      </c>
      <c r="K167" s="55" t="s">
        <v>170</v>
      </c>
      <c r="L167" s="55" t="s">
        <v>171</v>
      </c>
      <c r="M167" s="55" t="s">
        <v>196</v>
      </c>
      <c r="N167" s="55" t="s">
        <v>197</v>
      </c>
      <c r="O167" s="55">
        <v>33038910</v>
      </c>
      <c r="P167" s="55">
        <v>310</v>
      </c>
      <c r="Q167" s="55">
        <v>0</v>
      </c>
      <c r="R167" s="55">
        <v>0</v>
      </c>
      <c r="S167" s="55">
        <v>0</v>
      </c>
      <c r="T167" s="55">
        <v>0</v>
      </c>
      <c r="U167" s="55">
        <v>3320000</v>
      </c>
      <c r="V167" s="55">
        <v>20</v>
      </c>
      <c r="W167" s="55">
        <v>0</v>
      </c>
      <c r="X167" s="55">
        <v>0</v>
      </c>
      <c r="Y167" s="56">
        <v>0</v>
      </c>
      <c r="Z167" s="55">
        <v>0</v>
      </c>
      <c r="AA167" s="55">
        <v>0</v>
      </c>
      <c r="AB167" s="55">
        <v>0</v>
      </c>
      <c r="AC167" s="55">
        <v>36358910</v>
      </c>
      <c r="AD167" s="57">
        <v>330</v>
      </c>
      <c r="AF167" s="47">
        <f t="shared" si="2"/>
        <v>36358910</v>
      </c>
    </row>
    <row r="168" spans="2:32" x14ac:dyDescent="0.3">
      <c r="B168" s="46" t="str">
        <f>IFERROR(VLOOKUP($H168,매장구분!$B:$Z,2,0),"")</f>
        <v>파트너채널팀</v>
      </c>
      <c r="C168" s="46" t="str">
        <f>IFERROR(VLOOKUP($H168,매장구분!$B:$Z,3,0),"")</f>
        <v>국내</v>
      </c>
      <c r="D168" s="46" t="str">
        <f>IFERROR(VLOOKUP($H168,매장구분!$B:$Z,5,0),"")</f>
        <v>백화점</v>
      </c>
      <c r="E168" s="46" t="str">
        <f>IFERROR(VLOOKUP($H168,매장구분!$B:$Z,9,0),"")</f>
        <v>롯데중동</v>
      </c>
      <c r="F168" s="58"/>
      <c r="G168" s="59" t="s">
        <v>510</v>
      </c>
      <c r="H168" s="60" t="s">
        <v>511</v>
      </c>
      <c r="I168" s="60" t="s">
        <v>169</v>
      </c>
      <c r="J168" s="60" t="s">
        <v>175</v>
      </c>
      <c r="K168" s="60" t="s">
        <v>170</v>
      </c>
      <c r="L168" s="60" t="s">
        <v>171</v>
      </c>
      <c r="M168" s="60" t="s">
        <v>77</v>
      </c>
      <c r="N168" s="60" t="s">
        <v>172</v>
      </c>
      <c r="O168" s="60">
        <v>58403300</v>
      </c>
      <c r="P168" s="60">
        <v>500</v>
      </c>
      <c r="Q168" s="60">
        <v>2430500</v>
      </c>
      <c r="R168" s="60">
        <v>22</v>
      </c>
      <c r="S168" s="60">
        <v>0</v>
      </c>
      <c r="T168" s="60">
        <v>0</v>
      </c>
      <c r="U168" s="60">
        <v>10760700</v>
      </c>
      <c r="V168" s="60">
        <v>60</v>
      </c>
      <c r="W168" s="60">
        <v>0</v>
      </c>
      <c r="X168" s="60">
        <v>0</v>
      </c>
      <c r="Y168" s="61">
        <v>0</v>
      </c>
      <c r="Z168" s="60">
        <v>0</v>
      </c>
      <c r="AA168" s="60">
        <v>-248000</v>
      </c>
      <c r="AB168" s="60">
        <v>-2</v>
      </c>
      <c r="AC168" s="60">
        <v>71346500</v>
      </c>
      <c r="AD168" s="62">
        <v>580</v>
      </c>
      <c r="AF168" s="47">
        <f t="shared" si="2"/>
        <v>71346500</v>
      </c>
    </row>
    <row r="169" spans="2:32" x14ac:dyDescent="0.3">
      <c r="B169" s="46" t="str">
        <f>IFERROR(VLOOKUP($H169,매장구분!$B:$Z,2,0),"")</f>
        <v>리테일채널팀</v>
      </c>
      <c r="C169" s="46" t="str">
        <f>IFERROR(VLOOKUP($H169,매장구분!$B:$Z,3,0),"")</f>
        <v>국내</v>
      </c>
      <c r="D169" s="46" t="str">
        <f>IFERROR(VLOOKUP($H169,매장구분!$B:$Z,5,0),"")</f>
        <v>대리점</v>
      </c>
      <c r="E169" s="46" t="str">
        <f>IFERROR(VLOOKUP($H169,매장구분!$B:$Z,9,0),"")</f>
        <v>익산(대-위)</v>
      </c>
      <c r="F169" s="53"/>
      <c r="G169" s="54" t="s">
        <v>490</v>
      </c>
      <c r="H169" s="55" t="s">
        <v>491</v>
      </c>
      <c r="I169" s="55" t="s">
        <v>169</v>
      </c>
      <c r="J169" s="55" t="s">
        <v>79</v>
      </c>
      <c r="K169" s="55" t="s">
        <v>170</v>
      </c>
      <c r="L169" s="55" t="s">
        <v>171</v>
      </c>
      <c r="M169" s="55" t="s">
        <v>196</v>
      </c>
      <c r="N169" s="55" t="s">
        <v>197</v>
      </c>
      <c r="O169" s="55">
        <v>62285296</v>
      </c>
      <c r="P169" s="55">
        <v>588</v>
      </c>
      <c r="Q169" s="55">
        <v>0</v>
      </c>
      <c r="R169" s="55">
        <v>0</v>
      </c>
      <c r="S169" s="55">
        <v>0</v>
      </c>
      <c r="T169" s="55">
        <v>0</v>
      </c>
      <c r="U169" s="55">
        <v>9654765</v>
      </c>
      <c r="V169" s="55">
        <v>52</v>
      </c>
      <c r="W169" s="55">
        <v>0</v>
      </c>
      <c r="X169" s="55">
        <v>0</v>
      </c>
      <c r="Y169" s="56">
        <v>44126000</v>
      </c>
      <c r="Z169" s="55">
        <v>374</v>
      </c>
      <c r="AA169" s="55">
        <v>0</v>
      </c>
      <c r="AB169" s="55">
        <v>0</v>
      </c>
      <c r="AC169" s="55">
        <v>116066061</v>
      </c>
      <c r="AD169" s="57">
        <v>1014</v>
      </c>
      <c r="AF169" s="47">
        <f t="shared" si="2"/>
        <v>71940061</v>
      </c>
    </row>
    <row r="170" spans="2:32" x14ac:dyDescent="0.3">
      <c r="B170" s="46" t="str">
        <f>IFERROR(VLOOKUP($H170,매장구분!$B:$Z,2,0),"")</f>
        <v>리테일채널팀</v>
      </c>
      <c r="C170" s="46" t="str">
        <f>IFERROR(VLOOKUP($H170,매장구분!$B:$Z,3,0),"")</f>
        <v>국내</v>
      </c>
      <c r="D170" s="46" t="str">
        <f>IFERROR(VLOOKUP($H170,매장구분!$B:$Z,5,0),"")</f>
        <v>대리점</v>
      </c>
      <c r="E170" s="46" t="str">
        <f>IFERROR(VLOOKUP($H170,매장구분!$B:$Z,9,0),"")</f>
        <v>거제(대-위)</v>
      </c>
      <c r="F170" s="58"/>
      <c r="G170" s="59" t="s">
        <v>502</v>
      </c>
      <c r="H170" s="60" t="s">
        <v>503</v>
      </c>
      <c r="I170" s="60" t="s">
        <v>169</v>
      </c>
      <c r="J170" s="60" t="s">
        <v>79</v>
      </c>
      <c r="K170" s="60" t="s">
        <v>170</v>
      </c>
      <c r="L170" s="60" t="s">
        <v>171</v>
      </c>
      <c r="M170" s="60" t="s">
        <v>196</v>
      </c>
      <c r="N170" s="60" t="s">
        <v>197</v>
      </c>
      <c r="O170" s="60">
        <v>57742249</v>
      </c>
      <c r="P170" s="60">
        <v>548</v>
      </c>
      <c r="Q170" s="60">
        <v>0</v>
      </c>
      <c r="R170" s="60">
        <v>0</v>
      </c>
      <c r="S170" s="60">
        <v>0</v>
      </c>
      <c r="T170" s="60">
        <v>0</v>
      </c>
      <c r="U170" s="60">
        <v>10299451</v>
      </c>
      <c r="V170" s="60">
        <v>59</v>
      </c>
      <c r="W170" s="60">
        <v>0</v>
      </c>
      <c r="X170" s="60">
        <v>0</v>
      </c>
      <c r="Y170" s="61">
        <v>0</v>
      </c>
      <c r="Z170" s="60">
        <v>0</v>
      </c>
      <c r="AA170" s="60">
        <v>0</v>
      </c>
      <c r="AB170" s="60">
        <v>0</v>
      </c>
      <c r="AC170" s="60">
        <v>68041700</v>
      </c>
      <c r="AD170" s="62">
        <v>607</v>
      </c>
      <c r="AF170" s="47">
        <f t="shared" si="2"/>
        <v>68041700</v>
      </c>
    </row>
    <row r="171" spans="2:32" x14ac:dyDescent="0.3">
      <c r="B171" s="46" t="str">
        <f>IFERROR(VLOOKUP($H171,매장구분!$B:$Z,2,0),"")</f>
        <v>리테일채널팀</v>
      </c>
      <c r="C171" s="46" t="str">
        <f>IFERROR(VLOOKUP($H171,매장구분!$B:$Z,3,0),"")</f>
        <v>국내</v>
      </c>
      <c r="D171" s="46" t="str">
        <f>IFERROR(VLOOKUP($H171,매장구분!$B:$Z,5,0),"")</f>
        <v>대리점</v>
      </c>
      <c r="E171" s="46" t="str">
        <f>IFERROR(VLOOKUP($H171,매장구분!$B:$Z,9,0),"")</f>
        <v>해남(대-위)</v>
      </c>
      <c r="F171" s="53"/>
      <c r="G171" s="54" t="s">
        <v>514</v>
      </c>
      <c r="H171" s="55" t="s">
        <v>515</v>
      </c>
      <c r="I171" s="55" t="s">
        <v>169</v>
      </c>
      <c r="J171" s="55" t="s">
        <v>79</v>
      </c>
      <c r="K171" s="55" t="s">
        <v>170</v>
      </c>
      <c r="L171" s="55" t="s">
        <v>171</v>
      </c>
      <c r="M171" s="55" t="s">
        <v>196</v>
      </c>
      <c r="N171" s="55" t="s">
        <v>197</v>
      </c>
      <c r="O171" s="55">
        <v>61803258</v>
      </c>
      <c r="P171" s="55">
        <v>578</v>
      </c>
      <c r="Q171" s="55">
        <v>0</v>
      </c>
      <c r="R171" s="55">
        <v>0</v>
      </c>
      <c r="S171" s="55">
        <v>0</v>
      </c>
      <c r="T171" s="55">
        <v>0</v>
      </c>
      <c r="U171" s="55">
        <v>16624151</v>
      </c>
      <c r="V171" s="55">
        <v>104</v>
      </c>
      <c r="W171" s="55">
        <v>0</v>
      </c>
      <c r="X171" s="55">
        <v>0</v>
      </c>
      <c r="Y171" s="56">
        <v>0</v>
      </c>
      <c r="Z171" s="55">
        <v>0</v>
      </c>
      <c r="AA171" s="55">
        <v>0</v>
      </c>
      <c r="AB171" s="55">
        <v>0</v>
      </c>
      <c r="AC171" s="55">
        <v>78427409</v>
      </c>
      <c r="AD171" s="57">
        <v>682</v>
      </c>
      <c r="AF171" s="47">
        <f t="shared" si="2"/>
        <v>78427409</v>
      </c>
    </row>
    <row r="172" spans="2:32" x14ac:dyDescent="0.3">
      <c r="B172" s="46" t="str">
        <f>IFERROR(VLOOKUP($H172,매장구분!$B:$Z,2,0),"")</f>
        <v>파트너채널팀</v>
      </c>
      <c r="C172" s="46" t="str">
        <f>IFERROR(VLOOKUP($H172,매장구분!$B:$Z,3,0),"")</f>
        <v>국내</v>
      </c>
      <c r="D172" s="46" t="str">
        <f>IFERROR(VLOOKUP($H172,매장구분!$B:$Z,5,0),"")</f>
        <v>백화점</v>
      </c>
      <c r="E172" s="46" t="str">
        <f>IFERROR(VLOOKUP($H172,매장구분!$B:$Z,9,0),"")</f>
        <v>아이파크용산</v>
      </c>
      <c r="F172" s="58"/>
      <c r="G172" s="59" t="s">
        <v>496</v>
      </c>
      <c r="H172" s="60" t="s">
        <v>497</v>
      </c>
      <c r="I172" s="60" t="s">
        <v>169</v>
      </c>
      <c r="J172" s="60" t="s">
        <v>175</v>
      </c>
      <c r="K172" s="60" t="s">
        <v>170</v>
      </c>
      <c r="L172" s="60" t="s">
        <v>171</v>
      </c>
      <c r="M172" s="60" t="s">
        <v>188</v>
      </c>
      <c r="N172" s="60" t="s">
        <v>317</v>
      </c>
      <c r="O172" s="60">
        <v>38891922</v>
      </c>
      <c r="P172" s="60">
        <v>369</v>
      </c>
      <c r="Q172" s="60">
        <v>0</v>
      </c>
      <c r="R172" s="60">
        <v>0</v>
      </c>
      <c r="S172" s="60">
        <v>0</v>
      </c>
      <c r="T172" s="60">
        <v>0</v>
      </c>
      <c r="U172" s="60">
        <v>1111050</v>
      </c>
      <c r="V172" s="60">
        <v>7</v>
      </c>
      <c r="W172" s="60">
        <v>0</v>
      </c>
      <c r="X172" s="60">
        <v>0</v>
      </c>
      <c r="Y172" s="61">
        <v>90311628</v>
      </c>
      <c r="Z172" s="60">
        <v>903</v>
      </c>
      <c r="AA172" s="60">
        <v>0</v>
      </c>
      <c r="AB172" s="60">
        <v>0</v>
      </c>
      <c r="AC172" s="60">
        <v>130314600</v>
      </c>
      <c r="AD172" s="62">
        <v>1279</v>
      </c>
      <c r="AF172" s="47">
        <f t="shared" si="2"/>
        <v>40002972</v>
      </c>
    </row>
    <row r="173" spans="2:32" x14ac:dyDescent="0.3">
      <c r="B173" s="46" t="str">
        <f>IFERROR(VLOOKUP($H173,매장구분!$B:$Z,2,0),"")</f>
        <v>E-biz</v>
      </c>
      <c r="C173" s="46" t="str">
        <f>IFERROR(VLOOKUP($H173,매장구분!$B:$Z,3,0),"")</f>
        <v>국내</v>
      </c>
      <c r="D173" s="46" t="str">
        <f>IFERROR(VLOOKUP($H173,매장구분!$B:$Z,5,0),"")</f>
        <v>온(제휴몰)</v>
      </c>
      <c r="E173" s="46" t="str">
        <f>IFERROR(VLOOKUP($H173,매장구분!$B:$Z,9,0),"")</f>
        <v>SSG닷컴(제휴몰)</v>
      </c>
      <c r="F173" s="53"/>
      <c r="G173" s="54" t="s">
        <v>498</v>
      </c>
      <c r="H173" s="55" t="s">
        <v>499</v>
      </c>
      <c r="I173" s="55" t="s">
        <v>169</v>
      </c>
      <c r="J173" s="55" t="s">
        <v>180</v>
      </c>
      <c r="K173" s="55" t="s">
        <v>170</v>
      </c>
      <c r="L173" s="55" t="s">
        <v>181</v>
      </c>
      <c r="M173" s="55" t="s">
        <v>181</v>
      </c>
      <c r="N173" s="55" t="s">
        <v>185</v>
      </c>
      <c r="O173" s="55">
        <v>82902300</v>
      </c>
      <c r="P173" s="55">
        <v>885</v>
      </c>
      <c r="Q173" s="55">
        <v>0</v>
      </c>
      <c r="R173" s="55">
        <v>0</v>
      </c>
      <c r="S173" s="55">
        <v>0</v>
      </c>
      <c r="T173" s="55">
        <v>0</v>
      </c>
      <c r="U173" s="55">
        <v>0</v>
      </c>
      <c r="V173" s="55">
        <v>0</v>
      </c>
      <c r="W173" s="55">
        <v>0</v>
      </c>
      <c r="X173" s="55">
        <v>0</v>
      </c>
      <c r="Y173" s="56">
        <v>0</v>
      </c>
      <c r="Z173" s="55">
        <v>0</v>
      </c>
      <c r="AA173" s="55">
        <v>0</v>
      </c>
      <c r="AB173" s="55">
        <v>0</v>
      </c>
      <c r="AC173" s="55">
        <v>82902300</v>
      </c>
      <c r="AD173" s="57">
        <v>885</v>
      </c>
      <c r="AF173" s="47">
        <f t="shared" si="2"/>
        <v>82902300</v>
      </c>
    </row>
    <row r="174" spans="2:32" x14ac:dyDescent="0.3">
      <c r="B174" s="46" t="str">
        <f>IFERROR(VLOOKUP($H174,매장구분!$B:$Z,2,0),"")</f>
        <v>파트너채널팀</v>
      </c>
      <c r="C174" s="46" t="str">
        <f>IFERROR(VLOOKUP($H174,매장구분!$B:$Z,3,0),"")</f>
        <v>국내</v>
      </c>
      <c r="D174" s="46" t="str">
        <f>IFERROR(VLOOKUP($H174,매장구분!$B:$Z,5,0),"")</f>
        <v>백화점</v>
      </c>
      <c r="E174" s="46" t="str">
        <f>IFERROR(VLOOKUP($H174,매장구분!$B:$Z,9,0),"")</f>
        <v>현대중동</v>
      </c>
      <c r="F174" s="58"/>
      <c r="G174" s="59" t="s">
        <v>494</v>
      </c>
      <c r="H174" s="60" t="s">
        <v>495</v>
      </c>
      <c r="I174" s="60" t="s">
        <v>169</v>
      </c>
      <c r="J174" s="60" t="s">
        <v>175</v>
      </c>
      <c r="K174" s="60" t="s">
        <v>170</v>
      </c>
      <c r="L174" s="60" t="s">
        <v>171</v>
      </c>
      <c r="M174" s="60" t="s">
        <v>77</v>
      </c>
      <c r="N174" s="60" t="s">
        <v>172</v>
      </c>
      <c r="O174" s="60">
        <v>122984300</v>
      </c>
      <c r="P174" s="60">
        <v>967</v>
      </c>
      <c r="Q174" s="60">
        <v>365000</v>
      </c>
      <c r="R174" s="60">
        <v>6</v>
      </c>
      <c r="S174" s="60">
        <v>0</v>
      </c>
      <c r="T174" s="60">
        <v>0</v>
      </c>
      <c r="U174" s="60">
        <v>7054900</v>
      </c>
      <c r="V174" s="60">
        <v>44</v>
      </c>
      <c r="W174" s="60">
        <v>0</v>
      </c>
      <c r="X174" s="60">
        <v>0</v>
      </c>
      <c r="Y174" s="61">
        <v>3596600</v>
      </c>
      <c r="Z174" s="60">
        <v>40</v>
      </c>
      <c r="AA174" s="60">
        <v>0</v>
      </c>
      <c r="AB174" s="60">
        <v>0</v>
      </c>
      <c r="AC174" s="60">
        <v>134000800</v>
      </c>
      <c r="AD174" s="62">
        <v>1057</v>
      </c>
      <c r="AF174" s="47">
        <f t="shared" si="2"/>
        <v>130404200</v>
      </c>
    </row>
    <row r="175" spans="2:32" x14ac:dyDescent="0.3">
      <c r="B175" s="46" t="str">
        <f>IFERROR(VLOOKUP($H175,매장구분!$B:$Z,2,0),"")</f>
        <v>파트너채널팀</v>
      </c>
      <c r="C175" s="46" t="str">
        <f>IFERROR(VLOOKUP($H175,매장구분!$B:$Z,3,0),"")</f>
        <v>국내</v>
      </c>
      <c r="D175" s="46" t="str">
        <f>IFERROR(VLOOKUP($H175,매장구분!$B:$Z,5,0),"")</f>
        <v>백화점</v>
      </c>
      <c r="E175" s="46" t="str">
        <f>IFERROR(VLOOKUP($H175,매장구분!$B:$Z,9,0),"")</f>
        <v>현대목동</v>
      </c>
      <c r="F175" s="53"/>
      <c r="G175" s="54" t="s">
        <v>604</v>
      </c>
      <c r="H175" s="55" t="s">
        <v>605</v>
      </c>
      <c r="I175" s="55" t="s">
        <v>169</v>
      </c>
      <c r="J175" s="55" t="s">
        <v>175</v>
      </c>
      <c r="K175" s="55" t="s">
        <v>170</v>
      </c>
      <c r="L175" s="55" t="s">
        <v>171</v>
      </c>
      <c r="M175" s="55" t="s">
        <v>77</v>
      </c>
      <c r="N175" s="55" t="s">
        <v>172</v>
      </c>
      <c r="O175" s="55">
        <v>74092010</v>
      </c>
      <c r="P175" s="55">
        <v>591</v>
      </c>
      <c r="Q175" s="55">
        <v>20355600</v>
      </c>
      <c r="R175" s="55">
        <v>480</v>
      </c>
      <c r="S175" s="55">
        <v>0</v>
      </c>
      <c r="T175" s="55">
        <v>0</v>
      </c>
      <c r="U175" s="55">
        <v>13362300</v>
      </c>
      <c r="V175" s="55">
        <v>66</v>
      </c>
      <c r="W175" s="55">
        <v>0</v>
      </c>
      <c r="X175" s="55">
        <v>0</v>
      </c>
      <c r="Y175" s="56">
        <v>123146000</v>
      </c>
      <c r="Z175" s="55">
        <v>778</v>
      </c>
      <c r="AA175" s="55">
        <v>-677000</v>
      </c>
      <c r="AB175" s="55">
        <v>-3</v>
      </c>
      <c r="AC175" s="55">
        <v>230278910</v>
      </c>
      <c r="AD175" s="57">
        <v>1912</v>
      </c>
      <c r="AF175" s="47">
        <f t="shared" si="2"/>
        <v>107132910</v>
      </c>
    </row>
    <row r="176" spans="2:32" x14ac:dyDescent="0.3">
      <c r="B176" s="46" t="str">
        <f>IFERROR(VLOOKUP($H176,매장구분!$B:$Z,2,0),"")</f>
        <v>파트너채널팀</v>
      </c>
      <c r="C176" s="46" t="str">
        <f>IFERROR(VLOOKUP($H176,매장구분!$B:$Z,3,0),"")</f>
        <v>국내</v>
      </c>
      <c r="D176" s="46" t="str">
        <f>IFERROR(VLOOKUP($H176,매장구분!$B:$Z,5,0),"")</f>
        <v>백화점</v>
      </c>
      <c r="E176" s="46" t="str">
        <f>IFERROR(VLOOKUP($H176,매장구분!$B:$Z,9,0),"")</f>
        <v>현대미아</v>
      </c>
      <c r="F176" s="58"/>
      <c r="G176" s="59" t="s">
        <v>512</v>
      </c>
      <c r="H176" s="60" t="s">
        <v>513</v>
      </c>
      <c r="I176" s="60" t="s">
        <v>169</v>
      </c>
      <c r="J176" s="60" t="s">
        <v>175</v>
      </c>
      <c r="K176" s="60" t="s">
        <v>170</v>
      </c>
      <c r="L176" s="60" t="s">
        <v>171</v>
      </c>
      <c r="M176" s="60" t="s">
        <v>77</v>
      </c>
      <c r="N176" s="60" t="s">
        <v>172</v>
      </c>
      <c r="O176" s="60">
        <v>18400900</v>
      </c>
      <c r="P176" s="60">
        <v>161</v>
      </c>
      <c r="Q176" s="60">
        <v>89000</v>
      </c>
      <c r="R176" s="60">
        <v>1</v>
      </c>
      <c r="S176" s="60">
        <v>0</v>
      </c>
      <c r="T176" s="60">
        <v>0</v>
      </c>
      <c r="U176" s="60">
        <v>4136700</v>
      </c>
      <c r="V176" s="60">
        <v>21</v>
      </c>
      <c r="W176" s="60">
        <v>0</v>
      </c>
      <c r="X176" s="60">
        <v>0</v>
      </c>
      <c r="Y176" s="61">
        <v>18298500</v>
      </c>
      <c r="Z176" s="60">
        <v>135</v>
      </c>
      <c r="AA176" s="60">
        <v>14239500</v>
      </c>
      <c r="AB176" s="60">
        <v>99</v>
      </c>
      <c r="AC176" s="60">
        <v>55164600</v>
      </c>
      <c r="AD176" s="62">
        <v>417</v>
      </c>
      <c r="AF176" s="47">
        <f t="shared" si="2"/>
        <v>36866100</v>
      </c>
    </row>
    <row r="177" spans="2:32" x14ac:dyDescent="0.3">
      <c r="B177" s="46" t="str">
        <f>IFERROR(VLOOKUP($H177,매장구분!$B:$Z,2,0),"")</f>
        <v>파트너채널팀</v>
      </c>
      <c r="C177" s="46" t="str">
        <f>IFERROR(VLOOKUP($H177,매장구분!$B:$Z,3,0),"")</f>
        <v>국내</v>
      </c>
      <c r="D177" s="46" t="str">
        <f>IFERROR(VLOOKUP($H177,매장구분!$B:$Z,5,0),"")</f>
        <v>백화점</v>
      </c>
      <c r="E177" s="46" t="str">
        <f>IFERROR(VLOOKUP($H177,매장구분!$B:$Z,9,0),"")</f>
        <v>신세계광주</v>
      </c>
      <c r="F177" s="53"/>
      <c r="G177" s="54" t="s">
        <v>504</v>
      </c>
      <c r="H177" s="55" t="s">
        <v>505</v>
      </c>
      <c r="I177" s="55" t="s">
        <v>169</v>
      </c>
      <c r="J177" s="55" t="s">
        <v>175</v>
      </c>
      <c r="K177" s="55" t="s">
        <v>170</v>
      </c>
      <c r="L177" s="55" t="s">
        <v>171</v>
      </c>
      <c r="M177" s="55" t="s">
        <v>77</v>
      </c>
      <c r="N177" s="55" t="s">
        <v>172</v>
      </c>
      <c r="O177" s="55">
        <v>79784218</v>
      </c>
      <c r="P177" s="55">
        <v>818</v>
      </c>
      <c r="Q177" s="55">
        <v>0</v>
      </c>
      <c r="R177" s="55">
        <v>0</v>
      </c>
      <c r="S177" s="55">
        <v>0</v>
      </c>
      <c r="T177" s="55">
        <v>0</v>
      </c>
      <c r="U177" s="55">
        <v>10060082</v>
      </c>
      <c r="V177" s="55">
        <v>56</v>
      </c>
      <c r="W177" s="55">
        <v>0</v>
      </c>
      <c r="X177" s="55">
        <v>0</v>
      </c>
      <c r="Y177" s="56">
        <v>0</v>
      </c>
      <c r="Z177" s="55">
        <v>0</v>
      </c>
      <c r="AA177" s="55">
        <v>0</v>
      </c>
      <c r="AB177" s="55">
        <v>0</v>
      </c>
      <c r="AC177" s="55">
        <v>89844300</v>
      </c>
      <c r="AD177" s="57">
        <v>874</v>
      </c>
      <c r="AF177" s="47">
        <f t="shared" si="2"/>
        <v>89844300</v>
      </c>
    </row>
    <row r="178" spans="2:32" x14ac:dyDescent="0.3">
      <c r="B178" s="46" t="str">
        <f>IFERROR(VLOOKUP($H178,매장구분!$B:$Z,2,0),"")</f>
        <v>리테일채널팀</v>
      </c>
      <c r="C178" s="46" t="str">
        <f>IFERROR(VLOOKUP($H178,매장구분!$B:$Z,3,0),"")</f>
        <v>국내</v>
      </c>
      <c r="D178" s="46" t="str">
        <f>IFERROR(VLOOKUP($H178,매장구분!$B:$Z,5,0),"")</f>
        <v>대리점</v>
      </c>
      <c r="E178" s="46" t="str">
        <f>IFERROR(VLOOKUP($H178,매장구분!$B:$Z,9,0),"")</f>
        <v>광주용봉(대-위)</v>
      </c>
      <c r="F178" s="58"/>
      <c r="G178" s="59" t="s">
        <v>606</v>
      </c>
      <c r="H178" s="60" t="s">
        <v>607</v>
      </c>
      <c r="I178" s="60" t="s">
        <v>169</v>
      </c>
      <c r="J178" s="60" t="s">
        <v>79</v>
      </c>
      <c r="K178" s="60" t="s">
        <v>170</v>
      </c>
      <c r="L178" s="60" t="s">
        <v>171</v>
      </c>
      <c r="M178" s="60" t="s">
        <v>196</v>
      </c>
      <c r="N178" s="60" t="s">
        <v>197</v>
      </c>
      <c r="O178" s="60">
        <v>16349169</v>
      </c>
      <c r="P178" s="60">
        <v>186</v>
      </c>
      <c r="Q178" s="60">
        <v>0</v>
      </c>
      <c r="R178" s="60">
        <v>0</v>
      </c>
      <c r="S178" s="60">
        <v>0</v>
      </c>
      <c r="T178" s="60">
        <v>0</v>
      </c>
      <c r="U178" s="60">
        <v>10439831</v>
      </c>
      <c r="V178" s="60">
        <v>66</v>
      </c>
      <c r="W178" s="60">
        <v>0</v>
      </c>
      <c r="X178" s="60">
        <v>0</v>
      </c>
      <c r="Y178" s="61">
        <v>0</v>
      </c>
      <c r="Z178" s="60">
        <v>0</v>
      </c>
      <c r="AA178" s="60">
        <v>0</v>
      </c>
      <c r="AB178" s="60">
        <v>0</v>
      </c>
      <c r="AC178" s="60">
        <v>26789000</v>
      </c>
      <c r="AD178" s="62">
        <v>252</v>
      </c>
      <c r="AF178" s="47">
        <f t="shared" si="2"/>
        <v>26789000</v>
      </c>
    </row>
    <row r="179" spans="2:32" x14ac:dyDescent="0.3">
      <c r="B179" s="46" t="str">
        <f>IFERROR(VLOOKUP($H179,매장구분!$B:$Z,2,0),"")</f>
        <v>리테일채널팀</v>
      </c>
      <c r="C179" s="46" t="str">
        <f>IFERROR(VLOOKUP($H179,매장구분!$B:$Z,3,0),"")</f>
        <v>국내</v>
      </c>
      <c r="D179" s="46" t="str">
        <f>IFERROR(VLOOKUP($H179,매장구분!$B:$Z,5,0),"")</f>
        <v>대리점</v>
      </c>
      <c r="E179" s="46" t="str">
        <f>IFERROR(VLOOKUP($H179,매장구분!$B:$Z,9,0),"")</f>
        <v>대구성서(대-위)</v>
      </c>
      <c r="F179" s="53"/>
      <c r="G179" s="54" t="s">
        <v>492</v>
      </c>
      <c r="H179" s="55" t="s">
        <v>493</v>
      </c>
      <c r="I179" s="55" t="s">
        <v>169</v>
      </c>
      <c r="J179" s="55" t="s">
        <v>79</v>
      </c>
      <c r="K179" s="55" t="s">
        <v>170</v>
      </c>
      <c r="L179" s="55" t="s">
        <v>171</v>
      </c>
      <c r="M179" s="55" t="s">
        <v>196</v>
      </c>
      <c r="N179" s="55" t="s">
        <v>197</v>
      </c>
      <c r="O179" s="55">
        <v>81816501</v>
      </c>
      <c r="P179" s="55">
        <v>623</v>
      </c>
      <c r="Q179" s="55">
        <v>0</v>
      </c>
      <c r="R179" s="55">
        <v>0</v>
      </c>
      <c r="S179" s="55">
        <v>0</v>
      </c>
      <c r="T179" s="55">
        <v>0</v>
      </c>
      <c r="U179" s="55">
        <v>7655792</v>
      </c>
      <c r="V179" s="55">
        <v>37</v>
      </c>
      <c r="W179" s="55">
        <v>0</v>
      </c>
      <c r="X179" s="55">
        <v>0</v>
      </c>
      <c r="Y179" s="56">
        <v>0</v>
      </c>
      <c r="Z179" s="55">
        <v>0</v>
      </c>
      <c r="AA179" s="55">
        <v>0</v>
      </c>
      <c r="AB179" s="55">
        <v>0</v>
      </c>
      <c r="AC179" s="55">
        <v>89472293</v>
      </c>
      <c r="AD179" s="57">
        <v>660</v>
      </c>
      <c r="AF179" s="47">
        <f t="shared" si="2"/>
        <v>89472293</v>
      </c>
    </row>
    <row r="180" spans="2:32" x14ac:dyDescent="0.3">
      <c r="B180" s="46" t="str">
        <f>IFERROR(VLOOKUP($H180,매장구분!$B:$Z,2,0),"")</f>
        <v>E-biz</v>
      </c>
      <c r="C180" s="46" t="str">
        <f>IFERROR(VLOOKUP($H180,매장구분!$B:$Z,3,0),"")</f>
        <v>국내</v>
      </c>
      <c r="D180" s="46" t="str">
        <f>IFERROR(VLOOKUP($H180,매장구분!$B:$Z,5,0),"")</f>
        <v>온(제휴몰)</v>
      </c>
      <c r="E180" s="46" t="str">
        <f>IFERROR(VLOOKUP($H180,매장구분!$B:$Z,9,0),"")</f>
        <v>29CM(제휴몰)</v>
      </c>
      <c r="F180" s="58"/>
      <c r="G180" s="59" t="s">
        <v>518</v>
      </c>
      <c r="H180" s="60" t="s">
        <v>519</v>
      </c>
      <c r="I180" s="60" t="s">
        <v>169</v>
      </c>
      <c r="J180" s="60" t="s">
        <v>180</v>
      </c>
      <c r="K180" s="60" t="s">
        <v>170</v>
      </c>
      <c r="L180" s="60" t="s">
        <v>181</v>
      </c>
      <c r="M180" s="60" t="s">
        <v>181</v>
      </c>
      <c r="N180" s="60" t="s">
        <v>185</v>
      </c>
      <c r="O180" s="60">
        <v>82964200</v>
      </c>
      <c r="P180" s="60">
        <v>1434</v>
      </c>
      <c r="Q180" s="60">
        <v>0</v>
      </c>
      <c r="R180" s="60">
        <v>0</v>
      </c>
      <c r="S180" s="60">
        <v>0</v>
      </c>
      <c r="T180" s="60">
        <v>0</v>
      </c>
      <c r="U180" s="60">
        <v>0</v>
      </c>
      <c r="V180" s="60">
        <v>0</v>
      </c>
      <c r="W180" s="60">
        <v>0</v>
      </c>
      <c r="X180" s="60">
        <v>0</v>
      </c>
      <c r="Y180" s="61">
        <v>0</v>
      </c>
      <c r="Z180" s="60">
        <v>0</v>
      </c>
      <c r="AA180" s="60">
        <v>0</v>
      </c>
      <c r="AB180" s="60">
        <v>0</v>
      </c>
      <c r="AC180" s="60">
        <v>82964200</v>
      </c>
      <c r="AD180" s="62">
        <v>1434</v>
      </c>
      <c r="AF180" s="47">
        <f t="shared" si="2"/>
        <v>82964200</v>
      </c>
    </row>
    <row r="181" spans="2:32" x14ac:dyDescent="0.3">
      <c r="B181" s="46" t="str">
        <f>IFERROR(VLOOKUP($H181,매장구분!$B:$Z,2,0),"")</f>
        <v>파트너채널팀</v>
      </c>
      <c r="C181" s="46" t="str">
        <f>IFERROR(VLOOKUP($H181,매장구분!$B:$Z,3,0),"")</f>
        <v>국내</v>
      </c>
      <c r="D181" s="46" t="str">
        <f>IFERROR(VLOOKUP($H181,매장구분!$B:$Z,5,0),"")</f>
        <v>백화점</v>
      </c>
      <c r="E181" s="46" t="str">
        <f>IFERROR(VLOOKUP($H181,매장구분!$B:$Z,9,0),"")</f>
        <v>갤러리아진주</v>
      </c>
      <c r="F181" s="53"/>
      <c r="G181" s="54" t="s">
        <v>516</v>
      </c>
      <c r="H181" s="55" t="s">
        <v>517</v>
      </c>
      <c r="I181" s="55" t="s">
        <v>169</v>
      </c>
      <c r="J181" s="55" t="s">
        <v>175</v>
      </c>
      <c r="K181" s="55" t="s">
        <v>170</v>
      </c>
      <c r="L181" s="55" t="s">
        <v>171</v>
      </c>
      <c r="M181" s="55" t="s">
        <v>77</v>
      </c>
      <c r="N181" s="55" t="s">
        <v>172</v>
      </c>
      <c r="O181" s="55">
        <v>41900290</v>
      </c>
      <c r="P181" s="55">
        <v>369</v>
      </c>
      <c r="Q181" s="55">
        <v>4785300</v>
      </c>
      <c r="R181" s="55">
        <v>54</v>
      </c>
      <c r="S181" s="55">
        <v>0</v>
      </c>
      <c r="T181" s="55">
        <v>0</v>
      </c>
      <c r="U181" s="55">
        <v>8326610</v>
      </c>
      <c r="V181" s="55">
        <v>56</v>
      </c>
      <c r="W181" s="55">
        <v>0</v>
      </c>
      <c r="X181" s="55">
        <v>0</v>
      </c>
      <c r="Y181" s="56">
        <v>4578000</v>
      </c>
      <c r="Z181" s="55">
        <v>42</v>
      </c>
      <c r="AA181" s="55">
        <v>0</v>
      </c>
      <c r="AB181" s="55">
        <v>0</v>
      </c>
      <c r="AC181" s="55">
        <v>59590200</v>
      </c>
      <c r="AD181" s="57">
        <v>521</v>
      </c>
      <c r="AF181" s="47">
        <f t="shared" si="2"/>
        <v>55012200</v>
      </c>
    </row>
    <row r="182" spans="2:32" x14ac:dyDescent="0.3">
      <c r="B182" s="46" t="str">
        <f>IFERROR(VLOOKUP($H182,매장구분!$B:$Z,2,0),"")</f>
        <v>리테일채널팀</v>
      </c>
      <c r="C182" s="46" t="str">
        <f>IFERROR(VLOOKUP($H182,매장구분!$B:$Z,3,0),"")</f>
        <v>국내</v>
      </c>
      <c r="D182" s="46" t="str">
        <f>IFERROR(VLOOKUP($H182,매장구분!$B:$Z,5,0),"")</f>
        <v>대리점</v>
      </c>
      <c r="E182" s="46" t="str">
        <f>IFERROR(VLOOKUP($H182,매장구분!$B:$Z,9,0),"")</f>
        <v>속초(대-위)</v>
      </c>
      <c r="F182" s="58"/>
      <c r="G182" s="59" t="s">
        <v>488</v>
      </c>
      <c r="H182" s="60" t="s">
        <v>489</v>
      </c>
      <c r="I182" s="60" t="s">
        <v>169</v>
      </c>
      <c r="J182" s="60" t="s">
        <v>79</v>
      </c>
      <c r="K182" s="60" t="s">
        <v>170</v>
      </c>
      <c r="L182" s="60" t="s">
        <v>171</v>
      </c>
      <c r="M182" s="60" t="s">
        <v>196</v>
      </c>
      <c r="N182" s="60" t="s">
        <v>197</v>
      </c>
      <c r="O182" s="60">
        <v>64343720</v>
      </c>
      <c r="P182" s="60">
        <v>612</v>
      </c>
      <c r="Q182" s="60">
        <v>0</v>
      </c>
      <c r="R182" s="60">
        <v>0</v>
      </c>
      <c r="S182" s="60">
        <v>0</v>
      </c>
      <c r="T182" s="60">
        <v>0</v>
      </c>
      <c r="U182" s="60">
        <v>10205149</v>
      </c>
      <c r="V182" s="60">
        <v>59</v>
      </c>
      <c r="W182" s="60">
        <v>0</v>
      </c>
      <c r="X182" s="60">
        <v>0</v>
      </c>
      <c r="Y182" s="61">
        <v>0</v>
      </c>
      <c r="Z182" s="60">
        <v>0</v>
      </c>
      <c r="AA182" s="60">
        <v>0</v>
      </c>
      <c r="AB182" s="60">
        <v>0</v>
      </c>
      <c r="AC182" s="60">
        <v>74548869</v>
      </c>
      <c r="AD182" s="62">
        <v>671</v>
      </c>
      <c r="AF182" s="47">
        <f t="shared" si="2"/>
        <v>74548869</v>
      </c>
    </row>
    <row r="183" spans="2:32" x14ac:dyDescent="0.3">
      <c r="B183" s="46" t="str">
        <f>IFERROR(VLOOKUP($H183,매장구분!$B:$Z,2,0),"")</f>
        <v>리테일채널팀</v>
      </c>
      <c r="C183" s="46" t="str">
        <f>IFERROR(VLOOKUP($H183,매장구분!$B:$Z,3,0),"")</f>
        <v>국내</v>
      </c>
      <c r="D183" s="46" t="str">
        <f>IFERROR(VLOOKUP($H183,매장구분!$B:$Z,5,0),"")</f>
        <v>상설(위탁)</v>
      </c>
      <c r="E183" s="46" t="str">
        <f>IFERROR(VLOOKUP($H183,매장구분!$B:$Z,9,0),"")</f>
        <v>롯데아울렛진주(상-위)</v>
      </c>
      <c r="F183" s="53"/>
      <c r="G183" s="54" t="s">
        <v>528</v>
      </c>
      <c r="H183" s="55" t="s">
        <v>529</v>
      </c>
      <c r="I183" s="55" t="s">
        <v>169</v>
      </c>
      <c r="J183" s="55" t="s">
        <v>79</v>
      </c>
      <c r="K183" s="55" t="s">
        <v>170</v>
      </c>
      <c r="L183" s="55" t="s">
        <v>171</v>
      </c>
      <c r="M183" s="55" t="s">
        <v>219</v>
      </c>
      <c r="N183" s="55" t="s">
        <v>219</v>
      </c>
      <c r="O183" s="55">
        <v>5544000</v>
      </c>
      <c r="P183" s="55">
        <v>154</v>
      </c>
      <c r="Q183" s="55">
        <v>0</v>
      </c>
      <c r="R183" s="55">
        <v>0</v>
      </c>
      <c r="S183" s="55">
        <v>0</v>
      </c>
      <c r="T183" s="55">
        <v>0</v>
      </c>
      <c r="U183" s="55">
        <v>0</v>
      </c>
      <c r="V183" s="55">
        <v>0</v>
      </c>
      <c r="W183" s="55">
        <v>0</v>
      </c>
      <c r="X183" s="55">
        <v>0</v>
      </c>
      <c r="Y183" s="56">
        <v>0</v>
      </c>
      <c r="Z183" s="55">
        <v>0</v>
      </c>
      <c r="AA183" s="55">
        <v>0</v>
      </c>
      <c r="AB183" s="55">
        <v>0</v>
      </c>
      <c r="AC183" s="55">
        <v>5544000</v>
      </c>
      <c r="AD183" s="57">
        <v>154</v>
      </c>
      <c r="AF183" s="47">
        <f t="shared" si="2"/>
        <v>5544000</v>
      </c>
    </row>
    <row r="184" spans="2:32" x14ac:dyDescent="0.3">
      <c r="B184" s="46" t="str">
        <f>IFERROR(VLOOKUP($H184,매장구분!$B:$Z,2,0),"")</f>
        <v>리테일채널팀</v>
      </c>
      <c r="C184" s="46" t="str">
        <f>IFERROR(VLOOKUP($H184,매장구분!$B:$Z,3,0),"")</f>
        <v>국내</v>
      </c>
      <c r="D184" s="46" t="str">
        <f>IFERROR(VLOOKUP($H184,매장구분!$B:$Z,5,0),"")</f>
        <v>상설(위탁)</v>
      </c>
      <c r="E184" s="46" t="str">
        <f>IFERROR(VLOOKUP($H184,매장구분!$B:$Z,9,0),"")</f>
        <v>현대아울렛대전(상-위)</v>
      </c>
      <c r="F184" s="58"/>
      <c r="G184" s="59" t="s">
        <v>608</v>
      </c>
      <c r="H184" s="60" t="s">
        <v>609</v>
      </c>
      <c r="I184" s="60" t="s">
        <v>169</v>
      </c>
      <c r="J184" s="60" t="s">
        <v>79</v>
      </c>
      <c r="K184" s="60" t="s">
        <v>170</v>
      </c>
      <c r="L184" s="60" t="s">
        <v>171</v>
      </c>
      <c r="M184" s="60" t="s">
        <v>219</v>
      </c>
      <c r="N184" s="60" t="s">
        <v>219</v>
      </c>
      <c r="O184" s="60">
        <v>5292000</v>
      </c>
      <c r="P184" s="60">
        <v>147</v>
      </c>
      <c r="Q184" s="60">
        <v>0</v>
      </c>
      <c r="R184" s="60">
        <v>0</v>
      </c>
      <c r="S184" s="60">
        <v>0</v>
      </c>
      <c r="T184" s="60">
        <v>0</v>
      </c>
      <c r="U184" s="60">
        <v>0</v>
      </c>
      <c r="V184" s="60">
        <v>0</v>
      </c>
      <c r="W184" s="60">
        <v>0</v>
      </c>
      <c r="X184" s="60">
        <v>0</v>
      </c>
      <c r="Y184" s="61">
        <v>0</v>
      </c>
      <c r="Z184" s="60">
        <v>0</v>
      </c>
      <c r="AA184" s="60">
        <v>0</v>
      </c>
      <c r="AB184" s="60">
        <v>0</v>
      </c>
      <c r="AC184" s="60">
        <v>5292000</v>
      </c>
      <c r="AD184" s="62">
        <v>147</v>
      </c>
      <c r="AF184" s="47">
        <f t="shared" si="2"/>
        <v>5292000</v>
      </c>
    </row>
    <row r="185" spans="2:32" x14ac:dyDescent="0.3">
      <c r="B185" s="46" t="str">
        <f>IFERROR(VLOOKUP($H185,매장구분!$B:$Z,2,0),"")</f>
        <v>리테일채널팀</v>
      </c>
      <c r="C185" s="46" t="str">
        <f>IFERROR(VLOOKUP($H185,매장구분!$B:$Z,3,0),"")</f>
        <v>국내</v>
      </c>
      <c r="D185" s="46" t="str">
        <f>IFERROR(VLOOKUP($H185,매장구분!$B:$Z,5,0),"")</f>
        <v>상설(위탁)</v>
      </c>
      <c r="E185" s="46" t="str">
        <f>IFERROR(VLOOKUP($H185,매장구분!$B:$Z,9,0),"")</f>
        <v>현대아울렛동대문(상-위)</v>
      </c>
      <c r="F185" s="53"/>
      <c r="G185" s="54" t="s">
        <v>526</v>
      </c>
      <c r="H185" s="55" t="s">
        <v>527</v>
      </c>
      <c r="I185" s="55" t="s">
        <v>169</v>
      </c>
      <c r="J185" s="55" t="s">
        <v>79</v>
      </c>
      <c r="K185" s="55" t="s">
        <v>170</v>
      </c>
      <c r="L185" s="55" t="s">
        <v>171</v>
      </c>
      <c r="M185" s="55" t="s">
        <v>219</v>
      </c>
      <c r="N185" s="55" t="s">
        <v>219</v>
      </c>
      <c r="O185" s="55">
        <v>5796000</v>
      </c>
      <c r="P185" s="55">
        <v>161</v>
      </c>
      <c r="Q185" s="55">
        <v>0</v>
      </c>
      <c r="R185" s="55">
        <v>0</v>
      </c>
      <c r="S185" s="55">
        <v>0</v>
      </c>
      <c r="T185" s="55">
        <v>0</v>
      </c>
      <c r="U185" s="55">
        <v>0</v>
      </c>
      <c r="V185" s="55">
        <v>0</v>
      </c>
      <c r="W185" s="55">
        <v>0</v>
      </c>
      <c r="X185" s="55">
        <v>0</v>
      </c>
      <c r="Y185" s="56">
        <v>0</v>
      </c>
      <c r="Z185" s="55">
        <v>0</v>
      </c>
      <c r="AA185" s="55">
        <v>0</v>
      </c>
      <c r="AB185" s="55">
        <v>0</v>
      </c>
      <c r="AC185" s="55">
        <v>5796000</v>
      </c>
      <c r="AD185" s="57">
        <v>161</v>
      </c>
      <c r="AF185" s="47">
        <f t="shared" si="2"/>
        <v>5796000</v>
      </c>
    </row>
    <row r="186" spans="2:32" x14ac:dyDescent="0.3">
      <c r="B186" s="46" t="str">
        <f>IFERROR(VLOOKUP($H186,매장구분!$B:$Z,2,0),"")</f>
        <v>리테일채널팀</v>
      </c>
      <c r="C186" s="46" t="str">
        <f>IFERROR(VLOOKUP($H186,매장구분!$B:$Z,3,0),"")</f>
        <v>국내</v>
      </c>
      <c r="D186" s="46" t="str">
        <f>IFERROR(VLOOKUP($H186,매장구분!$B:$Z,5,0),"")</f>
        <v>상설(위탁)</v>
      </c>
      <c r="E186" s="46" t="str">
        <f>IFERROR(VLOOKUP($H186,매장구분!$B:$Z,9,0),"")</f>
        <v>신세계아울렛시흥(상-위)</v>
      </c>
      <c r="F186" s="58"/>
      <c r="G186" s="59" t="s">
        <v>524</v>
      </c>
      <c r="H186" s="60" t="s">
        <v>525</v>
      </c>
      <c r="I186" s="60" t="s">
        <v>169</v>
      </c>
      <c r="J186" s="60" t="s">
        <v>79</v>
      </c>
      <c r="K186" s="60" t="s">
        <v>170</v>
      </c>
      <c r="L186" s="60" t="s">
        <v>171</v>
      </c>
      <c r="M186" s="60" t="s">
        <v>219</v>
      </c>
      <c r="N186" s="60" t="s">
        <v>219</v>
      </c>
      <c r="O186" s="60">
        <v>15120000</v>
      </c>
      <c r="P186" s="60">
        <v>420</v>
      </c>
      <c r="Q186" s="60">
        <v>0</v>
      </c>
      <c r="R186" s="60">
        <v>0</v>
      </c>
      <c r="S186" s="60">
        <v>0</v>
      </c>
      <c r="T186" s="60">
        <v>0</v>
      </c>
      <c r="U186" s="60">
        <v>0</v>
      </c>
      <c r="V186" s="60">
        <v>0</v>
      </c>
      <c r="W186" s="60">
        <v>0</v>
      </c>
      <c r="X186" s="60">
        <v>0</v>
      </c>
      <c r="Y186" s="61">
        <v>0</v>
      </c>
      <c r="Z186" s="60">
        <v>0</v>
      </c>
      <c r="AA186" s="60">
        <v>0</v>
      </c>
      <c r="AB186" s="60">
        <v>0</v>
      </c>
      <c r="AC186" s="60">
        <v>15120000</v>
      </c>
      <c r="AD186" s="62">
        <v>420</v>
      </c>
      <c r="AF186" s="47">
        <f t="shared" si="2"/>
        <v>15120000</v>
      </c>
    </row>
    <row r="187" spans="2:32" x14ac:dyDescent="0.3">
      <c r="B187" s="46" t="str">
        <f>IFERROR(VLOOKUP($H187,매장구분!$B:$Z,2,0),"")</f>
        <v>리테일채널팀</v>
      </c>
      <c r="C187" s="46" t="str">
        <f>IFERROR(VLOOKUP($H187,매장구분!$B:$Z,3,0),"")</f>
        <v>국내</v>
      </c>
      <c r="D187" s="46" t="str">
        <f>IFERROR(VLOOKUP($H187,매장구분!$B:$Z,5,0),"")</f>
        <v>상설(위탁)</v>
      </c>
      <c r="E187" s="46" t="str">
        <f>IFERROR(VLOOKUP($H187,매장구분!$B:$Z,9,0),"")</f>
        <v>롯데아울렛율하(상-위)</v>
      </c>
      <c r="F187" s="53"/>
      <c r="G187" s="54" t="s">
        <v>610</v>
      </c>
      <c r="H187" s="55" t="s">
        <v>611</v>
      </c>
      <c r="I187" s="55" t="s">
        <v>169</v>
      </c>
      <c r="J187" s="55" t="s">
        <v>79</v>
      </c>
      <c r="K187" s="55" t="s">
        <v>170</v>
      </c>
      <c r="L187" s="55" t="s">
        <v>171</v>
      </c>
      <c r="M187" s="55" t="s">
        <v>219</v>
      </c>
      <c r="N187" s="55" t="s">
        <v>219</v>
      </c>
      <c r="O187" s="55">
        <v>3456000</v>
      </c>
      <c r="P187" s="55">
        <v>96</v>
      </c>
      <c r="Q187" s="55">
        <v>0</v>
      </c>
      <c r="R187" s="55">
        <v>0</v>
      </c>
      <c r="S187" s="55">
        <v>0</v>
      </c>
      <c r="T187" s="55">
        <v>0</v>
      </c>
      <c r="U187" s="55">
        <v>0</v>
      </c>
      <c r="V187" s="55">
        <v>0</v>
      </c>
      <c r="W187" s="55">
        <v>0</v>
      </c>
      <c r="X187" s="55">
        <v>0</v>
      </c>
      <c r="Y187" s="56">
        <v>0</v>
      </c>
      <c r="Z187" s="55">
        <v>0</v>
      </c>
      <c r="AA187" s="55">
        <v>0</v>
      </c>
      <c r="AB187" s="55">
        <v>0</v>
      </c>
      <c r="AC187" s="55">
        <v>3456000</v>
      </c>
      <c r="AD187" s="57">
        <v>96</v>
      </c>
      <c r="AF187" s="47">
        <f t="shared" si="2"/>
        <v>3456000</v>
      </c>
    </row>
    <row r="188" spans="2:32" x14ac:dyDescent="0.3">
      <c r="B188" s="46" t="str">
        <f>IFERROR(VLOOKUP($H188,매장구분!$B:$Z,2,0),"")</f>
        <v>리테일채널팀</v>
      </c>
      <c r="C188" s="46" t="str">
        <f>IFERROR(VLOOKUP($H188,매장구분!$B:$Z,3,0),"")</f>
        <v>국내</v>
      </c>
      <c r="D188" s="46" t="str">
        <f>IFERROR(VLOOKUP($H188,매장구분!$B:$Z,5,0),"")</f>
        <v>대리점</v>
      </c>
      <c r="E188" s="46" t="str">
        <f>IFERROR(VLOOKUP($H188,매장구분!$B:$Z,9,0),"")</f>
        <v>부천(대-위)</v>
      </c>
      <c r="F188" s="58"/>
      <c r="G188" s="59" t="s">
        <v>530</v>
      </c>
      <c r="H188" s="60" t="s">
        <v>531</v>
      </c>
      <c r="I188" s="60" t="s">
        <v>169</v>
      </c>
      <c r="J188" s="60" t="s">
        <v>79</v>
      </c>
      <c r="K188" s="60" t="s">
        <v>170</v>
      </c>
      <c r="L188" s="60" t="s">
        <v>171</v>
      </c>
      <c r="M188" s="60" t="s">
        <v>196</v>
      </c>
      <c r="N188" s="60" t="s">
        <v>197</v>
      </c>
      <c r="O188" s="60">
        <v>61675300</v>
      </c>
      <c r="P188" s="60">
        <v>509</v>
      </c>
      <c r="Q188" s="60">
        <v>0</v>
      </c>
      <c r="R188" s="60">
        <v>0</v>
      </c>
      <c r="S188" s="60">
        <v>0</v>
      </c>
      <c r="T188" s="60">
        <v>0</v>
      </c>
      <c r="U188" s="60">
        <v>30314000</v>
      </c>
      <c r="V188" s="60">
        <v>66</v>
      </c>
      <c r="W188" s="60">
        <v>0</v>
      </c>
      <c r="X188" s="60">
        <v>0</v>
      </c>
      <c r="Y188" s="61">
        <v>21030000</v>
      </c>
      <c r="Z188" s="60">
        <v>174</v>
      </c>
      <c r="AA188" s="60">
        <v>0</v>
      </c>
      <c r="AB188" s="60">
        <v>0</v>
      </c>
      <c r="AC188" s="60">
        <v>113019300</v>
      </c>
      <c r="AD188" s="62">
        <v>749</v>
      </c>
      <c r="AF188" s="47">
        <f t="shared" si="2"/>
        <v>91989300</v>
      </c>
    </row>
    <row r="189" spans="2:32" x14ac:dyDescent="0.3">
      <c r="B189" s="46" t="str">
        <f>IFERROR(VLOOKUP($H189,매장구분!$B:$Z,2,0),"")</f>
        <v>리테일채널팀</v>
      </c>
      <c r="C189" s="46" t="str">
        <f>IFERROR(VLOOKUP($H189,매장구분!$B:$Z,3,0),"")</f>
        <v>RF</v>
      </c>
      <c r="D189" s="46" t="str">
        <f>IFERROR(VLOOKUP($H189,매장구분!$B:$Z,5,0),"")</f>
        <v>직영점</v>
      </c>
      <c r="E189" s="46" t="str">
        <f>IFERROR(VLOOKUP($H189,매장구분!$B:$Z,9,0),"")</f>
        <v>명동중앙(직)</v>
      </c>
      <c r="F189" s="53"/>
      <c r="G189" s="54" t="s">
        <v>538</v>
      </c>
      <c r="H189" s="55" t="s">
        <v>539</v>
      </c>
      <c r="I189" s="55" t="s">
        <v>169</v>
      </c>
      <c r="J189" s="55" t="s">
        <v>180</v>
      </c>
      <c r="K189" s="55" t="s">
        <v>170</v>
      </c>
      <c r="L189" s="55" t="s">
        <v>171</v>
      </c>
      <c r="M189" s="55" t="s">
        <v>196</v>
      </c>
      <c r="N189" s="55" t="s">
        <v>206</v>
      </c>
      <c r="O189" s="55">
        <v>959639100</v>
      </c>
      <c r="P189" s="55">
        <v>12916</v>
      </c>
      <c r="Q189" s="55">
        <v>0</v>
      </c>
      <c r="R189" s="55">
        <v>0</v>
      </c>
      <c r="S189" s="55">
        <v>0</v>
      </c>
      <c r="T189" s="55">
        <v>0</v>
      </c>
      <c r="U189" s="55">
        <v>4919300</v>
      </c>
      <c r="V189" s="55">
        <v>12</v>
      </c>
      <c r="W189" s="55">
        <v>0</v>
      </c>
      <c r="X189" s="55">
        <v>0</v>
      </c>
      <c r="Y189" s="56">
        <v>0</v>
      </c>
      <c r="Z189" s="55">
        <v>0</v>
      </c>
      <c r="AA189" s="55">
        <v>0</v>
      </c>
      <c r="AB189" s="55">
        <v>0</v>
      </c>
      <c r="AC189" s="55">
        <v>964558400</v>
      </c>
      <c r="AD189" s="57">
        <v>12928</v>
      </c>
      <c r="AF189" s="47">
        <f t="shared" si="2"/>
        <v>964558400</v>
      </c>
    </row>
    <row r="190" spans="2:32" x14ac:dyDescent="0.3">
      <c r="B190" s="46" t="str">
        <f>IFERROR(VLOOKUP($H190,매장구분!$B:$Z,2,0),"")</f>
        <v>리테일채널팀</v>
      </c>
      <c r="C190" s="46" t="str">
        <f>IFERROR(VLOOKUP($H190,매장구분!$B:$Z,3,0),"")</f>
        <v>국내</v>
      </c>
      <c r="D190" s="46" t="str">
        <f>IFERROR(VLOOKUP($H190,매장구분!$B:$Z,5,0),"")</f>
        <v>대리점</v>
      </c>
      <c r="E190" s="46" t="str">
        <f>IFERROR(VLOOKUP($H190,매장구분!$B:$Z,9,0),"")</f>
        <v>구미인동(대-위)</v>
      </c>
      <c r="F190" s="58"/>
      <c r="G190" s="59" t="s">
        <v>558</v>
      </c>
      <c r="H190" s="60" t="s">
        <v>559</v>
      </c>
      <c r="I190" s="60" t="s">
        <v>169</v>
      </c>
      <c r="J190" s="60" t="s">
        <v>79</v>
      </c>
      <c r="K190" s="60" t="s">
        <v>170</v>
      </c>
      <c r="L190" s="60" t="s">
        <v>171</v>
      </c>
      <c r="M190" s="60" t="s">
        <v>196</v>
      </c>
      <c r="N190" s="60" t="s">
        <v>197</v>
      </c>
      <c r="O190" s="60">
        <v>32759596</v>
      </c>
      <c r="P190" s="60">
        <v>321</v>
      </c>
      <c r="Q190" s="60">
        <v>0</v>
      </c>
      <c r="R190" s="60">
        <v>0</v>
      </c>
      <c r="S190" s="60">
        <v>0</v>
      </c>
      <c r="T190" s="60">
        <v>0</v>
      </c>
      <c r="U190" s="60">
        <v>4297138</v>
      </c>
      <c r="V190" s="60">
        <v>23</v>
      </c>
      <c r="W190" s="60">
        <v>0</v>
      </c>
      <c r="X190" s="60">
        <v>0</v>
      </c>
      <c r="Y190" s="61">
        <v>0</v>
      </c>
      <c r="Z190" s="60">
        <v>0</v>
      </c>
      <c r="AA190" s="60">
        <v>0</v>
      </c>
      <c r="AB190" s="60">
        <v>0</v>
      </c>
      <c r="AC190" s="60">
        <v>37056734</v>
      </c>
      <c r="AD190" s="62">
        <v>344</v>
      </c>
      <c r="AF190" s="47">
        <f t="shared" si="2"/>
        <v>37056734</v>
      </c>
    </row>
    <row r="191" spans="2:32" x14ac:dyDescent="0.3">
      <c r="B191" s="46" t="str">
        <f>IFERROR(VLOOKUP($H191,매장구분!$B:$Z,2,0),"")</f>
        <v>리테일채널팀</v>
      </c>
      <c r="C191" s="46" t="str">
        <f>IFERROR(VLOOKUP($H191,매장구분!$B:$Z,3,0),"")</f>
        <v>국내</v>
      </c>
      <c r="D191" s="46" t="str">
        <f>IFERROR(VLOOKUP($H191,매장구분!$B:$Z,5,0),"")</f>
        <v>대리점</v>
      </c>
      <c r="E191" s="46" t="str">
        <f>IFERROR(VLOOKUP($H191,매장구분!$B:$Z,9,0),"")</f>
        <v>경산(대-위)</v>
      </c>
      <c r="F191" s="53"/>
      <c r="G191" s="54" t="s">
        <v>556</v>
      </c>
      <c r="H191" s="55" t="s">
        <v>557</v>
      </c>
      <c r="I191" s="55" t="s">
        <v>169</v>
      </c>
      <c r="J191" s="55" t="s">
        <v>79</v>
      </c>
      <c r="K191" s="55" t="s">
        <v>170</v>
      </c>
      <c r="L191" s="55" t="s">
        <v>171</v>
      </c>
      <c r="M191" s="55" t="s">
        <v>196</v>
      </c>
      <c r="N191" s="55" t="s">
        <v>197</v>
      </c>
      <c r="O191" s="55">
        <v>44457899</v>
      </c>
      <c r="P191" s="55">
        <v>357</v>
      </c>
      <c r="Q191" s="55">
        <v>0</v>
      </c>
      <c r="R191" s="55">
        <v>0</v>
      </c>
      <c r="S191" s="55">
        <v>0</v>
      </c>
      <c r="T191" s="55">
        <v>0</v>
      </c>
      <c r="U191" s="55">
        <v>5257054</v>
      </c>
      <c r="V191" s="55">
        <v>32</v>
      </c>
      <c r="W191" s="55">
        <v>0</v>
      </c>
      <c r="X191" s="55">
        <v>0</v>
      </c>
      <c r="Y191" s="56">
        <v>0</v>
      </c>
      <c r="Z191" s="55">
        <v>0</v>
      </c>
      <c r="AA191" s="55">
        <v>0</v>
      </c>
      <c r="AB191" s="55">
        <v>0</v>
      </c>
      <c r="AC191" s="55">
        <v>49714953</v>
      </c>
      <c r="AD191" s="57">
        <v>389</v>
      </c>
      <c r="AF191" s="47">
        <f t="shared" si="2"/>
        <v>49714953</v>
      </c>
    </row>
    <row r="192" spans="2:32" x14ac:dyDescent="0.3">
      <c r="B192" s="46" t="str">
        <f>IFERROR(VLOOKUP($H192,매장구분!$B:$Z,2,0),"")</f>
        <v>파트너채널팀</v>
      </c>
      <c r="C192" s="46" t="str">
        <f>IFERROR(VLOOKUP($H192,매장구분!$B:$Z,3,0),"")</f>
        <v>국내</v>
      </c>
      <c r="D192" s="46" t="str">
        <f>IFERROR(VLOOKUP($H192,매장구분!$B:$Z,5,0),"")</f>
        <v>백화점</v>
      </c>
      <c r="E192" s="46" t="str">
        <f>IFERROR(VLOOKUP($H192,매장구분!$B:$Z,9,0),"")</f>
        <v>현대대구</v>
      </c>
      <c r="F192" s="58"/>
      <c r="G192" s="59" t="s">
        <v>540</v>
      </c>
      <c r="H192" s="60" t="s">
        <v>541</v>
      </c>
      <c r="I192" s="60" t="s">
        <v>169</v>
      </c>
      <c r="J192" s="60" t="s">
        <v>175</v>
      </c>
      <c r="K192" s="60" t="s">
        <v>170</v>
      </c>
      <c r="L192" s="60" t="s">
        <v>171</v>
      </c>
      <c r="M192" s="60" t="s">
        <v>77</v>
      </c>
      <c r="N192" s="60" t="s">
        <v>172</v>
      </c>
      <c r="O192" s="60">
        <v>67456722</v>
      </c>
      <c r="P192" s="60">
        <v>804</v>
      </c>
      <c r="Q192" s="60">
        <v>23030000</v>
      </c>
      <c r="R192" s="60">
        <v>194</v>
      </c>
      <c r="S192" s="60">
        <v>0</v>
      </c>
      <c r="T192" s="60">
        <v>0</v>
      </c>
      <c r="U192" s="60">
        <v>10000008</v>
      </c>
      <c r="V192" s="60">
        <v>62</v>
      </c>
      <c r="W192" s="60">
        <v>0</v>
      </c>
      <c r="X192" s="60">
        <v>0</v>
      </c>
      <c r="Y192" s="61">
        <v>0</v>
      </c>
      <c r="Z192" s="60">
        <v>0</v>
      </c>
      <c r="AA192" s="60">
        <v>0</v>
      </c>
      <c r="AB192" s="60">
        <v>0</v>
      </c>
      <c r="AC192" s="60">
        <v>100486730</v>
      </c>
      <c r="AD192" s="62">
        <v>1060</v>
      </c>
      <c r="AF192" s="47">
        <f t="shared" si="2"/>
        <v>100486730</v>
      </c>
    </row>
    <row r="193" spans="2:32" x14ac:dyDescent="0.3">
      <c r="B193" s="46" t="str">
        <f>IFERROR(VLOOKUP($H193,매장구분!$B:$Z,2,0),"")</f>
        <v>리테일채널팀</v>
      </c>
      <c r="C193" s="46" t="str">
        <f>IFERROR(VLOOKUP($H193,매장구분!$B:$Z,3,0),"")</f>
        <v>국내</v>
      </c>
      <c r="D193" s="46" t="str">
        <f>IFERROR(VLOOKUP($H193,매장구분!$B:$Z,5,0),"")</f>
        <v>직영점</v>
      </c>
      <c r="E193" s="46" t="str">
        <f>IFERROR(VLOOKUP($H193,매장구분!$B:$Z,9,0),"")</f>
        <v>스타필드안성(직)</v>
      </c>
      <c r="F193" s="53"/>
      <c r="G193" s="54" t="s">
        <v>554</v>
      </c>
      <c r="H193" s="55" t="s">
        <v>555</v>
      </c>
      <c r="I193" s="55" t="s">
        <v>169</v>
      </c>
      <c r="J193" s="55" t="s">
        <v>180</v>
      </c>
      <c r="K193" s="55" t="s">
        <v>170</v>
      </c>
      <c r="L193" s="55" t="s">
        <v>171</v>
      </c>
      <c r="M193" s="55" t="s">
        <v>188</v>
      </c>
      <c r="N193" s="55" t="s">
        <v>189</v>
      </c>
      <c r="O193" s="55">
        <v>70339600</v>
      </c>
      <c r="P193" s="55">
        <v>748</v>
      </c>
      <c r="Q193" s="55">
        <v>0</v>
      </c>
      <c r="R193" s="55">
        <v>0</v>
      </c>
      <c r="S193" s="55">
        <v>0</v>
      </c>
      <c r="T193" s="55">
        <v>0</v>
      </c>
      <c r="U193" s="55">
        <v>11633200</v>
      </c>
      <c r="V193" s="55">
        <v>70</v>
      </c>
      <c r="W193" s="55">
        <v>0</v>
      </c>
      <c r="X193" s="55">
        <v>0</v>
      </c>
      <c r="Y193" s="56">
        <v>0</v>
      </c>
      <c r="Z193" s="55">
        <v>0</v>
      </c>
      <c r="AA193" s="55">
        <v>0</v>
      </c>
      <c r="AB193" s="55">
        <v>0</v>
      </c>
      <c r="AC193" s="55">
        <v>81972800</v>
      </c>
      <c r="AD193" s="57">
        <v>818</v>
      </c>
      <c r="AF193" s="47">
        <f t="shared" si="2"/>
        <v>81972800</v>
      </c>
    </row>
    <row r="194" spans="2:32" x14ac:dyDescent="0.3">
      <c r="B194" s="46" t="str">
        <f>IFERROR(VLOOKUP($H194,매장구분!$B:$Z,2,0),"")</f>
        <v>파트너채널팀</v>
      </c>
      <c r="C194" s="46" t="str">
        <f>IFERROR(VLOOKUP($H194,매장구분!$B:$Z,3,0),"")</f>
        <v>국내</v>
      </c>
      <c r="D194" s="46" t="str">
        <f>IFERROR(VLOOKUP($H194,매장구분!$B:$Z,5,0),"")</f>
        <v>백화점</v>
      </c>
      <c r="E194" s="46" t="str">
        <f>IFERROR(VLOOKUP($H194,매장구분!$B:$Z,9,0),"")</f>
        <v>롯데창원</v>
      </c>
      <c r="F194" s="58"/>
      <c r="G194" s="59" t="s">
        <v>548</v>
      </c>
      <c r="H194" s="60" t="s">
        <v>549</v>
      </c>
      <c r="I194" s="60" t="s">
        <v>169</v>
      </c>
      <c r="J194" s="60" t="s">
        <v>175</v>
      </c>
      <c r="K194" s="60" t="s">
        <v>170</v>
      </c>
      <c r="L194" s="60" t="s">
        <v>171</v>
      </c>
      <c r="M194" s="60" t="s">
        <v>77</v>
      </c>
      <c r="N194" s="60" t="s">
        <v>172</v>
      </c>
      <c r="O194" s="60">
        <v>99674000</v>
      </c>
      <c r="P194" s="60">
        <v>929</v>
      </c>
      <c r="Q194" s="60">
        <v>0</v>
      </c>
      <c r="R194" s="60">
        <v>0</v>
      </c>
      <c r="S194" s="60">
        <v>0</v>
      </c>
      <c r="T194" s="60">
        <v>0</v>
      </c>
      <c r="U194" s="60">
        <v>6143900</v>
      </c>
      <c r="V194" s="60">
        <v>36</v>
      </c>
      <c r="W194" s="60">
        <v>0</v>
      </c>
      <c r="X194" s="60">
        <v>0</v>
      </c>
      <c r="Y194" s="61">
        <v>0</v>
      </c>
      <c r="Z194" s="60">
        <v>0</v>
      </c>
      <c r="AA194" s="60">
        <v>0</v>
      </c>
      <c r="AB194" s="60">
        <v>0</v>
      </c>
      <c r="AC194" s="60">
        <v>105817900</v>
      </c>
      <c r="AD194" s="62">
        <v>965</v>
      </c>
      <c r="AF194" s="47">
        <f t="shared" si="2"/>
        <v>105817900</v>
      </c>
    </row>
    <row r="195" spans="2:32" x14ac:dyDescent="0.3">
      <c r="B195" s="46" t="str">
        <f>IFERROR(VLOOKUP($H195,매장구분!$B:$Z,2,0),"")</f>
        <v>파트너채널팀</v>
      </c>
      <c r="C195" s="46" t="str">
        <f>IFERROR(VLOOKUP($H195,매장구분!$B:$Z,3,0),"")</f>
        <v>면세</v>
      </c>
      <c r="D195" s="46" t="str">
        <f>IFERROR(VLOOKUP($H195,매장구분!$B:$Z,5,0),"")</f>
        <v>면세</v>
      </c>
      <c r="E195" s="46" t="str">
        <f>IFERROR(VLOOKUP($H195,매장구분!$B:$Z,9,0),"")</f>
        <v>신라면세용산</v>
      </c>
      <c r="F195" s="53"/>
      <c r="G195" s="54" t="s">
        <v>542</v>
      </c>
      <c r="H195" s="55" t="s">
        <v>543</v>
      </c>
      <c r="I195" s="55" t="s">
        <v>169</v>
      </c>
      <c r="J195" s="55" t="s">
        <v>175</v>
      </c>
      <c r="K195" s="55" t="s">
        <v>170</v>
      </c>
      <c r="L195" s="55" t="s">
        <v>171</v>
      </c>
      <c r="M195" s="55" t="s">
        <v>176</v>
      </c>
      <c r="N195" s="55" t="s">
        <v>177</v>
      </c>
      <c r="O195" s="55">
        <v>3618300</v>
      </c>
      <c r="P195" s="55">
        <v>75</v>
      </c>
      <c r="Q195" s="55">
        <v>0</v>
      </c>
      <c r="R195" s="55">
        <v>0</v>
      </c>
      <c r="S195" s="55">
        <v>0</v>
      </c>
      <c r="T195" s="55">
        <v>0</v>
      </c>
      <c r="U195" s="55">
        <v>0</v>
      </c>
      <c r="V195" s="55">
        <v>0</v>
      </c>
      <c r="W195" s="55">
        <v>0</v>
      </c>
      <c r="X195" s="55">
        <v>0</v>
      </c>
      <c r="Y195" s="56">
        <v>1637490700</v>
      </c>
      <c r="Z195" s="55">
        <v>29898</v>
      </c>
      <c r="AA195" s="55">
        <v>0</v>
      </c>
      <c r="AB195" s="55">
        <v>0</v>
      </c>
      <c r="AC195" s="55">
        <v>1641109000</v>
      </c>
      <c r="AD195" s="57">
        <v>29973</v>
      </c>
      <c r="AF195" s="47">
        <f t="shared" ref="AF195:AF258" si="3">IFERROR(AC195-Y195,"")</f>
        <v>3618300</v>
      </c>
    </row>
    <row r="196" spans="2:32" x14ac:dyDescent="0.3">
      <c r="B196" s="46" t="str">
        <f>IFERROR(VLOOKUP($H196,매장구분!$B:$Z,2,0),"")</f>
        <v>리테일채널팀</v>
      </c>
      <c r="C196" s="46" t="str">
        <f>IFERROR(VLOOKUP($H196,매장구분!$B:$Z,3,0),"")</f>
        <v>국내</v>
      </c>
      <c r="D196" s="46" t="str">
        <f>IFERROR(VLOOKUP($H196,매장구분!$B:$Z,5,0),"")</f>
        <v>대리점</v>
      </c>
      <c r="E196" s="46" t="str">
        <f>IFERROR(VLOOKUP($H196,매장구분!$B:$Z,9,0),"")</f>
        <v>스퀘어원인천(대-위)</v>
      </c>
      <c r="F196" s="58"/>
      <c r="G196" s="59" t="s">
        <v>532</v>
      </c>
      <c r="H196" s="60" t="s">
        <v>533</v>
      </c>
      <c r="I196" s="60" t="s">
        <v>169</v>
      </c>
      <c r="J196" s="60" t="s">
        <v>79</v>
      </c>
      <c r="K196" s="60" t="s">
        <v>170</v>
      </c>
      <c r="L196" s="60" t="s">
        <v>171</v>
      </c>
      <c r="M196" s="60" t="s">
        <v>188</v>
      </c>
      <c r="N196" s="60" t="s">
        <v>317</v>
      </c>
      <c r="O196" s="60">
        <v>101487654</v>
      </c>
      <c r="P196" s="60">
        <v>880</v>
      </c>
      <c r="Q196" s="60">
        <v>0</v>
      </c>
      <c r="R196" s="60">
        <v>0</v>
      </c>
      <c r="S196" s="60">
        <v>0</v>
      </c>
      <c r="T196" s="60">
        <v>0</v>
      </c>
      <c r="U196" s="60">
        <v>7123751</v>
      </c>
      <c r="V196" s="60">
        <v>35</v>
      </c>
      <c r="W196" s="60">
        <v>0</v>
      </c>
      <c r="X196" s="60">
        <v>0</v>
      </c>
      <c r="Y196" s="61">
        <v>34202000</v>
      </c>
      <c r="Z196" s="60">
        <v>278</v>
      </c>
      <c r="AA196" s="60">
        <v>0</v>
      </c>
      <c r="AB196" s="60">
        <v>0</v>
      </c>
      <c r="AC196" s="60">
        <v>142813405</v>
      </c>
      <c r="AD196" s="62">
        <v>1193</v>
      </c>
      <c r="AF196" s="47">
        <f t="shared" si="3"/>
        <v>108611405</v>
      </c>
    </row>
    <row r="197" spans="2:32" x14ac:dyDescent="0.3">
      <c r="B197" s="46" t="str">
        <f>IFERROR(VLOOKUP($H197,매장구분!$B:$Z,2,0),"")</f>
        <v>리테일채널팀</v>
      </c>
      <c r="C197" s="46" t="str">
        <f>IFERROR(VLOOKUP($H197,매장구분!$B:$Z,3,0),"")</f>
        <v>국내</v>
      </c>
      <c r="D197" s="46" t="str">
        <f>IFERROR(VLOOKUP($H197,매장구분!$B:$Z,5,0),"")</f>
        <v>직영점</v>
      </c>
      <c r="E197" s="46" t="str">
        <f>IFERROR(VLOOKUP($H197,매장구분!$B:$Z,9,0),"")</f>
        <v>충장로</v>
      </c>
      <c r="F197" s="53"/>
      <c r="G197" s="54" t="s">
        <v>544</v>
      </c>
      <c r="H197" s="55" t="s">
        <v>545</v>
      </c>
      <c r="I197" s="55" t="s">
        <v>169</v>
      </c>
      <c r="J197" s="55" t="s">
        <v>180</v>
      </c>
      <c r="K197" s="55" t="s">
        <v>170</v>
      </c>
      <c r="L197" s="55" t="s">
        <v>171</v>
      </c>
      <c r="M197" s="55" t="s">
        <v>196</v>
      </c>
      <c r="N197" s="55" t="s">
        <v>206</v>
      </c>
      <c r="O197" s="55">
        <v>110898586</v>
      </c>
      <c r="P197" s="55">
        <v>1114</v>
      </c>
      <c r="Q197" s="55">
        <v>0</v>
      </c>
      <c r="R197" s="55">
        <v>0</v>
      </c>
      <c r="S197" s="55">
        <v>0</v>
      </c>
      <c r="T197" s="55">
        <v>0</v>
      </c>
      <c r="U197" s="55">
        <v>4565124</v>
      </c>
      <c r="V197" s="55">
        <v>28</v>
      </c>
      <c r="W197" s="55">
        <v>0</v>
      </c>
      <c r="X197" s="55">
        <v>0</v>
      </c>
      <c r="Y197" s="56">
        <v>0</v>
      </c>
      <c r="Z197" s="55">
        <v>0</v>
      </c>
      <c r="AA197" s="55">
        <v>0</v>
      </c>
      <c r="AB197" s="55">
        <v>0</v>
      </c>
      <c r="AC197" s="55">
        <v>115463710</v>
      </c>
      <c r="AD197" s="57">
        <v>1142</v>
      </c>
      <c r="AF197" s="47">
        <f t="shared" si="3"/>
        <v>115463710</v>
      </c>
    </row>
    <row r="198" spans="2:32" x14ac:dyDescent="0.3">
      <c r="B198" s="46" t="str">
        <f>IFERROR(VLOOKUP($H198,매장구분!$B:$Z,2,0),"")</f>
        <v>파트너채널팀</v>
      </c>
      <c r="C198" s="46" t="str">
        <f>IFERROR(VLOOKUP($H198,매장구분!$B:$Z,3,0),"")</f>
        <v>국내</v>
      </c>
      <c r="D198" s="46" t="str">
        <f>IFERROR(VLOOKUP($H198,매장구분!$B:$Z,5,0),"")</f>
        <v>백화점</v>
      </c>
      <c r="E198" s="46" t="str">
        <f>IFERROR(VLOOKUP($H198,매장구분!$B:$Z,9,0),"")</f>
        <v>롯데대구</v>
      </c>
      <c r="F198" s="58"/>
      <c r="G198" s="59" t="s">
        <v>536</v>
      </c>
      <c r="H198" s="60" t="s">
        <v>537</v>
      </c>
      <c r="I198" s="60" t="s">
        <v>169</v>
      </c>
      <c r="J198" s="60" t="s">
        <v>175</v>
      </c>
      <c r="K198" s="60" t="s">
        <v>170</v>
      </c>
      <c r="L198" s="60" t="s">
        <v>171</v>
      </c>
      <c r="M198" s="60" t="s">
        <v>77</v>
      </c>
      <c r="N198" s="60" t="s">
        <v>172</v>
      </c>
      <c r="O198" s="60">
        <v>40346121</v>
      </c>
      <c r="P198" s="60">
        <v>373</v>
      </c>
      <c r="Q198" s="60">
        <v>11067500</v>
      </c>
      <c r="R198" s="60">
        <v>81</v>
      </c>
      <c r="S198" s="60">
        <v>0</v>
      </c>
      <c r="T198" s="60">
        <v>0</v>
      </c>
      <c r="U198" s="60">
        <v>2401179</v>
      </c>
      <c r="V198" s="60">
        <v>19</v>
      </c>
      <c r="W198" s="60">
        <v>0</v>
      </c>
      <c r="X198" s="60">
        <v>0</v>
      </c>
      <c r="Y198" s="61">
        <v>0</v>
      </c>
      <c r="Z198" s="60">
        <v>0</v>
      </c>
      <c r="AA198" s="60">
        <v>0</v>
      </c>
      <c r="AB198" s="60">
        <v>0</v>
      </c>
      <c r="AC198" s="60">
        <v>53814800</v>
      </c>
      <c r="AD198" s="62">
        <v>473</v>
      </c>
      <c r="AF198" s="47">
        <f t="shared" si="3"/>
        <v>53814800</v>
      </c>
    </row>
    <row r="199" spans="2:32" x14ac:dyDescent="0.3">
      <c r="B199" s="46" t="str">
        <f>IFERROR(VLOOKUP($H199,매장구분!$B:$Z,2,0),"")</f>
        <v>파트너채널팀</v>
      </c>
      <c r="C199" s="46" t="str">
        <f>IFERROR(VLOOKUP($H199,매장구분!$B:$Z,3,0),"")</f>
        <v>국내</v>
      </c>
      <c r="D199" s="46" t="str">
        <f>IFERROR(VLOOKUP($H199,매장구분!$B:$Z,5,0),"")</f>
        <v>백화점</v>
      </c>
      <c r="E199" s="46" t="str">
        <f>IFERROR(VLOOKUP($H199,매장구분!$B:$Z,9,0),"")</f>
        <v>AK수원</v>
      </c>
      <c r="F199" s="53"/>
      <c r="G199" s="54" t="s">
        <v>552</v>
      </c>
      <c r="H199" s="55" t="s">
        <v>553</v>
      </c>
      <c r="I199" s="55" t="s">
        <v>169</v>
      </c>
      <c r="J199" s="55" t="s">
        <v>175</v>
      </c>
      <c r="K199" s="55" t="s">
        <v>170</v>
      </c>
      <c r="L199" s="55" t="s">
        <v>171</v>
      </c>
      <c r="M199" s="55" t="s">
        <v>77</v>
      </c>
      <c r="N199" s="55" t="s">
        <v>172</v>
      </c>
      <c r="O199" s="55">
        <v>76257400</v>
      </c>
      <c r="P199" s="55">
        <v>878</v>
      </c>
      <c r="Q199" s="55">
        <v>0</v>
      </c>
      <c r="R199" s="55">
        <v>0</v>
      </c>
      <c r="S199" s="55">
        <v>0</v>
      </c>
      <c r="T199" s="55">
        <v>0</v>
      </c>
      <c r="U199" s="55">
        <v>10106100</v>
      </c>
      <c r="V199" s="55">
        <v>85</v>
      </c>
      <c r="W199" s="55">
        <v>0</v>
      </c>
      <c r="X199" s="55">
        <v>0</v>
      </c>
      <c r="Y199" s="56">
        <v>69543000</v>
      </c>
      <c r="Z199" s="55">
        <v>466</v>
      </c>
      <c r="AA199" s="55">
        <v>0</v>
      </c>
      <c r="AB199" s="55">
        <v>0</v>
      </c>
      <c r="AC199" s="55">
        <v>155906500</v>
      </c>
      <c r="AD199" s="57">
        <v>1429</v>
      </c>
      <c r="AF199" s="47">
        <f t="shared" si="3"/>
        <v>86363500</v>
      </c>
    </row>
    <row r="200" spans="2:32" x14ac:dyDescent="0.3">
      <c r="B200" s="46" t="str">
        <f>IFERROR(VLOOKUP($H200,매장구분!$B:$Z,2,0),"")</f>
        <v>리테일채널팀</v>
      </c>
      <c r="C200" s="46" t="str">
        <f>IFERROR(VLOOKUP($H200,매장구분!$B:$Z,3,0),"")</f>
        <v>국내</v>
      </c>
      <c r="D200" s="46" t="str">
        <f>IFERROR(VLOOKUP($H200,매장구분!$B:$Z,5,0),"")</f>
        <v>대리점</v>
      </c>
      <c r="E200" s="46" t="str">
        <f>IFERROR(VLOOKUP($H200,매장구분!$B:$Z,9,0),"")</f>
        <v>마산합성(대-위)</v>
      </c>
      <c r="F200" s="58"/>
      <c r="G200" s="59" t="s">
        <v>546</v>
      </c>
      <c r="H200" s="60" t="s">
        <v>547</v>
      </c>
      <c r="I200" s="60" t="s">
        <v>169</v>
      </c>
      <c r="J200" s="60" t="s">
        <v>79</v>
      </c>
      <c r="K200" s="60" t="s">
        <v>170</v>
      </c>
      <c r="L200" s="60" t="s">
        <v>171</v>
      </c>
      <c r="M200" s="60" t="s">
        <v>196</v>
      </c>
      <c r="N200" s="60" t="s">
        <v>197</v>
      </c>
      <c r="O200" s="60">
        <v>49162127</v>
      </c>
      <c r="P200" s="60">
        <v>410</v>
      </c>
      <c r="Q200" s="60">
        <v>0</v>
      </c>
      <c r="R200" s="60">
        <v>0</v>
      </c>
      <c r="S200" s="60">
        <v>0</v>
      </c>
      <c r="T200" s="60">
        <v>0</v>
      </c>
      <c r="U200" s="60">
        <v>10888229</v>
      </c>
      <c r="V200" s="60">
        <v>71</v>
      </c>
      <c r="W200" s="60">
        <v>0</v>
      </c>
      <c r="X200" s="60">
        <v>0</v>
      </c>
      <c r="Y200" s="61">
        <v>0</v>
      </c>
      <c r="Z200" s="60">
        <v>0</v>
      </c>
      <c r="AA200" s="60">
        <v>0</v>
      </c>
      <c r="AB200" s="60">
        <v>0</v>
      </c>
      <c r="AC200" s="60">
        <v>60050356</v>
      </c>
      <c r="AD200" s="62">
        <v>481</v>
      </c>
      <c r="AF200" s="47">
        <f t="shared" si="3"/>
        <v>60050356</v>
      </c>
    </row>
    <row r="201" spans="2:32" x14ac:dyDescent="0.3">
      <c r="B201" s="46" t="str">
        <f>IFERROR(VLOOKUP($H201,매장구분!$B:$Z,2,0),"")</f>
        <v>리테일채널팀</v>
      </c>
      <c r="C201" s="46" t="str">
        <f>IFERROR(VLOOKUP($H201,매장구분!$B:$Z,3,0),"")</f>
        <v>국내</v>
      </c>
      <c r="D201" s="46" t="str">
        <f>IFERROR(VLOOKUP($H201,매장구분!$B:$Z,5,0),"")</f>
        <v>대리점</v>
      </c>
      <c r="E201" s="46" t="str">
        <f>IFERROR(VLOOKUP($H201,매장구분!$B:$Z,9,0),"")</f>
        <v>동해(대-위)</v>
      </c>
      <c r="F201" s="53"/>
      <c r="G201" s="54" t="s">
        <v>534</v>
      </c>
      <c r="H201" s="55" t="s">
        <v>535</v>
      </c>
      <c r="I201" s="55" t="s">
        <v>169</v>
      </c>
      <c r="J201" s="55" t="s">
        <v>79</v>
      </c>
      <c r="K201" s="55" t="s">
        <v>170</v>
      </c>
      <c r="L201" s="55" t="s">
        <v>171</v>
      </c>
      <c r="M201" s="55" t="s">
        <v>196</v>
      </c>
      <c r="N201" s="55" t="s">
        <v>197</v>
      </c>
      <c r="O201" s="55">
        <v>56437471</v>
      </c>
      <c r="P201" s="55">
        <v>509</v>
      </c>
      <c r="Q201" s="55">
        <v>0</v>
      </c>
      <c r="R201" s="55">
        <v>0</v>
      </c>
      <c r="S201" s="55">
        <v>0</v>
      </c>
      <c r="T201" s="55">
        <v>0</v>
      </c>
      <c r="U201" s="55">
        <v>24793910</v>
      </c>
      <c r="V201" s="55">
        <v>173</v>
      </c>
      <c r="W201" s="55">
        <v>0</v>
      </c>
      <c r="X201" s="55">
        <v>0</v>
      </c>
      <c r="Y201" s="56">
        <v>0</v>
      </c>
      <c r="Z201" s="55">
        <v>0</v>
      </c>
      <c r="AA201" s="55">
        <v>0</v>
      </c>
      <c r="AB201" s="55">
        <v>0</v>
      </c>
      <c r="AC201" s="55">
        <v>81231381</v>
      </c>
      <c r="AD201" s="57">
        <v>682</v>
      </c>
      <c r="AF201" s="47">
        <f t="shared" si="3"/>
        <v>81231381</v>
      </c>
    </row>
    <row r="202" spans="2:32" x14ac:dyDescent="0.3">
      <c r="B202" s="46" t="str">
        <f>IFERROR(VLOOKUP($H202,매장구분!$B:$Z,2,0),"")</f>
        <v>E-biz</v>
      </c>
      <c r="C202" s="46" t="str">
        <f>IFERROR(VLOOKUP($H202,매장구분!$B:$Z,3,0),"")</f>
        <v>국내</v>
      </c>
      <c r="D202" s="46" t="str">
        <f>IFERROR(VLOOKUP($H202,매장구분!$B:$Z,5,0),"")</f>
        <v>온(제휴몰)</v>
      </c>
      <c r="E202" s="46" t="str">
        <f>IFERROR(VLOOKUP($H202,매장구분!$B:$Z,9,0),"")</f>
        <v>GS SHOP(제휴몰)</v>
      </c>
      <c r="F202" s="58"/>
      <c r="G202" s="59" t="s">
        <v>550</v>
      </c>
      <c r="H202" s="60" t="s">
        <v>551</v>
      </c>
      <c r="I202" s="60" t="s">
        <v>169</v>
      </c>
      <c r="J202" s="60" t="s">
        <v>180</v>
      </c>
      <c r="K202" s="60" t="s">
        <v>170</v>
      </c>
      <c r="L202" s="60" t="s">
        <v>181</v>
      </c>
      <c r="M202" s="60" t="s">
        <v>181</v>
      </c>
      <c r="N202" s="60" t="s">
        <v>185</v>
      </c>
      <c r="O202" s="60">
        <v>84421900</v>
      </c>
      <c r="P202" s="60">
        <v>767</v>
      </c>
      <c r="Q202" s="60">
        <v>0</v>
      </c>
      <c r="R202" s="60">
        <v>0</v>
      </c>
      <c r="S202" s="60">
        <v>0</v>
      </c>
      <c r="T202" s="60">
        <v>0</v>
      </c>
      <c r="U202" s="60">
        <v>0</v>
      </c>
      <c r="V202" s="60">
        <v>0</v>
      </c>
      <c r="W202" s="60">
        <v>0</v>
      </c>
      <c r="X202" s="60">
        <v>0</v>
      </c>
      <c r="Y202" s="61">
        <v>0</v>
      </c>
      <c r="Z202" s="60">
        <v>0</v>
      </c>
      <c r="AA202" s="60">
        <v>0</v>
      </c>
      <c r="AB202" s="60">
        <v>0</v>
      </c>
      <c r="AC202" s="60">
        <v>84421900</v>
      </c>
      <c r="AD202" s="62">
        <v>767</v>
      </c>
      <c r="AF202" s="47">
        <f t="shared" si="3"/>
        <v>84421900</v>
      </c>
    </row>
    <row r="203" spans="2:32" x14ac:dyDescent="0.3">
      <c r="B203" s="46" t="str">
        <f>IFERROR(VLOOKUP($H203,매장구분!$B:$Z,2,0),"")</f>
        <v>리테일채널팀</v>
      </c>
      <c r="C203" s="46" t="str">
        <f>IFERROR(VLOOKUP($H203,매장구분!$B:$Z,3,0),"")</f>
        <v>국내</v>
      </c>
      <c r="D203" s="46" t="str">
        <f>IFERROR(VLOOKUP($H203,매장구분!$B:$Z,5,0),"")</f>
        <v>상설(위탁)</v>
      </c>
      <c r="E203" s="46" t="str">
        <f>IFERROR(VLOOKUP($H203,매장구분!$B:$Z,9,0),"")</f>
        <v>마리오(상-위)</v>
      </c>
      <c r="F203" s="53"/>
      <c r="G203" s="54" t="s">
        <v>564</v>
      </c>
      <c r="H203" s="55" t="s">
        <v>565</v>
      </c>
      <c r="I203" s="55" t="s">
        <v>169</v>
      </c>
      <c r="J203" s="55" t="s">
        <v>79</v>
      </c>
      <c r="K203" s="55" t="s">
        <v>170</v>
      </c>
      <c r="L203" s="55" t="s">
        <v>171</v>
      </c>
      <c r="M203" s="55" t="s">
        <v>77</v>
      </c>
      <c r="N203" s="55" t="s">
        <v>238</v>
      </c>
      <c r="O203" s="55">
        <v>6048000</v>
      </c>
      <c r="P203" s="55">
        <v>168</v>
      </c>
      <c r="Q203" s="55">
        <v>0</v>
      </c>
      <c r="R203" s="55">
        <v>0</v>
      </c>
      <c r="S203" s="55">
        <v>0</v>
      </c>
      <c r="T203" s="55">
        <v>0</v>
      </c>
      <c r="U203" s="55">
        <v>0</v>
      </c>
      <c r="V203" s="55">
        <v>0</v>
      </c>
      <c r="W203" s="55">
        <v>0</v>
      </c>
      <c r="X203" s="55">
        <v>0</v>
      </c>
      <c r="Y203" s="56">
        <v>0</v>
      </c>
      <c r="Z203" s="55">
        <v>0</v>
      </c>
      <c r="AA203" s="55">
        <v>0</v>
      </c>
      <c r="AB203" s="55">
        <v>0</v>
      </c>
      <c r="AC203" s="55">
        <v>6048000</v>
      </c>
      <c r="AD203" s="57">
        <v>168</v>
      </c>
      <c r="AF203" s="47">
        <f t="shared" si="3"/>
        <v>6048000</v>
      </c>
    </row>
    <row r="204" spans="2:32" x14ac:dyDescent="0.3">
      <c r="B204" s="46" t="str">
        <f>IFERROR(VLOOKUP($H204,매장구분!$B:$Z,2,0),"")</f>
        <v/>
      </c>
      <c r="C204" s="46" t="str">
        <f>IFERROR(VLOOKUP($H204,매장구분!$B:$Z,3,0),"")</f>
        <v/>
      </c>
      <c r="D204" s="46" t="str">
        <f>IFERROR(VLOOKUP($H204,매장구분!$B:$Z,5,0),"")</f>
        <v/>
      </c>
      <c r="E204" s="46" t="str">
        <f>IFERROR(VLOOKUP($H204,매장구분!$B:$Z,9,0),"")</f>
        <v/>
      </c>
      <c r="F204" s="58"/>
      <c r="G204" s="59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1"/>
      <c r="Z204" s="60"/>
      <c r="AA204" s="60"/>
      <c r="AB204" s="60"/>
      <c r="AC204" s="60"/>
      <c r="AD204" s="62"/>
      <c r="AF204" s="47">
        <f t="shared" si="3"/>
        <v>0</v>
      </c>
    </row>
    <row r="205" spans="2:32" x14ac:dyDescent="0.3">
      <c r="B205" s="46" t="str">
        <f>IFERROR(VLOOKUP($H205,매장구분!$B:$Z,2,0),"")</f>
        <v/>
      </c>
      <c r="C205" s="46" t="str">
        <f>IFERROR(VLOOKUP($H205,매장구분!$B:$Z,3,0),"")</f>
        <v/>
      </c>
      <c r="D205" s="46" t="str">
        <f>IFERROR(VLOOKUP($H205,매장구분!$B:$Z,5,0),"")</f>
        <v/>
      </c>
      <c r="E205" s="46" t="str">
        <f>IFERROR(VLOOKUP($H205,매장구분!$B:$Z,9,0),"")</f>
        <v/>
      </c>
      <c r="F205" s="53"/>
      <c r="G205" s="54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6"/>
      <c r="Z205" s="55"/>
      <c r="AA205" s="55"/>
      <c r="AB205" s="55"/>
      <c r="AC205" s="55"/>
      <c r="AD205" s="57"/>
      <c r="AF205" s="47">
        <f t="shared" si="3"/>
        <v>0</v>
      </c>
    </row>
    <row r="206" spans="2:32" x14ac:dyDescent="0.3">
      <c r="B206" s="46" t="str">
        <f>IFERROR(VLOOKUP($H206,매장구분!$B:$Z,2,0),"")</f>
        <v/>
      </c>
      <c r="C206" s="46" t="str">
        <f>IFERROR(VLOOKUP($H206,매장구분!$B:$Z,3,0),"")</f>
        <v/>
      </c>
      <c r="D206" s="46" t="str">
        <f>IFERROR(VLOOKUP($H206,매장구분!$B:$Z,5,0),"")</f>
        <v/>
      </c>
      <c r="E206" s="46" t="str">
        <f>IFERROR(VLOOKUP($H206,매장구분!$B:$Z,9,0),"")</f>
        <v/>
      </c>
      <c r="F206" s="58"/>
      <c r="G206" s="59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1"/>
      <c r="Z206" s="60"/>
      <c r="AA206" s="60"/>
      <c r="AB206" s="60"/>
      <c r="AC206" s="60"/>
      <c r="AD206" s="62"/>
      <c r="AF206" s="47">
        <f t="shared" si="3"/>
        <v>0</v>
      </c>
    </row>
    <row r="207" spans="2:32" x14ac:dyDescent="0.3">
      <c r="B207" s="46" t="str">
        <f>IFERROR(VLOOKUP($H207,매장구분!$B:$Z,2,0),"")</f>
        <v/>
      </c>
      <c r="C207" s="46" t="str">
        <f>IFERROR(VLOOKUP($H207,매장구분!$B:$Z,3,0),"")</f>
        <v/>
      </c>
      <c r="D207" s="46" t="str">
        <f>IFERROR(VLOOKUP($H207,매장구분!$B:$Z,5,0),"")</f>
        <v/>
      </c>
      <c r="E207" s="46" t="str">
        <f>IFERROR(VLOOKUP($H207,매장구분!$B:$Z,9,0),"")</f>
        <v/>
      </c>
      <c r="F207" s="53"/>
      <c r="G207" s="54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6"/>
      <c r="Z207" s="55"/>
      <c r="AA207" s="55"/>
      <c r="AB207" s="55"/>
      <c r="AC207" s="55"/>
      <c r="AD207" s="57"/>
      <c r="AF207" s="47">
        <f t="shared" si="3"/>
        <v>0</v>
      </c>
    </row>
    <row r="208" spans="2:32" x14ac:dyDescent="0.3">
      <c r="B208" s="46" t="str">
        <f>IFERROR(VLOOKUP($H208,매장구분!$B:$Z,2,0),"")</f>
        <v/>
      </c>
      <c r="C208" s="46" t="str">
        <f>IFERROR(VLOOKUP($H208,매장구분!$B:$Z,3,0),"")</f>
        <v/>
      </c>
      <c r="D208" s="46" t="str">
        <f>IFERROR(VLOOKUP($H208,매장구분!$B:$Z,5,0),"")</f>
        <v/>
      </c>
      <c r="E208" s="46" t="str">
        <f>IFERROR(VLOOKUP($H208,매장구분!$B:$Z,9,0),"")</f>
        <v/>
      </c>
      <c r="F208" s="58"/>
      <c r="G208" s="59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1"/>
      <c r="Z208" s="60"/>
      <c r="AA208" s="60"/>
      <c r="AB208" s="60"/>
      <c r="AC208" s="60"/>
      <c r="AD208" s="62"/>
      <c r="AF208" s="47">
        <f t="shared" si="3"/>
        <v>0</v>
      </c>
    </row>
    <row r="209" spans="2:32" x14ac:dyDescent="0.3">
      <c r="B209" s="46" t="str">
        <f>IFERROR(VLOOKUP($H209,매장구분!$B:$Z,2,0),"")</f>
        <v/>
      </c>
      <c r="C209" s="46" t="str">
        <f>IFERROR(VLOOKUP($H209,매장구분!$B:$Z,3,0),"")</f>
        <v/>
      </c>
      <c r="D209" s="46" t="str">
        <f>IFERROR(VLOOKUP($H209,매장구분!$B:$Z,5,0),"")</f>
        <v/>
      </c>
      <c r="E209" s="46" t="str">
        <f>IFERROR(VLOOKUP($H209,매장구분!$B:$Z,9,0),"")</f>
        <v/>
      </c>
      <c r="F209" s="53"/>
      <c r="G209" s="54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6"/>
      <c r="Z209" s="55"/>
      <c r="AA209" s="55"/>
      <c r="AB209" s="55"/>
      <c r="AC209" s="55"/>
      <c r="AD209" s="57"/>
      <c r="AF209" s="47">
        <f t="shared" si="3"/>
        <v>0</v>
      </c>
    </row>
    <row r="210" spans="2:32" x14ac:dyDescent="0.3">
      <c r="B210" s="46" t="str">
        <f>IFERROR(VLOOKUP($H210,매장구분!$B:$Z,2,0),"")</f>
        <v/>
      </c>
      <c r="C210" s="46" t="str">
        <f>IFERROR(VLOOKUP($H210,매장구분!$B:$Z,3,0),"")</f>
        <v/>
      </c>
      <c r="D210" s="46" t="str">
        <f>IFERROR(VLOOKUP($H210,매장구분!$B:$Z,5,0),"")</f>
        <v/>
      </c>
      <c r="E210" s="46" t="str">
        <f>IFERROR(VLOOKUP($H210,매장구분!$B:$Z,9,0),"")</f>
        <v/>
      </c>
      <c r="AF210" s="47">
        <f t="shared" si="3"/>
        <v>0</v>
      </c>
    </row>
    <row r="211" spans="2:32" x14ac:dyDescent="0.3">
      <c r="B211" s="46" t="str">
        <f>IFERROR(VLOOKUP($H211,매장구분!$B:$Z,2,0),"")</f>
        <v/>
      </c>
      <c r="C211" s="46" t="str">
        <f>IFERROR(VLOOKUP($H211,매장구분!$B:$Z,3,0),"")</f>
        <v/>
      </c>
      <c r="D211" s="46" t="str">
        <f>IFERROR(VLOOKUP($H211,매장구분!$B:$Z,5,0),"")</f>
        <v/>
      </c>
      <c r="E211" s="46" t="str">
        <f>IFERROR(VLOOKUP($H211,매장구분!$B:$Z,9,0),"")</f>
        <v/>
      </c>
      <c r="AF211" s="47">
        <f t="shared" si="3"/>
        <v>0</v>
      </c>
    </row>
    <row r="212" spans="2:32" x14ac:dyDescent="0.3">
      <c r="B212" s="46" t="str">
        <f>IFERROR(VLOOKUP($H212,매장구분!$B:$Z,2,0),"")</f>
        <v/>
      </c>
      <c r="C212" s="46" t="str">
        <f>IFERROR(VLOOKUP($H212,매장구분!$B:$Z,3,0),"")</f>
        <v/>
      </c>
      <c r="D212" s="46" t="str">
        <f>IFERROR(VLOOKUP($H212,매장구분!$B:$Z,5,0),"")</f>
        <v/>
      </c>
      <c r="E212" s="46" t="str">
        <f>IFERROR(VLOOKUP($H212,매장구분!$B:$Z,9,0),"")</f>
        <v/>
      </c>
      <c r="AF212" s="47">
        <f t="shared" si="3"/>
        <v>0</v>
      </c>
    </row>
    <row r="213" spans="2:32" x14ac:dyDescent="0.3">
      <c r="B213" s="46" t="str">
        <f>IFERROR(VLOOKUP($H213,매장구분!$B:$Z,2,0),"")</f>
        <v/>
      </c>
      <c r="C213" s="46" t="str">
        <f>IFERROR(VLOOKUP($H213,매장구분!$B:$Z,3,0),"")</f>
        <v/>
      </c>
      <c r="D213" s="46" t="str">
        <f>IFERROR(VLOOKUP($H213,매장구분!$B:$Z,5,0),"")</f>
        <v/>
      </c>
      <c r="E213" s="46" t="str">
        <f>IFERROR(VLOOKUP($H213,매장구분!$B:$Z,9,0),"")</f>
        <v/>
      </c>
      <c r="AF213" s="47">
        <f t="shared" si="3"/>
        <v>0</v>
      </c>
    </row>
    <row r="214" spans="2:32" x14ac:dyDescent="0.3">
      <c r="B214" s="46" t="str">
        <f>IFERROR(VLOOKUP($H214,매장구분!$B:$Z,2,0),"")</f>
        <v/>
      </c>
      <c r="C214" s="46" t="str">
        <f>IFERROR(VLOOKUP($H214,매장구분!$B:$Z,3,0),"")</f>
        <v/>
      </c>
      <c r="D214" s="46" t="str">
        <f>IFERROR(VLOOKUP($H214,매장구분!$B:$Z,5,0),"")</f>
        <v/>
      </c>
      <c r="E214" s="46" t="str">
        <f>IFERROR(VLOOKUP($H214,매장구분!$B:$Z,9,0),"")</f>
        <v/>
      </c>
      <c r="AF214" s="47">
        <f t="shared" si="3"/>
        <v>0</v>
      </c>
    </row>
    <row r="215" spans="2:32" x14ac:dyDescent="0.3">
      <c r="B215" s="46" t="str">
        <f>IFERROR(VLOOKUP($H215,매장구분!$B:$Z,2,0),"")</f>
        <v/>
      </c>
      <c r="C215" s="46" t="str">
        <f>IFERROR(VLOOKUP($H215,매장구분!$B:$Z,3,0),"")</f>
        <v/>
      </c>
      <c r="D215" s="46" t="str">
        <f>IFERROR(VLOOKUP($H215,매장구분!$B:$Z,5,0),"")</f>
        <v/>
      </c>
      <c r="E215" s="46" t="str">
        <f>IFERROR(VLOOKUP($H215,매장구분!$B:$Z,9,0),"")</f>
        <v/>
      </c>
      <c r="AF215" s="47">
        <f t="shared" si="3"/>
        <v>0</v>
      </c>
    </row>
    <row r="216" spans="2:32" x14ac:dyDescent="0.3">
      <c r="B216" s="46" t="str">
        <f>IFERROR(VLOOKUP($H216,매장구분!$B:$Z,2,0),"")</f>
        <v/>
      </c>
      <c r="C216" s="46" t="str">
        <f>IFERROR(VLOOKUP($H216,매장구분!$B:$Z,3,0),"")</f>
        <v/>
      </c>
      <c r="D216" s="46" t="str">
        <f>IFERROR(VLOOKUP($H216,매장구분!$B:$Z,5,0),"")</f>
        <v/>
      </c>
      <c r="E216" s="46" t="str">
        <f>IFERROR(VLOOKUP($H216,매장구분!$B:$Z,9,0),"")</f>
        <v/>
      </c>
      <c r="AF216" s="47">
        <f t="shared" si="3"/>
        <v>0</v>
      </c>
    </row>
    <row r="217" spans="2:32" x14ac:dyDescent="0.3">
      <c r="B217" s="46" t="str">
        <f>IFERROR(VLOOKUP($H217,매장구분!$B:$Z,2,0),"")</f>
        <v/>
      </c>
      <c r="C217" s="46" t="str">
        <f>IFERROR(VLOOKUP($H217,매장구분!$B:$Z,3,0),"")</f>
        <v/>
      </c>
      <c r="D217" s="46" t="str">
        <f>IFERROR(VLOOKUP($H217,매장구분!$B:$Z,5,0),"")</f>
        <v/>
      </c>
      <c r="E217" s="46" t="str">
        <f>IFERROR(VLOOKUP($H217,매장구분!$B:$Z,9,0),"")</f>
        <v/>
      </c>
      <c r="AF217" s="47">
        <f t="shared" si="3"/>
        <v>0</v>
      </c>
    </row>
    <row r="218" spans="2:32" x14ac:dyDescent="0.3">
      <c r="B218" s="46" t="str">
        <f>IFERROR(VLOOKUP($H218,매장구분!$B:$Z,2,0),"")</f>
        <v/>
      </c>
      <c r="C218" s="46" t="str">
        <f>IFERROR(VLOOKUP($H218,매장구분!$B:$Z,3,0),"")</f>
        <v/>
      </c>
      <c r="D218" s="46" t="str">
        <f>IFERROR(VLOOKUP($H218,매장구분!$B:$Z,5,0),"")</f>
        <v/>
      </c>
      <c r="E218" s="46" t="str">
        <f>IFERROR(VLOOKUP($H218,매장구분!$B:$Z,9,0),"")</f>
        <v/>
      </c>
      <c r="AF218" s="47">
        <f t="shared" si="3"/>
        <v>0</v>
      </c>
    </row>
    <row r="219" spans="2:32" x14ac:dyDescent="0.3">
      <c r="B219" s="46" t="str">
        <f>IFERROR(VLOOKUP($H219,매장구분!$B:$Z,2,0),"")</f>
        <v/>
      </c>
      <c r="C219" s="46" t="str">
        <f>IFERROR(VLOOKUP($H219,매장구분!$B:$Z,3,0),"")</f>
        <v/>
      </c>
      <c r="D219" s="46" t="str">
        <f>IFERROR(VLOOKUP($H219,매장구분!$B:$Z,5,0),"")</f>
        <v/>
      </c>
      <c r="E219" s="46" t="str">
        <f>IFERROR(VLOOKUP($H219,매장구분!$B:$Z,9,0),"")</f>
        <v/>
      </c>
      <c r="AF219" s="47">
        <f t="shared" si="3"/>
        <v>0</v>
      </c>
    </row>
    <row r="220" spans="2:32" x14ac:dyDescent="0.3">
      <c r="B220" s="46" t="str">
        <f>IFERROR(VLOOKUP($H220,매장구분!$B:$Z,2,0),"")</f>
        <v/>
      </c>
      <c r="C220" s="46" t="str">
        <f>IFERROR(VLOOKUP($H220,매장구분!$B:$Z,3,0),"")</f>
        <v/>
      </c>
      <c r="D220" s="46" t="str">
        <f>IFERROR(VLOOKUP($H220,매장구분!$B:$Z,5,0),"")</f>
        <v/>
      </c>
      <c r="E220" s="46" t="str">
        <f>IFERROR(VLOOKUP($H220,매장구분!$B:$Z,9,0),"")</f>
        <v/>
      </c>
      <c r="AF220" s="47">
        <f t="shared" si="3"/>
        <v>0</v>
      </c>
    </row>
    <row r="221" spans="2:32" x14ac:dyDescent="0.3">
      <c r="B221" s="46" t="str">
        <f>IFERROR(VLOOKUP($H221,매장구분!$B:$Z,2,0),"")</f>
        <v/>
      </c>
      <c r="C221" s="46" t="str">
        <f>IFERROR(VLOOKUP($H221,매장구분!$B:$Z,3,0),"")</f>
        <v/>
      </c>
      <c r="D221" s="46" t="str">
        <f>IFERROR(VLOOKUP($H221,매장구분!$B:$Z,5,0),"")</f>
        <v/>
      </c>
      <c r="E221" s="46" t="str">
        <f>IFERROR(VLOOKUP($H221,매장구분!$B:$Z,9,0),"")</f>
        <v/>
      </c>
      <c r="AF221" s="47">
        <f t="shared" si="3"/>
        <v>0</v>
      </c>
    </row>
    <row r="222" spans="2:32" x14ac:dyDescent="0.3">
      <c r="B222" s="46" t="str">
        <f>IFERROR(VLOOKUP($H222,매장구분!$B:$Z,2,0),"")</f>
        <v/>
      </c>
      <c r="C222" s="46" t="str">
        <f>IFERROR(VLOOKUP($H222,매장구분!$B:$Z,3,0),"")</f>
        <v/>
      </c>
      <c r="D222" s="46" t="str">
        <f>IFERROR(VLOOKUP($H222,매장구분!$B:$Z,5,0),"")</f>
        <v/>
      </c>
      <c r="E222" s="46" t="str">
        <f>IFERROR(VLOOKUP($H222,매장구분!$B:$Z,9,0),"")</f>
        <v/>
      </c>
      <c r="AF222" s="47">
        <f t="shared" si="3"/>
        <v>0</v>
      </c>
    </row>
    <row r="223" spans="2:32" x14ac:dyDescent="0.3">
      <c r="B223" s="46" t="str">
        <f>IFERROR(VLOOKUP($H223,매장구분!$B:$Z,2,0),"")</f>
        <v/>
      </c>
      <c r="C223" s="46" t="str">
        <f>IFERROR(VLOOKUP($H223,매장구분!$B:$Z,3,0),"")</f>
        <v/>
      </c>
      <c r="D223" s="46" t="str">
        <f>IFERROR(VLOOKUP($H223,매장구분!$B:$Z,5,0),"")</f>
        <v/>
      </c>
      <c r="E223" s="46" t="str">
        <f>IFERROR(VLOOKUP($H223,매장구분!$B:$Z,9,0),"")</f>
        <v/>
      </c>
      <c r="AF223" s="47">
        <f t="shared" si="3"/>
        <v>0</v>
      </c>
    </row>
    <row r="224" spans="2:32" x14ac:dyDescent="0.3">
      <c r="B224" s="46" t="str">
        <f>IFERROR(VLOOKUP($H224,매장구분!$B:$Z,2,0),"")</f>
        <v/>
      </c>
      <c r="C224" s="46" t="str">
        <f>IFERROR(VLOOKUP($H224,매장구분!$B:$Z,3,0),"")</f>
        <v/>
      </c>
      <c r="D224" s="46" t="str">
        <f>IFERROR(VLOOKUP($H224,매장구분!$B:$Z,5,0),"")</f>
        <v/>
      </c>
      <c r="E224" s="46" t="str">
        <f>IFERROR(VLOOKUP($H224,매장구분!$B:$Z,9,0),"")</f>
        <v/>
      </c>
      <c r="AF224" s="47">
        <f t="shared" si="3"/>
        <v>0</v>
      </c>
    </row>
    <row r="225" spans="2:32" x14ac:dyDescent="0.3">
      <c r="B225" s="46" t="str">
        <f>IFERROR(VLOOKUP($H225,매장구분!$B:$Z,2,0),"")</f>
        <v/>
      </c>
      <c r="C225" s="46" t="str">
        <f>IFERROR(VLOOKUP($H225,매장구분!$B:$Z,3,0),"")</f>
        <v/>
      </c>
      <c r="D225" s="46" t="str">
        <f>IFERROR(VLOOKUP($H225,매장구분!$B:$Z,5,0),"")</f>
        <v/>
      </c>
      <c r="E225" s="46" t="str">
        <f>IFERROR(VLOOKUP($H225,매장구분!$B:$Z,9,0),"")</f>
        <v/>
      </c>
      <c r="AF225" s="47">
        <f t="shared" si="3"/>
        <v>0</v>
      </c>
    </row>
    <row r="226" spans="2:32" x14ac:dyDescent="0.3">
      <c r="B226" s="46" t="str">
        <f>IFERROR(VLOOKUP($H226,매장구분!$B:$Z,2,0),"")</f>
        <v/>
      </c>
      <c r="C226" s="46" t="str">
        <f>IFERROR(VLOOKUP($H226,매장구분!$B:$Z,3,0),"")</f>
        <v/>
      </c>
      <c r="D226" s="46" t="str">
        <f>IFERROR(VLOOKUP($H226,매장구분!$B:$Z,5,0),"")</f>
        <v/>
      </c>
      <c r="E226" s="46" t="str">
        <f>IFERROR(VLOOKUP($H226,매장구분!$B:$Z,9,0),"")</f>
        <v/>
      </c>
      <c r="AF226" s="47">
        <f t="shared" si="3"/>
        <v>0</v>
      </c>
    </row>
    <row r="227" spans="2:32" x14ac:dyDescent="0.3">
      <c r="B227" s="46" t="str">
        <f>IFERROR(VLOOKUP($H227,매장구분!$B:$Z,2,0),"")</f>
        <v/>
      </c>
      <c r="C227" s="46" t="str">
        <f>IFERROR(VLOOKUP($H227,매장구분!$B:$Z,3,0),"")</f>
        <v/>
      </c>
      <c r="D227" s="46" t="str">
        <f>IFERROR(VLOOKUP($H227,매장구분!$B:$Z,5,0),"")</f>
        <v/>
      </c>
      <c r="E227" s="46" t="str">
        <f>IFERROR(VLOOKUP($H227,매장구분!$B:$Z,9,0),"")</f>
        <v/>
      </c>
      <c r="AF227" s="47">
        <f t="shared" si="3"/>
        <v>0</v>
      </c>
    </row>
    <row r="228" spans="2:32" x14ac:dyDescent="0.3">
      <c r="B228" s="46" t="str">
        <f>IFERROR(VLOOKUP($H228,매장구분!$B:$Z,2,0),"")</f>
        <v/>
      </c>
      <c r="C228" s="46" t="str">
        <f>IFERROR(VLOOKUP($H228,매장구분!$B:$Z,3,0),"")</f>
        <v/>
      </c>
      <c r="D228" s="46" t="str">
        <f>IFERROR(VLOOKUP($H228,매장구분!$B:$Z,5,0),"")</f>
        <v/>
      </c>
      <c r="E228" s="46" t="str">
        <f>IFERROR(VLOOKUP($H228,매장구분!$B:$Z,9,0),"")</f>
        <v/>
      </c>
      <c r="AF228" s="47">
        <f t="shared" si="3"/>
        <v>0</v>
      </c>
    </row>
    <row r="229" spans="2:32" x14ac:dyDescent="0.3">
      <c r="B229" s="46" t="str">
        <f>IFERROR(VLOOKUP($H229,매장구분!$B:$Z,2,0),"")</f>
        <v/>
      </c>
      <c r="C229" s="46" t="str">
        <f>IFERROR(VLOOKUP($H229,매장구분!$B:$Z,3,0),"")</f>
        <v/>
      </c>
      <c r="D229" s="46" t="str">
        <f>IFERROR(VLOOKUP($H229,매장구분!$B:$Z,5,0),"")</f>
        <v/>
      </c>
      <c r="E229" s="46" t="str">
        <f>IFERROR(VLOOKUP($H229,매장구분!$B:$Z,9,0),"")</f>
        <v/>
      </c>
      <c r="AF229" s="47">
        <f t="shared" si="3"/>
        <v>0</v>
      </c>
    </row>
    <row r="230" spans="2:32" x14ac:dyDescent="0.3">
      <c r="B230" s="46" t="str">
        <f>IFERROR(VLOOKUP($H230,매장구분!$B:$Z,2,0),"")</f>
        <v/>
      </c>
      <c r="C230" s="46" t="str">
        <f>IFERROR(VLOOKUP($H230,매장구분!$B:$Z,3,0),"")</f>
        <v/>
      </c>
      <c r="D230" s="46" t="str">
        <f>IFERROR(VLOOKUP($H230,매장구분!$B:$Z,5,0),"")</f>
        <v/>
      </c>
      <c r="E230" s="46" t="str">
        <f>IFERROR(VLOOKUP($H230,매장구분!$B:$Z,9,0),"")</f>
        <v/>
      </c>
      <c r="AF230" s="47">
        <f t="shared" si="3"/>
        <v>0</v>
      </c>
    </row>
    <row r="231" spans="2:32" x14ac:dyDescent="0.3">
      <c r="B231" s="46" t="str">
        <f>IFERROR(VLOOKUP($H231,매장구분!$B:$Z,2,0),"")</f>
        <v/>
      </c>
      <c r="C231" s="46" t="str">
        <f>IFERROR(VLOOKUP($H231,매장구분!$B:$Z,3,0),"")</f>
        <v/>
      </c>
      <c r="D231" s="46" t="str">
        <f>IFERROR(VLOOKUP($H231,매장구분!$B:$Z,5,0),"")</f>
        <v/>
      </c>
      <c r="E231" s="46" t="str">
        <f>IFERROR(VLOOKUP($H231,매장구분!$B:$Z,9,0),"")</f>
        <v/>
      </c>
      <c r="AF231" s="47">
        <f t="shared" si="3"/>
        <v>0</v>
      </c>
    </row>
    <row r="232" spans="2:32" x14ac:dyDescent="0.3">
      <c r="B232" s="46" t="str">
        <f>IFERROR(VLOOKUP($H232,매장구분!$B:$Z,2,0),"")</f>
        <v/>
      </c>
      <c r="C232" s="46" t="str">
        <f>IFERROR(VLOOKUP($H232,매장구분!$B:$Z,3,0),"")</f>
        <v/>
      </c>
      <c r="D232" s="46" t="str">
        <f>IFERROR(VLOOKUP($H232,매장구분!$B:$Z,5,0),"")</f>
        <v/>
      </c>
      <c r="E232" s="46" t="str">
        <f>IFERROR(VLOOKUP($H232,매장구분!$B:$Z,9,0),"")</f>
        <v/>
      </c>
      <c r="AF232" s="47">
        <f t="shared" si="3"/>
        <v>0</v>
      </c>
    </row>
    <row r="233" spans="2:32" x14ac:dyDescent="0.3">
      <c r="B233" s="46" t="str">
        <f>IFERROR(VLOOKUP($H233,매장구분!$B:$Z,2,0),"")</f>
        <v/>
      </c>
      <c r="C233" s="46" t="str">
        <f>IFERROR(VLOOKUP($H233,매장구분!$B:$Z,3,0),"")</f>
        <v/>
      </c>
      <c r="D233" s="46" t="str">
        <f>IFERROR(VLOOKUP($H233,매장구분!$B:$Z,5,0),"")</f>
        <v/>
      </c>
      <c r="E233" s="46" t="str">
        <f>IFERROR(VLOOKUP($H233,매장구분!$B:$Z,9,0),"")</f>
        <v/>
      </c>
      <c r="AF233" s="47">
        <f t="shared" si="3"/>
        <v>0</v>
      </c>
    </row>
    <row r="234" spans="2:32" x14ac:dyDescent="0.3">
      <c r="B234" s="46" t="str">
        <f>IFERROR(VLOOKUP($H234,매장구분!$B:$Z,2,0),"")</f>
        <v/>
      </c>
      <c r="C234" s="46" t="str">
        <f>IFERROR(VLOOKUP($H234,매장구분!$B:$Z,3,0),"")</f>
        <v/>
      </c>
      <c r="D234" s="46" t="str">
        <f>IFERROR(VLOOKUP($H234,매장구분!$B:$Z,5,0),"")</f>
        <v/>
      </c>
      <c r="E234" s="46" t="str">
        <f>IFERROR(VLOOKUP($H234,매장구분!$B:$Z,9,0),"")</f>
        <v/>
      </c>
      <c r="AF234" s="47">
        <f t="shared" si="3"/>
        <v>0</v>
      </c>
    </row>
    <row r="235" spans="2:32" x14ac:dyDescent="0.3">
      <c r="B235" s="46" t="str">
        <f>IFERROR(VLOOKUP($H235,매장구분!$B:$Z,2,0),"")</f>
        <v/>
      </c>
      <c r="C235" s="46" t="str">
        <f>IFERROR(VLOOKUP($H235,매장구분!$B:$Z,3,0),"")</f>
        <v/>
      </c>
      <c r="D235" s="46" t="str">
        <f>IFERROR(VLOOKUP($H235,매장구분!$B:$Z,5,0),"")</f>
        <v/>
      </c>
      <c r="E235" s="46" t="str">
        <f>IFERROR(VLOOKUP($H235,매장구분!$B:$Z,9,0),"")</f>
        <v/>
      </c>
      <c r="AF235" s="47">
        <f t="shared" si="3"/>
        <v>0</v>
      </c>
    </row>
    <row r="236" spans="2:32" x14ac:dyDescent="0.3">
      <c r="B236" s="46" t="str">
        <f>IFERROR(VLOOKUP($H236,매장구분!$B:$Z,2,0),"")</f>
        <v/>
      </c>
      <c r="C236" s="46" t="str">
        <f>IFERROR(VLOOKUP($H236,매장구분!$B:$Z,3,0),"")</f>
        <v/>
      </c>
      <c r="D236" s="46" t="str">
        <f>IFERROR(VLOOKUP($H236,매장구분!$B:$Z,5,0),"")</f>
        <v/>
      </c>
      <c r="E236" s="46" t="str">
        <f>IFERROR(VLOOKUP($H236,매장구분!$B:$Z,9,0),"")</f>
        <v/>
      </c>
      <c r="AF236" s="47">
        <f t="shared" si="3"/>
        <v>0</v>
      </c>
    </row>
    <row r="237" spans="2:32" x14ac:dyDescent="0.3">
      <c r="B237" s="46" t="str">
        <f>IFERROR(VLOOKUP($H237,매장구분!$B:$Z,2,0),"")</f>
        <v/>
      </c>
      <c r="C237" s="46" t="str">
        <f>IFERROR(VLOOKUP($H237,매장구분!$B:$Z,3,0),"")</f>
        <v/>
      </c>
      <c r="D237" s="46" t="str">
        <f>IFERROR(VLOOKUP($H237,매장구분!$B:$Z,5,0),"")</f>
        <v/>
      </c>
      <c r="E237" s="46" t="str">
        <f>IFERROR(VLOOKUP($H237,매장구분!$B:$Z,9,0),"")</f>
        <v/>
      </c>
      <c r="AF237" s="47">
        <f t="shared" si="3"/>
        <v>0</v>
      </c>
    </row>
    <row r="238" spans="2:32" x14ac:dyDescent="0.3">
      <c r="B238" s="46" t="str">
        <f>IFERROR(VLOOKUP($H238,매장구분!$B:$Z,2,0),"")</f>
        <v/>
      </c>
      <c r="C238" s="46" t="str">
        <f>IFERROR(VLOOKUP($H238,매장구분!$B:$Z,3,0),"")</f>
        <v/>
      </c>
      <c r="D238" s="46" t="str">
        <f>IFERROR(VLOOKUP($H238,매장구분!$B:$Z,5,0),"")</f>
        <v/>
      </c>
      <c r="E238" s="46" t="str">
        <f>IFERROR(VLOOKUP($H238,매장구분!$B:$Z,9,0),"")</f>
        <v/>
      </c>
      <c r="AF238" s="47">
        <f t="shared" si="3"/>
        <v>0</v>
      </c>
    </row>
    <row r="239" spans="2:32" x14ac:dyDescent="0.3">
      <c r="B239" s="46" t="str">
        <f>IFERROR(VLOOKUP($H239,매장구분!$B:$Z,2,0),"")</f>
        <v/>
      </c>
      <c r="C239" s="46" t="str">
        <f>IFERROR(VLOOKUP($H239,매장구분!$B:$Z,3,0),"")</f>
        <v/>
      </c>
      <c r="D239" s="46" t="str">
        <f>IFERROR(VLOOKUP($H239,매장구분!$B:$Z,5,0),"")</f>
        <v/>
      </c>
      <c r="E239" s="46" t="str">
        <f>IFERROR(VLOOKUP($H239,매장구분!$B:$Z,9,0),"")</f>
        <v/>
      </c>
      <c r="AF239" s="47">
        <f t="shared" si="3"/>
        <v>0</v>
      </c>
    </row>
    <row r="240" spans="2:32" x14ac:dyDescent="0.3">
      <c r="B240" s="46" t="str">
        <f>IFERROR(VLOOKUP($H240,매장구분!$B:$Z,2,0),"")</f>
        <v/>
      </c>
      <c r="C240" s="46" t="str">
        <f>IFERROR(VLOOKUP($H240,매장구분!$B:$Z,3,0),"")</f>
        <v/>
      </c>
      <c r="D240" s="46" t="str">
        <f>IFERROR(VLOOKUP($H240,매장구분!$B:$Z,5,0),"")</f>
        <v/>
      </c>
      <c r="E240" s="46" t="str">
        <f>IFERROR(VLOOKUP($H240,매장구분!$B:$Z,9,0),"")</f>
        <v/>
      </c>
      <c r="AF240" s="47">
        <f t="shared" si="3"/>
        <v>0</v>
      </c>
    </row>
    <row r="241" spans="2:32" x14ac:dyDescent="0.3">
      <c r="B241" s="46" t="str">
        <f>IFERROR(VLOOKUP($H241,매장구분!$B:$Z,2,0),"")</f>
        <v/>
      </c>
      <c r="C241" s="46" t="str">
        <f>IFERROR(VLOOKUP($H241,매장구분!$B:$Z,3,0),"")</f>
        <v/>
      </c>
      <c r="D241" s="46" t="str">
        <f>IFERROR(VLOOKUP($H241,매장구분!$B:$Z,5,0),"")</f>
        <v/>
      </c>
      <c r="E241" s="46" t="str">
        <f>IFERROR(VLOOKUP($H241,매장구분!$B:$Z,9,0),"")</f>
        <v/>
      </c>
      <c r="AF241" s="47">
        <f t="shared" si="3"/>
        <v>0</v>
      </c>
    </row>
    <row r="242" spans="2:32" x14ac:dyDescent="0.3">
      <c r="B242" s="46" t="str">
        <f>IFERROR(VLOOKUP($H242,매장구분!$B:$Z,2,0),"")</f>
        <v/>
      </c>
      <c r="C242" s="46" t="str">
        <f>IFERROR(VLOOKUP($H242,매장구분!$B:$Z,3,0),"")</f>
        <v/>
      </c>
      <c r="D242" s="46" t="str">
        <f>IFERROR(VLOOKUP($H242,매장구분!$B:$Z,5,0),"")</f>
        <v/>
      </c>
      <c r="E242" s="46" t="str">
        <f>IFERROR(VLOOKUP($H242,매장구분!$B:$Z,9,0),"")</f>
        <v/>
      </c>
      <c r="AF242" s="47">
        <f t="shared" si="3"/>
        <v>0</v>
      </c>
    </row>
    <row r="243" spans="2:32" x14ac:dyDescent="0.3">
      <c r="B243" s="46" t="str">
        <f>IFERROR(VLOOKUP($H243,매장구분!$B:$Z,2,0),"")</f>
        <v/>
      </c>
      <c r="C243" s="46" t="str">
        <f>IFERROR(VLOOKUP($H243,매장구분!$B:$Z,3,0),"")</f>
        <v/>
      </c>
      <c r="D243" s="46" t="str">
        <f>IFERROR(VLOOKUP($H243,매장구분!$B:$Z,5,0),"")</f>
        <v/>
      </c>
      <c r="E243" s="46" t="str">
        <f>IFERROR(VLOOKUP($H243,매장구분!$B:$Z,9,0),"")</f>
        <v/>
      </c>
      <c r="AF243" s="47">
        <f t="shared" si="3"/>
        <v>0</v>
      </c>
    </row>
    <row r="244" spans="2:32" x14ac:dyDescent="0.3">
      <c r="B244" s="46" t="str">
        <f>IFERROR(VLOOKUP($H244,매장구분!$B:$Z,2,0),"")</f>
        <v/>
      </c>
      <c r="C244" s="46" t="str">
        <f>IFERROR(VLOOKUP($H244,매장구분!$B:$Z,3,0),"")</f>
        <v/>
      </c>
      <c r="D244" s="46" t="str">
        <f>IFERROR(VLOOKUP($H244,매장구분!$B:$Z,5,0),"")</f>
        <v/>
      </c>
      <c r="E244" s="46" t="str">
        <f>IFERROR(VLOOKUP($H244,매장구분!$B:$Z,9,0),"")</f>
        <v/>
      </c>
      <c r="AF244" s="47">
        <f t="shared" si="3"/>
        <v>0</v>
      </c>
    </row>
    <row r="245" spans="2:32" x14ac:dyDescent="0.3">
      <c r="B245" s="46" t="str">
        <f>IFERROR(VLOOKUP($H245,매장구분!$B:$Z,2,0),"")</f>
        <v/>
      </c>
      <c r="C245" s="46" t="str">
        <f>IFERROR(VLOOKUP($H245,매장구분!$B:$Z,3,0),"")</f>
        <v/>
      </c>
      <c r="D245" s="46" t="str">
        <f>IFERROR(VLOOKUP($H245,매장구분!$B:$Z,5,0),"")</f>
        <v/>
      </c>
      <c r="E245" s="46" t="str">
        <f>IFERROR(VLOOKUP($H245,매장구분!$B:$Z,9,0),"")</f>
        <v/>
      </c>
      <c r="AF245" s="47">
        <f t="shared" si="3"/>
        <v>0</v>
      </c>
    </row>
    <row r="246" spans="2:32" x14ac:dyDescent="0.3">
      <c r="B246" s="46" t="str">
        <f>IFERROR(VLOOKUP($H246,매장구분!$B:$Z,2,0),"")</f>
        <v/>
      </c>
      <c r="C246" s="46" t="str">
        <f>IFERROR(VLOOKUP($H246,매장구분!$B:$Z,3,0),"")</f>
        <v/>
      </c>
      <c r="D246" s="46" t="str">
        <f>IFERROR(VLOOKUP($H246,매장구분!$B:$Z,5,0),"")</f>
        <v/>
      </c>
      <c r="E246" s="46" t="str">
        <f>IFERROR(VLOOKUP($H246,매장구분!$B:$Z,9,0),"")</f>
        <v/>
      </c>
      <c r="AF246" s="47">
        <f t="shared" si="3"/>
        <v>0</v>
      </c>
    </row>
    <row r="247" spans="2:32" x14ac:dyDescent="0.3">
      <c r="B247" s="46" t="str">
        <f>IFERROR(VLOOKUP($H247,매장구분!$B:$Z,2,0),"")</f>
        <v/>
      </c>
      <c r="C247" s="46" t="str">
        <f>IFERROR(VLOOKUP($H247,매장구분!$B:$Z,3,0),"")</f>
        <v/>
      </c>
      <c r="D247" s="46" t="str">
        <f>IFERROR(VLOOKUP($H247,매장구분!$B:$Z,5,0),"")</f>
        <v/>
      </c>
      <c r="E247" s="46" t="str">
        <f>IFERROR(VLOOKUP($H247,매장구분!$B:$Z,9,0),"")</f>
        <v/>
      </c>
      <c r="AF247" s="47">
        <f t="shared" si="3"/>
        <v>0</v>
      </c>
    </row>
    <row r="248" spans="2:32" x14ac:dyDescent="0.3">
      <c r="B248" s="46" t="str">
        <f>IFERROR(VLOOKUP($H248,매장구분!$B:$Z,2,0),"")</f>
        <v/>
      </c>
      <c r="C248" s="46" t="str">
        <f>IFERROR(VLOOKUP($H248,매장구분!$B:$Z,3,0),"")</f>
        <v/>
      </c>
      <c r="D248" s="46" t="str">
        <f>IFERROR(VLOOKUP($H248,매장구분!$B:$Z,5,0),"")</f>
        <v/>
      </c>
      <c r="E248" s="46" t="str">
        <f>IFERROR(VLOOKUP($H248,매장구분!$B:$Z,9,0),"")</f>
        <v/>
      </c>
      <c r="AF248" s="47">
        <f t="shared" si="3"/>
        <v>0</v>
      </c>
    </row>
    <row r="249" spans="2:32" x14ac:dyDescent="0.3">
      <c r="B249" s="46" t="str">
        <f>IFERROR(VLOOKUP($H249,매장구분!$B:$Z,2,0),"")</f>
        <v/>
      </c>
      <c r="C249" s="46" t="str">
        <f>IFERROR(VLOOKUP($H249,매장구분!$B:$Z,3,0),"")</f>
        <v/>
      </c>
      <c r="D249" s="46" t="str">
        <f>IFERROR(VLOOKUP($H249,매장구분!$B:$Z,5,0),"")</f>
        <v/>
      </c>
      <c r="E249" s="46" t="str">
        <f>IFERROR(VLOOKUP($H249,매장구분!$B:$Z,9,0),"")</f>
        <v/>
      </c>
      <c r="AF249" s="47">
        <f t="shared" si="3"/>
        <v>0</v>
      </c>
    </row>
    <row r="250" spans="2:32" x14ac:dyDescent="0.3">
      <c r="B250" s="46" t="str">
        <f>IFERROR(VLOOKUP($H250,매장구분!$B:$Z,2,0),"")</f>
        <v/>
      </c>
      <c r="C250" s="46" t="str">
        <f>IFERROR(VLOOKUP($H250,매장구분!$B:$Z,3,0),"")</f>
        <v/>
      </c>
      <c r="D250" s="46" t="str">
        <f>IFERROR(VLOOKUP($H250,매장구분!$B:$Z,5,0),"")</f>
        <v/>
      </c>
      <c r="E250" s="46" t="str">
        <f>IFERROR(VLOOKUP($H250,매장구분!$B:$Z,9,0),"")</f>
        <v/>
      </c>
      <c r="AF250" s="47">
        <f t="shared" si="3"/>
        <v>0</v>
      </c>
    </row>
    <row r="251" spans="2:32" x14ac:dyDescent="0.3">
      <c r="B251" s="46" t="str">
        <f>IFERROR(VLOOKUP($H251,매장구분!$B:$Z,2,0),"")</f>
        <v/>
      </c>
      <c r="C251" s="46" t="str">
        <f>IFERROR(VLOOKUP($H251,매장구분!$B:$Z,3,0),"")</f>
        <v/>
      </c>
      <c r="D251" s="46" t="str">
        <f>IFERROR(VLOOKUP($H251,매장구분!$B:$Z,5,0),"")</f>
        <v/>
      </c>
      <c r="E251" s="46" t="str">
        <f>IFERROR(VLOOKUP($H251,매장구분!$B:$Z,9,0),"")</f>
        <v/>
      </c>
      <c r="AF251" s="47">
        <f t="shared" si="3"/>
        <v>0</v>
      </c>
    </row>
    <row r="252" spans="2:32" x14ac:dyDescent="0.3">
      <c r="B252" s="46" t="str">
        <f>IFERROR(VLOOKUP($H252,매장구분!$B:$Z,2,0),"")</f>
        <v/>
      </c>
      <c r="C252" s="46" t="str">
        <f>IFERROR(VLOOKUP($H252,매장구분!$B:$Z,3,0),"")</f>
        <v/>
      </c>
      <c r="D252" s="46" t="str">
        <f>IFERROR(VLOOKUP($H252,매장구분!$B:$Z,5,0),"")</f>
        <v/>
      </c>
      <c r="E252" s="46" t="str">
        <f>IFERROR(VLOOKUP($H252,매장구분!$B:$Z,9,0),"")</f>
        <v/>
      </c>
      <c r="AF252" s="47">
        <f t="shared" si="3"/>
        <v>0</v>
      </c>
    </row>
    <row r="253" spans="2:32" x14ac:dyDescent="0.3">
      <c r="B253" s="46" t="str">
        <f>IFERROR(VLOOKUP($H253,매장구분!$B:$Z,2,0),"")</f>
        <v/>
      </c>
      <c r="C253" s="46" t="str">
        <f>IFERROR(VLOOKUP($H253,매장구분!$B:$Z,3,0),"")</f>
        <v/>
      </c>
      <c r="D253" s="46" t="str">
        <f>IFERROR(VLOOKUP($H253,매장구분!$B:$Z,5,0),"")</f>
        <v/>
      </c>
      <c r="E253" s="46" t="str">
        <f>IFERROR(VLOOKUP($H253,매장구분!$B:$Z,9,0),"")</f>
        <v/>
      </c>
      <c r="AF253" s="47">
        <f t="shared" si="3"/>
        <v>0</v>
      </c>
    </row>
    <row r="254" spans="2:32" x14ac:dyDescent="0.3">
      <c r="B254" s="46" t="str">
        <f>IFERROR(VLOOKUP($H254,매장구분!$B:$Z,2,0),"")</f>
        <v/>
      </c>
      <c r="C254" s="46" t="str">
        <f>IFERROR(VLOOKUP($H254,매장구분!$B:$Z,3,0),"")</f>
        <v/>
      </c>
      <c r="D254" s="46" t="str">
        <f>IFERROR(VLOOKUP($H254,매장구분!$B:$Z,5,0),"")</f>
        <v/>
      </c>
      <c r="E254" s="46" t="str">
        <f>IFERROR(VLOOKUP($H254,매장구분!$B:$Z,9,0),"")</f>
        <v/>
      </c>
      <c r="AF254" s="47">
        <f t="shared" si="3"/>
        <v>0</v>
      </c>
    </row>
    <row r="255" spans="2:32" x14ac:dyDescent="0.3">
      <c r="B255" s="46" t="str">
        <f>IFERROR(VLOOKUP($H255,매장구분!$B:$Z,2,0),"")</f>
        <v/>
      </c>
      <c r="C255" s="46" t="str">
        <f>IFERROR(VLOOKUP($H255,매장구분!$B:$Z,3,0),"")</f>
        <v/>
      </c>
      <c r="D255" s="46" t="str">
        <f>IFERROR(VLOOKUP($H255,매장구분!$B:$Z,5,0),"")</f>
        <v/>
      </c>
      <c r="E255" s="46" t="str">
        <f>IFERROR(VLOOKUP($H255,매장구분!$B:$Z,9,0),"")</f>
        <v/>
      </c>
      <c r="AF255" s="47">
        <f t="shared" si="3"/>
        <v>0</v>
      </c>
    </row>
    <row r="256" spans="2:32" x14ac:dyDescent="0.3">
      <c r="B256" s="46" t="str">
        <f>IFERROR(VLOOKUP($H256,매장구분!$B:$Z,2,0),"")</f>
        <v/>
      </c>
      <c r="C256" s="46" t="str">
        <f>IFERROR(VLOOKUP($H256,매장구분!$B:$Z,3,0),"")</f>
        <v/>
      </c>
      <c r="D256" s="46" t="str">
        <f>IFERROR(VLOOKUP($H256,매장구분!$B:$Z,5,0),"")</f>
        <v/>
      </c>
      <c r="E256" s="46" t="str">
        <f>IFERROR(VLOOKUP($H256,매장구분!$B:$Z,9,0),"")</f>
        <v/>
      </c>
      <c r="AF256" s="47">
        <f t="shared" si="3"/>
        <v>0</v>
      </c>
    </row>
    <row r="257" spans="2:32" x14ac:dyDescent="0.3">
      <c r="B257" s="46" t="str">
        <f>IFERROR(VLOOKUP($H257,매장구분!$B:$Z,2,0),"")</f>
        <v/>
      </c>
      <c r="C257" s="46" t="str">
        <f>IFERROR(VLOOKUP($H257,매장구분!$B:$Z,3,0),"")</f>
        <v/>
      </c>
      <c r="D257" s="46" t="str">
        <f>IFERROR(VLOOKUP($H257,매장구분!$B:$Z,5,0),"")</f>
        <v/>
      </c>
      <c r="E257" s="46" t="str">
        <f>IFERROR(VLOOKUP($H257,매장구분!$B:$Z,9,0),"")</f>
        <v/>
      </c>
      <c r="AF257" s="47">
        <f t="shared" si="3"/>
        <v>0</v>
      </c>
    </row>
    <row r="258" spans="2:32" x14ac:dyDescent="0.3">
      <c r="B258" s="46" t="str">
        <f>IFERROR(VLOOKUP($H258,매장구분!$B:$Z,2,0),"")</f>
        <v/>
      </c>
      <c r="C258" s="46" t="str">
        <f>IFERROR(VLOOKUP($H258,매장구분!$B:$Z,3,0),"")</f>
        <v/>
      </c>
      <c r="D258" s="46" t="str">
        <f>IFERROR(VLOOKUP($H258,매장구분!$B:$Z,5,0),"")</f>
        <v/>
      </c>
      <c r="E258" s="46" t="str">
        <f>IFERROR(VLOOKUP($H258,매장구분!$B:$Z,9,0),"")</f>
        <v/>
      </c>
      <c r="AF258" s="47">
        <f t="shared" si="3"/>
        <v>0</v>
      </c>
    </row>
    <row r="259" spans="2:32" x14ac:dyDescent="0.3">
      <c r="B259" s="46" t="str">
        <f>IFERROR(VLOOKUP($H259,매장구분!$B:$Z,2,0),"")</f>
        <v/>
      </c>
      <c r="C259" s="46" t="str">
        <f>IFERROR(VLOOKUP($H259,매장구분!$B:$Z,3,0),"")</f>
        <v/>
      </c>
      <c r="D259" s="46" t="str">
        <f>IFERROR(VLOOKUP($H259,매장구분!$B:$Z,5,0),"")</f>
        <v/>
      </c>
      <c r="E259" s="46" t="str">
        <f>IFERROR(VLOOKUP($H259,매장구분!$B:$Z,9,0),"")</f>
        <v/>
      </c>
      <c r="AF259" s="47">
        <f t="shared" ref="AF259:AF322" si="4">IFERROR(AC259-Y259,"")</f>
        <v>0</v>
      </c>
    </row>
    <row r="260" spans="2:32" x14ac:dyDescent="0.3">
      <c r="B260" s="46" t="str">
        <f>IFERROR(VLOOKUP($H260,매장구분!$B:$Z,2,0),"")</f>
        <v/>
      </c>
      <c r="C260" s="46" t="str">
        <f>IFERROR(VLOOKUP($H260,매장구분!$B:$Z,3,0),"")</f>
        <v/>
      </c>
      <c r="D260" s="46" t="str">
        <f>IFERROR(VLOOKUP($H260,매장구분!$B:$Z,5,0),"")</f>
        <v/>
      </c>
      <c r="E260" s="46" t="str">
        <f>IFERROR(VLOOKUP($H260,매장구분!$B:$Z,9,0),"")</f>
        <v/>
      </c>
      <c r="AF260" s="47">
        <f t="shared" si="4"/>
        <v>0</v>
      </c>
    </row>
    <row r="261" spans="2:32" x14ac:dyDescent="0.3">
      <c r="B261" s="46" t="str">
        <f>IFERROR(VLOOKUP($H261,매장구분!$B:$Z,2,0),"")</f>
        <v/>
      </c>
      <c r="C261" s="46" t="str">
        <f>IFERROR(VLOOKUP($H261,매장구분!$B:$Z,3,0),"")</f>
        <v/>
      </c>
      <c r="D261" s="46" t="str">
        <f>IFERROR(VLOOKUP($H261,매장구분!$B:$Z,5,0),"")</f>
        <v/>
      </c>
      <c r="E261" s="46" t="str">
        <f>IFERROR(VLOOKUP($H261,매장구분!$B:$Z,9,0),"")</f>
        <v/>
      </c>
      <c r="AF261" s="47">
        <f t="shared" si="4"/>
        <v>0</v>
      </c>
    </row>
    <row r="262" spans="2:32" x14ac:dyDescent="0.3">
      <c r="B262" s="46" t="str">
        <f>IFERROR(VLOOKUP($H262,매장구분!$B:$Z,2,0),"")</f>
        <v/>
      </c>
      <c r="C262" s="46" t="str">
        <f>IFERROR(VLOOKUP($H262,매장구분!$B:$Z,3,0),"")</f>
        <v/>
      </c>
      <c r="D262" s="46" t="str">
        <f>IFERROR(VLOOKUP($H262,매장구분!$B:$Z,5,0),"")</f>
        <v/>
      </c>
      <c r="E262" s="46" t="str">
        <f>IFERROR(VLOOKUP($H262,매장구분!$B:$Z,9,0),"")</f>
        <v/>
      </c>
      <c r="AF262" s="47">
        <f t="shared" si="4"/>
        <v>0</v>
      </c>
    </row>
    <row r="263" spans="2:32" x14ac:dyDescent="0.3">
      <c r="B263" s="46" t="str">
        <f>IFERROR(VLOOKUP($H263,매장구분!$B:$Z,2,0),"")</f>
        <v/>
      </c>
      <c r="C263" s="46" t="str">
        <f>IFERROR(VLOOKUP($H263,매장구분!$B:$Z,3,0),"")</f>
        <v/>
      </c>
      <c r="D263" s="46" t="str">
        <f>IFERROR(VLOOKUP($H263,매장구분!$B:$Z,5,0),"")</f>
        <v/>
      </c>
      <c r="E263" s="46" t="str">
        <f>IFERROR(VLOOKUP($H263,매장구분!$B:$Z,9,0),"")</f>
        <v/>
      </c>
      <c r="AF263" s="47">
        <f t="shared" si="4"/>
        <v>0</v>
      </c>
    </row>
    <row r="264" spans="2:32" x14ac:dyDescent="0.3">
      <c r="B264" s="46" t="str">
        <f>IFERROR(VLOOKUP($H264,매장구분!$B:$Z,2,0),"")</f>
        <v/>
      </c>
      <c r="C264" s="46" t="str">
        <f>IFERROR(VLOOKUP($H264,매장구분!$B:$Z,3,0),"")</f>
        <v/>
      </c>
      <c r="D264" s="46" t="str">
        <f>IFERROR(VLOOKUP($H264,매장구분!$B:$Z,5,0),"")</f>
        <v/>
      </c>
      <c r="E264" s="46" t="str">
        <f>IFERROR(VLOOKUP($H264,매장구분!$B:$Z,9,0),"")</f>
        <v/>
      </c>
      <c r="AF264" s="47">
        <f t="shared" si="4"/>
        <v>0</v>
      </c>
    </row>
    <row r="265" spans="2:32" x14ac:dyDescent="0.3">
      <c r="B265" s="46" t="str">
        <f>IFERROR(VLOOKUP($H265,매장구분!$B:$Z,2,0),"")</f>
        <v/>
      </c>
      <c r="C265" s="46" t="str">
        <f>IFERROR(VLOOKUP($H265,매장구분!$B:$Z,3,0),"")</f>
        <v/>
      </c>
      <c r="D265" s="46" t="str">
        <f>IFERROR(VLOOKUP($H265,매장구분!$B:$Z,5,0),"")</f>
        <v/>
      </c>
      <c r="E265" s="46" t="str">
        <f>IFERROR(VLOOKUP($H265,매장구분!$B:$Z,9,0),"")</f>
        <v/>
      </c>
      <c r="AF265" s="47">
        <f t="shared" si="4"/>
        <v>0</v>
      </c>
    </row>
    <row r="266" spans="2:32" x14ac:dyDescent="0.3">
      <c r="B266" s="46" t="str">
        <f>IFERROR(VLOOKUP($H266,매장구분!$B:$Z,2,0),"")</f>
        <v/>
      </c>
      <c r="C266" s="46" t="str">
        <f>IFERROR(VLOOKUP($H266,매장구분!$B:$Z,3,0),"")</f>
        <v/>
      </c>
      <c r="D266" s="46" t="str">
        <f>IFERROR(VLOOKUP($H266,매장구분!$B:$Z,5,0),"")</f>
        <v/>
      </c>
      <c r="E266" s="46" t="str">
        <f>IFERROR(VLOOKUP($H266,매장구분!$B:$Z,9,0),"")</f>
        <v/>
      </c>
      <c r="AF266" s="47">
        <f t="shared" si="4"/>
        <v>0</v>
      </c>
    </row>
    <row r="267" spans="2:32" x14ac:dyDescent="0.3">
      <c r="B267" s="46" t="str">
        <f>IFERROR(VLOOKUP($H267,매장구분!$B:$Z,2,0),"")</f>
        <v/>
      </c>
      <c r="C267" s="46" t="str">
        <f>IFERROR(VLOOKUP($H267,매장구분!$B:$Z,3,0),"")</f>
        <v/>
      </c>
      <c r="D267" s="46" t="str">
        <f>IFERROR(VLOOKUP($H267,매장구분!$B:$Z,5,0),"")</f>
        <v/>
      </c>
      <c r="E267" s="46" t="str">
        <f>IFERROR(VLOOKUP($H267,매장구분!$B:$Z,9,0),"")</f>
        <v/>
      </c>
      <c r="AF267" s="47">
        <f t="shared" si="4"/>
        <v>0</v>
      </c>
    </row>
    <row r="268" spans="2:32" x14ac:dyDescent="0.3">
      <c r="B268" s="46" t="str">
        <f>IFERROR(VLOOKUP($H268,매장구분!$B:$Z,2,0),"")</f>
        <v/>
      </c>
      <c r="C268" s="46" t="str">
        <f>IFERROR(VLOOKUP($H268,매장구분!$B:$Z,3,0),"")</f>
        <v/>
      </c>
      <c r="D268" s="46" t="str">
        <f>IFERROR(VLOOKUP($H268,매장구분!$B:$Z,5,0),"")</f>
        <v/>
      </c>
      <c r="E268" s="46" t="str">
        <f>IFERROR(VLOOKUP($H268,매장구분!$B:$Z,9,0),"")</f>
        <v/>
      </c>
      <c r="AF268" s="47">
        <f t="shared" si="4"/>
        <v>0</v>
      </c>
    </row>
    <row r="269" spans="2:32" x14ac:dyDescent="0.3">
      <c r="B269" s="46" t="str">
        <f>IFERROR(VLOOKUP($H269,매장구분!$B:$Z,2,0),"")</f>
        <v/>
      </c>
      <c r="C269" s="46" t="str">
        <f>IFERROR(VLOOKUP($H269,매장구분!$B:$Z,3,0),"")</f>
        <v/>
      </c>
      <c r="D269" s="46" t="str">
        <f>IFERROR(VLOOKUP($H269,매장구분!$B:$Z,5,0),"")</f>
        <v/>
      </c>
      <c r="E269" s="46" t="str">
        <f>IFERROR(VLOOKUP($H269,매장구분!$B:$Z,9,0),"")</f>
        <v/>
      </c>
      <c r="AF269" s="47">
        <f t="shared" si="4"/>
        <v>0</v>
      </c>
    </row>
    <row r="270" spans="2:32" x14ac:dyDescent="0.3">
      <c r="B270" s="46" t="str">
        <f>IFERROR(VLOOKUP($H270,매장구분!$B:$Z,2,0),"")</f>
        <v/>
      </c>
      <c r="C270" s="46" t="str">
        <f>IFERROR(VLOOKUP($H270,매장구분!$B:$Z,3,0),"")</f>
        <v/>
      </c>
      <c r="D270" s="46" t="str">
        <f>IFERROR(VLOOKUP($H270,매장구분!$B:$Z,5,0),"")</f>
        <v/>
      </c>
      <c r="E270" s="46" t="str">
        <f>IFERROR(VLOOKUP($H270,매장구분!$B:$Z,9,0),"")</f>
        <v/>
      </c>
      <c r="AF270" s="47">
        <f t="shared" si="4"/>
        <v>0</v>
      </c>
    </row>
    <row r="271" spans="2:32" x14ac:dyDescent="0.3">
      <c r="B271" s="46" t="str">
        <f>IFERROR(VLOOKUP($H271,매장구분!$B:$Z,2,0),"")</f>
        <v/>
      </c>
      <c r="C271" s="46" t="str">
        <f>IFERROR(VLOOKUP($H271,매장구분!$B:$Z,3,0),"")</f>
        <v/>
      </c>
      <c r="D271" s="46" t="str">
        <f>IFERROR(VLOOKUP($H271,매장구분!$B:$Z,5,0),"")</f>
        <v/>
      </c>
      <c r="E271" s="46" t="str">
        <f>IFERROR(VLOOKUP($H271,매장구분!$B:$Z,9,0),"")</f>
        <v/>
      </c>
      <c r="AF271" s="47">
        <f t="shared" si="4"/>
        <v>0</v>
      </c>
    </row>
    <row r="272" spans="2:32" x14ac:dyDescent="0.3">
      <c r="B272" s="46" t="str">
        <f>IFERROR(VLOOKUP($H272,매장구분!$B:$Z,2,0),"")</f>
        <v/>
      </c>
      <c r="C272" s="46" t="str">
        <f>IFERROR(VLOOKUP($H272,매장구분!$B:$Z,3,0),"")</f>
        <v/>
      </c>
      <c r="D272" s="46" t="str">
        <f>IFERROR(VLOOKUP($H272,매장구분!$B:$Z,5,0),"")</f>
        <v/>
      </c>
      <c r="E272" s="46" t="str">
        <f>IFERROR(VLOOKUP($H272,매장구분!$B:$Z,9,0),"")</f>
        <v/>
      </c>
      <c r="AF272" s="47">
        <f t="shared" si="4"/>
        <v>0</v>
      </c>
    </row>
    <row r="273" spans="2:32" x14ac:dyDescent="0.3">
      <c r="B273" s="46" t="str">
        <f>IFERROR(VLOOKUP($H273,매장구분!$B:$Z,2,0),"")</f>
        <v/>
      </c>
      <c r="C273" s="46" t="str">
        <f>IFERROR(VLOOKUP($H273,매장구분!$B:$Z,3,0),"")</f>
        <v/>
      </c>
      <c r="D273" s="46" t="str">
        <f>IFERROR(VLOOKUP($H273,매장구분!$B:$Z,5,0),"")</f>
        <v/>
      </c>
      <c r="E273" s="46" t="str">
        <f>IFERROR(VLOOKUP($H273,매장구분!$B:$Z,9,0),"")</f>
        <v/>
      </c>
      <c r="AF273" s="47">
        <f t="shared" si="4"/>
        <v>0</v>
      </c>
    </row>
    <row r="274" spans="2:32" x14ac:dyDescent="0.3">
      <c r="B274" s="46" t="str">
        <f>IFERROR(VLOOKUP($H274,매장구분!$B:$Z,2,0),"")</f>
        <v/>
      </c>
      <c r="C274" s="46" t="str">
        <f>IFERROR(VLOOKUP($H274,매장구분!$B:$Z,3,0),"")</f>
        <v/>
      </c>
      <c r="D274" s="46" t="str">
        <f>IFERROR(VLOOKUP($H274,매장구분!$B:$Z,5,0),"")</f>
        <v/>
      </c>
      <c r="E274" s="46" t="str">
        <f>IFERROR(VLOOKUP($H274,매장구분!$B:$Z,9,0),"")</f>
        <v/>
      </c>
      <c r="AF274" s="47">
        <f t="shared" si="4"/>
        <v>0</v>
      </c>
    </row>
    <row r="275" spans="2:32" x14ac:dyDescent="0.3">
      <c r="B275" s="46" t="str">
        <f>IFERROR(VLOOKUP($H275,매장구분!$B:$Z,2,0),"")</f>
        <v/>
      </c>
      <c r="C275" s="46" t="str">
        <f>IFERROR(VLOOKUP($H275,매장구분!$B:$Z,3,0),"")</f>
        <v/>
      </c>
      <c r="D275" s="46" t="str">
        <f>IFERROR(VLOOKUP($H275,매장구분!$B:$Z,5,0),"")</f>
        <v/>
      </c>
      <c r="E275" s="46" t="str">
        <f>IFERROR(VLOOKUP($H275,매장구분!$B:$Z,9,0),"")</f>
        <v/>
      </c>
      <c r="AF275" s="47">
        <f t="shared" si="4"/>
        <v>0</v>
      </c>
    </row>
    <row r="276" spans="2:32" x14ac:dyDescent="0.3">
      <c r="B276" s="46" t="str">
        <f>IFERROR(VLOOKUP($H276,매장구분!$B:$Z,2,0),"")</f>
        <v/>
      </c>
      <c r="C276" s="46" t="str">
        <f>IFERROR(VLOOKUP($H276,매장구분!$B:$Z,3,0),"")</f>
        <v/>
      </c>
      <c r="D276" s="46" t="str">
        <f>IFERROR(VLOOKUP($H276,매장구분!$B:$Z,5,0),"")</f>
        <v/>
      </c>
      <c r="E276" s="46" t="str">
        <f>IFERROR(VLOOKUP($H276,매장구분!$B:$Z,9,0),"")</f>
        <v/>
      </c>
      <c r="AF276" s="47">
        <f t="shared" si="4"/>
        <v>0</v>
      </c>
    </row>
    <row r="277" spans="2:32" x14ac:dyDescent="0.3">
      <c r="B277" s="46" t="str">
        <f>IFERROR(VLOOKUP($H277,매장구분!$B:$Z,2,0),"")</f>
        <v/>
      </c>
      <c r="C277" s="46" t="str">
        <f>IFERROR(VLOOKUP($H277,매장구분!$B:$Z,3,0),"")</f>
        <v/>
      </c>
      <c r="D277" s="46" t="str">
        <f>IFERROR(VLOOKUP($H277,매장구분!$B:$Z,5,0),"")</f>
        <v/>
      </c>
      <c r="E277" s="46" t="str">
        <f>IFERROR(VLOOKUP($H277,매장구분!$B:$Z,9,0),"")</f>
        <v/>
      </c>
      <c r="AF277" s="47">
        <f t="shared" si="4"/>
        <v>0</v>
      </c>
    </row>
    <row r="278" spans="2:32" x14ac:dyDescent="0.3">
      <c r="B278" s="46" t="str">
        <f>IFERROR(VLOOKUP($H278,매장구분!$B:$Z,2,0),"")</f>
        <v/>
      </c>
      <c r="C278" s="46" t="str">
        <f>IFERROR(VLOOKUP($H278,매장구분!$B:$Z,3,0),"")</f>
        <v/>
      </c>
      <c r="D278" s="46" t="str">
        <f>IFERROR(VLOOKUP($H278,매장구분!$B:$Z,5,0),"")</f>
        <v/>
      </c>
      <c r="E278" s="46" t="str">
        <f>IFERROR(VLOOKUP($H278,매장구분!$B:$Z,9,0),"")</f>
        <v/>
      </c>
      <c r="AF278" s="47">
        <f t="shared" si="4"/>
        <v>0</v>
      </c>
    </row>
    <row r="279" spans="2:32" x14ac:dyDescent="0.3">
      <c r="B279" s="46" t="str">
        <f>IFERROR(VLOOKUP($H279,매장구분!$B:$Z,2,0),"")</f>
        <v/>
      </c>
      <c r="C279" s="46" t="str">
        <f>IFERROR(VLOOKUP($H279,매장구분!$B:$Z,3,0),"")</f>
        <v/>
      </c>
      <c r="D279" s="46" t="str">
        <f>IFERROR(VLOOKUP($H279,매장구분!$B:$Z,5,0),"")</f>
        <v/>
      </c>
      <c r="E279" s="46" t="str">
        <f>IFERROR(VLOOKUP($H279,매장구분!$B:$Z,9,0),"")</f>
        <v/>
      </c>
      <c r="AF279" s="47">
        <f t="shared" si="4"/>
        <v>0</v>
      </c>
    </row>
    <row r="280" spans="2:32" x14ac:dyDescent="0.3">
      <c r="B280" s="46" t="str">
        <f>IFERROR(VLOOKUP($H280,매장구분!$B:$Z,2,0),"")</f>
        <v/>
      </c>
      <c r="C280" s="46" t="str">
        <f>IFERROR(VLOOKUP($H280,매장구분!$B:$Z,3,0),"")</f>
        <v/>
      </c>
      <c r="D280" s="46" t="str">
        <f>IFERROR(VLOOKUP($H280,매장구분!$B:$Z,5,0),"")</f>
        <v/>
      </c>
      <c r="E280" s="46" t="str">
        <f>IFERROR(VLOOKUP($H280,매장구분!$B:$Z,9,0),"")</f>
        <v/>
      </c>
      <c r="AF280" s="47">
        <f t="shared" si="4"/>
        <v>0</v>
      </c>
    </row>
    <row r="281" spans="2:32" x14ac:dyDescent="0.3">
      <c r="B281" s="46" t="str">
        <f>IFERROR(VLOOKUP($H281,매장구분!$B:$Z,2,0),"")</f>
        <v/>
      </c>
      <c r="C281" s="46" t="str">
        <f>IFERROR(VLOOKUP($H281,매장구분!$B:$Z,3,0),"")</f>
        <v/>
      </c>
      <c r="D281" s="46" t="str">
        <f>IFERROR(VLOOKUP($H281,매장구분!$B:$Z,5,0),"")</f>
        <v/>
      </c>
      <c r="E281" s="46" t="str">
        <f>IFERROR(VLOOKUP($H281,매장구분!$B:$Z,9,0),"")</f>
        <v/>
      </c>
      <c r="AF281" s="47">
        <f t="shared" si="4"/>
        <v>0</v>
      </c>
    </row>
    <row r="282" spans="2:32" x14ac:dyDescent="0.3">
      <c r="B282" s="46" t="str">
        <f>IFERROR(VLOOKUP($H282,매장구분!$B:$Z,2,0),"")</f>
        <v/>
      </c>
      <c r="C282" s="46" t="str">
        <f>IFERROR(VLOOKUP($H282,매장구분!$B:$Z,3,0),"")</f>
        <v/>
      </c>
      <c r="D282" s="46" t="str">
        <f>IFERROR(VLOOKUP($H282,매장구분!$B:$Z,5,0),"")</f>
        <v/>
      </c>
      <c r="E282" s="46" t="str">
        <f>IFERROR(VLOOKUP($H282,매장구분!$B:$Z,9,0),"")</f>
        <v/>
      </c>
      <c r="AF282" s="47">
        <f t="shared" si="4"/>
        <v>0</v>
      </c>
    </row>
    <row r="283" spans="2:32" x14ac:dyDescent="0.3">
      <c r="B283" s="46" t="str">
        <f>IFERROR(VLOOKUP($H283,매장구분!$B:$Z,2,0),"")</f>
        <v/>
      </c>
      <c r="C283" s="46" t="str">
        <f>IFERROR(VLOOKUP($H283,매장구분!$B:$Z,3,0),"")</f>
        <v/>
      </c>
      <c r="D283" s="46" t="str">
        <f>IFERROR(VLOOKUP($H283,매장구분!$B:$Z,5,0),"")</f>
        <v/>
      </c>
      <c r="E283" s="46" t="str">
        <f>IFERROR(VLOOKUP($H283,매장구분!$B:$Z,9,0),"")</f>
        <v/>
      </c>
      <c r="AF283" s="47">
        <f t="shared" si="4"/>
        <v>0</v>
      </c>
    </row>
    <row r="284" spans="2:32" x14ac:dyDescent="0.3">
      <c r="B284" s="46" t="str">
        <f>IFERROR(VLOOKUP($H284,매장구분!$B:$Z,2,0),"")</f>
        <v/>
      </c>
      <c r="C284" s="46" t="str">
        <f>IFERROR(VLOOKUP($H284,매장구분!$B:$Z,3,0),"")</f>
        <v/>
      </c>
      <c r="D284" s="46" t="str">
        <f>IFERROR(VLOOKUP($H284,매장구분!$B:$Z,5,0),"")</f>
        <v/>
      </c>
      <c r="E284" s="46" t="str">
        <f>IFERROR(VLOOKUP($H284,매장구분!$B:$Z,9,0),"")</f>
        <v/>
      </c>
      <c r="AF284" s="47">
        <f t="shared" si="4"/>
        <v>0</v>
      </c>
    </row>
    <row r="285" spans="2:32" x14ac:dyDescent="0.3">
      <c r="B285" s="46" t="str">
        <f>IFERROR(VLOOKUP($H285,매장구분!$B:$Z,2,0),"")</f>
        <v/>
      </c>
      <c r="C285" s="46" t="str">
        <f>IFERROR(VLOOKUP($H285,매장구분!$B:$Z,3,0),"")</f>
        <v/>
      </c>
      <c r="D285" s="46" t="str">
        <f>IFERROR(VLOOKUP($H285,매장구분!$B:$Z,5,0),"")</f>
        <v/>
      </c>
      <c r="E285" s="46" t="str">
        <f>IFERROR(VLOOKUP($H285,매장구분!$B:$Z,9,0),"")</f>
        <v/>
      </c>
      <c r="AF285" s="47">
        <f t="shared" si="4"/>
        <v>0</v>
      </c>
    </row>
    <row r="286" spans="2:32" x14ac:dyDescent="0.3">
      <c r="B286" s="46" t="str">
        <f>IFERROR(VLOOKUP($H286,매장구분!$B:$Z,2,0),"")</f>
        <v/>
      </c>
      <c r="C286" s="46" t="str">
        <f>IFERROR(VLOOKUP($H286,매장구분!$B:$Z,3,0),"")</f>
        <v/>
      </c>
      <c r="D286" s="46" t="str">
        <f>IFERROR(VLOOKUP($H286,매장구분!$B:$Z,5,0),"")</f>
        <v/>
      </c>
      <c r="E286" s="46" t="str">
        <f>IFERROR(VLOOKUP($H286,매장구분!$B:$Z,9,0),"")</f>
        <v/>
      </c>
      <c r="AF286" s="47">
        <f t="shared" si="4"/>
        <v>0</v>
      </c>
    </row>
    <row r="287" spans="2:32" x14ac:dyDescent="0.3">
      <c r="B287" s="46" t="str">
        <f>IFERROR(VLOOKUP($H287,매장구분!$B:$Z,2,0),"")</f>
        <v/>
      </c>
      <c r="C287" s="46" t="str">
        <f>IFERROR(VLOOKUP($H287,매장구분!$B:$Z,3,0),"")</f>
        <v/>
      </c>
      <c r="D287" s="46" t="str">
        <f>IFERROR(VLOOKUP($H287,매장구분!$B:$Z,5,0),"")</f>
        <v/>
      </c>
      <c r="E287" s="46" t="str">
        <f>IFERROR(VLOOKUP($H287,매장구분!$B:$Z,9,0),"")</f>
        <v/>
      </c>
      <c r="AF287" s="47">
        <f t="shared" si="4"/>
        <v>0</v>
      </c>
    </row>
    <row r="288" spans="2:32" x14ac:dyDescent="0.3">
      <c r="B288" s="46" t="str">
        <f>IFERROR(VLOOKUP($H288,매장구분!$B:$Z,2,0),"")</f>
        <v/>
      </c>
      <c r="C288" s="46" t="str">
        <f>IFERROR(VLOOKUP($H288,매장구분!$B:$Z,3,0),"")</f>
        <v/>
      </c>
      <c r="D288" s="46" t="str">
        <f>IFERROR(VLOOKUP($H288,매장구분!$B:$Z,5,0),"")</f>
        <v/>
      </c>
      <c r="E288" s="46" t="str">
        <f>IFERROR(VLOOKUP($H288,매장구분!$B:$Z,9,0),"")</f>
        <v/>
      </c>
      <c r="AF288" s="47">
        <f t="shared" si="4"/>
        <v>0</v>
      </c>
    </row>
    <row r="289" spans="2:32" x14ac:dyDescent="0.3">
      <c r="B289" s="46" t="str">
        <f>IFERROR(VLOOKUP($H289,매장구분!$B:$Z,2,0),"")</f>
        <v/>
      </c>
      <c r="C289" s="46" t="str">
        <f>IFERROR(VLOOKUP($H289,매장구분!$B:$Z,3,0),"")</f>
        <v/>
      </c>
      <c r="D289" s="46" t="str">
        <f>IFERROR(VLOOKUP($H289,매장구분!$B:$Z,5,0),"")</f>
        <v/>
      </c>
      <c r="E289" s="46" t="str">
        <f>IFERROR(VLOOKUP($H289,매장구분!$B:$Z,9,0),"")</f>
        <v/>
      </c>
      <c r="AF289" s="47">
        <f t="shared" si="4"/>
        <v>0</v>
      </c>
    </row>
    <row r="290" spans="2:32" x14ac:dyDescent="0.3">
      <c r="B290" s="46" t="str">
        <f>IFERROR(VLOOKUP($H290,매장구분!$B:$Z,2,0),"")</f>
        <v/>
      </c>
      <c r="C290" s="46" t="str">
        <f>IFERROR(VLOOKUP($H290,매장구분!$B:$Z,3,0),"")</f>
        <v/>
      </c>
      <c r="D290" s="46" t="str">
        <f>IFERROR(VLOOKUP($H290,매장구분!$B:$Z,5,0),"")</f>
        <v/>
      </c>
      <c r="E290" s="46" t="str">
        <f>IFERROR(VLOOKUP($H290,매장구분!$B:$Z,9,0),"")</f>
        <v/>
      </c>
      <c r="AF290" s="47">
        <f t="shared" si="4"/>
        <v>0</v>
      </c>
    </row>
    <row r="291" spans="2:32" x14ac:dyDescent="0.3">
      <c r="B291" s="46" t="str">
        <f>IFERROR(VLOOKUP($H291,매장구분!$B:$Z,2,0),"")</f>
        <v/>
      </c>
      <c r="C291" s="46" t="str">
        <f>IFERROR(VLOOKUP($H291,매장구분!$B:$Z,3,0),"")</f>
        <v/>
      </c>
      <c r="D291" s="46" t="str">
        <f>IFERROR(VLOOKUP($H291,매장구분!$B:$Z,5,0),"")</f>
        <v/>
      </c>
      <c r="E291" s="46" t="str">
        <f>IFERROR(VLOOKUP($H291,매장구분!$B:$Z,9,0),"")</f>
        <v/>
      </c>
      <c r="AF291" s="47">
        <f t="shared" si="4"/>
        <v>0</v>
      </c>
    </row>
    <row r="292" spans="2:32" x14ac:dyDescent="0.3">
      <c r="B292" s="46" t="str">
        <f>IFERROR(VLOOKUP($H292,매장구분!$B:$Z,2,0),"")</f>
        <v/>
      </c>
      <c r="C292" s="46" t="str">
        <f>IFERROR(VLOOKUP($H292,매장구분!$B:$Z,3,0),"")</f>
        <v/>
      </c>
      <c r="D292" s="46" t="str">
        <f>IFERROR(VLOOKUP($H292,매장구분!$B:$Z,5,0),"")</f>
        <v/>
      </c>
      <c r="E292" s="46" t="str">
        <f>IFERROR(VLOOKUP($H292,매장구분!$B:$Z,9,0),"")</f>
        <v/>
      </c>
      <c r="AF292" s="47">
        <f t="shared" si="4"/>
        <v>0</v>
      </c>
    </row>
    <row r="293" spans="2:32" x14ac:dyDescent="0.3">
      <c r="B293" s="46" t="str">
        <f>IFERROR(VLOOKUP($H293,매장구분!$B:$Z,2,0),"")</f>
        <v/>
      </c>
      <c r="C293" s="46" t="str">
        <f>IFERROR(VLOOKUP($H293,매장구분!$B:$Z,3,0),"")</f>
        <v/>
      </c>
      <c r="D293" s="46" t="str">
        <f>IFERROR(VLOOKUP($H293,매장구분!$B:$Z,5,0),"")</f>
        <v/>
      </c>
      <c r="E293" s="46" t="str">
        <f>IFERROR(VLOOKUP($H293,매장구분!$B:$Z,9,0),"")</f>
        <v/>
      </c>
      <c r="AF293" s="47">
        <f t="shared" si="4"/>
        <v>0</v>
      </c>
    </row>
    <row r="294" spans="2:32" x14ac:dyDescent="0.3">
      <c r="B294" s="46" t="str">
        <f>IFERROR(VLOOKUP($H294,매장구분!$B:$Z,2,0),"")</f>
        <v/>
      </c>
      <c r="C294" s="46" t="str">
        <f>IFERROR(VLOOKUP($H294,매장구분!$B:$Z,3,0),"")</f>
        <v/>
      </c>
      <c r="D294" s="46" t="str">
        <f>IFERROR(VLOOKUP($H294,매장구분!$B:$Z,5,0),"")</f>
        <v/>
      </c>
      <c r="E294" s="46" t="str">
        <f>IFERROR(VLOOKUP($H294,매장구분!$B:$Z,9,0),"")</f>
        <v/>
      </c>
      <c r="AF294" s="47">
        <f t="shared" si="4"/>
        <v>0</v>
      </c>
    </row>
    <row r="295" spans="2:32" x14ac:dyDescent="0.3">
      <c r="B295" s="46" t="str">
        <f>IFERROR(VLOOKUP($H295,매장구분!$B:$Z,2,0),"")</f>
        <v/>
      </c>
      <c r="C295" s="46" t="str">
        <f>IFERROR(VLOOKUP($H295,매장구분!$B:$Z,3,0),"")</f>
        <v/>
      </c>
      <c r="D295" s="46" t="str">
        <f>IFERROR(VLOOKUP($H295,매장구분!$B:$Z,5,0),"")</f>
        <v/>
      </c>
      <c r="E295" s="46" t="str">
        <f>IFERROR(VLOOKUP($H295,매장구분!$B:$Z,9,0),"")</f>
        <v/>
      </c>
      <c r="AF295" s="47">
        <f t="shared" si="4"/>
        <v>0</v>
      </c>
    </row>
    <row r="296" spans="2:32" x14ac:dyDescent="0.3">
      <c r="B296" s="46" t="str">
        <f>IFERROR(VLOOKUP($H296,매장구분!$B:$Z,2,0),"")</f>
        <v/>
      </c>
      <c r="C296" s="46" t="str">
        <f>IFERROR(VLOOKUP($H296,매장구분!$B:$Z,3,0),"")</f>
        <v/>
      </c>
      <c r="D296" s="46" t="str">
        <f>IFERROR(VLOOKUP($H296,매장구분!$B:$Z,5,0),"")</f>
        <v/>
      </c>
      <c r="E296" s="46" t="str">
        <f>IFERROR(VLOOKUP($H296,매장구분!$B:$Z,9,0),"")</f>
        <v/>
      </c>
      <c r="AF296" s="47">
        <f t="shared" si="4"/>
        <v>0</v>
      </c>
    </row>
    <row r="297" spans="2:32" x14ac:dyDescent="0.3">
      <c r="B297" s="46" t="str">
        <f>IFERROR(VLOOKUP($H297,매장구분!$B:$Z,2,0),"")</f>
        <v/>
      </c>
      <c r="C297" s="46" t="str">
        <f>IFERROR(VLOOKUP($H297,매장구분!$B:$Z,3,0),"")</f>
        <v/>
      </c>
      <c r="D297" s="46" t="str">
        <f>IFERROR(VLOOKUP($H297,매장구분!$B:$Z,5,0),"")</f>
        <v/>
      </c>
      <c r="E297" s="46" t="str">
        <f>IFERROR(VLOOKUP($H297,매장구분!$B:$Z,9,0),"")</f>
        <v/>
      </c>
      <c r="AF297" s="47">
        <f t="shared" si="4"/>
        <v>0</v>
      </c>
    </row>
    <row r="298" spans="2:32" x14ac:dyDescent="0.3">
      <c r="B298" s="46" t="str">
        <f>IFERROR(VLOOKUP($H298,매장구분!$B:$Z,2,0),"")</f>
        <v/>
      </c>
      <c r="C298" s="46" t="str">
        <f>IFERROR(VLOOKUP($H298,매장구분!$B:$Z,3,0),"")</f>
        <v/>
      </c>
      <c r="D298" s="46" t="str">
        <f>IFERROR(VLOOKUP($H298,매장구분!$B:$Z,5,0),"")</f>
        <v/>
      </c>
      <c r="E298" s="46" t="str">
        <f>IFERROR(VLOOKUP($H298,매장구분!$B:$Z,9,0),"")</f>
        <v/>
      </c>
      <c r="AF298" s="47">
        <f t="shared" si="4"/>
        <v>0</v>
      </c>
    </row>
    <row r="299" spans="2:32" x14ac:dyDescent="0.3">
      <c r="B299" s="46" t="str">
        <f>IFERROR(VLOOKUP($H299,매장구분!$B:$Z,2,0),"")</f>
        <v/>
      </c>
      <c r="C299" s="46" t="str">
        <f>IFERROR(VLOOKUP($H299,매장구분!$B:$Z,3,0),"")</f>
        <v/>
      </c>
      <c r="D299" s="46" t="str">
        <f>IFERROR(VLOOKUP($H299,매장구분!$B:$Z,5,0),"")</f>
        <v/>
      </c>
      <c r="E299" s="46" t="str">
        <f>IFERROR(VLOOKUP($H299,매장구분!$B:$Z,9,0),"")</f>
        <v/>
      </c>
      <c r="AF299" s="47">
        <f t="shared" si="4"/>
        <v>0</v>
      </c>
    </row>
    <row r="300" spans="2:32" x14ac:dyDescent="0.3">
      <c r="B300" s="46" t="str">
        <f>IFERROR(VLOOKUP($H300,매장구분!$B:$Z,2,0),"")</f>
        <v/>
      </c>
      <c r="C300" s="46" t="str">
        <f>IFERROR(VLOOKUP($H300,매장구분!$B:$Z,3,0),"")</f>
        <v/>
      </c>
      <c r="D300" s="46" t="str">
        <f>IFERROR(VLOOKUP($H300,매장구분!$B:$Z,5,0),"")</f>
        <v/>
      </c>
      <c r="E300" s="46" t="str">
        <f>IFERROR(VLOOKUP($H300,매장구분!$B:$Z,9,0),"")</f>
        <v/>
      </c>
      <c r="AF300" s="47">
        <f t="shared" si="4"/>
        <v>0</v>
      </c>
    </row>
    <row r="301" spans="2:32" x14ac:dyDescent="0.3">
      <c r="B301" s="46" t="str">
        <f>IFERROR(VLOOKUP($H301,매장구분!$B:$Z,2,0),"")</f>
        <v/>
      </c>
      <c r="C301" s="46" t="str">
        <f>IFERROR(VLOOKUP($H301,매장구분!$B:$Z,3,0),"")</f>
        <v/>
      </c>
      <c r="D301" s="46" t="str">
        <f>IFERROR(VLOOKUP($H301,매장구분!$B:$Z,5,0),"")</f>
        <v/>
      </c>
      <c r="E301" s="46" t="str">
        <f>IFERROR(VLOOKUP($H301,매장구분!$B:$Z,9,0),"")</f>
        <v/>
      </c>
      <c r="AF301" s="47">
        <f t="shared" si="4"/>
        <v>0</v>
      </c>
    </row>
    <row r="302" spans="2:32" x14ac:dyDescent="0.3">
      <c r="B302" s="46" t="str">
        <f>IFERROR(VLOOKUP($H302,매장구분!$B:$Z,2,0),"")</f>
        <v/>
      </c>
      <c r="C302" s="46" t="str">
        <f>IFERROR(VLOOKUP($H302,매장구분!$B:$Z,3,0),"")</f>
        <v/>
      </c>
      <c r="D302" s="46" t="str">
        <f>IFERROR(VLOOKUP($H302,매장구분!$B:$Z,5,0),"")</f>
        <v/>
      </c>
      <c r="E302" s="46" t="str">
        <f>IFERROR(VLOOKUP($H302,매장구분!$B:$Z,9,0),"")</f>
        <v/>
      </c>
      <c r="AF302" s="47">
        <f t="shared" si="4"/>
        <v>0</v>
      </c>
    </row>
    <row r="303" spans="2:32" x14ac:dyDescent="0.3">
      <c r="B303" s="46" t="str">
        <f>IFERROR(VLOOKUP($H303,매장구분!$B:$Z,2,0),"")</f>
        <v/>
      </c>
      <c r="C303" s="46" t="str">
        <f>IFERROR(VLOOKUP($H303,매장구분!$B:$Z,3,0),"")</f>
        <v/>
      </c>
      <c r="D303" s="46" t="str">
        <f>IFERROR(VLOOKUP($H303,매장구분!$B:$Z,5,0),"")</f>
        <v/>
      </c>
      <c r="E303" s="46" t="str">
        <f>IFERROR(VLOOKUP($H303,매장구분!$B:$Z,9,0),"")</f>
        <v/>
      </c>
      <c r="AF303" s="47">
        <f t="shared" si="4"/>
        <v>0</v>
      </c>
    </row>
    <row r="304" spans="2:32" x14ac:dyDescent="0.3">
      <c r="B304" s="46" t="str">
        <f>IFERROR(VLOOKUP($H304,매장구분!$B:$Z,2,0),"")</f>
        <v/>
      </c>
      <c r="C304" s="46" t="str">
        <f>IFERROR(VLOOKUP($H304,매장구분!$B:$Z,3,0),"")</f>
        <v/>
      </c>
      <c r="D304" s="46" t="str">
        <f>IFERROR(VLOOKUP($H304,매장구분!$B:$Z,5,0),"")</f>
        <v/>
      </c>
      <c r="E304" s="46" t="str">
        <f>IFERROR(VLOOKUP($H304,매장구분!$B:$Z,9,0),"")</f>
        <v/>
      </c>
      <c r="AF304" s="47">
        <f t="shared" si="4"/>
        <v>0</v>
      </c>
    </row>
    <row r="305" spans="2:32" x14ac:dyDescent="0.3">
      <c r="B305" s="46" t="str">
        <f>IFERROR(VLOOKUP($H305,매장구분!$B:$Z,2,0),"")</f>
        <v/>
      </c>
      <c r="C305" s="46" t="str">
        <f>IFERROR(VLOOKUP($H305,매장구분!$B:$Z,3,0),"")</f>
        <v/>
      </c>
      <c r="D305" s="46" t="str">
        <f>IFERROR(VLOOKUP($H305,매장구분!$B:$Z,5,0),"")</f>
        <v/>
      </c>
      <c r="E305" s="46" t="str">
        <f>IFERROR(VLOOKUP($H305,매장구분!$B:$Z,9,0),"")</f>
        <v/>
      </c>
      <c r="AF305" s="47">
        <f t="shared" si="4"/>
        <v>0</v>
      </c>
    </row>
    <row r="306" spans="2:32" x14ac:dyDescent="0.3">
      <c r="B306" s="46" t="str">
        <f>IFERROR(VLOOKUP($H306,매장구분!$B:$Z,2,0),"")</f>
        <v/>
      </c>
      <c r="C306" s="46" t="str">
        <f>IFERROR(VLOOKUP($H306,매장구분!$B:$Z,3,0),"")</f>
        <v/>
      </c>
      <c r="D306" s="46" t="str">
        <f>IFERROR(VLOOKUP($H306,매장구분!$B:$Z,5,0),"")</f>
        <v/>
      </c>
      <c r="E306" s="46" t="str">
        <f>IFERROR(VLOOKUP($H306,매장구분!$B:$Z,9,0),"")</f>
        <v/>
      </c>
      <c r="AF306" s="47">
        <f t="shared" si="4"/>
        <v>0</v>
      </c>
    </row>
    <row r="307" spans="2:32" x14ac:dyDescent="0.3">
      <c r="B307" s="46" t="str">
        <f>IFERROR(VLOOKUP($H307,매장구분!$B:$Z,2,0),"")</f>
        <v/>
      </c>
      <c r="C307" s="46" t="str">
        <f>IFERROR(VLOOKUP($H307,매장구분!$B:$Z,3,0),"")</f>
        <v/>
      </c>
      <c r="D307" s="46" t="str">
        <f>IFERROR(VLOOKUP($H307,매장구분!$B:$Z,5,0),"")</f>
        <v/>
      </c>
      <c r="E307" s="46" t="str">
        <f>IFERROR(VLOOKUP($H307,매장구분!$B:$Z,9,0),"")</f>
        <v/>
      </c>
      <c r="AF307" s="47">
        <f t="shared" si="4"/>
        <v>0</v>
      </c>
    </row>
    <row r="308" spans="2:32" x14ac:dyDescent="0.3">
      <c r="B308" s="46" t="str">
        <f>IFERROR(VLOOKUP($H308,매장구분!$B:$Z,2,0),"")</f>
        <v/>
      </c>
      <c r="C308" s="46" t="str">
        <f>IFERROR(VLOOKUP($H308,매장구분!$B:$Z,3,0),"")</f>
        <v/>
      </c>
      <c r="D308" s="46" t="str">
        <f>IFERROR(VLOOKUP($H308,매장구분!$B:$Z,5,0),"")</f>
        <v/>
      </c>
      <c r="E308" s="46" t="str">
        <f>IFERROR(VLOOKUP($H308,매장구분!$B:$Z,9,0),"")</f>
        <v/>
      </c>
      <c r="AF308" s="47">
        <f t="shared" si="4"/>
        <v>0</v>
      </c>
    </row>
    <row r="309" spans="2:32" x14ac:dyDescent="0.3">
      <c r="B309" s="46" t="str">
        <f>IFERROR(VLOOKUP($H309,매장구분!$B:$Z,2,0),"")</f>
        <v/>
      </c>
      <c r="C309" s="46" t="str">
        <f>IFERROR(VLOOKUP($H309,매장구분!$B:$Z,3,0),"")</f>
        <v/>
      </c>
      <c r="D309" s="46" t="str">
        <f>IFERROR(VLOOKUP($H309,매장구분!$B:$Z,5,0),"")</f>
        <v/>
      </c>
      <c r="E309" s="46" t="str">
        <f>IFERROR(VLOOKUP($H309,매장구분!$B:$Z,9,0),"")</f>
        <v/>
      </c>
      <c r="AF309" s="47">
        <f t="shared" si="4"/>
        <v>0</v>
      </c>
    </row>
    <row r="310" spans="2:32" x14ac:dyDescent="0.3">
      <c r="B310" s="46" t="str">
        <f>IFERROR(VLOOKUP($H310,매장구분!$B:$Z,2,0),"")</f>
        <v/>
      </c>
      <c r="C310" s="46" t="str">
        <f>IFERROR(VLOOKUP($H310,매장구분!$B:$Z,3,0),"")</f>
        <v/>
      </c>
      <c r="D310" s="46" t="str">
        <f>IFERROR(VLOOKUP($H310,매장구분!$B:$Z,5,0),"")</f>
        <v/>
      </c>
      <c r="E310" s="46" t="str">
        <f>IFERROR(VLOOKUP($H310,매장구분!$B:$Z,9,0),"")</f>
        <v/>
      </c>
      <c r="AF310" s="47">
        <f t="shared" si="4"/>
        <v>0</v>
      </c>
    </row>
    <row r="311" spans="2:32" x14ac:dyDescent="0.3">
      <c r="B311" s="46" t="str">
        <f>IFERROR(VLOOKUP($H311,매장구분!$B:$Z,2,0),"")</f>
        <v/>
      </c>
      <c r="C311" s="46" t="str">
        <f>IFERROR(VLOOKUP($H311,매장구분!$B:$Z,3,0),"")</f>
        <v/>
      </c>
      <c r="D311" s="46" t="str">
        <f>IFERROR(VLOOKUP($H311,매장구분!$B:$Z,5,0),"")</f>
        <v/>
      </c>
      <c r="E311" s="46" t="str">
        <f>IFERROR(VLOOKUP($H311,매장구분!$B:$Z,9,0),"")</f>
        <v/>
      </c>
      <c r="AF311" s="47">
        <f t="shared" si="4"/>
        <v>0</v>
      </c>
    </row>
    <row r="312" spans="2:32" x14ac:dyDescent="0.3">
      <c r="B312" s="46" t="str">
        <f>IFERROR(VLOOKUP($H312,매장구분!$B:$Z,2,0),"")</f>
        <v/>
      </c>
      <c r="C312" s="46" t="str">
        <f>IFERROR(VLOOKUP($H312,매장구분!$B:$Z,3,0),"")</f>
        <v/>
      </c>
      <c r="D312" s="46" t="str">
        <f>IFERROR(VLOOKUP($H312,매장구분!$B:$Z,5,0),"")</f>
        <v/>
      </c>
      <c r="E312" s="46" t="str">
        <f>IFERROR(VLOOKUP($H312,매장구분!$B:$Z,9,0),"")</f>
        <v/>
      </c>
      <c r="AF312" s="47">
        <f t="shared" si="4"/>
        <v>0</v>
      </c>
    </row>
    <row r="313" spans="2:32" x14ac:dyDescent="0.3">
      <c r="B313" s="46" t="str">
        <f>IFERROR(VLOOKUP($H313,매장구분!$B:$Z,2,0),"")</f>
        <v/>
      </c>
      <c r="C313" s="46" t="str">
        <f>IFERROR(VLOOKUP($H313,매장구분!$B:$Z,3,0),"")</f>
        <v/>
      </c>
      <c r="D313" s="46" t="str">
        <f>IFERROR(VLOOKUP($H313,매장구분!$B:$Z,5,0),"")</f>
        <v/>
      </c>
      <c r="E313" s="46" t="str">
        <f>IFERROR(VLOOKUP($H313,매장구분!$B:$Z,9,0),"")</f>
        <v/>
      </c>
      <c r="AF313" s="47">
        <f t="shared" si="4"/>
        <v>0</v>
      </c>
    </row>
    <row r="314" spans="2:32" x14ac:dyDescent="0.3">
      <c r="B314" s="46" t="str">
        <f>IFERROR(VLOOKUP($H314,매장구분!$B:$Z,2,0),"")</f>
        <v/>
      </c>
      <c r="C314" s="46" t="str">
        <f>IFERROR(VLOOKUP($H314,매장구분!$B:$Z,3,0),"")</f>
        <v/>
      </c>
      <c r="D314" s="46" t="str">
        <f>IFERROR(VLOOKUP($H314,매장구분!$B:$Z,5,0),"")</f>
        <v/>
      </c>
      <c r="E314" s="46" t="str">
        <f>IFERROR(VLOOKUP($H314,매장구분!$B:$Z,9,0),"")</f>
        <v/>
      </c>
      <c r="AF314" s="47">
        <f t="shared" si="4"/>
        <v>0</v>
      </c>
    </row>
    <row r="315" spans="2:32" x14ac:dyDescent="0.3">
      <c r="B315" s="46" t="str">
        <f>IFERROR(VLOOKUP($H315,매장구분!$B:$Z,2,0),"")</f>
        <v/>
      </c>
      <c r="C315" s="46" t="str">
        <f>IFERROR(VLOOKUP($H315,매장구분!$B:$Z,3,0),"")</f>
        <v/>
      </c>
      <c r="D315" s="46" t="str">
        <f>IFERROR(VLOOKUP($H315,매장구분!$B:$Z,5,0),"")</f>
        <v/>
      </c>
      <c r="E315" s="46" t="str">
        <f>IFERROR(VLOOKUP($H315,매장구분!$B:$Z,9,0),"")</f>
        <v/>
      </c>
      <c r="AF315" s="47">
        <f t="shared" si="4"/>
        <v>0</v>
      </c>
    </row>
    <row r="316" spans="2:32" x14ac:dyDescent="0.3">
      <c r="B316" s="46" t="str">
        <f>IFERROR(VLOOKUP($H316,매장구분!$B:$Z,2,0),"")</f>
        <v/>
      </c>
      <c r="C316" s="46" t="str">
        <f>IFERROR(VLOOKUP($H316,매장구분!$B:$Z,3,0),"")</f>
        <v/>
      </c>
      <c r="D316" s="46" t="str">
        <f>IFERROR(VLOOKUP($H316,매장구분!$B:$Z,5,0),"")</f>
        <v/>
      </c>
      <c r="E316" s="46" t="str">
        <f>IFERROR(VLOOKUP($H316,매장구분!$B:$Z,9,0),"")</f>
        <v/>
      </c>
      <c r="AF316" s="47">
        <f t="shared" si="4"/>
        <v>0</v>
      </c>
    </row>
    <row r="317" spans="2:32" x14ac:dyDescent="0.3">
      <c r="B317" s="46" t="str">
        <f>IFERROR(VLOOKUP($H317,매장구분!$B:$Z,2,0),"")</f>
        <v/>
      </c>
      <c r="C317" s="46" t="str">
        <f>IFERROR(VLOOKUP($H317,매장구분!$B:$Z,3,0),"")</f>
        <v/>
      </c>
      <c r="D317" s="46" t="str">
        <f>IFERROR(VLOOKUP($H317,매장구분!$B:$Z,5,0),"")</f>
        <v/>
      </c>
      <c r="E317" s="46" t="str">
        <f>IFERROR(VLOOKUP($H317,매장구분!$B:$Z,9,0),"")</f>
        <v/>
      </c>
      <c r="AF317" s="47">
        <f t="shared" si="4"/>
        <v>0</v>
      </c>
    </row>
    <row r="318" spans="2:32" x14ac:dyDescent="0.3">
      <c r="B318" s="46" t="str">
        <f>IFERROR(VLOOKUP($H318,매장구분!$B:$Z,2,0),"")</f>
        <v/>
      </c>
      <c r="C318" s="46" t="str">
        <f>IFERROR(VLOOKUP($H318,매장구분!$B:$Z,3,0),"")</f>
        <v/>
      </c>
      <c r="D318" s="46" t="str">
        <f>IFERROR(VLOOKUP($H318,매장구분!$B:$Z,5,0),"")</f>
        <v/>
      </c>
      <c r="E318" s="46" t="str">
        <f>IFERROR(VLOOKUP($H318,매장구분!$B:$Z,9,0),"")</f>
        <v/>
      </c>
      <c r="AF318" s="47">
        <f t="shared" si="4"/>
        <v>0</v>
      </c>
    </row>
    <row r="319" spans="2:32" x14ac:dyDescent="0.3">
      <c r="B319" s="46" t="str">
        <f>IFERROR(VLOOKUP($H319,매장구분!$B:$Z,2,0),"")</f>
        <v/>
      </c>
      <c r="C319" s="46" t="str">
        <f>IFERROR(VLOOKUP($H319,매장구분!$B:$Z,3,0),"")</f>
        <v/>
      </c>
      <c r="D319" s="46" t="str">
        <f>IFERROR(VLOOKUP($H319,매장구분!$B:$Z,5,0),"")</f>
        <v/>
      </c>
      <c r="E319" s="46" t="str">
        <f>IFERROR(VLOOKUP($H319,매장구분!$B:$Z,9,0),"")</f>
        <v/>
      </c>
      <c r="AF319" s="47">
        <f t="shared" si="4"/>
        <v>0</v>
      </c>
    </row>
    <row r="320" spans="2:32" x14ac:dyDescent="0.3">
      <c r="B320" s="46" t="str">
        <f>IFERROR(VLOOKUP($H320,매장구분!$B:$Z,2,0),"")</f>
        <v/>
      </c>
      <c r="C320" s="46" t="str">
        <f>IFERROR(VLOOKUP($H320,매장구분!$B:$Z,3,0),"")</f>
        <v/>
      </c>
      <c r="D320" s="46" t="str">
        <f>IFERROR(VLOOKUP($H320,매장구분!$B:$Z,5,0),"")</f>
        <v/>
      </c>
      <c r="E320" s="46" t="str">
        <f>IFERROR(VLOOKUP($H320,매장구분!$B:$Z,9,0),"")</f>
        <v/>
      </c>
      <c r="AF320" s="47">
        <f t="shared" si="4"/>
        <v>0</v>
      </c>
    </row>
    <row r="321" spans="2:32" x14ac:dyDescent="0.3">
      <c r="B321" s="46" t="str">
        <f>IFERROR(VLOOKUP($H321,매장구분!$B:$Z,2,0),"")</f>
        <v/>
      </c>
      <c r="C321" s="46" t="str">
        <f>IFERROR(VLOOKUP($H321,매장구분!$B:$Z,3,0),"")</f>
        <v/>
      </c>
      <c r="D321" s="46" t="str">
        <f>IFERROR(VLOOKUP($H321,매장구분!$B:$Z,5,0),"")</f>
        <v/>
      </c>
      <c r="E321" s="46" t="str">
        <f>IFERROR(VLOOKUP($H321,매장구분!$B:$Z,9,0),"")</f>
        <v/>
      </c>
      <c r="AF321" s="47">
        <f t="shared" si="4"/>
        <v>0</v>
      </c>
    </row>
    <row r="322" spans="2:32" x14ac:dyDescent="0.3">
      <c r="B322" s="46" t="str">
        <f>IFERROR(VLOOKUP($H322,매장구분!$B:$Z,2,0),"")</f>
        <v/>
      </c>
      <c r="C322" s="46" t="str">
        <f>IFERROR(VLOOKUP($H322,매장구분!$B:$Z,3,0),"")</f>
        <v/>
      </c>
      <c r="D322" s="46" t="str">
        <f>IFERROR(VLOOKUP($H322,매장구분!$B:$Z,5,0),"")</f>
        <v/>
      </c>
      <c r="E322" s="46" t="str">
        <f>IFERROR(VLOOKUP($H322,매장구분!$B:$Z,9,0),"")</f>
        <v/>
      </c>
      <c r="AF322" s="47">
        <f t="shared" si="4"/>
        <v>0</v>
      </c>
    </row>
    <row r="323" spans="2:32" x14ac:dyDescent="0.3">
      <c r="B323" s="46" t="str">
        <f>IFERROR(VLOOKUP($H323,매장구분!$B:$Z,2,0),"")</f>
        <v/>
      </c>
      <c r="C323" s="46" t="str">
        <f>IFERROR(VLOOKUP($H323,매장구분!$B:$Z,3,0),"")</f>
        <v/>
      </c>
      <c r="D323" s="46" t="str">
        <f>IFERROR(VLOOKUP($H323,매장구분!$B:$Z,5,0),"")</f>
        <v/>
      </c>
      <c r="E323" s="46" t="str">
        <f>IFERROR(VLOOKUP($H323,매장구분!$B:$Z,9,0),"")</f>
        <v/>
      </c>
      <c r="AF323" s="47">
        <f t="shared" ref="AF323:AF386" si="5">IFERROR(AC323-Y323,"")</f>
        <v>0</v>
      </c>
    </row>
    <row r="324" spans="2:32" x14ac:dyDescent="0.3">
      <c r="B324" s="46" t="str">
        <f>IFERROR(VLOOKUP($H324,매장구분!$B:$Z,2,0),"")</f>
        <v/>
      </c>
      <c r="C324" s="46" t="str">
        <f>IFERROR(VLOOKUP($H324,매장구분!$B:$Z,3,0),"")</f>
        <v/>
      </c>
      <c r="D324" s="46" t="str">
        <f>IFERROR(VLOOKUP($H324,매장구분!$B:$Z,5,0),"")</f>
        <v/>
      </c>
      <c r="E324" s="46" t="str">
        <f>IFERROR(VLOOKUP($H324,매장구분!$B:$Z,9,0),"")</f>
        <v/>
      </c>
      <c r="AF324" s="47">
        <f t="shared" si="5"/>
        <v>0</v>
      </c>
    </row>
    <row r="325" spans="2:32" x14ac:dyDescent="0.3">
      <c r="B325" s="46" t="str">
        <f>IFERROR(VLOOKUP($H325,매장구분!$B:$Z,2,0),"")</f>
        <v/>
      </c>
      <c r="C325" s="46" t="str">
        <f>IFERROR(VLOOKUP($H325,매장구분!$B:$Z,3,0),"")</f>
        <v/>
      </c>
      <c r="D325" s="46" t="str">
        <f>IFERROR(VLOOKUP($H325,매장구분!$B:$Z,5,0),"")</f>
        <v/>
      </c>
      <c r="E325" s="46" t="str">
        <f>IFERROR(VLOOKUP($H325,매장구분!$B:$Z,9,0),"")</f>
        <v/>
      </c>
      <c r="AF325" s="47">
        <f t="shared" si="5"/>
        <v>0</v>
      </c>
    </row>
    <row r="326" spans="2:32" x14ac:dyDescent="0.3">
      <c r="B326" s="46" t="str">
        <f>IFERROR(VLOOKUP($H326,매장구분!$B:$Z,2,0),"")</f>
        <v/>
      </c>
      <c r="C326" s="46" t="str">
        <f>IFERROR(VLOOKUP($H326,매장구분!$B:$Z,3,0),"")</f>
        <v/>
      </c>
      <c r="D326" s="46" t="str">
        <f>IFERROR(VLOOKUP($H326,매장구분!$B:$Z,5,0),"")</f>
        <v/>
      </c>
      <c r="E326" s="46" t="str">
        <f>IFERROR(VLOOKUP($H326,매장구분!$B:$Z,9,0),"")</f>
        <v/>
      </c>
      <c r="AF326" s="47">
        <f t="shared" si="5"/>
        <v>0</v>
      </c>
    </row>
    <row r="327" spans="2:32" x14ac:dyDescent="0.3">
      <c r="B327" s="46" t="str">
        <f>IFERROR(VLOOKUP($H327,매장구분!$B:$Z,2,0),"")</f>
        <v/>
      </c>
      <c r="C327" s="46" t="str">
        <f>IFERROR(VLOOKUP($H327,매장구분!$B:$Z,3,0),"")</f>
        <v/>
      </c>
      <c r="D327" s="46" t="str">
        <f>IFERROR(VLOOKUP($H327,매장구분!$B:$Z,5,0),"")</f>
        <v/>
      </c>
      <c r="E327" s="46" t="str">
        <f>IFERROR(VLOOKUP($H327,매장구분!$B:$Z,9,0),"")</f>
        <v/>
      </c>
      <c r="AF327" s="47">
        <f t="shared" si="5"/>
        <v>0</v>
      </c>
    </row>
    <row r="328" spans="2:32" x14ac:dyDescent="0.3">
      <c r="B328" s="46" t="str">
        <f>IFERROR(VLOOKUP($H328,매장구분!$B:$Z,2,0),"")</f>
        <v/>
      </c>
      <c r="C328" s="46" t="str">
        <f>IFERROR(VLOOKUP($H328,매장구분!$B:$Z,3,0),"")</f>
        <v/>
      </c>
      <c r="D328" s="46" t="str">
        <f>IFERROR(VLOOKUP($H328,매장구분!$B:$Z,5,0),"")</f>
        <v/>
      </c>
      <c r="E328" s="46" t="str">
        <f>IFERROR(VLOOKUP($H328,매장구분!$B:$Z,9,0),"")</f>
        <v/>
      </c>
      <c r="AF328" s="47">
        <f t="shared" si="5"/>
        <v>0</v>
      </c>
    </row>
    <row r="329" spans="2:32" x14ac:dyDescent="0.3">
      <c r="B329" s="46" t="str">
        <f>IFERROR(VLOOKUP($H329,매장구분!$B:$Z,2,0),"")</f>
        <v/>
      </c>
      <c r="C329" s="46" t="str">
        <f>IFERROR(VLOOKUP($H329,매장구분!$B:$Z,3,0),"")</f>
        <v/>
      </c>
      <c r="D329" s="46" t="str">
        <f>IFERROR(VLOOKUP($H329,매장구분!$B:$Z,5,0),"")</f>
        <v/>
      </c>
      <c r="E329" s="46" t="str">
        <f>IFERROR(VLOOKUP($H329,매장구분!$B:$Z,9,0),"")</f>
        <v/>
      </c>
      <c r="AF329" s="47">
        <f t="shared" si="5"/>
        <v>0</v>
      </c>
    </row>
    <row r="330" spans="2:32" x14ac:dyDescent="0.3">
      <c r="B330" s="46" t="str">
        <f>IFERROR(VLOOKUP($H330,매장구분!$B:$Z,2,0),"")</f>
        <v/>
      </c>
      <c r="C330" s="46" t="str">
        <f>IFERROR(VLOOKUP($H330,매장구분!$B:$Z,3,0),"")</f>
        <v/>
      </c>
      <c r="D330" s="46" t="str">
        <f>IFERROR(VLOOKUP($H330,매장구분!$B:$Z,5,0),"")</f>
        <v/>
      </c>
      <c r="E330" s="46" t="str">
        <f>IFERROR(VLOOKUP($H330,매장구분!$B:$Z,9,0),"")</f>
        <v/>
      </c>
      <c r="AF330" s="47">
        <f t="shared" si="5"/>
        <v>0</v>
      </c>
    </row>
    <row r="331" spans="2:32" x14ac:dyDescent="0.3">
      <c r="B331" s="46" t="str">
        <f>IFERROR(VLOOKUP($H331,매장구분!$B:$Z,2,0),"")</f>
        <v/>
      </c>
      <c r="C331" s="46" t="str">
        <f>IFERROR(VLOOKUP($H331,매장구분!$B:$Z,3,0),"")</f>
        <v/>
      </c>
      <c r="D331" s="46" t="str">
        <f>IFERROR(VLOOKUP($H331,매장구분!$B:$Z,5,0),"")</f>
        <v/>
      </c>
      <c r="E331" s="46" t="str">
        <f>IFERROR(VLOOKUP($H331,매장구분!$B:$Z,9,0),"")</f>
        <v/>
      </c>
      <c r="AF331" s="47">
        <f t="shared" si="5"/>
        <v>0</v>
      </c>
    </row>
    <row r="332" spans="2:32" x14ac:dyDescent="0.3">
      <c r="B332" s="46" t="str">
        <f>IFERROR(VLOOKUP($H332,매장구분!$B:$Z,2,0),"")</f>
        <v/>
      </c>
      <c r="C332" s="46" t="str">
        <f>IFERROR(VLOOKUP($H332,매장구분!$B:$Z,3,0),"")</f>
        <v/>
      </c>
      <c r="D332" s="46" t="str">
        <f>IFERROR(VLOOKUP($H332,매장구분!$B:$Z,5,0),"")</f>
        <v/>
      </c>
      <c r="E332" s="46" t="str">
        <f>IFERROR(VLOOKUP($H332,매장구분!$B:$Z,9,0),"")</f>
        <v/>
      </c>
      <c r="AF332" s="47">
        <f t="shared" si="5"/>
        <v>0</v>
      </c>
    </row>
    <row r="333" spans="2:32" x14ac:dyDescent="0.3">
      <c r="B333" s="46" t="str">
        <f>IFERROR(VLOOKUP($H333,매장구분!$B:$Z,2,0),"")</f>
        <v/>
      </c>
      <c r="C333" s="46" t="str">
        <f>IFERROR(VLOOKUP($H333,매장구분!$B:$Z,3,0),"")</f>
        <v/>
      </c>
      <c r="D333" s="46" t="str">
        <f>IFERROR(VLOOKUP($H333,매장구분!$B:$Z,5,0),"")</f>
        <v/>
      </c>
      <c r="E333" s="46" t="str">
        <f>IFERROR(VLOOKUP($H333,매장구분!$B:$Z,9,0),"")</f>
        <v/>
      </c>
      <c r="AF333" s="47">
        <f t="shared" si="5"/>
        <v>0</v>
      </c>
    </row>
    <row r="334" spans="2:32" x14ac:dyDescent="0.3">
      <c r="B334" s="46" t="str">
        <f>IFERROR(VLOOKUP($H334,매장구분!$B:$Z,2,0),"")</f>
        <v/>
      </c>
      <c r="C334" s="46" t="str">
        <f>IFERROR(VLOOKUP($H334,매장구분!$B:$Z,3,0),"")</f>
        <v/>
      </c>
      <c r="D334" s="46" t="str">
        <f>IFERROR(VLOOKUP($H334,매장구분!$B:$Z,5,0),"")</f>
        <v/>
      </c>
      <c r="E334" s="46" t="str">
        <f>IFERROR(VLOOKUP($H334,매장구분!$B:$Z,9,0),"")</f>
        <v/>
      </c>
      <c r="AF334" s="47">
        <f t="shared" si="5"/>
        <v>0</v>
      </c>
    </row>
    <row r="335" spans="2:32" x14ac:dyDescent="0.3">
      <c r="B335" s="46" t="str">
        <f>IFERROR(VLOOKUP($H335,매장구분!$B:$Z,2,0),"")</f>
        <v/>
      </c>
      <c r="C335" s="46" t="str">
        <f>IFERROR(VLOOKUP($H335,매장구분!$B:$Z,3,0),"")</f>
        <v/>
      </c>
      <c r="D335" s="46" t="str">
        <f>IFERROR(VLOOKUP($H335,매장구분!$B:$Z,5,0),"")</f>
        <v/>
      </c>
      <c r="E335" s="46" t="str">
        <f>IFERROR(VLOOKUP($H335,매장구분!$B:$Z,9,0),"")</f>
        <v/>
      </c>
      <c r="AF335" s="47">
        <f t="shared" si="5"/>
        <v>0</v>
      </c>
    </row>
    <row r="336" spans="2:32" x14ac:dyDescent="0.3">
      <c r="B336" s="46" t="str">
        <f>IFERROR(VLOOKUP($H336,매장구분!$B:$Z,2,0),"")</f>
        <v/>
      </c>
      <c r="C336" s="46" t="str">
        <f>IFERROR(VLOOKUP($H336,매장구분!$B:$Z,3,0),"")</f>
        <v/>
      </c>
      <c r="D336" s="46" t="str">
        <f>IFERROR(VLOOKUP($H336,매장구분!$B:$Z,5,0),"")</f>
        <v/>
      </c>
      <c r="E336" s="46" t="str">
        <f>IFERROR(VLOOKUP($H336,매장구분!$B:$Z,9,0),"")</f>
        <v/>
      </c>
      <c r="AF336" s="47">
        <f t="shared" si="5"/>
        <v>0</v>
      </c>
    </row>
    <row r="337" spans="2:32" x14ac:dyDescent="0.3">
      <c r="B337" s="46" t="str">
        <f>IFERROR(VLOOKUP($H337,매장구분!$B:$Z,2,0),"")</f>
        <v/>
      </c>
      <c r="C337" s="46" t="str">
        <f>IFERROR(VLOOKUP($H337,매장구분!$B:$Z,3,0),"")</f>
        <v/>
      </c>
      <c r="D337" s="46" t="str">
        <f>IFERROR(VLOOKUP($H337,매장구분!$B:$Z,5,0),"")</f>
        <v/>
      </c>
      <c r="E337" s="46" t="str">
        <f>IFERROR(VLOOKUP($H337,매장구분!$B:$Z,9,0),"")</f>
        <v/>
      </c>
      <c r="AF337" s="47">
        <f t="shared" si="5"/>
        <v>0</v>
      </c>
    </row>
    <row r="338" spans="2:32" x14ac:dyDescent="0.3">
      <c r="B338" s="46" t="str">
        <f>IFERROR(VLOOKUP($H338,매장구분!$B:$Z,2,0),"")</f>
        <v/>
      </c>
      <c r="C338" s="46" t="str">
        <f>IFERROR(VLOOKUP($H338,매장구분!$B:$Z,3,0),"")</f>
        <v/>
      </c>
      <c r="D338" s="46" t="str">
        <f>IFERROR(VLOOKUP($H338,매장구분!$B:$Z,5,0),"")</f>
        <v/>
      </c>
      <c r="E338" s="46" t="str">
        <f>IFERROR(VLOOKUP($H338,매장구분!$B:$Z,9,0),"")</f>
        <v/>
      </c>
      <c r="AF338" s="47">
        <f t="shared" si="5"/>
        <v>0</v>
      </c>
    </row>
    <row r="339" spans="2:32" x14ac:dyDescent="0.3">
      <c r="B339" s="46" t="str">
        <f>IFERROR(VLOOKUP($H339,매장구분!$B:$Z,2,0),"")</f>
        <v/>
      </c>
      <c r="C339" s="46" t="str">
        <f>IFERROR(VLOOKUP($H339,매장구분!$B:$Z,3,0),"")</f>
        <v/>
      </c>
      <c r="D339" s="46" t="str">
        <f>IFERROR(VLOOKUP($H339,매장구분!$B:$Z,5,0),"")</f>
        <v/>
      </c>
      <c r="E339" s="46" t="str">
        <f>IFERROR(VLOOKUP($H339,매장구분!$B:$Z,9,0),"")</f>
        <v/>
      </c>
      <c r="AF339" s="47">
        <f t="shared" si="5"/>
        <v>0</v>
      </c>
    </row>
    <row r="340" spans="2:32" x14ac:dyDescent="0.3">
      <c r="B340" s="46" t="str">
        <f>IFERROR(VLOOKUP($H340,매장구분!$B:$Z,2,0),"")</f>
        <v/>
      </c>
      <c r="C340" s="46" t="str">
        <f>IFERROR(VLOOKUP($H340,매장구분!$B:$Z,3,0),"")</f>
        <v/>
      </c>
      <c r="D340" s="46" t="str">
        <f>IFERROR(VLOOKUP($H340,매장구분!$B:$Z,5,0),"")</f>
        <v/>
      </c>
      <c r="E340" s="46" t="str">
        <f>IFERROR(VLOOKUP($H340,매장구분!$B:$Z,9,0),"")</f>
        <v/>
      </c>
      <c r="AF340" s="47">
        <f t="shared" si="5"/>
        <v>0</v>
      </c>
    </row>
    <row r="341" spans="2:32" x14ac:dyDescent="0.3">
      <c r="B341" s="46" t="str">
        <f>IFERROR(VLOOKUP($H341,매장구분!$B:$Z,2,0),"")</f>
        <v/>
      </c>
      <c r="C341" s="46" t="str">
        <f>IFERROR(VLOOKUP($H341,매장구분!$B:$Z,3,0),"")</f>
        <v/>
      </c>
      <c r="D341" s="46" t="str">
        <f>IFERROR(VLOOKUP($H341,매장구분!$B:$Z,5,0),"")</f>
        <v/>
      </c>
      <c r="E341" s="46" t="str">
        <f>IFERROR(VLOOKUP($H341,매장구분!$B:$Z,9,0),"")</f>
        <v/>
      </c>
      <c r="AF341" s="47">
        <f t="shared" si="5"/>
        <v>0</v>
      </c>
    </row>
    <row r="342" spans="2:32" x14ac:dyDescent="0.3">
      <c r="B342" s="46" t="str">
        <f>IFERROR(VLOOKUP($H342,매장구분!$B:$Z,2,0),"")</f>
        <v/>
      </c>
      <c r="C342" s="46" t="str">
        <f>IFERROR(VLOOKUP($H342,매장구분!$B:$Z,3,0),"")</f>
        <v/>
      </c>
      <c r="D342" s="46" t="str">
        <f>IFERROR(VLOOKUP($H342,매장구분!$B:$Z,5,0),"")</f>
        <v/>
      </c>
      <c r="E342" s="46" t="str">
        <f>IFERROR(VLOOKUP($H342,매장구분!$B:$Z,9,0),"")</f>
        <v/>
      </c>
      <c r="AF342" s="47">
        <f t="shared" si="5"/>
        <v>0</v>
      </c>
    </row>
    <row r="343" spans="2:32" x14ac:dyDescent="0.3">
      <c r="B343" s="46" t="str">
        <f>IFERROR(VLOOKUP($H343,매장구분!$B:$Z,2,0),"")</f>
        <v/>
      </c>
      <c r="C343" s="46" t="str">
        <f>IFERROR(VLOOKUP($H343,매장구분!$B:$Z,3,0),"")</f>
        <v/>
      </c>
      <c r="D343" s="46" t="str">
        <f>IFERROR(VLOOKUP($H343,매장구분!$B:$Z,5,0),"")</f>
        <v/>
      </c>
      <c r="E343" s="46" t="str">
        <f>IFERROR(VLOOKUP($H343,매장구분!$B:$Z,9,0),"")</f>
        <v/>
      </c>
      <c r="AF343" s="47">
        <f t="shared" si="5"/>
        <v>0</v>
      </c>
    </row>
    <row r="344" spans="2:32" x14ac:dyDescent="0.3">
      <c r="B344" s="46" t="str">
        <f>IFERROR(VLOOKUP($H344,매장구분!$B:$Z,2,0),"")</f>
        <v/>
      </c>
      <c r="C344" s="46" t="str">
        <f>IFERROR(VLOOKUP($H344,매장구분!$B:$Z,3,0),"")</f>
        <v/>
      </c>
      <c r="D344" s="46" t="str">
        <f>IFERROR(VLOOKUP($H344,매장구분!$B:$Z,5,0),"")</f>
        <v/>
      </c>
      <c r="E344" s="46" t="str">
        <f>IFERROR(VLOOKUP($H344,매장구분!$B:$Z,9,0),"")</f>
        <v/>
      </c>
      <c r="AF344" s="47">
        <f t="shared" si="5"/>
        <v>0</v>
      </c>
    </row>
    <row r="345" spans="2:32" x14ac:dyDescent="0.3">
      <c r="B345" s="46" t="str">
        <f>IFERROR(VLOOKUP($H345,매장구분!$B:$Z,2,0),"")</f>
        <v/>
      </c>
      <c r="C345" s="46" t="str">
        <f>IFERROR(VLOOKUP($H345,매장구분!$B:$Z,3,0),"")</f>
        <v/>
      </c>
      <c r="D345" s="46" t="str">
        <f>IFERROR(VLOOKUP($H345,매장구분!$B:$Z,5,0),"")</f>
        <v/>
      </c>
      <c r="E345" s="46" t="str">
        <f>IFERROR(VLOOKUP($H345,매장구분!$B:$Z,9,0),"")</f>
        <v/>
      </c>
      <c r="AF345" s="47">
        <f t="shared" si="5"/>
        <v>0</v>
      </c>
    </row>
    <row r="346" spans="2:32" x14ac:dyDescent="0.3">
      <c r="B346" s="46" t="str">
        <f>IFERROR(VLOOKUP($H346,매장구분!$B:$Z,2,0),"")</f>
        <v/>
      </c>
      <c r="C346" s="46" t="str">
        <f>IFERROR(VLOOKUP($H346,매장구분!$B:$Z,3,0),"")</f>
        <v/>
      </c>
      <c r="D346" s="46" t="str">
        <f>IFERROR(VLOOKUP($H346,매장구분!$B:$Z,5,0),"")</f>
        <v/>
      </c>
      <c r="E346" s="46" t="str">
        <f>IFERROR(VLOOKUP($H346,매장구분!$B:$Z,9,0),"")</f>
        <v/>
      </c>
      <c r="AF346" s="47">
        <f t="shared" si="5"/>
        <v>0</v>
      </c>
    </row>
    <row r="347" spans="2:32" x14ac:dyDescent="0.3">
      <c r="B347" s="46" t="str">
        <f>IFERROR(VLOOKUP($H347,매장구분!$B:$Z,2,0),"")</f>
        <v/>
      </c>
      <c r="C347" s="46" t="str">
        <f>IFERROR(VLOOKUP($H347,매장구분!$B:$Z,3,0),"")</f>
        <v/>
      </c>
      <c r="D347" s="46" t="str">
        <f>IFERROR(VLOOKUP($H347,매장구분!$B:$Z,5,0),"")</f>
        <v/>
      </c>
      <c r="E347" s="46" t="str">
        <f>IFERROR(VLOOKUP($H347,매장구분!$B:$Z,9,0),"")</f>
        <v/>
      </c>
      <c r="AF347" s="47">
        <f t="shared" si="5"/>
        <v>0</v>
      </c>
    </row>
    <row r="348" spans="2:32" x14ac:dyDescent="0.3">
      <c r="B348" s="46" t="str">
        <f>IFERROR(VLOOKUP($H348,매장구분!$B:$Z,2,0),"")</f>
        <v/>
      </c>
      <c r="C348" s="46" t="str">
        <f>IFERROR(VLOOKUP($H348,매장구분!$B:$Z,3,0),"")</f>
        <v/>
      </c>
      <c r="D348" s="46" t="str">
        <f>IFERROR(VLOOKUP($H348,매장구분!$B:$Z,5,0),"")</f>
        <v/>
      </c>
      <c r="E348" s="46" t="str">
        <f>IFERROR(VLOOKUP($H348,매장구분!$B:$Z,9,0),"")</f>
        <v/>
      </c>
      <c r="AF348" s="47">
        <f t="shared" si="5"/>
        <v>0</v>
      </c>
    </row>
    <row r="349" spans="2:32" x14ac:dyDescent="0.3">
      <c r="B349" s="46" t="str">
        <f>IFERROR(VLOOKUP($H349,매장구분!$B:$Z,2,0),"")</f>
        <v/>
      </c>
      <c r="C349" s="46" t="str">
        <f>IFERROR(VLOOKUP($H349,매장구분!$B:$Z,3,0),"")</f>
        <v/>
      </c>
      <c r="D349" s="46" t="str">
        <f>IFERROR(VLOOKUP($H349,매장구분!$B:$Z,5,0),"")</f>
        <v/>
      </c>
      <c r="E349" s="46" t="str">
        <f>IFERROR(VLOOKUP($H349,매장구분!$B:$Z,9,0),"")</f>
        <v/>
      </c>
      <c r="AF349" s="47">
        <f t="shared" si="5"/>
        <v>0</v>
      </c>
    </row>
    <row r="350" spans="2:32" x14ac:dyDescent="0.3">
      <c r="B350" s="46" t="str">
        <f>IFERROR(VLOOKUP($H350,매장구분!$B:$Z,2,0),"")</f>
        <v/>
      </c>
      <c r="C350" s="46" t="str">
        <f>IFERROR(VLOOKUP($H350,매장구분!$B:$Z,3,0),"")</f>
        <v/>
      </c>
      <c r="D350" s="46" t="str">
        <f>IFERROR(VLOOKUP($H350,매장구분!$B:$Z,5,0),"")</f>
        <v/>
      </c>
      <c r="E350" s="46" t="str">
        <f>IFERROR(VLOOKUP($H350,매장구분!$B:$Z,9,0),"")</f>
        <v/>
      </c>
      <c r="AF350" s="47">
        <f t="shared" si="5"/>
        <v>0</v>
      </c>
    </row>
    <row r="351" spans="2:32" x14ac:dyDescent="0.3">
      <c r="B351" s="46" t="str">
        <f>IFERROR(VLOOKUP($H351,매장구분!$B:$Z,2,0),"")</f>
        <v/>
      </c>
      <c r="C351" s="46" t="str">
        <f>IFERROR(VLOOKUP($H351,매장구분!$B:$Z,3,0),"")</f>
        <v/>
      </c>
      <c r="D351" s="46" t="str">
        <f>IFERROR(VLOOKUP($H351,매장구분!$B:$Z,5,0),"")</f>
        <v/>
      </c>
      <c r="E351" s="46" t="str">
        <f>IFERROR(VLOOKUP($H351,매장구분!$B:$Z,9,0),"")</f>
        <v/>
      </c>
      <c r="AF351" s="47">
        <f t="shared" si="5"/>
        <v>0</v>
      </c>
    </row>
    <row r="352" spans="2:32" x14ac:dyDescent="0.3">
      <c r="B352" s="46" t="str">
        <f>IFERROR(VLOOKUP($H352,매장구분!$B:$Z,2,0),"")</f>
        <v/>
      </c>
      <c r="C352" s="46" t="str">
        <f>IFERROR(VLOOKUP($H352,매장구분!$B:$Z,3,0),"")</f>
        <v/>
      </c>
      <c r="D352" s="46" t="str">
        <f>IFERROR(VLOOKUP($H352,매장구분!$B:$Z,5,0),"")</f>
        <v/>
      </c>
      <c r="E352" s="46" t="str">
        <f>IFERROR(VLOOKUP($H352,매장구분!$B:$Z,9,0),"")</f>
        <v/>
      </c>
      <c r="AF352" s="47">
        <f t="shared" si="5"/>
        <v>0</v>
      </c>
    </row>
    <row r="353" spans="2:32" x14ac:dyDescent="0.3">
      <c r="B353" s="46" t="str">
        <f>IFERROR(VLOOKUP($H353,매장구분!$B:$Z,2,0),"")</f>
        <v/>
      </c>
      <c r="C353" s="46" t="str">
        <f>IFERROR(VLOOKUP($H353,매장구분!$B:$Z,3,0),"")</f>
        <v/>
      </c>
      <c r="D353" s="46" t="str">
        <f>IFERROR(VLOOKUP($H353,매장구분!$B:$Z,5,0),"")</f>
        <v/>
      </c>
      <c r="E353" s="46" t="str">
        <f>IFERROR(VLOOKUP($H353,매장구분!$B:$Z,9,0),"")</f>
        <v/>
      </c>
      <c r="AF353" s="47">
        <f t="shared" si="5"/>
        <v>0</v>
      </c>
    </row>
    <row r="354" spans="2:32" x14ac:dyDescent="0.3">
      <c r="B354" s="46" t="str">
        <f>IFERROR(VLOOKUP($H354,매장구분!$B:$Z,2,0),"")</f>
        <v/>
      </c>
      <c r="C354" s="46" t="str">
        <f>IFERROR(VLOOKUP($H354,매장구분!$B:$Z,3,0),"")</f>
        <v/>
      </c>
      <c r="D354" s="46" t="str">
        <f>IFERROR(VLOOKUP($H354,매장구분!$B:$Z,5,0),"")</f>
        <v/>
      </c>
      <c r="E354" s="46" t="str">
        <f>IFERROR(VLOOKUP($H354,매장구분!$B:$Z,9,0),"")</f>
        <v/>
      </c>
      <c r="AF354" s="47">
        <f t="shared" si="5"/>
        <v>0</v>
      </c>
    </row>
    <row r="355" spans="2:32" x14ac:dyDescent="0.3">
      <c r="B355" s="46" t="str">
        <f>IFERROR(VLOOKUP($H355,매장구분!$B:$Z,2,0),"")</f>
        <v/>
      </c>
      <c r="C355" s="46" t="str">
        <f>IFERROR(VLOOKUP($H355,매장구분!$B:$Z,3,0),"")</f>
        <v/>
      </c>
      <c r="D355" s="46" t="str">
        <f>IFERROR(VLOOKUP($H355,매장구분!$B:$Z,5,0),"")</f>
        <v/>
      </c>
      <c r="E355" s="46" t="str">
        <f>IFERROR(VLOOKUP($H355,매장구분!$B:$Z,9,0),"")</f>
        <v/>
      </c>
      <c r="AF355" s="47">
        <f t="shared" si="5"/>
        <v>0</v>
      </c>
    </row>
    <row r="356" spans="2:32" x14ac:dyDescent="0.3">
      <c r="B356" s="46" t="str">
        <f>IFERROR(VLOOKUP($H356,매장구분!$B:$Z,2,0),"")</f>
        <v/>
      </c>
      <c r="C356" s="46" t="str">
        <f>IFERROR(VLOOKUP($H356,매장구분!$B:$Z,3,0),"")</f>
        <v/>
      </c>
      <c r="D356" s="46" t="str">
        <f>IFERROR(VLOOKUP($H356,매장구분!$B:$Z,5,0),"")</f>
        <v/>
      </c>
      <c r="E356" s="46" t="str">
        <f>IFERROR(VLOOKUP($H356,매장구분!$B:$Z,9,0),"")</f>
        <v/>
      </c>
      <c r="AF356" s="47">
        <f t="shared" si="5"/>
        <v>0</v>
      </c>
    </row>
    <row r="357" spans="2:32" x14ac:dyDescent="0.3">
      <c r="B357" s="46" t="str">
        <f>IFERROR(VLOOKUP($H357,매장구분!$B:$Z,2,0),"")</f>
        <v/>
      </c>
      <c r="C357" s="46" t="str">
        <f>IFERROR(VLOOKUP($H357,매장구분!$B:$Z,3,0),"")</f>
        <v/>
      </c>
      <c r="D357" s="46" t="str">
        <f>IFERROR(VLOOKUP($H357,매장구분!$B:$Z,5,0),"")</f>
        <v/>
      </c>
      <c r="E357" s="46" t="str">
        <f>IFERROR(VLOOKUP($H357,매장구분!$B:$Z,9,0),"")</f>
        <v/>
      </c>
      <c r="AF357" s="47">
        <f t="shared" si="5"/>
        <v>0</v>
      </c>
    </row>
    <row r="358" spans="2:32" x14ac:dyDescent="0.3">
      <c r="B358" s="46" t="str">
        <f>IFERROR(VLOOKUP($H358,매장구분!$B:$Z,2,0),"")</f>
        <v/>
      </c>
      <c r="C358" s="46" t="str">
        <f>IFERROR(VLOOKUP($H358,매장구분!$B:$Z,3,0),"")</f>
        <v/>
      </c>
      <c r="D358" s="46" t="str">
        <f>IFERROR(VLOOKUP($H358,매장구분!$B:$Z,5,0),"")</f>
        <v/>
      </c>
      <c r="E358" s="46" t="str">
        <f>IFERROR(VLOOKUP($H358,매장구분!$B:$Z,9,0),"")</f>
        <v/>
      </c>
      <c r="AF358" s="47">
        <f t="shared" si="5"/>
        <v>0</v>
      </c>
    </row>
    <row r="359" spans="2:32" x14ac:dyDescent="0.3">
      <c r="B359" s="46" t="str">
        <f>IFERROR(VLOOKUP($H359,매장구분!$B:$Z,2,0),"")</f>
        <v/>
      </c>
      <c r="C359" s="46" t="str">
        <f>IFERROR(VLOOKUP($H359,매장구분!$B:$Z,3,0),"")</f>
        <v/>
      </c>
      <c r="D359" s="46" t="str">
        <f>IFERROR(VLOOKUP($H359,매장구분!$B:$Z,5,0),"")</f>
        <v/>
      </c>
      <c r="E359" s="46" t="str">
        <f>IFERROR(VLOOKUP($H359,매장구분!$B:$Z,9,0),"")</f>
        <v/>
      </c>
      <c r="AF359" s="47">
        <f t="shared" si="5"/>
        <v>0</v>
      </c>
    </row>
    <row r="360" spans="2:32" x14ac:dyDescent="0.3">
      <c r="B360" s="46" t="str">
        <f>IFERROR(VLOOKUP($H360,매장구분!$B:$Z,2,0),"")</f>
        <v/>
      </c>
      <c r="C360" s="46" t="str">
        <f>IFERROR(VLOOKUP($H360,매장구분!$B:$Z,3,0),"")</f>
        <v/>
      </c>
      <c r="D360" s="46" t="str">
        <f>IFERROR(VLOOKUP($H360,매장구분!$B:$Z,5,0),"")</f>
        <v/>
      </c>
      <c r="E360" s="46" t="str">
        <f>IFERROR(VLOOKUP($H360,매장구분!$B:$Z,9,0),"")</f>
        <v/>
      </c>
      <c r="AF360" s="47">
        <f t="shared" si="5"/>
        <v>0</v>
      </c>
    </row>
    <row r="361" spans="2:32" x14ac:dyDescent="0.3">
      <c r="B361" s="46" t="str">
        <f>IFERROR(VLOOKUP($H361,매장구분!$B:$Z,2,0),"")</f>
        <v/>
      </c>
      <c r="C361" s="46" t="str">
        <f>IFERROR(VLOOKUP($H361,매장구분!$B:$Z,3,0),"")</f>
        <v/>
      </c>
      <c r="D361" s="46" t="str">
        <f>IFERROR(VLOOKUP($H361,매장구분!$B:$Z,5,0),"")</f>
        <v/>
      </c>
      <c r="E361" s="46" t="str">
        <f>IFERROR(VLOOKUP($H361,매장구분!$B:$Z,9,0),"")</f>
        <v/>
      </c>
      <c r="AF361" s="47">
        <f t="shared" si="5"/>
        <v>0</v>
      </c>
    </row>
    <row r="362" spans="2:32" x14ac:dyDescent="0.3">
      <c r="B362" s="46" t="str">
        <f>IFERROR(VLOOKUP($H362,매장구분!$B:$Z,2,0),"")</f>
        <v/>
      </c>
      <c r="C362" s="46" t="str">
        <f>IFERROR(VLOOKUP($H362,매장구분!$B:$Z,3,0),"")</f>
        <v/>
      </c>
      <c r="D362" s="46" t="str">
        <f>IFERROR(VLOOKUP($H362,매장구분!$B:$Z,5,0),"")</f>
        <v/>
      </c>
      <c r="E362" s="46" t="str">
        <f>IFERROR(VLOOKUP($H362,매장구분!$B:$Z,9,0),"")</f>
        <v/>
      </c>
      <c r="AF362" s="47">
        <f t="shared" si="5"/>
        <v>0</v>
      </c>
    </row>
    <row r="363" spans="2:32" x14ac:dyDescent="0.3">
      <c r="B363" s="46" t="str">
        <f>IFERROR(VLOOKUP($H363,매장구분!$B:$Z,2,0),"")</f>
        <v/>
      </c>
      <c r="C363" s="46" t="str">
        <f>IFERROR(VLOOKUP($H363,매장구분!$B:$Z,3,0),"")</f>
        <v/>
      </c>
      <c r="D363" s="46" t="str">
        <f>IFERROR(VLOOKUP($H363,매장구분!$B:$Z,5,0),"")</f>
        <v/>
      </c>
      <c r="E363" s="46" t="str">
        <f>IFERROR(VLOOKUP($H363,매장구분!$B:$Z,9,0),"")</f>
        <v/>
      </c>
      <c r="AF363" s="47">
        <f t="shared" si="5"/>
        <v>0</v>
      </c>
    </row>
    <row r="364" spans="2:32" x14ac:dyDescent="0.3">
      <c r="B364" s="46" t="str">
        <f>IFERROR(VLOOKUP($H364,매장구분!$B:$Z,2,0),"")</f>
        <v/>
      </c>
      <c r="C364" s="46" t="str">
        <f>IFERROR(VLOOKUP($H364,매장구분!$B:$Z,3,0),"")</f>
        <v/>
      </c>
      <c r="D364" s="46" t="str">
        <f>IFERROR(VLOOKUP($H364,매장구분!$B:$Z,5,0),"")</f>
        <v/>
      </c>
      <c r="E364" s="46" t="str">
        <f>IFERROR(VLOOKUP($H364,매장구분!$B:$Z,9,0),"")</f>
        <v/>
      </c>
      <c r="AF364" s="47">
        <f t="shared" si="5"/>
        <v>0</v>
      </c>
    </row>
    <row r="365" spans="2:32" x14ac:dyDescent="0.3">
      <c r="B365" s="46" t="str">
        <f>IFERROR(VLOOKUP($H365,매장구분!$B:$Z,2,0),"")</f>
        <v/>
      </c>
      <c r="C365" s="46" t="str">
        <f>IFERROR(VLOOKUP($H365,매장구분!$B:$Z,3,0),"")</f>
        <v/>
      </c>
      <c r="D365" s="46" t="str">
        <f>IFERROR(VLOOKUP($H365,매장구분!$B:$Z,5,0),"")</f>
        <v/>
      </c>
      <c r="E365" s="46" t="str">
        <f>IFERROR(VLOOKUP($H365,매장구분!$B:$Z,9,0),"")</f>
        <v/>
      </c>
      <c r="AF365" s="47">
        <f t="shared" si="5"/>
        <v>0</v>
      </c>
    </row>
    <row r="366" spans="2:32" x14ac:dyDescent="0.3">
      <c r="B366" s="46" t="str">
        <f>IFERROR(VLOOKUP($H366,매장구분!$B:$Z,2,0),"")</f>
        <v/>
      </c>
      <c r="C366" s="46" t="str">
        <f>IFERROR(VLOOKUP($H366,매장구분!$B:$Z,3,0),"")</f>
        <v/>
      </c>
      <c r="D366" s="46" t="str">
        <f>IFERROR(VLOOKUP($H366,매장구분!$B:$Z,5,0),"")</f>
        <v/>
      </c>
      <c r="E366" s="46" t="str">
        <f>IFERROR(VLOOKUP($H366,매장구분!$B:$Z,9,0),"")</f>
        <v/>
      </c>
      <c r="AF366" s="47">
        <f t="shared" si="5"/>
        <v>0</v>
      </c>
    </row>
    <row r="367" spans="2:32" x14ac:dyDescent="0.3">
      <c r="B367" s="46" t="str">
        <f>IFERROR(VLOOKUP($H367,매장구분!$B:$Z,2,0),"")</f>
        <v/>
      </c>
      <c r="C367" s="46" t="str">
        <f>IFERROR(VLOOKUP($H367,매장구분!$B:$Z,3,0),"")</f>
        <v/>
      </c>
      <c r="D367" s="46" t="str">
        <f>IFERROR(VLOOKUP($H367,매장구분!$B:$Z,5,0),"")</f>
        <v/>
      </c>
      <c r="E367" s="46" t="str">
        <f>IFERROR(VLOOKUP($H367,매장구분!$B:$Z,9,0),"")</f>
        <v/>
      </c>
      <c r="AF367" s="47">
        <f t="shared" si="5"/>
        <v>0</v>
      </c>
    </row>
    <row r="368" spans="2:32" x14ac:dyDescent="0.3">
      <c r="B368" s="46" t="str">
        <f>IFERROR(VLOOKUP($H368,매장구분!$B:$Z,2,0),"")</f>
        <v/>
      </c>
      <c r="C368" s="46" t="str">
        <f>IFERROR(VLOOKUP($H368,매장구분!$B:$Z,3,0),"")</f>
        <v/>
      </c>
      <c r="D368" s="46" t="str">
        <f>IFERROR(VLOOKUP($H368,매장구분!$B:$Z,5,0),"")</f>
        <v/>
      </c>
      <c r="E368" s="46" t="str">
        <f>IFERROR(VLOOKUP($H368,매장구분!$B:$Z,9,0),"")</f>
        <v/>
      </c>
      <c r="AF368" s="47">
        <f t="shared" si="5"/>
        <v>0</v>
      </c>
    </row>
    <row r="369" spans="2:32" x14ac:dyDescent="0.3">
      <c r="B369" s="46" t="str">
        <f>IFERROR(VLOOKUP($H369,매장구분!$B:$Z,2,0),"")</f>
        <v/>
      </c>
      <c r="C369" s="46" t="str">
        <f>IFERROR(VLOOKUP($H369,매장구분!$B:$Z,3,0),"")</f>
        <v/>
      </c>
      <c r="D369" s="46" t="str">
        <f>IFERROR(VLOOKUP($H369,매장구분!$B:$Z,5,0),"")</f>
        <v/>
      </c>
      <c r="E369" s="46" t="str">
        <f>IFERROR(VLOOKUP($H369,매장구분!$B:$Z,9,0),"")</f>
        <v/>
      </c>
      <c r="AF369" s="47">
        <f t="shared" si="5"/>
        <v>0</v>
      </c>
    </row>
    <row r="370" spans="2:32" x14ac:dyDescent="0.3">
      <c r="B370" s="46" t="str">
        <f>IFERROR(VLOOKUP($H370,매장구분!$B:$Z,2,0),"")</f>
        <v/>
      </c>
      <c r="C370" s="46" t="str">
        <f>IFERROR(VLOOKUP($H370,매장구분!$B:$Z,3,0),"")</f>
        <v/>
      </c>
      <c r="D370" s="46" t="str">
        <f>IFERROR(VLOOKUP($H370,매장구분!$B:$Z,5,0),"")</f>
        <v/>
      </c>
      <c r="E370" s="46" t="str">
        <f>IFERROR(VLOOKUP($H370,매장구분!$B:$Z,9,0),"")</f>
        <v/>
      </c>
      <c r="AF370" s="47">
        <f t="shared" si="5"/>
        <v>0</v>
      </c>
    </row>
    <row r="371" spans="2:32" x14ac:dyDescent="0.3">
      <c r="B371" s="46" t="str">
        <f>IFERROR(VLOOKUP($H371,매장구분!$B:$Z,2,0),"")</f>
        <v/>
      </c>
      <c r="C371" s="46" t="str">
        <f>IFERROR(VLOOKUP($H371,매장구분!$B:$Z,3,0),"")</f>
        <v/>
      </c>
      <c r="D371" s="46" t="str">
        <f>IFERROR(VLOOKUP($H371,매장구분!$B:$Z,5,0),"")</f>
        <v/>
      </c>
      <c r="E371" s="46" t="str">
        <f>IFERROR(VLOOKUP($H371,매장구분!$B:$Z,9,0),"")</f>
        <v/>
      </c>
      <c r="AF371" s="47">
        <f t="shared" si="5"/>
        <v>0</v>
      </c>
    </row>
    <row r="372" spans="2:32" x14ac:dyDescent="0.3">
      <c r="B372" s="46" t="str">
        <f>IFERROR(VLOOKUP($H372,매장구분!$B:$Z,2,0),"")</f>
        <v/>
      </c>
      <c r="C372" s="46" t="str">
        <f>IFERROR(VLOOKUP($H372,매장구분!$B:$Z,3,0),"")</f>
        <v/>
      </c>
      <c r="D372" s="46" t="str">
        <f>IFERROR(VLOOKUP($H372,매장구분!$B:$Z,5,0),"")</f>
        <v/>
      </c>
      <c r="E372" s="46" t="str">
        <f>IFERROR(VLOOKUP($H372,매장구분!$B:$Z,9,0),"")</f>
        <v/>
      </c>
      <c r="AF372" s="47">
        <f t="shared" si="5"/>
        <v>0</v>
      </c>
    </row>
    <row r="373" spans="2:32" x14ac:dyDescent="0.3">
      <c r="B373" s="46" t="str">
        <f>IFERROR(VLOOKUP($H373,매장구분!$B:$Z,2,0),"")</f>
        <v/>
      </c>
      <c r="C373" s="46" t="str">
        <f>IFERROR(VLOOKUP($H373,매장구분!$B:$Z,3,0),"")</f>
        <v/>
      </c>
      <c r="D373" s="46" t="str">
        <f>IFERROR(VLOOKUP($H373,매장구분!$B:$Z,5,0),"")</f>
        <v/>
      </c>
      <c r="E373" s="46" t="str">
        <f>IFERROR(VLOOKUP($H373,매장구분!$B:$Z,9,0),"")</f>
        <v/>
      </c>
      <c r="AF373" s="47">
        <f t="shared" si="5"/>
        <v>0</v>
      </c>
    </row>
    <row r="374" spans="2:32" x14ac:dyDescent="0.3">
      <c r="B374" s="46" t="str">
        <f>IFERROR(VLOOKUP($H374,매장구분!$B:$Z,2,0),"")</f>
        <v/>
      </c>
      <c r="C374" s="46" t="str">
        <f>IFERROR(VLOOKUP($H374,매장구분!$B:$Z,3,0),"")</f>
        <v/>
      </c>
      <c r="D374" s="46" t="str">
        <f>IFERROR(VLOOKUP($H374,매장구분!$B:$Z,5,0),"")</f>
        <v/>
      </c>
      <c r="E374" s="46" t="str">
        <f>IFERROR(VLOOKUP($H374,매장구분!$B:$Z,9,0),"")</f>
        <v/>
      </c>
      <c r="AF374" s="47">
        <f t="shared" si="5"/>
        <v>0</v>
      </c>
    </row>
    <row r="375" spans="2:32" x14ac:dyDescent="0.3">
      <c r="B375" s="46" t="str">
        <f>IFERROR(VLOOKUP($H375,매장구분!$B:$Z,2,0),"")</f>
        <v/>
      </c>
      <c r="C375" s="46" t="str">
        <f>IFERROR(VLOOKUP($H375,매장구분!$B:$Z,3,0),"")</f>
        <v/>
      </c>
      <c r="D375" s="46" t="str">
        <f>IFERROR(VLOOKUP($H375,매장구분!$B:$Z,5,0),"")</f>
        <v/>
      </c>
      <c r="E375" s="46" t="str">
        <f>IFERROR(VLOOKUP($H375,매장구분!$B:$Z,9,0),"")</f>
        <v/>
      </c>
      <c r="AF375" s="47">
        <f t="shared" si="5"/>
        <v>0</v>
      </c>
    </row>
    <row r="376" spans="2:32" x14ac:dyDescent="0.3">
      <c r="B376" s="46" t="str">
        <f>IFERROR(VLOOKUP($H376,매장구분!$B:$Z,2,0),"")</f>
        <v/>
      </c>
      <c r="C376" s="46" t="str">
        <f>IFERROR(VLOOKUP($H376,매장구분!$B:$Z,3,0),"")</f>
        <v/>
      </c>
      <c r="D376" s="46" t="str">
        <f>IFERROR(VLOOKUP($H376,매장구분!$B:$Z,5,0),"")</f>
        <v/>
      </c>
      <c r="E376" s="46" t="str">
        <f>IFERROR(VLOOKUP($H376,매장구분!$B:$Z,9,0),"")</f>
        <v/>
      </c>
      <c r="AF376" s="47">
        <f t="shared" si="5"/>
        <v>0</v>
      </c>
    </row>
    <row r="377" spans="2:32" x14ac:dyDescent="0.3">
      <c r="B377" s="46" t="str">
        <f>IFERROR(VLOOKUP($H377,매장구분!$B:$Z,2,0),"")</f>
        <v/>
      </c>
      <c r="C377" s="46" t="str">
        <f>IFERROR(VLOOKUP($H377,매장구분!$B:$Z,3,0),"")</f>
        <v/>
      </c>
      <c r="D377" s="46" t="str">
        <f>IFERROR(VLOOKUP($H377,매장구분!$B:$Z,5,0),"")</f>
        <v/>
      </c>
      <c r="E377" s="46" t="str">
        <f>IFERROR(VLOOKUP($H377,매장구분!$B:$Z,9,0),"")</f>
        <v/>
      </c>
      <c r="AF377" s="47">
        <f t="shared" si="5"/>
        <v>0</v>
      </c>
    </row>
    <row r="378" spans="2:32" x14ac:dyDescent="0.3">
      <c r="B378" s="46" t="str">
        <f>IFERROR(VLOOKUP($H378,매장구분!$B:$Z,2,0),"")</f>
        <v/>
      </c>
      <c r="C378" s="46" t="str">
        <f>IFERROR(VLOOKUP($H378,매장구분!$B:$Z,3,0),"")</f>
        <v/>
      </c>
      <c r="D378" s="46" t="str">
        <f>IFERROR(VLOOKUP($H378,매장구분!$B:$Z,5,0),"")</f>
        <v/>
      </c>
      <c r="E378" s="46" t="str">
        <f>IFERROR(VLOOKUP($H378,매장구분!$B:$Z,9,0),"")</f>
        <v/>
      </c>
      <c r="AF378" s="47">
        <f t="shared" si="5"/>
        <v>0</v>
      </c>
    </row>
    <row r="379" spans="2:32" x14ac:dyDescent="0.3">
      <c r="B379" s="46" t="str">
        <f>IFERROR(VLOOKUP($H379,매장구분!$B:$Z,2,0),"")</f>
        <v/>
      </c>
      <c r="C379" s="46" t="str">
        <f>IFERROR(VLOOKUP($H379,매장구분!$B:$Z,3,0),"")</f>
        <v/>
      </c>
      <c r="D379" s="46" t="str">
        <f>IFERROR(VLOOKUP($H379,매장구분!$B:$Z,5,0),"")</f>
        <v/>
      </c>
      <c r="E379" s="46" t="str">
        <f>IFERROR(VLOOKUP($H379,매장구분!$B:$Z,9,0),"")</f>
        <v/>
      </c>
      <c r="AF379" s="47">
        <f t="shared" si="5"/>
        <v>0</v>
      </c>
    </row>
    <row r="380" spans="2:32" x14ac:dyDescent="0.3">
      <c r="B380" s="46" t="str">
        <f>IFERROR(VLOOKUP($H380,매장구분!$B:$Z,2,0),"")</f>
        <v/>
      </c>
      <c r="C380" s="46" t="str">
        <f>IFERROR(VLOOKUP($H380,매장구분!$B:$Z,3,0),"")</f>
        <v/>
      </c>
      <c r="D380" s="46" t="str">
        <f>IFERROR(VLOOKUP($H380,매장구분!$B:$Z,5,0),"")</f>
        <v/>
      </c>
      <c r="E380" s="46" t="str">
        <f>IFERROR(VLOOKUP($H380,매장구분!$B:$Z,9,0),"")</f>
        <v/>
      </c>
      <c r="AF380" s="47">
        <f t="shared" si="5"/>
        <v>0</v>
      </c>
    </row>
    <row r="381" spans="2:32" x14ac:dyDescent="0.3">
      <c r="B381" s="46" t="str">
        <f>IFERROR(VLOOKUP($H381,매장구분!$B:$Z,2,0),"")</f>
        <v/>
      </c>
      <c r="C381" s="46" t="str">
        <f>IFERROR(VLOOKUP($H381,매장구분!$B:$Z,3,0),"")</f>
        <v/>
      </c>
      <c r="D381" s="46" t="str">
        <f>IFERROR(VLOOKUP($H381,매장구분!$B:$Z,5,0),"")</f>
        <v/>
      </c>
      <c r="E381" s="46" t="str">
        <f>IFERROR(VLOOKUP($H381,매장구분!$B:$Z,9,0),"")</f>
        <v/>
      </c>
      <c r="AF381" s="47">
        <f t="shared" si="5"/>
        <v>0</v>
      </c>
    </row>
    <row r="382" spans="2:32" x14ac:dyDescent="0.3">
      <c r="B382" s="46" t="str">
        <f>IFERROR(VLOOKUP($H382,매장구분!$B:$Z,2,0),"")</f>
        <v/>
      </c>
      <c r="C382" s="46" t="str">
        <f>IFERROR(VLOOKUP($H382,매장구분!$B:$Z,3,0),"")</f>
        <v/>
      </c>
      <c r="D382" s="46" t="str">
        <f>IFERROR(VLOOKUP($H382,매장구분!$B:$Z,5,0),"")</f>
        <v/>
      </c>
      <c r="E382" s="46" t="str">
        <f>IFERROR(VLOOKUP($H382,매장구분!$B:$Z,9,0),"")</f>
        <v/>
      </c>
      <c r="AF382" s="47">
        <f t="shared" si="5"/>
        <v>0</v>
      </c>
    </row>
    <row r="383" spans="2:32" x14ac:dyDescent="0.3">
      <c r="B383" s="46" t="str">
        <f>IFERROR(VLOOKUP($H383,매장구분!$B:$Z,2,0),"")</f>
        <v/>
      </c>
      <c r="C383" s="46" t="str">
        <f>IFERROR(VLOOKUP($H383,매장구분!$B:$Z,3,0),"")</f>
        <v/>
      </c>
      <c r="D383" s="46" t="str">
        <f>IFERROR(VLOOKUP($H383,매장구분!$B:$Z,5,0),"")</f>
        <v/>
      </c>
      <c r="E383" s="46" t="str">
        <f>IFERROR(VLOOKUP($H383,매장구분!$B:$Z,9,0),"")</f>
        <v/>
      </c>
      <c r="AF383" s="47">
        <f t="shared" si="5"/>
        <v>0</v>
      </c>
    </row>
    <row r="384" spans="2:32" x14ac:dyDescent="0.3">
      <c r="B384" s="46" t="str">
        <f>IFERROR(VLOOKUP($H384,매장구분!$B:$Z,2,0),"")</f>
        <v/>
      </c>
      <c r="C384" s="46" t="str">
        <f>IFERROR(VLOOKUP($H384,매장구분!$B:$Z,3,0),"")</f>
        <v/>
      </c>
      <c r="D384" s="46" t="str">
        <f>IFERROR(VLOOKUP($H384,매장구분!$B:$Z,5,0),"")</f>
        <v/>
      </c>
      <c r="E384" s="46" t="str">
        <f>IFERROR(VLOOKUP($H384,매장구분!$B:$Z,9,0),"")</f>
        <v/>
      </c>
      <c r="AF384" s="47">
        <f t="shared" si="5"/>
        <v>0</v>
      </c>
    </row>
    <row r="385" spans="2:32" x14ac:dyDescent="0.3">
      <c r="B385" s="46" t="str">
        <f>IFERROR(VLOOKUP($H385,매장구분!$B:$Z,2,0),"")</f>
        <v/>
      </c>
      <c r="C385" s="46" t="str">
        <f>IFERROR(VLOOKUP($H385,매장구분!$B:$Z,3,0),"")</f>
        <v/>
      </c>
      <c r="D385" s="46" t="str">
        <f>IFERROR(VLOOKUP($H385,매장구분!$B:$Z,5,0),"")</f>
        <v/>
      </c>
      <c r="E385" s="46" t="str">
        <f>IFERROR(VLOOKUP($H385,매장구분!$B:$Z,9,0),"")</f>
        <v/>
      </c>
      <c r="AF385" s="47">
        <f t="shared" si="5"/>
        <v>0</v>
      </c>
    </row>
    <row r="386" spans="2:32" x14ac:dyDescent="0.3">
      <c r="B386" s="46" t="str">
        <f>IFERROR(VLOOKUP($H386,매장구분!$B:$Z,2,0),"")</f>
        <v/>
      </c>
      <c r="C386" s="46" t="str">
        <f>IFERROR(VLOOKUP($H386,매장구분!$B:$Z,3,0),"")</f>
        <v/>
      </c>
      <c r="D386" s="46" t="str">
        <f>IFERROR(VLOOKUP($H386,매장구분!$B:$Z,5,0),"")</f>
        <v/>
      </c>
      <c r="E386" s="46" t="str">
        <f>IFERROR(VLOOKUP($H386,매장구분!$B:$Z,9,0),"")</f>
        <v/>
      </c>
      <c r="AF386" s="47">
        <f t="shared" si="5"/>
        <v>0</v>
      </c>
    </row>
    <row r="387" spans="2:32" x14ac:dyDescent="0.3">
      <c r="B387" s="46" t="str">
        <f>IFERROR(VLOOKUP($H387,매장구분!$B:$Z,2,0),"")</f>
        <v/>
      </c>
      <c r="C387" s="46" t="str">
        <f>IFERROR(VLOOKUP($H387,매장구분!$B:$Z,3,0),"")</f>
        <v/>
      </c>
      <c r="D387" s="46" t="str">
        <f>IFERROR(VLOOKUP($H387,매장구분!$B:$Z,5,0),"")</f>
        <v/>
      </c>
      <c r="E387" s="46" t="str">
        <f>IFERROR(VLOOKUP($H387,매장구분!$B:$Z,9,0),"")</f>
        <v/>
      </c>
      <c r="AF387" s="47">
        <f t="shared" ref="AF387:AF450" si="6">IFERROR(AC387-Y387,"")</f>
        <v>0</v>
      </c>
    </row>
    <row r="388" spans="2:32" x14ac:dyDescent="0.3">
      <c r="B388" s="46" t="str">
        <f>IFERROR(VLOOKUP($H388,매장구분!$B:$Z,2,0),"")</f>
        <v/>
      </c>
      <c r="C388" s="46" t="str">
        <f>IFERROR(VLOOKUP($H388,매장구분!$B:$Z,3,0),"")</f>
        <v/>
      </c>
      <c r="D388" s="46" t="str">
        <f>IFERROR(VLOOKUP($H388,매장구분!$B:$Z,5,0),"")</f>
        <v/>
      </c>
      <c r="E388" s="46" t="str">
        <f>IFERROR(VLOOKUP($H388,매장구분!$B:$Z,9,0),"")</f>
        <v/>
      </c>
      <c r="AF388" s="47">
        <f t="shared" si="6"/>
        <v>0</v>
      </c>
    </row>
    <row r="389" spans="2:32" x14ac:dyDescent="0.3">
      <c r="B389" s="46" t="str">
        <f>IFERROR(VLOOKUP($H389,매장구분!$B:$Z,2,0),"")</f>
        <v/>
      </c>
      <c r="C389" s="46" t="str">
        <f>IFERROR(VLOOKUP($H389,매장구분!$B:$Z,3,0),"")</f>
        <v/>
      </c>
      <c r="D389" s="46" t="str">
        <f>IFERROR(VLOOKUP($H389,매장구분!$B:$Z,5,0),"")</f>
        <v/>
      </c>
      <c r="E389" s="46" t="str">
        <f>IFERROR(VLOOKUP($H389,매장구분!$B:$Z,9,0),"")</f>
        <v/>
      </c>
      <c r="AF389" s="47">
        <f t="shared" si="6"/>
        <v>0</v>
      </c>
    </row>
    <row r="390" spans="2:32" x14ac:dyDescent="0.3">
      <c r="B390" s="46" t="str">
        <f>IFERROR(VLOOKUP($H390,매장구분!$B:$Z,2,0),"")</f>
        <v/>
      </c>
      <c r="C390" s="46" t="str">
        <f>IFERROR(VLOOKUP($H390,매장구분!$B:$Z,3,0),"")</f>
        <v/>
      </c>
      <c r="D390" s="46" t="str">
        <f>IFERROR(VLOOKUP($H390,매장구분!$B:$Z,5,0),"")</f>
        <v/>
      </c>
      <c r="E390" s="46" t="str">
        <f>IFERROR(VLOOKUP($H390,매장구분!$B:$Z,9,0),"")</f>
        <v/>
      </c>
      <c r="AF390" s="47">
        <f t="shared" si="6"/>
        <v>0</v>
      </c>
    </row>
    <row r="391" spans="2:32" x14ac:dyDescent="0.3">
      <c r="B391" s="46" t="str">
        <f>IFERROR(VLOOKUP($H391,매장구분!$B:$Z,2,0),"")</f>
        <v/>
      </c>
      <c r="C391" s="46" t="str">
        <f>IFERROR(VLOOKUP($H391,매장구분!$B:$Z,3,0),"")</f>
        <v/>
      </c>
      <c r="D391" s="46" t="str">
        <f>IFERROR(VLOOKUP($H391,매장구분!$B:$Z,5,0),"")</f>
        <v/>
      </c>
      <c r="E391" s="46" t="str">
        <f>IFERROR(VLOOKUP($H391,매장구분!$B:$Z,9,0),"")</f>
        <v/>
      </c>
      <c r="AF391" s="47">
        <f t="shared" si="6"/>
        <v>0</v>
      </c>
    </row>
    <row r="392" spans="2:32" x14ac:dyDescent="0.3">
      <c r="B392" s="46" t="str">
        <f>IFERROR(VLOOKUP($H392,매장구분!$B:$Z,2,0),"")</f>
        <v/>
      </c>
      <c r="C392" s="46" t="str">
        <f>IFERROR(VLOOKUP($H392,매장구분!$B:$Z,3,0),"")</f>
        <v/>
      </c>
      <c r="D392" s="46" t="str">
        <f>IFERROR(VLOOKUP($H392,매장구분!$B:$Z,5,0),"")</f>
        <v/>
      </c>
      <c r="E392" s="46" t="str">
        <f>IFERROR(VLOOKUP($H392,매장구분!$B:$Z,9,0),"")</f>
        <v/>
      </c>
      <c r="AF392" s="47">
        <f t="shared" si="6"/>
        <v>0</v>
      </c>
    </row>
    <row r="393" spans="2:32" x14ac:dyDescent="0.3">
      <c r="B393" s="46" t="str">
        <f>IFERROR(VLOOKUP($H393,매장구분!$B:$Z,2,0),"")</f>
        <v/>
      </c>
      <c r="C393" s="46" t="str">
        <f>IFERROR(VLOOKUP($H393,매장구분!$B:$Z,3,0),"")</f>
        <v/>
      </c>
      <c r="D393" s="46" t="str">
        <f>IFERROR(VLOOKUP($H393,매장구분!$B:$Z,5,0),"")</f>
        <v/>
      </c>
      <c r="E393" s="46" t="str">
        <f>IFERROR(VLOOKUP($H393,매장구분!$B:$Z,9,0),"")</f>
        <v/>
      </c>
      <c r="AF393" s="47">
        <f t="shared" si="6"/>
        <v>0</v>
      </c>
    </row>
    <row r="394" spans="2:32" x14ac:dyDescent="0.3">
      <c r="B394" s="46" t="str">
        <f>IFERROR(VLOOKUP($H394,매장구분!$B:$Z,2,0),"")</f>
        <v/>
      </c>
      <c r="C394" s="46" t="str">
        <f>IFERROR(VLOOKUP($H394,매장구분!$B:$Z,3,0),"")</f>
        <v/>
      </c>
      <c r="D394" s="46" t="str">
        <f>IFERROR(VLOOKUP($H394,매장구분!$B:$Z,5,0),"")</f>
        <v/>
      </c>
      <c r="E394" s="46" t="str">
        <f>IFERROR(VLOOKUP($H394,매장구분!$B:$Z,9,0),"")</f>
        <v/>
      </c>
      <c r="AF394" s="47">
        <f t="shared" si="6"/>
        <v>0</v>
      </c>
    </row>
    <row r="395" spans="2:32" x14ac:dyDescent="0.3">
      <c r="B395" s="46" t="str">
        <f>IFERROR(VLOOKUP($H395,매장구분!$B:$Z,2,0),"")</f>
        <v/>
      </c>
      <c r="C395" s="46" t="str">
        <f>IFERROR(VLOOKUP($H395,매장구분!$B:$Z,3,0),"")</f>
        <v/>
      </c>
      <c r="D395" s="46" t="str">
        <f>IFERROR(VLOOKUP($H395,매장구분!$B:$Z,5,0),"")</f>
        <v/>
      </c>
      <c r="E395" s="46" t="str">
        <f>IFERROR(VLOOKUP($H395,매장구분!$B:$Z,9,0),"")</f>
        <v/>
      </c>
      <c r="AF395" s="47">
        <f t="shared" si="6"/>
        <v>0</v>
      </c>
    </row>
    <row r="396" spans="2:32" x14ac:dyDescent="0.3">
      <c r="B396" s="46" t="str">
        <f>IFERROR(VLOOKUP($H396,매장구분!$B:$Z,2,0),"")</f>
        <v/>
      </c>
      <c r="C396" s="46" t="str">
        <f>IFERROR(VLOOKUP($H396,매장구분!$B:$Z,3,0),"")</f>
        <v/>
      </c>
      <c r="D396" s="46" t="str">
        <f>IFERROR(VLOOKUP($H396,매장구분!$B:$Z,5,0),"")</f>
        <v/>
      </c>
      <c r="E396" s="46" t="str">
        <f>IFERROR(VLOOKUP($H396,매장구분!$B:$Z,9,0),"")</f>
        <v/>
      </c>
      <c r="AF396" s="47">
        <f t="shared" si="6"/>
        <v>0</v>
      </c>
    </row>
    <row r="397" spans="2:32" x14ac:dyDescent="0.3">
      <c r="B397" s="46" t="str">
        <f>IFERROR(VLOOKUP($H397,매장구분!$B:$Z,2,0),"")</f>
        <v/>
      </c>
      <c r="C397" s="46" t="str">
        <f>IFERROR(VLOOKUP($H397,매장구분!$B:$Z,3,0),"")</f>
        <v/>
      </c>
      <c r="D397" s="46" t="str">
        <f>IFERROR(VLOOKUP($H397,매장구분!$B:$Z,5,0),"")</f>
        <v/>
      </c>
      <c r="E397" s="46" t="str">
        <f>IFERROR(VLOOKUP($H397,매장구분!$B:$Z,9,0),"")</f>
        <v/>
      </c>
      <c r="AF397" s="47">
        <f t="shared" si="6"/>
        <v>0</v>
      </c>
    </row>
    <row r="398" spans="2:32" x14ac:dyDescent="0.3">
      <c r="B398" s="46" t="str">
        <f>IFERROR(VLOOKUP($H398,매장구분!$B:$Z,2,0),"")</f>
        <v/>
      </c>
      <c r="C398" s="46" t="str">
        <f>IFERROR(VLOOKUP($H398,매장구분!$B:$Z,3,0),"")</f>
        <v/>
      </c>
      <c r="D398" s="46" t="str">
        <f>IFERROR(VLOOKUP($H398,매장구분!$B:$Z,5,0),"")</f>
        <v/>
      </c>
      <c r="E398" s="46" t="str">
        <f>IFERROR(VLOOKUP($H398,매장구분!$B:$Z,9,0),"")</f>
        <v/>
      </c>
      <c r="AF398" s="47">
        <f t="shared" si="6"/>
        <v>0</v>
      </c>
    </row>
    <row r="399" spans="2:32" x14ac:dyDescent="0.3">
      <c r="B399" s="46" t="str">
        <f>IFERROR(VLOOKUP($H399,매장구분!$B:$Z,2,0),"")</f>
        <v/>
      </c>
      <c r="C399" s="46" t="str">
        <f>IFERROR(VLOOKUP($H399,매장구분!$B:$Z,3,0),"")</f>
        <v/>
      </c>
      <c r="D399" s="46" t="str">
        <f>IFERROR(VLOOKUP($H399,매장구분!$B:$Z,5,0),"")</f>
        <v/>
      </c>
      <c r="E399" s="46" t="str">
        <f>IFERROR(VLOOKUP($H399,매장구분!$B:$Z,9,0),"")</f>
        <v/>
      </c>
      <c r="AF399" s="47">
        <f t="shared" si="6"/>
        <v>0</v>
      </c>
    </row>
    <row r="400" spans="2:32" x14ac:dyDescent="0.3">
      <c r="B400" s="46" t="str">
        <f>IFERROR(VLOOKUP($H400,매장구분!$B:$Z,2,0),"")</f>
        <v/>
      </c>
      <c r="C400" s="46" t="str">
        <f>IFERROR(VLOOKUP($H400,매장구분!$B:$Z,3,0),"")</f>
        <v/>
      </c>
      <c r="D400" s="46" t="str">
        <f>IFERROR(VLOOKUP($H400,매장구분!$B:$Z,5,0),"")</f>
        <v/>
      </c>
      <c r="E400" s="46" t="str">
        <f>IFERROR(VLOOKUP($H400,매장구분!$B:$Z,9,0),"")</f>
        <v/>
      </c>
      <c r="AF400" s="47">
        <f t="shared" si="6"/>
        <v>0</v>
      </c>
    </row>
    <row r="401" spans="2:32" x14ac:dyDescent="0.3">
      <c r="B401" s="46" t="str">
        <f>IFERROR(VLOOKUP($H401,매장구분!$B:$Z,2,0),"")</f>
        <v/>
      </c>
      <c r="C401" s="46" t="str">
        <f>IFERROR(VLOOKUP($H401,매장구분!$B:$Z,3,0),"")</f>
        <v/>
      </c>
      <c r="D401" s="46" t="str">
        <f>IFERROR(VLOOKUP($H401,매장구분!$B:$Z,5,0),"")</f>
        <v/>
      </c>
      <c r="E401" s="46" t="str">
        <f>IFERROR(VLOOKUP($H401,매장구분!$B:$Z,9,0),"")</f>
        <v/>
      </c>
      <c r="AF401" s="47">
        <f t="shared" si="6"/>
        <v>0</v>
      </c>
    </row>
    <row r="402" spans="2:32" x14ac:dyDescent="0.3">
      <c r="B402" s="46" t="str">
        <f>IFERROR(VLOOKUP($H402,매장구분!$B:$Z,2,0),"")</f>
        <v/>
      </c>
      <c r="C402" s="46" t="str">
        <f>IFERROR(VLOOKUP($H402,매장구분!$B:$Z,3,0),"")</f>
        <v/>
      </c>
      <c r="D402" s="46" t="str">
        <f>IFERROR(VLOOKUP($H402,매장구분!$B:$Z,5,0),"")</f>
        <v/>
      </c>
      <c r="E402" s="46" t="str">
        <f>IFERROR(VLOOKUP($H402,매장구분!$B:$Z,9,0),"")</f>
        <v/>
      </c>
      <c r="AF402" s="47">
        <f t="shared" si="6"/>
        <v>0</v>
      </c>
    </row>
    <row r="403" spans="2:32" x14ac:dyDescent="0.3">
      <c r="B403" s="46" t="str">
        <f>IFERROR(VLOOKUP($H403,매장구분!$B:$Z,2,0),"")</f>
        <v/>
      </c>
      <c r="C403" s="46" t="str">
        <f>IFERROR(VLOOKUP($H403,매장구분!$B:$Z,3,0),"")</f>
        <v/>
      </c>
      <c r="D403" s="46" t="str">
        <f>IFERROR(VLOOKUP($H403,매장구분!$B:$Z,5,0),"")</f>
        <v/>
      </c>
      <c r="E403" s="46" t="str">
        <f>IFERROR(VLOOKUP($H403,매장구분!$B:$Z,9,0),"")</f>
        <v/>
      </c>
      <c r="AF403" s="47">
        <f t="shared" si="6"/>
        <v>0</v>
      </c>
    </row>
    <row r="404" spans="2:32" x14ac:dyDescent="0.3">
      <c r="B404" s="46" t="str">
        <f>IFERROR(VLOOKUP($H404,매장구분!$B:$Z,2,0),"")</f>
        <v/>
      </c>
      <c r="C404" s="46" t="str">
        <f>IFERROR(VLOOKUP($H404,매장구분!$B:$Z,3,0),"")</f>
        <v/>
      </c>
      <c r="D404" s="46" t="str">
        <f>IFERROR(VLOOKUP($H404,매장구분!$B:$Z,5,0),"")</f>
        <v/>
      </c>
      <c r="E404" s="46" t="str">
        <f>IFERROR(VLOOKUP($H404,매장구분!$B:$Z,9,0),"")</f>
        <v/>
      </c>
      <c r="AF404" s="47">
        <f t="shared" si="6"/>
        <v>0</v>
      </c>
    </row>
    <row r="405" spans="2:32" x14ac:dyDescent="0.3">
      <c r="B405" s="46" t="str">
        <f>IFERROR(VLOOKUP($H405,매장구분!$B:$Z,2,0),"")</f>
        <v/>
      </c>
      <c r="C405" s="46" t="str">
        <f>IFERROR(VLOOKUP($H405,매장구분!$B:$Z,3,0),"")</f>
        <v/>
      </c>
      <c r="D405" s="46" t="str">
        <f>IFERROR(VLOOKUP($H405,매장구분!$B:$Z,5,0),"")</f>
        <v/>
      </c>
      <c r="E405" s="46" t="str">
        <f>IFERROR(VLOOKUP($H405,매장구분!$B:$Z,9,0),"")</f>
        <v/>
      </c>
      <c r="AF405" s="47">
        <f t="shared" si="6"/>
        <v>0</v>
      </c>
    </row>
    <row r="406" spans="2:32" x14ac:dyDescent="0.3">
      <c r="B406" s="46" t="str">
        <f>IFERROR(VLOOKUP($H406,매장구분!$B:$Z,2,0),"")</f>
        <v/>
      </c>
      <c r="C406" s="46" t="str">
        <f>IFERROR(VLOOKUP($H406,매장구분!$B:$Z,3,0),"")</f>
        <v/>
      </c>
      <c r="D406" s="46" t="str">
        <f>IFERROR(VLOOKUP($H406,매장구분!$B:$Z,5,0),"")</f>
        <v/>
      </c>
      <c r="E406" s="46" t="str">
        <f>IFERROR(VLOOKUP($H406,매장구분!$B:$Z,9,0),"")</f>
        <v/>
      </c>
      <c r="AF406" s="47">
        <f t="shared" si="6"/>
        <v>0</v>
      </c>
    </row>
    <row r="407" spans="2:32" x14ac:dyDescent="0.3">
      <c r="B407" s="46" t="str">
        <f>IFERROR(VLOOKUP($H407,매장구분!$B:$Z,2,0),"")</f>
        <v/>
      </c>
      <c r="C407" s="46" t="str">
        <f>IFERROR(VLOOKUP($H407,매장구분!$B:$Z,3,0),"")</f>
        <v/>
      </c>
      <c r="D407" s="46" t="str">
        <f>IFERROR(VLOOKUP($H407,매장구분!$B:$Z,5,0),"")</f>
        <v/>
      </c>
      <c r="E407" s="46" t="str">
        <f>IFERROR(VLOOKUP($H407,매장구분!$B:$Z,9,0),"")</f>
        <v/>
      </c>
      <c r="AF407" s="47">
        <f t="shared" si="6"/>
        <v>0</v>
      </c>
    </row>
    <row r="408" spans="2:32" x14ac:dyDescent="0.3">
      <c r="B408" s="46" t="str">
        <f>IFERROR(VLOOKUP($H408,매장구분!$B:$Z,2,0),"")</f>
        <v/>
      </c>
      <c r="C408" s="46" t="str">
        <f>IFERROR(VLOOKUP($H408,매장구분!$B:$Z,3,0),"")</f>
        <v/>
      </c>
      <c r="D408" s="46" t="str">
        <f>IFERROR(VLOOKUP($H408,매장구분!$B:$Z,5,0),"")</f>
        <v/>
      </c>
      <c r="E408" s="46" t="str">
        <f>IFERROR(VLOOKUP($H408,매장구분!$B:$Z,9,0),"")</f>
        <v/>
      </c>
      <c r="AF408" s="47">
        <f t="shared" si="6"/>
        <v>0</v>
      </c>
    </row>
    <row r="409" spans="2:32" x14ac:dyDescent="0.3">
      <c r="B409" s="46" t="str">
        <f>IFERROR(VLOOKUP($H409,매장구분!$B:$Z,2,0),"")</f>
        <v/>
      </c>
      <c r="C409" s="46" t="str">
        <f>IFERROR(VLOOKUP($H409,매장구분!$B:$Z,3,0),"")</f>
        <v/>
      </c>
      <c r="D409" s="46" t="str">
        <f>IFERROR(VLOOKUP($H409,매장구분!$B:$Z,5,0),"")</f>
        <v/>
      </c>
      <c r="E409" s="46" t="str">
        <f>IFERROR(VLOOKUP($H409,매장구분!$B:$Z,9,0),"")</f>
        <v/>
      </c>
      <c r="AF409" s="47">
        <f t="shared" si="6"/>
        <v>0</v>
      </c>
    </row>
    <row r="410" spans="2:32" x14ac:dyDescent="0.3">
      <c r="B410" s="46" t="str">
        <f>IFERROR(VLOOKUP($H410,매장구분!$B:$Z,2,0),"")</f>
        <v/>
      </c>
      <c r="C410" s="46" t="str">
        <f>IFERROR(VLOOKUP($H410,매장구분!$B:$Z,3,0),"")</f>
        <v/>
      </c>
      <c r="D410" s="46" t="str">
        <f>IFERROR(VLOOKUP($H410,매장구분!$B:$Z,5,0),"")</f>
        <v/>
      </c>
      <c r="E410" s="46" t="str">
        <f>IFERROR(VLOOKUP($H410,매장구분!$B:$Z,9,0),"")</f>
        <v/>
      </c>
      <c r="AF410" s="47">
        <f t="shared" si="6"/>
        <v>0</v>
      </c>
    </row>
    <row r="411" spans="2:32" x14ac:dyDescent="0.3">
      <c r="B411" s="46" t="str">
        <f>IFERROR(VLOOKUP($H411,매장구분!$B:$Z,2,0),"")</f>
        <v/>
      </c>
      <c r="C411" s="46" t="str">
        <f>IFERROR(VLOOKUP($H411,매장구분!$B:$Z,3,0),"")</f>
        <v/>
      </c>
      <c r="D411" s="46" t="str">
        <f>IFERROR(VLOOKUP($H411,매장구분!$B:$Z,5,0),"")</f>
        <v/>
      </c>
      <c r="E411" s="46" t="str">
        <f>IFERROR(VLOOKUP($H411,매장구분!$B:$Z,9,0),"")</f>
        <v/>
      </c>
      <c r="AF411" s="47">
        <f t="shared" si="6"/>
        <v>0</v>
      </c>
    </row>
    <row r="412" spans="2:32" x14ac:dyDescent="0.3">
      <c r="B412" s="46" t="str">
        <f>IFERROR(VLOOKUP($H412,매장구분!$B:$Z,2,0),"")</f>
        <v/>
      </c>
      <c r="C412" s="46" t="str">
        <f>IFERROR(VLOOKUP($H412,매장구분!$B:$Z,3,0),"")</f>
        <v/>
      </c>
      <c r="D412" s="46" t="str">
        <f>IFERROR(VLOOKUP($H412,매장구분!$B:$Z,5,0),"")</f>
        <v/>
      </c>
      <c r="E412" s="46" t="str">
        <f>IFERROR(VLOOKUP($H412,매장구분!$B:$Z,9,0),"")</f>
        <v/>
      </c>
      <c r="AF412" s="47">
        <f t="shared" si="6"/>
        <v>0</v>
      </c>
    </row>
    <row r="413" spans="2:32" x14ac:dyDescent="0.3">
      <c r="B413" s="46" t="str">
        <f>IFERROR(VLOOKUP($H413,매장구분!$B:$Z,2,0),"")</f>
        <v/>
      </c>
      <c r="C413" s="46" t="str">
        <f>IFERROR(VLOOKUP($H413,매장구분!$B:$Z,3,0),"")</f>
        <v/>
      </c>
      <c r="D413" s="46" t="str">
        <f>IFERROR(VLOOKUP($H413,매장구분!$B:$Z,5,0),"")</f>
        <v/>
      </c>
      <c r="E413" s="46" t="str">
        <f>IFERROR(VLOOKUP($H413,매장구분!$B:$Z,9,0),"")</f>
        <v/>
      </c>
      <c r="AF413" s="47">
        <f t="shared" si="6"/>
        <v>0</v>
      </c>
    </row>
    <row r="414" spans="2:32" x14ac:dyDescent="0.3">
      <c r="B414" s="46" t="str">
        <f>IFERROR(VLOOKUP($H414,매장구분!$B:$Z,2,0),"")</f>
        <v/>
      </c>
      <c r="C414" s="46" t="str">
        <f>IFERROR(VLOOKUP($H414,매장구분!$B:$Z,3,0),"")</f>
        <v/>
      </c>
      <c r="D414" s="46" t="str">
        <f>IFERROR(VLOOKUP($H414,매장구분!$B:$Z,5,0),"")</f>
        <v/>
      </c>
      <c r="E414" s="46" t="str">
        <f>IFERROR(VLOOKUP($H414,매장구분!$B:$Z,9,0),"")</f>
        <v/>
      </c>
      <c r="AF414" s="47">
        <f t="shared" si="6"/>
        <v>0</v>
      </c>
    </row>
    <row r="415" spans="2:32" x14ac:dyDescent="0.3">
      <c r="B415" s="46" t="str">
        <f>IFERROR(VLOOKUP($H415,매장구분!$B:$Z,2,0),"")</f>
        <v/>
      </c>
      <c r="C415" s="46" t="str">
        <f>IFERROR(VLOOKUP($H415,매장구분!$B:$Z,3,0),"")</f>
        <v/>
      </c>
      <c r="D415" s="46" t="str">
        <f>IFERROR(VLOOKUP($H415,매장구분!$B:$Z,5,0),"")</f>
        <v/>
      </c>
      <c r="E415" s="46" t="str">
        <f>IFERROR(VLOOKUP($H415,매장구분!$B:$Z,9,0),"")</f>
        <v/>
      </c>
      <c r="AF415" s="47">
        <f t="shared" si="6"/>
        <v>0</v>
      </c>
    </row>
    <row r="416" spans="2:32" x14ac:dyDescent="0.3">
      <c r="B416" s="46" t="str">
        <f>IFERROR(VLOOKUP($H416,매장구분!$B:$Z,2,0),"")</f>
        <v/>
      </c>
      <c r="C416" s="46" t="str">
        <f>IFERROR(VLOOKUP($H416,매장구분!$B:$Z,3,0),"")</f>
        <v/>
      </c>
      <c r="D416" s="46" t="str">
        <f>IFERROR(VLOOKUP($H416,매장구분!$B:$Z,5,0),"")</f>
        <v/>
      </c>
      <c r="E416" s="46" t="str">
        <f>IFERROR(VLOOKUP($H416,매장구분!$B:$Z,9,0),"")</f>
        <v/>
      </c>
      <c r="AF416" s="47">
        <f t="shared" si="6"/>
        <v>0</v>
      </c>
    </row>
    <row r="417" spans="2:32" x14ac:dyDescent="0.3">
      <c r="B417" s="46" t="str">
        <f>IFERROR(VLOOKUP($H417,매장구분!$B:$Z,2,0),"")</f>
        <v/>
      </c>
      <c r="C417" s="46" t="str">
        <f>IFERROR(VLOOKUP($H417,매장구분!$B:$Z,3,0),"")</f>
        <v/>
      </c>
      <c r="D417" s="46" t="str">
        <f>IFERROR(VLOOKUP($H417,매장구분!$B:$Z,5,0),"")</f>
        <v/>
      </c>
      <c r="E417" s="46" t="str">
        <f>IFERROR(VLOOKUP($H417,매장구분!$B:$Z,9,0),"")</f>
        <v/>
      </c>
      <c r="AF417" s="47">
        <f t="shared" si="6"/>
        <v>0</v>
      </c>
    </row>
    <row r="418" spans="2:32" x14ac:dyDescent="0.3">
      <c r="B418" s="46" t="str">
        <f>IFERROR(VLOOKUP($H418,매장구분!$B:$Z,2,0),"")</f>
        <v/>
      </c>
      <c r="C418" s="46" t="str">
        <f>IFERROR(VLOOKUP($H418,매장구분!$B:$Z,3,0),"")</f>
        <v/>
      </c>
      <c r="D418" s="46" t="str">
        <f>IFERROR(VLOOKUP($H418,매장구분!$B:$Z,5,0),"")</f>
        <v/>
      </c>
      <c r="E418" s="46" t="str">
        <f>IFERROR(VLOOKUP($H418,매장구분!$B:$Z,9,0),"")</f>
        <v/>
      </c>
      <c r="AF418" s="47">
        <f t="shared" si="6"/>
        <v>0</v>
      </c>
    </row>
    <row r="419" spans="2:32" x14ac:dyDescent="0.3">
      <c r="B419" s="46" t="str">
        <f>IFERROR(VLOOKUP($H419,매장구분!$B:$Z,2,0),"")</f>
        <v/>
      </c>
      <c r="C419" s="46" t="str">
        <f>IFERROR(VLOOKUP($H419,매장구분!$B:$Z,3,0),"")</f>
        <v/>
      </c>
      <c r="D419" s="46" t="str">
        <f>IFERROR(VLOOKUP($H419,매장구분!$B:$Z,5,0),"")</f>
        <v/>
      </c>
      <c r="E419" s="46" t="str">
        <f>IFERROR(VLOOKUP($H419,매장구분!$B:$Z,9,0),"")</f>
        <v/>
      </c>
      <c r="AF419" s="47">
        <f t="shared" si="6"/>
        <v>0</v>
      </c>
    </row>
    <row r="420" spans="2:32" x14ac:dyDescent="0.3">
      <c r="B420" s="46" t="str">
        <f>IFERROR(VLOOKUP($H420,매장구분!$B:$Z,2,0),"")</f>
        <v/>
      </c>
      <c r="C420" s="46" t="str">
        <f>IFERROR(VLOOKUP($H420,매장구분!$B:$Z,3,0),"")</f>
        <v/>
      </c>
      <c r="D420" s="46" t="str">
        <f>IFERROR(VLOOKUP($H420,매장구분!$B:$Z,5,0),"")</f>
        <v/>
      </c>
      <c r="E420" s="46" t="str">
        <f>IFERROR(VLOOKUP($H420,매장구분!$B:$Z,9,0),"")</f>
        <v/>
      </c>
      <c r="AF420" s="47">
        <f t="shared" si="6"/>
        <v>0</v>
      </c>
    </row>
    <row r="421" spans="2:32" x14ac:dyDescent="0.3">
      <c r="B421" s="46" t="str">
        <f>IFERROR(VLOOKUP($H421,매장구분!$B:$Z,2,0),"")</f>
        <v/>
      </c>
      <c r="C421" s="46" t="str">
        <f>IFERROR(VLOOKUP($H421,매장구분!$B:$Z,3,0),"")</f>
        <v/>
      </c>
      <c r="D421" s="46" t="str">
        <f>IFERROR(VLOOKUP($H421,매장구분!$B:$Z,5,0),"")</f>
        <v/>
      </c>
      <c r="E421" s="46" t="str">
        <f>IFERROR(VLOOKUP($H421,매장구분!$B:$Z,9,0),"")</f>
        <v/>
      </c>
      <c r="AF421" s="47">
        <f t="shared" si="6"/>
        <v>0</v>
      </c>
    </row>
    <row r="422" spans="2:32" x14ac:dyDescent="0.3">
      <c r="B422" s="46" t="str">
        <f>IFERROR(VLOOKUP($H422,매장구분!$B:$Z,2,0),"")</f>
        <v/>
      </c>
      <c r="C422" s="46" t="str">
        <f>IFERROR(VLOOKUP($H422,매장구분!$B:$Z,3,0),"")</f>
        <v/>
      </c>
      <c r="D422" s="46" t="str">
        <f>IFERROR(VLOOKUP($H422,매장구분!$B:$Z,5,0),"")</f>
        <v/>
      </c>
      <c r="E422" s="46" t="str">
        <f>IFERROR(VLOOKUP($H422,매장구분!$B:$Z,9,0),"")</f>
        <v/>
      </c>
      <c r="AF422" s="47">
        <f t="shared" si="6"/>
        <v>0</v>
      </c>
    </row>
    <row r="423" spans="2:32" x14ac:dyDescent="0.3">
      <c r="B423" s="46" t="str">
        <f>IFERROR(VLOOKUP($H423,매장구분!$B:$Z,2,0),"")</f>
        <v/>
      </c>
      <c r="C423" s="46" t="str">
        <f>IFERROR(VLOOKUP($H423,매장구분!$B:$Z,3,0),"")</f>
        <v/>
      </c>
      <c r="D423" s="46" t="str">
        <f>IFERROR(VLOOKUP($H423,매장구분!$B:$Z,5,0),"")</f>
        <v/>
      </c>
      <c r="E423" s="46" t="str">
        <f>IFERROR(VLOOKUP($H423,매장구분!$B:$Z,9,0),"")</f>
        <v/>
      </c>
      <c r="AF423" s="47">
        <f t="shared" si="6"/>
        <v>0</v>
      </c>
    </row>
    <row r="424" spans="2:32" x14ac:dyDescent="0.3">
      <c r="B424" s="46" t="str">
        <f>IFERROR(VLOOKUP($H424,매장구분!$B:$Z,2,0),"")</f>
        <v/>
      </c>
      <c r="C424" s="46" t="str">
        <f>IFERROR(VLOOKUP($H424,매장구분!$B:$Z,3,0),"")</f>
        <v/>
      </c>
      <c r="D424" s="46" t="str">
        <f>IFERROR(VLOOKUP($H424,매장구분!$B:$Z,5,0),"")</f>
        <v/>
      </c>
      <c r="E424" s="46" t="str">
        <f>IFERROR(VLOOKUP($H424,매장구분!$B:$Z,9,0),"")</f>
        <v/>
      </c>
      <c r="AF424" s="47">
        <f t="shared" si="6"/>
        <v>0</v>
      </c>
    </row>
    <row r="425" spans="2:32" x14ac:dyDescent="0.3">
      <c r="B425" s="46" t="str">
        <f>IFERROR(VLOOKUP($H425,매장구분!$B:$Z,2,0),"")</f>
        <v/>
      </c>
      <c r="C425" s="46" t="str">
        <f>IFERROR(VLOOKUP($H425,매장구분!$B:$Z,3,0),"")</f>
        <v/>
      </c>
      <c r="D425" s="46" t="str">
        <f>IFERROR(VLOOKUP($H425,매장구분!$B:$Z,5,0),"")</f>
        <v/>
      </c>
      <c r="E425" s="46" t="str">
        <f>IFERROR(VLOOKUP($H425,매장구분!$B:$Z,9,0),"")</f>
        <v/>
      </c>
      <c r="AF425" s="47">
        <f t="shared" si="6"/>
        <v>0</v>
      </c>
    </row>
    <row r="426" spans="2:32" x14ac:dyDescent="0.3">
      <c r="B426" s="46" t="str">
        <f>IFERROR(VLOOKUP($H426,매장구분!$B:$Z,2,0),"")</f>
        <v/>
      </c>
      <c r="C426" s="46" t="str">
        <f>IFERROR(VLOOKUP($H426,매장구분!$B:$Z,3,0),"")</f>
        <v/>
      </c>
      <c r="D426" s="46" t="str">
        <f>IFERROR(VLOOKUP($H426,매장구분!$B:$Z,5,0),"")</f>
        <v/>
      </c>
      <c r="E426" s="46" t="str">
        <f>IFERROR(VLOOKUP($H426,매장구분!$B:$Z,9,0),"")</f>
        <v/>
      </c>
      <c r="AF426" s="47">
        <f t="shared" si="6"/>
        <v>0</v>
      </c>
    </row>
    <row r="427" spans="2:32" x14ac:dyDescent="0.3">
      <c r="B427" s="46" t="str">
        <f>IFERROR(VLOOKUP($H427,매장구분!$B:$Z,2,0),"")</f>
        <v/>
      </c>
      <c r="C427" s="46" t="str">
        <f>IFERROR(VLOOKUP($H427,매장구분!$B:$Z,3,0),"")</f>
        <v/>
      </c>
      <c r="D427" s="46" t="str">
        <f>IFERROR(VLOOKUP($H427,매장구분!$B:$Z,5,0),"")</f>
        <v/>
      </c>
      <c r="E427" s="46" t="str">
        <f>IFERROR(VLOOKUP($H427,매장구분!$B:$Z,9,0),"")</f>
        <v/>
      </c>
      <c r="AF427" s="47">
        <f t="shared" si="6"/>
        <v>0</v>
      </c>
    </row>
    <row r="428" spans="2:32" x14ac:dyDescent="0.3">
      <c r="B428" s="46" t="str">
        <f>IFERROR(VLOOKUP($H428,매장구분!$B:$Z,2,0),"")</f>
        <v/>
      </c>
      <c r="C428" s="46" t="str">
        <f>IFERROR(VLOOKUP($H428,매장구분!$B:$Z,3,0),"")</f>
        <v/>
      </c>
      <c r="D428" s="46" t="str">
        <f>IFERROR(VLOOKUP($H428,매장구분!$B:$Z,5,0),"")</f>
        <v/>
      </c>
      <c r="E428" s="46" t="str">
        <f>IFERROR(VLOOKUP($H428,매장구분!$B:$Z,9,0),"")</f>
        <v/>
      </c>
      <c r="AF428" s="47">
        <f t="shared" si="6"/>
        <v>0</v>
      </c>
    </row>
    <row r="429" spans="2:32" x14ac:dyDescent="0.3">
      <c r="B429" s="46" t="str">
        <f>IFERROR(VLOOKUP($H429,매장구분!$B:$Z,2,0),"")</f>
        <v/>
      </c>
      <c r="C429" s="46" t="str">
        <f>IFERROR(VLOOKUP($H429,매장구분!$B:$Z,3,0),"")</f>
        <v/>
      </c>
      <c r="D429" s="46" t="str">
        <f>IFERROR(VLOOKUP($H429,매장구분!$B:$Z,5,0),"")</f>
        <v/>
      </c>
      <c r="E429" s="46" t="str">
        <f>IFERROR(VLOOKUP($H429,매장구분!$B:$Z,9,0),"")</f>
        <v/>
      </c>
      <c r="AF429" s="47">
        <f t="shared" si="6"/>
        <v>0</v>
      </c>
    </row>
    <row r="430" spans="2:32" x14ac:dyDescent="0.3">
      <c r="B430" s="46" t="str">
        <f>IFERROR(VLOOKUP($H430,매장구분!$B:$Z,2,0),"")</f>
        <v/>
      </c>
      <c r="C430" s="46" t="str">
        <f>IFERROR(VLOOKUP($H430,매장구분!$B:$Z,3,0),"")</f>
        <v/>
      </c>
      <c r="D430" s="46" t="str">
        <f>IFERROR(VLOOKUP($H430,매장구분!$B:$Z,5,0),"")</f>
        <v/>
      </c>
      <c r="E430" s="46" t="str">
        <f>IFERROR(VLOOKUP($H430,매장구분!$B:$Z,9,0),"")</f>
        <v/>
      </c>
      <c r="AF430" s="47">
        <f t="shared" si="6"/>
        <v>0</v>
      </c>
    </row>
    <row r="431" spans="2:32" x14ac:dyDescent="0.3">
      <c r="B431" s="46" t="str">
        <f>IFERROR(VLOOKUP($H431,매장구분!$B:$Z,2,0),"")</f>
        <v/>
      </c>
      <c r="C431" s="46" t="str">
        <f>IFERROR(VLOOKUP($H431,매장구분!$B:$Z,3,0),"")</f>
        <v/>
      </c>
      <c r="D431" s="46" t="str">
        <f>IFERROR(VLOOKUP($H431,매장구분!$B:$Z,5,0),"")</f>
        <v/>
      </c>
      <c r="E431" s="46" t="str">
        <f>IFERROR(VLOOKUP($H431,매장구분!$B:$Z,9,0),"")</f>
        <v/>
      </c>
      <c r="AF431" s="47">
        <f t="shared" si="6"/>
        <v>0</v>
      </c>
    </row>
    <row r="432" spans="2:32" x14ac:dyDescent="0.3">
      <c r="B432" s="46" t="str">
        <f>IFERROR(VLOOKUP($H432,매장구분!$B:$Z,2,0),"")</f>
        <v/>
      </c>
      <c r="C432" s="46" t="str">
        <f>IFERROR(VLOOKUP($H432,매장구분!$B:$Z,3,0),"")</f>
        <v/>
      </c>
      <c r="D432" s="46" t="str">
        <f>IFERROR(VLOOKUP($H432,매장구분!$B:$Z,5,0),"")</f>
        <v/>
      </c>
      <c r="E432" s="46" t="str">
        <f>IFERROR(VLOOKUP($H432,매장구분!$B:$Z,9,0),"")</f>
        <v/>
      </c>
      <c r="AF432" s="47">
        <f t="shared" si="6"/>
        <v>0</v>
      </c>
    </row>
    <row r="433" spans="2:32" x14ac:dyDescent="0.3">
      <c r="B433" s="46" t="str">
        <f>IFERROR(VLOOKUP($H433,매장구분!$B:$Z,2,0),"")</f>
        <v/>
      </c>
      <c r="C433" s="46" t="str">
        <f>IFERROR(VLOOKUP($H433,매장구분!$B:$Z,3,0),"")</f>
        <v/>
      </c>
      <c r="D433" s="46" t="str">
        <f>IFERROR(VLOOKUP($H433,매장구분!$B:$Z,5,0),"")</f>
        <v/>
      </c>
      <c r="E433" s="46" t="str">
        <f>IFERROR(VLOOKUP($H433,매장구분!$B:$Z,9,0),"")</f>
        <v/>
      </c>
      <c r="AF433" s="47">
        <f t="shared" si="6"/>
        <v>0</v>
      </c>
    </row>
    <row r="434" spans="2:32" x14ac:dyDescent="0.3">
      <c r="B434" s="46" t="str">
        <f>IFERROR(VLOOKUP($H434,매장구분!$B:$Z,2,0),"")</f>
        <v/>
      </c>
      <c r="C434" s="46" t="str">
        <f>IFERROR(VLOOKUP($H434,매장구분!$B:$Z,3,0),"")</f>
        <v/>
      </c>
      <c r="D434" s="46" t="str">
        <f>IFERROR(VLOOKUP($H434,매장구분!$B:$Z,5,0),"")</f>
        <v/>
      </c>
      <c r="E434" s="46" t="str">
        <f>IFERROR(VLOOKUP($H434,매장구분!$B:$Z,9,0),"")</f>
        <v/>
      </c>
      <c r="AF434" s="47">
        <f t="shared" si="6"/>
        <v>0</v>
      </c>
    </row>
    <row r="435" spans="2:32" x14ac:dyDescent="0.3">
      <c r="B435" s="46" t="str">
        <f>IFERROR(VLOOKUP($H435,매장구분!$B:$Z,2,0),"")</f>
        <v/>
      </c>
      <c r="C435" s="46" t="str">
        <f>IFERROR(VLOOKUP($H435,매장구분!$B:$Z,3,0),"")</f>
        <v/>
      </c>
      <c r="D435" s="46" t="str">
        <f>IFERROR(VLOOKUP($H435,매장구분!$B:$Z,5,0),"")</f>
        <v/>
      </c>
      <c r="E435" s="46" t="str">
        <f>IFERROR(VLOOKUP($H435,매장구분!$B:$Z,9,0),"")</f>
        <v/>
      </c>
      <c r="AF435" s="47">
        <f t="shared" si="6"/>
        <v>0</v>
      </c>
    </row>
    <row r="436" spans="2:32" x14ac:dyDescent="0.3">
      <c r="B436" s="46" t="str">
        <f>IFERROR(VLOOKUP($H436,매장구분!$B:$Z,2,0),"")</f>
        <v/>
      </c>
      <c r="C436" s="46" t="str">
        <f>IFERROR(VLOOKUP($H436,매장구분!$B:$Z,3,0),"")</f>
        <v/>
      </c>
      <c r="D436" s="46" t="str">
        <f>IFERROR(VLOOKUP($H436,매장구분!$B:$Z,5,0),"")</f>
        <v/>
      </c>
      <c r="E436" s="46" t="str">
        <f>IFERROR(VLOOKUP($H436,매장구분!$B:$Z,9,0),"")</f>
        <v/>
      </c>
      <c r="AF436" s="47">
        <f t="shared" si="6"/>
        <v>0</v>
      </c>
    </row>
    <row r="437" spans="2:32" x14ac:dyDescent="0.3">
      <c r="B437" s="46" t="str">
        <f>IFERROR(VLOOKUP($H437,매장구분!$B:$Z,2,0),"")</f>
        <v/>
      </c>
      <c r="C437" s="46" t="str">
        <f>IFERROR(VLOOKUP($H437,매장구분!$B:$Z,3,0),"")</f>
        <v/>
      </c>
      <c r="D437" s="46" t="str">
        <f>IFERROR(VLOOKUP($H437,매장구분!$B:$Z,5,0),"")</f>
        <v/>
      </c>
      <c r="E437" s="46" t="str">
        <f>IFERROR(VLOOKUP($H437,매장구분!$B:$Z,9,0),"")</f>
        <v/>
      </c>
      <c r="AF437" s="47">
        <f t="shared" si="6"/>
        <v>0</v>
      </c>
    </row>
    <row r="438" spans="2:32" x14ac:dyDescent="0.3">
      <c r="B438" s="46" t="str">
        <f>IFERROR(VLOOKUP($H438,매장구분!$B:$Z,2,0),"")</f>
        <v/>
      </c>
      <c r="C438" s="46" t="str">
        <f>IFERROR(VLOOKUP($H438,매장구분!$B:$Z,3,0),"")</f>
        <v/>
      </c>
      <c r="D438" s="46" t="str">
        <f>IFERROR(VLOOKUP($H438,매장구분!$B:$Z,5,0),"")</f>
        <v/>
      </c>
      <c r="E438" s="46" t="str">
        <f>IFERROR(VLOOKUP($H438,매장구분!$B:$Z,9,0),"")</f>
        <v/>
      </c>
      <c r="AF438" s="47">
        <f t="shared" si="6"/>
        <v>0</v>
      </c>
    </row>
    <row r="439" spans="2:32" x14ac:dyDescent="0.3">
      <c r="B439" s="46" t="str">
        <f>IFERROR(VLOOKUP($H439,매장구분!$B:$Z,2,0),"")</f>
        <v/>
      </c>
      <c r="C439" s="46" t="str">
        <f>IFERROR(VLOOKUP($H439,매장구분!$B:$Z,3,0),"")</f>
        <v/>
      </c>
      <c r="D439" s="46" t="str">
        <f>IFERROR(VLOOKUP($H439,매장구분!$B:$Z,5,0),"")</f>
        <v/>
      </c>
      <c r="E439" s="46" t="str">
        <f>IFERROR(VLOOKUP($H439,매장구분!$B:$Z,9,0),"")</f>
        <v/>
      </c>
      <c r="AF439" s="47">
        <f t="shared" si="6"/>
        <v>0</v>
      </c>
    </row>
    <row r="440" spans="2:32" x14ac:dyDescent="0.3">
      <c r="B440" s="46" t="str">
        <f>IFERROR(VLOOKUP($H440,매장구분!$B:$Z,2,0),"")</f>
        <v/>
      </c>
      <c r="C440" s="46" t="str">
        <f>IFERROR(VLOOKUP($H440,매장구분!$B:$Z,3,0),"")</f>
        <v/>
      </c>
      <c r="D440" s="46" t="str">
        <f>IFERROR(VLOOKUP($H440,매장구분!$B:$Z,5,0),"")</f>
        <v/>
      </c>
      <c r="E440" s="46" t="str">
        <f>IFERROR(VLOOKUP($H440,매장구분!$B:$Z,9,0),"")</f>
        <v/>
      </c>
      <c r="AF440" s="47">
        <f t="shared" si="6"/>
        <v>0</v>
      </c>
    </row>
    <row r="441" spans="2:32" x14ac:dyDescent="0.3">
      <c r="B441" s="46" t="str">
        <f>IFERROR(VLOOKUP($H441,매장구분!$B:$Z,2,0),"")</f>
        <v/>
      </c>
      <c r="C441" s="46" t="str">
        <f>IFERROR(VLOOKUP($H441,매장구분!$B:$Z,3,0),"")</f>
        <v/>
      </c>
      <c r="D441" s="46" t="str">
        <f>IFERROR(VLOOKUP($H441,매장구분!$B:$Z,5,0),"")</f>
        <v/>
      </c>
      <c r="E441" s="46" t="str">
        <f>IFERROR(VLOOKUP($H441,매장구분!$B:$Z,9,0),"")</f>
        <v/>
      </c>
      <c r="AF441" s="47">
        <f t="shared" si="6"/>
        <v>0</v>
      </c>
    </row>
    <row r="442" spans="2:32" x14ac:dyDescent="0.3">
      <c r="B442" s="46" t="str">
        <f>IFERROR(VLOOKUP($H442,매장구분!$B:$Z,2,0),"")</f>
        <v/>
      </c>
      <c r="C442" s="46" t="str">
        <f>IFERROR(VLOOKUP($H442,매장구분!$B:$Z,3,0),"")</f>
        <v/>
      </c>
      <c r="D442" s="46" t="str">
        <f>IFERROR(VLOOKUP($H442,매장구분!$B:$Z,5,0),"")</f>
        <v/>
      </c>
      <c r="E442" s="46" t="str">
        <f>IFERROR(VLOOKUP($H442,매장구분!$B:$Z,9,0),"")</f>
        <v/>
      </c>
      <c r="AF442" s="47">
        <f t="shared" si="6"/>
        <v>0</v>
      </c>
    </row>
    <row r="443" spans="2:32" x14ac:dyDescent="0.3">
      <c r="B443" s="46" t="str">
        <f>IFERROR(VLOOKUP($H443,매장구분!$B:$Z,2,0),"")</f>
        <v/>
      </c>
      <c r="C443" s="46" t="str">
        <f>IFERROR(VLOOKUP($H443,매장구분!$B:$Z,3,0),"")</f>
        <v/>
      </c>
      <c r="D443" s="46" t="str">
        <f>IFERROR(VLOOKUP($H443,매장구분!$B:$Z,5,0),"")</f>
        <v/>
      </c>
      <c r="E443" s="46" t="str">
        <f>IFERROR(VLOOKUP($H443,매장구분!$B:$Z,9,0),"")</f>
        <v/>
      </c>
      <c r="AF443" s="47">
        <f t="shared" si="6"/>
        <v>0</v>
      </c>
    </row>
    <row r="444" spans="2:32" x14ac:dyDescent="0.3">
      <c r="B444" s="46" t="str">
        <f>IFERROR(VLOOKUP($H444,매장구분!$B:$Z,2,0),"")</f>
        <v/>
      </c>
      <c r="C444" s="46" t="str">
        <f>IFERROR(VLOOKUP($H444,매장구분!$B:$Z,3,0),"")</f>
        <v/>
      </c>
      <c r="D444" s="46" t="str">
        <f>IFERROR(VLOOKUP($H444,매장구분!$B:$Z,5,0),"")</f>
        <v/>
      </c>
      <c r="E444" s="46" t="str">
        <f>IFERROR(VLOOKUP($H444,매장구분!$B:$Z,9,0),"")</f>
        <v/>
      </c>
      <c r="AF444" s="47">
        <f t="shared" si="6"/>
        <v>0</v>
      </c>
    </row>
    <row r="445" spans="2:32" x14ac:dyDescent="0.3">
      <c r="B445" s="46" t="str">
        <f>IFERROR(VLOOKUP($H445,매장구분!$B:$Z,2,0),"")</f>
        <v/>
      </c>
      <c r="C445" s="46" t="str">
        <f>IFERROR(VLOOKUP($H445,매장구분!$B:$Z,3,0),"")</f>
        <v/>
      </c>
      <c r="D445" s="46" t="str">
        <f>IFERROR(VLOOKUP($H445,매장구분!$B:$Z,5,0),"")</f>
        <v/>
      </c>
      <c r="E445" s="46" t="str">
        <f>IFERROR(VLOOKUP($H445,매장구분!$B:$Z,9,0),"")</f>
        <v/>
      </c>
      <c r="AF445" s="47">
        <f t="shared" si="6"/>
        <v>0</v>
      </c>
    </row>
    <row r="446" spans="2:32" x14ac:dyDescent="0.3">
      <c r="B446" s="46" t="str">
        <f>IFERROR(VLOOKUP($H446,매장구분!$B:$Z,2,0),"")</f>
        <v/>
      </c>
      <c r="C446" s="46" t="str">
        <f>IFERROR(VLOOKUP($H446,매장구분!$B:$Z,3,0),"")</f>
        <v/>
      </c>
      <c r="D446" s="46" t="str">
        <f>IFERROR(VLOOKUP($H446,매장구분!$B:$Z,5,0),"")</f>
        <v/>
      </c>
      <c r="E446" s="46" t="str">
        <f>IFERROR(VLOOKUP($H446,매장구분!$B:$Z,9,0),"")</f>
        <v/>
      </c>
      <c r="AF446" s="47">
        <f t="shared" si="6"/>
        <v>0</v>
      </c>
    </row>
    <row r="447" spans="2:32" x14ac:dyDescent="0.3">
      <c r="B447" s="46" t="str">
        <f>IFERROR(VLOOKUP($H447,매장구분!$B:$Z,2,0),"")</f>
        <v/>
      </c>
      <c r="C447" s="46" t="str">
        <f>IFERROR(VLOOKUP($H447,매장구분!$B:$Z,3,0),"")</f>
        <v/>
      </c>
      <c r="D447" s="46" t="str">
        <f>IFERROR(VLOOKUP($H447,매장구분!$B:$Z,5,0),"")</f>
        <v/>
      </c>
      <c r="E447" s="46" t="str">
        <f>IFERROR(VLOOKUP($H447,매장구분!$B:$Z,9,0),"")</f>
        <v/>
      </c>
      <c r="AF447" s="47">
        <f t="shared" si="6"/>
        <v>0</v>
      </c>
    </row>
    <row r="448" spans="2:32" x14ac:dyDescent="0.3">
      <c r="B448" s="46" t="str">
        <f>IFERROR(VLOOKUP($H448,매장구분!$B:$Z,2,0),"")</f>
        <v/>
      </c>
      <c r="C448" s="46" t="str">
        <f>IFERROR(VLOOKUP($H448,매장구분!$B:$Z,3,0),"")</f>
        <v/>
      </c>
      <c r="D448" s="46" t="str">
        <f>IFERROR(VLOOKUP($H448,매장구분!$B:$Z,5,0),"")</f>
        <v/>
      </c>
      <c r="E448" s="46" t="str">
        <f>IFERROR(VLOOKUP($H448,매장구분!$B:$Z,9,0),"")</f>
        <v/>
      </c>
      <c r="AF448" s="47">
        <f t="shared" si="6"/>
        <v>0</v>
      </c>
    </row>
    <row r="449" spans="2:32" x14ac:dyDescent="0.3">
      <c r="B449" s="46" t="str">
        <f>IFERROR(VLOOKUP($H449,매장구분!$B:$Z,2,0),"")</f>
        <v/>
      </c>
      <c r="C449" s="46" t="str">
        <f>IFERROR(VLOOKUP($H449,매장구분!$B:$Z,3,0),"")</f>
        <v/>
      </c>
      <c r="D449" s="46" t="str">
        <f>IFERROR(VLOOKUP($H449,매장구분!$B:$Z,5,0),"")</f>
        <v/>
      </c>
      <c r="E449" s="46" t="str">
        <f>IFERROR(VLOOKUP($H449,매장구분!$B:$Z,9,0),"")</f>
        <v/>
      </c>
      <c r="AF449" s="47">
        <f t="shared" si="6"/>
        <v>0</v>
      </c>
    </row>
    <row r="450" spans="2:32" x14ac:dyDescent="0.3">
      <c r="B450" s="46" t="str">
        <f>IFERROR(VLOOKUP($H450,매장구분!$B:$Z,2,0),"")</f>
        <v/>
      </c>
      <c r="C450" s="46" t="str">
        <f>IFERROR(VLOOKUP($H450,매장구분!$B:$Z,3,0),"")</f>
        <v/>
      </c>
      <c r="D450" s="46" t="str">
        <f>IFERROR(VLOOKUP($H450,매장구분!$B:$Z,5,0),"")</f>
        <v/>
      </c>
      <c r="E450" s="46" t="str">
        <f>IFERROR(VLOOKUP($H450,매장구분!$B:$Z,9,0),"")</f>
        <v/>
      </c>
      <c r="AF450" s="47">
        <f t="shared" si="6"/>
        <v>0</v>
      </c>
    </row>
    <row r="451" spans="2:32" x14ac:dyDescent="0.3">
      <c r="B451" s="46" t="str">
        <f>IFERROR(VLOOKUP($H451,매장구분!$B:$Z,2,0),"")</f>
        <v/>
      </c>
      <c r="C451" s="46" t="str">
        <f>IFERROR(VLOOKUP($H451,매장구분!$B:$Z,3,0),"")</f>
        <v/>
      </c>
      <c r="D451" s="46" t="str">
        <f>IFERROR(VLOOKUP($H451,매장구분!$B:$Z,5,0),"")</f>
        <v/>
      </c>
      <c r="E451" s="46" t="str">
        <f>IFERROR(VLOOKUP($H451,매장구분!$B:$Z,9,0),"")</f>
        <v/>
      </c>
      <c r="AF451" s="47">
        <f t="shared" ref="AF451:AF514" si="7">IFERROR(AC451-Y451,"")</f>
        <v>0</v>
      </c>
    </row>
    <row r="452" spans="2:32" x14ac:dyDescent="0.3">
      <c r="B452" s="46" t="str">
        <f>IFERROR(VLOOKUP($H452,매장구분!$B:$Z,2,0),"")</f>
        <v/>
      </c>
      <c r="C452" s="46" t="str">
        <f>IFERROR(VLOOKUP($H452,매장구분!$B:$Z,3,0),"")</f>
        <v/>
      </c>
      <c r="D452" s="46" t="str">
        <f>IFERROR(VLOOKUP($H452,매장구분!$B:$Z,5,0),"")</f>
        <v/>
      </c>
      <c r="E452" s="46" t="str">
        <f>IFERROR(VLOOKUP($H452,매장구분!$B:$Z,9,0),"")</f>
        <v/>
      </c>
      <c r="AF452" s="47">
        <f t="shared" si="7"/>
        <v>0</v>
      </c>
    </row>
    <row r="453" spans="2:32" x14ac:dyDescent="0.3">
      <c r="B453" s="46" t="str">
        <f>IFERROR(VLOOKUP($H453,매장구분!$B:$Z,2,0),"")</f>
        <v/>
      </c>
      <c r="C453" s="46" t="str">
        <f>IFERROR(VLOOKUP($H453,매장구분!$B:$Z,3,0),"")</f>
        <v/>
      </c>
      <c r="D453" s="46" t="str">
        <f>IFERROR(VLOOKUP($H453,매장구분!$B:$Z,5,0),"")</f>
        <v/>
      </c>
      <c r="E453" s="46" t="str">
        <f>IFERROR(VLOOKUP($H453,매장구분!$B:$Z,9,0),"")</f>
        <v/>
      </c>
      <c r="AF453" s="47">
        <f t="shared" si="7"/>
        <v>0</v>
      </c>
    </row>
    <row r="454" spans="2:32" x14ac:dyDescent="0.3">
      <c r="B454" s="46" t="str">
        <f>IFERROR(VLOOKUP($H454,매장구분!$B:$Z,2,0),"")</f>
        <v/>
      </c>
      <c r="C454" s="46" t="str">
        <f>IFERROR(VLOOKUP($H454,매장구분!$B:$Z,3,0),"")</f>
        <v/>
      </c>
      <c r="D454" s="46" t="str">
        <f>IFERROR(VLOOKUP($H454,매장구분!$B:$Z,5,0),"")</f>
        <v/>
      </c>
      <c r="E454" s="46" t="str">
        <f>IFERROR(VLOOKUP($H454,매장구분!$B:$Z,9,0),"")</f>
        <v/>
      </c>
      <c r="AF454" s="47">
        <f t="shared" si="7"/>
        <v>0</v>
      </c>
    </row>
    <row r="455" spans="2:32" x14ac:dyDescent="0.3">
      <c r="B455" s="46" t="str">
        <f>IFERROR(VLOOKUP($H455,매장구분!$B:$Z,2,0),"")</f>
        <v/>
      </c>
      <c r="C455" s="46" t="str">
        <f>IFERROR(VLOOKUP($H455,매장구분!$B:$Z,3,0),"")</f>
        <v/>
      </c>
      <c r="D455" s="46" t="str">
        <f>IFERROR(VLOOKUP($H455,매장구분!$B:$Z,5,0),"")</f>
        <v/>
      </c>
      <c r="E455" s="46" t="str">
        <f>IFERROR(VLOOKUP($H455,매장구분!$B:$Z,9,0),"")</f>
        <v/>
      </c>
      <c r="AF455" s="47">
        <f t="shared" si="7"/>
        <v>0</v>
      </c>
    </row>
    <row r="456" spans="2:32" x14ac:dyDescent="0.3">
      <c r="B456" s="46" t="str">
        <f>IFERROR(VLOOKUP($H456,매장구분!$B:$Z,2,0),"")</f>
        <v/>
      </c>
      <c r="C456" s="46" t="str">
        <f>IFERROR(VLOOKUP($H456,매장구분!$B:$Z,3,0),"")</f>
        <v/>
      </c>
      <c r="D456" s="46" t="str">
        <f>IFERROR(VLOOKUP($H456,매장구분!$B:$Z,5,0),"")</f>
        <v/>
      </c>
      <c r="E456" s="46" t="str">
        <f>IFERROR(VLOOKUP($H456,매장구분!$B:$Z,9,0),"")</f>
        <v/>
      </c>
      <c r="AF456" s="47">
        <f t="shared" si="7"/>
        <v>0</v>
      </c>
    </row>
    <row r="457" spans="2:32" x14ac:dyDescent="0.3">
      <c r="B457" s="46" t="str">
        <f>IFERROR(VLOOKUP($H457,매장구분!$B:$Z,2,0),"")</f>
        <v/>
      </c>
      <c r="C457" s="46" t="str">
        <f>IFERROR(VLOOKUP($H457,매장구분!$B:$Z,3,0),"")</f>
        <v/>
      </c>
      <c r="D457" s="46" t="str">
        <f>IFERROR(VLOOKUP($H457,매장구분!$B:$Z,5,0),"")</f>
        <v/>
      </c>
      <c r="E457" s="46" t="str">
        <f>IFERROR(VLOOKUP($H457,매장구분!$B:$Z,9,0),"")</f>
        <v/>
      </c>
      <c r="AF457" s="47">
        <f t="shared" si="7"/>
        <v>0</v>
      </c>
    </row>
    <row r="458" spans="2:32" x14ac:dyDescent="0.3">
      <c r="B458" s="46" t="str">
        <f>IFERROR(VLOOKUP($H458,매장구분!$B:$Z,2,0),"")</f>
        <v/>
      </c>
      <c r="C458" s="46" t="str">
        <f>IFERROR(VLOOKUP($H458,매장구분!$B:$Z,3,0),"")</f>
        <v/>
      </c>
      <c r="D458" s="46" t="str">
        <f>IFERROR(VLOOKUP($H458,매장구분!$B:$Z,5,0),"")</f>
        <v/>
      </c>
      <c r="E458" s="46" t="str">
        <f>IFERROR(VLOOKUP($H458,매장구분!$B:$Z,9,0),"")</f>
        <v/>
      </c>
      <c r="AF458" s="47">
        <f t="shared" si="7"/>
        <v>0</v>
      </c>
    </row>
    <row r="459" spans="2:32" x14ac:dyDescent="0.3">
      <c r="B459" s="46" t="str">
        <f>IFERROR(VLOOKUP($H459,매장구분!$B:$Z,2,0),"")</f>
        <v/>
      </c>
      <c r="C459" s="46" t="str">
        <f>IFERROR(VLOOKUP($H459,매장구분!$B:$Z,3,0),"")</f>
        <v/>
      </c>
      <c r="D459" s="46" t="str">
        <f>IFERROR(VLOOKUP($H459,매장구분!$B:$Z,5,0),"")</f>
        <v/>
      </c>
      <c r="E459" s="46" t="str">
        <f>IFERROR(VLOOKUP($H459,매장구분!$B:$Z,9,0),"")</f>
        <v/>
      </c>
      <c r="AF459" s="47">
        <f t="shared" si="7"/>
        <v>0</v>
      </c>
    </row>
    <row r="460" spans="2:32" x14ac:dyDescent="0.3">
      <c r="B460" s="46" t="str">
        <f>IFERROR(VLOOKUP($H460,매장구분!$B:$Z,2,0),"")</f>
        <v/>
      </c>
      <c r="C460" s="46" t="str">
        <f>IFERROR(VLOOKUP($H460,매장구분!$B:$Z,3,0),"")</f>
        <v/>
      </c>
      <c r="D460" s="46" t="str">
        <f>IFERROR(VLOOKUP($H460,매장구분!$B:$Z,5,0),"")</f>
        <v/>
      </c>
      <c r="E460" s="46" t="str">
        <f>IFERROR(VLOOKUP($H460,매장구분!$B:$Z,9,0),"")</f>
        <v/>
      </c>
      <c r="AF460" s="47">
        <f t="shared" si="7"/>
        <v>0</v>
      </c>
    </row>
    <row r="461" spans="2:32" x14ac:dyDescent="0.3">
      <c r="B461" s="46" t="str">
        <f>IFERROR(VLOOKUP($H461,매장구분!$B:$Z,2,0),"")</f>
        <v/>
      </c>
      <c r="C461" s="46" t="str">
        <f>IFERROR(VLOOKUP($H461,매장구분!$B:$Z,3,0),"")</f>
        <v/>
      </c>
      <c r="D461" s="46" t="str">
        <f>IFERROR(VLOOKUP($H461,매장구분!$B:$Z,5,0),"")</f>
        <v/>
      </c>
      <c r="E461" s="46" t="str">
        <f>IFERROR(VLOOKUP($H461,매장구분!$B:$Z,9,0),"")</f>
        <v/>
      </c>
      <c r="AF461" s="47">
        <f t="shared" si="7"/>
        <v>0</v>
      </c>
    </row>
    <row r="462" spans="2:32" x14ac:dyDescent="0.3">
      <c r="B462" s="46" t="str">
        <f>IFERROR(VLOOKUP($H462,매장구분!$B:$Z,2,0),"")</f>
        <v/>
      </c>
      <c r="C462" s="46" t="str">
        <f>IFERROR(VLOOKUP($H462,매장구분!$B:$Z,3,0),"")</f>
        <v/>
      </c>
      <c r="D462" s="46" t="str">
        <f>IFERROR(VLOOKUP($H462,매장구분!$B:$Z,5,0),"")</f>
        <v/>
      </c>
      <c r="E462" s="46" t="str">
        <f>IFERROR(VLOOKUP($H462,매장구분!$B:$Z,9,0),"")</f>
        <v/>
      </c>
      <c r="AF462" s="47">
        <f t="shared" si="7"/>
        <v>0</v>
      </c>
    </row>
    <row r="463" spans="2:32" x14ac:dyDescent="0.3">
      <c r="B463" s="46" t="str">
        <f>IFERROR(VLOOKUP($H463,매장구분!$B:$Z,2,0),"")</f>
        <v/>
      </c>
      <c r="C463" s="46" t="str">
        <f>IFERROR(VLOOKUP($H463,매장구분!$B:$Z,3,0),"")</f>
        <v/>
      </c>
      <c r="D463" s="46" t="str">
        <f>IFERROR(VLOOKUP($H463,매장구분!$B:$Z,5,0),"")</f>
        <v/>
      </c>
      <c r="E463" s="46" t="str">
        <f>IFERROR(VLOOKUP($H463,매장구분!$B:$Z,9,0),"")</f>
        <v/>
      </c>
      <c r="AF463" s="47">
        <f t="shared" si="7"/>
        <v>0</v>
      </c>
    </row>
    <row r="464" spans="2:32" x14ac:dyDescent="0.3">
      <c r="B464" s="46" t="str">
        <f>IFERROR(VLOOKUP($H464,매장구분!$B:$Z,2,0),"")</f>
        <v/>
      </c>
      <c r="C464" s="46" t="str">
        <f>IFERROR(VLOOKUP($H464,매장구분!$B:$Z,3,0),"")</f>
        <v/>
      </c>
      <c r="D464" s="46" t="str">
        <f>IFERROR(VLOOKUP($H464,매장구분!$B:$Z,5,0),"")</f>
        <v/>
      </c>
      <c r="E464" s="46" t="str">
        <f>IFERROR(VLOOKUP($H464,매장구분!$B:$Z,9,0),"")</f>
        <v/>
      </c>
      <c r="AF464" s="47">
        <f t="shared" si="7"/>
        <v>0</v>
      </c>
    </row>
    <row r="465" spans="2:32" x14ac:dyDescent="0.3">
      <c r="B465" s="46" t="str">
        <f>IFERROR(VLOOKUP($H465,매장구분!$B:$Z,2,0),"")</f>
        <v/>
      </c>
      <c r="C465" s="46" t="str">
        <f>IFERROR(VLOOKUP($H465,매장구분!$B:$Z,3,0),"")</f>
        <v/>
      </c>
      <c r="D465" s="46" t="str">
        <f>IFERROR(VLOOKUP($H465,매장구분!$B:$Z,5,0),"")</f>
        <v/>
      </c>
      <c r="E465" s="46" t="str">
        <f>IFERROR(VLOOKUP($H465,매장구분!$B:$Z,9,0),"")</f>
        <v/>
      </c>
      <c r="AF465" s="47">
        <f t="shared" si="7"/>
        <v>0</v>
      </c>
    </row>
    <row r="466" spans="2:32" x14ac:dyDescent="0.3">
      <c r="B466" s="46" t="str">
        <f>IFERROR(VLOOKUP($H466,매장구분!$B:$Z,2,0),"")</f>
        <v/>
      </c>
      <c r="C466" s="46" t="str">
        <f>IFERROR(VLOOKUP($H466,매장구분!$B:$Z,3,0),"")</f>
        <v/>
      </c>
      <c r="D466" s="46" t="str">
        <f>IFERROR(VLOOKUP($H466,매장구분!$B:$Z,5,0),"")</f>
        <v/>
      </c>
      <c r="E466" s="46" t="str">
        <f>IFERROR(VLOOKUP($H466,매장구분!$B:$Z,9,0),"")</f>
        <v/>
      </c>
      <c r="AF466" s="47">
        <f t="shared" si="7"/>
        <v>0</v>
      </c>
    </row>
    <row r="467" spans="2:32" x14ac:dyDescent="0.3">
      <c r="B467" s="46" t="str">
        <f>IFERROR(VLOOKUP($H467,매장구분!$B:$Z,2,0),"")</f>
        <v/>
      </c>
      <c r="C467" s="46" t="str">
        <f>IFERROR(VLOOKUP($H467,매장구분!$B:$Z,3,0),"")</f>
        <v/>
      </c>
      <c r="D467" s="46" t="str">
        <f>IFERROR(VLOOKUP($H467,매장구분!$B:$Z,5,0),"")</f>
        <v/>
      </c>
      <c r="E467" s="46" t="str">
        <f>IFERROR(VLOOKUP($H467,매장구분!$B:$Z,9,0),"")</f>
        <v/>
      </c>
      <c r="AF467" s="47">
        <f t="shared" si="7"/>
        <v>0</v>
      </c>
    </row>
    <row r="468" spans="2:32" x14ac:dyDescent="0.3">
      <c r="B468" s="46" t="str">
        <f>IFERROR(VLOOKUP($H468,매장구분!$B:$Z,2,0),"")</f>
        <v/>
      </c>
      <c r="C468" s="46" t="str">
        <f>IFERROR(VLOOKUP($H468,매장구분!$B:$Z,3,0),"")</f>
        <v/>
      </c>
      <c r="D468" s="46" t="str">
        <f>IFERROR(VLOOKUP($H468,매장구분!$B:$Z,5,0),"")</f>
        <v/>
      </c>
      <c r="E468" s="46" t="str">
        <f>IFERROR(VLOOKUP($H468,매장구분!$B:$Z,9,0),"")</f>
        <v/>
      </c>
      <c r="AF468" s="47">
        <f t="shared" si="7"/>
        <v>0</v>
      </c>
    </row>
    <row r="469" spans="2:32" x14ac:dyDescent="0.3">
      <c r="B469" s="46" t="str">
        <f>IFERROR(VLOOKUP($H469,매장구분!$B:$Z,2,0),"")</f>
        <v/>
      </c>
      <c r="C469" s="46" t="str">
        <f>IFERROR(VLOOKUP($H469,매장구분!$B:$Z,3,0),"")</f>
        <v/>
      </c>
      <c r="D469" s="46" t="str">
        <f>IFERROR(VLOOKUP($H469,매장구분!$B:$Z,5,0),"")</f>
        <v/>
      </c>
      <c r="E469" s="46" t="str">
        <f>IFERROR(VLOOKUP($H469,매장구분!$B:$Z,9,0),"")</f>
        <v/>
      </c>
      <c r="AF469" s="47">
        <f t="shared" si="7"/>
        <v>0</v>
      </c>
    </row>
    <row r="470" spans="2:32" x14ac:dyDescent="0.3">
      <c r="B470" s="46" t="str">
        <f>IFERROR(VLOOKUP($H470,매장구분!$B:$Z,2,0),"")</f>
        <v/>
      </c>
      <c r="C470" s="46" t="str">
        <f>IFERROR(VLOOKUP($H470,매장구분!$B:$Z,3,0),"")</f>
        <v/>
      </c>
      <c r="D470" s="46" t="str">
        <f>IFERROR(VLOOKUP($H470,매장구분!$B:$Z,5,0),"")</f>
        <v/>
      </c>
      <c r="E470" s="46" t="str">
        <f>IFERROR(VLOOKUP($H470,매장구분!$B:$Z,9,0),"")</f>
        <v/>
      </c>
      <c r="AF470" s="47">
        <f t="shared" si="7"/>
        <v>0</v>
      </c>
    </row>
    <row r="471" spans="2:32" x14ac:dyDescent="0.3">
      <c r="B471" s="46" t="str">
        <f>IFERROR(VLOOKUP($H471,매장구분!$B:$Z,2,0),"")</f>
        <v/>
      </c>
      <c r="C471" s="46" t="str">
        <f>IFERROR(VLOOKUP($H471,매장구분!$B:$Z,3,0),"")</f>
        <v/>
      </c>
      <c r="D471" s="46" t="str">
        <f>IFERROR(VLOOKUP($H471,매장구분!$B:$Z,5,0),"")</f>
        <v/>
      </c>
      <c r="E471" s="46" t="str">
        <f>IFERROR(VLOOKUP($H471,매장구분!$B:$Z,9,0),"")</f>
        <v/>
      </c>
      <c r="AF471" s="47">
        <f t="shared" si="7"/>
        <v>0</v>
      </c>
    </row>
    <row r="472" spans="2:32" x14ac:dyDescent="0.3">
      <c r="B472" s="46" t="str">
        <f>IFERROR(VLOOKUP($H472,매장구분!$B:$Z,2,0),"")</f>
        <v/>
      </c>
      <c r="C472" s="46" t="str">
        <f>IFERROR(VLOOKUP($H472,매장구분!$B:$Z,3,0),"")</f>
        <v/>
      </c>
      <c r="D472" s="46" t="str">
        <f>IFERROR(VLOOKUP($H472,매장구분!$B:$Z,5,0),"")</f>
        <v/>
      </c>
      <c r="E472" s="46" t="str">
        <f>IFERROR(VLOOKUP($H472,매장구분!$B:$Z,9,0),"")</f>
        <v/>
      </c>
      <c r="AF472" s="47">
        <f t="shared" si="7"/>
        <v>0</v>
      </c>
    </row>
    <row r="473" spans="2:32" x14ac:dyDescent="0.3">
      <c r="B473" s="46" t="str">
        <f>IFERROR(VLOOKUP($H473,매장구분!$B:$Z,2,0),"")</f>
        <v/>
      </c>
      <c r="C473" s="46" t="str">
        <f>IFERROR(VLOOKUP($H473,매장구분!$B:$Z,3,0),"")</f>
        <v/>
      </c>
      <c r="D473" s="46" t="str">
        <f>IFERROR(VLOOKUP($H473,매장구분!$B:$Z,5,0),"")</f>
        <v/>
      </c>
      <c r="E473" s="46" t="str">
        <f>IFERROR(VLOOKUP($H473,매장구분!$B:$Z,9,0),"")</f>
        <v/>
      </c>
      <c r="AF473" s="47">
        <f t="shared" si="7"/>
        <v>0</v>
      </c>
    </row>
    <row r="474" spans="2:32" x14ac:dyDescent="0.3">
      <c r="B474" s="46" t="str">
        <f>IFERROR(VLOOKUP($H474,매장구분!$B:$Z,2,0),"")</f>
        <v/>
      </c>
      <c r="C474" s="46" t="str">
        <f>IFERROR(VLOOKUP($H474,매장구분!$B:$Z,3,0),"")</f>
        <v/>
      </c>
      <c r="D474" s="46" t="str">
        <f>IFERROR(VLOOKUP($H474,매장구분!$B:$Z,5,0),"")</f>
        <v/>
      </c>
      <c r="E474" s="46" t="str">
        <f>IFERROR(VLOOKUP($H474,매장구분!$B:$Z,9,0),"")</f>
        <v/>
      </c>
      <c r="AF474" s="47">
        <f t="shared" si="7"/>
        <v>0</v>
      </c>
    </row>
    <row r="475" spans="2:32" x14ac:dyDescent="0.3">
      <c r="B475" s="46" t="str">
        <f>IFERROR(VLOOKUP($H475,매장구분!$B:$Z,2,0),"")</f>
        <v/>
      </c>
      <c r="C475" s="46" t="str">
        <f>IFERROR(VLOOKUP($H475,매장구분!$B:$Z,3,0),"")</f>
        <v/>
      </c>
      <c r="D475" s="46" t="str">
        <f>IFERROR(VLOOKUP($H475,매장구분!$B:$Z,5,0),"")</f>
        <v/>
      </c>
      <c r="E475" s="46" t="str">
        <f>IFERROR(VLOOKUP($H475,매장구분!$B:$Z,9,0),"")</f>
        <v/>
      </c>
      <c r="AF475" s="47">
        <f t="shared" si="7"/>
        <v>0</v>
      </c>
    </row>
    <row r="476" spans="2:32" x14ac:dyDescent="0.3">
      <c r="B476" s="46" t="str">
        <f>IFERROR(VLOOKUP($H476,매장구분!$B:$Z,2,0),"")</f>
        <v/>
      </c>
      <c r="C476" s="46" t="str">
        <f>IFERROR(VLOOKUP($H476,매장구분!$B:$Z,3,0),"")</f>
        <v/>
      </c>
      <c r="D476" s="46" t="str">
        <f>IFERROR(VLOOKUP($H476,매장구분!$B:$Z,5,0),"")</f>
        <v/>
      </c>
      <c r="E476" s="46" t="str">
        <f>IFERROR(VLOOKUP($H476,매장구분!$B:$Z,9,0),"")</f>
        <v/>
      </c>
      <c r="AF476" s="47">
        <f t="shared" si="7"/>
        <v>0</v>
      </c>
    </row>
    <row r="477" spans="2:32" x14ac:dyDescent="0.3">
      <c r="B477" s="46" t="str">
        <f>IFERROR(VLOOKUP($H477,매장구분!$B:$Z,2,0),"")</f>
        <v/>
      </c>
      <c r="C477" s="46" t="str">
        <f>IFERROR(VLOOKUP($H477,매장구분!$B:$Z,3,0),"")</f>
        <v/>
      </c>
      <c r="D477" s="46" t="str">
        <f>IFERROR(VLOOKUP($H477,매장구분!$B:$Z,5,0),"")</f>
        <v/>
      </c>
      <c r="E477" s="46" t="str">
        <f>IFERROR(VLOOKUP($H477,매장구분!$B:$Z,9,0),"")</f>
        <v/>
      </c>
      <c r="AF477" s="47">
        <f t="shared" si="7"/>
        <v>0</v>
      </c>
    </row>
    <row r="478" spans="2:32" x14ac:dyDescent="0.3">
      <c r="B478" s="46" t="str">
        <f>IFERROR(VLOOKUP($H478,매장구분!$B:$Z,2,0),"")</f>
        <v/>
      </c>
      <c r="C478" s="46" t="str">
        <f>IFERROR(VLOOKUP($H478,매장구분!$B:$Z,3,0),"")</f>
        <v/>
      </c>
      <c r="D478" s="46" t="str">
        <f>IFERROR(VLOOKUP($H478,매장구분!$B:$Z,5,0),"")</f>
        <v/>
      </c>
      <c r="E478" s="46" t="str">
        <f>IFERROR(VLOOKUP($H478,매장구분!$B:$Z,9,0),"")</f>
        <v/>
      </c>
      <c r="AF478" s="47">
        <f t="shared" si="7"/>
        <v>0</v>
      </c>
    </row>
    <row r="479" spans="2:32" x14ac:dyDescent="0.3">
      <c r="B479" s="46" t="str">
        <f>IFERROR(VLOOKUP($H479,매장구분!$B:$Z,2,0),"")</f>
        <v/>
      </c>
      <c r="C479" s="46" t="str">
        <f>IFERROR(VLOOKUP($H479,매장구분!$B:$Z,3,0),"")</f>
        <v/>
      </c>
      <c r="D479" s="46" t="str">
        <f>IFERROR(VLOOKUP($H479,매장구분!$B:$Z,5,0),"")</f>
        <v/>
      </c>
      <c r="E479" s="46" t="str">
        <f>IFERROR(VLOOKUP($H479,매장구분!$B:$Z,9,0),"")</f>
        <v/>
      </c>
      <c r="AF479" s="47">
        <f t="shared" si="7"/>
        <v>0</v>
      </c>
    </row>
    <row r="480" spans="2:32" x14ac:dyDescent="0.3">
      <c r="B480" s="46" t="str">
        <f>IFERROR(VLOOKUP($H480,매장구분!$B:$Z,2,0),"")</f>
        <v/>
      </c>
      <c r="C480" s="46" t="str">
        <f>IFERROR(VLOOKUP($H480,매장구분!$B:$Z,3,0),"")</f>
        <v/>
      </c>
      <c r="D480" s="46" t="str">
        <f>IFERROR(VLOOKUP($H480,매장구분!$B:$Z,5,0),"")</f>
        <v/>
      </c>
      <c r="E480" s="46" t="str">
        <f>IFERROR(VLOOKUP($H480,매장구분!$B:$Z,9,0),"")</f>
        <v/>
      </c>
      <c r="AF480" s="47">
        <f t="shared" si="7"/>
        <v>0</v>
      </c>
    </row>
    <row r="481" spans="2:32" x14ac:dyDescent="0.3">
      <c r="B481" s="46" t="str">
        <f>IFERROR(VLOOKUP($H481,매장구분!$B:$Z,2,0),"")</f>
        <v/>
      </c>
      <c r="C481" s="46" t="str">
        <f>IFERROR(VLOOKUP($H481,매장구분!$B:$Z,3,0),"")</f>
        <v/>
      </c>
      <c r="D481" s="46" t="str">
        <f>IFERROR(VLOOKUP($H481,매장구분!$B:$Z,5,0),"")</f>
        <v/>
      </c>
      <c r="E481" s="46" t="str">
        <f>IFERROR(VLOOKUP($H481,매장구분!$B:$Z,9,0),"")</f>
        <v/>
      </c>
      <c r="AF481" s="47">
        <f t="shared" si="7"/>
        <v>0</v>
      </c>
    </row>
    <row r="482" spans="2:32" x14ac:dyDescent="0.3">
      <c r="B482" s="46" t="str">
        <f>IFERROR(VLOOKUP($H482,매장구분!$B:$Z,2,0),"")</f>
        <v/>
      </c>
      <c r="C482" s="46" t="str">
        <f>IFERROR(VLOOKUP($H482,매장구분!$B:$Z,3,0),"")</f>
        <v/>
      </c>
      <c r="D482" s="46" t="str">
        <f>IFERROR(VLOOKUP($H482,매장구분!$B:$Z,5,0),"")</f>
        <v/>
      </c>
      <c r="E482" s="46" t="str">
        <f>IFERROR(VLOOKUP($H482,매장구분!$B:$Z,9,0),"")</f>
        <v/>
      </c>
      <c r="AF482" s="47">
        <f t="shared" si="7"/>
        <v>0</v>
      </c>
    </row>
    <row r="483" spans="2:32" x14ac:dyDescent="0.3">
      <c r="B483" s="46" t="str">
        <f>IFERROR(VLOOKUP($H483,매장구분!$B:$Z,2,0),"")</f>
        <v/>
      </c>
      <c r="C483" s="46" t="str">
        <f>IFERROR(VLOOKUP($H483,매장구분!$B:$Z,3,0),"")</f>
        <v/>
      </c>
      <c r="D483" s="46" t="str">
        <f>IFERROR(VLOOKUP($H483,매장구분!$B:$Z,5,0),"")</f>
        <v/>
      </c>
      <c r="E483" s="46" t="str">
        <f>IFERROR(VLOOKUP($H483,매장구분!$B:$Z,9,0),"")</f>
        <v/>
      </c>
      <c r="AF483" s="47">
        <f t="shared" si="7"/>
        <v>0</v>
      </c>
    </row>
    <row r="484" spans="2:32" x14ac:dyDescent="0.3">
      <c r="B484" s="46" t="str">
        <f>IFERROR(VLOOKUP($H484,매장구분!$B:$Z,2,0),"")</f>
        <v/>
      </c>
      <c r="C484" s="46" t="str">
        <f>IFERROR(VLOOKUP($H484,매장구분!$B:$Z,3,0),"")</f>
        <v/>
      </c>
      <c r="D484" s="46" t="str">
        <f>IFERROR(VLOOKUP($H484,매장구분!$B:$Z,5,0),"")</f>
        <v/>
      </c>
      <c r="E484" s="46" t="str">
        <f>IFERROR(VLOOKUP($H484,매장구분!$B:$Z,9,0),"")</f>
        <v/>
      </c>
      <c r="AF484" s="47">
        <f t="shared" si="7"/>
        <v>0</v>
      </c>
    </row>
    <row r="485" spans="2:32" x14ac:dyDescent="0.3">
      <c r="B485" s="46" t="str">
        <f>IFERROR(VLOOKUP($H485,매장구분!$B:$Z,2,0),"")</f>
        <v/>
      </c>
      <c r="C485" s="46" t="str">
        <f>IFERROR(VLOOKUP($H485,매장구분!$B:$Z,3,0),"")</f>
        <v/>
      </c>
      <c r="D485" s="46" t="str">
        <f>IFERROR(VLOOKUP($H485,매장구분!$B:$Z,5,0),"")</f>
        <v/>
      </c>
      <c r="E485" s="46" t="str">
        <f>IFERROR(VLOOKUP($H485,매장구분!$B:$Z,9,0),"")</f>
        <v/>
      </c>
      <c r="AF485" s="47">
        <f t="shared" si="7"/>
        <v>0</v>
      </c>
    </row>
    <row r="486" spans="2:32" x14ac:dyDescent="0.3">
      <c r="B486" s="46" t="str">
        <f>IFERROR(VLOOKUP($H486,매장구분!$B:$Z,2,0),"")</f>
        <v/>
      </c>
      <c r="C486" s="46" t="str">
        <f>IFERROR(VLOOKUP($H486,매장구분!$B:$Z,3,0),"")</f>
        <v/>
      </c>
      <c r="D486" s="46" t="str">
        <f>IFERROR(VLOOKUP($H486,매장구분!$B:$Z,5,0),"")</f>
        <v/>
      </c>
      <c r="E486" s="46" t="str">
        <f>IFERROR(VLOOKUP($H486,매장구분!$B:$Z,9,0),"")</f>
        <v/>
      </c>
      <c r="AF486" s="47">
        <f t="shared" si="7"/>
        <v>0</v>
      </c>
    </row>
    <row r="487" spans="2:32" x14ac:dyDescent="0.3">
      <c r="B487" s="46" t="str">
        <f>IFERROR(VLOOKUP($H487,매장구분!$B:$Z,2,0),"")</f>
        <v/>
      </c>
      <c r="C487" s="46" t="str">
        <f>IFERROR(VLOOKUP($H487,매장구분!$B:$Z,3,0),"")</f>
        <v/>
      </c>
      <c r="D487" s="46" t="str">
        <f>IFERROR(VLOOKUP($H487,매장구분!$B:$Z,5,0),"")</f>
        <v/>
      </c>
      <c r="E487" s="46" t="str">
        <f>IFERROR(VLOOKUP($H487,매장구분!$B:$Z,9,0),"")</f>
        <v/>
      </c>
      <c r="AF487" s="47">
        <f t="shared" si="7"/>
        <v>0</v>
      </c>
    </row>
    <row r="488" spans="2:32" x14ac:dyDescent="0.3">
      <c r="B488" s="46" t="str">
        <f>IFERROR(VLOOKUP($H488,매장구분!$B:$Z,2,0),"")</f>
        <v/>
      </c>
      <c r="C488" s="46" t="str">
        <f>IFERROR(VLOOKUP($H488,매장구분!$B:$Z,3,0),"")</f>
        <v/>
      </c>
      <c r="D488" s="46" t="str">
        <f>IFERROR(VLOOKUP($H488,매장구분!$B:$Z,5,0),"")</f>
        <v/>
      </c>
      <c r="E488" s="46" t="str">
        <f>IFERROR(VLOOKUP($H488,매장구분!$B:$Z,9,0),"")</f>
        <v/>
      </c>
      <c r="AF488" s="47">
        <f t="shared" si="7"/>
        <v>0</v>
      </c>
    </row>
    <row r="489" spans="2:32" x14ac:dyDescent="0.3">
      <c r="B489" s="46" t="str">
        <f>IFERROR(VLOOKUP($H489,매장구분!$B:$Z,2,0),"")</f>
        <v/>
      </c>
      <c r="C489" s="46" t="str">
        <f>IFERROR(VLOOKUP($H489,매장구분!$B:$Z,3,0),"")</f>
        <v/>
      </c>
      <c r="D489" s="46" t="str">
        <f>IFERROR(VLOOKUP($H489,매장구분!$B:$Z,5,0),"")</f>
        <v/>
      </c>
      <c r="E489" s="46" t="str">
        <f>IFERROR(VLOOKUP($H489,매장구분!$B:$Z,9,0),"")</f>
        <v/>
      </c>
      <c r="AF489" s="47">
        <f t="shared" si="7"/>
        <v>0</v>
      </c>
    </row>
    <row r="490" spans="2:32" x14ac:dyDescent="0.3">
      <c r="B490" s="46" t="str">
        <f>IFERROR(VLOOKUP($H490,매장구분!$B:$Z,2,0),"")</f>
        <v/>
      </c>
      <c r="C490" s="46" t="str">
        <f>IFERROR(VLOOKUP($H490,매장구분!$B:$Z,3,0),"")</f>
        <v/>
      </c>
      <c r="D490" s="46" t="str">
        <f>IFERROR(VLOOKUP($H490,매장구분!$B:$Z,5,0),"")</f>
        <v/>
      </c>
      <c r="E490" s="46" t="str">
        <f>IFERROR(VLOOKUP($H490,매장구분!$B:$Z,9,0),"")</f>
        <v/>
      </c>
      <c r="AF490" s="47">
        <f t="shared" si="7"/>
        <v>0</v>
      </c>
    </row>
    <row r="491" spans="2:32" x14ac:dyDescent="0.3">
      <c r="B491" s="46" t="str">
        <f>IFERROR(VLOOKUP($H491,매장구분!$B:$Z,2,0),"")</f>
        <v/>
      </c>
      <c r="C491" s="46" t="str">
        <f>IFERROR(VLOOKUP($H491,매장구분!$B:$Z,3,0),"")</f>
        <v/>
      </c>
      <c r="D491" s="46" t="str">
        <f>IFERROR(VLOOKUP($H491,매장구분!$B:$Z,5,0),"")</f>
        <v/>
      </c>
      <c r="E491" s="46" t="str">
        <f>IFERROR(VLOOKUP($H491,매장구분!$B:$Z,9,0),"")</f>
        <v/>
      </c>
      <c r="AF491" s="47">
        <f t="shared" si="7"/>
        <v>0</v>
      </c>
    </row>
    <row r="492" spans="2:32" x14ac:dyDescent="0.3">
      <c r="B492" s="46" t="str">
        <f>IFERROR(VLOOKUP($H492,매장구분!$B:$Z,2,0),"")</f>
        <v/>
      </c>
      <c r="C492" s="46" t="str">
        <f>IFERROR(VLOOKUP($H492,매장구분!$B:$Z,3,0),"")</f>
        <v/>
      </c>
      <c r="D492" s="46" t="str">
        <f>IFERROR(VLOOKUP($H492,매장구분!$B:$Z,5,0),"")</f>
        <v/>
      </c>
      <c r="E492" s="46" t="str">
        <f>IFERROR(VLOOKUP($H492,매장구분!$B:$Z,9,0),"")</f>
        <v/>
      </c>
      <c r="AF492" s="47">
        <f t="shared" si="7"/>
        <v>0</v>
      </c>
    </row>
    <row r="493" spans="2:32" x14ac:dyDescent="0.3">
      <c r="B493" s="46" t="str">
        <f>IFERROR(VLOOKUP($H493,매장구분!$B:$Z,2,0),"")</f>
        <v/>
      </c>
      <c r="C493" s="46" t="str">
        <f>IFERROR(VLOOKUP($H493,매장구분!$B:$Z,3,0),"")</f>
        <v/>
      </c>
      <c r="D493" s="46" t="str">
        <f>IFERROR(VLOOKUP($H493,매장구분!$B:$Z,5,0),"")</f>
        <v/>
      </c>
      <c r="E493" s="46" t="str">
        <f>IFERROR(VLOOKUP($H493,매장구분!$B:$Z,9,0),"")</f>
        <v/>
      </c>
      <c r="AF493" s="47">
        <f t="shared" si="7"/>
        <v>0</v>
      </c>
    </row>
    <row r="494" spans="2:32" x14ac:dyDescent="0.3">
      <c r="B494" s="46" t="str">
        <f>IFERROR(VLOOKUP($H494,매장구분!$B:$Z,2,0),"")</f>
        <v/>
      </c>
      <c r="C494" s="46" t="str">
        <f>IFERROR(VLOOKUP($H494,매장구분!$B:$Z,3,0),"")</f>
        <v/>
      </c>
      <c r="D494" s="46" t="str">
        <f>IFERROR(VLOOKUP($H494,매장구분!$B:$Z,5,0),"")</f>
        <v/>
      </c>
      <c r="E494" s="46" t="str">
        <f>IFERROR(VLOOKUP($H494,매장구분!$B:$Z,9,0),"")</f>
        <v/>
      </c>
      <c r="AF494" s="47">
        <f t="shared" si="7"/>
        <v>0</v>
      </c>
    </row>
    <row r="495" spans="2:32" x14ac:dyDescent="0.3">
      <c r="B495" s="46" t="str">
        <f>IFERROR(VLOOKUP($H495,매장구분!$B:$Z,2,0),"")</f>
        <v/>
      </c>
      <c r="C495" s="46" t="str">
        <f>IFERROR(VLOOKUP($H495,매장구분!$B:$Z,3,0),"")</f>
        <v/>
      </c>
      <c r="D495" s="46" t="str">
        <f>IFERROR(VLOOKUP($H495,매장구분!$B:$Z,5,0),"")</f>
        <v/>
      </c>
      <c r="E495" s="46" t="str">
        <f>IFERROR(VLOOKUP($H495,매장구분!$B:$Z,9,0),"")</f>
        <v/>
      </c>
      <c r="AF495" s="47">
        <f t="shared" si="7"/>
        <v>0</v>
      </c>
    </row>
    <row r="496" spans="2:32" x14ac:dyDescent="0.3">
      <c r="B496" s="46" t="str">
        <f>IFERROR(VLOOKUP($H496,매장구분!$B:$Z,2,0),"")</f>
        <v/>
      </c>
      <c r="C496" s="46" t="str">
        <f>IFERROR(VLOOKUP($H496,매장구분!$B:$Z,3,0),"")</f>
        <v/>
      </c>
      <c r="D496" s="46" t="str">
        <f>IFERROR(VLOOKUP($H496,매장구분!$B:$Z,5,0),"")</f>
        <v/>
      </c>
      <c r="E496" s="46" t="str">
        <f>IFERROR(VLOOKUP($H496,매장구분!$B:$Z,9,0),"")</f>
        <v/>
      </c>
      <c r="AF496" s="47">
        <f t="shared" si="7"/>
        <v>0</v>
      </c>
    </row>
    <row r="497" spans="2:32" x14ac:dyDescent="0.3">
      <c r="B497" s="46" t="str">
        <f>IFERROR(VLOOKUP($H497,매장구분!$B:$Z,2,0),"")</f>
        <v/>
      </c>
      <c r="C497" s="46" t="str">
        <f>IFERROR(VLOOKUP($H497,매장구분!$B:$Z,3,0),"")</f>
        <v/>
      </c>
      <c r="D497" s="46" t="str">
        <f>IFERROR(VLOOKUP($H497,매장구분!$B:$Z,5,0),"")</f>
        <v/>
      </c>
      <c r="E497" s="46" t="str">
        <f>IFERROR(VLOOKUP($H497,매장구분!$B:$Z,9,0),"")</f>
        <v/>
      </c>
      <c r="AF497" s="47">
        <f t="shared" si="7"/>
        <v>0</v>
      </c>
    </row>
    <row r="498" spans="2:32" x14ac:dyDescent="0.3">
      <c r="B498" s="46" t="str">
        <f>IFERROR(VLOOKUP($H498,매장구분!$B:$Z,2,0),"")</f>
        <v/>
      </c>
      <c r="C498" s="46" t="str">
        <f>IFERROR(VLOOKUP($H498,매장구분!$B:$Z,3,0),"")</f>
        <v/>
      </c>
      <c r="D498" s="46" t="str">
        <f>IFERROR(VLOOKUP($H498,매장구분!$B:$Z,5,0),"")</f>
        <v/>
      </c>
      <c r="E498" s="46" t="str">
        <f>IFERROR(VLOOKUP($H498,매장구분!$B:$Z,9,0),"")</f>
        <v/>
      </c>
      <c r="AF498" s="47">
        <f t="shared" si="7"/>
        <v>0</v>
      </c>
    </row>
    <row r="499" spans="2:32" x14ac:dyDescent="0.3">
      <c r="B499" s="46" t="str">
        <f>IFERROR(VLOOKUP($H499,매장구분!$B:$Z,2,0),"")</f>
        <v/>
      </c>
      <c r="C499" s="46" t="str">
        <f>IFERROR(VLOOKUP($H499,매장구분!$B:$Z,3,0),"")</f>
        <v/>
      </c>
      <c r="D499" s="46" t="str">
        <f>IFERROR(VLOOKUP($H499,매장구분!$B:$Z,5,0),"")</f>
        <v/>
      </c>
      <c r="E499" s="46" t="str">
        <f>IFERROR(VLOOKUP($H499,매장구분!$B:$Z,9,0),"")</f>
        <v/>
      </c>
      <c r="AF499" s="47">
        <f t="shared" si="7"/>
        <v>0</v>
      </c>
    </row>
    <row r="500" spans="2:32" x14ac:dyDescent="0.3">
      <c r="B500" s="46" t="str">
        <f>IFERROR(VLOOKUP($H500,매장구분!$B:$Z,2,0),"")</f>
        <v/>
      </c>
      <c r="C500" s="46" t="str">
        <f>IFERROR(VLOOKUP($H500,매장구분!$B:$Z,3,0),"")</f>
        <v/>
      </c>
      <c r="D500" s="46" t="str">
        <f>IFERROR(VLOOKUP($H500,매장구분!$B:$Z,5,0),"")</f>
        <v/>
      </c>
      <c r="E500" s="46" t="str">
        <f>IFERROR(VLOOKUP($H500,매장구분!$B:$Z,9,0),"")</f>
        <v/>
      </c>
      <c r="AF500" s="47">
        <f t="shared" si="7"/>
        <v>0</v>
      </c>
    </row>
    <row r="501" spans="2:32" x14ac:dyDescent="0.3">
      <c r="B501" s="46" t="str">
        <f>IFERROR(VLOOKUP($H501,매장구분!$B:$Z,2,0),"")</f>
        <v/>
      </c>
      <c r="C501" s="46" t="str">
        <f>IFERROR(VLOOKUP($H501,매장구분!$B:$Z,3,0),"")</f>
        <v/>
      </c>
      <c r="D501" s="46" t="str">
        <f>IFERROR(VLOOKUP($H501,매장구분!$B:$Z,5,0),"")</f>
        <v/>
      </c>
      <c r="E501" s="46" t="str">
        <f>IFERROR(VLOOKUP($H501,매장구분!$B:$Z,9,0),"")</f>
        <v/>
      </c>
      <c r="AF501" s="47">
        <f t="shared" si="7"/>
        <v>0</v>
      </c>
    </row>
    <row r="502" spans="2:32" x14ac:dyDescent="0.3">
      <c r="B502" s="46" t="str">
        <f>IFERROR(VLOOKUP($H502,매장구분!$B:$Z,2,0),"")</f>
        <v/>
      </c>
      <c r="C502" s="46" t="str">
        <f>IFERROR(VLOOKUP($H502,매장구분!$B:$Z,3,0),"")</f>
        <v/>
      </c>
      <c r="D502" s="46" t="str">
        <f>IFERROR(VLOOKUP($H502,매장구분!$B:$Z,5,0),"")</f>
        <v/>
      </c>
      <c r="E502" s="46" t="str">
        <f>IFERROR(VLOOKUP($H502,매장구분!$B:$Z,9,0),"")</f>
        <v/>
      </c>
      <c r="AF502" s="47">
        <f t="shared" si="7"/>
        <v>0</v>
      </c>
    </row>
    <row r="503" spans="2:32" x14ac:dyDescent="0.3">
      <c r="B503" s="46" t="str">
        <f>IFERROR(VLOOKUP($H503,매장구분!$B:$Z,2,0),"")</f>
        <v/>
      </c>
      <c r="C503" s="46" t="str">
        <f>IFERROR(VLOOKUP($H503,매장구분!$B:$Z,3,0),"")</f>
        <v/>
      </c>
      <c r="D503" s="46" t="str">
        <f>IFERROR(VLOOKUP($H503,매장구분!$B:$Z,5,0),"")</f>
        <v/>
      </c>
      <c r="E503" s="46" t="str">
        <f>IFERROR(VLOOKUP($H503,매장구분!$B:$Z,9,0),"")</f>
        <v/>
      </c>
      <c r="AF503" s="47">
        <f t="shared" si="7"/>
        <v>0</v>
      </c>
    </row>
    <row r="504" spans="2:32" x14ac:dyDescent="0.3">
      <c r="B504" s="46" t="str">
        <f>IFERROR(VLOOKUP($H504,매장구분!$B:$Z,2,0),"")</f>
        <v/>
      </c>
      <c r="C504" s="46" t="str">
        <f>IFERROR(VLOOKUP($H504,매장구분!$B:$Z,3,0),"")</f>
        <v/>
      </c>
      <c r="D504" s="46" t="str">
        <f>IFERROR(VLOOKUP($H504,매장구분!$B:$Z,5,0),"")</f>
        <v/>
      </c>
      <c r="E504" s="46" t="str">
        <f>IFERROR(VLOOKUP($H504,매장구분!$B:$Z,9,0),"")</f>
        <v/>
      </c>
      <c r="AF504" s="47">
        <f t="shared" si="7"/>
        <v>0</v>
      </c>
    </row>
    <row r="505" spans="2:32" x14ac:dyDescent="0.3">
      <c r="B505" s="46" t="str">
        <f>IFERROR(VLOOKUP($H505,매장구분!$B:$Z,2,0),"")</f>
        <v/>
      </c>
      <c r="C505" s="46" t="str">
        <f>IFERROR(VLOOKUP($H505,매장구분!$B:$Z,3,0),"")</f>
        <v/>
      </c>
      <c r="D505" s="46" t="str">
        <f>IFERROR(VLOOKUP($H505,매장구분!$B:$Z,5,0),"")</f>
        <v/>
      </c>
      <c r="E505" s="46" t="str">
        <f>IFERROR(VLOOKUP($H505,매장구분!$B:$Z,9,0),"")</f>
        <v/>
      </c>
      <c r="AF505" s="47">
        <f t="shared" si="7"/>
        <v>0</v>
      </c>
    </row>
    <row r="506" spans="2:32" x14ac:dyDescent="0.3">
      <c r="B506" s="46" t="str">
        <f>IFERROR(VLOOKUP($H506,매장구분!$B:$Z,2,0),"")</f>
        <v/>
      </c>
      <c r="C506" s="46" t="str">
        <f>IFERROR(VLOOKUP($H506,매장구분!$B:$Z,3,0),"")</f>
        <v/>
      </c>
      <c r="D506" s="46" t="str">
        <f>IFERROR(VLOOKUP($H506,매장구분!$B:$Z,5,0),"")</f>
        <v/>
      </c>
      <c r="E506" s="46" t="str">
        <f>IFERROR(VLOOKUP($H506,매장구분!$B:$Z,9,0),"")</f>
        <v/>
      </c>
      <c r="AF506" s="47">
        <f t="shared" si="7"/>
        <v>0</v>
      </c>
    </row>
    <row r="507" spans="2:32" x14ac:dyDescent="0.3">
      <c r="B507" s="46" t="str">
        <f>IFERROR(VLOOKUP($H507,매장구분!$B:$Z,2,0),"")</f>
        <v/>
      </c>
      <c r="C507" s="46" t="str">
        <f>IFERROR(VLOOKUP($H507,매장구분!$B:$Z,3,0),"")</f>
        <v/>
      </c>
      <c r="D507" s="46" t="str">
        <f>IFERROR(VLOOKUP($H507,매장구분!$B:$Z,5,0),"")</f>
        <v/>
      </c>
      <c r="E507" s="46" t="str">
        <f>IFERROR(VLOOKUP($H507,매장구분!$B:$Z,9,0),"")</f>
        <v/>
      </c>
      <c r="AF507" s="47">
        <f t="shared" si="7"/>
        <v>0</v>
      </c>
    </row>
    <row r="508" spans="2:32" x14ac:dyDescent="0.3">
      <c r="B508" s="46" t="str">
        <f>IFERROR(VLOOKUP($H508,매장구분!$B:$Z,2,0),"")</f>
        <v/>
      </c>
      <c r="C508" s="46" t="str">
        <f>IFERROR(VLOOKUP($H508,매장구분!$B:$Z,3,0),"")</f>
        <v/>
      </c>
      <c r="D508" s="46" t="str">
        <f>IFERROR(VLOOKUP($H508,매장구분!$B:$Z,5,0),"")</f>
        <v/>
      </c>
      <c r="E508" s="46" t="str">
        <f>IFERROR(VLOOKUP($H508,매장구분!$B:$Z,9,0),"")</f>
        <v/>
      </c>
      <c r="AF508" s="47">
        <f t="shared" si="7"/>
        <v>0</v>
      </c>
    </row>
    <row r="509" spans="2:32" x14ac:dyDescent="0.3">
      <c r="B509" s="46" t="str">
        <f>IFERROR(VLOOKUP($H509,매장구분!$B:$Z,2,0),"")</f>
        <v/>
      </c>
      <c r="C509" s="46" t="str">
        <f>IFERROR(VLOOKUP($H509,매장구분!$B:$Z,3,0),"")</f>
        <v/>
      </c>
      <c r="D509" s="46" t="str">
        <f>IFERROR(VLOOKUP($H509,매장구분!$B:$Z,5,0),"")</f>
        <v/>
      </c>
      <c r="E509" s="46" t="str">
        <f>IFERROR(VLOOKUP($H509,매장구분!$B:$Z,9,0),"")</f>
        <v/>
      </c>
      <c r="AF509" s="47">
        <f t="shared" si="7"/>
        <v>0</v>
      </c>
    </row>
    <row r="510" spans="2:32" x14ac:dyDescent="0.3">
      <c r="B510" s="46" t="str">
        <f>IFERROR(VLOOKUP($H510,매장구분!$B:$Z,2,0),"")</f>
        <v/>
      </c>
      <c r="C510" s="46" t="str">
        <f>IFERROR(VLOOKUP($H510,매장구분!$B:$Z,3,0),"")</f>
        <v/>
      </c>
      <c r="D510" s="46" t="str">
        <f>IFERROR(VLOOKUP($H510,매장구분!$B:$Z,5,0),"")</f>
        <v/>
      </c>
      <c r="E510" s="46" t="str">
        <f>IFERROR(VLOOKUP($H510,매장구분!$B:$Z,9,0),"")</f>
        <v/>
      </c>
      <c r="AF510" s="47">
        <f t="shared" si="7"/>
        <v>0</v>
      </c>
    </row>
    <row r="511" spans="2:32" x14ac:dyDescent="0.3">
      <c r="B511" s="46" t="str">
        <f>IFERROR(VLOOKUP($H511,매장구분!$B:$Z,2,0),"")</f>
        <v/>
      </c>
      <c r="C511" s="46" t="str">
        <f>IFERROR(VLOOKUP($H511,매장구분!$B:$Z,3,0),"")</f>
        <v/>
      </c>
      <c r="D511" s="46" t="str">
        <f>IFERROR(VLOOKUP($H511,매장구분!$B:$Z,5,0),"")</f>
        <v/>
      </c>
      <c r="E511" s="46" t="str">
        <f>IFERROR(VLOOKUP($H511,매장구분!$B:$Z,9,0),"")</f>
        <v/>
      </c>
      <c r="AF511" s="47">
        <f t="shared" si="7"/>
        <v>0</v>
      </c>
    </row>
    <row r="512" spans="2:32" x14ac:dyDescent="0.3">
      <c r="B512" s="46" t="str">
        <f>IFERROR(VLOOKUP($H512,매장구분!$B:$Z,2,0),"")</f>
        <v/>
      </c>
      <c r="C512" s="46" t="str">
        <f>IFERROR(VLOOKUP($H512,매장구분!$B:$Z,3,0),"")</f>
        <v/>
      </c>
      <c r="D512" s="46" t="str">
        <f>IFERROR(VLOOKUP($H512,매장구분!$B:$Z,5,0),"")</f>
        <v/>
      </c>
      <c r="E512" s="46" t="str">
        <f>IFERROR(VLOOKUP($H512,매장구분!$B:$Z,9,0),"")</f>
        <v/>
      </c>
      <c r="AF512" s="47">
        <f t="shared" si="7"/>
        <v>0</v>
      </c>
    </row>
    <row r="513" spans="2:32" x14ac:dyDescent="0.3">
      <c r="B513" s="46" t="str">
        <f>IFERROR(VLOOKUP($H513,매장구분!$B:$Z,2,0),"")</f>
        <v/>
      </c>
      <c r="C513" s="46" t="str">
        <f>IFERROR(VLOOKUP($H513,매장구분!$B:$Z,3,0),"")</f>
        <v/>
      </c>
      <c r="D513" s="46" t="str">
        <f>IFERROR(VLOOKUP($H513,매장구분!$B:$Z,5,0),"")</f>
        <v/>
      </c>
      <c r="E513" s="46" t="str">
        <f>IFERROR(VLOOKUP($H513,매장구분!$B:$Z,9,0),"")</f>
        <v/>
      </c>
      <c r="AF513" s="47">
        <f t="shared" si="7"/>
        <v>0</v>
      </c>
    </row>
    <row r="514" spans="2:32" x14ac:dyDescent="0.3">
      <c r="B514" s="46" t="str">
        <f>IFERROR(VLOOKUP($H514,매장구분!$B:$Z,2,0),"")</f>
        <v/>
      </c>
      <c r="C514" s="46" t="str">
        <f>IFERROR(VLOOKUP($H514,매장구분!$B:$Z,3,0),"")</f>
        <v/>
      </c>
      <c r="D514" s="46" t="str">
        <f>IFERROR(VLOOKUP($H514,매장구분!$B:$Z,5,0),"")</f>
        <v/>
      </c>
      <c r="E514" s="46" t="str">
        <f>IFERROR(VLOOKUP($H514,매장구분!$B:$Z,9,0),"")</f>
        <v/>
      </c>
      <c r="AF514" s="47">
        <f t="shared" si="7"/>
        <v>0</v>
      </c>
    </row>
    <row r="515" spans="2:32" x14ac:dyDescent="0.3">
      <c r="B515" s="46" t="str">
        <f>IFERROR(VLOOKUP($H515,매장구분!$B:$Z,2,0),"")</f>
        <v/>
      </c>
      <c r="C515" s="46" t="str">
        <f>IFERROR(VLOOKUP($H515,매장구분!$B:$Z,3,0),"")</f>
        <v/>
      </c>
      <c r="D515" s="46" t="str">
        <f>IFERROR(VLOOKUP($H515,매장구분!$B:$Z,5,0),"")</f>
        <v/>
      </c>
      <c r="E515" s="46" t="str">
        <f>IFERROR(VLOOKUP($H515,매장구분!$B:$Z,9,0),"")</f>
        <v/>
      </c>
      <c r="AF515" s="47">
        <f t="shared" ref="AF515:AF578" si="8">IFERROR(AC515-Y515,"")</f>
        <v>0</v>
      </c>
    </row>
    <row r="516" spans="2:32" x14ac:dyDescent="0.3">
      <c r="B516" s="46" t="str">
        <f>IFERROR(VLOOKUP($H516,매장구분!$B:$Z,2,0),"")</f>
        <v/>
      </c>
      <c r="C516" s="46" t="str">
        <f>IFERROR(VLOOKUP($H516,매장구분!$B:$Z,3,0),"")</f>
        <v/>
      </c>
      <c r="D516" s="46" t="str">
        <f>IFERROR(VLOOKUP($H516,매장구분!$B:$Z,5,0),"")</f>
        <v/>
      </c>
      <c r="E516" s="46" t="str">
        <f>IFERROR(VLOOKUP($H516,매장구분!$B:$Z,9,0),"")</f>
        <v/>
      </c>
      <c r="AF516" s="47">
        <f t="shared" si="8"/>
        <v>0</v>
      </c>
    </row>
    <row r="517" spans="2:32" x14ac:dyDescent="0.3">
      <c r="B517" s="46" t="str">
        <f>IFERROR(VLOOKUP($H517,매장구분!$B:$Z,2,0),"")</f>
        <v/>
      </c>
      <c r="C517" s="46" t="str">
        <f>IFERROR(VLOOKUP($H517,매장구분!$B:$Z,3,0),"")</f>
        <v/>
      </c>
      <c r="D517" s="46" t="str">
        <f>IFERROR(VLOOKUP($H517,매장구분!$B:$Z,5,0),"")</f>
        <v/>
      </c>
      <c r="E517" s="46" t="str">
        <f>IFERROR(VLOOKUP($H517,매장구분!$B:$Z,9,0),"")</f>
        <v/>
      </c>
      <c r="AF517" s="47">
        <f t="shared" si="8"/>
        <v>0</v>
      </c>
    </row>
    <row r="518" spans="2:32" x14ac:dyDescent="0.3">
      <c r="B518" s="46" t="str">
        <f>IFERROR(VLOOKUP($H518,매장구분!$B:$Z,2,0),"")</f>
        <v/>
      </c>
      <c r="C518" s="46" t="str">
        <f>IFERROR(VLOOKUP($H518,매장구분!$B:$Z,3,0),"")</f>
        <v/>
      </c>
      <c r="D518" s="46" t="str">
        <f>IFERROR(VLOOKUP($H518,매장구분!$B:$Z,5,0),"")</f>
        <v/>
      </c>
      <c r="E518" s="46" t="str">
        <f>IFERROR(VLOOKUP($H518,매장구분!$B:$Z,9,0),"")</f>
        <v/>
      </c>
      <c r="AF518" s="47">
        <f t="shared" si="8"/>
        <v>0</v>
      </c>
    </row>
    <row r="519" spans="2:32" x14ac:dyDescent="0.3">
      <c r="B519" s="46" t="str">
        <f>IFERROR(VLOOKUP($H519,매장구분!$B:$Z,2,0),"")</f>
        <v/>
      </c>
      <c r="C519" s="46" t="str">
        <f>IFERROR(VLOOKUP($H519,매장구분!$B:$Z,3,0),"")</f>
        <v/>
      </c>
      <c r="D519" s="46" t="str">
        <f>IFERROR(VLOOKUP($H519,매장구분!$B:$Z,5,0),"")</f>
        <v/>
      </c>
      <c r="E519" s="46" t="str">
        <f>IFERROR(VLOOKUP($H519,매장구분!$B:$Z,9,0),"")</f>
        <v/>
      </c>
      <c r="AF519" s="47">
        <f t="shared" si="8"/>
        <v>0</v>
      </c>
    </row>
    <row r="520" spans="2:32" x14ac:dyDescent="0.3">
      <c r="B520" s="46" t="str">
        <f>IFERROR(VLOOKUP($H520,매장구분!$B:$Z,2,0),"")</f>
        <v/>
      </c>
      <c r="C520" s="46" t="str">
        <f>IFERROR(VLOOKUP($H520,매장구분!$B:$Z,3,0),"")</f>
        <v/>
      </c>
      <c r="D520" s="46" t="str">
        <f>IFERROR(VLOOKUP($H520,매장구분!$B:$Z,5,0),"")</f>
        <v/>
      </c>
      <c r="E520" s="46" t="str">
        <f>IFERROR(VLOOKUP($H520,매장구분!$B:$Z,9,0),"")</f>
        <v/>
      </c>
      <c r="AF520" s="47">
        <f t="shared" si="8"/>
        <v>0</v>
      </c>
    </row>
    <row r="521" spans="2:32" x14ac:dyDescent="0.3">
      <c r="B521" s="46" t="str">
        <f>IFERROR(VLOOKUP($H521,매장구분!$B:$Z,2,0),"")</f>
        <v/>
      </c>
      <c r="C521" s="46" t="str">
        <f>IFERROR(VLOOKUP($H521,매장구분!$B:$Z,3,0),"")</f>
        <v/>
      </c>
      <c r="D521" s="46" t="str">
        <f>IFERROR(VLOOKUP($H521,매장구분!$B:$Z,5,0),"")</f>
        <v/>
      </c>
      <c r="E521" s="46" t="str">
        <f>IFERROR(VLOOKUP($H521,매장구분!$B:$Z,9,0),"")</f>
        <v/>
      </c>
      <c r="AF521" s="47">
        <f t="shared" si="8"/>
        <v>0</v>
      </c>
    </row>
    <row r="522" spans="2:32" x14ac:dyDescent="0.3">
      <c r="B522" s="46" t="str">
        <f>IFERROR(VLOOKUP($H522,매장구분!$B:$Z,2,0),"")</f>
        <v/>
      </c>
      <c r="C522" s="46" t="str">
        <f>IFERROR(VLOOKUP($H522,매장구분!$B:$Z,3,0),"")</f>
        <v/>
      </c>
      <c r="D522" s="46" t="str">
        <f>IFERROR(VLOOKUP($H522,매장구분!$B:$Z,5,0),"")</f>
        <v/>
      </c>
      <c r="E522" s="46" t="str">
        <f>IFERROR(VLOOKUP($H522,매장구분!$B:$Z,9,0),"")</f>
        <v/>
      </c>
      <c r="AF522" s="47">
        <f t="shared" si="8"/>
        <v>0</v>
      </c>
    </row>
    <row r="523" spans="2:32" x14ac:dyDescent="0.3">
      <c r="B523" s="46" t="str">
        <f>IFERROR(VLOOKUP($H523,매장구분!$B:$Z,2,0),"")</f>
        <v/>
      </c>
      <c r="C523" s="46" t="str">
        <f>IFERROR(VLOOKUP($H523,매장구분!$B:$Z,3,0),"")</f>
        <v/>
      </c>
      <c r="D523" s="46" t="str">
        <f>IFERROR(VLOOKUP($H523,매장구분!$B:$Z,5,0),"")</f>
        <v/>
      </c>
      <c r="E523" s="46" t="str">
        <f>IFERROR(VLOOKUP($H523,매장구분!$B:$Z,9,0),"")</f>
        <v/>
      </c>
      <c r="AF523" s="47">
        <f t="shared" si="8"/>
        <v>0</v>
      </c>
    </row>
    <row r="524" spans="2:32" x14ac:dyDescent="0.3">
      <c r="B524" s="46" t="str">
        <f>IFERROR(VLOOKUP($H524,매장구분!$B:$Z,2,0),"")</f>
        <v/>
      </c>
      <c r="C524" s="46" t="str">
        <f>IFERROR(VLOOKUP($H524,매장구분!$B:$Z,3,0),"")</f>
        <v/>
      </c>
      <c r="D524" s="46" t="str">
        <f>IFERROR(VLOOKUP($H524,매장구분!$B:$Z,5,0),"")</f>
        <v/>
      </c>
      <c r="E524" s="46" t="str">
        <f>IFERROR(VLOOKUP($H524,매장구분!$B:$Z,9,0),"")</f>
        <v/>
      </c>
      <c r="AF524" s="47">
        <f t="shared" si="8"/>
        <v>0</v>
      </c>
    </row>
    <row r="525" spans="2:32" x14ac:dyDescent="0.3">
      <c r="B525" s="46" t="str">
        <f>IFERROR(VLOOKUP($H525,매장구분!$B:$Z,2,0),"")</f>
        <v/>
      </c>
      <c r="C525" s="46" t="str">
        <f>IFERROR(VLOOKUP($H525,매장구분!$B:$Z,3,0),"")</f>
        <v/>
      </c>
      <c r="D525" s="46" t="str">
        <f>IFERROR(VLOOKUP($H525,매장구분!$B:$Z,5,0),"")</f>
        <v/>
      </c>
      <c r="E525" s="46" t="str">
        <f>IFERROR(VLOOKUP($H525,매장구분!$B:$Z,9,0),"")</f>
        <v/>
      </c>
      <c r="AF525" s="47">
        <f t="shared" si="8"/>
        <v>0</v>
      </c>
    </row>
    <row r="526" spans="2:32" x14ac:dyDescent="0.3">
      <c r="B526" s="46" t="str">
        <f>IFERROR(VLOOKUP($H526,매장구분!$B:$Z,2,0),"")</f>
        <v/>
      </c>
      <c r="C526" s="46" t="str">
        <f>IFERROR(VLOOKUP($H526,매장구분!$B:$Z,3,0),"")</f>
        <v/>
      </c>
      <c r="D526" s="46" t="str">
        <f>IFERROR(VLOOKUP($H526,매장구분!$B:$Z,5,0),"")</f>
        <v/>
      </c>
      <c r="E526" s="46" t="str">
        <f>IFERROR(VLOOKUP($H526,매장구분!$B:$Z,9,0),"")</f>
        <v/>
      </c>
      <c r="AF526" s="47">
        <f t="shared" si="8"/>
        <v>0</v>
      </c>
    </row>
    <row r="527" spans="2:32" x14ac:dyDescent="0.3">
      <c r="B527" s="46" t="str">
        <f>IFERROR(VLOOKUP($H527,매장구분!$B:$Z,2,0),"")</f>
        <v/>
      </c>
      <c r="C527" s="46" t="str">
        <f>IFERROR(VLOOKUP($H527,매장구분!$B:$Z,3,0),"")</f>
        <v/>
      </c>
      <c r="D527" s="46" t="str">
        <f>IFERROR(VLOOKUP($H527,매장구분!$B:$Z,5,0),"")</f>
        <v/>
      </c>
      <c r="E527" s="46" t="str">
        <f>IFERROR(VLOOKUP($H527,매장구분!$B:$Z,9,0),"")</f>
        <v/>
      </c>
      <c r="AF527" s="47">
        <f t="shared" si="8"/>
        <v>0</v>
      </c>
    </row>
    <row r="528" spans="2:32" x14ac:dyDescent="0.3">
      <c r="B528" s="46" t="str">
        <f>IFERROR(VLOOKUP($H528,매장구분!$B:$Z,2,0),"")</f>
        <v/>
      </c>
      <c r="C528" s="46" t="str">
        <f>IFERROR(VLOOKUP($H528,매장구분!$B:$Z,3,0),"")</f>
        <v/>
      </c>
      <c r="D528" s="46" t="str">
        <f>IFERROR(VLOOKUP($H528,매장구분!$B:$Z,5,0),"")</f>
        <v/>
      </c>
      <c r="E528" s="46" t="str">
        <f>IFERROR(VLOOKUP($H528,매장구분!$B:$Z,9,0),"")</f>
        <v/>
      </c>
      <c r="AF528" s="47">
        <f t="shared" si="8"/>
        <v>0</v>
      </c>
    </row>
    <row r="529" spans="2:32" x14ac:dyDescent="0.3">
      <c r="B529" s="46" t="str">
        <f>IFERROR(VLOOKUP($H529,매장구분!$B:$Z,2,0),"")</f>
        <v/>
      </c>
      <c r="C529" s="46" t="str">
        <f>IFERROR(VLOOKUP($H529,매장구분!$B:$Z,3,0),"")</f>
        <v/>
      </c>
      <c r="D529" s="46" t="str">
        <f>IFERROR(VLOOKUP($H529,매장구분!$B:$Z,5,0),"")</f>
        <v/>
      </c>
      <c r="E529" s="46" t="str">
        <f>IFERROR(VLOOKUP($H529,매장구분!$B:$Z,9,0),"")</f>
        <v/>
      </c>
      <c r="AF529" s="47">
        <f t="shared" si="8"/>
        <v>0</v>
      </c>
    </row>
    <row r="530" spans="2:32" x14ac:dyDescent="0.3">
      <c r="B530" s="46" t="str">
        <f>IFERROR(VLOOKUP($H530,매장구분!$B:$Z,2,0),"")</f>
        <v/>
      </c>
      <c r="C530" s="46" t="str">
        <f>IFERROR(VLOOKUP($H530,매장구분!$B:$Z,3,0),"")</f>
        <v/>
      </c>
      <c r="D530" s="46" t="str">
        <f>IFERROR(VLOOKUP($H530,매장구분!$B:$Z,5,0),"")</f>
        <v/>
      </c>
      <c r="E530" s="46" t="str">
        <f>IFERROR(VLOOKUP($H530,매장구분!$B:$Z,9,0),"")</f>
        <v/>
      </c>
      <c r="AF530" s="47">
        <f t="shared" si="8"/>
        <v>0</v>
      </c>
    </row>
    <row r="531" spans="2:32" x14ac:dyDescent="0.3">
      <c r="B531" s="46" t="str">
        <f>IFERROR(VLOOKUP($H531,매장구분!$B:$Z,2,0),"")</f>
        <v/>
      </c>
      <c r="C531" s="46" t="str">
        <f>IFERROR(VLOOKUP($H531,매장구분!$B:$Z,3,0),"")</f>
        <v/>
      </c>
      <c r="D531" s="46" t="str">
        <f>IFERROR(VLOOKUP($H531,매장구분!$B:$Z,5,0),"")</f>
        <v/>
      </c>
      <c r="E531" s="46" t="str">
        <f>IFERROR(VLOOKUP($H531,매장구분!$B:$Z,9,0),"")</f>
        <v/>
      </c>
      <c r="AF531" s="47">
        <f t="shared" si="8"/>
        <v>0</v>
      </c>
    </row>
    <row r="532" spans="2:32" x14ac:dyDescent="0.3">
      <c r="B532" s="46" t="str">
        <f>IFERROR(VLOOKUP($H532,매장구분!$B:$Z,2,0),"")</f>
        <v/>
      </c>
      <c r="C532" s="46" t="str">
        <f>IFERROR(VLOOKUP($H532,매장구분!$B:$Z,3,0),"")</f>
        <v/>
      </c>
      <c r="D532" s="46" t="str">
        <f>IFERROR(VLOOKUP($H532,매장구분!$B:$Z,5,0),"")</f>
        <v/>
      </c>
      <c r="E532" s="46" t="str">
        <f>IFERROR(VLOOKUP($H532,매장구분!$B:$Z,9,0),"")</f>
        <v/>
      </c>
      <c r="AF532" s="47">
        <f t="shared" si="8"/>
        <v>0</v>
      </c>
    </row>
    <row r="533" spans="2:32" x14ac:dyDescent="0.3">
      <c r="B533" s="46" t="str">
        <f>IFERROR(VLOOKUP($H533,매장구분!$B:$Z,2,0),"")</f>
        <v/>
      </c>
      <c r="C533" s="46" t="str">
        <f>IFERROR(VLOOKUP($H533,매장구분!$B:$Z,3,0),"")</f>
        <v/>
      </c>
      <c r="D533" s="46" t="str">
        <f>IFERROR(VLOOKUP($H533,매장구분!$B:$Z,5,0),"")</f>
        <v/>
      </c>
      <c r="E533" s="46" t="str">
        <f>IFERROR(VLOOKUP($H533,매장구분!$B:$Z,9,0),"")</f>
        <v/>
      </c>
      <c r="AF533" s="47">
        <f t="shared" si="8"/>
        <v>0</v>
      </c>
    </row>
    <row r="534" spans="2:32" x14ac:dyDescent="0.3">
      <c r="B534" s="46" t="str">
        <f>IFERROR(VLOOKUP($H534,매장구분!$B:$Z,2,0),"")</f>
        <v/>
      </c>
      <c r="C534" s="46" t="str">
        <f>IFERROR(VLOOKUP($H534,매장구분!$B:$Z,3,0),"")</f>
        <v/>
      </c>
      <c r="D534" s="46" t="str">
        <f>IFERROR(VLOOKUP($H534,매장구분!$B:$Z,5,0),"")</f>
        <v/>
      </c>
      <c r="E534" s="46" t="str">
        <f>IFERROR(VLOOKUP($H534,매장구분!$B:$Z,9,0),"")</f>
        <v/>
      </c>
      <c r="AF534" s="47">
        <f t="shared" si="8"/>
        <v>0</v>
      </c>
    </row>
    <row r="535" spans="2:32" x14ac:dyDescent="0.3">
      <c r="B535" s="46" t="str">
        <f>IFERROR(VLOOKUP($H535,매장구분!$B:$Z,2,0),"")</f>
        <v/>
      </c>
      <c r="C535" s="46" t="str">
        <f>IFERROR(VLOOKUP($H535,매장구분!$B:$Z,3,0),"")</f>
        <v/>
      </c>
      <c r="D535" s="46" t="str">
        <f>IFERROR(VLOOKUP($H535,매장구분!$B:$Z,5,0),"")</f>
        <v/>
      </c>
      <c r="E535" s="46" t="str">
        <f>IFERROR(VLOOKUP($H535,매장구분!$B:$Z,9,0),"")</f>
        <v/>
      </c>
      <c r="AF535" s="47">
        <f t="shared" si="8"/>
        <v>0</v>
      </c>
    </row>
    <row r="536" spans="2:32" x14ac:dyDescent="0.3">
      <c r="B536" s="46" t="str">
        <f>IFERROR(VLOOKUP($H536,매장구분!$B:$Z,2,0),"")</f>
        <v/>
      </c>
      <c r="C536" s="46" t="str">
        <f>IFERROR(VLOOKUP($H536,매장구분!$B:$Z,3,0),"")</f>
        <v/>
      </c>
      <c r="D536" s="46" t="str">
        <f>IFERROR(VLOOKUP($H536,매장구분!$B:$Z,5,0),"")</f>
        <v/>
      </c>
      <c r="E536" s="46" t="str">
        <f>IFERROR(VLOOKUP($H536,매장구분!$B:$Z,9,0),"")</f>
        <v/>
      </c>
      <c r="AF536" s="47">
        <f t="shared" si="8"/>
        <v>0</v>
      </c>
    </row>
    <row r="537" spans="2:32" x14ac:dyDescent="0.3">
      <c r="B537" s="46" t="str">
        <f>IFERROR(VLOOKUP($H537,매장구분!$B:$Z,2,0),"")</f>
        <v/>
      </c>
      <c r="C537" s="46" t="str">
        <f>IFERROR(VLOOKUP($H537,매장구분!$B:$Z,3,0),"")</f>
        <v/>
      </c>
      <c r="D537" s="46" t="str">
        <f>IFERROR(VLOOKUP($H537,매장구분!$B:$Z,5,0),"")</f>
        <v/>
      </c>
      <c r="E537" s="46" t="str">
        <f>IFERROR(VLOOKUP($H537,매장구분!$B:$Z,9,0),"")</f>
        <v/>
      </c>
      <c r="AF537" s="47">
        <f t="shared" si="8"/>
        <v>0</v>
      </c>
    </row>
    <row r="538" spans="2:32" x14ac:dyDescent="0.3">
      <c r="B538" s="46" t="str">
        <f>IFERROR(VLOOKUP($H538,매장구분!$B:$Z,2,0),"")</f>
        <v/>
      </c>
      <c r="C538" s="46" t="str">
        <f>IFERROR(VLOOKUP($H538,매장구분!$B:$Z,3,0),"")</f>
        <v/>
      </c>
      <c r="D538" s="46" t="str">
        <f>IFERROR(VLOOKUP($H538,매장구분!$B:$Z,5,0),"")</f>
        <v/>
      </c>
      <c r="E538" s="46" t="str">
        <f>IFERROR(VLOOKUP($H538,매장구분!$B:$Z,9,0),"")</f>
        <v/>
      </c>
      <c r="AF538" s="47">
        <f t="shared" si="8"/>
        <v>0</v>
      </c>
    </row>
    <row r="539" spans="2:32" x14ac:dyDescent="0.3">
      <c r="B539" s="46" t="str">
        <f>IFERROR(VLOOKUP($H539,매장구분!$B:$Z,2,0),"")</f>
        <v/>
      </c>
      <c r="C539" s="46" t="str">
        <f>IFERROR(VLOOKUP($H539,매장구분!$B:$Z,3,0),"")</f>
        <v/>
      </c>
      <c r="D539" s="46" t="str">
        <f>IFERROR(VLOOKUP($H539,매장구분!$B:$Z,5,0),"")</f>
        <v/>
      </c>
      <c r="E539" s="46" t="str">
        <f>IFERROR(VLOOKUP($H539,매장구분!$B:$Z,9,0),"")</f>
        <v/>
      </c>
      <c r="AF539" s="47">
        <f t="shared" si="8"/>
        <v>0</v>
      </c>
    </row>
    <row r="540" spans="2:32" x14ac:dyDescent="0.3">
      <c r="B540" s="46" t="str">
        <f>IFERROR(VLOOKUP($H540,매장구분!$B:$Z,2,0),"")</f>
        <v/>
      </c>
      <c r="C540" s="46" t="str">
        <f>IFERROR(VLOOKUP($H540,매장구분!$B:$Z,3,0),"")</f>
        <v/>
      </c>
      <c r="D540" s="46" t="str">
        <f>IFERROR(VLOOKUP($H540,매장구분!$B:$Z,5,0),"")</f>
        <v/>
      </c>
      <c r="E540" s="46" t="str">
        <f>IFERROR(VLOOKUP($H540,매장구분!$B:$Z,9,0),"")</f>
        <v/>
      </c>
      <c r="AF540" s="47">
        <f t="shared" si="8"/>
        <v>0</v>
      </c>
    </row>
    <row r="541" spans="2:32" x14ac:dyDescent="0.3">
      <c r="B541" s="46" t="str">
        <f>IFERROR(VLOOKUP($H541,매장구분!$B:$Z,2,0),"")</f>
        <v/>
      </c>
      <c r="C541" s="46" t="str">
        <f>IFERROR(VLOOKUP($H541,매장구분!$B:$Z,3,0),"")</f>
        <v/>
      </c>
      <c r="D541" s="46" t="str">
        <f>IFERROR(VLOOKUP($H541,매장구분!$B:$Z,5,0),"")</f>
        <v/>
      </c>
      <c r="E541" s="46" t="str">
        <f>IFERROR(VLOOKUP($H541,매장구분!$B:$Z,9,0),"")</f>
        <v/>
      </c>
      <c r="AF541" s="47">
        <f t="shared" si="8"/>
        <v>0</v>
      </c>
    </row>
    <row r="542" spans="2:32" x14ac:dyDescent="0.3">
      <c r="B542" s="46" t="str">
        <f>IFERROR(VLOOKUP($H542,매장구분!$B:$Z,2,0),"")</f>
        <v/>
      </c>
      <c r="C542" s="46" t="str">
        <f>IFERROR(VLOOKUP($H542,매장구분!$B:$Z,3,0),"")</f>
        <v/>
      </c>
      <c r="D542" s="46" t="str">
        <f>IFERROR(VLOOKUP($H542,매장구분!$B:$Z,5,0),"")</f>
        <v/>
      </c>
      <c r="E542" s="46" t="str">
        <f>IFERROR(VLOOKUP($H542,매장구분!$B:$Z,9,0),"")</f>
        <v/>
      </c>
      <c r="AF542" s="47">
        <f t="shared" si="8"/>
        <v>0</v>
      </c>
    </row>
    <row r="543" spans="2:32" x14ac:dyDescent="0.3">
      <c r="B543" s="46" t="str">
        <f>IFERROR(VLOOKUP($H543,매장구분!$B:$Z,2,0),"")</f>
        <v/>
      </c>
      <c r="C543" s="46" t="str">
        <f>IFERROR(VLOOKUP($H543,매장구분!$B:$Z,3,0),"")</f>
        <v/>
      </c>
      <c r="D543" s="46" t="str">
        <f>IFERROR(VLOOKUP($H543,매장구분!$B:$Z,5,0),"")</f>
        <v/>
      </c>
      <c r="E543" s="46" t="str">
        <f>IFERROR(VLOOKUP($H543,매장구분!$B:$Z,9,0),"")</f>
        <v/>
      </c>
      <c r="AF543" s="47">
        <f t="shared" si="8"/>
        <v>0</v>
      </c>
    </row>
    <row r="544" spans="2:32" x14ac:dyDescent="0.3">
      <c r="B544" s="46" t="str">
        <f>IFERROR(VLOOKUP($H544,매장구분!$B:$Z,2,0),"")</f>
        <v/>
      </c>
      <c r="C544" s="46" t="str">
        <f>IFERROR(VLOOKUP($H544,매장구분!$B:$Z,3,0),"")</f>
        <v/>
      </c>
      <c r="D544" s="46" t="str">
        <f>IFERROR(VLOOKUP($H544,매장구분!$B:$Z,5,0),"")</f>
        <v/>
      </c>
      <c r="E544" s="46" t="str">
        <f>IFERROR(VLOOKUP($H544,매장구분!$B:$Z,9,0),"")</f>
        <v/>
      </c>
      <c r="AF544" s="47">
        <f t="shared" si="8"/>
        <v>0</v>
      </c>
    </row>
    <row r="545" spans="2:32" x14ac:dyDescent="0.3">
      <c r="B545" s="46" t="str">
        <f>IFERROR(VLOOKUP($H545,매장구분!$B:$Z,2,0),"")</f>
        <v/>
      </c>
      <c r="C545" s="46" t="str">
        <f>IFERROR(VLOOKUP($H545,매장구분!$B:$Z,3,0),"")</f>
        <v/>
      </c>
      <c r="D545" s="46" t="str">
        <f>IFERROR(VLOOKUP($H545,매장구분!$B:$Z,5,0),"")</f>
        <v/>
      </c>
      <c r="E545" s="46" t="str">
        <f>IFERROR(VLOOKUP($H545,매장구분!$B:$Z,9,0),"")</f>
        <v/>
      </c>
      <c r="AF545" s="47">
        <f t="shared" si="8"/>
        <v>0</v>
      </c>
    </row>
    <row r="546" spans="2:32" x14ac:dyDescent="0.3">
      <c r="B546" s="46" t="str">
        <f>IFERROR(VLOOKUP($H546,매장구분!$B:$Z,2,0),"")</f>
        <v/>
      </c>
      <c r="C546" s="46" t="str">
        <f>IFERROR(VLOOKUP($H546,매장구분!$B:$Z,3,0),"")</f>
        <v/>
      </c>
      <c r="D546" s="46" t="str">
        <f>IFERROR(VLOOKUP($H546,매장구분!$B:$Z,5,0),"")</f>
        <v/>
      </c>
      <c r="E546" s="46" t="str">
        <f>IFERROR(VLOOKUP($H546,매장구분!$B:$Z,9,0),"")</f>
        <v/>
      </c>
      <c r="AF546" s="47">
        <f t="shared" si="8"/>
        <v>0</v>
      </c>
    </row>
    <row r="547" spans="2:32" x14ac:dyDescent="0.3">
      <c r="B547" s="46" t="str">
        <f>IFERROR(VLOOKUP($H547,매장구분!$B:$Z,2,0),"")</f>
        <v/>
      </c>
      <c r="C547" s="46" t="str">
        <f>IFERROR(VLOOKUP($H547,매장구분!$B:$Z,3,0),"")</f>
        <v/>
      </c>
      <c r="D547" s="46" t="str">
        <f>IFERROR(VLOOKUP($H547,매장구분!$B:$Z,5,0),"")</f>
        <v/>
      </c>
      <c r="E547" s="46" t="str">
        <f>IFERROR(VLOOKUP($H547,매장구분!$B:$Z,9,0),"")</f>
        <v/>
      </c>
      <c r="AF547" s="47">
        <f t="shared" si="8"/>
        <v>0</v>
      </c>
    </row>
    <row r="548" spans="2:32" x14ac:dyDescent="0.3">
      <c r="B548" s="46" t="str">
        <f>IFERROR(VLOOKUP($H548,매장구분!$B:$Z,2,0),"")</f>
        <v/>
      </c>
      <c r="C548" s="46" t="str">
        <f>IFERROR(VLOOKUP($H548,매장구분!$B:$Z,3,0),"")</f>
        <v/>
      </c>
      <c r="D548" s="46" t="str">
        <f>IFERROR(VLOOKUP($H548,매장구분!$B:$Z,5,0),"")</f>
        <v/>
      </c>
      <c r="E548" s="46" t="str">
        <f>IFERROR(VLOOKUP($H548,매장구분!$B:$Z,9,0),"")</f>
        <v/>
      </c>
      <c r="AF548" s="47">
        <f t="shared" si="8"/>
        <v>0</v>
      </c>
    </row>
    <row r="549" spans="2:32" x14ac:dyDescent="0.3">
      <c r="B549" s="46" t="str">
        <f>IFERROR(VLOOKUP($H549,매장구분!$B:$Z,2,0),"")</f>
        <v/>
      </c>
      <c r="C549" s="46" t="str">
        <f>IFERROR(VLOOKUP($H549,매장구분!$B:$Z,3,0),"")</f>
        <v/>
      </c>
      <c r="D549" s="46" t="str">
        <f>IFERROR(VLOOKUP($H549,매장구분!$B:$Z,5,0),"")</f>
        <v/>
      </c>
      <c r="E549" s="46" t="str">
        <f>IFERROR(VLOOKUP($H549,매장구분!$B:$Z,9,0),"")</f>
        <v/>
      </c>
      <c r="AF549" s="47">
        <f t="shared" si="8"/>
        <v>0</v>
      </c>
    </row>
    <row r="550" spans="2:32" x14ac:dyDescent="0.3">
      <c r="B550" s="46" t="str">
        <f>IFERROR(VLOOKUP($H550,매장구분!$B:$Z,2,0),"")</f>
        <v/>
      </c>
      <c r="C550" s="46" t="str">
        <f>IFERROR(VLOOKUP($H550,매장구분!$B:$Z,3,0),"")</f>
        <v/>
      </c>
      <c r="D550" s="46" t="str">
        <f>IFERROR(VLOOKUP($H550,매장구분!$B:$Z,5,0),"")</f>
        <v/>
      </c>
      <c r="E550" s="46" t="str">
        <f>IFERROR(VLOOKUP($H550,매장구분!$B:$Z,9,0),"")</f>
        <v/>
      </c>
      <c r="AF550" s="47">
        <f t="shared" si="8"/>
        <v>0</v>
      </c>
    </row>
    <row r="551" spans="2:32" x14ac:dyDescent="0.3">
      <c r="B551" s="46" t="str">
        <f>IFERROR(VLOOKUP($H551,매장구분!$B:$Z,2,0),"")</f>
        <v/>
      </c>
      <c r="C551" s="46" t="str">
        <f>IFERROR(VLOOKUP($H551,매장구분!$B:$Z,3,0),"")</f>
        <v/>
      </c>
      <c r="D551" s="46" t="str">
        <f>IFERROR(VLOOKUP($H551,매장구분!$B:$Z,5,0),"")</f>
        <v/>
      </c>
      <c r="E551" s="46" t="str">
        <f>IFERROR(VLOOKUP($H551,매장구분!$B:$Z,9,0),"")</f>
        <v/>
      </c>
      <c r="AF551" s="47">
        <f t="shared" si="8"/>
        <v>0</v>
      </c>
    </row>
    <row r="552" spans="2:32" x14ac:dyDescent="0.3">
      <c r="B552" s="46" t="str">
        <f>IFERROR(VLOOKUP($H552,매장구분!$B:$Z,2,0),"")</f>
        <v/>
      </c>
      <c r="C552" s="46" t="str">
        <f>IFERROR(VLOOKUP($H552,매장구분!$B:$Z,3,0),"")</f>
        <v/>
      </c>
      <c r="D552" s="46" t="str">
        <f>IFERROR(VLOOKUP($H552,매장구분!$B:$Z,5,0),"")</f>
        <v/>
      </c>
      <c r="E552" s="46" t="str">
        <f>IFERROR(VLOOKUP($H552,매장구분!$B:$Z,9,0),"")</f>
        <v/>
      </c>
      <c r="AF552" s="47">
        <f t="shared" si="8"/>
        <v>0</v>
      </c>
    </row>
    <row r="553" spans="2:32" x14ac:dyDescent="0.3">
      <c r="B553" s="46" t="str">
        <f>IFERROR(VLOOKUP($H553,매장구분!$B:$Z,2,0),"")</f>
        <v/>
      </c>
      <c r="C553" s="46" t="str">
        <f>IFERROR(VLOOKUP($H553,매장구분!$B:$Z,3,0),"")</f>
        <v/>
      </c>
      <c r="D553" s="46" t="str">
        <f>IFERROR(VLOOKUP($H553,매장구분!$B:$Z,5,0),"")</f>
        <v/>
      </c>
      <c r="E553" s="46" t="str">
        <f>IFERROR(VLOOKUP($H553,매장구분!$B:$Z,9,0),"")</f>
        <v/>
      </c>
      <c r="AF553" s="47">
        <f t="shared" si="8"/>
        <v>0</v>
      </c>
    </row>
    <row r="554" spans="2:32" x14ac:dyDescent="0.3">
      <c r="B554" s="46" t="str">
        <f>IFERROR(VLOOKUP($H554,매장구분!$B:$Z,2,0),"")</f>
        <v/>
      </c>
      <c r="C554" s="46" t="str">
        <f>IFERROR(VLOOKUP($H554,매장구분!$B:$Z,3,0),"")</f>
        <v/>
      </c>
      <c r="D554" s="46" t="str">
        <f>IFERROR(VLOOKUP($H554,매장구분!$B:$Z,5,0),"")</f>
        <v/>
      </c>
      <c r="E554" s="46" t="str">
        <f>IFERROR(VLOOKUP($H554,매장구분!$B:$Z,9,0),"")</f>
        <v/>
      </c>
      <c r="AF554" s="47">
        <f t="shared" si="8"/>
        <v>0</v>
      </c>
    </row>
    <row r="555" spans="2:32" x14ac:dyDescent="0.3">
      <c r="B555" s="46" t="str">
        <f>IFERROR(VLOOKUP($H555,매장구분!$B:$Z,2,0),"")</f>
        <v/>
      </c>
      <c r="C555" s="46" t="str">
        <f>IFERROR(VLOOKUP($H555,매장구분!$B:$Z,3,0),"")</f>
        <v/>
      </c>
      <c r="D555" s="46" t="str">
        <f>IFERROR(VLOOKUP($H555,매장구분!$B:$Z,5,0),"")</f>
        <v/>
      </c>
      <c r="E555" s="46" t="str">
        <f>IFERROR(VLOOKUP($H555,매장구분!$B:$Z,9,0),"")</f>
        <v/>
      </c>
      <c r="AF555" s="47">
        <f t="shared" si="8"/>
        <v>0</v>
      </c>
    </row>
    <row r="556" spans="2:32" x14ac:dyDescent="0.3">
      <c r="B556" s="46" t="str">
        <f>IFERROR(VLOOKUP($H556,매장구분!$B:$Z,2,0),"")</f>
        <v/>
      </c>
      <c r="C556" s="46" t="str">
        <f>IFERROR(VLOOKUP($H556,매장구분!$B:$Z,3,0),"")</f>
        <v/>
      </c>
      <c r="D556" s="46" t="str">
        <f>IFERROR(VLOOKUP($H556,매장구분!$B:$Z,5,0),"")</f>
        <v/>
      </c>
      <c r="E556" s="46" t="str">
        <f>IFERROR(VLOOKUP($H556,매장구분!$B:$Z,9,0),"")</f>
        <v/>
      </c>
      <c r="AF556" s="47">
        <f t="shared" si="8"/>
        <v>0</v>
      </c>
    </row>
    <row r="557" spans="2:32" x14ac:dyDescent="0.3">
      <c r="B557" s="46" t="str">
        <f>IFERROR(VLOOKUP($H557,매장구분!$B:$Z,2,0),"")</f>
        <v/>
      </c>
      <c r="C557" s="46" t="str">
        <f>IFERROR(VLOOKUP($H557,매장구분!$B:$Z,3,0),"")</f>
        <v/>
      </c>
      <c r="D557" s="46" t="str">
        <f>IFERROR(VLOOKUP($H557,매장구분!$B:$Z,5,0),"")</f>
        <v/>
      </c>
      <c r="E557" s="46" t="str">
        <f>IFERROR(VLOOKUP($H557,매장구분!$B:$Z,9,0),"")</f>
        <v/>
      </c>
      <c r="AF557" s="47">
        <f t="shared" si="8"/>
        <v>0</v>
      </c>
    </row>
    <row r="558" spans="2:32" x14ac:dyDescent="0.3">
      <c r="B558" s="46" t="str">
        <f>IFERROR(VLOOKUP($H558,매장구분!$B:$Z,2,0),"")</f>
        <v/>
      </c>
      <c r="C558" s="46" t="str">
        <f>IFERROR(VLOOKUP($H558,매장구분!$B:$Z,3,0),"")</f>
        <v/>
      </c>
      <c r="D558" s="46" t="str">
        <f>IFERROR(VLOOKUP($H558,매장구분!$B:$Z,5,0),"")</f>
        <v/>
      </c>
      <c r="E558" s="46" t="str">
        <f>IFERROR(VLOOKUP($H558,매장구분!$B:$Z,9,0),"")</f>
        <v/>
      </c>
      <c r="AF558" s="47">
        <f t="shared" si="8"/>
        <v>0</v>
      </c>
    </row>
    <row r="559" spans="2:32" x14ac:dyDescent="0.3">
      <c r="B559" s="46" t="str">
        <f>IFERROR(VLOOKUP($H559,매장구분!$B:$Z,2,0),"")</f>
        <v/>
      </c>
      <c r="C559" s="46" t="str">
        <f>IFERROR(VLOOKUP($H559,매장구분!$B:$Z,3,0),"")</f>
        <v/>
      </c>
      <c r="D559" s="46" t="str">
        <f>IFERROR(VLOOKUP($H559,매장구분!$B:$Z,5,0),"")</f>
        <v/>
      </c>
      <c r="E559" s="46" t="str">
        <f>IFERROR(VLOOKUP($H559,매장구분!$B:$Z,9,0),"")</f>
        <v/>
      </c>
      <c r="AF559" s="47">
        <f t="shared" si="8"/>
        <v>0</v>
      </c>
    </row>
    <row r="560" spans="2:32" x14ac:dyDescent="0.3">
      <c r="B560" s="46" t="str">
        <f>IFERROR(VLOOKUP($H560,매장구분!$B:$Z,2,0),"")</f>
        <v/>
      </c>
      <c r="C560" s="46" t="str">
        <f>IFERROR(VLOOKUP($H560,매장구분!$B:$Z,3,0),"")</f>
        <v/>
      </c>
      <c r="D560" s="46" t="str">
        <f>IFERROR(VLOOKUP($H560,매장구분!$B:$Z,5,0),"")</f>
        <v/>
      </c>
      <c r="E560" s="46" t="str">
        <f>IFERROR(VLOOKUP($H560,매장구분!$B:$Z,9,0),"")</f>
        <v/>
      </c>
      <c r="AF560" s="47">
        <f t="shared" si="8"/>
        <v>0</v>
      </c>
    </row>
    <row r="561" spans="2:32" x14ac:dyDescent="0.3">
      <c r="B561" s="46" t="str">
        <f>IFERROR(VLOOKUP($H561,매장구분!$B:$Z,2,0),"")</f>
        <v/>
      </c>
      <c r="C561" s="46" t="str">
        <f>IFERROR(VLOOKUP($H561,매장구분!$B:$Z,3,0),"")</f>
        <v/>
      </c>
      <c r="D561" s="46" t="str">
        <f>IFERROR(VLOOKUP($H561,매장구분!$B:$Z,5,0),"")</f>
        <v/>
      </c>
      <c r="E561" s="46" t="str">
        <f>IFERROR(VLOOKUP($H561,매장구분!$B:$Z,9,0),"")</f>
        <v/>
      </c>
      <c r="AF561" s="47">
        <f t="shared" si="8"/>
        <v>0</v>
      </c>
    </row>
    <row r="562" spans="2:32" x14ac:dyDescent="0.3">
      <c r="B562" s="46" t="str">
        <f>IFERROR(VLOOKUP($H562,매장구분!$B:$Z,2,0),"")</f>
        <v/>
      </c>
      <c r="C562" s="46" t="str">
        <f>IFERROR(VLOOKUP($H562,매장구분!$B:$Z,3,0),"")</f>
        <v/>
      </c>
      <c r="D562" s="46" t="str">
        <f>IFERROR(VLOOKUP($H562,매장구분!$B:$Z,5,0),"")</f>
        <v/>
      </c>
      <c r="E562" s="46" t="str">
        <f>IFERROR(VLOOKUP($H562,매장구분!$B:$Z,9,0),"")</f>
        <v/>
      </c>
      <c r="AF562" s="47">
        <f t="shared" si="8"/>
        <v>0</v>
      </c>
    </row>
    <row r="563" spans="2:32" x14ac:dyDescent="0.3">
      <c r="B563" s="46" t="str">
        <f>IFERROR(VLOOKUP($H563,매장구분!$B:$Z,2,0),"")</f>
        <v/>
      </c>
      <c r="C563" s="46" t="str">
        <f>IFERROR(VLOOKUP($H563,매장구분!$B:$Z,3,0),"")</f>
        <v/>
      </c>
      <c r="D563" s="46" t="str">
        <f>IFERROR(VLOOKUP($H563,매장구분!$B:$Z,5,0),"")</f>
        <v/>
      </c>
      <c r="E563" s="46" t="str">
        <f>IFERROR(VLOOKUP($H563,매장구분!$B:$Z,9,0),"")</f>
        <v/>
      </c>
      <c r="AF563" s="47">
        <f t="shared" si="8"/>
        <v>0</v>
      </c>
    </row>
    <row r="564" spans="2:32" x14ac:dyDescent="0.3">
      <c r="B564" s="46" t="str">
        <f>IFERROR(VLOOKUP($H564,매장구분!$B:$Z,2,0),"")</f>
        <v/>
      </c>
      <c r="C564" s="46" t="str">
        <f>IFERROR(VLOOKUP($H564,매장구분!$B:$Z,3,0),"")</f>
        <v/>
      </c>
      <c r="D564" s="46" t="str">
        <f>IFERROR(VLOOKUP($H564,매장구분!$B:$Z,5,0),"")</f>
        <v/>
      </c>
      <c r="E564" s="46" t="str">
        <f>IFERROR(VLOOKUP($H564,매장구분!$B:$Z,9,0),"")</f>
        <v/>
      </c>
      <c r="AF564" s="47">
        <f t="shared" si="8"/>
        <v>0</v>
      </c>
    </row>
    <row r="565" spans="2:32" x14ac:dyDescent="0.3">
      <c r="B565" s="46" t="str">
        <f>IFERROR(VLOOKUP($H565,매장구분!$B:$Z,2,0),"")</f>
        <v/>
      </c>
      <c r="C565" s="46" t="str">
        <f>IFERROR(VLOOKUP($H565,매장구분!$B:$Z,3,0),"")</f>
        <v/>
      </c>
      <c r="D565" s="46" t="str">
        <f>IFERROR(VLOOKUP($H565,매장구분!$B:$Z,5,0),"")</f>
        <v/>
      </c>
      <c r="E565" s="46" t="str">
        <f>IFERROR(VLOOKUP($H565,매장구분!$B:$Z,9,0),"")</f>
        <v/>
      </c>
      <c r="AF565" s="47">
        <f t="shared" si="8"/>
        <v>0</v>
      </c>
    </row>
    <row r="566" spans="2:32" x14ac:dyDescent="0.3">
      <c r="B566" s="46" t="str">
        <f>IFERROR(VLOOKUP($H566,매장구분!$B:$Z,2,0),"")</f>
        <v/>
      </c>
      <c r="C566" s="46" t="str">
        <f>IFERROR(VLOOKUP($H566,매장구분!$B:$Z,3,0),"")</f>
        <v/>
      </c>
      <c r="D566" s="46" t="str">
        <f>IFERROR(VLOOKUP($H566,매장구분!$B:$Z,5,0),"")</f>
        <v/>
      </c>
      <c r="E566" s="46" t="str">
        <f>IFERROR(VLOOKUP($H566,매장구분!$B:$Z,9,0),"")</f>
        <v/>
      </c>
      <c r="AF566" s="47">
        <f t="shared" si="8"/>
        <v>0</v>
      </c>
    </row>
    <row r="567" spans="2:32" x14ac:dyDescent="0.3">
      <c r="B567" s="46" t="str">
        <f>IFERROR(VLOOKUP($H567,매장구분!$B:$Z,2,0),"")</f>
        <v/>
      </c>
      <c r="C567" s="46" t="str">
        <f>IFERROR(VLOOKUP($H567,매장구분!$B:$Z,3,0),"")</f>
        <v/>
      </c>
      <c r="D567" s="46" t="str">
        <f>IFERROR(VLOOKUP($H567,매장구분!$B:$Z,5,0),"")</f>
        <v/>
      </c>
      <c r="E567" s="46" t="str">
        <f>IFERROR(VLOOKUP($H567,매장구분!$B:$Z,9,0),"")</f>
        <v/>
      </c>
      <c r="AF567" s="47">
        <f t="shared" si="8"/>
        <v>0</v>
      </c>
    </row>
    <row r="568" spans="2:32" x14ac:dyDescent="0.3">
      <c r="B568" s="46" t="str">
        <f>IFERROR(VLOOKUP($H568,매장구분!$B:$Z,2,0),"")</f>
        <v/>
      </c>
      <c r="C568" s="46" t="str">
        <f>IFERROR(VLOOKUP($H568,매장구분!$B:$Z,3,0),"")</f>
        <v/>
      </c>
      <c r="D568" s="46" t="str">
        <f>IFERROR(VLOOKUP($H568,매장구분!$B:$Z,5,0),"")</f>
        <v/>
      </c>
      <c r="E568" s="46" t="str">
        <f>IFERROR(VLOOKUP($H568,매장구분!$B:$Z,9,0),"")</f>
        <v/>
      </c>
      <c r="AF568" s="47">
        <f t="shared" si="8"/>
        <v>0</v>
      </c>
    </row>
    <row r="569" spans="2:32" x14ac:dyDescent="0.3">
      <c r="B569" s="46" t="str">
        <f>IFERROR(VLOOKUP($H569,매장구분!$B:$Z,2,0),"")</f>
        <v/>
      </c>
      <c r="C569" s="46" t="str">
        <f>IFERROR(VLOOKUP($H569,매장구분!$B:$Z,3,0),"")</f>
        <v/>
      </c>
      <c r="D569" s="46" t="str">
        <f>IFERROR(VLOOKUP($H569,매장구분!$B:$Z,5,0),"")</f>
        <v/>
      </c>
      <c r="E569" s="46" t="str">
        <f>IFERROR(VLOOKUP($H569,매장구분!$B:$Z,9,0),"")</f>
        <v/>
      </c>
      <c r="AF569" s="47">
        <f t="shared" si="8"/>
        <v>0</v>
      </c>
    </row>
    <row r="570" spans="2:32" x14ac:dyDescent="0.3">
      <c r="B570" s="46" t="str">
        <f>IFERROR(VLOOKUP($H570,매장구분!$B:$Z,2,0),"")</f>
        <v/>
      </c>
      <c r="C570" s="46" t="str">
        <f>IFERROR(VLOOKUP($H570,매장구분!$B:$Z,3,0),"")</f>
        <v/>
      </c>
      <c r="D570" s="46" t="str">
        <f>IFERROR(VLOOKUP($H570,매장구분!$B:$Z,5,0),"")</f>
        <v/>
      </c>
      <c r="E570" s="46" t="str">
        <f>IFERROR(VLOOKUP($H570,매장구분!$B:$Z,9,0),"")</f>
        <v/>
      </c>
      <c r="AF570" s="47">
        <f t="shared" si="8"/>
        <v>0</v>
      </c>
    </row>
    <row r="571" spans="2:32" x14ac:dyDescent="0.3">
      <c r="B571" s="46" t="str">
        <f>IFERROR(VLOOKUP($H571,매장구분!$B:$Z,2,0),"")</f>
        <v/>
      </c>
      <c r="C571" s="46" t="str">
        <f>IFERROR(VLOOKUP($H571,매장구분!$B:$Z,3,0),"")</f>
        <v/>
      </c>
      <c r="D571" s="46" t="str">
        <f>IFERROR(VLOOKUP($H571,매장구분!$B:$Z,5,0),"")</f>
        <v/>
      </c>
      <c r="E571" s="46" t="str">
        <f>IFERROR(VLOOKUP($H571,매장구분!$B:$Z,9,0),"")</f>
        <v/>
      </c>
      <c r="AF571" s="47">
        <f t="shared" si="8"/>
        <v>0</v>
      </c>
    </row>
    <row r="572" spans="2:32" x14ac:dyDescent="0.3">
      <c r="B572" s="46" t="str">
        <f>IFERROR(VLOOKUP($H572,매장구분!$B:$Z,2,0),"")</f>
        <v/>
      </c>
      <c r="C572" s="46" t="str">
        <f>IFERROR(VLOOKUP($H572,매장구분!$B:$Z,3,0),"")</f>
        <v/>
      </c>
      <c r="D572" s="46" t="str">
        <f>IFERROR(VLOOKUP($H572,매장구분!$B:$Z,5,0),"")</f>
        <v/>
      </c>
      <c r="E572" s="46" t="str">
        <f>IFERROR(VLOOKUP($H572,매장구분!$B:$Z,9,0),"")</f>
        <v/>
      </c>
      <c r="AF572" s="47">
        <f t="shared" si="8"/>
        <v>0</v>
      </c>
    </row>
    <row r="573" spans="2:32" x14ac:dyDescent="0.3">
      <c r="B573" s="46" t="str">
        <f>IFERROR(VLOOKUP($H573,매장구분!$B:$Z,2,0),"")</f>
        <v/>
      </c>
      <c r="C573" s="46" t="str">
        <f>IFERROR(VLOOKUP($H573,매장구분!$B:$Z,3,0),"")</f>
        <v/>
      </c>
      <c r="D573" s="46" t="str">
        <f>IFERROR(VLOOKUP($H573,매장구분!$B:$Z,5,0),"")</f>
        <v/>
      </c>
      <c r="E573" s="46" t="str">
        <f>IFERROR(VLOOKUP($H573,매장구분!$B:$Z,9,0),"")</f>
        <v/>
      </c>
      <c r="AF573" s="47">
        <f t="shared" si="8"/>
        <v>0</v>
      </c>
    </row>
    <row r="574" spans="2:32" x14ac:dyDescent="0.3">
      <c r="B574" s="46" t="str">
        <f>IFERROR(VLOOKUP($H574,매장구분!$B:$Z,2,0),"")</f>
        <v/>
      </c>
      <c r="C574" s="46" t="str">
        <f>IFERROR(VLOOKUP($H574,매장구분!$B:$Z,3,0),"")</f>
        <v/>
      </c>
      <c r="D574" s="46" t="str">
        <f>IFERROR(VLOOKUP($H574,매장구분!$B:$Z,5,0),"")</f>
        <v/>
      </c>
      <c r="E574" s="46" t="str">
        <f>IFERROR(VLOOKUP($H574,매장구분!$B:$Z,9,0),"")</f>
        <v/>
      </c>
      <c r="AF574" s="47">
        <f t="shared" si="8"/>
        <v>0</v>
      </c>
    </row>
    <row r="575" spans="2:32" x14ac:dyDescent="0.3">
      <c r="B575" s="46" t="str">
        <f>IFERROR(VLOOKUP($H575,매장구분!$B:$Z,2,0),"")</f>
        <v/>
      </c>
      <c r="C575" s="46" t="str">
        <f>IFERROR(VLOOKUP($H575,매장구분!$B:$Z,3,0),"")</f>
        <v/>
      </c>
      <c r="D575" s="46" t="str">
        <f>IFERROR(VLOOKUP($H575,매장구분!$B:$Z,5,0),"")</f>
        <v/>
      </c>
      <c r="E575" s="46" t="str">
        <f>IFERROR(VLOOKUP($H575,매장구분!$B:$Z,9,0),"")</f>
        <v/>
      </c>
      <c r="AF575" s="47">
        <f t="shared" si="8"/>
        <v>0</v>
      </c>
    </row>
    <row r="576" spans="2:32" x14ac:dyDescent="0.3">
      <c r="B576" s="46" t="str">
        <f>IFERROR(VLOOKUP($H576,매장구분!$B:$Z,2,0),"")</f>
        <v/>
      </c>
      <c r="C576" s="46" t="str">
        <f>IFERROR(VLOOKUP($H576,매장구분!$B:$Z,3,0),"")</f>
        <v/>
      </c>
      <c r="D576" s="46" t="str">
        <f>IFERROR(VLOOKUP($H576,매장구분!$B:$Z,5,0),"")</f>
        <v/>
      </c>
      <c r="E576" s="46" t="str">
        <f>IFERROR(VLOOKUP($H576,매장구분!$B:$Z,9,0),"")</f>
        <v/>
      </c>
      <c r="AF576" s="47">
        <f t="shared" si="8"/>
        <v>0</v>
      </c>
    </row>
    <row r="577" spans="2:32" x14ac:dyDescent="0.3">
      <c r="B577" s="46" t="str">
        <f>IFERROR(VLOOKUP($H577,매장구분!$B:$Z,2,0),"")</f>
        <v/>
      </c>
      <c r="C577" s="46" t="str">
        <f>IFERROR(VLOOKUP($H577,매장구분!$B:$Z,3,0),"")</f>
        <v/>
      </c>
      <c r="D577" s="46" t="str">
        <f>IFERROR(VLOOKUP($H577,매장구분!$B:$Z,5,0),"")</f>
        <v/>
      </c>
      <c r="E577" s="46" t="str">
        <f>IFERROR(VLOOKUP($H577,매장구분!$B:$Z,9,0),"")</f>
        <v/>
      </c>
      <c r="AF577" s="47">
        <f t="shared" si="8"/>
        <v>0</v>
      </c>
    </row>
    <row r="578" spans="2:32" x14ac:dyDescent="0.3">
      <c r="B578" s="46" t="str">
        <f>IFERROR(VLOOKUP($H578,매장구분!$B:$Z,2,0),"")</f>
        <v/>
      </c>
      <c r="C578" s="46" t="str">
        <f>IFERROR(VLOOKUP($H578,매장구분!$B:$Z,3,0),"")</f>
        <v/>
      </c>
      <c r="D578" s="46" t="str">
        <f>IFERROR(VLOOKUP($H578,매장구분!$B:$Z,5,0),"")</f>
        <v/>
      </c>
      <c r="E578" s="46" t="str">
        <f>IFERROR(VLOOKUP($H578,매장구분!$B:$Z,9,0),"")</f>
        <v/>
      </c>
      <c r="AF578" s="47">
        <f t="shared" si="8"/>
        <v>0</v>
      </c>
    </row>
    <row r="579" spans="2:32" x14ac:dyDescent="0.3">
      <c r="B579" s="46" t="str">
        <f>IFERROR(VLOOKUP($H579,매장구분!$B:$Z,2,0),"")</f>
        <v/>
      </c>
      <c r="C579" s="46" t="str">
        <f>IFERROR(VLOOKUP($H579,매장구분!$B:$Z,3,0),"")</f>
        <v/>
      </c>
      <c r="D579" s="46" t="str">
        <f>IFERROR(VLOOKUP($H579,매장구분!$B:$Z,5,0),"")</f>
        <v/>
      </c>
      <c r="E579" s="46" t="str">
        <f>IFERROR(VLOOKUP($H579,매장구분!$B:$Z,9,0),"")</f>
        <v/>
      </c>
      <c r="AF579" s="47">
        <f t="shared" ref="AF579:AF642" si="9">IFERROR(AC579-Y579,"")</f>
        <v>0</v>
      </c>
    </row>
    <row r="580" spans="2:32" x14ac:dyDescent="0.3">
      <c r="B580" s="46" t="str">
        <f>IFERROR(VLOOKUP($H580,매장구분!$B:$Z,2,0),"")</f>
        <v/>
      </c>
      <c r="C580" s="46" t="str">
        <f>IFERROR(VLOOKUP($H580,매장구분!$B:$Z,3,0),"")</f>
        <v/>
      </c>
      <c r="D580" s="46" t="str">
        <f>IFERROR(VLOOKUP($H580,매장구분!$B:$Z,5,0),"")</f>
        <v/>
      </c>
      <c r="E580" s="46" t="str">
        <f>IFERROR(VLOOKUP($H580,매장구분!$B:$Z,9,0),"")</f>
        <v/>
      </c>
      <c r="AF580" s="47">
        <f t="shared" si="9"/>
        <v>0</v>
      </c>
    </row>
    <row r="581" spans="2:32" x14ac:dyDescent="0.3">
      <c r="B581" s="46" t="str">
        <f>IFERROR(VLOOKUP($H581,매장구분!$B:$Z,2,0),"")</f>
        <v/>
      </c>
      <c r="C581" s="46" t="str">
        <f>IFERROR(VLOOKUP($H581,매장구분!$B:$Z,3,0),"")</f>
        <v/>
      </c>
      <c r="D581" s="46" t="str">
        <f>IFERROR(VLOOKUP($H581,매장구분!$B:$Z,5,0),"")</f>
        <v/>
      </c>
      <c r="E581" s="46" t="str">
        <f>IFERROR(VLOOKUP($H581,매장구분!$B:$Z,9,0),"")</f>
        <v/>
      </c>
      <c r="AF581" s="47">
        <f t="shared" si="9"/>
        <v>0</v>
      </c>
    </row>
    <row r="582" spans="2:32" x14ac:dyDescent="0.3">
      <c r="B582" s="46" t="str">
        <f>IFERROR(VLOOKUP($H582,매장구분!$B:$Z,2,0),"")</f>
        <v/>
      </c>
      <c r="C582" s="46" t="str">
        <f>IFERROR(VLOOKUP($H582,매장구분!$B:$Z,3,0),"")</f>
        <v/>
      </c>
      <c r="D582" s="46" t="str">
        <f>IFERROR(VLOOKUP($H582,매장구분!$B:$Z,5,0),"")</f>
        <v/>
      </c>
      <c r="E582" s="46" t="str">
        <f>IFERROR(VLOOKUP($H582,매장구분!$B:$Z,9,0),"")</f>
        <v/>
      </c>
      <c r="AF582" s="47">
        <f t="shared" si="9"/>
        <v>0</v>
      </c>
    </row>
    <row r="583" spans="2:32" x14ac:dyDescent="0.3">
      <c r="B583" s="46" t="str">
        <f>IFERROR(VLOOKUP($H583,매장구분!$B:$Z,2,0),"")</f>
        <v/>
      </c>
      <c r="C583" s="46" t="str">
        <f>IFERROR(VLOOKUP($H583,매장구분!$B:$Z,3,0),"")</f>
        <v/>
      </c>
      <c r="D583" s="46" t="str">
        <f>IFERROR(VLOOKUP($H583,매장구분!$B:$Z,5,0),"")</f>
        <v/>
      </c>
      <c r="E583" s="46" t="str">
        <f>IFERROR(VLOOKUP($H583,매장구분!$B:$Z,9,0),"")</f>
        <v/>
      </c>
      <c r="AF583" s="47">
        <f t="shared" si="9"/>
        <v>0</v>
      </c>
    </row>
    <row r="584" spans="2:32" x14ac:dyDescent="0.3">
      <c r="B584" s="46" t="str">
        <f>IFERROR(VLOOKUP($H584,매장구분!$B:$Z,2,0),"")</f>
        <v/>
      </c>
      <c r="C584" s="46" t="str">
        <f>IFERROR(VLOOKUP($H584,매장구분!$B:$Z,3,0),"")</f>
        <v/>
      </c>
      <c r="D584" s="46" t="str">
        <f>IFERROR(VLOOKUP($H584,매장구분!$B:$Z,5,0),"")</f>
        <v/>
      </c>
      <c r="E584" s="46" t="str">
        <f>IFERROR(VLOOKUP($H584,매장구분!$B:$Z,9,0),"")</f>
        <v/>
      </c>
      <c r="AF584" s="47">
        <f t="shared" si="9"/>
        <v>0</v>
      </c>
    </row>
    <row r="585" spans="2:32" x14ac:dyDescent="0.3">
      <c r="B585" s="46" t="str">
        <f>IFERROR(VLOOKUP($H585,매장구분!$B:$Z,2,0),"")</f>
        <v/>
      </c>
      <c r="C585" s="46" t="str">
        <f>IFERROR(VLOOKUP($H585,매장구분!$B:$Z,3,0),"")</f>
        <v/>
      </c>
      <c r="D585" s="46" t="str">
        <f>IFERROR(VLOOKUP($H585,매장구분!$B:$Z,5,0),"")</f>
        <v/>
      </c>
      <c r="E585" s="46" t="str">
        <f>IFERROR(VLOOKUP($H585,매장구분!$B:$Z,9,0),"")</f>
        <v/>
      </c>
      <c r="AF585" s="47">
        <f t="shared" si="9"/>
        <v>0</v>
      </c>
    </row>
    <row r="586" spans="2:32" x14ac:dyDescent="0.3">
      <c r="B586" s="46" t="str">
        <f>IFERROR(VLOOKUP($H586,매장구분!$B:$Z,2,0),"")</f>
        <v/>
      </c>
      <c r="C586" s="46" t="str">
        <f>IFERROR(VLOOKUP($H586,매장구분!$B:$Z,3,0),"")</f>
        <v/>
      </c>
      <c r="D586" s="46" t="str">
        <f>IFERROR(VLOOKUP($H586,매장구분!$B:$Z,5,0),"")</f>
        <v/>
      </c>
      <c r="E586" s="46" t="str">
        <f>IFERROR(VLOOKUP($H586,매장구분!$B:$Z,9,0),"")</f>
        <v/>
      </c>
      <c r="AF586" s="47">
        <f t="shared" si="9"/>
        <v>0</v>
      </c>
    </row>
    <row r="587" spans="2:32" x14ac:dyDescent="0.3">
      <c r="B587" s="46" t="str">
        <f>IFERROR(VLOOKUP($H587,매장구분!$B:$Z,2,0),"")</f>
        <v/>
      </c>
      <c r="C587" s="46" t="str">
        <f>IFERROR(VLOOKUP($H587,매장구분!$B:$Z,3,0),"")</f>
        <v/>
      </c>
      <c r="D587" s="46" t="str">
        <f>IFERROR(VLOOKUP($H587,매장구분!$B:$Z,5,0),"")</f>
        <v/>
      </c>
      <c r="E587" s="46" t="str">
        <f>IFERROR(VLOOKUP($H587,매장구분!$B:$Z,9,0),"")</f>
        <v/>
      </c>
      <c r="AF587" s="47">
        <f t="shared" si="9"/>
        <v>0</v>
      </c>
    </row>
    <row r="588" spans="2:32" x14ac:dyDescent="0.3">
      <c r="B588" s="46" t="str">
        <f>IFERROR(VLOOKUP($H588,매장구분!$B:$Z,2,0),"")</f>
        <v/>
      </c>
      <c r="C588" s="46" t="str">
        <f>IFERROR(VLOOKUP($H588,매장구분!$B:$Z,3,0),"")</f>
        <v/>
      </c>
      <c r="D588" s="46" t="str">
        <f>IFERROR(VLOOKUP($H588,매장구분!$B:$Z,5,0),"")</f>
        <v/>
      </c>
      <c r="E588" s="46" t="str">
        <f>IFERROR(VLOOKUP($H588,매장구분!$B:$Z,9,0),"")</f>
        <v/>
      </c>
      <c r="AF588" s="47">
        <f t="shared" si="9"/>
        <v>0</v>
      </c>
    </row>
    <row r="589" spans="2:32" x14ac:dyDescent="0.3">
      <c r="B589" s="46" t="str">
        <f>IFERROR(VLOOKUP($H589,매장구분!$B:$Z,2,0),"")</f>
        <v/>
      </c>
      <c r="C589" s="46" t="str">
        <f>IFERROR(VLOOKUP($H589,매장구분!$B:$Z,3,0),"")</f>
        <v/>
      </c>
      <c r="D589" s="46" t="str">
        <f>IFERROR(VLOOKUP($H589,매장구분!$B:$Z,5,0),"")</f>
        <v/>
      </c>
      <c r="E589" s="46" t="str">
        <f>IFERROR(VLOOKUP($H589,매장구분!$B:$Z,9,0),"")</f>
        <v/>
      </c>
      <c r="AF589" s="47">
        <f t="shared" si="9"/>
        <v>0</v>
      </c>
    </row>
    <row r="590" spans="2:32" x14ac:dyDescent="0.3">
      <c r="B590" s="46" t="str">
        <f>IFERROR(VLOOKUP($H590,매장구분!$B:$Z,2,0),"")</f>
        <v/>
      </c>
      <c r="C590" s="46" t="str">
        <f>IFERROR(VLOOKUP($H590,매장구분!$B:$Z,3,0),"")</f>
        <v/>
      </c>
      <c r="D590" s="46" t="str">
        <f>IFERROR(VLOOKUP($H590,매장구분!$B:$Z,5,0),"")</f>
        <v/>
      </c>
      <c r="E590" s="46" t="str">
        <f>IFERROR(VLOOKUP($H590,매장구분!$B:$Z,9,0),"")</f>
        <v/>
      </c>
      <c r="AF590" s="47">
        <f t="shared" si="9"/>
        <v>0</v>
      </c>
    </row>
    <row r="591" spans="2:32" x14ac:dyDescent="0.3">
      <c r="B591" s="46" t="str">
        <f>IFERROR(VLOOKUP($H591,매장구분!$B:$Z,2,0),"")</f>
        <v/>
      </c>
      <c r="C591" s="46" t="str">
        <f>IFERROR(VLOOKUP($H591,매장구분!$B:$Z,3,0),"")</f>
        <v/>
      </c>
      <c r="D591" s="46" t="str">
        <f>IFERROR(VLOOKUP($H591,매장구분!$B:$Z,5,0),"")</f>
        <v/>
      </c>
      <c r="E591" s="46" t="str">
        <f>IFERROR(VLOOKUP($H591,매장구분!$B:$Z,9,0),"")</f>
        <v/>
      </c>
      <c r="AF591" s="47">
        <f t="shared" si="9"/>
        <v>0</v>
      </c>
    </row>
    <row r="592" spans="2:32" x14ac:dyDescent="0.3">
      <c r="B592" s="46" t="str">
        <f>IFERROR(VLOOKUP($H592,매장구분!$B:$Z,2,0),"")</f>
        <v/>
      </c>
      <c r="C592" s="46" t="str">
        <f>IFERROR(VLOOKUP($H592,매장구분!$B:$Z,3,0),"")</f>
        <v/>
      </c>
      <c r="D592" s="46" t="str">
        <f>IFERROR(VLOOKUP($H592,매장구분!$B:$Z,5,0),"")</f>
        <v/>
      </c>
      <c r="E592" s="46" t="str">
        <f>IFERROR(VLOOKUP($H592,매장구분!$B:$Z,9,0),"")</f>
        <v/>
      </c>
      <c r="AF592" s="47">
        <f t="shared" si="9"/>
        <v>0</v>
      </c>
    </row>
    <row r="593" spans="2:32" x14ac:dyDescent="0.3">
      <c r="B593" s="46" t="str">
        <f>IFERROR(VLOOKUP($H593,매장구분!$B:$Z,2,0),"")</f>
        <v/>
      </c>
      <c r="C593" s="46" t="str">
        <f>IFERROR(VLOOKUP($H593,매장구분!$B:$Z,3,0),"")</f>
        <v/>
      </c>
      <c r="D593" s="46" t="str">
        <f>IFERROR(VLOOKUP($H593,매장구분!$B:$Z,5,0),"")</f>
        <v/>
      </c>
      <c r="E593" s="46" t="str">
        <f>IFERROR(VLOOKUP($H593,매장구분!$B:$Z,9,0),"")</f>
        <v/>
      </c>
      <c r="AF593" s="47">
        <f t="shared" si="9"/>
        <v>0</v>
      </c>
    </row>
    <row r="594" spans="2:32" x14ac:dyDescent="0.3">
      <c r="B594" s="46" t="str">
        <f>IFERROR(VLOOKUP($H594,매장구분!$B:$Z,2,0),"")</f>
        <v/>
      </c>
      <c r="C594" s="46" t="str">
        <f>IFERROR(VLOOKUP($H594,매장구분!$B:$Z,3,0),"")</f>
        <v/>
      </c>
      <c r="D594" s="46" t="str">
        <f>IFERROR(VLOOKUP($H594,매장구분!$B:$Z,5,0),"")</f>
        <v/>
      </c>
      <c r="E594" s="46" t="str">
        <f>IFERROR(VLOOKUP($H594,매장구분!$B:$Z,9,0),"")</f>
        <v/>
      </c>
      <c r="AF594" s="47">
        <f t="shared" si="9"/>
        <v>0</v>
      </c>
    </row>
    <row r="595" spans="2:32" x14ac:dyDescent="0.3">
      <c r="B595" s="46" t="str">
        <f>IFERROR(VLOOKUP($H595,매장구분!$B:$Z,2,0),"")</f>
        <v/>
      </c>
      <c r="C595" s="46" t="str">
        <f>IFERROR(VLOOKUP($H595,매장구분!$B:$Z,3,0),"")</f>
        <v/>
      </c>
      <c r="D595" s="46" t="str">
        <f>IFERROR(VLOOKUP($H595,매장구분!$B:$Z,5,0),"")</f>
        <v/>
      </c>
      <c r="E595" s="46" t="str">
        <f>IFERROR(VLOOKUP($H595,매장구분!$B:$Z,9,0),"")</f>
        <v/>
      </c>
      <c r="AF595" s="47">
        <f t="shared" si="9"/>
        <v>0</v>
      </c>
    </row>
    <row r="596" spans="2:32" x14ac:dyDescent="0.3">
      <c r="B596" s="46" t="str">
        <f>IFERROR(VLOOKUP($H596,매장구분!$B:$Z,2,0),"")</f>
        <v/>
      </c>
      <c r="C596" s="46" t="str">
        <f>IFERROR(VLOOKUP($H596,매장구분!$B:$Z,3,0),"")</f>
        <v/>
      </c>
      <c r="D596" s="46" t="str">
        <f>IFERROR(VLOOKUP($H596,매장구분!$B:$Z,5,0),"")</f>
        <v/>
      </c>
      <c r="E596" s="46" t="str">
        <f>IFERROR(VLOOKUP($H596,매장구분!$B:$Z,9,0),"")</f>
        <v/>
      </c>
      <c r="AF596" s="47">
        <f t="shared" si="9"/>
        <v>0</v>
      </c>
    </row>
    <row r="597" spans="2:32" x14ac:dyDescent="0.3">
      <c r="B597" s="46" t="str">
        <f>IFERROR(VLOOKUP($H597,매장구분!$B:$Z,2,0),"")</f>
        <v/>
      </c>
      <c r="C597" s="46" t="str">
        <f>IFERROR(VLOOKUP($H597,매장구분!$B:$Z,3,0),"")</f>
        <v/>
      </c>
      <c r="D597" s="46" t="str">
        <f>IFERROR(VLOOKUP($H597,매장구분!$B:$Z,5,0),"")</f>
        <v/>
      </c>
      <c r="E597" s="46" t="str">
        <f>IFERROR(VLOOKUP($H597,매장구분!$B:$Z,9,0),"")</f>
        <v/>
      </c>
      <c r="AF597" s="47">
        <f t="shared" si="9"/>
        <v>0</v>
      </c>
    </row>
    <row r="598" spans="2:32" x14ac:dyDescent="0.3">
      <c r="B598" s="46" t="str">
        <f>IFERROR(VLOOKUP($H598,매장구분!$B:$Z,2,0),"")</f>
        <v/>
      </c>
      <c r="C598" s="46" t="str">
        <f>IFERROR(VLOOKUP($H598,매장구분!$B:$Z,3,0),"")</f>
        <v/>
      </c>
      <c r="D598" s="46" t="str">
        <f>IFERROR(VLOOKUP($H598,매장구분!$B:$Z,5,0),"")</f>
        <v/>
      </c>
      <c r="E598" s="46" t="str">
        <f>IFERROR(VLOOKUP($H598,매장구분!$B:$Z,9,0),"")</f>
        <v/>
      </c>
      <c r="AF598" s="47">
        <f t="shared" si="9"/>
        <v>0</v>
      </c>
    </row>
    <row r="599" spans="2:32" x14ac:dyDescent="0.3">
      <c r="B599" s="46" t="str">
        <f>IFERROR(VLOOKUP($H599,매장구분!$B:$Z,2,0),"")</f>
        <v/>
      </c>
      <c r="C599" s="46" t="str">
        <f>IFERROR(VLOOKUP($H599,매장구분!$B:$Z,3,0),"")</f>
        <v/>
      </c>
      <c r="D599" s="46" t="str">
        <f>IFERROR(VLOOKUP($H599,매장구분!$B:$Z,5,0),"")</f>
        <v/>
      </c>
      <c r="E599" s="46" t="str">
        <f>IFERROR(VLOOKUP($H599,매장구분!$B:$Z,9,0),"")</f>
        <v/>
      </c>
      <c r="AF599" s="47">
        <f t="shared" si="9"/>
        <v>0</v>
      </c>
    </row>
    <row r="600" spans="2:32" x14ac:dyDescent="0.3">
      <c r="B600" s="46" t="str">
        <f>IFERROR(VLOOKUP($H600,매장구분!$B:$Z,2,0),"")</f>
        <v/>
      </c>
      <c r="C600" s="46" t="str">
        <f>IFERROR(VLOOKUP($H600,매장구분!$B:$Z,3,0),"")</f>
        <v/>
      </c>
      <c r="D600" s="46" t="str">
        <f>IFERROR(VLOOKUP($H600,매장구분!$B:$Z,5,0),"")</f>
        <v/>
      </c>
      <c r="E600" s="46" t="str">
        <f>IFERROR(VLOOKUP($H600,매장구분!$B:$Z,9,0),"")</f>
        <v/>
      </c>
      <c r="AF600" s="47">
        <f t="shared" si="9"/>
        <v>0</v>
      </c>
    </row>
    <row r="601" spans="2:32" x14ac:dyDescent="0.3">
      <c r="B601" s="46" t="str">
        <f>IFERROR(VLOOKUP($H601,매장구분!$B:$Z,2,0),"")</f>
        <v/>
      </c>
      <c r="C601" s="46" t="str">
        <f>IFERROR(VLOOKUP($H601,매장구분!$B:$Z,3,0),"")</f>
        <v/>
      </c>
      <c r="D601" s="46" t="str">
        <f>IFERROR(VLOOKUP($H601,매장구분!$B:$Z,5,0),"")</f>
        <v/>
      </c>
      <c r="E601" s="46" t="str">
        <f>IFERROR(VLOOKUP($H601,매장구분!$B:$Z,9,0),"")</f>
        <v/>
      </c>
      <c r="AF601" s="47">
        <f t="shared" si="9"/>
        <v>0</v>
      </c>
    </row>
    <row r="602" spans="2:32" x14ac:dyDescent="0.3">
      <c r="B602" s="46" t="str">
        <f>IFERROR(VLOOKUP($H602,매장구분!$B:$Z,2,0),"")</f>
        <v/>
      </c>
      <c r="C602" s="46" t="str">
        <f>IFERROR(VLOOKUP($H602,매장구분!$B:$Z,3,0),"")</f>
        <v/>
      </c>
      <c r="D602" s="46" t="str">
        <f>IFERROR(VLOOKUP($H602,매장구분!$B:$Z,5,0),"")</f>
        <v/>
      </c>
      <c r="E602" s="46" t="str">
        <f>IFERROR(VLOOKUP($H602,매장구분!$B:$Z,9,0),"")</f>
        <v/>
      </c>
      <c r="AF602" s="47">
        <f t="shared" si="9"/>
        <v>0</v>
      </c>
    </row>
    <row r="603" spans="2:32" x14ac:dyDescent="0.3">
      <c r="B603" s="46" t="str">
        <f>IFERROR(VLOOKUP($H603,매장구분!$B:$Z,2,0),"")</f>
        <v/>
      </c>
      <c r="C603" s="46" t="str">
        <f>IFERROR(VLOOKUP($H603,매장구분!$B:$Z,3,0),"")</f>
        <v/>
      </c>
      <c r="D603" s="46" t="str">
        <f>IFERROR(VLOOKUP($H603,매장구분!$B:$Z,5,0),"")</f>
        <v/>
      </c>
      <c r="E603" s="46" t="str">
        <f>IFERROR(VLOOKUP($H603,매장구분!$B:$Z,9,0),"")</f>
        <v/>
      </c>
      <c r="AF603" s="47">
        <f t="shared" si="9"/>
        <v>0</v>
      </c>
    </row>
    <row r="604" spans="2:32" x14ac:dyDescent="0.3">
      <c r="B604" s="46" t="str">
        <f>IFERROR(VLOOKUP($H604,매장구분!$B:$Z,2,0),"")</f>
        <v/>
      </c>
      <c r="C604" s="46" t="str">
        <f>IFERROR(VLOOKUP($H604,매장구분!$B:$Z,3,0),"")</f>
        <v/>
      </c>
      <c r="D604" s="46" t="str">
        <f>IFERROR(VLOOKUP($H604,매장구분!$B:$Z,5,0),"")</f>
        <v/>
      </c>
      <c r="E604" s="46" t="str">
        <f>IFERROR(VLOOKUP($H604,매장구분!$B:$Z,9,0),"")</f>
        <v/>
      </c>
      <c r="AF604" s="47">
        <f t="shared" si="9"/>
        <v>0</v>
      </c>
    </row>
    <row r="605" spans="2:32" x14ac:dyDescent="0.3">
      <c r="B605" s="46" t="str">
        <f>IFERROR(VLOOKUP($H605,매장구분!$B:$Z,2,0),"")</f>
        <v/>
      </c>
      <c r="C605" s="46" t="str">
        <f>IFERROR(VLOOKUP($H605,매장구분!$B:$Z,3,0),"")</f>
        <v/>
      </c>
      <c r="D605" s="46" t="str">
        <f>IFERROR(VLOOKUP($H605,매장구분!$B:$Z,5,0),"")</f>
        <v/>
      </c>
      <c r="E605" s="46" t="str">
        <f>IFERROR(VLOOKUP($H605,매장구분!$B:$Z,9,0),"")</f>
        <v/>
      </c>
      <c r="AF605" s="47">
        <f t="shared" si="9"/>
        <v>0</v>
      </c>
    </row>
    <row r="606" spans="2:32" x14ac:dyDescent="0.3">
      <c r="B606" s="46" t="str">
        <f>IFERROR(VLOOKUP($H606,매장구분!$B:$Z,2,0),"")</f>
        <v/>
      </c>
      <c r="C606" s="46" t="str">
        <f>IFERROR(VLOOKUP($H606,매장구분!$B:$Z,3,0),"")</f>
        <v/>
      </c>
      <c r="D606" s="46" t="str">
        <f>IFERROR(VLOOKUP($H606,매장구분!$B:$Z,5,0),"")</f>
        <v/>
      </c>
      <c r="E606" s="46" t="str">
        <f>IFERROR(VLOOKUP($H606,매장구분!$B:$Z,9,0),"")</f>
        <v/>
      </c>
      <c r="AF606" s="47">
        <f t="shared" si="9"/>
        <v>0</v>
      </c>
    </row>
    <row r="607" spans="2:32" x14ac:dyDescent="0.3">
      <c r="B607" s="46" t="str">
        <f>IFERROR(VLOOKUP($H607,매장구분!$B:$Z,2,0),"")</f>
        <v/>
      </c>
      <c r="C607" s="46" t="str">
        <f>IFERROR(VLOOKUP($H607,매장구분!$B:$Z,3,0),"")</f>
        <v/>
      </c>
      <c r="D607" s="46" t="str">
        <f>IFERROR(VLOOKUP($H607,매장구분!$B:$Z,5,0),"")</f>
        <v/>
      </c>
      <c r="E607" s="46" t="str">
        <f>IFERROR(VLOOKUP($H607,매장구분!$B:$Z,9,0),"")</f>
        <v/>
      </c>
      <c r="AF607" s="47">
        <f t="shared" si="9"/>
        <v>0</v>
      </c>
    </row>
    <row r="608" spans="2:32" x14ac:dyDescent="0.3">
      <c r="B608" s="46" t="str">
        <f>IFERROR(VLOOKUP($H608,매장구분!$B:$Z,2,0),"")</f>
        <v/>
      </c>
      <c r="C608" s="46" t="str">
        <f>IFERROR(VLOOKUP($H608,매장구분!$B:$Z,3,0),"")</f>
        <v/>
      </c>
      <c r="D608" s="46" t="str">
        <f>IFERROR(VLOOKUP($H608,매장구분!$B:$Z,5,0),"")</f>
        <v/>
      </c>
      <c r="E608" s="46" t="str">
        <f>IFERROR(VLOOKUP($H608,매장구분!$B:$Z,9,0),"")</f>
        <v/>
      </c>
      <c r="AF608" s="47">
        <f t="shared" si="9"/>
        <v>0</v>
      </c>
    </row>
    <row r="609" spans="2:32" x14ac:dyDescent="0.3">
      <c r="B609" s="46" t="str">
        <f>IFERROR(VLOOKUP($H609,매장구분!$B:$Z,2,0),"")</f>
        <v/>
      </c>
      <c r="C609" s="46" t="str">
        <f>IFERROR(VLOOKUP($H609,매장구분!$B:$Z,3,0),"")</f>
        <v/>
      </c>
      <c r="D609" s="46" t="str">
        <f>IFERROR(VLOOKUP($H609,매장구분!$B:$Z,5,0),"")</f>
        <v/>
      </c>
      <c r="E609" s="46" t="str">
        <f>IFERROR(VLOOKUP($H609,매장구분!$B:$Z,9,0),"")</f>
        <v/>
      </c>
      <c r="AF609" s="47">
        <f t="shared" si="9"/>
        <v>0</v>
      </c>
    </row>
    <row r="610" spans="2:32" x14ac:dyDescent="0.3">
      <c r="B610" s="46" t="str">
        <f>IFERROR(VLOOKUP($H610,매장구분!$B:$Z,2,0),"")</f>
        <v/>
      </c>
      <c r="C610" s="46" t="str">
        <f>IFERROR(VLOOKUP($H610,매장구분!$B:$Z,3,0),"")</f>
        <v/>
      </c>
      <c r="D610" s="46" t="str">
        <f>IFERROR(VLOOKUP($H610,매장구분!$B:$Z,5,0),"")</f>
        <v/>
      </c>
      <c r="E610" s="46" t="str">
        <f>IFERROR(VLOOKUP($H610,매장구분!$B:$Z,9,0),"")</f>
        <v/>
      </c>
      <c r="AF610" s="47">
        <f t="shared" si="9"/>
        <v>0</v>
      </c>
    </row>
    <row r="611" spans="2:32" x14ac:dyDescent="0.3">
      <c r="B611" s="46" t="str">
        <f>IFERROR(VLOOKUP($H611,매장구분!$B:$Z,2,0),"")</f>
        <v/>
      </c>
      <c r="C611" s="46" t="str">
        <f>IFERROR(VLOOKUP($H611,매장구분!$B:$Z,3,0),"")</f>
        <v/>
      </c>
      <c r="D611" s="46" t="str">
        <f>IFERROR(VLOOKUP($H611,매장구분!$B:$Z,5,0),"")</f>
        <v/>
      </c>
      <c r="E611" s="46" t="str">
        <f>IFERROR(VLOOKUP($H611,매장구분!$B:$Z,9,0),"")</f>
        <v/>
      </c>
      <c r="AF611" s="47">
        <f t="shared" si="9"/>
        <v>0</v>
      </c>
    </row>
    <row r="612" spans="2:32" x14ac:dyDescent="0.3">
      <c r="B612" s="46" t="str">
        <f>IFERROR(VLOOKUP($H612,매장구분!$B:$Z,2,0),"")</f>
        <v/>
      </c>
      <c r="C612" s="46" t="str">
        <f>IFERROR(VLOOKUP($H612,매장구분!$B:$Z,3,0),"")</f>
        <v/>
      </c>
      <c r="D612" s="46" t="str">
        <f>IFERROR(VLOOKUP($H612,매장구분!$B:$Z,5,0),"")</f>
        <v/>
      </c>
      <c r="E612" s="46" t="str">
        <f>IFERROR(VLOOKUP($H612,매장구분!$B:$Z,9,0),"")</f>
        <v/>
      </c>
      <c r="AF612" s="47">
        <f t="shared" si="9"/>
        <v>0</v>
      </c>
    </row>
    <row r="613" spans="2:32" x14ac:dyDescent="0.3">
      <c r="B613" s="46" t="str">
        <f>IFERROR(VLOOKUP($H613,매장구분!$B:$Z,2,0),"")</f>
        <v/>
      </c>
      <c r="C613" s="46" t="str">
        <f>IFERROR(VLOOKUP($H613,매장구분!$B:$Z,3,0),"")</f>
        <v/>
      </c>
      <c r="D613" s="46" t="str">
        <f>IFERROR(VLOOKUP($H613,매장구분!$B:$Z,5,0),"")</f>
        <v/>
      </c>
      <c r="E613" s="46" t="str">
        <f>IFERROR(VLOOKUP($H613,매장구분!$B:$Z,9,0),"")</f>
        <v/>
      </c>
      <c r="AF613" s="47">
        <f t="shared" si="9"/>
        <v>0</v>
      </c>
    </row>
    <row r="614" spans="2:32" x14ac:dyDescent="0.3">
      <c r="B614" s="46" t="str">
        <f>IFERROR(VLOOKUP($H614,매장구분!$B:$Z,2,0),"")</f>
        <v/>
      </c>
      <c r="C614" s="46" t="str">
        <f>IFERROR(VLOOKUP($H614,매장구분!$B:$Z,3,0),"")</f>
        <v/>
      </c>
      <c r="D614" s="46" t="str">
        <f>IFERROR(VLOOKUP($H614,매장구분!$B:$Z,5,0),"")</f>
        <v/>
      </c>
      <c r="E614" s="46" t="str">
        <f>IFERROR(VLOOKUP($H614,매장구분!$B:$Z,9,0),"")</f>
        <v/>
      </c>
      <c r="AF614" s="47">
        <f t="shared" si="9"/>
        <v>0</v>
      </c>
    </row>
    <row r="615" spans="2:32" x14ac:dyDescent="0.3">
      <c r="B615" s="46" t="str">
        <f>IFERROR(VLOOKUP($H615,매장구분!$B:$Z,2,0),"")</f>
        <v/>
      </c>
      <c r="C615" s="46" t="str">
        <f>IFERROR(VLOOKUP($H615,매장구분!$B:$Z,3,0),"")</f>
        <v/>
      </c>
      <c r="D615" s="46" t="str">
        <f>IFERROR(VLOOKUP($H615,매장구분!$B:$Z,5,0),"")</f>
        <v/>
      </c>
      <c r="E615" s="46" t="str">
        <f>IFERROR(VLOOKUP($H615,매장구분!$B:$Z,9,0),"")</f>
        <v/>
      </c>
      <c r="AF615" s="47">
        <f t="shared" si="9"/>
        <v>0</v>
      </c>
    </row>
    <row r="616" spans="2:32" x14ac:dyDescent="0.3">
      <c r="B616" s="46" t="str">
        <f>IFERROR(VLOOKUP($H616,매장구분!$B:$Z,2,0),"")</f>
        <v/>
      </c>
      <c r="C616" s="46" t="str">
        <f>IFERROR(VLOOKUP($H616,매장구분!$B:$Z,3,0),"")</f>
        <v/>
      </c>
      <c r="D616" s="46" t="str">
        <f>IFERROR(VLOOKUP($H616,매장구분!$B:$Z,5,0),"")</f>
        <v/>
      </c>
      <c r="E616" s="46" t="str">
        <f>IFERROR(VLOOKUP($H616,매장구분!$B:$Z,9,0),"")</f>
        <v/>
      </c>
      <c r="AF616" s="47">
        <f t="shared" si="9"/>
        <v>0</v>
      </c>
    </row>
    <row r="617" spans="2:32" x14ac:dyDescent="0.3">
      <c r="B617" s="46" t="str">
        <f>IFERROR(VLOOKUP($H617,매장구분!$B:$Z,2,0),"")</f>
        <v/>
      </c>
      <c r="C617" s="46" t="str">
        <f>IFERROR(VLOOKUP($H617,매장구분!$B:$Z,3,0),"")</f>
        <v/>
      </c>
      <c r="D617" s="46" t="str">
        <f>IFERROR(VLOOKUP($H617,매장구분!$B:$Z,5,0),"")</f>
        <v/>
      </c>
      <c r="E617" s="46" t="str">
        <f>IFERROR(VLOOKUP($H617,매장구분!$B:$Z,9,0),"")</f>
        <v/>
      </c>
      <c r="AF617" s="47">
        <f t="shared" si="9"/>
        <v>0</v>
      </c>
    </row>
    <row r="618" spans="2:32" x14ac:dyDescent="0.3">
      <c r="B618" s="46" t="str">
        <f>IFERROR(VLOOKUP($H618,매장구분!$B:$Z,2,0),"")</f>
        <v/>
      </c>
      <c r="C618" s="46" t="str">
        <f>IFERROR(VLOOKUP($H618,매장구분!$B:$Z,3,0),"")</f>
        <v/>
      </c>
      <c r="D618" s="46" t="str">
        <f>IFERROR(VLOOKUP($H618,매장구분!$B:$Z,5,0),"")</f>
        <v/>
      </c>
      <c r="E618" s="46" t="str">
        <f>IFERROR(VLOOKUP($H618,매장구분!$B:$Z,9,0),"")</f>
        <v/>
      </c>
      <c r="AF618" s="47">
        <f t="shared" si="9"/>
        <v>0</v>
      </c>
    </row>
    <row r="619" spans="2:32" x14ac:dyDescent="0.3">
      <c r="B619" s="46" t="str">
        <f>IFERROR(VLOOKUP($H619,매장구분!$B:$Z,2,0),"")</f>
        <v/>
      </c>
      <c r="C619" s="46" t="str">
        <f>IFERROR(VLOOKUP($H619,매장구분!$B:$Z,3,0),"")</f>
        <v/>
      </c>
      <c r="D619" s="46" t="str">
        <f>IFERROR(VLOOKUP($H619,매장구분!$B:$Z,5,0),"")</f>
        <v/>
      </c>
      <c r="E619" s="46" t="str">
        <f>IFERROR(VLOOKUP($H619,매장구분!$B:$Z,9,0),"")</f>
        <v/>
      </c>
      <c r="AF619" s="47">
        <f t="shared" si="9"/>
        <v>0</v>
      </c>
    </row>
    <row r="620" spans="2:32" x14ac:dyDescent="0.3">
      <c r="B620" s="46" t="str">
        <f>IFERROR(VLOOKUP($H620,매장구분!$B:$Z,2,0),"")</f>
        <v/>
      </c>
      <c r="C620" s="46" t="str">
        <f>IFERROR(VLOOKUP($H620,매장구분!$B:$Z,3,0),"")</f>
        <v/>
      </c>
      <c r="D620" s="46" t="str">
        <f>IFERROR(VLOOKUP($H620,매장구분!$B:$Z,5,0),"")</f>
        <v/>
      </c>
      <c r="E620" s="46" t="str">
        <f>IFERROR(VLOOKUP($H620,매장구분!$B:$Z,9,0),"")</f>
        <v/>
      </c>
      <c r="AF620" s="47">
        <f t="shared" si="9"/>
        <v>0</v>
      </c>
    </row>
    <row r="621" spans="2:32" x14ac:dyDescent="0.3">
      <c r="B621" s="46" t="str">
        <f>IFERROR(VLOOKUP($H621,매장구분!$B:$Z,2,0),"")</f>
        <v/>
      </c>
      <c r="C621" s="46" t="str">
        <f>IFERROR(VLOOKUP($H621,매장구분!$B:$Z,3,0),"")</f>
        <v/>
      </c>
      <c r="D621" s="46" t="str">
        <f>IFERROR(VLOOKUP($H621,매장구분!$B:$Z,5,0),"")</f>
        <v/>
      </c>
      <c r="E621" s="46" t="str">
        <f>IFERROR(VLOOKUP($H621,매장구분!$B:$Z,9,0),"")</f>
        <v/>
      </c>
      <c r="AF621" s="47">
        <f t="shared" si="9"/>
        <v>0</v>
      </c>
    </row>
    <row r="622" spans="2:32" x14ac:dyDescent="0.3">
      <c r="B622" s="46" t="str">
        <f>IFERROR(VLOOKUP($H622,매장구분!$B:$Z,2,0),"")</f>
        <v/>
      </c>
      <c r="C622" s="46" t="str">
        <f>IFERROR(VLOOKUP($H622,매장구분!$B:$Z,3,0),"")</f>
        <v/>
      </c>
      <c r="D622" s="46" t="str">
        <f>IFERROR(VLOOKUP($H622,매장구분!$B:$Z,5,0),"")</f>
        <v/>
      </c>
      <c r="E622" s="46" t="str">
        <f>IFERROR(VLOOKUP($H622,매장구분!$B:$Z,9,0),"")</f>
        <v/>
      </c>
      <c r="AF622" s="47">
        <f t="shared" si="9"/>
        <v>0</v>
      </c>
    </row>
    <row r="623" spans="2:32" x14ac:dyDescent="0.3">
      <c r="B623" s="46" t="str">
        <f>IFERROR(VLOOKUP($H623,매장구분!$B:$Z,2,0),"")</f>
        <v/>
      </c>
      <c r="C623" s="46" t="str">
        <f>IFERROR(VLOOKUP($H623,매장구분!$B:$Z,3,0),"")</f>
        <v/>
      </c>
      <c r="D623" s="46" t="str">
        <f>IFERROR(VLOOKUP($H623,매장구분!$B:$Z,5,0),"")</f>
        <v/>
      </c>
      <c r="E623" s="46" t="str">
        <f>IFERROR(VLOOKUP($H623,매장구분!$B:$Z,9,0),"")</f>
        <v/>
      </c>
      <c r="AF623" s="47">
        <f t="shared" si="9"/>
        <v>0</v>
      </c>
    </row>
    <row r="624" spans="2:32" x14ac:dyDescent="0.3">
      <c r="B624" s="46" t="str">
        <f>IFERROR(VLOOKUP($H624,매장구분!$B:$Z,2,0),"")</f>
        <v/>
      </c>
      <c r="C624" s="46" t="str">
        <f>IFERROR(VLOOKUP($H624,매장구분!$B:$Z,3,0),"")</f>
        <v/>
      </c>
      <c r="D624" s="46" t="str">
        <f>IFERROR(VLOOKUP($H624,매장구분!$B:$Z,5,0),"")</f>
        <v/>
      </c>
      <c r="E624" s="46" t="str">
        <f>IFERROR(VLOOKUP($H624,매장구분!$B:$Z,9,0),"")</f>
        <v/>
      </c>
      <c r="AF624" s="47">
        <f t="shared" si="9"/>
        <v>0</v>
      </c>
    </row>
    <row r="625" spans="2:32" x14ac:dyDescent="0.3">
      <c r="B625" s="46" t="str">
        <f>IFERROR(VLOOKUP($H625,매장구분!$B:$Z,2,0),"")</f>
        <v/>
      </c>
      <c r="C625" s="46" t="str">
        <f>IFERROR(VLOOKUP($H625,매장구분!$B:$Z,3,0),"")</f>
        <v/>
      </c>
      <c r="D625" s="46" t="str">
        <f>IFERROR(VLOOKUP($H625,매장구분!$B:$Z,5,0),"")</f>
        <v/>
      </c>
      <c r="E625" s="46" t="str">
        <f>IFERROR(VLOOKUP($H625,매장구분!$B:$Z,9,0),"")</f>
        <v/>
      </c>
      <c r="AF625" s="47">
        <f t="shared" si="9"/>
        <v>0</v>
      </c>
    </row>
    <row r="626" spans="2:32" x14ac:dyDescent="0.3">
      <c r="B626" s="46" t="str">
        <f>IFERROR(VLOOKUP($H626,매장구분!$B:$Z,2,0),"")</f>
        <v/>
      </c>
      <c r="C626" s="46" t="str">
        <f>IFERROR(VLOOKUP($H626,매장구분!$B:$Z,3,0),"")</f>
        <v/>
      </c>
      <c r="D626" s="46" t="str">
        <f>IFERROR(VLOOKUP($H626,매장구분!$B:$Z,5,0),"")</f>
        <v/>
      </c>
      <c r="E626" s="46" t="str">
        <f>IFERROR(VLOOKUP($H626,매장구분!$B:$Z,9,0),"")</f>
        <v/>
      </c>
      <c r="AF626" s="47">
        <f t="shared" si="9"/>
        <v>0</v>
      </c>
    </row>
    <row r="627" spans="2:32" x14ac:dyDescent="0.3">
      <c r="B627" s="46" t="str">
        <f>IFERROR(VLOOKUP($H627,매장구분!$B:$Z,2,0),"")</f>
        <v/>
      </c>
      <c r="C627" s="46" t="str">
        <f>IFERROR(VLOOKUP($H627,매장구분!$B:$Z,3,0),"")</f>
        <v/>
      </c>
      <c r="D627" s="46" t="str">
        <f>IFERROR(VLOOKUP($H627,매장구분!$B:$Z,5,0),"")</f>
        <v/>
      </c>
      <c r="E627" s="46" t="str">
        <f>IFERROR(VLOOKUP($H627,매장구분!$B:$Z,9,0),"")</f>
        <v/>
      </c>
      <c r="AF627" s="47">
        <f t="shared" si="9"/>
        <v>0</v>
      </c>
    </row>
    <row r="628" spans="2:32" x14ac:dyDescent="0.3">
      <c r="B628" s="46" t="str">
        <f>IFERROR(VLOOKUP($H628,매장구분!$B:$Z,2,0),"")</f>
        <v/>
      </c>
      <c r="C628" s="46" t="str">
        <f>IFERROR(VLOOKUP($H628,매장구분!$B:$Z,3,0),"")</f>
        <v/>
      </c>
      <c r="D628" s="46" t="str">
        <f>IFERROR(VLOOKUP($H628,매장구분!$B:$Z,5,0),"")</f>
        <v/>
      </c>
      <c r="E628" s="46" t="str">
        <f>IFERROR(VLOOKUP($H628,매장구분!$B:$Z,9,0),"")</f>
        <v/>
      </c>
      <c r="AF628" s="47">
        <f t="shared" si="9"/>
        <v>0</v>
      </c>
    </row>
    <row r="629" spans="2:32" x14ac:dyDescent="0.3">
      <c r="B629" s="46" t="str">
        <f>IFERROR(VLOOKUP($H629,매장구분!$B:$Z,2,0),"")</f>
        <v/>
      </c>
      <c r="C629" s="46" t="str">
        <f>IFERROR(VLOOKUP($H629,매장구분!$B:$Z,3,0),"")</f>
        <v/>
      </c>
      <c r="D629" s="46" t="str">
        <f>IFERROR(VLOOKUP($H629,매장구분!$B:$Z,5,0),"")</f>
        <v/>
      </c>
      <c r="E629" s="46" t="str">
        <f>IFERROR(VLOOKUP($H629,매장구분!$B:$Z,9,0),"")</f>
        <v/>
      </c>
      <c r="AF629" s="47">
        <f t="shared" si="9"/>
        <v>0</v>
      </c>
    </row>
    <row r="630" spans="2:32" x14ac:dyDescent="0.3">
      <c r="B630" s="46" t="str">
        <f>IFERROR(VLOOKUP($H630,매장구분!$B:$Z,2,0),"")</f>
        <v/>
      </c>
      <c r="C630" s="46" t="str">
        <f>IFERROR(VLOOKUP($H630,매장구분!$B:$Z,3,0),"")</f>
        <v/>
      </c>
      <c r="D630" s="46" t="str">
        <f>IFERROR(VLOOKUP($H630,매장구분!$B:$Z,5,0),"")</f>
        <v/>
      </c>
      <c r="E630" s="46" t="str">
        <f>IFERROR(VLOOKUP($H630,매장구분!$B:$Z,9,0),"")</f>
        <v/>
      </c>
      <c r="AF630" s="47">
        <f t="shared" si="9"/>
        <v>0</v>
      </c>
    </row>
    <row r="631" spans="2:32" x14ac:dyDescent="0.3">
      <c r="B631" s="46" t="str">
        <f>IFERROR(VLOOKUP($H631,매장구분!$B:$Z,2,0),"")</f>
        <v/>
      </c>
      <c r="C631" s="46" t="str">
        <f>IFERROR(VLOOKUP($H631,매장구분!$B:$Z,3,0),"")</f>
        <v/>
      </c>
      <c r="D631" s="46" t="str">
        <f>IFERROR(VLOOKUP($H631,매장구분!$B:$Z,5,0),"")</f>
        <v/>
      </c>
      <c r="E631" s="46" t="str">
        <f>IFERROR(VLOOKUP($H631,매장구분!$B:$Z,9,0),"")</f>
        <v/>
      </c>
      <c r="AF631" s="47">
        <f t="shared" si="9"/>
        <v>0</v>
      </c>
    </row>
    <row r="632" spans="2:32" x14ac:dyDescent="0.3">
      <c r="B632" s="46" t="str">
        <f>IFERROR(VLOOKUP($H632,매장구분!$B:$Z,2,0),"")</f>
        <v/>
      </c>
      <c r="C632" s="46" t="str">
        <f>IFERROR(VLOOKUP($H632,매장구분!$B:$Z,3,0),"")</f>
        <v/>
      </c>
      <c r="D632" s="46" t="str">
        <f>IFERROR(VLOOKUP($H632,매장구분!$B:$Z,5,0),"")</f>
        <v/>
      </c>
      <c r="E632" s="46" t="str">
        <f>IFERROR(VLOOKUP($H632,매장구분!$B:$Z,9,0),"")</f>
        <v/>
      </c>
      <c r="AF632" s="47">
        <f t="shared" si="9"/>
        <v>0</v>
      </c>
    </row>
    <row r="633" spans="2:32" x14ac:dyDescent="0.3">
      <c r="B633" s="46" t="str">
        <f>IFERROR(VLOOKUP($H633,매장구분!$B:$Z,2,0),"")</f>
        <v/>
      </c>
      <c r="C633" s="46" t="str">
        <f>IFERROR(VLOOKUP($H633,매장구분!$B:$Z,3,0),"")</f>
        <v/>
      </c>
      <c r="D633" s="46" t="str">
        <f>IFERROR(VLOOKUP($H633,매장구분!$B:$Z,5,0),"")</f>
        <v/>
      </c>
      <c r="E633" s="46" t="str">
        <f>IFERROR(VLOOKUP($H633,매장구분!$B:$Z,9,0),"")</f>
        <v/>
      </c>
      <c r="AF633" s="47">
        <f t="shared" si="9"/>
        <v>0</v>
      </c>
    </row>
    <row r="634" spans="2:32" x14ac:dyDescent="0.3">
      <c r="B634" s="46" t="str">
        <f>IFERROR(VLOOKUP($H634,매장구분!$B:$Z,2,0),"")</f>
        <v/>
      </c>
      <c r="C634" s="46" t="str">
        <f>IFERROR(VLOOKUP($H634,매장구분!$B:$Z,3,0),"")</f>
        <v/>
      </c>
      <c r="D634" s="46" t="str">
        <f>IFERROR(VLOOKUP($H634,매장구분!$B:$Z,5,0),"")</f>
        <v/>
      </c>
      <c r="E634" s="46" t="str">
        <f>IFERROR(VLOOKUP($H634,매장구분!$B:$Z,9,0),"")</f>
        <v/>
      </c>
      <c r="AF634" s="47">
        <f t="shared" si="9"/>
        <v>0</v>
      </c>
    </row>
    <row r="635" spans="2:32" x14ac:dyDescent="0.3">
      <c r="B635" s="46" t="str">
        <f>IFERROR(VLOOKUP($H635,매장구분!$B:$Z,2,0),"")</f>
        <v/>
      </c>
      <c r="C635" s="46" t="str">
        <f>IFERROR(VLOOKUP($H635,매장구분!$B:$Z,3,0),"")</f>
        <v/>
      </c>
      <c r="D635" s="46" t="str">
        <f>IFERROR(VLOOKUP($H635,매장구분!$B:$Z,5,0),"")</f>
        <v/>
      </c>
      <c r="E635" s="46" t="str">
        <f>IFERROR(VLOOKUP($H635,매장구분!$B:$Z,9,0),"")</f>
        <v/>
      </c>
      <c r="AF635" s="47">
        <f t="shared" si="9"/>
        <v>0</v>
      </c>
    </row>
    <row r="636" spans="2:32" x14ac:dyDescent="0.3">
      <c r="B636" s="46" t="str">
        <f>IFERROR(VLOOKUP($H636,매장구분!$B:$Z,2,0),"")</f>
        <v/>
      </c>
      <c r="C636" s="46" t="str">
        <f>IFERROR(VLOOKUP($H636,매장구분!$B:$Z,3,0),"")</f>
        <v/>
      </c>
      <c r="D636" s="46" t="str">
        <f>IFERROR(VLOOKUP($H636,매장구분!$B:$Z,5,0),"")</f>
        <v/>
      </c>
      <c r="E636" s="46" t="str">
        <f>IFERROR(VLOOKUP($H636,매장구분!$B:$Z,9,0),"")</f>
        <v/>
      </c>
      <c r="AF636" s="47">
        <f t="shared" si="9"/>
        <v>0</v>
      </c>
    </row>
    <row r="637" spans="2:32" x14ac:dyDescent="0.3">
      <c r="B637" s="46" t="str">
        <f>IFERROR(VLOOKUP($H637,매장구분!$B:$Z,2,0),"")</f>
        <v/>
      </c>
      <c r="C637" s="46" t="str">
        <f>IFERROR(VLOOKUP($H637,매장구분!$B:$Z,3,0),"")</f>
        <v/>
      </c>
      <c r="D637" s="46" t="str">
        <f>IFERROR(VLOOKUP($H637,매장구분!$B:$Z,5,0),"")</f>
        <v/>
      </c>
      <c r="E637" s="46" t="str">
        <f>IFERROR(VLOOKUP($H637,매장구분!$B:$Z,9,0),"")</f>
        <v/>
      </c>
      <c r="AF637" s="47">
        <f t="shared" si="9"/>
        <v>0</v>
      </c>
    </row>
    <row r="638" spans="2:32" x14ac:dyDescent="0.3">
      <c r="B638" s="46" t="str">
        <f>IFERROR(VLOOKUP($H638,매장구분!$B:$Z,2,0),"")</f>
        <v/>
      </c>
      <c r="C638" s="46" t="str">
        <f>IFERROR(VLOOKUP($H638,매장구분!$B:$Z,3,0),"")</f>
        <v/>
      </c>
      <c r="D638" s="46" t="str">
        <f>IFERROR(VLOOKUP($H638,매장구분!$B:$Z,5,0),"")</f>
        <v/>
      </c>
      <c r="E638" s="46" t="str">
        <f>IFERROR(VLOOKUP($H638,매장구분!$B:$Z,9,0),"")</f>
        <v/>
      </c>
      <c r="AF638" s="47">
        <f t="shared" si="9"/>
        <v>0</v>
      </c>
    </row>
    <row r="639" spans="2:32" x14ac:dyDescent="0.3">
      <c r="B639" s="46" t="str">
        <f>IFERROR(VLOOKUP($H639,매장구분!$B:$Z,2,0),"")</f>
        <v/>
      </c>
      <c r="C639" s="46" t="str">
        <f>IFERROR(VLOOKUP($H639,매장구분!$B:$Z,3,0),"")</f>
        <v/>
      </c>
      <c r="D639" s="46" t="str">
        <f>IFERROR(VLOOKUP($H639,매장구분!$B:$Z,5,0),"")</f>
        <v/>
      </c>
      <c r="E639" s="46" t="str">
        <f>IFERROR(VLOOKUP($H639,매장구분!$B:$Z,9,0),"")</f>
        <v/>
      </c>
      <c r="AF639" s="47">
        <f t="shared" si="9"/>
        <v>0</v>
      </c>
    </row>
    <row r="640" spans="2:32" x14ac:dyDescent="0.3">
      <c r="B640" s="46" t="str">
        <f>IFERROR(VLOOKUP($H640,매장구분!$B:$Z,2,0),"")</f>
        <v/>
      </c>
      <c r="C640" s="46" t="str">
        <f>IFERROR(VLOOKUP($H640,매장구분!$B:$Z,3,0),"")</f>
        <v/>
      </c>
      <c r="D640" s="46" t="str">
        <f>IFERROR(VLOOKUP($H640,매장구분!$B:$Z,5,0),"")</f>
        <v/>
      </c>
      <c r="E640" s="46" t="str">
        <f>IFERROR(VLOOKUP($H640,매장구분!$B:$Z,9,0),"")</f>
        <v/>
      </c>
      <c r="AF640" s="47">
        <f t="shared" si="9"/>
        <v>0</v>
      </c>
    </row>
    <row r="641" spans="2:32" x14ac:dyDescent="0.3">
      <c r="B641" s="46" t="str">
        <f>IFERROR(VLOOKUP($H641,매장구분!$B:$Z,2,0),"")</f>
        <v/>
      </c>
      <c r="C641" s="46" t="str">
        <f>IFERROR(VLOOKUP($H641,매장구분!$B:$Z,3,0),"")</f>
        <v/>
      </c>
      <c r="D641" s="46" t="str">
        <f>IFERROR(VLOOKUP($H641,매장구분!$B:$Z,5,0),"")</f>
        <v/>
      </c>
      <c r="E641" s="46" t="str">
        <f>IFERROR(VLOOKUP($H641,매장구분!$B:$Z,9,0),"")</f>
        <v/>
      </c>
      <c r="AF641" s="47">
        <f t="shared" si="9"/>
        <v>0</v>
      </c>
    </row>
    <row r="642" spans="2:32" x14ac:dyDescent="0.3">
      <c r="B642" s="46" t="str">
        <f>IFERROR(VLOOKUP($H642,매장구분!$B:$Z,2,0),"")</f>
        <v/>
      </c>
      <c r="C642" s="46" t="str">
        <f>IFERROR(VLOOKUP($H642,매장구분!$B:$Z,3,0),"")</f>
        <v/>
      </c>
      <c r="D642" s="46" t="str">
        <f>IFERROR(VLOOKUP($H642,매장구분!$B:$Z,5,0),"")</f>
        <v/>
      </c>
      <c r="E642" s="46" t="str">
        <f>IFERROR(VLOOKUP($H642,매장구분!$B:$Z,9,0),"")</f>
        <v/>
      </c>
      <c r="AF642" s="47">
        <f t="shared" si="9"/>
        <v>0</v>
      </c>
    </row>
    <row r="643" spans="2:32" x14ac:dyDescent="0.3">
      <c r="B643" s="46" t="str">
        <f>IFERROR(VLOOKUP($H643,매장구분!$B:$Z,2,0),"")</f>
        <v/>
      </c>
      <c r="C643" s="46" t="str">
        <f>IFERROR(VLOOKUP($H643,매장구분!$B:$Z,3,0),"")</f>
        <v/>
      </c>
      <c r="D643" s="46" t="str">
        <f>IFERROR(VLOOKUP($H643,매장구분!$B:$Z,5,0),"")</f>
        <v/>
      </c>
      <c r="E643" s="46" t="str">
        <f>IFERROR(VLOOKUP($H643,매장구분!$B:$Z,9,0),"")</f>
        <v/>
      </c>
      <c r="AF643" s="47">
        <f t="shared" ref="AF643:AF706" si="10">IFERROR(AC643-Y643,"")</f>
        <v>0</v>
      </c>
    </row>
    <row r="644" spans="2:32" x14ac:dyDescent="0.3">
      <c r="B644" s="46" t="str">
        <f>IFERROR(VLOOKUP($H644,매장구분!$B:$Z,2,0),"")</f>
        <v/>
      </c>
      <c r="C644" s="46" t="str">
        <f>IFERROR(VLOOKUP($H644,매장구분!$B:$Z,3,0),"")</f>
        <v/>
      </c>
      <c r="D644" s="46" t="str">
        <f>IFERROR(VLOOKUP($H644,매장구분!$B:$Z,5,0),"")</f>
        <v/>
      </c>
      <c r="E644" s="46" t="str">
        <f>IFERROR(VLOOKUP($H644,매장구분!$B:$Z,9,0),"")</f>
        <v/>
      </c>
      <c r="AF644" s="47">
        <f t="shared" si="10"/>
        <v>0</v>
      </c>
    </row>
    <row r="645" spans="2:32" x14ac:dyDescent="0.3">
      <c r="B645" s="46" t="str">
        <f>IFERROR(VLOOKUP($H645,매장구분!$B:$Z,2,0),"")</f>
        <v/>
      </c>
      <c r="C645" s="46" t="str">
        <f>IFERROR(VLOOKUP($H645,매장구분!$B:$Z,3,0),"")</f>
        <v/>
      </c>
      <c r="D645" s="46" t="str">
        <f>IFERROR(VLOOKUP($H645,매장구분!$B:$Z,5,0),"")</f>
        <v/>
      </c>
      <c r="E645" s="46" t="str">
        <f>IFERROR(VLOOKUP($H645,매장구분!$B:$Z,9,0),"")</f>
        <v/>
      </c>
      <c r="AF645" s="47">
        <f t="shared" si="10"/>
        <v>0</v>
      </c>
    </row>
    <row r="646" spans="2:32" x14ac:dyDescent="0.3">
      <c r="B646" s="46" t="str">
        <f>IFERROR(VLOOKUP($H646,매장구분!$B:$Z,2,0),"")</f>
        <v/>
      </c>
      <c r="C646" s="46" t="str">
        <f>IFERROR(VLOOKUP($H646,매장구분!$B:$Z,3,0),"")</f>
        <v/>
      </c>
      <c r="D646" s="46" t="str">
        <f>IFERROR(VLOOKUP($H646,매장구분!$B:$Z,5,0),"")</f>
        <v/>
      </c>
      <c r="E646" s="46" t="str">
        <f>IFERROR(VLOOKUP($H646,매장구분!$B:$Z,9,0),"")</f>
        <v/>
      </c>
      <c r="AF646" s="47">
        <f t="shared" si="10"/>
        <v>0</v>
      </c>
    </row>
    <row r="647" spans="2:32" x14ac:dyDescent="0.3">
      <c r="B647" s="46" t="str">
        <f>IFERROR(VLOOKUP($H647,매장구분!$B:$Z,2,0),"")</f>
        <v/>
      </c>
      <c r="C647" s="46" t="str">
        <f>IFERROR(VLOOKUP($H647,매장구분!$B:$Z,3,0),"")</f>
        <v/>
      </c>
      <c r="D647" s="46" t="str">
        <f>IFERROR(VLOOKUP($H647,매장구분!$B:$Z,5,0),"")</f>
        <v/>
      </c>
      <c r="E647" s="46" t="str">
        <f>IFERROR(VLOOKUP($H647,매장구분!$B:$Z,9,0),"")</f>
        <v/>
      </c>
      <c r="AF647" s="47">
        <f t="shared" si="10"/>
        <v>0</v>
      </c>
    </row>
    <row r="648" spans="2:32" x14ac:dyDescent="0.3">
      <c r="B648" s="46" t="str">
        <f>IFERROR(VLOOKUP($H648,매장구분!$B:$Z,2,0),"")</f>
        <v/>
      </c>
      <c r="C648" s="46" t="str">
        <f>IFERROR(VLOOKUP($H648,매장구분!$B:$Z,3,0),"")</f>
        <v/>
      </c>
      <c r="D648" s="46" t="str">
        <f>IFERROR(VLOOKUP($H648,매장구분!$B:$Z,5,0),"")</f>
        <v/>
      </c>
      <c r="E648" s="46" t="str">
        <f>IFERROR(VLOOKUP($H648,매장구분!$B:$Z,9,0),"")</f>
        <v/>
      </c>
      <c r="AF648" s="47">
        <f t="shared" si="10"/>
        <v>0</v>
      </c>
    </row>
    <row r="649" spans="2:32" x14ac:dyDescent="0.3">
      <c r="B649" s="46" t="str">
        <f>IFERROR(VLOOKUP($H649,매장구분!$B:$Z,2,0),"")</f>
        <v/>
      </c>
      <c r="C649" s="46" t="str">
        <f>IFERROR(VLOOKUP($H649,매장구분!$B:$Z,3,0),"")</f>
        <v/>
      </c>
      <c r="D649" s="46" t="str">
        <f>IFERROR(VLOOKUP($H649,매장구분!$B:$Z,5,0),"")</f>
        <v/>
      </c>
      <c r="E649" s="46" t="str">
        <f>IFERROR(VLOOKUP($H649,매장구분!$B:$Z,9,0),"")</f>
        <v/>
      </c>
      <c r="AF649" s="47">
        <f t="shared" si="10"/>
        <v>0</v>
      </c>
    </row>
    <row r="650" spans="2:32" x14ac:dyDescent="0.3">
      <c r="B650" s="46" t="str">
        <f>IFERROR(VLOOKUP($H650,매장구분!$B:$Z,2,0),"")</f>
        <v/>
      </c>
      <c r="C650" s="46" t="str">
        <f>IFERROR(VLOOKUP($H650,매장구분!$B:$Z,3,0),"")</f>
        <v/>
      </c>
      <c r="D650" s="46" t="str">
        <f>IFERROR(VLOOKUP($H650,매장구분!$B:$Z,5,0),"")</f>
        <v/>
      </c>
      <c r="E650" s="46" t="str">
        <f>IFERROR(VLOOKUP($H650,매장구분!$B:$Z,9,0),"")</f>
        <v/>
      </c>
      <c r="AF650" s="47">
        <f t="shared" si="10"/>
        <v>0</v>
      </c>
    </row>
    <row r="651" spans="2:32" x14ac:dyDescent="0.3">
      <c r="B651" s="46" t="str">
        <f>IFERROR(VLOOKUP($H651,매장구분!$B:$Z,2,0),"")</f>
        <v/>
      </c>
      <c r="C651" s="46" t="str">
        <f>IFERROR(VLOOKUP($H651,매장구분!$B:$Z,3,0),"")</f>
        <v/>
      </c>
      <c r="D651" s="46" t="str">
        <f>IFERROR(VLOOKUP($H651,매장구분!$B:$Z,5,0),"")</f>
        <v/>
      </c>
      <c r="E651" s="46" t="str">
        <f>IFERROR(VLOOKUP($H651,매장구분!$B:$Z,9,0),"")</f>
        <v/>
      </c>
      <c r="AF651" s="47">
        <f t="shared" si="10"/>
        <v>0</v>
      </c>
    </row>
    <row r="652" spans="2:32" x14ac:dyDescent="0.3">
      <c r="B652" s="46" t="str">
        <f>IFERROR(VLOOKUP($H652,매장구분!$B:$Z,2,0),"")</f>
        <v/>
      </c>
      <c r="C652" s="46" t="str">
        <f>IFERROR(VLOOKUP($H652,매장구분!$B:$Z,3,0),"")</f>
        <v/>
      </c>
      <c r="D652" s="46" t="str">
        <f>IFERROR(VLOOKUP($H652,매장구분!$B:$Z,5,0),"")</f>
        <v/>
      </c>
      <c r="E652" s="46" t="str">
        <f>IFERROR(VLOOKUP($H652,매장구분!$B:$Z,9,0),"")</f>
        <v/>
      </c>
      <c r="AF652" s="47">
        <f t="shared" si="10"/>
        <v>0</v>
      </c>
    </row>
    <row r="653" spans="2:32" x14ac:dyDescent="0.3">
      <c r="B653" s="46" t="str">
        <f>IFERROR(VLOOKUP($H653,매장구분!$B:$Z,2,0),"")</f>
        <v/>
      </c>
      <c r="C653" s="46" t="str">
        <f>IFERROR(VLOOKUP($H653,매장구분!$B:$Z,3,0),"")</f>
        <v/>
      </c>
      <c r="D653" s="46" t="str">
        <f>IFERROR(VLOOKUP($H653,매장구분!$B:$Z,5,0),"")</f>
        <v/>
      </c>
      <c r="E653" s="46" t="str">
        <f>IFERROR(VLOOKUP($H653,매장구분!$B:$Z,9,0),"")</f>
        <v/>
      </c>
      <c r="AF653" s="47">
        <f t="shared" si="10"/>
        <v>0</v>
      </c>
    </row>
    <row r="654" spans="2:32" x14ac:dyDescent="0.3">
      <c r="B654" s="46" t="str">
        <f>IFERROR(VLOOKUP($H654,매장구분!$B:$Z,2,0),"")</f>
        <v/>
      </c>
      <c r="C654" s="46" t="str">
        <f>IFERROR(VLOOKUP($H654,매장구분!$B:$Z,3,0),"")</f>
        <v/>
      </c>
      <c r="D654" s="46" t="str">
        <f>IFERROR(VLOOKUP($H654,매장구분!$B:$Z,5,0),"")</f>
        <v/>
      </c>
      <c r="E654" s="46" t="str">
        <f>IFERROR(VLOOKUP($H654,매장구분!$B:$Z,9,0),"")</f>
        <v/>
      </c>
      <c r="AF654" s="47">
        <f t="shared" si="10"/>
        <v>0</v>
      </c>
    </row>
    <row r="655" spans="2:32" x14ac:dyDescent="0.3">
      <c r="B655" s="46" t="str">
        <f>IFERROR(VLOOKUP($H655,매장구분!$B:$Z,2,0),"")</f>
        <v/>
      </c>
      <c r="C655" s="46" t="str">
        <f>IFERROR(VLOOKUP($H655,매장구분!$B:$Z,3,0),"")</f>
        <v/>
      </c>
      <c r="D655" s="46" t="str">
        <f>IFERROR(VLOOKUP($H655,매장구분!$B:$Z,5,0),"")</f>
        <v/>
      </c>
      <c r="E655" s="46" t="str">
        <f>IFERROR(VLOOKUP($H655,매장구분!$B:$Z,9,0),"")</f>
        <v/>
      </c>
      <c r="AF655" s="47">
        <f t="shared" si="10"/>
        <v>0</v>
      </c>
    </row>
    <row r="656" spans="2:32" x14ac:dyDescent="0.3">
      <c r="B656" s="46" t="str">
        <f>IFERROR(VLOOKUP($H656,매장구분!$B:$Z,2,0),"")</f>
        <v/>
      </c>
      <c r="C656" s="46" t="str">
        <f>IFERROR(VLOOKUP($H656,매장구분!$B:$Z,3,0),"")</f>
        <v/>
      </c>
      <c r="D656" s="46" t="str">
        <f>IFERROR(VLOOKUP($H656,매장구분!$B:$Z,5,0),"")</f>
        <v/>
      </c>
      <c r="E656" s="46" t="str">
        <f>IFERROR(VLOOKUP($H656,매장구분!$B:$Z,9,0),"")</f>
        <v/>
      </c>
      <c r="AF656" s="47">
        <f t="shared" si="10"/>
        <v>0</v>
      </c>
    </row>
    <row r="657" spans="2:32" x14ac:dyDescent="0.3">
      <c r="B657" s="46" t="str">
        <f>IFERROR(VLOOKUP($H657,매장구분!$B:$Z,2,0),"")</f>
        <v/>
      </c>
      <c r="C657" s="46" t="str">
        <f>IFERROR(VLOOKUP($H657,매장구분!$B:$Z,3,0),"")</f>
        <v/>
      </c>
      <c r="D657" s="46" t="str">
        <f>IFERROR(VLOOKUP($H657,매장구분!$B:$Z,5,0),"")</f>
        <v/>
      </c>
      <c r="E657" s="46" t="str">
        <f>IFERROR(VLOOKUP($H657,매장구분!$B:$Z,9,0),"")</f>
        <v/>
      </c>
      <c r="AF657" s="47">
        <f t="shared" si="10"/>
        <v>0</v>
      </c>
    </row>
    <row r="658" spans="2:32" x14ac:dyDescent="0.3">
      <c r="B658" s="46" t="str">
        <f>IFERROR(VLOOKUP($H658,매장구분!$B:$Z,2,0),"")</f>
        <v/>
      </c>
      <c r="C658" s="46" t="str">
        <f>IFERROR(VLOOKUP($H658,매장구분!$B:$Z,3,0),"")</f>
        <v/>
      </c>
      <c r="D658" s="46" t="str">
        <f>IFERROR(VLOOKUP($H658,매장구분!$B:$Z,5,0),"")</f>
        <v/>
      </c>
      <c r="E658" s="46" t="str">
        <f>IFERROR(VLOOKUP($H658,매장구분!$B:$Z,9,0),"")</f>
        <v/>
      </c>
      <c r="AF658" s="47">
        <f t="shared" si="10"/>
        <v>0</v>
      </c>
    </row>
    <row r="659" spans="2:32" x14ac:dyDescent="0.3">
      <c r="B659" s="46" t="str">
        <f>IFERROR(VLOOKUP($H659,매장구분!$B:$Z,2,0),"")</f>
        <v/>
      </c>
      <c r="C659" s="46" t="str">
        <f>IFERROR(VLOOKUP($H659,매장구분!$B:$Z,3,0),"")</f>
        <v/>
      </c>
      <c r="D659" s="46" t="str">
        <f>IFERROR(VLOOKUP($H659,매장구분!$B:$Z,5,0),"")</f>
        <v/>
      </c>
      <c r="E659" s="46" t="str">
        <f>IFERROR(VLOOKUP($H659,매장구분!$B:$Z,9,0),"")</f>
        <v/>
      </c>
      <c r="AF659" s="47">
        <f t="shared" si="10"/>
        <v>0</v>
      </c>
    </row>
    <row r="660" spans="2:32" x14ac:dyDescent="0.3">
      <c r="B660" s="46" t="str">
        <f>IFERROR(VLOOKUP($H660,매장구분!$B:$Z,2,0),"")</f>
        <v/>
      </c>
      <c r="C660" s="46" t="str">
        <f>IFERROR(VLOOKUP($H660,매장구분!$B:$Z,3,0),"")</f>
        <v/>
      </c>
      <c r="D660" s="46" t="str">
        <f>IFERROR(VLOOKUP($H660,매장구분!$B:$Z,5,0),"")</f>
        <v/>
      </c>
      <c r="E660" s="46" t="str">
        <f>IFERROR(VLOOKUP($H660,매장구분!$B:$Z,9,0),"")</f>
        <v/>
      </c>
      <c r="AF660" s="47">
        <f t="shared" si="10"/>
        <v>0</v>
      </c>
    </row>
    <row r="661" spans="2:32" x14ac:dyDescent="0.3">
      <c r="B661" s="46" t="str">
        <f>IFERROR(VLOOKUP($H661,매장구분!$B:$Z,2,0),"")</f>
        <v/>
      </c>
      <c r="C661" s="46" t="str">
        <f>IFERROR(VLOOKUP($H661,매장구분!$B:$Z,3,0),"")</f>
        <v/>
      </c>
      <c r="D661" s="46" t="str">
        <f>IFERROR(VLOOKUP($H661,매장구분!$B:$Z,5,0),"")</f>
        <v/>
      </c>
      <c r="E661" s="46" t="str">
        <f>IFERROR(VLOOKUP($H661,매장구분!$B:$Z,9,0),"")</f>
        <v/>
      </c>
      <c r="AF661" s="47">
        <f t="shared" si="10"/>
        <v>0</v>
      </c>
    </row>
    <row r="662" spans="2:32" x14ac:dyDescent="0.3">
      <c r="B662" s="46" t="str">
        <f>IFERROR(VLOOKUP($H662,매장구분!$B:$Z,2,0),"")</f>
        <v/>
      </c>
      <c r="C662" s="46" t="str">
        <f>IFERROR(VLOOKUP($H662,매장구분!$B:$Z,3,0),"")</f>
        <v/>
      </c>
      <c r="D662" s="46" t="str">
        <f>IFERROR(VLOOKUP($H662,매장구분!$B:$Z,5,0),"")</f>
        <v/>
      </c>
      <c r="E662" s="46" t="str">
        <f>IFERROR(VLOOKUP($H662,매장구분!$B:$Z,9,0),"")</f>
        <v/>
      </c>
      <c r="AF662" s="47">
        <f t="shared" si="10"/>
        <v>0</v>
      </c>
    </row>
    <row r="663" spans="2:32" x14ac:dyDescent="0.3">
      <c r="B663" s="46" t="str">
        <f>IFERROR(VLOOKUP($H663,매장구분!$B:$Z,2,0),"")</f>
        <v/>
      </c>
      <c r="C663" s="46" t="str">
        <f>IFERROR(VLOOKUP($H663,매장구분!$B:$Z,3,0),"")</f>
        <v/>
      </c>
      <c r="D663" s="46" t="str">
        <f>IFERROR(VLOOKUP($H663,매장구분!$B:$Z,5,0),"")</f>
        <v/>
      </c>
      <c r="E663" s="46" t="str">
        <f>IFERROR(VLOOKUP($H663,매장구분!$B:$Z,9,0),"")</f>
        <v/>
      </c>
      <c r="AF663" s="47">
        <f t="shared" si="10"/>
        <v>0</v>
      </c>
    </row>
    <row r="664" spans="2:32" x14ac:dyDescent="0.3">
      <c r="B664" s="46" t="str">
        <f>IFERROR(VLOOKUP($H664,매장구분!$B:$Z,2,0),"")</f>
        <v/>
      </c>
      <c r="C664" s="46" t="str">
        <f>IFERROR(VLOOKUP($H664,매장구분!$B:$Z,3,0),"")</f>
        <v/>
      </c>
      <c r="D664" s="46" t="str">
        <f>IFERROR(VLOOKUP($H664,매장구분!$B:$Z,5,0),"")</f>
        <v/>
      </c>
      <c r="E664" s="46" t="str">
        <f>IFERROR(VLOOKUP($H664,매장구분!$B:$Z,9,0),"")</f>
        <v/>
      </c>
      <c r="AF664" s="47">
        <f t="shared" si="10"/>
        <v>0</v>
      </c>
    </row>
    <row r="665" spans="2:32" x14ac:dyDescent="0.3">
      <c r="B665" s="46" t="str">
        <f>IFERROR(VLOOKUP($H665,매장구분!$B:$Z,2,0),"")</f>
        <v/>
      </c>
      <c r="C665" s="46" t="str">
        <f>IFERROR(VLOOKUP($H665,매장구분!$B:$Z,3,0),"")</f>
        <v/>
      </c>
      <c r="D665" s="46" t="str">
        <f>IFERROR(VLOOKUP($H665,매장구분!$B:$Z,5,0),"")</f>
        <v/>
      </c>
      <c r="E665" s="46" t="str">
        <f>IFERROR(VLOOKUP($H665,매장구분!$B:$Z,9,0),"")</f>
        <v/>
      </c>
      <c r="AF665" s="47">
        <f t="shared" si="10"/>
        <v>0</v>
      </c>
    </row>
    <row r="666" spans="2:32" x14ac:dyDescent="0.3">
      <c r="B666" s="46" t="str">
        <f>IFERROR(VLOOKUP($H666,매장구분!$B:$Z,2,0),"")</f>
        <v/>
      </c>
      <c r="C666" s="46" t="str">
        <f>IFERROR(VLOOKUP($H666,매장구분!$B:$Z,3,0),"")</f>
        <v/>
      </c>
      <c r="D666" s="46" t="str">
        <f>IFERROR(VLOOKUP($H666,매장구분!$B:$Z,5,0),"")</f>
        <v/>
      </c>
      <c r="E666" s="46" t="str">
        <f>IFERROR(VLOOKUP($H666,매장구분!$B:$Z,9,0),"")</f>
        <v/>
      </c>
      <c r="AF666" s="47">
        <f t="shared" si="10"/>
        <v>0</v>
      </c>
    </row>
    <row r="667" spans="2:32" x14ac:dyDescent="0.3">
      <c r="B667" s="46" t="str">
        <f>IFERROR(VLOOKUP($H667,매장구분!$B:$Z,2,0),"")</f>
        <v/>
      </c>
      <c r="C667" s="46" t="str">
        <f>IFERROR(VLOOKUP($H667,매장구분!$B:$Z,3,0),"")</f>
        <v/>
      </c>
      <c r="D667" s="46" t="str">
        <f>IFERROR(VLOOKUP($H667,매장구분!$B:$Z,5,0),"")</f>
        <v/>
      </c>
      <c r="E667" s="46" t="str">
        <f>IFERROR(VLOOKUP($H667,매장구분!$B:$Z,9,0),"")</f>
        <v/>
      </c>
      <c r="AF667" s="47">
        <f t="shared" si="10"/>
        <v>0</v>
      </c>
    </row>
    <row r="668" spans="2:32" x14ac:dyDescent="0.3">
      <c r="B668" s="46" t="str">
        <f>IFERROR(VLOOKUP($H668,매장구분!$B:$Z,2,0),"")</f>
        <v/>
      </c>
      <c r="C668" s="46" t="str">
        <f>IFERROR(VLOOKUP($H668,매장구분!$B:$Z,3,0),"")</f>
        <v/>
      </c>
      <c r="D668" s="46" t="str">
        <f>IFERROR(VLOOKUP($H668,매장구분!$B:$Z,5,0),"")</f>
        <v/>
      </c>
      <c r="E668" s="46" t="str">
        <f>IFERROR(VLOOKUP($H668,매장구분!$B:$Z,9,0),"")</f>
        <v/>
      </c>
      <c r="AF668" s="47">
        <f t="shared" si="10"/>
        <v>0</v>
      </c>
    </row>
    <row r="669" spans="2:32" x14ac:dyDescent="0.3">
      <c r="B669" s="46" t="str">
        <f>IFERROR(VLOOKUP($H669,매장구분!$B:$Z,2,0),"")</f>
        <v/>
      </c>
      <c r="C669" s="46" t="str">
        <f>IFERROR(VLOOKUP($H669,매장구분!$B:$Z,3,0),"")</f>
        <v/>
      </c>
      <c r="D669" s="46" t="str">
        <f>IFERROR(VLOOKUP($H669,매장구분!$B:$Z,5,0),"")</f>
        <v/>
      </c>
      <c r="E669" s="46" t="str">
        <f>IFERROR(VLOOKUP($H669,매장구분!$B:$Z,9,0),"")</f>
        <v/>
      </c>
      <c r="AF669" s="47">
        <f t="shared" si="10"/>
        <v>0</v>
      </c>
    </row>
    <row r="670" spans="2:32" x14ac:dyDescent="0.3">
      <c r="B670" s="46" t="str">
        <f>IFERROR(VLOOKUP($H670,매장구분!$B:$Z,2,0),"")</f>
        <v/>
      </c>
      <c r="C670" s="46" t="str">
        <f>IFERROR(VLOOKUP($H670,매장구분!$B:$Z,3,0),"")</f>
        <v/>
      </c>
      <c r="D670" s="46" t="str">
        <f>IFERROR(VLOOKUP($H670,매장구분!$B:$Z,5,0),"")</f>
        <v/>
      </c>
      <c r="E670" s="46" t="str">
        <f>IFERROR(VLOOKUP($H670,매장구분!$B:$Z,9,0),"")</f>
        <v/>
      </c>
      <c r="AF670" s="47">
        <f t="shared" si="10"/>
        <v>0</v>
      </c>
    </row>
    <row r="671" spans="2:32" x14ac:dyDescent="0.3">
      <c r="B671" s="46" t="str">
        <f>IFERROR(VLOOKUP($H671,매장구분!$B:$Z,2,0),"")</f>
        <v/>
      </c>
      <c r="C671" s="46" t="str">
        <f>IFERROR(VLOOKUP($H671,매장구분!$B:$Z,3,0),"")</f>
        <v/>
      </c>
      <c r="D671" s="46" t="str">
        <f>IFERROR(VLOOKUP($H671,매장구분!$B:$Z,5,0),"")</f>
        <v/>
      </c>
      <c r="E671" s="46" t="str">
        <f>IFERROR(VLOOKUP($H671,매장구분!$B:$Z,9,0),"")</f>
        <v/>
      </c>
      <c r="AF671" s="47">
        <f t="shared" si="10"/>
        <v>0</v>
      </c>
    </row>
    <row r="672" spans="2:32" x14ac:dyDescent="0.3">
      <c r="B672" s="46" t="str">
        <f>IFERROR(VLOOKUP($H672,매장구분!$B:$Z,2,0),"")</f>
        <v/>
      </c>
      <c r="C672" s="46" t="str">
        <f>IFERROR(VLOOKUP($H672,매장구분!$B:$Z,3,0),"")</f>
        <v/>
      </c>
      <c r="D672" s="46" t="str">
        <f>IFERROR(VLOOKUP($H672,매장구분!$B:$Z,5,0),"")</f>
        <v/>
      </c>
      <c r="E672" s="46" t="str">
        <f>IFERROR(VLOOKUP($H672,매장구분!$B:$Z,9,0),"")</f>
        <v/>
      </c>
      <c r="AF672" s="47">
        <f t="shared" si="10"/>
        <v>0</v>
      </c>
    </row>
    <row r="673" spans="2:32" x14ac:dyDescent="0.3">
      <c r="B673" s="46" t="str">
        <f>IFERROR(VLOOKUP($H673,매장구분!$B:$Z,2,0),"")</f>
        <v/>
      </c>
      <c r="C673" s="46" t="str">
        <f>IFERROR(VLOOKUP($H673,매장구분!$B:$Z,3,0),"")</f>
        <v/>
      </c>
      <c r="D673" s="46" t="str">
        <f>IFERROR(VLOOKUP($H673,매장구분!$B:$Z,5,0),"")</f>
        <v/>
      </c>
      <c r="E673" s="46" t="str">
        <f>IFERROR(VLOOKUP($H673,매장구분!$B:$Z,9,0),"")</f>
        <v/>
      </c>
      <c r="AF673" s="47">
        <f t="shared" si="10"/>
        <v>0</v>
      </c>
    </row>
    <row r="674" spans="2:32" x14ac:dyDescent="0.3">
      <c r="B674" s="46" t="str">
        <f>IFERROR(VLOOKUP($H674,매장구분!$B:$Z,2,0),"")</f>
        <v/>
      </c>
      <c r="C674" s="46" t="str">
        <f>IFERROR(VLOOKUP($H674,매장구분!$B:$Z,3,0),"")</f>
        <v/>
      </c>
      <c r="D674" s="46" t="str">
        <f>IFERROR(VLOOKUP($H674,매장구분!$B:$Z,5,0),"")</f>
        <v/>
      </c>
      <c r="E674" s="46" t="str">
        <f>IFERROR(VLOOKUP($H674,매장구분!$B:$Z,9,0),"")</f>
        <v/>
      </c>
      <c r="AF674" s="47">
        <f t="shared" si="10"/>
        <v>0</v>
      </c>
    </row>
    <row r="675" spans="2:32" x14ac:dyDescent="0.3">
      <c r="B675" s="46" t="str">
        <f>IFERROR(VLOOKUP($H675,매장구분!$B:$Z,2,0),"")</f>
        <v/>
      </c>
      <c r="C675" s="46" t="str">
        <f>IFERROR(VLOOKUP($H675,매장구분!$B:$Z,3,0),"")</f>
        <v/>
      </c>
      <c r="D675" s="46" t="str">
        <f>IFERROR(VLOOKUP($H675,매장구분!$B:$Z,5,0),"")</f>
        <v/>
      </c>
      <c r="E675" s="46" t="str">
        <f>IFERROR(VLOOKUP($H675,매장구분!$B:$Z,9,0),"")</f>
        <v/>
      </c>
      <c r="AF675" s="47">
        <f t="shared" si="10"/>
        <v>0</v>
      </c>
    </row>
    <row r="676" spans="2:32" x14ac:dyDescent="0.3">
      <c r="B676" s="46" t="str">
        <f>IFERROR(VLOOKUP($H676,매장구분!$B:$Z,2,0),"")</f>
        <v/>
      </c>
      <c r="C676" s="46" t="str">
        <f>IFERROR(VLOOKUP($H676,매장구분!$B:$Z,3,0),"")</f>
        <v/>
      </c>
      <c r="D676" s="46" t="str">
        <f>IFERROR(VLOOKUP($H676,매장구분!$B:$Z,5,0),"")</f>
        <v/>
      </c>
      <c r="E676" s="46" t="str">
        <f>IFERROR(VLOOKUP($H676,매장구분!$B:$Z,9,0),"")</f>
        <v/>
      </c>
      <c r="AF676" s="47">
        <f t="shared" si="10"/>
        <v>0</v>
      </c>
    </row>
    <row r="677" spans="2:32" x14ac:dyDescent="0.3">
      <c r="B677" s="46" t="str">
        <f>IFERROR(VLOOKUP($H677,매장구분!$B:$Z,2,0),"")</f>
        <v/>
      </c>
      <c r="C677" s="46" t="str">
        <f>IFERROR(VLOOKUP($H677,매장구분!$B:$Z,3,0),"")</f>
        <v/>
      </c>
      <c r="D677" s="46" t="str">
        <f>IFERROR(VLOOKUP($H677,매장구분!$B:$Z,5,0),"")</f>
        <v/>
      </c>
      <c r="E677" s="46" t="str">
        <f>IFERROR(VLOOKUP($H677,매장구분!$B:$Z,9,0),"")</f>
        <v/>
      </c>
      <c r="AF677" s="47">
        <f t="shared" si="10"/>
        <v>0</v>
      </c>
    </row>
    <row r="678" spans="2:32" x14ac:dyDescent="0.3">
      <c r="B678" s="46" t="str">
        <f>IFERROR(VLOOKUP($H678,매장구분!$B:$Z,2,0),"")</f>
        <v/>
      </c>
      <c r="C678" s="46" t="str">
        <f>IFERROR(VLOOKUP($H678,매장구분!$B:$Z,3,0),"")</f>
        <v/>
      </c>
      <c r="D678" s="46" t="str">
        <f>IFERROR(VLOOKUP($H678,매장구분!$B:$Z,5,0),"")</f>
        <v/>
      </c>
      <c r="E678" s="46" t="str">
        <f>IFERROR(VLOOKUP($H678,매장구분!$B:$Z,9,0),"")</f>
        <v/>
      </c>
      <c r="AF678" s="47">
        <f t="shared" si="10"/>
        <v>0</v>
      </c>
    </row>
    <row r="679" spans="2:32" x14ac:dyDescent="0.3">
      <c r="B679" s="46" t="str">
        <f>IFERROR(VLOOKUP($H679,매장구분!$B:$Z,2,0),"")</f>
        <v/>
      </c>
      <c r="C679" s="46" t="str">
        <f>IFERROR(VLOOKUP($H679,매장구분!$B:$Z,3,0),"")</f>
        <v/>
      </c>
      <c r="D679" s="46" t="str">
        <f>IFERROR(VLOOKUP($H679,매장구분!$B:$Z,5,0),"")</f>
        <v/>
      </c>
      <c r="E679" s="46" t="str">
        <f>IFERROR(VLOOKUP($H679,매장구분!$B:$Z,9,0),"")</f>
        <v/>
      </c>
      <c r="AF679" s="47">
        <f t="shared" si="10"/>
        <v>0</v>
      </c>
    </row>
    <row r="680" spans="2:32" x14ac:dyDescent="0.3">
      <c r="B680" s="46" t="str">
        <f>IFERROR(VLOOKUP($H680,매장구분!$B:$Z,2,0),"")</f>
        <v/>
      </c>
      <c r="C680" s="46" t="str">
        <f>IFERROR(VLOOKUP($H680,매장구분!$B:$Z,3,0),"")</f>
        <v/>
      </c>
      <c r="D680" s="46" t="str">
        <f>IFERROR(VLOOKUP($H680,매장구분!$B:$Z,5,0),"")</f>
        <v/>
      </c>
      <c r="E680" s="46" t="str">
        <f>IFERROR(VLOOKUP($H680,매장구분!$B:$Z,9,0),"")</f>
        <v/>
      </c>
      <c r="AF680" s="47">
        <f t="shared" si="10"/>
        <v>0</v>
      </c>
    </row>
    <row r="681" spans="2:32" x14ac:dyDescent="0.3">
      <c r="B681" s="46" t="str">
        <f>IFERROR(VLOOKUP($H681,매장구분!$B:$Z,2,0),"")</f>
        <v/>
      </c>
      <c r="C681" s="46" t="str">
        <f>IFERROR(VLOOKUP($H681,매장구분!$B:$Z,3,0),"")</f>
        <v/>
      </c>
      <c r="D681" s="46" t="str">
        <f>IFERROR(VLOOKUP($H681,매장구분!$B:$Z,5,0),"")</f>
        <v/>
      </c>
      <c r="E681" s="46" t="str">
        <f>IFERROR(VLOOKUP($H681,매장구분!$B:$Z,9,0),"")</f>
        <v/>
      </c>
      <c r="AF681" s="47">
        <f t="shared" si="10"/>
        <v>0</v>
      </c>
    </row>
    <row r="682" spans="2:32" x14ac:dyDescent="0.3">
      <c r="B682" s="46" t="str">
        <f>IFERROR(VLOOKUP($H682,매장구분!$B:$Z,2,0),"")</f>
        <v/>
      </c>
      <c r="C682" s="46" t="str">
        <f>IFERROR(VLOOKUP($H682,매장구분!$B:$Z,3,0),"")</f>
        <v/>
      </c>
      <c r="D682" s="46" t="str">
        <f>IFERROR(VLOOKUP($H682,매장구분!$B:$Z,5,0),"")</f>
        <v/>
      </c>
      <c r="E682" s="46" t="str">
        <f>IFERROR(VLOOKUP($H682,매장구분!$B:$Z,9,0),"")</f>
        <v/>
      </c>
      <c r="AF682" s="47">
        <f t="shared" si="10"/>
        <v>0</v>
      </c>
    </row>
    <row r="683" spans="2:32" x14ac:dyDescent="0.3">
      <c r="B683" s="46" t="str">
        <f>IFERROR(VLOOKUP($H683,매장구분!$B:$Z,2,0),"")</f>
        <v/>
      </c>
      <c r="C683" s="46" t="str">
        <f>IFERROR(VLOOKUP($H683,매장구분!$B:$Z,3,0),"")</f>
        <v/>
      </c>
      <c r="D683" s="46" t="str">
        <f>IFERROR(VLOOKUP($H683,매장구분!$B:$Z,5,0),"")</f>
        <v/>
      </c>
      <c r="E683" s="46" t="str">
        <f>IFERROR(VLOOKUP($H683,매장구분!$B:$Z,9,0),"")</f>
        <v/>
      </c>
      <c r="AF683" s="47">
        <f t="shared" si="10"/>
        <v>0</v>
      </c>
    </row>
    <row r="684" spans="2:32" x14ac:dyDescent="0.3">
      <c r="B684" s="46" t="str">
        <f>IFERROR(VLOOKUP($H684,매장구분!$B:$Z,2,0),"")</f>
        <v/>
      </c>
      <c r="C684" s="46" t="str">
        <f>IFERROR(VLOOKUP($H684,매장구분!$B:$Z,3,0),"")</f>
        <v/>
      </c>
      <c r="D684" s="46" t="str">
        <f>IFERROR(VLOOKUP($H684,매장구분!$B:$Z,5,0),"")</f>
        <v/>
      </c>
      <c r="E684" s="46" t="str">
        <f>IFERROR(VLOOKUP($H684,매장구분!$B:$Z,9,0),"")</f>
        <v/>
      </c>
      <c r="AF684" s="47">
        <f t="shared" si="10"/>
        <v>0</v>
      </c>
    </row>
    <row r="685" spans="2:32" x14ac:dyDescent="0.3">
      <c r="B685" s="46" t="str">
        <f>IFERROR(VLOOKUP($H685,매장구분!$B:$Z,2,0),"")</f>
        <v/>
      </c>
      <c r="C685" s="46" t="str">
        <f>IFERROR(VLOOKUP($H685,매장구분!$B:$Z,3,0),"")</f>
        <v/>
      </c>
      <c r="D685" s="46" t="str">
        <f>IFERROR(VLOOKUP($H685,매장구분!$B:$Z,5,0),"")</f>
        <v/>
      </c>
      <c r="E685" s="46" t="str">
        <f>IFERROR(VLOOKUP($H685,매장구분!$B:$Z,9,0),"")</f>
        <v/>
      </c>
      <c r="AF685" s="47">
        <f t="shared" si="10"/>
        <v>0</v>
      </c>
    </row>
    <row r="686" spans="2:32" x14ac:dyDescent="0.3">
      <c r="B686" s="46" t="str">
        <f>IFERROR(VLOOKUP($H686,매장구분!$B:$Z,2,0),"")</f>
        <v/>
      </c>
      <c r="C686" s="46" t="str">
        <f>IFERROR(VLOOKUP($H686,매장구분!$B:$Z,3,0),"")</f>
        <v/>
      </c>
      <c r="D686" s="46" t="str">
        <f>IFERROR(VLOOKUP($H686,매장구분!$B:$Z,5,0),"")</f>
        <v/>
      </c>
      <c r="E686" s="46" t="str">
        <f>IFERROR(VLOOKUP($H686,매장구분!$B:$Z,9,0),"")</f>
        <v/>
      </c>
      <c r="AF686" s="47">
        <f t="shared" si="10"/>
        <v>0</v>
      </c>
    </row>
    <row r="687" spans="2:32" x14ac:dyDescent="0.3">
      <c r="B687" s="46" t="str">
        <f>IFERROR(VLOOKUP($H687,매장구분!$B:$Z,2,0),"")</f>
        <v/>
      </c>
      <c r="C687" s="46" t="str">
        <f>IFERROR(VLOOKUP($H687,매장구분!$B:$Z,3,0),"")</f>
        <v/>
      </c>
      <c r="D687" s="46" t="str">
        <f>IFERROR(VLOOKUP($H687,매장구분!$B:$Z,5,0),"")</f>
        <v/>
      </c>
      <c r="E687" s="46" t="str">
        <f>IFERROR(VLOOKUP($H687,매장구분!$B:$Z,9,0),"")</f>
        <v/>
      </c>
      <c r="AF687" s="47">
        <f t="shared" si="10"/>
        <v>0</v>
      </c>
    </row>
    <row r="688" spans="2:32" x14ac:dyDescent="0.3">
      <c r="B688" s="46" t="str">
        <f>IFERROR(VLOOKUP($H688,매장구분!$B:$Z,2,0),"")</f>
        <v/>
      </c>
      <c r="C688" s="46" t="str">
        <f>IFERROR(VLOOKUP($H688,매장구분!$B:$Z,3,0),"")</f>
        <v/>
      </c>
      <c r="D688" s="46" t="str">
        <f>IFERROR(VLOOKUP($H688,매장구분!$B:$Z,5,0),"")</f>
        <v/>
      </c>
      <c r="E688" s="46" t="str">
        <f>IFERROR(VLOOKUP($H688,매장구분!$B:$Z,9,0),"")</f>
        <v/>
      </c>
      <c r="AF688" s="47">
        <f t="shared" si="10"/>
        <v>0</v>
      </c>
    </row>
    <row r="689" spans="2:32" x14ac:dyDescent="0.3">
      <c r="B689" s="46" t="str">
        <f>IFERROR(VLOOKUP($H689,매장구분!$B:$Z,2,0),"")</f>
        <v/>
      </c>
      <c r="C689" s="46" t="str">
        <f>IFERROR(VLOOKUP($H689,매장구분!$B:$Z,3,0),"")</f>
        <v/>
      </c>
      <c r="D689" s="46" t="str">
        <f>IFERROR(VLOOKUP($H689,매장구분!$B:$Z,5,0),"")</f>
        <v/>
      </c>
      <c r="E689" s="46" t="str">
        <f>IFERROR(VLOOKUP($H689,매장구분!$B:$Z,9,0),"")</f>
        <v/>
      </c>
      <c r="AF689" s="47">
        <f t="shared" si="10"/>
        <v>0</v>
      </c>
    </row>
    <row r="690" spans="2:32" x14ac:dyDescent="0.3">
      <c r="B690" s="46" t="str">
        <f>IFERROR(VLOOKUP($H690,매장구분!$B:$Z,2,0),"")</f>
        <v/>
      </c>
      <c r="C690" s="46" t="str">
        <f>IFERROR(VLOOKUP($H690,매장구분!$B:$Z,3,0),"")</f>
        <v/>
      </c>
      <c r="D690" s="46" t="str">
        <f>IFERROR(VLOOKUP($H690,매장구분!$B:$Z,5,0),"")</f>
        <v/>
      </c>
      <c r="E690" s="46" t="str">
        <f>IFERROR(VLOOKUP($H690,매장구분!$B:$Z,9,0),"")</f>
        <v/>
      </c>
      <c r="AF690" s="47">
        <f t="shared" si="10"/>
        <v>0</v>
      </c>
    </row>
    <row r="691" spans="2:32" x14ac:dyDescent="0.3">
      <c r="B691" s="46" t="str">
        <f>IFERROR(VLOOKUP($H691,매장구분!$B:$Z,2,0),"")</f>
        <v/>
      </c>
      <c r="C691" s="46" t="str">
        <f>IFERROR(VLOOKUP($H691,매장구분!$B:$Z,3,0),"")</f>
        <v/>
      </c>
      <c r="D691" s="46" t="str">
        <f>IFERROR(VLOOKUP($H691,매장구분!$B:$Z,5,0),"")</f>
        <v/>
      </c>
      <c r="E691" s="46" t="str">
        <f>IFERROR(VLOOKUP($H691,매장구분!$B:$Z,9,0),"")</f>
        <v/>
      </c>
      <c r="AF691" s="47">
        <f t="shared" si="10"/>
        <v>0</v>
      </c>
    </row>
    <row r="692" spans="2:32" x14ac:dyDescent="0.3">
      <c r="B692" s="46" t="str">
        <f>IFERROR(VLOOKUP($H692,매장구분!$B:$Z,2,0),"")</f>
        <v/>
      </c>
      <c r="C692" s="46" t="str">
        <f>IFERROR(VLOOKUP($H692,매장구분!$B:$Z,3,0),"")</f>
        <v/>
      </c>
      <c r="D692" s="46" t="str">
        <f>IFERROR(VLOOKUP($H692,매장구분!$B:$Z,5,0),"")</f>
        <v/>
      </c>
      <c r="E692" s="46" t="str">
        <f>IFERROR(VLOOKUP($H692,매장구분!$B:$Z,9,0),"")</f>
        <v/>
      </c>
      <c r="AF692" s="47">
        <f t="shared" si="10"/>
        <v>0</v>
      </c>
    </row>
    <row r="693" spans="2:32" x14ac:dyDescent="0.3">
      <c r="B693" s="46" t="str">
        <f>IFERROR(VLOOKUP($H693,매장구분!$B:$Z,2,0),"")</f>
        <v/>
      </c>
      <c r="C693" s="46" t="str">
        <f>IFERROR(VLOOKUP($H693,매장구분!$B:$Z,3,0),"")</f>
        <v/>
      </c>
      <c r="D693" s="46" t="str">
        <f>IFERROR(VLOOKUP($H693,매장구분!$B:$Z,5,0),"")</f>
        <v/>
      </c>
      <c r="E693" s="46" t="str">
        <f>IFERROR(VLOOKUP($H693,매장구분!$B:$Z,9,0),"")</f>
        <v/>
      </c>
      <c r="AF693" s="47">
        <f t="shared" si="10"/>
        <v>0</v>
      </c>
    </row>
    <row r="694" spans="2:32" x14ac:dyDescent="0.3">
      <c r="B694" s="46" t="str">
        <f>IFERROR(VLOOKUP($H694,매장구분!$B:$Z,2,0),"")</f>
        <v/>
      </c>
      <c r="C694" s="46" t="str">
        <f>IFERROR(VLOOKUP($H694,매장구분!$B:$Z,3,0),"")</f>
        <v/>
      </c>
      <c r="D694" s="46" t="str">
        <f>IFERROR(VLOOKUP($H694,매장구분!$B:$Z,5,0),"")</f>
        <v/>
      </c>
      <c r="E694" s="46" t="str">
        <f>IFERROR(VLOOKUP($H694,매장구분!$B:$Z,9,0),"")</f>
        <v/>
      </c>
      <c r="AF694" s="47">
        <f t="shared" si="10"/>
        <v>0</v>
      </c>
    </row>
    <row r="695" spans="2:32" x14ac:dyDescent="0.3">
      <c r="B695" s="46" t="str">
        <f>IFERROR(VLOOKUP($H695,매장구분!$B:$Z,2,0),"")</f>
        <v/>
      </c>
      <c r="C695" s="46" t="str">
        <f>IFERROR(VLOOKUP($H695,매장구분!$B:$Z,3,0),"")</f>
        <v/>
      </c>
      <c r="D695" s="46" t="str">
        <f>IFERROR(VLOOKUP($H695,매장구분!$B:$Z,5,0),"")</f>
        <v/>
      </c>
      <c r="E695" s="46" t="str">
        <f>IFERROR(VLOOKUP($H695,매장구분!$B:$Z,9,0),"")</f>
        <v/>
      </c>
      <c r="AF695" s="47">
        <f t="shared" si="10"/>
        <v>0</v>
      </c>
    </row>
    <row r="696" spans="2:32" x14ac:dyDescent="0.3">
      <c r="B696" s="46" t="str">
        <f>IFERROR(VLOOKUP($H696,매장구분!$B:$Z,2,0),"")</f>
        <v/>
      </c>
      <c r="C696" s="46" t="str">
        <f>IFERROR(VLOOKUP($H696,매장구분!$B:$Z,3,0),"")</f>
        <v/>
      </c>
      <c r="D696" s="46" t="str">
        <f>IFERROR(VLOOKUP($H696,매장구분!$B:$Z,5,0),"")</f>
        <v/>
      </c>
      <c r="E696" s="46" t="str">
        <f>IFERROR(VLOOKUP($H696,매장구분!$B:$Z,9,0),"")</f>
        <v/>
      </c>
      <c r="AF696" s="47">
        <f t="shared" si="10"/>
        <v>0</v>
      </c>
    </row>
    <row r="697" spans="2:32" x14ac:dyDescent="0.3">
      <c r="B697" s="46" t="str">
        <f>IFERROR(VLOOKUP($H697,매장구분!$B:$Z,2,0),"")</f>
        <v/>
      </c>
      <c r="C697" s="46" t="str">
        <f>IFERROR(VLOOKUP($H697,매장구분!$B:$Z,3,0),"")</f>
        <v/>
      </c>
      <c r="D697" s="46" t="str">
        <f>IFERROR(VLOOKUP($H697,매장구분!$B:$Z,5,0),"")</f>
        <v/>
      </c>
      <c r="E697" s="46" t="str">
        <f>IFERROR(VLOOKUP($H697,매장구분!$B:$Z,9,0),"")</f>
        <v/>
      </c>
      <c r="AF697" s="47">
        <f t="shared" si="10"/>
        <v>0</v>
      </c>
    </row>
    <row r="698" spans="2:32" x14ac:dyDescent="0.3">
      <c r="B698" s="46" t="str">
        <f>IFERROR(VLOOKUP($H698,매장구분!$B:$Z,2,0),"")</f>
        <v/>
      </c>
      <c r="C698" s="46" t="str">
        <f>IFERROR(VLOOKUP($H698,매장구분!$B:$Z,3,0),"")</f>
        <v/>
      </c>
      <c r="D698" s="46" t="str">
        <f>IFERROR(VLOOKUP($H698,매장구분!$B:$Z,5,0),"")</f>
        <v/>
      </c>
      <c r="E698" s="46" t="str">
        <f>IFERROR(VLOOKUP($H698,매장구분!$B:$Z,9,0),"")</f>
        <v/>
      </c>
      <c r="AF698" s="47">
        <f t="shared" si="10"/>
        <v>0</v>
      </c>
    </row>
    <row r="699" spans="2:32" x14ac:dyDescent="0.3">
      <c r="B699" s="46" t="str">
        <f>IFERROR(VLOOKUP($H699,매장구분!$B:$Z,2,0),"")</f>
        <v/>
      </c>
      <c r="C699" s="46" t="str">
        <f>IFERROR(VLOOKUP($H699,매장구분!$B:$Z,3,0),"")</f>
        <v/>
      </c>
      <c r="D699" s="46" t="str">
        <f>IFERROR(VLOOKUP($H699,매장구분!$B:$Z,5,0),"")</f>
        <v/>
      </c>
      <c r="E699" s="46" t="str">
        <f>IFERROR(VLOOKUP($H699,매장구분!$B:$Z,9,0),"")</f>
        <v/>
      </c>
      <c r="AF699" s="47">
        <f t="shared" si="10"/>
        <v>0</v>
      </c>
    </row>
    <row r="700" spans="2:32" x14ac:dyDescent="0.3">
      <c r="B700" s="46" t="str">
        <f>IFERROR(VLOOKUP($H700,매장구분!$B:$Z,2,0),"")</f>
        <v/>
      </c>
      <c r="C700" s="46" t="str">
        <f>IFERROR(VLOOKUP($H700,매장구분!$B:$Z,3,0),"")</f>
        <v/>
      </c>
      <c r="D700" s="46" t="str">
        <f>IFERROR(VLOOKUP($H700,매장구분!$B:$Z,5,0),"")</f>
        <v/>
      </c>
      <c r="E700" s="46" t="str">
        <f>IFERROR(VLOOKUP($H700,매장구분!$B:$Z,9,0),"")</f>
        <v/>
      </c>
      <c r="AF700" s="47">
        <f t="shared" si="10"/>
        <v>0</v>
      </c>
    </row>
    <row r="701" spans="2:32" x14ac:dyDescent="0.3">
      <c r="B701" s="46" t="str">
        <f>IFERROR(VLOOKUP($H701,매장구분!$B:$Z,2,0),"")</f>
        <v/>
      </c>
      <c r="C701" s="46" t="str">
        <f>IFERROR(VLOOKUP($H701,매장구분!$B:$Z,3,0),"")</f>
        <v/>
      </c>
      <c r="D701" s="46" t="str">
        <f>IFERROR(VLOOKUP($H701,매장구분!$B:$Z,5,0),"")</f>
        <v/>
      </c>
      <c r="E701" s="46" t="str">
        <f>IFERROR(VLOOKUP($H701,매장구분!$B:$Z,9,0),"")</f>
        <v/>
      </c>
      <c r="AF701" s="47">
        <f t="shared" si="10"/>
        <v>0</v>
      </c>
    </row>
    <row r="702" spans="2:32" x14ac:dyDescent="0.3">
      <c r="B702" s="46" t="str">
        <f>IFERROR(VLOOKUP($H702,매장구분!$B:$Z,2,0),"")</f>
        <v/>
      </c>
      <c r="C702" s="46" t="str">
        <f>IFERROR(VLOOKUP($H702,매장구분!$B:$Z,3,0),"")</f>
        <v/>
      </c>
      <c r="D702" s="46" t="str">
        <f>IFERROR(VLOOKUP($H702,매장구분!$B:$Z,5,0),"")</f>
        <v/>
      </c>
      <c r="E702" s="46" t="str">
        <f>IFERROR(VLOOKUP($H702,매장구분!$B:$Z,9,0),"")</f>
        <v/>
      </c>
      <c r="AF702" s="47">
        <f t="shared" si="10"/>
        <v>0</v>
      </c>
    </row>
    <row r="703" spans="2:32" x14ac:dyDescent="0.3">
      <c r="B703" s="46" t="str">
        <f>IFERROR(VLOOKUP($H703,매장구분!$B:$Z,2,0),"")</f>
        <v/>
      </c>
      <c r="C703" s="46" t="str">
        <f>IFERROR(VLOOKUP($H703,매장구분!$B:$Z,3,0),"")</f>
        <v/>
      </c>
      <c r="D703" s="46" t="str">
        <f>IFERROR(VLOOKUP($H703,매장구분!$B:$Z,5,0),"")</f>
        <v/>
      </c>
      <c r="E703" s="46" t="str">
        <f>IFERROR(VLOOKUP($H703,매장구분!$B:$Z,9,0),"")</f>
        <v/>
      </c>
      <c r="AF703" s="47">
        <f t="shared" si="10"/>
        <v>0</v>
      </c>
    </row>
    <row r="704" spans="2:32" x14ac:dyDescent="0.3">
      <c r="B704" s="46" t="str">
        <f>IFERROR(VLOOKUP($H704,매장구분!$B:$Z,2,0),"")</f>
        <v/>
      </c>
      <c r="C704" s="46" t="str">
        <f>IFERROR(VLOOKUP($H704,매장구분!$B:$Z,3,0),"")</f>
        <v/>
      </c>
      <c r="D704" s="46" t="str">
        <f>IFERROR(VLOOKUP($H704,매장구분!$B:$Z,5,0),"")</f>
        <v/>
      </c>
      <c r="E704" s="46" t="str">
        <f>IFERROR(VLOOKUP($H704,매장구분!$B:$Z,9,0),"")</f>
        <v/>
      </c>
      <c r="AF704" s="47">
        <f t="shared" si="10"/>
        <v>0</v>
      </c>
    </row>
    <row r="705" spans="2:32" x14ac:dyDescent="0.3">
      <c r="B705" s="46" t="str">
        <f>IFERROR(VLOOKUP($H705,매장구분!$B:$Z,2,0),"")</f>
        <v/>
      </c>
      <c r="C705" s="46" t="str">
        <f>IFERROR(VLOOKUP($H705,매장구분!$B:$Z,3,0),"")</f>
        <v/>
      </c>
      <c r="D705" s="46" t="str">
        <f>IFERROR(VLOOKUP($H705,매장구분!$B:$Z,5,0),"")</f>
        <v/>
      </c>
      <c r="E705" s="46" t="str">
        <f>IFERROR(VLOOKUP($H705,매장구분!$B:$Z,9,0),"")</f>
        <v/>
      </c>
      <c r="AF705" s="47">
        <f t="shared" si="10"/>
        <v>0</v>
      </c>
    </row>
    <row r="706" spans="2:32" x14ac:dyDescent="0.3">
      <c r="B706" s="46" t="str">
        <f>IFERROR(VLOOKUP($H706,매장구분!$B:$Z,2,0),"")</f>
        <v/>
      </c>
      <c r="C706" s="46" t="str">
        <f>IFERROR(VLOOKUP($H706,매장구분!$B:$Z,3,0),"")</f>
        <v/>
      </c>
      <c r="D706" s="46" t="str">
        <f>IFERROR(VLOOKUP($H706,매장구분!$B:$Z,5,0),"")</f>
        <v/>
      </c>
      <c r="E706" s="46" t="str">
        <f>IFERROR(VLOOKUP($H706,매장구분!$B:$Z,9,0),"")</f>
        <v/>
      </c>
      <c r="AF706" s="47">
        <f t="shared" si="10"/>
        <v>0</v>
      </c>
    </row>
    <row r="707" spans="2:32" x14ac:dyDescent="0.3">
      <c r="B707" s="46" t="str">
        <f>IFERROR(VLOOKUP($H707,매장구분!$B:$Z,2,0),"")</f>
        <v/>
      </c>
      <c r="C707" s="46" t="str">
        <f>IFERROR(VLOOKUP($H707,매장구분!$B:$Z,3,0),"")</f>
        <v/>
      </c>
      <c r="D707" s="46" t="str">
        <f>IFERROR(VLOOKUP($H707,매장구분!$B:$Z,5,0),"")</f>
        <v/>
      </c>
      <c r="E707" s="46" t="str">
        <f>IFERROR(VLOOKUP($H707,매장구분!$B:$Z,9,0),"")</f>
        <v/>
      </c>
      <c r="AF707" s="47">
        <f t="shared" ref="AF707:AF770" si="11">IFERROR(AC707-Y707,"")</f>
        <v>0</v>
      </c>
    </row>
    <row r="708" spans="2:32" x14ac:dyDescent="0.3">
      <c r="B708" s="46" t="str">
        <f>IFERROR(VLOOKUP($H708,매장구분!$B:$Z,2,0),"")</f>
        <v/>
      </c>
      <c r="C708" s="46" t="str">
        <f>IFERROR(VLOOKUP($H708,매장구분!$B:$Z,3,0),"")</f>
        <v/>
      </c>
      <c r="D708" s="46" t="str">
        <f>IFERROR(VLOOKUP($H708,매장구분!$B:$Z,5,0),"")</f>
        <v/>
      </c>
      <c r="E708" s="46" t="str">
        <f>IFERROR(VLOOKUP($H708,매장구분!$B:$Z,9,0),"")</f>
        <v/>
      </c>
      <c r="AF708" s="47">
        <f t="shared" si="11"/>
        <v>0</v>
      </c>
    </row>
    <row r="709" spans="2:32" x14ac:dyDescent="0.3">
      <c r="B709" s="46" t="str">
        <f>IFERROR(VLOOKUP($H709,매장구분!$B:$Z,2,0),"")</f>
        <v/>
      </c>
      <c r="C709" s="46" t="str">
        <f>IFERROR(VLOOKUP($H709,매장구분!$B:$Z,3,0),"")</f>
        <v/>
      </c>
      <c r="D709" s="46" t="str">
        <f>IFERROR(VLOOKUP($H709,매장구분!$B:$Z,5,0),"")</f>
        <v/>
      </c>
      <c r="E709" s="46" t="str">
        <f>IFERROR(VLOOKUP($H709,매장구분!$B:$Z,9,0),"")</f>
        <v/>
      </c>
      <c r="AF709" s="47">
        <f t="shared" si="11"/>
        <v>0</v>
      </c>
    </row>
    <row r="710" spans="2:32" x14ac:dyDescent="0.3">
      <c r="B710" s="46" t="str">
        <f>IFERROR(VLOOKUP($H710,매장구분!$B:$Z,2,0),"")</f>
        <v/>
      </c>
      <c r="C710" s="46" t="str">
        <f>IFERROR(VLOOKUP($H710,매장구분!$B:$Z,3,0),"")</f>
        <v/>
      </c>
      <c r="D710" s="46" t="str">
        <f>IFERROR(VLOOKUP($H710,매장구분!$B:$Z,5,0),"")</f>
        <v/>
      </c>
      <c r="E710" s="46" t="str">
        <f>IFERROR(VLOOKUP($H710,매장구분!$B:$Z,9,0),"")</f>
        <v/>
      </c>
      <c r="AF710" s="47">
        <f t="shared" si="11"/>
        <v>0</v>
      </c>
    </row>
    <row r="711" spans="2:32" x14ac:dyDescent="0.3">
      <c r="B711" s="46" t="str">
        <f>IFERROR(VLOOKUP($H711,매장구분!$B:$Z,2,0),"")</f>
        <v/>
      </c>
      <c r="C711" s="46" t="str">
        <f>IFERROR(VLOOKUP($H711,매장구분!$B:$Z,3,0),"")</f>
        <v/>
      </c>
      <c r="D711" s="46" t="str">
        <f>IFERROR(VLOOKUP($H711,매장구분!$B:$Z,5,0),"")</f>
        <v/>
      </c>
      <c r="E711" s="46" t="str">
        <f>IFERROR(VLOOKUP($H711,매장구분!$B:$Z,9,0),"")</f>
        <v/>
      </c>
      <c r="AF711" s="47">
        <f t="shared" si="11"/>
        <v>0</v>
      </c>
    </row>
    <row r="712" spans="2:32" x14ac:dyDescent="0.3">
      <c r="B712" s="46" t="str">
        <f>IFERROR(VLOOKUP($H712,매장구분!$B:$Z,2,0),"")</f>
        <v/>
      </c>
      <c r="C712" s="46" t="str">
        <f>IFERROR(VLOOKUP($H712,매장구분!$B:$Z,3,0),"")</f>
        <v/>
      </c>
      <c r="D712" s="46" t="str">
        <f>IFERROR(VLOOKUP($H712,매장구분!$B:$Z,5,0),"")</f>
        <v/>
      </c>
      <c r="E712" s="46" t="str">
        <f>IFERROR(VLOOKUP($H712,매장구분!$B:$Z,9,0),"")</f>
        <v/>
      </c>
      <c r="AF712" s="47">
        <f t="shared" si="11"/>
        <v>0</v>
      </c>
    </row>
    <row r="713" spans="2:32" x14ac:dyDescent="0.3">
      <c r="B713" s="46" t="str">
        <f>IFERROR(VLOOKUP($H713,매장구분!$B:$Z,2,0),"")</f>
        <v/>
      </c>
      <c r="C713" s="46" t="str">
        <f>IFERROR(VLOOKUP($H713,매장구분!$B:$Z,3,0),"")</f>
        <v/>
      </c>
      <c r="D713" s="46" t="str">
        <f>IFERROR(VLOOKUP($H713,매장구분!$B:$Z,5,0),"")</f>
        <v/>
      </c>
      <c r="E713" s="46" t="str">
        <f>IFERROR(VLOOKUP($H713,매장구분!$B:$Z,9,0),"")</f>
        <v/>
      </c>
      <c r="AF713" s="47">
        <f t="shared" si="11"/>
        <v>0</v>
      </c>
    </row>
    <row r="714" spans="2:32" x14ac:dyDescent="0.3">
      <c r="B714" s="46" t="str">
        <f>IFERROR(VLOOKUP($H714,매장구분!$B:$Z,2,0),"")</f>
        <v/>
      </c>
      <c r="C714" s="46" t="str">
        <f>IFERROR(VLOOKUP($H714,매장구분!$B:$Z,3,0),"")</f>
        <v/>
      </c>
      <c r="D714" s="46" t="str">
        <f>IFERROR(VLOOKUP($H714,매장구분!$B:$Z,5,0),"")</f>
        <v/>
      </c>
      <c r="E714" s="46" t="str">
        <f>IFERROR(VLOOKUP($H714,매장구분!$B:$Z,9,0),"")</f>
        <v/>
      </c>
      <c r="AF714" s="47">
        <f t="shared" si="11"/>
        <v>0</v>
      </c>
    </row>
    <row r="715" spans="2:32" x14ac:dyDescent="0.3">
      <c r="B715" s="46" t="str">
        <f>IFERROR(VLOOKUP($H715,매장구분!$B:$Z,2,0),"")</f>
        <v/>
      </c>
      <c r="C715" s="46" t="str">
        <f>IFERROR(VLOOKUP($H715,매장구분!$B:$Z,3,0),"")</f>
        <v/>
      </c>
      <c r="D715" s="46" t="str">
        <f>IFERROR(VLOOKUP($H715,매장구분!$B:$Z,5,0),"")</f>
        <v/>
      </c>
      <c r="E715" s="46" t="str">
        <f>IFERROR(VLOOKUP($H715,매장구분!$B:$Z,9,0),"")</f>
        <v/>
      </c>
      <c r="AF715" s="47">
        <f t="shared" si="11"/>
        <v>0</v>
      </c>
    </row>
    <row r="716" spans="2:32" x14ac:dyDescent="0.3">
      <c r="B716" s="46" t="str">
        <f>IFERROR(VLOOKUP($H716,매장구분!$B:$Z,2,0),"")</f>
        <v/>
      </c>
      <c r="C716" s="46" t="str">
        <f>IFERROR(VLOOKUP($H716,매장구분!$B:$Z,3,0),"")</f>
        <v/>
      </c>
      <c r="D716" s="46" t="str">
        <f>IFERROR(VLOOKUP($H716,매장구분!$B:$Z,5,0),"")</f>
        <v/>
      </c>
      <c r="E716" s="46" t="str">
        <f>IFERROR(VLOOKUP($H716,매장구분!$B:$Z,9,0),"")</f>
        <v/>
      </c>
      <c r="AF716" s="47">
        <f t="shared" si="11"/>
        <v>0</v>
      </c>
    </row>
    <row r="717" spans="2:32" x14ac:dyDescent="0.3">
      <c r="B717" s="46" t="str">
        <f>IFERROR(VLOOKUP($H717,매장구분!$B:$Z,2,0),"")</f>
        <v/>
      </c>
      <c r="C717" s="46" t="str">
        <f>IFERROR(VLOOKUP($H717,매장구분!$B:$Z,3,0),"")</f>
        <v/>
      </c>
      <c r="D717" s="46" t="str">
        <f>IFERROR(VLOOKUP($H717,매장구분!$B:$Z,5,0),"")</f>
        <v/>
      </c>
      <c r="E717" s="46" t="str">
        <f>IFERROR(VLOOKUP($H717,매장구분!$B:$Z,9,0),"")</f>
        <v/>
      </c>
      <c r="AF717" s="47">
        <f t="shared" si="11"/>
        <v>0</v>
      </c>
    </row>
    <row r="718" spans="2:32" x14ac:dyDescent="0.3">
      <c r="B718" s="46" t="str">
        <f>IFERROR(VLOOKUP($H718,매장구분!$B:$Z,2,0),"")</f>
        <v/>
      </c>
      <c r="C718" s="46" t="str">
        <f>IFERROR(VLOOKUP($H718,매장구분!$B:$Z,3,0),"")</f>
        <v/>
      </c>
      <c r="D718" s="46" t="str">
        <f>IFERROR(VLOOKUP($H718,매장구분!$B:$Z,5,0),"")</f>
        <v/>
      </c>
      <c r="E718" s="46" t="str">
        <f>IFERROR(VLOOKUP($H718,매장구분!$B:$Z,9,0),"")</f>
        <v/>
      </c>
      <c r="AF718" s="47">
        <f t="shared" si="11"/>
        <v>0</v>
      </c>
    </row>
    <row r="719" spans="2:32" x14ac:dyDescent="0.3">
      <c r="B719" s="46" t="str">
        <f>IFERROR(VLOOKUP($H719,매장구분!$B:$Z,2,0),"")</f>
        <v/>
      </c>
      <c r="C719" s="46" t="str">
        <f>IFERROR(VLOOKUP($H719,매장구분!$B:$Z,3,0),"")</f>
        <v/>
      </c>
      <c r="D719" s="46" t="str">
        <f>IFERROR(VLOOKUP($H719,매장구분!$B:$Z,5,0),"")</f>
        <v/>
      </c>
      <c r="E719" s="46" t="str">
        <f>IFERROR(VLOOKUP($H719,매장구분!$B:$Z,9,0),"")</f>
        <v/>
      </c>
      <c r="AF719" s="47">
        <f t="shared" si="11"/>
        <v>0</v>
      </c>
    </row>
    <row r="720" spans="2:32" x14ac:dyDescent="0.3">
      <c r="B720" s="46" t="str">
        <f>IFERROR(VLOOKUP($H720,매장구분!$B:$Z,2,0),"")</f>
        <v/>
      </c>
      <c r="C720" s="46" t="str">
        <f>IFERROR(VLOOKUP($H720,매장구분!$B:$Z,3,0),"")</f>
        <v/>
      </c>
      <c r="D720" s="46" t="str">
        <f>IFERROR(VLOOKUP($H720,매장구분!$B:$Z,5,0),"")</f>
        <v/>
      </c>
      <c r="E720" s="46" t="str">
        <f>IFERROR(VLOOKUP($H720,매장구분!$B:$Z,9,0),"")</f>
        <v/>
      </c>
      <c r="AF720" s="47">
        <f t="shared" si="11"/>
        <v>0</v>
      </c>
    </row>
    <row r="721" spans="2:32" x14ac:dyDescent="0.3">
      <c r="B721" s="46" t="str">
        <f>IFERROR(VLOOKUP($H721,매장구분!$B:$Z,2,0),"")</f>
        <v/>
      </c>
      <c r="C721" s="46" t="str">
        <f>IFERROR(VLOOKUP($H721,매장구분!$B:$Z,3,0),"")</f>
        <v/>
      </c>
      <c r="D721" s="46" t="str">
        <f>IFERROR(VLOOKUP($H721,매장구분!$B:$Z,5,0),"")</f>
        <v/>
      </c>
      <c r="E721" s="46" t="str">
        <f>IFERROR(VLOOKUP($H721,매장구분!$B:$Z,9,0),"")</f>
        <v/>
      </c>
      <c r="AF721" s="47">
        <f t="shared" si="11"/>
        <v>0</v>
      </c>
    </row>
    <row r="722" spans="2:32" x14ac:dyDescent="0.3">
      <c r="B722" s="46" t="str">
        <f>IFERROR(VLOOKUP($H722,매장구분!$B:$Z,2,0),"")</f>
        <v/>
      </c>
      <c r="C722" s="46" t="str">
        <f>IFERROR(VLOOKUP($H722,매장구분!$B:$Z,3,0),"")</f>
        <v/>
      </c>
      <c r="D722" s="46" t="str">
        <f>IFERROR(VLOOKUP($H722,매장구분!$B:$Z,5,0),"")</f>
        <v/>
      </c>
      <c r="E722" s="46" t="str">
        <f>IFERROR(VLOOKUP($H722,매장구분!$B:$Z,9,0),"")</f>
        <v/>
      </c>
      <c r="AF722" s="47">
        <f t="shared" si="11"/>
        <v>0</v>
      </c>
    </row>
    <row r="723" spans="2:32" x14ac:dyDescent="0.3">
      <c r="B723" s="46" t="str">
        <f>IFERROR(VLOOKUP($H723,매장구분!$B:$Z,2,0),"")</f>
        <v/>
      </c>
      <c r="C723" s="46" t="str">
        <f>IFERROR(VLOOKUP($H723,매장구분!$B:$Z,3,0),"")</f>
        <v/>
      </c>
      <c r="D723" s="46" t="str">
        <f>IFERROR(VLOOKUP($H723,매장구분!$B:$Z,5,0),"")</f>
        <v/>
      </c>
      <c r="E723" s="46" t="str">
        <f>IFERROR(VLOOKUP($H723,매장구분!$B:$Z,9,0),"")</f>
        <v/>
      </c>
      <c r="AF723" s="47">
        <f t="shared" si="11"/>
        <v>0</v>
      </c>
    </row>
    <row r="724" spans="2:32" x14ac:dyDescent="0.3">
      <c r="B724" s="46" t="str">
        <f>IFERROR(VLOOKUP($H724,매장구분!$B:$Z,2,0),"")</f>
        <v/>
      </c>
      <c r="C724" s="46" t="str">
        <f>IFERROR(VLOOKUP($H724,매장구분!$B:$Z,3,0),"")</f>
        <v/>
      </c>
      <c r="D724" s="46" t="str">
        <f>IFERROR(VLOOKUP($H724,매장구분!$B:$Z,5,0),"")</f>
        <v/>
      </c>
      <c r="E724" s="46" t="str">
        <f>IFERROR(VLOOKUP($H724,매장구분!$B:$Z,9,0),"")</f>
        <v/>
      </c>
      <c r="AF724" s="47">
        <f t="shared" si="11"/>
        <v>0</v>
      </c>
    </row>
    <row r="725" spans="2:32" x14ac:dyDescent="0.3">
      <c r="B725" s="46" t="str">
        <f>IFERROR(VLOOKUP($H725,매장구분!$B:$Z,2,0),"")</f>
        <v/>
      </c>
      <c r="C725" s="46" t="str">
        <f>IFERROR(VLOOKUP($H725,매장구분!$B:$Z,3,0),"")</f>
        <v/>
      </c>
      <c r="D725" s="46" t="str">
        <f>IFERROR(VLOOKUP($H725,매장구분!$B:$Z,5,0),"")</f>
        <v/>
      </c>
      <c r="E725" s="46" t="str">
        <f>IFERROR(VLOOKUP($H725,매장구분!$B:$Z,9,0),"")</f>
        <v/>
      </c>
      <c r="AF725" s="47">
        <f t="shared" si="11"/>
        <v>0</v>
      </c>
    </row>
    <row r="726" spans="2:32" x14ac:dyDescent="0.3">
      <c r="B726" s="46" t="str">
        <f>IFERROR(VLOOKUP($H726,매장구분!$B:$Z,2,0),"")</f>
        <v/>
      </c>
      <c r="C726" s="46" t="str">
        <f>IFERROR(VLOOKUP($H726,매장구분!$B:$Z,3,0),"")</f>
        <v/>
      </c>
      <c r="D726" s="46" t="str">
        <f>IFERROR(VLOOKUP($H726,매장구분!$B:$Z,5,0),"")</f>
        <v/>
      </c>
      <c r="E726" s="46" t="str">
        <f>IFERROR(VLOOKUP($H726,매장구분!$B:$Z,9,0),"")</f>
        <v/>
      </c>
      <c r="AF726" s="47">
        <f t="shared" si="11"/>
        <v>0</v>
      </c>
    </row>
    <row r="727" spans="2:32" x14ac:dyDescent="0.3">
      <c r="B727" s="46" t="str">
        <f>IFERROR(VLOOKUP($H727,매장구분!$B:$Z,2,0),"")</f>
        <v/>
      </c>
      <c r="C727" s="46" t="str">
        <f>IFERROR(VLOOKUP($H727,매장구분!$B:$Z,3,0),"")</f>
        <v/>
      </c>
      <c r="D727" s="46" t="str">
        <f>IFERROR(VLOOKUP($H727,매장구분!$B:$Z,5,0),"")</f>
        <v/>
      </c>
      <c r="E727" s="46" t="str">
        <f>IFERROR(VLOOKUP($H727,매장구분!$B:$Z,9,0),"")</f>
        <v/>
      </c>
      <c r="AF727" s="47">
        <f t="shared" si="11"/>
        <v>0</v>
      </c>
    </row>
    <row r="728" spans="2:32" x14ac:dyDescent="0.3">
      <c r="B728" s="46" t="str">
        <f>IFERROR(VLOOKUP($H728,매장구분!$B:$Z,2,0),"")</f>
        <v/>
      </c>
      <c r="C728" s="46" t="str">
        <f>IFERROR(VLOOKUP($H728,매장구분!$B:$Z,3,0),"")</f>
        <v/>
      </c>
      <c r="D728" s="46" t="str">
        <f>IFERROR(VLOOKUP($H728,매장구분!$B:$Z,5,0),"")</f>
        <v/>
      </c>
      <c r="E728" s="46" t="str">
        <f>IFERROR(VLOOKUP($H728,매장구분!$B:$Z,9,0),"")</f>
        <v/>
      </c>
      <c r="AF728" s="47">
        <f t="shared" si="11"/>
        <v>0</v>
      </c>
    </row>
    <row r="729" spans="2:32" x14ac:dyDescent="0.3">
      <c r="B729" s="46" t="str">
        <f>IFERROR(VLOOKUP($H729,매장구분!$B:$Z,2,0),"")</f>
        <v/>
      </c>
      <c r="C729" s="46" t="str">
        <f>IFERROR(VLOOKUP($H729,매장구분!$B:$Z,3,0),"")</f>
        <v/>
      </c>
      <c r="D729" s="46" t="str">
        <f>IFERROR(VLOOKUP($H729,매장구분!$B:$Z,5,0),"")</f>
        <v/>
      </c>
      <c r="E729" s="46" t="str">
        <f>IFERROR(VLOOKUP($H729,매장구분!$B:$Z,9,0),"")</f>
        <v/>
      </c>
      <c r="AF729" s="47">
        <f t="shared" si="11"/>
        <v>0</v>
      </c>
    </row>
    <row r="730" spans="2:32" x14ac:dyDescent="0.3">
      <c r="B730" s="46" t="str">
        <f>IFERROR(VLOOKUP($H730,매장구분!$B:$Z,2,0),"")</f>
        <v/>
      </c>
      <c r="C730" s="46" t="str">
        <f>IFERROR(VLOOKUP($H730,매장구분!$B:$Z,3,0),"")</f>
        <v/>
      </c>
      <c r="D730" s="46" t="str">
        <f>IFERROR(VLOOKUP($H730,매장구분!$B:$Z,5,0),"")</f>
        <v/>
      </c>
      <c r="E730" s="46" t="str">
        <f>IFERROR(VLOOKUP($H730,매장구분!$B:$Z,9,0),"")</f>
        <v/>
      </c>
      <c r="AF730" s="47">
        <f t="shared" si="11"/>
        <v>0</v>
      </c>
    </row>
    <row r="731" spans="2:32" x14ac:dyDescent="0.3">
      <c r="B731" s="46" t="str">
        <f>IFERROR(VLOOKUP($H731,매장구분!$B:$Z,2,0),"")</f>
        <v/>
      </c>
      <c r="C731" s="46" t="str">
        <f>IFERROR(VLOOKUP($H731,매장구분!$B:$Z,3,0),"")</f>
        <v/>
      </c>
      <c r="D731" s="46" t="str">
        <f>IFERROR(VLOOKUP($H731,매장구분!$B:$Z,5,0),"")</f>
        <v/>
      </c>
      <c r="E731" s="46" t="str">
        <f>IFERROR(VLOOKUP($H731,매장구분!$B:$Z,9,0),"")</f>
        <v/>
      </c>
      <c r="AF731" s="47">
        <f t="shared" si="11"/>
        <v>0</v>
      </c>
    </row>
    <row r="732" spans="2:32" x14ac:dyDescent="0.3">
      <c r="B732" s="46" t="str">
        <f>IFERROR(VLOOKUP($H732,매장구분!$B:$Z,2,0),"")</f>
        <v/>
      </c>
      <c r="C732" s="46" t="str">
        <f>IFERROR(VLOOKUP($H732,매장구분!$B:$Z,3,0),"")</f>
        <v/>
      </c>
      <c r="D732" s="46" t="str">
        <f>IFERROR(VLOOKUP($H732,매장구분!$B:$Z,5,0),"")</f>
        <v/>
      </c>
      <c r="E732" s="46" t="str">
        <f>IFERROR(VLOOKUP($H732,매장구분!$B:$Z,9,0),"")</f>
        <v/>
      </c>
      <c r="AF732" s="47">
        <f t="shared" si="11"/>
        <v>0</v>
      </c>
    </row>
    <row r="733" spans="2:32" x14ac:dyDescent="0.3">
      <c r="B733" s="46" t="str">
        <f>IFERROR(VLOOKUP($H733,매장구분!$B:$Z,2,0),"")</f>
        <v/>
      </c>
      <c r="C733" s="46" t="str">
        <f>IFERROR(VLOOKUP($H733,매장구분!$B:$Z,3,0),"")</f>
        <v/>
      </c>
      <c r="D733" s="46" t="str">
        <f>IFERROR(VLOOKUP($H733,매장구분!$B:$Z,5,0),"")</f>
        <v/>
      </c>
      <c r="E733" s="46" t="str">
        <f>IFERROR(VLOOKUP($H733,매장구분!$B:$Z,9,0),"")</f>
        <v/>
      </c>
      <c r="AF733" s="47">
        <f t="shared" si="11"/>
        <v>0</v>
      </c>
    </row>
    <row r="734" spans="2:32" x14ac:dyDescent="0.3">
      <c r="B734" s="46" t="str">
        <f>IFERROR(VLOOKUP($H734,매장구분!$B:$Z,2,0),"")</f>
        <v/>
      </c>
      <c r="C734" s="46" t="str">
        <f>IFERROR(VLOOKUP($H734,매장구분!$B:$Z,3,0),"")</f>
        <v/>
      </c>
      <c r="D734" s="46" t="str">
        <f>IFERROR(VLOOKUP($H734,매장구분!$B:$Z,5,0),"")</f>
        <v/>
      </c>
      <c r="E734" s="46" t="str">
        <f>IFERROR(VLOOKUP($H734,매장구분!$B:$Z,9,0),"")</f>
        <v/>
      </c>
      <c r="AF734" s="47">
        <f t="shared" si="11"/>
        <v>0</v>
      </c>
    </row>
    <row r="735" spans="2:32" x14ac:dyDescent="0.3">
      <c r="B735" s="46" t="str">
        <f>IFERROR(VLOOKUP($H735,매장구분!$B:$Z,2,0),"")</f>
        <v/>
      </c>
      <c r="C735" s="46" t="str">
        <f>IFERROR(VLOOKUP($H735,매장구분!$B:$Z,3,0),"")</f>
        <v/>
      </c>
      <c r="D735" s="46" t="str">
        <f>IFERROR(VLOOKUP($H735,매장구분!$B:$Z,5,0),"")</f>
        <v/>
      </c>
      <c r="E735" s="46" t="str">
        <f>IFERROR(VLOOKUP($H735,매장구분!$B:$Z,9,0),"")</f>
        <v/>
      </c>
      <c r="AF735" s="47">
        <f t="shared" si="11"/>
        <v>0</v>
      </c>
    </row>
    <row r="736" spans="2:32" x14ac:dyDescent="0.3">
      <c r="B736" s="46" t="str">
        <f>IFERROR(VLOOKUP($H736,매장구분!$B:$Z,2,0),"")</f>
        <v/>
      </c>
      <c r="C736" s="46" t="str">
        <f>IFERROR(VLOOKUP($H736,매장구분!$B:$Z,3,0),"")</f>
        <v/>
      </c>
      <c r="D736" s="46" t="str">
        <f>IFERROR(VLOOKUP($H736,매장구분!$B:$Z,5,0),"")</f>
        <v/>
      </c>
      <c r="E736" s="46" t="str">
        <f>IFERROR(VLOOKUP($H736,매장구분!$B:$Z,9,0),"")</f>
        <v/>
      </c>
      <c r="AF736" s="47">
        <f t="shared" si="11"/>
        <v>0</v>
      </c>
    </row>
    <row r="737" spans="2:32" x14ac:dyDescent="0.3">
      <c r="B737" s="46" t="str">
        <f>IFERROR(VLOOKUP($H737,매장구분!$B:$Z,2,0),"")</f>
        <v/>
      </c>
      <c r="C737" s="46" t="str">
        <f>IFERROR(VLOOKUP($H737,매장구분!$B:$Z,3,0),"")</f>
        <v/>
      </c>
      <c r="D737" s="46" t="str">
        <f>IFERROR(VLOOKUP($H737,매장구분!$B:$Z,5,0),"")</f>
        <v/>
      </c>
      <c r="E737" s="46" t="str">
        <f>IFERROR(VLOOKUP($H737,매장구분!$B:$Z,9,0),"")</f>
        <v/>
      </c>
      <c r="AF737" s="47">
        <f t="shared" si="11"/>
        <v>0</v>
      </c>
    </row>
    <row r="738" spans="2:32" x14ac:dyDescent="0.3">
      <c r="B738" s="46" t="str">
        <f>IFERROR(VLOOKUP($H738,매장구분!$B:$Z,2,0),"")</f>
        <v/>
      </c>
      <c r="C738" s="46" t="str">
        <f>IFERROR(VLOOKUP($H738,매장구분!$B:$Z,3,0),"")</f>
        <v/>
      </c>
      <c r="D738" s="46" t="str">
        <f>IFERROR(VLOOKUP($H738,매장구분!$B:$Z,5,0),"")</f>
        <v/>
      </c>
      <c r="E738" s="46" t="str">
        <f>IFERROR(VLOOKUP($H738,매장구분!$B:$Z,9,0),"")</f>
        <v/>
      </c>
      <c r="AF738" s="47">
        <f t="shared" si="11"/>
        <v>0</v>
      </c>
    </row>
    <row r="739" spans="2:32" x14ac:dyDescent="0.3">
      <c r="B739" s="46" t="str">
        <f>IFERROR(VLOOKUP($H739,매장구분!$B:$Z,2,0),"")</f>
        <v/>
      </c>
      <c r="C739" s="46" t="str">
        <f>IFERROR(VLOOKUP($H739,매장구분!$B:$Z,3,0),"")</f>
        <v/>
      </c>
      <c r="D739" s="46" t="str">
        <f>IFERROR(VLOOKUP($H739,매장구분!$B:$Z,5,0),"")</f>
        <v/>
      </c>
      <c r="E739" s="46" t="str">
        <f>IFERROR(VLOOKUP($H739,매장구분!$B:$Z,9,0),"")</f>
        <v/>
      </c>
      <c r="AF739" s="47">
        <f t="shared" si="11"/>
        <v>0</v>
      </c>
    </row>
    <row r="740" spans="2:32" x14ac:dyDescent="0.3">
      <c r="B740" s="46" t="str">
        <f>IFERROR(VLOOKUP($H740,매장구분!$B:$Z,2,0),"")</f>
        <v/>
      </c>
      <c r="C740" s="46" t="str">
        <f>IFERROR(VLOOKUP($H740,매장구분!$B:$Z,3,0),"")</f>
        <v/>
      </c>
      <c r="D740" s="46" t="str">
        <f>IFERROR(VLOOKUP($H740,매장구분!$B:$Z,5,0),"")</f>
        <v/>
      </c>
      <c r="E740" s="46" t="str">
        <f>IFERROR(VLOOKUP($H740,매장구분!$B:$Z,9,0),"")</f>
        <v/>
      </c>
      <c r="AF740" s="47">
        <f t="shared" si="11"/>
        <v>0</v>
      </c>
    </row>
    <row r="741" spans="2:32" x14ac:dyDescent="0.3">
      <c r="B741" s="46" t="str">
        <f>IFERROR(VLOOKUP($H741,매장구분!$B:$Z,2,0),"")</f>
        <v/>
      </c>
      <c r="C741" s="46" t="str">
        <f>IFERROR(VLOOKUP($H741,매장구분!$B:$Z,3,0),"")</f>
        <v/>
      </c>
      <c r="D741" s="46" t="str">
        <f>IFERROR(VLOOKUP($H741,매장구분!$B:$Z,5,0),"")</f>
        <v/>
      </c>
      <c r="E741" s="46" t="str">
        <f>IFERROR(VLOOKUP($H741,매장구분!$B:$Z,9,0),"")</f>
        <v/>
      </c>
      <c r="AF741" s="47">
        <f t="shared" si="11"/>
        <v>0</v>
      </c>
    </row>
    <row r="742" spans="2:32" x14ac:dyDescent="0.3">
      <c r="B742" s="46" t="str">
        <f>IFERROR(VLOOKUP($H742,매장구분!$B:$Z,2,0),"")</f>
        <v/>
      </c>
      <c r="C742" s="46" t="str">
        <f>IFERROR(VLOOKUP($H742,매장구분!$B:$Z,3,0),"")</f>
        <v/>
      </c>
      <c r="D742" s="46" t="str">
        <f>IFERROR(VLOOKUP($H742,매장구분!$B:$Z,5,0),"")</f>
        <v/>
      </c>
      <c r="E742" s="46" t="str">
        <f>IFERROR(VLOOKUP($H742,매장구분!$B:$Z,9,0),"")</f>
        <v/>
      </c>
      <c r="AF742" s="47">
        <f t="shared" si="11"/>
        <v>0</v>
      </c>
    </row>
    <row r="743" spans="2:32" x14ac:dyDescent="0.3">
      <c r="B743" s="46" t="str">
        <f>IFERROR(VLOOKUP($H743,매장구분!$B:$Z,2,0),"")</f>
        <v/>
      </c>
      <c r="C743" s="46" t="str">
        <f>IFERROR(VLOOKUP($H743,매장구분!$B:$Z,3,0),"")</f>
        <v/>
      </c>
      <c r="D743" s="46" t="str">
        <f>IFERROR(VLOOKUP($H743,매장구분!$B:$Z,5,0),"")</f>
        <v/>
      </c>
      <c r="E743" s="46" t="str">
        <f>IFERROR(VLOOKUP($H743,매장구분!$B:$Z,9,0),"")</f>
        <v/>
      </c>
      <c r="AF743" s="47">
        <f t="shared" si="11"/>
        <v>0</v>
      </c>
    </row>
    <row r="744" spans="2:32" x14ac:dyDescent="0.3">
      <c r="B744" s="46" t="str">
        <f>IFERROR(VLOOKUP($H744,매장구분!$B:$Z,2,0),"")</f>
        <v/>
      </c>
      <c r="C744" s="46" t="str">
        <f>IFERROR(VLOOKUP($H744,매장구분!$B:$Z,3,0),"")</f>
        <v/>
      </c>
      <c r="D744" s="46" t="str">
        <f>IFERROR(VLOOKUP($H744,매장구분!$B:$Z,5,0),"")</f>
        <v/>
      </c>
      <c r="E744" s="46" t="str">
        <f>IFERROR(VLOOKUP($H744,매장구분!$B:$Z,9,0),"")</f>
        <v/>
      </c>
      <c r="AF744" s="47">
        <f t="shared" si="11"/>
        <v>0</v>
      </c>
    </row>
    <row r="745" spans="2:32" x14ac:dyDescent="0.3">
      <c r="B745" s="46" t="str">
        <f>IFERROR(VLOOKUP($H745,매장구분!$B:$Z,2,0),"")</f>
        <v/>
      </c>
      <c r="C745" s="46" t="str">
        <f>IFERROR(VLOOKUP($H745,매장구분!$B:$Z,3,0),"")</f>
        <v/>
      </c>
      <c r="D745" s="46" t="str">
        <f>IFERROR(VLOOKUP($H745,매장구분!$B:$Z,5,0),"")</f>
        <v/>
      </c>
      <c r="E745" s="46" t="str">
        <f>IFERROR(VLOOKUP($H745,매장구분!$B:$Z,9,0),"")</f>
        <v/>
      </c>
      <c r="AF745" s="47">
        <f t="shared" si="11"/>
        <v>0</v>
      </c>
    </row>
    <row r="746" spans="2:32" x14ac:dyDescent="0.3">
      <c r="B746" s="46" t="str">
        <f>IFERROR(VLOOKUP($H746,매장구분!$B:$Z,2,0),"")</f>
        <v/>
      </c>
      <c r="C746" s="46" t="str">
        <f>IFERROR(VLOOKUP($H746,매장구분!$B:$Z,3,0),"")</f>
        <v/>
      </c>
      <c r="D746" s="46" t="str">
        <f>IFERROR(VLOOKUP($H746,매장구분!$B:$Z,5,0),"")</f>
        <v/>
      </c>
      <c r="E746" s="46" t="str">
        <f>IFERROR(VLOOKUP($H746,매장구분!$B:$Z,9,0),"")</f>
        <v/>
      </c>
      <c r="AF746" s="47">
        <f t="shared" si="11"/>
        <v>0</v>
      </c>
    </row>
    <row r="747" spans="2:32" x14ac:dyDescent="0.3">
      <c r="B747" s="46" t="str">
        <f>IFERROR(VLOOKUP($H747,매장구분!$B:$Z,2,0),"")</f>
        <v/>
      </c>
      <c r="C747" s="46" t="str">
        <f>IFERROR(VLOOKUP($H747,매장구분!$B:$Z,3,0),"")</f>
        <v/>
      </c>
      <c r="D747" s="46" t="str">
        <f>IFERROR(VLOOKUP($H747,매장구분!$B:$Z,5,0),"")</f>
        <v/>
      </c>
      <c r="E747" s="46" t="str">
        <f>IFERROR(VLOOKUP($H747,매장구분!$B:$Z,9,0),"")</f>
        <v/>
      </c>
      <c r="AF747" s="47">
        <f t="shared" si="11"/>
        <v>0</v>
      </c>
    </row>
    <row r="748" spans="2:32" x14ac:dyDescent="0.3">
      <c r="B748" s="46" t="str">
        <f>IFERROR(VLOOKUP($H748,매장구분!$B:$Z,2,0),"")</f>
        <v/>
      </c>
      <c r="C748" s="46" t="str">
        <f>IFERROR(VLOOKUP($H748,매장구분!$B:$Z,3,0),"")</f>
        <v/>
      </c>
      <c r="D748" s="46" t="str">
        <f>IFERROR(VLOOKUP($H748,매장구분!$B:$Z,5,0),"")</f>
        <v/>
      </c>
      <c r="E748" s="46" t="str">
        <f>IFERROR(VLOOKUP($H748,매장구분!$B:$Z,9,0),"")</f>
        <v/>
      </c>
      <c r="AF748" s="47">
        <f t="shared" si="11"/>
        <v>0</v>
      </c>
    </row>
    <row r="749" spans="2:32" x14ac:dyDescent="0.3">
      <c r="B749" s="46" t="str">
        <f>IFERROR(VLOOKUP($H749,매장구분!$B:$Z,2,0),"")</f>
        <v/>
      </c>
      <c r="C749" s="46" t="str">
        <f>IFERROR(VLOOKUP($H749,매장구분!$B:$Z,3,0),"")</f>
        <v/>
      </c>
      <c r="D749" s="46" t="str">
        <f>IFERROR(VLOOKUP($H749,매장구분!$B:$Z,5,0),"")</f>
        <v/>
      </c>
      <c r="E749" s="46" t="str">
        <f>IFERROR(VLOOKUP($H749,매장구분!$B:$Z,9,0),"")</f>
        <v/>
      </c>
      <c r="AF749" s="47">
        <f t="shared" si="11"/>
        <v>0</v>
      </c>
    </row>
    <row r="750" spans="2:32" x14ac:dyDescent="0.3">
      <c r="B750" s="46" t="str">
        <f>IFERROR(VLOOKUP($H750,매장구분!$B:$Z,2,0),"")</f>
        <v/>
      </c>
      <c r="C750" s="46" t="str">
        <f>IFERROR(VLOOKUP($H750,매장구분!$B:$Z,3,0),"")</f>
        <v/>
      </c>
      <c r="D750" s="46" t="str">
        <f>IFERROR(VLOOKUP($H750,매장구분!$B:$Z,5,0),"")</f>
        <v/>
      </c>
      <c r="E750" s="46" t="str">
        <f>IFERROR(VLOOKUP($H750,매장구분!$B:$Z,9,0),"")</f>
        <v/>
      </c>
      <c r="AF750" s="47">
        <f t="shared" si="11"/>
        <v>0</v>
      </c>
    </row>
    <row r="751" spans="2:32" x14ac:dyDescent="0.3">
      <c r="B751" s="46" t="str">
        <f>IFERROR(VLOOKUP($H751,매장구분!$B:$Z,2,0),"")</f>
        <v/>
      </c>
      <c r="C751" s="46" t="str">
        <f>IFERROR(VLOOKUP($H751,매장구분!$B:$Z,3,0),"")</f>
        <v/>
      </c>
      <c r="D751" s="46" t="str">
        <f>IFERROR(VLOOKUP($H751,매장구분!$B:$Z,5,0),"")</f>
        <v/>
      </c>
      <c r="E751" s="46" t="str">
        <f>IFERROR(VLOOKUP($H751,매장구분!$B:$Z,9,0),"")</f>
        <v/>
      </c>
      <c r="AF751" s="47">
        <f t="shared" si="11"/>
        <v>0</v>
      </c>
    </row>
    <row r="752" spans="2:32" x14ac:dyDescent="0.3">
      <c r="B752" s="46" t="str">
        <f>IFERROR(VLOOKUP($H752,매장구분!$B:$Z,2,0),"")</f>
        <v/>
      </c>
      <c r="C752" s="46" t="str">
        <f>IFERROR(VLOOKUP($H752,매장구분!$B:$Z,3,0),"")</f>
        <v/>
      </c>
      <c r="D752" s="46" t="str">
        <f>IFERROR(VLOOKUP($H752,매장구분!$B:$Z,5,0),"")</f>
        <v/>
      </c>
      <c r="E752" s="46" t="str">
        <f>IFERROR(VLOOKUP($H752,매장구분!$B:$Z,9,0),"")</f>
        <v/>
      </c>
      <c r="AF752" s="47">
        <f t="shared" si="11"/>
        <v>0</v>
      </c>
    </row>
    <row r="753" spans="2:32" x14ac:dyDescent="0.3">
      <c r="B753" s="46" t="str">
        <f>IFERROR(VLOOKUP($H753,매장구분!$B:$Z,2,0),"")</f>
        <v/>
      </c>
      <c r="C753" s="46" t="str">
        <f>IFERROR(VLOOKUP($H753,매장구분!$B:$Z,3,0),"")</f>
        <v/>
      </c>
      <c r="D753" s="46" t="str">
        <f>IFERROR(VLOOKUP($H753,매장구분!$B:$Z,5,0),"")</f>
        <v/>
      </c>
      <c r="E753" s="46" t="str">
        <f>IFERROR(VLOOKUP($H753,매장구분!$B:$Z,9,0),"")</f>
        <v/>
      </c>
      <c r="AF753" s="47">
        <f t="shared" si="11"/>
        <v>0</v>
      </c>
    </row>
    <row r="754" spans="2:32" x14ac:dyDescent="0.3">
      <c r="B754" s="46" t="str">
        <f>IFERROR(VLOOKUP($H754,매장구분!$B:$Z,2,0),"")</f>
        <v/>
      </c>
      <c r="C754" s="46" t="str">
        <f>IFERROR(VLOOKUP($H754,매장구분!$B:$Z,3,0),"")</f>
        <v/>
      </c>
      <c r="D754" s="46" t="str">
        <f>IFERROR(VLOOKUP($H754,매장구분!$B:$Z,5,0),"")</f>
        <v/>
      </c>
      <c r="E754" s="46" t="str">
        <f>IFERROR(VLOOKUP($H754,매장구분!$B:$Z,9,0),"")</f>
        <v/>
      </c>
      <c r="AF754" s="47">
        <f t="shared" si="11"/>
        <v>0</v>
      </c>
    </row>
    <row r="755" spans="2:32" x14ac:dyDescent="0.3">
      <c r="B755" s="46" t="str">
        <f>IFERROR(VLOOKUP($H755,매장구분!$B:$Z,2,0),"")</f>
        <v/>
      </c>
      <c r="C755" s="46" t="str">
        <f>IFERROR(VLOOKUP($H755,매장구분!$B:$Z,3,0),"")</f>
        <v/>
      </c>
      <c r="D755" s="46" t="str">
        <f>IFERROR(VLOOKUP($H755,매장구분!$B:$Z,5,0),"")</f>
        <v/>
      </c>
      <c r="E755" s="46" t="str">
        <f>IFERROR(VLOOKUP($H755,매장구분!$B:$Z,9,0),"")</f>
        <v/>
      </c>
      <c r="AF755" s="47">
        <f t="shared" si="11"/>
        <v>0</v>
      </c>
    </row>
    <row r="756" spans="2:32" x14ac:dyDescent="0.3">
      <c r="B756" s="46" t="str">
        <f>IFERROR(VLOOKUP($H756,매장구분!$B:$Z,2,0),"")</f>
        <v/>
      </c>
      <c r="C756" s="46" t="str">
        <f>IFERROR(VLOOKUP($H756,매장구분!$B:$Z,3,0),"")</f>
        <v/>
      </c>
      <c r="D756" s="46" t="str">
        <f>IFERROR(VLOOKUP($H756,매장구분!$B:$Z,5,0),"")</f>
        <v/>
      </c>
      <c r="E756" s="46" t="str">
        <f>IFERROR(VLOOKUP($H756,매장구분!$B:$Z,9,0),"")</f>
        <v/>
      </c>
      <c r="AF756" s="47">
        <f t="shared" si="11"/>
        <v>0</v>
      </c>
    </row>
    <row r="757" spans="2:32" x14ac:dyDescent="0.3">
      <c r="B757" s="46" t="str">
        <f>IFERROR(VLOOKUP($H757,매장구분!$B:$Z,2,0),"")</f>
        <v/>
      </c>
      <c r="C757" s="46" t="str">
        <f>IFERROR(VLOOKUP($H757,매장구분!$B:$Z,3,0),"")</f>
        <v/>
      </c>
      <c r="D757" s="46" t="str">
        <f>IFERROR(VLOOKUP($H757,매장구분!$B:$Z,5,0),"")</f>
        <v/>
      </c>
      <c r="E757" s="46" t="str">
        <f>IFERROR(VLOOKUP($H757,매장구분!$B:$Z,9,0),"")</f>
        <v/>
      </c>
      <c r="AF757" s="47">
        <f t="shared" si="11"/>
        <v>0</v>
      </c>
    </row>
    <row r="758" spans="2:32" x14ac:dyDescent="0.3">
      <c r="B758" s="46" t="str">
        <f>IFERROR(VLOOKUP($H758,매장구분!$B:$Z,2,0),"")</f>
        <v/>
      </c>
      <c r="C758" s="46" t="str">
        <f>IFERROR(VLOOKUP($H758,매장구분!$B:$Z,3,0),"")</f>
        <v/>
      </c>
      <c r="D758" s="46" t="str">
        <f>IFERROR(VLOOKUP($H758,매장구분!$B:$Z,5,0),"")</f>
        <v/>
      </c>
      <c r="E758" s="46" t="str">
        <f>IFERROR(VLOOKUP($H758,매장구분!$B:$Z,9,0),"")</f>
        <v/>
      </c>
      <c r="AF758" s="47">
        <f t="shared" si="11"/>
        <v>0</v>
      </c>
    </row>
    <row r="759" spans="2:32" x14ac:dyDescent="0.3">
      <c r="B759" s="46" t="str">
        <f>IFERROR(VLOOKUP($H759,매장구분!$B:$Z,2,0),"")</f>
        <v/>
      </c>
      <c r="C759" s="46" t="str">
        <f>IFERROR(VLOOKUP($H759,매장구분!$B:$Z,3,0),"")</f>
        <v/>
      </c>
      <c r="D759" s="46" t="str">
        <f>IFERROR(VLOOKUP($H759,매장구분!$B:$Z,5,0),"")</f>
        <v/>
      </c>
      <c r="E759" s="46" t="str">
        <f>IFERROR(VLOOKUP($H759,매장구분!$B:$Z,9,0),"")</f>
        <v/>
      </c>
      <c r="AF759" s="47">
        <f t="shared" si="11"/>
        <v>0</v>
      </c>
    </row>
    <row r="760" spans="2:32" x14ac:dyDescent="0.3">
      <c r="B760" s="46" t="str">
        <f>IFERROR(VLOOKUP($H760,매장구분!$B:$Z,2,0),"")</f>
        <v/>
      </c>
      <c r="C760" s="46" t="str">
        <f>IFERROR(VLOOKUP($H760,매장구분!$B:$Z,3,0),"")</f>
        <v/>
      </c>
      <c r="D760" s="46" t="str">
        <f>IFERROR(VLOOKUP($H760,매장구분!$B:$Z,5,0),"")</f>
        <v/>
      </c>
      <c r="E760" s="46" t="str">
        <f>IFERROR(VLOOKUP($H760,매장구분!$B:$Z,9,0),"")</f>
        <v/>
      </c>
      <c r="AF760" s="47">
        <f t="shared" si="11"/>
        <v>0</v>
      </c>
    </row>
    <row r="761" spans="2:32" x14ac:dyDescent="0.3">
      <c r="B761" s="46" t="str">
        <f>IFERROR(VLOOKUP($H761,매장구분!$B:$Z,2,0),"")</f>
        <v/>
      </c>
      <c r="C761" s="46" t="str">
        <f>IFERROR(VLOOKUP($H761,매장구분!$B:$Z,3,0),"")</f>
        <v/>
      </c>
      <c r="D761" s="46" t="str">
        <f>IFERROR(VLOOKUP($H761,매장구분!$B:$Z,5,0),"")</f>
        <v/>
      </c>
      <c r="E761" s="46" t="str">
        <f>IFERROR(VLOOKUP($H761,매장구분!$B:$Z,9,0),"")</f>
        <v/>
      </c>
      <c r="AF761" s="47">
        <f t="shared" si="11"/>
        <v>0</v>
      </c>
    </row>
    <row r="762" spans="2:32" x14ac:dyDescent="0.3">
      <c r="B762" s="46" t="str">
        <f>IFERROR(VLOOKUP($H762,매장구분!$B:$Z,2,0),"")</f>
        <v/>
      </c>
      <c r="C762" s="46" t="str">
        <f>IFERROR(VLOOKUP($H762,매장구분!$B:$Z,3,0),"")</f>
        <v/>
      </c>
      <c r="D762" s="46" t="str">
        <f>IFERROR(VLOOKUP($H762,매장구분!$B:$Z,5,0),"")</f>
        <v/>
      </c>
      <c r="E762" s="46" t="str">
        <f>IFERROR(VLOOKUP($H762,매장구분!$B:$Z,9,0),"")</f>
        <v/>
      </c>
      <c r="AF762" s="47">
        <f t="shared" si="11"/>
        <v>0</v>
      </c>
    </row>
    <row r="763" spans="2:32" x14ac:dyDescent="0.3">
      <c r="B763" s="46" t="str">
        <f>IFERROR(VLOOKUP($H763,매장구분!$B:$Z,2,0),"")</f>
        <v/>
      </c>
      <c r="C763" s="46" t="str">
        <f>IFERROR(VLOOKUP($H763,매장구분!$B:$Z,3,0),"")</f>
        <v/>
      </c>
      <c r="D763" s="46" t="str">
        <f>IFERROR(VLOOKUP($H763,매장구분!$B:$Z,5,0),"")</f>
        <v/>
      </c>
      <c r="E763" s="46" t="str">
        <f>IFERROR(VLOOKUP($H763,매장구분!$B:$Z,9,0),"")</f>
        <v/>
      </c>
      <c r="AF763" s="47">
        <f t="shared" si="11"/>
        <v>0</v>
      </c>
    </row>
    <row r="764" spans="2:32" x14ac:dyDescent="0.3">
      <c r="B764" s="46" t="str">
        <f>IFERROR(VLOOKUP($H764,매장구분!$B:$Z,2,0),"")</f>
        <v/>
      </c>
      <c r="C764" s="46" t="str">
        <f>IFERROR(VLOOKUP($H764,매장구분!$B:$Z,3,0),"")</f>
        <v/>
      </c>
      <c r="D764" s="46" t="str">
        <f>IFERROR(VLOOKUP($H764,매장구분!$B:$Z,5,0),"")</f>
        <v/>
      </c>
      <c r="E764" s="46" t="str">
        <f>IFERROR(VLOOKUP($H764,매장구분!$B:$Z,9,0),"")</f>
        <v/>
      </c>
      <c r="AF764" s="47">
        <f t="shared" si="11"/>
        <v>0</v>
      </c>
    </row>
    <row r="765" spans="2:32" x14ac:dyDescent="0.3">
      <c r="B765" s="46" t="str">
        <f>IFERROR(VLOOKUP($H765,매장구분!$B:$Z,2,0),"")</f>
        <v/>
      </c>
      <c r="C765" s="46" t="str">
        <f>IFERROR(VLOOKUP($H765,매장구분!$B:$Z,3,0),"")</f>
        <v/>
      </c>
      <c r="D765" s="46" t="str">
        <f>IFERROR(VLOOKUP($H765,매장구분!$B:$Z,5,0),"")</f>
        <v/>
      </c>
      <c r="E765" s="46" t="str">
        <f>IFERROR(VLOOKUP($H765,매장구분!$B:$Z,9,0),"")</f>
        <v/>
      </c>
      <c r="AF765" s="47">
        <f t="shared" si="11"/>
        <v>0</v>
      </c>
    </row>
    <row r="766" spans="2:32" x14ac:dyDescent="0.3">
      <c r="B766" s="46" t="str">
        <f>IFERROR(VLOOKUP($H766,매장구분!$B:$Z,2,0),"")</f>
        <v/>
      </c>
      <c r="C766" s="46" t="str">
        <f>IFERROR(VLOOKUP($H766,매장구분!$B:$Z,3,0),"")</f>
        <v/>
      </c>
      <c r="D766" s="46" t="str">
        <f>IFERROR(VLOOKUP($H766,매장구분!$B:$Z,5,0),"")</f>
        <v/>
      </c>
      <c r="E766" s="46" t="str">
        <f>IFERROR(VLOOKUP($H766,매장구분!$B:$Z,9,0),"")</f>
        <v/>
      </c>
      <c r="AF766" s="47">
        <f t="shared" si="11"/>
        <v>0</v>
      </c>
    </row>
    <row r="767" spans="2:32" x14ac:dyDescent="0.3">
      <c r="B767" s="46" t="str">
        <f>IFERROR(VLOOKUP($H767,매장구분!$B:$Z,2,0),"")</f>
        <v/>
      </c>
      <c r="C767" s="46" t="str">
        <f>IFERROR(VLOOKUP($H767,매장구분!$B:$Z,3,0),"")</f>
        <v/>
      </c>
      <c r="D767" s="46" t="str">
        <f>IFERROR(VLOOKUP($H767,매장구분!$B:$Z,5,0),"")</f>
        <v/>
      </c>
      <c r="E767" s="46" t="str">
        <f>IFERROR(VLOOKUP($H767,매장구분!$B:$Z,9,0),"")</f>
        <v/>
      </c>
      <c r="AF767" s="47">
        <f t="shared" si="11"/>
        <v>0</v>
      </c>
    </row>
    <row r="768" spans="2:32" x14ac:dyDescent="0.3">
      <c r="B768" s="46" t="str">
        <f>IFERROR(VLOOKUP($H768,매장구분!$B:$Z,2,0),"")</f>
        <v/>
      </c>
      <c r="C768" s="46" t="str">
        <f>IFERROR(VLOOKUP($H768,매장구분!$B:$Z,3,0),"")</f>
        <v/>
      </c>
      <c r="D768" s="46" t="str">
        <f>IFERROR(VLOOKUP($H768,매장구분!$B:$Z,5,0),"")</f>
        <v/>
      </c>
      <c r="E768" s="46" t="str">
        <f>IFERROR(VLOOKUP($H768,매장구분!$B:$Z,9,0),"")</f>
        <v/>
      </c>
      <c r="AF768" s="47">
        <f t="shared" si="11"/>
        <v>0</v>
      </c>
    </row>
    <row r="769" spans="2:32" x14ac:dyDescent="0.3">
      <c r="B769" s="46" t="str">
        <f>IFERROR(VLOOKUP($H769,매장구분!$B:$Z,2,0),"")</f>
        <v/>
      </c>
      <c r="C769" s="46" t="str">
        <f>IFERROR(VLOOKUP($H769,매장구분!$B:$Z,3,0),"")</f>
        <v/>
      </c>
      <c r="D769" s="46" t="str">
        <f>IFERROR(VLOOKUP($H769,매장구분!$B:$Z,5,0),"")</f>
        <v/>
      </c>
      <c r="E769" s="46" t="str">
        <f>IFERROR(VLOOKUP($H769,매장구분!$B:$Z,9,0),"")</f>
        <v/>
      </c>
      <c r="AF769" s="47">
        <f t="shared" si="11"/>
        <v>0</v>
      </c>
    </row>
    <row r="770" spans="2:32" x14ac:dyDescent="0.3">
      <c r="B770" s="46" t="str">
        <f>IFERROR(VLOOKUP($H770,매장구분!$B:$Z,2,0),"")</f>
        <v/>
      </c>
      <c r="C770" s="46" t="str">
        <f>IFERROR(VLOOKUP($H770,매장구분!$B:$Z,3,0),"")</f>
        <v/>
      </c>
      <c r="D770" s="46" t="str">
        <f>IFERROR(VLOOKUP($H770,매장구분!$B:$Z,5,0),"")</f>
        <v/>
      </c>
      <c r="E770" s="46" t="str">
        <f>IFERROR(VLOOKUP($H770,매장구분!$B:$Z,9,0),"")</f>
        <v/>
      </c>
      <c r="AF770" s="47">
        <f t="shared" si="11"/>
        <v>0</v>
      </c>
    </row>
    <row r="771" spans="2:32" x14ac:dyDescent="0.3">
      <c r="B771" s="46" t="str">
        <f>IFERROR(VLOOKUP($H771,매장구분!$B:$Z,2,0),"")</f>
        <v/>
      </c>
      <c r="C771" s="46" t="str">
        <f>IFERROR(VLOOKUP($H771,매장구분!$B:$Z,3,0),"")</f>
        <v/>
      </c>
      <c r="D771" s="46" t="str">
        <f>IFERROR(VLOOKUP($H771,매장구분!$B:$Z,5,0),"")</f>
        <v/>
      </c>
      <c r="E771" s="46" t="str">
        <f>IFERROR(VLOOKUP($H771,매장구분!$B:$Z,9,0),"")</f>
        <v/>
      </c>
      <c r="AF771" s="47">
        <f t="shared" ref="AF771:AF834" si="12">IFERROR(AC771-Y771,"")</f>
        <v>0</v>
      </c>
    </row>
    <row r="772" spans="2:32" x14ac:dyDescent="0.3">
      <c r="B772" s="46" t="str">
        <f>IFERROR(VLOOKUP($H772,매장구분!$B:$Z,2,0),"")</f>
        <v/>
      </c>
      <c r="C772" s="46" t="str">
        <f>IFERROR(VLOOKUP($H772,매장구분!$B:$Z,3,0),"")</f>
        <v/>
      </c>
      <c r="D772" s="46" t="str">
        <f>IFERROR(VLOOKUP($H772,매장구분!$B:$Z,5,0),"")</f>
        <v/>
      </c>
      <c r="E772" s="46" t="str">
        <f>IFERROR(VLOOKUP($H772,매장구분!$B:$Z,9,0),"")</f>
        <v/>
      </c>
      <c r="AF772" s="47">
        <f t="shared" si="12"/>
        <v>0</v>
      </c>
    </row>
    <row r="773" spans="2:32" x14ac:dyDescent="0.3">
      <c r="B773" s="46" t="str">
        <f>IFERROR(VLOOKUP($H773,매장구분!$B:$Z,2,0),"")</f>
        <v/>
      </c>
      <c r="C773" s="46" t="str">
        <f>IFERROR(VLOOKUP($H773,매장구분!$B:$Z,3,0),"")</f>
        <v/>
      </c>
      <c r="D773" s="46" t="str">
        <f>IFERROR(VLOOKUP($H773,매장구분!$B:$Z,5,0),"")</f>
        <v/>
      </c>
      <c r="E773" s="46" t="str">
        <f>IFERROR(VLOOKUP($H773,매장구분!$B:$Z,9,0),"")</f>
        <v/>
      </c>
      <c r="AF773" s="47">
        <f t="shared" si="12"/>
        <v>0</v>
      </c>
    </row>
    <row r="774" spans="2:32" x14ac:dyDescent="0.3">
      <c r="B774" s="46" t="str">
        <f>IFERROR(VLOOKUP($H774,매장구분!$B:$Z,2,0),"")</f>
        <v/>
      </c>
      <c r="C774" s="46" t="str">
        <f>IFERROR(VLOOKUP($H774,매장구분!$B:$Z,3,0),"")</f>
        <v/>
      </c>
      <c r="D774" s="46" t="str">
        <f>IFERROR(VLOOKUP($H774,매장구분!$B:$Z,5,0),"")</f>
        <v/>
      </c>
      <c r="E774" s="46" t="str">
        <f>IFERROR(VLOOKUP($H774,매장구분!$B:$Z,9,0),"")</f>
        <v/>
      </c>
      <c r="AF774" s="47">
        <f t="shared" si="12"/>
        <v>0</v>
      </c>
    </row>
    <row r="775" spans="2:32" x14ac:dyDescent="0.3">
      <c r="B775" s="46" t="str">
        <f>IFERROR(VLOOKUP($H775,매장구분!$B:$Z,2,0),"")</f>
        <v/>
      </c>
      <c r="C775" s="46" t="str">
        <f>IFERROR(VLOOKUP($H775,매장구분!$B:$Z,3,0),"")</f>
        <v/>
      </c>
      <c r="D775" s="46" t="str">
        <f>IFERROR(VLOOKUP($H775,매장구분!$B:$Z,5,0),"")</f>
        <v/>
      </c>
      <c r="E775" s="46" t="str">
        <f>IFERROR(VLOOKUP($H775,매장구분!$B:$Z,9,0),"")</f>
        <v/>
      </c>
      <c r="AF775" s="47">
        <f t="shared" si="12"/>
        <v>0</v>
      </c>
    </row>
    <row r="776" spans="2:32" x14ac:dyDescent="0.3">
      <c r="B776" s="46" t="str">
        <f>IFERROR(VLOOKUP($H776,매장구분!$B:$Z,2,0),"")</f>
        <v/>
      </c>
      <c r="C776" s="46" t="str">
        <f>IFERROR(VLOOKUP($H776,매장구분!$B:$Z,3,0),"")</f>
        <v/>
      </c>
      <c r="D776" s="46" t="str">
        <f>IFERROR(VLOOKUP($H776,매장구분!$B:$Z,5,0),"")</f>
        <v/>
      </c>
      <c r="E776" s="46" t="str">
        <f>IFERROR(VLOOKUP($H776,매장구분!$B:$Z,9,0),"")</f>
        <v/>
      </c>
      <c r="AF776" s="47">
        <f t="shared" si="12"/>
        <v>0</v>
      </c>
    </row>
    <row r="777" spans="2:32" x14ac:dyDescent="0.3">
      <c r="B777" s="46" t="str">
        <f>IFERROR(VLOOKUP($H777,매장구분!$B:$Z,2,0),"")</f>
        <v/>
      </c>
      <c r="C777" s="46" t="str">
        <f>IFERROR(VLOOKUP($H777,매장구분!$B:$Z,3,0),"")</f>
        <v/>
      </c>
      <c r="D777" s="46" t="str">
        <f>IFERROR(VLOOKUP($H777,매장구분!$B:$Z,5,0),"")</f>
        <v/>
      </c>
      <c r="E777" s="46" t="str">
        <f>IFERROR(VLOOKUP($H777,매장구분!$B:$Z,9,0),"")</f>
        <v/>
      </c>
      <c r="AF777" s="47">
        <f t="shared" si="12"/>
        <v>0</v>
      </c>
    </row>
    <row r="778" spans="2:32" x14ac:dyDescent="0.3">
      <c r="B778" s="46" t="str">
        <f>IFERROR(VLOOKUP($H778,매장구분!$B:$Z,2,0),"")</f>
        <v/>
      </c>
      <c r="C778" s="46" t="str">
        <f>IFERROR(VLOOKUP($H778,매장구분!$B:$Z,3,0),"")</f>
        <v/>
      </c>
      <c r="D778" s="46" t="str">
        <f>IFERROR(VLOOKUP($H778,매장구분!$B:$Z,5,0),"")</f>
        <v/>
      </c>
      <c r="E778" s="46" t="str">
        <f>IFERROR(VLOOKUP($H778,매장구분!$B:$Z,9,0),"")</f>
        <v/>
      </c>
      <c r="AF778" s="47">
        <f t="shared" si="12"/>
        <v>0</v>
      </c>
    </row>
    <row r="779" spans="2:32" x14ac:dyDescent="0.3">
      <c r="B779" s="46" t="str">
        <f>IFERROR(VLOOKUP($H779,매장구분!$B:$Z,2,0),"")</f>
        <v/>
      </c>
      <c r="C779" s="46" t="str">
        <f>IFERROR(VLOOKUP($H779,매장구분!$B:$Z,3,0),"")</f>
        <v/>
      </c>
      <c r="D779" s="46" t="str">
        <f>IFERROR(VLOOKUP($H779,매장구분!$B:$Z,5,0),"")</f>
        <v/>
      </c>
      <c r="E779" s="46" t="str">
        <f>IFERROR(VLOOKUP($H779,매장구분!$B:$Z,9,0),"")</f>
        <v/>
      </c>
      <c r="AF779" s="47">
        <f t="shared" si="12"/>
        <v>0</v>
      </c>
    </row>
    <row r="780" spans="2:32" x14ac:dyDescent="0.3">
      <c r="B780" s="46" t="str">
        <f>IFERROR(VLOOKUP($H780,매장구분!$B:$Z,2,0),"")</f>
        <v/>
      </c>
      <c r="C780" s="46" t="str">
        <f>IFERROR(VLOOKUP($H780,매장구분!$B:$Z,3,0),"")</f>
        <v/>
      </c>
      <c r="D780" s="46" t="str">
        <f>IFERROR(VLOOKUP($H780,매장구분!$B:$Z,5,0),"")</f>
        <v/>
      </c>
      <c r="E780" s="46" t="str">
        <f>IFERROR(VLOOKUP($H780,매장구분!$B:$Z,9,0),"")</f>
        <v/>
      </c>
      <c r="AF780" s="47">
        <f t="shared" si="12"/>
        <v>0</v>
      </c>
    </row>
    <row r="781" spans="2:32" x14ac:dyDescent="0.3">
      <c r="B781" s="46" t="str">
        <f>IFERROR(VLOOKUP($H781,매장구분!$B:$Z,2,0),"")</f>
        <v/>
      </c>
      <c r="C781" s="46" t="str">
        <f>IFERROR(VLOOKUP($H781,매장구분!$B:$Z,3,0),"")</f>
        <v/>
      </c>
      <c r="D781" s="46" t="str">
        <f>IFERROR(VLOOKUP($H781,매장구분!$B:$Z,5,0),"")</f>
        <v/>
      </c>
      <c r="E781" s="46" t="str">
        <f>IFERROR(VLOOKUP($H781,매장구분!$B:$Z,9,0),"")</f>
        <v/>
      </c>
      <c r="AF781" s="47">
        <f t="shared" si="12"/>
        <v>0</v>
      </c>
    </row>
    <row r="782" spans="2:32" x14ac:dyDescent="0.3">
      <c r="B782" s="46" t="str">
        <f>IFERROR(VLOOKUP($H782,매장구분!$B:$Z,2,0),"")</f>
        <v/>
      </c>
      <c r="C782" s="46" t="str">
        <f>IFERROR(VLOOKUP($H782,매장구분!$B:$Z,3,0),"")</f>
        <v/>
      </c>
      <c r="D782" s="46" t="str">
        <f>IFERROR(VLOOKUP($H782,매장구분!$B:$Z,5,0),"")</f>
        <v/>
      </c>
      <c r="E782" s="46" t="str">
        <f>IFERROR(VLOOKUP($H782,매장구분!$B:$Z,9,0),"")</f>
        <v/>
      </c>
      <c r="AF782" s="47">
        <f t="shared" si="12"/>
        <v>0</v>
      </c>
    </row>
    <row r="783" spans="2:32" x14ac:dyDescent="0.3">
      <c r="B783" s="46" t="str">
        <f>IFERROR(VLOOKUP($H783,매장구분!$B:$Z,2,0),"")</f>
        <v/>
      </c>
      <c r="C783" s="46" t="str">
        <f>IFERROR(VLOOKUP($H783,매장구분!$B:$Z,3,0),"")</f>
        <v/>
      </c>
      <c r="D783" s="46" t="str">
        <f>IFERROR(VLOOKUP($H783,매장구분!$B:$Z,5,0),"")</f>
        <v/>
      </c>
      <c r="E783" s="46" t="str">
        <f>IFERROR(VLOOKUP($H783,매장구분!$B:$Z,9,0),"")</f>
        <v/>
      </c>
      <c r="AF783" s="47">
        <f t="shared" si="12"/>
        <v>0</v>
      </c>
    </row>
    <row r="784" spans="2:32" x14ac:dyDescent="0.3">
      <c r="B784" s="46" t="str">
        <f>IFERROR(VLOOKUP($H784,매장구분!$B:$Z,2,0),"")</f>
        <v/>
      </c>
      <c r="C784" s="46" t="str">
        <f>IFERROR(VLOOKUP($H784,매장구분!$B:$Z,3,0),"")</f>
        <v/>
      </c>
      <c r="D784" s="46" t="str">
        <f>IFERROR(VLOOKUP($H784,매장구분!$B:$Z,5,0),"")</f>
        <v/>
      </c>
      <c r="E784" s="46" t="str">
        <f>IFERROR(VLOOKUP($H784,매장구분!$B:$Z,9,0),"")</f>
        <v/>
      </c>
      <c r="AF784" s="47">
        <f t="shared" si="12"/>
        <v>0</v>
      </c>
    </row>
    <row r="785" spans="2:32" x14ac:dyDescent="0.3">
      <c r="B785" s="46" t="str">
        <f>IFERROR(VLOOKUP($H785,매장구분!$B:$Z,2,0),"")</f>
        <v/>
      </c>
      <c r="C785" s="46" t="str">
        <f>IFERROR(VLOOKUP($H785,매장구분!$B:$Z,3,0),"")</f>
        <v/>
      </c>
      <c r="D785" s="46" t="str">
        <f>IFERROR(VLOOKUP($H785,매장구분!$B:$Z,5,0),"")</f>
        <v/>
      </c>
      <c r="E785" s="46" t="str">
        <f>IFERROR(VLOOKUP($H785,매장구분!$B:$Z,9,0),"")</f>
        <v/>
      </c>
      <c r="AF785" s="47">
        <f t="shared" si="12"/>
        <v>0</v>
      </c>
    </row>
    <row r="786" spans="2:32" x14ac:dyDescent="0.3">
      <c r="B786" s="46" t="str">
        <f>IFERROR(VLOOKUP($H786,매장구분!$B:$Z,2,0),"")</f>
        <v/>
      </c>
      <c r="C786" s="46" t="str">
        <f>IFERROR(VLOOKUP($H786,매장구분!$B:$Z,3,0),"")</f>
        <v/>
      </c>
      <c r="D786" s="46" t="str">
        <f>IFERROR(VLOOKUP($H786,매장구분!$B:$Z,5,0),"")</f>
        <v/>
      </c>
      <c r="E786" s="46" t="str">
        <f>IFERROR(VLOOKUP($H786,매장구분!$B:$Z,9,0),"")</f>
        <v/>
      </c>
      <c r="AF786" s="47">
        <f t="shared" si="12"/>
        <v>0</v>
      </c>
    </row>
    <row r="787" spans="2:32" x14ac:dyDescent="0.3">
      <c r="B787" s="46" t="str">
        <f>IFERROR(VLOOKUP($H787,매장구분!$B:$Z,2,0),"")</f>
        <v/>
      </c>
      <c r="C787" s="46" t="str">
        <f>IFERROR(VLOOKUP($H787,매장구분!$B:$Z,3,0),"")</f>
        <v/>
      </c>
      <c r="D787" s="46" t="str">
        <f>IFERROR(VLOOKUP($H787,매장구분!$B:$Z,5,0),"")</f>
        <v/>
      </c>
      <c r="E787" s="46" t="str">
        <f>IFERROR(VLOOKUP($H787,매장구분!$B:$Z,9,0),"")</f>
        <v/>
      </c>
      <c r="AF787" s="47">
        <f t="shared" si="12"/>
        <v>0</v>
      </c>
    </row>
    <row r="788" spans="2:32" x14ac:dyDescent="0.3">
      <c r="B788" s="46" t="str">
        <f>IFERROR(VLOOKUP($H788,매장구분!$B:$Z,2,0),"")</f>
        <v/>
      </c>
      <c r="C788" s="46" t="str">
        <f>IFERROR(VLOOKUP($H788,매장구분!$B:$Z,3,0),"")</f>
        <v/>
      </c>
      <c r="D788" s="46" t="str">
        <f>IFERROR(VLOOKUP($H788,매장구분!$B:$Z,5,0),"")</f>
        <v/>
      </c>
      <c r="E788" s="46" t="str">
        <f>IFERROR(VLOOKUP($H788,매장구분!$B:$Z,9,0),"")</f>
        <v/>
      </c>
      <c r="AF788" s="47">
        <f t="shared" si="12"/>
        <v>0</v>
      </c>
    </row>
    <row r="789" spans="2:32" x14ac:dyDescent="0.3">
      <c r="B789" s="46" t="str">
        <f>IFERROR(VLOOKUP($H789,매장구분!$B:$Z,2,0),"")</f>
        <v/>
      </c>
      <c r="C789" s="46" t="str">
        <f>IFERROR(VLOOKUP($H789,매장구분!$B:$Z,3,0),"")</f>
        <v/>
      </c>
      <c r="D789" s="46" t="str">
        <f>IFERROR(VLOOKUP($H789,매장구분!$B:$Z,5,0),"")</f>
        <v/>
      </c>
      <c r="E789" s="46" t="str">
        <f>IFERROR(VLOOKUP($H789,매장구분!$B:$Z,9,0),"")</f>
        <v/>
      </c>
      <c r="AF789" s="47">
        <f t="shared" si="12"/>
        <v>0</v>
      </c>
    </row>
    <row r="790" spans="2:32" x14ac:dyDescent="0.3">
      <c r="B790" s="46" t="str">
        <f>IFERROR(VLOOKUP($H790,매장구분!$B:$Z,2,0),"")</f>
        <v/>
      </c>
      <c r="C790" s="46" t="str">
        <f>IFERROR(VLOOKUP($H790,매장구분!$B:$Z,3,0),"")</f>
        <v/>
      </c>
      <c r="D790" s="46" t="str">
        <f>IFERROR(VLOOKUP($H790,매장구분!$B:$Z,5,0),"")</f>
        <v/>
      </c>
      <c r="E790" s="46" t="str">
        <f>IFERROR(VLOOKUP($H790,매장구분!$B:$Z,9,0),"")</f>
        <v/>
      </c>
      <c r="AF790" s="47">
        <f t="shared" si="12"/>
        <v>0</v>
      </c>
    </row>
    <row r="791" spans="2:32" x14ac:dyDescent="0.3">
      <c r="B791" s="46" t="str">
        <f>IFERROR(VLOOKUP($H791,매장구분!$B:$Z,2,0),"")</f>
        <v/>
      </c>
      <c r="C791" s="46" t="str">
        <f>IFERROR(VLOOKUP($H791,매장구분!$B:$Z,3,0),"")</f>
        <v/>
      </c>
      <c r="D791" s="46" t="str">
        <f>IFERROR(VLOOKUP($H791,매장구분!$B:$Z,5,0),"")</f>
        <v/>
      </c>
      <c r="E791" s="46" t="str">
        <f>IFERROR(VLOOKUP($H791,매장구분!$B:$Z,9,0),"")</f>
        <v/>
      </c>
      <c r="AF791" s="47">
        <f t="shared" si="12"/>
        <v>0</v>
      </c>
    </row>
    <row r="792" spans="2:32" x14ac:dyDescent="0.3">
      <c r="B792" s="46" t="str">
        <f>IFERROR(VLOOKUP($H792,매장구분!$B:$Z,2,0),"")</f>
        <v/>
      </c>
      <c r="C792" s="46" t="str">
        <f>IFERROR(VLOOKUP($H792,매장구분!$B:$Z,3,0),"")</f>
        <v/>
      </c>
      <c r="D792" s="46" t="str">
        <f>IFERROR(VLOOKUP($H792,매장구분!$B:$Z,5,0),"")</f>
        <v/>
      </c>
      <c r="E792" s="46" t="str">
        <f>IFERROR(VLOOKUP($H792,매장구분!$B:$Z,9,0),"")</f>
        <v/>
      </c>
      <c r="AF792" s="47">
        <f t="shared" si="12"/>
        <v>0</v>
      </c>
    </row>
    <row r="793" spans="2:32" x14ac:dyDescent="0.3">
      <c r="B793" s="46" t="str">
        <f>IFERROR(VLOOKUP($H793,매장구분!$B:$Z,2,0),"")</f>
        <v/>
      </c>
      <c r="C793" s="46" t="str">
        <f>IFERROR(VLOOKUP($H793,매장구분!$B:$Z,3,0),"")</f>
        <v/>
      </c>
      <c r="D793" s="46" t="str">
        <f>IFERROR(VLOOKUP($H793,매장구분!$B:$Z,5,0),"")</f>
        <v/>
      </c>
      <c r="E793" s="46" t="str">
        <f>IFERROR(VLOOKUP($H793,매장구분!$B:$Z,9,0),"")</f>
        <v/>
      </c>
      <c r="AF793" s="47">
        <f t="shared" si="12"/>
        <v>0</v>
      </c>
    </row>
    <row r="794" spans="2:32" x14ac:dyDescent="0.3">
      <c r="B794" s="46" t="str">
        <f>IFERROR(VLOOKUP($H794,매장구분!$B:$Z,2,0),"")</f>
        <v/>
      </c>
      <c r="C794" s="46" t="str">
        <f>IFERROR(VLOOKUP($H794,매장구분!$B:$Z,3,0),"")</f>
        <v/>
      </c>
      <c r="D794" s="46" t="str">
        <f>IFERROR(VLOOKUP($H794,매장구분!$B:$Z,5,0),"")</f>
        <v/>
      </c>
      <c r="E794" s="46" t="str">
        <f>IFERROR(VLOOKUP($H794,매장구분!$B:$Z,9,0),"")</f>
        <v/>
      </c>
      <c r="AF794" s="47">
        <f t="shared" si="12"/>
        <v>0</v>
      </c>
    </row>
    <row r="795" spans="2:32" x14ac:dyDescent="0.3">
      <c r="B795" s="46" t="str">
        <f>IFERROR(VLOOKUP($H795,매장구분!$B:$Z,2,0),"")</f>
        <v/>
      </c>
      <c r="C795" s="46" t="str">
        <f>IFERROR(VLOOKUP($H795,매장구분!$B:$Z,3,0),"")</f>
        <v/>
      </c>
      <c r="D795" s="46" t="str">
        <f>IFERROR(VLOOKUP($H795,매장구분!$B:$Z,5,0),"")</f>
        <v/>
      </c>
      <c r="E795" s="46" t="str">
        <f>IFERROR(VLOOKUP($H795,매장구분!$B:$Z,9,0),"")</f>
        <v/>
      </c>
      <c r="AF795" s="47">
        <f t="shared" si="12"/>
        <v>0</v>
      </c>
    </row>
    <row r="796" spans="2:32" x14ac:dyDescent="0.3">
      <c r="B796" s="46" t="str">
        <f>IFERROR(VLOOKUP($H796,매장구분!$B:$Z,2,0),"")</f>
        <v/>
      </c>
      <c r="C796" s="46" t="str">
        <f>IFERROR(VLOOKUP($H796,매장구분!$B:$Z,3,0),"")</f>
        <v/>
      </c>
      <c r="D796" s="46" t="str">
        <f>IFERROR(VLOOKUP($H796,매장구분!$B:$Z,5,0),"")</f>
        <v/>
      </c>
      <c r="E796" s="46" t="str">
        <f>IFERROR(VLOOKUP($H796,매장구분!$B:$Z,9,0),"")</f>
        <v/>
      </c>
      <c r="AF796" s="47">
        <f t="shared" si="12"/>
        <v>0</v>
      </c>
    </row>
    <row r="797" spans="2:32" x14ac:dyDescent="0.3">
      <c r="B797" s="46" t="str">
        <f>IFERROR(VLOOKUP($H797,매장구분!$B:$Z,2,0),"")</f>
        <v/>
      </c>
      <c r="C797" s="46" t="str">
        <f>IFERROR(VLOOKUP($H797,매장구분!$B:$Z,3,0),"")</f>
        <v/>
      </c>
      <c r="D797" s="46" t="str">
        <f>IFERROR(VLOOKUP($H797,매장구분!$B:$Z,5,0),"")</f>
        <v/>
      </c>
      <c r="E797" s="46" t="str">
        <f>IFERROR(VLOOKUP($H797,매장구분!$B:$Z,9,0),"")</f>
        <v/>
      </c>
      <c r="AF797" s="47">
        <f t="shared" si="12"/>
        <v>0</v>
      </c>
    </row>
    <row r="798" spans="2:32" x14ac:dyDescent="0.3">
      <c r="B798" s="46" t="str">
        <f>IFERROR(VLOOKUP($H798,매장구분!$B:$Z,2,0),"")</f>
        <v/>
      </c>
      <c r="C798" s="46" t="str">
        <f>IFERROR(VLOOKUP($H798,매장구분!$B:$Z,3,0),"")</f>
        <v/>
      </c>
      <c r="D798" s="46" t="str">
        <f>IFERROR(VLOOKUP($H798,매장구분!$B:$Z,5,0),"")</f>
        <v/>
      </c>
      <c r="E798" s="46" t="str">
        <f>IFERROR(VLOOKUP($H798,매장구분!$B:$Z,9,0),"")</f>
        <v/>
      </c>
      <c r="AF798" s="47">
        <f t="shared" si="12"/>
        <v>0</v>
      </c>
    </row>
    <row r="799" spans="2:32" x14ac:dyDescent="0.3">
      <c r="B799" s="46" t="str">
        <f>IFERROR(VLOOKUP($H799,매장구분!$B:$Z,2,0),"")</f>
        <v/>
      </c>
      <c r="C799" s="46" t="str">
        <f>IFERROR(VLOOKUP($H799,매장구분!$B:$Z,3,0),"")</f>
        <v/>
      </c>
      <c r="D799" s="46" t="str">
        <f>IFERROR(VLOOKUP($H799,매장구분!$B:$Z,5,0),"")</f>
        <v/>
      </c>
      <c r="E799" s="46" t="str">
        <f>IFERROR(VLOOKUP($H799,매장구분!$B:$Z,9,0),"")</f>
        <v/>
      </c>
      <c r="AF799" s="47">
        <f t="shared" si="12"/>
        <v>0</v>
      </c>
    </row>
    <row r="800" spans="2:32" x14ac:dyDescent="0.3">
      <c r="B800" s="46" t="str">
        <f>IFERROR(VLOOKUP($H800,매장구분!$B:$Z,2,0),"")</f>
        <v/>
      </c>
      <c r="C800" s="46" t="str">
        <f>IFERROR(VLOOKUP($H800,매장구분!$B:$Z,3,0),"")</f>
        <v/>
      </c>
      <c r="D800" s="46" t="str">
        <f>IFERROR(VLOOKUP($H800,매장구분!$B:$Z,5,0),"")</f>
        <v/>
      </c>
      <c r="E800" s="46" t="str">
        <f>IFERROR(VLOOKUP($H800,매장구분!$B:$Z,9,0),"")</f>
        <v/>
      </c>
      <c r="AF800" s="47">
        <f t="shared" si="12"/>
        <v>0</v>
      </c>
    </row>
    <row r="801" spans="2:32" x14ac:dyDescent="0.3">
      <c r="B801" s="46" t="str">
        <f>IFERROR(VLOOKUP($H801,매장구분!$B:$Z,2,0),"")</f>
        <v/>
      </c>
      <c r="C801" s="46" t="str">
        <f>IFERROR(VLOOKUP($H801,매장구분!$B:$Z,3,0),"")</f>
        <v/>
      </c>
      <c r="D801" s="46" t="str">
        <f>IFERROR(VLOOKUP($H801,매장구분!$B:$Z,5,0),"")</f>
        <v/>
      </c>
      <c r="E801" s="46" t="str">
        <f>IFERROR(VLOOKUP($H801,매장구분!$B:$Z,9,0),"")</f>
        <v/>
      </c>
      <c r="AF801" s="47">
        <f t="shared" si="12"/>
        <v>0</v>
      </c>
    </row>
    <row r="802" spans="2:32" x14ac:dyDescent="0.3">
      <c r="B802" s="46" t="str">
        <f>IFERROR(VLOOKUP($H802,매장구분!$B:$Z,2,0),"")</f>
        <v/>
      </c>
      <c r="C802" s="46" t="str">
        <f>IFERROR(VLOOKUP($H802,매장구분!$B:$Z,3,0),"")</f>
        <v/>
      </c>
      <c r="D802" s="46" t="str">
        <f>IFERROR(VLOOKUP($H802,매장구분!$B:$Z,5,0),"")</f>
        <v/>
      </c>
      <c r="E802" s="46" t="str">
        <f>IFERROR(VLOOKUP($H802,매장구분!$B:$Z,9,0),"")</f>
        <v/>
      </c>
      <c r="AF802" s="47">
        <f t="shared" si="12"/>
        <v>0</v>
      </c>
    </row>
    <row r="803" spans="2:32" x14ac:dyDescent="0.3">
      <c r="B803" s="46" t="str">
        <f>IFERROR(VLOOKUP($H803,매장구분!$B:$Z,2,0),"")</f>
        <v/>
      </c>
      <c r="C803" s="46" t="str">
        <f>IFERROR(VLOOKUP($H803,매장구분!$B:$Z,3,0),"")</f>
        <v/>
      </c>
      <c r="D803" s="46" t="str">
        <f>IFERROR(VLOOKUP($H803,매장구분!$B:$Z,5,0),"")</f>
        <v/>
      </c>
      <c r="E803" s="46" t="str">
        <f>IFERROR(VLOOKUP($H803,매장구분!$B:$Z,9,0),"")</f>
        <v/>
      </c>
      <c r="AF803" s="47">
        <f t="shared" si="12"/>
        <v>0</v>
      </c>
    </row>
    <row r="804" spans="2:32" x14ac:dyDescent="0.3">
      <c r="B804" s="46" t="str">
        <f>IFERROR(VLOOKUP($H804,매장구분!$B:$Z,2,0),"")</f>
        <v/>
      </c>
      <c r="C804" s="46" t="str">
        <f>IFERROR(VLOOKUP($H804,매장구분!$B:$Z,3,0),"")</f>
        <v/>
      </c>
      <c r="D804" s="46" t="str">
        <f>IFERROR(VLOOKUP($H804,매장구분!$B:$Z,5,0),"")</f>
        <v/>
      </c>
      <c r="E804" s="46" t="str">
        <f>IFERROR(VLOOKUP($H804,매장구분!$B:$Z,9,0),"")</f>
        <v/>
      </c>
      <c r="AF804" s="47">
        <f t="shared" si="12"/>
        <v>0</v>
      </c>
    </row>
    <row r="805" spans="2:32" x14ac:dyDescent="0.3">
      <c r="B805" s="46" t="str">
        <f>IFERROR(VLOOKUP($H805,매장구분!$B:$Z,2,0),"")</f>
        <v/>
      </c>
      <c r="C805" s="46" t="str">
        <f>IFERROR(VLOOKUP($H805,매장구분!$B:$Z,3,0),"")</f>
        <v/>
      </c>
      <c r="D805" s="46" t="str">
        <f>IFERROR(VLOOKUP($H805,매장구분!$B:$Z,5,0),"")</f>
        <v/>
      </c>
      <c r="E805" s="46" t="str">
        <f>IFERROR(VLOOKUP($H805,매장구분!$B:$Z,9,0),"")</f>
        <v/>
      </c>
      <c r="AF805" s="47">
        <f t="shared" si="12"/>
        <v>0</v>
      </c>
    </row>
    <row r="806" spans="2:32" x14ac:dyDescent="0.3">
      <c r="B806" s="46" t="str">
        <f>IFERROR(VLOOKUP($H806,매장구분!$B:$Z,2,0),"")</f>
        <v/>
      </c>
      <c r="C806" s="46" t="str">
        <f>IFERROR(VLOOKUP($H806,매장구분!$B:$Z,3,0),"")</f>
        <v/>
      </c>
      <c r="D806" s="46" t="str">
        <f>IFERROR(VLOOKUP($H806,매장구분!$B:$Z,5,0),"")</f>
        <v/>
      </c>
      <c r="E806" s="46" t="str">
        <f>IFERROR(VLOOKUP($H806,매장구분!$B:$Z,9,0),"")</f>
        <v/>
      </c>
      <c r="AF806" s="47">
        <f t="shared" si="12"/>
        <v>0</v>
      </c>
    </row>
    <row r="807" spans="2:32" x14ac:dyDescent="0.3">
      <c r="B807" s="46" t="str">
        <f>IFERROR(VLOOKUP($H807,매장구분!$B:$Z,2,0),"")</f>
        <v/>
      </c>
      <c r="C807" s="46" t="str">
        <f>IFERROR(VLOOKUP($H807,매장구분!$B:$Z,3,0),"")</f>
        <v/>
      </c>
      <c r="D807" s="46" t="str">
        <f>IFERROR(VLOOKUP($H807,매장구분!$B:$Z,5,0),"")</f>
        <v/>
      </c>
      <c r="E807" s="46" t="str">
        <f>IFERROR(VLOOKUP($H807,매장구분!$B:$Z,9,0),"")</f>
        <v/>
      </c>
      <c r="AF807" s="47">
        <f t="shared" si="12"/>
        <v>0</v>
      </c>
    </row>
    <row r="808" spans="2:32" x14ac:dyDescent="0.3">
      <c r="B808" s="46" t="str">
        <f>IFERROR(VLOOKUP($H808,매장구분!$B:$Z,2,0),"")</f>
        <v/>
      </c>
      <c r="C808" s="46" t="str">
        <f>IFERROR(VLOOKUP($H808,매장구분!$B:$Z,3,0),"")</f>
        <v/>
      </c>
      <c r="D808" s="46" t="str">
        <f>IFERROR(VLOOKUP($H808,매장구분!$B:$Z,5,0),"")</f>
        <v/>
      </c>
      <c r="E808" s="46" t="str">
        <f>IFERROR(VLOOKUP($H808,매장구분!$B:$Z,9,0),"")</f>
        <v/>
      </c>
      <c r="AF808" s="47">
        <f t="shared" si="12"/>
        <v>0</v>
      </c>
    </row>
    <row r="809" spans="2:32" x14ac:dyDescent="0.3">
      <c r="B809" s="46" t="str">
        <f>IFERROR(VLOOKUP($H809,매장구분!$B:$Z,2,0),"")</f>
        <v/>
      </c>
      <c r="C809" s="46" t="str">
        <f>IFERROR(VLOOKUP($H809,매장구분!$B:$Z,3,0),"")</f>
        <v/>
      </c>
      <c r="D809" s="46" t="str">
        <f>IFERROR(VLOOKUP($H809,매장구분!$B:$Z,5,0),"")</f>
        <v/>
      </c>
      <c r="E809" s="46" t="str">
        <f>IFERROR(VLOOKUP($H809,매장구분!$B:$Z,9,0),"")</f>
        <v/>
      </c>
      <c r="AF809" s="47">
        <f t="shared" si="12"/>
        <v>0</v>
      </c>
    </row>
    <row r="810" spans="2:32" x14ac:dyDescent="0.3">
      <c r="B810" s="46" t="str">
        <f>IFERROR(VLOOKUP($H810,매장구분!$B:$Z,2,0),"")</f>
        <v/>
      </c>
      <c r="C810" s="46" t="str">
        <f>IFERROR(VLOOKUP($H810,매장구분!$B:$Z,3,0),"")</f>
        <v/>
      </c>
      <c r="D810" s="46" t="str">
        <f>IFERROR(VLOOKUP($H810,매장구분!$B:$Z,5,0),"")</f>
        <v/>
      </c>
      <c r="E810" s="46" t="str">
        <f>IFERROR(VLOOKUP($H810,매장구분!$B:$Z,9,0),"")</f>
        <v/>
      </c>
      <c r="AF810" s="47">
        <f t="shared" si="12"/>
        <v>0</v>
      </c>
    </row>
    <row r="811" spans="2:32" x14ac:dyDescent="0.3">
      <c r="B811" s="46" t="str">
        <f>IFERROR(VLOOKUP($H811,매장구분!$B:$Z,2,0),"")</f>
        <v/>
      </c>
      <c r="C811" s="46" t="str">
        <f>IFERROR(VLOOKUP($H811,매장구분!$B:$Z,3,0),"")</f>
        <v/>
      </c>
      <c r="D811" s="46" t="str">
        <f>IFERROR(VLOOKUP($H811,매장구분!$B:$Z,5,0),"")</f>
        <v/>
      </c>
      <c r="E811" s="46" t="str">
        <f>IFERROR(VLOOKUP($H811,매장구분!$B:$Z,9,0),"")</f>
        <v/>
      </c>
      <c r="AF811" s="47">
        <f t="shared" si="12"/>
        <v>0</v>
      </c>
    </row>
    <row r="812" spans="2:32" x14ac:dyDescent="0.3">
      <c r="B812" s="46" t="str">
        <f>IFERROR(VLOOKUP($H812,매장구분!$B:$Z,2,0),"")</f>
        <v/>
      </c>
      <c r="C812" s="46" t="str">
        <f>IFERROR(VLOOKUP($H812,매장구분!$B:$Z,3,0),"")</f>
        <v/>
      </c>
      <c r="D812" s="46" t="str">
        <f>IFERROR(VLOOKUP($H812,매장구분!$B:$Z,5,0),"")</f>
        <v/>
      </c>
      <c r="E812" s="46" t="str">
        <f>IFERROR(VLOOKUP($H812,매장구분!$B:$Z,9,0),"")</f>
        <v/>
      </c>
      <c r="AF812" s="47">
        <f t="shared" si="12"/>
        <v>0</v>
      </c>
    </row>
    <row r="813" spans="2:32" x14ac:dyDescent="0.3">
      <c r="B813" s="46" t="str">
        <f>IFERROR(VLOOKUP($H813,매장구분!$B:$Z,2,0),"")</f>
        <v/>
      </c>
      <c r="C813" s="46" t="str">
        <f>IFERROR(VLOOKUP($H813,매장구분!$B:$Z,3,0),"")</f>
        <v/>
      </c>
      <c r="D813" s="46" t="str">
        <f>IFERROR(VLOOKUP($H813,매장구분!$B:$Z,5,0),"")</f>
        <v/>
      </c>
      <c r="E813" s="46" t="str">
        <f>IFERROR(VLOOKUP($H813,매장구분!$B:$Z,9,0),"")</f>
        <v/>
      </c>
      <c r="AF813" s="47">
        <f t="shared" si="12"/>
        <v>0</v>
      </c>
    </row>
    <row r="814" spans="2:32" x14ac:dyDescent="0.3">
      <c r="B814" s="46" t="str">
        <f>IFERROR(VLOOKUP($H814,매장구분!$B:$Z,2,0),"")</f>
        <v/>
      </c>
      <c r="C814" s="46" t="str">
        <f>IFERROR(VLOOKUP($H814,매장구분!$B:$Z,3,0),"")</f>
        <v/>
      </c>
      <c r="D814" s="46" t="str">
        <f>IFERROR(VLOOKUP($H814,매장구분!$B:$Z,5,0),"")</f>
        <v/>
      </c>
      <c r="E814" s="46" t="str">
        <f>IFERROR(VLOOKUP($H814,매장구분!$B:$Z,9,0),"")</f>
        <v/>
      </c>
      <c r="AF814" s="47">
        <f t="shared" si="12"/>
        <v>0</v>
      </c>
    </row>
    <row r="815" spans="2:32" x14ac:dyDescent="0.3">
      <c r="B815" s="46" t="str">
        <f>IFERROR(VLOOKUP($H815,매장구분!$B:$Z,2,0),"")</f>
        <v/>
      </c>
      <c r="C815" s="46" t="str">
        <f>IFERROR(VLOOKUP($H815,매장구분!$B:$Z,3,0),"")</f>
        <v/>
      </c>
      <c r="D815" s="46" t="str">
        <f>IFERROR(VLOOKUP($H815,매장구분!$B:$Z,5,0),"")</f>
        <v/>
      </c>
      <c r="E815" s="46" t="str">
        <f>IFERROR(VLOOKUP($H815,매장구분!$B:$Z,9,0),"")</f>
        <v/>
      </c>
      <c r="AF815" s="47">
        <f t="shared" si="12"/>
        <v>0</v>
      </c>
    </row>
    <row r="816" spans="2:32" x14ac:dyDescent="0.3">
      <c r="B816" s="46" t="str">
        <f>IFERROR(VLOOKUP($H816,매장구분!$B:$Z,2,0),"")</f>
        <v/>
      </c>
      <c r="C816" s="46" t="str">
        <f>IFERROR(VLOOKUP($H816,매장구분!$B:$Z,3,0),"")</f>
        <v/>
      </c>
      <c r="D816" s="46" t="str">
        <f>IFERROR(VLOOKUP($H816,매장구분!$B:$Z,5,0),"")</f>
        <v/>
      </c>
      <c r="E816" s="46" t="str">
        <f>IFERROR(VLOOKUP($H816,매장구분!$B:$Z,9,0),"")</f>
        <v/>
      </c>
      <c r="AF816" s="47">
        <f t="shared" si="12"/>
        <v>0</v>
      </c>
    </row>
    <row r="817" spans="2:32" x14ac:dyDescent="0.3">
      <c r="B817" s="46" t="str">
        <f>IFERROR(VLOOKUP($H817,매장구분!$B:$Z,2,0),"")</f>
        <v/>
      </c>
      <c r="C817" s="46" t="str">
        <f>IFERROR(VLOOKUP($H817,매장구분!$B:$Z,3,0),"")</f>
        <v/>
      </c>
      <c r="D817" s="46" t="str">
        <f>IFERROR(VLOOKUP($H817,매장구분!$B:$Z,5,0),"")</f>
        <v/>
      </c>
      <c r="E817" s="46" t="str">
        <f>IFERROR(VLOOKUP($H817,매장구분!$B:$Z,9,0),"")</f>
        <v/>
      </c>
      <c r="AF817" s="47">
        <f t="shared" si="12"/>
        <v>0</v>
      </c>
    </row>
    <row r="818" spans="2:32" x14ac:dyDescent="0.3">
      <c r="B818" s="46" t="str">
        <f>IFERROR(VLOOKUP($H818,매장구분!$B:$Z,2,0),"")</f>
        <v/>
      </c>
      <c r="C818" s="46" t="str">
        <f>IFERROR(VLOOKUP($H818,매장구분!$B:$Z,3,0),"")</f>
        <v/>
      </c>
      <c r="D818" s="46" t="str">
        <f>IFERROR(VLOOKUP($H818,매장구분!$B:$Z,5,0),"")</f>
        <v/>
      </c>
      <c r="E818" s="46" t="str">
        <f>IFERROR(VLOOKUP($H818,매장구분!$B:$Z,9,0),"")</f>
        <v/>
      </c>
      <c r="AF818" s="47">
        <f t="shared" si="12"/>
        <v>0</v>
      </c>
    </row>
    <row r="819" spans="2:32" x14ac:dyDescent="0.3">
      <c r="B819" s="46" t="str">
        <f>IFERROR(VLOOKUP($H819,매장구분!$B:$Z,2,0),"")</f>
        <v/>
      </c>
      <c r="C819" s="46" t="str">
        <f>IFERROR(VLOOKUP($H819,매장구분!$B:$Z,3,0),"")</f>
        <v/>
      </c>
      <c r="D819" s="46" t="str">
        <f>IFERROR(VLOOKUP($H819,매장구분!$B:$Z,5,0),"")</f>
        <v/>
      </c>
      <c r="E819" s="46" t="str">
        <f>IFERROR(VLOOKUP($H819,매장구분!$B:$Z,9,0),"")</f>
        <v/>
      </c>
      <c r="AF819" s="47">
        <f t="shared" si="12"/>
        <v>0</v>
      </c>
    </row>
    <row r="820" spans="2:32" x14ac:dyDescent="0.3">
      <c r="B820" s="46" t="str">
        <f>IFERROR(VLOOKUP($H820,매장구분!$B:$Z,2,0),"")</f>
        <v/>
      </c>
      <c r="C820" s="46" t="str">
        <f>IFERROR(VLOOKUP($H820,매장구분!$B:$Z,3,0),"")</f>
        <v/>
      </c>
      <c r="D820" s="46" t="str">
        <f>IFERROR(VLOOKUP($H820,매장구분!$B:$Z,5,0),"")</f>
        <v/>
      </c>
      <c r="E820" s="46" t="str">
        <f>IFERROR(VLOOKUP($H820,매장구분!$B:$Z,9,0),"")</f>
        <v/>
      </c>
      <c r="AF820" s="47">
        <f t="shared" si="12"/>
        <v>0</v>
      </c>
    </row>
    <row r="821" spans="2:32" x14ac:dyDescent="0.3">
      <c r="B821" s="46" t="str">
        <f>IFERROR(VLOOKUP($H821,매장구분!$B:$Z,2,0),"")</f>
        <v/>
      </c>
      <c r="C821" s="46" t="str">
        <f>IFERROR(VLOOKUP($H821,매장구분!$B:$Z,3,0),"")</f>
        <v/>
      </c>
      <c r="D821" s="46" t="str">
        <f>IFERROR(VLOOKUP($H821,매장구분!$B:$Z,5,0),"")</f>
        <v/>
      </c>
      <c r="E821" s="46" t="str">
        <f>IFERROR(VLOOKUP($H821,매장구분!$B:$Z,9,0),"")</f>
        <v/>
      </c>
      <c r="AF821" s="47">
        <f t="shared" si="12"/>
        <v>0</v>
      </c>
    </row>
    <row r="822" spans="2:32" x14ac:dyDescent="0.3">
      <c r="B822" s="46" t="str">
        <f>IFERROR(VLOOKUP($H822,매장구분!$B:$Z,2,0),"")</f>
        <v/>
      </c>
      <c r="C822" s="46" t="str">
        <f>IFERROR(VLOOKUP($H822,매장구분!$B:$Z,3,0),"")</f>
        <v/>
      </c>
      <c r="D822" s="46" t="str">
        <f>IFERROR(VLOOKUP($H822,매장구분!$B:$Z,5,0),"")</f>
        <v/>
      </c>
      <c r="E822" s="46" t="str">
        <f>IFERROR(VLOOKUP($H822,매장구분!$B:$Z,9,0),"")</f>
        <v/>
      </c>
      <c r="AF822" s="47">
        <f t="shared" si="12"/>
        <v>0</v>
      </c>
    </row>
    <row r="823" spans="2:32" x14ac:dyDescent="0.3">
      <c r="B823" s="46" t="str">
        <f>IFERROR(VLOOKUP($H823,매장구분!$B:$Z,2,0),"")</f>
        <v/>
      </c>
      <c r="C823" s="46" t="str">
        <f>IFERROR(VLOOKUP($H823,매장구분!$B:$Z,3,0),"")</f>
        <v/>
      </c>
      <c r="D823" s="46" t="str">
        <f>IFERROR(VLOOKUP($H823,매장구분!$B:$Z,5,0),"")</f>
        <v/>
      </c>
      <c r="E823" s="46" t="str">
        <f>IFERROR(VLOOKUP($H823,매장구분!$B:$Z,9,0),"")</f>
        <v/>
      </c>
      <c r="AF823" s="47">
        <f t="shared" si="12"/>
        <v>0</v>
      </c>
    </row>
    <row r="824" spans="2:32" x14ac:dyDescent="0.3">
      <c r="B824" s="46" t="str">
        <f>IFERROR(VLOOKUP($H824,매장구분!$B:$Z,2,0),"")</f>
        <v/>
      </c>
      <c r="C824" s="46" t="str">
        <f>IFERROR(VLOOKUP($H824,매장구분!$B:$Z,3,0),"")</f>
        <v/>
      </c>
      <c r="D824" s="46" t="str">
        <f>IFERROR(VLOOKUP($H824,매장구분!$B:$Z,5,0),"")</f>
        <v/>
      </c>
      <c r="E824" s="46" t="str">
        <f>IFERROR(VLOOKUP($H824,매장구분!$B:$Z,9,0),"")</f>
        <v/>
      </c>
      <c r="AF824" s="47">
        <f t="shared" si="12"/>
        <v>0</v>
      </c>
    </row>
    <row r="825" spans="2:32" x14ac:dyDescent="0.3">
      <c r="B825" s="46" t="str">
        <f>IFERROR(VLOOKUP($H825,매장구분!$B:$Z,2,0),"")</f>
        <v/>
      </c>
      <c r="C825" s="46" t="str">
        <f>IFERROR(VLOOKUP($H825,매장구분!$B:$Z,3,0),"")</f>
        <v/>
      </c>
      <c r="D825" s="46" t="str">
        <f>IFERROR(VLOOKUP($H825,매장구분!$B:$Z,5,0),"")</f>
        <v/>
      </c>
      <c r="E825" s="46" t="str">
        <f>IFERROR(VLOOKUP($H825,매장구분!$B:$Z,9,0),"")</f>
        <v/>
      </c>
      <c r="AF825" s="47">
        <f t="shared" si="12"/>
        <v>0</v>
      </c>
    </row>
    <row r="826" spans="2:32" x14ac:dyDescent="0.3">
      <c r="B826" s="46" t="str">
        <f>IFERROR(VLOOKUP($H826,매장구분!$B:$Z,2,0),"")</f>
        <v/>
      </c>
      <c r="C826" s="46" t="str">
        <f>IFERROR(VLOOKUP($H826,매장구분!$B:$Z,3,0),"")</f>
        <v/>
      </c>
      <c r="D826" s="46" t="str">
        <f>IFERROR(VLOOKUP($H826,매장구분!$B:$Z,5,0),"")</f>
        <v/>
      </c>
      <c r="E826" s="46" t="str">
        <f>IFERROR(VLOOKUP($H826,매장구분!$B:$Z,9,0),"")</f>
        <v/>
      </c>
      <c r="AF826" s="47">
        <f t="shared" si="12"/>
        <v>0</v>
      </c>
    </row>
    <row r="827" spans="2:32" x14ac:dyDescent="0.3">
      <c r="B827" s="46" t="str">
        <f>IFERROR(VLOOKUP($H827,매장구분!$B:$Z,2,0),"")</f>
        <v/>
      </c>
      <c r="C827" s="46" t="str">
        <f>IFERROR(VLOOKUP($H827,매장구분!$B:$Z,3,0),"")</f>
        <v/>
      </c>
      <c r="D827" s="46" t="str">
        <f>IFERROR(VLOOKUP($H827,매장구분!$B:$Z,5,0),"")</f>
        <v/>
      </c>
      <c r="E827" s="46" t="str">
        <f>IFERROR(VLOOKUP($H827,매장구분!$B:$Z,9,0),"")</f>
        <v/>
      </c>
      <c r="AF827" s="47">
        <f t="shared" si="12"/>
        <v>0</v>
      </c>
    </row>
    <row r="828" spans="2:32" x14ac:dyDescent="0.3">
      <c r="B828" s="46" t="str">
        <f>IFERROR(VLOOKUP($H828,매장구분!$B:$Z,2,0),"")</f>
        <v/>
      </c>
      <c r="C828" s="46" t="str">
        <f>IFERROR(VLOOKUP($H828,매장구분!$B:$Z,3,0),"")</f>
        <v/>
      </c>
      <c r="D828" s="46" t="str">
        <f>IFERROR(VLOOKUP($H828,매장구분!$B:$Z,5,0),"")</f>
        <v/>
      </c>
      <c r="E828" s="46" t="str">
        <f>IFERROR(VLOOKUP($H828,매장구분!$B:$Z,9,0),"")</f>
        <v/>
      </c>
      <c r="AF828" s="47">
        <f t="shared" si="12"/>
        <v>0</v>
      </c>
    </row>
    <row r="829" spans="2:32" x14ac:dyDescent="0.3">
      <c r="B829" s="46" t="str">
        <f>IFERROR(VLOOKUP($H829,매장구분!$B:$Z,2,0),"")</f>
        <v/>
      </c>
      <c r="C829" s="46" t="str">
        <f>IFERROR(VLOOKUP($H829,매장구분!$B:$Z,3,0),"")</f>
        <v/>
      </c>
      <c r="D829" s="46" t="str">
        <f>IFERROR(VLOOKUP($H829,매장구분!$B:$Z,5,0),"")</f>
        <v/>
      </c>
      <c r="E829" s="46" t="str">
        <f>IFERROR(VLOOKUP($H829,매장구분!$B:$Z,9,0),"")</f>
        <v/>
      </c>
      <c r="AF829" s="47">
        <f t="shared" si="12"/>
        <v>0</v>
      </c>
    </row>
    <row r="830" spans="2:32" x14ac:dyDescent="0.3">
      <c r="B830" s="46" t="str">
        <f>IFERROR(VLOOKUP($H830,매장구분!$B:$Z,2,0),"")</f>
        <v/>
      </c>
      <c r="C830" s="46" t="str">
        <f>IFERROR(VLOOKUP($H830,매장구분!$B:$Z,3,0),"")</f>
        <v/>
      </c>
      <c r="D830" s="46" t="str">
        <f>IFERROR(VLOOKUP($H830,매장구분!$B:$Z,5,0),"")</f>
        <v/>
      </c>
      <c r="E830" s="46" t="str">
        <f>IFERROR(VLOOKUP($H830,매장구분!$B:$Z,9,0),"")</f>
        <v/>
      </c>
      <c r="AF830" s="47">
        <f t="shared" si="12"/>
        <v>0</v>
      </c>
    </row>
    <row r="831" spans="2:32" x14ac:dyDescent="0.3">
      <c r="B831" s="46" t="str">
        <f>IFERROR(VLOOKUP($H831,매장구분!$B:$Z,2,0),"")</f>
        <v/>
      </c>
      <c r="C831" s="46" t="str">
        <f>IFERROR(VLOOKUP($H831,매장구분!$B:$Z,3,0),"")</f>
        <v/>
      </c>
      <c r="D831" s="46" t="str">
        <f>IFERROR(VLOOKUP($H831,매장구분!$B:$Z,5,0),"")</f>
        <v/>
      </c>
      <c r="E831" s="46" t="str">
        <f>IFERROR(VLOOKUP($H831,매장구분!$B:$Z,9,0),"")</f>
        <v/>
      </c>
      <c r="AF831" s="47">
        <f t="shared" si="12"/>
        <v>0</v>
      </c>
    </row>
    <row r="832" spans="2:32" x14ac:dyDescent="0.3">
      <c r="B832" s="46" t="str">
        <f>IFERROR(VLOOKUP($H832,매장구분!$B:$Z,2,0),"")</f>
        <v/>
      </c>
      <c r="C832" s="46" t="str">
        <f>IFERROR(VLOOKUP($H832,매장구분!$B:$Z,3,0),"")</f>
        <v/>
      </c>
      <c r="D832" s="46" t="str">
        <f>IFERROR(VLOOKUP($H832,매장구분!$B:$Z,5,0),"")</f>
        <v/>
      </c>
      <c r="E832" s="46" t="str">
        <f>IFERROR(VLOOKUP($H832,매장구분!$B:$Z,9,0),"")</f>
        <v/>
      </c>
      <c r="AF832" s="47">
        <f t="shared" si="12"/>
        <v>0</v>
      </c>
    </row>
    <row r="833" spans="2:32" x14ac:dyDescent="0.3">
      <c r="B833" s="46" t="str">
        <f>IFERROR(VLOOKUP($H833,매장구분!$B:$Z,2,0),"")</f>
        <v/>
      </c>
      <c r="C833" s="46" t="str">
        <f>IFERROR(VLOOKUP($H833,매장구분!$B:$Z,3,0),"")</f>
        <v/>
      </c>
      <c r="D833" s="46" t="str">
        <f>IFERROR(VLOOKUP($H833,매장구분!$B:$Z,5,0),"")</f>
        <v/>
      </c>
      <c r="E833" s="46" t="str">
        <f>IFERROR(VLOOKUP($H833,매장구분!$B:$Z,9,0),"")</f>
        <v/>
      </c>
      <c r="AF833" s="47">
        <f t="shared" si="12"/>
        <v>0</v>
      </c>
    </row>
    <row r="834" spans="2:32" x14ac:dyDescent="0.3">
      <c r="B834" s="46" t="str">
        <f>IFERROR(VLOOKUP($H834,매장구분!$B:$Z,2,0),"")</f>
        <v/>
      </c>
      <c r="C834" s="46" t="str">
        <f>IFERROR(VLOOKUP($H834,매장구분!$B:$Z,3,0),"")</f>
        <v/>
      </c>
      <c r="D834" s="46" t="str">
        <f>IFERROR(VLOOKUP($H834,매장구분!$B:$Z,5,0),"")</f>
        <v/>
      </c>
      <c r="E834" s="46" t="str">
        <f>IFERROR(VLOOKUP($H834,매장구분!$B:$Z,9,0),"")</f>
        <v/>
      </c>
      <c r="AF834" s="47">
        <f t="shared" si="12"/>
        <v>0</v>
      </c>
    </row>
    <row r="835" spans="2:32" x14ac:dyDescent="0.3">
      <c r="B835" s="46" t="str">
        <f>IFERROR(VLOOKUP($H835,매장구분!$B:$Z,2,0),"")</f>
        <v/>
      </c>
      <c r="C835" s="46" t="str">
        <f>IFERROR(VLOOKUP($H835,매장구분!$B:$Z,3,0),"")</f>
        <v/>
      </c>
      <c r="D835" s="46" t="str">
        <f>IFERROR(VLOOKUP($H835,매장구분!$B:$Z,5,0),"")</f>
        <v/>
      </c>
      <c r="E835" s="46" t="str">
        <f>IFERROR(VLOOKUP($H835,매장구분!$B:$Z,9,0),"")</f>
        <v/>
      </c>
      <c r="AF835" s="47">
        <f t="shared" ref="AF835:AF898" si="13">IFERROR(AC835-Y835,"")</f>
        <v>0</v>
      </c>
    </row>
    <row r="836" spans="2:32" x14ac:dyDescent="0.3">
      <c r="B836" s="46" t="str">
        <f>IFERROR(VLOOKUP($H836,매장구분!$B:$Z,2,0),"")</f>
        <v/>
      </c>
      <c r="C836" s="46" t="str">
        <f>IFERROR(VLOOKUP($H836,매장구분!$B:$Z,3,0),"")</f>
        <v/>
      </c>
      <c r="D836" s="46" t="str">
        <f>IFERROR(VLOOKUP($H836,매장구분!$B:$Z,5,0),"")</f>
        <v/>
      </c>
      <c r="E836" s="46" t="str">
        <f>IFERROR(VLOOKUP($H836,매장구분!$B:$Z,9,0),"")</f>
        <v/>
      </c>
      <c r="AF836" s="47">
        <f t="shared" si="13"/>
        <v>0</v>
      </c>
    </row>
    <row r="837" spans="2:32" x14ac:dyDescent="0.3">
      <c r="B837" s="46" t="str">
        <f>IFERROR(VLOOKUP($H837,매장구분!$B:$Z,2,0),"")</f>
        <v/>
      </c>
      <c r="C837" s="46" t="str">
        <f>IFERROR(VLOOKUP($H837,매장구분!$B:$Z,3,0),"")</f>
        <v/>
      </c>
      <c r="D837" s="46" t="str">
        <f>IFERROR(VLOOKUP($H837,매장구분!$B:$Z,5,0),"")</f>
        <v/>
      </c>
      <c r="E837" s="46" t="str">
        <f>IFERROR(VLOOKUP($H837,매장구분!$B:$Z,9,0),"")</f>
        <v/>
      </c>
      <c r="AF837" s="47">
        <f t="shared" si="13"/>
        <v>0</v>
      </c>
    </row>
    <row r="838" spans="2:32" x14ac:dyDescent="0.3">
      <c r="B838" s="46" t="str">
        <f>IFERROR(VLOOKUP($H838,매장구분!$B:$Z,2,0),"")</f>
        <v/>
      </c>
      <c r="C838" s="46" t="str">
        <f>IFERROR(VLOOKUP($H838,매장구분!$B:$Z,3,0),"")</f>
        <v/>
      </c>
      <c r="D838" s="46" t="str">
        <f>IFERROR(VLOOKUP($H838,매장구분!$B:$Z,5,0),"")</f>
        <v/>
      </c>
      <c r="E838" s="46" t="str">
        <f>IFERROR(VLOOKUP($H838,매장구분!$B:$Z,9,0),"")</f>
        <v/>
      </c>
      <c r="AF838" s="47">
        <f t="shared" si="13"/>
        <v>0</v>
      </c>
    </row>
    <row r="839" spans="2:32" x14ac:dyDescent="0.3">
      <c r="B839" s="46" t="str">
        <f>IFERROR(VLOOKUP($H839,매장구분!$B:$Z,2,0),"")</f>
        <v/>
      </c>
      <c r="C839" s="46" t="str">
        <f>IFERROR(VLOOKUP($H839,매장구분!$B:$Z,3,0),"")</f>
        <v/>
      </c>
      <c r="D839" s="46" t="str">
        <f>IFERROR(VLOOKUP($H839,매장구분!$B:$Z,5,0),"")</f>
        <v/>
      </c>
      <c r="E839" s="46" t="str">
        <f>IFERROR(VLOOKUP($H839,매장구분!$B:$Z,9,0),"")</f>
        <v/>
      </c>
      <c r="AF839" s="47">
        <f t="shared" si="13"/>
        <v>0</v>
      </c>
    </row>
    <row r="840" spans="2:32" x14ac:dyDescent="0.3">
      <c r="B840" s="46" t="str">
        <f>IFERROR(VLOOKUP($H840,매장구분!$B:$Z,2,0),"")</f>
        <v/>
      </c>
      <c r="C840" s="46" t="str">
        <f>IFERROR(VLOOKUP($H840,매장구분!$B:$Z,3,0),"")</f>
        <v/>
      </c>
      <c r="D840" s="46" t="str">
        <f>IFERROR(VLOOKUP($H840,매장구분!$B:$Z,5,0),"")</f>
        <v/>
      </c>
      <c r="E840" s="46" t="str">
        <f>IFERROR(VLOOKUP($H840,매장구분!$B:$Z,9,0),"")</f>
        <v/>
      </c>
      <c r="AF840" s="47">
        <f t="shared" si="13"/>
        <v>0</v>
      </c>
    </row>
    <row r="841" spans="2:32" x14ac:dyDescent="0.3">
      <c r="B841" s="46" t="str">
        <f>IFERROR(VLOOKUP($H841,매장구분!$B:$Z,2,0),"")</f>
        <v/>
      </c>
      <c r="C841" s="46" t="str">
        <f>IFERROR(VLOOKUP($H841,매장구분!$B:$Z,3,0),"")</f>
        <v/>
      </c>
      <c r="D841" s="46" t="str">
        <f>IFERROR(VLOOKUP($H841,매장구분!$B:$Z,5,0),"")</f>
        <v/>
      </c>
      <c r="E841" s="46" t="str">
        <f>IFERROR(VLOOKUP($H841,매장구분!$B:$Z,9,0),"")</f>
        <v/>
      </c>
      <c r="AF841" s="47">
        <f t="shared" si="13"/>
        <v>0</v>
      </c>
    </row>
    <row r="842" spans="2:32" x14ac:dyDescent="0.3">
      <c r="B842" s="46" t="str">
        <f>IFERROR(VLOOKUP($H842,매장구분!$B:$Z,2,0),"")</f>
        <v/>
      </c>
      <c r="C842" s="46" t="str">
        <f>IFERROR(VLOOKUP($H842,매장구분!$B:$Z,3,0),"")</f>
        <v/>
      </c>
      <c r="D842" s="46" t="str">
        <f>IFERROR(VLOOKUP($H842,매장구분!$B:$Z,5,0),"")</f>
        <v/>
      </c>
      <c r="E842" s="46" t="str">
        <f>IFERROR(VLOOKUP($H842,매장구분!$B:$Z,9,0),"")</f>
        <v/>
      </c>
      <c r="AF842" s="47">
        <f t="shared" si="13"/>
        <v>0</v>
      </c>
    </row>
    <row r="843" spans="2:32" x14ac:dyDescent="0.3">
      <c r="B843" s="46" t="str">
        <f>IFERROR(VLOOKUP($H843,매장구분!$B:$Z,2,0),"")</f>
        <v/>
      </c>
      <c r="C843" s="46" t="str">
        <f>IFERROR(VLOOKUP($H843,매장구분!$B:$Z,3,0),"")</f>
        <v/>
      </c>
      <c r="D843" s="46" t="str">
        <f>IFERROR(VLOOKUP($H843,매장구분!$B:$Z,5,0),"")</f>
        <v/>
      </c>
      <c r="E843" s="46" t="str">
        <f>IFERROR(VLOOKUP($H843,매장구분!$B:$Z,9,0),"")</f>
        <v/>
      </c>
      <c r="AF843" s="47">
        <f t="shared" si="13"/>
        <v>0</v>
      </c>
    </row>
    <row r="844" spans="2:32" x14ac:dyDescent="0.3">
      <c r="B844" s="46" t="str">
        <f>IFERROR(VLOOKUP($H844,매장구분!$B:$Z,2,0),"")</f>
        <v/>
      </c>
      <c r="C844" s="46" t="str">
        <f>IFERROR(VLOOKUP($H844,매장구분!$B:$Z,3,0),"")</f>
        <v/>
      </c>
      <c r="D844" s="46" t="str">
        <f>IFERROR(VLOOKUP($H844,매장구분!$B:$Z,5,0),"")</f>
        <v/>
      </c>
      <c r="E844" s="46" t="str">
        <f>IFERROR(VLOOKUP($H844,매장구분!$B:$Z,9,0),"")</f>
        <v/>
      </c>
      <c r="AF844" s="47">
        <f t="shared" si="13"/>
        <v>0</v>
      </c>
    </row>
    <row r="845" spans="2:32" x14ac:dyDescent="0.3">
      <c r="B845" s="46" t="str">
        <f>IFERROR(VLOOKUP($H845,매장구분!$B:$Z,2,0),"")</f>
        <v/>
      </c>
      <c r="C845" s="46" t="str">
        <f>IFERROR(VLOOKUP($H845,매장구분!$B:$Z,3,0),"")</f>
        <v/>
      </c>
      <c r="D845" s="46" t="str">
        <f>IFERROR(VLOOKUP($H845,매장구분!$B:$Z,5,0),"")</f>
        <v/>
      </c>
      <c r="E845" s="46" t="str">
        <f>IFERROR(VLOOKUP($H845,매장구분!$B:$Z,9,0),"")</f>
        <v/>
      </c>
      <c r="AF845" s="47">
        <f t="shared" si="13"/>
        <v>0</v>
      </c>
    </row>
    <row r="846" spans="2:32" x14ac:dyDescent="0.3">
      <c r="B846" s="46" t="str">
        <f>IFERROR(VLOOKUP($H846,매장구분!$B:$Z,2,0),"")</f>
        <v/>
      </c>
      <c r="C846" s="46" t="str">
        <f>IFERROR(VLOOKUP($H846,매장구분!$B:$Z,3,0),"")</f>
        <v/>
      </c>
      <c r="D846" s="46" t="str">
        <f>IFERROR(VLOOKUP($H846,매장구분!$B:$Z,5,0),"")</f>
        <v/>
      </c>
      <c r="E846" s="46" t="str">
        <f>IFERROR(VLOOKUP($H846,매장구분!$B:$Z,9,0),"")</f>
        <v/>
      </c>
      <c r="AF846" s="47">
        <f t="shared" si="13"/>
        <v>0</v>
      </c>
    </row>
    <row r="847" spans="2:32" x14ac:dyDescent="0.3">
      <c r="B847" s="46" t="str">
        <f>IFERROR(VLOOKUP($H847,매장구분!$B:$Z,2,0),"")</f>
        <v/>
      </c>
      <c r="C847" s="46" t="str">
        <f>IFERROR(VLOOKUP($H847,매장구분!$B:$Z,3,0),"")</f>
        <v/>
      </c>
      <c r="D847" s="46" t="str">
        <f>IFERROR(VLOOKUP($H847,매장구분!$B:$Z,5,0),"")</f>
        <v/>
      </c>
      <c r="E847" s="46" t="str">
        <f>IFERROR(VLOOKUP($H847,매장구분!$B:$Z,9,0),"")</f>
        <v/>
      </c>
      <c r="AF847" s="47">
        <f t="shared" si="13"/>
        <v>0</v>
      </c>
    </row>
    <row r="848" spans="2:32" x14ac:dyDescent="0.3">
      <c r="B848" s="46" t="str">
        <f>IFERROR(VLOOKUP($H848,매장구분!$B:$Z,2,0),"")</f>
        <v/>
      </c>
      <c r="C848" s="46" t="str">
        <f>IFERROR(VLOOKUP($H848,매장구분!$B:$Z,3,0),"")</f>
        <v/>
      </c>
      <c r="D848" s="46" t="str">
        <f>IFERROR(VLOOKUP($H848,매장구분!$B:$Z,5,0),"")</f>
        <v/>
      </c>
      <c r="E848" s="46" t="str">
        <f>IFERROR(VLOOKUP($H848,매장구분!$B:$Z,9,0),"")</f>
        <v/>
      </c>
      <c r="AF848" s="47">
        <f t="shared" si="13"/>
        <v>0</v>
      </c>
    </row>
    <row r="849" spans="2:32" x14ac:dyDescent="0.3">
      <c r="B849" s="46" t="str">
        <f>IFERROR(VLOOKUP($H849,매장구분!$B:$Z,2,0),"")</f>
        <v/>
      </c>
      <c r="C849" s="46" t="str">
        <f>IFERROR(VLOOKUP($H849,매장구분!$B:$Z,3,0),"")</f>
        <v/>
      </c>
      <c r="D849" s="46" t="str">
        <f>IFERROR(VLOOKUP($H849,매장구분!$B:$Z,5,0),"")</f>
        <v/>
      </c>
      <c r="E849" s="46" t="str">
        <f>IFERROR(VLOOKUP($H849,매장구분!$B:$Z,9,0),"")</f>
        <v/>
      </c>
      <c r="AF849" s="47">
        <f t="shared" si="13"/>
        <v>0</v>
      </c>
    </row>
    <row r="850" spans="2:32" x14ac:dyDescent="0.3">
      <c r="B850" s="46" t="str">
        <f>IFERROR(VLOOKUP($H850,매장구분!$B:$Z,2,0),"")</f>
        <v/>
      </c>
      <c r="C850" s="46" t="str">
        <f>IFERROR(VLOOKUP($H850,매장구분!$B:$Z,3,0),"")</f>
        <v/>
      </c>
      <c r="D850" s="46" t="str">
        <f>IFERROR(VLOOKUP($H850,매장구분!$B:$Z,5,0),"")</f>
        <v/>
      </c>
      <c r="E850" s="46" t="str">
        <f>IFERROR(VLOOKUP($H850,매장구분!$B:$Z,9,0),"")</f>
        <v/>
      </c>
      <c r="AF850" s="47">
        <f t="shared" si="13"/>
        <v>0</v>
      </c>
    </row>
    <row r="851" spans="2:32" x14ac:dyDescent="0.3">
      <c r="B851" s="46" t="str">
        <f>IFERROR(VLOOKUP($H851,매장구분!$B:$Z,2,0),"")</f>
        <v/>
      </c>
      <c r="C851" s="46" t="str">
        <f>IFERROR(VLOOKUP($H851,매장구분!$B:$Z,3,0),"")</f>
        <v/>
      </c>
      <c r="D851" s="46" t="str">
        <f>IFERROR(VLOOKUP($H851,매장구분!$B:$Z,5,0),"")</f>
        <v/>
      </c>
      <c r="E851" s="46" t="str">
        <f>IFERROR(VLOOKUP($H851,매장구분!$B:$Z,9,0),"")</f>
        <v/>
      </c>
      <c r="AF851" s="47">
        <f t="shared" si="13"/>
        <v>0</v>
      </c>
    </row>
    <row r="852" spans="2:32" x14ac:dyDescent="0.3">
      <c r="B852" s="46" t="str">
        <f>IFERROR(VLOOKUP($H852,매장구분!$B:$Z,2,0),"")</f>
        <v/>
      </c>
      <c r="C852" s="46" t="str">
        <f>IFERROR(VLOOKUP($H852,매장구분!$B:$Z,3,0),"")</f>
        <v/>
      </c>
      <c r="D852" s="46" t="str">
        <f>IFERROR(VLOOKUP($H852,매장구분!$B:$Z,5,0),"")</f>
        <v/>
      </c>
      <c r="E852" s="46" t="str">
        <f>IFERROR(VLOOKUP($H852,매장구분!$B:$Z,9,0),"")</f>
        <v/>
      </c>
      <c r="AF852" s="47">
        <f t="shared" si="13"/>
        <v>0</v>
      </c>
    </row>
    <row r="853" spans="2:32" x14ac:dyDescent="0.3">
      <c r="B853" s="46" t="str">
        <f>IFERROR(VLOOKUP($H853,매장구분!$B:$Z,2,0),"")</f>
        <v/>
      </c>
      <c r="C853" s="46" t="str">
        <f>IFERROR(VLOOKUP($H853,매장구분!$B:$Z,3,0),"")</f>
        <v/>
      </c>
      <c r="D853" s="46" t="str">
        <f>IFERROR(VLOOKUP($H853,매장구분!$B:$Z,5,0),"")</f>
        <v/>
      </c>
      <c r="E853" s="46" t="str">
        <f>IFERROR(VLOOKUP($H853,매장구분!$B:$Z,9,0),"")</f>
        <v/>
      </c>
      <c r="AF853" s="47">
        <f t="shared" si="13"/>
        <v>0</v>
      </c>
    </row>
    <row r="854" spans="2:32" x14ac:dyDescent="0.3">
      <c r="B854" s="46" t="str">
        <f>IFERROR(VLOOKUP($H854,매장구분!$B:$Z,2,0),"")</f>
        <v/>
      </c>
      <c r="C854" s="46" t="str">
        <f>IFERROR(VLOOKUP($H854,매장구분!$B:$Z,3,0),"")</f>
        <v/>
      </c>
      <c r="D854" s="46" t="str">
        <f>IFERROR(VLOOKUP($H854,매장구분!$B:$Z,5,0),"")</f>
        <v/>
      </c>
      <c r="E854" s="46" t="str">
        <f>IFERROR(VLOOKUP($H854,매장구분!$B:$Z,9,0),"")</f>
        <v/>
      </c>
      <c r="AF854" s="47">
        <f t="shared" si="13"/>
        <v>0</v>
      </c>
    </row>
    <row r="855" spans="2:32" x14ac:dyDescent="0.3">
      <c r="B855" s="46" t="str">
        <f>IFERROR(VLOOKUP($H855,매장구분!$B:$Z,2,0),"")</f>
        <v/>
      </c>
      <c r="C855" s="46" t="str">
        <f>IFERROR(VLOOKUP($H855,매장구분!$B:$Z,3,0),"")</f>
        <v/>
      </c>
      <c r="D855" s="46" t="str">
        <f>IFERROR(VLOOKUP($H855,매장구분!$B:$Z,5,0),"")</f>
        <v/>
      </c>
      <c r="E855" s="46" t="str">
        <f>IFERROR(VLOOKUP($H855,매장구분!$B:$Z,9,0),"")</f>
        <v/>
      </c>
      <c r="AF855" s="47">
        <f t="shared" si="13"/>
        <v>0</v>
      </c>
    </row>
    <row r="856" spans="2:32" x14ac:dyDescent="0.3">
      <c r="B856" s="46" t="str">
        <f>IFERROR(VLOOKUP($H856,매장구분!$B:$Z,2,0),"")</f>
        <v/>
      </c>
      <c r="C856" s="46" t="str">
        <f>IFERROR(VLOOKUP($H856,매장구분!$B:$Z,3,0),"")</f>
        <v/>
      </c>
      <c r="D856" s="46" t="str">
        <f>IFERROR(VLOOKUP($H856,매장구분!$B:$Z,5,0),"")</f>
        <v/>
      </c>
      <c r="E856" s="46" t="str">
        <f>IFERROR(VLOOKUP($H856,매장구분!$B:$Z,9,0),"")</f>
        <v/>
      </c>
      <c r="AF856" s="47">
        <f t="shared" si="13"/>
        <v>0</v>
      </c>
    </row>
    <row r="857" spans="2:32" x14ac:dyDescent="0.3">
      <c r="B857" s="46" t="str">
        <f>IFERROR(VLOOKUP($H857,매장구분!$B:$Z,2,0),"")</f>
        <v/>
      </c>
      <c r="C857" s="46" t="str">
        <f>IFERROR(VLOOKUP($H857,매장구분!$B:$Z,3,0),"")</f>
        <v/>
      </c>
      <c r="D857" s="46" t="str">
        <f>IFERROR(VLOOKUP($H857,매장구분!$B:$Z,5,0),"")</f>
        <v/>
      </c>
      <c r="E857" s="46" t="str">
        <f>IFERROR(VLOOKUP($H857,매장구분!$B:$Z,9,0),"")</f>
        <v/>
      </c>
      <c r="AF857" s="47">
        <f t="shared" si="13"/>
        <v>0</v>
      </c>
    </row>
    <row r="858" spans="2:32" x14ac:dyDescent="0.3">
      <c r="B858" s="46" t="str">
        <f>IFERROR(VLOOKUP($H858,매장구분!$B:$Z,2,0),"")</f>
        <v/>
      </c>
      <c r="C858" s="46" t="str">
        <f>IFERROR(VLOOKUP($H858,매장구분!$B:$Z,3,0),"")</f>
        <v/>
      </c>
      <c r="D858" s="46" t="str">
        <f>IFERROR(VLOOKUP($H858,매장구분!$B:$Z,5,0),"")</f>
        <v/>
      </c>
      <c r="E858" s="46" t="str">
        <f>IFERROR(VLOOKUP($H858,매장구분!$B:$Z,9,0),"")</f>
        <v/>
      </c>
      <c r="AF858" s="47">
        <f t="shared" si="13"/>
        <v>0</v>
      </c>
    </row>
    <row r="859" spans="2:32" x14ac:dyDescent="0.3">
      <c r="B859" s="46" t="str">
        <f>IFERROR(VLOOKUP($H859,매장구분!$B:$Z,2,0),"")</f>
        <v/>
      </c>
      <c r="C859" s="46" t="str">
        <f>IFERROR(VLOOKUP($H859,매장구분!$B:$Z,3,0),"")</f>
        <v/>
      </c>
      <c r="D859" s="46" t="str">
        <f>IFERROR(VLOOKUP($H859,매장구분!$B:$Z,5,0),"")</f>
        <v/>
      </c>
      <c r="E859" s="46" t="str">
        <f>IFERROR(VLOOKUP($H859,매장구분!$B:$Z,9,0),"")</f>
        <v/>
      </c>
      <c r="AF859" s="47">
        <f t="shared" si="13"/>
        <v>0</v>
      </c>
    </row>
    <row r="860" spans="2:32" x14ac:dyDescent="0.3">
      <c r="B860" s="46" t="str">
        <f>IFERROR(VLOOKUP($H860,매장구분!$B:$Z,2,0),"")</f>
        <v/>
      </c>
      <c r="C860" s="46" t="str">
        <f>IFERROR(VLOOKUP($H860,매장구분!$B:$Z,3,0),"")</f>
        <v/>
      </c>
      <c r="D860" s="46" t="str">
        <f>IFERROR(VLOOKUP($H860,매장구분!$B:$Z,5,0),"")</f>
        <v/>
      </c>
      <c r="E860" s="46" t="str">
        <f>IFERROR(VLOOKUP($H860,매장구분!$B:$Z,9,0),"")</f>
        <v/>
      </c>
      <c r="AF860" s="47">
        <f t="shared" si="13"/>
        <v>0</v>
      </c>
    </row>
    <row r="861" spans="2:32" x14ac:dyDescent="0.3">
      <c r="B861" s="46" t="str">
        <f>IFERROR(VLOOKUP($H861,매장구분!$B:$Z,2,0),"")</f>
        <v/>
      </c>
      <c r="C861" s="46" t="str">
        <f>IFERROR(VLOOKUP($H861,매장구분!$B:$Z,3,0),"")</f>
        <v/>
      </c>
      <c r="D861" s="46" t="str">
        <f>IFERROR(VLOOKUP($H861,매장구분!$B:$Z,5,0),"")</f>
        <v/>
      </c>
      <c r="E861" s="46" t="str">
        <f>IFERROR(VLOOKUP($H861,매장구분!$B:$Z,9,0),"")</f>
        <v/>
      </c>
      <c r="AF861" s="47">
        <f t="shared" si="13"/>
        <v>0</v>
      </c>
    </row>
    <row r="862" spans="2:32" x14ac:dyDescent="0.3">
      <c r="B862" s="46" t="str">
        <f>IFERROR(VLOOKUP($H862,매장구분!$B:$Z,2,0),"")</f>
        <v/>
      </c>
      <c r="C862" s="46" t="str">
        <f>IFERROR(VLOOKUP($H862,매장구분!$B:$Z,3,0),"")</f>
        <v/>
      </c>
      <c r="D862" s="46" t="str">
        <f>IFERROR(VLOOKUP($H862,매장구분!$B:$Z,5,0),"")</f>
        <v/>
      </c>
      <c r="E862" s="46" t="str">
        <f>IFERROR(VLOOKUP($H862,매장구분!$B:$Z,9,0),"")</f>
        <v/>
      </c>
      <c r="AF862" s="47">
        <f t="shared" si="13"/>
        <v>0</v>
      </c>
    </row>
    <row r="863" spans="2:32" x14ac:dyDescent="0.3">
      <c r="B863" s="46" t="str">
        <f>IFERROR(VLOOKUP($H863,매장구분!$B:$Z,2,0),"")</f>
        <v/>
      </c>
      <c r="C863" s="46" t="str">
        <f>IFERROR(VLOOKUP($H863,매장구분!$B:$Z,3,0),"")</f>
        <v/>
      </c>
      <c r="D863" s="46" t="str">
        <f>IFERROR(VLOOKUP($H863,매장구분!$B:$Z,5,0),"")</f>
        <v/>
      </c>
      <c r="E863" s="46" t="str">
        <f>IFERROR(VLOOKUP($H863,매장구분!$B:$Z,9,0),"")</f>
        <v/>
      </c>
      <c r="AF863" s="47">
        <f t="shared" si="13"/>
        <v>0</v>
      </c>
    </row>
    <row r="864" spans="2:32" x14ac:dyDescent="0.3">
      <c r="B864" s="46" t="str">
        <f>IFERROR(VLOOKUP($H864,매장구분!$B:$Z,2,0),"")</f>
        <v/>
      </c>
      <c r="C864" s="46" t="str">
        <f>IFERROR(VLOOKUP($H864,매장구분!$B:$Z,3,0),"")</f>
        <v/>
      </c>
      <c r="D864" s="46" t="str">
        <f>IFERROR(VLOOKUP($H864,매장구분!$B:$Z,5,0),"")</f>
        <v/>
      </c>
      <c r="E864" s="46" t="str">
        <f>IFERROR(VLOOKUP($H864,매장구분!$B:$Z,9,0),"")</f>
        <v/>
      </c>
      <c r="AF864" s="47">
        <f t="shared" si="13"/>
        <v>0</v>
      </c>
    </row>
    <row r="865" spans="2:32" x14ac:dyDescent="0.3">
      <c r="B865" s="46" t="str">
        <f>IFERROR(VLOOKUP($H865,매장구분!$B:$Z,2,0),"")</f>
        <v/>
      </c>
      <c r="C865" s="46" t="str">
        <f>IFERROR(VLOOKUP($H865,매장구분!$B:$Z,3,0),"")</f>
        <v/>
      </c>
      <c r="D865" s="46" t="str">
        <f>IFERROR(VLOOKUP($H865,매장구분!$B:$Z,5,0),"")</f>
        <v/>
      </c>
      <c r="E865" s="46" t="str">
        <f>IFERROR(VLOOKUP($H865,매장구분!$B:$Z,9,0),"")</f>
        <v/>
      </c>
      <c r="AF865" s="47">
        <f t="shared" si="13"/>
        <v>0</v>
      </c>
    </row>
    <row r="866" spans="2:32" x14ac:dyDescent="0.3">
      <c r="B866" s="46" t="str">
        <f>IFERROR(VLOOKUP($H866,매장구분!$B:$Z,2,0),"")</f>
        <v/>
      </c>
      <c r="C866" s="46" t="str">
        <f>IFERROR(VLOOKUP($H866,매장구분!$B:$Z,3,0),"")</f>
        <v/>
      </c>
      <c r="D866" s="46" t="str">
        <f>IFERROR(VLOOKUP($H866,매장구분!$B:$Z,5,0),"")</f>
        <v/>
      </c>
      <c r="E866" s="46" t="str">
        <f>IFERROR(VLOOKUP($H866,매장구분!$B:$Z,9,0),"")</f>
        <v/>
      </c>
      <c r="AF866" s="47">
        <f t="shared" si="13"/>
        <v>0</v>
      </c>
    </row>
    <row r="867" spans="2:32" x14ac:dyDescent="0.3">
      <c r="B867" s="46" t="str">
        <f>IFERROR(VLOOKUP($H867,매장구분!$B:$Z,2,0),"")</f>
        <v/>
      </c>
      <c r="C867" s="46" t="str">
        <f>IFERROR(VLOOKUP($H867,매장구분!$B:$Z,3,0),"")</f>
        <v/>
      </c>
      <c r="D867" s="46" t="str">
        <f>IFERROR(VLOOKUP($H867,매장구분!$B:$Z,5,0),"")</f>
        <v/>
      </c>
      <c r="E867" s="46" t="str">
        <f>IFERROR(VLOOKUP($H867,매장구분!$B:$Z,9,0),"")</f>
        <v/>
      </c>
      <c r="AF867" s="47">
        <f t="shared" si="13"/>
        <v>0</v>
      </c>
    </row>
    <row r="868" spans="2:32" x14ac:dyDescent="0.3">
      <c r="B868" s="46" t="str">
        <f>IFERROR(VLOOKUP($H868,매장구분!$B:$Z,2,0),"")</f>
        <v/>
      </c>
      <c r="C868" s="46" t="str">
        <f>IFERROR(VLOOKUP($H868,매장구분!$B:$Z,3,0),"")</f>
        <v/>
      </c>
      <c r="D868" s="46" t="str">
        <f>IFERROR(VLOOKUP($H868,매장구분!$B:$Z,5,0),"")</f>
        <v/>
      </c>
      <c r="E868" s="46" t="str">
        <f>IFERROR(VLOOKUP($H868,매장구분!$B:$Z,9,0),"")</f>
        <v/>
      </c>
      <c r="AF868" s="47">
        <f t="shared" si="13"/>
        <v>0</v>
      </c>
    </row>
    <row r="869" spans="2:32" x14ac:dyDescent="0.3">
      <c r="B869" s="46" t="str">
        <f>IFERROR(VLOOKUP($H869,매장구분!$B:$Z,2,0),"")</f>
        <v/>
      </c>
      <c r="C869" s="46" t="str">
        <f>IFERROR(VLOOKUP($H869,매장구분!$B:$Z,3,0),"")</f>
        <v/>
      </c>
      <c r="D869" s="46" t="str">
        <f>IFERROR(VLOOKUP($H869,매장구분!$B:$Z,5,0),"")</f>
        <v/>
      </c>
      <c r="E869" s="46" t="str">
        <f>IFERROR(VLOOKUP($H869,매장구분!$B:$Z,9,0),"")</f>
        <v/>
      </c>
      <c r="AF869" s="47">
        <f t="shared" si="13"/>
        <v>0</v>
      </c>
    </row>
    <row r="870" spans="2:32" x14ac:dyDescent="0.3">
      <c r="B870" s="46" t="str">
        <f>IFERROR(VLOOKUP($H870,매장구분!$B:$Z,2,0),"")</f>
        <v/>
      </c>
      <c r="C870" s="46" t="str">
        <f>IFERROR(VLOOKUP($H870,매장구분!$B:$Z,3,0),"")</f>
        <v/>
      </c>
      <c r="D870" s="46" t="str">
        <f>IFERROR(VLOOKUP($H870,매장구분!$B:$Z,5,0),"")</f>
        <v/>
      </c>
      <c r="E870" s="46" t="str">
        <f>IFERROR(VLOOKUP($H870,매장구분!$B:$Z,9,0),"")</f>
        <v/>
      </c>
      <c r="AF870" s="47">
        <f t="shared" si="13"/>
        <v>0</v>
      </c>
    </row>
    <row r="871" spans="2:32" x14ac:dyDescent="0.3">
      <c r="B871" s="46" t="str">
        <f>IFERROR(VLOOKUP($H871,매장구분!$B:$Z,2,0),"")</f>
        <v/>
      </c>
      <c r="C871" s="46" t="str">
        <f>IFERROR(VLOOKUP($H871,매장구분!$B:$Z,3,0),"")</f>
        <v/>
      </c>
      <c r="D871" s="46" t="str">
        <f>IFERROR(VLOOKUP($H871,매장구분!$B:$Z,5,0),"")</f>
        <v/>
      </c>
      <c r="E871" s="46" t="str">
        <f>IFERROR(VLOOKUP($H871,매장구분!$B:$Z,9,0),"")</f>
        <v/>
      </c>
      <c r="AF871" s="47">
        <f t="shared" si="13"/>
        <v>0</v>
      </c>
    </row>
    <row r="872" spans="2:32" x14ac:dyDescent="0.3">
      <c r="B872" s="46" t="str">
        <f>IFERROR(VLOOKUP($H872,매장구분!$B:$Z,2,0),"")</f>
        <v/>
      </c>
      <c r="C872" s="46" t="str">
        <f>IFERROR(VLOOKUP($H872,매장구분!$B:$Z,3,0),"")</f>
        <v/>
      </c>
      <c r="D872" s="46" t="str">
        <f>IFERROR(VLOOKUP($H872,매장구분!$B:$Z,5,0),"")</f>
        <v/>
      </c>
      <c r="E872" s="46" t="str">
        <f>IFERROR(VLOOKUP($H872,매장구분!$B:$Z,9,0),"")</f>
        <v/>
      </c>
      <c r="AF872" s="47">
        <f t="shared" si="13"/>
        <v>0</v>
      </c>
    </row>
    <row r="873" spans="2:32" x14ac:dyDescent="0.3">
      <c r="B873" s="46" t="str">
        <f>IFERROR(VLOOKUP($H873,매장구분!$B:$Z,2,0),"")</f>
        <v/>
      </c>
      <c r="C873" s="46" t="str">
        <f>IFERROR(VLOOKUP($H873,매장구분!$B:$Z,3,0),"")</f>
        <v/>
      </c>
      <c r="D873" s="46" t="str">
        <f>IFERROR(VLOOKUP($H873,매장구분!$B:$Z,5,0),"")</f>
        <v/>
      </c>
      <c r="E873" s="46" t="str">
        <f>IFERROR(VLOOKUP($H873,매장구분!$B:$Z,9,0),"")</f>
        <v/>
      </c>
      <c r="AF873" s="47">
        <f t="shared" si="13"/>
        <v>0</v>
      </c>
    </row>
    <row r="874" spans="2:32" x14ac:dyDescent="0.3">
      <c r="B874" s="46" t="str">
        <f>IFERROR(VLOOKUP($H874,매장구분!$B:$Z,2,0),"")</f>
        <v/>
      </c>
      <c r="C874" s="46" t="str">
        <f>IFERROR(VLOOKUP($H874,매장구분!$B:$Z,3,0),"")</f>
        <v/>
      </c>
      <c r="D874" s="46" t="str">
        <f>IFERROR(VLOOKUP($H874,매장구분!$B:$Z,5,0),"")</f>
        <v/>
      </c>
      <c r="E874" s="46" t="str">
        <f>IFERROR(VLOOKUP($H874,매장구분!$B:$Z,9,0),"")</f>
        <v/>
      </c>
      <c r="AF874" s="47">
        <f t="shared" si="13"/>
        <v>0</v>
      </c>
    </row>
    <row r="875" spans="2:32" x14ac:dyDescent="0.3">
      <c r="B875" s="46" t="str">
        <f>IFERROR(VLOOKUP($H875,매장구분!$B:$Z,2,0),"")</f>
        <v/>
      </c>
      <c r="C875" s="46" t="str">
        <f>IFERROR(VLOOKUP($H875,매장구분!$B:$Z,3,0),"")</f>
        <v/>
      </c>
      <c r="D875" s="46" t="str">
        <f>IFERROR(VLOOKUP($H875,매장구분!$B:$Z,5,0),"")</f>
        <v/>
      </c>
      <c r="E875" s="46" t="str">
        <f>IFERROR(VLOOKUP($H875,매장구분!$B:$Z,9,0),"")</f>
        <v/>
      </c>
      <c r="AF875" s="47">
        <f t="shared" si="13"/>
        <v>0</v>
      </c>
    </row>
    <row r="876" spans="2:32" x14ac:dyDescent="0.3">
      <c r="B876" s="46" t="str">
        <f>IFERROR(VLOOKUP($H876,매장구분!$B:$Z,2,0),"")</f>
        <v/>
      </c>
      <c r="C876" s="46" t="str">
        <f>IFERROR(VLOOKUP($H876,매장구분!$B:$Z,3,0),"")</f>
        <v/>
      </c>
      <c r="D876" s="46" t="str">
        <f>IFERROR(VLOOKUP($H876,매장구분!$B:$Z,5,0),"")</f>
        <v/>
      </c>
      <c r="E876" s="46" t="str">
        <f>IFERROR(VLOOKUP($H876,매장구분!$B:$Z,9,0),"")</f>
        <v/>
      </c>
      <c r="AF876" s="47">
        <f t="shared" si="13"/>
        <v>0</v>
      </c>
    </row>
    <row r="877" spans="2:32" x14ac:dyDescent="0.3">
      <c r="B877" s="46" t="str">
        <f>IFERROR(VLOOKUP($H877,매장구분!$B:$Z,2,0),"")</f>
        <v/>
      </c>
      <c r="C877" s="46" t="str">
        <f>IFERROR(VLOOKUP($H877,매장구분!$B:$Z,3,0),"")</f>
        <v/>
      </c>
      <c r="D877" s="46" t="str">
        <f>IFERROR(VLOOKUP($H877,매장구분!$B:$Z,5,0),"")</f>
        <v/>
      </c>
      <c r="E877" s="46" t="str">
        <f>IFERROR(VLOOKUP($H877,매장구분!$B:$Z,9,0),"")</f>
        <v/>
      </c>
      <c r="AF877" s="47">
        <f t="shared" si="13"/>
        <v>0</v>
      </c>
    </row>
    <row r="878" spans="2:32" x14ac:dyDescent="0.3">
      <c r="B878" s="46" t="str">
        <f>IFERROR(VLOOKUP($H878,매장구분!$B:$Z,2,0),"")</f>
        <v/>
      </c>
      <c r="C878" s="46" t="str">
        <f>IFERROR(VLOOKUP($H878,매장구분!$B:$Z,3,0),"")</f>
        <v/>
      </c>
      <c r="D878" s="46" t="str">
        <f>IFERROR(VLOOKUP($H878,매장구분!$B:$Z,5,0),"")</f>
        <v/>
      </c>
      <c r="E878" s="46" t="str">
        <f>IFERROR(VLOOKUP($H878,매장구분!$B:$Z,9,0),"")</f>
        <v/>
      </c>
      <c r="AF878" s="47">
        <f t="shared" si="13"/>
        <v>0</v>
      </c>
    </row>
    <row r="879" spans="2:32" x14ac:dyDescent="0.3">
      <c r="B879" s="46" t="str">
        <f>IFERROR(VLOOKUP($H879,매장구분!$B:$Z,2,0),"")</f>
        <v/>
      </c>
      <c r="C879" s="46" t="str">
        <f>IFERROR(VLOOKUP($H879,매장구분!$B:$Z,3,0),"")</f>
        <v/>
      </c>
      <c r="D879" s="46" t="str">
        <f>IFERROR(VLOOKUP($H879,매장구분!$B:$Z,5,0),"")</f>
        <v/>
      </c>
      <c r="E879" s="46" t="str">
        <f>IFERROR(VLOOKUP($H879,매장구분!$B:$Z,9,0),"")</f>
        <v/>
      </c>
      <c r="AF879" s="47">
        <f t="shared" si="13"/>
        <v>0</v>
      </c>
    </row>
    <row r="880" spans="2:32" x14ac:dyDescent="0.3">
      <c r="B880" s="46" t="str">
        <f>IFERROR(VLOOKUP($H880,매장구분!$B:$Z,2,0),"")</f>
        <v/>
      </c>
      <c r="C880" s="46" t="str">
        <f>IFERROR(VLOOKUP($H880,매장구분!$B:$Z,3,0),"")</f>
        <v/>
      </c>
      <c r="D880" s="46" t="str">
        <f>IFERROR(VLOOKUP($H880,매장구분!$B:$Z,5,0),"")</f>
        <v/>
      </c>
      <c r="E880" s="46" t="str">
        <f>IFERROR(VLOOKUP($H880,매장구분!$B:$Z,9,0),"")</f>
        <v/>
      </c>
      <c r="AF880" s="47">
        <f t="shared" si="13"/>
        <v>0</v>
      </c>
    </row>
    <row r="881" spans="2:32" x14ac:dyDescent="0.3">
      <c r="B881" s="46" t="str">
        <f>IFERROR(VLOOKUP($H881,매장구분!$B:$Z,2,0),"")</f>
        <v/>
      </c>
      <c r="C881" s="46" t="str">
        <f>IFERROR(VLOOKUP($H881,매장구분!$B:$Z,3,0),"")</f>
        <v/>
      </c>
      <c r="D881" s="46" t="str">
        <f>IFERROR(VLOOKUP($H881,매장구분!$B:$Z,5,0),"")</f>
        <v/>
      </c>
      <c r="E881" s="46" t="str">
        <f>IFERROR(VLOOKUP($H881,매장구분!$B:$Z,9,0),"")</f>
        <v/>
      </c>
      <c r="AF881" s="47">
        <f t="shared" si="13"/>
        <v>0</v>
      </c>
    </row>
    <row r="882" spans="2:32" x14ac:dyDescent="0.3">
      <c r="B882" s="46" t="str">
        <f>IFERROR(VLOOKUP($H882,매장구분!$B:$Z,2,0),"")</f>
        <v/>
      </c>
      <c r="C882" s="46" t="str">
        <f>IFERROR(VLOOKUP($H882,매장구분!$B:$Z,3,0),"")</f>
        <v/>
      </c>
      <c r="D882" s="46" t="str">
        <f>IFERROR(VLOOKUP($H882,매장구분!$B:$Z,5,0),"")</f>
        <v/>
      </c>
      <c r="E882" s="46" t="str">
        <f>IFERROR(VLOOKUP($H882,매장구분!$B:$Z,9,0),"")</f>
        <v/>
      </c>
      <c r="AF882" s="47">
        <f t="shared" si="13"/>
        <v>0</v>
      </c>
    </row>
    <row r="883" spans="2:32" x14ac:dyDescent="0.3">
      <c r="B883" s="46" t="str">
        <f>IFERROR(VLOOKUP($H883,매장구분!$B:$Z,2,0),"")</f>
        <v/>
      </c>
      <c r="C883" s="46" t="str">
        <f>IFERROR(VLOOKUP($H883,매장구분!$B:$Z,3,0),"")</f>
        <v/>
      </c>
      <c r="D883" s="46" t="str">
        <f>IFERROR(VLOOKUP($H883,매장구분!$B:$Z,5,0),"")</f>
        <v/>
      </c>
      <c r="E883" s="46" t="str">
        <f>IFERROR(VLOOKUP($H883,매장구분!$B:$Z,9,0),"")</f>
        <v/>
      </c>
      <c r="AF883" s="47">
        <f t="shared" si="13"/>
        <v>0</v>
      </c>
    </row>
    <row r="884" spans="2:32" x14ac:dyDescent="0.3">
      <c r="B884" s="46" t="str">
        <f>IFERROR(VLOOKUP($H884,매장구분!$B:$Z,2,0),"")</f>
        <v/>
      </c>
      <c r="C884" s="46" t="str">
        <f>IFERROR(VLOOKUP($H884,매장구분!$B:$Z,3,0),"")</f>
        <v/>
      </c>
      <c r="D884" s="46" t="str">
        <f>IFERROR(VLOOKUP($H884,매장구분!$B:$Z,5,0),"")</f>
        <v/>
      </c>
      <c r="E884" s="46" t="str">
        <f>IFERROR(VLOOKUP($H884,매장구분!$B:$Z,9,0),"")</f>
        <v/>
      </c>
      <c r="AF884" s="47">
        <f t="shared" si="13"/>
        <v>0</v>
      </c>
    </row>
    <row r="885" spans="2:32" x14ac:dyDescent="0.3">
      <c r="B885" s="46" t="str">
        <f>IFERROR(VLOOKUP($H885,매장구분!$B:$Z,2,0),"")</f>
        <v/>
      </c>
      <c r="C885" s="46" t="str">
        <f>IFERROR(VLOOKUP($H885,매장구분!$B:$Z,3,0),"")</f>
        <v/>
      </c>
      <c r="D885" s="46" t="str">
        <f>IFERROR(VLOOKUP($H885,매장구분!$B:$Z,5,0),"")</f>
        <v/>
      </c>
      <c r="E885" s="46" t="str">
        <f>IFERROR(VLOOKUP($H885,매장구분!$B:$Z,9,0),"")</f>
        <v/>
      </c>
      <c r="AF885" s="47">
        <f t="shared" si="13"/>
        <v>0</v>
      </c>
    </row>
    <row r="886" spans="2:32" x14ac:dyDescent="0.3">
      <c r="B886" s="46" t="str">
        <f>IFERROR(VLOOKUP($H886,매장구분!$B:$Z,2,0),"")</f>
        <v/>
      </c>
      <c r="C886" s="46" t="str">
        <f>IFERROR(VLOOKUP($H886,매장구분!$B:$Z,3,0),"")</f>
        <v/>
      </c>
      <c r="D886" s="46" t="str">
        <f>IFERROR(VLOOKUP($H886,매장구분!$B:$Z,5,0),"")</f>
        <v/>
      </c>
      <c r="E886" s="46" t="str">
        <f>IFERROR(VLOOKUP($H886,매장구분!$B:$Z,9,0),"")</f>
        <v/>
      </c>
      <c r="AF886" s="47">
        <f t="shared" si="13"/>
        <v>0</v>
      </c>
    </row>
    <row r="887" spans="2:32" x14ac:dyDescent="0.3">
      <c r="B887" s="46" t="str">
        <f>IFERROR(VLOOKUP($H887,매장구분!$B:$Z,2,0),"")</f>
        <v/>
      </c>
      <c r="C887" s="46" t="str">
        <f>IFERROR(VLOOKUP($H887,매장구분!$B:$Z,3,0),"")</f>
        <v/>
      </c>
      <c r="D887" s="46" t="str">
        <f>IFERROR(VLOOKUP($H887,매장구분!$B:$Z,5,0),"")</f>
        <v/>
      </c>
      <c r="E887" s="46" t="str">
        <f>IFERROR(VLOOKUP($H887,매장구분!$B:$Z,9,0),"")</f>
        <v/>
      </c>
      <c r="AF887" s="47">
        <f t="shared" si="13"/>
        <v>0</v>
      </c>
    </row>
    <row r="888" spans="2:32" x14ac:dyDescent="0.3">
      <c r="B888" s="46" t="str">
        <f>IFERROR(VLOOKUP($H888,매장구분!$B:$Z,2,0),"")</f>
        <v/>
      </c>
      <c r="C888" s="46" t="str">
        <f>IFERROR(VLOOKUP($H888,매장구분!$B:$Z,3,0),"")</f>
        <v/>
      </c>
      <c r="D888" s="46" t="str">
        <f>IFERROR(VLOOKUP($H888,매장구분!$B:$Z,5,0),"")</f>
        <v/>
      </c>
      <c r="E888" s="46" t="str">
        <f>IFERROR(VLOOKUP($H888,매장구분!$B:$Z,9,0),"")</f>
        <v/>
      </c>
      <c r="AF888" s="47">
        <f t="shared" si="13"/>
        <v>0</v>
      </c>
    </row>
    <row r="889" spans="2:32" x14ac:dyDescent="0.3">
      <c r="B889" s="46" t="str">
        <f>IFERROR(VLOOKUP($H889,매장구분!$B:$Z,2,0),"")</f>
        <v/>
      </c>
      <c r="C889" s="46" t="str">
        <f>IFERROR(VLOOKUP($H889,매장구분!$B:$Z,3,0),"")</f>
        <v/>
      </c>
      <c r="D889" s="46" t="str">
        <f>IFERROR(VLOOKUP($H889,매장구분!$B:$Z,5,0),"")</f>
        <v/>
      </c>
      <c r="E889" s="46" t="str">
        <f>IFERROR(VLOOKUP($H889,매장구분!$B:$Z,9,0),"")</f>
        <v/>
      </c>
      <c r="AF889" s="47">
        <f t="shared" si="13"/>
        <v>0</v>
      </c>
    </row>
    <row r="890" spans="2:32" x14ac:dyDescent="0.3">
      <c r="B890" s="46" t="str">
        <f>IFERROR(VLOOKUP($H890,매장구분!$B:$Z,2,0),"")</f>
        <v/>
      </c>
      <c r="C890" s="46" t="str">
        <f>IFERROR(VLOOKUP($H890,매장구분!$B:$Z,3,0),"")</f>
        <v/>
      </c>
      <c r="D890" s="46" t="str">
        <f>IFERROR(VLOOKUP($H890,매장구분!$B:$Z,5,0),"")</f>
        <v/>
      </c>
      <c r="E890" s="46" t="str">
        <f>IFERROR(VLOOKUP($H890,매장구분!$B:$Z,9,0),"")</f>
        <v/>
      </c>
      <c r="AF890" s="47">
        <f t="shared" si="13"/>
        <v>0</v>
      </c>
    </row>
    <row r="891" spans="2:32" x14ac:dyDescent="0.3">
      <c r="B891" s="46" t="str">
        <f>IFERROR(VLOOKUP($H891,매장구분!$B:$Z,2,0),"")</f>
        <v/>
      </c>
      <c r="C891" s="46" t="str">
        <f>IFERROR(VLOOKUP($H891,매장구분!$B:$Z,3,0),"")</f>
        <v/>
      </c>
      <c r="D891" s="46" t="str">
        <f>IFERROR(VLOOKUP($H891,매장구분!$B:$Z,5,0),"")</f>
        <v/>
      </c>
      <c r="E891" s="46" t="str">
        <f>IFERROR(VLOOKUP($H891,매장구분!$B:$Z,9,0),"")</f>
        <v/>
      </c>
      <c r="AF891" s="47">
        <f t="shared" si="13"/>
        <v>0</v>
      </c>
    </row>
    <row r="892" spans="2:32" x14ac:dyDescent="0.3">
      <c r="B892" s="46" t="str">
        <f>IFERROR(VLOOKUP($H892,매장구분!$B:$Z,2,0),"")</f>
        <v/>
      </c>
      <c r="C892" s="46" t="str">
        <f>IFERROR(VLOOKUP($H892,매장구분!$B:$Z,3,0),"")</f>
        <v/>
      </c>
      <c r="D892" s="46" t="str">
        <f>IFERROR(VLOOKUP($H892,매장구분!$B:$Z,5,0),"")</f>
        <v/>
      </c>
      <c r="E892" s="46" t="str">
        <f>IFERROR(VLOOKUP($H892,매장구분!$B:$Z,9,0),"")</f>
        <v/>
      </c>
      <c r="AF892" s="47">
        <f t="shared" si="13"/>
        <v>0</v>
      </c>
    </row>
    <row r="893" spans="2:32" x14ac:dyDescent="0.3">
      <c r="B893" s="46" t="str">
        <f>IFERROR(VLOOKUP($H893,매장구분!$B:$Z,2,0),"")</f>
        <v/>
      </c>
      <c r="C893" s="46" t="str">
        <f>IFERROR(VLOOKUP($H893,매장구분!$B:$Z,3,0),"")</f>
        <v/>
      </c>
      <c r="D893" s="46" t="str">
        <f>IFERROR(VLOOKUP($H893,매장구분!$B:$Z,5,0),"")</f>
        <v/>
      </c>
      <c r="E893" s="46" t="str">
        <f>IFERROR(VLOOKUP($H893,매장구분!$B:$Z,9,0),"")</f>
        <v/>
      </c>
      <c r="AF893" s="47">
        <f t="shared" si="13"/>
        <v>0</v>
      </c>
    </row>
    <row r="894" spans="2:32" x14ac:dyDescent="0.3">
      <c r="B894" s="46" t="str">
        <f>IFERROR(VLOOKUP($H894,매장구분!$B:$Z,2,0),"")</f>
        <v/>
      </c>
      <c r="C894" s="46" t="str">
        <f>IFERROR(VLOOKUP($H894,매장구분!$B:$Z,3,0),"")</f>
        <v/>
      </c>
      <c r="D894" s="46" t="str">
        <f>IFERROR(VLOOKUP($H894,매장구분!$B:$Z,5,0),"")</f>
        <v/>
      </c>
      <c r="E894" s="46" t="str">
        <f>IFERROR(VLOOKUP($H894,매장구분!$B:$Z,9,0),"")</f>
        <v/>
      </c>
      <c r="AF894" s="47">
        <f t="shared" si="13"/>
        <v>0</v>
      </c>
    </row>
    <row r="895" spans="2:32" x14ac:dyDescent="0.3">
      <c r="B895" s="46" t="str">
        <f>IFERROR(VLOOKUP($H895,매장구분!$B:$Z,2,0),"")</f>
        <v/>
      </c>
      <c r="C895" s="46" t="str">
        <f>IFERROR(VLOOKUP($H895,매장구분!$B:$Z,3,0),"")</f>
        <v/>
      </c>
      <c r="D895" s="46" t="str">
        <f>IFERROR(VLOOKUP($H895,매장구분!$B:$Z,5,0),"")</f>
        <v/>
      </c>
      <c r="E895" s="46" t="str">
        <f>IFERROR(VLOOKUP($H895,매장구분!$B:$Z,9,0),"")</f>
        <v/>
      </c>
      <c r="AF895" s="47">
        <f t="shared" si="13"/>
        <v>0</v>
      </c>
    </row>
    <row r="896" spans="2:32" x14ac:dyDescent="0.3">
      <c r="B896" s="46" t="str">
        <f>IFERROR(VLOOKUP($H896,매장구분!$B:$Z,2,0),"")</f>
        <v/>
      </c>
      <c r="C896" s="46" t="str">
        <f>IFERROR(VLOOKUP($H896,매장구분!$B:$Z,3,0),"")</f>
        <v/>
      </c>
      <c r="D896" s="46" t="str">
        <f>IFERROR(VLOOKUP($H896,매장구분!$B:$Z,5,0),"")</f>
        <v/>
      </c>
      <c r="E896" s="46" t="str">
        <f>IFERROR(VLOOKUP($H896,매장구분!$B:$Z,9,0),"")</f>
        <v/>
      </c>
      <c r="AF896" s="47">
        <f t="shared" si="13"/>
        <v>0</v>
      </c>
    </row>
    <row r="897" spans="2:32" x14ac:dyDescent="0.3">
      <c r="B897" s="46" t="str">
        <f>IFERROR(VLOOKUP($H897,매장구분!$B:$Z,2,0),"")</f>
        <v/>
      </c>
      <c r="C897" s="46" t="str">
        <f>IFERROR(VLOOKUP($H897,매장구분!$B:$Z,3,0),"")</f>
        <v/>
      </c>
      <c r="D897" s="46" t="str">
        <f>IFERROR(VLOOKUP($H897,매장구분!$B:$Z,5,0),"")</f>
        <v/>
      </c>
      <c r="E897" s="46" t="str">
        <f>IFERROR(VLOOKUP($H897,매장구분!$B:$Z,9,0),"")</f>
        <v/>
      </c>
      <c r="AF897" s="47">
        <f t="shared" si="13"/>
        <v>0</v>
      </c>
    </row>
    <row r="898" spans="2:32" x14ac:dyDescent="0.3">
      <c r="B898" s="46" t="str">
        <f>IFERROR(VLOOKUP($H898,매장구분!$B:$Z,2,0),"")</f>
        <v/>
      </c>
      <c r="C898" s="46" t="str">
        <f>IFERROR(VLOOKUP($H898,매장구분!$B:$Z,3,0),"")</f>
        <v/>
      </c>
      <c r="D898" s="46" t="str">
        <f>IFERROR(VLOOKUP($H898,매장구분!$B:$Z,5,0),"")</f>
        <v/>
      </c>
      <c r="E898" s="46" t="str">
        <f>IFERROR(VLOOKUP($H898,매장구분!$B:$Z,9,0),"")</f>
        <v/>
      </c>
      <c r="AF898" s="47">
        <f t="shared" si="13"/>
        <v>0</v>
      </c>
    </row>
    <row r="899" spans="2:32" x14ac:dyDescent="0.3">
      <c r="B899" s="46" t="str">
        <f>IFERROR(VLOOKUP($H899,매장구분!$B:$Z,2,0),"")</f>
        <v/>
      </c>
      <c r="C899" s="46" t="str">
        <f>IFERROR(VLOOKUP($H899,매장구분!$B:$Z,3,0),"")</f>
        <v/>
      </c>
      <c r="D899" s="46" t="str">
        <f>IFERROR(VLOOKUP($H899,매장구분!$B:$Z,5,0),"")</f>
        <v/>
      </c>
      <c r="E899" s="46" t="str">
        <f>IFERROR(VLOOKUP($H899,매장구분!$B:$Z,9,0),"")</f>
        <v/>
      </c>
      <c r="AF899" s="47">
        <f t="shared" ref="AF899:AF962" si="14">IFERROR(AC899-Y899,"")</f>
        <v>0</v>
      </c>
    </row>
    <row r="900" spans="2:32" x14ac:dyDescent="0.3">
      <c r="B900" s="46" t="str">
        <f>IFERROR(VLOOKUP($H900,매장구분!$B:$Z,2,0),"")</f>
        <v/>
      </c>
      <c r="C900" s="46" t="str">
        <f>IFERROR(VLOOKUP($H900,매장구분!$B:$Z,3,0),"")</f>
        <v/>
      </c>
      <c r="D900" s="46" t="str">
        <f>IFERROR(VLOOKUP($H900,매장구분!$B:$Z,5,0),"")</f>
        <v/>
      </c>
      <c r="E900" s="46" t="str">
        <f>IFERROR(VLOOKUP($H900,매장구분!$B:$Z,9,0),"")</f>
        <v/>
      </c>
      <c r="AF900" s="47">
        <f t="shared" si="14"/>
        <v>0</v>
      </c>
    </row>
    <row r="901" spans="2:32" x14ac:dyDescent="0.3">
      <c r="B901" s="46" t="str">
        <f>IFERROR(VLOOKUP($H901,매장구분!$B:$Z,2,0),"")</f>
        <v/>
      </c>
      <c r="C901" s="46" t="str">
        <f>IFERROR(VLOOKUP($H901,매장구분!$B:$Z,3,0),"")</f>
        <v/>
      </c>
      <c r="D901" s="46" t="str">
        <f>IFERROR(VLOOKUP($H901,매장구분!$B:$Z,5,0),"")</f>
        <v/>
      </c>
      <c r="E901" s="46" t="str">
        <f>IFERROR(VLOOKUP($H901,매장구분!$B:$Z,9,0),"")</f>
        <v/>
      </c>
      <c r="AF901" s="47">
        <f t="shared" si="14"/>
        <v>0</v>
      </c>
    </row>
    <row r="902" spans="2:32" x14ac:dyDescent="0.3">
      <c r="B902" s="46" t="str">
        <f>IFERROR(VLOOKUP($H902,매장구분!$B:$Z,2,0),"")</f>
        <v/>
      </c>
      <c r="C902" s="46" t="str">
        <f>IFERROR(VLOOKUP($H902,매장구분!$B:$Z,3,0),"")</f>
        <v/>
      </c>
      <c r="D902" s="46" t="str">
        <f>IFERROR(VLOOKUP($H902,매장구분!$B:$Z,5,0),"")</f>
        <v/>
      </c>
      <c r="E902" s="46" t="str">
        <f>IFERROR(VLOOKUP($H902,매장구분!$B:$Z,9,0),"")</f>
        <v/>
      </c>
      <c r="AF902" s="47">
        <f t="shared" si="14"/>
        <v>0</v>
      </c>
    </row>
    <row r="903" spans="2:32" x14ac:dyDescent="0.3">
      <c r="B903" s="46" t="str">
        <f>IFERROR(VLOOKUP($H903,매장구분!$B:$Z,2,0),"")</f>
        <v/>
      </c>
      <c r="C903" s="46" t="str">
        <f>IFERROR(VLOOKUP($H903,매장구분!$B:$Z,3,0),"")</f>
        <v/>
      </c>
      <c r="D903" s="46" t="str">
        <f>IFERROR(VLOOKUP($H903,매장구분!$B:$Z,5,0),"")</f>
        <v/>
      </c>
      <c r="E903" s="46" t="str">
        <f>IFERROR(VLOOKUP($H903,매장구분!$B:$Z,9,0),"")</f>
        <v/>
      </c>
      <c r="AF903" s="47">
        <f t="shared" si="14"/>
        <v>0</v>
      </c>
    </row>
    <row r="904" spans="2:32" x14ac:dyDescent="0.3">
      <c r="B904" s="46" t="str">
        <f>IFERROR(VLOOKUP($H904,매장구분!$B:$Z,2,0),"")</f>
        <v/>
      </c>
      <c r="C904" s="46" t="str">
        <f>IFERROR(VLOOKUP($H904,매장구분!$B:$Z,3,0),"")</f>
        <v/>
      </c>
      <c r="D904" s="46" t="str">
        <f>IFERROR(VLOOKUP($H904,매장구분!$B:$Z,5,0),"")</f>
        <v/>
      </c>
      <c r="E904" s="46" t="str">
        <f>IFERROR(VLOOKUP($H904,매장구분!$B:$Z,9,0),"")</f>
        <v/>
      </c>
      <c r="AF904" s="47">
        <f t="shared" si="14"/>
        <v>0</v>
      </c>
    </row>
    <row r="905" spans="2:32" x14ac:dyDescent="0.3">
      <c r="B905" s="46" t="str">
        <f>IFERROR(VLOOKUP($H905,매장구분!$B:$Z,2,0),"")</f>
        <v/>
      </c>
      <c r="C905" s="46" t="str">
        <f>IFERROR(VLOOKUP($H905,매장구분!$B:$Z,3,0),"")</f>
        <v/>
      </c>
      <c r="D905" s="46" t="str">
        <f>IFERROR(VLOOKUP($H905,매장구분!$B:$Z,5,0),"")</f>
        <v/>
      </c>
      <c r="E905" s="46" t="str">
        <f>IFERROR(VLOOKUP($H905,매장구분!$B:$Z,9,0),"")</f>
        <v/>
      </c>
      <c r="AF905" s="47">
        <f t="shared" si="14"/>
        <v>0</v>
      </c>
    </row>
    <row r="906" spans="2:32" x14ac:dyDescent="0.3">
      <c r="B906" s="46" t="str">
        <f>IFERROR(VLOOKUP($H906,매장구분!$B:$Z,2,0),"")</f>
        <v/>
      </c>
      <c r="C906" s="46" t="str">
        <f>IFERROR(VLOOKUP($H906,매장구분!$B:$Z,3,0),"")</f>
        <v/>
      </c>
      <c r="D906" s="46" t="str">
        <f>IFERROR(VLOOKUP($H906,매장구분!$B:$Z,5,0),"")</f>
        <v/>
      </c>
      <c r="E906" s="46" t="str">
        <f>IFERROR(VLOOKUP($H906,매장구분!$B:$Z,9,0),"")</f>
        <v/>
      </c>
      <c r="AF906" s="47">
        <f t="shared" si="14"/>
        <v>0</v>
      </c>
    </row>
    <row r="907" spans="2:32" x14ac:dyDescent="0.3">
      <c r="B907" s="46" t="str">
        <f>IFERROR(VLOOKUP($H907,매장구분!$B:$Z,2,0),"")</f>
        <v/>
      </c>
      <c r="C907" s="46" t="str">
        <f>IFERROR(VLOOKUP($H907,매장구분!$B:$Z,3,0),"")</f>
        <v/>
      </c>
      <c r="D907" s="46" t="str">
        <f>IFERROR(VLOOKUP($H907,매장구분!$B:$Z,5,0),"")</f>
        <v/>
      </c>
      <c r="E907" s="46" t="str">
        <f>IFERROR(VLOOKUP($H907,매장구분!$B:$Z,9,0),"")</f>
        <v/>
      </c>
      <c r="AF907" s="47">
        <f t="shared" si="14"/>
        <v>0</v>
      </c>
    </row>
    <row r="908" spans="2:32" x14ac:dyDescent="0.3">
      <c r="B908" s="46" t="str">
        <f>IFERROR(VLOOKUP($H908,매장구분!$B:$Z,2,0),"")</f>
        <v/>
      </c>
      <c r="C908" s="46" t="str">
        <f>IFERROR(VLOOKUP($H908,매장구분!$B:$Z,3,0),"")</f>
        <v/>
      </c>
      <c r="D908" s="46" t="str">
        <f>IFERROR(VLOOKUP($H908,매장구분!$B:$Z,5,0),"")</f>
        <v/>
      </c>
      <c r="E908" s="46" t="str">
        <f>IFERROR(VLOOKUP($H908,매장구분!$B:$Z,9,0),"")</f>
        <v/>
      </c>
      <c r="AF908" s="47">
        <f t="shared" si="14"/>
        <v>0</v>
      </c>
    </row>
    <row r="909" spans="2:32" x14ac:dyDescent="0.3">
      <c r="B909" s="46" t="str">
        <f>IFERROR(VLOOKUP($H909,매장구분!$B:$Z,2,0),"")</f>
        <v/>
      </c>
      <c r="C909" s="46" t="str">
        <f>IFERROR(VLOOKUP($H909,매장구분!$B:$Z,3,0),"")</f>
        <v/>
      </c>
      <c r="D909" s="46" t="str">
        <f>IFERROR(VLOOKUP($H909,매장구분!$B:$Z,5,0),"")</f>
        <v/>
      </c>
      <c r="E909" s="46" t="str">
        <f>IFERROR(VLOOKUP($H909,매장구분!$B:$Z,9,0),"")</f>
        <v/>
      </c>
      <c r="AF909" s="47">
        <f t="shared" si="14"/>
        <v>0</v>
      </c>
    </row>
    <row r="910" spans="2:32" x14ac:dyDescent="0.3">
      <c r="B910" s="46" t="str">
        <f>IFERROR(VLOOKUP($H910,매장구분!$B:$Z,2,0),"")</f>
        <v/>
      </c>
      <c r="C910" s="46" t="str">
        <f>IFERROR(VLOOKUP($H910,매장구분!$B:$Z,3,0),"")</f>
        <v/>
      </c>
      <c r="D910" s="46" t="str">
        <f>IFERROR(VLOOKUP($H910,매장구분!$B:$Z,5,0),"")</f>
        <v/>
      </c>
      <c r="E910" s="46" t="str">
        <f>IFERROR(VLOOKUP($H910,매장구분!$B:$Z,9,0),"")</f>
        <v/>
      </c>
      <c r="AF910" s="47">
        <f t="shared" si="14"/>
        <v>0</v>
      </c>
    </row>
    <row r="911" spans="2:32" x14ac:dyDescent="0.3">
      <c r="B911" s="46" t="str">
        <f>IFERROR(VLOOKUP($H911,매장구분!$B:$Z,2,0),"")</f>
        <v/>
      </c>
      <c r="C911" s="46" t="str">
        <f>IFERROR(VLOOKUP($H911,매장구분!$B:$Z,3,0),"")</f>
        <v/>
      </c>
      <c r="D911" s="46" t="str">
        <f>IFERROR(VLOOKUP($H911,매장구분!$B:$Z,5,0),"")</f>
        <v/>
      </c>
      <c r="E911" s="46" t="str">
        <f>IFERROR(VLOOKUP($H911,매장구분!$B:$Z,9,0),"")</f>
        <v/>
      </c>
      <c r="AF911" s="47">
        <f t="shared" si="14"/>
        <v>0</v>
      </c>
    </row>
    <row r="912" spans="2:32" x14ac:dyDescent="0.3">
      <c r="B912" s="46" t="str">
        <f>IFERROR(VLOOKUP($H912,매장구분!$B:$Z,2,0),"")</f>
        <v/>
      </c>
      <c r="C912" s="46" t="str">
        <f>IFERROR(VLOOKUP($H912,매장구분!$B:$Z,3,0),"")</f>
        <v/>
      </c>
      <c r="D912" s="46" t="str">
        <f>IFERROR(VLOOKUP($H912,매장구분!$B:$Z,5,0),"")</f>
        <v/>
      </c>
      <c r="E912" s="46" t="str">
        <f>IFERROR(VLOOKUP($H912,매장구분!$B:$Z,9,0),"")</f>
        <v/>
      </c>
      <c r="AF912" s="47">
        <f t="shared" si="14"/>
        <v>0</v>
      </c>
    </row>
    <row r="913" spans="2:32" x14ac:dyDescent="0.3">
      <c r="B913" s="46" t="str">
        <f>IFERROR(VLOOKUP($H913,매장구분!$B:$Z,2,0),"")</f>
        <v/>
      </c>
      <c r="C913" s="46" t="str">
        <f>IFERROR(VLOOKUP($H913,매장구분!$B:$Z,3,0),"")</f>
        <v/>
      </c>
      <c r="D913" s="46" t="str">
        <f>IFERROR(VLOOKUP($H913,매장구분!$B:$Z,5,0),"")</f>
        <v/>
      </c>
      <c r="E913" s="46" t="str">
        <f>IFERROR(VLOOKUP($H913,매장구분!$B:$Z,9,0),"")</f>
        <v/>
      </c>
      <c r="AF913" s="47">
        <f t="shared" si="14"/>
        <v>0</v>
      </c>
    </row>
    <row r="914" spans="2:32" x14ac:dyDescent="0.3">
      <c r="B914" s="46" t="str">
        <f>IFERROR(VLOOKUP($H914,매장구분!$B:$Z,2,0),"")</f>
        <v/>
      </c>
      <c r="C914" s="46" t="str">
        <f>IFERROR(VLOOKUP($H914,매장구분!$B:$Z,3,0),"")</f>
        <v/>
      </c>
      <c r="D914" s="46" t="str">
        <f>IFERROR(VLOOKUP($H914,매장구분!$B:$Z,5,0),"")</f>
        <v/>
      </c>
      <c r="E914" s="46" t="str">
        <f>IFERROR(VLOOKUP($H914,매장구분!$B:$Z,9,0),"")</f>
        <v/>
      </c>
      <c r="AF914" s="47">
        <f t="shared" si="14"/>
        <v>0</v>
      </c>
    </row>
    <row r="915" spans="2:32" x14ac:dyDescent="0.3">
      <c r="B915" s="46" t="str">
        <f>IFERROR(VLOOKUP($H915,매장구분!$B:$Z,2,0),"")</f>
        <v/>
      </c>
      <c r="C915" s="46" t="str">
        <f>IFERROR(VLOOKUP($H915,매장구분!$B:$Z,3,0),"")</f>
        <v/>
      </c>
      <c r="D915" s="46" t="str">
        <f>IFERROR(VLOOKUP($H915,매장구분!$B:$Z,5,0),"")</f>
        <v/>
      </c>
      <c r="E915" s="46" t="str">
        <f>IFERROR(VLOOKUP($H915,매장구분!$B:$Z,9,0),"")</f>
        <v/>
      </c>
      <c r="AF915" s="47">
        <f t="shared" si="14"/>
        <v>0</v>
      </c>
    </row>
    <row r="916" spans="2:32" x14ac:dyDescent="0.3">
      <c r="B916" s="46" t="str">
        <f>IFERROR(VLOOKUP($H916,매장구분!$B:$Z,2,0),"")</f>
        <v/>
      </c>
      <c r="C916" s="46" t="str">
        <f>IFERROR(VLOOKUP($H916,매장구분!$B:$Z,3,0),"")</f>
        <v/>
      </c>
      <c r="D916" s="46" t="str">
        <f>IFERROR(VLOOKUP($H916,매장구분!$B:$Z,5,0),"")</f>
        <v/>
      </c>
      <c r="E916" s="46" t="str">
        <f>IFERROR(VLOOKUP($H916,매장구분!$B:$Z,9,0),"")</f>
        <v/>
      </c>
      <c r="AF916" s="47">
        <f t="shared" si="14"/>
        <v>0</v>
      </c>
    </row>
    <row r="917" spans="2:32" x14ac:dyDescent="0.3">
      <c r="B917" s="46" t="str">
        <f>IFERROR(VLOOKUP($H917,매장구분!$B:$Z,2,0),"")</f>
        <v/>
      </c>
      <c r="C917" s="46" t="str">
        <f>IFERROR(VLOOKUP($H917,매장구분!$B:$Z,3,0),"")</f>
        <v/>
      </c>
      <c r="D917" s="46" t="str">
        <f>IFERROR(VLOOKUP($H917,매장구분!$B:$Z,5,0),"")</f>
        <v/>
      </c>
      <c r="E917" s="46" t="str">
        <f>IFERROR(VLOOKUP($H917,매장구분!$B:$Z,9,0),"")</f>
        <v/>
      </c>
      <c r="AF917" s="47">
        <f t="shared" si="14"/>
        <v>0</v>
      </c>
    </row>
    <row r="918" spans="2:32" x14ac:dyDescent="0.3">
      <c r="B918" s="46" t="str">
        <f>IFERROR(VLOOKUP($H918,매장구분!$B:$Z,2,0),"")</f>
        <v/>
      </c>
      <c r="C918" s="46" t="str">
        <f>IFERROR(VLOOKUP($H918,매장구분!$B:$Z,3,0),"")</f>
        <v/>
      </c>
      <c r="D918" s="46" t="str">
        <f>IFERROR(VLOOKUP($H918,매장구분!$B:$Z,5,0),"")</f>
        <v/>
      </c>
      <c r="E918" s="46" t="str">
        <f>IFERROR(VLOOKUP($H918,매장구분!$B:$Z,9,0),"")</f>
        <v/>
      </c>
      <c r="AF918" s="47">
        <f t="shared" si="14"/>
        <v>0</v>
      </c>
    </row>
    <row r="919" spans="2:32" x14ac:dyDescent="0.3">
      <c r="B919" s="46" t="str">
        <f>IFERROR(VLOOKUP($H919,매장구분!$B:$Z,2,0),"")</f>
        <v/>
      </c>
      <c r="C919" s="46" t="str">
        <f>IFERROR(VLOOKUP($H919,매장구분!$B:$Z,3,0),"")</f>
        <v/>
      </c>
      <c r="D919" s="46" t="str">
        <f>IFERROR(VLOOKUP($H919,매장구분!$B:$Z,5,0),"")</f>
        <v/>
      </c>
      <c r="E919" s="46" t="str">
        <f>IFERROR(VLOOKUP($H919,매장구분!$B:$Z,9,0),"")</f>
        <v/>
      </c>
      <c r="AF919" s="47">
        <f t="shared" si="14"/>
        <v>0</v>
      </c>
    </row>
    <row r="920" spans="2:32" x14ac:dyDescent="0.3">
      <c r="B920" s="46" t="str">
        <f>IFERROR(VLOOKUP($H920,매장구분!$B:$Z,2,0),"")</f>
        <v/>
      </c>
      <c r="C920" s="46" t="str">
        <f>IFERROR(VLOOKUP($H920,매장구분!$B:$Z,3,0),"")</f>
        <v/>
      </c>
      <c r="D920" s="46" t="str">
        <f>IFERROR(VLOOKUP($H920,매장구분!$B:$Z,5,0),"")</f>
        <v/>
      </c>
      <c r="E920" s="46" t="str">
        <f>IFERROR(VLOOKUP($H920,매장구분!$B:$Z,9,0),"")</f>
        <v/>
      </c>
      <c r="AF920" s="47">
        <f t="shared" si="14"/>
        <v>0</v>
      </c>
    </row>
    <row r="921" spans="2:32" x14ac:dyDescent="0.3">
      <c r="B921" s="46" t="str">
        <f>IFERROR(VLOOKUP($H921,매장구분!$B:$Z,2,0),"")</f>
        <v/>
      </c>
      <c r="C921" s="46" t="str">
        <f>IFERROR(VLOOKUP($H921,매장구분!$B:$Z,3,0),"")</f>
        <v/>
      </c>
      <c r="D921" s="46" t="str">
        <f>IFERROR(VLOOKUP($H921,매장구분!$B:$Z,5,0),"")</f>
        <v/>
      </c>
      <c r="E921" s="46" t="str">
        <f>IFERROR(VLOOKUP($H921,매장구분!$B:$Z,9,0),"")</f>
        <v/>
      </c>
      <c r="AF921" s="47">
        <f t="shared" si="14"/>
        <v>0</v>
      </c>
    </row>
    <row r="922" spans="2:32" x14ac:dyDescent="0.3">
      <c r="B922" s="46" t="str">
        <f>IFERROR(VLOOKUP($H922,매장구분!$B:$Z,2,0),"")</f>
        <v/>
      </c>
      <c r="C922" s="46" t="str">
        <f>IFERROR(VLOOKUP($H922,매장구분!$B:$Z,3,0),"")</f>
        <v/>
      </c>
      <c r="D922" s="46" t="str">
        <f>IFERROR(VLOOKUP($H922,매장구분!$B:$Z,5,0),"")</f>
        <v/>
      </c>
      <c r="E922" s="46" t="str">
        <f>IFERROR(VLOOKUP($H922,매장구분!$B:$Z,9,0),"")</f>
        <v/>
      </c>
      <c r="AF922" s="47">
        <f t="shared" si="14"/>
        <v>0</v>
      </c>
    </row>
    <row r="923" spans="2:32" x14ac:dyDescent="0.3">
      <c r="B923" s="46" t="str">
        <f>IFERROR(VLOOKUP($H923,매장구분!$B:$Z,2,0),"")</f>
        <v/>
      </c>
      <c r="C923" s="46" t="str">
        <f>IFERROR(VLOOKUP($H923,매장구분!$B:$Z,3,0),"")</f>
        <v/>
      </c>
      <c r="D923" s="46" t="str">
        <f>IFERROR(VLOOKUP($H923,매장구분!$B:$Z,5,0),"")</f>
        <v/>
      </c>
      <c r="E923" s="46" t="str">
        <f>IFERROR(VLOOKUP($H923,매장구분!$B:$Z,9,0),"")</f>
        <v/>
      </c>
      <c r="AF923" s="47">
        <f t="shared" si="14"/>
        <v>0</v>
      </c>
    </row>
    <row r="924" spans="2:32" x14ac:dyDescent="0.3">
      <c r="B924" s="46" t="str">
        <f>IFERROR(VLOOKUP($H924,매장구분!$B:$Z,2,0),"")</f>
        <v/>
      </c>
      <c r="C924" s="46" t="str">
        <f>IFERROR(VLOOKUP($H924,매장구분!$B:$Z,3,0),"")</f>
        <v/>
      </c>
      <c r="D924" s="46" t="str">
        <f>IFERROR(VLOOKUP($H924,매장구분!$B:$Z,5,0),"")</f>
        <v/>
      </c>
      <c r="E924" s="46" t="str">
        <f>IFERROR(VLOOKUP($H924,매장구분!$B:$Z,9,0),"")</f>
        <v/>
      </c>
      <c r="AF924" s="47">
        <f t="shared" si="14"/>
        <v>0</v>
      </c>
    </row>
    <row r="925" spans="2:32" x14ac:dyDescent="0.3">
      <c r="B925" s="46" t="str">
        <f>IFERROR(VLOOKUP($H925,매장구분!$B:$Z,2,0),"")</f>
        <v/>
      </c>
      <c r="C925" s="46" t="str">
        <f>IFERROR(VLOOKUP($H925,매장구분!$B:$Z,3,0),"")</f>
        <v/>
      </c>
      <c r="D925" s="46" t="str">
        <f>IFERROR(VLOOKUP($H925,매장구분!$B:$Z,5,0),"")</f>
        <v/>
      </c>
      <c r="E925" s="46" t="str">
        <f>IFERROR(VLOOKUP($H925,매장구분!$B:$Z,9,0),"")</f>
        <v/>
      </c>
      <c r="AF925" s="47">
        <f t="shared" si="14"/>
        <v>0</v>
      </c>
    </row>
    <row r="926" spans="2:32" x14ac:dyDescent="0.3">
      <c r="B926" s="46" t="str">
        <f>IFERROR(VLOOKUP($H926,매장구분!$B:$Z,2,0),"")</f>
        <v/>
      </c>
      <c r="C926" s="46" t="str">
        <f>IFERROR(VLOOKUP($H926,매장구분!$B:$Z,3,0),"")</f>
        <v/>
      </c>
      <c r="D926" s="46" t="str">
        <f>IFERROR(VLOOKUP($H926,매장구분!$B:$Z,5,0),"")</f>
        <v/>
      </c>
      <c r="E926" s="46" t="str">
        <f>IFERROR(VLOOKUP($H926,매장구분!$B:$Z,9,0),"")</f>
        <v/>
      </c>
      <c r="AF926" s="47">
        <f t="shared" si="14"/>
        <v>0</v>
      </c>
    </row>
    <row r="927" spans="2:32" x14ac:dyDescent="0.3">
      <c r="B927" s="46" t="str">
        <f>IFERROR(VLOOKUP($H927,매장구분!$B:$Z,2,0),"")</f>
        <v/>
      </c>
      <c r="C927" s="46" t="str">
        <f>IFERROR(VLOOKUP($H927,매장구분!$B:$Z,3,0),"")</f>
        <v/>
      </c>
      <c r="D927" s="46" t="str">
        <f>IFERROR(VLOOKUP($H927,매장구분!$B:$Z,5,0),"")</f>
        <v/>
      </c>
      <c r="E927" s="46" t="str">
        <f>IFERROR(VLOOKUP($H927,매장구분!$B:$Z,9,0),"")</f>
        <v/>
      </c>
      <c r="AF927" s="47">
        <f t="shared" si="14"/>
        <v>0</v>
      </c>
    </row>
    <row r="928" spans="2:32" x14ac:dyDescent="0.3">
      <c r="B928" s="46" t="str">
        <f>IFERROR(VLOOKUP($H928,매장구분!$B:$Z,2,0),"")</f>
        <v/>
      </c>
      <c r="C928" s="46" t="str">
        <f>IFERROR(VLOOKUP($H928,매장구분!$B:$Z,3,0),"")</f>
        <v/>
      </c>
      <c r="D928" s="46" t="str">
        <f>IFERROR(VLOOKUP($H928,매장구분!$B:$Z,5,0),"")</f>
        <v/>
      </c>
      <c r="E928" s="46" t="str">
        <f>IFERROR(VLOOKUP($H928,매장구분!$B:$Z,9,0),"")</f>
        <v/>
      </c>
      <c r="AF928" s="47">
        <f t="shared" si="14"/>
        <v>0</v>
      </c>
    </row>
    <row r="929" spans="2:32" x14ac:dyDescent="0.3">
      <c r="B929" s="46" t="str">
        <f>IFERROR(VLOOKUP($H929,매장구분!$B:$Z,2,0),"")</f>
        <v/>
      </c>
      <c r="C929" s="46" t="str">
        <f>IFERROR(VLOOKUP($H929,매장구분!$B:$Z,3,0),"")</f>
        <v/>
      </c>
      <c r="D929" s="46" t="str">
        <f>IFERROR(VLOOKUP($H929,매장구분!$B:$Z,5,0),"")</f>
        <v/>
      </c>
      <c r="E929" s="46" t="str">
        <f>IFERROR(VLOOKUP($H929,매장구분!$B:$Z,9,0),"")</f>
        <v/>
      </c>
      <c r="AF929" s="47">
        <f t="shared" si="14"/>
        <v>0</v>
      </c>
    </row>
    <row r="930" spans="2:32" x14ac:dyDescent="0.3">
      <c r="B930" s="46" t="str">
        <f>IFERROR(VLOOKUP($H930,매장구분!$B:$Z,2,0),"")</f>
        <v/>
      </c>
      <c r="C930" s="46" t="str">
        <f>IFERROR(VLOOKUP($H930,매장구분!$B:$Z,3,0),"")</f>
        <v/>
      </c>
      <c r="D930" s="46" t="str">
        <f>IFERROR(VLOOKUP($H930,매장구분!$B:$Z,5,0),"")</f>
        <v/>
      </c>
      <c r="E930" s="46" t="str">
        <f>IFERROR(VLOOKUP($H930,매장구분!$B:$Z,9,0),"")</f>
        <v/>
      </c>
      <c r="AF930" s="47">
        <f t="shared" si="14"/>
        <v>0</v>
      </c>
    </row>
    <row r="931" spans="2:32" x14ac:dyDescent="0.3">
      <c r="B931" s="46" t="str">
        <f>IFERROR(VLOOKUP($H931,매장구분!$B:$Z,2,0),"")</f>
        <v/>
      </c>
      <c r="C931" s="46" t="str">
        <f>IFERROR(VLOOKUP($H931,매장구분!$B:$Z,3,0),"")</f>
        <v/>
      </c>
      <c r="D931" s="46" t="str">
        <f>IFERROR(VLOOKUP($H931,매장구분!$B:$Z,5,0),"")</f>
        <v/>
      </c>
      <c r="E931" s="46" t="str">
        <f>IFERROR(VLOOKUP($H931,매장구분!$B:$Z,9,0),"")</f>
        <v/>
      </c>
      <c r="AF931" s="47">
        <f t="shared" si="14"/>
        <v>0</v>
      </c>
    </row>
    <row r="932" spans="2:32" x14ac:dyDescent="0.3">
      <c r="B932" s="46" t="str">
        <f>IFERROR(VLOOKUP($H932,매장구분!$B:$Z,2,0),"")</f>
        <v/>
      </c>
      <c r="C932" s="46" t="str">
        <f>IFERROR(VLOOKUP($H932,매장구분!$B:$Z,3,0),"")</f>
        <v/>
      </c>
      <c r="D932" s="46" t="str">
        <f>IFERROR(VLOOKUP($H932,매장구분!$B:$Z,5,0),"")</f>
        <v/>
      </c>
      <c r="E932" s="46" t="str">
        <f>IFERROR(VLOOKUP($H932,매장구분!$B:$Z,9,0),"")</f>
        <v/>
      </c>
      <c r="AF932" s="47">
        <f t="shared" si="14"/>
        <v>0</v>
      </c>
    </row>
    <row r="933" spans="2:32" x14ac:dyDescent="0.3">
      <c r="B933" s="46" t="str">
        <f>IFERROR(VLOOKUP($H933,매장구분!$B:$Z,2,0),"")</f>
        <v/>
      </c>
      <c r="C933" s="46" t="str">
        <f>IFERROR(VLOOKUP($H933,매장구분!$B:$Z,3,0),"")</f>
        <v/>
      </c>
      <c r="D933" s="46" t="str">
        <f>IFERROR(VLOOKUP($H933,매장구분!$B:$Z,5,0),"")</f>
        <v/>
      </c>
      <c r="E933" s="46" t="str">
        <f>IFERROR(VLOOKUP($H933,매장구분!$B:$Z,9,0),"")</f>
        <v/>
      </c>
      <c r="AF933" s="47">
        <f t="shared" si="14"/>
        <v>0</v>
      </c>
    </row>
    <row r="934" spans="2:32" x14ac:dyDescent="0.3">
      <c r="B934" s="46" t="str">
        <f>IFERROR(VLOOKUP($H934,매장구분!$B:$Z,2,0),"")</f>
        <v/>
      </c>
      <c r="C934" s="46" t="str">
        <f>IFERROR(VLOOKUP($H934,매장구분!$B:$Z,3,0),"")</f>
        <v/>
      </c>
      <c r="D934" s="46" t="str">
        <f>IFERROR(VLOOKUP($H934,매장구분!$B:$Z,5,0),"")</f>
        <v/>
      </c>
      <c r="E934" s="46" t="str">
        <f>IFERROR(VLOOKUP($H934,매장구분!$B:$Z,9,0),"")</f>
        <v/>
      </c>
      <c r="AF934" s="47">
        <f t="shared" si="14"/>
        <v>0</v>
      </c>
    </row>
    <row r="935" spans="2:32" x14ac:dyDescent="0.3">
      <c r="B935" s="46" t="str">
        <f>IFERROR(VLOOKUP($H935,매장구분!$B:$Z,2,0),"")</f>
        <v/>
      </c>
      <c r="C935" s="46" t="str">
        <f>IFERROR(VLOOKUP($H935,매장구분!$B:$Z,3,0),"")</f>
        <v/>
      </c>
      <c r="D935" s="46" t="str">
        <f>IFERROR(VLOOKUP($H935,매장구분!$B:$Z,5,0),"")</f>
        <v/>
      </c>
      <c r="E935" s="46" t="str">
        <f>IFERROR(VLOOKUP($H935,매장구분!$B:$Z,9,0),"")</f>
        <v/>
      </c>
      <c r="AF935" s="47">
        <f t="shared" si="14"/>
        <v>0</v>
      </c>
    </row>
    <row r="936" spans="2:32" x14ac:dyDescent="0.3">
      <c r="B936" s="46" t="str">
        <f>IFERROR(VLOOKUP($H936,매장구분!$B:$Z,2,0),"")</f>
        <v/>
      </c>
      <c r="C936" s="46" t="str">
        <f>IFERROR(VLOOKUP($H936,매장구분!$B:$Z,3,0),"")</f>
        <v/>
      </c>
      <c r="D936" s="46" t="str">
        <f>IFERROR(VLOOKUP($H936,매장구분!$B:$Z,5,0),"")</f>
        <v/>
      </c>
      <c r="E936" s="46" t="str">
        <f>IFERROR(VLOOKUP($H936,매장구분!$B:$Z,9,0),"")</f>
        <v/>
      </c>
      <c r="AF936" s="47">
        <f t="shared" si="14"/>
        <v>0</v>
      </c>
    </row>
    <row r="937" spans="2:32" x14ac:dyDescent="0.3">
      <c r="B937" s="46" t="str">
        <f>IFERROR(VLOOKUP($H937,매장구분!$B:$Z,2,0),"")</f>
        <v/>
      </c>
      <c r="C937" s="46" t="str">
        <f>IFERROR(VLOOKUP($H937,매장구분!$B:$Z,3,0),"")</f>
        <v/>
      </c>
      <c r="D937" s="46" t="str">
        <f>IFERROR(VLOOKUP($H937,매장구분!$B:$Z,5,0),"")</f>
        <v/>
      </c>
      <c r="E937" s="46" t="str">
        <f>IFERROR(VLOOKUP($H937,매장구분!$B:$Z,9,0),"")</f>
        <v/>
      </c>
      <c r="AF937" s="47">
        <f t="shared" si="14"/>
        <v>0</v>
      </c>
    </row>
    <row r="938" spans="2:32" x14ac:dyDescent="0.3">
      <c r="B938" s="46" t="str">
        <f>IFERROR(VLOOKUP($H938,매장구분!$B:$Z,2,0),"")</f>
        <v/>
      </c>
      <c r="C938" s="46" t="str">
        <f>IFERROR(VLOOKUP($H938,매장구분!$B:$Z,3,0),"")</f>
        <v/>
      </c>
      <c r="D938" s="46" t="str">
        <f>IFERROR(VLOOKUP($H938,매장구분!$B:$Z,5,0),"")</f>
        <v/>
      </c>
      <c r="E938" s="46" t="str">
        <f>IFERROR(VLOOKUP($H938,매장구분!$B:$Z,9,0),"")</f>
        <v/>
      </c>
      <c r="AF938" s="47">
        <f t="shared" si="14"/>
        <v>0</v>
      </c>
    </row>
    <row r="939" spans="2:32" x14ac:dyDescent="0.3">
      <c r="B939" s="46" t="str">
        <f>IFERROR(VLOOKUP($H939,매장구분!$B:$Z,2,0),"")</f>
        <v/>
      </c>
      <c r="C939" s="46" t="str">
        <f>IFERROR(VLOOKUP($H939,매장구분!$B:$Z,3,0),"")</f>
        <v/>
      </c>
      <c r="D939" s="46" t="str">
        <f>IFERROR(VLOOKUP($H939,매장구분!$B:$Z,5,0),"")</f>
        <v/>
      </c>
      <c r="E939" s="46" t="str">
        <f>IFERROR(VLOOKUP($H939,매장구분!$B:$Z,9,0),"")</f>
        <v/>
      </c>
      <c r="AF939" s="47">
        <f t="shared" si="14"/>
        <v>0</v>
      </c>
    </row>
    <row r="940" spans="2:32" x14ac:dyDescent="0.3">
      <c r="B940" s="46" t="str">
        <f>IFERROR(VLOOKUP($H940,매장구분!$B:$Z,2,0),"")</f>
        <v/>
      </c>
      <c r="C940" s="46" t="str">
        <f>IFERROR(VLOOKUP($H940,매장구분!$B:$Z,3,0),"")</f>
        <v/>
      </c>
      <c r="D940" s="46" t="str">
        <f>IFERROR(VLOOKUP($H940,매장구분!$B:$Z,5,0),"")</f>
        <v/>
      </c>
      <c r="E940" s="46" t="str">
        <f>IFERROR(VLOOKUP($H940,매장구분!$B:$Z,9,0),"")</f>
        <v/>
      </c>
      <c r="AF940" s="47">
        <f t="shared" si="14"/>
        <v>0</v>
      </c>
    </row>
    <row r="941" spans="2:32" x14ac:dyDescent="0.3">
      <c r="B941" s="46" t="str">
        <f>IFERROR(VLOOKUP($H941,매장구분!$B:$Z,2,0),"")</f>
        <v/>
      </c>
      <c r="C941" s="46" t="str">
        <f>IFERROR(VLOOKUP($H941,매장구분!$B:$Z,3,0),"")</f>
        <v/>
      </c>
      <c r="D941" s="46" t="str">
        <f>IFERROR(VLOOKUP($H941,매장구분!$B:$Z,5,0),"")</f>
        <v/>
      </c>
      <c r="E941" s="46" t="str">
        <f>IFERROR(VLOOKUP($H941,매장구분!$B:$Z,9,0),"")</f>
        <v/>
      </c>
      <c r="AF941" s="47">
        <f t="shared" si="14"/>
        <v>0</v>
      </c>
    </row>
    <row r="942" spans="2:32" x14ac:dyDescent="0.3">
      <c r="B942" s="46" t="str">
        <f>IFERROR(VLOOKUP($H942,매장구분!$B:$Z,2,0),"")</f>
        <v/>
      </c>
      <c r="C942" s="46" t="str">
        <f>IFERROR(VLOOKUP($H942,매장구분!$B:$Z,3,0),"")</f>
        <v/>
      </c>
      <c r="D942" s="46" t="str">
        <f>IFERROR(VLOOKUP($H942,매장구분!$B:$Z,5,0),"")</f>
        <v/>
      </c>
      <c r="E942" s="46" t="str">
        <f>IFERROR(VLOOKUP($H942,매장구분!$B:$Z,9,0),"")</f>
        <v/>
      </c>
      <c r="AF942" s="47">
        <f t="shared" si="14"/>
        <v>0</v>
      </c>
    </row>
    <row r="943" spans="2:32" x14ac:dyDescent="0.3">
      <c r="B943" s="46" t="str">
        <f>IFERROR(VLOOKUP($H943,매장구분!$B:$Z,2,0),"")</f>
        <v/>
      </c>
      <c r="C943" s="46" t="str">
        <f>IFERROR(VLOOKUP($H943,매장구분!$B:$Z,3,0),"")</f>
        <v/>
      </c>
      <c r="D943" s="46" t="str">
        <f>IFERROR(VLOOKUP($H943,매장구분!$B:$Z,5,0),"")</f>
        <v/>
      </c>
      <c r="E943" s="46" t="str">
        <f>IFERROR(VLOOKUP($H943,매장구분!$B:$Z,9,0),"")</f>
        <v/>
      </c>
      <c r="AF943" s="47">
        <f t="shared" si="14"/>
        <v>0</v>
      </c>
    </row>
    <row r="944" spans="2:32" x14ac:dyDescent="0.3">
      <c r="B944" s="46" t="str">
        <f>IFERROR(VLOOKUP($H944,매장구분!$B:$Z,2,0),"")</f>
        <v/>
      </c>
      <c r="C944" s="46" t="str">
        <f>IFERROR(VLOOKUP($H944,매장구분!$B:$Z,3,0),"")</f>
        <v/>
      </c>
      <c r="D944" s="46" t="str">
        <f>IFERROR(VLOOKUP($H944,매장구분!$B:$Z,5,0),"")</f>
        <v/>
      </c>
      <c r="E944" s="46" t="str">
        <f>IFERROR(VLOOKUP($H944,매장구분!$B:$Z,9,0),"")</f>
        <v/>
      </c>
      <c r="AF944" s="47">
        <f t="shared" si="14"/>
        <v>0</v>
      </c>
    </row>
    <row r="945" spans="2:32" x14ac:dyDescent="0.3">
      <c r="B945" s="46" t="str">
        <f>IFERROR(VLOOKUP($H945,매장구분!$B:$Z,2,0),"")</f>
        <v/>
      </c>
      <c r="C945" s="46" t="str">
        <f>IFERROR(VLOOKUP($H945,매장구분!$B:$Z,3,0),"")</f>
        <v/>
      </c>
      <c r="D945" s="46" t="str">
        <f>IFERROR(VLOOKUP($H945,매장구분!$B:$Z,5,0),"")</f>
        <v/>
      </c>
      <c r="E945" s="46" t="str">
        <f>IFERROR(VLOOKUP($H945,매장구분!$B:$Z,9,0),"")</f>
        <v/>
      </c>
      <c r="AF945" s="47">
        <f t="shared" si="14"/>
        <v>0</v>
      </c>
    </row>
    <row r="946" spans="2:32" x14ac:dyDescent="0.3">
      <c r="B946" s="46" t="str">
        <f>IFERROR(VLOOKUP($H946,매장구분!$B:$Z,2,0),"")</f>
        <v/>
      </c>
      <c r="C946" s="46" t="str">
        <f>IFERROR(VLOOKUP($H946,매장구분!$B:$Z,3,0),"")</f>
        <v/>
      </c>
      <c r="D946" s="46" t="str">
        <f>IFERROR(VLOOKUP($H946,매장구분!$B:$Z,5,0),"")</f>
        <v/>
      </c>
      <c r="E946" s="46" t="str">
        <f>IFERROR(VLOOKUP($H946,매장구분!$B:$Z,9,0),"")</f>
        <v/>
      </c>
      <c r="AF946" s="47">
        <f t="shared" si="14"/>
        <v>0</v>
      </c>
    </row>
    <row r="947" spans="2:32" x14ac:dyDescent="0.3">
      <c r="B947" s="46" t="str">
        <f>IFERROR(VLOOKUP($H947,매장구분!$B:$Z,2,0),"")</f>
        <v/>
      </c>
      <c r="C947" s="46" t="str">
        <f>IFERROR(VLOOKUP($H947,매장구분!$B:$Z,3,0),"")</f>
        <v/>
      </c>
      <c r="D947" s="46" t="str">
        <f>IFERROR(VLOOKUP($H947,매장구분!$B:$Z,5,0),"")</f>
        <v/>
      </c>
      <c r="E947" s="46" t="str">
        <f>IFERROR(VLOOKUP($H947,매장구분!$B:$Z,9,0),"")</f>
        <v/>
      </c>
      <c r="AF947" s="47">
        <f t="shared" si="14"/>
        <v>0</v>
      </c>
    </row>
    <row r="948" spans="2:32" x14ac:dyDescent="0.3">
      <c r="B948" s="46" t="str">
        <f>IFERROR(VLOOKUP($H948,매장구분!$B:$Z,2,0),"")</f>
        <v/>
      </c>
      <c r="C948" s="46" t="str">
        <f>IFERROR(VLOOKUP($H948,매장구분!$B:$Z,3,0),"")</f>
        <v/>
      </c>
      <c r="D948" s="46" t="str">
        <f>IFERROR(VLOOKUP($H948,매장구분!$B:$Z,5,0),"")</f>
        <v/>
      </c>
      <c r="E948" s="46" t="str">
        <f>IFERROR(VLOOKUP($H948,매장구분!$B:$Z,9,0),"")</f>
        <v/>
      </c>
      <c r="AF948" s="47">
        <f t="shared" si="14"/>
        <v>0</v>
      </c>
    </row>
    <row r="949" spans="2:32" x14ac:dyDescent="0.3">
      <c r="B949" s="46" t="str">
        <f>IFERROR(VLOOKUP($H949,매장구분!$B:$Z,2,0),"")</f>
        <v/>
      </c>
      <c r="C949" s="46" t="str">
        <f>IFERROR(VLOOKUP($H949,매장구분!$B:$Z,3,0),"")</f>
        <v/>
      </c>
      <c r="D949" s="46" t="str">
        <f>IFERROR(VLOOKUP($H949,매장구분!$B:$Z,5,0),"")</f>
        <v/>
      </c>
      <c r="E949" s="46" t="str">
        <f>IFERROR(VLOOKUP($H949,매장구분!$B:$Z,9,0),"")</f>
        <v/>
      </c>
      <c r="AF949" s="47">
        <f t="shared" si="14"/>
        <v>0</v>
      </c>
    </row>
    <row r="950" spans="2:32" x14ac:dyDescent="0.3">
      <c r="B950" s="46" t="str">
        <f>IFERROR(VLOOKUP($H950,매장구분!$B:$Z,2,0),"")</f>
        <v/>
      </c>
      <c r="C950" s="46" t="str">
        <f>IFERROR(VLOOKUP($H950,매장구분!$B:$Z,3,0),"")</f>
        <v/>
      </c>
      <c r="D950" s="46" t="str">
        <f>IFERROR(VLOOKUP($H950,매장구분!$B:$Z,5,0),"")</f>
        <v/>
      </c>
      <c r="E950" s="46" t="str">
        <f>IFERROR(VLOOKUP($H950,매장구분!$B:$Z,9,0),"")</f>
        <v/>
      </c>
      <c r="AF950" s="47">
        <f t="shared" si="14"/>
        <v>0</v>
      </c>
    </row>
    <row r="951" spans="2:32" x14ac:dyDescent="0.3">
      <c r="B951" s="46" t="str">
        <f>IFERROR(VLOOKUP($H951,매장구분!$B:$Z,2,0),"")</f>
        <v/>
      </c>
      <c r="C951" s="46" t="str">
        <f>IFERROR(VLOOKUP($H951,매장구분!$B:$Z,3,0),"")</f>
        <v/>
      </c>
      <c r="D951" s="46" t="str">
        <f>IFERROR(VLOOKUP($H951,매장구분!$B:$Z,5,0),"")</f>
        <v/>
      </c>
      <c r="E951" s="46" t="str">
        <f>IFERROR(VLOOKUP($H951,매장구분!$B:$Z,9,0),"")</f>
        <v/>
      </c>
      <c r="AF951" s="47">
        <f t="shared" si="14"/>
        <v>0</v>
      </c>
    </row>
    <row r="952" spans="2:32" x14ac:dyDescent="0.3">
      <c r="B952" s="46" t="str">
        <f>IFERROR(VLOOKUP($H952,매장구분!$B:$Z,2,0),"")</f>
        <v/>
      </c>
      <c r="C952" s="46" t="str">
        <f>IFERROR(VLOOKUP($H952,매장구분!$B:$Z,3,0),"")</f>
        <v/>
      </c>
      <c r="D952" s="46" t="str">
        <f>IFERROR(VLOOKUP($H952,매장구분!$B:$Z,5,0),"")</f>
        <v/>
      </c>
      <c r="E952" s="46" t="str">
        <f>IFERROR(VLOOKUP($H952,매장구분!$B:$Z,9,0),"")</f>
        <v/>
      </c>
      <c r="AF952" s="47">
        <f t="shared" si="14"/>
        <v>0</v>
      </c>
    </row>
    <row r="953" spans="2:32" x14ac:dyDescent="0.3">
      <c r="B953" s="46" t="str">
        <f>IFERROR(VLOOKUP($H953,매장구분!$B:$Z,2,0),"")</f>
        <v/>
      </c>
      <c r="C953" s="46" t="str">
        <f>IFERROR(VLOOKUP($H953,매장구분!$B:$Z,3,0),"")</f>
        <v/>
      </c>
      <c r="D953" s="46" t="str">
        <f>IFERROR(VLOOKUP($H953,매장구분!$B:$Z,5,0),"")</f>
        <v/>
      </c>
      <c r="E953" s="46" t="str">
        <f>IFERROR(VLOOKUP($H953,매장구분!$B:$Z,9,0),"")</f>
        <v/>
      </c>
      <c r="AF953" s="47">
        <f t="shared" si="14"/>
        <v>0</v>
      </c>
    </row>
    <row r="954" spans="2:32" x14ac:dyDescent="0.3">
      <c r="B954" s="46" t="str">
        <f>IFERROR(VLOOKUP($H954,매장구분!$B:$Z,2,0),"")</f>
        <v/>
      </c>
      <c r="C954" s="46" t="str">
        <f>IFERROR(VLOOKUP($H954,매장구분!$B:$Z,3,0),"")</f>
        <v/>
      </c>
      <c r="D954" s="46" t="str">
        <f>IFERROR(VLOOKUP($H954,매장구분!$B:$Z,5,0),"")</f>
        <v/>
      </c>
      <c r="E954" s="46" t="str">
        <f>IFERROR(VLOOKUP($H954,매장구분!$B:$Z,9,0),"")</f>
        <v/>
      </c>
      <c r="AF954" s="47">
        <f t="shared" si="14"/>
        <v>0</v>
      </c>
    </row>
    <row r="955" spans="2:32" x14ac:dyDescent="0.3">
      <c r="B955" s="46" t="str">
        <f>IFERROR(VLOOKUP($H955,매장구분!$B:$Z,2,0),"")</f>
        <v/>
      </c>
      <c r="C955" s="46" t="str">
        <f>IFERROR(VLOOKUP($H955,매장구분!$B:$Z,3,0),"")</f>
        <v/>
      </c>
      <c r="D955" s="46" t="str">
        <f>IFERROR(VLOOKUP($H955,매장구분!$B:$Z,5,0),"")</f>
        <v/>
      </c>
      <c r="E955" s="46" t="str">
        <f>IFERROR(VLOOKUP($H955,매장구분!$B:$Z,9,0),"")</f>
        <v/>
      </c>
      <c r="AF955" s="47">
        <f t="shared" si="14"/>
        <v>0</v>
      </c>
    </row>
    <row r="956" spans="2:32" x14ac:dyDescent="0.3">
      <c r="B956" s="46" t="str">
        <f>IFERROR(VLOOKUP($H956,매장구분!$B:$Z,2,0),"")</f>
        <v/>
      </c>
      <c r="C956" s="46" t="str">
        <f>IFERROR(VLOOKUP($H956,매장구분!$B:$Z,3,0),"")</f>
        <v/>
      </c>
      <c r="D956" s="46" t="str">
        <f>IFERROR(VLOOKUP($H956,매장구분!$B:$Z,5,0),"")</f>
        <v/>
      </c>
      <c r="E956" s="46" t="str">
        <f>IFERROR(VLOOKUP($H956,매장구분!$B:$Z,9,0),"")</f>
        <v/>
      </c>
      <c r="AF956" s="47">
        <f t="shared" si="14"/>
        <v>0</v>
      </c>
    </row>
    <row r="957" spans="2:32" x14ac:dyDescent="0.3">
      <c r="B957" s="46" t="str">
        <f>IFERROR(VLOOKUP($H957,매장구분!$B:$Z,2,0),"")</f>
        <v/>
      </c>
      <c r="C957" s="46" t="str">
        <f>IFERROR(VLOOKUP($H957,매장구분!$B:$Z,3,0),"")</f>
        <v/>
      </c>
      <c r="D957" s="46" t="str">
        <f>IFERROR(VLOOKUP($H957,매장구분!$B:$Z,5,0),"")</f>
        <v/>
      </c>
      <c r="E957" s="46" t="str">
        <f>IFERROR(VLOOKUP($H957,매장구분!$B:$Z,9,0),"")</f>
        <v/>
      </c>
      <c r="AF957" s="47">
        <f t="shared" si="14"/>
        <v>0</v>
      </c>
    </row>
    <row r="958" spans="2:32" x14ac:dyDescent="0.3">
      <c r="B958" s="46" t="str">
        <f>IFERROR(VLOOKUP($H958,매장구분!$B:$Z,2,0),"")</f>
        <v/>
      </c>
      <c r="C958" s="46" t="str">
        <f>IFERROR(VLOOKUP($H958,매장구분!$B:$Z,3,0),"")</f>
        <v/>
      </c>
      <c r="D958" s="46" t="str">
        <f>IFERROR(VLOOKUP($H958,매장구분!$B:$Z,5,0),"")</f>
        <v/>
      </c>
      <c r="E958" s="46" t="str">
        <f>IFERROR(VLOOKUP($H958,매장구분!$B:$Z,9,0),"")</f>
        <v/>
      </c>
      <c r="AF958" s="47">
        <f t="shared" si="14"/>
        <v>0</v>
      </c>
    </row>
    <row r="959" spans="2:32" x14ac:dyDescent="0.3">
      <c r="B959" s="46" t="str">
        <f>IFERROR(VLOOKUP($H959,매장구분!$B:$Z,2,0),"")</f>
        <v/>
      </c>
      <c r="C959" s="46" t="str">
        <f>IFERROR(VLOOKUP($H959,매장구분!$B:$Z,3,0),"")</f>
        <v/>
      </c>
      <c r="D959" s="46" t="str">
        <f>IFERROR(VLOOKUP($H959,매장구분!$B:$Z,5,0),"")</f>
        <v/>
      </c>
      <c r="E959" s="46" t="str">
        <f>IFERROR(VLOOKUP($H959,매장구분!$B:$Z,9,0),"")</f>
        <v/>
      </c>
      <c r="AF959" s="47">
        <f t="shared" si="14"/>
        <v>0</v>
      </c>
    </row>
    <row r="960" spans="2:32" x14ac:dyDescent="0.3">
      <c r="B960" s="46" t="str">
        <f>IFERROR(VLOOKUP($H960,매장구분!$B:$Z,2,0),"")</f>
        <v/>
      </c>
      <c r="C960" s="46" t="str">
        <f>IFERROR(VLOOKUP($H960,매장구분!$B:$Z,3,0),"")</f>
        <v/>
      </c>
      <c r="D960" s="46" t="str">
        <f>IFERROR(VLOOKUP($H960,매장구분!$B:$Z,5,0),"")</f>
        <v/>
      </c>
      <c r="E960" s="46" t="str">
        <f>IFERROR(VLOOKUP($H960,매장구분!$B:$Z,9,0),"")</f>
        <v/>
      </c>
      <c r="AF960" s="47">
        <f t="shared" si="14"/>
        <v>0</v>
      </c>
    </row>
    <row r="961" spans="2:32" x14ac:dyDescent="0.3">
      <c r="B961" s="46" t="str">
        <f>IFERROR(VLOOKUP($H961,매장구분!$B:$Z,2,0),"")</f>
        <v/>
      </c>
      <c r="C961" s="46" t="str">
        <f>IFERROR(VLOOKUP($H961,매장구분!$B:$Z,3,0),"")</f>
        <v/>
      </c>
      <c r="D961" s="46" t="str">
        <f>IFERROR(VLOOKUP($H961,매장구분!$B:$Z,5,0),"")</f>
        <v/>
      </c>
      <c r="E961" s="46" t="str">
        <f>IFERROR(VLOOKUP($H961,매장구분!$B:$Z,9,0),"")</f>
        <v/>
      </c>
      <c r="AF961" s="47">
        <f t="shared" si="14"/>
        <v>0</v>
      </c>
    </row>
    <row r="962" spans="2:32" x14ac:dyDescent="0.3">
      <c r="B962" s="46" t="str">
        <f>IFERROR(VLOOKUP($H962,매장구분!$B:$Z,2,0),"")</f>
        <v/>
      </c>
      <c r="C962" s="46" t="str">
        <f>IFERROR(VLOOKUP($H962,매장구분!$B:$Z,3,0),"")</f>
        <v/>
      </c>
      <c r="D962" s="46" t="str">
        <f>IFERROR(VLOOKUP($H962,매장구분!$B:$Z,5,0),"")</f>
        <v/>
      </c>
      <c r="E962" s="46" t="str">
        <f>IFERROR(VLOOKUP($H962,매장구분!$B:$Z,9,0),"")</f>
        <v/>
      </c>
      <c r="AF962" s="47">
        <f t="shared" si="14"/>
        <v>0</v>
      </c>
    </row>
    <row r="963" spans="2:32" x14ac:dyDescent="0.3">
      <c r="B963" s="46" t="str">
        <f>IFERROR(VLOOKUP($H963,매장구분!$B:$Z,2,0),"")</f>
        <v/>
      </c>
      <c r="C963" s="46" t="str">
        <f>IFERROR(VLOOKUP($H963,매장구분!$B:$Z,3,0),"")</f>
        <v/>
      </c>
      <c r="D963" s="46" t="str">
        <f>IFERROR(VLOOKUP($H963,매장구분!$B:$Z,5,0),"")</f>
        <v/>
      </c>
      <c r="E963" s="46" t="str">
        <f>IFERROR(VLOOKUP($H963,매장구분!$B:$Z,9,0),"")</f>
        <v/>
      </c>
      <c r="AF963" s="47">
        <f t="shared" ref="AF963:AF1026" si="15">IFERROR(AC963-Y963,"")</f>
        <v>0</v>
      </c>
    </row>
    <row r="964" spans="2:32" x14ac:dyDescent="0.3">
      <c r="B964" s="46" t="str">
        <f>IFERROR(VLOOKUP($H964,매장구분!$B:$Z,2,0),"")</f>
        <v/>
      </c>
      <c r="C964" s="46" t="str">
        <f>IFERROR(VLOOKUP($H964,매장구분!$B:$Z,3,0),"")</f>
        <v/>
      </c>
      <c r="D964" s="46" t="str">
        <f>IFERROR(VLOOKUP($H964,매장구분!$B:$Z,5,0),"")</f>
        <v/>
      </c>
      <c r="E964" s="46" t="str">
        <f>IFERROR(VLOOKUP($H964,매장구분!$B:$Z,9,0),"")</f>
        <v/>
      </c>
      <c r="AF964" s="47">
        <f t="shared" si="15"/>
        <v>0</v>
      </c>
    </row>
    <row r="965" spans="2:32" x14ac:dyDescent="0.3">
      <c r="B965" s="46" t="str">
        <f>IFERROR(VLOOKUP($H965,매장구분!$B:$Z,2,0),"")</f>
        <v/>
      </c>
      <c r="C965" s="46" t="str">
        <f>IFERROR(VLOOKUP($H965,매장구분!$B:$Z,3,0),"")</f>
        <v/>
      </c>
      <c r="D965" s="46" t="str">
        <f>IFERROR(VLOOKUP($H965,매장구분!$B:$Z,5,0),"")</f>
        <v/>
      </c>
      <c r="E965" s="46" t="str">
        <f>IFERROR(VLOOKUP($H965,매장구분!$B:$Z,9,0),"")</f>
        <v/>
      </c>
      <c r="AF965" s="47">
        <f t="shared" si="15"/>
        <v>0</v>
      </c>
    </row>
    <row r="966" spans="2:32" x14ac:dyDescent="0.3">
      <c r="B966" s="46" t="str">
        <f>IFERROR(VLOOKUP($H966,매장구분!$B:$Z,2,0),"")</f>
        <v/>
      </c>
      <c r="C966" s="46" t="str">
        <f>IFERROR(VLOOKUP($H966,매장구분!$B:$Z,3,0),"")</f>
        <v/>
      </c>
      <c r="D966" s="46" t="str">
        <f>IFERROR(VLOOKUP($H966,매장구분!$B:$Z,5,0),"")</f>
        <v/>
      </c>
      <c r="E966" s="46" t="str">
        <f>IFERROR(VLOOKUP($H966,매장구분!$B:$Z,9,0),"")</f>
        <v/>
      </c>
      <c r="AF966" s="47">
        <f t="shared" si="15"/>
        <v>0</v>
      </c>
    </row>
    <row r="967" spans="2:32" x14ac:dyDescent="0.3">
      <c r="B967" s="46" t="str">
        <f>IFERROR(VLOOKUP($H967,매장구분!$B:$Z,2,0),"")</f>
        <v/>
      </c>
      <c r="C967" s="46" t="str">
        <f>IFERROR(VLOOKUP($H967,매장구분!$B:$Z,3,0),"")</f>
        <v/>
      </c>
      <c r="D967" s="46" t="str">
        <f>IFERROR(VLOOKUP($H967,매장구분!$B:$Z,5,0),"")</f>
        <v/>
      </c>
      <c r="E967" s="46" t="str">
        <f>IFERROR(VLOOKUP($H967,매장구분!$B:$Z,9,0),"")</f>
        <v/>
      </c>
      <c r="AF967" s="47">
        <f t="shared" si="15"/>
        <v>0</v>
      </c>
    </row>
    <row r="968" spans="2:32" x14ac:dyDescent="0.3">
      <c r="B968" s="46" t="str">
        <f>IFERROR(VLOOKUP($H968,매장구분!$B:$Z,2,0),"")</f>
        <v/>
      </c>
      <c r="C968" s="46" t="str">
        <f>IFERROR(VLOOKUP($H968,매장구분!$B:$Z,3,0),"")</f>
        <v/>
      </c>
      <c r="D968" s="46" t="str">
        <f>IFERROR(VLOOKUP($H968,매장구분!$B:$Z,5,0),"")</f>
        <v/>
      </c>
      <c r="E968" s="46" t="str">
        <f>IFERROR(VLOOKUP($H968,매장구분!$B:$Z,9,0),"")</f>
        <v/>
      </c>
      <c r="AF968" s="47">
        <f t="shared" si="15"/>
        <v>0</v>
      </c>
    </row>
    <row r="969" spans="2:32" x14ac:dyDescent="0.3">
      <c r="B969" s="46" t="str">
        <f>IFERROR(VLOOKUP($H969,매장구분!$B:$Z,2,0),"")</f>
        <v/>
      </c>
      <c r="C969" s="46" t="str">
        <f>IFERROR(VLOOKUP($H969,매장구분!$B:$Z,3,0),"")</f>
        <v/>
      </c>
      <c r="D969" s="46" t="str">
        <f>IFERROR(VLOOKUP($H969,매장구분!$B:$Z,5,0),"")</f>
        <v/>
      </c>
      <c r="E969" s="46" t="str">
        <f>IFERROR(VLOOKUP($H969,매장구분!$B:$Z,9,0),"")</f>
        <v/>
      </c>
      <c r="AF969" s="47">
        <f t="shared" si="15"/>
        <v>0</v>
      </c>
    </row>
    <row r="970" spans="2:32" x14ac:dyDescent="0.3">
      <c r="B970" s="46" t="str">
        <f>IFERROR(VLOOKUP($H970,매장구분!$B:$Z,2,0),"")</f>
        <v/>
      </c>
      <c r="C970" s="46" t="str">
        <f>IFERROR(VLOOKUP($H970,매장구분!$B:$Z,3,0),"")</f>
        <v/>
      </c>
      <c r="D970" s="46" t="str">
        <f>IFERROR(VLOOKUP($H970,매장구분!$B:$Z,5,0),"")</f>
        <v/>
      </c>
      <c r="E970" s="46" t="str">
        <f>IFERROR(VLOOKUP($H970,매장구분!$B:$Z,9,0),"")</f>
        <v/>
      </c>
      <c r="AF970" s="47">
        <f t="shared" si="15"/>
        <v>0</v>
      </c>
    </row>
    <row r="971" spans="2:32" x14ac:dyDescent="0.3">
      <c r="B971" s="46" t="str">
        <f>IFERROR(VLOOKUP($H971,매장구분!$B:$Z,2,0),"")</f>
        <v/>
      </c>
      <c r="C971" s="46" t="str">
        <f>IFERROR(VLOOKUP($H971,매장구분!$B:$Z,3,0),"")</f>
        <v/>
      </c>
      <c r="D971" s="46" t="str">
        <f>IFERROR(VLOOKUP($H971,매장구분!$B:$Z,5,0),"")</f>
        <v/>
      </c>
      <c r="E971" s="46" t="str">
        <f>IFERROR(VLOOKUP($H971,매장구분!$B:$Z,9,0),"")</f>
        <v/>
      </c>
      <c r="AF971" s="47">
        <f t="shared" si="15"/>
        <v>0</v>
      </c>
    </row>
    <row r="972" spans="2:32" x14ac:dyDescent="0.3">
      <c r="B972" s="46" t="str">
        <f>IFERROR(VLOOKUP($H972,매장구분!$B:$Z,2,0),"")</f>
        <v/>
      </c>
      <c r="C972" s="46" t="str">
        <f>IFERROR(VLOOKUP($H972,매장구분!$B:$Z,3,0),"")</f>
        <v/>
      </c>
      <c r="D972" s="46" t="str">
        <f>IFERROR(VLOOKUP($H972,매장구분!$B:$Z,5,0),"")</f>
        <v/>
      </c>
      <c r="E972" s="46" t="str">
        <f>IFERROR(VLOOKUP($H972,매장구분!$B:$Z,9,0),"")</f>
        <v/>
      </c>
      <c r="AF972" s="47">
        <f t="shared" si="15"/>
        <v>0</v>
      </c>
    </row>
    <row r="973" spans="2:32" x14ac:dyDescent="0.3">
      <c r="B973" s="46" t="str">
        <f>IFERROR(VLOOKUP($H973,매장구분!$B:$Z,2,0),"")</f>
        <v/>
      </c>
      <c r="C973" s="46" t="str">
        <f>IFERROR(VLOOKUP($H973,매장구분!$B:$Z,3,0),"")</f>
        <v/>
      </c>
      <c r="D973" s="46" t="str">
        <f>IFERROR(VLOOKUP($H973,매장구분!$B:$Z,5,0),"")</f>
        <v/>
      </c>
      <c r="E973" s="46" t="str">
        <f>IFERROR(VLOOKUP($H973,매장구분!$B:$Z,9,0),"")</f>
        <v/>
      </c>
      <c r="AF973" s="47">
        <f t="shared" si="15"/>
        <v>0</v>
      </c>
    </row>
    <row r="974" spans="2:32" x14ac:dyDescent="0.3">
      <c r="B974" s="46" t="str">
        <f>IFERROR(VLOOKUP($H974,매장구분!$B:$Z,2,0),"")</f>
        <v/>
      </c>
      <c r="C974" s="46" t="str">
        <f>IFERROR(VLOOKUP($H974,매장구분!$B:$Z,3,0),"")</f>
        <v/>
      </c>
      <c r="D974" s="46" t="str">
        <f>IFERROR(VLOOKUP($H974,매장구분!$B:$Z,5,0),"")</f>
        <v/>
      </c>
      <c r="E974" s="46" t="str">
        <f>IFERROR(VLOOKUP($H974,매장구분!$B:$Z,9,0),"")</f>
        <v/>
      </c>
      <c r="AF974" s="47">
        <f t="shared" si="15"/>
        <v>0</v>
      </c>
    </row>
    <row r="975" spans="2:32" x14ac:dyDescent="0.3">
      <c r="B975" s="46" t="str">
        <f>IFERROR(VLOOKUP($H975,매장구분!$B:$Z,2,0),"")</f>
        <v/>
      </c>
      <c r="C975" s="46" t="str">
        <f>IFERROR(VLOOKUP($H975,매장구분!$B:$Z,3,0),"")</f>
        <v/>
      </c>
      <c r="D975" s="46" t="str">
        <f>IFERROR(VLOOKUP($H975,매장구분!$B:$Z,5,0),"")</f>
        <v/>
      </c>
      <c r="E975" s="46" t="str">
        <f>IFERROR(VLOOKUP($H975,매장구분!$B:$Z,9,0),"")</f>
        <v/>
      </c>
      <c r="AF975" s="47">
        <f t="shared" si="15"/>
        <v>0</v>
      </c>
    </row>
    <row r="976" spans="2:32" x14ac:dyDescent="0.3">
      <c r="B976" s="46" t="str">
        <f>IFERROR(VLOOKUP($H976,매장구분!$B:$Z,2,0),"")</f>
        <v/>
      </c>
      <c r="C976" s="46" t="str">
        <f>IFERROR(VLOOKUP($H976,매장구분!$B:$Z,3,0),"")</f>
        <v/>
      </c>
      <c r="D976" s="46" t="str">
        <f>IFERROR(VLOOKUP($H976,매장구분!$B:$Z,5,0),"")</f>
        <v/>
      </c>
      <c r="E976" s="46" t="str">
        <f>IFERROR(VLOOKUP($H976,매장구분!$B:$Z,9,0),"")</f>
        <v/>
      </c>
      <c r="AF976" s="47">
        <f t="shared" si="15"/>
        <v>0</v>
      </c>
    </row>
    <row r="977" spans="2:32" x14ac:dyDescent="0.3">
      <c r="B977" s="46" t="str">
        <f>IFERROR(VLOOKUP($H977,매장구분!$B:$Z,2,0),"")</f>
        <v/>
      </c>
      <c r="C977" s="46" t="str">
        <f>IFERROR(VLOOKUP($H977,매장구분!$B:$Z,3,0),"")</f>
        <v/>
      </c>
      <c r="D977" s="46" t="str">
        <f>IFERROR(VLOOKUP($H977,매장구분!$B:$Z,5,0),"")</f>
        <v/>
      </c>
      <c r="E977" s="46" t="str">
        <f>IFERROR(VLOOKUP($H977,매장구분!$B:$Z,9,0),"")</f>
        <v/>
      </c>
      <c r="AF977" s="47">
        <f t="shared" si="15"/>
        <v>0</v>
      </c>
    </row>
    <row r="978" spans="2:32" x14ac:dyDescent="0.3">
      <c r="B978" s="46" t="str">
        <f>IFERROR(VLOOKUP($H978,매장구분!$B:$Z,2,0),"")</f>
        <v/>
      </c>
      <c r="C978" s="46" t="str">
        <f>IFERROR(VLOOKUP($H978,매장구분!$B:$Z,3,0),"")</f>
        <v/>
      </c>
      <c r="D978" s="46" t="str">
        <f>IFERROR(VLOOKUP($H978,매장구분!$B:$Z,5,0),"")</f>
        <v/>
      </c>
      <c r="E978" s="46" t="str">
        <f>IFERROR(VLOOKUP($H978,매장구분!$B:$Z,9,0),"")</f>
        <v/>
      </c>
      <c r="AF978" s="47">
        <f t="shared" si="15"/>
        <v>0</v>
      </c>
    </row>
    <row r="979" spans="2:32" x14ac:dyDescent="0.3">
      <c r="B979" s="46" t="str">
        <f>IFERROR(VLOOKUP($H979,매장구분!$B:$Z,2,0),"")</f>
        <v/>
      </c>
      <c r="C979" s="46" t="str">
        <f>IFERROR(VLOOKUP($H979,매장구분!$B:$Z,3,0),"")</f>
        <v/>
      </c>
      <c r="D979" s="46" t="str">
        <f>IFERROR(VLOOKUP($H979,매장구분!$B:$Z,5,0),"")</f>
        <v/>
      </c>
      <c r="E979" s="46" t="str">
        <f>IFERROR(VLOOKUP($H979,매장구분!$B:$Z,9,0),"")</f>
        <v/>
      </c>
      <c r="AF979" s="47">
        <f t="shared" si="15"/>
        <v>0</v>
      </c>
    </row>
    <row r="980" spans="2:32" x14ac:dyDescent="0.3">
      <c r="B980" s="46" t="str">
        <f>IFERROR(VLOOKUP($H980,매장구분!$B:$Z,2,0),"")</f>
        <v/>
      </c>
      <c r="C980" s="46" t="str">
        <f>IFERROR(VLOOKUP($H980,매장구분!$B:$Z,3,0),"")</f>
        <v/>
      </c>
      <c r="D980" s="46" t="str">
        <f>IFERROR(VLOOKUP($H980,매장구분!$B:$Z,5,0),"")</f>
        <v/>
      </c>
      <c r="E980" s="46" t="str">
        <f>IFERROR(VLOOKUP($H980,매장구분!$B:$Z,9,0),"")</f>
        <v/>
      </c>
      <c r="AF980" s="47">
        <f t="shared" si="15"/>
        <v>0</v>
      </c>
    </row>
    <row r="981" spans="2:32" x14ac:dyDescent="0.3">
      <c r="B981" s="46" t="str">
        <f>IFERROR(VLOOKUP($H981,매장구분!$B:$Z,2,0),"")</f>
        <v/>
      </c>
      <c r="C981" s="46" t="str">
        <f>IFERROR(VLOOKUP($H981,매장구분!$B:$Z,3,0),"")</f>
        <v/>
      </c>
      <c r="D981" s="46" t="str">
        <f>IFERROR(VLOOKUP($H981,매장구분!$B:$Z,5,0),"")</f>
        <v/>
      </c>
      <c r="E981" s="46" t="str">
        <f>IFERROR(VLOOKUP($H981,매장구분!$B:$Z,9,0),"")</f>
        <v/>
      </c>
      <c r="AF981" s="47">
        <f t="shared" si="15"/>
        <v>0</v>
      </c>
    </row>
    <row r="982" spans="2:32" x14ac:dyDescent="0.3">
      <c r="B982" s="46" t="str">
        <f>IFERROR(VLOOKUP($H982,매장구분!$B:$Z,2,0),"")</f>
        <v/>
      </c>
      <c r="C982" s="46" t="str">
        <f>IFERROR(VLOOKUP($H982,매장구분!$B:$Z,3,0),"")</f>
        <v/>
      </c>
      <c r="D982" s="46" t="str">
        <f>IFERROR(VLOOKUP($H982,매장구분!$B:$Z,5,0),"")</f>
        <v/>
      </c>
      <c r="E982" s="46" t="str">
        <f>IFERROR(VLOOKUP($H982,매장구분!$B:$Z,9,0),"")</f>
        <v/>
      </c>
      <c r="AF982" s="47">
        <f t="shared" si="15"/>
        <v>0</v>
      </c>
    </row>
    <row r="983" spans="2:32" x14ac:dyDescent="0.3">
      <c r="B983" s="46" t="str">
        <f>IFERROR(VLOOKUP($H983,매장구분!$B:$Z,2,0),"")</f>
        <v/>
      </c>
      <c r="C983" s="46" t="str">
        <f>IFERROR(VLOOKUP($H983,매장구분!$B:$Z,3,0),"")</f>
        <v/>
      </c>
      <c r="D983" s="46" t="str">
        <f>IFERROR(VLOOKUP($H983,매장구분!$B:$Z,5,0),"")</f>
        <v/>
      </c>
      <c r="E983" s="46" t="str">
        <f>IFERROR(VLOOKUP($H983,매장구분!$B:$Z,9,0),"")</f>
        <v/>
      </c>
      <c r="AF983" s="47">
        <f t="shared" si="15"/>
        <v>0</v>
      </c>
    </row>
    <row r="984" spans="2:32" x14ac:dyDescent="0.3">
      <c r="B984" s="46" t="str">
        <f>IFERROR(VLOOKUP($H984,매장구분!$B:$Z,2,0),"")</f>
        <v/>
      </c>
      <c r="C984" s="46" t="str">
        <f>IFERROR(VLOOKUP($H984,매장구분!$B:$Z,3,0),"")</f>
        <v/>
      </c>
      <c r="D984" s="46" t="str">
        <f>IFERROR(VLOOKUP($H984,매장구분!$B:$Z,5,0),"")</f>
        <v/>
      </c>
      <c r="E984" s="46" t="str">
        <f>IFERROR(VLOOKUP($H984,매장구분!$B:$Z,9,0),"")</f>
        <v/>
      </c>
      <c r="AF984" s="47">
        <f t="shared" si="15"/>
        <v>0</v>
      </c>
    </row>
    <row r="985" spans="2:32" x14ac:dyDescent="0.3">
      <c r="B985" s="46" t="str">
        <f>IFERROR(VLOOKUP($H985,매장구분!$B:$Z,2,0),"")</f>
        <v/>
      </c>
      <c r="C985" s="46" t="str">
        <f>IFERROR(VLOOKUP($H985,매장구분!$B:$Z,3,0),"")</f>
        <v/>
      </c>
      <c r="D985" s="46" t="str">
        <f>IFERROR(VLOOKUP($H985,매장구분!$B:$Z,5,0),"")</f>
        <v/>
      </c>
      <c r="E985" s="46" t="str">
        <f>IFERROR(VLOOKUP($H985,매장구분!$B:$Z,9,0),"")</f>
        <v/>
      </c>
      <c r="AF985" s="47">
        <f t="shared" si="15"/>
        <v>0</v>
      </c>
    </row>
    <row r="986" spans="2:32" x14ac:dyDescent="0.3">
      <c r="B986" s="46" t="str">
        <f>IFERROR(VLOOKUP($H986,매장구분!$B:$Z,2,0),"")</f>
        <v/>
      </c>
      <c r="C986" s="46" t="str">
        <f>IFERROR(VLOOKUP($H986,매장구분!$B:$Z,3,0),"")</f>
        <v/>
      </c>
      <c r="D986" s="46" t="str">
        <f>IFERROR(VLOOKUP($H986,매장구분!$B:$Z,5,0),"")</f>
        <v/>
      </c>
      <c r="E986" s="46" t="str">
        <f>IFERROR(VLOOKUP($H986,매장구분!$B:$Z,9,0),"")</f>
        <v/>
      </c>
      <c r="AF986" s="47">
        <f t="shared" si="15"/>
        <v>0</v>
      </c>
    </row>
    <row r="987" spans="2:32" x14ac:dyDescent="0.3">
      <c r="B987" s="46" t="str">
        <f>IFERROR(VLOOKUP($H987,매장구분!$B:$Z,2,0),"")</f>
        <v/>
      </c>
      <c r="C987" s="46" t="str">
        <f>IFERROR(VLOOKUP($H987,매장구분!$B:$Z,3,0),"")</f>
        <v/>
      </c>
      <c r="D987" s="46" t="str">
        <f>IFERROR(VLOOKUP($H987,매장구분!$B:$Z,5,0),"")</f>
        <v/>
      </c>
      <c r="E987" s="46" t="str">
        <f>IFERROR(VLOOKUP($H987,매장구분!$B:$Z,9,0),"")</f>
        <v/>
      </c>
      <c r="AF987" s="47">
        <f t="shared" si="15"/>
        <v>0</v>
      </c>
    </row>
    <row r="988" spans="2:32" x14ac:dyDescent="0.3">
      <c r="B988" s="46" t="str">
        <f>IFERROR(VLOOKUP($H988,매장구분!$B:$Z,2,0),"")</f>
        <v/>
      </c>
      <c r="C988" s="46" t="str">
        <f>IFERROR(VLOOKUP($H988,매장구분!$B:$Z,3,0),"")</f>
        <v/>
      </c>
      <c r="D988" s="46" t="str">
        <f>IFERROR(VLOOKUP($H988,매장구분!$B:$Z,5,0),"")</f>
        <v/>
      </c>
      <c r="E988" s="46" t="str">
        <f>IFERROR(VLOOKUP($H988,매장구분!$B:$Z,9,0),"")</f>
        <v/>
      </c>
      <c r="AF988" s="47">
        <f t="shared" si="15"/>
        <v>0</v>
      </c>
    </row>
    <row r="989" spans="2:32" x14ac:dyDescent="0.3">
      <c r="B989" s="46" t="str">
        <f>IFERROR(VLOOKUP($H989,매장구분!$B:$Z,2,0),"")</f>
        <v/>
      </c>
      <c r="C989" s="46" t="str">
        <f>IFERROR(VLOOKUP($H989,매장구분!$B:$Z,3,0),"")</f>
        <v/>
      </c>
      <c r="D989" s="46" t="str">
        <f>IFERROR(VLOOKUP($H989,매장구분!$B:$Z,5,0),"")</f>
        <v/>
      </c>
      <c r="E989" s="46" t="str">
        <f>IFERROR(VLOOKUP($H989,매장구분!$B:$Z,9,0),"")</f>
        <v/>
      </c>
      <c r="AF989" s="47">
        <f t="shared" si="15"/>
        <v>0</v>
      </c>
    </row>
    <row r="990" spans="2:32" x14ac:dyDescent="0.3">
      <c r="B990" s="46" t="str">
        <f>IFERROR(VLOOKUP($H990,매장구분!$B:$Z,2,0),"")</f>
        <v/>
      </c>
      <c r="C990" s="46" t="str">
        <f>IFERROR(VLOOKUP($H990,매장구분!$B:$Z,3,0),"")</f>
        <v/>
      </c>
      <c r="D990" s="46" t="str">
        <f>IFERROR(VLOOKUP($H990,매장구분!$B:$Z,5,0),"")</f>
        <v/>
      </c>
      <c r="E990" s="46" t="str">
        <f>IFERROR(VLOOKUP($H990,매장구분!$B:$Z,9,0),"")</f>
        <v/>
      </c>
      <c r="AF990" s="47">
        <f t="shared" si="15"/>
        <v>0</v>
      </c>
    </row>
    <row r="991" spans="2:32" x14ac:dyDescent="0.3">
      <c r="B991" s="46" t="str">
        <f>IFERROR(VLOOKUP($H991,매장구분!$B:$Z,2,0),"")</f>
        <v/>
      </c>
      <c r="C991" s="46" t="str">
        <f>IFERROR(VLOOKUP($H991,매장구분!$B:$Z,3,0),"")</f>
        <v/>
      </c>
      <c r="D991" s="46" t="str">
        <f>IFERROR(VLOOKUP($H991,매장구분!$B:$Z,5,0),"")</f>
        <v/>
      </c>
      <c r="E991" s="46" t="str">
        <f>IFERROR(VLOOKUP($H991,매장구분!$B:$Z,9,0),"")</f>
        <v/>
      </c>
      <c r="AF991" s="47">
        <f t="shared" si="15"/>
        <v>0</v>
      </c>
    </row>
    <row r="992" spans="2:32" x14ac:dyDescent="0.3">
      <c r="B992" s="46" t="str">
        <f>IFERROR(VLOOKUP($H992,매장구분!$B:$Z,2,0),"")</f>
        <v/>
      </c>
      <c r="C992" s="46" t="str">
        <f>IFERROR(VLOOKUP($H992,매장구분!$B:$Z,3,0),"")</f>
        <v/>
      </c>
      <c r="D992" s="46" t="str">
        <f>IFERROR(VLOOKUP($H992,매장구분!$B:$Z,5,0),"")</f>
        <v/>
      </c>
      <c r="E992" s="46" t="str">
        <f>IFERROR(VLOOKUP($H992,매장구분!$B:$Z,9,0),"")</f>
        <v/>
      </c>
      <c r="AF992" s="47">
        <f t="shared" si="15"/>
        <v>0</v>
      </c>
    </row>
    <row r="993" spans="2:32" x14ac:dyDescent="0.3">
      <c r="B993" s="46" t="str">
        <f>IFERROR(VLOOKUP($H993,매장구분!$B:$Z,2,0),"")</f>
        <v/>
      </c>
      <c r="C993" s="46" t="str">
        <f>IFERROR(VLOOKUP($H993,매장구분!$B:$Z,3,0),"")</f>
        <v/>
      </c>
      <c r="D993" s="46" t="str">
        <f>IFERROR(VLOOKUP($H993,매장구분!$B:$Z,5,0),"")</f>
        <v/>
      </c>
      <c r="E993" s="46" t="str">
        <f>IFERROR(VLOOKUP($H993,매장구분!$B:$Z,9,0),"")</f>
        <v/>
      </c>
      <c r="AF993" s="47">
        <f t="shared" si="15"/>
        <v>0</v>
      </c>
    </row>
    <row r="994" spans="2:32" x14ac:dyDescent="0.3">
      <c r="B994" s="46" t="str">
        <f>IFERROR(VLOOKUP($H994,매장구분!$B:$Z,2,0),"")</f>
        <v/>
      </c>
      <c r="C994" s="46" t="str">
        <f>IFERROR(VLOOKUP($H994,매장구분!$B:$Z,3,0),"")</f>
        <v/>
      </c>
      <c r="D994" s="46" t="str">
        <f>IFERROR(VLOOKUP($H994,매장구분!$B:$Z,5,0),"")</f>
        <v/>
      </c>
      <c r="E994" s="46" t="str">
        <f>IFERROR(VLOOKUP($H994,매장구분!$B:$Z,9,0),"")</f>
        <v/>
      </c>
      <c r="AF994" s="47">
        <f t="shared" si="15"/>
        <v>0</v>
      </c>
    </row>
    <row r="995" spans="2:32" x14ac:dyDescent="0.3">
      <c r="B995" s="46" t="str">
        <f>IFERROR(VLOOKUP($H995,매장구분!$B:$Z,2,0),"")</f>
        <v/>
      </c>
      <c r="C995" s="46" t="str">
        <f>IFERROR(VLOOKUP($H995,매장구분!$B:$Z,3,0),"")</f>
        <v/>
      </c>
      <c r="D995" s="46" t="str">
        <f>IFERROR(VLOOKUP($H995,매장구분!$B:$Z,5,0),"")</f>
        <v/>
      </c>
      <c r="E995" s="46" t="str">
        <f>IFERROR(VLOOKUP($H995,매장구분!$B:$Z,9,0),"")</f>
        <v/>
      </c>
      <c r="AF995" s="47">
        <f t="shared" si="15"/>
        <v>0</v>
      </c>
    </row>
    <row r="996" spans="2:32" x14ac:dyDescent="0.3">
      <c r="B996" s="46" t="str">
        <f>IFERROR(VLOOKUP($H996,매장구분!$B:$Z,2,0),"")</f>
        <v/>
      </c>
      <c r="C996" s="46" t="str">
        <f>IFERROR(VLOOKUP($H996,매장구분!$B:$Z,3,0),"")</f>
        <v/>
      </c>
      <c r="D996" s="46" t="str">
        <f>IFERROR(VLOOKUP($H996,매장구분!$B:$Z,5,0),"")</f>
        <v/>
      </c>
      <c r="E996" s="46" t="str">
        <f>IFERROR(VLOOKUP($H996,매장구분!$B:$Z,9,0),"")</f>
        <v/>
      </c>
      <c r="AF996" s="47">
        <f t="shared" si="15"/>
        <v>0</v>
      </c>
    </row>
    <row r="997" spans="2:32" x14ac:dyDescent="0.3">
      <c r="B997" s="46" t="str">
        <f>IFERROR(VLOOKUP($H997,매장구분!$B:$Z,2,0),"")</f>
        <v/>
      </c>
      <c r="C997" s="46" t="str">
        <f>IFERROR(VLOOKUP($H997,매장구분!$B:$Z,3,0),"")</f>
        <v/>
      </c>
      <c r="D997" s="46" t="str">
        <f>IFERROR(VLOOKUP($H997,매장구분!$B:$Z,5,0),"")</f>
        <v/>
      </c>
      <c r="E997" s="46" t="str">
        <f>IFERROR(VLOOKUP($H997,매장구분!$B:$Z,9,0),"")</f>
        <v/>
      </c>
      <c r="AF997" s="47">
        <f t="shared" si="15"/>
        <v>0</v>
      </c>
    </row>
    <row r="998" spans="2:32" x14ac:dyDescent="0.3">
      <c r="B998" s="46" t="str">
        <f>IFERROR(VLOOKUP($H998,매장구분!$B:$Z,2,0),"")</f>
        <v/>
      </c>
      <c r="C998" s="46" t="str">
        <f>IFERROR(VLOOKUP($H998,매장구분!$B:$Z,3,0),"")</f>
        <v/>
      </c>
      <c r="D998" s="46" t="str">
        <f>IFERROR(VLOOKUP($H998,매장구분!$B:$Z,5,0),"")</f>
        <v/>
      </c>
      <c r="E998" s="46" t="str">
        <f>IFERROR(VLOOKUP($H998,매장구분!$B:$Z,9,0),"")</f>
        <v/>
      </c>
      <c r="AF998" s="47">
        <f t="shared" si="15"/>
        <v>0</v>
      </c>
    </row>
    <row r="999" spans="2:32" x14ac:dyDescent="0.3">
      <c r="B999" s="46" t="str">
        <f>IFERROR(VLOOKUP($H999,매장구분!$B:$Z,2,0),"")</f>
        <v/>
      </c>
      <c r="C999" s="46" t="str">
        <f>IFERROR(VLOOKUP($H999,매장구분!$B:$Z,3,0),"")</f>
        <v/>
      </c>
      <c r="D999" s="46" t="str">
        <f>IFERROR(VLOOKUP($H999,매장구분!$B:$Z,5,0),"")</f>
        <v/>
      </c>
      <c r="E999" s="46" t="str">
        <f>IFERROR(VLOOKUP($H999,매장구분!$B:$Z,9,0),"")</f>
        <v/>
      </c>
      <c r="AF999" s="47">
        <f t="shared" si="15"/>
        <v>0</v>
      </c>
    </row>
    <row r="1000" spans="2:32" x14ac:dyDescent="0.3">
      <c r="B1000" s="46" t="str">
        <f>IFERROR(VLOOKUP($H1000,매장구분!$B:$Z,2,0),"")</f>
        <v/>
      </c>
      <c r="C1000" s="46" t="str">
        <f>IFERROR(VLOOKUP($H1000,매장구분!$B:$Z,3,0),"")</f>
        <v/>
      </c>
      <c r="D1000" s="46" t="str">
        <f>IFERROR(VLOOKUP($H1000,매장구분!$B:$Z,5,0),"")</f>
        <v/>
      </c>
      <c r="E1000" s="46" t="str">
        <f>IFERROR(VLOOKUP($H1000,매장구분!$B:$Z,9,0),"")</f>
        <v/>
      </c>
      <c r="AF1000" s="47">
        <f t="shared" si="15"/>
        <v>0</v>
      </c>
    </row>
    <row r="1001" spans="2:32" x14ac:dyDescent="0.3">
      <c r="B1001" s="46" t="str">
        <f>IFERROR(VLOOKUP($H1001,매장구분!$B:$Z,2,0),"")</f>
        <v/>
      </c>
      <c r="C1001" s="46" t="str">
        <f>IFERROR(VLOOKUP($H1001,매장구분!$B:$Z,3,0),"")</f>
        <v/>
      </c>
      <c r="D1001" s="46" t="str">
        <f>IFERROR(VLOOKUP($H1001,매장구분!$B:$Z,5,0),"")</f>
        <v/>
      </c>
      <c r="E1001" s="46" t="str">
        <f>IFERROR(VLOOKUP($H1001,매장구분!$B:$Z,9,0),"")</f>
        <v/>
      </c>
      <c r="AF1001" s="47">
        <f t="shared" si="15"/>
        <v>0</v>
      </c>
    </row>
    <row r="1002" spans="2:32" x14ac:dyDescent="0.3">
      <c r="B1002" s="46" t="str">
        <f>IFERROR(VLOOKUP($H1002,매장구분!$B:$Z,2,0),"")</f>
        <v/>
      </c>
      <c r="C1002" s="46" t="str">
        <f>IFERROR(VLOOKUP($H1002,매장구분!$B:$Z,3,0),"")</f>
        <v/>
      </c>
      <c r="D1002" s="46" t="str">
        <f>IFERROR(VLOOKUP($H1002,매장구분!$B:$Z,5,0),"")</f>
        <v/>
      </c>
      <c r="E1002" s="46" t="str">
        <f>IFERROR(VLOOKUP($H1002,매장구분!$B:$Z,9,0),"")</f>
        <v/>
      </c>
      <c r="AF1002" s="47">
        <f t="shared" si="15"/>
        <v>0</v>
      </c>
    </row>
    <row r="1003" spans="2:32" x14ac:dyDescent="0.3">
      <c r="B1003" s="46" t="str">
        <f>IFERROR(VLOOKUP($H1003,매장구분!$B:$Z,2,0),"")</f>
        <v/>
      </c>
      <c r="C1003" s="46" t="str">
        <f>IFERROR(VLOOKUP($H1003,매장구분!$B:$Z,3,0),"")</f>
        <v/>
      </c>
      <c r="D1003" s="46" t="str">
        <f>IFERROR(VLOOKUP($H1003,매장구분!$B:$Z,5,0),"")</f>
        <v/>
      </c>
      <c r="E1003" s="46" t="str">
        <f>IFERROR(VLOOKUP($H1003,매장구분!$B:$Z,9,0),"")</f>
        <v/>
      </c>
      <c r="AF1003" s="47">
        <f t="shared" si="15"/>
        <v>0</v>
      </c>
    </row>
    <row r="1004" spans="2:32" x14ac:dyDescent="0.3">
      <c r="B1004" s="46" t="str">
        <f>IFERROR(VLOOKUP($H1004,매장구분!$B:$Z,2,0),"")</f>
        <v/>
      </c>
      <c r="C1004" s="46" t="str">
        <f>IFERROR(VLOOKUP($H1004,매장구분!$B:$Z,3,0),"")</f>
        <v/>
      </c>
      <c r="D1004" s="46" t="str">
        <f>IFERROR(VLOOKUP($H1004,매장구분!$B:$Z,5,0),"")</f>
        <v/>
      </c>
      <c r="E1004" s="46" t="str">
        <f>IFERROR(VLOOKUP($H1004,매장구분!$B:$Z,9,0),"")</f>
        <v/>
      </c>
      <c r="AF1004" s="47">
        <f t="shared" si="15"/>
        <v>0</v>
      </c>
    </row>
    <row r="1005" spans="2:32" x14ac:dyDescent="0.3">
      <c r="B1005" s="46" t="str">
        <f>IFERROR(VLOOKUP($H1005,매장구분!$B:$Z,2,0),"")</f>
        <v/>
      </c>
      <c r="C1005" s="46" t="str">
        <f>IFERROR(VLOOKUP($H1005,매장구분!$B:$Z,3,0),"")</f>
        <v/>
      </c>
      <c r="D1005" s="46" t="str">
        <f>IFERROR(VLOOKUP($H1005,매장구분!$B:$Z,5,0),"")</f>
        <v/>
      </c>
      <c r="E1005" s="46" t="str">
        <f>IFERROR(VLOOKUP($H1005,매장구분!$B:$Z,9,0),"")</f>
        <v/>
      </c>
      <c r="AF1005" s="47">
        <f t="shared" si="15"/>
        <v>0</v>
      </c>
    </row>
    <row r="1006" spans="2:32" x14ac:dyDescent="0.3">
      <c r="B1006" s="46" t="str">
        <f>IFERROR(VLOOKUP($H1006,매장구분!$B:$Z,2,0),"")</f>
        <v/>
      </c>
      <c r="C1006" s="46" t="str">
        <f>IFERROR(VLOOKUP($H1006,매장구분!$B:$Z,3,0),"")</f>
        <v/>
      </c>
      <c r="D1006" s="46" t="str">
        <f>IFERROR(VLOOKUP($H1006,매장구분!$B:$Z,5,0),"")</f>
        <v/>
      </c>
      <c r="E1006" s="46" t="str">
        <f>IFERROR(VLOOKUP($H1006,매장구분!$B:$Z,9,0),"")</f>
        <v/>
      </c>
      <c r="AF1006" s="47">
        <f t="shared" si="15"/>
        <v>0</v>
      </c>
    </row>
    <row r="1007" spans="2:32" x14ac:dyDescent="0.3">
      <c r="B1007" s="46" t="str">
        <f>IFERROR(VLOOKUP($H1007,매장구분!$B:$Z,2,0),"")</f>
        <v/>
      </c>
      <c r="C1007" s="46" t="str">
        <f>IFERROR(VLOOKUP($H1007,매장구분!$B:$Z,3,0),"")</f>
        <v/>
      </c>
      <c r="D1007" s="46" t="str">
        <f>IFERROR(VLOOKUP($H1007,매장구분!$B:$Z,5,0),"")</f>
        <v/>
      </c>
      <c r="E1007" s="46" t="str">
        <f>IFERROR(VLOOKUP($H1007,매장구분!$B:$Z,9,0),"")</f>
        <v/>
      </c>
      <c r="AF1007" s="47">
        <f t="shared" si="15"/>
        <v>0</v>
      </c>
    </row>
    <row r="1008" spans="2:32" x14ac:dyDescent="0.3">
      <c r="B1008" s="46" t="str">
        <f>IFERROR(VLOOKUP($H1008,매장구분!$B:$Z,2,0),"")</f>
        <v/>
      </c>
      <c r="C1008" s="46" t="str">
        <f>IFERROR(VLOOKUP($H1008,매장구분!$B:$Z,3,0),"")</f>
        <v/>
      </c>
      <c r="D1008" s="46" t="str">
        <f>IFERROR(VLOOKUP($H1008,매장구분!$B:$Z,5,0),"")</f>
        <v/>
      </c>
      <c r="E1008" s="46" t="str">
        <f>IFERROR(VLOOKUP($H1008,매장구분!$B:$Z,9,0),"")</f>
        <v/>
      </c>
      <c r="AF1008" s="47">
        <f t="shared" si="15"/>
        <v>0</v>
      </c>
    </row>
    <row r="1009" spans="2:32" x14ac:dyDescent="0.3">
      <c r="B1009" s="46" t="str">
        <f>IFERROR(VLOOKUP($H1009,매장구분!$B:$Z,2,0),"")</f>
        <v/>
      </c>
      <c r="C1009" s="46" t="str">
        <f>IFERROR(VLOOKUP($H1009,매장구분!$B:$Z,3,0),"")</f>
        <v/>
      </c>
      <c r="D1009" s="46" t="str">
        <f>IFERROR(VLOOKUP($H1009,매장구분!$B:$Z,5,0),"")</f>
        <v/>
      </c>
      <c r="E1009" s="46" t="str">
        <f>IFERROR(VLOOKUP($H1009,매장구분!$B:$Z,9,0),"")</f>
        <v/>
      </c>
      <c r="AF1009" s="47">
        <f t="shared" si="15"/>
        <v>0</v>
      </c>
    </row>
    <row r="1010" spans="2:32" x14ac:dyDescent="0.3">
      <c r="B1010" s="46" t="str">
        <f>IFERROR(VLOOKUP($H1010,매장구분!$B:$Z,2,0),"")</f>
        <v/>
      </c>
      <c r="C1010" s="46" t="str">
        <f>IFERROR(VLOOKUP($H1010,매장구분!$B:$Z,3,0),"")</f>
        <v/>
      </c>
      <c r="D1010" s="46" t="str">
        <f>IFERROR(VLOOKUP($H1010,매장구분!$B:$Z,5,0),"")</f>
        <v/>
      </c>
      <c r="E1010" s="46" t="str">
        <f>IFERROR(VLOOKUP($H1010,매장구분!$B:$Z,9,0),"")</f>
        <v/>
      </c>
      <c r="AF1010" s="47">
        <f t="shared" si="15"/>
        <v>0</v>
      </c>
    </row>
    <row r="1011" spans="2:32" x14ac:dyDescent="0.3">
      <c r="B1011" s="46" t="str">
        <f>IFERROR(VLOOKUP($H1011,매장구분!$B:$Z,2,0),"")</f>
        <v/>
      </c>
      <c r="C1011" s="46" t="str">
        <f>IFERROR(VLOOKUP($H1011,매장구분!$B:$Z,3,0),"")</f>
        <v/>
      </c>
      <c r="D1011" s="46" t="str">
        <f>IFERROR(VLOOKUP($H1011,매장구분!$B:$Z,5,0),"")</f>
        <v/>
      </c>
      <c r="E1011" s="46" t="str">
        <f>IFERROR(VLOOKUP($H1011,매장구분!$B:$Z,9,0),"")</f>
        <v/>
      </c>
      <c r="AF1011" s="47">
        <f t="shared" si="15"/>
        <v>0</v>
      </c>
    </row>
    <row r="1012" spans="2:32" x14ac:dyDescent="0.3">
      <c r="B1012" s="46" t="str">
        <f>IFERROR(VLOOKUP($H1012,매장구분!$B:$Z,2,0),"")</f>
        <v/>
      </c>
      <c r="C1012" s="46" t="str">
        <f>IFERROR(VLOOKUP($H1012,매장구분!$B:$Z,3,0),"")</f>
        <v/>
      </c>
      <c r="D1012" s="46" t="str">
        <f>IFERROR(VLOOKUP($H1012,매장구분!$B:$Z,5,0),"")</f>
        <v/>
      </c>
      <c r="E1012" s="46" t="str">
        <f>IFERROR(VLOOKUP($H1012,매장구분!$B:$Z,9,0),"")</f>
        <v/>
      </c>
      <c r="AF1012" s="47">
        <f t="shared" si="15"/>
        <v>0</v>
      </c>
    </row>
    <row r="1013" spans="2:32" x14ac:dyDescent="0.3">
      <c r="B1013" s="46" t="str">
        <f>IFERROR(VLOOKUP($H1013,매장구분!$B:$Z,2,0),"")</f>
        <v/>
      </c>
      <c r="C1013" s="46" t="str">
        <f>IFERROR(VLOOKUP($H1013,매장구분!$B:$Z,3,0),"")</f>
        <v/>
      </c>
      <c r="D1013" s="46" t="str">
        <f>IFERROR(VLOOKUP($H1013,매장구분!$B:$Z,5,0),"")</f>
        <v/>
      </c>
      <c r="E1013" s="46" t="str">
        <f>IFERROR(VLOOKUP($H1013,매장구분!$B:$Z,9,0),"")</f>
        <v/>
      </c>
      <c r="AF1013" s="47">
        <f t="shared" si="15"/>
        <v>0</v>
      </c>
    </row>
    <row r="1014" spans="2:32" x14ac:dyDescent="0.3">
      <c r="B1014" s="46" t="str">
        <f>IFERROR(VLOOKUP($H1014,매장구분!$B:$Z,2,0),"")</f>
        <v/>
      </c>
      <c r="C1014" s="46" t="str">
        <f>IFERROR(VLOOKUP($H1014,매장구분!$B:$Z,3,0),"")</f>
        <v/>
      </c>
      <c r="D1014" s="46" t="str">
        <f>IFERROR(VLOOKUP($H1014,매장구분!$B:$Z,5,0),"")</f>
        <v/>
      </c>
      <c r="E1014" s="46" t="str">
        <f>IFERROR(VLOOKUP($H1014,매장구분!$B:$Z,9,0),"")</f>
        <v/>
      </c>
      <c r="AF1014" s="47">
        <f t="shared" si="15"/>
        <v>0</v>
      </c>
    </row>
    <row r="1015" spans="2:32" x14ac:dyDescent="0.3">
      <c r="B1015" s="46" t="str">
        <f>IFERROR(VLOOKUP($H1015,매장구분!$B:$Z,2,0),"")</f>
        <v/>
      </c>
      <c r="C1015" s="46" t="str">
        <f>IFERROR(VLOOKUP($H1015,매장구분!$B:$Z,3,0),"")</f>
        <v/>
      </c>
      <c r="D1015" s="46" t="str">
        <f>IFERROR(VLOOKUP($H1015,매장구분!$B:$Z,5,0),"")</f>
        <v/>
      </c>
      <c r="E1015" s="46" t="str">
        <f>IFERROR(VLOOKUP($H1015,매장구분!$B:$Z,9,0),"")</f>
        <v/>
      </c>
      <c r="AF1015" s="47">
        <f t="shared" si="15"/>
        <v>0</v>
      </c>
    </row>
    <row r="1016" spans="2:32" x14ac:dyDescent="0.3">
      <c r="B1016" s="46" t="str">
        <f>IFERROR(VLOOKUP($H1016,매장구분!$B:$Z,2,0),"")</f>
        <v/>
      </c>
      <c r="C1016" s="46" t="str">
        <f>IFERROR(VLOOKUP($H1016,매장구분!$B:$Z,3,0),"")</f>
        <v/>
      </c>
      <c r="D1016" s="46" t="str">
        <f>IFERROR(VLOOKUP($H1016,매장구분!$B:$Z,5,0),"")</f>
        <v/>
      </c>
      <c r="E1016" s="46" t="str">
        <f>IFERROR(VLOOKUP($H1016,매장구분!$B:$Z,9,0),"")</f>
        <v/>
      </c>
      <c r="AF1016" s="47">
        <f t="shared" si="15"/>
        <v>0</v>
      </c>
    </row>
    <row r="1017" spans="2:32" x14ac:dyDescent="0.3">
      <c r="B1017" s="46" t="str">
        <f>IFERROR(VLOOKUP($H1017,매장구분!$B:$Z,2,0),"")</f>
        <v/>
      </c>
      <c r="C1017" s="46" t="str">
        <f>IFERROR(VLOOKUP($H1017,매장구분!$B:$Z,3,0),"")</f>
        <v/>
      </c>
      <c r="D1017" s="46" t="str">
        <f>IFERROR(VLOOKUP($H1017,매장구분!$B:$Z,5,0),"")</f>
        <v/>
      </c>
      <c r="E1017" s="46" t="str">
        <f>IFERROR(VLOOKUP($H1017,매장구분!$B:$Z,9,0),"")</f>
        <v/>
      </c>
      <c r="AF1017" s="47">
        <f t="shared" si="15"/>
        <v>0</v>
      </c>
    </row>
    <row r="1018" spans="2:32" x14ac:dyDescent="0.3">
      <c r="B1018" s="46" t="str">
        <f>IFERROR(VLOOKUP($H1018,매장구분!$B:$Z,2,0),"")</f>
        <v/>
      </c>
      <c r="C1018" s="46" t="str">
        <f>IFERROR(VLOOKUP($H1018,매장구분!$B:$Z,3,0),"")</f>
        <v/>
      </c>
      <c r="D1018" s="46" t="str">
        <f>IFERROR(VLOOKUP($H1018,매장구분!$B:$Z,5,0),"")</f>
        <v/>
      </c>
      <c r="E1018" s="46" t="str">
        <f>IFERROR(VLOOKUP($H1018,매장구분!$B:$Z,9,0),"")</f>
        <v/>
      </c>
      <c r="AF1018" s="47">
        <f t="shared" si="15"/>
        <v>0</v>
      </c>
    </row>
    <row r="1019" spans="2:32" x14ac:dyDescent="0.3">
      <c r="B1019" s="46" t="str">
        <f>IFERROR(VLOOKUP($H1019,매장구분!$B:$Z,2,0),"")</f>
        <v/>
      </c>
      <c r="C1019" s="46" t="str">
        <f>IFERROR(VLOOKUP($H1019,매장구분!$B:$Z,3,0),"")</f>
        <v/>
      </c>
      <c r="D1019" s="46" t="str">
        <f>IFERROR(VLOOKUP($H1019,매장구분!$B:$Z,5,0),"")</f>
        <v/>
      </c>
      <c r="E1019" s="46" t="str">
        <f>IFERROR(VLOOKUP($H1019,매장구분!$B:$Z,9,0),"")</f>
        <v/>
      </c>
      <c r="AF1019" s="47">
        <f t="shared" si="15"/>
        <v>0</v>
      </c>
    </row>
    <row r="1020" spans="2:32" x14ac:dyDescent="0.3">
      <c r="B1020" s="46" t="str">
        <f>IFERROR(VLOOKUP($H1020,매장구분!$B:$Z,2,0),"")</f>
        <v/>
      </c>
      <c r="C1020" s="46" t="str">
        <f>IFERROR(VLOOKUP($H1020,매장구분!$B:$Z,3,0),"")</f>
        <v/>
      </c>
      <c r="D1020" s="46" t="str">
        <f>IFERROR(VLOOKUP($H1020,매장구분!$B:$Z,5,0),"")</f>
        <v/>
      </c>
      <c r="E1020" s="46" t="str">
        <f>IFERROR(VLOOKUP($H1020,매장구분!$B:$Z,9,0),"")</f>
        <v/>
      </c>
      <c r="AF1020" s="47">
        <f t="shared" si="15"/>
        <v>0</v>
      </c>
    </row>
    <row r="1021" spans="2:32" x14ac:dyDescent="0.3">
      <c r="B1021" s="46" t="str">
        <f>IFERROR(VLOOKUP($H1021,매장구분!$B:$Z,2,0),"")</f>
        <v/>
      </c>
      <c r="C1021" s="46" t="str">
        <f>IFERROR(VLOOKUP($H1021,매장구분!$B:$Z,3,0),"")</f>
        <v/>
      </c>
      <c r="D1021" s="46" t="str">
        <f>IFERROR(VLOOKUP($H1021,매장구분!$B:$Z,5,0),"")</f>
        <v/>
      </c>
      <c r="E1021" s="46" t="str">
        <f>IFERROR(VLOOKUP($H1021,매장구분!$B:$Z,9,0),"")</f>
        <v/>
      </c>
      <c r="AF1021" s="47">
        <f t="shared" si="15"/>
        <v>0</v>
      </c>
    </row>
    <row r="1022" spans="2:32" x14ac:dyDescent="0.3">
      <c r="B1022" s="46" t="str">
        <f>IFERROR(VLOOKUP($H1022,매장구분!$B:$Z,2,0),"")</f>
        <v/>
      </c>
      <c r="C1022" s="46" t="str">
        <f>IFERROR(VLOOKUP($H1022,매장구분!$B:$Z,3,0),"")</f>
        <v/>
      </c>
      <c r="D1022" s="46" t="str">
        <f>IFERROR(VLOOKUP($H1022,매장구분!$B:$Z,5,0),"")</f>
        <v/>
      </c>
      <c r="E1022" s="46" t="str">
        <f>IFERROR(VLOOKUP($H1022,매장구분!$B:$Z,9,0),"")</f>
        <v/>
      </c>
      <c r="AF1022" s="47">
        <f t="shared" si="15"/>
        <v>0</v>
      </c>
    </row>
    <row r="1023" spans="2:32" x14ac:dyDescent="0.3">
      <c r="B1023" s="46" t="str">
        <f>IFERROR(VLOOKUP($H1023,매장구분!$B:$Z,2,0),"")</f>
        <v/>
      </c>
      <c r="C1023" s="46" t="str">
        <f>IFERROR(VLOOKUP($H1023,매장구분!$B:$Z,3,0),"")</f>
        <v/>
      </c>
      <c r="D1023" s="46" t="str">
        <f>IFERROR(VLOOKUP($H1023,매장구분!$B:$Z,5,0),"")</f>
        <v/>
      </c>
      <c r="E1023" s="46" t="str">
        <f>IFERROR(VLOOKUP($H1023,매장구분!$B:$Z,9,0),"")</f>
        <v/>
      </c>
      <c r="AF1023" s="47">
        <f t="shared" si="15"/>
        <v>0</v>
      </c>
    </row>
    <row r="1024" spans="2:32" x14ac:dyDescent="0.3">
      <c r="B1024" s="46" t="str">
        <f>IFERROR(VLOOKUP($H1024,매장구분!$B:$Z,2,0),"")</f>
        <v/>
      </c>
      <c r="C1024" s="46" t="str">
        <f>IFERROR(VLOOKUP($H1024,매장구분!$B:$Z,3,0),"")</f>
        <v/>
      </c>
      <c r="D1024" s="46" t="str">
        <f>IFERROR(VLOOKUP($H1024,매장구분!$B:$Z,5,0),"")</f>
        <v/>
      </c>
      <c r="E1024" s="46" t="str">
        <f>IFERROR(VLOOKUP($H1024,매장구분!$B:$Z,9,0),"")</f>
        <v/>
      </c>
      <c r="AF1024" s="47">
        <f t="shared" si="15"/>
        <v>0</v>
      </c>
    </row>
    <row r="1025" spans="2:32" x14ac:dyDescent="0.3">
      <c r="B1025" s="46" t="str">
        <f>IFERROR(VLOOKUP($H1025,매장구분!$B:$Z,2,0),"")</f>
        <v/>
      </c>
      <c r="C1025" s="46" t="str">
        <f>IFERROR(VLOOKUP($H1025,매장구분!$B:$Z,3,0),"")</f>
        <v/>
      </c>
      <c r="D1025" s="46" t="str">
        <f>IFERROR(VLOOKUP($H1025,매장구분!$B:$Z,5,0),"")</f>
        <v/>
      </c>
      <c r="E1025" s="46" t="str">
        <f>IFERROR(VLOOKUP($H1025,매장구분!$B:$Z,9,0),"")</f>
        <v/>
      </c>
      <c r="AF1025" s="47">
        <f t="shared" si="15"/>
        <v>0</v>
      </c>
    </row>
    <row r="1026" spans="2:32" x14ac:dyDescent="0.3">
      <c r="B1026" s="46" t="str">
        <f>IFERROR(VLOOKUP($H1026,매장구분!$B:$Z,2,0),"")</f>
        <v/>
      </c>
      <c r="C1026" s="46" t="str">
        <f>IFERROR(VLOOKUP($H1026,매장구분!$B:$Z,3,0),"")</f>
        <v/>
      </c>
      <c r="D1026" s="46" t="str">
        <f>IFERROR(VLOOKUP($H1026,매장구분!$B:$Z,5,0),"")</f>
        <v/>
      </c>
      <c r="E1026" s="46" t="str">
        <f>IFERROR(VLOOKUP($H1026,매장구분!$B:$Z,9,0),"")</f>
        <v/>
      </c>
      <c r="AF1026" s="47">
        <f t="shared" si="15"/>
        <v>0</v>
      </c>
    </row>
    <row r="1027" spans="2:32" x14ac:dyDescent="0.3">
      <c r="B1027" s="46" t="str">
        <f>IFERROR(VLOOKUP($H1027,매장구분!$B:$Z,2,0),"")</f>
        <v/>
      </c>
      <c r="C1027" s="46" t="str">
        <f>IFERROR(VLOOKUP($H1027,매장구분!$B:$Z,3,0),"")</f>
        <v/>
      </c>
      <c r="D1027" s="46" t="str">
        <f>IFERROR(VLOOKUP($H1027,매장구분!$B:$Z,5,0),"")</f>
        <v/>
      </c>
      <c r="E1027" s="46" t="str">
        <f>IFERROR(VLOOKUP($H1027,매장구분!$B:$Z,9,0),"")</f>
        <v/>
      </c>
      <c r="AF1027" s="47">
        <f t="shared" ref="AF1027:AF1090" si="16">IFERROR(AC1027-Y1027,"")</f>
        <v>0</v>
      </c>
    </row>
    <row r="1028" spans="2:32" x14ac:dyDescent="0.3">
      <c r="B1028" s="46" t="str">
        <f>IFERROR(VLOOKUP($H1028,매장구분!$B:$Z,2,0),"")</f>
        <v/>
      </c>
      <c r="C1028" s="46" t="str">
        <f>IFERROR(VLOOKUP($H1028,매장구분!$B:$Z,3,0),"")</f>
        <v/>
      </c>
      <c r="D1028" s="46" t="str">
        <f>IFERROR(VLOOKUP($H1028,매장구분!$B:$Z,5,0),"")</f>
        <v/>
      </c>
      <c r="E1028" s="46" t="str">
        <f>IFERROR(VLOOKUP($H1028,매장구분!$B:$Z,9,0),"")</f>
        <v/>
      </c>
      <c r="AF1028" s="47">
        <f t="shared" si="16"/>
        <v>0</v>
      </c>
    </row>
    <row r="1029" spans="2:32" x14ac:dyDescent="0.3">
      <c r="B1029" s="46" t="str">
        <f>IFERROR(VLOOKUP($H1029,매장구분!$B:$Z,2,0),"")</f>
        <v/>
      </c>
      <c r="C1029" s="46" t="str">
        <f>IFERROR(VLOOKUP($H1029,매장구분!$B:$Z,3,0),"")</f>
        <v/>
      </c>
      <c r="D1029" s="46" t="str">
        <f>IFERROR(VLOOKUP($H1029,매장구분!$B:$Z,5,0),"")</f>
        <v/>
      </c>
      <c r="E1029" s="46" t="str">
        <f>IFERROR(VLOOKUP($H1029,매장구분!$B:$Z,9,0),"")</f>
        <v/>
      </c>
      <c r="AF1029" s="47">
        <f t="shared" si="16"/>
        <v>0</v>
      </c>
    </row>
    <row r="1030" spans="2:32" x14ac:dyDescent="0.3">
      <c r="B1030" s="46" t="str">
        <f>IFERROR(VLOOKUP($H1030,매장구분!$B:$Z,2,0),"")</f>
        <v/>
      </c>
      <c r="C1030" s="46" t="str">
        <f>IFERROR(VLOOKUP($H1030,매장구분!$B:$Z,3,0),"")</f>
        <v/>
      </c>
      <c r="D1030" s="46" t="str">
        <f>IFERROR(VLOOKUP($H1030,매장구분!$B:$Z,5,0),"")</f>
        <v/>
      </c>
      <c r="E1030" s="46" t="str">
        <f>IFERROR(VLOOKUP($H1030,매장구분!$B:$Z,9,0),"")</f>
        <v/>
      </c>
      <c r="AF1030" s="47">
        <f t="shared" si="16"/>
        <v>0</v>
      </c>
    </row>
    <row r="1031" spans="2:32" x14ac:dyDescent="0.3">
      <c r="B1031" s="46" t="str">
        <f>IFERROR(VLOOKUP($H1031,매장구분!$B:$Z,2,0),"")</f>
        <v/>
      </c>
      <c r="C1031" s="46" t="str">
        <f>IFERROR(VLOOKUP($H1031,매장구분!$B:$Z,3,0),"")</f>
        <v/>
      </c>
      <c r="D1031" s="46" t="str">
        <f>IFERROR(VLOOKUP($H1031,매장구분!$B:$Z,5,0),"")</f>
        <v/>
      </c>
      <c r="E1031" s="46" t="str">
        <f>IFERROR(VLOOKUP($H1031,매장구분!$B:$Z,9,0),"")</f>
        <v/>
      </c>
      <c r="AF1031" s="47">
        <f t="shared" si="16"/>
        <v>0</v>
      </c>
    </row>
    <row r="1032" spans="2:32" x14ac:dyDescent="0.3">
      <c r="B1032" s="46" t="str">
        <f>IFERROR(VLOOKUP($H1032,매장구분!$B:$Z,2,0),"")</f>
        <v/>
      </c>
      <c r="C1032" s="46" t="str">
        <f>IFERROR(VLOOKUP($H1032,매장구분!$B:$Z,3,0),"")</f>
        <v/>
      </c>
      <c r="D1032" s="46" t="str">
        <f>IFERROR(VLOOKUP($H1032,매장구분!$B:$Z,5,0),"")</f>
        <v/>
      </c>
      <c r="E1032" s="46" t="str">
        <f>IFERROR(VLOOKUP($H1032,매장구분!$B:$Z,9,0),"")</f>
        <v/>
      </c>
      <c r="AF1032" s="47">
        <f t="shared" si="16"/>
        <v>0</v>
      </c>
    </row>
    <row r="1033" spans="2:32" x14ac:dyDescent="0.3">
      <c r="B1033" s="46" t="str">
        <f>IFERROR(VLOOKUP($H1033,매장구분!$B:$Z,2,0),"")</f>
        <v/>
      </c>
      <c r="C1033" s="46" t="str">
        <f>IFERROR(VLOOKUP($H1033,매장구분!$B:$Z,3,0),"")</f>
        <v/>
      </c>
      <c r="D1033" s="46" t="str">
        <f>IFERROR(VLOOKUP($H1033,매장구분!$B:$Z,5,0),"")</f>
        <v/>
      </c>
      <c r="E1033" s="46" t="str">
        <f>IFERROR(VLOOKUP($H1033,매장구분!$B:$Z,9,0),"")</f>
        <v/>
      </c>
      <c r="AF1033" s="47">
        <f t="shared" si="16"/>
        <v>0</v>
      </c>
    </row>
    <row r="1034" spans="2:32" x14ac:dyDescent="0.3">
      <c r="B1034" s="46" t="str">
        <f>IFERROR(VLOOKUP($H1034,매장구분!$B:$Z,2,0),"")</f>
        <v/>
      </c>
      <c r="C1034" s="46" t="str">
        <f>IFERROR(VLOOKUP($H1034,매장구분!$B:$Z,3,0),"")</f>
        <v/>
      </c>
      <c r="D1034" s="46" t="str">
        <f>IFERROR(VLOOKUP($H1034,매장구분!$B:$Z,5,0),"")</f>
        <v/>
      </c>
      <c r="E1034" s="46" t="str">
        <f>IFERROR(VLOOKUP($H1034,매장구분!$B:$Z,9,0),"")</f>
        <v/>
      </c>
      <c r="AF1034" s="47">
        <f t="shared" si="16"/>
        <v>0</v>
      </c>
    </row>
    <row r="1035" spans="2:32" x14ac:dyDescent="0.3">
      <c r="B1035" s="46" t="str">
        <f>IFERROR(VLOOKUP($H1035,매장구분!$B:$Z,2,0),"")</f>
        <v/>
      </c>
      <c r="C1035" s="46" t="str">
        <f>IFERROR(VLOOKUP($H1035,매장구분!$B:$Z,3,0),"")</f>
        <v/>
      </c>
      <c r="D1035" s="46" t="str">
        <f>IFERROR(VLOOKUP($H1035,매장구분!$B:$Z,5,0),"")</f>
        <v/>
      </c>
      <c r="E1035" s="46" t="str">
        <f>IFERROR(VLOOKUP($H1035,매장구분!$B:$Z,9,0),"")</f>
        <v/>
      </c>
      <c r="AF1035" s="47">
        <f t="shared" si="16"/>
        <v>0</v>
      </c>
    </row>
    <row r="1036" spans="2:32" x14ac:dyDescent="0.3">
      <c r="AF1036" s="47">
        <f t="shared" si="16"/>
        <v>0</v>
      </c>
    </row>
    <row r="1037" spans="2:32" x14ac:dyDescent="0.3">
      <c r="AF1037" s="47">
        <f t="shared" si="16"/>
        <v>0</v>
      </c>
    </row>
    <row r="1038" spans="2:32" x14ac:dyDescent="0.3">
      <c r="AF1038" s="47">
        <f t="shared" si="16"/>
        <v>0</v>
      </c>
    </row>
    <row r="1039" spans="2:32" x14ac:dyDescent="0.3">
      <c r="AF1039" s="47">
        <f t="shared" si="16"/>
        <v>0</v>
      </c>
    </row>
    <row r="1040" spans="2:32" x14ac:dyDescent="0.3">
      <c r="AF1040" s="47">
        <f t="shared" si="16"/>
        <v>0</v>
      </c>
    </row>
    <row r="1041" spans="32:32" x14ac:dyDescent="0.3">
      <c r="AF1041" s="47">
        <f t="shared" si="16"/>
        <v>0</v>
      </c>
    </row>
    <row r="1042" spans="32:32" x14ac:dyDescent="0.3">
      <c r="AF1042" s="47">
        <f t="shared" si="16"/>
        <v>0</v>
      </c>
    </row>
    <row r="1043" spans="32:32" x14ac:dyDescent="0.3">
      <c r="AF1043" s="47">
        <f t="shared" si="16"/>
        <v>0</v>
      </c>
    </row>
    <row r="1044" spans="32:32" x14ac:dyDescent="0.3">
      <c r="AF1044" s="47">
        <f t="shared" si="16"/>
        <v>0</v>
      </c>
    </row>
    <row r="1045" spans="32:32" x14ac:dyDescent="0.3">
      <c r="AF1045" s="47">
        <f t="shared" si="16"/>
        <v>0</v>
      </c>
    </row>
    <row r="1046" spans="32:32" x14ac:dyDescent="0.3">
      <c r="AF1046" s="47">
        <f t="shared" si="16"/>
        <v>0</v>
      </c>
    </row>
    <row r="1047" spans="32:32" x14ac:dyDescent="0.3">
      <c r="AF1047" s="47">
        <f t="shared" si="16"/>
        <v>0</v>
      </c>
    </row>
    <row r="1048" spans="32:32" x14ac:dyDescent="0.3">
      <c r="AF1048" s="47">
        <f t="shared" si="16"/>
        <v>0</v>
      </c>
    </row>
    <row r="1049" spans="32:32" x14ac:dyDescent="0.3">
      <c r="AF1049" s="47">
        <f t="shared" si="16"/>
        <v>0</v>
      </c>
    </row>
    <row r="1050" spans="32:32" x14ac:dyDescent="0.3">
      <c r="AF1050" s="47">
        <f t="shared" si="16"/>
        <v>0</v>
      </c>
    </row>
    <row r="1051" spans="32:32" x14ac:dyDescent="0.3">
      <c r="AF1051" s="47">
        <f t="shared" si="16"/>
        <v>0</v>
      </c>
    </row>
    <row r="1052" spans="32:32" x14ac:dyDescent="0.3">
      <c r="AF1052" s="47">
        <f t="shared" si="16"/>
        <v>0</v>
      </c>
    </row>
    <row r="1053" spans="32:32" x14ac:dyDescent="0.3">
      <c r="AF1053" s="47">
        <f t="shared" si="16"/>
        <v>0</v>
      </c>
    </row>
    <row r="1054" spans="32:32" x14ac:dyDescent="0.3">
      <c r="AF1054" s="47">
        <f t="shared" si="16"/>
        <v>0</v>
      </c>
    </row>
    <row r="1055" spans="32:32" x14ac:dyDescent="0.3">
      <c r="AF1055" s="47">
        <f t="shared" si="16"/>
        <v>0</v>
      </c>
    </row>
    <row r="1056" spans="32:32" x14ac:dyDescent="0.3">
      <c r="AF1056" s="47">
        <f t="shared" si="16"/>
        <v>0</v>
      </c>
    </row>
    <row r="1057" spans="32:32" x14ac:dyDescent="0.3">
      <c r="AF1057" s="47">
        <f t="shared" si="16"/>
        <v>0</v>
      </c>
    </row>
    <row r="1058" spans="32:32" x14ac:dyDescent="0.3">
      <c r="AF1058" s="47">
        <f t="shared" si="16"/>
        <v>0</v>
      </c>
    </row>
    <row r="1059" spans="32:32" x14ac:dyDescent="0.3">
      <c r="AF1059" s="47">
        <f t="shared" si="16"/>
        <v>0</v>
      </c>
    </row>
    <row r="1060" spans="32:32" x14ac:dyDescent="0.3">
      <c r="AF1060" s="47">
        <f t="shared" si="16"/>
        <v>0</v>
      </c>
    </row>
    <row r="1061" spans="32:32" x14ac:dyDescent="0.3">
      <c r="AF1061" s="47">
        <f t="shared" si="16"/>
        <v>0</v>
      </c>
    </row>
    <row r="1062" spans="32:32" x14ac:dyDescent="0.3">
      <c r="AF1062" s="47">
        <f t="shared" si="16"/>
        <v>0</v>
      </c>
    </row>
    <row r="1063" spans="32:32" x14ac:dyDescent="0.3">
      <c r="AF1063" s="47">
        <f t="shared" si="16"/>
        <v>0</v>
      </c>
    </row>
    <row r="1064" spans="32:32" x14ac:dyDescent="0.3">
      <c r="AF1064" s="47">
        <f t="shared" si="16"/>
        <v>0</v>
      </c>
    </row>
    <row r="1065" spans="32:32" x14ac:dyDescent="0.3">
      <c r="AF1065" s="47">
        <f t="shared" si="16"/>
        <v>0</v>
      </c>
    </row>
    <row r="1066" spans="32:32" x14ac:dyDescent="0.3">
      <c r="AF1066" s="47">
        <f t="shared" si="16"/>
        <v>0</v>
      </c>
    </row>
    <row r="1067" spans="32:32" x14ac:dyDescent="0.3">
      <c r="AF1067" s="47">
        <f t="shared" si="16"/>
        <v>0</v>
      </c>
    </row>
    <row r="1068" spans="32:32" x14ac:dyDescent="0.3">
      <c r="AF1068" s="47">
        <f t="shared" si="16"/>
        <v>0</v>
      </c>
    </row>
    <row r="1069" spans="32:32" x14ac:dyDescent="0.3">
      <c r="AF1069" s="47">
        <f t="shared" si="16"/>
        <v>0</v>
      </c>
    </row>
    <row r="1070" spans="32:32" x14ac:dyDescent="0.3">
      <c r="AF1070" s="47">
        <f t="shared" si="16"/>
        <v>0</v>
      </c>
    </row>
    <row r="1071" spans="32:32" x14ac:dyDescent="0.3">
      <c r="AF1071" s="47">
        <f t="shared" si="16"/>
        <v>0</v>
      </c>
    </row>
    <row r="1072" spans="32:32" x14ac:dyDescent="0.3">
      <c r="AF1072" s="47">
        <f t="shared" si="16"/>
        <v>0</v>
      </c>
    </row>
    <row r="1073" spans="32:32" x14ac:dyDescent="0.3">
      <c r="AF1073" s="47">
        <f t="shared" si="16"/>
        <v>0</v>
      </c>
    </row>
    <row r="1074" spans="32:32" x14ac:dyDescent="0.3">
      <c r="AF1074" s="47">
        <f t="shared" si="16"/>
        <v>0</v>
      </c>
    </row>
    <row r="1075" spans="32:32" x14ac:dyDescent="0.3">
      <c r="AF1075" s="47">
        <f t="shared" si="16"/>
        <v>0</v>
      </c>
    </row>
    <row r="1076" spans="32:32" x14ac:dyDescent="0.3">
      <c r="AF1076" s="47">
        <f t="shared" si="16"/>
        <v>0</v>
      </c>
    </row>
    <row r="1077" spans="32:32" x14ac:dyDescent="0.3">
      <c r="AF1077" s="47">
        <f t="shared" si="16"/>
        <v>0</v>
      </c>
    </row>
    <row r="1078" spans="32:32" x14ac:dyDescent="0.3">
      <c r="AF1078" s="47">
        <f t="shared" si="16"/>
        <v>0</v>
      </c>
    </row>
    <row r="1079" spans="32:32" x14ac:dyDescent="0.3">
      <c r="AF1079" s="47">
        <f t="shared" si="16"/>
        <v>0</v>
      </c>
    </row>
    <row r="1080" spans="32:32" x14ac:dyDescent="0.3">
      <c r="AF1080" s="47">
        <f t="shared" si="16"/>
        <v>0</v>
      </c>
    </row>
    <row r="1081" spans="32:32" x14ac:dyDescent="0.3">
      <c r="AF1081" s="47">
        <f t="shared" si="16"/>
        <v>0</v>
      </c>
    </row>
    <row r="1082" spans="32:32" x14ac:dyDescent="0.3">
      <c r="AF1082" s="47">
        <f t="shared" si="16"/>
        <v>0</v>
      </c>
    </row>
    <row r="1083" spans="32:32" x14ac:dyDescent="0.3">
      <c r="AF1083" s="47">
        <f t="shared" si="16"/>
        <v>0</v>
      </c>
    </row>
    <row r="1084" spans="32:32" x14ac:dyDescent="0.3">
      <c r="AF1084" s="47">
        <f t="shared" si="16"/>
        <v>0</v>
      </c>
    </row>
    <row r="1085" spans="32:32" x14ac:dyDescent="0.3">
      <c r="AF1085" s="47">
        <f t="shared" si="16"/>
        <v>0</v>
      </c>
    </row>
    <row r="1086" spans="32:32" x14ac:dyDescent="0.3">
      <c r="AF1086" s="47">
        <f t="shared" si="16"/>
        <v>0</v>
      </c>
    </row>
    <row r="1087" spans="32:32" x14ac:dyDescent="0.3">
      <c r="AF1087" s="47">
        <f t="shared" si="16"/>
        <v>0</v>
      </c>
    </row>
    <row r="1088" spans="32:32" x14ac:dyDescent="0.3">
      <c r="AF1088" s="47">
        <f t="shared" si="16"/>
        <v>0</v>
      </c>
    </row>
    <row r="1089" spans="32:32" x14ac:dyDescent="0.3">
      <c r="AF1089" s="47">
        <f t="shared" si="16"/>
        <v>0</v>
      </c>
    </row>
    <row r="1090" spans="32:32" x14ac:dyDescent="0.3">
      <c r="AF1090" s="47">
        <f t="shared" si="16"/>
        <v>0</v>
      </c>
    </row>
    <row r="1091" spans="32:32" x14ac:dyDescent="0.3">
      <c r="AF1091" s="47">
        <f t="shared" ref="AF1091:AF1154" si="17">IFERROR(AC1091-Y1091,"")</f>
        <v>0</v>
      </c>
    </row>
    <row r="1092" spans="32:32" x14ac:dyDescent="0.3">
      <c r="AF1092" s="47">
        <f t="shared" si="17"/>
        <v>0</v>
      </c>
    </row>
    <row r="1093" spans="32:32" x14ac:dyDescent="0.3">
      <c r="AF1093" s="47">
        <f t="shared" si="17"/>
        <v>0</v>
      </c>
    </row>
    <row r="1094" spans="32:32" x14ac:dyDescent="0.3">
      <c r="AF1094" s="47">
        <f t="shared" si="17"/>
        <v>0</v>
      </c>
    </row>
    <row r="1095" spans="32:32" x14ac:dyDescent="0.3">
      <c r="AF1095" s="47">
        <f t="shared" si="17"/>
        <v>0</v>
      </c>
    </row>
    <row r="1096" spans="32:32" x14ac:dyDescent="0.3">
      <c r="AF1096" s="47">
        <f t="shared" si="17"/>
        <v>0</v>
      </c>
    </row>
    <row r="1097" spans="32:32" x14ac:dyDescent="0.3">
      <c r="AF1097" s="47">
        <f t="shared" si="17"/>
        <v>0</v>
      </c>
    </row>
    <row r="1098" spans="32:32" x14ac:dyDescent="0.3">
      <c r="AF1098" s="47">
        <f t="shared" si="17"/>
        <v>0</v>
      </c>
    </row>
    <row r="1099" spans="32:32" x14ac:dyDescent="0.3">
      <c r="AF1099" s="47">
        <f t="shared" si="17"/>
        <v>0</v>
      </c>
    </row>
    <row r="1100" spans="32:32" x14ac:dyDescent="0.3">
      <c r="AF1100" s="47">
        <f t="shared" si="17"/>
        <v>0</v>
      </c>
    </row>
    <row r="1101" spans="32:32" x14ac:dyDescent="0.3">
      <c r="AF1101" s="47">
        <f t="shared" si="17"/>
        <v>0</v>
      </c>
    </row>
    <row r="1102" spans="32:32" x14ac:dyDescent="0.3">
      <c r="AF1102" s="47">
        <f t="shared" si="17"/>
        <v>0</v>
      </c>
    </row>
    <row r="1103" spans="32:32" x14ac:dyDescent="0.3">
      <c r="AF1103" s="47">
        <f t="shared" si="17"/>
        <v>0</v>
      </c>
    </row>
    <row r="1104" spans="32:32" x14ac:dyDescent="0.3">
      <c r="AF1104" s="47">
        <f t="shared" si="17"/>
        <v>0</v>
      </c>
    </row>
    <row r="1105" spans="32:32" x14ac:dyDescent="0.3">
      <c r="AF1105" s="47">
        <f t="shared" si="17"/>
        <v>0</v>
      </c>
    </row>
    <row r="1106" spans="32:32" x14ac:dyDescent="0.3">
      <c r="AF1106" s="47">
        <f t="shared" si="17"/>
        <v>0</v>
      </c>
    </row>
    <row r="1107" spans="32:32" x14ac:dyDescent="0.3">
      <c r="AF1107" s="47">
        <f t="shared" si="17"/>
        <v>0</v>
      </c>
    </row>
    <row r="1108" spans="32:32" x14ac:dyDescent="0.3">
      <c r="AF1108" s="47">
        <f t="shared" si="17"/>
        <v>0</v>
      </c>
    </row>
    <row r="1109" spans="32:32" x14ac:dyDescent="0.3">
      <c r="AF1109" s="47">
        <f t="shared" si="17"/>
        <v>0</v>
      </c>
    </row>
    <row r="1110" spans="32:32" x14ac:dyDescent="0.3">
      <c r="AF1110" s="47">
        <f t="shared" si="17"/>
        <v>0</v>
      </c>
    </row>
    <row r="1111" spans="32:32" x14ac:dyDescent="0.3">
      <c r="AF1111" s="47">
        <f t="shared" si="17"/>
        <v>0</v>
      </c>
    </row>
    <row r="1112" spans="32:32" x14ac:dyDescent="0.3">
      <c r="AF1112" s="47">
        <f t="shared" si="17"/>
        <v>0</v>
      </c>
    </row>
    <row r="1113" spans="32:32" x14ac:dyDescent="0.3">
      <c r="AF1113" s="47">
        <f t="shared" si="17"/>
        <v>0</v>
      </c>
    </row>
    <row r="1114" spans="32:32" x14ac:dyDescent="0.3">
      <c r="AF1114" s="47">
        <f t="shared" si="17"/>
        <v>0</v>
      </c>
    </row>
    <row r="1115" spans="32:32" x14ac:dyDescent="0.3">
      <c r="AF1115" s="47">
        <f t="shared" si="17"/>
        <v>0</v>
      </c>
    </row>
    <row r="1116" spans="32:32" x14ac:dyDescent="0.3">
      <c r="AF1116" s="47">
        <f t="shared" si="17"/>
        <v>0</v>
      </c>
    </row>
    <row r="1117" spans="32:32" x14ac:dyDescent="0.3">
      <c r="AF1117" s="47">
        <f t="shared" si="17"/>
        <v>0</v>
      </c>
    </row>
    <row r="1118" spans="32:32" x14ac:dyDescent="0.3">
      <c r="AF1118" s="47">
        <f t="shared" si="17"/>
        <v>0</v>
      </c>
    </row>
    <row r="1119" spans="32:32" x14ac:dyDescent="0.3">
      <c r="AF1119" s="47">
        <f t="shared" si="17"/>
        <v>0</v>
      </c>
    </row>
    <row r="1120" spans="32:32" x14ac:dyDescent="0.3">
      <c r="AF1120" s="47">
        <f t="shared" si="17"/>
        <v>0</v>
      </c>
    </row>
    <row r="1121" spans="32:32" x14ac:dyDescent="0.3">
      <c r="AF1121" s="47">
        <f t="shared" si="17"/>
        <v>0</v>
      </c>
    </row>
    <row r="1122" spans="32:32" x14ac:dyDescent="0.3">
      <c r="AF1122" s="47">
        <f t="shared" si="17"/>
        <v>0</v>
      </c>
    </row>
    <row r="1123" spans="32:32" x14ac:dyDescent="0.3">
      <c r="AF1123" s="47">
        <f t="shared" si="17"/>
        <v>0</v>
      </c>
    </row>
    <row r="1124" spans="32:32" x14ac:dyDescent="0.3">
      <c r="AF1124" s="47">
        <f t="shared" si="17"/>
        <v>0</v>
      </c>
    </row>
    <row r="1125" spans="32:32" x14ac:dyDescent="0.3">
      <c r="AF1125" s="47">
        <f t="shared" si="17"/>
        <v>0</v>
      </c>
    </row>
    <row r="1126" spans="32:32" x14ac:dyDescent="0.3">
      <c r="AF1126" s="47">
        <f t="shared" si="17"/>
        <v>0</v>
      </c>
    </row>
    <row r="1127" spans="32:32" x14ac:dyDescent="0.3">
      <c r="AF1127" s="47">
        <f t="shared" si="17"/>
        <v>0</v>
      </c>
    </row>
    <row r="1128" spans="32:32" x14ac:dyDescent="0.3">
      <c r="AF1128" s="47">
        <f t="shared" si="17"/>
        <v>0</v>
      </c>
    </row>
    <row r="1129" spans="32:32" x14ac:dyDescent="0.3">
      <c r="AF1129" s="47">
        <f t="shared" si="17"/>
        <v>0</v>
      </c>
    </row>
    <row r="1130" spans="32:32" x14ac:dyDescent="0.3">
      <c r="AF1130" s="47">
        <f t="shared" si="17"/>
        <v>0</v>
      </c>
    </row>
    <row r="1131" spans="32:32" x14ac:dyDescent="0.3">
      <c r="AF1131" s="47">
        <f t="shared" si="17"/>
        <v>0</v>
      </c>
    </row>
    <row r="1132" spans="32:32" x14ac:dyDescent="0.3">
      <c r="AF1132" s="47">
        <f t="shared" si="17"/>
        <v>0</v>
      </c>
    </row>
    <row r="1133" spans="32:32" x14ac:dyDescent="0.3">
      <c r="AF1133" s="47">
        <f t="shared" si="17"/>
        <v>0</v>
      </c>
    </row>
    <row r="1134" spans="32:32" x14ac:dyDescent="0.3">
      <c r="AF1134" s="47">
        <f t="shared" si="17"/>
        <v>0</v>
      </c>
    </row>
    <row r="1135" spans="32:32" x14ac:dyDescent="0.3">
      <c r="AF1135" s="47">
        <f t="shared" si="17"/>
        <v>0</v>
      </c>
    </row>
    <row r="1136" spans="32:32" x14ac:dyDescent="0.3">
      <c r="AF1136" s="47">
        <f t="shared" si="17"/>
        <v>0</v>
      </c>
    </row>
    <row r="1137" spans="32:32" x14ac:dyDescent="0.3">
      <c r="AF1137" s="47">
        <f t="shared" si="17"/>
        <v>0</v>
      </c>
    </row>
    <row r="1138" spans="32:32" x14ac:dyDescent="0.3">
      <c r="AF1138" s="47">
        <f t="shared" si="17"/>
        <v>0</v>
      </c>
    </row>
    <row r="1139" spans="32:32" x14ac:dyDescent="0.3">
      <c r="AF1139" s="47">
        <f t="shared" si="17"/>
        <v>0</v>
      </c>
    </row>
    <row r="1140" spans="32:32" x14ac:dyDescent="0.3">
      <c r="AF1140" s="47">
        <f t="shared" si="17"/>
        <v>0</v>
      </c>
    </row>
    <row r="1141" spans="32:32" x14ac:dyDescent="0.3">
      <c r="AF1141" s="47">
        <f t="shared" si="17"/>
        <v>0</v>
      </c>
    </row>
    <row r="1142" spans="32:32" x14ac:dyDescent="0.3">
      <c r="AF1142" s="47">
        <f t="shared" si="17"/>
        <v>0</v>
      </c>
    </row>
    <row r="1143" spans="32:32" x14ac:dyDescent="0.3">
      <c r="AF1143" s="47">
        <f t="shared" si="17"/>
        <v>0</v>
      </c>
    </row>
    <row r="1144" spans="32:32" x14ac:dyDescent="0.3">
      <c r="AF1144" s="47">
        <f t="shared" si="17"/>
        <v>0</v>
      </c>
    </row>
    <row r="1145" spans="32:32" x14ac:dyDescent="0.3">
      <c r="AF1145" s="47">
        <f t="shared" si="17"/>
        <v>0</v>
      </c>
    </row>
    <row r="1146" spans="32:32" x14ac:dyDescent="0.3">
      <c r="AF1146" s="47">
        <f t="shared" si="17"/>
        <v>0</v>
      </c>
    </row>
    <row r="1147" spans="32:32" x14ac:dyDescent="0.3">
      <c r="AF1147" s="47">
        <f t="shared" si="17"/>
        <v>0</v>
      </c>
    </row>
    <row r="1148" spans="32:32" x14ac:dyDescent="0.3">
      <c r="AF1148" s="47">
        <f t="shared" si="17"/>
        <v>0</v>
      </c>
    </row>
    <row r="1149" spans="32:32" x14ac:dyDescent="0.3">
      <c r="AF1149" s="47">
        <f t="shared" si="17"/>
        <v>0</v>
      </c>
    </row>
    <row r="1150" spans="32:32" x14ac:dyDescent="0.3">
      <c r="AF1150" s="47">
        <f t="shared" si="17"/>
        <v>0</v>
      </c>
    </row>
    <row r="1151" spans="32:32" x14ac:dyDescent="0.3">
      <c r="AF1151" s="47">
        <f t="shared" si="17"/>
        <v>0</v>
      </c>
    </row>
    <row r="1152" spans="32:32" x14ac:dyDescent="0.3">
      <c r="AF1152" s="47">
        <f t="shared" si="17"/>
        <v>0</v>
      </c>
    </row>
    <row r="1153" spans="32:32" x14ac:dyDescent="0.3">
      <c r="AF1153" s="47">
        <f t="shared" si="17"/>
        <v>0</v>
      </c>
    </row>
    <row r="1154" spans="32:32" x14ac:dyDescent="0.3">
      <c r="AF1154" s="47">
        <f t="shared" si="17"/>
        <v>0</v>
      </c>
    </row>
    <row r="1155" spans="32:32" x14ac:dyDescent="0.3">
      <c r="AF1155" s="47">
        <f t="shared" ref="AF1155:AF1218" si="18">IFERROR(AC1155-Y1155,"")</f>
        <v>0</v>
      </c>
    </row>
    <row r="1156" spans="32:32" x14ac:dyDescent="0.3">
      <c r="AF1156" s="47">
        <f t="shared" si="18"/>
        <v>0</v>
      </c>
    </row>
    <row r="1157" spans="32:32" x14ac:dyDescent="0.3">
      <c r="AF1157" s="47">
        <f t="shared" si="18"/>
        <v>0</v>
      </c>
    </row>
    <row r="1158" spans="32:32" x14ac:dyDescent="0.3">
      <c r="AF1158" s="47">
        <f t="shared" si="18"/>
        <v>0</v>
      </c>
    </row>
    <row r="1159" spans="32:32" x14ac:dyDescent="0.3">
      <c r="AF1159" s="47">
        <f t="shared" si="18"/>
        <v>0</v>
      </c>
    </row>
    <row r="1160" spans="32:32" x14ac:dyDescent="0.3">
      <c r="AF1160" s="47">
        <f t="shared" si="18"/>
        <v>0</v>
      </c>
    </row>
    <row r="1161" spans="32:32" x14ac:dyDescent="0.3">
      <c r="AF1161" s="47">
        <f t="shared" si="18"/>
        <v>0</v>
      </c>
    </row>
    <row r="1162" spans="32:32" x14ac:dyDescent="0.3">
      <c r="AF1162" s="47">
        <f t="shared" si="18"/>
        <v>0</v>
      </c>
    </row>
    <row r="1163" spans="32:32" x14ac:dyDescent="0.3">
      <c r="AF1163" s="47">
        <f t="shared" si="18"/>
        <v>0</v>
      </c>
    </row>
    <row r="1164" spans="32:32" x14ac:dyDescent="0.3">
      <c r="AF1164" s="47">
        <f t="shared" si="18"/>
        <v>0</v>
      </c>
    </row>
    <row r="1165" spans="32:32" x14ac:dyDescent="0.3">
      <c r="AF1165" s="47">
        <f t="shared" si="18"/>
        <v>0</v>
      </c>
    </row>
    <row r="1166" spans="32:32" x14ac:dyDescent="0.3">
      <c r="AF1166" s="47">
        <f t="shared" si="18"/>
        <v>0</v>
      </c>
    </row>
    <row r="1167" spans="32:32" x14ac:dyDescent="0.3">
      <c r="AF1167" s="47">
        <f t="shared" si="18"/>
        <v>0</v>
      </c>
    </row>
    <row r="1168" spans="32:32" x14ac:dyDescent="0.3">
      <c r="AF1168" s="47">
        <f t="shared" si="18"/>
        <v>0</v>
      </c>
    </row>
    <row r="1169" spans="32:32" x14ac:dyDescent="0.3">
      <c r="AF1169" s="47">
        <f t="shared" si="18"/>
        <v>0</v>
      </c>
    </row>
    <row r="1170" spans="32:32" x14ac:dyDescent="0.3">
      <c r="AF1170" s="47">
        <f t="shared" si="18"/>
        <v>0</v>
      </c>
    </row>
    <row r="1171" spans="32:32" x14ac:dyDescent="0.3">
      <c r="AF1171" s="47">
        <f t="shared" si="18"/>
        <v>0</v>
      </c>
    </row>
    <row r="1172" spans="32:32" x14ac:dyDescent="0.3">
      <c r="AF1172" s="47">
        <f t="shared" si="18"/>
        <v>0</v>
      </c>
    </row>
    <row r="1173" spans="32:32" x14ac:dyDescent="0.3">
      <c r="AF1173" s="47">
        <f t="shared" si="18"/>
        <v>0</v>
      </c>
    </row>
    <row r="1174" spans="32:32" x14ac:dyDescent="0.3">
      <c r="AF1174" s="47">
        <f t="shared" si="18"/>
        <v>0</v>
      </c>
    </row>
    <row r="1175" spans="32:32" x14ac:dyDescent="0.3">
      <c r="AF1175" s="47">
        <f t="shared" si="18"/>
        <v>0</v>
      </c>
    </row>
    <row r="1176" spans="32:32" x14ac:dyDescent="0.3">
      <c r="AF1176" s="47">
        <f t="shared" si="18"/>
        <v>0</v>
      </c>
    </row>
    <row r="1177" spans="32:32" x14ac:dyDescent="0.3">
      <c r="AF1177" s="47">
        <f t="shared" si="18"/>
        <v>0</v>
      </c>
    </row>
    <row r="1178" spans="32:32" x14ac:dyDescent="0.3">
      <c r="AF1178" s="47">
        <f t="shared" si="18"/>
        <v>0</v>
      </c>
    </row>
    <row r="1179" spans="32:32" x14ac:dyDescent="0.3">
      <c r="AF1179" s="47">
        <f t="shared" si="18"/>
        <v>0</v>
      </c>
    </row>
    <row r="1180" spans="32:32" x14ac:dyDescent="0.3">
      <c r="AF1180" s="47">
        <f t="shared" si="18"/>
        <v>0</v>
      </c>
    </row>
    <row r="1181" spans="32:32" x14ac:dyDescent="0.3">
      <c r="AF1181" s="47">
        <f t="shared" si="18"/>
        <v>0</v>
      </c>
    </row>
    <row r="1182" spans="32:32" x14ac:dyDescent="0.3">
      <c r="AF1182" s="47">
        <f t="shared" si="18"/>
        <v>0</v>
      </c>
    </row>
    <row r="1183" spans="32:32" x14ac:dyDescent="0.3">
      <c r="AF1183" s="47">
        <f t="shared" si="18"/>
        <v>0</v>
      </c>
    </row>
    <row r="1184" spans="32:32" x14ac:dyDescent="0.3">
      <c r="AF1184" s="47">
        <f t="shared" si="18"/>
        <v>0</v>
      </c>
    </row>
    <row r="1185" spans="32:32" x14ac:dyDescent="0.3">
      <c r="AF1185" s="47">
        <f t="shared" si="18"/>
        <v>0</v>
      </c>
    </row>
    <row r="1186" spans="32:32" x14ac:dyDescent="0.3">
      <c r="AF1186" s="47">
        <f t="shared" si="18"/>
        <v>0</v>
      </c>
    </row>
    <row r="1187" spans="32:32" x14ac:dyDescent="0.3">
      <c r="AF1187" s="47">
        <f t="shared" si="18"/>
        <v>0</v>
      </c>
    </row>
    <row r="1188" spans="32:32" x14ac:dyDescent="0.3">
      <c r="AF1188" s="47">
        <f t="shared" si="18"/>
        <v>0</v>
      </c>
    </row>
    <row r="1189" spans="32:32" x14ac:dyDescent="0.3">
      <c r="AF1189" s="47">
        <f t="shared" si="18"/>
        <v>0</v>
      </c>
    </row>
    <row r="1190" spans="32:32" x14ac:dyDescent="0.3">
      <c r="AF1190" s="47">
        <f t="shared" si="18"/>
        <v>0</v>
      </c>
    </row>
    <row r="1191" spans="32:32" x14ac:dyDescent="0.3">
      <c r="AF1191" s="47">
        <f t="shared" si="18"/>
        <v>0</v>
      </c>
    </row>
    <row r="1192" spans="32:32" x14ac:dyDescent="0.3">
      <c r="AF1192" s="47">
        <f t="shared" si="18"/>
        <v>0</v>
      </c>
    </row>
    <row r="1193" spans="32:32" x14ac:dyDescent="0.3">
      <c r="AF1193" s="47">
        <f t="shared" si="18"/>
        <v>0</v>
      </c>
    </row>
    <row r="1194" spans="32:32" x14ac:dyDescent="0.3">
      <c r="AF1194" s="47">
        <f t="shared" si="18"/>
        <v>0</v>
      </c>
    </row>
    <row r="1195" spans="32:32" x14ac:dyDescent="0.3">
      <c r="AF1195" s="47">
        <f t="shared" si="18"/>
        <v>0</v>
      </c>
    </row>
    <row r="1196" spans="32:32" x14ac:dyDescent="0.3">
      <c r="AF1196" s="47">
        <f t="shared" si="18"/>
        <v>0</v>
      </c>
    </row>
    <row r="1197" spans="32:32" x14ac:dyDescent="0.3">
      <c r="AF1197" s="47">
        <f t="shared" si="18"/>
        <v>0</v>
      </c>
    </row>
    <row r="1198" spans="32:32" x14ac:dyDescent="0.3">
      <c r="AF1198" s="47">
        <f t="shared" si="18"/>
        <v>0</v>
      </c>
    </row>
    <row r="1199" spans="32:32" x14ac:dyDescent="0.3">
      <c r="AF1199" s="47">
        <f t="shared" si="18"/>
        <v>0</v>
      </c>
    </row>
    <row r="1200" spans="32:32" x14ac:dyDescent="0.3">
      <c r="AF1200" s="47">
        <f t="shared" si="18"/>
        <v>0</v>
      </c>
    </row>
    <row r="1201" spans="32:32" x14ac:dyDescent="0.3">
      <c r="AF1201" s="47">
        <f t="shared" si="18"/>
        <v>0</v>
      </c>
    </row>
    <row r="1202" spans="32:32" x14ac:dyDescent="0.3">
      <c r="AF1202" s="47">
        <f t="shared" si="18"/>
        <v>0</v>
      </c>
    </row>
    <row r="1203" spans="32:32" x14ac:dyDescent="0.3">
      <c r="AF1203" s="47">
        <f t="shared" si="18"/>
        <v>0</v>
      </c>
    </row>
    <row r="1204" spans="32:32" x14ac:dyDescent="0.3">
      <c r="AF1204" s="47">
        <f t="shared" si="18"/>
        <v>0</v>
      </c>
    </row>
    <row r="1205" spans="32:32" x14ac:dyDescent="0.3">
      <c r="AF1205" s="47">
        <f t="shared" si="18"/>
        <v>0</v>
      </c>
    </row>
    <row r="1206" spans="32:32" x14ac:dyDescent="0.3">
      <c r="AF1206" s="47">
        <f t="shared" si="18"/>
        <v>0</v>
      </c>
    </row>
    <row r="1207" spans="32:32" x14ac:dyDescent="0.3">
      <c r="AF1207" s="47">
        <f t="shared" si="18"/>
        <v>0</v>
      </c>
    </row>
    <row r="1208" spans="32:32" x14ac:dyDescent="0.3">
      <c r="AF1208" s="47">
        <f t="shared" si="18"/>
        <v>0</v>
      </c>
    </row>
    <row r="1209" spans="32:32" x14ac:dyDescent="0.3">
      <c r="AF1209" s="47">
        <f t="shared" si="18"/>
        <v>0</v>
      </c>
    </row>
    <row r="1210" spans="32:32" x14ac:dyDescent="0.3">
      <c r="AF1210" s="47">
        <f t="shared" si="18"/>
        <v>0</v>
      </c>
    </row>
    <row r="1211" spans="32:32" x14ac:dyDescent="0.3">
      <c r="AF1211" s="47">
        <f t="shared" si="18"/>
        <v>0</v>
      </c>
    </row>
    <row r="1212" spans="32:32" x14ac:dyDescent="0.3">
      <c r="AF1212" s="47">
        <f t="shared" si="18"/>
        <v>0</v>
      </c>
    </row>
    <row r="1213" spans="32:32" x14ac:dyDescent="0.3">
      <c r="AF1213" s="47">
        <f t="shared" si="18"/>
        <v>0</v>
      </c>
    </row>
    <row r="1214" spans="32:32" x14ac:dyDescent="0.3">
      <c r="AF1214" s="47">
        <f t="shared" si="18"/>
        <v>0</v>
      </c>
    </row>
    <row r="1215" spans="32:32" x14ac:dyDescent="0.3">
      <c r="AF1215" s="47">
        <f t="shared" si="18"/>
        <v>0</v>
      </c>
    </row>
    <row r="1216" spans="32:32" x14ac:dyDescent="0.3">
      <c r="AF1216" s="47">
        <f t="shared" si="18"/>
        <v>0</v>
      </c>
    </row>
    <row r="1217" spans="32:32" x14ac:dyDescent="0.3">
      <c r="AF1217" s="47">
        <f t="shared" si="18"/>
        <v>0</v>
      </c>
    </row>
    <row r="1218" spans="32:32" x14ac:dyDescent="0.3">
      <c r="AF1218" s="47">
        <f t="shared" si="18"/>
        <v>0</v>
      </c>
    </row>
    <row r="1219" spans="32:32" x14ac:dyDescent="0.3">
      <c r="AF1219" s="47">
        <f t="shared" ref="AF1219:AF1282" si="19">IFERROR(AC1219-Y1219,"")</f>
        <v>0</v>
      </c>
    </row>
    <row r="1220" spans="32:32" x14ac:dyDescent="0.3">
      <c r="AF1220" s="47">
        <f t="shared" si="19"/>
        <v>0</v>
      </c>
    </row>
    <row r="1221" spans="32:32" x14ac:dyDescent="0.3">
      <c r="AF1221" s="47">
        <f t="shared" si="19"/>
        <v>0</v>
      </c>
    </row>
    <row r="1222" spans="32:32" x14ac:dyDescent="0.3">
      <c r="AF1222" s="47">
        <f t="shared" si="19"/>
        <v>0</v>
      </c>
    </row>
    <row r="1223" spans="32:32" x14ac:dyDescent="0.3">
      <c r="AF1223" s="47">
        <f t="shared" si="19"/>
        <v>0</v>
      </c>
    </row>
    <row r="1224" spans="32:32" x14ac:dyDescent="0.3">
      <c r="AF1224" s="47">
        <f t="shared" si="19"/>
        <v>0</v>
      </c>
    </row>
    <row r="1225" spans="32:32" x14ac:dyDescent="0.3">
      <c r="AF1225" s="47">
        <f t="shared" si="19"/>
        <v>0</v>
      </c>
    </row>
    <row r="1226" spans="32:32" x14ac:dyDescent="0.3">
      <c r="AF1226" s="47">
        <f t="shared" si="19"/>
        <v>0</v>
      </c>
    </row>
    <row r="1227" spans="32:32" x14ac:dyDescent="0.3">
      <c r="AF1227" s="47">
        <f t="shared" si="19"/>
        <v>0</v>
      </c>
    </row>
    <row r="1228" spans="32:32" x14ac:dyDescent="0.3">
      <c r="AF1228" s="47">
        <f t="shared" si="19"/>
        <v>0</v>
      </c>
    </row>
    <row r="1229" spans="32:32" x14ac:dyDescent="0.3">
      <c r="AF1229" s="47">
        <f t="shared" si="19"/>
        <v>0</v>
      </c>
    </row>
    <row r="1230" spans="32:32" x14ac:dyDescent="0.3">
      <c r="AF1230" s="47">
        <f t="shared" si="19"/>
        <v>0</v>
      </c>
    </row>
    <row r="1231" spans="32:32" x14ac:dyDescent="0.3">
      <c r="AF1231" s="47">
        <f t="shared" si="19"/>
        <v>0</v>
      </c>
    </row>
    <row r="1232" spans="32:32" x14ac:dyDescent="0.3">
      <c r="AF1232" s="47">
        <f t="shared" si="19"/>
        <v>0</v>
      </c>
    </row>
    <row r="1233" spans="32:32" x14ac:dyDescent="0.3">
      <c r="AF1233" s="47">
        <f t="shared" si="19"/>
        <v>0</v>
      </c>
    </row>
    <row r="1234" spans="32:32" x14ac:dyDescent="0.3">
      <c r="AF1234" s="47">
        <f t="shared" si="19"/>
        <v>0</v>
      </c>
    </row>
    <row r="1235" spans="32:32" x14ac:dyDescent="0.3">
      <c r="AF1235" s="47">
        <f t="shared" si="19"/>
        <v>0</v>
      </c>
    </row>
    <row r="1236" spans="32:32" x14ac:dyDescent="0.3">
      <c r="AF1236" s="47">
        <f t="shared" si="19"/>
        <v>0</v>
      </c>
    </row>
    <row r="1237" spans="32:32" x14ac:dyDescent="0.3">
      <c r="AF1237" s="47">
        <f t="shared" si="19"/>
        <v>0</v>
      </c>
    </row>
    <row r="1238" spans="32:32" x14ac:dyDescent="0.3">
      <c r="AF1238" s="47">
        <f t="shared" si="19"/>
        <v>0</v>
      </c>
    </row>
    <row r="1239" spans="32:32" x14ac:dyDescent="0.3">
      <c r="AF1239" s="47">
        <f t="shared" si="19"/>
        <v>0</v>
      </c>
    </row>
    <row r="1240" spans="32:32" x14ac:dyDescent="0.3">
      <c r="AF1240" s="47">
        <f t="shared" si="19"/>
        <v>0</v>
      </c>
    </row>
    <row r="1241" spans="32:32" x14ac:dyDescent="0.3">
      <c r="AF1241" s="47">
        <f t="shared" si="19"/>
        <v>0</v>
      </c>
    </row>
    <row r="1242" spans="32:32" x14ac:dyDescent="0.3">
      <c r="AF1242" s="47">
        <f t="shared" si="19"/>
        <v>0</v>
      </c>
    </row>
    <row r="1243" spans="32:32" x14ac:dyDescent="0.3">
      <c r="AF1243" s="47">
        <f t="shared" si="19"/>
        <v>0</v>
      </c>
    </row>
    <row r="1244" spans="32:32" x14ac:dyDescent="0.3">
      <c r="AF1244" s="47">
        <f t="shared" si="19"/>
        <v>0</v>
      </c>
    </row>
    <row r="1245" spans="32:32" x14ac:dyDescent="0.3">
      <c r="AF1245" s="47">
        <f t="shared" si="19"/>
        <v>0</v>
      </c>
    </row>
    <row r="1246" spans="32:32" x14ac:dyDescent="0.3">
      <c r="AF1246" s="47">
        <f t="shared" si="19"/>
        <v>0</v>
      </c>
    </row>
    <row r="1247" spans="32:32" x14ac:dyDescent="0.3">
      <c r="AF1247" s="47">
        <f t="shared" si="19"/>
        <v>0</v>
      </c>
    </row>
    <row r="1248" spans="32:32" x14ac:dyDescent="0.3">
      <c r="AF1248" s="47">
        <f t="shared" si="19"/>
        <v>0</v>
      </c>
    </row>
    <row r="1249" spans="32:32" x14ac:dyDescent="0.3">
      <c r="AF1249" s="47">
        <f t="shared" si="19"/>
        <v>0</v>
      </c>
    </row>
    <row r="1250" spans="32:32" x14ac:dyDescent="0.3">
      <c r="AF1250" s="47">
        <f t="shared" si="19"/>
        <v>0</v>
      </c>
    </row>
    <row r="1251" spans="32:32" x14ac:dyDescent="0.3">
      <c r="AF1251" s="47">
        <f t="shared" si="19"/>
        <v>0</v>
      </c>
    </row>
    <row r="1252" spans="32:32" x14ac:dyDescent="0.3">
      <c r="AF1252" s="47">
        <f t="shared" si="19"/>
        <v>0</v>
      </c>
    </row>
    <row r="1253" spans="32:32" x14ac:dyDescent="0.3">
      <c r="AF1253" s="47">
        <f t="shared" si="19"/>
        <v>0</v>
      </c>
    </row>
    <row r="1254" spans="32:32" x14ac:dyDescent="0.3">
      <c r="AF1254" s="47">
        <f t="shared" si="19"/>
        <v>0</v>
      </c>
    </row>
    <row r="1255" spans="32:32" x14ac:dyDescent="0.3">
      <c r="AF1255" s="47">
        <f t="shared" si="19"/>
        <v>0</v>
      </c>
    </row>
    <row r="1256" spans="32:32" x14ac:dyDescent="0.3">
      <c r="AF1256" s="47">
        <f t="shared" si="19"/>
        <v>0</v>
      </c>
    </row>
    <row r="1257" spans="32:32" x14ac:dyDescent="0.3">
      <c r="AF1257" s="47">
        <f t="shared" si="19"/>
        <v>0</v>
      </c>
    </row>
    <row r="1258" spans="32:32" x14ac:dyDescent="0.3">
      <c r="AF1258" s="47">
        <f t="shared" si="19"/>
        <v>0</v>
      </c>
    </row>
    <row r="1259" spans="32:32" x14ac:dyDescent="0.3">
      <c r="AF1259" s="47">
        <f t="shared" si="19"/>
        <v>0</v>
      </c>
    </row>
    <row r="1260" spans="32:32" x14ac:dyDescent="0.3">
      <c r="AF1260" s="47">
        <f t="shared" si="19"/>
        <v>0</v>
      </c>
    </row>
    <row r="1261" spans="32:32" x14ac:dyDescent="0.3">
      <c r="AF1261" s="47">
        <f t="shared" si="19"/>
        <v>0</v>
      </c>
    </row>
    <row r="1262" spans="32:32" x14ac:dyDescent="0.3">
      <c r="AF1262" s="47">
        <f t="shared" si="19"/>
        <v>0</v>
      </c>
    </row>
    <row r="1263" spans="32:32" x14ac:dyDescent="0.3">
      <c r="AF1263" s="47">
        <f t="shared" si="19"/>
        <v>0</v>
      </c>
    </row>
    <row r="1264" spans="32:32" x14ac:dyDescent="0.3">
      <c r="AF1264" s="47">
        <f t="shared" si="19"/>
        <v>0</v>
      </c>
    </row>
    <row r="1265" spans="32:32" x14ac:dyDescent="0.3">
      <c r="AF1265" s="47">
        <f t="shared" si="19"/>
        <v>0</v>
      </c>
    </row>
    <row r="1266" spans="32:32" x14ac:dyDescent="0.3">
      <c r="AF1266" s="47">
        <f t="shared" si="19"/>
        <v>0</v>
      </c>
    </row>
    <row r="1267" spans="32:32" x14ac:dyDescent="0.3">
      <c r="AF1267" s="47">
        <f t="shared" si="19"/>
        <v>0</v>
      </c>
    </row>
    <row r="1268" spans="32:32" x14ac:dyDescent="0.3">
      <c r="AF1268" s="47">
        <f t="shared" si="19"/>
        <v>0</v>
      </c>
    </row>
    <row r="1269" spans="32:32" x14ac:dyDescent="0.3">
      <c r="AF1269" s="47">
        <f t="shared" si="19"/>
        <v>0</v>
      </c>
    </row>
    <row r="1270" spans="32:32" x14ac:dyDescent="0.3">
      <c r="AF1270" s="47">
        <f t="shared" si="19"/>
        <v>0</v>
      </c>
    </row>
    <row r="1271" spans="32:32" x14ac:dyDescent="0.3">
      <c r="AF1271" s="47">
        <f t="shared" si="19"/>
        <v>0</v>
      </c>
    </row>
    <row r="1272" spans="32:32" x14ac:dyDescent="0.3">
      <c r="AF1272" s="47">
        <f t="shared" si="19"/>
        <v>0</v>
      </c>
    </row>
    <row r="1273" spans="32:32" x14ac:dyDescent="0.3">
      <c r="AF1273" s="47">
        <f t="shared" si="19"/>
        <v>0</v>
      </c>
    </row>
    <row r="1274" spans="32:32" x14ac:dyDescent="0.3">
      <c r="AF1274" s="47">
        <f t="shared" si="19"/>
        <v>0</v>
      </c>
    </row>
    <row r="1275" spans="32:32" x14ac:dyDescent="0.3">
      <c r="AF1275" s="47">
        <f t="shared" si="19"/>
        <v>0</v>
      </c>
    </row>
    <row r="1276" spans="32:32" x14ac:dyDescent="0.3">
      <c r="AF1276" s="47">
        <f t="shared" si="19"/>
        <v>0</v>
      </c>
    </row>
    <row r="1277" spans="32:32" x14ac:dyDescent="0.3">
      <c r="AF1277" s="47">
        <f t="shared" si="19"/>
        <v>0</v>
      </c>
    </row>
    <row r="1278" spans="32:32" x14ac:dyDescent="0.3">
      <c r="AF1278" s="47">
        <f t="shared" si="19"/>
        <v>0</v>
      </c>
    </row>
    <row r="1279" spans="32:32" x14ac:dyDescent="0.3">
      <c r="AF1279" s="47">
        <f t="shared" si="19"/>
        <v>0</v>
      </c>
    </row>
    <row r="1280" spans="32:32" x14ac:dyDescent="0.3">
      <c r="AF1280" s="47">
        <f t="shared" si="19"/>
        <v>0</v>
      </c>
    </row>
    <row r="1281" spans="32:32" x14ac:dyDescent="0.3">
      <c r="AF1281" s="47">
        <f t="shared" si="19"/>
        <v>0</v>
      </c>
    </row>
    <row r="1282" spans="32:32" x14ac:dyDescent="0.3">
      <c r="AF1282" s="47">
        <f t="shared" si="19"/>
        <v>0</v>
      </c>
    </row>
    <row r="1283" spans="32:32" x14ac:dyDescent="0.3">
      <c r="AF1283" s="47">
        <f t="shared" ref="AF1283:AF1346" si="20">IFERROR(AC1283-Y1283,"")</f>
        <v>0</v>
      </c>
    </row>
    <row r="1284" spans="32:32" x14ac:dyDescent="0.3">
      <c r="AF1284" s="47">
        <f t="shared" si="20"/>
        <v>0</v>
      </c>
    </row>
    <row r="1285" spans="32:32" x14ac:dyDescent="0.3">
      <c r="AF1285" s="47">
        <f t="shared" si="20"/>
        <v>0</v>
      </c>
    </row>
    <row r="1286" spans="32:32" x14ac:dyDescent="0.3">
      <c r="AF1286" s="47">
        <f t="shared" si="20"/>
        <v>0</v>
      </c>
    </row>
    <row r="1287" spans="32:32" x14ac:dyDescent="0.3">
      <c r="AF1287" s="47">
        <f t="shared" si="20"/>
        <v>0</v>
      </c>
    </row>
    <row r="1288" spans="32:32" x14ac:dyDescent="0.3">
      <c r="AF1288" s="47">
        <f t="shared" si="20"/>
        <v>0</v>
      </c>
    </row>
    <row r="1289" spans="32:32" x14ac:dyDescent="0.3">
      <c r="AF1289" s="47">
        <f t="shared" si="20"/>
        <v>0</v>
      </c>
    </row>
    <row r="1290" spans="32:32" x14ac:dyDescent="0.3">
      <c r="AF1290" s="47">
        <f t="shared" si="20"/>
        <v>0</v>
      </c>
    </row>
    <row r="1291" spans="32:32" x14ac:dyDescent="0.3">
      <c r="AF1291" s="47">
        <f t="shared" si="20"/>
        <v>0</v>
      </c>
    </row>
    <row r="1292" spans="32:32" x14ac:dyDescent="0.3">
      <c r="AF1292" s="47">
        <f t="shared" si="20"/>
        <v>0</v>
      </c>
    </row>
    <row r="1293" spans="32:32" x14ac:dyDescent="0.3">
      <c r="AF1293" s="47">
        <f t="shared" si="20"/>
        <v>0</v>
      </c>
    </row>
    <row r="1294" spans="32:32" x14ac:dyDescent="0.3">
      <c r="AF1294" s="47">
        <f t="shared" si="20"/>
        <v>0</v>
      </c>
    </row>
    <row r="1295" spans="32:32" x14ac:dyDescent="0.3">
      <c r="AF1295" s="47">
        <f t="shared" si="20"/>
        <v>0</v>
      </c>
    </row>
    <row r="1296" spans="32:32" x14ac:dyDescent="0.3">
      <c r="AF1296" s="47">
        <f t="shared" si="20"/>
        <v>0</v>
      </c>
    </row>
    <row r="1297" spans="32:32" x14ac:dyDescent="0.3">
      <c r="AF1297" s="47">
        <f t="shared" si="20"/>
        <v>0</v>
      </c>
    </row>
    <row r="1298" spans="32:32" x14ac:dyDescent="0.3">
      <c r="AF1298" s="47">
        <f t="shared" si="20"/>
        <v>0</v>
      </c>
    </row>
    <row r="1299" spans="32:32" x14ac:dyDescent="0.3">
      <c r="AF1299" s="47">
        <f t="shared" si="20"/>
        <v>0</v>
      </c>
    </row>
    <row r="1300" spans="32:32" x14ac:dyDescent="0.3">
      <c r="AF1300" s="47">
        <f t="shared" si="20"/>
        <v>0</v>
      </c>
    </row>
    <row r="1301" spans="32:32" x14ac:dyDescent="0.3">
      <c r="AF1301" s="47">
        <f t="shared" si="20"/>
        <v>0</v>
      </c>
    </row>
    <row r="1302" spans="32:32" x14ac:dyDescent="0.3">
      <c r="AF1302" s="47">
        <f t="shared" si="20"/>
        <v>0</v>
      </c>
    </row>
    <row r="1303" spans="32:32" x14ac:dyDescent="0.3">
      <c r="AF1303" s="47">
        <f t="shared" si="20"/>
        <v>0</v>
      </c>
    </row>
    <row r="1304" spans="32:32" x14ac:dyDescent="0.3">
      <c r="AF1304" s="47">
        <f t="shared" si="20"/>
        <v>0</v>
      </c>
    </row>
    <row r="1305" spans="32:32" x14ac:dyDescent="0.3">
      <c r="AF1305" s="47">
        <f t="shared" si="20"/>
        <v>0</v>
      </c>
    </row>
    <row r="1306" spans="32:32" x14ac:dyDescent="0.3">
      <c r="AF1306" s="47">
        <f t="shared" si="20"/>
        <v>0</v>
      </c>
    </row>
    <row r="1307" spans="32:32" x14ac:dyDescent="0.3">
      <c r="AF1307" s="47">
        <f t="shared" si="20"/>
        <v>0</v>
      </c>
    </row>
    <row r="1308" spans="32:32" x14ac:dyDescent="0.3">
      <c r="AF1308" s="47">
        <f t="shared" si="20"/>
        <v>0</v>
      </c>
    </row>
    <row r="1309" spans="32:32" x14ac:dyDescent="0.3">
      <c r="AF1309" s="47">
        <f t="shared" si="20"/>
        <v>0</v>
      </c>
    </row>
    <row r="1310" spans="32:32" x14ac:dyDescent="0.3">
      <c r="AF1310" s="47">
        <f t="shared" si="20"/>
        <v>0</v>
      </c>
    </row>
    <row r="1311" spans="32:32" x14ac:dyDescent="0.3">
      <c r="AF1311" s="47">
        <f t="shared" si="20"/>
        <v>0</v>
      </c>
    </row>
    <row r="1312" spans="32:32" x14ac:dyDescent="0.3">
      <c r="AF1312" s="47">
        <f t="shared" si="20"/>
        <v>0</v>
      </c>
    </row>
    <row r="1313" spans="32:32" x14ac:dyDescent="0.3">
      <c r="AF1313" s="47">
        <f t="shared" si="20"/>
        <v>0</v>
      </c>
    </row>
    <row r="1314" spans="32:32" x14ac:dyDescent="0.3">
      <c r="AF1314" s="47">
        <f t="shared" si="20"/>
        <v>0</v>
      </c>
    </row>
    <row r="1315" spans="32:32" x14ac:dyDescent="0.3">
      <c r="AF1315" s="47">
        <f t="shared" si="20"/>
        <v>0</v>
      </c>
    </row>
    <row r="1316" spans="32:32" x14ac:dyDescent="0.3">
      <c r="AF1316" s="47">
        <f t="shared" si="20"/>
        <v>0</v>
      </c>
    </row>
    <row r="1317" spans="32:32" x14ac:dyDescent="0.3">
      <c r="AF1317" s="47">
        <f t="shared" si="20"/>
        <v>0</v>
      </c>
    </row>
    <row r="1318" spans="32:32" x14ac:dyDescent="0.3">
      <c r="AF1318" s="47">
        <f t="shared" si="20"/>
        <v>0</v>
      </c>
    </row>
    <row r="1319" spans="32:32" x14ac:dyDescent="0.3">
      <c r="AF1319" s="47">
        <f t="shared" si="20"/>
        <v>0</v>
      </c>
    </row>
    <row r="1320" spans="32:32" x14ac:dyDescent="0.3">
      <c r="AF1320" s="47">
        <f t="shared" si="20"/>
        <v>0</v>
      </c>
    </row>
    <row r="1321" spans="32:32" x14ac:dyDescent="0.3">
      <c r="AF1321" s="47">
        <f t="shared" si="20"/>
        <v>0</v>
      </c>
    </row>
    <row r="1322" spans="32:32" x14ac:dyDescent="0.3">
      <c r="AF1322" s="47">
        <f t="shared" si="20"/>
        <v>0</v>
      </c>
    </row>
    <row r="1323" spans="32:32" x14ac:dyDescent="0.3">
      <c r="AF1323" s="47">
        <f t="shared" si="20"/>
        <v>0</v>
      </c>
    </row>
    <row r="1324" spans="32:32" x14ac:dyDescent="0.3">
      <c r="AF1324" s="47">
        <f t="shared" si="20"/>
        <v>0</v>
      </c>
    </row>
    <row r="1325" spans="32:32" x14ac:dyDescent="0.3">
      <c r="AF1325" s="47">
        <f t="shared" si="20"/>
        <v>0</v>
      </c>
    </row>
    <row r="1326" spans="32:32" x14ac:dyDescent="0.3">
      <c r="AF1326" s="47">
        <f t="shared" si="20"/>
        <v>0</v>
      </c>
    </row>
    <row r="1327" spans="32:32" x14ac:dyDescent="0.3">
      <c r="AF1327" s="47">
        <f t="shared" si="20"/>
        <v>0</v>
      </c>
    </row>
    <row r="1328" spans="32:32" x14ac:dyDescent="0.3">
      <c r="AF1328" s="47">
        <f t="shared" si="20"/>
        <v>0</v>
      </c>
    </row>
    <row r="1329" spans="32:32" x14ac:dyDescent="0.3">
      <c r="AF1329" s="47">
        <f t="shared" si="20"/>
        <v>0</v>
      </c>
    </row>
    <row r="1330" spans="32:32" x14ac:dyDescent="0.3">
      <c r="AF1330" s="47">
        <f t="shared" si="20"/>
        <v>0</v>
      </c>
    </row>
    <row r="1331" spans="32:32" x14ac:dyDescent="0.3">
      <c r="AF1331" s="47">
        <f t="shared" si="20"/>
        <v>0</v>
      </c>
    </row>
    <row r="1332" spans="32:32" x14ac:dyDescent="0.3">
      <c r="AF1332" s="47">
        <f t="shared" si="20"/>
        <v>0</v>
      </c>
    </row>
    <row r="1333" spans="32:32" x14ac:dyDescent="0.3">
      <c r="AF1333" s="47">
        <f t="shared" si="20"/>
        <v>0</v>
      </c>
    </row>
    <row r="1334" spans="32:32" x14ac:dyDescent="0.3">
      <c r="AF1334" s="47">
        <f t="shared" si="20"/>
        <v>0</v>
      </c>
    </row>
    <row r="1335" spans="32:32" x14ac:dyDescent="0.3">
      <c r="AF1335" s="47">
        <f t="shared" si="20"/>
        <v>0</v>
      </c>
    </row>
    <row r="1336" spans="32:32" x14ac:dyDescent="0.3">
      <c r="AF1336" s="47">
        <f t="shared" si="20"/>
        <v>0</v>
      </c>
    </row>
    <row r="1337" spans="32:32" x14ac:dyDescent="0.3">
      <c r="AF1337" s="47">
        <f t="shared" si="20"/>
        <v>0</v>
      </c>
    </row>
    <row r="1338" spans="32:32" x14ac:dyDescent="0.3">
      <c r="AF1338" s="47">
        <f t="shared" si="20"/>
        <v>0</v>
      </c>
    </row>
    <row r="1339" spans="32:32" x14ac:dyDescent="0.3">
      <c r="AF1339" s="47">
        <f t="shared" si="20"/>
        <v>0</v>
      </c>
    </row>
    <row r="1340" spans="32:32" x14ac:dyDescent="0.3">
      <c r="AF1340" s="47">
        <f t="shared" si="20"/>
        <v>0</v>
      </c>
    </row>
    <row r="1341" spans="32:32" x14ac:dyDescent="0.3">
      <c r="AF1341" s="47">
        <f t="shared" si="20"/>
        <v>0</v>
      </c>
    </row>
    <row r="1342" spans="32:32" x14ac:dyDescent="0.3">
      <c r="AF1342" s="47">
        <f t="shared" si="20"/>
        <v>0</v>
      </c>
    </row>
    <row r="1343" spans="32:32" x14ac:dyDescent="0.3">
      <c r="AF1343" s="47">
        <f t="shared" si="20"/>
        <v>0</v>
      </c>
    </row>
    <row r="1344" spans="32:32" x14ac:dyDescent="0.3">
      <c r="AF1344" s="47">
        <f t="shared" si="20"/>
        <v>0</v>
      </c>
    </row>
    <row r="1345" spans="32:32" x14ac:dyDescent="0.3">
      <c r="AF1345" s="47">
        <f t="shared" si="20"/>
        <v>0</v>
      </c>
    </row>
    <row r="1346" spans="32:32" x14ac:dyDescent="0.3">
      <c r="AF1346" s="47">
        <f t="shared" si="20"/>
        <v>0</v>
      </c>
    </row>
    <row r="1347" spans="32:32" x14ac:dyDescent="0.3">
      <c r="AF1347" s="47">
        <f t="shared" ref="AF1347:AF1410" si="21">IFERROR(AC1347-Y1347,"")</f>
        <v>0</v>
      </c>
    </row>
    <row r="1348" spans="32:32" x14ac:dyDescent="0.3">
      <c r="AF1348" s="47">
        <f t="shared" si="21"/>
        <v>0</v>
      </c>
    </row>
    <row r="1349" spans="32:32" x14ac:dyDescent="0.3">
      <c r="AF1349" s="47">
        <f t="shared" si="21"/>
        <v>0</v>
      </c>
    </row>
    <row r="1350" spans="32:32" x14ac:dyDescent="0.3">
      <c r="AF1350" s="47">
        <f t="shared" si="21"/>
        <v>0</v>
      </c>
    </row>
    <row r="1351" spans="32:32" x14ac:dyDescent="0.3">
      <c r="AF1351" s="47">
        <f t="shared" si="21"/>
        <v>0</v>
      </c>
    </row>
    <row r="1352" spans="32:32" x14ac:dyDescent="0.3">
      <c r="AF1352" s="47">
        <f t="shared" si="21"/>
        <v>0</v>
      </c>
    </row>
    <row r="1353" spans="32:32" x14ac:dyDescent="0.3">
      <c r="AF1353" s="47">
        <f t="shared" si="21"/>
        <v>0</v>
      </c>
    </row>
    <row r="1354" spans="32:32" x14ac:dyDescent="0.3">
      <c r="AF1354" s="47">
        <f t="shared" si="21"/>
        <v>0</v>
      </c>
    </row>
    <row r="1355" spans="32:32" x14ac:dyDescent="0.3">
      <c r="AF1355" s="47">
        <f t="shared" si="21"/>
        <v>0</v>
      </c>
    </row>
    <row r="1356" spans="32:32" x14ac:dyDescent="0.3">
      <c r="AF1356" s="47">
        <f t="shared" si="21"/>
        <v>0</v>
      </c>
    </row>
    <row r="1357" spans="32:32" x14ac:dyDescent="0.3">
      <c r="AF1357" s="47">
        <f t="shared" si="21"/>
        <v>0</v>
      </c>
    </row>
    <row r="1358" spans="32:32" x14ac:dyDescent="0.3">
      <c r="AF1358" s="47">
        <f t="shared" si="21"/>
        <v>0</v>
      </c>
    </row>
    <row r="1359" spans="32:32" x14ac:dyDescent="0.3">
      <c r="AF1359" s="47">
        <f t="shared" si="21"/>
        <v>0</v>
      </c>
    </row>
    <row r="1360" spans="32:32" x14ac:dyDescent="0.3">
      <c r="AF1360" s="47">
        <f t="shared" si="21"/>
        <v>0</v>
      </c>
    </row>
    <row r="1361" spans="32:32" x14ac:dyDescent="0.3">
      <c r="AF1361" s="47">
        <f t="shared" si="21"/>
        <v>0</v>
      </c>
    </row>
    <row r="1362" spans="32:32" x14ac:dyDescent="0.3">
      <c r="AF1362" s="47">
        <f t="shared" si="21"/>
        <v>0</v>
      </c>
    </row>
    <row r="1363" spans="32:32" x14ac:dyDescent="0.3">
      <c r="AF1363" s="47">
        <f t="shared" si="21"/>
        <v>0</v>
      </c>
    </row>
    <row r="1364" spans="32:32" x14ac:dyDescent="0.3">
      <c r="AF1364" s="47">
        <f t="shared" si="21"/>
        <v>0</v>
      </c>
    </row>
    <row r="1365" spans="32:32" x14ac:dyDescent="0.3">
      <c r="AF1365" s="47">
        <f t="shared" si="21"/>
        <v>0</v>
      </c>
    </row>
    <row r="1366" spans="32:32" x14ac:dyDescent="0.3">
      <c r="AF1366" s="47">
        <f t="shared" si="21"/>
        <v>0</v>
      </c>
    </row>
    <row r="1367" spans="32:32" x14ac:dyDescent="0.3">
      <c r="AF1367" s="47">
        <f t="shared" si="21"/>
        <v>0</v>
      </c>
    </row>
    <row r="1368" spans="32:32" x14ac:dyDescent="0.3">
      <c r="AF1368" s="47">
        <f t="shared" si="21"/>
        <v>0</v>
      </c>
    </row>
    <row r="1369" spans="32:32" x14ac:dyDescent="0.3">
      <c r="AF1369" s="47">
        <f t="shared" si="21"/>
        <v>0</v>
      </c>
    </row>
    <row r="1370" spans="32:32" x14ac:dyDescent="0.3">
      <c r="AF1370" s="47">
        <f t="shared" si="21"/>
        <v>0</v>
      </c>
    </row>
    <row r="1371" spans="32:32" x14ac:dyDescent="0.3">
      <c r="AF1371" s="47">
        <f t="shared" si="21"/>
        <v>0</v>
      </c>
    </row>
    <row r="1372" spans="32:32" x14ac:dyDescent="0.3">
      <c r="AF1372" s="47">
        <f t="shared" si="21"/>
        <v>0</v>
      </c>
    </row>
    <row r="1373" spans="32:32" x14ac:dyDescent="0.3">
      <c r="AF1373" s="47">
        <f t="shared" si="21"/>
        <v>0</v>
      </c>
    </row>
    <row r="1374" spans="32:32" x14ac:dyDescent="0.3">
      <c r="AF1374" s="47">
        <f t="shared" si="21"/>
        <v>0</v>
      </c>
    </row>
    <row r="1375" spans="32:32" x14ac:dyDescent="0.3">
      <c r="AF1375" s="47">
        <f t="shared" si="21"/>
        <v>0</v>
      </c>
    </row>
    <row r="1376" spans="32:32" x14ac:dyDescent="0.3">
      <c r="AF1376" s="47">
        <f t="shared" si="21"/>
        <v>0</v>
      </c>
    </row>
    <row r="1377" spans="32:32" x14ac:dyDescent="0.3">
      <c r="AF1377" s="47">
        <f t="shared" si="21"/>
        <v>0</v>
      </c>
    </row>
    <row r="1378" spans="32:32" x14ac:dyDescent="0.3">
      <c r="AF1378" s="47">
        <f t="shared" si="21"/>
        <v>0</v>
      </c>
    </row>
    <row r="1379" spans="32:32" x14ac:dyDescent="0.3">
      <c r="AF1379" s="47">
        <f t="shared" si="21"/>
        <v>0</v>
      </c>
    </row>
    <row r="1380" spans="32:32" x14ac:dyDescent="0.3">
      <c r="AF1380" s="47">
        <f t="shared" si="21"/>
        <v>0</v>
      </c>
    </row>
    <row r="1381" spans="32:32" x14ac:dyDescent="0.3">
      <c r="AF1381" s="47">
        <f t="shared" si="21"/>
        <v>0</v>
      </c>
    </row>
    <row r="1382" spans="32:32" x14ac:dyDescent="0.3">
      <c r="AF1382" s="47">
        <f t="shared" si="21"/>
        <v>0</v>
      </c>
    </row>
    <row r="1383" spans="32:32" x14ac:dyDescent="0.3">
      <c r="AF1383" s="47">
        <f t="shared" si="21"/>
        <v>0</v>
      </c>
    </row>
    <row r="1384" spans="32:32" x14ac:dyDescent="0.3">
      <c r="AF1384" s="47">
        <f t="shared" si="21"/>
        <v>0</v>
      </c>
    </row>
    <row r="1385" spans="32:32" x14ac:dyDescent="0.3">
      <c r="AF1385" s="47">
        <f t="shared" si="21"/>
        <v>0</v>
      </c>
    </row>
    <row r="1386" spans="32:32" x14ac:dyDescent="0.3">
      <c r="AF1386" s="47">
        <f t="shared" si="21"/>
        <v>0</v>
      </c>
    </row>
    <row r="1387" spans="32:32" x14ac:dyDescent="0.3">
      <c r="AF1387" s="47">
        <f t="shared" si="21"/>
        <v>0</v>
      </c>
    </row>
    <row r="1388" spans="32:32" x14ac:dyDescent="0.3">
      <c r="AF1388" s="47">
        <f t="shared" si="21"/>
        <v>0</v>
      </c>
    </row>
    <row r="1389" spans="32:32" x14ac:dyDescent="0.3">
      <c r="AF1389" s="47">
        <f t="shared" si="21"/>
        <v>0</v>
      </c>
    </row>
    <row r="1390" spans="32:32" x14ac:dyDescent="0.3">
      <c r="AF1390" s="47">
        <f t="shared" si="21"/>
        <v>0</v>
      </c>
    </row>
    <row r="1391" spans="32:32" x14ac:dyDescent="0.3">
      <c r="AF1391" s="47">
        <f t="shared" si="21"/>
        <v>0</v>
      </c>
    </row>
    <row r="1392" spans="32:32" x14ac:dyDescent="0.3">
      <c r="AF1392" s="47">
        <f t="shared" si="21"/>
        <v>0</v>
      </c>
    </row>
    <row r="1393" spans="32:32" x14ac:dyDescent="0.3">
      <c r="AF1393" s="47">
        <f t="shared" si="21"/>
        <v>0</v>
      </c>
    </row>
    <row r="1394" spans="32:32" x14ac:dyDescent="0.3">
      <c r="AF1394" s="47">
        <f t="shared" si="21"/>
        <v>0</v>
      </c>
    </row>
    <row r="1395" spans="32:32" x14ac:dyDescent="0.3">
      <c r="AF1395" s="47">
        <f t="shared" si="21"/>
        <v>0</v>
      </c>
    </row>
    <row r="1396" spans="32:32" x14ac:dyDescent="0.3">
      <c r="AF1396" s="47">
        <f t="shared" si="21"/>
        <v>0</v>
      </c>
    </row>
    <row r="1397" spans="32:32" x14ac:dyDescent="0.3">
      <c r="AF1397" s="47">
        <f t="shared" si="21"/>
        <v>0</v>
      </c>
    </row>
    <row r="1398" spans="32:32" x14ac:dyDescent="0.3">
      <c r="AF1398" s="47">
        <f t="shared" si="21"/>
        <v>0</v>
      </c>
    </row>
    <row r="1399" spans="32:32" x14ac:dyDescent="0.3">
      <c r="AF1399" s="47">
        <f t="shared" si="21"/>
        <v>0</v>
      </c>
    </row>
    <row r="1400" spans="32:32" x14ac:dyDescent="0.3">
      <c r="AF1400" s="47">
        <f t="shared" si="21"/>
        <v>0</v>
      </c>
    </row>
    <row r="1401" spans="32:32" x14ac:dyDescent="0.3">
      <c r="AF1401" s="47">
        <f t="shared" si="21"/>
        <v>0</v>
      </c>
    </row>
    <row r="1402" spans="32:32" x14ac:dyDescent="0.3">
      <c r="AF1402" s="47">
        <f t="shared" si="21"/>
        <v>0</v>
      </c>
    </row>
    <row r="1403" spans="32:32" x14ac:dyDescent="0.3">
      <c r="AF1403" s="47">
        <f t="shared" si="21"/>
        <v>0</v>
      </c>
    </row>
    <row r="1404" spans="32:32" x14ac:dyDescent="0.3">
      <c r="AF1404" s="47">
        <f t="shared" si="21"/>
        <v>0</v>
      </c>
    </row>
    <row r="1405" spans="32:32" x14ac:dyDescent="0.3">
      <c r="AF1405" s="47">
        <f t="shared" si="21"/>
        <v>0</v>
      </c>
    </row>
    <row r="1406" spans="32:32" x14ac:dyDescent="0.3">
      <c r="AF1406" s="47">
        <f t="shared" si="21"/>
        <v>0</v>
      </c>
    </row>
    <row r="1407" spans="32:32" x14ac:dyDescent="0.3">
      <c r="AF1407" s="47">
        <f t="shared" si="21"/>
        <v>0</v>
      </c>
    </row>
    <row r="1408" spans="32:32" x14ac:dyDescent="0.3">
      <c r="AF1408" s="47">
        <f t="shared" si="21"/>
        <v>0</v>
      </c>
    </row>
    <row r="1409" spans="32:32" x14ac:dyDescent="0.3">
      <c r="AF1409" s="47">
        <f t="shared" si="21"/>
        <v>0</v>
      </c>
    </row>
    <row r="1410" spans="32:32" x14ac:dyDescent="0.3">
      <c r="AF1410" s="47">
        <f t="shared" si="21"/>
        <v>0</v>
      </c>
    </row>
    <row r="1411" spans="32:32" x14ac:dyDescent="0.3">
      <c r="AF1411" s="47">
        <f t="shared" ref="AF1411:AF1474" si="22">IFERROR(AC1411-Y1411,"")</f>
        <v>0</v>
      </c>
    </row>
    <row r="1412" spans="32:32" x14ac:dyDescent="0.3">
      <c r="AF1412" s="47">
        <f t="shared" si="22"/>
        <v>0</v>
      </c>
    </row>
    <row r="1413" spans="32:32" x14ac:dyDescent="0.3">
      <c r="AF1413" s="47">
        <f t="shared" si="22"/>
        <v>0</v>
      </c>
    </row>
    <row r="1414" spans="32:32" x14ac:dyDescent="0.3">
      <c r="AF1414" s="47">
        <f t="shared" si="22"/>
        <v>0</v>
      </c>
    </row>
    <row r="1415" spans="32:32" x14ac:dyDescent="0.3">
      <c r="AF1415" s="47">
        <f t="shared" si="22"/>
        <v>0</v>
      </c>
    </row>
    <row r="1416" spans="32:32" x14ac:dyDescent="0.3">
      <c r="AF1416" s="47">
        <f t="shared" si="22"/>
        <v>0</v>
      </c>
    </row>
    <row r="1417" spans="32:32" x14ac:dyDescent="0.3">
      <c r="AF1417" s="47">
        <f t="shared" si="22"/>
        <v>0</v>
      </c>
    </row>
    <row r="1418" spans="32:32" x14ac:dyDescent="0.3">
      <c r="AF1418" s="47">
        <f t="shared" si="22"/>
        <v>0</v>
      </c>
    </row>
    <row r="1419" spans="32:32" x14ac:dyDescent="0.3">
      <c r="AF1419" s="47">
        <f t="shared" si="22"/>
        <v>0</v>
      </c>
    </row>
    <row r="1420" spans="32:32" x14ac:dyDescent="0.3">
      <c r="AF1420" s="47">
        <f t="shared" si="22"/>
        <v>0</v>
      </c>
    </row>
    <row r="1421" spans="32:32" x14ac:dyDescent="0.3">
      <c r="AF1421" s="47">
        <f t="shared" si="22"/>
        <v>0</v>
      </c>
    </row>
    <row r="1422" spans="32:32" x14ac:dyDescent="0.3">
      <c r="AF1422" s="47">
        <f t="shared" si="22"/>
        <v>0</v>
      </c>
    </row>
    <row r="1423" spans="32:32" x14ac:dyDescent="0.3">
      <c r="AF1423" s="47">
        <f t="shared" si="22"/>
        <v>0</v>
      </c>
    </row>
    <row r="1424" spans="32:32" x14ac:dyDescent="0.3">
      <c r="AF1424" s="47">
        <f t="shared" si="22"/>
        <v>0</v>
      </c>
    </row>
    <row r="1425" spans="32:32" x14ac:dyDescent="0.3">
      <c r="AF1425" s="47">
        <f t="shared" si="22"/>
        <v>0</v>
      </c>
    </row>
    <row r="1426" spans="32:32" x14ac:dyDescent="0.3">
      <c r="AF1426" s="47">
        <f t="shared" si="22"/>
        <v>0</v>
      </c>
    </row>
    <row r="1427" spans="32:32" x14ac:dyDescent="0.3">
      <c r="AF1427" s="47">
        <f t="shared" si="22"/>
        <v>0</v>
      </c>
    </row>
    <row r="1428" spans="32:32" x14ac:dyDescent="0.3">
      <c r="AF1428" s="47">
        <f t="shared" si="22"/>
        <v>0</v>
      </c>
    </row>
    <row r="1429" spans="32:32" x14ac:dyDescent="0.3">
      <c r="AF1429" s="47">
        <f t="shared" si="22"/>
        <v>0</v>
      </c>
    </row>
    <row r="1430" spans="32:32" x14ac:dyDescent="0.3">
      <c r="AF1430" s="47">
        <f t="shared" si="22"/>
        <v>0</v>
      </c>
    </row>
    <row r="1431" spans="32:32" x14ac:dyDescent="0.3">
      <c r="AF1431" s="47">
        <f t="shared" si="22"/>
        <v>0</v>
      </c>
    </row>
    <row r="1432" spans="32:32" x14ac:dyDescent="0.3">
      <c r="AF1432" s="47">
        <f t="shared" si="22"/>
        <v>0</v>
      </c>
    </row>
    <row r="1433" spans="32:32" x14ac:dyDescent="0.3">
      <c r="AF1433" s="47">
        <f t="shared" si="22"/>
        <v>0</v>
      </c>
    </row>
    <row r="1434" spans="32:32" x14ac:dyDescent="0.3">
      <c r="AF1434" s="47">
        <f t="shared" si="22"/>
        <v>0</v>
      </c>
    </row>
    <row r="1435" spans="32:32" x14ac:dyDescent="0.3">
      <c r="AF1435" s="47">
        <f t="shared" si="22"/>
        <v>0</v>
      </c>
    </row>
    <row r="1436" spans="32:32" x14ac:dyDescent="0.3">
      <c r="AF1436" s="47">
        <f t="shared" si="22"/>
        <v>0</v>
      </c>
    </row>
    <row r="1437" spans="32:32" x14ac:dyDescent="0.3">
      <c r="AF1437" s="47">
        <f t="shared" si="22"/>
        <v>0</v>
      </c>
    </row>
    <row r="1438" spans="32:32" x14ac:dyDescent="0.3">
      <c r="AF1438" s="47">
        <f t="shared" si="22"/>
        <v>0</v>
      </c>
    </row>
    <row r="1439" spans="32:32" x14ac:dyDescent="0.3">
      <c r="AF1439" s="47">
        <f t="shared" si="22"/>
        <v>0</v>
      </c>
    </row>
    <row r="1440" spans="32:32" x14ac:dyDescent="0.3">
      <c r="AF1440" s="47">
        <f t="shared" si="22"/>
        <v>0</v>
      </c>
    </row>
    <row r="1441" spans="32:32" x14ac:dyDescent="0.3">
      <c r="AF1441" s="47">
        <f t="shared" si="22"/>
        <v>0</v>
      </c>
    </row>
    <row r="1442" spans="32:32" x14ac:dyDescent="0.3">
      <c r="AF1442" s="47">
        <f t="shared" si="22"/>
        <v>0</v>
      </c>
    </row>
    <row r="1443" spans="32:32" x14ac:dyDescent="0.3">
      <c r="AF1443" s="47">
        <f t="shared" si="22"/>
        <v>0</v>
      </c>
    </row>
    <row r="1444" spans="32:32" x14ac:dyDescent="0.3">
      <c r="AF1444" s="47">
        <f t="shared" si="22"/>
        <v>0</v>
      </c>
    </row>
    <row r="1445" spans="32:32" x14ac:dyDescent="0.3">
      <c r="AF1445" s="47">
        <f t="shared" si="22"/>
        <v>0</v>
      </c>
    </row>
    <row r="1446" spans="32:32" x14ac:dyDescent="0.3">
      <c r="AF1446" s="47">
        <f t="shared" si="22"/>
        <v>0</v>
      </c>
    </row>
    <row r="1447" spans="32:32" x14ac:dyDescent="0.3">
      <c r="AF1447" s="47">
        <f t="shared" si="22"/>
        <v>0</v>
      </c>
    </row>
    <row r="1448" spans="32:32" x14ac:dyDescent="0.3">
      <c r="AF1448" s="47">
        <f t="shared" si="22"/>
        <v>0</v>
      </c>
    </row>
    <row r="1449" spans="32:32" x14ac:dyDescent="0.3">
      <c r="AF1449" s="47">
        <f t="shared" si="22"/>
        <v>0</v>
      </c>
    </row>
    <row r="1450" spans="32:32" x14ac:dyDescent="0.3">
      <c r="AF1450" s="47">
        <f t="shared" si="22"/>
        <v>0</v>
      </c>
    </row>
    <row r="1451" spans="32:32" x14ac:dyDescent="0.3">
      <c r="AF1451" s="47">
        <f t="shared" si="22"/>
        <v>0</v>
      </c>
    </row>
    <row r="1452" spans="32:32" x14ac:dyDescent="0.3">
      <c r="AF1452" s="47">
        <f t="shared" si="22"/>
        <v>0</v>
      </c>
    </row>
    <row r="1453" spans="32:32" x14ac:dyDescent="0.3">
      <c r="AF1453" s="47">
        <f t="shared" si="22"/>
        <v>0</v>
      </c>
    </row>
    <row r="1454" spans="32:32" x14ac:dyDescent="0.3">
      <c r="AF1454" s="47">
        <f t="shared" si="22"/>
        <v>0</v>
      </c>
    </row>
    <row r="1455" spans="32:32" x14ac:dyDescent="0.3">
      <c r="AF1455" s="47">
        <f t="shared" si="22"/>
        <v>0</v>
      </c>
    </row>
    <row r="1456" spans="32:32" x14ac:dyDescent="0.3">
      <c r="AF1456" s="47">
        <f t="shared" si="22"/>
        <v>0</v>
      </c>
    </row>
    <row r="1457" spans="32:32" x14ac:dyDescent="0.3">
      <c r="AF1457" s="47">
        <f t="shared" si="22"/>
        <v>0</v>
      </c>
    </row>
    <row r="1458" spans="32:32" x14ac:dyDescent="0.3">
      <c r="AF1458" s="47">
        <f t="shared" si="22"/>
        <v>0</v>
      </c>
    </row>
    <row r="1459" spans="32:32" x14ac:dyDescent="0.3">
      <c r="AF1459" s="47">
        <f t="shared" si="22"/>
        <v>0</v>
      </c>
    </row>
    <row r="1460" spans="32:32" x14ac:dyDescent="0.3">
      <c r="AF1460" s="47">
        <f t="shared" si="22"/>
        <v>0</v>
      </c>
    </row>
    <row r="1461" spans="32:32" x14ac:dyDescent="0.3">
      <c r="AF1461" s="47">
        <f t="shared" si="22"/>
        <v>0</v>
      </c>
    </row>
    <row r="1462" spans="32:32" x14ac:dyDescent="0.3">
      <c r="AF1462" s="47">
        <f t="shared" si="22"/>
        <v>0</v>
      </c>
    </row>
    <row r="1463" spans="32:32" x14ac:dyDescent="0.3">
      <c r="AF1463" s="47">
        <f t="shared" si="22"/>
        <v>0</v>
      </c>
    </row>
    <row r="1464" spans="32:32" x14ac:dyDescent="0.3">
      <c r="AF1464" s="47">
        <f t="shared" si="22"/>
        <v>0</v>
      </c>
    </row>
    <row r="1465" spans="32:32" x14ac:dyDescent="0.3">
      <c r="AF1465" s="47">
        <f t="shared" si="22"/>
        <v>0</v>
      </c>
    </row>
    <row r="1466" spans="32:32" x14ac:dyDescent="0.3">
      <c r="AF1466" s="47">
        <f t="shared" si="22"/>
        <v>0</v>
      </c>
    </row>
    <row r="1467" spans="32:32" x14ac:dyDescent="0.3">
      <c r="AF1467" s="47">
        <f t="shared" si="22"/>
        <v>0</v>
      </c>
    </row>
    <row r="1468" spans="32:32" x14ac:dyDescent="0.3">
      <c r="AF1468" s="47">
        <f t="shared" si="22"/>
        <v>0</v>
      </c>
    </row>
    <row r="1469" spans="32:32" x14ac:dyDescent="0.3">
      <c r="AF1469" s="47">
        <f t="shared" si="22"/>
        <v>0</v>
      </c>
    </row>
    <row r="1470" spans="32:32" x14ac:dyDescent="0.3">
      <c r="AF1470" s="47">
        <f t="shared" si="22"/>
        <v>0</v>
      </c>
    </row>
    <row r="1471" spans="32:32" x14ac:dyDescent="0.3">
      <c r="AF1471" s="47">
        <f t="shared" si="22"/>
        <v>0</v>
      </c>
    </row>
    <row r="1472" spans="32:32" x14ac:dyDescent="0.3">
      <c r="AF1472" s="47">
        <f t="shared" si="22"/>
        <v>0</v>
      </c>
    </row>
    <row r="1473" spans="32:32" x14ac:dyDescent="0.3">
      <c r="AF1473" s="47">
        <f t="shared" si="22"/>
        <v>0</v>
      </c>
    </row>
    <row r="1474" spans="32:32" x14ac:dyDescent="0.3">
      <c r="AF1474" s="47">
        <f t="shared" si="22"/>
        <v>0</v>
      </c>
    </row>
    <row r="1475" spans="32:32" x14ac:dyDescent="0.3">
      <c r="AF1475" s="47">
        <f t="shared" ref="AF1475:AF1538" si="23">IFERROR(AC1475-Y1475,"")</f>
        <v>0</v>
      </c>
    </row>
    <row r="1476" spans="32:32" x14ac:dyDescent="0.3">
      <c r="AF1476" s="47">
        <f t="shared" si="23"/>
        <v>0</v>
      </c>
    </row>
    <row r="1477" spans="32:32" x14ac:dyDescent="0.3">
      <c r="AF1477" s="47">
        <f t="shared" si="23"/>
        <v>0</v>
      </c>
    </row>
    <row r="1478" spans="32:32" x14ac:dyDescent="0.3">
      <c r="AF1478" s="47">
        <f t="shared" si="23"/>
        <v>0</v>
      </c>
    </row>
    <row r="1479" spans="32:32" x14ac:dyDescent="0.3">
      <c r="AF1479" s="47">
        <f t="shared" si="23"/>
        <v>0</v>
      </c>
    </row>
    <row r="1480" spans="32:32" x14ac:dyDescent="0.3">
      <c r="AF1480" s="47">
        <f t="shared" si="23"/>
        <v>0</v>
      </c>
    </row>
    <row r="1481" spans="32:32" x14ac:dyDescent="0.3">
      <c r="AF1481" s="47">
        <f t="shared" si="23"/>
        <v>0</v>
      </c>
    </row>
    <row r="1482" spans="32:32" x14ac:dyDescent="0.3">
      <c r="AF1482" s="47">
        <f t="shared" si="23"/>
        <v>0</v>
      </c>
    </row>
    <row r="1483" spans="32:32" x14ac:dyDescent="0.3">
      <c r="AF1483" s="47">
        <f t="shared" si="23"/>
        <v>0</v>
      </c>
    </row>
    <row r="1484" spans="32:32" x14ac:dyDescent="0.3">
      <c r="AF1484" s="47">
        <f t="shared" si="23"/>
        <v>0</v>
      </c>
    </row>
    <row r="1485" spans="32:32" x14ac:dyDescent="0.3">
      <c r="AF1485" s="47">
        <f t="shared" si="23"/>
        <v>0</v>
      </c>
    </row>
    <row r="1486" spans="32:32" x14ac:dyDescent="0.3">
      <c r="AF1486" s="47">
        <f t="shared" si="23"/>
        <v>0</v>
      </c>
    </row>
    <row r="1487" spans="32:32" x14ac:dyDescent="0.3">
      <c r="AF1487" s="47">
        <f t="shared" si="23"/>
        <v>0</v>
      </c>
    </row>
    <row r="1488" spans="32:32" x14ac:dyDescent="0.3">
      <c r="AF1488" s="47">
        <f t="shared" si="23"/>
        <v>0</v>
      </c>
    </row>
    <row r="1489" spans="32:32" x14ac:dyDescent="0.3">
      <c r="AF1489" s="47">
        <f t="shared" si="23"/>
        <v>0</v>
      </c>
    </row>
    <row r="1490" spans="32:32" x14ac:dyDescent="0.3">
      <c r="AF1490" s="47">
        <f t="shared" si="23"/>
        <v>0</v>
      </c>
    </row>
    <row r="1491" spans="32:32" x14ac:dyDescent="0.3">
      <c r="AF1491" s="47">
        <f t="shared" si="23"/>
        <v>0</v>
      </c>
    </row>
    <row r="1492" spans="32:32" x14ac:dyDescent="0.3">
      <c r="AF1492" s="47">
        <f t="shared" si="23"/>
        <v>0</v>
      </c>
    </row>
    <row r="1493" spans="32:32" x14ac:dyDescent="0.3">
      <c r="AF1493" s="47">
        <f t="shared" si="23"/>
        <v>0</v>
      </c>
    </row>
    <row r="1494" spans="32:32" x14ac:dyDescent="0.3">
      <c r="AF1494" s="47">
        <f t="shared" si="23"/>
        <v>0</v>
      </c>
    </row>
    <row r="1495" spans="32:32" x14ac:dyDescent="0.3">
      <c r="AF1495" s="47">
        <f t="shared" si="23"/>
        <v>0</v>
      </c>
    </row>
    <row r="1496" spans="32:32" x14ac:dyDescent="0.3">
      <c r="AF1496" s="47">
        <f t="shared" si="23"/>
        <v>0</v>
      </c>
    </row>
    <row r="1497" spans="32:32" x14ac:dyDescent="0.3">
      <c r="AF1497" s="47">
        <f t="shared" si="23"/>
        <v>0</v>
      </c>
    </row>
    <row r="1498" spans="32:32" x14ac:dyDescent="0.3">
      <c r="AF1498" s="47">
        <f t="shared" si="23"/>
        <v>0</v>
      </c>
    </row>
    <row r="1499" spans="32:32" x14ac:dyDescent="0.3">
      <c r="AF1499" s="47">
        <f t="shared" si="23"/>
        <v>0</v>
      </c>
    </row>
    <row r="1500" spans="32:32" x14ac:dyDescent="0.3">
      <c r="AF1500" s="47">
        <f t="shared" si="23"/>
        <v>0</v>
      </c>
    </row>
    <row r="1501" spans="32:32" x14ac:dyDescent="0.3">
      <c r="AF1501" s="47">
        <f t="shared" si="23"/>
        <v>0</v>
      </c>
    </row>
    <row r="1502" spans="32:32" x14ac:dyDescent="0.3">
      <c r="AF1502" s="47">
        <f t="shared" si="23"/>
        <v>0</v>
      </c>
    </row>
    <row r="1503" spans="32:32" x14ac:dyDescent="0.3">
      <c r="AF1503" s="47">
        <f t="shared" si="23"/>
        <v>0</v>
      </c>
    </row>
    <row r="1504" spans="32:32" x14ac:dyDescent="0.3">
      <c r="AF1504" s="47">
        <f t="shared" si="23"/>
        <v>0</v>
      </c>
    </row>
    <row r="1505" spans="32:32" x14ac:dyDescent="0.3">
      <c r="AF1505" s="47">
        <f t="shared" si="23"/>
        <v>0</v>
      </c>
    </row>
    <row r="1506" spans="32:32" x14ac:dyDescent="0.3">
      <c r="AF1506" s="47">
        <f t="shared" si="23"/>
        <v>0</v>
      </c>
    </row>
    <row r="1507" spans="32:32" x14ac:dyDescent="0.3">
      <c r="AF1507" s="47">
        <f t="shared" si="23"/>
        <v>0</v>
      </c>
    </row>
    <row r="1508" spans="32:32" x14ac:dyDescent="0.3">
      <c r="AF1508" s="47">
        <f t="shared" si="23"/>
        <v>0</v>
      </c>
    </row>
    <row r="1509" spans="32:32" x14ac:dyDescent="0.3">
      <c r="AF1509" s="47">
        <f t="shared" si="23"/>
        <v>0</v>
      </c>
    </row>
    <row r="1510" spans="32:32" x14ac:dyDescent="0.3">
      <c r="AF1510" s="47">
        <f t="shared" si="23"/>
        <v>0</v>
      </c>
    </row>
    <row r="1511" spans="32:32" x14ac:dyDescent="0.3">
      <c r="AF1511" s="47">
        <f t="shared" si="23"/>
        <v>0</v>
      </c>
    </row>
    <row r="1512" spans="32:32" x14ac:dyDescent="0.3">
      <c r="AF1512" s="47">
        <f t="shared" si="23"/>
        <v>0</v>
      </c>
    </row>
    <row r="1513" spans="32:32" x14ac:dyDescent="0.3">
      <c r="AF1513" s="47">
        <f t="shared" si="23"/>
        <v>0</v>
      </c>
    </row>
    <row r="1514" spans="32:32" x14ac:dyDescent="0.3">
      <c r="AF1514" s="47">
        <f t="shared" si="23"/>
        <v>0</v>
      </c>
    </row>
    <row r="1515" spans="32:32" x14ac:dyDescent="0.3">
      <c r="AF1515" s="47">
        <f t="shared" si="23"/>
        <v>0</v>
      </c>
    </row>
    <row r="1516" spans="32:32" x14ac:dyDescent="0.3">
      <c r="AF1516" s="47">
        <f t="shared" si="23"/>
        <v>0</v>
      </c>
    </row>
    <row r="1517" spans="32:32" x14ac:dyDescent="0.3">
      <c r="AF1517" s="47">
        <f t="shared" si="23"/>
        <v>0</v>
      </c>
    </row>
    <row r="1518" spans="32:32" x14ac:dyDescent="0.3">
      <c r="AF1518" s="47">
        <f t="shared" si="23"/>
        <v>0</v>
      </c>
    </row>
    <row r="1519" spans="32:32" x14ac:dyDescent="0.3">
      <c r="AF1519" s="47">
        <f t="shared" si="23"/>
        <v>0</v>
      </c>
    </row>
    <row r="1520" spans="32:32" x14ac:dyDescent="0.3">
      <c r="AF1520" s="47">
        <f t="shared" si="23"/>
        <v>0</v>
      </c>
    </row>
    <row r="1521" spans="32:32" x14ac:dyDescent="0.3">
      <c r="AF1521" s="47">
        <f t="shared" si="23"/>
        <v>0</v>
      </c>
    </row>
    <row r="1522" spans="32:32" x14ac:dyDescent="0.3">
      <c r="AF1522" s="47">
        <f t="shared" si="23"/>
        <v>0</v>
      </c>
    </row>
    <row r="1523" spans="32:32" x14ac:dyDescent="0.3">
      <c r="AF1523" s="47">
        <f t="shared" si="23"/>
        <v>0</v>
      </c>
    </row>
    <row r="1524" spans="32:32" x14ac:dyDescent="0.3">
      <c r="AF1524" s="47">
        <f t="shared" si="23"/>
        <v>0</v>
      </c>
    </row>
    <row r="1525" spans="32:32" x14ac:dyDescent="0.3">
      <c r="AF1525" s="47">
        <f t="shared" si="23"/>
        <v>0</v>
      </c>
    </row>
    <row r="1526" spans="32:32" x14ac:dyDescent="0.3">
      <c r="AF1526" s="47">
        <f t="shared" si="23"/>
        <v>0</v>
      </c>
    </row>
    <row r="1527" spans="32:32" x14ac:dyDescent="0.3">
      <c r="AF1527" s="47">
        <f t="shared" si="23"/>
        <v>0</v>
      </c>
    </row>
    <row r="1528" spans="32:32" x14ac:dyDescent="0.3">
      <c r="AF1528" s="47">
        <f t="shared" si="23"/>
        <v>0</v>
      </c>
    </row>
    <row r="1529" spans="32:32" x14ac:dyDescent="0.3">
      <c r="AF1529" s="47">
        <f t="shared" si="23"/>
        <v>0</v>
      </c>
    </row>
    <row r="1530" spans="32:32" x14ac:dyDescent="0.3">
      <c r="AF1530" s="47">
        <f t="shared" si="23"/>
        <v>0</v>
      </c>
    </row>
    <row r="1531" spans="32:32" x14ac:dyDescent="0.3">
      <c r="AF1531" s="47">
        <f t="shared" si="23"/>
        <v>0</v>
      </c>
    </row>
    <row r="1532" spans="32:32" x14ac:dyDescent="0.3">
      <c r="AF1532" s="47">
        <f t="shared" si="23"/>
        <v>0</v>
      </c>
    </row>
    <row r="1533" spans="32:32" x14ac:dyDescent="0.3">
      <c r="AF1533" s="47">
        <f t="shared" si="23"/>
        <v>0</v>
      </c>
    </row>
    <row r="1534" spans="32:32" x14ac:dyDescent="0.3">
      <c r="AF1534" s="47">
        <f t="shared" si="23"/>
        <v>0</v>
      </c>
    </row>
    <row r="1535" spans="32:32" x14ac:dyDescent="0.3">
      <c r="AF1535" s="47">
        <f t="shared" si="23"/>
        <v>0</v>
      </c>
    </row>
    <row r="1536" spans="32:32" x14ac:dyDescent="0.3">
      <c r="AF1536" s="47">
        <f t="shared" si="23"/>
        <v>0</v>
      </c>
    </row>
    <row r="1537" spans="32:32" x14ac:dyDescent="0.3">
      <c r="AF1537" s="47">
        <f t="shared" si="23"/>
        <v>0</v>
      </c>
    </row>
    <row r="1538" spans="32:32" x14ac:dyDescent="0.3">
      <c r="AF1538" s="47">
        <f t="shared" si="23"/>
        <v>0</v>
      </c>
    </row>
    <row r="1539" spans="32:32" x14ac:dyDescent="0.3">
      <c r="AF1539" s="47">
        <f t="shared" ref="AF1539:AF1602" si="24">IFERROR(AC1539-Y1539,"")</f>
        <v>0</v>
      </c>
    </row>
    <row r="1540" spans="32:32" x14ac:dyDescent="0.3">
      <c r="AF1540" s="47">
        <f t="shared" si="24"/>
        <v>0</v>
      </c>
    </row>
    <row r="1541" spans="32:32" x14ac:dyDescent="0.3">
      <c r="AF1541" s="47">
        <f t="shared" si="24"/>
        <v>0</v>
      </c>
    </row>
    <row r="1542" spans="32:32" x14ac:dyDescent="0.3">
      <c r="AF1542" s="47">
        <f t="shared" si="24"/>
        <v>0</v>
      </c>
    </row>
    <row r="1543" spans="32:32" x14ac:dyDescent="0.3">
      <c r="AF1543" s="47">
        <f t="shared" si="24"/>
        <v>0</v>
      </c>
    </row>
    <row r="1544" spans="32:32" x14ac:dyDescent="0.3">
      <c r="AF1544" s="47">
        <f t="shared" si="24"/>
        <v>0</v>
      </c>
    </row>
    <row r="1545" spans="32:32" x14ac:dyDescent="0.3">
      <c r="AF1545" s="47">
        <f t="shared" si="24"/>
        <v>0</v>
      </c>
    </row>
    <row r="1546" spans="32:32" x14ac:dyDescent="0.3">
      <c r="AF1546" s="47">
        <f t="shared" si="24"/>
        <v>0</v>
      </c>
    </row>
    <row r="1547" spans="32:32" x14ac:dyDescent="0.3">
      <c r="AF1547" s="47">
        <f t="shared" si="24"/>
        <v>0</v>
      </c>
    </row>
    <row r="1548" spans="32:32" x14ac:dyDescent="0.3">
      <c r="AF1548" s="47">
        <f t="shared" si="24"/>
        <v>0</v>
      </c>
    </row>
    <row r="1549" spans="32:32" x14ac:dyDescent="0.3">
      <c r="AF1549" s="47">
        <f t="shared" si="24"/>
        <v>0</v>
      </c>
    </row>
    <row r="1550" spans="32:32" x14ac:dyDescent="0.3">
      <c r="AF1550" s="47">
        <f t="shared" si="24"/>
        <v>0</v>
      </c>
    </row>
    <row r="1551" spans="32:32" x14ac:dyDescent="0.3">
      <c r="AF1551" s="47">
        <f t="shared" si="24"/>
        <v>0</v>
      </c>
    </row>
    <row r="1552" spans="32:32" x14ac:dyDescent="0.3">
      <c r="AF1552" s="47">
        <f t="shared" si="24"/>
        <v>0</v>
      </c>
    </row>
    <row r="1553" spans="32:32" x14ac:dyDescent="0.3">
      <c r="AF1553" s="47">
        <f t="shared" si="24"/>
        <v>0</v>
      </c>
    </row>
    <row r="1554" spans="32:32" x14ac:dyDescent="0.3">
      <c r="AF1554" s="47">
        <f t="shared" si="24"/>
        <v>0</v>
      </c>
    </row>
    <row r="1555" spans="32:32" x14ac:dyDescent="0.3">
      <c r="AF1555" s="47">
        <f t="shared" si="24"/>
        <v>0</v>
      </c>
    </row>
    <row r="1556" spans="32:32" x14ac:dyDescent="0.3">
      <c r="AF1556" s="47">
        <f t="shared" si="24"/>
        <v>0</v>
      </c>
    </row>
    <row r="1557" spans="32:32" x14ac:dyDescent="0.3">
      <c r="AF1557" s="47">
        <f t="shared" si="24"/>
        <v>0</v>
      </c>
    </row>
    <row r="1558" spans="32:32" x14ac:dyDescent="0.3">
      <c r="AF1558" s="47">
        <f t="shared" si="24"/>
        <v>0</v>
      </c>
    </row>
    <row r="1559" spans="32:32" x14ac:dyDescent="0.3">
      <c r="AF1559" s="47">
        <f t="shared" si="24"/>
        <v>0</v>
      </c>
    </row>
    <row r="1560" spans="32:32" x14ac:dyDescent="0.3">
      <c r="AF1560" s="47">
        <f t="shared" si="24"/>
        <v>0</v>
      </c>
    </row>
    <row r="1561" spans="32:32" x14ac:dyDescent="0.3">
      <c r="AF1561" s="47">
        <f t="shared" si="24"/>
        <v>0</v>
      </c>
    </row>
    <row r="1562" spans="32:32" x14ac:dyDescent="0.3">
      <c r="AF1562" s="47">
        <f t="shared" si="24"/>
        <v>0</v>
      </c>
    </row>
    <row r="1563" spans="32:32" x14ac:dyDescent="0.3">
      <c r="AF1563" s="47">
        <f t="shared" si="24"/>
        <v>0</v>
      </c>
    </row>
    <row r="1564" spans="32:32" x14ac:dyDescent="0.3">
      <c r="AF1564" s="47">
        <f t="shared" si="24"/>
        <v>0</v>
      </c>
    </row>
    <row r="1565" spans="32:32" x14ac:dyDescent="0.3">
      <c r="AF1565" s="47">
        <f t="shared" si="24"/>
        <v>0</v>
      </c>
    </row>
    <row r="1566" spans="32:32" x14ac:dyDescent="0.3">
      <c r="AF1566" s="47">
        <f t="shared" si="24"/>
        <v>0</v>
      </c>
    </row>
    <row r="1567" spans="32:32" x14ac:dyDescent="0.3">
      <c r="AF1567" s="47">
        <f t="shared" si="24"/>
        <v>0</v>
      </c>
    </row>
    <row r="1568" spans="32:32" x14ac:dyDescent="0.3">
      <c r="AF1568" s="47">
        <f t="shared" si="24"/>
        <v>0</v>
      </c>
    </row>
    <row r="1569" spans="32:32" x14ac:dyDescent="0.3">
      <c r="AF1569" s="47">
        <f t="shared" si="24"/>
        <v>0</v>
      </c>
    </row>
    <row r="1570" spans="32:32" x14ac:dyDescent="0.3">
      <c r="AF1570" s="47">
        <f t="shared" si="24"/>
        <v>0</v>
      </c>
    </row>
    <row r="1571" spans="32:32" x14ac:dyDescent="0.3">
      <c r="AF1571" s="47">
        <f t="shared" si="24"/>
        <v>0</v>
      </c>
    </row>
    <row r="1572" spans="32:32" x14ac:dyDescent="0.3">
      <c r="AF1572" s="47">
        <f t="shared" si="24"/>
        <v>0</v>
      </c>
    </row>
    <row r="1573" spans="32:32" x14ac:dyDescent="0.3">
      <c r="AF1573" s="47">
        <f t="shared" si="24"/>
        <v>0</v>
      </c>
    </row>
    <row r="1574" spans="32:32" x14ac:dyDescent="0.3">
      <c r="AF1574" s="47">
        <f t="shared" si="24"/>
        <v>0</v>
      </c>
    </row>
    <row r="1575" spans="32:32" x14ac:dyDescent="0.3">
      <c r="AF1575" s="47">
        <f t="shared" si="24"/>
        <v>0</v>
      </c>
    </row>
    <row r="1576" spans="32:32" x14ac:dyDescent="0.3">
      <c r="AF1576" s="47">
        <f t="shared" si="24"/>
        <v>0</v>
      </c>
    </row>
    <row r="1577" spans="32:32" x14ac:dyDescent="0.3">
      <c r="AF1577" s="47">
        <f t="shared" si="24"/>
        <v>0</v>
      </c>
    </row>
    <row r="1578" spans="32:32" x14ac:dyDescent="0.3">
      <c r="AF1578" s="47">
        <f t="shared" si="24"/>
        <v>0</v>
      </c>
    </row>
    <row r="1579" spans="32:32" x14ac:dyDescent="0.3">
      <c r="AF1579" s="47">
        <f t="shared" si="24"/>
        <v>0</v>
      </c>
    </row>
    <row r="1580" spans="32:32" x14ac:dyDescent="0.3">
      <c r="AF1580" s="47">
        <f t="shared" si="24"/>
        <v>0</v>
      </c>
    </row>
    <row r="1581" spans="32:32" x14ac:dyDescent="0.3">
      <c r="AF1581" s="47">
        <f t="shared" si="24"/>
        <v>0</v>
      </c>
    </row>
    <row r="1582" spans="32:32" x14ac:dyDescent="0.3">
      <c r="AF1582" s="47">
        <f t="shared" si="24"/>
        <v>0</v>
      </c>
    </row>
    <row r="1583" spans="32:32" x14ac:dyDescent="0.3">
      <c r="AF1583" s="47">
        <f t="shared" si="24"/>
        <v>0</v>
      </c>
    </row>
    <row r="1584" spans="32:32" x14ac:dyDescent="0.3">
      <c r="AF1584" s="47">
        <f t="shared" si="24"/>
        <v>0</v>
      </c>
    </row>
    <row r="1585" spans="32:32" x14ac:dyDescent="0.3">
      <c r="AF1585" s="47">
        <f t="shared" si="24"/>
        <v>0</v>
      </c>
    </row>
    <row r="1586" spans="32:32" x14ac:dyDescent="0.3">
      <c r="AF1586" s="47">
        <f t="shared" si="24"/>
        <v>0</v>
      </c>
    </row>
    <row r="1587" spans="32:32" x14ac:dyDescent="0.3">
      <c r="AF1587" s="47">
        <f t="shared" si="24"/>
        <v>0</v>
      </c>
    </row>
    <row r="1588" spans="32:32" x14ac:dyDescent="0.3">
      <c r="AF1588" s="47">
        <f t="shared" si="24"/>
        <v>0</v>
      </c>
    </row>
    <row r="1589" spans="32:32" x14ac:dyDescent="0.3">
      <c r="AF1589" s="47">
        <f t="shared" si="24"/>
        <v>0</v>
      </c>
    </row>
    <row r="1590" spans="32:32" x14ac:dyDescent="0.3">
      <c r="AF1590" s="47">
        <f t="shared" si="24"/>
        <v>0</v>
      </c>
    </row>
    <row r="1591" spans="32:32" x14ac:dyDescent="0.3">
      <c r="AF1591" s="47">
        <f t="shared" si="24"/>
        <v>0</v>
      </c>
    </row>
    <row r="1592" spans="32:32" x14ac:dyDescent="0.3">
      <c r="AF1592" s="47">
        <f t="shared" si="24"/>
        <v>0</v>
      </c>
    </row>
    <row r="1593" spans="32:32" x14ac:dyDescent="0.3">
      <c r="AF1593" s="47">
        <f t="shared" si="24"/>
        <v>0</v>
      </c>
    </row>
    <row r="1594" spans="32:32" x14ac:dyDescent="0.3">
      <c r="AF1594" s="47">
        <f t="shared" si="24"/>
        <v>0</v>
      </c>
    </row>
    <row r="1595" spans="32:32" x14ac:dyDescent="0.3">
      <c r="AF1595" s="47">
        <f t="shared" si="24"/>
        <v>0</v>
      </c>
    </row>
    <row r="1596" spans="32:32" x14ac:dyDescent="0.3">
      <c r="AF1596" s="47">
        <f t="shared" si="24"/>
        <v>0</v>
      </c>
    </row>
    <row r="1597" spans="32:32" x14ac:dyDescent="0.3">
      <c r="AF1597" s="47">
        <f t="shared" si="24"/>
        <v>0</v>
      </c>
    </row>
    <row r="1598" spans="32:32" x14ac:dyDescent="0.3">
      <c r="AF1598" s="47">
        <f t="shared" si="24"/>
        <v>0</v>
      </c>
    </row>
    <row r="1599" spans="32:32" x14ac:dyDescent="0.3">
      <c r="AF1599" s="47">
        <f t="shared" si="24"/>
        <v>0</v>
      </c>
    </row>
    <row r="1600" spans="32:32" x14ac:dyDescent="0.3">
      <c r="AF1600" s="47">
        <f t="shared" si="24"/>
        <v>0</v>
      </c>
    </row>
    <row r="1601" spans="32:32" x14ac:dyDescent="0.3">
      <c r="AF1601" s="47">
        <f t="shared" si="24"/>
        <v>0</v>
      </c>
    </row>
    <row r="1602" spans="32:32" x14ac:dyDescent="0.3">
      <c r="AF1602" s="47">
        <f t="shared" si="24"/>
        <v>0</v>
      </c>
    </row>
    <row r="1603" spans="32:32" x14ac:dyDescent="0.3">
      <c r="AF1603" s="47">
        <f t="shared" ref="AF1603:AF1666" si="25">IFERROR(AC1603-Y1603,"")</f>
        <v>0</v>
      </c>
    </row>
    <row r="1604" spans="32:32" x14ac:dyDescent="0.3">
      <c r="AF1604" s="47">
        <f t="shared" si="25"/>
        <v>0</v>
      </c>
    </row>
    <row r="1605" spans="32:32" x14ac:dyDescent="0.3">
      <c r="AF1605" s="47">
        <f t="shared" si="25"/>
        <v>0</v>
      </c>
    </row>
    <row r="1606" spans="32:32" x14ac:dyDescent="0.3">
      <c r="AF1606" s="47">
        <f t="shared" si="25"/>
        <v>0</v>
      </c>
    </row>
    <row r="1607" spans="32:32" x14ac:dyDescent="0.3">
      <c r="AF1607" s="47">
        <f t="shared" si="25"/>
        <v>0</v>
      </c>
    </row>
    <row r="1608" spans="32:32" x14ac:dyDescent="0.3">
      <c r="AF1608" s="47">
        <f t="shared" si="25"/>
        <v>0</v>
      </c>
    </row>
    <row r="1609" spans="32:32" x14ac:dyDescent="0.3">
      <c r="AF1609" s="47">
        <f t="shared" si="25"/>
        <v>0</v>
      </c>
    </row>
    <row r="1610" spans="32:32" x14ac:dyDescent="0.3">
      <c r="AF1610" s="47">
        <f t="shared" si="25"/>
        <v>0</v>
      </c>
    </row>
    <row r="1611" spans="32:32" x14ac:dyDescent="0.3">
      <c r="AF1611" s="47">
        <f t="shared" si="25"/>
        <v>0</v>
      </c>
    </row>
    <row r="1612" spans="32:32" x14ac:dyDescent="0.3">
      <c r="AF1612" s="47">
        <f t="shared" si="25"/>
        <v>0</v>
      </c>
    </row>
    <row r="1613" spans="32:32" x14ac:dyDescent="0.3">
      <c r="AF1613" s="47">
        <f t="shared" si="25"/>
        <v>0</v>
      </c>
    </row>
    <row r="1614" spans="32:32" x14ac:dyDescent="0.3">
      <c r="AF1614" s="47">
        <f t="shared" si="25"/>
        <v>0</v>
      </c>
    </row>
    <row r="1615" spans="32:32" x14ac:dyDescent="0.3">
      <c r="AF1615" s="47">
        <f t="shared" si="25"/>
        <v>0</v>
      </c>
    </row>
    <row r="1616" spans="32:32" x14ac:dyDescent="0.3">
      <c r="AF1616" s="47">
        <f t="shared" si="25"/>
        <v>0</v>
      </c>
    </row>
    <row r="1617" spans="32:32" x14ac:dyDescent="0.3">
      <c r="AF1617" s="47">
        <f t="shared" si="25"/>
        <v>0</v>
      </c>
    </row>
    <row r="1618" spans="32:32" x14ac:dyDescent="0.3">
      <c r="AF1618" s="47">
        <f t="shared" si="25"/>
        <v>0</v>
      </c>
    </row>
    <row r="1619" spans="32:32" x14ac:dyDescent="0.3">
      <c r="AF1619" s="47">
        <f t="shared" si="25"/>
        <v>0</v>
      </c>
    </row>
    <row r="1620" spans="32:32" x14ac:dyDescent="0.3">
      <c r="AF1620" s="47">
        <f t="shared" si="25"/>
        <v>0</v>
      </c>
    </row>
    <row r="1621" spans="32:32" x14ac:dyDescent="0.3">
      <c r="AF1621" s="47">
        <f t="shared" si="25"/>
        <v>0</v>
      </c>
    </row>
    <row r="1622" spans="32:32" x14ac:dyDescent="0.3">
      <c r="AF1622" s="47">
        <f t="shared" si="25"/>
        <v>0</v>
      </c>
    </row>
    <row r="1623" spans="32:32" x14ac:dyDescent="0.3">
      <c r="AF1623" s="47">
        <f t="shared" si="25"/>
        <v>0</v>
      </c>
    </row>
    <row r="1624" spans="32:32" x14ac:dyDescent="0.3">
      <c r="AF1624" s="47">
        <f t="shared" si="25"/>
        <v>0</v>
      </c>
    </row>
    <row r="1625" spans="32:32" x14ac:dyDescent="0.3">
      <c r="AF1625" s="47">
        <f t="shared" si="25"/>
        <v>0</v>
      </c>
    </row>
    <row r="1626" spans="32:32" x14ac:dyDescent="0.3">
      <c r="AF1626" s="47">
        <f t="shared" si="25"/>
        <v>0</v>
      </c>
    </row>
    <row r="1627" spans="32:32" x14ac:dyDescent="0.3">
      <c r="AF1627" s="47">
        <f t="shared" si="25"/>
        <v>0</v>
      </c>
    </row>
    <row r="1628" spans="32:32" x14ac:dyDescent="0.3">
      <c r="AF1628" s="47">
        <f t="shared" si="25"/>
        <v>0</v>
      </c>
    </row>
    <row r="1629" spans="32:32" x14ac:dyDescent="0.3">
      <c r="AF1629" s="47">
        <f t="shared" si="25"/>
        <v>0</v>
      </c>
    </row>
    <row r="1630" spans="32:32" x14ac:dyDescent="0.3">
      <c r="AF1630" s="47">
        <f t="shared" si="25"/>
        <v>0</v>
      </c>
    </row>
    <row r="1631" spans="32:32" x14ac:dyDescent="0.3">
      <c r="AF1631" s="47">
        <f t="shared" si="25"/>
        <v>0</v>
      </c>
    </row>
    <row r="1632" spans="32:32" x14ac:dyDescent="0.3">
      <c r="AF1632" s="47">
        <f t="shared" si="25"/>
        <v>0</v>
      </c>
    </row>
    <row r="1633" spans="32:32" x14ac:dyDescent="0.3">
      <c r="AF1633" s="47">
        <f t="shared" si="25"/>
        <v>0</v>
      </c>
    </row>
    <row r="1634" spans="32:32" x14ac:dyDescent="0.3">
      <c r="AF1634" s="47">
        <f t="shared" si="25"/>
        <v>0</v>
      </c>
    </row>
    <row r="1635" spans="32:32" x14ac:dyDescent="0.3">
      <c r="AF1635" s="47">
        <f t="shared" si="25"/>
        <v>0</v>
      </c>
    </row>
    <row r="1636" spans="32:32" x14ac:dyDescent="0.3">
      <c r="AF1636" s="47">
        <f t="shared" si="25"/>
        <v>0</v>
      </c>
    </row>
    <row r="1637" spans="32:32" x14ac:dyDescent="0.3">
      <c r="AF1637" s="47">
        <f t="shared" si="25"/>
        <v>0</v>
      </c>
    </row>
    <row r="1638" spans="32:32" x14ac:dyDescent="0.3">
      <c r="AF1638" s="47">
        <f t="shared" si="25"/>
        <v>0</v>
      </c>
    </row>
    <row r="1639" spans="32:32" x14ac:dyDescent="0.3">
      <c r="AF1639" s="47">
        <f t="shared" si="25"/>
        <v>0</v>
      </c>
    </row>
    <row r="1640" spans="32:32" x14ac:dyDescent="0.3">
      <c r="AF1640" s="47">
        <f t="shared" si="25"/>
        <v>0</v>
      </c>
    </row>
    <row r="1641" spans="32:32" x14ac:dyDescent="0.3">
      <c r="AF1641" s="47">
        <f t="shared" si="25"/>
        <v>0</v>
      </c>
    </row>
    <row r="1642" spans="32:32" x14ac:dyDescent="0.3">
      <c r="AF1642" s="47">
        <f t="shared" si="25"/>
        <v>0</v>
      </c>
    </row>
    <row r="1643" spans="32:32" x14ac:dyDescent="0.3">
      <c r="AF1643" s="47">
        <f t="shared" si="25"/>
        <v>0</v>
      </c>
    </row>
    <row r="1644" spans="32:32" x14ac:dyDescent="0.3">
      <c r="AF1644" s="47">
        <f t="shared" si="25"/>
        <v>0</v>
      </c>
    </row>
    <row r="1645" spans="32:32" x14ac:dyDescent="0.3">
      <c r="AF1645" s="47">
        <f t="shared" si="25"/>
        <v>0</v>
      </c>
    </row>
    <row r="1646" spans="32:32" x14ac:dyDescent="0.3">
      <c r="AF1646" s="47">
        <f t="shared" si="25"/>
        <v>0</v>
      </c>
    </row>
    <row r="1647" spans="32:32" x14ac:dyDescent="0.3">
      <c r="AF1647" s="47">
        <f t="shared" si="25"/>
        <v>0</v>
      </c>
    </row>
    <row r="1648" spans="32:32" x14ac:dyDescent="0.3">
      <c r="AF1648" s="47">
        <f t="shared" si="25"/>
        <v>0</v>
      </c>
    </row>
    <row r="1649" spans="32:32" x14ac:dyDescent="0.3">
      <c r="AF1649" s="47">
        <f t="shared" si="25"/>
        <v>0</v>
      </c>
    </row>
    <row r="1650" spans="32:32" x14ac:dyDescent="0.3">
      <c r="AF1650" s="47">
        <f t="shared" si="25"/>
        <v>0</v>
      </c>
    </row>
    <row r="1651" spans="32:32" x14ac:dyDescent="0.3">
      <c r="AF1651" s="47">
        <f t="shared" si="25"/>
        <v>0</v>
      </c>
    </row>
    <row r="1652" spans="32:32" x14ac:dyDescent="0.3">
      <c r="AF1652" s="47">
        <f t="shared" si="25"/>
        <v>0</v>
      </c>
    </row>
    <row r="1653" spans="32:32" x14ac:dyDescent="0.3">
      <c r="AF1653" s="47">
        <f t="shared" si="25"/>
        <v>0</v>
      </c>
    </row>
    <row r="1654" spans="32:32" x14ac:dyDescent="0.3">
      <c r="AF1654" s="47">
        <f t="shared" si="25"/>
        <v>0</v>
      </c>
    </row>
    <row r="1655" spans="32:32" x14ac:dyDescent="0.3">
      <c r="AF1655" s="47">
        <f t="shared" si="25"/>
        <v>0</v>
      </c>
    </row>
    <row r="1656" spans="32:32" x14ac:dyDescent="0.3">
      <c r="AF1656" s="47">
        <f t="shared" si="25"/>
        <v>0</v>
      </c>
    </row>
    <row r="1657" spans="32:32" x14ac:dyDescent="0.3">
      <c r="AF1657" s="47">
        <f t="shared" si="25"/>
        <v>0</v>
      </c>
    </row>
    <row r="1658" spans="32:32" x14ac:dyDescent="0.3">
      <c r="AF1658" s="47">
        <f t="shared" si="25"/>
        <v>0</v>
      </c>
    </row>
    <row r="1659" spans="32:32" x14ac:dyDescent="0.3">
      <c r="AF1659" s="47">
        <f t="shared" si="25"/>
        <v>0</v>
      </c>
    </row>
    <row r="1660" spans="32:32" x14ac:dyDescent="0.3">
      <c r="AF1660" s="47">
        <f t="shared" si="25"/>
        <v>0</v>
      </c>
    </row>
    <row r="1661" spans="32:32" x14ac:dyDescent="0.3">
      <c r="AF1661" s="47">
        <f t="shared" si="25"/>
        <v>0</v>
      </c>
    </row>
    <row r="1662" spans="32:32" x14ac:dyDescent="0.3">
      <c r="AF1662" s="47">
        <f t="shared" si="25"/>
        <v>0</v>
      </c>
    </row>
    <row r="1663" spans="32:32" x14ac:dyDescent="0.3">
      <c r="AF1663" s="47">
        <f t="shared" si="25"/>
        <v>0</v>
      </c>
    </row>
    <row r="1664" spans="32:32" x14ac:dyDescent="0.3">
      <c r="AF1664" s="47">
        <f t="shared" si="25"/>
        <v>0</v>
      </c>
    </row>
    <row r="1665" spans="32:32" x14ac:dyDescent="0.3">
      <c r="AF1665" s="47">
        <f t="shared" si="25"/>
        <v>0</v>
      </c>
    </row>
    <row r="1666" spans="32:32" x14ac:dyDescent="0.3">
      <c r="AF1666" s="47">
        <f t="shared" si="25"/>
        <v>0</v>
      </c>
    </row>
    <row r="1667" spans="32:32" x14ac:dyDescent="0.3">
      <c r="AF1667" s="47">
        <f t="shared" ref="AF1667:AF1730" si="26">IFERROR(AC1667-Y1667,"")</f>
        <v>0</v>
      </c>
    </row>
    <row r="1668" spans="32:32" x14ac:dyDescent="0.3">
      <c r="AF1668" s="47">
        <f t="shared" si="26"/>
        <v>0</v>
      </c>
    </row>
    <row r="1669" spans="32:32" x14ac:dyDescent="0.3">
      <c r="AF1669" s="47">
        <f t="shared" si="26"/>
        <v>0</v>
      </c>
    </row>
    <row r="1670" spans="32:32" x14ac:dyDescent="0.3">
      <c r="AF1670" s="47">
        <f t="shared" si="26"/>
        <v>0</v>
      </c>
    </row>
    <row r="1671" spans="32:32" x14ac:dyDescent="0.3">
      <c r="AF1671" s="47">
        <f t="shared" si="26"/>
        <v>0</v>
      </c>
    </row>
    <row r="1672" spans="32:32" x14ac:dyDescent="0.3">
      <c r="AF1672" s="47">
        <f t="shared" si="26"/>
        <v>0</v>
      </c>
    </row>
    <row r="1673" spans="32:32" x14ac:dyDescent="0.3">
      <c r="AF1673" s="47">
        <f t="shared" si="26"/>
        <v>0</v>
      </c>
    </row>
    <row r="1674" spans="32:32" x14ac:dyDescent="0.3">
      <c r="AF1674" s="47">
        <f t="shared" si="26"/>
        <v>0</v>
      </c>
    </row>
    <row r="1675" spans="32:32" x14ac:dyDescent="0.3">
      <c r="AF1675" s="47">
        <f t="shared" si="26"/>
        <v>0</v>
      </c>
    </row>
    <row r="1676" spans="32:32" x14ac:dyDescent="0.3">
      <c r="AF1676" s="47">
        <f t="shared" si="26"/>
        <v>0</v>
      </c>
    </row>
    <row r="1677" spans="32:32" x14ac:dyDescent="0.3">
      <c r="AF1677" s="47">
        <f t="shared" si="26"/>
        <v>0</v>
      </c>
    </row>
    <row r="1678" spans="32:32" x14ac:dyDescent="0.3">
      <c r="AF1678" s="47">
        <f t="shared" si="26"/>
        <v>0</v>
      </c>
    </row>
    <row r="1679" spans="32:32" x14ac:dyDescent="0.3">
      <c r="AF1679" s="47">
        <f t="shared" si="26"/>
        <v>0</v>
      </c>
    </row>
    <row r="1680" spans="32:32" x14ac:dyDescent="0.3">
      <c r="AF1680" s="47">
        <f t="shared" si="26"/>
        <v>0</v>
      </c>
    </row>
    <row r="1681" spans="32:32" x14ac:dyDescent="0.3">
      <c r="AF1681" s="47">
        <f t="shared" si="26"/>
        <v>0</v>
      </c>
    </row>
    <row r="1682" spans="32:32" x14ac:dyDescent="0.3">
      <c r="AF1682" s="47">
        <f t="shared" si="26"/>
        <v>0</v>
      </c>
    </row>
    <row r="1683" spans="32:32" x14ac:dyDescent="0.3">
      <c r="AF1683" s="47">
        <f t="shared" si="26"/>
        <v>0</v>
      </c>
    </row>
    <row r="1684" spans="32:32" x14ac:dyDescent="0.3">
      <c r="AF1684" s="47">
        <f t="shared" si="26"/>
        <v>0</v>
      </c>
    </row>
    <row r="1685" spans="32:32" x14ac:dyDescent="0.3">
      <c r="AF1685" s="47">
        <f t="shared" si="26"/>
        <v>0</v>
      </c>
    </row>
    <row r="1686" spans="32:32" x14ac:dyDescent="0.3">
      <c r="AF1686" s="47">
        <f t="shared" si="26"/>
        <v>0</v>
      </c>
    </row>
    <row r="1687" spans="32:32" x14ac:dyDescent="0.3">
      <c r="AF1687" s="47">
        <f t="shared" si="26"/>
        <v>0</v>
      </c>
    </row>
    <row r="1688" spans="32:32" x14ac:dyDescent="0.3">
      <c r="AF1688" s="47">
        <f t="shared" si="26"/>
        <v>0</v>
      </c>
    </row>
    <row r="1689" spans="32:32" x14ac:dyDescent="0.3">
      <c r="AF1689" s="47">
        <f t="shared" si="26"/>
        <v>0</v>
      </c>
    </row>
    <row r="1690" spans="32:32" x14ac:dyDescent="0.3">
      <c r="AF1690" s="47">
        <f t="shared" si="26"/>
        <v>0</v>
      </c>
    </row>
    <row r="1691" spans="32:32" x14ac:dyDescent="0.3">
      <c r="AF1691" s="47">
        <f t="shared" si="26"/>
        <v>0</v>
      </c>
    </row>
    <row r="1692" spans="32:32" x14ac:dyDescent="0.3">
      <c r="AF1692" s="47">
        <f t="shared" si="26"/>
        <v>0</v>
      </c>
    </row>
    <row r="1693" spans="32:32" x14ac:dyDescent="0.3">
      <c r="AF1693" s="47">
        <f t="shared" si="26"/>
        <v>0</v>
      </c>
    </row>
    <row r="1694" spans="32:32" x14ac:dyDescent="0.3">
      <c r="AF1694" s="47">
        <f t="shared" si="26"/>
        <v>0</v>
      </c>
    </row>
    <row r="1695" spans="32:32" x14ac:dyDescent="0.3">
      <c r="AF1695" s="47">
        <f t="shared" si="26"/>
        <v>0</v>
      </c>
    </row>
    <row r="1696" spans="32:32" x14ac:dyDescent="0.3">
      <c r="AF1696" s="47">
        <f t="shared" si="26"/>
        <v>0</v>
      </c>
    </row>
    <row r="1697" spans="32:32" x14ac:dyDescent="0.3">
      <c r="AF1697" s="47">
        <f t="shared" si="26"/>
        <v>0</v>
      </c>
    </row>
    <row r="1698" spans="32:32" x14ac:dyDescent="0.3">
      <c r="AF1698" s="47">
        <f t="shared" si="26"/>
        <v>0</v>
      </c>
    </row>
    <row r="1699" spans="32:32" x14ac:dyDescent="0.3">
      <c r="AF1699" s="47">
        <f t="shared" si="26"/>
        <v>0</v>
      </c>
    </row>
    <row r="1700" spans="32:32" x14ac:dyDescent="0.3">
      <c r="AF1700" s="47">
        <f t="shared" si="26"/>
        <v>0</v>
      </c>
    </row>
    <row r="1701" spans="32:32" x14ac:dyDescent="0.3">
      <c r="AF1701" s="47">
        <f t="shared" si="26"/>
        <v>0</v>
      </c>
    </row>
    <row r="1702" spans="32:32" x14ac:dyDescent="0.3">
      <c r="AF1702" s="47">
        <f t="shared" si="26"/>
        <v>0</v>
      </c>
    </row>
    <row r="1703" spans="32:32" x14ac:dyDescent="0.3">
      <c r="AF1703" s="47">
        <f t="shared" si="26"/>
        <v>0</v>
      </c>
    </row>
    <row r="1704" spans="32:32" x14ac:dyDescent="0.3">
      <c r="AF1704" s="47">
        <f t="shared" si="26"/>
        <v>0</v>
      </c>
    </row>
    <row r="1705" spans="32:32" x14ac:dyDescent="0.3">
      <c r="AF1705" s="47">
        <f t="shared" si="26"/>
        <v>0</v>
      </c>
    </row>
    <row r="1706" spans="32:32" x14ac:dyDescent="0.3">
      <c r="AF1706" s="47">
        <f t="shared" si="26"/>
        <v>0</v>
      </c>
    </row>
    <row r="1707" spans="32:32" x14ac:dyDescent="0.3">
      <c r="AF1707" s="47">
        <f t="shared" si="26"/>
        <v>0</v>
      </c>
    </row>
    <row r="1708" spans="32:32" x14ac:dyDescent="0.3">
      <c r="AF1708" s="47">
        <f t="shared" si="26"/>
        <v>0</v>
      </c>
    </row>
    <row r="1709" spans="32:32" x14ac:dyDescent="0.3">
      <c r="AF1709" s="47">
        <f t="shared" si="26"/>
        <v>0</v>
      </c>
    </row>
    <row r="1710" spans="32:32" x14ac:dyDescent="0.3">
      <c r="AF1710" s="47">
        <f t="shared" si="26"/>
        <v>0</v>
      </c>
    </row>
    <row r="1711" spans="32:32" x14ac:dyDescent="0.3">
      <c r="AF1711" s="47">
        <f t="shared" si="26"/>
        <v>0</v>
      </c>
    </row>
    <row r="1712" spans="32:32" x14ac:dyDescent="0.3">
      <c r="AF1712" s="47">
        <f t="shared" si="26"/>
        <v>0</v>
      </c>
    </row>
    <row r="1713" spans="32:32" x14ac:dyDescent="0.3">
      <c r="AF1713" s="47">
        <f t="shared" si="26"/>
        <v>0</v>
      </c>
    </row>
    <row r="1714" spans="32:32" x14ac:dyDescent="0.3">
      <c r="AF1714" s="47">
        <f t="shared" si="26"/>
        <v>0</v>
      </c>
    </row>
    <row r="1715" spans="32:32" x14ac:dyDescent="0.3">
      <c r="AF1715" s="47">
        <f t="shared" si="26"/>
        <v>0</v>
      </c>
    </row>
    <row r="1716" spans="32:32" x14ac:dyDescent="0.3">
      <c r="AF1716" s="47">
        <f t="shared" si="26"/>
        <v>0</v>
      </c>
    </row>
    <row r="1717" spans="32:32" x14ac:dyDescent="0.3">
      <c r="AF1717" s="47">
        <f t="shared" si="26"/>
        <v>0</v>
      </c>
    </row>
    <row r="1718" spans="32:32" x14ac:dyDescent="0.3">
      <c r="AF1718" s="47">
        <f t="shared" si="26"/>
        <v>0</v>
      </c>
    </row>
    <row r="1719" spans="32:32" x14ac:dyDescent="0.3">
      <c r="AF1719" s="47">
        <f t="shared" si="26"/>
        <v>0</v>
      </c>
    </row>
    <row r="1720" spans="32:32" x14ac:dyDescent="0.3">
      <c r="AF1720" s="47">
        <f t="shared" si="26"/>
        <v>0</v>
      </c>
    </row>
    <row r="1721" spans="32:32" x14ac:dyDescent="0.3">
      <c r="AF1721" s="47">
        <f t="shared" si="26"/>
        <v>0</v>
      </c>
    </row>
    <row r="1722" spans="32:32" x14ac:dyDescent="0.3">
      <c r="AF1722" s="47">
        <f t="shared" si="26"/>
        <v>0</v>
      </c>
    </row>
    <row r="1723" spans="32:32" x14ac:dyDescent="0.3">
      <c r="AF1723" s="47">
        <f t="shared" si="26"/>
        <v>0</v>
      </c>
    </row>
    <row r="1724" spans="32:32" x14ac:dyDescent="0.3">
      <c r="AF1724" s="47">
        <f t="shared" si="26"/>
        <v>0</v>
      </c>
    </row>
    <row r="1725" spans="32:32" x14ac:dyDescent="0.3">
      <c r="AF1725" s="47">
        <f t="shared" si="26"/>
        <v>0</v>
      </c>
    </row>
    <row r="1726" spans="32:32" x14ac:dyDescent="0.3">
      <c r="AF1726" s="47">
        <f t="shared" si="26"/>
        <v>0</v>
      </c>
    </row>
    <row r="1727" spans="32:32" x14ac:dyDescent="0.3">
      <c r="AF1727" s="47">
        <f t="shared" si="26"/>
        <v>0</v>
      </c>
    </row>
    <row r="1728" spans="32:32" x14ac:dyDescent="0.3">
      <c r="AF1728" s="47">
        <f t="shared" si="26"/>
        <v>0</v>
      </c>
    </row>
    <row r="1729" spans="32:32" x14ac:dyDescent="0.3">
      <c r="AF1729" s="47">
        <f t="shared" si="26"/>
        <v>0</v>
      </c>
    </row>
    <row r="1730" spans="32:32" x14ac:dyDescent="0.3">
      <c r="AF1730" s="47">
        <f t="shared" si="26"/>
        <v>0</v>
      </c>
    </row>
    <row r="1731" spans="32:32" x14ac:dyDescent="0.3">
      <c r="AF1731" s="47">
        <f t="shared" ref="AF1731:AF1794" si="27">IFERROR(AC1731-Y1731,"")</f>
        <v>0</v>
      </c>
    </row>
    <row r="1732" spans="32:32" x14ac:dyDescent="0.3">
      <c r="AF1732" s="47">
        <f t="shared" si="27"/>
        <v>0</v>
      </c>
    </row>
    <row r="1733" spans="32:32" x14ac:dyDescent="0.3">
      <c r="AF1733" s="47">
        <f t="shared" si="27"/>
        <v>0</v>
      </c>
    </row>
    <row r="1734" spans="32:32" x14ac:dyDescent="0.3">
      <c r="AF1734" s="47">
        <f t="shared" si="27"/>
        <v>0</v>
      </c>
    </row>
    <row r="1735" spans="32:32" x14ac:dyDescent="0.3">
      <c r="AF1735" s="47">
        <f t="shared" si="27"/>
        <v>0</v>
      </c>
    </row>
    <row r="1736" spans="32:32" x14ac:dyDescent="0.3">
      <c r="AF1736" s="47">
        <f t="shared" si="27"/>
        <v>0</v>
      </c>
    </row>
    <row r="1737" spans="32:32" x14ac:dyDescent="0.3">
      <c r="AF1737" s="47">
        <f t="shared" si="27"/>
        <v>0</v>
      </c>
    </row>
    <row r="1738" spans="32:32" x14ac:dyDescent="0.3">
      <c r="AF1738" s="47">
        <f t="shared" si="27"/>
        <v>0</v>
      </c>
    </row>
    <row r="1739" spans="32:32" x14ac:dyDescent="0.3">
      <c r="AF1739" s="47">
        <f t="shared" si="27"/>
        <v>0</v>
      </c>
    </row>
    <row r="1740" spans="32:32" x14ac:dyDescent="0.3">
      <c r="AF1740" s="47">
        <f t="shared" si="27"/>
        <v>0</v>
      </c>
    </row>
    <row r="1741" spans="32:32" x14ac:dyDescent="0.3">
      <c r="AF1741" s="47">
        <f t="shared" si="27"/>
        <v>0</v>
      </c>
    </row>
    <row r="1742" spans="32:32" x14ac:dyDescent="0.3">
      <c r="AF1742" s="47">
        <f t="shared" si="27"/>
        <v>0</v>
      </c>
    </row>
    <row r="1743" spans="32:32" x14ac:dyDescent="0.3">
      <c r="AF1743" s="47">
        <f t="shared" si="27"/>
        <v>0</v>
      </c>
    </row>
    <row r="1744" spans="32:32" x14ac:dyDescent="0.3">
      <c r="AF1744" s="47">
        <f t="shared" si="27"/>
        <v>0</v>
      </c>
    </row>
    <row r="1745" spans="32:32" x14ac:dyDescent="0.3">
      <c r="AF1745" s="47">
        <f t="shared" si="27"/>
        <v>0</v>
      </c>
    </row>
    <row r="1746" spans="32:32" x14ac:dyDescent="0.3">
      <c r="AF1746" s="47">
        <f t="shared" si="27"/>
        <v>0</v>
      </c>
    </row>
    <row r="1747" spans="32:32" x14ac:dyDescent="0.3">
      <c r="AF1747" s="47">
        <f t="shared" si="27"/>
        <v>0</v>
      </c>
    </row>
    <row r="1748" spans="32:32" x14ac:dyDescent="0.3">
      <c r="AF1748" s="47">
        <f t="shared" si="27"/>
        <v>0</v>
      </c>
    </row>
    <row r="1749" spans="32:32" x14ac:dyDescent="0.3">
      <c r="AF1749" s="47">
        <f t="shared" si="27"/>
        <v>0</v>
      </c>
    </row>
    <row r="1750" spans="32:32" x14ac:dyDescent="0.3">
      <c r="AF1750" s="47">
        <f t="shared" si="27"/>
        <v>0</v>
      </c>
    </row>
    <row r="1751" spans="32:32" x14ac:dyDescent="0.3">
      <c r="AF1751" s="47">
        <f t="shared" si="27"/>
        <v>0</v>
      </c>
    </row>
    <row r="1752" spans="32:32" x14ac:dyDescent="0.3">
      <c r="AF1752" s="47">
        <f t="shared" si="27"/>
        <v>0</v>
      </c>
    </row>
    <row r="1753" spans="32:32" x14ac:dyDescent="0.3">
      <c r="AF1753" s="47">
        <f t="shared" si="27"/>
        <v>0</v>
      </c>
    </row>
    <row r="1754" spans="32:32" x14ac:dyDescent="0.3">
      <c r="AF1754" s="47">
        <f t="shared" si="27"/>
        <v>0</v>
      </c>
    </row>
    <row r="1755" spans="32:32" x14ac:dyDescent="0.3">
      <c r="AF1755" s="47">
        <f t="shared" si="27"/>
        <v>0</v>
      </c>
    </row>
    <row r="1756" spans="32:32" x14ac:dyDescent="0.3">
      <c r="AF1756" s="47">
        <f t="shared" si="27"/>
        <v>0</v>
      </c>
    </row>
    <row r="1757" spans="32:32" x14ac:dyDescent="0.3">
      <c r="AF1757" s="47">
        <f t="shared" si="27"/>
        <v>0</v>
      </c>
    </row>
    <row r="1758" spans="32:32" x14ac:dyDescent="0.3">
      <c r="AF1758" s="47">
        <f t="shared" si="27"/>
        <v>0</v>
      </c>
    </row>
    <row r="1759" spans="32:32" x14ac:dyDescent="0.3">
      <c r="AF1759" s="47">
        <f t="shared" si="27"/>
        <v>0</v>
      </c>
    </row>
    <row r="1760" spans="32:32" x14ac:dyDescent="0.3">
      <c r="AF1760" s="47">
        <f t="shared" si="27"/>
        <v>0</v>
      </c>
    </row>
    <row r="1761" spans="32:32" x14ac:dyDescent="0.3">
      <c r="AF1761" s="47">
        <f t="shared" si="27"/>
        <v>0</v>
      </c>
    </row>
    <row r="1762" spans="32:32" x14ac:dyDescent="0.3">
      <c r="AF1762" s="47">
        <f t="shared" si="27"/>
        <v>0</v>
      </c>
    </row>
    <row r="1763" spans="32:32" x14ac:dyDescent="0.3">
      <c r="AF1763" s="47">
        <f t="shared" si="27"/>
        <v>0</v>
      </c>
    </row>
    <row r="1764" spans="32:32" x14ac:dyDescent="0.3">
      <c r="AF1764" s="47">
        <f t="shared" si="27"/>
        <v>0</v>
      </c>
    </row>
    <row r="1765" spans="32:32" x14ac:dyDescent="0.3">
      <c r="AF1765" s="47">
        <f t="shared" si="27"/>
        <v>0</v>
      </c>
    </row>
    <row r="1766" spans="32:32" x14ac:dyDescent="0.3">
      <c r="AF1766" s="47">
        <f t="shared" si="27"/>
        <v>0</v>
      </c>
    </row>
    <row r="1767" spans="32:32" x14ac:dyDescent="0.3">
      <c r="AF1767" s="47">
        <f t="shared" si="27"/>
        <v>0</v>
      </c>
    </row>
    <row r="1768" spans="32:32" x14ac:dyDescent="0.3">
      <c r="AF1768" s="47">
        <f t="shared" si="27"/>
        <v>0</v>
      </c>
    </row>
    <row r="1769" spans="32:32" x14ac:dyDescent="0.3">
      <c r="AF1769" s="47">
        <f t="shared" si="27"/>
        <v>0</v>
      </c>
    </row>
    <row r="1770" spans="32:32" x14ac:dyDescent="0.3">
      <c r="AF1770" s="47">
        <f t="shared" si="27"/>
        <v>0</v>
      </c>
    </row>
    <row r="1771" spans="32:32" x14ac:dyDescent="0.3">
      <c r="AF1771" s="47">
        <f t="shared" si="27"/>
        <v>0</v>
      </c>
    </row>
    <row r="1772" spans="32:32" x14ac:dyDescent="0.3">
      <c r="AF1772" s="47">
        <f t="shared" si="27"/>
        <v>0</v>
      </c>
    </row>
    <row r="1773" spans="32:32" x14ac:dyDescent="0.3">
      <c r="AF1773" s="47">
        <f t="shared" si="27"/>
        <v>0</v>
      </c>
    </row>
    <row r="1774" spans="32:32" x14ac:dyDescent="0.3">
      <c r="AF1774" s="47">
        <f t="shared" si="27"/>
        <v>0</v>
      </c>
    </row>
    <row r="1775" spans="32:32" x14ac:dyDescent="0.3">
      <c r="AF1775" s="47">
        <f t="shared" si="27"/>
        <v>0</v>
      </c>
    </row>
    <row r="1776" spans="32:32" x14ac:dyDescent="0.3">
      <c r="AF1776" s="47">
        <f t="shared" si="27"/>
        <v>0</v>
      </c>
    </row>
    <row r="1777" spans="32:32" x14ac:dyDescent="0.3">
      <c r="AF1777" s="47">
        <f t="shared" si="27"/>
        <v>0</v>
      </c>
    </row>
    <row r="1778" spans="32:32" x14ac:dyDescent="0.3">
      <c r="AF1778" s="47">
        <f t="shared" si="27"/>
        <v>0</v>
      </c>
    </row>
    <row r="1779" spans="32:32" x14ac:dyDescent="0.3">
      <c r="AF1779" s="47">
        <f t="shared" si="27"/>
        <v>0</v>
      </c>
    </row>
    <row r="1780" spans="32:32" x14ac:dyDescent="0.3">
      <c r="AF1780" s="47">
        <f t="shared" si="27"/>
        <v>0</v>
      </c>
    </row>
    <row r="1781" spans="32:32" x14ac:dyDescent="0.3">
      <c r="AF1781" s="47">
        <f t="shared" si="27"/>
        <v>0</v>
      </c>
    </row>
    <row r="1782" spans="32:32" x14ac:dyDescent="0.3">
      <c r="AF1782" s="47">
        <f t="shared" si="27"/>
        <v>0</v>
      </c>
    </row>
    <row r="1783" spans="32:32" x14ac:dyDescent="0.3">
      <c r="AF1783" s="47">
        <f t="shared" si="27"/>
        <v>0</v>
      </c>
    </row>
    <row r="1784" spans="32:32" x14ac:dyDescent="0.3">
      <c r="AF1784" s="47">
        <f t="shared" si="27"/>
        <v>0</v>
      </c>
    </row>
    <row r="1785" spans="32:32" x14ac:dyDescent="0.3">
      <c r="AF1785" s="47">
        <f t="shared" si="27"/>
        <v>0</v>
      </c>
    </row>
    <row r="1786" spans="32:32" x14ac:dyDescent="0.3">
      <c r="AF1786" s="47">
        <f t="shared" si="27"/>
        <v>0</v>
      </c>
    </row>
    <row r="1787" spans="32:32" x14ac:dyDescent="0.3">
      <c r="AF1787" s="47">
        <f t="shared" si="27"/>
        <v>0</v>
      </c>
    </row>
    <row r="1788" spans="32:32" x14ac:dyDescent="0.3">
      <c r="AF1788" s="47">
        <f t="shared" si="27"/>
        <v>0</v>
      </c>
    </row>
    <row r="1789" spans="32:32" x14ac:dyDescent="0.3">
      <c r="AF1789" s="47">
        <f t="shared" si="27"/>
        <v>0</v>
      </c>
    </row>
    <row r="1790" spans="32:32" x14ac:dyDescent="0.3">
      <c r="AF1790" s="47">
        <f t="shared" si="27"/>
        <v>0</v>
      </c>
    </row>
    <row r="1791" spans="32:32" x14ac:dyDescent="0.3">
      <c r="AF1791" s="47">
        <f t="shared" si="27"/>
        <v>0</v>
      </c>
    </row>
    <row r="1792" spans="32:32" x14ac:dyDescent="0.3">
      <c r="AF1792" s="47">
        <f t="shared" si="27"/>
        <v>0</v>
      </c>
    </row>
    <row r="1793" spans="32:32" x14ac:dyDescent="0.3">
      <c r="AF1793" s="47">
        <f t="shared" si="27"/>
        <v>0</v>
      </c>
    </row>
    <row r="1794" spans="32:32" x14ac:dyDescent="0.3">
      <c r="AF1794" s="47">
        <f t="shared" si="27"/>
        <v>0</v>
      </c>
    </row>
    <row r="1795" spans="32:32" x14ac:dyDescent="0.3">
      <c r="AF1795" s="47">
        <f t="shared" ref="AF1795:AF1858" si="28">IFERROR(AC1795-Y1795,"")</f>
        <v>0</v>
      </c>
    </row>
    <row r="1796" spans="32:32" x14ac:dyDescent="0.3">
      <c r="AF1796" s="47">
        <f t="shared" si="28"/>
        <v>0</v>
      </c>
    </row>
    <row r="1797" spans="32:32" x14ac:dyDescent="0.3">
      <c r="AF1797" s="47">
        <f t="shared" si="28"/>
        <v>0</v>
      </c>
    </row>
    <row r="1798" spans="32:32" x14ac:dyDescent="0.3">
      <c r="AF1798" s="47">
        <f t="shared" si="28"/>
        <v>0</v>
      </c>
    </row>
    <row r="1799" spans="32:32" x14ac:dyDescent="0.3">
      <c r="AF1799" s="47">
        <f t="shared" si="28"/>
        <v>0</v>
      </c>
    </row>
    <row r="1800" spans="32:32" x14ac:dyDescent="0.3">
      <c r="AF1800" s="47">
        <f t="shared" si="28"/>
        <v>0</v>
      </c>
    </row>
    <row r="1801" spans="32:32" x14ac:dyDescent="0.3">
      <c r="AF1801" s="47">
        <f t="shared" si="28"/>
        <v>0</v>
      </c>
    </row>
    <row r="1802" spans="32:32" x14ac:dyDescent="0.3">
      <c r="AF1802" s="47">
        <f t="shared" si="28"/>
        <v>0</v>
      </c>
    </row>
    <row r="1803" spans="32:32" x14ac:dyDescent="0.3">
      <c r="AF1803" s="47">
        <f t="shared" si="28"/>
        <v>0</v>
      </c>
    </row>
    <row r="1804" spans="32:32" x14ac:dyDescent="0.3">
      <c r="AF1804" s="47">
        <f t="shared" si="28"/>
        <v>0</v>
      </c>
    </row>
    <row r="1805" spans="32:32" x14ac:dyDescent="0.3">
      <c r="AF1805" s="47">
        <f t="shared" si="28"/>
        <v>0</v>
      </c>
    </row>
    <row r="1806" spans="32:32" x14ac:dyDescent="0.3">
      <c r="AF1806" s="47">
        <f t="shared" si="28"/>
        <v>0</v>
      </c>
    </row>
    <row r="1807" spans="32:32" x14ac:dyDescent="0.3">
      <c r="AF1807" s="47">
        <f t="shared" si="28"/>
        <v>0</v>
      </c>
    </row>
    <row r="1808" spans="32:32" x14ac:dyDescent="0.3">
      <c r="AF1808" s="47">
        <f t="shared" si="28"/>
        <v>0</v>
      </c>
    </row>
    <row r="1809" spans="32:32" x14ac:dyDescent="0.3">
      <c r="AF1809" s="47">
        <f t="shared" si="28"/>
        <v>0</v>
      </c>
    </row>
    <row r="1810" spans="32:32" x14ac:dyDescent="0.3">
      <c r="AF1810" s="47">
        <f t="shared" si="28"/>
        <v>0</v>
      </c>
    </row>
    <row r="1811" spans="32:32" x14ac:dyDescent="0.3">
      <c r="AF1811" s="47">
        <f t="shared" si="28"/>
        <v>0</v>
      </c>
    </row>
    <row r="1812" spans="32:32" x14ac:dyDescent="0.3">
      <c r="AF1812" s="47">
        <f t="shared" si="28"/>
        <v>0</v>
      </c>
    </row>
    <row r="1813" spans="32:32" x14ac:dyDescent="0.3">
      <c r="AF1813" s="47">
        <f t="shared" si="28"/>
        <v>0</v>
      </c>
    </row>
    <row r="1814" spans="32:32" x14ac:dyDescent="0.3">
      <c r="AF1814" s="47">
        <f t="shared" si="28"/>
        <v>0</v>
      </c>
    </row>
    <row r="1815" spans="32:32" x14ac:dyDescent="0.3">
      <c r="AF1815" s="47">
        <f t="shared" si="28"/>
        <v>0</v>
      </c>
    </row>
    <row r="1816" spans="32:32" x14ac:dyDescent="0.3">
      <c r="AF1816" s="47">
        <f t="shared" si="28"/>
        <v>0</v>
      </c>
    </row>
    <row r="1817" spans="32:32" x14ac:dyDescent="0.3">
      <c r="AF1817" s="47">
        <f t="shared" si="28"/>
        <v>0</v>
      </c>
    </row>
    <row r="1818" spans="32:32" x14ac:dyDescent="0.3">
      <c r="AF1818" s="47">
        <f t="shared" si="28"/>
        <v>0</v>
      </c>
    </row>
    <row r="1819" spans="32:32" x14ac:dyDescent="0.3">
      <c r="AF1819" s="47">
        <f t="shared" si="28"/>
        <v>0</v>
      </c>
    </row>
    <row r="1820" spans="32:32" x14ac:dyDescent="0.3">
      <c r="AF1820" s="47">
        <f t="shared" si="28"/>
        <v>0</v>
      </c>
    </row>
    <row r="1821" spans="32:32" x14ac:dyDescent="0.3">
      <c r="AF1821" s="47">
        <f t="shared" si="28"/>
        <v>0</v>
      </c>
    </row>
    <row r="1822" spans="32:32" x14ac:dyDescent="0.3">
      <c r="AF1822" s="47">
        <f t="shared" si="28"/>
        <v>0</v>
      </c>
    </row>
    <row r="1823" spans="32:32" x14ac:dyDescent="0.3">
      <c r="AF1823" s="47">
        <f t="shared" si="28"/>
        <v>0</v>
      </c>
    </row>
    <row r="1824" spans="32:32" x14ac:dyDescent="0.3">
      <c r="AF1824" s="47">
        <f t="shared" si="28"/>
        <v>0</v>
      </c>
    </row>
    <row r="1825" spans="32:32" x14ac:dyDescent="0.3">
      <c r="AF1825" s="47">
        <f t="shared" si="28"/>
        <v>0</v>
      </c>
    </row>
    <row r="1826" spans="32:32" x14ac:dyDescent="0.3">
      <c r="AF1826" s="47">
        <f t="shared" si="28"/>
        <v>0</v>
      </c>
    </row>
    <row r="1827" spans="32:32" x14ac:dyDescent="0.3">
      <c r="AF1827" s="47">
        <f t="shared" si="28"/>
        <v>0</v>
      </c>
    </row>
    <row r="1828" spans="32:32" x14ac:dyDescent="0.3">
      <c r="AF1828" s="47">
        <f t="shared" si="28"/>
        <v>0</v>
      </c>
    </row>
    <row r="1829" spans="32:32" x14ac:dyDescent="0.3">
      <c r="AF1829" s="47">
        <f t="shared" si="28"/>
        <v>0</v>
      </c>
    </row>
    <row r="1830" spans="32:32" x14ac:dyDescent="0.3">
      <c r="AF1830" s="47">
        <f t="shared" si="28"/>
        <v>0</v>
      </c>
    </row>
    <row r="1831" spans="32:32" x14ac:dyDescent="0.3">
      <c r="AF1831" s="47">
        <f t="shared" si="28"/>
        <v>0</v>
      </c>
    </row>
    <row r="1832" spans="32:32" x14ac:dyDescent="0.3">
      <c r="AF1832" s="47">
        <f t="shared" si="28"/>
        <v>0</v>
      </c>
    </row>
    <row r="1833" spans="32:32" x14ac:dyDescent="0.3">
      <c r="AF1833" s="47">
        <f t="shared" si="28"/>
        <v>0</v>
      </c>
    </row>
    <row r="1834" spans="32:32" x14ac:dyDescent="0.3">
      <c r="AF1834" s="47">
        <f t="shared" si="28"/>
        <v>0</v>
      </c>
    </row>
    <row r="1835" spans="32:32" x14ac:dyDescent="0.3">
      <c r="AF1835" s="47">
        <f t="shared" si="28"/>
        <v>0</v>
      </c>
    </row>
    <row r="1836" spans="32:32" x14ac:dyDescent="0.3">
      <c r="AF1836" s="47">
        <f t="shared" si="28"/>
        <v>0</v>
      </c>
    </row>
    <row r="1837" spans="32:32" x14ac:dyDescent="0.3">
      <c r="AF1837" s="47">
        <f t="shared" si="28"/>
        <v>0</v>
      </c>
    </row>
    <row r="1838" spans="32:32" x14ac:dyDescent="0.3">
      <c r="AF1838" s="47">
        <f t="shared" si="28"/>
        <v>0</v>
      </c>
    </row>
    <row r="1839" spans="32:32" x14ac:dyDescent="0.3">
      <c r="AF1839" s="47">
        <f t="shared" si="28"/>
        <v>0</v>
      </c>
    </row>
    <row r="1840" spans="32:32" x14ac:dyDescent="0.3">
      <c r="AF1840" s="47">
        <f t="shared" si="28"/>
        <v>0</v>
      </c>
    </row>
    <row r="1841" spans="32:32" x14ac:dyDescent="0.3">
      <c r="AF1841" s="47">
        <f t="shared" si="28"/>
        <v>0</v>
      </c>
    </row>
    <row r="1842" spans="32:32" x14ac:dyDescent="0.3">
      <c r="AF1842" s="47">
        <f t="shared" si="28"/>
        <v>0</v>
      </c>
    </row>
    <row r="1843" spans="32:32" x14ac:dyDescent="0.3">
      <c r="AF1843" s="47">
        <f t="shared" si="28"/>
        <v>0</v>
      </c>
    </row>
    <row r="1844" spans="32:32" x14ac:dyDescent="0.3">
      <c r="AF1844" s="47">
        <f t="shared" si="28"/>
        <v>0</v>
      </c>
    </row>
    <row r="1845" spans="32:32" x14ac:dyDescent="0.3">
      <c r="AF1845" s="47">
        <f t="shared" si="28"/>
        <v>0</v>
      </c>
    </row>
    <row r="1846" spans="32:32" x14ac:dyDescent="0.3">
      <c r="AF1846" s="47">
        <f t="shared" si="28"/>
        <v>0</v>
      </c>
    </row>
    <row r="1847" spans="32:32" x14ac:dyDescent="0.3">
      <c r="AF1847" s="47">
        <f t="shared" si="28"/>
        <v>0</v>
      </c>
    </row>
    <row r="1848" spans="32:32" x14ac:dyDescent="0.3">
      <c r="AF1848" s="47">
        <f t="shared" si="28"/>
        <v>0</v>
      </c>
    </row>
    <row r="1849" spans="32:32" x14ac:dyDescent="0.3">
      <c r="AF1849" s="47">
        <f t="shared" si="28"/>
        <v>0</v>
      </c>
    </row>
    <row r="1850" spans="32:32" x14ac:dyDescent="0.3">
      <c r="AF1850" s="47">
        <f t="shared" si="28"/>
        <v>0</v>
      </c>
    </row>
    <row r="1851" spans="32:32" x14ac:dyDescent="0.3">
      <c r="AF1851" s="47">
        <f t="shared" si="28"/>
        <v>0</v>
      </c>
    </row>
    <row r="1852" spans="32:32" x14ac:dyDescent="0.3">
      <c r="AF1852" s="47">
        <f t="shared" si="28"/>
        <v>0</v>
      </c>
    </row>
    <row r="1853" spans="32:32" x14ac:dyDescent="0.3">
      <c r="AF1853" s="47">
        <f t="shared" si="28"/>
        <v>0</v>
      </c>
    </row>
    <row r="1854" spans="32:32" x14ac:dyDescent="0.3">
      <c r="AF1854" s="47">
        <f t="shared" si="28"/>
        <v>0</v>
      </c>
    </row>
    <row r="1855" spans="32:32" x14ac:dyDescent="0.3">
      <c r="AF1855" s="47">
        <f t="shared" si="28"/>
        <v>0</v>
      </c>
    </row>
    <row r="1856" spans="32:32" x14ac:dyDescent="0.3">
      <c r="AF1856" s="47">
        <f t="shared" si="28"/>
        <v>0</v>
      </c>
    </row>
    <row r="1857" spans="32:32" x14ac:dyDescent="0.3">
      <c r="AF1857" s="47">
        <f t="shared" si="28"/>
        <v>0</v>
      </c>
    </row>
    <row r="1858" spans="32:32" x14ac:dyDescent="0.3">
      <c r="AF1858" s="47">
        <f t="shared" si="28"/>
        <v>0</v>
      </c>
    </row>
    <row r="1859" spans="32:32" x14ac:dyDescent="0.3">
      <c r="AF1859" s="47">
        <f t="shared" ref="AF1859:AF1922" si="29">IFERROR(AC1859-Y1859,"")</f>
        <v>0</v>
      </c>
    </row>
    <row r="1860" spans="32:32" x14ac:dyDescent="0.3">
      <c r="AF1860" s="47">
        <f t="shared" si="29"/>
        <v>0</v>
      </c>
    </row>
    <row r="1861" spans="32:32" x14ac:dyDescent="0.3">
      <c r="AF1861" s="47">
        <f t="shared" si="29"/>
        <v>0</v>
      </c>
    </row>
    <row r="1862" spans="32:32" x14ac:dyDescent="0.3">
      <c r="AF1862" s="47">
        <f t="shared" si="29"/>
        <v>0</v>
      </c>
    </row>
    <row r="1863" spans="32:32" x14ac:dyDescent="0.3">
      <c r="AF1863" s="47">
        <f t="shared" si="29"/>
        <v>0</v>
      </c>
    </row>
    <row r="1864" spans="32:32" x14ac:dyDescent="0.3">
      <c r="AF1864" s="47">
        <f t="shared" si="29"/>
        <v>0</v>
      </c>
    </row>
    <row r="1865" spans="32:32" x14ac:dyDescent="0.3">
      <c r="AF1865" s="47">
        <f t="shared" si="29"/>
        <v>0</v>
      </c>
    </row>
    <row r="1866" spans="32:32" x14ac:dyDescent="0.3">
      <c r="AF1866" s="47">
        <f t="shared" si="29"/>
        <v>0</v>
      </c>
    </row>
    <row r="1867" spans="32:32" x14ac:dyDescent="0.3">
      <c r="AF1867" s="47">
        <f t="shared" si="29"/>
        <v>0</v>
      </c>
    </row>
    <row r="1868" spans="32:32" x14ac:dyDescent="0.3">
      <c r="AF1868" s="47">
        <f t="shared" si="29"/>
        <v>0</v>
      </c>
    </row>
    <row r="1869" spans="32:32" x14ac:dyDescent="0.3">
      <c r="AF1869" s="47">
        <f t="shared" si="29"/>
        <v>0</v>
      </c>
    </row>
    <row r="1870" spans="32:32" x14ac:dyDescent="0.3">
      <c r="AF1870" s="47">
        <f t="shared" si="29"/>
        <v>0</v>
      </c>
    </row>
    <row r="1871" spans="32:32" x14ac:dyDescent="0.3">
      <c r="AF1871" s="47">
        <f t="shared" si="29"/>
        <v>0</v>
      </c>
    </row>
    <row r="1872" spans="32:32" x14ac:dyDescent="0.3">
      <c r="AF1872" s="47">
        <f t="shared" si="29"/>
        <v>0</v>
      </c>
    </row>
    <row r="1873" spans="32:32" x14ac:dyDescent="0.3">
      <c r="AF1873" s="47">
        <f t="shared" si="29"/>
        <v>0</v>
      </c>
    </row>
    <row r="1874" spans="32:32" x14ac:dyDescent="0.3">
      <c r="AF1874" s="47">
        <f t="shared" si="29"/>
        <v>0</v>
      </c>
    </row>
    <row r="1875" spans="32:32" x14ac:dyDescent="0.3">
      <c r="AF1875" s="47">
        <f t="shared" si="29"/>
        <v>0</v>
      </c>
    </row>
    <row r="1876" spans="32:32" x14ac:dyDescent="0.3">
      <c r="AF1876" s="47">
        <f t="shared" si="29"/>
        <v>0</v>
      </c>
    </row>
    <row r="1877" spans="32:32" x14ac:dyDescent="0.3">
      <c r="AF1877" s="47">
        <f t="shared" si="29"/>
        <v>0</v>
      </c>
    </row>
    <row r="1878" spans="32:32" x14ac:dyDescent="0.3">
      <c r="AF1878" s="47">
        <f t="shared" si="29"/>
        <v>0</v>
      </c>
    </row>
    <row r="1879" spans="32:32" x14ac:dyDescent="0.3">
      <c r="AF1879" s="47">
        <f t="shared" si="29"/>
        <v>0</v>
      </c>
    </row>
    <row r="1880" spans="32:32" x14ac:dyDescent="0.3">
      <c r="AF1880" s="47">
        <f t="shared" si="29"/>
        <v>0</v>
      </c>
    </row>
    <row r="1881" spans="32:32" x14ac:dyDescent="0.3">
      <c r="AF1881" s="47">
        <f t="shared" si="29"/>
        <v>0</v>
      </c>
    </row>
    <row r="1882" spans="32:32" x14ac:dyDescent="0.3">
      <c r="AF1882" s="47">
        <f t="shared" si="29"/>
        <v>0</v>
      </c>
    </row>
    <row r="1883" spans="32:32" x14ac:dyDescent="0.3">
      <c r="AF1883" s="47">
        <f t="shared" si="29"/>
        <v>0</v>
      </c>
    </row>
    <row r="1884" spans="32:32" x14ac:dyDescent="0.3">
      <c r="AF1884" s="47">
        <f t="shared" si="29"/>
        <v>0</v>
      </c>
    </row>
    <row r="1885" spans="32:32" x14ac:dyDescent="0.3">
      <c r="AF1885" s="47">
        <f t="shared" si="29"/>
        <v>0</v>
      </c>
    </row>
    <row r="1886" spans="32:32" x14ac:dyDescent="0.3">
      <c r="AF1886" s="47">
        <f t="shared" si="29"/>
        <v>0</v>
      </c>
    </row>
    <row r="1887" spans="32:32" x14ac:dyDescent="0.3">
      <c r="AF1887" s="47">
        <f t="shared" si="29"/>
        <v>0</v>
      </c>
    </row>
    <row r="1888" spans="32:32" x14ac:dyDescent="0.3">
      <c r="AF1888" s="47">
        <f t="shared" si="29"/>
        <v>0</v>
      </c>
    </row>
    <row r="1889" spans="32:32" x14ac:dyDescent="0.3">
      <c r="AF1889" s="47">
        <f t="shared" si="29"/>
        <v>0</v>
      </c>
    </row>
    <row r="1890" spans="32:32" x14ac:dyDescent="0.3">
      <c r="AF1890" s="47">
        <f t="shared" si="29"/>
        <v>0</v>
      </c>
    </row>
    <row r="1891" spans="32:32" x14ac:dyDescent="0.3">
      <c r="AF1891" s="47">
        <f t="shared" si="29"/>
        <v>0</v>
      </c>
    </row>
    <row r="1892" spans="32:32" x14ac:dyDescent="0.3">
      <c r="AF1892" s="47">
        <f t="shared" si="29"/>
        <v>0</v>
      </c>
    </row>
    <row r="1893" spans="32:32" x14ac:dyDescent="0.3">
      <c r="AF1893" s="47">
        <f t="shared" si="29"/>
        <v>0</v>
      </c>
    </row>
    <row r="1894" spans="32:32" x14ac:dyDescent="0.3">
      <c r="AF1894" s="47">
        <f t="shared" si="29"/>
        <v>0</v>
      </c>
    </row>
    <row r="1895" spans="32:32" x14ac:dyDescent="0.3">
      <c r="AF1895" s="47">
        <f t="shared" si="29"/>
        <v>0</v>
      </c>
    </row>
    <row r="1896" spans="32:32" x14ac:dyDescent="0.3">
      <c r="AF1896" s="47">
        <f t="shared" si="29"/>
        <v>0</v>
      </c>
    </row>
    <row r="1897" spans="32:32" x14ac:dyDescent="0.3">
      <c r="AF1897" s="47">
        <f t="shared" si="29"/>
        <v>0</v>
      </c>
    </row>
    <row r="1898" spans="32:32" x14ac:dyDescent="0.3">
      <c r="AF1898" s="47">
        <f t="shared" si="29"/>
        <v>0</v>
      </c>
    </row>
    <row r="1899" spans="32:32" x14ac:dyDescent="0.3">
      <c r="AF1899" s="47">
        <f t="shared" si="29"/>
        <v>0</v>
      </c>
    </row>
    <row r="1900" spans="32:32" x14ac:dyDescent="0.3">
      <c r="AF1900" s="47">
        <f t="shared" si="29"/>
        <v>0</v>
      </c>
    </row>
    <row r="1901" spans="32:32" x14ac:dyDescent="0.3">
      <c r="AF1901" s="47">
        <f t="shared" si="29"/>
        <v>0</v>
      </c>
    </row>
    <row r="1902" spans="32:32" x14ac:dyDescent="0.3">
      <c r="AF1902" s="47">
        <f t="shared" si="29"/>
        <v>0</v>
      </c>
    </row>
    <row r="1903" spans="32:32" x14ac:dyDescent="0.3">
      <c r="AF1903" s="47">
        <f t="shared" si="29"/>
        <v>0</v>
      </c>
    </row>
    <row r="1904" spans="32:32" x14ac:dyDescent="0.3">
      <c r="AF1904" s="47">
        <f t="shared" si="29"/>
        <v>0</v>
      </c>
    </row>
    <row r="1905" spans="32:32" x14ac:dyDescent="0.3">
      <c r="AF1905" s="47">
        <f t="shared" si="29"/>
        <v>0</v>
      </c>
    </row>
    <row r="1906" spans="32:32" x14ac:dyDescent="0.3">
      <c r="AF1906" s="47">
        <f t="shared" si="29"/>
        <v>0</v>
      </c>
    </row>
    <row r="1907" spans="32:32" x14ac:dyDescent="0.3">
      <c r="AF1907" s="47">
        <f t="shared" si="29"/>
        <v>0</v>
      </c>
    </row>
    <row r="1908" spans="32:32" x14ac:dyDescent="0.3">
      <c r="AF1908" s="47">
        <f t="shared" si="29"/>
        <v>0</v>
      </c>
    </row>
    <row r="1909" spans="32:32" x14ac:dyDescent="0.3">
      <c r="AF1909" s="47">
        <f t="shared" si="29"/>
        <v>0</v>
      </c>
    </row>
    <row r="1910" spans="32:32" x14ac:dyDescent="0.3">
      <c r="AF1910" s="47">
        <f t="shared" si="29"/>
        <v>0</v>
      </c>
    </row>
    <row r="1911" spans="32:32" x14ac:dyDescent="0.3">
      <c r="AF1911" s="47">
        <f t="shared" si="29"/>
        <v>0</v>
      </c>
    </row>
    <row r="1912" spans="32:32" x14ac:dyDescent="0.3">
      <c r="AF1912" s="47">
        <f t="shared" si="29"/>
        <v>0</v>
      </c>
    </row>
    <row r="1913" spans="32:32" x14ac:dyDescent="0.3">
      <c r="AF1913" s="47">
        <f t="shared" si="29"/>
        <v>0</v>
      </c>
    </row>
    <row r="1914" spans="32:32" x14ac:dyDescent="0.3">
      <c r="AF1914" s="47">
        <f t="shared" si="29"/>
        <v>0</v>
      </c>
    </row>
    <row r="1915" spans="32:32" x14ac:dyDescent="0.3">
      <c r="AF1915" s="47">
        <f t="shared" si="29"/>
        <v>0</v>
      </c>
    </row>
    <row r="1916" spans="32:32" x14ac:dyDescent="0.3">
      <c r="AF1916" s="47">
        <f t="shared" si="29"/>
        <v>0</v>
      </c>
    </row>
    <row r="1917" spans="32:32" x14ac:dyDescent="0.3">
      <c r="AF1917" s="47">
        <f t="shared" si="29"/>
        <v>0</v>
      </c>
    </row>
    <row r="1918" spans="32:32" x14ac:dyDescent="0.3">
      <c r="AF1918" s="47">
        <f t="shared" si="29"/>
        <v>0</v>
      </c>
    </row>
    <row r="1919" spans="32:32" x14ac:dyDescent="0.3">
      <c r="AF1919" s="47">
        <f t="shared" si="29"/>
        <v>0</v>
      </c>
    </row>
    <row r="1920" spans="32:32" x14ac:dyDescent="0.3">
      <c r="AF1920" s="47">
        <f t="shared" si="29"/>
        <v>0</v>
      </c>
    </row>
    <row r="1921" spans="32:32" x14ac:dyDescent="0.3">
      <c r="AF1921" s="47">
        <f t="shared" si="29"/>
        <v>0</v>
      </c>
    </row>
    <row r="1922" spans="32:32" x14ac:dyDescent="0.3">
      <c r="AF1922" s="47">
        <f t="shared" si="29"/>
        <v>0</v>
      </c>
    </row>
    <row r="1923" spans="32:32" x14ac:dyDescent="0.3">
      <c r="AF1923" s="47">
        <f t="shared" ref="AF1923:AF1945" si="30">IFERROR(AC1923-Y1923,"")</f>
        <v>0</v>
      </c>
    </row>
    <row r="1924" spans="32:32" x14ac:dyDescent="0.3">
      <c r="AF1924" s="47">
        <f t="shared" si="30"/>
        <v>0</v>
      </c>
    </row>
    <row r="1925" spans="32:32" x14ac:dyDescent="0.3">
      <c r="AF1925" s="47">
        <f t="shared" si="30"/>
        <v>0</v>
      </c>
    </row>
    <row r="1926" spans="32:32" x14ac:dyDescent="0.3">
      <c r="AF1926" s="47">
        <f t="shared" si="30"/>
        <v>0</v>
      </c>
    </row>
    <row r="1927" spans="32:32" x14ac:dyDescent="0.3">
      <c r="AF1927" s="47">
        <f t="shared" si="30"/>
        <v>0</v>
      </c>
    </row>
    <row r="1928" spans="32:32" x14ac:dyDescent="0.3">
      <c r="AF1928" s="47">
        <f t="shared" si="30"/>
        <v>0</v>
      </c>
    </row>
    <row r="1929" spans="32:32" x14ac:dyDescent="0.3">
      <c r="AF1929" s="47">
        <f t="shared" si="30"/>
        <v>0</v>
      </c>
    </row>
    <row r="1930" spans="32:32" x14ac:dyDescent="0.3">
      <c r="AF1930" s="47">
        <f t="shared" si="30"/>
        <v>0</v>
      </c>
    </row>
    <row r="1931" spans="32:32" x14ac:dyDescent="0.3">
      <c r="AF1931" s="47">
        <f t="shared" si="30"/>
        <v>0</v>
      </c>
    </row>
    <row r="1932" spans="32:32" x14ac:dyDescent="0.3">
      <c r="AF1932" s="47">
        <f t="shared" si="30"/>
        <v>0</v>
      </c>
    </row>
    <row r="1933" spans="32:32" x14ac:dyDescent="0.3">
      <c r="AF1933" s="47">
        <f t="shared" si="30"/>
        <v>0</v>
      </c>
    </row>
    <row r="1934" spans="32:32" x14ac:dyDescent="0.3">
      <c r="AF1934" s="47">
        <f t="shared" si="30"/>
        <v>0</v>
      </c>
    </row>
    <row r="1935" spans="32:32" x14ac:dyDescent="0.3">
      <c r="AF1935" s="47">
        <f t="shared" si="30"/>
        <v>0</v>
      </c>
    </row>
    <row r="1936" spans="32:32" x14ac:dyDescent="0.3">
      <c r="AF1936" s="47">
        <f t="shared" si="30"/>
        <v>0</v>
      </c>
    </row>
    <row r="1937" spans="32:32" x14ac:dyDescent="0.3">
      <c r="AF1937" s="47">
        <f t="shared" si="30"/>
        <v>0</v>
      </c>
    </row>
    <row r="1938" spans="32:32" x14ac:dyDescent="0.3">
      <c r="AF1938" s="47">
        <f t="shared" si="30"/>
        <v>0</v>
      </c>
    </row>
    <row r="1939" spans="32:32" x14ac:dyDescent="0.3">
      <c r="AF1939" s="47">
        <f t="shared" si="30"/>
        <v>0</v>
      </c>
    </row>
    <row r="1940" spans="32:32" x14ac:dyDescent="0.3">
      <c r="AF1940" s="47">
        <f t="shared" si="30"/>
        <v>0</v>
      </c>
    </row>
    <row r="1941" spans="32:32" x14ac:dyDescent="0.3">
      <c r="AF1941" s="47">
        <f t="shared" si="30"/>
        <v>0</v>
      </c>
    </row>
    <row r="1942" spans="32:32" x14ac:dyDescent="0.3">
      <c r="AF1942" s="47">
        <f t="shared" si="30"/>
        <v>0</v>
      </c>
    </row>
    <row r="1943" spans="32:32" x14ac:dyDescent="0.3">
      <c r="AF1943" s="47">
        <f t="shared" si="30"/>
        <v>0</v>
      </c>
    </row>
    <row r="1944" spans="32:32" x14ac:dyDescent="0.3">
      <c r="AF1944" s="47">
        <f t="shared" si="30"/>
        <v>0</v>
      </c>
    </row>
    <row r="1945" spans="32:32" x14ac:dyDescent="0.3">
      <c r="AF1945" s="47">
        <f t="shared" si="30"/>
        <v>0</v>
      </c>
    </row>
  </sheetData>
  <autoFilter ref="A2:BG2" xr:uid="{6E50F1E9-0057-42F7-8D2E-AC666D069343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A251-6217-4442-8080-7127C861E98F}">
  <dimension ref="A1:BC435"/>
  <sheetViews>
    <sheetView zoomScale="70" zoomScaleNormal="70" workbookViewId="0">
      <pane xSplit="6" ySplit="5" topLeftCell="AC48" activePane="bottomRight" state="frozen"/>
      <selection pane="topRight" activeCell="E6" sqref="E6:R202"/>
      <selection pane="bottomLeft" activeCell="E6" sqref="E6:R202"/>
      <selection pane="bottomRight" activeCell="E6" sqref="E6:AL197"/>
    </sheetView>
  </sheetViews>
  <sheetFormatPr defaultRowHeight="16.5" x14ac:dyDescent="0.3"/>
  <cols>
    <col min="4" max="4" width="9" style="6"/>
    <col min="5" max="5" width="8.875" bestFit="1" customWidth="1"/>
    <col min="6" max="6" width="19" bestFit="1" customWidth="1"/>
    <col min="7" max="7" width="8.875" bestFit="1" customWidth="1"/>
    <col min="8" max="8" width="10.5" customWidth="1"/>
    <col min="9" max="9" width="10.875" bestFit="1" customWidth="1"/>
    <col min="10" max="10" width="8.875" bestFit="1" customWidth="1"/>
    <col min="11" max="11" width="10.875" bestFit="1" customWidth="1"/>
    <col min="12" max="12" width="13.625" bestFit="1" customWidth="1"/>
    <col min="13" max="13" width="8.875" bestFit="1" customWidth="1"/>
    <col min="14" max="14" width="11.75" bestFit="1" customWidth="1"/>
    <col min="15" max="15" width="12" bestFit="1" customWidth="1"/>
    <col min="16" max="16" width="11.875" customWidth="1"/>
    <col min="17" max="45" width="10" bestFit="1" customWidth="1"/>
    <col min="46" max="46" width="10.375" customWidth="1"/>
    <col min="49" max="49" width="11.375" customWidth="1"/>
    <col min="50" max="50" width="12.75" customWidth="1"/>
    <col min="51" max="53" width="10.875" customWidth="1"/>
    <col min="55" max="55" width="12.125" customWidth="1"/>
  </cols>
  <sheetData>
    <row r="1" spans="1:55" x14ac:dyDescent="0.3">
      <c r="L1" s="6" t="s">
        <v>616</v>
      </c>
      <c r="M1" s="65">
        <f ca="1">DAY(TODAY())</f>
        <v>24</v>
      </c>
      <c r="P1" s="1">
        <f>DAY(P5)</f>
        <v>1</v>
      </c>
      <c r="Q1" s="1">
        <f t="shared" ref="Q1:AT1" si="0">DAY(Q5)</f>
        <v>2</v>
      </c>
      <c r="R1" s="1">
        <f t="shared" si="0"/>
        <v>3</v>
      </c>
      <c r="S1" s="1">
        <f t="shared" si="0"/>
        <v>4</v>
      </c>
      <c r="T1" s="1">
        <f t="shared" si="0"/>
        <v>5</v>
      </c>
      <c r="U1" s="1">
        <f t="shared" si="0"/>
        <v>6</v>
      </c>
      <c r="V1" s="1">
        <f t="shared" si="0"/>
        <v>7</v>
      </c>
      <c r="W1" s="1">
        <f t="shared" si="0"/>
        <v>8</v>
      </c>
      <c r="X1" s="1">
        <f t="shared" si="0"/>
        <v>9</v>
      </c>
      <c r="Y1" s="1">
        <f t="shared" si="0"/>
        <v>10</v>
      </c>
      <c r="Z1" s="1">
        <f t="shared" si="0"/>
        <v>11</v>
      </c>
      <c r="AA1" s="1">
        <f t="shared" si="0"/>
        <v>12</v>
      </c>
      <c r="AB1" s="1">
        <f t="shared" si="0"/>
        <v>13</v>
      </c>
      <c r="AC1" s="1">
        <f t="shared" si="0"/>
        <v>14</v>
      </c>
      <c r="AD1" s="1">
        <f t="shared" si="0"/>
        <v>15</v>
      </c>
      <c r="AE1" s="1">
        <f t="shared" si="0"/>
        <v>16</v>
      </c>
      <c r="AF1" s="1">
        <f t="shared" si="0"/>
        <v>17</v>
      </c>
      <c r="AG1" s="1">
        <f t="shared" si="0"/>
        <v>18</v>
      </c>
      <c r="AH1" s="1">
        <f t="shared" si="0"/>
        <v>19</v>
      </c>
      <c r="AI1" s="1">
        <f t="shared" si="0"/>
        <v>20</v>
      </c>
      <c r="AJ1" s="1">
        <f t="shared" si="0"/>
        <v>21</v>
      </c>
      <c r="AK1" s="1">
        <f t="shared" si="0"/>
        <v>22</v>
      </c>
      <c r="AL1" s="1">
        <f t="shared" si="0"/>
        <v>23</v>
      </c>
      <c r="AM1" s="1">
        <f t="shared" si="0"/>
        <v>24</v>
      </c>
      <c r="AN1" s="1">
        <f t="shared" si="0"/>
        <v>25</v>
      </c>
      <c r="AO1" s="1">
        <f t="shared" si="0"/>
        <v>26</v>
      </c>
      <c r="AP1" s="1">
        <f t="shared" si="0"/>
        <v>27</v>
      </c>
      <c r="AQ1" s="1">
        <f t="shared" si="0"/>
        <v>28</v>
      </c>
      <c r="AR1" s="1">
        <f t="shared" si="0"/>
        <v>29</v>
      </c>
      <c r="AS1" s="1">
        <f t="shared" si="0"/>
        <v>30</v>
      </c>
      <c r="AT1" s="1">
        <f t="shared" si="0"/>
        <v>1</v>
      </c>
    </row>
    <row r="2" spans="1:55" x14ac:dyDescent="0.3">
      <c r="P2" s="1" t="str">
        <f ca="1">IF(P1&lt;$M$1,"동일","")</f>
        <v>동일</v>
      </c>
      <c r="Q2" s="1" t="str">
        <f t="shared" ref="Q2:AS2" ca="1" si="1">IF(Q1&lt;$M$1,"동일","")</f>
        <v>동일</v>
      </c>
      <c r="R2" s="1" t="str">
        <f t="shared" ca="1" si="1"/>
        <v>동일</v>
      </c>
      <c r="S2" s="1" t="str">
        <f t="shared" ca="1" si="1"/>
        <v>동일</v>
      </c>
      <c r="T2" s="1" t="str">
        <f t="shared" ca="1" si="1"/>
        <v>동일</v>
      </c>
      <c r="U2" s="1" t="str">
        <f t="shared" ca="1" si="1"/>
        <v>동일</v>
      </c>
      <c r="V2" s="1" t="str">
        <f t="shared" ca="1" si="1"/>
        <v>동일</v>
      </c>
      <c r="W2" s="1" t="str">
        <f t="shared" ca="1" si="1"/>
        <v>동일</v>
      </c>
      <c r="X2" s="1" t="str">
        <f t="shared" ca="1" si="1"/>
        <v>동일</v>
      </c>
      <c r="Y2" s="1" t="str">
        <f t="shared" ca="1" si="1"/>
        <v>동일</v>
      </c>
      <c r="Z2" s="1" t="str">
        <f t="shared" ca="1" si="1"/>
        <v>동일</v>
      </c>
      <c r="AA2" s="1" t="str">
        <f t="shared" ca="1" si="1"/>
        <v>동일</v>
      </c>
      <c r="AB2" s="1" t="str">
        <f t="shared" ca="1" si="1"/>
        <v>동일</v>
      </c>
      <c r="AC2" s="1" t="str">
        <f t="shared" ca="1" si="1"/>
        <v>동일</v>
      </c>
      <c r="AD2" s="1" t="str">
        <f t="shared" ca="1" si="1"/>
        <v>동일</v>
      </c>
      <c r="AE2" s="1" t="str">
        <f t="shared" ca="1" si="1"/>
        <v>동일</v>
      </c>
      <c r="AF2" s="1" t="str">
        <f t="shared" ca="1" si="1"/>
        <v>동일</v>
      </c>
      <c r="AG2" s="1" t="str">
        <f t="shared" ca="1" si="1"/>
        <v>동일</v>
      </c>
      <c r="AH2" s="1" t="str">
        <f t="shared" ca="1" si="1"/>
        <v>동일</v>
      </c>
      <c r="AI2" s="1" t="str">
        <f t="shared" ca="1" si="1"/>
        <v>동일</v>
      </c>
      <c r="AJ2" s="1" t="str">
        <f t="shared" ca="1" si="1"/>
        <v>동일</v>
      </c>
      <c r="AK2" s="1" t="str">
        <f t="shared" ca="1" si="1"/>
        <v>동일</v>
      </c>
      <c r="AL2" s="1" t="str">
        <f t="shared" ca="1" si="1"/>
        <v>동일</v>
      </c>
      <c r="AM2" s="1" t="str">
        <f t="shared" ca="1" si="1"/>
        <v/>
      </c>
      <c r="AN2" s="1" t="str">
        <f t="shared" ca="1" si="1"/>
        <v/>
      </c>
      <c r="AO2" s="1" t="str">
        <f t="shared" ca="1" si="1"/>
        <v/>
      </c>
      <c r="AP2" s="1" t="str">
        <f t="shared" ca="1" si="1"/>
        <v/>
      </c>
      <c r="AQ2" s="1" t="str">
        <f t="shared" ca="1" si="1"/>
        <v/>
      </c>
      <c r="AR2" s="1" t="str">
        <f t="shared" ca="1" si="1"/>
        <v/>
      </c>
      <c r="AS2" s="1" t="str">
        <f t="shared" ca="1" si="1"/>
        <v/>
      </c>
      <c r="AT2" s="1"/>
    </row>
    <row r="3" spans="1:55" x14ac:dyDescent="0.3">
      <c r="A3" s="6"/>
      <c r="B3" s="6"/>
      <c r="C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3</v>
      </c>
      <c r="Z3" s="1">
        <v>3</v>
      </c>
      <c r="AA3" s="1">
        <v>3</v>
      </c>
      <c r="AB3" s="1">
        <v>3</v>
      </c>
      <c r="AC3" s="1">
        <v>3</v>
      </c>
      <c r="AD3" s="1">
        <v>3</v>
      </c>
      <c r="AE3" s="1">
        <v>3</v>
      </c>
      <c r="AF3" s="1">
        <v>4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5</v>
      </c>
      <c r="AN3" s="1">
        <v>5</v>
      </c>
      <c r="AO3" s="1">
        <v>5</v>
      </c>
      <c r="AP3" s="1">
        <v>5</v>
      </c>
      <c r="AQ3" s="1">
        <v>5</v>
      </c>
      <c r="AR3" s="1">
        <v>5</v>
      </c>
      <c r="AS3" s="1">
        <v>5</v>
      </c>
      <c r="AT3" s="1">
        <v>5</v>
      </c>
      <c r="AU3" s="6"/>
      <c r="AV3" s="6"/>
      <c r="AW3" s="6">
        <v>1</v>
      </c>
      <c r="AX3" s="6">
        <v>2</v>
      </c>
      <c r="AY3" s="6">
        <v>3</v>
      </c>
      <c r="AZ3" s="6">
        <v>4</v>
      </c>
      <c r="BA3" s="6">
        <v>5</v>
      </c>
      <c r="BC3" s="66" t="s">
        <v>617</v>
      </c>
    </row>
    <row r="4" spans="1:55" x14ac:dyDescent="0.3">
      <c r="A4" s="6"/>
      <c r="B4" s="6"/>
      <c r="C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1" t="s">
        <v>95</v>
      </c>
      <c r="Q4" s="1" t="s">
        <v>97</v>
      </c>
      <c r="R4" s="1" t="s">
        <v>99</v>
      </c>
      <c r="S4" s="1" t="s">
        <v>101</v>
      </c>
      <c r="T4" s="1" t="s">
        <v>103</v>
      </c>
      <c r="U4" s="1" t="s">
        <v>105</v>
      </c>
      <c r="V4" s="1" t="s">
        <v>107</v>
      </c>
      <c r="W4" s="1" t="s">
        <v>95</v>
      </c>
      <c r="X4" s="1" t="s">
        <v>97</v>
      </c>
      <c r="Y4" s="1" t="s">
        <v>99</v>
      </c>
      <c r="Z4" s="1" t="s">
        <v>101</v>
      </c>
      <c r="AA4" s="1" t="s">
        <v>103</v>
      </c>
      <c r="AB4" s="1" t="s">
        <v>105</v>
      </c>
      <c r="AC4" s="1" t="s">
        <v>107</v>
      </c>
      <c r="AD4" s="1" t="s">
        <v>95</v>
      </c>
      <c r="AE4" s="1" t="s">
        <v>97</v>
      </c>
      <c r="AF4" s="1" t="s">
        <v>99</v>
      </c>
      <c r="AG4" s="1" t="s">
        <v>101</v>
      </c>
      <c r="AH4" s="1" t="s">
        <v>103</v>
      </c>
      <c r="AI4" s="1" t="s">
        <v>618</v>
      </c>
      <c r="AJ4" s="1" t="s">
        <v>107</v>
      </c>
      <c r="AK4" s="1" t="s">
        <v>95</v>
      </c>
      <c r="AL4" s="1" t="s">
        <v>97</v>
      </c>
      <c r="AM4" s="1" t="s">
        <v>99</v>
      </c>
      <c r="AN4" s="1" t="s">
        <v>101</v>
      </c>
      <c r="AO4" s="1" t="s">
        <v>103</v>
      </c>
      <c r="AP4" s="1" t="s">
        <v>105</v>
      </c>
      <c r="AQ4" s="1" t="s">
        <v>107</v>
      </c>
      <c r="AR4" s="1" t="s">
        <v>619</v>
      </c>
      <c r="AS4" s="1" t="s">
        <v>620</v>
      </c>
      <c r="AT4" s="1" t="s">
        <v>132</v>
      </c>
      <c r="AU4" s="6"/>
      <c r="AV4" s="6"/>
      <c r="AW4" s="66">
        <f>SUBTOTAL(9,AW$6:AW$436)</f>
        <v>3080371793</v>
      </c>
      <c r="AX4" s="66">
        <f t="shared" ref="AX4:BA4" si="2">SUBTOTAL(9,AX$6:AX$436)</f>
        <v>7723441468</v>
      </c>
      <c r="AY4" s="66">
        <f t="shared" si="2"/>
        <v>7283929073</v>
      </c>
      <c r="AZ4" s="66">
        <f t="shared" si="2"/>
        <v>7814770263</v>
      </c>
      <c r="BA4" s="66">
        <f t="shared" si="2"/>
        <v>0</v>
      </c>
      <c r="BC4" s="66">
        <f ca="1">SUBTOTAL(9,BC$6:BC$436)</f>
        <v>25902512597</v>
      </c>
    </row>
    <row r="5" spans="1:55" x14ac:dyDescent="0.3">
      <c r="A5" s="6" t="s">
        <v>621</v>
      </c>
      <c r="B5" s="6" t="s">
        <v>51</v>
      </c>
      <c r="C5" s="6" t="s">
        <v>622</v>
      </c>
      <c r="D5" s="6" t="s">
        <v>623</v>
      </c>
      <c r="E5" s="67" t="s">
        <v>624</v>
      </c>
      <c r="F5" s="67" t="s">
        <v>625</v>
      </c>
      <c r="G5" s="67" t="s">
        <v>626</v>
      </c>
      <c r="H5" s="67" t="s">
        <v>627</v>
      </c>
      <c r="I5" s="67" t="s">
        <v>628</v>
      </c>
      <c r="J5" s="67" t="s">
        <v>629</v>
      </c>
      <c r="K5" s="67" t="s">
        <v>630</v>
      </c>
      <c r="L5" s="67" t="s">
        <v>631</v>
      </c>
      <c r="M5" s="67" t="s">
        <v>632</v>
      </c>
      <c r="N5" s="67" t="s">
        <v>633</v>
      </c>
      <c r="O5" s="67" t="s">
        <v>634</v>
      </c>
      <c r="P5" s="68">
        <v>45962</v>
      </c>
      <c r="Q5" s="68">
        <f>P5+1</f>
        <v>45963</v>
      </c>
      <c r="R5" s="68">
        <f t="shared" ref="R5:AT5" si="3">Q5+1</f>
        <v>45964</v>
      </c>
      <c r="S5" s="68">
        <f t="shared" si="3"/>
        <v>45965</v>
      </c>
      <c r="T5" s="68">
        <f t="shared" si="3"/>
        <v>45966</v>
      </c>
      <c r="U5" s="68">
        <f t="shared" si="3"/>
        <v>45967</v>
      </c>
      <c r="V5" s="68">
        <f t="shared" si="3"/>
        <v>45968</v>
      </c>
      <c r="W5" s="68">
        <f t="shared" si="3"/>
        <v>45969</v>
      </c>
      <c r="X5" s="68">
        <f t="shared" si="3"/>
        <v>45970</v>
      </c>
      <c r="Y5" s="68">
        <f t="shared" si="3"/>
        <v>45971</v>
      </c>
      <c r="Z5" s="68">
        <f t="shared" si="3"/>
        <v>45972</v>
      </c>
      <c r="AA5" s="68">
        <f t="shared" si="3"/>
        <v>45973</v>
      </c>
      <c r="AB5" s="68">
        <f t="shared" si="3"/>
        <v>45974</v>
      </c>
      <c r="AC5" s="68">
        <f t="shared" si="3"/>
        <v>45975</v>
      </c>
      <c r="AD5" s="68">
        <f t="shared" si="3"/>
        <v>45976</v>
      </c>
      <c r="AE5" s="68">
        <f t="shared" si="3"/>
        <v>45977</v>
      </c>
      <c r="AF5" s="68">
        <f t="shared" si="3"/>
        <v>45978</v>
      </c>
      <c r="AG5" s="68">
        <f t="shared" si="3"/>
        <v>45979</v>
      </c>
      <c r="AH5" s="68">
        <f t="shared" si="3"/>
        <v>45980</v>
      </c>
      <c r="AI5" s="68">
        <f t="shared" si="3"/>
        <v>45981</v>
      </c>
      <c r="AJ5" s="68">
        <f t="shared" si="3"/>
        <v>45982</v>
      </c>
      <c r="AK5" s="68">
        <f t="shared" si="3"/>
        <v>45983</v>
      </c>
      <c r="AL5" s="68">
        <f t="shared" si="3"/>
        <v>45984</v>
      </c>
      <c r="AM5" s="68">
        <f t="shared" si="3"/>
        <v>45985</v>
      </c>
      <c r="AN5" s="68">
        <f t="shared" si="3"/>
        <v>45986</v>
      </c>
      <c r="AO5" s="68">
        <f t="shared" si="3"/>
        <v>45987</v>
      </c>
      <c r="AP5" s="68">
        <f t="shared" si="3"/>
        <v>45988</v>
      </c>
      <c r="AQ5" s="68">
        <f t="shared" si="3"/>
        <v>45989</v>
      </c>
      <c r="AR5" s="68">
        <f t="shared" si="3"/>
        <v>45990</v>
      </c>
      <c r="AS5" s="68">
        <f t="shared" si="3"/>
        <v>45991</v>
      </c>
      <c r="AT5" s="68">
        <f t="shared" si="3"/>
        <v>45992</v>
      </c>
      <c r="AU5" s="6"/>
      <c r="AV5" s="6"/>
      <c r="AW5" s="6"/>
      <c r="AX5" s="6"/>
      <c r="AY5" s="6"/>
      <c r="AZ5" s="6"/>
      <c r="BA5" s="6"/>
      <c r="BC5" s="66"/>
    </row>
    <row r="6" spans="1:55" x14ac:dyDescent="0.3">
      <c r="A6" s="6" t="str">
        <f>IFERROR(VLOOKUP($F6,매장구분!$B:$K,2,0),"")</f>
        <v>파트너채널팀</v>
      </c>
      <c r="B6" s="6" t="str">
        <f>IFERROR(VLOOKUP($F6,매장구분!$B:$K,3,0),"")</f>
        <v>국내</v>
      </c>
      <c r="C6" s="6" t="str">
        <f>IFERROR(VLOOKUP($F6,매장구분!$B:$K,5,0),"")</f>
        <v>백화점</v>
      </c>
      <c r="D6" s="6" t="str">
        <f>IFERROR(VLOOKUP($F6,매장구분!$B:$Z,9,0),"")</f>
        <v>갤러리아진주</v>
      </c>
      <c r="E6" s="234" t="s">
        <v>516</v>
      </c>
      <c r="F6" s="69" t="s">
        <v>517</v>
      </c>
      <c r="G6" s="69">
        <v>320</v>
      </c>
      <c r="H6" s="69">
        <v>31784000</v>
      </c>
      <c r="I6" s="69">
        <v>33883900</v>
      </c>
      <c r="J6" s="69">
        <v>359</v>
      </c>
      <c r="K6" s="69">
        <v>37872000</v>
      </c>
      <c r="L6" s="69">
        <v>39971900</v>
      </c>
      <c r="M6" s="69">
        <v>-39</v>
      </c>
      <c r="N6" s="69">
        <v>-6088000</v>
      </c>
      <c r="O6" s="69">
        <v>-6088000</v>
      </c>
      <c r="P6" s="69">
        <v>2048000</v>
      </c>
      <c r="Q6" s="69">
        <v>1751000</v>
      </c>
      <c r="R6" s="69">
        <v>439000</v>
      </c>
      <c r="S6" s="69">
        <v>214000</v>
      </c>
      <c r="T6" s="69">
        <v>957000</v>
      </c>
      <c r="U6" s="69">
        <v>480300</v>
      </c>
      <c r="V6" s="69">
        <v>665000</v>
      </c>
      <c r="W6" s="69">
        <v>1543000</v>
      </c>
      <c r="X6" s="69">
        <v>2288000</v>
      </c>
      <c r="Y6" s="69">
        <v>747000</v>
      </c>
      <c r="Z6" s="69">
        <v>935000</v>
      </c>
      <c r="AA6" s="69">
        <v>502000</v>
      </c>
      <c r="AB6" s="69">
        <v>2393000</v>
      </c>
      <c r="AC6" s="69">
        <v>2086000</v>
      </c>
      <c r="AD6" s="69">
        <v>832200</v>
      </c>
      <c r="AE6" s="69">
        <v>1522000</v>
      </c>
      <c r="AF6" s="69">
        <v>704000</v>
      </c>
      <c r="AG6" s="69">
        <v>1033300</v>
      </c>
      <c r="AH6" s="69">
        <v>616000</v>
      </c>
      <c r="AI6" s="69">
        <v>2313900</v>
      </c>
      <c r="AJ6" s="69">
        <v>3229000</v>
      </c>
      <c r="AK6" s="69">
        <v>2395000</v>
      </c>
      <c r="AL6" s="69">
        <v>2090300</v>
      </c>
      <c r="AM6" s="69"/>
      <c r="AN6" s="69"/>
      <c r="AO6" s="69"/>
      <c r="AP6" s="69"/>
      <c r="AQ6" s="69"/>
      <c r="AR6" s="69"/>
      <c r="AS6" s="69"/>
      <c r="AT6" s="69"/>
      <c r="AU6" s="6"/>
      <c r="AV6" s="6"/>
      <c r="AW6" s="6">
        <f>SUMIFS($P6:$AS6,$P$3:$AS$3,AW$3)</f>
        <v>3799000</v>
      </c>
      <c r="AX6" s="6">
        <f t="shared" ref="AX6:BA25" si="4">SUMIFS($P6:$AS6,$P$3:$AS$3,AX$3)</f>
        <v>6586300</v>
      </c>
      <c r="AY6" s="6">
        <f t="shared" si="4"/>
        <v>9017200</v>
      </c>
      <c r="AZ6" s="6">
        <f t="shared" si="4"/>
        <v>12381500</v>
      </c>
      <c r="BA6" s="6">
        <f t="shared" si="4"/>
        <v>0</v>
      </c>
      <c r="BC6" s="66">
        <f ca="1">SUMIFS($P6:$AT6,$P$2:$AT$2,BC$3)</f>
        <v>31784000</v>
      </c>
    </row>
    <row r="7" spans="1:55" x14ac:dyDescent="0.3">
      <c r="A7" s="6" t="str">
        <f>IFERROR(VLOOKUP($F7,매장구분!$B:$K,2,0),"")</f>
        <v>파트너채널팀</v>
      </c>
      <c r="B7" s="6" t="str">
        <f>IFERROR(VLOOKUP($F7,매장구분!$B:$K,3,0),"")</f>
        <v>국내</v>
      </c>
      <c r="C7" s="6" t="str">
        <f>IFERROR(VLOOKUP($F7,매장구분!$B:$K,5,0),"")</f>
        <v>백화점</v>
      </c>
      <c r="D7" s="6" t="str">
        <f>IFERROR(VLOOKUP($F7,매장구분!$B:$Z,9,0),"")</f>
        <v>롯데강남</v>
      </c>
      <c r="E7" s="69" t="s">
        <v>275</v>
      </c>
      <c r="F7" s="69" t="s">
        <v>276</v>
      </c>
      <c r="G7" s="69">
        <v>490</v>
      </c>
      <c r="H7" s="69">
        <v>81096000</v>
      </c>
      <c r="I7" s="69">
        <v>84815900</v>
      </c>
      <c r="J7" s="69">
        <v>535</v>
      </c>
      <c r="K7" s="69">
        <v>87492900</v>
      </c>
      <c r="L7" s="69">
        <v>91482800</v>
      </c>
      <c r="M7" s="69">
        <v>-45</v>
      </c>
      <c r="N7" s="69">
        <v>-6396900</v>
      </c>
      <c r="O7" s="69">
        <v>-6666900</v>
      </c>
      <c r="P7" s="69">
        <v>797000</v>
      </c>
      <c r="Q7" s="69">
        <v>756000</v>
      </c>
      <c r="R7" s="69">
        <v>0</v>
      </c>
      <c r="S7" s="69">
        <v>1431000</v>
      </c>
      <c r="T7" s="69">
        <v>1277000</v>
      </c>
      <c r="U7" s="69">
        <v>476000</v>
      </c>
      <c r="V7" s="69">
        <v>1024000</v>
      </c>
      <c r="W7" s="69">
        <v>155900</v>
      </c>
      <c r="X7" s="69">
        <v>50885000</v>
      </c>
      <c r="Y7" s="69">
        <v>599000</v>
      </c>
      <c r="Z7" s="69">
        <v>446000</v>
      </c>
      <c r="AA7" s="69">
        <v>668000</v>
      </c>
      <c r="AB7" s="69">
        <v>-242100</v>
      </c>
      <c r="AC7" s="69">
        <v>398000</v>
      </c>
      <c r="AD7" s="69">
        <v>874000</v>
      </c>
      <c r="AE7" s="69">
        <v>14860100</v>
      </c>
      <c r="AF7" s="69">
        <v>1385000</v>
      </c>
      <c r="AG7" s="69">
        <v>991000</v>
      </c>
      <c r="AH7" s="69">
        <v>1171000</v>
      </c>
      <c r="AI7" s="69">
        <v>86000</v>
      </c>
      <c r="AJ7" s="69">
        <v>471000</v>
      </c>
      <c r="AK7" s="69">
        <v>1750100</v>
      </c>
      <c r="AL7" s="69">
        <v>837000</v>
      </c>
      <c r="AM7" s="69"/>
      <c r="AN7" s="69"/>
      <c r="AO7" s="69"/>
      <c r="AP7" s="69"/>
      <c r="AQ7" s="69"/>
      <c r="AR7" s="69"/>
      <c r="AS7" s="69"/>
      <c r="AT7" s="69"/>
      <c r="AU7" s="6"/>
      <c r="AV7" s="6"/>
      <c r="AW7" s="6">
        <f t="shared" ref="AW7:BA26" si="5">SUMIFS($P7:$AS7,$P$3:$AS$3,AW$3)</f>
        <v>1553000</v>
      </c>
      <c r="AX7" s="6">
        <f t="shared" si="4"/>
        <v>55248900</v>
      </c>
      <c r="AY7" s="6">
        <f t="shared" si="4"/>
        <v>17603000</v>
      </c>
      <c r="AZ7" s="6">
        <f t="shared" si="4"/>
        <v>6691100</v>
      </c>
      <c r="BA7" s="6">
        <f t="shared" si="4"/>
        <v>0</v>
      </c>
      <c r="BC7" s="66">
        <f t="shared" ref="BC7:BC70" ca="1" si="6">SUMIFS($P7:$AT7,$P$2:$AT$2,BC$3)</f>
        <v>81096000</v>
      </c>
    </row>
    <row r="8" spans="1:55" x14ac:dyDescent="0.3">
      <c r="A8" s="6" t="str">
        <f>IFERROR(VLOOKUP($F8,매장구분!$B:$K,2,0),"")</f>
        <v>파트너채널팀</v>
      </c>
      <c r="B8" s="6" t="str">
        <f>IFERROR(VLOOKUP($F8,매장구분!$B:$K,3,0),"")</f>
        <v>국내</v>
      </c>
      <c r="C8" s="6" t="str">
        <f>IFERROR(VLOOKUP($F8,매장구분!$B:$K,5,0),"")</f>
        <v>백화점</v>
      </c>
      <c r="D8" s="6" t="str">
        <f>IFERROR(VLOOKUP($F8,매장구분!$B:$Z,9,0),"")</f>
        <v>롯데일산</v>
      </c>
      <c r="E8" s="69" t="s">
        <v>508</v>
      </c>
      <c r="F8" s="69" t="s">
        <v>509</v>
      </c>
      <c r="G8" s="69">
        <v>1105</v>
      </c>
      <c r="H8" s="69">
        <v>109498700</v>
      </c>
      <c r="I8" s="69">
        <v>114592500</v>
      </c>
      <c r="J8" s="69">
        <v>1191</v>
      </c>
      <c r="K8" s="69">
        <v>121271900</v>
      </c>
      <c r="L8" s="69">
        <v>126674500</v>
      </c>
      <c r="M8" s="69">
        <v>-86</v>
      </c>
      <c r="N8" s="69">
        <v>-11773200</v>
      </c>
      <c r="O8" s="69">
        <v>-12082000</v>
      </c>
      <c r="P8" s="69">
        <v>8631000</v>
      </c>
      <c r="Q8" s="69">
        <v>4063700</v>
      </c>
      <c r="R8" s="69">
        <v>0</v>
      </c>
      <c r="S8" s="69">
        <v>1038000</v>
      </c>
      <c r="T8" s="69">
        <v>16998300</v>
      </c>
      <c r="U8" s="69">
        <v>2150900</v>
      </c>
      <c r="V8" s="69">
        <v>742000</v>
      </c>
      <c r="W8" s="69">
        <v>3143000</v>
      </c>
      <c r="X8" s="69">
        <v>3036000</v>
      </c>
      <c r="Y8" s="69">
        <v>861000</v>
      </c>
      <c r="Z8" s="69">
        <v>1249000</v>
      </c>
      <c r="AA8" s="69">
        <v>1718000</v>
      </c>
      <c r="AB8" s="69">
        <v>1338400</v>
      </c>
      <c r="AC8" s="69">
        <v>6590100</v>
      </c>
      <c r="AD8" s="69">
        <v>9878900</v>
      </c>
      <c r="AE8" s="69">
        <v>9494800</v>
      </c>
      <c r="AF8" s="69">
        <v>1391000</v>
      </c>
      <c r="AG8" s="69">
        <v>2060300</v>
      </c>
      <c r="AH8" s="69">
        <v>966000</v>
      </c>
      <c r="AI8" s="69">
        <v>853000</v>
      </c>
      <c r="AJ8" s="69">
        <v>24882300</v>
      </c>
      <c r="AK8" s="69">
        <v>4296000</v>
      </c>
      <c r="AL8" s="69">
        <v>4117000</v>
      </c>
      <c r="AM8" s="69"/>
      <c r="AN8" s="69"/>
      <c r="AO8" s="69"/>
      <c r="AP8" s="69"/>
      <c r="AQ8" s="69"/>
      <c r="AR8" s="69"/>
      <c r="AS8" s="69"/>
      <c r="AT8" s="69"/>
      <c r="AU8" s="6"/>
      <c r="AV8" s="6"/>
      <c r="AW8" s="6">
        <f t="shared" si="5"/>
        <v>12694700</v>
      </c>
      <c r="AX8" s="6">
        <f t="shared" si="4"/>
        <v>27108200</v>
      </c>
      <c r="AY8" s="6">
        <f t="shared" si="4"/>
        <v>31130200</v>
      </c>
      <c r="AZ8" s="6">
        <f t="shared" si="4"/>
        <v>38565600</v>
      </c>
      <c r="BA8" s="6">
        <f t="shared" si="4"/>
        <v>0</v>
      </c>
      <c r="BC8" s="66">
        <f t="shared" ca="1" si="6"/>
        <v>109498700</v>
      </c>
    </row>
    <row r="9" spans="1:55" x14ac:dyDescent="0.3">
      <c r="A9" s="6" t="str">
        <f>IFERROR(VLOOKUP($F9,매장구분!$B:$K,2,0),"")</f>
        <v>파트너채널팀</v>
      </c>
      <c r="B9" s="6" t="str">
        <f>IFERROR(VLOOKUP($F9,매장구분!$B:$K,3,0),"")</f>
        <v>국내</v>
      </c>
      <c r="C9" s="6" t="str">
        <f>IFERROR(VLOOKUP($F9,매장구분!$B:$K,5,0),"")</f>
        <v>백화점</v>
      </c>
      <c r="D9" s="6" t="str">
        <f>IFERROR(VLOOKUP($F9,매장구분!$B:$Z,9,0),"")</f>
        <v>롯데건대</v>
      </c>
      <c r="E9" s="69" t="s">
        <v>354</v>
      </c>
      <c r="F9" s="69" t="s">
        <v>355</v>
      </c>
      <c r="G9" s="69">
        <v>1542</v>
      </c>
      <c r="H9" s="69">
        <v>136280000</v>
      </c>
      <c r="I9" s="69">
        <v>148500000</v>
      </c>
      <c r="J9" s="69">
        <v>1559</v>
      </c>
      <c r="K9" s="69">
        <v>138641000</v>
      </c>
      <c r="L9" s="69">
        <v>150951000</v>
      </c>
      <c r="M9" s="69">
        <v>-17</v>
      </c>
      <c r="N9" s="69">
        <v>-2361000</v>
      </c>
      <c r="O9" s="69">
        <v>-2451000</v>
      </c>
      <c r="P9" s="69">
        <v>2375000</v>
      </c>
      <c r="Q9" s="69">
        <v>1914000</v>
      </c>
      <c r="R9" s="69">
        <v>0</v>
      </c>
      <c r="S9" s="69">
        <v>2849000</v>
      </c>
      <c r="T9" s="69">
        <v>1475000</v>
      </c>
      <c r="U9" s="69">
        <v>1144000</v>
      </c>
      <c r="V9" s="69">
        <v>12811000</v>
      </c>
      <c r="W9" s="69">
        <v>22561000</v>
      </c>
      <c r="X9" s="69">
        <v>1071000</v>
      </c>
      <c r="Y9" s="69">
        <v>655000</v>
      </c>
      <c r="Z9" s="69">
        <v>592000</v>
      </c>
      <c r="AA9" s="69">
        <v>849000</v>
      </c>
      <c r="AB9" s="69">
        <v>1161000</v>
      </c>
      <c r="AC9" s="69">
        <v>1266000</v>
      </c>
      <c r="AD9" s="69">
        <v>2367000</v>
      </c>
      <c r="AE9" s="69">
        <v>49309000</v>
      </c>
      <c r="AF9" s="69">
        <v>979000</v>
      </c>
      <c r="AG9" s="69">
        <v>552000</v>
      </c>
      <c r="AH9" s="69">
        <v>2002000</v>
      </c>
      <c r="AI9" s="69">
        <v>1294000</v>
      </c>
      <c r="AJ9" s="69">
        <v>24205000</v>
      </c>
      <c r="AK9" s="69">
        <v>1438000</v>
      </c>
      <c r="AL9" s="69">
        <v>3411000</v>
      </c>
      <c r="AM9" s="69"/>
      <c r="AN9" s="69"/>
      <c r="AO9" s="69"/>
      <c r="AP9" s="69"/>
      <c r="AQ9" s="69"/>
      <c r="AR9" s="69"/>
      <c r="AS9" s="69"/>
      <c r="AT9" s="69"/>
      <c r="AU9" s="6"/>
      <c r="AV9" s="6"/>
      <c r="AW9" s="6">
        <f t="shared" si="5"/>
        <v>4289000</v>
      </c>
      <c r="AX9" s="6">
        <f t="shared" si="4"/>
        <v>41911000</v>
      </c>
      <c r="AY9" s="6">
        <f t="shared" si="4"/>
        <v>56199000</v>
      </c>
      <c r="AZ9" s="6">
        <f t="shared" si="4"/>
        <v>33881000</v>
      </c>
      <c r="BA9" s="6">
        <f t="shared" si="4"/>
        <v>0</v>
      </c>
      <c r="BC9" s="66">
        <f t="shared" ca="1" si="6"/>
        <v>136280000</v>
      </c>
    </row>
    <row r="10" spans="1:55" x14ac:dyDescent="0.3">
      <c r="A10" s="6" t="str">
        <f>IFERROR(VLOOKUP($F10,매장구분!$B:$K,2,0),"")</f>
        <v>파트너채널팀</v>
      </c>
      <c r="B10" s="6" t="str">
        <f>IFERROR(VLOOKUP($F10,매장구분!$B:$K,3,0),"")</f>
        <v>국내</v>
      </c>
      <c r="C10" s="6" t="str">
        <f>IFERROR(VLOOKUP($F10,매장구분!$B:$K,5,0),"")</f>
        <v>백화점</v>
      </c>
      <c r="D10" s="6" t="str">
        <f>IFERROR(VLOOKUP($F10,매장구분!$B:$Z,9,0),"")</f>
        <v>롯데분당</v>
      </c>
      <c r="E10" s="69" t="s">
        <v>470</v>
      </c>
      <c r="F10" s="69" t="s">
        <v>471</v>
      </c>
      <c r="G10" s="69">
        <v>192</v>
      </c>
      <c r="H10" s="69">
        <v>14955000</v>
      </c>
      <c r="I10" s="69">
        <v>15945700</v>
      </c>
      <c r="J10" s="69">
        <v>347</v>
      </c>
      <c r="K10" s="69">
        <v>36382200</v>
      </c>
      <c r="L10" s="69">
        <v>37451600</v>
      </c>
      <c r="M10" s="69">
        <v>-155</v>
      </c>
      <c r="N10" s="69">
        <v>-21427200</v>
      </c>
      <c r="O10" s="69">
        <v>-21505900</v>
      </c>
      <c r="P10" s="69">
        <v>1060000</v>
      </c>
      <c r="Q10" s="69">
        <v>842000</v>
      </c>
      <c r="R10" s="69">
        <v>0</v>
      </c>
      <c r="S10" s="69">
        <v>750000</v>
      </c>
      <c r="T10" s="69">
        <v>1245000</v>
      </c>
      <c r="U10" s="69">
        <v>1403900</v>
      </c>
      <c r="V10" s="69">
        <v>502000</v>
      </c>
      <c r="W10" s="69">
        <v>1064000</v>
      </c>
      <c r="X10" s="69">
        <v>586000</v>
      </c>
      <c r="Y10" s="69">
        <v>453000</v>
      </c>
      <c r="Z10" s="69">
        <v>319000</v>
      </c>
      <c r="AA10" s="69">
        <v>757000</v>
      </c>
      <c r="AB10" s="69">
        <v>377900</v>
      </c>
      <c r="AC10" s="69">
        <v>191000</v>
      </c>
      <c r="AD10" s="69">
        <v>559000</v>
      </c>
      <c r="AE10" s="69">
        <v>556900</v>
      </c>
      <c r="AF10" s="69">
        <v>34000</v>
      </c>
      <c r="AG10" s="69">
        <v>306100</v>
      </c>
      <c r="AH10" s="69">
        <v>264000</v>
      </c>
      <c r="AI10" s="69">
        <v>863900</v>
      </c>
      <c r="AJ10" s="69">
        <v>403300</v>
      </c>
      <c r="AK10" s="69">
        <v>1436000</v>
      </c>
      <c r="AL10" s="69">
        <v>981000</v>
      </c>
      <c r="AM10" s="69"/>
      <c r="AN10" s="69"/>
      <c r="AO10" s="69"/>
      <c r="AP10" s="69"/>
      <c r="AQ10" s="69"/>
      <c r="AR10" s="69"/>
      <c r="AS10" s="69"/>
      <c r="AT10" s="69"/>
      <c r="AU10" s="6"/>
      <c r="AV10" s="6"/>
      <c r="AW10" s="6">
        <f t="shared" si="5"/>
        <v>1902000</v>
      </c>
      <c r="AX10" s="6">
        <f t="shared" si="4"/>
        <v>5550900</v>
      </c>
      <c r="AY10" s="6">
        <f t="shared" si="4"/>
        <v>3213800</v>
      </c>
      <c r="AZ10" s="6">
        <f t="shared" si="4"/>
        <v>4288300</v>
      </c>
      <c r="BA10" s="6">
        <f t="shared" si="4"/>
        <v>0</v>
      </c>
      <c r="BC10" s="66">
        <f t="shared" ca="1" si="6"/>
        <v>14955000</v>
      </c>
    </row>
    <row r="11" spans="1:55" x14ac:dyDescent="0.3">
      <c r="A11" s="6" t="str">
        <f>IFERROR(VLOOKUP($F11,매장구분!$B:$K,2,0),"")</f>
        <v>파트너채널팀</v>
      </c>
      <c r="B11" s="6" t="str">
        <f>IFERROR(VLOOKUP($F11,매장구분!$B:$K,3,0),"")</f>
        <v>국내</v>
      </c>
      <c r="C11" s="6" t="str">
        <f>IFERROR(VLOOKUP($F11,매장구분!$B:$K,5,0),"")</f>
        <v>백화점</v>
      </c>
      <c r="D11" s="6" t="str">
        <f>IFERROR(VLOOKUP($F11,매장구분!$B:$Z,9,0),"")</f>
        <v>현대울산동구</v>
      </c>
      <c r="E11" s="69" t="s">
        <v>480</v>
      </c>
      <c r="F11" s="69" t="s">
        <v>481</v>
      </c>
      <c r="G11" s="69">
        <v>317</v>
      </c>
      <c r="H11" s="69">
        <v>28790300</v>
      </c>
      <c r="I11" s="69">
        <v>30561400</v>
      </c>
      <c r="J11" s="69">
        <v>447</v>
      </c>
      <c r="K11" s="69">
        <v>49340400</v>
      </c>
      <c r="L11" s="69">
        <v>51819400</v>
      </c>
      <c r="M11" s="69">
        <v>-130</v>
      </c>
      <c r="N11" s="69">
        <v>-20550100</v>
      </c>
      <c r="O11" s="69">
        <v>-21258000</v>
      </c>
      <c r="P11" s="69">
        <v>3832000</v>
      </c>
      <c r="Q11" s="69">
        <v>1018000</v>
      </c>
      <c r="R11" s="69">
        <v>0</v>
      </c>
      <c r="S11" s="69">
        <v>2025300</v>
      </c>
      <c r="T11" s="69">
        <v>785900</v>
      </c>
      <c r="U11" s="69">
        <v>818500</v>
      </c>
      <c r="V11" s="69">
        <v>3700800</v>
      </c>
      <c r="W11" s="69">
        <v>1123000</v>
      </c>
      <c r="X11" s="69">
        <v>1387900</v>
      </c>
      <c r="Y11" s="69">
        <v>1352000</v>
      </c>
      <c r="Z11" s="69">
        <v>942000</v>
      </c>
      <c r="AA11" s="69">
        <v>1470300</v>
      </c>
      <c r="AB11" s="69">
        <v>1028700</v>
      </c>
      <c r="AC11" s="69">
        <v>435700</v>
      </c>
      <c r="AD11" s="69">
        <v>1766000</v>
      </c>
      <c r="AE11" s="69">
        <v>778300</v>
      </c>
      <c r="AF11" s="69">
        <v>816300</v>
      </c>
      <c r="AG11" s="69">
        <v>394000</v>
      </c>
      <c r="AH11" s="69">
        <v>266000</v>
      </c>
      <c r="AI11" s="69">
        <v>461000</v>
      </c>
      <c r="AJ11" s="69">
        <v>3012600</v>
      </c>
      <c r="AK11" s="69">
        <v>114000</v>
      </c>
      <c r="AL11" s="69">
        <v>1262000</v>
      </c>
      <c r="AM11" s="69"/>
      <c r="AN11" s="69"/>
      <c r="AO11" s="69"/>
      <c r="AP11" s="69"/>
      <c r="AQ11" s="69"/>
      <c r="AR11" s="69"/>
      <c r="AS11" s="69"/>
      <c r="AT11" s="69"/>
      <c r="AU11" s="6"/>
      <c r="AV11" s="6"/>
      <c r="AW11" s="6">
        <f t="shared" si="5"/>
        <v>4850000</v>
      </c>
      <c r="AX11" s="6">
        <f t="shared" si="4"/>
        <v>9841400</v>
      </c>
      <c r="AY11" s="6">
        <f t="shared" si="4"/>
        <v>7773000</v>
      </c>
      <c r="AZ11" s="6">
        <f t="shared" si="4"/>
        <v>6325900</v>
      </c>
      <c r="BA11" s="6">
        <f t="shared" si="4"/>
        <v>0</v>
      </c>
      <c r="BC11" s="66">
        <f t="shared" ca="1" si="6"/>
        <v>28790300</v>
      </c>
    </row>
    <row r="12" spans="1:55" x14ac:dyDescent="0.3">
      <c r="A12" s="6" t="str">
        <f>IFERROR(VLOOKUP($F12,매장구분!$B:$K,2,0),"")</f>
        <v>파트너채널팀</v>
      </c>
      <c r="B12" s="6" t="str">
        <f>IFERROR(VLOOKUP($F12,매장구분!$B:$K,3,0),"")</f>
        <v>국내</v>
      </c>
      <c r="C12" s="6" t="str">
        <f>IFERROR(VLOOKUP($F12,매장구분!$B:$K,5,0),"")</f>
        <v>백화점</v>
      </c>
      <c r="D12" s="6" t="str">
        <f>IFERROR(VLOOKUP($F12,매장구분!$B:$Z,9,0),"")</f>
        <v>롯데청량리</v>
      </c>
      <c r="E12" s="69" t="s">
        <v>255</v>
      </c>
      <c r="F12" s="69" t="s">
        <v>256</v>
      </c>
      <c r="G12" s="69">
        <v>735</v>
      </c>
      <c r="H12" s="69">
        <v>58715800</v>
      </c>
      <c r="I12" s="69">
        <v>61882800</v>
      </c>
      <c r="J12" s="69">
        <v>823</v>
      </c>
      <c r="K12" s="69">
        <v>69738900</v>
      </c>
      <c r="L12" s="69">
        <v>73025800</v>
      </c>
      <c r="M12" s="69">
        <v>-88</v>
      </c>
      <c r="N12" s="69">
        <v>-11023100</v>
      </c>
      <c r="O12" s="69">
        <v>-11143000</v>
      </c>
      <c r="P12" s="69">
        <v>2090000</v>
      </c>
      <c r="Q12" s="69">
        <v>3112000</v>
      </c>
      <c r="R12" s="69">
        <v>0</v>
      </c>
      <c r="S12" s="69">
        <v>2630000</v>
      </c>
      <c r="T12" s="69">
        <v>2008000</v>
      </c>
      <c r="U12" s="69">
        <v>1737000</v>
      </c>
      <c r="V12" s="69">
        <v>847000</v>
      </c>
      <c r="W12" s="69">
        <v>7867000</v>
      </c>
      <c r="X12" s="69">
        <v>2215800</v>
      </c>
      <c r="Y12" s="69">
        <v>1009000</v>
      </c>
      <c r="Z12" s="69">
        <v>2243000</v>
      </c>
      <c r="AA12" s="69">
        <v>2268000</v>
      </c>
      <c r="AB12" s="69">
        <v>2728000</v>
      </c>
      <c r="AC12" s="69">
        <v>2157000</v>
      </c>
      <c r="AD12" s="69">
        <v>14924000</v>
      </c>
      <c r="AE12" s="69">
        <v>2336000</v>
      </c>
      <c r="AF12" s="69">
        <v>2099000</v>
      </c>
      <c r="AG12" s="69">
        <v>1194000</v>
      </c>
      <c r="AH12" s="69">
        <v>1343000</v>
      </c>
      <c r="AI12" s="69">
        <v>659000</v>
      </c>
      <c r="AJ12" s="69">
        <v>545000</v>
      </c>
      <c r="AK12" s="69">
        <v>1760000</v>
      </c>
      <c r="AL12" s="69">
        <v>944000</v>
      </c>
      <c r="AM12" s="69"/>
      <c r="AN12" s="69"/>
      <c r="AO12" s="69"/>
      <c r="AP12" s="69"/>
      <c r="AQ12" s="69"/>
      <c r="AR12" s="69"/>
      <c r="AS12" s="69"/>
      <c r="AT12" s="69"/>
      <c r="AU12" s="6"/>
      <c r="AV12" s="6"/>
      <c r="AW12" s="6">
        <f t="shared" si="5"/>
        <v>5202000</v>
      </c>
      <c r="AX12" s="6">
        <f t="shared" si="4"/>
        <v>17304800</v>
      </c>
      <c r="AY12" s="6">
        <f t="shared" si="4"/>
        <v>27665000</v>
      </c>
      <c r="AZ12" s="6">
        <f t="shared" si="4"/>
        <v>8544000</v>
      </c>
      <c r="BA12" s="6">
        <f t="shared" si="4"/>
        <v>0</v>
      </c>
      <c r="BC12" s="66">
        <f t="shared" ca="1" si="6"/>
        <v>58715800</v>
      </c>
    </row>
    <row r="13" spans="1:55" x14ac:dyDescent="0.3">
      <c r="A13" s="6" t="str">
        <f>IFERROR(VLOOKUP($F13,매장구분!$B:$K,2,0),"")</f>
        <v>파트너채널팀</v>
      </c>
      <c r="B13" s="6" t="str">
        <f>IFERROR(VLOOKUP($F13,매장구분!$B:$K,3,0),"")</f>
        <v>국내</v>
      </c>
      <c r="C13" s="6" t="str">
        <f>IFERROR(VLOOKUP($F13,매장구분!$B:$K,5,0),"")</f>
        <v>백화점</v>
      </c>
      <c r="D13" s="6" t="str">
        <f>IFERROR(VLOOKUP($F13,매장구분!$B:$Z,9,0),"")</f>
        <v>신세계경기</v>
      </c>
      <c r="E13" s="69" t="s">
        <v>356</v>
      </c>
      <c r="F13" s="69" t="s">
        <v>357</v>
      </c>
      <c r="G13" s="69">
        <v>584</v>
      </c>
      <c r="H13" s="69">
        <v>53866600</v>
      </c>
      <c r="I13" s="69">
        <v>56806600</v>
      </c>
      <c r="J13" s="69">
        <v>625</v>
      </c>
      <c r="K13" s="69">
        <v>60829600</v>
      </c>
      <c r="L13" s="69">
        <v>63799600</v>
      </c>
      <c r="M13" s="69">
        <v>-41</v>
      </c>
      <c r="N13" s="69">
        <v>-6963000</v>
      </c>
      <c r="O13" s="69">
        <v>-6993000</v>
      </c>
      <c r="P13" s="69">
        <v>2538000</v>
      </c>
      <c r="Q13" s="69">
        <v>3281000</v>
      </c>
      <c r="R13" s="69">
        <v>842000</v>
      </c>
      <c r="S13" s="69">
        <v>1791000</v>
      </c>
      <c r="T13" s="69">
        <v>1867000</v>
      </c>
      <c r="U13" s="69">
        <v>1464000</v>
      </c>
      <c r="V13" s="69">
        <v>868000</v>
      </c>
      <c r="W13" s="69">
        <v>5733000</v>
      </c>
      <c r="X13" s="69">
        <v>2808000</v>
      </c>
      <c r="Y13" s="69">
        <v>909000</v>
      </c>
      <c r="Z13" s="69">
        <v>811000</v>
      </c>
      <c r="AA13" s="69">
        <v>404000</v>
      </c>
      <c r="AB13" s="69">
        <v>1157000</v>
      </c>
      <c r="AC13" s="69">
        <v>6255800</v>
      </c>
      <c r="AD13" s="69">
        <v>7012000</v>
      </c>
      <c r="AE13" s="69">
        <v>3630900</v>
      </c>
      <c r="AF13" s="69">
        <v>1716000</v>
      </c>
      <c r="AG13" s="69">
        <v>1161000</v>
      </c>
      <c r="AH13" s="69">
        <v>1005000</v>
      </c>
      <c r="AI13" s="69">
        <v>1657000</v>
      </c>
      <c r="AJ13" s="69">
        <v>567000</v>
      </c>
      <c r="AK13" s="69">
        <v>3818000</v>
      </c>
      <c r="AL13" s="69">
        <v>2570900</v>
      </c>
      <c r="AM13" s="69"/>
      <c r="AN13" s="69"/>
      <c r="AO13" s="69"/>
      <c r="AP13" s="69"/>
      <c r="AQ13" s="69"/>
      <c r="AR13" s="69"/>
      <c r="AS13" s="69"/>
      <c r="AT13" s="69"/>
      <c r="AU13" s="6"/>
      <c r="AV13" s="6"/>
      <c r="AW13" s="6">
        <f t="shared" si="5"/>
        <v>5819000</v>
      </c>
      <c r="AX13" s="6">
        <f t="shared" si="4"/>
        <v>15373000</v>
      </c>
      <c r="AY13" s="6">
        <f t="shared" si="4"/>
        <v>20179700</v>
      </c>
      <c r="AZ13" s="6">
        <f t="shared" si="4"/>
        <v>12494900</v>
      </c>
      <c r="BA13" s="6">
        <f t="shared" si="4"/>
        <v>0</v>
      </c>
      <c r="BC13" s="66">
        <f t="shared" ca="1" si="6"/>
        <v>53866600</v>
      </c>
    </row>
    <row r="14" spans="1:55" x14ac:dyDescent="0.3">
      <c r="A14" s="6" t="str">
        <f>IFERROR(VLOOKUP($F14,매장구분!$B:$K,2,0),"")</f>
        <v>파트너채널팀</v>
      </c>
      <c r="B14" s="6" t="str">
        <f>IFERROR(VLOOKUP($F14,매장구분!$B:$K,3,0),"")</f>
        <v>국내</v>
      </c>
      <c r="C14" s="6" t="str">
        <f>IFERROR(VLOOKUP($F14,매장구분!$B:$K,5,0),"")</f>
        <v>백화점</v>
      </c>
      <c r="D14" s="6" t="str">
        <f>IFERROR(VLOOKUP($F14,매장구분!$B:$Z,9,0),"")</f>
        <v>롯데광복</v>
      </c>
      <c r="E14" s="69" t="s">
        <v>448</v>
      </c>
      <c r="F14" s="69" t="s">
        <v>449</v>
      </c>
      <c r="G14" s="69">
        <v>576</v>
      </c>
      <c r="H14" s="69">
        <v>51137910</v>
      </c>
      <c r="I14" s="69">
        <v>55099000</v>
      </c>
      <c r="J14" s="69">
        <v>613</v>
      </c>
      <c r="K14" s="69">
        <v>56538910</v>
      </c>
      <c r="L14" s="69">
        <v>60550000</v>
      </c>
      <c r="M14" s="69">
        <v>-37</v>
      </c>
      <c r="N14" s="69">
        <v>-5401000</v>
      </c>
      <c r="O14" s="69">
        <v>-5451000</v>
      </c>
      <c r="P14" s="69">
        <v>4286700</v>
      </c>
      <c r="Q14" s="69">
        <v>2392710</v>
      </c>
      <c r="R14" s="69">
        <v>0</v>
      </c>
      <c r="S14" s="69">
        <v>876000</v>
      </c>
      <c r="T14" s="69">
        <v>924000</v>
      </c>
      <c r="U14" s="69">
        <v>392000</v>
      </c>
      <c r="V14" s="69">
        <v>2277000</v>
      </c>
      <c r="W14" s="69">
        <v>6810000</v>
      </c>
      <c r="X14" s="69">
        <v>2687000</v>
      </c>
      <c r="Y14" s="69">
        <v>2407000</v>
      </c>
      <c r="Z14" s="69">
        <v>2693900</v>
      </c>
      <c r="AA14" s="69">
        <v>1157700</v>
      </c>
      <c r="AB14" s="69">
        <v>1235000</v>
      </c>
      <c r="AC14" s="69">
        <v>2226900</v>
      </c>
      <c r="AD14" s="69">
        <v>2736900</v>
      </c>
      <c r="AE14" s="69">
        <v>1158000</v>
      </c>
      <c r="AF14" s="69">
        <v>959000</v>
      </c>
      <c r="AG14" s="69">
        <v>1269000</v>
      </c>
      <c r="AH14" s="69">
        <v>883000</v>
      </c>
      <c r="AI14" s="69">
        <v>5490100</v>
      </c>
      <c r="AJ14" s="69">
        <v>2774000</v>
      </c>
      <c r="AK14" s="69">
        <v>2338000</v>
      </c>
      <c r="AL14" s="69">
        <v>3164000</v>
      </c>
      <c r="AM14" s="69"/>
      <c r="AN14" s="69"/>
      <c r="AO14" s="69"/>
      <c r="AP14" s="69"/>
      <c r="AQ14" s="69"/>
      <c r="AR14" s="69"/>
      <c r="AS14" s="69"/>
      <c r="AT14" s="69"/>
      <c r="AU14" s="6"/>
      <c r="AV14" s="6"/>
      <c r="AW14" s="6">
        <f t="shared" si="5"/>
        <v>6679410</v>
      </c>
      <c r="AX14" s="6">
        <f t="shared" si="4"/>
        <v>13966000</v>
      </c>
      <c r="AY14" s="6">
        <f t="shared" si="4"/>
        <v>13615400</v>
      </c>
      <c r="AZ14" s="6">
        <f t="shared" si="4"/>
        <v>16877100</v>
      </c>
      <c r="BA14" s="6">
        <f t="shared" si="4"/>
        <v>0</v>
      </c>
      <c r="BC14" s="66">
        <f t="shared" ca="1" si="6"/>
        <v>51137910</v>
      </c>
    </row>
    <row r="15" spans="1:55" x14ac:dyDescent="0.3">
      <c r="A15" s="6" t="str">
        <f>IFERROR(VLOOKUP($F15,매장구분!$B:$K,2,0),"")</f>
        <v>파트너채널팀</v>
      </c>
      <c r="B15" s="6" t="str">
        <f>IFERROR(VLOOKUP($F15,매장구분!$B:$K,3,0),"")</f>
        <v>국내</v>
      </c>
      <c r="C15" s="6" t="str">
        <f>IFERROR(VLOOKUP($F15,매장구분!$B:$K,5,0),"")</f>
        <v>백화점</v>
      </c>
      <c r="D15" s="6" t="str">
        <f>IFERROR(VLOOKUP($F15,매장구분!$B:$Z,9,0),"")</f>
        <v>신세계센텀</v>
      </c>
      <c r="E15" s="69" t="s">
        <v>301</v>
      </c>
      <c r="F15" s="69" t="s">
        <v>302</v>
      </c>
      <c r="G15" s="69">
        <v>1187</v>
      </c>
      <c r="H15" s="69">
        <v>77719100</v>
      </c>
      <c r="I15" s="69">
        <v>81172800</v>
      </c>
      <c r="J15" s="69">
        <v>1237</v>
      </c>
      <c r="K15" s="69">
        <v>86079100</v>
      </c>
      <c r="L15" s="69">
        <v>89552800</v>
      </c>
      <c r="M15" s="69">
        <v>-50</v>
      </c>
      <c r="N15" s="69">
        <v>-8360000</v>
      </c>
      <c r="O15" s="69">
        <v>-8380000</v>
      </c>
      <c r="P15" s="69">
        <v>7010000</v>
      </c>
      <c r="Q15" s="69">
        <v>6828000</v>
      </c>
      <c r="R15" s="69">
        <v>2249300</v>
      </c>
      <c r="S15" s="69">
        <v>1913000</v>
      </c>
      <c r="T15" s="69">
        <v>1186900</v>
      </c>
      <c r="U15" s="69">
        <v>1651800</v>
      </c>
      <c r="V15" s="69">
        <v>2889000</v>
      </c>
      <c r="W15" s="69">
        <v>5881900</v>
      </c>
      <c r="X15" s="69">
        <v>3731900</v>
      </c>
      <c r="Y15" s="69">
        <v>1586000</v>
      </c>
      <c r="Z15" s="69">
        <v>1648000</v>
      </c>
      <c r="AA15" s="69">
        <v>1692000</v>
      </c>
      <c r="AB15" s="69">
        <v>1364900</v>
      </c>
      <c r="AC15" s="69">
        <v>1739000</v>
      </c>
      <c r="AD15" s="69">
        <v>4623000</v>
      </c>
      <c r="AE15" s="69">
        <v>5609000</v>
      </c>
      <c r="AF15" s="69">
        <v>1696000</v>
      </c>
      <c r="AG15" s="69">
        <v>3463800</v>
      </c>
      <c r="AH15" s="69">
        <v>2597000</v>
      </c>
      <c r="AI15" s="69">
        <v>2475800</v>
      </c>
      <c r="AJ15" s="69">
        <v>2047000</v>
      </c>
      <c r="AK15" s="69">
        <v>7587900</v>
      </c>
      <c r="AL15" s="69">
        <v>6247900</v>
      </c>
      <c r="AM15" s="69"/>
      <c r="AN15" s="69"/>
      <c r="AO15" s="69"/>
      <c r="AP15" s="69"/>
      <c r="AQ15" s="69"/>
      <c r="AR15" s="69"/>
      <c r="AS15" s="69"/>
      <c r="AT15" s="69"/>
      <c r="AU15" s="6"/>
      <c r="AV15" s="6"/>
      <c r="AW15" s="6">
        <f t="shared" si="5"/>
        <v>13838000</v>
      </c>
      <c r="AX15" s="6">
        <f t="shared" si="4"/>
        <v>19503800</v>
      </c>
      <c r="AY15" s="6">
        <f t="shared" si="4"/>
        <v>18261900</v>
      </c>
      <c r="AZ15" s="6">
        <f t="shared" si="4"/>
        <v>26115400</v>
      </c>
      <c r="BA15" s="6">
        <f t="shared" si="4"/>
        <v>0</v>
      </c>
      <c r="BC15" s="66">
        <f t="shared" ca="1" si="6"/>
        <v>77719100</v>
      </c>
    </row>
    <row r="16" spans="1:55" x14ac:dyDescent="0.3">
      <c r="A16" s="6" t="str">
        <f>IFERROR(VLOOKUP($F16,매장구분!$B:$K,2,0),"")</f>
        <v>파트너채널팀</v>
      </c>
      <c r="B16" s="6" t="str">
        <f>IFERROR(VLOOKUP($F16,매장구분!$B:$K,3,0),"")</f>
        <v>국내</v>
      </c>
      <c r="C16" s="6" t="str">
        <f>IFERROR(VLOOKUP($F16,매장구분!$B:$K,5,0),"")</f>
        <v>백화점</v>
      </c>
      <c r="D16" s="6" t="str">
        <f>IFERROR(VLOOKUP($F16,매장구분!$B:$Z,9,0),"")</f>
        <v>현대킨텍스</v>
      </c>
      <c r="E16" s="69" t="s">
        <v>442</v>
      </c>
      <c r="F16" s="69" t="s">
        <v>443</v>
      </c>
      <c r="G16" s="69">
        <v>1180</v>
      </c>
      <c r="H16" s="69">
        <v>133348100</v>
      </c>
      <c r="I16" s="69">
        <v>137497600</v>
      </c>
      <c r="J16" s="69">
        <v>1544</v>
      </c>
      <c r="K16" s="69">
        <v>198890300</v>
      </c>
      <c r="L16" s="69">
        <v>203328600</v>
      </c>
      <c r="M16" s="69">
        <v>-364</v>
      </c>
      <c r="N16" s="69">
        <v>-65542200</v>
      </c>
      <c r="O16" s="69">
        <v>-65831000</v>
      </c>
      <c r="P16" s="69">
        <v>6944000</v>
      </c>
      <c r="Q16" s="69">
        <v>13590000</v>
      </c>
      <c r="R16" s="69">
        <v>732000</v>
      </c>
      <c r="S16" s="69">
        <v>866000</v>
      </c>
      <c r="T16" s="69">
        <v>28752900</v>
      </c>
      <c r="U16" s="69">
        <v>2299000</v>
      </c>
      <c r="V16" s="69">
        <v>1068000</v>
      </c>
      <c r="W16" s="69">
        <v>630900</v>
      </c>
      <c r="X16" s="69">
        <v>2406000</v>
      </c>
      <c r="Y16" s="69">
        <v>0</v>
      </c>
      <c r="Z16" s="69">
        <v>882000</v>
      </c>
      <c r="AA16" s="69">
        <v>660000</v>
      </c>
      <c r="AB16" s="69">
        <v>930000</v>
      </c>
      <c r="AC16" s="69">
        <v>10308000</v>
      </c>
      <c r="AD16" s="69">
        <v>11508300</v>
      </c>
      <c r="AE16" s="69">
        <v>22212900</v>
      </c>
      <c r="AF16" s="69">
        <v>174000</v>
      </c>
      <c r="AG16" s="69">
        <v>1309000</v>
      </c>
      <c r="AH16" s="69">
        <v>1468000</v>
      </c>
      <c r="AI16" s="69">
        <v>444000</v>
      </c>
      <c r="AJ16" s="69">
        <v>528300</v>
      </c>
      <c r="AK16" s="69">
        <v>13900900</v>
      </c>
      <c r="AL16" s="69">
        <v>11733900</v>
      </c>
      <c r="AM16" s="69"/>
      <c r="AN16" s="69"/>
      <c r="AO16" s="69"/>
      <c r="AP16" s="69"/>
      <c r="AQ16" s="69"/>
      <c r="AR16" s="69"/>
      <c r="AS16" s="69"/>
      <c r="AT16" s="69"/>
      <c r="AU16" s="6"/>
      <c r="AV16" s="6"/>
      <c r="AW16" s="6">
        <f t="shared" si="5"/>
        <v>20534000</v>
      </c>
      <c r="AX16" s="6">
        <f t="shared" si="4"/>
        <v>36754800</v>
      </c>
      <c r="AY16" s="6">
        <f t="shared" si="4"/>
        <v>46501200</v>
      </c>
      <c r="AZ16" s="6">
        <f t="shared" si="4"/>
        <v>29558100</v>
      </c>
      <c r="BA16" s="6">
        <f t="shared" si="4"/>
        <v>0</v>
      </c>
      <c r="BC16" s="66">
        <f t="shared" ca="1" si="6"/>
        <v>133348100</v>
      </c>
    </row>
    <row r="17" spans="1:55" x14ac:dyDescent="0.3">
      <c r="A17" s="6" t="str">
        <f>IFERROR(VLOOKUP($F17,매장구분!$B:$K,2,0),"")</f>
        <v>파트너채널팀</v>
      </c>
      <c r="B17" s="6" t="str">
        <f>IFERROR(VLOOKUP($F17,매장구분!$B:$K,3,0),"")</f>
        <v>국내</v>
      </c>
      <c r="C17" s="6" t="str">
        <f>IFERROR(VLOOKUP($F17,매장구분!$B:$K,5,0),"")</f>
        <v>백화점</v>
      </c>
      <c r="D17" s="6" t="str">
        <f>IFERROR(VLOOKUP($F17,매장구분!$B:$Z,9,0),"")</f>
        <v>갤러리아센터시티</v>
      </c>
      <c r="E17" s="69" t="s">
        <v>259</v>
      </c>
      <c r="F17" s="69" t="s">
        <v>260</v>
      </c>
      <c r="G17" s="69">
        <v>1541</v>
      </c>
      <c r="H17" s="69">
        <v>93312200</v>
      </c>
      <c r="I17" s="69">
        <v>100813200</v>
      </c>
      <c r="J17" s="69">
        <v>1563</v>
      </c>
      <c r="K17" s="69">
        <v>96235100</v>
      </c>
      <c r="L17" s="69">
        <v>103896100</v>
      </c>
      <c r="M17" s="69">
        <v>-22</v>
      </c>
      <c r="N17" s="69">
        <v>-2922900</v>
      </c>
      <c r="O17" s="69">
        <v>-3082900</v>
      </c>
      <c r="P17" s="69">
        <v>3375000</v>
      </c>
      <c r="Q17" s="69">
        <v>2831900</v>
      </c>
      <c r="R17" s="69">
        <v>360000</v>
      </c>
      <c r="S17" s="69">
        <v>475000</v>
      </c>
      <c r="T17" s="69">
        <v>453000</v>
      </c>
      <c r="U17" s="69">
        <v>578000</v>
      </c>
      <c r="V17" s="69">
        <v>387000</v>
      </c>
      <c r="W17" s="69">
        <v>3370900</v>
      </c>
      <c r="X17" s="69">
        <v>18245000</v>
      </c>
      <c r="Y17" s="69">
        <v>538000</v>
      </c>
      <c r="Z17" s="69">
        <v>282000</v>
      </c>
      <c r="AA17" s="69">
        <v>1034900</v>
      </c>
      <c r="AB17" s="69">
        <v>1343000</v>
      </c>
      <c r="AC17" s="69">
        <v>1652900</v>
      </c>
      <c r="AD17" s="69">
        <v>2285000</v>
      </c>
      <c r="AE17" s="69">
        <v>2198900</v>
      </c>
      <c r="AF17" s="69">
        <v>608000</v>
      </c>
      <c r="AG17" s="69">
        <v>507000</v>
      </c>
      <c r="AH17" s="69">
        <v>263000</v>
      </c>
      <c r="AI17" s="69">
        <v>2233000</v>
      </c>
      <c r="AJ17" s="69">
        <v>48278000</v>
      </c>
      <c r="AK17" s="69">
        <v>1001900</v>
      </c>
      <c r="AL17" s="69">
        <v>1010800</v>
      </c>
      <c r="AM17" s="69"/>
      <c r="AN17" s="69"/>
      <c r="AO17" s="69"/>
      <c r="AP17" s="69"/>
      <c r="AQ17" s="69"/>
      <c r="AR17" s="69"/>
      <c r="AS17" s="69"/>
      <c r="AT17" s="69"/>
      <c r="AU17" s="6"/>
      <c r="AV17" s="6"/>
      <c r="AW17" s="6">
        <f t="shared" si="5"/>
        <v>6206900</v>
      </c>
      <c r="AX17" s="6">
        <f t="shared" si="4"/>
        <v>23868900</v>
      </c>
      <c r="AY17" s="6">
        <f t="shared" si="4"/>
        <v>9334700</v>
      </c>
      <c r="AZ17" s="6">
        <f t="shared" si="4"/>
        <v>53901700</v>
      </c>
      <c r="BA17" s="6">
        <f t="shared" si="4"/>
        <v>0</v>
      </c>
      <c r="BC17" s="66">
        <f t="shared" ca="1" si="6"/>
        <v>93312200</v>
      </c>
    </row>
    <row r="18" spans="1:55" x14ac:dyDescent="0.3">
      <c r="A18" s="6" t="str">
        <f>IFERROR(VLOOKUP($F18,매장구분!$B:$K,2,0),"")</f>
        <v>파트너채널팀</v>
      </c>
      <c r="B18" s="6" t="str">
        <f>IFERROR(VLOOKUP($F18,매장구분!$B:$K,3,0),"")</f>
        <v>국내</v>
      </c>
      <c r="C18" s="6" t="str">
        <f>IFERROR(VLOOKUP($F18,매장구분!$B:$K,5,0),"")</f>
        <v>백화점</v>
      </c>
      <c r="D18" s="6" t="str">
        <f>IFERROR(VLOOKUP($F18,매장구분!$B:$Z,9,0),"")</f>
        <v>현대대구</v>
      </c>
      <c r="E18" s="69" t="s">
        <v>540</v>
      </c>
      <c r="F18" s="69" t="s">
        <v>541</v>
      </c>
      <c r="G18" s="69">
        <v>1020</v>
      </c>
      <c r="H18" s="69">
        <v>99520400</v>
      </c>
      <c r="I18" s="69">
        <v>103735200</v>
      </c>
      <c r="J18" s="69">
        <v>1119</v>
      </c>
      <c r="K18" s="69">
        <v>116284500</v>
      </c>
      <c r="L18" s="69">
        <v>120796200</v>
      </c>
      <c r="M18" s="69">
        <v>-99</v>
      </c>
      <c r="N18" s="69">
        <v>-16764100</v>
      </c>
      <c r="O18" s="69">
        <v>-17061000</v>
      </c>
      <c r="P18" s="69">
        <v>3358900</v>
      </c>
      <c r="Q18" s="69">
        <v>27962000</v>
      </c>
      <c r="R18" s="69">
        <v>4845000</v>
      </c>
      <c r="S18" s="69">
        <v>1961000</v>
      </c>
      <c r="T18" s="69">
        <v>1572000</v>
      </c>
      <c r="U18" s="69">
        <v>2735000</v>
      </c>
      <c r="V18" s="69">
        <v>2562000</v>
      </c>
      <c r="W18" s="69">
        <v>3188000</v>
      </c>
      <c r="X18" s="69">
        <v>4139000</v>
      </c>
      <c r="Y18" s="69">
        <v>0</v>
      </c>
      <c r="Z18" s="69">
        <v>2699000</v>
      </c>
      <c r="AA18" s="69">
        <v>2135500</v>
      </c>
      <c r="AB18" s="69">
        <v>2304300</v>
      </c>
      <c r="AC18" s="69">
        <v>3102700</v>
      </c>
      <c r="AD18" s="69">
        <v>7485100</v>
      </c>
      <c r="AE18" s="69">
        <v>4674000</v>
      </c>
      <c r="AF18" s="69">
        <v>1994000</v>
      </c>
      <c r="AG18" s="69">
        <v>2659300</v>
      </c>
      <c r="AH18" s="69">
        <v>2935000</v>
      </c>
      <c r="AI18" s="69">
        <v>2484900</v>
      </c>
      <c r="AJ18" s="69">
        <v>2880000</v>
      </c>
      <c r="AK18" s="69">
        <v>8191800</v>
      </c>
      <c r="AL18" s="69">
        <v>3651900</v>
      </c>
      <c r="AM18" s="69"/>
      <c r="AN18" s="69"/>
      <c r="AO18" s="69"/>
      <c r="AP18" s="69"/>
      <c r="AQ18" s="69"/>
      <c r="AR18" s="69"/>
      <c r="AS18" s="69"/>
      <c r="AT18" s="69"/>
      <c r="AU18" s="6"/>
      <c r="AV18" s="6"/>
      <c r="AW18" s="6">
        <f t="shared" si="5"/>
        <v>31320900</v>
      </c>
      <c r="AX18" s="6">
        <f t="shared" si="4"/>
        <v>21002000</v>
      </c>
      <c r="AY18" s="6">
        <f t="shared" si="4"/>
        <v>22400600</v>
      </c>
      <c r="AZ18" s="6">
        <f t="shared" si="4"/>
        <v>24796900</v>
      </c>
      <c r="BA18" s="6">
        <f t="shared" si="4"/>
        <v>0</v>
      </c>
      <c r="BC18" s="66">
        <f t="shared" ca="1" si="6"/>
        <v>99520400</v>
      </c>
    </row>
    <row r="19" spans="1:55" x14ac:dyDescent="0.3">
      <c r="A19" s="6" t="str">
        <f>IFERROR(VLOOKUP($F19,매장구분!$B:$K,2,0),"")</f>
        <v>파트너채널팀</v>
      </c>
      <c r="B19" s="6" t="str">
        <f>IFERROR(VLOOKUP($F19,매장구분!$B:$K,3,0),"")</f>
        <v>국내</v>
      </c>
      <c r="C19" s="6" t="str">
        <f>IFERROR(VLOOKUP($F19,매장구분!$B:$K,5,0),"")</f>
        <v>백화점</v>
      </c>
      <c r="D19" s="6" t="str">
        <f>IFERROR(VLOOKUP($F19,매장구분!$B:$Z,9,0),"")</f>
        <v>현대울산</v>
      </c>
      <c r="E19" s="69" t="s">
        <v>344</v>
      </c>
      <c r="F19" s="69" t="s">
        <v>345</v>
      </c>
      <c r="G19" s="69">
        <v>1239</v>
      </c>
      <c r="H19" s="69">
        <v>134451500</v>
      </c>
      <c r="I19" s="69">
        <v>144684700</v>
      </c>
      <c r="J19" s="69">
        <v>1488</v>
      </c>
      <c r="K19" s="69">
        <v>171714300</v>
      </c>
      <c r="L19" s="69">
        <v>182283000</v>
      </c>
      <c r="M19" s="69">
        <v>-249</v>
      </c>
      <c r="N19" s="69">
        <v>-37262800</v>
      </c>
      <c r="O19" s="69">
        <v>-37598300</v>
      </c>
      <c r="P19" s="69">
        <v>12099500</v>
      </c>
      <c r="Q19" s="69">
        <v>5643900</v>
      </c>
      <c r="R19" s="69">
        <v>5817100</v>
      </c>
      <c r="S19" s="69">
        <v>902000</v>
      </c>
      <c r="T19" s="69">
        <v>7801500</v>
      </c>
      <c r="U19" s="69">
        <v>2177000</v>
      </c>
      <c r="V19" s="69">
        <v>7072000</v>
      </c>
      <c r="W19" s="69">
        <v>4137100</v>
      </c>
      <c r="X19" s="69">
        <v>5350000</v>
      </c>
      <c r="Y19" s="69">
        <v>0</v>
      </c>
      <c r="Z19" s="69">
        <v>3436900</v>
      </c>
      <c r="AA19" s="69">
        <v>4647500</v>
      </c>
      <c r="AB19" s="69">
        <v>3979000</v>
      </c>
      <c r="AC19" s="69">
        <v>9692000</v>
      </c>
      <c r="AD19" s="69">
        <v>6905000</v>
      </c>
      <c r="AE19" s="69">
        <v>5912000</v>
      </c>
      <c r="AF19" s="69">
        <v>4917000</v>
      </c>
      <c r="AG19" s="69">
        <v>3192000</v>
      </c>
      <c r="AH19" s="69">
        <v>7163000</v>
      </c>
      <c r="AI19" s="69">
        <v>3809000</v>
      </c>
      <c r="AJ19" s="69">
        <v>12193100</v>
      </c>
      <c r="AK19" s="69">
        <v>9516900</v>
      </c>
      <c r="AL19" s="69">
        <v>8088000</v>
      </c>
      <c r="AM19" s="69"/>
      <c r="AN19" s="69"/>
      <c r="AO19" s="69"/>
      <c r="AP19" s="69"/>
      <c r="AQ19" s="69"/>
      <c r="AR19" s="69"/>
      <c r="AS19" s="69"/>
      <c r="AT19" s="69"/>
      <c r="AU19" s="6"/>
      <c r="AV19" s="6"/>
      <c r="AW19" s="6">
        <f t="shared" si="5"/>
        <v>17743400</v>
      </c>
      <c r="AX19" s="6">
        <f t="shared" si="4"/>
        <v>33256700</v>
      </c>
      <c r="AY19" s="6">
        <f t="shared" si="4"/>
        <v>34572400</v>
      </c>
      <c r="AZ19" s="6">
        <f t="shared" si="4"/>
        <v>48879000</v>
      </c>
      <c r="BA19" s="6">
        <f t="shared" si="4"/>
        <v>0</v>
      </c>
      <c r="BC19" s="66">
        <f t="shared" ca="1" si="6"/>
        <v>134451500</v>
      </c>
    </row>
    <row r="20" spans="1:55" x14ac:dyDescent="0.3">
      <c r="A20" s="6" t="str">
        <f>IFERROR(VLOOKUP($F20,매장구분!$B:$K,2,0),"")</f>
        <v>파트너채널팀</v>
      </c>
      <c r="B20" s="6" t="str">
        <f>IFERROR(VLOOKUP($F20,매장구분!$B:$K,3,0),"")</f>
        <v>국내</v>
      </c>
      <c r="C20" s="6" t="str">
        <f>IFERROR(VLOOKUP($F20,매장구분!$B:$K,5,0),"")</f>
        <v>백화점</v>
      </c>
      <c r="D20" s="6" t="str">
        <f>IFERROR(VLOOKUP($F20,매장구분!$B:$Z,9,0),"")</f>
        <v>롯데김포</v>
      </c>
      <c r="E20" s="69" t="s">
        <v>190</v>
      </c>
      <c r="F20" s="69" t="s">
        <v>191</v>
      </c>
      <c r="G20" s="69">
        <v>1001</v>
      </c>
      <c r="H20" s="69">
        <v>84776200</v>
      </c>
      <c r="I20" s="69">
        <v>90206700</v>
      </c>
      <c r="J20" s="69">
        <v>1059</v>
      </c>
      <c r="K20" s="69">
        <v>96244200</v>
      </c>
      <c r="L20" s="69">
        <v>101884700</v>
      </c>
      <c r="M20" s="69">
        <v>-58</v>
      </c>
      <c r="N20" s="69">
        <v>-11468000</v>
      </c>
      <c r="O20" s="69">
        <v>-11678000</v>
      </c>
      <c r="P20" s="69">
        <v>8080900</v>
      </c>
      <c r="Q20" s="69">
        <v>7358800</v>
      </c>
      <c r="R20" s="69">
        <v>0</v>
      </c>
      <c r="S20" s="69">
        <v>2273900</v>
      </c>
      <c r="T20" s="69">
        <v>1092000</v>
      </c>
      <c r="U20" s="69">
        <v>2339000</v>
      </c>
      <c r="V20" s="69">
        <v>3547800</v>
      </c>
      <c r="W20" s="69">
        <v>3888900</v>
      </c>
      <c r="X20" s="69">
        <v>2594000</v>
      </c>
      <c r="Y20" s="69">
        <v>2654000</v>
      </c>
      <c r="Z20" s="69">
        <v>2160000</v>
      </c>
      <c r="AA20" s="69">
        <v>2449000</v>
      </c>
      <c r="AB20" s="69">
        <v>1453900</v>
      </c>
      <c r="AC20" s="69">
        <v>2085000</v>
      </c>
      <c r="AD20" s="69">
        <v>16496000</v>
      </c>
      <c r="AE20" s="69">
        <v>4103300</v>
      </c>
      <c r="AF20" s="69">
        <v>1302000</v>
      </c>
      <c r="AG20" s="69">
        <v>1954000</v>
      </c>
      <c r="AH20" s="69">
        <v>2968000</v>
      </c>
      <c r="AI20" s="69">
        <v>2767000</v>
      </c>
      <c r="AJ20" s="69">
        <v>1883000</v>
      </c>
      <c r="AK20" s="69">
        <v>5265200</v>
      </c>
      <c r="AL20" s="69">
        <v>6060500</v>
      </c>
      <c r="AM20" s="69"/>
      <c r="AN20" s="69"/>
      <c r="AO20" s="69"/>
      <c r="AP20" s="69"/>
      <c r="AQ20" s="69"/>
      <c r="AR20" s="69"/>
      <c r="AS20" s="69"/>
      <c r="AT20" s="69"/>
      <c r="AU20" s="6"/>
      <c r="AV20" s="6"/>
      <c r="AW20" s="6">
        <f t="shared" si="5"/>
        <v>15439700</v>
      </c>
      <c r="AX20" s="6">
        <f t="shared" si="4"/>
        <v>15735600</v>
      </c>
      <c r="AY20" s="6">
        <f t="shared" si="4"/>
        <v>31401200</v>
      </c>
      <c r="AZ20" s="6">
        <f t="shared" si="4"/>
        <v>22199700</v>
      </c>
      <c r="BA20" s="6">
        <f t="shared" si="4"/>
        <v>0</v>
      </c>
      <c r="BC20" s="66">
        <f t="shared" ca="1" si="6"/>
        <v>84776200</v>
      </c>
    </row>
    <row r="21" spans="1:55" x14ac:dyDescent="0.3">
      <c r="A21" s="6" t="str">
        <f>IFERROR(VLOOKUP($F21,매장구분!$B:$K,2,0),"")</f>
        <v>파트너채널팀</v>
      </c>
      <c r="B21" s="6" t="str">
        <f>IFERROR(VLOOKUP($F21,매장구분!$B:$K,3,0),"")</f>
        <v>국내</v>
      </c>
      <c r="C21" s="6" t="str">
        <f>IFERROR(VLOOKUP($F21,매장구분!$B:$K,5,0),"")</f>
        <v>백화점</v>
      </c>
      <c r="D21" s="6" t="str">
        <f>IFERROR(VLOOKUP($F21,매장구분!$B:$Z,9,0),"")</f>
        <v>롯데평촌</v>
      </c>
      <c r="E21" s="69" t="s">
        <v>412</v>
      </c>
      <c r="F21" s="69" t="s">
        <v>413</v>
      </c>
      <c r="G21" s="69">
        <v>964</v>
      </c>
      <c r="H21" s="69">
        <v>123590500</v>
      </c>
      <c r="I21" s="69">
        <v>128649600</v>
      </c>
      <c r="J21" s="69">
        <v>1056</v>
      </c>
      <c r="K21" s="69">
        <v>135978500</v>
      </c>
      <c r="L21" s="69">
        <v>141164600</v>
      </c>
      <c r="M21" s="69">
        <v>-92</v>
      </c>
      <c r="N21" s="69">
        <v>-12388000</v>
      </c>
      <c r="O21" s="69">
        <v>-12515000</v>
      </c>
      <c r="P21" s="69">
        <v>12468300</v>
      </c>
      <c r="Q21" s="69">
        <v>10193000</v>
      </c>
      <c r="R21" s="69">
        <v>0</v>
      </c>
      <c r="S21" s="69">
        <v>1258600</v>
      </c>
      <c r="T21" s="69">
        <v>11178000</v>
      </c>
      <c r="U21" s="69">
        <v>2489000</v>
      </c>
      <c r="V21" s="69">
        <v>2759000</v>
      </c>
      <c r="W21" s="69">
        <v>9006000</v>
      </c>
      <c r="X21" s="69">
        <v>10684000</v>
      </c>
      <c r="Y21" s="69">
        <v>2456000</v>
      </c>
      <c r="Z21" s="69">
        <v>1472000</v>
      </c>
      <c r="AA21" s="69">
        <v>3933000</v>
      </c>
      <c r="AB21" s="69">
        <v>1524000</v>
      </c>
      <c r="AC21" s="69">
        <v>1461000</v>
      </c>
      <c r="AD21" s="69">
        <v>10881800</v>
      </c>
      <c r="AE21" s="69">
        <v>9485900</v>
      </c>
      <c r="AF21" s="69">
        <v>1842000</v>
      </c>
      <c r="AG21" s="69">
        <v>1895000</v>
      </c>
      <c r="AH21" s="69">
        <v>2709000</v>
      </c>
      <c r="AI21" s="69">
        <v>309900</v>
      </c>
      <c r="AJ21" s="69">
        <v>7063000</v>
      </c>
      <c r="AK21" s="69">
        <v>9175000</v>
      </c>
      <c r="AL21" s="69">
        <v>9347000</v>
      </c>
      <c r="AM21" s="69"/>
      <c r="AN21" s="69"/>
      <c r="AO21" s="69"/>
      <c r="AP21" s="69"/>
      <c r="AQ21" s="69"/>
      <c r="AR21" s="69"/>
      <c r="AS21" s="69"/>
      <c r="AT21" s="69"/>
      <c r="AU21" s="6"/>
      <c r="AV21" s="6"/>
      <c r="AW21" s="6">
        <f t="shared" si="5"/>
        <v>22661300</v>
      </c>
      <c r="AX21" s="6">
        <f t="shared" si="4"/>
        <v>37374600</v>
      </c>
      <c r="AY21" s="6">
        <f t="shared" si="4"/>
        <v>31213700</v>
      </c>
      <c r="AZ21" s="6">
        <f t="shared" si="4"/>
        <v>32340900</v>
      </c>
      <c r="BA21" s="6">
        <f t="shared" si="4"/>
        <v>0</v>
      </c>
      <c r="BC21" s="66">
        <f t="shared" ca="1" si="6"/>
        <v>123590500</v>
      </c>
    </row>
    <row r="22" spans="1:55" x14ac:dyDescent="0.3">
      <c r="A22" s="6" t="str">
        <f>IFERROR(VLOOKUP($F22,매장구분!$B:$K,2,0),"")</f>
        <v>파트너채널팀</v>
      </c>
      <c r="B22" s="6" t="str">
        <f>IFERROR(VLOOKUP($F22,매장구분!$B:$K,3,0),"")</f>
        <v>국내</v>
      </c>
      <c r="C22" s="6" t="str">
        <f>IFERROR(VLOOKUP($F22,매장구분!$B:$K,5,0),"")</f>
        <v>백화점</v>
      </c>
      <c r="D22" s="6" t="str">
        <f>IFERROR(VLOOKUP($F22,매장구분!$B:$Z,9,0),"")</f>
        <v>AK원주</v>
      </c>
      <c r="E22" s="69" t="s">
        <v>396</v>
      </c>
      <c r="F22" s="69" t="s">
        <v>397</v>
      </c>
      <c r="G22" s="69">
        <v>1222</v>
      </c>
      <c r="H22" s="69">
        <v>134203400</v>
      </c>
      <c r="I22" s="69">
        <v>141657100</v>
      </c>
      <c r="J22" s="69">
        <v>1409</v>
      </c>
      <c r="K22" s="69">
        <v>169577200</v>
      </c>
      <c r="L22" s="69">
        <v>177295100</v>
      </c>
      <c r="M22" s="69">
        <v>-187</v>
      </c>
      <c r="N22" s="69">
        <v>-35373800</v>
      </c>
      <c r="O22" s="69">
        <v>-35638000</v>
      </c>
      <c r="P22" s="69">
        <v>19349900</v>
      </c>
      <c r="Q22" s="69">
        <v>12381900</v>
      </c>
      <c r="R22" s="69">
        <v>0</v>
      </c>
      <c r="S22" s="69">
        <v>8800000</v>
      </c>
      <c r="T22" s="69">
        <v>4661000</v>
      </c>
      <c r="U22" s="69">
        <v>2152200</v>
      </c>
      <c r="V22" s="69">
        <v>3676700</v>
      </c>
      <c r="W22" s="69">
        <v>21745900</v>
      </c>
      <c r="X22" s="69">
        <v>4863000</v>
      </c>
      <c r="Y22" s="69">
        <v>1631000</v>
      </c>
      <c r="Z22" s="69">
        <v>3647000</v>
      </c>
      <c r="AA22" s="69">
        <v>3793900</v>
      </c>
      <c r="AB22" s="69">
        <v>2512300</v>
      </c>
      <c r="AC22" s="69">
        <v>5172000</v>
      </c>
      <c r="AD22" s="69">
        <v>6302800</v>
      </c>
      <c r="AE22" s="69">
        <v>11340600</v>
      </c>
      <c r="AF22" s="69">
        <v>1867300</v>
      </c>
      <c r="AG22" s="69">
        <v>2776000</v>
      </c>
      <c r="AH22" s="69">
        <v>3330000</v>
      </c>
      <c r="AI22" s="69">
        <v>1419800</v>
      </c>
      <c r="AJ22" s="69">
        <v>3188000</v>
      </c>
      <c r="AK22" s="69">
        <v>4394000</v>
      </c>
      <c r="AL22" s="69">
        <v>5198100</v>
      </c>
      <c r="AM22" s="69"/>
      <c r="AN22" s="69"/>
      <c r="AO22" s="69"/>
      <c r="AP22" s="69"/>
      <c r="AQ22" s="69"/>
      <c r="AR22" s="69"/>
      <c r="AS22" s="69"/>
      <c r="AT22" s="69"/>
      <c r="AU22" s="6"/>
      <c r="AV22" s="6"/>
      <c r="AW22" s="6">
        <f t="shared" si="5"/>
        <v>31731800</v>
      </c>
      <c r="AX22" s="6">
        <f t="shared" si="4"/>
        <v>45898800</v>
      </c>
      <c r="AY22" s="6">
        <f t="shared" si="4"/>
        <v>34399600</v>
      </c>
      <c r="AZ22" s="6">
        <f t="shared" si="4"/>
        <v>22173200</v>
      </c>
      <c r="BA22" s="6">
        <f t="shared" si="4"/>
        <v>0</v>
      </c>
      <c r="BC22" s="66">
        <f t="shared" ca="1" si="6"/>
        <v>134203400</v>
      </c>
    </row>
    <row r="23" spans="1:55" x14ac:dyDescent="0.3">
      <c r="A23" s="6" t="str">
        <f>IFERROR(VLOOKUP($F23,매장구분!$B:$K,2,0),"")</f>
        <v>파트너채널팀</v>
      </c>
      <c r="B23" s="6" t="str">
        <f>IFERROR(VLOOKUP($F23,매장구분!$B:$K,3,0),"")</f>
        <v>국내</v>
      </c>
      <c r="C23" s="6" t="str">
        <f>IFERROR(VLOOKUP($F23,매장구분!$B:$K,5,0),"")</f>
        <v>백화점</v>
      </c>
      <c r="D23" s="6" t="str">
        <f>IFERROR(VLOOKUP($F23,매장구분!$B:$Z,9,0),"")</f>
        <v>신세계의정부</v>
      </c>
      <c r="E23" s="69" t="s">
        <v>438</v>
      </c>
      <c r="F23" s="69" t="s">
        <v>439</v>
      </c>
      <c r="G23" s="69">
        <v>716</v>
      </c>
      <c r="H23" s="69">
        <v>73245900</v>
      </c>
      <c r="I23" s="69">
        <v>77021500</v>
      </c>
      <c r="J23" s="69">
        <v>752</v>
      </c>
      <c r="K23" s="69">
        <v>77499700</v>
      </c>
      <c r="L23" s="69">
        <v>81465300</v>
      </c>
      <c r="M23" s="69">
        <v>-36</v>
      </c>
      <c r="N23" s="69">
        <v>-4253800</v>
      </c>
      <c r="O23" s="69">
        <v>-4443800</v>
      </c>
      <c r="P23" s="69">
        <v>4310900</v>
      </c>
      <c r="Q23" s="69">
        <v>2819000</v>
      </c>
      <c r="R23" s="69">
        <v>3439900</v>
      </c>
      <c r="S23" s="69">
        <v>2197000</v>
      </c>
      <c r="T23" s="69">
        <v>3056000</v>
      </c>
      <c r="U23" s="69">
        <v>2071800</v>
      </c>
      <c r="V23" s="69">
        <v>2801700</v>
      </c>
      <c r="W23" s="69">
        <v>5968400</v>
      </c>
      <c r="X23" s="69">
        <v>6146700</v>
      </c>
      <c r="Y23" s="69">
        <v>1299000</v>
      </c>
      <c r="Z23" s="69">
        <v>2224000</v>
      </c>
      <c r="AA23" s="69">
        <v>2321900</v>
      </c>
      <c r="AB23" s="69">
        <v>2297000</v>
      </c>
      <c r="AC23" s="69">
        <v>2754900</v>
      </c>
      <c r="AD23" s="69">
        <v>5534000</v>
      </c>
      <c r="AE23" s="69">
        <v>4576700</v>
      </c>
      <c r="AF23" s="69">
        <v>2656800</v>
      </c>
      <c r="AG23" s="69">
        <v>2197800</v>
      </c>
      <c r="AH23" s="69">
        <v>1172000</v>
      </c>
      <c r="AI23" s="69">
        <v>2619000</v>
      </c>
      <c r="AJ23" s="69">
        <v>1474900</v>
      </c>
      <c r="AK23" s="69">
        <v>3568600</v>
      </c>
      <c r="AL23" s="69">
        <v>5737900</v>
      </c>
      <c r="AM23" s="69"/>
      <c r="AN23" s="69"/>
      <c r="AO23" s="69"/>
      <c r="AP23" s="69"/>
      <c r="AQ23" s="69"/>
      <c r="AR23" s="69"/>
      <c r="AS23" s="69"/>
      <c r="AT23" s="69"/>
      <c r="AU23" s="6"/>
      <c r="AV23" s="6"/>
      <c r="AW23" s="6">
        <f t="shared" si="5"/>
        <v>7129900</v>
      </c>
      <c r="AX23" s="6">
        <f t="shared" si="4"/>
        <v>25681500</v>
      </c>
      <c r="AY23" s="6">
        <f t="shared" si="4"/>
        <v>21007500</v>
      </c>
      <c r="AZ23" s="6">
        <f t="shared" si="4"/>
        <v>19427000</v>
      </c>
      <c r="BA23" s="6">
        <f t="shared" si="4"/>
        <v>0</v>
      </c>
      <c r="BC23" s="66">
        <f t="shared" ca="1" si="6"/>
        <v>73245900</v>
      </c>
    </row>
    <row r="24" spans="1:55" x14ac:dyDescent="0.3">
      <c r="A24" s="6" t="str">
        <f>IFERROR(VLOOKUP($F24,매장구분!$B:$K,2,0),"")</f>
        <v>파트너채널팀</v>
      </c>
      <c r="B24" s="6" t="str">
        <f>IFERROR(VLOOKUP($F24,매장구분!$B:$K,3,0),"")</f>
        <v>국내</v>
      </c>
      <c r="C24" s="6" t="str">
        <f>IFERROR(VLOOKUP($F24,매장구분!$B:$K,5,0),"")</f>
        <v>백화점</v>
      </c>
      <c r="D24" s="6" t="str">
        <f>IFERROR(VLOOKUP($F24,매장구분!$B:$Z,9,0),"")</f>
        <v>현대신촌</v>
      </c>
      <c r="E24" s="69" t="s">
        <v>297</v>
      </c>
      <c r="F24" s="69" t="s">
        <v>298</v>
      </c>
      <c r="G24" s="69">
        <v>912</v>
      </c>
      <c r="H24" s="69">
        <v>87281100</v>
      </c>
      <c r="I24" s="69">
        <v>94185800</v>
      </c>
      <c r="J24" s="69">
        <v>1033</v>
      </c>
      <c r="K24" s="69">
        <v>120873700</v>
      </c>
      <c r="L24" s="69">
        <v>127967400</v>
      </c>
      <c r="M24" s="69">
        <v>-121</v>
      </c>
      <c r="N24" s="69">
        <v>-33592600</v>
      </c>
      <c r="O24" s="69">
        <v>-33781600</v>
      </c>
      <c r="P24" s="69">
        <v>3388900</v>
      </c>
      <c r="Q24" s="69">
        <v>26774200</v>
      </c>
      <c r="R24" s="69">
        <v>2105500</v>
      </c>
      <c r="S24" s="69">
        <v>1119500</v>
      </c>
      <c r="T24" s="69">
        <v>1815000</v>
      </c>
      <c r="U24" s="69">
        <v>1769500</v>
      </c>
      <c r="V24" s="69">
        <v>1145000</v>
      </c>
      <c r="W24" s="69">
        <v>6862900</v>
      </c>
      <c r="X24" s="69">
        <v>248400</v>
      </c>
      <c r="Y24" s="69">
        <v>0</v>
      </c>
      <c r="Z24" s="69">
        <v>3669000</v>
      </c>
      <c r="AA24" s="69">
        <v>466000</v>
      </c>
      <c r="AB24" s="69">
        <v>1881000</v>
      </c>
      <c r="AC24" s="69">
        <v>8531300</v>
      </c>
      <c r="AD24" s="69">
        <v>1906000</v>
      </c>
      <c r="AE24" s="69">
        <v>2493300</v>
      </c>
      <c r="AF24" s="69">
        <v>1730500</v>
      </c>
      <c r="AG24" s="69">
        <v>1749700</v>
      </c>
      <c r="AH24" s="69">
        <v>823500</v>
      </c>
      <c r="AI24" s="69">
        <v>2306000</v>
      </c>
      <c r="AJ24" s="69">
        <v>2398900</v>
      </c>
      <c r="AK24" s="69">
        <v>2834300</v>
      </c>
      <c r="AL24" s="69">
        <v>11262700</v>
      </c>
      <c r="AM24" s="69"/>
      <c r="AN24" s="69"/>
      <c r="AO24" s="69"/>
      <c r="AP24" s="69"/>
      <c r="AQ24" s="69"/>
      <c r="AR24" s="69"/>
      <c r="AS24" s="69"/>
      <c r="AT24" s="69"/>
      <c r="AU24" s="6"/>
      <c r="AV24" s="6"/>
      <c r="AW24" s="6">
        <f t="shared" si="5"/>
        <v>30163100</v>
      </c>
      <c r="AX24" s="6">
        <f t="shared" si="4"/>
        <v>15065800</v>
      </c>
      <c r="AY24" s="6">
        <f t="shared" si="4"/>
        <v>18946600</v>
      </c>
      <c r="AZ24" s="6">
        <f t="shared" si="4"/>
        <v>23105600</v>
      </c>
      <c r="BA24" s="6">
        <f t="shared" si="4"/>
        <v>0</v>
      </c>
      <c r="BC24" s="66">
        <f t="shared" ca="1" si="6"/>
        <v>87281100</v>
      </c>
    </row>
    <row r="25" spans="1:55" x14ac:dyDescent="0.3">
      <c r="A25" s="6" t="str">
        <f>IFERROR(VLOOKUP($F25,매장구분!$B:$K,2,0),"")</f>
        <v>파트너채널팀</v>
      </c>
      <c r="B25" s="6" t="str">
        <f>IFERROR(VLOOKUP($F25,매장구분!$B:$K,3,0),"")</f>
        <v>국내</v>
      </c>
      <c r="C25" s="6" t="str">
        <f>IFERROR(VLOOKUP($F25,매장구분!$B:$K,5,0),"")</f>
        <v>백화점</v>
      </c>
      <c r="D25" s="6" t="str">
        <f>IFERROR(VLOOKUP($F25,매장구분!$B:$Z,9,0),"")</f>
        <v>현대충청</v>
      </c>
      <c r="E25" s="69" t="s">
        <v>358</v>
      </c>
      <c r="F25" s="69" t="s">
        <v>359</v>
      </c>
      <c r="G25" s="69">
        <v>946</v>
      </c>
      <c r="H25" s="69">
        <v>123731300</v>
      </c>
      <c r="I25" s="69">
        <v>130190300</v>
      </c>
      <c r="J25" s="69">
        <v>1095</v>
      </c>
      <c r="K25" s="69">
        <v>162030500</v>
      </c>
      <c r="L25" s="69">
        <v>168649300</v>
      </c>
      <c r="M25" s="69">
        <v>-149</v>
      </c>
      <c r="N25" s="69">
        <v>-38299200</v>
      </c>
      <c r="O25" s="69">
        <v>-38459000</v>
      </c>
      <c r="P25" s="69">
        <v>11940400</v>
      </c>
      <c r="Q25" s="69">
        <v>2109500</v>
      </c>
      <c r="R25" s="69">
        <v>0</v>
      </c>
      <c r="S25" s="69">
        <v>1962900</v>
      </c>
      <c r="T25" s="69">
        <v>49380600</v>
      </c>
      <c r="U25" s="69">
        <v>2436400</v>
      </c>
      <c r="V25" s="69">
        <v>1114900</v>
      </c>
      <c r="W25" s="69">
        <v>2977400</v>
      </c>
      <c r="X25" s="69">
        <v>3163000</v>
      </c>
      <c r="Y25" s="69">
        <v>660000</v>
      </c>
      <c r="Z25" s="69">
        <v>604000</v>
      </c>
      <c r="AA25" s="69">
        <v>2537500</v>
      </c>
      <c r="AB25" s="69">
        <v>4050500</v>
      </c>
      <c r="AC25" s="69">
        <v>15692000</v>
      </c>
      <c r="AD25" s="69">
        <v>4927000</v>
      </c>
      <c r="AE25" s="69">
        <v>3085000</v>
      </c>
      <c r="AF25" s="69">
        <v>1493000</v>
      </c>
      <c r="AG25" s="69">
        <v>2371000</v>
      </c>
      <c r="AH25" s="69">
        <v>1512700</v>
      </c>
      <c r="AI25" s="69">
        <v>1961000</v>
      </c>
      <c r="AJ25" s="69">
        <v>1567000</v>
      </c>
      <c r="AK25" s="69">
        <v>5243500</v>
      </c>
      <c r="AL25" s="69">
        <v>2942000</v>
      </c>
      <c r="AM25" s="69"/>
      <c r="AN25" s="69"/>
      <c r="AO25" s="69"/>
      <c r="AP25" s="69"/>
      <c r="AQ25" s="69"/>
      <c r="AR25" s="69"/>
      <c r="AS25" s="69"/>
      <c r="AT25" s="69"/>
      <c r="AU25" s="6"/>
      <c r="AV25" s="6"/>
      <c r="AW25" s="6">
        <f t="shared" si="5"/>
        <v>14049900</v>
      </c>
      <c r="AX25" s="6">
        <f t="shared" si="4"/>
        <v>61035200</v>
      </c>
      <c r="AY25" s="6">
        <f t="shared" si="4"/>
        <v>31556000</v>
      </c>
      <c r="AZ25" s="6">
        <f t="shared" si="4"/>
        <v>17090200</v>
      </c>
      <c r="BA25" s="6">
        <f t="shared" si="4"/>
        <v>0</v>
      </c>
      <c r="BC25" s="66">
        <f t="shared" ca="1" si="6"/>
        <v>123731300</v>
      </c>
    </row>
    <row r="26" spans="1:55" x14ac:dyDescent="0.3">
      <c r="A26" s="6" t="str">
        <f>IFERROR(VLOOKUP($F26,매장구분!$B:$K,2,0),"")</f>
        <v>파트너채널팀</v>
      </c>
      <c r="B26" s="6" t="str">
        <f>IFERROR(VLOOKUP($F26,매장구분!$B:$K,3,0),"")</f>
        <v>국내</v>
      </c>
      <c r="C26" s="6" t="str">
        <f>IFERROR(VLOOKUP($F26,매장구분!$B:$K,5,0),"")</f>
        <v>백화점</v>
      </c>
      <c r="D26" s="6" t="str">
        <f>IFERROR(VLOOKUP($F26,매장구분!$B:$Z,9,0),"")</f>
        <v>롯데구리</v>
      </c>
      <c r="E26" s="69" t="s">
        <v>232</v>
      </c>
      <c r="F26" s="69" t="s">
        <v>233</v>
      </c>
      <c r="G26" s="69">
        <v>508</v>
      </c>
      <c r="H26" s="69">
        <v>44998020</v>
      </c>
      <c r="I26" s="69">
        <v>51258700</v>
      </c>
      <c r="J26" s="69">
        <v>616</v>
      </c>
      <c r="K26" s="69">
        <v>59617540</v>
      </c>
      <c r="L26" s="69">
        <v>67485500</v>
      </c>
      <c r="M26" s="69">
        <v>-108</v>
      </c>
      <c r="N26" s="69">
        <v>-14619520</v>
      </c>
      <c r="O26" s="69">
        <v>-16226800</v>
      </c>
      <c r="P26" s="69">
        <v>1516420</v>
      </c>
      <c r="Q26" s="69">
        <v>2863900</v>
      </c>
      <c r="R26" s="69">
        <v>0</v>
      </c>
      <c r="S26" s="69">
        <v>500000</v>
      </c>
      <c r="T26" s="69">
        <v>3966200</v>
      </c>
      <c r="U26" s="69">
        <v>2848500</v>
      </c>
      <c r="V26" s="69">
        <v>1882000</v>
      </c>
      <c r="W26" s="69">
        <v>4158800</v>
      </c>
      <c r="X26" s="69">
        <v>2495800</v>
      </c>
      <c r="Y26" s="69">
        <v>778500</v>
      </c>
      <c r="Z26" s="69">
        <v>1682900</v>
      </c>
      <c r="AA26" s="69">
        <v>912900</v>
      </c>
      <c r="AB26" s="69">
        <v>971400</v>
      </c>
      <c r="AC26" s="69">
        <v>734500</v>
      </c>
      <c r="AD26" s="69">
        <v>4047500</v>
      </c>
      <c r="AE26" s="69">
        <v>2335000</v>
      </c>
      <c r="AF26" s="69">
        <v>94500</v>
      </c>
      <c r="AG26" s="69">
        <v>1045100</v>
      </c>
      <c r="AH26" s="69">
        <v>372500</v>
      </c>
      <c r="AI26" s="69">
        <v>3074800</v>
      </c>
      <c r="AJ26" s="69">
        <v>3622300</v>
      </c>
      <c r="AK26" s="69">
        <v>2702600</v>
      </c>
      <c r="AL26" s="69">
        <v>2391900</v>
      </c>
      <c r="AM26" s="69"/>
      <c r="AN26" s="69"/>
      <c r="AO26" s="69"/>
      <c r="AP26" s="69"/>
      <c r="AQ26" s="69"/>
      <c r="AR26" s="69"/>
      <c r="AS26" s="69"/>
      <c r="AT26" s="69"/>
      <c r="AU26" s="6"/>
      <c r="AV26" s="6"/>
      <c r="AW26" s="6">
        <f t="shared" si="5"/>
        <v>4380320</v>
      </c>
      <c r="AX26" s="6">
        <f t="shared" si="5"/>
        <v>15851300</v>
      </c>
      <c r="AY26" s="6">
        <f t="shared" si="5"/>
        <v>11462700</v>
      </c>
      <c r="AZ26" s="6">
        <f t="shared" si="5"/>
        <v>13303700</v>
      </c>
      <c r="BA26" s="6">
        <f t="shared" si="5"/>
        <v>0</v>
      </c>
      <c r="BC26" s="66">
        <f t="shared" ca="1" si="6"/>
        <v>44998020</v>
      </c>
    </row>
    <row r="27" spans="1:55" x14ac:dyDescent="0.3">
      <c r="A27" s="6" t="str">
        <f>IFERROR(VLOOKUP($F27,매장구분!$B:$K,2,0),"")</f>
        <v>파트너채널팀</v>
      </c>
      <c r="B27" s="6" t="str">
        <f>IFERROR(VLOOKUP($F27,매장구분!$B:$K,3,0),"")</f>
        <v>국내</v>
      </c>
      <c r="C27" s="6" t="str">
        <f>IFERROR(VLOOKUP($F27,매장구분!$B:$K,5,0),"")</f>
        <v>백화점</v>
      </c>
      <c r="D27" s="6" t="str">
        <f>IFERROR(VLOOKUP($F27,매장구분!$B:$Z,9,0),"")</f>
        <v>롯데안산</v>
      </c>
      <c r="E27" s="69" t="s">
        <v>200</v>
      </c>
      <c r="F27" s="69" t="s">
        <v>201</v>
      </c>
      <c r="G27" s="69">
        <v>1104</v>
      </c>
      <c r="H27" s="69">
        <v>113045400</v>
      </c>
      <c r="I27" s="69">
        <v>121845800</v>
      </c>
      <c r="J27" s="69">
        <v>1148</v>
      </c>
      <c r="K27" s="69">
        <v>121008300</v>
      </c>
      <c r="L27" s="69">
        <v>129948700</v>
      </c>
      <c r="M27" s="69">
        <v>-44</v>
      </c>
      <c r="N27" s="69">
        <v>-7962900</v>
      </c>
      <c r="O27" s="69">
        <v>-8102900</v>
      </c>
      <c r="P27" s="69">
        <v>1743100</v>
      </c>
      <c r="Q27" s="69">
        <v>4896000</v>
      </c>
      <c r="R27" s="69">
        <v>0</v>
      </c>
      <c r="S27" s="69">
        <v>2337000</v>
      </c>
      <c r="T27" s="69">
        <v>20480000</v>
      </c>
      <c r="U27" s="69">
        <v>2611000</v>
      </c>
      <c r="V27" s="69">
        <v>749000</v>
      </c>
      <c r="W27" s="69">
        <v>3140000</v>
      </c>
      <c r="X27" s="69">
        <v>2382000</v>
      </c>
      <c r="Y27" s="69">
        <v>1371300</v>
      </c>
      <c r="Z27" s="69">
        <v>4113900</v>
      </c>
      <c r="AA27" s="69">
        <v>2340000</v>
      </c>
      <c r="AB27" s="69">
        <v>3469000</v>
      </c>
      <c r="AC27" s="69">
        <v>970000</v>
      </c>
      <c r="AD27" s="69">
        <v>4354800</v>
      </c>
      <c r="AE27" s="69">
        <v>2462000</v>
      </c>
      <c r="AF27" s="69">
        <v>1367000</v>
      </c>
      <c r="AG27" s="69">
        <v>2020000</v>
      </c>
      <c r="AH27" s="69">
        <v>2224000</v>
      </c>
      <c r="AI27" s="69">
        <v>22681000</v>
      </c>
      <c r="AJ27" s="69">
        <v>267000</v>
      </c>
      <c r="AK27" s="69">
        <v>2983300</v>
      </c>
      <c r="AL27" s="69">
        <v>24084000</v>
      </c>
      <c r="AM27" s="69"/>
      <c r="AN27" s="69"/>
      <c r="AO27" s="69"/>
      <c r="AP27" s="69"/>
      <c r="AQ27" s="69"/>
      <c r="AR27" s="69"/>
      <c r="AS27" s="69"/>
      <c r="AT27" s="69"/>
      <c r="AU27" s="6"/>
      <c r="AV27" s="6"/>
      <c r="AW27" s="6">
        <f t="shared" ref="AW27:BA42" si="7">SUMIFS($P27:$AS27,$P$3:$AS$3,AW$3)</f>
        <v>6639100</v>
      </c>
      <c r="AX27" s="6">
        <f t="shared" si="7"/>
        <v>31699000</v>
      </c>
      <c r="AY27" s="6">
        <f t="shared" si="7"/>
        <v>19081000</v>
      </c>
      <c r="AZ27" s="6">
        <f t="shared" si="7"/>
        <v>55626300</v>
      </c>
      <c r="BA27" s="6">
        <f t="shared" si="7"/>
        <v>0</v>
      </c>
      <c r="BC27" s="66">
        <f t="shared" ca="1" si="6"/>
        <v>113045400</v>
      </c>
    </row>
    <row r="28" spans="1:55" x14ac:dyDescent="0.3">
      <c r="A28" s="6" t="str">
        <f>IFERROR(VLOOKUP($F28,매장구분!$B:$K,2,0),"")</f>
        <v>파트너채널팀</v>
      </c>
      <c r="B28" s="6" t="str">
        <f>IFERROR(VLOOKUP($F28,매장구분!$B:$K,3,0),"")</f>
        <v>국내</v>
      </c>
      <c r="C28" s="6" t="str">
        <f>IFERROR(VLOOKUP($F28,매장구분!$B:$K,5,0),"")</f>
        <v>백화점</v>
      </c>
      <c r="D28" s="6" t="str">
        <f>IFERROR(VLOOKUP($F28,매장구분!$B:$Z,9,0),"")</f>
        <v>롯데중동</v>
      </c>
      <c r="E28" s="69" t="s">
        <v>510</v>
      </c>
      <c r="F28" s="69" t="s">
        <v>511</v>
      </c>
      <c r="G28" s="69">
        <v>528</v>
      </c>
      <c r="H28" s="69">
        <v>62926900</v>
      </c>
      <c r="I28" s="69">
        <v>66739300</v>
      </c>
      <c r="J28" s="69">
        <v>550</v>
      </c>
      <c r="K28" s="69">
        <v>65996900</v>
      </c>
      <c r="L28" s="69">
        <v>69889300</v>
      </c>
      <c r="M28" s="69">
        <v>-22</v>
      </c>
      <c r="N28" s="69">
        <v>-3070000</v>
      </c>
      <c r="O28" s="69">
        <v>-3150000</v>
      </c>
      <c r="P28" s="69">
        <v>1875600</v>
      </c>
      <c r="Q28" s="69">
        <v>2751000</v>
      </c>
      <c r="R28" s="69">
        <v>0</v>
      </c>
      <c r="S28" s="69">
        <v>11506600</v>
      </c>
      <c r="T28" s="69">
        <v>2185900</v>
      </c>
      <c r="U28" s="69">
        <v>3345000</v>
      </c>
      <c r="V28" s="69">
        <v>1567000</v>
      </c>
      <c r="W28" s="69">
        <v>2142000</v>
      </c>
      <c r="X28" s="69">
        <v>1909000</v>
      </c>
      <c r="Y28" s="69">
        <v>1599000</v>
      </c>
      <c r="Z28" s="69">
        <v>8172900</v>
      </c>
      <c r="AA28" s="69">
        <v>2435000</v>
      </c>
      <c r="AB28" s="69">
        <v>1268000</v>
      </c>
      <c r="AC28" s="69">
        <v>1703000</v>
      </c>
      <c r="AD28" s="69">
        <v>1376000</v>
      </c>
      <c r="AE28" s="69">
        <v>2241000</v>
      </c>
      <c r="AF28" s="69">
        <v>3514900</v>
      </c>
      <c r="AG28" s="69">
        <v>905000</v>
      </c>
      <c r="AH28" s="69">
        <v>3498000</v>
      </c>
      <c r="AI28" s="69">
        <v>2015000</v>
      </c>
      <c r="AJ28" s="69">
        <v>1332000</v>
      </c>
      <c r="AK28" s="69">
        <v>3532000</v>
      </c>
      <c r="AL28" s="69">
        <v>2053000</v>
      </c>
      <c r="AM28" s="69"/>
      <c r="AN28" s="69"/>
      <c r="AO28" s="69"/>
      <c r="AP28" s="69"/>
      <c r="AQ28" s="69"/>
      <c r="AR28" s="69"/>
      <c r="AS28" s="69"/>
      <c r="AT28" s="69"/>
      <c r="AU28" s="6"/>
      <c r="AV28" s="6"/>
      <c r="AW28" s="6">
        <f t="shared" si="7"/>
        <v>4626600</v>
      </c>
      <c r="AX28" s="6">
        <f t="shared" si="7"/>
        <v>22655500</v>
      </c>
      <c r="AY28" s="6">
        <f t="shared" si="7"/>
        <v>18794900</v>
      </c>
      <c r="AZ28" s="6">
        <f t="shared" si="7"/>
        <v>16849900</v>
      </c>
      <c r="BA28" s="6">
        <f t="shared" si="7"/>
        <v>0</v>
      </c>
      <c r="BC28" s="66">
        <f t="shared" ca="1" si="6"/>
        <v>62926900</v>
      </c>
    </row>
    <row r="29" spans="1:55" x14ac:dyDescent="0.3">
      <c r="A29" s="6" t="str">
        <f>IFERROR(VLOOKUP($F29,매장구분!$B:$K,2,0),"")</f>
        <v>파트너채널팀</v>
      </c>
      <c r="B29" s="6" t="str">
        <f>IFERROR(VLOOKUP($F29,매장구분!$B:$K,3,0),"")</f>
        <v>국내</v>
      </c>
      <c r="C29" s="6" t="str">
        <f>IFERROR(VLOOKUP($F29,매장구분!$B:$K,5,0),"")</f>
        <v>백화점</v>
      </c>
      <c r="D29" s="6" t="str">
        <f>IFERROR(VLOOKUP($F29,매장구분!$B:$Z,9,0),"")</f>
        <v>롯데노원</v>
      </c>
      <c r="E29" s="69" t="s">
        <v>472</v>
      </c>
      <c r="F29" s="69" t="s">
        <v>473</v>
      </c>
      <c r="G29" s="69">
        <v>1380</v>
      </c>
      <c r="H29" s="69">
        <v>155323500</v>
      </c>
      <c r="I29" s="69">
        <v>168791400</v>
      </c>
      <c r="J29" s="69">
        <v>1421</v>
      </c>
      <c r="K29" s="69">
        <v>162410000</v>
      </c>
      <c r="L29" s="69">
        <v>175997400</v>
      </c>
      <c r="M29" s="69">
        <v>-41</v>
      </c>
      <c r="N29" s="69">
        <v>-7086500</v>
      </c>
      <c r="O29" s="69">
        <v>-7206000</v>
      </c>
      <c r="P29" s="69">
        <v>5008000</v>
      </c>
      <c r="Q29" s="69">
        <v>3139000</v>
      </c>
      <c r="R29" s="69">
        <v>0</v>
      </c>
      <c r="S29" s="69">
        <v>22502500</v>
      </c>
      <c r="T29" s="69">
        <v>1674000</v>
      </c>
      <c r="U29" s="69">
        <v>1349400</v>
      </c>
      <c r="V29" s="69">
        <v>2431000</v>
      </c>
      <c r="W29" s="69">
        <v>17380000</v>
      </c>
      <c r="X29" s="69">
        <v>2338000</v>
      </c>
      <c r="Y29" s="69">
        <v>857900</v>
      </c>
      <c r="Z29" s="69">
        <v>19159000</v>
      </c>
      <c r="AA29" s="69">
        <v>5078500</v>
      </c>
      <c r="AB29" s="69">
        <v>6326000</v>
      </c>
      <c r="AC29" s="69">
        <v>17090000</v>
      </c>
      <c r="AD29" s="69">
        <v>19327100</v>
      </c>
      <c r="AE29" s="69">
        <v>3296000</v>
      </c>
      <c r="AF29" s="69">
        <v>1669100</v>
      </c>
      <c r="AG29" s="69">
        <v>1685800</v>
      </c>
      <c r="AH29" s="69">
        <v>1139000</v>
      </c>
      <c r="AI29" s="69">
        <v>2957000</v>
      </c>
      <c r="AJ29" s="69">
        <v>5544100</v>
      </c>
      <c r="AK29" s="69">
        <v>13002200</v>
      </c>
      <c r="AL29" s="69">
        <v>2369900</v>
      </c>
      <c r="AM29" s="69"/>
      <c r="AN29" s="69"/>
      <c r="AO29" s="69"/>
      <c r="AP29" s="69"/>
      <c r="AQ29" s="69"/>
      <c r="AR29" s="69"/>
      <c r="AS29" s="69"/>
      <c r="AT29" s="69"/>
      <c r="AU29" s="6"/>
      <c r="AV29" s="6"/>
      <c r="AW29" s="6">
        <f t="shared" si="7"/>
        <v>8147000</v>
      </c>
      <c r="AX29" s="6">
        <f t="shared" si="7"/>
        <v>47674900</v>
      </c>
      <c r="AY29" s="6">
        <f t="shared" si="7"/>
        <v>71134500</v>
      </c>
      <c r="AZ29" s="6">
        <f t="shared" si="7"/>
        <v>28367100</v>
      </c>
      <c r="BA29" s="6">
        <f t="shared" si="7"/>
        <v>0</v>
      </c>
      <c r="BC29" s="66">
        <f t="shared" ca="1" si="6"/>
        <v>155323500</v>
      </c>
    </row>
    <row r="30" spans="1:55" x14ac:dyDescent="0.3">
      <c r="A30" s="6" t="str">
        <f>IFERROR(VLOOKUP($F30,매장구분!$B:$K,2,0),"")</f>
        <v>파트너채널팀</v>
      </c>
      <c r="B30" s="6" t="str">
        <f>IFERROR(VLOOKUP($F30,매장구분!$B:$K,3,0),"")</f>
        <v>국내</v>
      </c>
      <c r="C30" s="6" t="str">
        <f>IFERROR(VLOOKUP($F30,매장구분!$B:$K,5,0),"")</f>
        <v>백화점</v>
      </c>
      <c r="D30" s="6" t="str">
        <f>IFERROR(VLOOKUP($F30,매장구분!$B:$Z,9,0),"")</f>
        <v>롯데수원</v>
      </c>
      <c r="E30" s="69" t="s">
        <v>402</v>
      </c>
      <c r="F30" s="69" t="s">
        <v>403</v>
      </c>
      <c r="G30" s="69">
        <v>1197</v>
      </c>
      <c r="H30" s="69">
        <v>131659700</v>
      </c>
      <c r="I30" s="69">
        <v>142944800</v>
      </c>
      <c r="J30" s="69">
        <v>1624</v>
      </c>
      <c r="K30" s="69">
        <v>201881000</v>
      </c>
      <c r="L30" s="69">
        <v>215933600</v>
      </c>
      <c r="M30" s="69">
        <v>-427</v>
      </c>
      <c r="N30" s="69">
        <v>-70221300</v>
      </c>
      <c r="O30" s="69">
        <v>-72988800</v>
      </c>
      <c r="P30" s="69">
        <v>8452600</v>
      </c>
      <c r="Q30" s="69">
        <v>8427700</v>
      </c>
      <c r="R30" s="69">
        <v>4390800</v>
      </c>
      <c r="S30" s="69">
        <v>3828500</v>
      </c>
      <c r="T30" s="69">
        <v>3817800</v>
      </c>
      <c r="U30" s="69">
        <v>2781100</v>
      </c>
      <c r="V30" s="69">
        <v>3107500</v>
      </c>
      <c r="W30" s="69">
        <v>5184500</v>
      </c>
      <c r="X30" s="69">
        <v>8618800</v>
      </c>
      <c r="Y30" s="69">
        <v>2103900</v>
      </c>
      <c r="Z30" s="69">
        <v>3116200</v>
      </c>
      <c r="AA30" s="69">
        <v>3697900</v>
      </c>
      <c r="AB30" s="69">
        <v>2630900</v>
      </c>
      <c r="AC30" s="69">
        <v>3951700</v>
      </c>
      <c r="AD30" s="69">
        <v>15149800</v>
      </c>
      <c r="AE30" s="69">
        <v>10175400</v>
      </c>
      <c r="AF30" s="69">
        <v>4132500</v>
      </c>
      <c r="AG30" s="69">
        <v>7352900</v>
      </c>
      <c r="AH30" s="69">
        <v>5255000</v>
      </c>
      <c r="AI30" s="69">
        <v>1842300</v>
      </c>
      <c r="AJ30" s="69">
        <v>3917600</v>
      </c>
      <c r="AK30" s="69">
        <v>9382900</v>
      </c>
      <c r="AL30" s="69">
        <v>10341400</v>
      </c>
      <c r="AM30" s="69"/>
      <c r="AN30" s="69"/>
      <c r="AO30" s="69"/>
      <c r="AP30" s="69"/>
      <c r="AQ30" s="69"/>
      <c r="AR30" s="69"/>
      <c r="AS30" s="69"/>
      <c r="AT30" s="69"/>
      <c r="AU30" s="6"/>
      <c r="AV30" s="6"/>
      <c r="AW30" s="6">
        <f t="shared" si="7"/>
        <v>16880300</v>
      </c>
      <c r="AX30" s="6">
        <f t="shared" si="7"/>
        <v>31729000</v>
      </c>
      <c r="AY30" s="6">
        <f t="shared" si="7"/>
        <v>40825800</v>
      </c>
      <c r="AZ30" s="6">
        <f t="shared" si="7"/>
        <v>42224600</v>
      </c>
      <c r="BA30" s="6">
        <f t="shared" si="7"/>
        <v>0</v>
      </c>
      <c r="BC30" s="66">
        <f t="shared" ca="1" si="6"/>
        <v>131659700</v>
      </c>
    </row>
    <row r="31" spans="1:55" x14ac:dyDescent="0.3">
      <c r="A31" s="6" t="str">
        <f>IFERROR(VLOOKUP($F31,매장구분!$B:$K,2,0),"")</f>
        <v>파트너채널팀</v>
      </c>
      <c r="B31" s="6" t="str">
        <f>IFERROR(VLOOKUP($F31,매장구분!$B:$K,3,0),"")</f>
        <v>국내</v>
      </c>
      <c r="C31" s="6" t="str">
        <f>IFERROR(VLOOKUP($F31,매장구분!$B:$K,5,0),"")</f>
        <v>백화점</v>
      </c>
      <c r="D31" s="6" t="str">
        <f>IFERROR(VLOOKUP($F31,매장구분!$B:$Z,9,0),"")</f>
        <v>신세계하남</v>
      </c>
      <c r="E31" s="69" t="s">
        <v>243</v>
      </c>
      <c r="F31" s="69" t="s">
        <v>244</v>
      </c>
      <c r="G31" s="69">
        <v>535</v>
      </c>
      <c r="H31" s="69">
        <v>58030000</v>
      </c>
      <c r="I31" s="69">
        <v>60574700</v>
      </c>
      <c r="J31" s="69">
        <v>658</v>
      </c>
      <c r="K31" s="69">
        <v>81429000</v>
      </c>
      <c r="L31" s="69">
        <v>84123700</v>
      </c>
      <c r="M31" s="69">
        <v>-123</v>
      </c>
      <c r="N31" s="69">
        <v>-23399000</v>
      </c>
      <c r="O31" s="69">
        <v>-23549000</v>
      </c>
      <c r="P31" s="69">
        <v>4552000</v>
      </c>
      <c r="Q31" s="69">
        <v>6711000</v>
      </c>
      <c r="R31" s="69">
        <v>2565000</v>
      </c>
      <c r="S31" s="69">
        <v>289000</v>
      </c>
      <c r="T31" s="69">
        <v>1708000</v>
      </c>
      <c r="U31" s="69">
        <v>1157000</v>
      </c>
      <c r="V31" s="69">
        <v>251000</v>
      </c>
      <c r="W31" s="69">
        <v>5244000</v>
      </c>
      <c r="X31" s="69">
        <v>4611000</v>
      </c>
      <c r="Y31" s="69">
        <v>1296000</v>
      </c>
      <c r="Z31" s="69">
        <v>872900</v>
      </c>
      <c r="AA31" s="69">
        <v>1494000</v>
      </c>
      <c r="AB31" s="69">
        <v>946000</v>
      </c>
      <c r="AC31" s="69">
        <v>1646000</v>
      </c>
      <c r="AD31" s="69">
        <v>3192200</v>
      </c>
      <c r="AE31" s="69">
        <v>3941000</v>
      </c>
      <c r="AF31" s="69">
        <v>1746000</v>
      </c>
      <c r="AG31" s="69">
        <v>1188900</v>
      </c>
      <c r="AH31" s="69">
        <v>1856000</v>
      </c>
      <c r="AI31" s="69">
        <v>1480000</v>
      </c>
      <c r="AJ31" s="69">
        <v>2091000</v>
      </c>
      <c r="AK31" s="69">
        <v>4891000</v>
      </c>
      <c r="AL31" s="69">
        <v>4301000</v>
      </c>
      <c r="AM31" s="69"/>
      <c r="AN31" s="69"/>
      <c r="AO31" s="69"/>
      <c r="AP31" s="69"/>
      <c r="AQ31" s="69"/>
      <c r="AR31" s="69"/>
      <c r="AS31" s="69"/>
      <c r="AT31" s="69"/>
      <c r="AU31" s="6"/>
      <c r="AV31" s="6"/>
      <c r="AW31" s="6">
        <f t="shared" si="7"/>
        <v>11263000</v>
      </c>
      <c r="AX31" s="6">
        <f t="shared" si="7"/>
        <v>15825000</v>
      </c>
      <c r="AY31" s="6">
        <f t="shared" si="7"/>
        <v>13388100</v>
      </c>
      <c r="AZ31" s="6">
        <f t="shared" si="7"/>
        <v>17553900</v>
      </c>
      <c r="BA31" s="6">
        <f t="shared" si="7"/>
        <v>0</v>
      </c>
      <c r="BC31" s="66">
        <f t="shared" ca="1" si="6"/>
        <v>58030000</v>
      </c>
    </row>
    <row r="32" spans="1:55" x14ac:dyDescent="0.3">
      <c r="A32" s="6" t="str">
        <f>IFERROR(VLOOKUP($F32,매장구분!$B:$K,2,0),"")</f>
        <v>파트너채널팀</v>
      </c>
      <c r="B32" s="6" t="str">
        <f>IFERROR(VLOOKUP($F32,매장구분!$B:$K,3,0),"")</f>
        <v>국내</v>
      </c>
      <c r="C32" s="6" t="str">
        <f>IFERROR(VLOOKUP($F32,매장구분!$B:$K,5,0),"")</f>
        <v>백화점</v>
      </c>
      <c r="D32" s="6" t="str">
        <f>IFERROR(VLOOKUP($F32,매장구분!$B:$Z,9,0),"")</f>
        <v>더현대서울</v>
      </c>
      <c r="E32" s="69" t="s">
        <v>422</v>
      </c>
      <c r="F32" s="69" t="s">
        <v>423</v>
      </c>
      <c r="G32" s="69">
        <v>1376</v>
      </c>
      <c r="H32" s="69">
        <v>130709600</v>
      </c>
      <c r="I32" s="69">
        <v>136626400</v>
      </c>
      <c r="J32" s="69">
        <v>1413</v>
      </c>
      <c r="K32" s="69">
        <v>135814200</v>
      </c>
      <c r="L32" s="69">
        <v>141898000</v>
      </c>
      <c r="M32" s="69">
        <v>-37</v>
      </c>
      <c r="N32" s="69">
        <v>-5104600</v>
      </c>
      <c r="O32" s="69">
        <v>-5271600</v>
      </c>
      <c r="P32" s="69">
        <v>7683000</v>
      </c>
      <c r="Q32" s="69">
        <v>11505000</v>
      </c>
      <c r="R32" s="69">
        <v>3684000</v>
      </c>
      <c r="S32" s="69">
        <v>2968000</v>
      </c>
      <c r="T32" s="69">
        <v>3763900</v>
      </c>
      <c r="U32" s="69">
        <v>2846900</v>
      </c>
      <c r="V32" s="69">
        <v>6051900</v>
      </c>
      <c r="W32" s="69">
        <v>8737000</v>
      </c>
      <c r="X32" s="69">
        <v>6112100</v>
      </c>
      <c r="Y32" s="69">
        <v>0</v>
      </c>
      <c r="Z32" s="69">
        <v>5174000</v>
      </c>
      <c r="AA32" s="69">
        <v>2702700</v>
      </c>
      <c r="AB32" s="69">
        <v>3583000</v>
      </c>
      <c r="AC32" s="69">
        <v>5142900</v>
      </c>
      <c r="AD32" s="69">
        <v>8375700</v>
      </c>
      <c r="AE32" s="69">
        <v>10093600</v>
      </c>
      <c r="AF32" s="69">
        <v>4159800</v>
      </c>
      <c r="AG32" s="69">
        <v>4953900</v>
      </c>
      <c r="AH32" s="69">
        <v>4523000</v>
      </c>
      <c r="AI32" s="69">
        <v>3941900</v>
      </c>
      <c r="AJ32" s="69">
        <v>5073400</v>
      </c>
      <c r="AK32" s="69">
        <v>9110200</v>
      </c>
      <c r="AL32" s="69">
        <v>10523700</v>
      </c>
      <c r="AM32" s="69"/>
      <c r="AN32" s="69"/>
      <c r="AO32" s="69"/>
      <c r="AP32" s="69"/>
      <c r="AQ32" s="69"/>
      <c r="AR32" s="69"/>
      <c r="AS32" s="69"/>
      <c r="AT32" s="69"/>
      <c r="AU32" s="6"/>
      <c r="AV32" s="6"/>
      <c r="AW32" s="6">
        <f t="shared" si="7"/>
        <v>19188000</v>
      </c>
      <c r="AX32" s="6">
        <f t="shared" si="7"/>
        <v>34163800</v>
      </c>
      <c r="AY32" s="6">
        <f t="shared" si="7"/>
        <v>35071900</v>
      </c>
      <c r="AZ32" s="6">
        <f t="shared" si="7"/>
        <v>42285900</v>
      </c>
      <c r="BA32" s="6">
        <f t="shared" si="7"/>
        <v>0</v>
      </c>
      <c r="BC32" s="66">
        <f t="shared" ca="1" si="6"/>
        <v>130709600</v>
      </c>
    </row>
    <row r="33" spans="1:55" x14ac:dyDescent="0.3">
      <c r="A33" s="6" t="str">
        <f>IFERROR(VLOOKUP($F33,매장구분!$B:$K,2,0),"")</f>
        <v>파트너채널팀</v>
      </c>
      <c r="B33" s="6" t="str">
        <f>IFERROR(VLOOKUP($F33,매장구분!$B:$K,3,0),"")</f>
        <v>국내</v>
      </c>
      <c r="C33" s="6" t="str">
        <f>IFERROR(VLOOKUP($F33,매장구분!$B:$K,5,0),"")</f>
        <v>백화점</v>
      </c>
      <c r="D33" s="6" t="str">
        <f>IFERROR(VLOOKUP($F33,매장구분!$B:$Z,9,0),"")</f>
        <v>엔터식스왕십리</v>
      </c>
      <c r="E33" s="69" t="s">
        <v>444</v>
      </c>
      <c r="F33" s="69" t="s">
        <v>445</v>
      </c>
      <c r="G33" s="69">
        <v>433</v>
      </c>
      <c r="H33" s="69">
        <v>44754500</v>
      </c>
      <c r="I33" s="69">
        <v>46990400</v>
      </c>
      <c r="J33" s="69">
        <v>455</v>
      </c>
      <c r="K33" s="69">
        <v>47786400</v>
      </c>
      <c r="L33" s="69">
        <v>50192300</v>
      </c>
      <c r="M33" s="69">
        <v>-22</v>
      </c>
      <c r="N33" s="69">
        <v>-3031900</v>
      </c>
      <c r="O33" s="69">
        <v>-3201900</v>
      </c>
      <c r="P33" s="69">
        <v>3140000</v>
      </c>
      <c r="Q33" s="69">
        <v>1565000</v>
      </c>
      <c r="R33" s="69">
        <v>1368700</v>
      </c>
      <c r="S33" s="69">
        <v>1940300</v>
      </c>
      <c r="T33" s="69">
        <v>2368300</v>
      </c>
      <c r="U33" s="69">
        <v>793000</v>
      </c>
      <c r="V33" s="69">
        <v>1409000</v>
      </c>
      <c r="W33" s="69">
        <v>1933000</v>
      </c>
      <c r="X33" s="69">
        <v>2465000</v>
      </c>
      <c r="Y33" s="69">
        <v>839000</v>
      </c>
      <c r="Z33" s="69">
        <v>1104700</v>
      </c>
      <c r="AA33" s="69">
        <v>1229800</v>
      </c>
      <c r="AB33" s="69">
        <v>1065000</v>
      </c>
      <c r="AC33" s="69">
        <v>1629000</v>
      </c>
      <c r="AD33" s="69">
        <v>2881000</v>
      </c>
      <c r="AE33" s="69">
        <v>2330800</v>
      </c>
      <c r="AF33" s="69">
        <v>1745300</v>
      </c>
      <c r="AG33" s="69">
        <v>2888100</v>
      </c>
      <c r="AH33" s="69">
        <v>1665000</v>
      </c>
      <c r="AI33" s="69">
        <v>1793000</v>
      </c>
      <c r="AJ33" s="69">
        <v>1620000</v>
      </c>
      <c r="AK33" s="69">
        <v>4451500</v>
      </c>
      <c r="AL33" s="69">
        <v>2530000</v>
      </c>
      <c r="AM33" s="69"/>
      <c r="AN33" s="69"/>
      <c r="AO33" s="69"/>
      <c r="AP33" s="69"/>
      <c r="AQ33" s="69"/>
      <c r="AR33" s="69"/>
      <c r="AS33" s="69"/>
      <c r="AT33" s="69"/>
      <c r="AU33" s="6"/>
      <c r="AV33" s="6"/>
      <c r="AW33" s="6">
        <f t="shared" si="7"/>
        <v>4705000</v>
      </c>
      <c r="AX33" s="6">
        <f t="shared" si="7"/>
        <v>12277300</v>
      </c>
      <c r="AY33" s="6">
        <f t="shared" si="7"/>
        <v>11079300</v>
      </c>
      <c r="AZ33" s="6">
        <f t="shared" si="7"/>
        <v>16692900</v>
      </c>
      <c r="BA33" s="6">
        <f t="shared" si="7"/>
        <v>0</v>
      </c>
      <c r="BC33" s="66">
        <f t="shared" ca="1" si="6"/>
        <v>44754500</v>
      </c>
    </row>
    <row r="34" spans="1:55" x14ac:dyDescent="0.3">
      <c r="A34" s="6" t="str">
        <f>IFERROR(VLOOKUP($F34,매장구분!$B:$K,2,0),"")</f>
        <v>파트너채널팀</v>
      </c>
      <c r="B34" s="6" t="str">
        <f>IFERROR(VLOOKUP($F34,매장구분!$B:$K,3,0),"")</f>
        <v>국내</v>
      </c>
      <c r="C34" s="6" t="str">
        <f>IFERROR(VLOOKUP($F34,매장구분!$B:$K,5,0),"")</f>
        <v>백화점</v>
      </c>
      <c r="D34" s="6" t="str">
        <f>IFERROR(VLOOKUP($F34,매장구분!$B:$Z,9,0),"")</f>
        <v>현대판교</v>
      </c>
      <c r="E34" s="69" t="s">
        <v>257</v>
      </c>
      <c r="F34" s="69" t="s">
        <v>258</v>
      </c>
      <c r="G34" s="69">
        <v>2523</v>
      </c>
      <c r="H34" s="69">
        <v>296687400</v>
      </c>
      <c r="I34" s="69">
        <v>312257700</v>
      </c>
      <c r="J34" s="69">
        <v>2661</v>
      </c>
      <c r="K34" s="69">
        <v>320979000</v>
      </c>
      <c r="L34" s="69">
        <v>336655700</v>
      </c>
      <c r="M34" s="69">
        <v>-138</v>
      </c>
      <c r="N34" s="69">
        <v>-24291600</v>
      </c>
      <c r="O34" s="69">
        <v>-24398000</v>
      </c>
      <c r="P34" s="69">
        <v>22967500</v>
      </c>
      <c r="Q34" s="69">
        <v>14786800</v>
      </c>
      <c r="R34" s="69">
        <v>2298000</v>
      </c>
      <c r="S34" s="69">
        <v>1461000</v>
      </c>
      <c r="T34" s="69">
        <v>11421200</v>
      </c>
      <c r="U34" s="69">
        <v>4070800</v>
      </c>
      <c r="V34" s="69">
        <v>4507000</v>
      </c>
      <c r="W34" s="69">
        <v>125428500</v>
      </c>
      <c r="X34" s="69">
        <v>8531900</v>
      </c>
      <c r="Y34" s="69">
        <v>0</v>
      </c>
      <c r="Z34" s="69">
        <v>7679300</v>
      </c>
      <c r="AA34" s="69">
        <v>7791000</v>
      </c>
      <c r="AB34" s="69">
        <v>7774600</v>
      </c>
      <c r="AC34" s="69">
        <v>12952000</v>
      </c>
      <c r="AD34" s="69">
        <v>8629000</v>
      </c>
      <c r="AE34" s="69">
        <v>6165000</v>
      </c>
      <c r="AF34" s="69">
        <v>1652000</v>
      </c>
      <c r="AG34" s="69">
        <v>11615000</v>
      </c>
      <c r="AH34" s="69">
        <v>11928000</v>
      </c>
      <c r="AI34" s="69">
        <v>7269300</v>
      </c>
      <c r="AJ34" s="69">
        <v>5958000</v>
      </c>
      <c r="AK34" s="69">
        <v>3304600</v>
      </c>
      <c r="AL34" s="69">
        <v>8496900</v>
      </c>
      <c r="AM34" s="69"/>
      <c r="AN34" s="69"/>
      <c r="AO34" s="69"/>
      <c r="AP34" s="69"/>
      <c r="AQ34" s="69"/>
      <c r="AR34" s="69"/>
      <c r="AS34" s="69"/>
      <c r="AT34" s="69"/>
      <c r="AU34" s="6"/>
      <c r="AV34" s="6"/>
      <c r="AW34" s="6">
        <f t="shared" si="7"/>
        <v>37754300</v>
      </c>
      <c r="AX34" s="6">
        <f t="shared" si="7"/>
        <v>157718400</v>
      </c>
      <c r="AY34" s="6">
        <f t="shared" si="7"/>
        <v>50990900</v>
      </c>
      <c r="AZ34" s="6">
        <f t="shared" si="7"/>
        <v>50223800</v>
      </c>
      <c r="BA34" s="6">
        <f t="shared" si="7"/>
        <v>0</v>
      </c>
      <c r="BC34" s="66">
        <f t="shared" ca="1" si="6"/>
        <v>296687400</v>
      </c>
    </row>
    <row r="35" spans="1:55" x14ac:dyDescent="0.3">
      <c r="A35" s="6" t="str">
        <f>IFERROR(VLOOKUP($F35,매장구분!$B:$K,2,0),"")</f>
        <v>파트너채널팀</v>
      </c>
      <c r="B35" s="6" t="str">
        <f>IFERROR(VLOOKUP($F35,매장구분!$B:$K,3,0),"")</f>
        <v>국내</v>
      </c>
      <c r="C35" s="6" t="str">
        <f>IFERROR(VLOOKUP($F35,매장구분!$B:$K,5,0),"")</f>
        <v>백화점</v>
      </c>
      <c r="D35" s="6" t="str">
        <f>IFERROR(VLOOKUP($F35,매장구분!$B:$Z,9,0),"")</f>
        <v>신세계강남</v>
      </c>
      <c r="E35" s="69" t="s">
        <v>234</v>
      </c>
      <c r="F35" s="69" t="s">
        <v>235</v>
      </c>
      <c r="G35" s="69">
        <v>2146</v>
      </c>
      <c r="H35" s="69">
        <v>235404500</v>
      </c>
      <c r="I35" s="69">
        <v>242005100</v>
      </c>
      <c r="J35" s="69">
        <v>2471</v>
      </c>
      <c r="K35" s="69">
        <v>287591100</v>
      </c>
      <c r="L35" s="69">
        <v>294585900</v>
      </c>
      <c r="M35" s="69">
        <v>-325</v>
      </c>
      <c r="N35" s="69">
        <v>-52186600</v>
      </c>
      <c r="O35" s="69">
        <v>-52580800</v>
      </c>
      <c r="P35" s="69">
        <v>12900300</v>
      </c>
      <c r="Q35" s="69">
        <v>30702900</v>
      </c>
      <c r="R35" s="69">
        <v>7449800</v>
      </c>
      <c r="S35" s="69">
        <v>7559800</v>
      </c>
      <c r="T35" s="69">
        <v>5601300</v>
      </c>
      <c r="U35" s="69">
        <v>7104100</v>
      </c>
      <c r="V35" s="69">
        <v>6136300</v>
      </c>
      <c r="W35" s="69">
        <v>10206600</v>
      </c>
      <c r="X35" s="69">
        <v>5199000</v>
      </c>
      <c r="Y35" s="69">
        <v>3026000</v>
      </c>
      <c r="Z35" s="69">
        <v>4332600</v>
      </c>
      <c r="AA35" s="69">
        <v>4850600</v>
      </c>
      <c r="AB35" s="69">
        <v>3553300</v>
      </c>
      <c r="AC35" s="69">
        <v>4665600</v>
      </c>
      <c r="AD35" s="69">
        <v>7007200</v>
      </c>
      <c r="AE35" s="69">
        <v>8872900</v>
      </c>
      <c r="AF35" s="69">
        <v>3515500</v>
      </c>
      <c r="AG35" s="69">
        <v>4137900</v>
      </c>
      <c r="AH35" s="69">
        <v>4620100</v>
      </c>
      <c r="AI35" s="69">
        <v>3391000</v>
      </c>
      <c r="AJ35" s="69">
        <v>8472600</v>
      </c>
      <c r="AK35" s="69">
        <v>73497200</v>
      </c>
      <c r="AL35" s="69">
        <v>8601900</v>
      </c>
      <c r="AM35" s="69"/>
      <c r="AN35" s="69"/>
      <c r="AO35" s="69"/>
      <c r="AP35" s="69"/>
      <c r="AQ35" s="69"/>
      <c r="AR35" s="69"/>
      <c r="AS35" s="69"/>
      <c r="AT35" s="69"/>
      <c r="AU35" s="6"/>
      <c r="AV35" s="6"/>
      <c r="AW35" s="6">
        <f t="shared" si="7"/>
        <v>43603200</v>
      </c>
      <c r="AX35" s="6">
        <f t="shared" si="7"/>
        <v>49256900</v>
      </c>
      <c r="AY35" s="6">
        <f t="shared" si="7"/>
        <v>36308200</v>
      </c>
      <c r="AZ35" s="6">
        <f t="shared" si="7"/>
        <v>106236200</v>
      </c>
      <c r="BA35" s="6">
        <f t="shared" si="7"/>
        <v>0</v>
      </c>
      <c r="BC35" s="66">
        <f t="shared" ca="1" si="6"/>
        <v>235404500</v>
      </c>
    </row>
    <row r="36" spans="1:55" x14ac:dyDescent="0.3">
      <c r="A36" s="6" t="str">
        <f>IFERROR(VLOOKUP($F36,매장구분!$B:$K,2,0),"")</f>
        <v>파트너채널팀</v>
      </c>
      <c r="B36" s="6" t="str">
        <f>IFERROR(VLOOKUP($F36,매장구분!$B:$K,3,0),"")</f>
        <v>국내</v>
      </c>
      <c r="C36" s="6" t="str">
        <f>IFERROR(VLOOKUP($F36,매장구분!$B:$K,5,0),"")</f>
        <v>백화점</v>
      </c>
      <c r="D36" s="6" t="str">
        <f>IFERROR(VLOOKUP($F36,매장구분!$B:$Z,9,0),"")</f>
        <v>신세계대구</v>
      </c>
      <c r="E36" s="69" t="s">
        <v>192</v>
      </c>
      <c r="F36" s="69" t="s">
        <v>193</v>
      </c>
      <c r="G36" s="69">
        <v>1291</v>
      </c>
      <c r="H36" s="69">
        <v>108779100</v>
      </c>
      <c r="I36" s="69">
        <v>114210100</v>
      </c>
      <c r="J36" s="69">
        <v>1378</v>
      </c>
      <c r="K36" s="69">
        <v>125398100</v>
      </c>
      <c r="L36" s="69">
        <v>130939100</v>
      </c>
      <c r="M36" s="69">
        <v>-87</v>
      </c>
      <c r="N36" s="69">
        <v>-16619000</v>
      </c>
      <c r="O36" s="69">
        <v>-16729000</v>
      </c>
      <c r="P36" s="69">
        <v>8119900</v>
      </c>
      <c r="Q36" s="69">
        <v>10200900</v>
      </c>
      <c r="R36" s="69">
        <v>3049900</v>
      </c>
      <c r="S36" s="69">
        <v>3338000</v>
      </c>
      <c r="T36" s="69">
        <v>2760000</v>
      </c>
      <c r="U36" s="69">
        <v>2358000</v>
      </c>
      <c r="V36" s="69">
        <v>2966000</v>
      </c>
      <c r="W36" s="69">
        <v>6965000</v>
      </c>
      <c r="X36" s="69">
        <v>6998000</v>
      </c>
      <c r="Y36" s="69">
        <v>2018000</v>
      </c>
      <c r="Z36" s="69">
        <v>3582000</v>
      </c>
      <c r="AA36" s="69">
        <v>1398000</v>
      </c>
      <c r="AB36" s="69">
        <v>1988900</v>
      </c>
      <c r="AC36" s="69">
        <v>5617000</v>
      </c>
      <c r="AD36" s="69">
        <v>8003700</v>
      </c>
      <c r="AE36" s="69">
        <v>8665900</v>
      </c>
      <c r="AF36" s="69">
        <v>1554000</v>
      </c>
      <c r="AG36" s="69">
        <v>1360000</v>
      </c>
      <c r="AH36" s="69">
        <v>1898000</v>
      </c>
      <c r="AI36" s="69">
        <v>2611000</v>
      </c>
      <c r="AJ36" s="69">
        <v>3019000</v>
      </c>
      <c r="AK36" s="69">
        <v>9064000</v>
      </c>
      <c r="AL36" s="69">
        <v>11243900</v>
      </c>
      <c r="AM36" s="69"/>
      <c r="AN36" s="69"/>
      <c r="AO36" s="69"/>
      <c r="AP36" s="69"/>
      <c r="AQ36" s="69"/>
      <c r="AR36" s="69"/>
      <c r="AS36" s="69"/>
      <c r="AT36" s="69"/>
      <c r="AU36" s="6"/>
      <c r="AV36" s="6"/>
      <c r="AW36" s="6">
        <f t="shared" si="7"/>
        <v>18320800</v>
      </c>
      <c r="AX36" s="6">
        <f t="shared" si="7"/>
        <v>28434900</v>
      </c>
      <c r="AY36" s="6">
        <f t="shared" si="7"/>
        <v>31273500</v>
      </c>
      <c r="AZ36" s="6">
        <f t="shared" si="7"/>
        <v>30749900</v>
      </c>
      <c r="BA36" s="6">
        <f t="shared" si="7"/>
        <v>0</v>
      </c>
      <c r="BC36" s="66">
        <f t="shared" ca="1" si="6"/>
        <v>108779100</v>
      </c>
    </row>
    <row r="37" spans="1:55" x14ac:dyDescent="0.3">
      <c r="A37" s="6" t="str">
        <f>IFERROR(VLOOKUP($F37,매장구분!$B:$K,2,0),"")</f>
        <v>파트너채널팀</v>
      </c>
      <c r="B37" s="6" t="str">
        <f>IFERROR(VLOOKUP($F37,매장구분!$B:$K,3,0),"")</f>
        <v>국내</v>
      </c>
      <c r="C37" s="6" t="str">
        <f>IFERROR(VLOOKUP($F37,매장구분!$B:$K,5,0),"")</f>
        <v>백화점</v>
      </c>
      <c r="D37" s="6" t="str">
        <f>IFERROR(VLOOKUP($F37,매장구분!$B:$Z,9,0),"")</f>
        <v>신세계김해</v>
      </c>
      <c r="E37" s="69" t="s">
        <v>454</v>
      </c>
      <c r="F37" s="69" t="s">
        <v>455</v>
      </c>
      <c r="G37" s="69">
        <v>513</v>
      </c>
      <c r="H37" s="69">
        <v>46861200</v>
      </c>
      <c r="I37" s="69">
        <v>50140700</v>
      </c>
      <c r="J37" s="69">
        <v>546</v>
      </c>
      <c r="K37" s="69">
        <v>51276100</v>
      </c>
      <c r="L37" s="69">
        <v>54615600</v>
      </c>
      <c r="M37" s="69">
        <v>-33</v>
      </c>
      <c r="N37" s="69">
        <v>-4414900</v>
      </c>
      <c r="O37" s="69">
        <v>-4474900</v>
      </c>
      <c r="P37" s="69">
        <v>2242700</v>
      </c>
      <c r="Q37" s="69">
        <v>4750900</v>
      </c>
      <c r="R37" s="69">
        <v>2142100</v>
      </c>
      <c r="S37" s="69">
        <v>1497000</v>
      </c>
      <c r="T37" s="69">
        <v>2100000</v>
      </c>
      <c r="U37" s="69">
        <v>301000</v>
      </c>
      <c r="V37" s="69">
        <v>1188900</v>
      </c>
      <c r="W37" s="69">
        <v>3482900</v>
      </c>
      <c r="X37" s="69">
        <v>2980000</v>
      </c>
      <c r="Y37" s="69">
        <v>622000</v>
      </c>
      <c r="Z37" s="69">
        <v>1178000</v>
      </c>
      <c r="AA37" s="69">
        <v>507000</v>
      </c>
      <c r="AB37" s="69">
        <v>1572000</v>
      </c>
      <c r="AC37" s="69">
        <v>866100</v>
      </c>
      <c r="AD37" s="69">
        <v>2373300</v>
      </c>
      <c r="AE37" s="69">
        <v>4707900</v>
      </c>
      <c r="AF37" s="69">
        <v>1588000</v>
      </c>
      <c r="AG37" s="69">
        <v>704000</v>
      </c>
      <c r="AH37" s="69">
        <v>1478000</v>
      </c>
      <c r="AI37" s="69">
        <v>1521900</v>
      </c>
      <c r="AJ37" s="69">
        <v>1073000</v>
      </c>
      <c r="AK37" s="69">
        <v>3951000</v>
      </c>
      <c r="AL37" s="69">
        <v>4033500</v>
      </c>
      <c r="AM37" s="69"/>
      <c r="AN37" s="69"/>
      <c r="AO37" s="69"/>
      <c r="AP37" s="69"/>
      <c r="AQ37" s="69"/>
      <c r="AR37" s="69"/>
      <c r="AS37" s="69"/>
      <c r="AT37" s="69"/>
      <c r="AU37" s="6"/>
      <c r="AV37" s="6"/>
      <c r="AW37" s="6">
        <f t="shared" si="7"/>
        <v>6993600</v>
      </c>
      <c r="AX37" s="6">
        <f t="shared" si="7"/>
        <v>13691900</v>
      </c>
      <c r="AY37" s="6">
        <f t="shared" si="7"/>
        <v>11826300</v>
      </c>
      <c r="AZ37" s="6">
        <f t="shared" si="7"/>
        <v>14349400</v>
      </c>
      <c r="BA37" s="6">
        <f t="shared" si="7"/>
        <v>0</v>
      </c>
      <c r="BC37" s="66">
        <f t="shared" ca="1" si="6"/>
        <v>46861200</v>
      </c>
    </row>
    <row r="38" spans="1:55" x14ac:dyDescent="0.3">
      <c r="A38" s="6" t="str">
        <f>IFERROR(VLOOKUP($F38,매장구분!$B:$K,2,0),"")</f>
        <v>파트너채널팀</v>
      </c>
      <c r="B38" s="6" t="str">
        <f>IFERROR(VLOOKUP($F38,매장구분!$B:$K,3,0),"")</f>
        <v>RF</v>
      </c>
      <c r="C38" s="6" t="str">
        <f>IFERROR(VLOOKUP($F38,매장구분!$B:$K,5,0),"")</f>
        <v>백화점</v>
      </c>
      <c r="D38" s="6" t="str">
        <f>IFERROR(VLOOKUP($F38,매장구분!$B:$Z,9,0),"")</f>
        <v>신세계본점</v>
      </c>
      <c r="E38" s="69" t="s">
        <v>450</v>
      </c>
      <c r="F38" s="69" t="s">
        <v>451</v>
      </c>
      <c r="G38" s="69">
        <v>1850</v>
      </c>
      <c r="H38" s="69">
        <v>222622600</v>
      </c>
      <c r="I38" s="69">
        <v>243131200</v>
      </c>
      <c r="J38" s="69">
        <v>1904</v>
      </c>
      <c r="K38" s="69">
        <v>229264100</v>
      </c>
      <c r="L38" s="69">
        <v>249852700</v>
      </c>
      <c r="M38" s="69">
        <v>-54</v>
      </c>
      <c r="N38" s="69">
        <v>-6641500</v>
      </c>
      <c r="O38" s="69">
        <v>-6721500</v>
      </c>
      <c r="P38" s="69">
        <v>4067200</v>
      </c>
      <c r="Q38" s="69">
        <v>4151200</v>
      </c>
      <c r="R38" s="69">
        <v>0</v>
      </c>
      <c r="S38" s="69">
        <v>4321900</v>
      </c>
      <c r="T38" s="69">
        <v>4304700</v>
      </c>
      <c r="U38" s="69">
        <v>1798700</v>
      </c>
      <c r="V38" s="69">
        <v>134297400</v>
      </c>
      <c r="W38" s="69">
        <v>17556900</v>
      </c>
      <c r="X38" s="69">
        <v>2274900</v>
      </c>
      <c r="Y38" s="69">
        <v>4592000</v>
      </c>
      <c r="Z38" s="69">
        <v>3064900</v>
      </c>
      <c r="AA38" s="69">
        <v>1641000</v>
      </c>
      <c r="AB38" s="69">
        <v>2799000</v>
      </c>
      <c r="AC38" s="69">
        <v>3370900</v>
      </c>
      <c r="AD38" s="69">
        <v>3676900</v>
      </c>
      <c r="AE38" s="69">
        <v>3744000</v>
      </c>
      <c r="AF38" s="69">
        <v>2287900</v>
      </c>
      <c r="AG38" s="69">
        <v>6141700</v>
      </c>
      <c r="AH38" s="69">
        <v>3329000</v>
      </c>
      <c r="AI38" s="69">
        <v>2325000</v>
      </c>
      <c r="AJ38" s="69">
        <v>4179800</v>
      </c>
      <c r="AK38" s="69">
        <v>2684600</v>
      </c>
      <c r="AL38" s="69">
        <v>6013000</v>
      </c>
      <c r="AM38" s="69"/>
      <c r="AN38" s="69"/>
      <c r="AO38" s="69"/>
      <c r="AP38" s="69"/>
      <c r="AQ38" s="69"/>
      <c r="AR38" s="69"/>
      <c r="AS38" s="69"/>
      <c r="AT38" s="69"/>
      <c r="AU38" s="6"/>
      <c r="AV38" s="6"/>
      <c r="AW38" s="6">
        <f t="shared" si="7"/>
        <v>8218400</v>
      </c>
      <c r="AX38" s="6">
        <f t="shared" si="7"/>
        <v>164554500</v>
      </c>
      <c r="AY38" s="6">
        <f t="shared" si="7"/>
        <v>22888700</v>
      </c>
      <c r="AZ38" s="6">
        <f t="shared" si="7"/>
        <v>26961000</v>
      </c>
      <c r="BA38" s="6">
        <f t="shared" si="7"/>
        <v>0</v>
      </c>
      <c r="BC38" s="66">
        <f t="shared" ca="1" si="6"/>
        <v>222622600</v>
      </c>
    </row>
    <row r="39" spans="1:55" x14ac:dyDescent="0.3">
      <c r="A39" s="6" t="str">
        <f>IFERROR(VLOOKUP($F39,매장구분!$B:$K,2,0),"")</f>
        <v>파트너채널팀</v>
      </c>
      <c r="B39" s="6" t="str">
        <f>IFERROR(VLOOKUP($F39,매장구분!$B:$K,3,0),"")</f>
        <v>국내</v>
      </c>
      <c r="C39" s="6" t="str">
        <f>IFERROR(VLOOKUP($F39,매장구분!$B:$K,5,0),"")</f>
        <v>백화점</v>
      </c>
      <c r="D39" s="6" t="str">
        <f>IFERROR(VLOOKUP($F39,매장구분!$B:$Z,9,0),"")</f>
        <v>롯데인천</v>
      </c>
      <c r="E39" s="69" t="s">
        <v>245</v>
      </c>
      <c r="F39" s="69" t="s">
        <v>246</v>
      </c>
      <c r="G39" s="69">
        <v>1651</v>
      </c>
      <c r="H39" s="69">
        <v>148792500</v>
      </c>
      <c r="I39" s="69">
        <v>156492100</v>
      </c>
      <c r="J39" s="69">
        <v>1792</v>
      </c>
      <c r="K39" s="69">
        <v>173298700</v>
      </c>
      <c r="L39" s="69">
        <v>181359000</v>
      </c>
      <c r="M39" s="69">
        <v>-141</v>
      </c>
      <c r="N39" s="69">
        <v>-24506200</v>
      </c>
      <c r="O39" s="69">
        <v>-24866900</v>
      </c>
      <c r="P39" s="69">
        <v>10338400</v>
      </c>
      <c r="Q39" s="69">
        <v>31255500</v>
      </c>
      <c r="R39" s="69">
        <v>1681000</v>
      </c>
      <c r="S39" s="69">
        <v>2399000</v>
      </c>
      <c r="T39" s="69">
        <v>1558000</v>
      </c>
      <c r="U39" s="69">
        <v>1057000</v>
      </c>
      <c r="V39" s="69">
        <v>2867000</v>
      </c>
      <c r="W39" s="69">
        <v>6411700</v>
      </c>
      <c r="X39" s="69">
        <v>27233700</v>
      </c>
      <c r="Y39" s="69">
        <v>0</v>
      </c>
      <c r="Z39" s="69">
        <v>2840800</v>
      </c>
      <c r="AA39" s="69">
        <v>3124000</v>
      </c>
      <c r="AB39" s="69">
        <v>3183800</v>
      </c>
      <c r="AC39" s="69">
        <v>1607500</v>
      </c>
      <c r="AD39" s="69">
        <v>4100000</v>
      </c>
      <c r="AE39" s="69">
        <v>16581900</v>
      </c>
      <c r="AF39" s="69">
        <v>1911900</v>
      </c>
      <c r="AG39" s="69">
        <v>2188600</v>
      </c>
      <c r="AH39" s="69">
        <v>3948500</v>
      </c>
      <c r="AI39" s="69">
        <v>1436900</v>
      </c>
      <c r="AJ39" s="69">
        <v>2909500</v>
      </c>
      <c r="AK39" s="69">
        <v>4633800</v>
      </c>
      <c r="AL39" s="69">
        <v>15524000</v>
      </c>
      <c r="AM39" s="69"/>
      <c r="AN39" s="69"/>
      <c r="AO39" s="69"/>
      <c r="AP39" s="69"/>
      <c r="AQ39" s="69"/>
      <c r="AR39" s="69"/>
      <c r="AS39" s="69"/>
      <c r="AT39" s="69"/>
      <c r="AU39" s="6"/>
      <c r="AV39" s="6"/>
      <c r="AW39" s="6">
        <f t="shared" si="7"/>
        <v>41593900</v>
      </c>
      <c r="AX39" s="6">
        <f t="shared" si="7"/>
        <v>43207400</v>
      </c>
      <c r="AY39" s="6">
        <f t="shared" si="7"/>
        <v>31438000</v>
      </c>
      <c r="AZ39" s="6">
        <f t="shared" si="7"/>
        <v>32553200</v>
      </c>
      <c r="BA39" s="6">
        <f t="shared" si="7"/>
        <v>0</v>
      </c>
      <c r="BC39" s="66">
        <f t="shared" ca="1" si="6"/>
        <v>148792500</v>
      </c>
    </row>
    <row r="40" spans="1:55" x14ac:dyDescent="0.3">
      <c r="A40" s="6" t="str">
        <f>IFERROR(VLOOKUP($F40,매장구분!$B:$K,2,0),"")</f>
        <v>파트너채널팀</v>
      </c>
      <c r="B40" s="6" t="str">
        <f>IFERROR(VLOOKUP($F40,매장구분!$B:$K,3,0),"")</f>
        <v>국내</v>
      </c>
      <c r="C40" s="6" t="str">
        <f>IFERROR(VLOOKUP($F40,매장구분!$B:$K,5,0),"")</f>
        <v>백화점</v>
      </c>
      <c r="D40" s="6" t="str">
        <f>IFERROR(VLOOKUP($F40,매장구분!$B:$Z,9,0),"")</f>
        <v>갤러리아광교</v>
      </c>
      <c r="E40" s="69" t="s">
        <v>261</v>
      </c>
      <c r="F40" s="69" t="s">
        <v>262</v>
      </c>
      <c r="G40" s="69">
        <v>621</v>
      </c>
      <c r="H40" s="69">
        <v>63481300</v>
      </c>
      <c r="I40" s="69">
        <v>68849500</v>
      </c>
      <c r="J40" s="69">
        <v>819</v>
      </c>
      <c r="K40" s="69">
        <v>86240200</v>
      </c>
      <c r="L40" s="69">
        <v>92433400</v>
      </c>
      <c r="M40" s="69">
        <v>-198</v>
      </c>
      <c r="N40" s="69">
        <v>-22758900</v>
      </c>
      <c r="O40" s="69">
        <v>-23583900</v>
      </c>
      <c r="P40" s="69">
        <v>1695200</v>
      </c>
      <c r="Q40" s="69">
        <v>1623000</v>
      </c>
      <c r="R40" s="69">
        <v>1500900</v>
      </c>
      <c r="S40" s="69">
        <v>8991700</v>
      </c>
      <c r="T40" s="69">
        <v>950600</v>
      </c>
      <c r="U40" s="69">
        <v>1237900</v>
      </c>
      <c r="V40" s="69">
        <v>3977200</v>
      </c>
      <c r="W40" s="69">
        <v>1021600</v>
      </c>
      <c r="X40" s="69">
        <v>1157000</v>
      </c>
      <c r="Y40" s="69">
        <v>1058900</v>
      </c>
      <c r="Z40" s="69">
        <v>4757800</v>
      </c>
      <c r="AA40" s="69">
        <v>1371100</v>
      </c>
      <c r="AB40" s="69">
        <v>1133200</v>
      </c>
      <c r="AC40" s="69">
        <v>1250200</v>
      </c>
      <c r="AD40" s="69">
        <v>1394100</v>
      </c>
      <c r="AE40" s="69">
        <v>1143000</v>
      </c>
      <c r="AF40" s="69">
        <v>1123900</v>
      </c>
      <c r="AG40" s="69">
        <v>1436800</v>
      </c>
      <c r="AH40" s="69">
        <v>1510500</v>
      </c>
      <c r="AI40" s="69">
        <v>19546700</v>
      </c>
      <c r="AJ40" s="69">
        <v>1813200</v>
      </c>
      <c r="AK40" s="69">
        <v>2383800</v>
      </c>
      <c r="AL40" s="69">
        <v>1403000</v>
      </c>
      <c r="AM40" s="69"/>
      <c r="AN40" s="69"/>
      <c r="AO40" s="69"/>
      <c r="AP40" s="69"/>
      <c r="AQ40" s="69"/>
      <c r="AR40" s="69"/>
      <c r="AS40" s="69"/>
      <c r="AT40" s="69"/>
      <c r="AU40" s="6"/>
      <c r="AV40" s="6"/>
      <c r="AW40" s="6">
        <f t="shared" si="7"/>
        <v>3318200</v>
      </c>
      <c r="AX40" s="6">
        <f t="shared" si="7"/>
        <v>18836900</v>
      </c>
      <c r="AY40" s="6">
        <f t="shared" si="7"/>
        <v>12108300</v>
      </c>
      <c r="AZ40" s="6">
        <f t="shared" si="7"/>
        <v>29217900</v>
      </c>
      <c r="BA40" s="6">
        <f t="shared" si="7"/>
        <v>0</v>
      </c>
      <c r="BC40" s="66">
        <f t="shared" ca="1" si="6"/>
        <v>63481300</v>
      </c>
    </row>
    <row r="41" spans="1:55" x14ac:dyDescent="0.3">
      <c r="A41" s="6" t="str">
        <f>IFERROR(VLOOKUP($F41,매장구분!$B:$K,2,0),"")</f>
        <v>파트너채널팀</v>
      </c>
      <c r="B41" s="6" t="str">
        <f>IFERROR(VLOOKUP($F41,매장구분!$B:$K,3,0),"")</f>
        <v>국내</v>
      </c>
      <c r="C41" s="6" t="str">
        <f>IFERROR(VLOOKUP($F41,매장구분!$B:$K,5,0),"")</f>
        <v>백화점</v>
      </c>
      <c r="D41" s="6" t="str">
        <f>IFERROR(VLOOKUP($F41,매장구분!$B:$Z,9,0),"")</f>
        <v>AK평택</v>
      </c>
      <c r="E41" s="69" t="s">
        <v>251</v>
      </c>
      <c r="F41" s="69" t="s">
        <v>252</v>
      </c>
      <c r="G41" s="69">
        <v>705</v>
      </c>
      <c r="H41" s="69">
        <v>75535400</v>
      </c>
      <c r="I41" s="69">
        <v>83365000</v>
      </c>
      <c r="J41" s="69">
        <v>909</v>
      </c>
      <c r="K41" s="69">
        <v>147632000</v>
      </c>
      <c r="L41" s="69">
        <v>156405000</v>
      </c>
      <c r="M41" s="69">
        <v>-204</v>
      </c>
      <c r="N41" s="69">
        <v>-72096600</v>
      </c>
      <c r="O41" s="69">
        <v>-73040000</v>
      </c>
      <c r="P41" s="69">
        <v>4490000</v>
      </c>
      <c r="Q41" s="69">
        <v>4629000</v>
      </c>
      <c r="R41" s="69">
        <v>0</v>
      </c>
      <c r="S41" s="69">
        <v>2372000</v>
      </c>
      <c r="T41" s="69">
        <v>14501800</v>
      </c>
      <c r="U41" s="69">
        <v>738000</v>
      </c>
      <c r="V41" s="69">
        <v>1034000</v>
      </c>
      <c r="W41" s="69">
        <v>2659400</v>
      </c>
      <c r="X41" s="69">
        <v>3713900</v>
      </c>
      <c r="Y41" s="69">
        <v>928000</v>
      </c>
      <c r="Z41" s="69">
        <v>1380000</v>
      </c>
      <c r="AA41" s="69">
        <v>8117900</v>
      </c>
      <c r="AB41" s="69">
        <v>3814000</v>
      </c>
      <c r="AC41" s="69">
        <v>5442400</v>
      </c>
      <c r="AD41" s="69">
        <v>954300</v>
      </c>
      <c r="AE41" s="69">
        <v>3901500</v>
      </c>
      <c r="AF41" s="69">
        <v>1668000</v>
      </c>
      <c r="AG41" s="69">
        <v>1219000</v>
      </c>
      <c r="AH41" s="69">
        <v>764300</v>
      </c>
      <c r="AI41" s="69">
        <v>1595600</v>
      </c>
      <c r="AJ41" s="69">
        <v>3288400</v>
      </c>
      <c r="AK41" s="69">
        <v>4335700</v>
      </c>
      <c r="AL41" s="69">
        <v>3988200</v>
      </c>
      <c r="AM41" s="69"/>
      <c r="AN41" s="69"/>
      <c r="AO41" s="69"/>
      <c r="AP41" s="69"/>
      <c r="AQ41" s="69"/>
      <c r="AR41" s="69"/>
      <c r="AS41" s="69"/>
      <c r="AT41" s="69"/>
      <c r="AU41" s="6"/>
      <c r="AV41" s="6"/>
      <c r="AW41" s="6">
        <f t="shared" si="7"/>
        <v>9119000</v>
      </c>
      <c r="AX41" s="6">
        <f t="shared" si="7"/>
        <v>25019100</v>
      </c>
      <c r="AY41" s="6">
        <f t="shared" si="7"/>
        <v>24538100</v>
      </c>
      <c r="AZ41" s="6">
        <f t="shared" si="7"/>
        <v>16859200</v>
      </c>
      <c r="BA41" s="6">
        <f t="shared" si="7"/>
        <v>0</v>
      </c>
      <c r="BC41" s="66">
        <f t="shared" ca="1" si="6"/>
        <v>75535400</v>
      </c>
    </row>
    <row r="42" spans="1:55" x14ac:dyDescent="0.3">
      <c r="A42" s="6" t="str">
        <f>IFERROR(VLOOKUP($F42,매장구분!$B:$K,2,0),"")</f>
        <v>파트너채널팀</v>
      </c>
      <c r="B42" s="6" t="str">
        <f>IFERROR(VLOOKUP($F42,매장구분!$B:$K,3,0),"")</f>
        <v>국내</v>
      </c>
      <c r="C42" s="6" t="str">
        <f>IFERROR(VLOOKUP($F42,매장구분!$B:$K,5,0),"")</f>
        <v>백화점</v>
      </c>
      <c r="D42" s="6" t="str">
        <f>IFERROR(VLOOKUP($F42,매장구분!$B:$Z,9,0),"")</f>
        <v>신세계대전</v>
      </c>
      <c r="E42" s="69" t="s">
        <v>263</v>
      </c>
      <c r="F42" s="69" t="s">
        <v>264</v>
      </c>
      <c r="G42" s="69">
        <v>705</v>
      </c>
      <c r="H42" s="69">
        <v>69488200</v>
      </c>
      <c r="I42" s="69">
        <v>71259200</v>
      </c>
      <c r="J42" s="69">
        <v>790</v>
      </c>
      <c r="K42" s="69">
        <v>85433600</v>
      </c>
      <c r="L42" s="69">
        <v>87357000</v>
      </c>
      <c r="M42" s="69">
        <v>-85</v>
      </c>
      <c r="N42" s="69">
        <v>-15945400</v>
      </c>
      <c r="O42" s="69">
        <v>-16097800</v>
      </c>
      <c r="P42" s="69">
        <v>4850600</v>
      </c>
      <c r="Q42" s="69">
        <v>4169900</v>
      </c>
      <c r="R42" s="69">
        <v>2126000</v>
      </c>
      <c r="S42" s="69">
        <v>453000</v>
      </c>
      <c r="T42" s="69">
        <v>813000</v>
      </c>
      <c r="U42" s="69">
        <v>983000</v>
      </c>
      <c r="V42" s="69">
        <v>1031000</v>
      </c>
      <c r="W42" s="69">
        <v>4298000</v>
      </c>
      <c r="X42" s="69">
        <v>4077000</v>
      </c>
      <c r="Y42" s="69">
        <v>1163000</v>
      </c>
      <c r="Z42" s="69">
        <v>450000</v>
      </c>
      <c r="AA42" s="69">
        <v>1160000</v>
      </c>
      <c r="AB42" s="69">
        <v>956100</v>
      </c>
      <c r="AC42" s="69">
        <v>1118000</v>
      </c>
      <c r="AD42" s="69">
        <v>5150000</v>
      </c>
      <c r="AE42" s="69">
        <v>3496000</v>
      </c>
      <c r="AF42" s="69">
        <v>1786100</v>
      </c>
      <c r="AG42" s="69">
        <v>1363000</v>
      </c>
      <c r="AH42" s="69">
        <v>1965000</v>
      </c>
      <c r="AI42" s="69">
        <v>635000</v>
      </c>
      <c r="AJ42" s="69">
        <v>21075400</v>
      </c>
      <c r="AK42" s="69">
        <v>2679000</v>
      </c>
      <c r="AL42" s="69">
        <v>3690100</v>
      </c>
      <c r="AM42" s="69"/>
      <c r="AN42" s="69"/>
      <c r="AO42" s="69"/>
      <c r="AP42" s="69"/>
      <c r="AQ42" s="69"/>
      <c r="AR42" s="69"/>
      <c r="AS42" s="69"/>
      <c r="AT42" s="69"/>
      <c r="AU42" s="6"/>
      <c r="AV42" s="6"/>
      <c r="AW42" s="6">
        <f t="shared" si="7"/>
        <v>9020500</v>
      </c>
      <c r="AX42" s="6">
        <f t="shared" si="7"/>
        <v>13781000</v>
      </c>
      <c r="AY42" s="6">
        <f t="shared" si="7"/>
        <v>13493100</v>
      </c>
      <c r="AZ42" s="6">
        <f t="shared" si="7"/>
        <v>33193600</v>
      </c>
      <c r="BA42" s="6">
        <f t="shared" si="7"/>
        <v>0</v>
      </c>
      <c r="BC42" s="66">
        <f t="shared" ca="1" si="6"/>
        <v>69488200</v>
      </c>
    </row>
    <row r="43" spans="1:55" x14ac:dyDescent="0.3">
      <c r="A43" s="6" t="str">
        <f>IFERROR(VLOOKUP($F43,매장구분!$B:$K,2,0),"")</f>
        <v>파트너채널팀</v>
      </c>
      <c r="B43" s="6" t="str">
        <f>IFERROR(VLOOKUP($F43,매장구분!$B:$K,3,0),"")</f>
        <v>국내</v>
      </c>
      <c r="C43" s="6" t="str">
        <f>IFERROR(VLOOKUP($F43,매장구분!$B:$K,5,0),"")</f>
        <v>백화점</v>
      </c>
      <c r="D43" s="6" t="str">
        <f>IFERROR(VLOOKUP($F43,매장구분!$B:$Z,9,0),"")</f>
        <v>롯데동탄</v>
      </c>
      <c r="E43" s="69" t="s">
        <v>406</v>
      </c>
      <c r="F43" s="69" t="s">
        <v>407</v>
      </c>
      <c r="G43" s="69">
        <v>975</v>
      </c>
      <c r="H43" s="69">
        <v>83230200</v>
      </c>
      <c r="I43" s="69">
        <v>94048400</v>
      </c>
      <c r="J43" s="69">
        <v>1025</v>
      </c>
      <c r="K43" s="69">
        <v>90896000</v>
      </c>
      <c r="L43" s="69">
        <v>101937400</v>
      </c>
      <c r="M43" s="69">
        <v>-50</v>
      </c>
      <c r="N43" s="69">
        <v>-7665800</v>
      </c>
      <c r="O43" s="69">
        <v>-7889000</v>
      </c>
      <c r="P43" s="69">
        <v>6107900</v>
      </c>
      <c r="Q43" s="69">
        <v>3408500</v>
      </c>
      <c r="R43" s="69">
        <v>2586900</v>
      </c>
      <c r="S43" s="69">
        <v>1546000</v>
      </c>
      <c r="T43" s="69">
        <v>804500</v>
      </c>
      <c r="U43" s="69">
        <v>1491600</v>
      </c>
      <c r="V43" s="69">
        <v>1351000</v>
      </c>
      <c r="W43" s="69">
        <v>2846500</v>
      </c>
      <c r="X43" s="69">
        <v>6582200</v>
      </c>
      <c r="Y43" s="69">
        <v>0</v>
      </c>
      <c r="Z43" s="69">
        <v>460000</v>
      </c>
      <c r="AA43" s="69">
        <v>763800</v>
      </c>
      <c r="AB43" s="69">
        <v>1396300</v>
      </c>
      <c r="AC43" s="69">
        <v>1619200</v>
      </c>
      <c r="AD43" s="69">
        <v>3076600</v>
      </c>
      <c r="AE43" s="69">
        <v>2418900</v>
      </c>
      <c r="AF43" s="69">
        <v>696800</v>
      </c>
      <c r="AG43" s="69">
        <v>1031500</v>
      </c>
      <c r="AH43" s="69">
        <v>552500</v>
      </c>
      <c r="AI43" s="69">
        <v>1216300</v>
      </c>
      <c r="AJ43" s="69">
        <v>2119800</v>
      </c>
      <c r="AK43" s="69">
        <v>37042000</v>
      </c>
      <c r="AL43" s="69">
        <v>4111400</v>
      </c>
      <c r="AM43" s="69"/>
      <c r="AN43" s="69"/>
      <c r="AO43" s="69"/>
      <c r="AP43" s="69"/>
      <c r="AQ43" s="69"/>
      <c r="AR43" s="69"/>
      <c r="AS43" s="69"/>
      <c r="AT43" s="69"/>
      <c r="AU43" s="6"/>
      <c r="AV43" s="6"/>
      <c r="AW43" s="6">
        <f t="shared" ref="AW43:BA58" si="8">SUMIFS($P43:$AS43,$P$3:$AS$3,AW$3)</f>
        <v>9516400</v>
      </c>
      <c r="AX43" s="6">
        <f t="shared" si="8"/>
        <v>17208700</v>
      </c>
      <c r="AY43" s="6">
        <f t="shared" si="8"/>
        <v>9734800</v>
      </c>
      <c r="AZ43" s="6">
        <f t="shared" si="8"/>
        <v>46770300</v>
      </c>
      <c r="BA43" s="6">
        <f t="shared" si="8"/>
        <v>0</v>
      </c>
      <c r="BC43" s="66">
        <f t="shared" ca="1" si="6"/>
        <v>83230200</v>
      </c>
    </row>
    <row r="44" spans="1:55" x14ac:dyDescent="0.3">
      <c r="A44" s="6" t="str">
        <f>IFERROR(VLOOKUP($F44,매장구분!$B:$K,2,0),"")</f>
        <v>파트너채널팀</v>
      </c>
      <c r="B44" s="6" t="str">
        <f>IFERROR(VLOOKUP($F44,매장구분!$B:$K,3,0),"")</f>
        <v>국내</v>
      </c>
      <c r="C44" s="6" t="str">
        <f>IFERROR(VLOOKUP($F44,매장구분!$B:$K,5,0),"")</f>
        <v>백화점</v>
      </c>
      <c r="D44" s="6" t="str">
        <f>IFERROR(VLOOKUP($F44,매장구분!$B:$Z,9,0),"")</f>
        <v>에버세이브청주</v>
      </c>
      <c r="E44" s="69" t="s">
        <v>328</v>
      </c>
      <c r="F44" s="69" t="s">
        <v>329</v>
      </c>
      <c r="G44" s="69">
        <v>419</v>
      </c>
      <c r="H44" s="69">
        <v>43999700</v>
      </c>
      <c r="I44" s="69">
        <v>46846500</v>
      </c>
      <c r="J44" s="69">
        <v>481</v>
      </c>
      <c r="K44" s="69">
        <v>52980700</v>
      </c>
      <c r="L44" s="69">
        <v>55887500</v>
      </c>
      <c r="M44" s="69">
        <v>-62</v>
      </c>
      <c r="N44" s="69">
        <v>-8981000</v>
      </c>
      <c r="O44" s="69">
        <v>-9041000</v>
      </c>
      <c r="P44" s="69">
        <v>3164900</v>
      </c>
      <c r="Q44" s="69">
        <v>3670300</v>
      </c>
      <c r="R44" s="69">
        <v>2253600</v>
      </c>
      <c r="S44" s="69">
        <v>3211600</v>
      </c>
      <c r="T44" s="69">
        <v>1308400</v>
      </c>
      <c r="U44" s="69">
        <v>1147900</v>
      </c>
      <c r="V44" s="69">
        <v>1217200</v>
      </c>
      <c r="W44" s="69">
        <v>2587900</v>
      </c>
      <c r="X44" s="69">
        <v>2776000</v>
      </c>
      <c r="Y44" s="69">
        <v>567000</v>
      </c>
      <c r="Z44" s="69">
        <v>845000</v>
      </c>
      <c r="AA44" s="69">
        <v>661000</v>
      </c>
      <c r="AB44" s="69">
        <v>1985000</v>
      </c>
      <c r="AC44" s="69">
        <v>1547900</v>
      </c>
      <c r="AD44" s="69">
        <v>1831000</v>
      </c>
      <c r="AE44" s="69">
        <v>2878800</v>
      </c>
      <c r="AF44" s="69">
        <v>910300</v>
      </c>
      <c r="AG44" s="69">
        <v>1454000</v>
      </c>
      <c r="AH44" s="69">
        <v>1856900</v>
      </c>
      <c r="AI44" s="69">
        <v>1508000</v>
      </c>
      <c r="AJ44" s="69">
        <v>620800</v>
      </c>
      <c r="AK44" s="69">
        <v>3247000</v>
      </c>
      <c r="AL44" s="69">
        <v>2749200</v>
      </c>
      <c r="AM44" s="69"/>
      <c r="AN44" s="69"/>
      <c r="AO44" s="69"/>
      <c r="AP44" s="69"/>
      <c r="AQ44" s="69"/>
      <c r="AR44" s="69"/>
      <c r="AS44" s="69"/>
      <c r="AT44" s="69"/>
      <c r="AU44" s="6"/>
      <c r="AV44" s="6"/>
      <c r="AW44" s="6">
        <f t="shared" si="8"/>
        <v>6835200</v>
      </c>
      <c r="AX44" s="6">
        <f t="shared" si="8"/>
        <v>14502600</v>
      </c>
      <c r="AY44" s="6">
        <f t="shared" si="8"/>
        <v>10315700</v>
      </c>
      <c r="AZ44" s="6">
        <f t="shared" si="8"/>
        <v>12346200</v>
      </c>
      <c r="BA44" s="6">
        <f t="shared" si="8"/>
        <v>0</v>
      </c>
      <c r="BC44" s="66">
        <f t="shared" ca="1" si="6"/>
        <v>43999700</v>
      </c>
    </row>
    <row r="45" spans="1:55" x14ac:dyDescent="0.3">
      <c r="A45" s="6" t="str">
        <f>IFERROR(VLOOKUP($F45,매장구분!$B:$K,2,0),"")</f>
        <v>파트너채널팀</v>
      </c>
      <c r="B45" s="6" t="str">
        <f>IFERROR(VLOOKUP($F45,매장구분!$B:$K,3,0),"")</f>
        <v>국내</v>
      </c>
      <c r="C45" s="6" t="str">
        <f>IFERROR(VLOOKUP($F45,매장구분!$B:$K,5,0),"")</f>
        <v>백화점</v>
      </c>
      <c r="D45" s="6" t="str">
        <f>IFERROR(VLOOKUP($F45,매장구분!$B:$Z,9,0),"")</f>
        <v>엔터식스안양</v>
      </c>
      <c r="E45" s="69" t="s">
        <v>414</v>
      </c>
      <c r="F45" s="69" t="s">
        <v>415</v>
      </c>
      <c r="G45" s="69">
        <v>756</v>
      </c>
      <c r="H45" s="69">
        <v>58293600</v>
      </c>
      <c r="I45" s="69">
        <v>69870800</v>
      </c>
      <c r="J45" s="69">
        <v>934</v>
      </c>
      <c r="K45" s="69">
        <v>94087300</v>
      </c>
      <c r="L45" s="69">
        <v>106130800</v>
      </c>
      <c r="M45" s="69">
        <v>-178</v>
      </c>
      <c r="N45" s="69">
        <v>-35793700</v>
      </c>
      <c r="O45" s="69">
        <v>-36260000</v>
      </c>
      <c r="P45" s="69">
        <v>3122800</v>
      </c>
      <c r="Q45" s="69">
        <v>5147600</v>
      </c>
      <c r="R45" s="69">
        <v>1040800</v>
      </c>
      <c r="S45" s="69">
        <v>923800</v>
      </c>
      <c r="T45" s="69">
        <v>880200</v>
      </c>
      <c r="U45" s="69">
        <v>1319500</v>
      </c>
      <c r="V45" s="69">
        <v>1479500</v>
      </c>
      <c r="W45" s="69">
        <v>3174000</v>
      </c>
      <c r="X45" s="69">
        <v>2489000</v>
      </c>
      <c r="Y45" s="69">
        <v>2503400</v>
      </c>
      <c r="Z45" s="69">
        <v>2408700</v>
      </c>
      <c r="AA45" s="69">
        <v>1751200</v>
      </c>
      <c r="AB45" s="69">
        <v>3515800</v>
      </c>
      <c r="AC45" s="69">
        <v>1710800</v>
      </c>
      <c r="AD45" s="69">
        <v>3910100</v>
      </c>
      <c r="AE45" s="69">
        <v>4048500</v>
      </c>
      <c r="AF45" s="69">
        <v>2203800</v>
      </c>
      <c r="AG45" s="69">
        <v>3037600</v>
      </c>
      <c r="AH45" s="69">
        <v>2731900</v>
      </c>
      <c r="AI45" s="69">
        <v>1869000</v>
      </c>
      <c r="AJ45" s="69">
        <v>2846500</v>
      </c>
      <c r="AK45" s="69">
        <v>3547700</v>
      </c>
      <c r="AL45" s="69">
        <v>2631400</v>
      </c>
      <c r="AM45" s="69"/>
      <c r="AN45" s="69"/>
      <c r="AO45" s="69"/>
      <c r="AP45" s="69"/>
      <c r="AQ45" s="69"/>
      <c r="AR45" s="69"/>
      <c r="AS45" s="69"/>
      <c r="AT45" s="69"/>
      <c r="AU45" s="6"/>
      <c r="AV45" s="6"/>
      <c r="AW45" s="6">
        <f t="shared" si="8"/>
        <v>8270400</v>
      </c>
      <c r="AX45" s="6">
        <f t="shared" si="8"/>
        <v>11306800</v>
      </c>
      <c r="AY45" s="6">
        <f t="shared" si="8"/>
        <v>19848500</v>
      </c>
      <c r="AZ45" s="6">
        <f t="shared" si="8"/>
        <v>18867900</v>
      </c>
      <c r="BA45" s="6">
        <f t="shared" si="8"/>
        <v>0</v>
      </c>
      <c r="BC45" s="66">
        <f t="shared" ca="1" si="6"/>
        <v>58293600</v>
      </c>
    </row>
    <row r="46" spans="1:55" x14ac:dyDescent="0.3">
      <c r="A46" s="6" t="str">
        <f>IFERROR(VLOOKUP($F46,매장구분!$B:$K,2,0),"")</f>
        <v>파트너채널팀</v>
      </c>
      <c r="B46" s="6" t="str">
        <f>IFERROR(VLOOKUP($F46,매장구분!$B:$K,3,0),"")</f>
        <v>국내</v>
      </c>
      <c r="C46" s="6" t="str">
        <f>IFERROR(VLOOKUP($F46,매장구분!$B:$K,5,0),"")</f>
        <v>백화점</v>
      </c>
      <c r="D46" s="6" t="str">
        <f>IFERROR(VLOOKUP($F46,매장구분!$B:$Z,9,0),"")</f>
        <v>신세계영등포</v>
      </c>
      <c r="E46" s="69" t="s">
        <v>416</v>
      </c>
      <c r="F46" s="69" t="s">
        <v>417</v>
      </c>
      <c r="G46" s="69">
        <v>590</v>
      </c>
      <c r="H46" s="69">
        <v>60603800</v>
      </c>
      <c r="I46" s="69">
        <v>63776300</v>
      </c>
      <c r="J46" s="69">
        <v>618</v>
      </c>
      <c r="K46" s="69">
        <v>65182700</v>
      </c>
      <c r="L46" s="69">
        <v>68385200</v>
      </c>
      <c r="M46" s="69">
        <v>-28</v>
      </c>
      <c r="N46" s="69">
        <v>-4578900</v>
      </c>
      <c r="O46" s="69">
        <v>-4608900</v>
      </c>
      <c r="P46" s="69">
        <v>3583800</v>
      </c>
      <c r="Q46" s="69">
        <v>5735100</v>
      </c>
      <c r="R46" s="69">
        <v>1882000</v>
      </c>
      <c r="S46" s="69">
        <v>684000</v>
      </c>
      <c r="T46" s="69">
        <v>394000</v>
      </c>
      <c r="U46" s="69">
        <v>585000</v>
      </c>
      <c r="V46" s="69">
        <v>7827900</v>
      </c>
      <c r="W46" s="69">
        <v>15241000</v>
      </c>
      <c r="X46" s="69">
        <v>2369000</v>
      </c>
      <c r="Y46" s="69">
        <v>874000</v>
      </c>
      <c r="Z46" s="69">
        <v>1953900</v>
      </c>
      <c r="AA46" s="69">
        <v>296000</v>
      </c>
      <c r="AB46" s="69">
        <v>698000</v>
      </c>
      <c r="AC46" s="69">
        <v>1778000</v>
      </c>
      <c r="AD46" s="69">
        <v>2548900</v>
      </c>
      <c r="AE46" s="69">
        <v>2321100</v>
      </c>
      <c r="AF46" s="69">
        <v>236000</v>
      </c>
      <c r="AG46" s="69">
        <v>590100</v>
      </c>
      <c r="AH46" s="69">
        <v>1173900</v>
      </c>
      <c r="AI46" s="69">
        <v>1003100</v>
      </c>
      <c r="AJ46" s="69">
        <v>2855000</v>
      </c>
      <c r="AK46" s="69">
        <v>2212000</v>
      </c>
      <c r="AL46" s="69">
        <v>3762000</v>
      </c>
      <c r="AM46" s="69"/>
      <c r="AN46" s="69"/>
      <c r="AO46" s="69"/>
      <c r="AP46" s="69"/>
      <c r="AQ46" s="69"/>
      <c r="AR46" s="69"/>
      <c r="AS46" s="69"/>
      <c r="AT46" s="69"/>
      <c r="AU46" s="6"/>
      <c r="AV46" s="6"/>
      <c r="AW46" s="6">
        <f t="shared" si="8"/>
        <v>9318900</v>
      </c>
      <c r="AX46" s="6">
        <f t="shared" si="8"/>
        <v>28982900</v>
      </c>
      <c r="AY46" s="6">
        <f t="shared" si="8"/>
        <v>10469900</v>
      </c>
      <c r="AZ46" s="6">
        <f t="shared" si="8"/>
        <v>11832100</v>
      </c>
      <c r="BA46" s="6">
        <f t="shared" si="8"/>
        <v>0</v>
      </c>
      <c r="BC46" s="66">
        <f t="shared" ca="1" si="6"/>
        <v>60603800</v>
      </c>
    </row>
    <row r="47" spans="1:55" x14ac:dyDescent="0.3">
      <c r="A47" s="6" t="str">
        <f>IFERROR(VLOOKUP($F47,매장구분!$B:$K,2,0),"")</f>
        <v>파트너채널팀</v>
      </c>
      <c r="B47" s="6" t="str">
        <f>IFERROR(VLOOKUP($F47,매장구분!$B:$K,3,0),"")</f>
        <v>국내</v>
      </c>
      <c r="C47" s="6" t="str">
        <f>IFERROR(VLOOKUP($F47,매장구분!$B:$K,5,0),"")</f>
        <v>백화점</v>
      </c>
      <c r="D47" s="6" t="str">
        <f>IFERROR(VLOOKUP($F47,매장구분!$B:$Z,9,0),"")</f>
        <v>모다아울렛대전</v>
      </c>
      <c r="E47" s="69" t="s">
        <v>236</v>
      </c>
      <c r="F47" s="69" t="s">
        <v>571</v>
      </c>
      <c r="G47" s="69">
        <v>241</v>
      </c>
      <c r="H47" s="69">
        <v>25182100</v>
      </c>
      <c r="I47" s="69">
        <v>26847800</v>
      </c>
      <c r="J47" s="69">
        <v>284</v>
      </c>
      <c r="K47" s="69">
        <v>29683100</v>
      </c>
      <c r="L47" s="69">
        <v>31368800</v>
      </c>
      <c r="M47" s="69">
        <v>-43</v>
      </c>
      <c r="N47" s="69">
        <v>-4501000</v>
      </c>
      <c r="O47" s="69">
        <v>-4521000</v>
      </c>
      <c r="P47" s="69">
        <v>2831000</v>
      </c>
      <c r="Q47" s="69">
        <v>6503800</v>
      </c>
      <c r="R47" s="69">
        <v>556000</v>
      </c>
      <c r="S47" s="69">
        <v>1171300</v>
      </c>
      <c r="T47" s="69">
        <v>756000</v>
      </c>
      <c r="U47" s="69">
        <v>1110000</v>
      </c>
      <c r="V47" s="69">
        <v>666000</v>
      </c>
      <c r="W47" s="69">
        <v>3962000</v>
      </c>
      <c r="X47" s="69">
        <v>2213000</v>
      </c>
      <c r="Y47" s="69">
        <v>5413000</v>
      </c>
      <c r="Z47" s="69">
        <v>0</v>
      </c>
      <c r="AA47" s="69">
        <v>0</v>
      </c>
      <c r="AB47" s="69">
        <v>0</v>
      </c>
      <c r="AC47" s="69">
        <v>0</v>
      </c>
      <c r="AD47" s="69">
        <v>0</v>
      </c>
      <c r="AE47" s="69">
        <v>0</v>
      </c>
      <c r="AF47" s="69">
        <v>0</v>
      </c>
      <c r="AG47" s="69">
        <v>0</v>
      </c>
      <c r="AH47" s="69">
        <v>0</v>
      </c>
      <c r="AI47" s="69">
        <v>0</v>
      </c>
      <c r="AJ47" s="69">
        <v>0</v>
      </c>
      <c r="AK47" s="69">
        <v>0</v>
      </c>
      <c r="AL47" s="69">
        <v>0</v>
      </c>
      <c r="AM47" s="69"/>
      <c r="AN47" s="69"/>
      <c r="AO47" s="69"/>
      <c r="AP47" s="69"/>
      <c r="AQ47" s="69"/>
      <c r="AR47" s="69"/>
      <c r="AS47" s="69"/>
      <c r="AT47" s="69"/>
      <c r="AU47" s="6"/>
      <c r="AV47" s="6"/>
      <c r="AW47" s="6">
        <f t="shared" si="8"/>
        <v>9334800</v>
      </c>
      <c r="AX47" s="6">
        <f t="shared" si="8"/>
        <v>10434300</v>
      </c>
      <c r="AY47" s="6">
        <f t="shared" si="8"/>
        <v>5413000</v>
      </c>
      <c r="AZ47" s="6">
        <f t="shared" si="8"/>
        <v>0</v>
      </c>
      <c r="BA47" s="6">
        <f t="shared" si="8"/>
        <v>0</v>
      </c>
      <c r="BC47" s="66">
        <f t="shared" ca="1" si="6"/>
        <v>25182100</v>
      </c>
    </row>
    <row r="48" spans="1:55" x14ac:dyDescent="0.3">
      <c r="A48" s="6" t="str">
        <f>IFERROR(VLOOKUP($F48,매장구분!$B:$K,2,0),"")</f>
        <v>파트너채널팀</v>
      </c>
      <c r="B48" s="6" t="str">
        <f>IFERROR(VLOOKUP($F48,매장구분!$B:$K,3,0),"")</f>
        <v>국내</v>
      </c>
      <c r="C48" s="6" t="str">
        <f>IFERROR(VLOOKUP($F48,매장구분!$B:$K,5,0),"")</f>
        <v>백화점</v>
      </c>
      <c r="D48" s="6" t="str">
        <f>IFERROR(VLOOKUP($F48,매장구분!$B:$Z,9,0),"")</f>
        <v>모다아울렛천안</v>
      </c>
      <c r="E48" s="69" t="s">
        <v>267</v>
      </c>
      <c r="F48" s="69" t="s">
        <v>268</v>
      </c>
      <c r="G48" s="69">
        <v>484</v>
      </c>
      <c r="H48" s="69">
        <v>55912400</v>
      </c>
      <c r="I48" s="69">
        <v>60501500</v>
      </c>
      <c r="J48" s="69">
        <v>513</v>
      </c>
      <c r="K48" s="69">
        <v>61605400</v>
      </c>
      <c r="L48" s="69">
        <v>66633500</v>
      </c>
      <c r="M48" s="69">
        <v>-29</v>
      </c>
      <c r="N48" s="69">
        <v>-5693000</v>
      </c>
      <c r="O48" s="69">
        <v>-6132000</v>
      </c>
      <c r="P48" s="69">
        <v>4168400</v>
      </c>
      <c r="Q48" s="69">
        <v>2529000</v>
      </c>
      <c r="R48" s="69">
        <v>2996300</v>
      </c>
      <c r="S48" s="69">
        <v>1103300</v>
      </c>
      <c r="T48" s="69">
        <v>564300</v>
      </c>
      <c r="U48" s="69">
        <v>1127500</v>
      </c>
      <c r="V48" s="69">
        <v>488000</v>
      </c>
      <c r="W48" s="69">
        <v>4844800</v>
      </c>
      <c r="X48" s="69">
        <v>3853600</v>
      </c>
      <c r="Y48" s="69">
        <v>614000</v>
      </c>
      <c r="Z48" s="69">
        <v>668000</v>
      </c>
      <c r="AA48" s="69">
        <v>1544000</v>
      </c>
      <c r="AB48" s="69">
        <v>1288000</v>
      </c>
      <c r="AC48" s="69">
        <v>914000</v>
      </c>
      <c r="AD48" s="69">
        <v>3177600</v>
      </c>
      <c r="AE48" s="69">
        <v>3423200</v>
      </c>
      <c r="AF48" s="69">
        <v>1569500</v>
      </c>
      <c r="AG48" s="69">
        <v>1824000</v>
      </c>
      <c r="AH48" s="69">
        <v>2885500</v>
      </c>
      <c r="AI48" s="69">
        <v>3090500</v>
      </c>
      <c r="AJ48" s="69">
        <v>2820000</v>
      </c>
      <c r="AK48" s="69">
        <v>4027000</v>
      </c>
      <c r="AL48" s="69">
        <v>6391900</v>
      </c>
      <c r="AM48" s="69"/>
      <c r="AN48" s="69"/>
      <c r="AO48" s="69"/>
      <c r="AP48" s="69"/>
      <c r="AQ48" s="69"/>
      <c r="AR48" s="69"/>
      <c r="AS48" s="69"/>
      <c r="AT48" s="69"/>
      <c r="AU48" s="6"/>
      <c r="AV48" s="6"/>
      <c r="AW48" s="6">
        <f t="shared" si="8"/>
        <v>6697400</v>
      </c>
      <c r="AX48" s="6">
        <f t="shared" si="8"/>
        <v>14977800</v>
      </c>
      <c r="AY48" s="6">
        <f t="shared" si="8"/>
        <v>11628800</v>
      </c>
      <c r="AZ48" s="6">
        <f t="shared" si="8"/>
        <v>22608400</v>
      </c>
      <c r="BA48" s="6">
        <f t="shared" si="8"/>
        <v>0</v>
      </c>
      <c r="BC48" s="66">
        <f t="shared" ca="1" si="6"/>
        <v>55912400</v>
      </c>
    </row>
    <row r="49" spans="1:55" x14ac:dyDescent="0.3">
      <c r="A49" s="6" t="str">
        <f>IFERROR(VLOOKUP($F49,매장구분!$B:$K,2,0),"")</f>
        <v>파트너채널팀</v>
      </c>
      <c r="B49" s="6" t="str">
        <f>IFERROR(VLOOKUP($F49,매장구분!$B:$K,3,0),"")</f>
        <v>국내</v>
      </c>
      <c r="C49" s="6" t="str">
        <f>IFERROR(VLOOKUP($F49,매장구분!$B:$K,5,0),"")</f>
        <v>백화점</v>
      </c>
      <c r="D49" s="6" t="str">
        <f>IFERROR(VLOOKUP($F49,매장구분!$B:$Z,9,0),"")</f>
        <v>신세계광주</v>
      </c>
      <c r="E49" s="69" t="s">
        <v>504</v>
      </c>
      <c r="F49" s="69" t="s">
        <v>505</v>
      </c>
      <c r="G49" s="69">
        <v>658</v>
      </c>
      <c r="H49" s="69">
        <v>63531200</v>
      </c>
      <c r="I49" s="69">
        <v>68024300</v>
      </c>
      <c r="J49" s="69">
        <v>719</v>
      </c>
      <c r="K49" s="69">
        <v>71752200</v>
      </c>
      <c r="L49" s="69">
        <v>76265300</v>
      </c>
      <c r="M49" s="69">
        <v>-61</v>
      </c>
      <c r="N49" s="69">
        <v>-8221000</v>
      </c>
      <c r="O49" s="69">
        <v>-8241000</v>
      </c>
      <c r="P49" s="69">
        <v>3544000</v>
      </c>
      <c r="Q49" s="69">
        <v>6073000</v>
      </c>
      <c r="R49" s="69">
        <v>1534900</v>
      </c>
      <c r="S49" s="69">
        <v>1076000</v>
      </c>
      <c r="T49" s="69">
        <v>2568000</v>
      </c>
      <c r="U49" s="69">
        <v>1978300</v>
      </c>
      <c r="V49" s="69">
        <v>2448000</v>
      </c>
      <c r="W49" s="69">
        <v>3493000</v>
      </c>
      <c r="X49" s="69">
        <v>3518800</v>
      </c>
      <c r="Y49" s="69">
        <v>1379000</v>
      </c>
      <c r="Z49" s="69">
        <v>2190300</v>
      </c>
      <c r="AA49" s="69">
        <v>1537000</v>
      </c>
      <c r="AB49" s="69">
        <v>3374000</v>
      </c>
      <c r="AC49" s="69">
        <v>2632900</v>
      </c>
      <c r="AD49" s="69">
        <v>5344300</v>
      </c>
      <c r="AE49" s="69">
        <v>4852000</v>
      </c>
      <c r="AF49" s="69">
        <v>1685000</v>
      </c>
      <c r="AG49" s="69">
        <v>711000</v>
      </c>
      <c r="AH49" s="69">
        <v>1088000</v>
      </c>
      <c r="AI49" s="69">
        <v>1748000</v>
      </c>
      <c r="AJ49" s="69">
        <v>1048000</v>
      </c>
      <c r="AK49" s="69">
        <v>6562900</v>
      </c>
      <c r="AL49" s="69">
        <v>3144800</v>
      </c>
      <c r="AM49" s="69"/>
      <c r="AN49" s="69"/>
      <c r="AO49" s="69"/>
      <c r="AP49" s="69"/>
      <c r="AQ49" s="69"/>
      <c r="AR49" s="69"/>
      <c r="AS49" s="69"/>
      <c r="AT49" s="69"/>
      <c r="AU49" s="6"/>
      <c r="AV49" s="6"/>
      <c r="AW49" s="6">
        <f t="shared" si="8"/>
        <v>9617000</v>
      </c>
      <c r="AX49" s="6">
        <f t="shared" si="8"/>
        <v>16617000</v>
      </c>
      <c r="AY49" s="6">
        <f t="shared" si="8"/>
        <v>21309500</v>
      </c>
      <c r="AZ49" s="6">
        <f t="shared" si="8"/>
        <v>15987700</v>
      </c>
      <c r="BA49" s="6">
        <f t="shared" si="8"/>
        <v>0</v>
      </c>
      <c r="BC49" s="66">
        <f t="shared" ca="1" si="6"/>
        <v>63531200</v>
      </c>
    </row>
    <row r="50" spans="1:55" x14ac:dyDescent="0.3">
      <c r="A50" s="6" t="str">
        <f>IFERROR(VLOOKUP($F50,매장구분!$B:$K,2,0),"")</f>
        <v>파트너채널팀</v>
      </c>
      <c r="B50" s="6" t="str">
        <f>IFERROR(VLOOKUP($F50,매장구분!$B:$K,3,0),"")</f>
        <v>국내</v>
      </c>
      <c r="C50" s="6" t="str">
        <f>IFERROR(VLOOKUP($F50,매장구분!$B:$K,5,0),"")</f>
        <v>백화점</v>
      </c>
      <c r="D50" s="6" t="str">
        <f>IFERROR(VLOOKUP($F50,매장구분!$B:$Z,9,0),"")</f>
        <v>롯데광주</v>
      </c>
      <c r="E50" s="69" t="s">
        <v>404</v>
      </c>
      <c r="F50" s="69" t="s">
        <v>405</v>
      </c>
      <c r="G50" s="69">
        <v>456</v>
      </c>
      <c r="H50" s="69">
        <v>47971530</v>
      </c>
      <c r="I50" s="69">
        <v>51906400</v>
      </c>
      <c r="J50" s="69">
        <v>486</v>
      </c>
      <c r="K50" s="69">
        <v>52671530</v>
      </c>
      <c r="L50" s="69">
        <v>56686400</v>
      </c>
      <c r="M50" s="69">
        <v>-30</v>
      </c>
      <c r="N50" s="69">
        <v>-4700000</v>
      </c>
      <c r="O50" s="69">
        <v>-4780000</v>
      </c>
      <c r="P50" s="69">
        <v>5140010</v>
      </c>
      <c r="Q50" s="69">
        <v>2524300</v>
      </c>
      <c r="R50" s="69">
        <v>0</v>
      </c>
      <c r="S50" s="69">
        <v>1284300</v>
      </c>
      <c r="T50" s="69">
        <v>1929900</v>
      </c>
      <c r="U50" s="69">
        <v>1164900</v>
      </c>
      <c r="V50" s="69">
        <v>4938000</v>
      </c>
      <c r="W50" s="69">
        <v>2998410</v>
      </c>
      <c r="X50" s="69">
        <v>4111810</v>
      </c>
      <c r="Y50" s="69">
        <v>1601900</v>
      </c>
      <c r="Z50" s="69">
        <v>506000</v>
      </c>
      <c r="AA50" s="69">
        <v>1302000</v>
      </c>
      <c r="AB50" s="69">
        <v>1318000</v>
      </c>
      <c r="AC50" s="69">
        <v>1308900</v>
      </c>
      <c r="AD50" s="69">
        <v>3926100</v>
      </c>
      <c r="AE50" s="69">
        <v>2253000</v>
      </c>
      <c r="AF50" s="69">
        <v>776000</v>
      </c>
      <c r="AG50" s="69">
        <v>605000</v>
      </c>
      <c r="AH50" s="69">
        <v>315000</v>
      </c>
      <c r="AI50" s="69">
        <v>403000</v>
      </c>
      <c r="AJ50" s="69">
        <v>4377000</v>
      </c>
      <c r="AK50" s="69">
        <v>2488000</v>
      </c>
      <c r="AL50" s="69">
        <v>2700000</v>
      </c>
      <c r="AM50" s="69"/>
      <c r="AN50" s="69"/>
      <c r="AO50" s="69"/>
      <c r="AP50" s="69"/>
      <c r="AQ50" s="69"/>
      <c r="AR50" s="69"/>
      <c r="AS50" s="69"/>
      <c r="AT50" s="69"/>
      <c r="AU50" s="6"/>
      <c r="AV50" s="6"/>
      <c r="AW50" s="6">
        <f t="shared" si="8"/>
        <v>7664310</v>
      </c>
      <c r="AX50" s="6">
        <f t="shared" si="8"/>
        <v>16427320</v>
      </c>
      <c r="AY50" s="6">
        <f t="shared" si="8"/>
        <v>12215900</v>
      </c>
      <c r="AZ50" s="6">
        <f t="shared" si="8"/>
        <v>11664000</v>
      </c>
      <c r="BA50" s="6">
        <f t="shared" si="8"/>
        <v>0</v>
      </c>
      <c r="BC50" s="66">
        <f t="shared" ca="1" si="6"/>
        <v>47971530</v>
      </c>
    </row>
    <row r="51" spans="1:55" x14ac:dyDescent="0.3">
      <c r="A51" s="6" t="str">
        <f>IFERROR(VLOOKUP($F51,매장구분!$B:$K,2,0),"")</f>
        <v>파트너채널팀</v>
      </c>
      <c r="B51" s="6" t="str">
        <f>IFERROR(VLOOKUP($F51,매장구분!$B:$K,3,0),"")</f>
        <v>국내</v>
      </c>
      <c r="C51" s="6" t="str">
        <f>IFERROR(VLOOKUP($F51,매장구분!$B:$K,5,0),"")</f>
        <v>백화점</v>
      </c>
      <c r="D51" s="6" t="str">
        <f>IFERROR(VLOOKUP($F51,매장구분!$B:$Z,9,0),"")</f>
        <v>현대천호</v>
      </c>
      <c r="E51" s="69" t="s">
        <v>305</v>
      </c>
      <c r="F51" s="69" t="s">
        <v>306</v>
      </c>
      <c r="G51" s="69">
        <v>437</v>
      </c>
      <c r="H51" s="69">
        <v>41441600</v>
      </c>
      <c r="I51" s="69">
        <v>43571900</v>
      </c>
      <c r="J51" s="69">
        <v>495</v>
      </c>
      <c r="K51" s="69">
        <v>48418900</v>
      </c>
      <c r="L51" s="69">
        <v>50772200</v>
      </c>
      <c r="M51" s="69">
        <v>-58</v>
      </c>
      <c r="N51" s="69">
        <v>-6977300</v>
      </c>
      <c r="O51" s="69">
        <v>-7200300</v>
      </c>
      <c r="P51" s="69">
        <v>2338000</v>
      </c>
      <c r="Q51" s="69">
        <v>3866000</v>
      </c>
      <c r="R51" s="69">
        <v>1959500</v>
      </c>
      <c r="S51" s="69">
        <v>1579000</v>
      </c>
      <c r="T51" s="69">
        <v>909600</v>
      </c>
      <c r="U51" s="69">
        <v>733000</v>
      </c>
      <c r="V51" s="69">
        <v>1770000</v>
      </c>
      <c r="W51" s="69">
        <v>1420000</v>
      </c>
      <c r="X51" s="69">
        <v>1847100</v>
      </c>
      <c r="Y51" s="69">
        <v>0</v>
      </c>
      <c r="Z51" s="69">
        <v>1766000</v>
      </c>
      <c r="AA51" s="69">
        <v>1811000</v>
      </c>
      <c r="AB51" s="69">
        <v>1191000</v>
      </c>
      <c r="AC51" s="69">
        <v>1321800</v>
      </c>
      <c r="AD51" s="69">
        <v>2363000</v>
      </c>
      <c r="AE51" s="69">
        <v>2802200</v>
      </c>
      <c r="AF51" s="69">
        <v>999000</v>
      </c>
      <c r="AG51" s="69">
        <v>1745000</v>
      </c>
      <c r="AH51" s="69">
        <v>2427000</v>
      </c>
      <c r="AI51" s="69">
        <v>1910000</v>
      </c>
      <c r="AJ51" s="69">
        <v>743900</v>
      </c>
      <c r="AK51" s="69">
        <v>3413500</v>
      </c>
      <c r="AL51" s="69">
        <v>2526000</v>
      </c>
      <c r="AM51" s="69"/>
      <c r="AN51" s="69"/>
      <c r="AO51" s="69"/>
      <c r="AP51" s="69"/>
      <c r="AQ51" s="69"/>
      <c r="AR51" s="69"/>
      <c r="AS51" s="69"/>
      <c r="AT51" s="69"/>
      <c r="AU51" s="6"/>
      <c r="AV51" s="6"/>
      <c r="AW51" s="6">
        <f t="shared" si="8"/>
        <v>6204000</v>
      </c>
      <c r="AX51" s="6">
        <f t="shared" si="8"/>
        <v>10218200</v>
      </c>
      <c r="AY51" s="6">
        <f t="shared" si="8"/>
        <v>11255000</v>
      </c>
      <c r="AZ51" s="6">
        <f t="shared" si="8"/>
        <v>13764400</v>
      </c>
      <c r="BA51" s="6">
        <f t="shared" si="8"/>
        <v>0</v>
      </c>
      <c r="BC51" s="66">
        <f t="shared" ca="1" si="6"/>
        <v>41441600</v>
      </c>
    </row>
    <row r="52" spans="1:55" x14ac:dyDescent="0.3">
      <c r="A52" s="6" t="str">
        <f>IFERROR(VLOOKUP($F52,매장구분!$B:$K,2,0),"")</f>
        <v>파트너채널팀</v>
      </c>
      <c r="B52" s="6" t="str">
        <f>IFERROR(VLOOKUP($F52,매장구분!$B:$K,3,0),"")</f>
        <v>국내</v>
      </c>
      <c r="C52" s="6" t="str">
        <f>IFERROR(VLOOKUP($F52,매장구분!$B:$K,5,0),"")</f>
        <v>백화점</v>
      </c>
      <c r="D52" s="6" t="str">
        <f>IFERROR(VLOOKUP($F52,매장구분!$B:$Z,9,0),"")</f>
        <v>롯데잠실</v>
      </c>
      <c r="E52" s="69" t="s">
        <v>247</v>
      </c>
      <c r="F52" s="69" t="s">
        <v>248</v>
      </c>
      <c r="G52" s="69">
        <v>2169</v>
      </c>
      <c r="H52" s="69">
        <v>273197500</v>
      </c>
      <c r="I52" s="69">
        <v>289316500</v>
      </c>
      <c r="J52" s="69">
        <v>2249</v>
      </c>
      <c r="K52" s="69">
        <v>284471500</v>
      </c>
      <c r="L52" s="69">
        <v>301146400</v>
      </c>
      <c r="M52" s="69">
        <v>-80</v>
      </c>
      <c r="N52" s="69">
        <v>-11274000</v>
      </c>
      <c r="O52" s="69">
        <v>-11829900</v>
      </c>
      <c r="P52" s="69">
        <v>5390000</v>
      </c>
      <c r="Q52" s="69">
        <v>33529800</v>
      </c>
      <c r="R52" s="69">
        <v>4920200</v>
      </c>
      <c r="S52" s="69">
        <v>2916900</v>
      </c>
      <c r="T52" s="69">
        <v>8749900</v>
      </c>
      <c r="U52" s="69">
        <v>1909600</v>
      </c>
      <c r="V52" s="69">
        <v>1467300</v>
      </c>
      <c r="W52" s="69">
        <v>2609000</v>
      </c>
      <c r="X52" s="69">
        <v>84771600</v>
      </c>
      <c r="Y52" s="69">
        <v>0</v>
      </c>
      <c r="Z52" s="69">
        <v>2279000</v>
      </c>
      <c r="AA52" s="69">
        <v>27780800</v>
      </c>
      <c r="AB52" s="69">
        <v>3296300</v>
      </c>
      <c r="AC52" s="69">
        <v>4286200</v>
      </c>
      <c r="AD52" s="69">
        <v>3782600</v>
      </c>
      <c r="AE52" s="69">
        <v>21728800</v>
      </c>
      <c r="AF52" s="69">
        <v>2335400</v>
      </c>
      <c r="AG52" s="69">
        <v>2606700</v>
      </c>
      <c r="AH52" s="69">
        <v>6121300</v>
      </c>
      <c r="AI52" s="69">
        <v>7716100</v>
      </c>
      <c r="AJ52" s="69">
        <v>6964600</v>
      </c>
      <c r="AK52" s="69">
        <v>3131000</v>
      </c>
      <c r="AL52" s="69">
        <v>34904400</v>
      </c>
      <c r="AM52" s="69"/>
      <c r="AN52" s="69"/>
      <c r="AO52" s="69"/>
      <c r="AP52" s="69"/>
      <c r="AQ52" s="69"/>
      <c r="AR52" s="69"/>
      <c r="AS52" s="69"/>
      <c r="AT52" s="69"/>
      <c r="AU52" s="6"/>
      <c r="AV52" s="6"/>
      <c r="AW52" s="6">
        <f t="shared" si="8"/>
        <v>38919800</v>
      </c>
      <c r="AX52" s="6">
        <f t="shared" si="8"/>
        <v>107344500</v>
      </c>
      <c r="AY52" s="6">
        <f t="shared" si="8"/>
        <v>63153700</v>
      </c>
      <c r="AZ52" s="6">
        <f t="shared" si="8"/>
        <v>63779500</v>
      </c>
      <c r="BA52" s="6">
        <f t="shared" si="8"/>
        <v>0</v>
      </c>
      <c r="BC52" s="66">
        <f t="shared" ca="1" si="6"/>
        <v>273197500</v>
      </c>
    </row>
    <row r="53" spans="1:55" x14ac:dyDescent="0.3">
      <c r="A53" s="6" t="str">
        <f>IFERROR(VLOOKUP($F53,매장구분!$B:$K,2,0),"")</f>
        <v>파트너채널팀</v>
      </c>
      <c r="B53" s="6" t="str">
        <f>IFERROR(VLOOKUP($F53,매장구분!$B:$K,3,0),"")</f>
        <v>국내</v>
      </c>
      <c r="C53" s="6" t="str">
        <f>IFERROR(VLOOKUP($F53,매장구분!$B:$K,5,0),"")</f>
        <v>백화점</v>
      </c>
      <c r="D53" s="6" t="str">
        <f>IFERROR(VLOOKUP($F53,매장구분!$B:$Z,9,0),"")</f>
        <v>롯데부산</v>
      </c>
      <c r="E53" s="69" t="s">
        <v>452</v>
      </c>
      <c r="F53" s="69" t="s">
        <v>453</v>
      </c>
      <c r="G53" s="69">
        <v>3208</v>
      </c>
      <c r="H53" s="69">
        <v>262558200</v>
      </c>
      <c r="I53" s="69">
        <v>284577800</v>
      </c>
      <c r="J53" s="69">
        <v>3331</v>
      </c>
      <c r="K53" s="69">
        <v>278929900</v>
      </c>
      <c r="L53" s="69">
        <v>302763800</v>
      </c>
      <c r="M53" s="69">
        <v>-123</v>
      </c>
      <c r="N53" s="69">
        <v>-16371700</v>
      </c>
      <c r="O53" s="69">
        <v>-18186000</v>
      </c>
      <c r="P53" s="69">
        <v>6207900</v>
      </c>
      <c r="Q53" s="69">
        <v>61941300</v>
      </c>
      <c r="R53" s="69">
        <v>5508200</v>
      </c>
      <c r="S53" s="69">
        <v>2064800</v>
      </c>
      <c r="T53" s="69">
        <v>13726500</v>
      </c>
      <c r="U53" s="69">
        <v>4638900</v>
      </c>
      <c r="V53" s="69">
        <v>3709500</v>
      </c>
      <c r="W53" s="69">
        <v>6989900</v>
      </c>
      <c r="X53" s="69">
        <v>45086500</v>
      </c>
      <c r="Y53" s="69">
        <v>0</v>
      </c>
      <c r="Z53" s="69">
        <v>3370500</v>
      </c>
      <c r="AA53" s="69">
        <v>10108300</v>
      </c>
      <c r="AB53" s="69">
        <v>1772200</v>
      </c>
      <c r="AC53" s="69">
        <v>3685300</v>
      </c>
      <c r="AD53" s="69">
        <v>12593900</v>
      </c>
      <c r="AE53" s="69">
        <v>38963700</v>
      </c>
      <c r="AF53" s="69">
        <v>3230700</v>
      </c>
      <c r="AG53" s="69">
        <v>2043600</v>
      </c>
      <c r="AH53" s="69">
        <v>2301900</v>
      </c>
      <c r="AI53" s="69">
        <v>3298300</v>
      </c>
      <c r="AJ53" s="69">
        <v>17760000</v>
      </c>
      <c r="AK53" s="69">
        <v>6849100</v>
      </c>
      <c r="AL53" s="69">
        <v>6707200</v>
      </c>
      <c r="AM53" s="69"/>
      <c r="AN53" s="69"/>
      <c r="AO53" s="69"/>
      <c r="AP53" s="69"/>
      <c r="AQ53" s="69"/>
      <c r="AR53" s="69"/>
      <c r="AS53" s="69"/>
      <c r="AT53" s="69"/>
      <c r="AU53" s="6"/>
      <c r="AV53" s="6"/>
      <c r="AW53" s="6">
        <f t="shared" si="8"/>
        <v>68149200</v>
      </c>
      <c r="AX53" s="6">
        <f t="shared" si="8"/>
        <v>81724300</v>
      </c>
      <c r="AY53" s="6">
        <f t="shared" si="8"/>
        <v>70493900</v>
      </c>
      <c r="AZ53" s="6">
        <f t="shared" si="8"/>
        <v>42190800</v>
      </c>
      <c r="BA53" s="6">
        <f t="shared" si="8"/>
        <v>0</v>
      </c>
      <c r="BC53" s="66">
        <f t="shared" ca="1" si="6"/>
        <v>262558200</v>
      </c>
    </row>
    <row r="54" spans="1:55" x14ac:dyDescent="0.3">
      <c r="A54" s="6" t="str">
        <f>IFERROR(VLOOKUP($F54,매장구분!$B:$K,2,0),"")</f>
        <v>파트너채널팀</v>
      </c>
      <c r="B54" s="6" t="str">
        <f>IFERROR(VLOOKUP($F54,매장구분!$B:$K,3,0),"")</f>
        <v>국내</v>
      </c>
      <c r="C54" s="6" t="str">
        <f>IFERROR(VLOOKUP($F54,매장구분!$B:$K,5,0),"")</f>
        <v>백화점</v>
      </c>
      <c r="D54" s="6" t="str">
        <f>IFERROR(VLOOKUP($F54,매장구분!$B:$Z,9,0),"")</f>
        <v>롯데대전</v>
      </c>
      <c r="E54" s="69" t="s">
        <v>476</v>
      </c>
      <c r="F54" s="69" t="s">
        <v>477</v>
      </c>
      <c r="G54" s="69">
        <v>507</v>
      </c>
      <c r="H54" s="69">
        <v>57084000</v>
      </c>
      <c r="I54" s="69">
        <v>61811800</v>
      </c>
      <c r="J54" s="69">
        <v>726</v>
      </c>
      <c r="K54" s="69">
        <v>96257400</v>
      </c>
      <c r="L54" s="69">
        <v>101330800</v>
      </c>
      <c r="M54" s="69">
        <v>-219</v>
      </c>
      <c r="N54" s="69">
        <v>-39173400</v>
      </c>
      <c r="O54" s="69">
        <v>-39519000</v>
      </c>
      <c r="P54" s="69">
        <v>3658000</v>
      </c>
      <c r="Q54" s="69">
        <v>1991300</v>
      </c>
      <c r="R54" s="69">
        <v>883000</v>
      </c>
      <c r="S54" s="69">
        <v>1280300</v>
      </c>
      <c r="T54" s="69">
        <v>1502800</v>
      </c>
      <c r="U54" s="69">
        <v>673000</v>
      </c>
      <c r="V54" s="69">
        <v>7910000</v>
      </c>
      <c r="W54" s="69">
        <v>867000</v>
      </c>
      <c r="X54" s="69">
        <v>1739900</v>
      </c>
      <c r="Y54" s="69">
        <v>1567600</v>
      </c>
      <c r="Z54" s="69">
        <v>2828300</v>
      </c>
      <c r="AA54" s="69">
        <v>4500000</v>
      </c>
      <c r="AB54" s="69">
        <v>5515000</v>
      </c>
      <c r="AC54" s="69">
        <v>2731000</v>
      </c>
      <c r="AD54" s="69">
        <v>3790000</v>
      </c>
      <c r="AE54" s="69">
        <v>4442000</v>
      </c>
      <c r="AF54" s="69">
        <v>2300000</v>
      </c>
      <c r="AG54" s="69">
        <v>1419000</v>
      </c>
      <c r="AH54" s="69">
        <v>311000</v>
      </c>
      <c r="AI54" s="69">
        <v>1439300</v>
      </c>
      <c r="AJ54" s="69">
        <v>2038600</v>
      </c>
      <c r="AK54" s="69">
        <v>1762900</v>
      </c>
      <c r="AL54" s="69">
        <v>1934000</v>
      </c>
      <c r="AM54" s="69"/>
      <c r="AN54" s="69"/>
      <c r="AO54" s="69"/>
      <c r="AP54" s="69"/>
      <c r="AQ54" s="69"/>
      <c r="AR54" s="69"/>
      <c r="AS54" s="69"/>
      <c r="AT54" s="69"/>
      <c r="AU54" s="6"/>
      <c r="AV54" s="6"/>
      <c r="AW54" s="6">
        <f t="shared" si="8"/>
        <v>5649300</v>
      </c>
      <c r="AX54" s="6">
        <f t="shared" si="8"/>
        <v>14856000</v>
      </c>
      <c r="AY54" s="6">
        <f t="shared" si="8"/>
        <v>25373900</v>
      </c>
      <c r="AZ54" s="6">
        <f t="shared" si="8"/>
        <v>11204800</v>
      </c>
      <c r="BA54" s="6">
        <f t="shared" si="8"/>
        <v>0</v>
      </c>
      <c r="BC54" s="66">
        <f t="shared" ca="1" si="6"/>
        <v>57084000</v>
      </c>
    </row>
    <row r="55" spans="1:55" x14ac:dyDescent="0.3">
      <c r="A55" s="6" t="str">
        <f>IFERROR(VLOOKUP($F55,매장구분!$B:$K,2,0),"")</f>
        <v>파트너채널팀</v>
      </c>
      <c r="B55" s="6" t="str">
        <f>IFERROR(VLOOKUP($F55,매장구분!$B:$K,3,0),"")</f>
        <v>국내</v>
      </c>
      <c r="C55" s="6" t="str">
        <f>IFERROR(VLOOKUP($F55,매장구분!$B:$K,5,0),"")</f>
        <v>백화점</v>
      </c>
      <c r="D55" s="6" t="str">
        <f>IFERROR(VLOOKUP($F55,매장구분!$B:$Z,9,0),"")</f>
        <v>롯데울산</v>
      </c>
      <c r="E55" s="69" t="s">
        <v>460</v>
      </c>
      <c r="F55" s="69" t="s">
        <v>461</v>
      </c>
      <c r="G55" s="69">
        <v>1023</v>
      </c>
      <c r="H55" s="69">
        <v>124908300</v>
      </c>
      <c r="I55" s="69">
        <v>133473800</v>
      </c>
      <c r="J55" s="69">
        <v>1216</v>
      </c>
      <c r="K55" s="69">
        <v>152850200</v>
      </c>
      <c r="L55" s="69">
        <v>161605700</v>
      </c>
      <c r="M55" s="69">
        <v>-193</v>
      </c>
      <c r="N55" s="69">
        <v>-27941900</v>
      </c>
      <c r="O55" s="69">
        <v>-28131900</v>
      </c>
      <c r="P55" s="69">
        <v>32021300</v>
      </c>
      <c r="Q55" s="69">
        <v>7017800</v>
      </c>
      <c r="R55" s="69">
        <v>0</v>
      </c>
      <c r="S55" s="69">
        <v>3050000</v>
      </c>
      <c r="T55" s="69">
        <v>4088000</v>
      </c>
      <c r="U55" s="69">
        <v>2604900</v>
      </c>
      <c r="V55" s="69">
        <v>2631800</v>
      </c>
      <c r="W55" s="69">
        <v>5774000</v>
      </c>
      <c r="X55" s="69">
        <v>7952900</v>
      </c>
      <c r="Y55" s="69">
        <v>3043000</v>
      </c>
      <c r="Z55" s="69">
        <v>3014800</v>
      </c>
      <c r="AA55" s="69">
        <v>2973800</v>
      </c>
      <c r="AB55" s="69">
        <v>2613000</v>
      </c>
      <c r="AC55" s="69">
        <v>3507000</v>
      </c>
      <c r="AD55" s="69">
        <v>7524900</v>
      </c>
      <c r="AE55" s="69">
        <v>5498000</v>
      </c>
      <c r="AF55" s="69">
        <v>2022400</v>
      </c>
      <c r="AG55" s="69">
        <v>2176700</v>
      </c>
      <c r="AH55" s="69">
        <v>2018000</v>
      </c>
      <c r="AI55" s="69">
        <v>2008900</v>
      </c>
      <c r="AJ55" s="69">
        <v>7005000</v>
      </c>
      <c r="AK55" s="69">
        <v>6328200</v>
      </c>
      <c r="AL55" s="69">
        <v>10033900</v>
      </c>
      <c r="AM55" s="69"/>
      <c r="AN55" s="69"/>
      <c r="AO55" s="69"/>
      <c r="AP55" s="69"/>
      <c r="AQ55" s="69"/>
      <c r="AR55" s="69"/>
      <c r="AS55" s="69"/>
      <c r="AT55" s="69"/>
      <c r="AU55" s="6"/>
      <c r="AV55" s="6"/>
      <c r="AW55" s="6">
        <f t="shared" si="8"/>
        <v>39039100</v>
      </c>
      <c r="AX55" s="6">
        <f t="shared" si="8"/>
        <v>26101600</v>
      </c>
      <c r="AY55" s="6">
        <f t="shared" si="8"/>
        <v>28174500</v>
      </c>
      <c r="AZ55" s="6">
        <f t="shared" si="8"/>
        <v>31593100</v>
      </c>
      <c r="BA55" s="6">
        <f t="shared" si="8"/>
        <v>0</v>
      </c>
      <c r="BC55" s="66">
        <f t="shared" ca="1" si="6"/>
        <v>124908300</v>
      </c>
    </row>
    <row r="56" spans="1:55" x14ac:dyDescent="0.3">
      <c r="A56" s="6" t="str">
        <f>IFERROR(VLOOKUP($F56,매장구분!$B:$K,2,0),"")</f>
        <v>파트너채널팀</v>
      </c>
      <c r="B56" s="6" t="str">
        <f>IFERROR(VLOOKUP($F56,매장구분!$B:$K,3,0),"")</f>
        <v>국내</v>
      </c>
      <c r="C56" s="6" t="str">
        <f>IFERROR(VLOOKUP($F56,매장구분!$B:$K,5,0),"")</f>
        <v>백화점</v>
      </c>
      <c r="D56" s="6" t="str">
        <f>IFERROR(VLOOKUP($F56,매장구분!$B:$Z,9,0),"")</f>
        <v>현대미아</v>
      </c>
      <c r="E56" s="69" t="s">
        <v>512</v>
      </c>
      <c r="F56" s="69" t="s">
        <v>513</v>
      </c>
      <c r="G56" s="69">
        <v>640</v>
      </c>
      <c r="H56" s="69">
        <v>60405600</v>
      </c>
      <c r="I56" s="69">
        <v>61500600</v>
      </c>
      <c r="J56" s="69">
        <v>1319</v>
      </c>
      <c r="K56" s="69">
        <v>218856100</v>
      </c>
      <c r="L56" s="69">
        <v>220189600</v>
      </c>
      <c r="M56" s="69">
        <v>-679</v>
      </c>
      <c r="N56" s="69">
        <v>-158450500</v>
      </c>
      <c r="O56" s="69">
        <v>-158689000</v>
      </c>
      <c r="P56" s="69">
        <v>33970000</v>
      </c>
      <c r="Q56" s="69">
        <v>3125000</v>
      </c>
      <c r="R56" s="69">
        <v>2922300</v>
      </c>
      <c r="S56" s="69">
        <v>963000</v>
      </c>
      <c r="T56" s="69">
        <v>1884000</v>
      </c>
      <c r="U56" s="69">
        <v>1223000</v>
      </c>
      <c r="V56" s="69">
        <v>839600</v>
      </c>
      <c r="W56" s="69">
        <v>1062000</v>
      </c>
      <c r="X56" s="69">
        <v>1877900</v>
      </c>
      <c r="Y56" s="69">
        <v>0</v>
      </c>
      <c r="Z56" s="69">
        <v>1558000</v>
      </c>
      <c r="AA56" s="69">
        <v>1213700</v>
      </c>
      <c r="AB56" s="69">
        <v>1778000</v>
      </c>
      <c r="AC56" s="69">
        <v>1317000</v>
      </c>
      <c r="AD56" s="69">
        <v>1830000</v>
      </c>
      <c r="AE56" s="69">
        <v>2453000</v>
      </c>
      <c r="AF56" s="69">
        <v>1122600</v>
      </c>
      <c r="AG56" s="69">
        <v>1178600</v>
      </c>
      <c r="AH56" s="69">
        <v>70900</v>
      </c>
      <c r="AI56" s="69">
        <v>95000</v>
      </c>
      <c r="AJ56" s="69">
        <v>-246000</v>
      </c>
      <c r="AK56" s="69">
        <v>31000</v>
      </c>
      <c r="AL56" s="69">
        <v>137000</v>
      </c>
      <c r="AM56" s="69"/>
      <c r="AN56" s="69"/>
      <c r="AO56" s="69"/>
      <c r="AP56" s="69"/>
      <c r="AQ56" s="69"/>
      <c r="AR56" s="69"/>
      <c r="AS56" s="69"/>
      <c r="AT56" s="69"/>
      <c r="AU56" s="6"/>
      <c r="AV56" s="6"/>
      <c r="AW56" s="6">
        <f t="shared" si="8"/>
        <v>37095000</v>
      </c>
      <c r="AX56" s="6">
        <f t="shared" si="8"/>
        <v>10771800</v>
      </c>
      <c r="AY56" s="6">
        <f t="shared" si="8"/>
        <v>10149700</v>
      </c>
      <c r="AZ56" s="6">
        <f t="shared" si="8"/>
        <v>2389100</v>
      </c>
      <c r="BA56" s="6">
        <f t="shared" si="8"/>
        <v>0</v>
      </c>
      <c r="BC56" s="66">
        <f t="shared" ca="1" si="6"/>
        <v>60405600</v>
      </c>
    </row>
    <row r="57" spans="1:55" x14ac:dyDescent="0.3">
      <c r="A57" s="6" t="str">
        <f>IFERROR(VLOOKUP($F57,매장구분!$B:$K,2,0),"")</f>
        <v>파트너채널팀</v>
      </c>
      <c r="B57" s="6" t="str">
        <f>IFERROR(VLOOKUP($F57,매장구분!$B:$K,3,0),"")</f>
        <v>RF</v>
      </c>
      <c r="C57" s="6" t="str">
        <f>IFERROR(VLOOKUP($F57,매장구분!$B:$K,5,0),"")</f>
        <v>백화점</v>
      </c>
      <c r="D57" s="6" t="str">
        <f>IFERROR(VLOOKUP($F57,매장구분!$B:$Z,9,0),"")</f>
        <v>롯데본점</v>
      </c>
      <c r="E57" s="69" t="s">
        <v>269</v>
      </c>
      <c r="F57" s="69" t="s">
        <v>270</v>
      </c>
      <c r="G57" s="69">
        <v>3058</v>
      </c>
      <c r="H57" s="69">
        <v>448845600</v>
      </c>
      <c r="I57" s="69">
        <v>532734100</v>
      </c>
      <c r="J57" s="69">
        <v>3097</v>
      </c>
      <c r="K57" s="69">
        <v>453748400</v>
      </c>
      <c r="L57" s="69">
        <v>537726900</v>
      </c>
      <c r="M57" s="69">
        <v>-39</v>
      </c>
      <c r="N57" s="69">
        <v>-4902800</v>
      </c>
      <c r="O57" s="69">
        <v>-4992800</v>
      </c>
      <c r="P57" s="69">
        <v>10410200</v>
      </c>
      <c r="Q57" s="69">
        <v>7190000</v>
      </c>
      <c r="R57" s="69">
        <v>4548000</v>
      </c>
      <c r="S57" s="69">
        <v>6335000</v>
      </c>
      <c r="T57" s="69">
        <v>3204000</v>
      </c>
      <c r="U57" s="69">
        <v>4241000</v>
      </c>
      <c r="V57" s="69">
        <v>165343000</v>
      </c>
      <c r="W57" s="69">
        <v>5844000</v>
      </c>
      <c r="X57" s="69">
        <v>6172000</v>
      </c>
      <c r="Y57" s="69">
        <v>0</v>
      </c>
      <c r="Z57" s="69">
        <v>3823000</v>
      </c>
      <c r="AA57" s="69">
        <v>6122000</v>
      </c>
      <c r="AB57" s="69">
        <v>2464000</v>
      </c>
      <c r="AC57" s="69">
        <v>150843700</v>
      </c>
      <c r="AD57" s="69">
        <v>8628000</v>
      </c>
      <c r="AE57" s="69">
        <v>5455000</v>
      </c>
      <c r="AF57" s="69">
        <v>3872000</v>
      </c>
      <c r="AG57" s="69">
        <v>6661000</v>
      </c>
      <c r="AH57" s="69">
        <v>3303000</v>
      </c>
      <c r="AI57" s="69">
        <v>4392000</v>
      </c>
      <c r="AJ57" s="69">
        <v>7052000</v>
      </c>
      <c r="AK57" s="69">
        <v>20053800</v>
      </c>
      <c r="AL57" s="69">
        <v>12888900</v>
      </c>
      <c r="AM57" s="69"/>
      <c r="AN57" s="69"/>
      <c r="AO57" s="69"/>
      <c r="AP57" s="69"/>
      <c r="AQ57" s="69"/>
      <c r="AR57" s="69"/>
      <c r="AS57" s="69"/>
      <c r="AT57" s="69"/>
      <c r="AU57" s="6"/>
      <c r="AV57" s="6"/>
      <c r="AW57" s="6">
        <f t="shared" si="8"/>
        <v>17600200</v>
      </c>
      <c r="AX57" s="6">
        <f t="shared" si="8"/>
        <v>195687000</v>
      </c>
      <c r="AY57" s="6">
        <f t="shared" si="8"/>
        <v>177335700</v>
      </c>
      <c r="AZ57" s="6">
        <f t="shared" si="8"/>
        <v>58222700</v>
      </c>
      <c r="BA57" s="6">
        <f t="shared" si="8"/>
        <v>0</v>
      </c>
      <c r="BC57" s="66">
        <f t="shared" ca="1" si="6"/>
        <v>448845600</v>
      </c>
    </row>
    <row r="58" spans="1:55" x14ac:dyDescent="0.3">
      <c r="A58" s="6" t="str">
        <f>IFERROR(VLOOKUP($F58,매장구분!$B:$K,2,0),"")</f>
        <v>파트너채널팀</v>
      </c>
      <c r="B58" s="6" t="str">
        <f>IFERROR(VLOOKUP($F58,매장구분!$B:$K,3,0),"")</f>
        <v>국내</v>
      </c>
      <c r="C58" s="6" t="str">
        <f>IFERROR(VLOOKUP($F58,매장구분!$B:$K,5,0),"")</f>
        <v>백화점</v>
      </c>
      <c r="D58" s="6" t="str">
        <f>IFERROR(VLOOKUP($F58,매장구분!$B:$Z,9,0),"")</f>
        <v>AK수원</v>
      </c>
      <c r="E58" s="69" t="s">
        <v>552</v>
      </c>
      <c r="F58" s="69" t="s">
        <v>553</v>
      </c>
      <c r="G58" s="69">
        <v>1786</v>
      </c>
      <c r="H58" s="69">
        <v>121782700</v>
      </c>
      <c r="I58" s="69">
        <v>133507700</v>
      </c>
      <c r="J58" s="69">
        <v>1869</v>
      </c>
      <c r="K58" s="69">
        <v>134926400</v>
      </c>
      <c r="L58" s="69">
        <v>146681400</v>
      </c>
      <c r="M58" s="69">
        <v>-83</v>
      </c>
      <c r="N58" s="69">
        <v>-13143700</v>
      </c>
      <c r="O58" s="69">
        <v>-13173700</v>
      </c>
      <c r="P58" s="69">
        <v>2778000</v>
      </c>
      <c r="Q58" s="69">
        <v>5964700</v>
      </c>
      <c r="R58" s="69">
        <v>0</v>
      </c>
      <c r="S58" s="69">
        <v>2518900</v>
      </c>
      <c r="T58" s="69">
        <v>1980000</v>
      </c>
      <c r="U58" s="69">
        <v>901000</v>
      </c>
      <c r="V58" s="69">
        <v>40690000</v>
      </c>
      <c r="W58" s="69">
        <v>2297000</v>
      </c>
      <c r="X58" s="69">
        <v>4241600</v>
      </c>
      <c r="Y58" s="69">
        <v>1959000</v>
      </c>
      <c r="Z58" s="69">
        <v>1349800</v>
      </c>
      <c r="AA58" s="69">
        <v>1007000</v>
      </c>
      <c r="AB58" s="69">
        <v>393000</v>
      </c>
      <c r="AC58" s="69">
        <v>8011000</v>
      </c>
      <c r="AD58" s="69">
        <v>9452000</v>
      </c>
      <c r="AE58" s="69">
        <v>8628000</v>
      </c>
      <c r="AF58" s="69">
        <v>1862800</v>
      </c>
      <c r="AG58" s="69">
        <v>1891000</v>
      </c>
      <c r="AH58" s="69">
        <v>2403900</v>
      </c>
      <c r="AI58" s="69">
        <v>745000</v>
      </c>
      <c r="AJ58" s="69">
        <v>8498300</v>
      </c>
      <c r="AK58" s="69">
        <v>6366000</v>
      </c>
      <c r="AL58" s="69">
        <v>7844700</v>
      </c>
      <c r="AM58" s="69"/>
      <c r="AN58" s="69"/>
      <c r="AO58" s="69"/>
      <c r="AP58" s="69"/>
      <c r="AQ58" s="69"/>
      <c r="AR58" s="69"/>
      <c r="AS58" s="69"/>
      <c r="AT58" s="69"/>
      <c r="AU58" s="6"/>
      <c r="AV58" s="6"/>
      <c r="AW58" s="6">
        <f t="shared" si="8"/>
        <v>8742700</v>
      </c>
      <c r="AX58" s="6">
        <f t="shared" si="8"/>
        <v>52628500</v>
      </c>
      <c r="AY58" s="6">
        <f t="shared" si="8"/>
        <v>30799800</v>
      </c>
      <c r="AZ58" s="6">
        <f t="shared" si="8"/>
        <v>29611700</v>
      </c>
      <c r="BA58" s="6">
        <f t="shared" si="8"/>
        <v>0</v>
      </c>
      <c r="BC58" s="66">
        <f t="shared" ca="1" si="6"/>
        <v>121782700</v>
      </c>
    </row>
    <row r="59" spans="1:55" x14ac:dyDescent="0.3">
      <c r="A59" s="6" t="str">
        <f>IFERROR(VLOOKUP($F59,매장구분!$B:$K,2,0),"")</f>
        <v>파트너채널팀</v>
      </c>
      <c r="B59" s="6" t="str">
        <f>IFERROR(VLOOKUP($F59,매장구분!$B:$K,3,0),"")</f>
        <v>국내</v>
      </c>
      <c r="C59" s="6" t="str">
        <f>IFERROR(VLOOKUP($F59,매장구분!$B:$K,5,0),"")</f>
        <v>백화점</v>
      </c>
      <c r="D59" s="6" t="str">
        <f>IFERROR(VLOOKUP($F59,매장구분!$B:$Z,9,0),"")</f>
        <v>롯데영등포</v>
      </c>
      <c r="E59" s="69" t="s">
        <v>202</v>
      </c>
      <c r="F59" s="69" t="s">
        <v>203</v>
      </c>
      <c r="G59" s="69">
        <v>739</v>
      </c>
      <c r="H59" s="69">
        <v>78313100</v>
      </c>
      <c r="I59" s="69">
        <v>84885300</v>
      </c>
      <c r="J59" s="69">
        <v>1074</v>
      </c>
      <c r="K59" s="69">
        <v>145286000</v>
      </c>
      <c r="L59" s="69">
        <v>154139300</v>
      </c>
      <c r="M59" s="69">
        <v>-335</v>
      </c>
      <c r="N59" s="69">
        <v>-66972900</v>
      </c>
      <c r="O59" s="69">
        <v>-69254000</v>
      </c>
      <c r="P59" s="69">
        <v>7338000</v>
      </c>
      <c r="Q59" s="69">
        <v>1780000</v>
      </c>
      <c r="R59" s="69">
        <v>0</v>
      </c>
      <c r="S59" s="69">
        <v>14360900</v>
      </c>
      <c r="T59" s="69">
        <v>1633000</v>
      </c>
      <c r="U59" s="69">
        <v>2806000</v>
      </c>
      <c r="V59" s="69">
        <v>555000</v>
      </c>
      <c r="W59" s="69">
        <v>1071000</v>
      </c>
      <c r="X59" s="69">
        <v>3334000</v>
      </c>
      <c r="Y59" s="69">
        <v>4526000</v>
      </c>
      <c r="Z59" s="69">
        <v>6312100</v>
      </c>
      <c r="AA59" s="69">
        <v>3015800</v>
      </c>
      <c r="AB59" s="69">
        <v>4312500</v>
      </c>
      <c r="AC59" s="69">
        <v>1240000</v>
      </c>
      <c r="AD59" s="69">
        <v>2215900</v>
      </c>
      <c r="AE59" s="69">
        <v>2106000</v>
      </c>
      <c r="AF59" s="69">
        <v>2881600</v>
      </c>
      <c r="AG59" s="69">
        <v>3086900</v>
      </c>
      <c r="AH59" s="69">
        <v>5197000</v>
      </c>
      <c r="AI59" s="69">
        <v>3541600</v>
      </c>
      <c r="AJ59" s="69">
        <v>1790000</v>
      </c>
      <c r="AK59" s="69">
        <v>3171000</v>
      </c>
      <c r="AL59" s="69">
        <v>2038800</v>
      </c>
      <c r="AM59" s="69"/>
      <c r="AN59" s="69"/>
      <c r="AO59" s="69"/>
      <c r="AP59" s="69"/>
      <c r="AQ59" s="69"/>
      <c r="AR59" s="69"/>
      <c r="AS59" s="69"/>
      <c r="AT59" s="69"/>
      <c r="AU59" s="6"/>
      <c r="AV59" s="6"/>
      <c r="AW59" s="6">
        <f t="shared" ref="AW59:BA74" si="9">SUMIFS($P59:$AS59,$P$3:$AS$3,AW$3)</f>
        <v>9118000</v>
      </c>
      <c r="AX59" s="6">
        <f t="shared" si="9"/>
        <v>23759900</v>
      </c>
      <c r="AY59" s="6">
        <f t="shared" si="9"/>
        <v>23728300</v>
      </c>
      <c r="AZ59" s="6">
        <f t="shared" si="9"/>
        <v>21706900</v>
      </c>
      <c r="BA59" s="6">
        <f t="shared" si="9"/>
        <v>0</v>
      </c>
      <c r="BC59" s="66">
        <f t="shared" ca="1" si="6"/>
        <v>78313100</v>
      </c>
    </row>
    <row r="60" spans="1:55" x14ac:dyDescent="0.3">
      <c r="A60" s="6" t="str">
        <f>IFERROR(VLOOKUP($F60,매장구분!$B:$K,2,0),"")</f>
        <v>파트너채널팀</v>
      </c>
      <c r="B60" s="6" t="str">
        <f>IFERROR(VLOOKUP($F60,매장구분!$B:$K,3,0),"")</f>
        <v>국내</v>
      </c>
      <c r="C60" s="6" t="str">
        <f>IFERROR(VLOOKUP($F60,매장구분!$B:$K,5,0),"")</f>
        <v>백화점</v>
      </c>
      <c r="D60" s="6" t="str">
        <f>IFERROR(VLOOKUP($F60,매장구분!$B:$Z,9,0),"")</f>
        <v>현대중동</v>
      </c>
      <c r="E60" s="69" t="s">
        <v>494</v>
      </c>
      <c r="F60" s="69" t="s">
        <v>495</v>
      </c>
      <c r="G60" s="69">
        <v>1286</v>
      </c>
      <c r="H60" s="69">
        <v>152035300</v>
      </c>
      <c r="I60" s="69">
        <v>156627200</v>
      </c>
      <c r="J60" s="69">
        <v>1411</v>
      </c>
      <c r="K60" s="69">
        <v>174860300</v>
      </c>
      <c r="L60" s="69">
        <v>179582200</v>
      </c>
      <c r="M60" s="69">
        <v>-125</v>
      </c>
      <c r="N60" s="69">
        <v>-22825000</v>
      </c>
      <c r="O60" s="69">
        <v>-22955000</v>
      </c>
      <c r="P60" s="69">
        <v>3823000</v>
      </c>
      <c r="Q60" s="69">
        <v>3848000</v>
      </c>
      <c r="R60" s="69">
        <v>4353000</v>
      </c>
      <c r="S60" s="69">
        <v>1799000</v>
      </c>
      <c r="T60" s="69">
        <v>1012900</v>
      </c>
      <c r="U60" s="69">
        <v>2046000</v>
      </c>
      <c r="V60" s="69">
        <v>21413000</v>
      </c>
      <c r="W60" s="69">
        <v>44797500</v>
      </c>
      <c r="X60" s="69">
        <v>5654000</v>
      </c>
      <c r="Y60" s="69">
        <v>0</v>
      </c>
      <c r="Z60" s="69">
        <v>1128000</v>
      </c>
      <c r="AA60" s="69">
        <v>4688000</v>
      </c>
      <c r="AB60" s="69">
        <v>916000</v>
      </c>
      <c r="AC60" s="69">
        <v>2986000</v>
      </c>
      <c r="AD60" s="69">
        <v>2479900</v>
      </c>
      <c r="AE60" s="69">
        <v>1457000</v>
      </c>
      <c r="AF60" s="69">
        <v>792000</v>
      </c>
      <c r="AG60" s="69">
        <v>1667000</v>
      </c>
      <c r="AH60" s="69">
        <v>1087000</v>
      </c>
      <c r="AI60" s="69">
        <v>1824000</v>
      </c>
      <c r="AJ60" s="69">
        <v>1184000</v>
      </c>
      <c r="AK60" s="69">
        <v>40557000</v>
      </c>
      <c r="AL60" s="69">
        <v>2523000</v>
      </c>
      <c r="AM60" s="69"/>
      <c r="AN60" s="69"/>
      <c r="AO60" s="69"/>
      <c r="AP60" s="69"/>
      <c r="AQ60" s="69"/>
      <c r="AR60" s="69"/>
      <c r="AS60" s="69"/>
      <c r="AT60" s="69"/>
      <c r="AU60" s="6"/>
      <c r="AV60" s="6"/>
      <c r="AW60" s="6">
        <f t="shared" si="9"/>
        <v>7671000</v>
      </c>
      <c r="AX60" s="6">
        <f t="shared" si="9"/>
        <v>81075400</v>
      </c>
      <c r="AY60" s="6">
        <f t="shared" si="9"/>
        <v>13654900</v>
      </c>
      <c r="AZ60" s="6">
        <f t="shared" si="9"/>
        <v>49634000</v>
      </c>
      <c r="BA60" s="6">
        <f t="shared" si="9"/>
        <v>0</v>
      </c>
      <c r="BC60" s="66">
        <f t="shared" ca="1" si="6"/>
        <v>152035300</v>
      </c>
    </row>
    <row r="61" spans="1:55" x14ac:dyDescent="0.3">
      <c r="A61" s="6" t="str">
        <f>IFERROR(VLOOKUP($F61,매장구분!$B:$K,2,0),"")</f>
        <v>파트너채널팀</v>
      </c>
      <c r="B61" s="6" t="str">
        <f>IFERROR(VLOOKUP($F61,매장구분!$B:$K,3,0),"")</f>
        <v>국내</v>
      </c>
      <c r="C61" s="6" t="str">
        <f>IFERROR(VLOOKUP($F61,매장구분!$B:$K,5,0),"")</f>
        <v>백화점</v>
      </c>
      <c r="D61" s="6" t="str">
        <f>IFERROR(VLOOKUP($F61,매장구분!$B:$Z,9,0),"")</f>
        <v>신세계천안아산</v>
      </c>
      <c r="E61" s="69" t="s">
        <v>271</v>
      </c>
      <c r="F61" s="69" t="s">
        <v>272</v>
      </c>
      <c r="G61" s="69">
        <v>726</v>
      </c>
      <c r="H61" s="69">
        <v>64876200</v>
      </c>
      <c r="I61" s="69">
        <v>68257100</v>
      </c>
      <c r="J61" s="69">
        <v>765</v>
      </c>
      <c r="K61" s="69">
        <v>71292200</v>
      </c>
      <c r="L61" s="69">
        <v>74683100</v>
      </c>
      <c r="M61" s="69">
        <v>-39</v>
      </c>
      <c r="N61" s="69">
        <v>-6416000</v>
      </c>
      <c r="O61" s="69">
        <v>-6426000</v>
      </c>
      <c r="P61" s="69">
        <v>4772000</v>
      </c>
      <c r="Q61" s="69">
        <v>2541900</v>
      </c>
      <c r="R61" s="69">
        <v>1180000</v>
      </c>
      <c r="S61" s="69">
        <v>1989000</v>
      </c>
      <c r="T61" s="69">
        <v>2414000</v>
      </c>
      <c r="U61" s="69">
        <v>4977000</v>
      </c>
      <c r="V61" s="69">
        <v>2367000</v>
      </c>
      <c r="W61" s="69">
        <v>3618000</v>
      </c>
      <c r="X61" s="69">
        <v>6420000</v>
      </c>
      <c r="Y61" s="69">
        <v>600000</v>
      </c>
      <c r="Z61" s="69">
        <v>1815000</v>
      </c>
      <c r="AA61" s="69">
        <v>2234900</v>
      </c>
      <c r="AB61" s="69">
        <v>1581000</v>
      </c>
      <c r="AC61" s="69">
        <v>3077000</v>
      </c>
      <c r="AD61" s="69">
        <v>3204000</v>
      </c>
      <c r="AE61" s="69">
        <v>3569000</v>
      </c>
      <c r="AF61" s="69">
        <v>2890000</v>
      </c>
      <c r="AG61" s="69">
        <v>2033900</v>
      </c>
      <c r="AH61" s="69">
        <v>1356800</v>
      </c>
      <c r="AI61" s="69">
        <v>1600900</v>
      </c>
      <c r="AJ61" s="69">
        <v>2111900</v>
      </c>
      <c r="AK61" s="69">
        <v>2739000</v>
      </c>
      <c r="AL61" s="69">
        <v>5783900</v>
      </c>
      <c r="AM61" s="69"/>
      <c r="AN61" s="69"/>
      <c r="AO61" s="69"/>
      <c r="AP61" s="69"/>
      <c r="AQ61" s="69"/>
      <c r="AR61" s="69"/>
      <c r="AS61" s="69"/>
      <c r="AT61" s="69"/>
      <c r="AU61" s="6"/>
      <c r="AV61" s="6"/>
      <c r="AW61" s="6">
        <f t="shared" si="9"/>
        <v>7313900</v>
      </c>
      <c r="AX61" s="6">
        <f t="shared" si="9"/>
        <v>22965000</v>
      </c>
      <c r="AY61" s="6">
        <f t="shared" si="9"/>
        <v>16080900</v>
      </c>
      <c r="AZ61" s="6">
        <f t="shared" si="9"/>
        <v>18516400</v>
      </c>
      <c r="BA61" s="6">
        <f t="shared" si="9"/>
        <v>0</v>
      </c>
      <c r="BC61" s="66">
        <f t="shared" ca="1" si="6"/>
        <v>64876200</v>
      </c>
    </row>
    <row r="62" spans="1:55" x14ac:dyDescent="0.3">
      <c r="A62" s="6" t="str">
        <f>IFERROR(VLOOKUP($F62,매장구분!$B:$K,2,0),"")</f>
        <v>파트너채널팀</v>
      </c>
      <c r="B62" s="6" t="str">
        <f>IFERROR(VLOOKUP($F62,매장구분!$B:$K,3,0),"")</f>
        <v>국내</v>
      </c>
      <c r="C62" s="6" t="str">
        <f>IFERROR(VLOOKUP($F62,매장구분!$B:$K,5,0),"")</f>
        <v>백화점</v>
      </c>
      <c r="D62" s="6" t="str">
        <f>IFERROR(VLOOKUP($F62,매장구분!$B:$Z,9,0),"")</f>
        <v>롯데창원</v>
      </c>
      <c r="E62" s="69" t="s">
        <v>548</v>
      </c>
      <c r="F62" s="69" t="s">
        <v>549</v>
      </c>
      <c r="G62" s="69">
        <v>5869</v>
      </c>
      <c r="H62" s="69">
        <v>355560300</v>
      </c>
      <c r="I62" s="69">
        <v>370302300</v>
      </c>
      <c r="J62" s="69">
        <v>8868</v>
      </c>
      <c r="K62" s="69">
        <v>545850200</v>
      </c>
      <c r="L62" s="69">
        <v>564296200</v>
      </c>
      <c r="M62" s="69">
        <v>-2999</v>
      </c>
      <c r="N62" s="69">
        <v>-190289900</v>
      </c>
      <c r="O62" s="69">
        <v>-193993900</v>
      </c>
      <c r="P62" s="69">
        <v>5501900</v>
      </c>
      <c r="Q62" s="69">
        <v>6605900</v>
      </c>
      <c r="R62" s="69">
        <v>0</v>
      </c>
      <c r="S62" s="69">
        <v>2696800</v>
      </c>
      <c r="T62" s="69">
        <v>23526800</v>
      </c>
      <c r="U62" s="69">
        <v>818000</v>
      </c>
      <c r="V62" s="69">
        <v>1785900</v>
      </c>
      <c r="W62" s="69">
        <v>4934000</v>
      </c>
      <c r="X62" s="69">
        <v>6214000</v>
      </c>
      <c r="Y62" s="69">
        <v>1093000</v>
      </c>
      <c r="Z62" s="69">
        <v>2285800</v>
      </c>
      <c r="AA62" s="69">
        <v>952000</v>
      </c>
      <c r="AB62" s="69">
        <v>1598000</v>
      </c>
      <c r="AC62" s="69">
        <v>1562000</v>
      </c>
      <c r="AD62" s="69">
        <v>18222600</v>
      </c>
      <c r="AE62" s="69">
        <v>13048200</v>
      </c>
      <c r="AF62" s="69">
        <v>745000</v>
      </c>
      <c r="AG62" s="69">
        <v>1647000</v>
      </c>
      <c r="AH62" s="69">
        <v>1965000</v>
      </c>
      <c r="AI62" s="69">
        <v>5155000</v>
      </c>
      <c r="AJ62" s="69">
        <v>97590500</v>
      </c>
      <c r="AK62" s="69">
        <v>122435800</v>
      </c>
      <c r="AL62" s="69">
        <v>35177100</v>
      </c>
      <c r="AM62" s="69"/>
      <c r="AN62" s="69"/>
      <c r="AO62" s="69"/>
      <c r="AP62" s="69"/>
      <c r="AQ62" s="69"/>
      <c r="AR62" s="69"/>
      <c r="AS62" s="69"/>
      <c r="AT62" s="69"/>
      <c r="AU62" s="6"/>
      <c r="AV62" s="6"/>
      <c r="AW62" s="6">
        <f t="shared" si="9"/>
        <v>12107800</v>
      </c>
      <c r="AX62" s="6">
        <f t="shared" si="9"/>
        <v>39975500</v>
      </c>
      <c r="AY62" s="6">
        <f t="shared" si="9"/>
        <v>38761600</v>
      </c>
      <c r="AZ62" s="6">
        <f t="shared" si="9"/>
        <v>264715400</v>
      </c>
      <c r="BA62" s="6">
        <f t="shared" si="9"/>
        <v>0</v>
      </c>
      <c r="BC62" s="66">
        <f t="shared" ca="1" si="6"/>
        <v>355560300</v>
      </c>
    </row>
    <row r="63" spans="1:55" x14ac:dyDescent="0.3">
      <c r="A63" s="6" t="str">
        <f>IFERROR(VLOOKUP($F63,매장구분!$B:$K,2,0),"")</f>
        <v>파트너채널팀</v>
      </c>
      <c r="B63" s="6" t="str">
        <f>IFERROR(VLOOKUP($F63,매장구분!$B:$K,3,0),"")</f>
        <v>국내</v>
      </c>
      <c r="C63" s="6" t="str">
        <f>IFERROR(VLOOKUP($F63,매장구분!$B:$K,5,0),"")</f>
        <v>백화점</v>
      </c>
      <c r="D63" s="6" t="str">
        <f>IFERROR(VLOOKUP($F63,매장구분!$B:$Z,9,0),"")</f>
        <v>롯데대구</v>
      </c>
      <c r="E63" s="69" t="s">
        <v>536</v>
      </c>
      <c r="F63" s="69" t="s">
        <v>537</v>
      </c>
      <c r="G63" s="69">
        <v>345</v>
      </c>
      <c r="H63" s="69">
        <v>37927100</v>
      </c>
      <c r="I63" s="69">
        <v>39877100</v>
      </c>
      <c r="J63" s="69">
        <v>428</v>
      </c>
      <c r="K63" s="69">
        <v>53080000</v>
      </c>
      <c r="L63" s="69">
        <v>55170000</v>
      </c>
      <c r="M63" s="69">
        <v>-83</v>
      </c>
      <c r="N63" s="69">
        <v>-15152900</v>
      </c>
      <c r="O63" s="69">
        <v>-15292900</v>
      </c>
      <c r="P63" s="69">
        <v>2199000</v>
      </c>
      <c r="Q63" s="69">
        <v>1896900</v>
      </c>
      <c r="R63" s="69">
        <v>0</v>
      </c>
      <c r="S63" s="69">
        <v>2574000</v>
      </c>
      <c r="T63" s="69">
        <v>1206000</v>
      </c>
      <c r="U63" s="69">
        <v>1156000</v>
      </c>
      <c r="V63" s="69">
        <v>1652900</v>
      </c>
      <c r="W63" s="69">
        <v>4738000</v>
      </c>
      <c r="X63" s="69">
        <v>2847900</v>
      </c>
      <c r="Y63" s="69">
        <v>1351000</v>
      </c>
      <c r="Z63" s="69">
        <v>268000</v>
      </c>
      <c r="AA63" s="69">
        <v>461000</v>
      </c>
      <c r="AB63" s="69">
        <v>1739900</v>
      </c>
      <c r="AC63" s="69">
        <v>1292000</v>
      </c>
      <c r="AD63" s="69">
        <v>2580000</v>
      </c>
      <c r="AE63" s="69">
        <v>2380000</v>
      </c>
      <c r="AF63" s="69">
        <v>913600</v>
      </c>
      <c r="AG63" s="69">
        <v>436000</v>
      </c>
      <c r="AH63" s="69">
        <v>793900</v>
      </c>
      <c r="AI63" s="69">
        <v>576000</v>
      </c>
      <c r="AJ63" s="69">
        <v>1050000</v>
      </c>
      <c r="AK63" s="69">
        <v>2221000</v>
      </c>
      <c r="AL63" s="69">
        <v>3594000</v>
      </c>
      <c r="AM63" s="69"/>
      <c r="AN63" s="69"/>
      <c r="AO63" s="69"/>
      <c r="AP63" s="69"/>
      <c r="AQ63" s="69"/>
      <c r="AR63" s="69"/>
      <c r="AS63" s="69"/>
      <c r="AT63" s="69"/>
      <c r="AU63" s="6"/>
      <c r="AV63" s="6"/>
      <c r="AW63" s="6">
        <f t="shared" si="9"/>
        <v>4095900</v>
      </c>
      <c r="AX63" s="6">
        <f t="shared" si="9"/>
        <v>14174800</v>
      </c>
      <c r="AY63" s="6">
        <f t="shared" si="9"/>
        <v>10071900</v>
      </c>
      <c r="AZ63" s="6">
        <f t="shared" si="9"/>
        <v>9584500</v>
      </c>
      <c r="BA63" s="6">
        <f t="shared" si="9"/>
        <v>0</v>
      </c>
      <c r="BC63" s="66">
        <f t="shared" ca="1" si="6"/>
        <v>37927100</v>
      </c>
    </row>
    <row r="64" spans="1:55" x14ac:dyDescent="0.3">
      <c r="A64" s="6" t="str">
        <f>IFERROR(VLOOKUP($F64,매장구분!$B:$K,2,0),"")</f>
        <v>파트너채널팀</v>
      </c>
      <c r="B64" s="6" t="str">
        <f>IFERROR(VLOOKUP($F64,매장구분!$B:$K,3,0),"")</f>
        <v>국내</v>
      </c>
      <c r="C64" s="6" t="str">
        <f>IFERROR(VLOOKUP($F64,매장구분!$B:$K,5,0),"")</f>
        <v>백화점</v>
      </c>
      <c r="D64" s="6" t="str">
        <f>IFERROR(VLOOKUP($F64,매장구분!$B:$Z,9,0),"")</f>
        <v>롯데상인</v>
      </c>
      <c r="E64" s="69" t="s">
        <v>348</v>
      </c>
      <c r="F64" s="69" t="s">
        <v>349</v>
      </c>
      <c r="G64" s="69">
        <v>431</v>
      </c>
      <c r="H64" s="69">
        <v>50538200</v>
      </c>
      <c r="I64" s="69">
        <v>52601000</v>
      </c>
      <c r="J64" s="69">
        <v>500</v>
      </c>
      <c r="K64" s="69">
        <v>64686200</v>
      </c>
      <c r="L64" s="69">
        <v>66769000</v>
      </c>
      <c r="M64" s="69">
        <v>-69</v>
      </c>
      <c r="N64" s="69">
        <v>-14148000</v>
      </c>
      <c r="O64" s="69">
        <v>-14168000</v>
      </c>
      <c r="P64" s="69">
        <v>2855000</v>
      </c>
      <c r="Q64" s="69">
        <v>2374000</v>
      </c>
      <c r="R64" s="69">
        <v>0</v>
      </c>
      <c r="S64" s="69">
        <v>1212000</v>
      </c>
      <c r="T64" s="69">
        <v>5526000</v>
      </c>
      <c r="U64" s="69">
        <v>2078200</v>
      </c>
      <c r="V64" s="69">
        <v>1019000</v>
      </c>
      <c r="W64" s="69">
        <v>2225000</v>
      </c>
      <c r="X64" s="69">
        <v>1370000</v>
      </c>
      <c r="Y64" s="69">
        <v>578000</v>
      </c>
      <c r="Z64" s="69">
        <v>358000</v>
      </c>
      <c r="AA64" s="69">
        <v>719000</v>
      </c>
      <c r="AB64" s="69">
        <v>286000</v>
      </c>
      <c r="AC64" s="69">
        <v>613000</v>
      </c>
      <c r="AD64" s="69">
        <v>6320000</v>
      </c>
      <c r="AE64" s="69">
        <v>1642000</v>
      </c>
      <c r="AF64" s="69">
        <v>323000</v>
      </c>
      <c r="AG64" s="69">
        <v>414000</v>
      </c>
      <c r="AH64" s="69">
        <v>552000</v>
      </c>
      <c r="AI64" s="69">
        <v>227000</v>
      </c>
      <c r="AJ64" s="69">
        <v>5814000</v>
      </c>
      <c r="AK64" s="69">
        <v>7038000</v>
      </c>
      <c r="AL64" s="69">
        <v>6995000</v>
      </c>
      <c r="AM64" s="69"/>
      <c r="AN64" s="69"/>
      <c r="AO64" s="69"/>
      <c r="AP64" s="69"/>
      <c r="AQ64" s="69"/>
      <c r="AR64" s="69"/>
      <c r="AS64" s="69"/>
      <c r="AT64" s="69"/>
      <c r="AU64" s="6"/>
      <c r="AV64" s="6"/>
      <c r="AW64" s="6">
        <f t="shared" si="9"/>
        <v>5229000</v>
      </c>
      <c r="AX64" s="6">
        <f t="shared" si="9"/>
        <v>13430200</v>
      </c>
      <c r="AY64" s="6">
        <f t="shared" si="9"/>
        <v>10516000</v>
      </c>
      <c r="AZ64" s="6">
        <f t="shared" si="9"/>
        <v>21363000</v>
      </c>
      <c r="BA64" s="6">
        <f t="shared" si="9"/>
        <v>0</v>
      </c>
      <c r="BC64" s="66">
        <f t="shared" ca="1" si="6"/>
        <v>50538200</v>
      </c>
    </row>
    <row r="65" spans="1:55" x14ac:dyDescent="0.3">
      <c r="A65" s="6" t="str">
        <f>IFERROR(VLOOKUP($F65,매장구분!$B:$K,2,0),"")</f>
        <v>파트너채널팀</v>
      </c>
      <c r="B65" s="6" t="str">
        <f>IFERROR(VLOOKUP($F65,매장구분!$B:$K,3,0),"")</f>
        <v>국내</v>
      </c>
      <c r="C65" s="6" t="str">
        <f>IFERROR(VLOOKUP($F65,매장구분!$B:$K,5,0),"")</f>
        <v>백화점</v>
      </c>
      <c r="D65" s="6" t="str">
        <f>IFERROR(VLOOKUP($F65,매장구분!$B:$Z,9,0),"")</f>
        <v>롯데전주</v>
      </c>
      <c r="E65" s="69" t="s">
        <v>446</v>
      </c>
      <c r="F65" s="69" t="s">
        <v>447</v>
      </c>
      <c r="G65" s="69">
        <v>617</v>
      </c>
      <c r="H65" s="69">
        <v>59433800</v>
      </c>
      <c r="I65" s="69">
        <v>63162500</v>
      </c>
      <c r="J65" s="69">
        <v>735</v>
      </c>
      <c r="K65" s="69">
        <v>76914800</v>
      </c>
      <c r="L65" s="69">
        <v>80916500</v>
      </c>
      <c r="M65" s="69">
        <v>-118</v>
      </c>
      <c r="N65" s="69">
        <v>-17481000</v>
      </c>
      <c r="O65" s="69">
        <v>-17754000</v>
      </c>
      <c r="P65" s="69">
        <v>3119000</v>
      </c>
      <c r="Q65" s="69">
        <v>6629000</v>
      </c>
      <c r="R65" s="69">
        <v>0</v>
      </c>
      <c r="S65" s="69">
        <v>1843000</v>
      </c>
      <c r="T65" s="69">
        <v>3322000</v>
      </c>
      <c r="U65" s="69">
        <v>479000</v>
      </c>
      <c r="V65" s="69">
        <v>3016000</v>
      </c>
      <c r="W65" s="69">
        <v>4606800</v>
      </c>
      <c r="X65" s="69">
        <v>3780000</v>
      </c>
      <c r="Y65" s="69">
        <v>1357900</v>
      </c>
      <c r="Z65" s="69">
        <v>1961700</v>
      </c>
      <c r="AA65" s="69">
        <v>1831200</v>
      </c>
      <c r="AB65" s="69">
        <v>2756000</v>
      </c>
      <c r="AC65" s="69">
        <v>1958000</v>
      </c>
      <c r="AD65" s="69">
        <v>1966800</v>
      </c>
      <c r="AE65" s="69">
        <v>4756600</v>
      </c>
      <c r="AF65" s="69">
        <v>1352900</v>
      </c>
      <c r="AG65" s="69">
        <v>1777000</v>
      </c>
      <c r="AH65" s="69">
        <v>2494000</v>
      </c>
      <c r="AI65" s="69">
        <v>1732000</v>
      </c>
      <c r="AJ65" s="69">
        <v>2409000</v>
      </c>
      <c r="AK65" s="69">
        <v>3033900</v>
      </c>
      <c r="AL65" s="69">
        <v>3252000</v>
      </c>
      <c r="AM65" s="69"/>
      <c r="AN65" s="69"/>
      <c r="AO65" s="69"/>
      <c r="AP65" s="69"/>
      <c r="AQ65" s="69"/>
      <c r="AR65" s="69"/>
      <c r="AS65" s="69"/>
      <c r="AT65" s="69"/>
      <c r="AU65" s="6"/>
      <c r="AV65" s="6"/>
      <c r="AW65" s="6">
        <f t="shared" si="9"/>
        <v>9748000</v>
      </c>
      <c r="AX65" s="6">
        <f t="shared" si="9"/>
        <v>17046800</v>
      </c>
      <c r="AY65" s="6">
        <f t="shared" si="9"/>
        <v>16588200</v>
      </c>
      <c r="AZ65" s="6">
        <f t="shared" si="9"/>
        <v>16050800</v>
      </c>
      <c r="BA65" s="6">
        <f t="shared" si="9"/>
        <v>0</v>
      </c>
      <c r="BC65" s="66">
        <f t="shared" ca="1" si="6"/>
        <v>59433800</v>
      </c>
    </row>
    <row r="66" spans="1:55" x14ac:dyDescent="0.3">
      <c r="A66" s="6" t="str">
        <f>IFERROR(VLOOKUP($F66,매장구분!$B:$K,2,0),"")</f>
        <v>파트너채널팀</v>
      </c>
      <c r="B66" s="6" t="str">
        <f>IFERROR(VLOOKUP($F66,매장구분!$B:$K,3,0),"")</f>
        <v>국내</v>
      </c>
      <c r="C66" s="6" t="str">
        <f>IFERROR(VLOOKUP($F66,매장구분!$B:$K,5,0),"")</f>
        <v>백화점</v>
      </c>
      <c r="D66" s="6" t="str">
        <f>IFERROR(VLOOKUP($F66,매장구분!$B:$Z,9,0),"")</f>
        <v>롯데포항</v>
      </c>
      <c r="E66" s="69" t="s">
        <v>249</v>
      </c>
      <c r="F66" s="69" t="s">
        <v>250</v>
      </c>
      <c r="G66" s="69">
        <v>455</v>
      </c>
      <c r="H66" s="69">
        <v>50317210</v>
      </c>
      <c r="I66" s="69">
        <v>55401000</v>
      </c>
      <c r="J66" s="69">
        <v>528</v>
      </c>
      <c r="K66" s="69">
        <v>62460210</v>
      </c>
      <c r="L66" s="69">
        <v>67544000</v>
      </c>
      <c r="M66" s="69">
        <v>-73</v>
      </c>
      <c r="N66" s="69">
        <v>-12143000</v>
      </c>
      <c r="O66" s="69">
        <v>-12143000</v>
      </c>
      <c r="P66" s="69">
        <v>4008200</v>
      </c>
      <c r="Q66" s="69">
        <v>5343710</v>
      </c>
      <c r="R66" s="69">
        <v>0</v>
      </c>
      <c r="S66" s="69">
        <v>0</v>
      </c>
      <c r="T66" s="69">
        <v>2419800</v>
      </c>
      <c r="U66" s="69">
        <v>697000</v>
      </c>
      <c r="V66" s="69">
        <v>0</v>
      </c>
      <c r="W66" s="69">
        <v>2585300</v>
      </c>
      <c r="X66" s="69">
        <v>5037000</v>
      </c>
      <c r="Y66" s="69">
        <v>0</v>
      </c>
      <c r="Z66" s="69">
        <v>4207000</v>
      </c>
      <c r="AA66" s="69">
        <v>1908900</v>
      </c>
      <c r="AB66" s="69">
        <v>0</v>
      </c>
      <c r="AC66" s="69">
        <v>2315000</v>
      </c>
      <c r="AD66" s="69">
        <v>1359000</v>
      </c>
      <c r="AE66" s="69">
        <v>8057100</v>
      </c>
      <c r="AF66" s="69">
        <v>641000</v>
      </c>
      <c r="AG66" s="69">
        <v>188000</v>
      </c>
      <c r="AH66" s="69">
        <v>466000</v>
      </c>
      <c r="AI66" s="69">
        <v>1194000</v>
      </c>
      <c r="AJ66" s="69">
        <v>2000000</v>
      </c>
      <c r="AK66" s="69">
        <v>1560000</v>
      </c>
      <c r="AL66" s="69">
        <v>6330200</v>
      </c>
      <c r="AM66" s="69"/>
      <c r="AN66" s="69"/>
      <c r="AO66" s="69"/>
      <c r="AP66" s="69"/>
      <c r="AQ66" s="69"/>
      <c r="AR66" s="69"/>
      <c r="AS66" s="69"/>
      <c r="AT66" s="69"/>
      <c r="AU66" s="6"/>
      <c r="AV66" s="6"/>
      <c r="AW66" s="6">
        <f t="shared" si="9"/>
        <v>9351910</v>
      </c>
      <c r="AX66" s="6">
        <f t="shared" si="9"/>
        <v>10739100</v>
      </c>
      <c r="AY66" s="6">
        <f t="shared" si="9"/>
        <v>17847000</v>
      </c>
      <c r="AZ66" s="6">
        <f t="shared" si="9"/>
        <v>12379200</v>
      </c>
      <c r="BA66" s="6">
        <f t="shared" si="9"/>
        <v>0</v>
      </c>
      <c r="BC66" s="66">
        <f t="shared" ca="1" si="6"/>
        <v>50317210</v>
      </c>
    </row>
    <row r="67" spans="1:55" x14ac:dyDescent="0.3">
      <c r="A67" s="6" t="str">
        <f>IFERROR(VLOOKUP($F67,매장구분!$B:$K,2,0),"")</f>
        <v>파트너채널팀</v>
      </c>
      <c r="B67" s="6" t="str">
        <f>IFERROR(VLOOKUP($F67,매장구분!$B:$K,3,0),"")</f>
        <v>국내</v>
      </c>
      <c r="C67" s="6" t="str">
        <f>IFERROR(VLOOKUP($F67,매장구분!$B:$K,5,0),"")</f>
        <v>백화점</v>
      </c>
      <c r="D67" s="6" t="str">
        <f>IFERROR(VLOOKUP($F67,매장구분!$B:$Z,9,0),"")</f>
        <v>롯데동래</v>
      </c>
      <c r="E67" s="69" t="s">
        <v>239</v>
      </c>
      <c r="F67" s="69" t="s">
        <v>240</v>
      </c>
      <c r="G67" s="69">
        <v>484</v>
      </c>
      <c r="H67" s="69">
        <v>43031310</v>
      </c>
      <c r="I67" s="69">
        <v>48477300</v>
      </c>
      <c r="J67" s="69">
        <v>577</v>
      </c>
      <c r="K67" s="69">
        <v>56440610</v>
      </c>
      <c r="L67" s="69">
        <v>61945300</v>
      </c>
      <c r="M67" s="69">
        <v>-93</v>
      </c>
      <c r="N67" s="69">
        <v>-13409300</v>
      </c>
      <c r="O67" s="69">
        <v>-13468000</v>
      </c>
      <c r="P67" s="69">
        <v>3264000</v>
      </c>
      <c r="Q67" s="69">
        <v>4505010</v>
      </c>
      <c r="R67" s="69">
        <v>0</v>
      </c>
      <c r="S67" s="69">
        <v>1055000</v>
      </c>
      <c r="T67" s="69">
        <v>515000</v>
      </c>
      <c r="U67" s="69">
        <v>1267000</v>
      </c>
      <c r="V67" s="69">
        <v>1948000</v>
      </c>
      <c r="W67" s="69">
        <v>552900</v>
      </c>
      <c r="X67" s="69">
        <v>9582000</v>
      </c>
      <c r="Y67" s="69">
        <v>917000</v>
      </c>
      <c r="Z67" s="69">
        <v>3554900</v>
      </c>
      <c r="AA67" s="69">
        <v>296000</v>
      </c>
      <c r="AB67" s="69">
        <v>780000</v>
      </c>
      <c r="AC67" s="69">
        <v>2256000</v>
      </c>
      <c r="AD67" s="69">
        <v>555000</v>
      </c>
      <c r="AE67" s="69">
        <v>4478000</v>
      </c>
      <c r="AF67" s="69">
        <v>922000</v>
      </c>
      <c r="AG67" s="69">
        <v>702000</v>
      </c>
      <c r="AH67" s="69">
        <v>1641000</v>
      </c>
      <c r="AI67" s="69">
        <v>2434000</v>
      </c>
      <c r="AJ67" s="69">
        <v>1496900</v>
      </c>
      <c r="AK67" s="69">
        <v>183900</v>
      </c>
      <c r="AL67" s="69">
        <v>125700</v>
      </c>
      <c r="AM67" s="69"/>
      <c r="AN67" s="69"/>
      <c r="AO67" s="69"/>
      <c r="AP67" s="69"/>
      <c r="AQ67" s="69"/>
      <c r="AR67" s="69"/>
      <c r="AS67" s="69"/>
      <c r="AT67" s="69"/>
      <c r="AU67" s="6"/>
      <c r="AV67" s="6"/>
      <c r="AW67" s="6">
        <f t="shared" si="9"/>
        <v>7769010</v>
      </c>
      <c r="AX67" s="6">
        <f t="shared" si="9"/>
        <v>14919900</v>
      </c>
      <c r="AY67" s="6">
        <f t="shared" si="9"/>
        <v>12836900</v>
      </c>
      <c r="AZ67" s="6">
        <f t="shared" si="9"/>
        <v>7505500</v>
      </c>
      <c r="BA67" s="6">
        <f t="shared" si="9"/>
        <v>0</v>
      </c>
      <c r="BC67" s="66">
        <f t="shared" ca="1" si="6"/>
        <v>43031310</v>
      </c>
    </row>
    <row r="68" spans="1:55" x14ac:dyDescent="0.3">
      <c r="A68" s="6" t="str">
        <f>IFERROR(VLOOKUP($F68,매장구분!$B:$K,2,0),"")</f>
        <v>파트너채널팀</v>
      </c>
      <c r="B68" s="6" t="str">
        <f>IFERROR(VLOOKUP($F68,매장구분!$B:$K,3,0),"")</f>
        <v>국내</v>
      </c>
      <c r="C68" s="6" t="str">
        <f>IFERROR(VLOOKUP($F68,매장구분!$B:$K,5,0),"")</f>
        <v>백화점</v>
      </c>
      <c r="D68" s="6" t="str">
        <f>IFERROR(VLOOKUP($F68,매장구분!$B:$Z,9,0),"")</f>
        <v>갤러리아대전</v>
      </c>
      <c r="E68" s="69" t="s">
        <v>303</v>
      </c>
      <c r="F68" s="69" t="s">
        <v>304</v>
      </c>
      <c r="G68" s="69">
        <v>1776</v>
      </c>
      <c r="H68" s="69">
        <v>237079400</v>
      </c>
      <c r="I68" s="69">
        <v>248914700</v>
      </c>
      <c r="J68" s="69">
        <v>2138</v>
      </c>
      <c r="K68" s="69">
        <v>281813600</v>
      </c>
      <c r="L68" s="69">
        <v>295821700</v>
      </c>
      <c r="M68" s="69">
        <v>-362</v>
      </c>
      <c r="N68" s="69">
        <v>-44734200</v>
      </c>
      <c r="O68" s="69">
        <v>-46907000</v>
      </c>
      <c r="P68" s="69">
        <v>5514300</v>
      </c>
      <c r="Q68" s="69">
        <v>84813000</v>
      </c>
      <c r="R68" s="69">
        <v>1924200</v>
      </c>
      <c r="S68" s="69">
        <v>2094100</v>
      </c>
      <c r="T68" s="69">
        <v>3896800</v>
      </c>
      <c r="U68" s="69">
        <v>1443300</v>
      </c>
      <c r="V68" s="69">
        <v>652300</v>
      </c>
      <c r="W68" s="69">
        <v>2116200</v>
      </c>
      <c r="X68" s="69">
        <v>14890000</v>
      </c>
      <c r="Y68" s="69">
        <v>2725300</v>
      </c>
      <c r="Z68" s="69">
        <v>2046300</v>
      </c>
      <c r="AA68" s="69">
        <v>2006600</v>
      </c>
      <c r="AB68" s="69">
        <v>4284000</v>
      </c>
      <c r="AC68" s="69">
        <v>1426000</v>
      </c>
      <c r="AD68" s="69">
        <v>1313300</v>
      </c>
      <c r="AE68" s="69">
        <v>3195900</v>
      </c>
      <c r="AF68" s="69">
        <v>376300</v>
      </c>
      <c r="AG68" s="69">
        <v>1132600</v>
      </c>
      <c r="AH68" s="69">
        <v>3323000</v>
      </c>
      <c r="AI68" s="69">
        <v>2778100</v>
      </c>
      <c r="AJ68" s="69">
        <v>4248000</v>
      </c>
      <c r="AK68" s="69">
        <v>3039000</v>
      </c>
      <c r="AL68" s="69">
        <v>87840800</v>
      </c>
      <c r="AM68" s="69"/>
      <c r="AN68" s="69"/>
      <c r="AO68" s="69"/>
      <c r="AP68" s="69"/>
      <c r="AQ68" s="69"/>
      <c r="AR68" s="69"/>
      <c r="AS68" s="69"/>
      <c r="AT68" s="69"/>
      <c r="AU68" s="6"/>
      <c r="AV68" s="6"/>
      <c r="AW68" s="6">
        <f t="shared" si="9"/>
        <v>90327300</v>
      </c>
      <c r="AX68" s="6">
        <f t="shared" si="9"/>
        <v>27016900</v>
      </c>
      <c r="AY68" s="6">
        <f t="shared" si="9"/>
        <v>16997400</v>
      </c>
      <c r="AZ68" s="6">
        <f t="shared" si="9"/>
        <v>102737800</v>
      </c>
      <c r="BA68" s="6">
        <f t="shared" si="9"/>
        <v>0</v>
      </c>
      <c r="BC68" s="66">
        <f t="shared" ca="1" si="6"/>
        <v>237079400</v>
      </c>
    </row>
    <row r="69" spans="1:55" x14ac:dyDescent="0.3">
      <c r="A69" s="6" t="str">
        <f>IFERROR(VLOOKUP($F69,매장구분!$B:$K,2,0),"")</f>
        <v>파트너채널팀</v>
      </c>
      <c r="B69" s="6" t="str">
        <f>IFERROR(VLOOKUP($F69,매장구분!$B:$K,3,0),"")</f>
        <v>국내</v>
      </c>
      <c r="C69" s="6" t="str">
        <f>IFERROR(VLOOKUP($F69,매장구분!$B:$K,5,0),"")</f>
        <v>백화점</v>
      </c>
      <c r="D69" s="6" t="str">
        <f>IFERROR(VLOOKUP($F69,매장구분!$B:$Z,9,0),"")</f>
        <v>신세계마산</v>
      </c>
      <c r="E69" s="69" t="s">
        <v>426</v>
      </c>
      <c r="F69" s="69" t="s">
        <v>427</v>
      </c>
      <c r="G69" s="69">
        <v>306</v>
      </c>
      <c r="H69" s="69">
        <v>32418700</v>
      </c>
      <c r="I69" s="69">
        <v>34252800</v>
      </c>
      <c r="J69" s="69">
        <v>399</v>
      </c>
      <c r="K69" s="69">
        <v>44231200</v>
      </c>
      <c r="L69" s="69">
        <v>46085300</v>
      </c>
      <c r="M69" s="69">
        <v>-93</v>
      </c>
      <c r="N69" s="69">
        <v>-11812500</v>
      </c>
      <c r="O69" s="69">
        <v>-11832500</v>
      </c>
      <c r="P69" s="69">
        <v>5923000</v>
      </c>
      <c r="Q69" s="69">
        <v>6143900</v>
      </c>
      <c r="R69" s="69">
        <v>1220900</v>
      </c>
      <c r="S69" s="69">
        <v>1050000</v>
      </c>
      <c r="T69" s="69">
        <v>316000</v>
      </c>
      <c r="U69" s="69">
        <v>168900</v>
      </c>
      <c r="V69" s="69">
        <v>1344000</v>
      </c>
      <c r="W69" s="69">
        <v>1038000</v>
      </c>
      <c r="X69" s="69">
        <v>2389000</v>
      </c>
      <c r="Y69" s="69">
        <v>160000</v>
      </c>
      <c r="Z69" s="69">
        <v>415300</v>
      </c>
      <c r="AA69" s="69">
        <v>155000</v>
      </c>
      <c r="AB69" s="69">
        <v>517000</v>
      </c>
      <c r="AC69" s="69">
        <v>523000</v>
      </c>
      <c r="AD69" s="69">
        <v>1679000</v>
      </c>
      <c r="AE69" s="69">
        <v>2499400</v>
      </c>
      <c r="AF69" s="69">
        <v>510000</v>
      </c>
      <c r="AG69" s="69">
        <v>370400</v>
      </c>
      <c r="AH69" s="69">
        <v>281000</v>
      </c>
      <c r="AI69" s="69">
        <v>1094900</v>
      </c>
      <c r="AJ69" s="69">
        <v>657000</v>
      </c>
      <c r="AK69" s="69">
        <v>2165000</v>
      </c>
      <c r="AL69" s="69">
        <v>1798000</v>
      </c>
      <c r="AM69" s="69"/>
      <c r="AN69" s="69"/>
      <c r="AO69" s="69"/>
      <c r="AP69" s="69"/>
      <c r="AQ69" s="69"/>
      <c r="AR69" s="69"/>
      <c r="AS69" s="69"/>
      <c r="AT69" s="69"/>
      <c r="AU69" s="6"/>
      <c r="AV69" s="6"/>
      <c r="AW69" s="6">
        <f t="shared" si="9"/>
        <v>12066900</v>
      </c>
      <c r="AX69" s="6">
        <f t="shared" si="9"/>
        <v>7526800</v>
      </c>
      <c r="AY69" s="6">
        <f t="shared" si="9"/>
        <v>5948700</v>
      </c>
      <c r="AZ69" s="6">
        <f t="shared" si="9"/>
        <v>6876300</v>
      </c>
      <c r="BA69" s="6">
        <f t="shared" si="9"/>
        <v>0</v>
      </c>
      <c r="BC69" s="66">
        <f t="shared" ca="1" si="6"/>
        <v>32418700</v>
      </c>
    </row>
    <row r="70" spans="1:55" x14ac:dyDescent="0.3">
      <c r="A70" s="6" t="str">
        <f>IFERROR(VLOOKUP($F70,매장구분!$B:$K,2,0),"")</f>
        <v>파트너채널팀</v>
      </c>
      <c r="B70" s="6" t="str">
        <f>IFERROR(VLOOKUP($F70,매장구분!$B:$K,3,0),"")</f>
        <v>국내</v>
      </c>
      <c r="C70" s="6" t="str">
        <f>IFERROR(VLOOKUP($F70,매장구분!$B:$K,5,0),"")</f>
        <v>백화점</v>
      </c>
      <c r="D70" s="6" t="str">
        <f>IFERROR(VLOOKUP($F70,매장구분!$B:$Z,9,0),"")</f>
        <v>아이파크용산</v>
      </c>
      <c r="E70" s="69" t="s">
        <v>496</v>
      </c>
      <c r="F70" s="69" t="s">
        <v>497</v>
      </c>
      <c r="G70" s="69">
        <v>1519</v>
      </c>
      <c r="H70" s="69">
        <v>146984300</v>
      </c>
      <c r="I70" s="69">
        <v>155528900</v>
      </c>
      <c r="J70" s="69">
        <v>1665</v>
      </c>
      <c r="K70" s="69">
        <v>172729300</v>
      </c>
      <c r="L70" s="69">
        <v>181273900</v>
      </c>
      <c r="M70" s="69">
        <v>-146</v>
      </c>
      <c r="N70" s="69">
        <v>-25745000</v>
      </c>
      <c r="O70" s="69">
        <v>-25745000</v>
      </c>
      <c r="P70" s="69">
        <v>19532000</v>
      </c>
      <c r="Q70" s="69">
        <v>18194600</v>
      </c>
      <c r="R70" s="69">
        <v>1869500</v>
      </c>
      <c r="S70" s="69">
        <v>291000</v>
      </c>
      <c r="T70" s="69">
        <v>26870500</v>
      </c>
      <c r="U70" s="69">
        <v>2073800</v>
      </c>
      <c r="V70" s="69">
        <v>1518300</v>
      </c>
      <c r="W70" s="69">
        <v>3732500</v>
      </c>
      <c r="X70" s="69">
        <v>1450000</v>
      </c>
      <c r="Y70" s="69">
        <v>541000</v>
      </c>
      <c r="Z70" s="69">
        <v>1303900</v>
      </c>
      <c r="AA70" s="69">
        <v>1272000</v>
      </c>
      <c r="AB70" s="69">
        <v>1588800</v>
      </c>
      <c r="AC70" s="69">
        <v>2380800</v>
      </c>
      <c r="AD70" s="69">
        <v>3098700</v>
      </c>
      <c r="AE70" s="69">
        <v>26584100</v>
      </c>
      <c r="AF70" s="69">
        <v>844900</v>
      </c>
      <c r="AG70" s="69">
        <v>1333000</v>
      </c>
      <c r="AH70" s="69">
        <v>1504000</v>
      </c>
      <c r="AI70" s="69">
        <v>2216000</v>
      </c>
      <c r="AJ70" s="69">
        <v>2406900</v>
      </c>
      <c r="AK70" s="69">
        <v>16035000</v>
      </c>
      <c r="AL70" s="69">
        <v>10343000</v>
      </c>
      <c r="AM70" s="69"/>
      <c r="AN70" s="69"/>
      <c r="AO70" s="69"/>
      <c r="AP70" s="69"/>
      <c r="AQ70" s="69"/>
      <c r="AR70" s="69"/>
      <c r="AS70" s="69"/>
      <c r="AT70" s="69"/>
      <c r="AU70" s="6"/>
      <c r="AV70" s="6"/>
      <c r="AW70" s="6">
        <f t="shared" si="9"/>
        <v>37726600</v>
      </c>
      <c r="AX70" s="6">
        <f t="shared" si="9"/>
        <v>37805600</v>
      </c>
      <c r="AY70" s="6">
        <f t="shared" si="9"/>
        <v>36769300</v>
      </c>
      <c r="AZ70" s="6">
        <f t="shared" si="9"/>
        <v>34682800</v>
      </c>
      <c r="BA70" s="6">
        <f t="shared" si="9"/>
        <v>0</v>
      </c>
      <c r="BC70" s="66">
        <f t="shared" ca="1" si="6"/>
        <v>146984300</v>
      </c>
    </row>
    <row r="71" spans="1:55" x14ac:dyDescent="0.3">
      <c r="A71" s="6" t="str">
        <f>IFERROR(VLOOKUP($F71,매장구분!$B:$K,2,0),"")</f>
        <v>파트너채널팀</v>
      </c>
      <c r="B71" s="6" t="str">
        <f>IFERROR(VLOOKUP($F71,매장구분!$B:$K,3,0),"")</f>
        <v>국내</v>
      </c>
      <c r="C71" s="6" t="str">
        <f>IFERROR(VLOOKUP($F71,매장구분!$B:$K,5,0),"")</f>
        <v>백화점</v>
      </c>
      <c r="D71" s="6" t="str">
        <f>IFERROR(VLOOKUP($F71,매장구분!$B:$Z,9,0),"")</f>
        <v>롯데미아</v>
      </c>
      <c r="E71" s="69" t="s">
        <v>350</v>
      </c>
      <c r="F71" s="69" t="s">
        <v>351</v>
      </c>
      <c r="G71" s="69">
        <v>288</v>
      </c>
      <c r="H71" s="69">
        <v>26575500</v>
      </c>
      <c r="I71" s="69">
        <v>27633400</v>
      </c>
      <c r="J71" s="69">
        <v>332</v>
      </c>
      <c r="K71" s="69">
        <v>31385500</v>
      </c>
      <c r="L71" s="69">
        <v>32633400</v>
      </c>
      <c r="M71" s="69">
        <v>-44</v>
      </c>
      <c r="N71" s="69">
        <v>-4810000</v>
      </c>
      <c r="O71" s="69">
        <v>-5000000</v>
      </c>
      <c r="P71" s="69">
        <v>1375000</v>
      </c>
      <c r="Q71" s="69">
        <v>2680000</v>
      </c>
      <c r="R71" s="69">
        <v>0</v>
      </c>
      <c r="S71" s="69">
        <v>1330000</v>
      </c>
      <c r="T71" s="69">
        <v>1181900</v>
      </c>
      <c r="U71" s="69">
        <v>813000</v>
      </c>
      <c r="V71" s="69">
        <v>1766000</v>
      </c>
      <c r="W71" s="69">
        <v>1763000</v>
      </c>
      <c r="X71" s="69">
        <v>2105900</v>
      </c>
      <c r="Y71" s="69">
        <v>534000</v>
      </c>
      <c r="Z71" s="69">
        <v>860000</v>
      </c>
      <c r="AA71" s="69">
        <v>617900</v>
      </c>
      <c r="AB71" s="69">
        <v>724000</v>
      </c>
      <c r="AC71" s="69">
        <v>674000</v>
      </c>
      <c r="AD71" s="69">
        <v>1007800</v>
      </c>
      <c r="AE71" s="69">
        <v>1668000</v>
      </c>
      <c r="AF71" s="69">
        <v>1059000</v>
      </c>
      <c r="AG71" s="69">
        <v>600000</v>
      </c>
      <c r="AH71" s="69">
        <v>683000</v>
      </c>
      <c r="AI71" s="69">
        <v>343000</v>
      </c>
      <c r="AJ71" s="69">
        <v>1035000</v>
      </c>
      <c r="AK71" s="69">
        <v>2260000</v>
      </c>
      <c r="AL71" s="69">
        <v>1495000</v>
      </c>
      <c r="AM71" s="69"/>
      <c r="AN71" s="69"/>
      <c r="AO71" s="69"/>
      <c r="AP71" s="69"/>
      <c r="AQ71" s="69"/>
      <c r="AR71" s="69"/>
      <c r="AS71" s="69"/>
      <c r="AT71" s="69"/>
      <c r="AU71" s="6"/>
      <c r="AV71" s="6"/>
      <c r="AW71" s="6">
        <f t="shared" si="9"/>
        <v>4055000</v>
      </c>
      <c r="AX71" s="6">
        <f t="shared" si="9"/>
        <v>8959800</v>
      </c>
      <c r="AY71" s="6">
        <f t="shared" si="9"/>
        <v>6085700</v>
      </c>
      <c r="AZ71" s="6">
        <f t="shared" si="9"/>
        <v>7475000</v>
      </c>
      <c r="BA71" s="6">
        <f t="shared" si="9"/>
        <v>0</v>
      </c>
      <c r="BC71" s="66">
        <f t="shared" ref="BC71:BC134" ca="1" si="10">SUMIFS($P71:$AT71,$P$2:$AT$2,BC$3)</f>
        <v>26575500</v>
      </c>
    </row>
    <row r="72" spans="1:55" x14ac:dyDescent="0.3">
      <c r="A72" s="6" t="str">
        <f>IFERROR(VLOOKUP($F72,매장구분!$B:$K,2,0),"")</f>
        <v>파트너채널팀</v>
      </c>
      <c r="B72" s="6" t="str">
        <f>IFERROR(VLOOKUP($F72,매장구분!$B:$K,3,0),"")</f>
        <v>면세</v>
      </c>
      <c r="C72" s="6" t="str">
        <f>IFERROR(VLOOKUP($F72,매장구분!$B:$K,5,0),"")</f>
        <v>면세</v>
      </c>
      <c r="D72" s="6" t="str">
        <f>IFERROR(VLOOKUP($F72,매장구분!$B:$Z,9,0),"")</f>
        <v>롯데면세제주</v>
      </c>
      <c r="E72" s="69" t="s">
        <v>464</v>
      </c>
      <c r="F72" s="69" t="s">
        <v>465</v>
      </c>
      <c r="G72" s="69">
        <v>4323</v>
      </c>
      <c r="H72" s="69">
        <v>286103100</v>
      </c>
      <c r="I72" s="69">
        <v>286617000</v>
      </c>
      <c r="J72" s="69">
        <v>4336</v>
      </c>
      <c r="K72" s="69">
        <v>287549600</v>
      </c>
      <c r="L72" s="69">
        <v>288092000</v>
      </c>
      <c r="M72" s="69">
        <v>-13</v>
      </c>
      <c r="N72" s="69">
        <v>-1446500</v>
      </c>
      <c r="O72" s="69">
        <v>-1475000</v>
      </c>
      <c r="P72" s="69">
        <v>9037500</v>
      </c>
      <c r="Q72" s="69">
        <v>12220000</v>
      </c>
      <c r="R72" s="69">
        <v>6807600</v>
      </c>
      <c r="S72" s="69">
        <v>10629000</v>
      </c>
      <c r="T72" s="69">
        <v>12525000</v>
      </c>
      <c r="U72" s="69">
        <v>10679300</v>
      </c>
      <c r="V72" s="69">
        <v>19453300</v>
      </c>
      <c r="W72" s="69">
        <v>10257000</v>
      </c>
      <c r="X72" s="69">
        <v>21067300</v>
      </c>
      <c r="Y72" s="69">
        <v>9212000</v>
      </c>
      <c r="Z72" s="69">
        <v>10642300</v>
      </c>
      <c r="AA72" s="69">
        <v>13549600</v>
      </c>
      <c r="AB72" s="69">
        <v>16887000</v>
      </c>
      <c r="AC72" s="69">
        <v>8823000</v>
      </c>
      <c r="AD72" s="69">
        <v>8713000</v>
      </c>
      <c r="AE72" s="69">
        <v>10362000</v>
      </c>
      <c r="AF72" s="69">
        <v>19090000</v>
      </c>
      <c r="AG72" s="69">
        <v>11111300</v>
      </c>
      <c r="AH72" s="69">
        <v>12808300</v>
      </c>
      <c r="AI72" s="69">
        <v>12542000</v>
      </c>
      <c r="AJ72" s="69">
        <v>8437000</v>
      </c>
      <c r="AK72" s="69">
        <v>17093300</v>
      </c>
      <c r="AL72" s="69">
        <v>14156300</v>
      </c>
      <c r="AM72" s="69"/>
      <c r="AN72" s="69"/>
      <c r="AO72" s="69"/>
      <c r="AP72" s="69"/>
      <c r="AQ72" s="69"/>
      <c r="AR72" s="69"/>
      <c r="AS72" s="69"/>
      <c r="AT72" s="69"/>
      <c r="AU72" s="6"/>
      <c r="AV72" s="6"/>
      <c r="AW72" s="6">
        <f t="shared" si="9"/>
        <v>21257500</v>
      </c>
      <c r="AX72" s="6">
        <f t="shared" si="9"/>
        <v>91418500</v>
      </c>
      <c r="AY72" s="6">
        <f t="shared" si="9"/>
        <v>78188900</v>
      </c>
      <c r="AZ72" s="6">
        <f t="shared" si="9"/>
        <v>95238200</v>
      </c>
      <c r="BA72" s="6">
        <f t="shared" si="9"/>
        <v>0</v>
      </c>
      <c r="BC72" s="66">
        <f t="shared" ca="1" si="10"/>
        <v>286103100</v>
      </c>
    </row>
    <row r="73" spans="1:55" x14ac:dyDescent="0.3">
      <c r="A73" s="6" t="str">
        <f>IFERROR(VLOOKUP($F73,매장구분!$B:$K,2,0),"")</f>
        <v>파트너채널팀</v>
      </c>
      <c r="B73" s="6" t="str">
        <f>IFERROR(VLOOKUP($F73,매장구분!$B:$K,3,0),"")</f>
        <v>면세</v>
      </c>
      <c r="C73" s="6" t="str">
        <f>IFERROR(VLOOKUP($F73,매장구분!$B:$K,5,0),"")</f>
        <v>면세</v>
      </c>
      <c r="D73" s="6" t="str">
        <f>IFERROR(VLOOKUP($F73,매장구분!$B:$Z,9,0),"")</f>
        <v>신라면세용산</v>
      </c>
      <c r="E73" s="69" t="s">
        <v>542</v>
      </c>
      <c r="F73" s="69" t="s">
        <v>543</v>
      </c>
      <c r="G73" s="69">
        <v>28742</v>
      </c>
      <c r="H73" s="69">
        <v>1570519800</v>
      </c>
      <c r="I73" s="69">
        <v>1605504400</v>
      </c>
      <c r="J73" s="69">
        <v>30268</v>
      </c>
      <c r="K73" s="69">
        <v>1640308400</v>
      </c>
      <c r="L73" s="69">
        <v>1675788000</v>
      </c>
      <c r="M73" s="69">
        <v>-1526</v>
      </c>
      <c r="N73" s="69">
        <v>-69788600</v>
      </c>
      <c r="O73" s="69">
        <v>-70283600</v>
      </c>
      <c r="P73" s="69">
        <v>133734900</v>
      </c>
      <c r="Q73" s="69">
        <v>53108900</v>
      </c>
      <c r="R73" s="69">
        <v>1847000</v>
      </c>
      <c r="S73" s="69">
        <v>2702900</v>
      </c>
      <c r="T73" s="69">
        <v>5144000</v>
      </c>
      <c r="U73" s="69">
        <v>323671400</v>
      </c>
      <c r="V73" s="69">
        <v>60250600</v>
      </c>
      <c r="W73" s="69">
        <v>5315000</v>
      </c>
      <c r="X73" s="69">
        <v>7748800</v>
      </c>
      <c r="Y73" s="69">
        <v>96991000</v>
      </c>
      <c r="Z73" s="69">
        <v>164968800</v>
      </c>
      <c r="AA73" s="69">
        <v>141689000</v>
      </c>
      <c r="AB73" s="69">
        <v>2600000</v>
      </c>
      <c r="AC73" s="69">
        <v>3859000</v>
      </c>
      <c r="AD73" s="69">
        <v>37146300</v>
      </c>
      <c r="AE73" s="69">
        <v>1890900</v>
      </c>
      <c r="AF73" s="69">
        <v>42232900</v>
      </c>
      <c r="AG73" s="69">
        <v>146417100</v>
      </c>
      <c r="AH73" s="69">
        <v>147600000</v>
      </c>
      <c r="AI73" s="69">
        <v>150984800</v>
      </c>
      <c r="AJ73" s="69">
        <v>35487800</v>
      </c>
      <c r="AK73" s="69">
        <v>2255000</v>
      </c>
      <c r="AL73" s="69">
        <v>2873700</v>
      </c>
      <c r="AM73" s="69"/>
      <c r="AN73" s="69"/>
      <c r="AO73" s="69"/>
      <c r="AP73" s="69"/>
      <c r="AQ73" s="69"/>
      <c r="AR73" s="69"/>
      <c r="AS73" s="69"/>
      <c r="AT73" s="69"/>
      <c r="AU73" s="6"/>
      <c r="AV73" s="6"/>
      <c r="AW73" s="6">
        <f t="shared" si="9"/>
        <v>186843800</v>
      </c>
      <c r="AX73" s="6">
        <f t="shared" si="9"/>
        <v>406679700</v>
      </c>
      <c r="AY73" s="6">
        <f t="shared" si="9"/>
        <v>449145000</v>
      </c>
      <c r="AZ73" s="6">
        <f t="shared" si="9"/>
        <v>527851300</v>
      </c>
      <c r="BA73" s="6">
        <f t="shared" si="9"/>
        <v>0</v>
      </c>
      <c r="BC73" s="66">
        <f t="shared" ca="1" si="10"/>
        <v>1570519800</v>
      </c>
    </row>
    <row r="74" spans="1:55" x14ac:dyDescent="0.3">
      <c r="A74" s="6" t="str">
        <f>IFERROR(VLOOKUP($F74,매장구분!$B:$K,2,0),"")</f>
        <v>파트너채널팀</v>
      </c>
      <c r="B74" s="6" t="str">
        <f>IFERROR(VLOOKUP($F74,매장구분!$B:$K,3,0),"")</f>
        <v>면세</v>
      </c>
      <c r="C74" s="6" t="str">
        <f>IFERROR(VLOOKUP($F74,매장구분!$B:$K,5,0),"")</f>
        <v>면세</v>
      </c>
      <c r="D74" s="6" t="str">
        <f>IFERROR(VLOOKUP($F74,매장구분!$B:$Z,9,0),"")</f>
        <v>신라면세제주</v>
      </c>
      <c r="E74" s="69" t="s">
        <v>334</v>
      </c>
      <c r="F74" s="69" t="s">
        <v>335</v>
      </c>
      <c r="G74" s="69">
        <v>7111</v>
      </c>
      <c r="H74" s="69">
        <v>357955300</v>
      </c>
      <c r="I74" s="69">
        <v>359179900</v>
      </c>
      <c r="J74" s="69">
        <v>8871</v>
      </c>
      <c r="K74" s="69">
        <v>424860300</v>
      </c>
      <c r="L74" s="69">
        <v>426084900</v>
      </c>
      <c r="M74" s="69">
        <v>-1760</v>
      </c>
      <c r="N74" s="69">
        <v>-66905000</v>
      </c>
      <c r="O74" s="69">
        <v>-66905000</v>
      </c>
      <c r="P74" s="69">
        <v>15136000</v>
      </c>
      <c r="Q74" s="69">
        <v>13705000</v>
      </c>
      <c r="R74" s="69">
        <v>13171900</v>
      </c>
      <c r="S74" s="69">
        <v>10145000</v>
      </c>
      <c r="T74" s="69">
        <v>12479300</v>
      </c>
      <c r="U74" s="69">
        <v>12352000</v>
      </c>
      <c r="V74" s="69">
        <v>19617900</v>
      </c>
      <c r="W74" s="69">
        <v>22169600</v>
      </c>
      <c r="X74" s="69">
        <v>16528200</v>
      </c>
      <c r="Y74" s="69">
        <v>12223300</v>
      </c>
      <c r="Z74" s="69">
        <v>10116300</v>
      </c>
      <c r="AA74" s="69">
        <v>18085100</v>
      </c>
      <c r="AB74" s="69">
        <v>18563700</v>
      </c>
      <c r="AC74" s="69">
        <v>15762200</v>
      </c>
      <c r="AD74" s="69">
        <v>13252200</v>
      </c>
      <c r="AE74" s="69">
        <v>16326000</v>
      </c>
      <c r="AF74" s="69">
        <v>17757100</v>
      </c>
      <c r="AG74" s="69">
        <v>14602800</v>
      </c>
      <c r="AH74" s="69">
        <v>20291500</v>
      </c>
      <c r="AI74" s="69">
        <v>13649400</v>
      </c>
      <c r="AJ74" s="69">
        <v>13638800</v>
      </c>
      <c r="AK74" s="69">
        <v>22080000</v>
      </c>
      <c r="AL74" s="69">
        <v>16302000</v>
      </c>
      <c r="AM74" s="69"/>
      <c r="AN74" s="69"/>
      <c r="AO74" s="69"/>
      <c r="AP74" s="69"/>
      <c r="AQ74" s="69"/>
      <c r="AR74" s="69"/>
      <c r="AS74" s="69"/>
      <c r="AT74" s="69"/>
      <c r="AU74" s="6"/>
      <c r="AV74" s="6"/>
      <c r="AW74" s="6">
        <f t="shared" si="9"/>
        <v>28841000</v>
      </c>
      <c r="AX74" s="6">
        <f t="shared" si="9"/>
        <v>106463900</v>
      </c>
      <c r="AY74" s="6">
        <f t="shared" si="9"/>
        <v>104328800</v>
      </c>
      <c r="AZ74" s="6">
        <f t="shared" si="9"/>
        <v>118321600</v>
      </c>
      <c r="BA74" s="6">
        <f t="shared" si="9"/>
        <v>0</v>
      </c>
      <c r="BC74" s="66">
        <f t="shared" ca="1" si="10"/>
        <v>357955300</v>
      </c>
    </row>
    <row r="75" spans="1:55" x14ac:dyDescent="0.3">
      <c r="A75" s="6" t="str">
        <f>IFERROR(VLOOKUP($F75,매장구분!$B:$K,2,0),"")</f>
        <v>파트너채널팀</v>
      </c>
      <c r="B75" s="6" t="str">
        <f>IFERROR(VLOOKUP($F75,매장구분!$B:$K,3,0),"")</f>
        <v>면세</v>
      </c>
      <c r="C75" s="6" t="str">
        <f>IFERROR(VLOOKUP($F75,매장구분!$B:$K,5,0),"")</f>
        <v>면세</v>
      </c>
      <c r="D75" s="6" t="str">
        <f>IFERROR(VLOOKUP($F75,매장구분!$B:$Z,9,0),"")</f>
        <v>롯데면세월드</v>
      </c>
      <c r="E75" s="69" t="s">
        <v>213</v>
      </c>
      <c r="F75" s="69" t="s">
        <v>214</v>
      </c>
      <c r="G75" s="69">
        <v>5416</v>
      </c>
      <c r="H75" s="69">
        <v>308152200</v>
      </c>
      <c r="I75" s="69">
        <v>308360700</v>
      </c>
      <c r="J75" s="69">
        <v>5474</v>
      </c>
      <c r="K75" s="69">
        <v>317281200</v>
      </c>
      <c r="L75" s="69">
        <v>317489700</v>
      </c>
      <c r="M75" s="69">
        <v>-58</v>
      </c>
      <c r="N75" s="69">
        <v>-9129000</v>
      </c>
      <c r="O75" s="69">
        <v>-9129000</v>
      </c>
      <c r="P75" s="69">
        <v>4205900</v>
      </c>
      <c r="Q75" s="69">
        <v>501000</v>
      </c>
      <c r="R75" s="69">
        <v>675000</v>
      </c>
      <c r="S75" s="69">
        <v>36000</v>
      </c>
      <c r="T75" s="69">
        <v>1315000</v>
      </c>
      <c r="U75" s="69">
        <v>628300</v>
      </c>
      <c r="V75" s="69">
        <v>62139000</v>
      </c>
      <c r="W75" s="69">
        <v>41750000</v>
      </c>
      <c r="X75" s="69">
        <v>1511000</v>
      </c>
      <c r="Y75" s="69">
        <v>2893000</v>
      </c>
      <c r="Z75" s="69">
        <v>4381300</v>
      </c>
      <c r="AA75" s="69">
        <v>13738000</v>
      </c>
      <c r="AB75" s="69">
        <v>3010300</v>
      </c>
      <c r="AC75" s="69">
        <v>44860000</v>
      </c>
      <c r="AD75" s="69">
        <v>26017000</v>
      </c>
      <c r="AE75" s="69">
        <v>2842000</v>
      </c>
      <c r="AF75" s="69">
        <v>293000</v>
      </c>
      <c r="AG75" s="69">
        <v>8793300</v>
      </c>
      <c r="AH75" s="69">
        <v>29915000</v>
      </c>
      <c r="AI75" s="69">
        <v>329000</v>
      </c>
      <c r="AJ75" s="69">
        <v>40410900</v>
      </c>
      <c r="AK75" s="69">
        <v>15469200</v>
      </c>
      <c r="AL75" s="69">
        <v>2439000</v>
      </c>
      <c r="AM75" s="69"/>
      <c r="AN75" s="69"/>
      <c r="AO75" s="69"/>
      <c r="AP75" s="69"/>
      <c r="AQ75" s="69"/>
      <c r="AR75" s="69"/>
      <c r="AS75" s="69"/>
      <c r="AT75" s="69"/>
      <c r="AU75" s="6"/>
      <c r="AV75" s="6"/>
      <c r="AW75" s="6">
        <f t="shared" ref="AW75:BA90" si="11">SUMIFS($P75:$AS75,$P$3:$AS$3,AW$3)</f>
        <v>4706900</v>
      </c>
      <c r="AX75" s="6">
        <f t="shared" si="11"/>
        <v>108054300</v>
      </c>
      <c r="AY75" s="6">
        <f t="shared" si="11"/>
        <v>97741600</v>
      </c>
      <c r="AZ75" s="6">
        <f t="shared" si="11"/>
        <v>97649400</v>
      </c>
      <c r="BA75" s="6">
        <f t="shared" si="11"/>
        <v>0</v>
      </c>
      <c r="BC75" s="66">
        <f t="shared" ca="1" si="10"/>
        <v>308152200</v>
      </c>
    </row>
    <row r="76" spans="1:55" x14ac:dyDescent="0.3">
      <c r="A76" s="6" t="str">
        <f>IFERROR(VLOOKUP($F76,매장구분!$B:$K,2,0),"")</f>
        <v>파트너채널팀</v>
      </c>
      <c r="B76" s="6" t="str">
        <f>IFERROR(VLOOKUP($F76,매장구분!$B:$K,3,0),"")</f>
        <v>면세</v>
      </c>
      <c r="C76" s="6" t="str">
        <f>IFERROR(VLOOKUP($F76,매장구분!$B:$K,5,0),"")</f>
        <v>면세</v>
      </c>
      <c r="D76" s="6" t="str">
        <f>IFERROR(VLOOKUP($F76,매장구분!$B:$Z,9,0),"")</f>
        <v>신라면세장충</v>
      </c>
      <c r="E76" s="69" t="s">
        <v>299</v>
      </c>
      <c r="F76" s="69" t="s">
        <v>300</v>
      </c>
      <c r="G76" s="69">
        <v>32042</v>
      </c>
      <c r="H76" s="69">
        <v>1732741700</v>
      </c>
      <c r="I76" s="69">
        <v>1736480000</v>
      </c>
      <c r="J76" s="69">
        <v>32216</v>
      </c>
      <c r="K76" s="69">
        <v>1745014600</v>
      </c>
      <c r="L76" s="69">
        <v>1748884000</v>
      </c>
      <c r="M76" s="69">
        <v>-174</v>
      </c>
      <c r="N76" s="69">
        <v>-12272900</v>
      </c>
      <c r="O76" s="69">
        <v>-12404000</v>
      </c>
      <c r="P76" s="69">
        <v>161229200</v>
      </c>
      <c r="Q76" s="69">
        <v>74626200</v>
      </c>
      <c r="R76" s="69">
        <v>22820100</v>
      </c>
      <c r="S76" s="69">
        <v>48963900</v>
      </c>
      <c r="T76" s="69">
        <v>78005600</v>
      </c>
      <c r="U76" s="69">
        <v>144729300</v>
      </c>
      <c r="V76" s="69">
        <v>147931700</v>
      </c>
      <c r="W76" s="69">
        <v>40245600</v>
      </c>
      <c r="X76" s="69">
        <v>19621600</v>
      </c>
      <c r="Y76" s="69">
        <v>43790300</v>
      </c>
      <c r="Z76" s="69">
        <v>56015900</v>
      </c>
      <c r="AA76" s="69">
        <v>54786200</v>
      </c>
      <c r="AB76" s="69">
        <v>228577500</v>
      </c>
      <c r="AC76" s="69">
        <v>83564200</v>
      </c>
      <c r="AD76" s="69">
        <v>69713200</v>
      </c>
      <c r="AE76" s="69">
        <v>57578300</v>
      </c>
      <c r="AF76" s="69">
        <v>80052000</v>
      </c>
      <c r="AG76" s="69">
        <v>90294000</v>
      </c>
      <c r="AH76" s="69">
        <v>82778300</v>
      </c>
      <c r="AI76" s="69">
        <v>79783300</v>
      </c>
      <c r="AJ76" s="69">
        <v>50654000</v>
      </c>
      <c r="AK76" s="69">
        <v>8480000</v>
      </c>
      <c r="AL76" s="69">
        <v>8501300</v>
      </c>
      <c r="AM76" s="69"/>
      <c r="AN76" s="69"/>
      <c r="AO76" s="69"/>
      <c r="AP76" s="69"/>
      <c r="AQ76" s="69"/>
      <c r="AR76" s="69"/>
      <c r="AS76" s="69"/>
      <c r="AT76" s="69"/>
      <c r="AU76" s="6"/>
      <c r="AV76" s="6"/>
      <c r="AW76" s="6">
        <f t="shared" si="11"/>
        <v>235855400</v>
      </c>
      <c r="AX76" s="6">
        <f t="shared" si="11"/>
        <v>502317800</v>
      </c>
      <c r="AY76" s="6">
        <f t="shared" si="11"/>
        <v>594025600</v>
      </c>
      <c r="AZ76" s="6">
        <f t="shared" si="11"/>
        <v>400542900</v>
      </c>
      <c r="BA76" s="6">
        <f t="shared" si="11"/>
        <v>0</v>
      </c>
      <c r="BC76" s="66">
        <f t="shared" ca="1" si="10"/>
        <v>1732741700</v>
      </c>
    </row>
    <row r="77" spans="1:55" x14ac:dyDescent="0.3">
      <c r="A77" s="6" t="str">
        <f>IFERROR(VLOOKUP($F77,매장구분!$B:$K,2,0),"")</f>
        <v>파트너채널팀</v>
      </c>
      <c r="B77" s="6" t="str">
        <f>IFERROR(VLOOKUP($F77,매장구분!$B:$K,3,0),"")</f>
        <v>면세</v>
      </c>
      <c r="C77" s="6" t="str">
        <f>IFERROR(VLOOKUP($F77,매장구분!$B:$K,5,0),"")</f>
        <v>면세</v>
      </c>
      <c r="D77" s="6" t="str">
        <f>IFERROR(VLOOKUP($F77,매장구분!$B:$Z,9,0),"")</f>
        <v>롯데면세소공</v>
      </c>
      <c r="E77" s="69" t="s">
        <v>384</v>
      </c>
      <c r="F77" s="69" t="s">
        <v>385</v>
      </c>
      <c r="G77" s="69">
        <v>31668</v>
      </c>
      <c r="H77" s="69">
        <v>1984394500</v>
      </c>
      <c r="I77" s="69">
        <v>1991099500</v>
      </c>
      <c r="J77" s="69">
        <v>31858</v>
      </c>
      <c r="K77" s="69">
        <v>1997915300</v>
      </c>
      <c r="L77" s="69">
        <v>2004620300</v>
      </c>
      <c r="M77" s="69">
        <v>-190</v>
      </c>
      <c r="N77" s="69">
        <v>-13520800</v>
      </c>
      <c r="O77" s="69">
        <v>-13520800</v>
      </c>
      <c r="P77" s="69">
        <v>23387900</v>
      </c>
      <c r="Q77" s="69">
        <v>14296000</v>
      </c>
      <c r="R77" s="69">
        <v>20204800</v>
      </c>
      <c r="S77" s="69">
        <v>21232800</v>
      </c>
      <c r="T77" s="69">
        <v>196180400</v>
      </c>
      <c r="U77" s="69">
        <v>180419900</v>
      </c>
      <c r="V77" s="69">
        <v>179261800</v>
      </c>
      <c r="W77" s="69">
        <v>39204100</v>
      </c>
      <c r="X77" s="69">
        <v>13366500</v>
      </c>
      <c r="Y77" s="69">
        <v>12194000</v>
      </c>
      <c r="Z77" s="69">
        <v>181191900</v>
      </c>
      <c r="AA77" s="69">
        <v>149284700</v>
      </c>
      <c r="AB77" s="69">
        <v>133976600</v>
      </c>
      <c r="AC77" s="69">
        <v>133805800</v>
      </c>
      <c r="AD77" s="69">
        <v>21345600</v>
      </c>
      <c r="AE77" s="69">
        <v>16070500</v>
      </c>
      <c r="AF77" s="69">
        <v>113040200</v>
      </c>
      <c r="AG77" s="69">
        <v>92299900</v>
      </c>
      <c r="AH77" s="69">
        <v>151076900</v>
      </c>
      <c r="AI77" s="69">
        <v>233228000</v>
      </c>
      <c r="AJ77" s="69">
        <v>35605800</v>
      </c>
      <c r="AK77" s="69">
        <v>11062800</v>
      </c>
      <c r="AL77" s="69">
        <v>12657600</v>
      </c>
      <c r="AM77" s="69"/>
      <c r="AN77" s="69"/>
      <c r="AO77" s="69"/>
      <c r="AP77" s="69"/>
      <c r="AQ77" s="69"/>
      <c r="AR77" s="69"/>
      <c r="AS77" s="69"/>
      <c r="AT77" s="69"/>
      <c r="AU77" s="6"/>
      <c r="AV77" s="6"/>
      <c r="AW77" s="6">
        <f t="shared" si="11"/>
        <v>37683900</v>
      </c>
      <c r="AX77" s="6">
        <f t="shared" si="11"/>
        <v>649870300</v>
      </c>
      <c r="AY77" s="6">
        <f t="shared" si="11"/>
        <v>647869100</v>
      </c>
      <c r="AZ77" s="6">
        <f t="shared" si="11"/>
        <v>648971200</v>
      </c>
      <c r="BA77" s="6">
        <f t="shared" si="11"/>
        <v>0</v>
      </c>
      <c r="BC77" s="66">
        <f t="shared" ca="1" si="10"/>
        <v>1984394500</v>
      </c>
    </row>
    <row r="78" spans="1:55" x14ac:dyDescent="0.3">
      <c r="A78" s="6" t="str">
        <f>IFERROR(VLOOKUP($F78,매장구분!$B:$K,2,0),"")</f>
        <v>파트너채널팀</v>
      </c>
      <c r="B78" s="6" t="str">
        <f>IFERROR(VLOOKUP($F78,매장구분!$B:$K,3,0),"")</f>
        <v>면세</v>
      </c>
      <c r="C78" s="6" t="str">
        <f>IFERROR(VLOOKUP($F78,매장구분!$B:$K,5,0),"")</f>
        <v>면세</v>
      </c>
      <c r="D78" s="6" t="str">
        <f>IFERROR(VLOOKUP($F78,매장구분!$B:$Z,9,0),"")</f>
        <v>신세계면세명동</v>
      </c>
      <c r="E78" s="69" t="s">
        <v>173</v>
      </c>
      <c r="F78" s="69" t="s">
        <v>174</v>
      </c>
      <c r="G78" s="69">
        <v>18124</v>
      </c>
      <c r="H78" s="69">
        <v>1040337200</v>
      </c>
      <c r="I78" s="69">
        <v>1040858300</v>
      </c>
      <c r="J78" s="69">
        <v>18459</v>
      </c>
      <c r="K78" s="69">
        <v>1058866100</v>
      </c>
      <c r="L78" s="69">
        <v>1059387200</v>
      </c>
      <c r="M78" s="69">
        <v>-335</v>
      </c>
      <c r="N78" s="69">
        <v>-18528900</v>
      </c>
      <c r="O78" s="69">
        <v>-18528900</v>
      </c>
      <c r="P78" s="69">
        <v>20948300</v>
      </c>
      <c r="Q78" s="69">
        <v>16512000</v>
      </c>
      <c r="R78" s="69">
        <v>18324000</v>
      </c>
      <c r="S78" s="69">
        <v>25255000</v>
      </c>
      <c r="T78" s="69">
        <v>31987100</v>
      </c>
      <c r="U78" s="69">
        <v>25455800</v>
      </c>
      <c r="V78" s="69">
        <v>29845800</v>
      </c>
      <c r="W78" s="69">
        <v>55881100</v>
      </c>
      <c r="X78" s="69">
        <v>89683300</v>
      </c>
      <c r="Y78" s="69">
        <v>31475000</v>
      </c>
      <c r="Z78" s="69">
        <v>29122300</v>
      </c>
      <c r="AA78" s="69">
        <v>63978300</v>
      </c>
      <c r="AB78" s="69">
        <v>68601000</v>
      </c>
      <c r="AC78" s="69">
        <v>76226600</v>
      </c>
      <c r="AD78" s="69">
        <v>57263200</v>
      </c>
      <c r="AE78" s="69">
        <v>24261000</v>
      </c>
      <c r="AF78" s="69">
        <v>83317000</v>
      </c>
      <c r="AG78" s="69">
        <v>22766300</v>
      </c>
      <c r="AH78" s="69">
        <v>24761900</v>
      </c>
      <c r="AI78" s="69">
        <v>49679000</v>
      </c>
      <c r="AJ78" s="69">
        <v>75421900</v>
      </c>
      <c r="AK78" s="69">
        <v>70203700</v>
      </c>
      <c r="AL78" s="69">
        <v>49367600</v>
      </c>
      <c r="AM78" s="69"/>
      <c r="AN78" s="69"/>
      <c r="AO78" s="69"/>
      <c r="AP78" s="69"/>
      <c r="AQ78" s="69"/>
      <c r="AR78" s="69"/>
      <c r="AS78" s="69"/>
      <c r="AT78" s="69"/>
      <c r="AU78" s="6"/>
      <c r="AV78" s="6"/>
      <c r="AW78" s="6">
        <f t="shared" si="11"/>
        <v>37460300</v>
      </c>
      <c r="AX78" s="6">
        <f t="shared" si="11"/>
        <v>276432100</v>
      </c>
      <c r="AY78" s="6">
        <f t="shared" si="11"/>
        <v>350927400</v>
      </c>
      <c r="AZ78" s="6">
        <f t="shared" si="11"/>
        <v>375517400</v>
      </c>
      <c r="BA78" s="6">
        <f t="shared" si="11"/>
        <v>0</v>
      </c>
      <c r="BC78" s="66">
        <f t="shared" ca="1" si="10"/>
        <v>1040337200</v>
      </c>
    </row>
    <row r="79" spans="1:55" x14ac:dyDescent="0.3">
      <c r="A79" s="6" t="str">
        <f>IFERROR(VLOOKUP($F79,매장구분!$B:$K,2,0),"")</f>
        <v>파트너채널팀</v>
      </c>
      <c r="B79" s="6" t="str">
        <f>IFERROR(VLOOKUP($F79,매장구분!$B:$K,3,0),"")</f>
        <v>면세</v>
      </c>
      <c r="C79" s="6" t="str">
        <f>IFERROR(VLOOKUP($F79,매장구분!$B:$K,5,0),"")</f>
        <v>면세</v>
      </c>
      <c r="D79" s="6" t="str">
        <f>IFERROR(VLOOKUP($F79,매장구분!$B:$Z,9,0),"")</f>
        <v>현대면세무역</v>
      </c>
      <c r="E79" s="69" t="s">
        <v>466</v>
      </c>
      <c r="F79" s="69" t="s">
        <v>467</v>
      </c>
      <c r="G79" s="69">
        <v>24176</v>
      </c>
      <c r="H79" s="69">
        <v>1101852700</v>
      </c>
      <c r="I79" s="69">
        <v>1102567600</v>
      </c>
      <c r="J79" s="69">
        <v>24187</v>
      </c>
      <c r="K79" s="69">
        <v>1103514000</v>
      </c>
      <c r="L79" s="69">
        <v>1104270600</v>
      </c>
      <c r="M79" s="69">
        <v>-11</v>
      </c>
      <c r="N79" s="69">
        <v>-1661300</v>
      </c>
      <c r="O79" s="69">
        <v>-1703000</v>
      </c>
      <c r="P79" s="69">
        <v>110441900</v>
      </c>
      <c r="Q79" s="69">
        <v>8741300</v>
      </c>
      <c r="R79" s="69">
        <v>22015600</v>
      </c>
      <c r="S79" s="69">
        <v>4118000</v>
      </c>
      <c r="T79" s="69">
        <v>164211800</v>
      </c>
      <c r="U79" s="69">
        <v>26620000</v>
      </c>
      <c r="V79" s="69">
        <v>107423000</v>
      </c>
      <c r="W79" s="69">
        <v>50343300</v>
      </c>
      <c r="X79" s="69">
        <v>17669000</v>
      </c>
      <c r="Y79" s="69">
        <v>27442000</v>
      </c>
      <c r="Z79" s="69">
        <v>62357000</v>
      </c>
      <c r="AA79" s="69">
        <v>62016700</v>
      </c>
      <c r="AB79" s="69">
        <v>113081000</v>
      </c>
      <c r="AC79" s="69">
        <v>20635000</v>
      </c>
      <c r="AD79" s="69">
        <v>17305000</v>
      </c>
      <c r="AE79" s="69">
        <v>23047000</v>
      </c>
      <c r="AF79" s="69">
        <v>62309100</v>
      </c>
      <c r="AG79" s="69">
        <v>55111000</v>
      </c>
      <c r="AH79" s="69">
        <v>41469100</v>
      </c>
      <c r="AI79" s="69">
        <v>16152700</v>
      </c>
      <c r="AJ79" s="69">
        <v>4563000</v>
      </c>
      <c r="AK79" s="69">
        <v>38681300</v>
      </c>
      <c r="AL79" s="69">
        <v>46098900</v>
      </c>
      <c r="AM79" s="69"/>
      <c r="AN79" s="69"/>
      <c r="AO79" s="69"/>
      <c r="AP79" s="69"/>
      <c r="AQ79" s="69"/>
      <c r="AR79" s="69"/>
      <c r="AS79" s="69"/>
      <c r="AT79" s="69"/>
      <c r="AU79" s="6"/>
      <c r="AV79" s="6"/>
      <c r="AW79" s="6">
        <f t="shared" si="11"/>
        <v>119183200</v>
      </c>
      <c r="AX79" s="6">
        <f t="shared" si="11"/>
        <v>392400700</v>
      </c>
      <c r="AY79" s="6">
        <f t="shared" si="11"/>
        <v>325883700</v>
      </c>
      <c r="AZ79" s="6">
        <f t="shared" si="11"/>
        <v>264385100</v>
      </c>
      <c r="BA79" s="6">
        <f t="shared" si="11"/>
        <v>0</v>
      </c>
      <c r="BC79" s="66">
        <f t="shared" ca="1" si="10"/>
        <v>1101852700</v>
      </c>
    </row>
    <row r="80" spans="1:55" x14ac:dyDescent="0.3">
      <c r="A80" s="6" t="str">
        <f>IFERROR(VLOOKUP($F80,매장구분!$B:$K,2,0),"")</f>
        <v>리테일채널팀</v>
      </c>
      <c r="B80" s="6" t="str">
        <f>IFERROR(VLOOKUP($F80,매장구분!$B:$K,3,0),"")</f>
        <v>국내</v>
      </c>
      <c r="C80" s="6" t="str">
        <f>IFERROR(VLOOKUP($F80,매장구분!$B:$K,5,0),"")</f>
        <v>직영점</v>
      </c>
      <c r="D80" s="6" t="str">
        <f>IFERROR(VLOOKUP($F80,매장구분!$B:$Z,9,0),"")</f>
        <v>타임스퀘어영등포(직)</v>
      </c>
      <c r="E80" s="69" t="s">
        <v>186</v>
      </c>
      <c r="F80" s="69" t="s">
        <v>187</v>
      </c>
      <c r="G80" s="69">
        <v>967</v>
      </c>
      <c r="H80" s="69">
        <v>99045000</v>
      </c>
      <c r="I80" s="69">
        <v>102742500</v>
      </c>
      <c r="J80" s="69">
        <v>1026</v>
      </c>
      <c r="K80" s="69">
        <v>107548000</v>
      </c>
      <c r="L80" s="69">
        <v>111585500</v>
      </c>
      <c r="M80" s="69">
        <v>-59</v>
      </c>
      <c r="N80" s="69">
        <v>-8503000</v>
      </c>
      <c r="O80" s="69">
        <v>-8843000</v>
      </c>
      <c r="P80" s="69">
        <v>6594000</v>
      </c>
      <c r="Q80" s="69">
        <v>8996900</v>
      </c>
      <c r="R80" s="69">
        <v>2417900</v>
      </c>
      <c r="S80" s="69">
        <v>3404000</v>
      </c>
      <c r="T80" s="69">
        <v>2563600</v>
      </c>
      <c r="U80" s="69">
        <v>2130000</v>
      </c>
      <c r="V80" s="69">
        <v>2424000</v>
      </c>
      <c r="W80" s="69">
        <v>6593900</v>
      </c>
      <c r="X80" s="69">
        <v>5384800</v>
      </c>
      <c r="Y80" s="69">
        <v>2620900</v>
      </c>
      <c r="Z80" s="69">
        <v>3007000</v>
      </c>
      <c r="AA80" s="69">
        <v>3833900</v>
      </c>
      <c r="AB80" s="69">
        <v>1559000</v>
      </c>
      <c r="AC80" s="69">
        <v>3428200</v>
      </c>
      <c r="AD80" s="69">
        <v>5414000</v>
      </c>
      <c r="AE80" s="69">
        <v>9712000</v>
      </c>
      <c r="AF80" s="69">
        <v>1086900</v>
      </c>
      <c r="AG80" s="69">
        <v>3947000</v>
      </c>
      <c r="AH80" s="69">
        <v>2557000</v>
      </c>
      <c r="AI80" s="69">
        <v>5988000</v>
      </c>
      <c r="AJ80" s="69">
        <v>3106800</v>
      </c>
      <c r="AK80" s="69">
        <v>7441900</v>
      </c>
      <c r="AL80" s="69">
        <v>4833300</v>
      </c>
      <c r="AM80" s="69"/>
      <c r="AN80" s="69"/>
      <c r="AO80" s="69"/>
      <c r="AP80" s="69"/>
      <c r="AQ80" s="69"/>
      <c r="AR80" s="69"/>
      <c r="AS80" s="69"/>
      <c r="AT80" s="69"/>
      <c r="AU80" s="6"/>
      <c r="AV80" s="6"/>
      <c r="AW80" s="6">
        <f t="shared" si="11"/>
        <v>15590900</v>
      </c>
      <c r="AX80" s="6">
        <f t="shared" si="11"/>
        <v>24918200</v>
      </c>
      <c r="AY80" s="6">
        <f t="shared" si="11"/>
        <v>29575000</v>
      </c>
      <c r="AZ80" s="6">
        <f t="shared" si="11"/>
        <v>28960900</v>
      </c>
      <c r="BA80" s="6">
        <f t="shared" si="11"/>
        <v>0</v>
      </c>
      <c r="BC80" s="66">
        <f t="shared" ca="1" si="10"/>
        <v>99045000</v>
      </c>
    </row>
    <row r="81" spans="1:55" x14ac:dyDescent="0.3">
      <c r="A81" s="6" t="str">
        <f>IFERROR(VLOOKUP($F81,매장구분!$B:$K,2,0),"")</f>
        <v>E-biz</v>
      </c>
      <c r="B81" s="6" t="str">
        <f>IFERROR(VLOOKUP($F81,매장구분!$B:$K,3,0),"")</f>
        <v>국내</v>
      </c>
      <c r="C81" s="6" t="str">
        <f>IFERROR(VLOOKUP($F81,매장구분!$B:$K,5,0),"")</f>
        <v>온(자사몰)</v>
      </c>
      <c r="D81" s="6" t="str">
        <f>IFERROR(VLOOKUP($F81,매장구분!$B:$Z,9,0),"")</f>
        <v>온라인쇼핑몰</v>
      </c>
      <c r="E81" s="69" t="s">
        <v>178</v>
      </c>
      <c r="F81" s="69" t="s">
        <v>179</v>
      </c>
      <c r="G81" s="69">
        <v>10983</v>
      </c>
      <c r="H81" s="69">
        <v>829903450</v>
      </c>
      <c r="I81" s="69">
        <v>930488600</v>
      </c>
      <c r="J81" s="69">
        <v>13418</v>
      </c>
      <c r="K81" s="69">
        <v>1041973070</v>
      </c>
      <c r="L81" s="69">
        <v>1164801800</v>
      </c>
      <c r="M81" s="69">
        <v>-2435</v>
      </c>
      <c r="N81" s="69">
        <v>-212069620</v>
      </c>
      <c r="O81" s="69">
        <v>-234313200</v>
      </c>
      <c r="P81" s="69">
        <v>35303440</v>
      </c>
      <c r="Q81" s="69">
        <v>38434230</v>
      </c>
      <c r="R81" s="69">
        <v>25768780</v>
      </c>
      <c r="S81" s="69">
        <v>32365400</v>
      </c>
      <c r="T81" s="69">
        <v>26812260</v>
      </c>
      <c r="U81" s="69">
        <v>24464880</v>
      </c>
      <c r="V81" s="69">
        <v>18018390</v>
      </c>
      <c r="W81" s="69">
        <v>22254380</v>
      </c>
      <c r="X81" s="69">
        <v>22593490</v>
      </c>
      <c r="Y81" s="69">
        <v>30756850</v>
      </c>
      <c r="Z81" s="69">
        <v>54793250</v>
      </c>
      <c r="AA81" s="69">
        <v>47068680</v>
      </c>
      <c r="AB81" s="69">
        <v>38089870</v>
      </c>
      <c r="AC81" s="69">
        <v>27072560</v>
      </c>
      <c r="AD81" s="69">
        <v>27583550</v>
      </c>
      <c r="AE81" s="69">
        <v>39118350</v>
      </c>
      <c r="AF81" s="69">
        <v>40118350</v>
      </c>
      <c r="AG81" s="69">
        <v>29553870</v>
      </c>
      <c r="AH81" s="69">
        <v>37453550</v>
      </c>
      <c r="AI81" s="69">
        <v>31117960</v>
      </c>
      <c r="AJ81" s="69">
        <v>106943560</v>
      </c>
      <c r="AK81" s="69">
        <v>32381670</v>
      </c>
      <c r="AL81" s="69">
        <v>41836130</v>
      </c>
      <c r="AM81" s="69"/>
      <c r="AN81" s="69"/>
      <c r="AO81" s="69"/>
      <c r="AP81" s="69"/>
      <c r="AQ81" s="69"/>
      <c r="AR81" s="69"/>
      <c r="AS81" s="69"/>
      <c r="AT81" s="69"/>
      <c r="AU81" s="6"/>
      <c r="AV81" s="6"/>
      <c r="AW81" s="6">
        <f t="shared" si="11"/>
        <v>73737670</v>
      </c>
      <c r="AX81" s="6">
        <f t="shared" si="11"/>
        <v>172277580</v>
      </c>
      <c r="AY81" s="6">
        <f t="shared" si="11"/>
        <v>264483110</v>
      </c>
      <c r="AZ81" s="6">
        <f t="shared" si="11"/>
        <v>319405090</v>
      </c>
      <c r="BA81" s="6">
        <f t="shared" si="11"/>
        <v>0</v>
      </c>
      <c r="BC81" s="66">
        <f t="shared" ca="1" si="10"/>
        <v>829903450</v>
      </c>
    </row>
    <row r="82" spans="1:55" x14ac:dyDescent="0.3">
      <c r="A82" s="6" t="str">
        <f>IFERROR(VLOOKUP($F82,매장구분!$B:$K,2,0),"")</f>
        <v>리테일채널팀</v>
      </c>
      <c r="B82" s="6" t="str">
        <f>IFERROR(VLOOKUP($F82,매장구분!$B:$K,3,0),"")</f>
        <v>국내</v>
      </c>
      <c r="C82" s="6" t="str">
        <f>IFERROR(VLOOKUP($F82,매장구분!$B:$K,5,0),"")</f>
        <v>직영점</v>
      </c>
      <c r="D82" s="6" t="str">
        <f>IFERROR(VLOOKUP($F82,매장구분!$B:$Z,9,0),"")</f>
        <v>충장로</v>
      </c>
      <c r="E82" s="69" t="s">
        <v>544</v>
      </c>
      <c r="F82" s="69" t="s">
        <v>545</v>
      </c>
      <c r="G82" s="69">
        <v>862</v>
      </c>
      <c r="H82" s="69">
        <v>91196300</v>
      </c>
      <c r="I82" s="69">
        <v>94828200</v>
      </c>
      <c r="J82" s="69">
        <v>1029</v>
      </c>
      <c r="K82" s="69">
        <v>121974100</v>
      </c>
      <c r="L82" s="69">
        <v>125806000</v>
      </c>
      <c r="M82" s="69">
        <v>-167</v>
      </c>
      <c r="N82" s="69">
        <v>-30777800</v>
      </c>
      <c r="O82" s="69">
        <v>-30977800</v>
      </c>
      <c r="P82" s="69">
        <v>9071800</v>
      </c>
      <c r="Q82" s="69">
        <v>11498000</v>
      </c>
      <c r="R82" s="69">
        <v>3629200</v>
      </c>
      <c r="S82" s="69">
        <v>2846000</v>
      </c>
      <c r="T82" s="69">
        <v>3212000</v>
      </c>
      <c r="U82" s="69">
        <v>1814800</v>
      </c>
      <c r="V82" s="69">
        <v>2434000</v>
      </c>
      <c r="W82" s="69">
        <v>4474600</v>
      </c>
      <c r="X82" s="69">
        <v>8410300</v>
      </c>
      <c r="Y82" s="69">
        <v>2051900</v>
      </c>
      <c r="Z82" s="69">
        <v>1815000</v>
      </c>
      <c r="AA82" s="69">
        <v>2159300</v>
      </c>
      <c r="AB82" s="69">
        <v>3018100</v>
      </c>
      <c r="AC82" s="69">
        <v>2516000</v>
      </c>
      <c r="AD82" s="69">
        <v>6565100</v>
      </c>
      <c r="AE82" s="69">
        <v>5863100</v>
      </c>
      <c r="AF82" s="69">
        <v>1126000</v>
      </c>
      <c r="AG82" s="69">
        <v>1120100</v>
      </c>
      <c r="AH82" s="69">
        <v>5983900</v>
      </c>
      <c r="AI82" s="69">
        <v>1545200</v>
      </c>
      <c r="AJ82" s="69">
        <v>2931100</v>
      </c>
      <c r="AK82" s="69">
        <v>3044900</v>
      </c>
      <c r="AL82" s="69">
        <v>4065900</v>
      </c>
      <c r="AM82" s="69"/>
      <c r="AN82" s="69"/>
      <c r="AO82" s="69"/>
      <c r="AP82" s="69"/>
      <c r="AQ82" s="69"/>
      <c r="AR82" s="69"/>
      <c r="AS82" s="69"/>
      <c r="AT82" s="69"/>
      <c r="AU82" s="6"/>
      <c r="AV82" s="6"/>
      <c r="AW82" s="6">
        <f t="shared" si="11"/>
        <v>20569800</v>
      </c>
      <c r="AX82" s="6">
        <f t="shared" si="11"/>
        <v>26820900</v>
      </c>
      <c r="AY82" s="6">
        <f t="shared" si="11"/>
        <v>23988500</v>
      </c>
      <c r="AZ82" s="6">
        <f t="shared" si="11"/>
        <v>19817100</v>
      </c>
      <c r="BA82" s="6">
        <f t="shared" si="11"/>
        <v>0</v>
      </c>
      <c r="BC82" s="66">
        <f t="shared" ca="1" si="10"/>
        <v>91196300</v>
      </c>
    </row>
    <row r="83" spans="1:55" x14ac:dyDescent="0.3">
      <c r="A83" s="6" t="str">
        <f>IFERROR(VLOOKUP($F83,매장구분!$B:$K,2,0),"")</f>
        <v>리테일채널팀</v>
      </c>
      <c r="B83" s="6" t="str">
        <f>IFERROR(VLOOKUP($F83,매장구분!$B:$K,3,0),"")</f>
        <v>국내</v>
      </c>
      <c r="C83" s="6" t="str">
        <f>IFERROR(VLOOKUP($F83,매장구분!$B:$K,5,0),"")</f>
        <v>직영점</v>
      </c>
      <c r="D83" s="6" t="str">
        <f>IFERROR(VLOOKUP($F83,매장구분!$B:$Z,9,0),"")</f>
        <v>동성로</v>
      </c>
      <c r="E83" s="69" t="s">
        <v>204</v>
      </c>
      <c r="F83" s="69" t="s">
        <v>205</v>
      </c>
      <c r="G83" s="69">
        <v>653</v>
      </c>
      <c r="H83" s="69">
        <v>50367000</v>
      </c>
      <c r="I83" s="69">
        <v>53466200</v>
      </c>
      <c r="J83" s="69">
        <v>768</v>
      </c>
      <c r="K83" s="69">
        <v>68934000</v>
      </c>
      <c r="L83" s="69">
        <v>72061100</v>
      </c>
      <c r="M83" s="69">
        <v>-115</v>
      </c>
      <c r="N83" s="69">
        <v>-18567000</v>
      </c>
      <c r="O83" s="69">
        <v>-18594900</v>
      </c>
      <c r="P83" s="69">
        <v>3283000</v>
      </c>
      <c r="Q83" s="69">
        <v>5051800</v>
      </c>
      <c r="R83" s="69">
        <v>2059000</v>
      </c>
      <c r="S83" s="69">
        <v>709000</v>
      </c>
      <c r="T83" s="69">
        <v>1556000</v>
      </c>
      <c r="U83" s="69">
        <v>589000</v>
      </c>
      <c r="V83" s="69">
        <v>2021000</v>
      </c>
      <c r="W83" s="69">
        <v>2783000</v>
      </c>
      <c r="X83" s="69">
        <v>2686000</v>
      </c>
      <c r="Y83" s="69">
        <v>986000</v>
      </c>
      <c r="Z83" s="69">
        <v>1349400</v>
      </c>
      <c r="AA83" s="69">
        <v>926100</v>
      </c>
      <c r="AB83" s="69">
        <v>1727200</v>
      </c>
      <c r="AC83" s="69">
        <v>1262100</v>
      </c>
      <c r="AD83" s="69">
        <v>3539600</v>
      </c>
      <c r="AE83" s="69">
        <v>3909400</v>
      </c>
      <c r="AF83" s="69">
        <v>1532200</v>
      </c>
      <c r="AG83" s="69">
        <v>1962700</v>
      </c>
      <c r="AH83" s="69">
        <v>1670000</v>
      </c>
      <c r="AI83" s="69">
        <v>826000</v>
      </c>
      <c r="AJ83" s="69">
        <v>796000</v>
      </c>
      <c r="AK83" s="69">
        <v>4716500</v>
      </c>
      <c r="AL83" s="69">
        <v>4426000</v>
      </c>
      <c r="AM83" s="69"/>
      <c r="AN83" s="69"/>
      <c r="AO83" s="69"/>
      <c r="AP83" s="69"/>
      <c r="AQ83" s="69"/>
      <c r="AR83" s="69"/>
      <c r="AS83" s="69"/>
      <c r="AT83" s="69"/>
      <c r="AU83" s="6"/>
      <c r="AV83" s="6"/>
      <c r="AW83" s="6">
        <f t="shared" si="11"/>
        <v>8334800</v>
      </c>
      <c r="AX83" s="6">
        <f t="shared" si="11"/>
        <v>12403000</v>
      </c>
      <c r="AY83" s="6">
        <f t="shared" si="11"/>
        <v>13699800</v>
      </c>
      <c r="AZ83" s="6">
        <f t="shared" si="11"/>
        <v>15929400</v>
      </c>
      <c r="BA83" s="6">
        <f t="shared" si="11"/>
        <v>0</v>
      </c>
      <c r="BC83" s="66">
        <f t="shared" ca="1" si="10"/>
        <v>50367000</v>
      </c>
    </row>
    <row r="84" spans="1:55" x14ac:dyDescent="0.3">
      <c r="A84" s="6" t="str">
        <f>IFERROR(VLOOKUP($F84,매장구분!$B:$K,2,0),"")</f>
        <v>리테일채널팀</v>
      </c>
      <c r="B84" s="6" t="str">
        <f>IFERROR(VLOOKUP($F84,매장구분!$B:$K,3,0),"")</f>
        <v>RF</v>
      </c>
      <c r="C84" s="6" t="str">
        <f>IFERROR(VLOOKUP($F84,매장구분!$B:$K,5,0),"")</f>
        <v>직영점</v>
      </c>
      <c r="D84" s="6" t="str">
        <f>IFERROR(VLOOKUP($F84,매장구분!$B:$Z,9,0),"")</f>
        <v>가로수길(직)</v>
      </c>
      <c r="E84" s="69" t="s">
        <v>398</v>
      </c>
      <c r="F84" s="69" t="s">
        <v>399</v>
      </c>
      <c r="G84" s="69">
        <v>2561</v>
      </c>
      <c r="H84" s="69">
        <v>193567300</v>
      </c>
      <c r="I84" s="69">
        <v>243574700</v>
      </c>
      <c r="J84" s="69">
        <v>2585</v>
      </c>
      <c r="K84" s="69">
        <v>196403300</v>
      </c>
      <c r="L84" s="69">
        <v>246420700</v>
      </c>
      <c r="M84" s="69">
        <v>-24</v>
      </c>
      <c r="N84" s="69">
        <v>-2836000</v>
      </c>
      <c r="O84" s="69">
        <v>-2846000</v>
      </c>
      <c r="P84" s="69">
        <v>70763760</v>
      </c>
      <c r="Q84" s="69">
        <v>13980990</v>
      </c>
      <c r="R84" s="69">
        <v>3996000</v>
      </c>
      <c r="S84" s="69">
        <v>3249000</v>
      </c>
      <c r="T84" s="69">
        <v>878000</v>
      </c>
      <c r="U84" s="69">
        <v>3387000</v>
      </c>
      <c r="V84" s="69">
        <v>13394400</v>
      </c>
      <c r="W84" s="69">
        <v>11618740</v>
      </c>
      <c r="X84" s="69">
        <v>2294000</v>
      </c>
      <c r="Y84" s="69">
        <v>3179000</v>
      </c>
      <c r="Z84" s="69">
        <v>2948800</v>
      </c>
      <c r="AA84" s="69">
        <v>2778800</v>
      </c>
      <c r="AB84" s="69">
        <v>2013900</v>
      </c>
      <c r="AC84" s="69">
        <v>17948410</v>
      </c>
      <c r="AD84" s="69">
        <v>8855900</v>
      </c>
      <c r="AE84" s="69">
        <v>2695000</v>
      </c>
      <c r="AF84" s="69">
        <v>4164000</v>
      </c>
      <c r="AG84" s="69">
        <v>3487000</v>
      </c>
      <c r="AH84" s="69">
        <v>4518900</v>
      </c>
      <c r="AI84" s="69">
        <v>3235000</v>
      </c>
      <c r="AJ84" s="69">
        <v>4377000</v>
      </c>
      <c r="AK84" s="69">
        <v>4412000</v>
      </c>
      <c r="AL84" s="69">
        <v>5391700</v>
      </c>
      <c r="AM84" s="69"/>
      <c r="AN84" s="69"/>
      <c r="AO84" s="69"/>
      <c r="AP84" s="69"/>
      <c r="AQ84" s="69"/>
      <c r="AR84" s="69"/>
      <c r="AS84" s="69"/>
      <c r="AT84" s="69"/>
      <c r="AU84" s="6"/>
      <c r="AV84" s="6"/>
      <c r="AW84" s="6">
        <f t="shared" si="11"/>
        <v>84744750</v>
      </c>
      <c r="AX84" s="6">
        <f t="shared" si="11"/>
        <v>38817140</v>
      </c>
      <c r="AY84" s="6">
        <f t="shared" si="11"/>
        <v>40419810</v>
      </c>
      <c r="AZ84" s="6">
        <f t="shared" si="11"/>
        <v>29585600</v>
      </c>
      <c r="BA84" s="6">
        <f t="shared" si="11"/>
        <v>0</v>
      </c>
      <c r="BC84" s="66">
        <f t="shared" ca="1" si="10"/>
        <v>193567300</v>
      </c>
    </row>
    <row r="85" spans="1:55" x14ac:dyDescent="0.3">
      <c r="A85" s="6" t="str">
        <f>IFERROR(VLOOKUP($F85,매장구분!$B:$K,2,0),"")</f>
        <v>리테일채널팀</v>
      </c>
      <c r="B85" s="6" t="str">
        <f>IFERROR(VLOOKUP($F85,매장구분!$B:$K,3,0),"")</f>
        <v>RF</v>
      </c>
      <c r="C85" s="6" t="str">
        <f>IFERROR(VLOOKUP($F85,매장구분!$B:$K,5,0),"")</f>
        <v>직영점</v>
      </c>
      <c r="D85" s="6" t="str">
        <f>IFERROR(VLOOKUP($F85,매장구분!$B:$Z,9,0),"")</f>
        <v>홍대(직)</v>
      </c>
      <c r="E85" s="69" t="s">
        <v>386</v>
      </c>
      <c r="F85" s="69" t="s">
        <v>387</v>
      </c>
      <c r="G85" s="69">
        <v>1769</v>
      </c>
      <c r="H85" s="69">
        <v>131116400</v>
      </c>
      <c r="I85" s="69">
        <v>137572700</v>
      </c>
      <c r="J85" s="69">
        <v>1783</v>
      </c>
      <c r="K85" s="69">
        <v>132269400</v>
      </c>
      <c r="L85" s="69">
        <v>138725700</v>
      </c>
      <c r="M85" s="69">
        <v>-14</v>
      </c>
      <c r="N85" s="69">
        <v>-1153000</v>
      </c>
      <c r="O85" s="69">
        <v>-1153000</v>
      </c>
      <c r="P85" s="69">
        <v>4395800</v>
      </c>
      <c r="Q85" s="69">
        <v>6183300</v>
      </c>
      <c r="R85" s="69">
        <v>11231000</v>
      </c>
      <c r="S85" s="69">
        <v>3302300</v>
      </c>
      <c r="T85" s="69">
        <v>3979900</v>
      </c>
      <c r="U85" s="69">
        <v>4326900</v>
      </c>
      <c r="V85" s="69">
        <v>2843000</v>
      </c>
      <c r="W85" s="69">
        <v>4864000</v>
      </c>
      <c r="X85" s="69">
        <v>5279700</v>
      </c>
      <c r="Y85" s="69">
        <v>5569600</v>
      </c>
      <c r="Z85" s="69">
        <v>3270200</v>
      </c>
      <c r="AA85" s="69">
        <v>3747800</v>
      </c>
      <c r="AB85" s="69">
        <v>2352900</v>
      </c>
      <c r="AC85" s="69">
        <v>2845000</v>
      </c>
      <c r="AD85" s="69">
        <v>7660900</v>
      </c>
      <c r="AE85" s="69">
        <v>11398500</v>
      </c>
      <c r="AF85" s="69">
        <v>7356800</v>
      </c>
      <c r="AG85" s="69">
        <v>4158300</v>
      </c>
      <c r="AH85" s="69">
        <v>4475000</v>
      </c>
      <c r="AI85" s="69">
        <v>5599000</v>
      </c>
      <c r="AJ85" s="69">
        <v>8219900</v>
      </c>
      <c r="AK85" s="69">
        <v>10592900</v>
      </c>
      <c r="AL85" s="69">
        <v>7463700</v>
      </c>
      <c r="AM85" s="69"/>
      <c r="AN85" s="69"/>
      <c r="AO85" s="69"/>
      <c r="AP85" s="69"/>
      <c r="AQ85" s="69"/>
      <c r="AR85" s="69"/>
      <c r="AS85" s="69"/>
      <c r="AT85" s="69"/>
      <c r="AU85" s="6"/>
      <c r="AV85" s="6"/>
      <c r="AW85" s="6">
        <f t="shared" si="11"/>
        <v>10579100</v>
      </c>
      <c r="AX85" s="6">
        <f t="shared" si="11"/>
        <v>35826800</v>
      </c>
      <c r="AY85" s="6">
        <f t="shared" si="11"/>
        <v>36844900</v>
      </c>
      <c r="AZ85" s="6">
        <f t="shared" si="11"/>
        <v>47865600</v>
      </c>
      <c r="BA85" s="6">
        <f t="shared" si="11"/>
        <v>0</v>
      </c>
      <c r="BC85" s="66">
        <f t="shared" ca="1" si="10"/>
        <v>131116400</v>
      </c>
    </row>
    <row r="86" spans="1:55" x14ac:dyDescent="0.3">
      <c r="A86" s="6" t="str">
        <f>IFERROR(VLOOKUP($F86,매장구분!$B:$K,2,0),"")</f>
        <v>리테일채널팀</v>
      </c>
      <c r="B86" s="6" t="str">
        <f>IFERROR(VLOOKUP($F86,매장구분!$B:$K,3,0),"")</f>
        <v>RF</v>
      </c>
      <c r="C86" s="6" t="str">
        <f>IFERROR(VLOOKUP($F86,매장구분!$B:$K,5,0),"")</f>
        <v>직영점</v>
      </c>
      <c r="D86" s="6" t="str">
        <f>IFERROR(VLOOKUP($F86,매장구분!$B:$Z,9,0),"")</f>
        <v>명동중앙(직)</v>
      </c>
      <c r="E86" s="69" t="s">
        <v>538</v>
      </c>
      <c r="F86" s="69" t="s">
        <v>539</v>
      </c>
      <c r="G86" s="69">
        <v>11923</v>
      </c>
      <c r="H86" s="69">
        <v>891329300</v>
      </c>
      <c r="I86" s="69">
        <v>893585200</v>
      </c>
      <c r="J86" s="69">
        <v>12104</v>
      </c>
      <c r="K86" s="69">
        <v>912495300</v>
      </c>
      <c r="L86" s="69">
        <v>914771200</v>
      </c>
      <c r="M86" s="69">
        <v>-181</v>
      </c>
      <c r="N86" s="69">
        <v>-21166000</v>
      </c>
      <c r="O86" s="69">
        <v>-21186000</v>
      </c>
      <c r="P86" s="69">
        <v>43630200</v>
      </c>
      <c r="Q86" s="69">
        <v>44818700</v>
      </c>
      <c r="R86" s="69">
        <v>38707400</v>
      </c>
      <c r="S86" s="69">
        <v>33540100</v>
      </c>
      <c r="T86" s="69">
        <v>34813400</v>
      </c>
      <c r="U86" s="69">
        <v>32857200</v>
      </c>
      <c r="V86" s="69">
        <v>36419200</v>
      </c>
      <c r="W86" s="69">
        <v>50053000</v>
      </c>
      <c r="X86" s="69">
        <v>38858000</v>
      </c>
      <c r="Y86" s="69">
        <v>36883400</v>
      </c>
      <c r="Z86" s="69">
        <v>45247700</v>
      </c>
      <c r="AA86" s="69">
        <v>35360900</v>
      </c>
      <c r="AB86" s="69">
        <v>37298500</v>
      </c>
      <c r="AC86" s="69">
        <v>40589100</v>
      </c>
      <c r="AD86" s="69">
        <v>0</v>
      </c>
      <c r="AE86" s="69">
        <v>50161400</v>
      </c>
      <c r="AF86" s="69">
        <v>30647300</v>
      </c>
      <c r="AG86" s="69">
        <v>42567700</v>
      </c>
      <c r="AH86" s="69">
        <v>38140400</v>
      </c>
      <c r="AI86" s="69">
        <v>33739100</v>
      </c>
      <c r="AJ86" s="69">
        <v>42536000</v>
      </c>
      <c r="AK86" s="69">
        <v>50247600</v>
      </c>
      <c r="AL86" s="69">
        <v>54213000</v>
      </c>
      <c r="AM86" s="69"/>
      <c r="AN86" s="69"/>
      <c r="AO86" s="69"/>
      <c r="AP86" s="69"/>
      <c r="AQ86" s="69"/>
      <c r="AR86" s="69"/>
      <c r="AS86" s="69"/>
      <c r="AT86" s="69"/>
      <c r="AU86" s="6"/>
      <c r="AV86" s="6"/>
      <c r="AW86" s="6">
        <f t="shared" si="11"/>
        <v>88448900</v>
      </c>
      <c r="AX86" s="6">
        <f t="shared" si="11"/>
        <v>265248300</v>
      </c>
      <c r="AY86" s="6">
        <f t="shared" si="11"/>
        <v>245541000</v>
      </c>
      <c r="AZ86" s="6">
        <f t="shared" si="11"/>
        <v>292091100</v>
      </c>
      <c r="BA86" s="6">
        <f t="shared" si="11"/>
        <v>0</v>
      </c>
      <c r="BC86" s="66">
        <f t="shared" ca="1" si="10"/>
        <v>891329300</v>
      </c>
    </row>
    <row r="87" spans="1:55" x14ac:dyDescent="0.3">
      <c r="A87" s="6" t="str">
        <f>IFERROR(VLOOKUP($F87,매장구분!$B:$K,2,0),"")</f>
        <v>리테일채널팀</v>
      </c>
      <c r="B87" s="6" t="str">
        <f>IFERROR(VLOOKUP($F87,매장구분!$B:$K,3,0),"")</f>
        <v>국내</v>
      </c>
      <c r="C87" s="6" t="str">
        <f>IFERROR(VLOOKUP($F87,매장구분!$B:$K,5,0),"")</f>
        <v>직영점</v>
      </c>
      <c r="D87" s="6" t="str">
        <f>IFERROR(VLOOKUP($F87,매장구분!$B:$Z,9,0),"")</f>
        <v>강남사옥(직)</v>
      </c>
      <c r="E87" s="69" t="s">
        <v>482</v>
      </c>
      <c r="F87" s="69" t="s">
        <v>483</v>
      </c>
      <c r="G87" s="69">
        <v>1089</v>
      </c>
      <c r="H87" s="69">
        <v>111773000</v>
      </c>
      <c r="I87" s="69">
        <v>113484000</v>
      </c>
      <c r="J87" s="69">
        <v>1191</v>
      </c>
      <c r="K87" s="69">
        <v>127968000</v>
      </c>
      <c r="L87" s="69">
        <v>129739000</v>
      </c>
      <c r="M87" s="69">
        <v>-102</v>
      </c>
      <c r="N87" s="69">
        <v>-16195000</v>
      </c>
      <c r="O87" s="69">
        <v>-16255000</v>
      </c>
      <c r="P87" s="69">
        <v>2848600</v>
      </c>
      <c r="Q87" s="69">
        <v>2144900</v>
      </c>
      <c r="R87" s="69">
        <v>33363600</v>
      </c>
      <c r="S87" s="69">
        <v>1878000</v>
      </c>
      <c r="T87" s="69">
        <v>2675700</v>
      </c>
      <c r="U87" s="69">
        <v>2085000</v>
      </c>
      <c r="V87" s="69">
        <v>5026900</v>
      </c>
      <c r="W87" s="69">
        <v>4014900</v>
      </c>
      <c r="X87" s="69">
        <v>1869000</v>
      </c>
      <c r="Y87" s="69">
        <v>2314000</v>
      </c>
      <c r="Z87" s="69">
        <v>5276000</v>
      </c>
      <c r="AA87" s="69">
        <v>2127000</v>
      </c>
      <c r="AB87" s="69">
        <v>7008000</v>
      </c>
      <c r="AC87" s="69">
        <v>4327800</v>
      </c>
      <c r="AD87" s="69">
        <v>2332000</v>
      </c>
      <c r="AE87" s="69">
        <v>1010000</v>
      </c>
      <c r="AF87" s="69">
        <v>3594700</v>
      </c>
      <c r="AG87" s="69">
        <v>4491000</v>
      </c>
      <c r="AH87" s="69">
        <v>3484000</v>
      </c>
      <c r="AI87" s="69">
        <v>8231000</v>
      </c>
      <c r="AJ87" s="69">
        <v>6215000</v>
      </c>
      <c r="AK87" s="69">
        <v>3155900</v>
      </c>
      <c r="AL87" s="69">
        <v>2300000</v>
      </c>
      <c r="AM87" s="69"/>
      <c r="AN87" s="69"/>
      <c r="AO87" s="69"/>
      <c r="AP87" s="69"/>
      <c r="AQ87" s="69"/>
      <c r="AR87" s="69"/>
      <c r="AS87" s="69"/>
      <c r="AT87" s="69"/>
      <c r="AU87" s="6"/>
      <c r="AV87" s="6"/>
      <c r="AW87" s="6">
        <f t="shared" si="11"/>
        <v>4993500</v>
      </c>
      <c r="AX87" s="6">
        <f t="shared" si="11"/>
        <v>50913100</v>
      </c>
      <c r="AY87" s="6">
        <f t="shared" si="11"/>
        <v>24394800</v>
      </c>
      <c r="AZ87" s="6">
        <f t="shared" si="11"/>
        <v>31471600</v>
      </c>
      <c r="BA87" s="6">
        <f t="shared" si="11"/>
        <v>0</v>
      </c>
      <c r="BC87" s="66">
        <f t="shared" ca="1" si="10"/>
        <v>111773000</v>
      </c>
    </row>
    <row r="88" spans="1:55" x14ac:dyDescent="0.3">
      <c r="A88" s="6" t="str">
        <f>IFERROR(VLOOKUP($F88,매장구분!$B:$K,2,0),"")</f>
        <v>리테일채널팀</v>
      </c>
      <c r="B88" s="6" t="str">
        <f>IFERROR(VLOOKUP($F88,매장구분!$B:$K,3,0),"")</f>
        <v>국내</v>
      </c>
      <c r="C88" s="6" t="str">
        <f>IFERROR(VLOOKUP($F88,매장구분!$B:$K,5,0),"")</f>
        <v>직영점</v>
      </c>
      <c r="D88" s="6" t="str">
        <f>IFERROR(VLOOKUP($F88,매장구분!$B:$Z,9,0),"")</f>
        <v>스타필드안성(직)</v>
      </c>
      <c r="E88" s="69" t="s">
        <v>554</v>
      </c>
      <c r="F88" s="69" t="s">
        <v>555</v>
      </c>
      <c r="G88" s="69">
        <v>739</v>
      </c>
      <c r="H88" s="69">
        <v>77158100</v>
      </c>
      <c r="I88" s="69">
        <v>80269500</v>
      </c>
      <c r="J88" s="69">
        <v>773</v>
      </c>
      <c r="K88" s="69">
        <v>83549100</v>
      </c>
      <c r="L88" s="69">
        <v>86750500</v>
      </c>
      <c r="M88" s="69">
        <v>-34</v>
      </c>
      <c r="N88" s="69">
        <v>-6391000</v>
      </c>
      <c r="O88" s="69">
        <v>-6481000</v>
      </c>
      <c r="P88" s="69">
        <v>7909000</v>
      </c>
      <c r="Q88" s="69">
        <v>7539000</v>
      </c>
      <c r="R88" s="69">
        <v>1873000</v>
      </c>
      <c r="S88" s="69">
        <v>2015000</v>
      </c>
      <c r="T88" s="69">
        <v>3273000</v>
      </c>
      <c r="U88" s="69">
        <v>2409000</v>
      </c>
      <c r="V88" s="69">
        <v>2296000</v>
      </c>
      <c r="W88" s="69">
        <v>7507000</v>
      </c>
      <c r="X88" s="69">
        <v>4449900</v>
      </c>
      <c r="Y88" s="69">
        <v>1656000</v>
      </c>
      <c r="Z88" s="69">
        <v>1198000</v>
      </c>
      <c r="AA88" s="69">
        <v>1921800</v>
      </c>
      <c r="AB88" s="69">
        <v>2002000</v>
      </c>
      <c r="AC88" s="69">
        <v>1634500</v>
      </c>
      <c r="AD88" s="69">
        <v>4297800</v>
      </c>
      <c r="AE88" s="69">
        <v>5934000</v>
      </c>
      <c r="AF88" s="69">
        <v>1221000</v>
      </c>
      <c r="AG88" s="69">
        <v>1790100</v>
      </c>
      <c r="AH88" s="69">
        <v>1190000</v>
      </c>
      <c r="AI88" s="69">
        <v>2369000</v>
      </c>
      <c r="AJ88" s="69">
        <v>1472000</v>
      </c>
      <c r="AK88" s="69">
        <v>5335000</v>
      </c>
      <c r="AL88" s="69">
        <v>5866000</v>
      </c>
      <c r="AM88" s="69"/>
      <c r="AN88" s="69"/>
      <c r="AO88" s="69"/>
      <c r="AP88" s="69"/>
      <c r="AQ88" s="69"/>
      <c r="AR88" s="69"/>
      <c r="AS88" s="69"/>
      <c r="AT88" s="69"/>
      <c r="AU88" s="6"/>
      <c r="AV88" s="6"/>
      <c r="AW88" s="6">
        <f t="shared" si="11"/>
        <v>15448000</v>
      </c>
      <c r="AX88" s="6">
        <f t="shared" si="11"/>
        <v>23822900</v>
      </c>
      <c r="AY88" s="6">
        <f t="shared" si="11"/>
        <v>18644100</v>
      </c>
      <c r="AZ88" s="6">
        <f t="shared" si="11"/>
        <v>19243100</v>
      </c>
      <c r="BA88" s="6">
        <f t="shared" si="11"/>
        <v>0</v>
      </c>
      <c r="BC88" s="66">
        <f t="shared" ca="1" si="10"/>
        <v>77158100</v>
      </c>
    </row>
    <row r="89" spans="1:55" x14ac:dyDescent="0.3">
      <c r="A89" s="6" t="str">
        <f>IFERROR(VLOOKUP($F89,매장구분!$B:$K,2,0),"")</f>
        <v>파트너채널팀</v>
      </c>
      <c r="B89" s="6" t="str">
        <f>IFERROR(VLOOKUP($F89,매장구분!$B:$K,3,0),"")</f>
        <v>국내</v>
      </c>
      <c r="C89" s="6" t="str">
        <f>IFERROR(VLOOKUP($F89,매장구분!$B:$K,5,0),"")</f>
        <v>백화점</v>
      </c>
      <c r="D89" s="6" t="str">
        <f>IFERROR(VLOOKUP($F89,매장구분!$B:$Z,9,0),"")</f>
        <v>롯데아울렛의왕(직)</v>
      </c>
      <c r="E89" s="69" t="s">
        <v>352</v>
      </c>
      <c r="F89" s="69" t="s">
        <v>353</v>
      </c>
      <c r="G89" s="69">
        <v>542</v>
      </c>
      <c r="H89" s="69">
        <v>47489300</v>
      </c>
      <c r="I89" s="69">
        <v>51660300</v>
      </c>
      <c r="J89" s="69">
        <v>587</v>
      </c>
      <c r="K89" s="69">
        <v>52860500</v>
      </c>
      <c r="L89" s="69">
        <v>57184200</v>
      </c>
      <c r="M89" s="69">
        <v>-45</v>
      </c>
      <c r="N89" s="69">
        <v>-5371200</v>
      </c>
      <c r="O89" s="69">
        <v>-5523900</v>
      </c>
      <c r="P89" s="69">
        <v>3720500</v>
      </c>
      <c r="Q89" s="69">
        <v>6692300</v>
      </c>
      <c r="R89" s="69">
        <v>2576600</v>
      </c>
      <c r="S89" s="69">
        <v>833500</v>
      </c>
      <c r="T89" s="69">
        <v>747000</v>
      </c>
      <c r="U89" s="69">
        <v>1272000</v>
      </c>
      <c r="V89" s="69">
        <v>908100</v>
      </c>
      <c r="W89" s="69">
        <v>1973000</v>
      </c>
      <c r="X89" s="69">
        <v>2971600</v>
      </c>
      <c r="Y89" s="69">
        <v>1169500</v>
      </c>
      <c r="Z89" s="69">
        <v>658100</v>
      </c>
      <c r="AA89" s="69">
        <v>1069000</v>
      </c>
      <c r="AB89" s="69">
        <v>1225900</v>
      </c>
      <c r="AC89" s="69">
        <v>2559300</v>
      </c>
      <c r="AD89" s="69">
        <v>2804900</v>
      </c>
      <c r="AE89" s="69">
        <v>4336300</v>
      </c>
      <c r="AF89" s="69">
        <v>1024600</v>
      </c>
      <c r="AG89" s="69">
        <v>815000</v>
      </c>
      <c r="AH89" s="69">
        <v>705900</v>
      </c>
      <c r="AI89" s="69">
        <v>824000</v>
      </c>
      <c r="AJ89" s="69">
        <v>2006800</v>
      </c>
      <c r="AK89" s="69">
        <v>2165700</v>
      </c>
      <c r="AL89" s="69">
        <v>4429700</v>
      </c>
      <c r="AM89" s="69"/>
      <c r="AN89" s="69"/>
      <c r="AO89" s="69"/>
      <c r="AP89" s="69"/>
      <c r="AQ89" s="69"/>
      <c r="AR89" s="69"/>
      <c r="AS89" s="69"/>
      <c r="AT89" s="69"/>
      <c r="AU89" s="6"/>
      <c r="AV89" s="6"/>
      <c r="AW89" s="6">
        <f t="shared" si="11"/>
        <v>10412800</v>
      </c>
      <c r="AX89" s="6">
        <f t="shared" si="11"/>
        <v>11281800</v>
      </c>
      <c r="AY89" s="6">
        <f t="shared" si="11"/>
        <v>13823000</v>
      </c>
      <c r="AZ89" s="6">
        <f t="shared" si="11"/>
        <v>11971700</v>
      </c>
      <c r="BA89" s="6">
        <f t="shared" si="11"/>
        <v>0</v>
      </c>
      <c r="BC89" s="66">
        <f t="shared" ca="1" si="10"/>
        <v>47489300</v>
      </c>
    </row>
    <row r="90" spans="1:55" x14ac:dyDescent="0.3">
      <c r="A90" s="6" t="str">
        <f>IFERROR(VLOOKUP($F90,매장구분!$B:$K,2,0),"")</f>
        <v>리테일채널팀</v>
      </c>
      <c r="B90" s="6" t="str">
        <f>IFERROR(VLOOKUP($F90,매장구분!$B:$K,3,0),"")</f>
        <v>국내</v>
      </c>
      <c r="C90" s="6" t="str">
        <f>IFERROR(VLOOKUP($F90,매장구분!$B:$K,5,0),"")</f>
        <v>직영점</v>
      </c>
      <c r="D90" s="6" t="str">
        <f>IFERROR(VLOOKUP($F90,매장구분!$B:$Z,9,0),"")</f>
        <v>타임스트림신림(직)</v>
      </c>
      <c r="E90" s="69" t="s">
        <v>360</v>
      </c>
      <c r="F90" s="69" t="s">
        <v>361</v>
      </c>
      <c r="G90" s="69">
        <v>345</v>
      </c>
      <c r="H90" s="69">
        <v>33395400</v>
      </c>
      <c r="I90" s="69">
        <v>34875400</v>
      </c>
      <c r="J90" s="69">
        <v>352</v>
      </c>
      <c r="K90" s="69">
        <v>34298400</v>
      </c>
      <c r="L90" s="69">
        <v>35798400</v>
      </c>
      <c r="M90" s="69">
        <v>-7</v>
      </c>
      <c r="N90" s="69">
        <v>-903000</v>
      </c>
      <c r="O90" s="69">
        <v>-923000</v>
      </c>
      <c r="P90" s="69">
        <v>2215000</v>
      </c>
      <c r="Q90" s="69">
        <v>1857000</v>
      </c>
      <c r="R90" s="69">
        <v>2137000</v>
      </c>
      <c r="S90" s="69">
        <v>1781000</v>
      </c>
      <c r="T90" s="69">
        <v>948900</v>
      </c>
      <c r="U90" s="69">
        <v>1415900</v>
      </c>
      <c r="V90" s="69">
        <v>1004000</v>
      </c>
      <c r="W90" s="69">
        <v>2067800</v>
      </c>
      <c r="X90" s="69">
        <v>2053900</v>
      </c>
      <c r="Y90" s="69">
        <v>860000</v>
      </c>
      <c r="Z90" s="69">
        <v>1025000</v>
      </c>
      <c r="AA90" s="69">
        <v>636000</v>
      </c>
      <c r="AB90" s="69">
        <v>1631000</v>
      </c>
      <c r="AC90" s="69">
        <v>567000</v>
      </c>
      <c r="AD90" s="69">
        <v>1325000</v>
      </c>
      <c r="AE90" s="69">
        <v>2769000</v>
      </c>
      <c r="AF90" s="69">
        <v>1877000</v>
      </c>
      <c r="AG90" s="69">
        <v>1393000</v>
      </c>
      <c r="AH90" s="69">
        <v>761000</v>
      </c>
      <c r="AI90" s="69">
        <v>1326900</v>
      </c>
      <c r="AJ90" s="69">
        <v>1295000</v>
      </c>
      <c r="AK90" s="69">
        <v>1258000</v>
      </c>
      <c r="AL90" s="69">
        <v>1191000</v>
      </c>
      <c r="AM90" s="69"/>
      <c r="AN90" s="69"/>
      <c r="AO90" s="69"/>
      <c r="AP90" s="69"/>
      <c r="AQ90" s="69"/>
      <c r="AR90" s="69"/>
      <c r="AS90" s="69"/>
      <c r="AT90" s="69"/>
      <c r="AU90" s="6"/>
      <c r="AV90" s="6"/>
      <c r="AW90" s="6">
        <f t="shared" si="11"/>
        <v>4072000</v>
      </c>
      <c r="AX90" s="6">
        <f t="shared" si="11"/>
        <v>11408500</v>
      </c>
      <c r="AY90" s="6">
        <f t="shared" si="11"/>
        <v>8813000</v>
      </c>
      <c r="AZ90" s="6">
        <f t="shared" si="11"/>
        <v>9101900</v>
      </c>
      <c r="BA90" s="6">
        <f t="shared" si="11"/>
        <v>0</v>
      </c>
      <c r="BC90" s="66">
        <f t="shared" ca="1" si="10"/>
        <v>33395400</v>
      </c>
    </row>
    <row r="91" spans="1:55" x14ac:dyDescent="0.3">
      <c r="A91" s="6" t="str">
        <f>IFERROR(VLOOKUP($F91,매장구분!$B:$K,2,0),"")</f>
        <v>리테일채널팀</v>
      </c>
      <c r="B91" s="6" t="str">
        <f>IFERROR(VLOOKUP($F91,매장구분!$B:$K,3,0),"")</f>
        <v>국내</v>
      </c>
      <c r="C91" s="6" t="str">
        <f>IFERROR(VLOOKUP($F91,매장구분!$B:$K,5,0),"")</f>
        <v>직영점</v>
      </c>
      <c r="D91" s="6" t="str">
        <f>IFERROR(VLOOKUP($F91,매장구분!$B:$Z,9,0),"")</f>
        <v>타임테라스동탄(직)</v>
      </c>
      <c r="E91" s="69" t="s">
        <v>408</v>
      </c>
      <c r="F91" s="69" t="s">
        <v>409</v>
      </c>
      <c r="G91" s="69">
        <v>346</v>
      </c>
      <c r="H91" s="69">
        <v>30735500</v>
      </c>
      <c r="I91" s="69">
        <v>34786700</v>
      </c>
      <c r="J91" s="69">
        <v>470</v>
      </c>
      <c r="K91" s="69">
        <v>38882800</v>
      </c>
      <c r="L91" s="69">
        <v>43004000</v>
      </c>
      <c r="M91" s="69">
        <v>-124</v>
      </c>
      <c r="N91" s="69">
        <v>-8147300</v>
      </c>
      <c r="O91" s="69">
        <v>-8217300</v>
      </c>
      <c r="P91" s="69">
        <v>1447800</v>
      </c>
      <c r="Q91" s="69">
        <v>3546500</v>
      </c>
      <c r="R91" s="69">
        <v>647900</v>
      </c>
      <c r="S91" s="69">
        <v>1379600</v>
      </c>
      <c r="T91" s="69">
        <v>1808100</v>
      </c>
      <c r="U91" s="69">
        <v>1730300</v>
      </c>
      <c r="V91" s="69">
        <v>1910900</v>
      </c>
      <c r="W91" s="69">
        <v>1431500</v>
      </c>
      <c r="X91" s="69">
        <v>609700</v>
      </c>
      <c r="Y91" s="69">
        <v>497500</v>
      </c>
      <c r="Z91" s="69">
        <v>1054000</v>
      </c>
      <c r="AA91" s="69">
        <v>270900</v>
      </c>
      <c r="AB91" s="69">
        <v>964000</v>
      </c>
      <c r="AC91" s="69">
        <v>1108900</v>
      </c>
      <c r="AD91" s="69">
        <v>1633000</v>
      </c>
      <c r="AE91" s="69">
        <v>1571900</v>
      </c>
      <c r="AF91" s="69">
        <v>598300</v>
      </c>
      <c r="AG91" s="69">
        <v>934100</v>
      </c>
      <c r="AH91" s="69">
        <v>632000</v>
      </c>
      <c r="AI91" s="69">
        <v>1043100</v>
      </c>
      <c r="AJ91" s="69">
        <v>677000</v>
      </c>
      <c r="AK91" s="69">
        <v>3163300</v>
      </c>
      <c r="AL91" s="69">
        <v>2075200</v>
      </c>
      <c r="AM91" s="69"/>
      <c r="AN91" s="69"/>
      <c r="AO91" s="69"/>
      <c r="AP91" s="69"/>
      <c r="AQ91" s="69"/>
      <c r="AR91" s="69"/>
      <c r="AS91" s="69"/>
      <c r="AT91" s="69"/>
      <c r="AU91" s="6"/>
      <c r="AV91" s="6"/>
      <c r="AW91" s="6">
        <f t="shared" ref="AW91:BA106" si="12">SUMIFS($P91:$AS91,$P$3:$AS$3,AW$3)</f>
        <v>4994300</v>
      </c>
      <c r="AX91" s="6">
        <f t="shared" si="12"/>
        <v>9518000</v>
      </c>
      <c r="AY91" s="6">
        <f t="shared" si="12"/>
        <v>7100200</v>
      </c>
      <c r="AZ91" s="6">
        <f t="shared" si="12"/>
        <v>9123000</v>
      </c>
      <c r="BA91" s="6">
        <f t="shared" si="12"/>
        <v>0</v>
      </c>
      <c r="BC91" s="66">
        <f t="shared" ca="1" si="10"/>
        <v>30735500</v>
      </c>
    </row>
    <row r="92" spans="1:55" x14ac:dyDescent="0.3">
      <c r="A92" s="6" t="str">
        <f>IFERROR(VLOOKUP($F92,매장구분!$B:$K,2,0),"")</f>
        <v>리테일채널팀</v>
      </c>
      <c r="B92" s="6" t="str">
        <f>IFERROR(VLOOKUP($F92,매장구분!$B:$K,3,0),"")</f>
        <v>국내</v>
      </c>
      <c r="C92" s="6" t="str">
        <f>IFERROR(VLOOKUP($F92,매장구분!$B:$K,5,0),"")</f>
        <v>직영점</v>
      </c>
      <c r="D92" s="6" t="str">
        <f>IFERROR(VLOOKUP($F92,매장구분!$B:$Z,9,0),"")</f>
        <v>스타필드하남(직)</v>
      </c>
      <c r="E92" s="69" t="s">
        <v>394</v>
      </c>
      <c r="F92" s="69" t="s">
        <v>395</v>
      </c>
      <c r="G92" s="69">
        <v>1450</v>
      </c>
      <c r="H92" s="69">
        <v>154325200</v>
      </c>
      <c r="I92" s="69">
        <v>164232400</v>
      </c>
      <c r="J92" s="69">
        <v>1642</v>
      </c>
      <c r="K92" s="69">
        <v>184244100</v>
      </c>
      <c r="L92" s="69">
        <v>194281300</v>
      </c>
      <c r="M92" s="69">
        <v>-192</v>
      </c>
      <c r="N92" s="69">
        <v>-29918900</v>
      </c>
      <c r="O92" s="69">
        <v>-30048900</v>
      </c>
      <c r="P92" s="69">
        <v>5544900</v>
      </c>
      <c r="Q92" s="69">
        <v>9738900</v>
      </c>
      <c r="R92" s="69">
        <v>2482000</v>
      </c>
      <c r="S92" s="69">
        <v>2879000</v>
      </c>
      <c r="T92" s="69">
        <v>3512000</v>
      </c>
      <c r="U92" s="69">
        <v>1689000</v>
      </c>
      <c r="V92" s="69">
        <v>3043000</v>
      </c>
      <c r="W92" s="69">
        <v>3601000</v>
      </c>
      <c r="X92" s="69">
        <v>4996000</v>
      </c>
      <c r="Y92" s="69">
        <v>1971000</v>
      </c>
      <c r="Z92" s="69">
        <v>915000</v>
      </c>
      <c r="AA92" s="69">
        <v>2015000</v>
      </c>
      <c r="AB92" s="69">
        <v>1700000</v>
      </c>
      <c r="AC92" s="69">
        <v>2566900</v>
      </c>
      <c r="AD92" s="69">
        <v>4861200</v>
      </c>
      <c r="AE92" s="69">
        <v>8160200</v>
      </c>
      <c r="AF92" s="69">
        <v>2610900</v>
      </c>
      <c r="AG92" s="69">
        <v>2921000</v>
      </c>
      <c r="AH92" s="69">
        <v>2452100</v>
      </c>
      <c r="AI92" s="69">
        <v>65204000</v>
      </c>
      <c r="AJ92" s="69">
        <v>3932000</v>
      </c>
      <c r="AK92" s="69">
        <v>7851100</v>
      </c>
      <c r="AL92" s="69">
        <v>9679000</v>
      </c>
      <c r="AM92" s="69"/>
      <c r="AN92" s="69"/>
      <c r="AO92" s="69"/>
      <c r="AP92" s="69"/>
      <c r="AQ92" s="69"/>
      <c r="AR92" s="69"/>
      <c r="AS92" s="69"/>
      <c r="AT92" s="69"/>
      <c r="AU92" s="6"/>
      <c r="AV92" s="6"/>
      <c r="AW92" s="6">
        <f t="shared" si="12"/>
        <v>15283800</v>
      </c>
      <c r="AX92" s="6">
        <f t="shared" si="12"/>
        <v>22202000</v>
      </c>
      <c r="AY92" s="6">
        <f t="shared" si="12"/>
        <v>22189300</v>
      </c>
      <c r="AZ92" s="6">
        <f t="shared" si="12"/>
        <v>94650100</v>
      </c>
      <c r="BA92" s="6">
        <f t="shared" si="12"/>
        <v>0</v>
      </c>
      <c r="BC92" s="66">
        <f t="shared" ca="1" si="10"/>
        <v>154325200</v>
      </c>
    </row>
    <row r="93" spans="1:55" x14ac:dyDescent="0.3">
      <c r="A93" s="6" t="str">
        <f>IFERROR(VLOOKUP($F93,매장구분!$B:$K,2,0),"")</f>
        <v>리테일채널팀</v>
      </c>
      <c r="B93" s="6" t="str">
        <f>IFERROR(VLOOKUP($F93,매장구분!$B:$K,3,0),"")</f>
        <v>국내</v>
      </c>
      <c r="C93" s="6" t="str">
        <f>IFERROR(VLOOKUP($F93,매장구분!$B:$K,5,0),"")</f>
        <v>직영점</v>
      </c>
      <c r="D93" s="6" t="str">
        <f>IFERROR(VLOOKUP($F93,매장구분!$B:$Z,9,0),"")</f>
        <v>스타필드수원(직)</v>
      </c>
      <c r="E93" s="69" t="s">
        <v>468</v>
      </c>
      <c r="F93" s="69" t="s">
        <v>469</v>
      </c>
      <c r="G93" s="69">
        <v>777</v>
      </c>
      <c r="H93" s="69">
        <v>56463300</v>
      </c>
      <c r="I93" s="69">
        <v>58089500</v>
      </c>
      <c r="J93" s="69">
        <v>797</v>
      </c>
      <c r="K93" s="69">
        <v>58875300</v>
      </c>
      <c r="L93" s="69">
        <v>60591500</v>
      </c>
      <c r="M93" s="69">
        <v>-20</v>
      </c>
      <c r="N93" s="69">
        <v>-2412000</v>
      </c>
      <c r="O93" s="69">
        <v>-2502000</v>
      </c>
      <c r="P93" s="69">
        <v>3302000</v>
      </c>
      <c r="Q93" s="69">
        <v>4534800</v>
      </c>
      <c r="R93" s="69">
        <v>1764000</v>
      </c>
      <c r="S93" s="69">
        <v>755000</v>
      </c>
      <c r="T93" s="69">
        <v>2129300</v>
      </c>
      <c r="U93" s="69">
        <v>1134300</v>
      </c>
      <c r="V93" s="69">
        <v>2641000</v>
      </c>
      <c r="W93" s="69">
        <v>3608300</v>
      </c>
      <c r="X93" s="69">
        <v>3429000</v>
      </c>
      <c r="Y93" s="69">
        <v>2343000</v>
      </c>
      <c r="Z93" s="69">
        <v>1977600</v>
      </c>
      <c r="AA93" s="69">
        <v>931000</v>
      </c>
      <c r="AB93" s="69">
        <v>1114000</v>
      </c>
      <c r="AC93" s="69">
        <v>2039900</v>
      </c>
      <c r="AD93" s="69">
        <v>4658300</v>
      </c>
      <c r="AE93" s="69">
        <v>5852000</v>
      </c>
      <c r="AF93" s="69">
        <v>1315000</v>
      </c>
      <c r="AG93" s="69">
        <v>1639000</v>
      </c>
      <c r="AH93" s="69">
        <v>937000</v>
      </c>
      <c r="AI93" s="69">
        <v>1130900</v>
      </c>
      <c r="AJ93" s="69">
        <v>1814000</v>
      </c>
      <c r="AK93" s="69">
        <v>3810900</v>
      </c>
      <c r="AL93" s="69">
        <v>3603000</v>
      </c>
      <c r="AM93" s="69"/>
      <c r="AN93" s="69"/>
      <c r="AO93" s="69"/>
      <c r="AP93" s="69"/>
      <c r="AQ93" s="69"/>
      <c r="AR93" s="69"/>
      <c r="AS93" s="69"/>
      <c r="AT93" s="69"/>
      <c r="AU93" s="6"/>
      <c r="AV93" s="6"/>
      <c r="AW93" s="6">
        <f t="shared" si="12"/>
        <v>7836800</v>
      </c>
      <c r="AX93" s="6">
        <f t="shared" si="12"/>
        <v>15460900</v>
      </c>
      <c r="AY93" s="6">
        <f t="shared" si="12"/>
        <v>18915800</v>
      </c>
      <c r="AZ93" s="6">
        <f t="shared" si="12"/>
        <v>14249800</v>
      </c>
      <c r="BA93" s="6">
        <f t="shared" si="12"/>
        <v>0</v>
      </c>
      <c r="BC93" s="66">
        <f t="shared" ca="1" si="10"/>
        <v>56463300</v>
      </c>
    </row>
    <row r="94" spans="1:55" x14ac:dyDescent="0.3">
      <c r="A94" s="6" t="str">
        <f>IFERROR(VLOOKUP($F94,매장구분!$B:$K,2,0),"")</f>
        <v>리테일채널팀</v>
      </c>
      <c r="B94" s="6" t="str">
        <f>IFERROR(VLOOKUP($F94,매장구분!$B:$K,3,0),"")</f>
        <v>RF</v>
      </c>
      <c r="C94" s="6" t="str">
        <f>IFERROR(VLOOKUP($F94,매장구분!$B:$K,5,0),"")</f>
        <v>직영점</v>
      </c>
      <c r="D94" s="6" t="str">
        <f>IFERROR(VLOOKUP($F94,매장구분!$B:$Z,9,0),"")</f>
        <v>한남(직)</v>
      </c>
      <c r="E94" s="69" t="s">
        <v>436</v>
      </c>
      <c r="F94" s="69" t="s">
        <v>437</v>
      </c>
      <c r="G94" s="69">
        <v>1297</v>
      </c>
      <c r="H94" s="69">
        <v>104228200</v>
      </c>
      <c r="I94" s="69">
        <v>106238000</v>
      </c>
      <c r="J94" s="69">
        <v>1315</v>
      </c>
      <c r="K94" s="69">
        <v>106803200</v>
      </c>
      <c r="L94" s="69">
        <v>108853000</v>
      </c>
      <c r="M94" s="69">
        <v>-18</v>
      </c>
      <c r="N94" s="69">
        <v>-2575000</v>
      </c>
      <c r="O94" s="69">
        <v>-2615000</v>
      </c>
      <c r="P94" s="69">
        <v>5126000</v>
      </c>
      <c r="Q94" s="69">
        <v>9381800</v>
      </c>
      <c r="R94" s="69">
        <v>3761900</v>
      </c>
      <c r="S94" s="69">
        <v>2770800</v>
      </c>
      <c r="T94" s="69">
        <v>3291000</v>
      </c>
      <c r="U94" s="69">
        <v>3126800</v>
      </c>
      <c r="V94" s="69">
        <v>3768700</v>
      </c>
      <c r="W94" s="69">
        <v>3986800</v>
      </c>
      <c r="X94" s="69">
        <v>4593800</v>
      </c>
      <c r="Y94" s="69">
        <v>3558000</v>
      </c>
      <c r="Z94" s="69">
        <v>3198900</v>
      </c>
      <c r="AA94" s="69">
        <v>4010900</v>
      </c>
      <c r="AB94" s="69">
        <v>3147000</v>
      </c>
      <c r="AC94" s="69">
        <v>3522000</v>
      </c>
      <c r="AD94" s="69">
        <v>4277000</v>
      </c>
      <c r="AE94" s="69">
        <v>6351900</v>
      </c>
      <c r="AF94" s="69">
        <v>4118000</v>
      </c>
      <c r="AG94" s="69">
        <v>3062700</v>
      </c>
      <c r="AH94" s="69">
        <v>3356900</v>
      </c>
      <c r="AI94" s="69">
        <v>7416000</v>
      </c>
      <c r="AJ94" s="69">
        <v>4966700</v>
      </c>
      <c r="AK94" s="69">
        <v>6409000</v>
      </c>
      <c r="AL94" s="69">
        <v>7025600</v>
      </c>
      <c r="AM94" s="69"/>
      <c r="AN94" s="69"/>
      <c r="AO94" s="69"/>
      <c r="AP94" s="69"/>
      <c r="AQ94" s="69"/>
      <c r="AR94" s="69"/>
      <c r="AS94" s="69"/>
      <c r="AT94" s="69"/>
      <c r="AU94" s="6"/>
      <c r="AV94" s="6"/>
      <c r="AW94" s="6">
        <f t="shared" si="12"/>
        <v>14507800</v>
      </c>
      <c r="AX94" s="6">
        <f t="shared" si="12"/>
        <v>25299800</v>
      </c>
      <c r="AY94" s="6">
        <f t="shared" si="12"/>
        <v>28065700</v>
      </c>
      <c r="AZ94" s="6">
        <f t="shared" si="12"/>
        <v>36354900</v>
      </c>
      <c r="BA94" s="6">
        <f t="shared" si="12"/>
        <v>0</v>
      </c>
      <c r="BC94" s="66">
        <f t="shared" ca="1" si="10"/>
        <v>104228200</v>
      </c>
    </row>
    <row r="95" spans="1:55" x14ac:dyDescent="0.3">
      <c r="A95" s="6" t="str">
        <f>IFERROR(VLOOKUP($F95,매장구분!$B:$K,2,0),"")</f>
        <v>리테일채널팀</v>
      </c>
      <c r="B95" s="6" t="str">
        <f>IFERROR(VLOOKUP($F95,매장구분!$B:$K,3,0),"")</f>
        <v>RF</v>
      </c>
      <c r="C95" s="6" t="str">
        <f>IFERROR(VLOOKUP($F95,매장구분!$B:$K,5,0),"")</f>
        <v>직영점</v>
      </c>
      <c r="D95" s="6" t="str">
        <f>IFERROR(VLOOKUP($F95,매장구분!$B:$Z,9,0),"")</f>
        <v>성수(직)</v>
      </c>
      <c r="E95" s="69" t="s">
        <v>332</v>
      </c>
      <c r="F95" s="69" t="s">
        <v>333</v>
      </c>
      <c r="G95" s="69">
        <v>7189</v>
      </c>
      <c r="H95" s="69">
        <v>562297500</v>
      </c>
      <c r="I95" s="69">
        <v>583976500</v>
      </c>
      <c r="J95" s="69">
        <v>7256</v>
      </c>
      <c r="K95" s="69">
        <v>569631400</v>
      </c>
      <c r="L95" s="69">
        <v>591480400</v>
      </c>
      <c r="M95" s="69">
        <v>-67</v>
      </c>
      <c r="N95" s="69">
        <v>-7333900</v>
      </c>
      <c r="O95" s="69">
        <v>-7503900</v>
      </c>
      <c r="P95" s="69">
        <v>28147900</v>
      </c>
      <c r="Q95" s="69">
        <v>33609400</v>
      </c>
      <c r="R95" s="69">
        <v>26420700</v>
      </c>
      <c r="S95" s="69">
        <v>18923600</v>
      </c>
      <c r="T95" s="69">
        <v>16716800</v>
      </c>
      <c r="U95" s="69">
        <v>18003100</v>
      </c>
      <c r="V95" s="69">
        <v>22082700</v>
      </c>
      <c r="W95" s="69">
        <v>22328400</v>
      </c>
      <c r="X95" s="69">
        <v>24994800</v>
      </c>
      <c r="Y95" s="69">
        <v>14303600</v>
      </c>
      <c r="Z95" s="69">
        <v>25365700</v>
      </c>
      <c r="AA95" s="69">
        <v>22160600</v>
      </c>
      <c r="AB95" s="69">
        <v>24208500</v>
      </c>
      <c r="AC95" s="69">
        <v>24406400</v>
      </c>
      <c r="AD95" s="69">
        <v>28809400</v>
      </c>
      <c r="AE95" s="69">
        <v>31981600</v>
      </c>
      <c r="AF95" s="69">
        <v>21542600</v>
      </c>
      <c r="AG95" s="69">
        <v>19694700</v>
      </c>
      <c r="AH95" s="69">
        <v>19263700</v>
      </c>
      <c r="AI95" s="69">
        <v>20026800</v>
      </c>
      <c r="AJ95" s="69">
        <v>30298300</v>
      </c>
      <c r="AK95" s="69">
        <v>32184400</v>
      </c>
      <c r="AL95" s="69">
        <v>36823800</v>
      </c>
      <c r="AM95" s="69"/>
      <c r="AN95" s="69"/>
      <c r="AO95" s="69"/>
      <c r="AP95" s="69"/>
      <c r="AQ95" s="69"/>
      <c r="AR95" s="69"/>
      <c r="AS95" s="69"/>
      <c r="AT95" s="69"/>
      <c r="AU95" s="6"/>
      <c r="AV95" s="6"/>
      <c r="AW95" s="6">
        <f t="shared" si="12"/>
        <v>61757300</v>
      </c>
      <c r="AX95" s="6">
        <f t="shared" si="12"/>
        <v>149470100</v>
      </c>
      <c r="AY95" s="6">
        <f t="shared" si="12"/>
        <v>171235800</v>
      </c>
      <c r="AZ95" s="6">
        <f t="shared" si="12"/>
        <v>179834300</v>
      </c>
      <c r="BA95" s="6">
        <f t="shared" si="12"/>
        <v>0</v>
      </c>
      <c r="BC95" s="66">
        <f t="shared" ca="1" si="10"/>
        <v>562297500</v>
      </c>
    </row>
    <row r="96" spans="1:55" x14ac:dyDescent="0.3">
      <c r="A96" s="6" t="str">
        <f>IFERROR(VLOOKUP($F96,매장구분!$B:$K,2,0),"")</f>
        <v>리테일채널팀</v>
      </c>
      <c r="B96" s="6" t="str">
        <f>IFERROR(VLOOKUP($F96,매장구분!$B:$K,3,0),"")</f>
        <v>국내</v>
      </c>
      <c r="C96" s="6" t="str">
        <f>IFERROR(VLOOKUP($F96,매장구분!$B:$K,5,0),"")</f>
        <v>대리점</v>
      </c>
      <c r="D96" s="6" t="str">
        <f>IFERROR(VLOOKUP($F96,매장구분!$B:$Z,9,0),"")</f>
        <v>세정광주(대-위)</v>
      </c>
      <c r="E96" s="69" t="s">
        <v>346</v>
      </c>
      <c r="F96" s="69" t="s">
        <v>347</v>
      </c>
      <c r="G96" s="69">
        <v>451</v>
      </c>
      <c r="H96" s="69">
        <v>46553700</v>
      </c>
      <c r="I96" s="69">
        <v>49380500</v>
      </c>
      <c r="J96" s="69">
        <v>586</v>
      </c>
      <c r="K96" s="69">
        <v>66881500</v>
      </c>
      <c r="L96" s="69">
        <v>69918400</v>
      </c>
      <c r="M96" s="69">
        <v>-135</v>
      </c>
      <c r="N96" s="69">
        <v>-20327800</v>
      </c>
      <c r="O96" s="69">
        <v>-20537900</v>
      </c>
      <c r="P96" s="69">
        <v>3042000</v>
      </c>
      <c r="Q96" s="69">
        <v>4574900</v>
      </c>
      <c r="R96" s="69">
        <v>1593000</v>
      </c>
      <c r="S96" s="69">
        <v>1537000</v>
      </c>
      <c r="T96" s="69">
        <v>1250000</v>
      </c>
      <c r="U96" s="69">
        <v>1830300</v>
      </c>
      <c r="V96" s="69">
        <v>1456000</v>
      </c>
      <c r="W96" s="69">
        <v>3376100</v>
      </c>
      <c r="X96" s="69">
        <v>2003700</v>
      </c>
      <c r="Y96" s="69">
        <v>0</v>
      </c>
      <c r="Z96" s="69">
        <v>895900</v>
      </c>
      <c r="AA96" s="69">
        <v>1988700</v>
      </c>
      <c r="AB96" s="69">
        <v>922000</v>
      </c>
      <c r="AC96" s="69">
        <v>2346200</v>
      </c>
      <c r="AD96" s="69">
        <v>1420900</v>
      </c>
      <c r="AE96" s="69">
        <v>3279600</v>
      </c>
      <c r="AF96" s="69">
        <v>2971200</v>
      </c>
      <c r="AG96" s="69">
        <v>1085900</v>
      </c>
      <c r="AH96" s="69">
        <v>1924400</v>
      </c>
      <c r="AI96" s="69">
        <v>1303000</v>
      </c>
      <c r="AJ96" s="69">
        <v>3533900</v>
      </c>
      <c r="AK96" s="69">
        <v>1112600</v>
      </c>
      <c r="AL96" s="69">
        <v>3106400</v>
      </c>
      <c r="AM96" s="69"/>
      <c r="AN96" s="69"/>
      <c r="AO96" s="69"/>
      <c r="AP96" s="69"/>
      <c r="AQ96" s="69"/>
      <c r="AR96" s="69"/>
      <c r="AS96" s="69"/>
      <c r="AT96" s="69"/>
      <c r="AU96" s="6"/>
      <c r="AV96" s="6"/>
      <c r="AW96" s="6">
        <f t="shared" si="12"/>
        <v>7616900</v>
      </c>
      <c r="AX96" s="6">
        <f t="shared" si="12"/>
        <v>13046100</v>
      </c>
      <c r="AY96" s="6">
        <f t="shared" si="12"/>
        <v>10853300</v>
      </c>
      <c r="AZ96" s="6">
        <f t="shared" si="12"/>
        <v>15037400</v>
      </c>
      <c r="BA96" s="6">
        <f t="shared" si="12"/>
        <v>0</v>
      </c>
      <c r="BC96" s="66">
        <f t="shared" ca="1" si="10"/>
        <v>46553700</v>
      </c>
    </row>
    <row r="97" spans="1:55" x14ac:dyDescent="0.3">
      <c r="A97" s="6" t="str">
        <f>IFERROR(VLOOKUP($F97,매장구분!$B:$K,2,0),"")</f>
        <v>리테일채널팀</v>
      </c>
      <c r="B97" s="6" t="str">
        <f>IFERROR(VLOOKUP($F97,매장구분!$B:$K,3,0),"")</f>
        <v>국내</v>
      </c>
      <c r="C97" s="6" t="str">
        <f>IFERROR(VLOOKUP($F97,매장구분!$B:$K,5,0),"")</f>
        <v>대리점</v>
      </c>
      <c r="D97" s="6" t="str">
        <f>IFERROR(VLOOKUP($F97,매장구분!$B:$Z,9,0),"")</f>
        <v>시흥(대-위)</v>
      </c>
      <c r="E97" s="69" t="s">
        <v>330</v>
      </c>
      <c r="F97" s="69" t="s">
        <v>331</v>
      </c>
      <c r="G97" s="69">
        <v>220</v>
      </c>
      <c r="H97" s="69">
        <v>24820818</v>
      </c>
      <c r="I97" s="69">
        <v>26336800</v>
      </c>
      <c r="J97" s="69">
        <v>593</v>
      </c>
      <c r="K97" s="69">
        <v>83977418</v>
      </c>
      <c r="L97" s="69">
        <v>85642800</v>
      </c>
      <c r="M97" s="69">
        <v>-373</v>
      </c>
      <c r="N97" s="69">
        <v>-59156600</v>
      </c>
      <c r="O97" s="69">
        <v>-59306000</v>
      </c>
      <c r="P97" s="69">
        <v>1742000</v>
      </c>
      <c r="Q97" s="69">
        <v>2057094</v>
      </c>
      <c r="R97" s="69">
        <v>652000</v>
      </c>
      <c r="S97" s="69">
        <v>1059000</v>
      </c>
      <c r="T97" s="69">
        <v>689000</v>
      </c>
      <c r="U97" s="69">
        <v>707000</v>
      </c>
      <c r="V97" s="69">
        <v>1202000</v>
      </c>
      <c r="W97" s="69">
        <v>881000</v>
      </c>
      <c r="X97" s="69">
        <v>2462300</v>
      </c>
      <c r="Y97" s="69">
        <v>1116000</v>
      </c>
      <c r="Z97" s="69">
        <v>463000</v>
      </c>
      <c r="AA97" s="69">
        <v>1118000</v>
      </c>
      <c r="AB97" s="69">
        <v>570024</v>
      </c>
      <c r="AC97" s="69">
        <v>108900</v>
      </c>
      <c r="AD97" s="69">
        <v>1891000</v>
      </c>
      <c r="AE97" s="69">
        <v>1160000</v>
      </c>
      <c r="AF97" s="69">
        <v>0</v>
      </c>
      <c r="AG97" s="69">
        <v>509000</v>
      </c>
      <c r="AH97" s="69">
        <v>923000</v>
      </c>
      <c r="AI97" s="69">
        <v>438000</v>
      </c>
      <c r="AJ97" s="69">
        <v>1176000</v>
      </c>
      <c r="AK97" s="69">
        <v>881200</v>
      </c>
      <c r="AL97" s="69">
        <v>3015300</v>
      </c>
      <c r="AM97" s="69"/>
      <c r="AN97" s="69"/>
      <c r="AO97" s="69"/>
      <c r="AP97" s="69"/>
      <c r="AQ97" s="69"/>
      <c r="AR97" s="69"/>
      <c r="AS97" s="69"/>
      <c r="AT97" s="69"/>
      <c r="AU97" s="6"/>
      <c r="AV97" s="6"/>
      <c r="AW97" s="6">
        <f t="shared" si="12"/>
        <v>3799094</v>
      </c>
      <c r="AX97" s="6">
        <f t="shared" si="12"/>
        <v>7652300</v>
      </c>
      <c r="AY97" s="6">
        <f t="shared" si="12"/>
        <v>6426924</v>
      </c>
      <c r="AZ97" s="6">
        <f t="shared" si="12"/>
        <v>6942500</v>
      </c>
      <c r="BA97" s="6">
        <f t="shared" si="12"/>
        <v>0</v>
      </c>
      <c r="BC97" s="66">
        <f t="shared" ca="1" si="10"/>
        <v>24820818</v>
      </c>
    </row>
    <row r="98" spans="1:55" x14ac:dyDescent="0.3">
      <c r="A98" s="6" t="str">
        <f>IFERROR(VLOOKUP($F98,매장구분!$B:$K,2,0),"")</f>
        <v>리테일채널팀</v>
      </c>
      <c r="B98" s="6" t="str">
        <f>IFERROR(VLOOKUP($F98,매장구분!$B:$K,3,0),"")</f>
        <v>국내</v>
      </c>
      <c r="C98" s="6" t="str">
        <f>IFERROR(VLOOKUP($F98,매장구분!$B:$K,5,0),"")</f>
        <v>대리점</v>
      </c>
      <c r="D98" s="6" t="str">
        <f>IFERROR(VLOOKUP($F98,매장구분!$B:$Z,9,0),"")</f>
        <v>원주(대-위)</v>
      </c>
      <c r="E98" s="69" t="s">
        <v>224</v>
      </c>
      <c r="F98" s="69" t="s">
        <v>225</v>
      </c>
      <c r="G98" s="69">
        <v>778</v>
      </c>
      <c r="H98" s="69">
        <v>99736900</v>
      </c>
      <c r="I98" s="69">
        <v>109822100</v>
      </c>
      <c r="J98" s="69">
        <v>1023</v>
      </c>
      <c r="K98" s="69">
        <v>132068500</v>
      </c>
      <c r="L98" s="69">
        <v>142473700</v>
      </c>
      <c r="M98" s="69">
        <v>-245</v>
      </c>
      <c r="N98" s="69">
        <v>-32331600</v>
      </c>
      <c r="O98" s="69">
        <v>-32651600</v>
      </c>
      <c r="P98" s="69">
        <v>3964000</v>
      </c>
      <c r="Q98" s="69">
        <v>5568900</v>
      </c>
      <c r="R98" s="69">
        <v>1403000</v>
      </c>
      <c r="S98" s="69">
        <v>8810700</v>
      </c>
      <c r="T98" s="69">
        <v>2600900</v>
      </c>
      <c r="U98" s="69">
        <v>-78700</v>
      </c>
      <c r="V98" s="69">
        <v>6421800</v>
      </c>
      <c r="W98" s="69">
        <v>332900</v>
      </c>
      <c r="X98" s="69">
        <v>2644000</v>
      </c>
      <c r="Y98" s="69">
        <v>2485300</v>
      </c>
      <c r="Z98" s="69">
        <v>8914200</v>
      </c>
      <c r="AA98" s="69">
        <v>1646900</v>
      </c>
      <c r="AB98" s="69">
        <v>7742700</v>
      </c>
      <c r="AC98" s="69">
        <v>2099500</v>
      </c>
      <c r="AD98" s="69">
        <v>64800</v>
      </c>
      <c r="AE98" s="69">
        <v>9380400</v>
      </c>
      <c r="AF98" s="69">
        <v>3601100</v>
      </c>
      <c r="AG98" s="69">
        <v>8059700</v>
      </c>
      <c r="AH98" s="69">
        <v>2839800</v>
      </c>
      <c r="AI98" s="69">
        <v>5612800</v>
      </c>
      <c r="AJ98" s="69">
        <v>1498000</v>
      </c>
      <c r="AK98" s="69">
        <v>817900</v>
      </c>
      <c r="AL98" s="69">
        <v>13306300</v>
      </c>
      <c r="AM98" s="69"/>
      <c r="AN98" s="69"/>
      <c r="AO98" s="69"/>
      <c r="AP98" s="69"/>
      <c r="AQ98" s="69"/>
      <c r="AR98" s="69"/>
      <c r="AS98" s="69"/>
      <c r="AT98" s="69"/>
      <c r="AU98" s="6"/>
      <c r="AV98" s="6"/>
      <c r="AW98" s="6">
        <f t="shared" si="12"/>
        <v>9532900</v>
      </c>
      <c r="AX98" s="6">
        <f t="shared" si="12"/>
        <v>22134600</v>
      </c>
      <c r="AY98" s="6">
        <f t="shared" si="12"/>
        <v>32333800</v>
      </c>
      <c r="AZ98" s="6">
        <f t="shared" si="12"/>
        <v>35735600</v>
      </c>
      <c r="BA98" s="6">
        <f t="shared" si="12"/>
        <v>0</v>
      </c>
      <c r="BC98" s="66">
        <f t="shared" ca="1" si="10"/>
        <v>99736900</v>
      </c>
    </row>
    <row r="99" spans="1:55" x14ac:dyDescent="0.3">
      <c r="A99" s="6" t="str">
        <f>IFERROR(VLOOKUP($F99,매장구분!$B:$K,2,0),"")</f>
        <v>리테일채널팀</v>
      </c>
      <c r="B99" s="6" t="str">
        <f>IFERROR(VLOOKUP($F99,매장구분!$B:$K,3,0),"")</f>
        <v>국내</v>
      </c>
      <c r="C99" s="6" t="str">
        <f>IFERROR(VLOOKUP($F99,매장구분!$B:$K,5,0),"")</f>
        <v>대리점</v>
      </c>
      <c r="D99" s="6" t="str">
        <f>IFERROR(VLOOKUP($F99,매장구분!$B:$Z,9,0),"")</f>
        <v>오산(대-위)</v>
      </c>
      <c r="E99" s="69" t="s">
        <v>226</v>
      </c>
      <c r="F99" s="69" t="s">
        <v>227</v>
      </c>
      <c r="G99" s="69">
        <v>446</v>
      </c>
      <c r="H99" s="69">
        <v>50886561</v>
      </c>
      <c r="I99" s="69">
        <v>54416200</v>
      </c>
      <c r="J99" s="69">
        <v>531</v>
      </c>
      <c r="K99" s="69">
        <v>66602561</v>
      </c>
      <c r="L99" s="69">
        <v>70232200</v>
      </c>
      <c r="M99" s="69">
        <v>-85</v>
      </c>
      <c r="N99" s="69">
        <v>-15716000</v>
      </c>
      <c r="O99" s="69">
        <v>-15816000</v>
      </c>
      <c r="P99" s="69">
        <v>3057000</v>
      </c>
      <c r="Q99" s="69">
        <v>4410590</v>
      </c>
      <c r="R99" s="69">
        <v>1814700</v>
      </c>
      <c r="S99" s="69">
        <v>757000</v>
      </c>
      <c r="T99" s="69">
        <v>773000</v>
      </c>
      <c r="U99" s="69">
        <v>1885900</v>
      </c>
      <c r="V99" s="69">
        <v>195000</v>
      </c>
      <c r="W99" s="69">
        <v>4035000</v>
      </c>
      <c r="X99" s="69">
        <v>3443900</v>
      </c>
      <c r="Y99" s="69">
        <v>710000</v>
      </c>
      <c r="Z99" s="69">
        <v>2767000</v>
      </c>
      <c r="AA99" s="69">
        <v>1793771</v>
      </c>
      <c r="AB99" s="69">
        <v>1033000</v>
      </c>
      <c r="AC99" s="69">
        <v>481800</v>
      </c>
      <c r="AD99" s="69">
        <v>4871000</v>
      </c>
      <c r="AE99" s="69">
        <v>5062900</v>
      </c>
      <c r="AF99" s="69">
        <v>2674100</v>
      </c>
      <c r="AG99" s="69">
        <v>1029000</v>
      </c>
      <c r="AH99" s="69">
        <v>2860000</v>
      </c>
      <c r="AI99" s="69">
        <v>1550000</v>
      </c>
      <c r="AJ99" s="69">
        <v>1062000</v>
      </c>
      <c r="AK99" s="69">
        <v>2867000</v>
      </c>
      <c r="AL99" s="69">
        <v>1752900</v>
      </c>
      <c r="AM99" s="69"/>
      <c r="AN99" s="69"/>
      <c r="AO99" s="69"/>
      <c r="AP99" s="69"/>
      <c r="AQ99" s="69"/>
      <c r="AR99" s="69"/>
      <c r="AS99" s="69"/>
      <c r="AT99" s="69"/>
      <c r="AU99" s="6"/>
      <c r="AV99" s="6"/>
      <c r="AW99" s="6">
        <f t="shared" si="12"/>
        <v>7467590</v>
      </c>
      <c r="AX99" s="6">
        <f t="shared" si="12"/>
        <v>12904500</v>
      </c>
      <c r="AY99" s="6">
        <f t="shared" si="12"/>
        <v>16719471</v>
      </c>
      <c r="AZ99" s="6">
        <f t="shared" si="12"/>
        <v>13795000</v>
      </c>
      <c r="BA99" s="6">
        <f t="shared" si="12"/>
        <v>0</v>
      </c>
      <c r="BC99" s="66">
        <f t="shared" ca="1" si="10"/>
        <v>50886561</v>
      </c>
    </row>
    <row r="100" spans="1:55" x14ac:dyDescent="0.3">
      <c r="A100" s="6" t="str">
        <f>IFERROR(VLOOKUP($F100,매장구분!$B:$K,2,0),"")</f>
        <v>리테일채널팀</v>
      </c>
      <c r="B100" s="6" t="str">
        <f>IFERROR(VLOOKUP($F100,매장구분!$B:$K,3,0),"")</f>
        <v>국내</v>
      </c>
      <c r="C100" s="6" t="str">
        <f>IFERROR(VLOOKUP($F100,매장구분!$B:$K,5,0),"")</f>
        <v>대리점</v>
      </c>
      <c r="D100" s="6" t="str">
        <f>IFERROR(VLOOKUP($F100,매장구분!$B:$Z,9,0),"")</f>
        <v>통영(대-위)</v>
      </c>
      <c r="E100" s="69" t="s">
        <v>506</v>
      </c>
      <c r="F100" s="69" t="s">
        <v>507</v>
      </c>
      <c r="G100" s="69">
        <v>216</v>
      </c>
      <c r="H100" s="69">
        <v>23473300</v>
      </c>
      <c r="I100" s="69">
        <v>25487300</v>
      </c>
      <c r="J100" s="69">
        <v>251</v>
      </c>
      <c r="K100" s="69">
        <v>28365900</v>
      </c>
      <c r="L100" s="69">
        <v>30399900</v>
      </c>
      <c r="M100" s="69">
        <v>-35</v>
      </c>
      <c r="N100" s="69">
        <v>-4892600</v>
      </c>
      <c r="O100" s="69">
        <v>-4912600</v>
      </c>
      <c r="P100" s="69">
        <v>1538000</v>
      </c>
      <c r="Q100" s="69">
        <v>2708700</v>
      </c>
      <c r="R100" s="69">
        <v>1093200</v>
      </c>
      <c r="S100" s="69">
        <v>445900</v>
      </c>
      <c r="T100" s="69">
        <v>818000</v>
      </c>
      <c r="U100" s="69">
        <v>602000</v>
      </c>
      <c r="V100" s="69">
        <v>2497600</v>
      </c>
      <c r="W100" s="69">
        <v>663300</v>
      </c>
      <c r="X100" s="69">
        <v>485900</v>
      </c>
      <c r="Y100" s="69">
        <v>719000</v>
      </c>
      <c r="Z100" s="69">
        <v>1097000</v>
      </c>
      <c r="AA100" s="69">
        <v>1523000</v>
      </c>
      <c r="AB100" s="69">
        <v>1148900</v>
      </c>
      <c r="AC100" s="69">
        <v>662000</v>
      </c>
      <c r="AD100" s="69">
        <v>527000</v>
      </c>
      <c r="AE100" s="69">
        <v>1309000</v>
      </c>
      <c r="AF100" s="69">
        <v>1193000</v>
      </c>
      <c r="AG100" s="69">
        <v>953000</v>
      </c>
      <c r="AH100" s="69">
        <v>734900</v>
      </c>
      <c r="AI100" s="69">
        <v>438000</v>
      </c>
      <c r="AJ100" s="69">
        <v>288000</v>
      </c>
      <c r="AK100" s="69">
        <v>1403000</v>
      </c>
      <c r="AL100" s="69">
        <v>624900</v>
      </c>
      <c r="AM100" s="69"/>
      <c r="AN100" s="69"/>
      <c r="AO100" s="69"/>
      <c r="AP100" s="69"/>
      <c r="AQ100" s="69"/>
      <c r="AR100" s="69"/>
      <c r="AS100" s="69"/>
      <c r="AT100" s="69"/>
      <c r="AU100" s="6"/>
      <c r="AV100" s="6"/>
      <c r="AW100" s="6">
        <f t="shared" si="12"/>
        <v>4246700</v>
      </c>
      <c r="AX100" s="6">
        <f t="shared" si="12"/>
        <v>6605900</v>
      </c>
      <c r="AY100" s="6">
        <f t="shared" si="12"/>
        <v>6985900</v>
      </c>
      <c r="AZ100" s="6">
        <f t="shared" si="12"/>
        <v>5634800</v>
      </c>
      <c r="BA100" s="6">
        <f t="shared" si="12"/>
        <v>0</v>
      </c>
      <c r="BC100" s="66">
        <f t="shared" ca="1" si="10"/>
        <v>23473300</v>
      </c>
    </row>
    <row r="101" spans="1:55" x14ac:dyDescent="0.3">
      <c r="A101" s="6" t="str">
        <f>IFERROR(VLOOKUP($F101,매장구분!$B:$K,2,0),"")</f>
        <v>리테일채널팀</v>
      </c>
      <c r="B101" s="6" t="str">
        <f>IFERROR(VLOOKUP($F101,매장구분!$B:$K,3,0),"")</f>
        <v>국내</v>
      </c>
      <c r="C101" s="6" t="str">
        <f>IFERROR(VLOOKUP($F101,매장구분!$B:$K,5,0),"")</f>
        <v>대리점</v>
      </c>
      <c r="D101" s="6" t="str">
        <f>IFERROR(VLOOKUP($F101,매장구분!$B:$Z,9,0),"")</f>
        <v>익산(대-위)</v>
      </c>
      <c r="E101" s="69" t="s">
        <v>490</v>
      </c>
      <c r="F101" s="69" t="s">
        <v>491</v>
      </c>
      <c r="G101" s="69">
        <v>550</v>
      </c>
      <c r="H101" s="69">
        <v>59469787</v>
      </c>
      <c r="I101" s="69">
        <v>64618000</v>
      </c>
      <c r="J101" s="69">
        <v>883</v>
      </c>
      <c r="K101" s="69">
        <v>102395317</v>
      </c>
      <c r="L101" s="69">
        <v>110346500</v>
      </c>
      <c r="M101" s="69">
        <v>-333</v>
      </c>
      <c r="N101" s="69">
        <v>-42925530</v>
      </c>
      <c r="O101" s="69">
        <v>-45728500</v>
      </c>
      <c r="P101" s="69">
        <v>4965200</v>
      </c>
      <c r="Q101" s="69">
        <v>2494700</v>
      </c>
      <c r="R101" s="69">
        <v>4826820</v>
      </c>
      <c r="S101" s="69">
        <v>1524800</v>
      </c>
      <c r="T101" s="69">
        <v>1532900</v>
      </c>
      <c r="U101" s="69">
        <v>2195567</v>
      </c>
      <c r="V101" s="69">
        <v>4965000</v>
      </c>
      <c r="W101" s="69">
        <v>3003900</v>
      </c>
      <c r="X101" s="69">
        <v>3852100</v>
      </c>
      <c r="Y101" s="69">
        <v>1515800</v>
      </c>
      <c r="Z101" s="69">
        <v>2788900</v>
      </c>
      <c r="AA101" s="69">
        <v>1279900</v>
      </c>
      <c r="AB101" s="69">
        <v>3100500</v>
      </c>
      <c r="AC101" s="69">
        <v>2479200</v>
      </c>
      <c r="AD101" s="69">
        <v>2532200</v>
      </c>
      <c r="AE101" s="69">
        <v>3294800</v>
      </c>
      <c r="AF101" s="69">
        <v>1435000</v>
      </c>
      <c r="AG101" s="69">
        <v>2690200</v>
      </c>
      <c r="AH101" s="69">
        <v>1309500</v>
      </c>
      <c r="AI101" s="69">
        <v>1388800</v>
      </c>
      <c r="AJ101" s="69">
        <v>2164600</v>
      </c>
      <c r="AK101" s="69">
        <v>2908100</v>
      </c>
      <c r="AL101" s="69">
        <v>1221300</v>
      </c>
      <c r="AM101" s="69"/>
      <c r="AN101" s="69"/>
      <c r="AO101" s="69"/>
      <c r="AP101" s="69"/>
      <c r="AQ101" s="69"/>
      <c r="AR101" s="69"/>
      <c r="AS101" s="69"/>
      <c r="AT101" s="69"/>
      <c r="AU101" s="6"/>
      <c r="AV101" s="6"/>
      <c r="AW101" s="6">
        <f t="shared" si="12"/>
        <v>7459900</v>
      </c>
      <c r="AX101" s="6">
        <f t="shared" si="12"/>
        <v>21901087</v>
      </c>
      <c r="AY101" s="6">
        <f t="shared" si="12"/>
        <v>16991300</v>
      </c>
      <c r="AZ101" s="6">
        <f t="shared" si="12"/>
        <v>13117500</v>
      </c>
      <c r="BA101" s="6">
        <f t="shared" si="12"/>
        <v>0</v>
      </c>
      <c r="BC101" s="66">
        <f t="shared" ca="1" si="10"/>
        <v>59469787</v>
      </c>
    </row>
    <row r="102" spans="1:55" x14ac:dyDescent="0.3">
      <c r="A102" s="6" t="str">
        <f>IFERROR(VLOOKUP($F102,매장구분!$B:$K,2,0),"")</f>
        <v>리테일채널팀</v>
      </c>
      <c r="B102" s="6" t="str">
        <f>IFERROR(VLOOKUP($F102,매장구분!$B:$K,3,0),"")</f>
        <v>국내</v>
      </c>
      <c r="C102" s="6" t="str">
        <f>IFERROR(VLOOKUP($F102,매장구분!$B:$K,5,0),"")</f>
        <v>대리점</v>
      </c>
      <c r="D102" s="6" t="str">
        <f>IFERROR(VLOOKUP($F102,매장구분!$B:$Z,9,0),"")</f>
        <v>목포하당(대-위)</v>
      </c>
      <c r="E102" s="69" t="s">
        <v>486</v>
      </c>
      <c r="F102" s="69" t="s">
        <v>487</v>
      </c>
      <c r="G102" s="69">
        <v>792</v>
      </c>
      <c r="H102" s="69">
        <v>98702395</v>
      </c>
      <c r="I102" s="69">
        <v>102673600</v>
      </c>
      <c r="J102" s="69">
        <v>928</v>
      </c>
      <c r="K102" s="69">
        <v>122249786</v>
      </c>
      <c r="L102" s="69">
        <v>126346500</v>
      </c>
      <c r="M102" s="69">
        <v>-136</v>
      </c>
      <c r="N102" s="69">
        <v>-23547391</v>
      </c>
      <c r="O102" s="69">
        <v>-23672900</v>
      </c>
      <c r="P102" s="69">
        <v>6996615</v>
      </c>
      <c r="Q102" s="69">
        <v>10425969</v>
      </c>
      <c r="R102" s="69">
        <v>3019000</v>
      </c>
      <c r="S102" s="69">
        <v>3062000</v>
      </c>
      <c r="T102" s="69">
        <v>2067373</v>
      </c>
      <c r="U102" s="69">
        <v>1454300</v>
      </c>
      <c r="V102" s="69">
        <v>3552600</v>
      </c>
      <c r="W102" s="69">
        <v>5894000</v>
      </c>
      <c r="X102" s="69">
        <v>6472085</v>
      </c>
      <c r="Y102" s="69">
        <v>3005400</v>
      </c>
      <c r="Z102" s="69">
        <v>1162000</v>
      </c>
      <c r="AA102" s="69">
        <v>1344000</v>
      </c>
      <c r="AB102" s="69">
        <v>1582000</v>
      </c>
      <c r="AC102" s="69">
        <v>1387500</v>
      </c>
      <c r="AD102" s="69">
        <v>-4430300</v>
      </c>
      <c r="AE102" s="69">
        <v>11752100</v>
      </c>
      <c r="AF102" s="69">
        <v>2724200</v>
      </c>
      <c r="AG102" s="69">
        <v>2643000</v>
      </c>
      <c r="AH102" s="69">
        <v>2909800</v>
      </c>
      <c r="AI102" s="69">
        <v>5315353</v>
      </c>
      <c r="AJ102" s="69">
        <v>6358200</v>
      </c>
      <c r="AK102" s="69">
        <v>9448100</v>
      </c>
      <c r="AL102" s="69">
        <v>10557100</v>
      </c>
      <c r="AM102" s="69"/>
      <c r="AN102" s="69"/>
      <c r="AO102" s="69"/>
      <c r="AP102" s="69"/>
      <c r="AQ102" s="69"/>
      <c r="AR102" s="69"/>
      <c r="AS102" s="69"/>
      <c r="AT102" s="69"/>
      <c r="AU102" s="6"/>
      <c r="AV102" s="6"/>
      <c r="AW102" s="6">
        <f t="shared" si="12"/>
        <v>17422584</v>
      </c>
      <c r="AX102" s="6">
        <f t="shared" si="12"/>
        <v>25521358</v>
      </c>
      <c r="AY102" s="6">
        <f t="shared" si="12"/>
        <v>15802700</v>
      </c>
      <c r="AZ102" s="6">
        <f t="shared" si="12"/>
        <v>39955753</v>
      </c>
      <c r="BA102" s="6">
        <f t="shared" si="12"/>
        <v>0</v>
      </c>
      <c r="BC102" s="66">
        <f t="shared" ca="1" si="10"/>
        <v>98702395</v>
      </c>
    </row>
    <row r="103" spans="1:55" x14ac:dyDescent="0.3">
      <c r="A103" s="6" t="str">
        <f>IFERROR(VLOOKUP($F103,매장구분!$B:$K,2,0),"")</f>
        <v>리테일채널팀</v>
      </c>
      <c r="B103" s="6" t="str">
        <f>IFERROR(VLOOKUP($F103,매장구분!$B:$K,3,0),"")</f>
        <v>국내</v>
      </c>
      <c r="C103" s="6" t="str">
        <f>IFERROR(VLOOKUP($F103,매장구분!$B:$K,5,0),"")</f>
        <v>대리점</v>
      </c>
      <c r="D103" s="6" t="str">
        <f>IFERROR(VLOOKUP($F103,매장구분!$B:$Z,9,0),"")</f>
        <v>전주송천(대-위)</v>
      </c>
      <c r="E103" s="69" t="s">
        <v>428</v>
      </c>
      <c r="F103" s="69" t="s">
        <v>429</v>
      </c>
      <c r="G103" s="69">
        <v>281</v>
      </c>
      <c r="H103" s="69">
        <v>31825296</v>
      </c>
      <c r="I103" s="69">
        <v>34400000</v>
      </c>
      <c r="J103" s="69">
        <v>600</v>
      </c>
      <c r="K103" s="69">
        <v>102355296</v>
      </c>
      <c r="L103" s="69">
        <v>104993000</v>
      </c>
      <c r="M103" s="69">
        <v>-319</v>
      </c>
      <c r="N103" s="69">
        <v>-70530000</v>
      </c>
      <c r="O103" s="69">
        <v>-70593000</v>
      </c>
      <c r="P103" s="69">
        <v>1057000</v>
      </c>
      <c r="Q103" s="69">
        <v>726000</v>
      </c>
      <c r="R103" s="69">
        <v>1345254</v>
      </c>
      <c r="S103" s="69">
        <v>487000</v>
      </c>
      <c r="T103" s="69">
        <v>1389000</v>
      </c>
      <c r="U103" s="69">
        <v>1008000</v>
      </c>
      <c r="V103" s="69">
        <v>1630000</v>
      </c>
      <c r="W103" s="69">
        <v>3143042</v>
      </c>
      <c r="X103" s="69">
        <v>2276000</v>
      </c>
      <c r="Y103" s="69">
        <v>872000</v>
      </c>
      <c r="Z103" s="69">
        <v>674000</v>
      </c>
      <c r="AA103" s="69">
        <v>733000</v>
      </c>
      <c r="AB103" s="69">
        <v>763000</v>
      </c>
      <c r="AC103" s="69">
        <v>757000</v>
      </c>
      <c r="AD103" s="69">
        <v>1867000</v>
      </c>
      <c r="AE103" s="69">
        <v>1430000</v>
      </c>
      <c r="AF103" s="69">
        <v>1516000</v>
      </c>
      <c r="AG103" s="69">
        <v>1054000</v>
      </c>
      <c r="AH103" s="69">
        <v>1085000</v>
      </c>
      <c r="AI103" s="69">
        <v>1271000</v>
      </c>
      <c r="AJ103" s="69">
        <v>710000</v>
      </c>
      <c r="AK103" s="69">
        <v>1215000</v>
      </c>
      <c r="AL103" s="69">
        <v>4817000</v>
      </c>
      <c r="AM103" s="69"/>
      <c r="AN103" s="69"/>
      <c r="AO103" s="69"/>
      <c r="AP103" s="69"/>
      <c r="AQ103" s="69"/>
      <c r="AR103" s="69"/>
      <c r="AS103" s="69"/>
      <c r="AT103" s="69"/>
      <c r="AU103" s="6"/>
      <c r="AV103" s="6"/>
      <c r="AW103" s="6">
        <f t="shared" si="12"/>
        <v>1783000</v>
      </c>
      <c r="AX103" s="6">
        <f t="shared" si="12"/>
        <v>11278296</v>
      </c>
      <c r="AY103" s="6">
        <f t="shared" si="12"/>
        <v>7096000</v>
      </c>
      <c r="AZ103" s="6">
        <f t="shared" si="12"/>
        <v>11668000</v>
      </c>
      <c r="BA103" s="6">
        <f t="shared" si="12"/>
        <v>0</v>
      </c>
      <c r="BC103" s="66">
        <f t="shared" ca="1" si="10"/>
        <v>31825296</v>
      </c>
    </row>
    <row r="104" spans="1:55" x14ac:dyDescent="0.3">
      <c r="A104" s="6" t="str">
        <f>IFERROR(VLOOKUP($F104,매장구분!$B:$K,2,0),"")</f>
        <v>리테일채널팀</v>
      </c>
      <c r="B104" s="6" t="str">
        <f>IFERROR(VLOOKUP($F104,매장구분!$B:$K,3,0),"")</f>
        <v>국내</v>
      </c>
      <c r="C104" s="6" t="str">
        <f>IFERROR(VLOOKUP($F104,매장구분!$B:$K,5,0),"")</f>
        <v>대리점</v>
      </c>
      <c r="D104" s="6" t="str">
        <f>IFERROR(VLOOKUP($F104,매장구분!$B:$Z,9,0),"")</f>
        <v>보령(대-위)</v>
      </c>
      <c r="E104" s="69" t="s">
        <v>211</v>
      </c>
      <c r="F104" s="69" t="s">
        <v>212</v>
      </c>
      <c r="G104" s="69">
        <v>234</v>
      </c>
      <c r="H104" s="69">
        <v>23410700</v>
      </c>
      <c r="I104" s="69">
        <v>24987900</v>
      </c>
      <c r="J104" s="69">
        <v>342</v>
      </c>
      <c r="K104" s="69">
        <v>42903600</v>
      </c>
      <c r="L104" s="69">
        <v>44500800</v>
      </c>
      <c r="M104" s="69">
        <v>-108</v>
      </c>
      <c r="N104" s="69">
        <v>-19492900</v>
      </c>
      <c r="O104" s="69">
        <v>-19512900</v>
      </c>
      <c r="P104" s="69">
        <v>721900</v>
      </c>
      <c r="Q104" s="69">
        <v>1986000</v>
      </c>
      <c r="R104" s="69">
        <v>2276000</v>
      </c>
      <c r="S104" s="69">
        <v>1480000</v>
      </c>
      <c r="T104" s="69">
        <v>828000</v>
      </c>
      <c r="U104" s="69">
        <v>719000</v>
      </c>
      <c r="V104" s="69">
        <v>1154600</v>
      </c>
      <c r="W104" s="69">
        <v>1040000</v>
      </c>
      <c r="X104" s="69">
        <v>986000</v>
      </c>
      <c r="Y104" s="69">
        <v>657000</v>
      </c>
      <c r="Z104" s="69">
        <v>1280000</v>
      </c>
      <c r="AA104" s="69">
        <v>685000</v>
      </c>
      <c r="AB104" s="69">
        <v>874700</v>
      </c>
      <c r="AC104" s="69">
        <v>569000</v>
      </c>
      <c r="AD104" s="69">
        <v>999900</v>
      </c>
      <c r="AE104" s="69">
        <v>541000</v>
      </c>
      <c r="AF104" s="69">
        <v>389000</v>
      </c>
      <c r="AG104" s="69">
        <v>1554600</v>
      </c>
      <c r="AH104" s="69">
        <v>867200</v>
      </c>
      <c r="AI104" s="69">
        <v>1611000</v>
      </c>
      <c r="AJ104" s="69">
        <v>390800</v>
      </c>
      <c r="AK104" s="69">
        <v>1059000</v>
      </c>
      <c r="AL104" s="69">
        <v>741000</v>
      </c>
      <c r="AM104" s="69"/>
      <c r="AN104" s="69"/>
      <c r="AO104" s="69"/>
      <c r="AP104" s="69"/>
      <c r="AQ104" s="69"/>
      <c r="AR104" s="69"/>
      <c r="AS104" s="69"/>
      <c r="AT104" s="69"/>
      <c r="AU104" s="6"/>
      <c r="AV104" s="6"/>
      <c r="AW104" s="6">
        <f t="shared" si="12"/>
        <v>2707900</v>
      </c>
      <c r="AX104" s="6">
        <f t="shared" si="12"/>
        <v>8483600</v>
      </c>
      <c r="AY104" s="6">
        <f t="shared" si="12"/>
        <v>5606600</v>
      </c>
      <c r="AZ104" s="6">
        <f t="shared" si="12"/>
        <v>6612600</v>
      </c>
      <c r="BA104" s="6">
        <f t="shared" si="12"/>
        <v>0</v>
      </c>
      <c r="BC104" s="66">
        <f t="shared" ca="1" si="10"/>
        <v>23410700</v>
      </c>
    </row>
    <row r="105" spans="1:55" x14ac:dyDescent="0.3">
      <c r="A105" s="6" t="str">
        <f>IFERROR(VLOOKUP($F105,매장구분!$B:$K,2,0),"")</f>
        <v>리테일채널팀</v>
      </c>
      <c r="B105" s="6" t="str">
        <f>IFERROR(VLOOKUP($F105,매장구분!$B:$K,3,0),"")</f>
        <v>국내</v>
      </c>
      <c r="C105" s="6" t="str">
        <f>IFERROR(VLOOKUP($F105,매장구분!$B:$K,5,0),"")</f>
        <v>대리점</v>
      </c>
      <c r="D105" s="6" t="str">
        <f>IFERROR(VLOOKUP($F105,매장구분!$B:$Z,9,0),"")</f>
        <v>충주(대-위)</v>
      </c>
      <c r="E105" s="69" t="s">
        <v>322</v>
      </c>
      <c r="F105" s="69" t="s">
        <v>323</v>
      </c>
      <c r="G105" s="69">
        <v>415</v>
      </c>
      <c r="H105" s="69">
        <v>45211800</v>
      </c>
      <c r="I105" s="69">
        <v>48174900</v>
      </c>
      <c r="J105" s="69">
        <v>458</v>
      </c>
      <c r="K105" s="69">
        <v>53337800</v>
      </c>
      <c r="L105" s="69">
        <v>56410900</v>
      </c>
      <c r="M105" s="69">
        <v>-43</v>
      </c>
      <c r="N105" s="69">
        <v>-8126000</v>
      </c>
      <c r="O105" s="69">
        <v>-8236000</v>
      </c>
      <c r="P105" s="69">
        <v>1622000</v>
      </c>
      <c r="Q105" s="69">
        <v>2136000</v>
      </c>
      <c r="R105" s="69">
        <v>1730000</v>
      </c>
      <c r="S105" s="69">
        <v>2118300</v>
      </c>
      <c r="T105" s="69">
        <v>938300</v>
      </c>
      <c r="U105" s="69">
        <v>434000</v>
      </c>
      <c r="V105" s="69">
        <v>1979000</v>
      </c>
      <c r="W105" s="69">
        <v>2549000</v>
      </c>
      <c r="X105" s="69">
        <v>1110000</v>
      </c>
      <c r="Y105" s="69">
        <v>1009000</v>
      </c>
      <c r="Z105" s="69">
        <v>2984600</v>
      </c>
      <c r="AA105" s="69">
        <v>1207000</v>
      </c>
      <c r="AB105" s="69">
        <v>3183000</v>
      </c>
      <c r="AC105" s="69">
        <v>3369000</v>
      </c>
      <c r="AD105" s="69">
        <v>3283000</v>
      </c>
      <c r="AE105" s="69">
        <v>2735000</v>
      </c>
      <c r="AF105" s="69">
        <v>3588900</v>
      </c>
      <c r="AG105" s="69">
        <v>1673000</v>
      </c>
      <c r="AH105" s="69">
        <v>1981000</v>
      </c>
      <c r="AI105" s="69">
        <v>1922000</v>
      </c>
      <c r="AJ105" s="69">
        <v>606000</v>
      </c>
      <c r="AK105" s="69">
        <v>1713400</v>
      </c>
      <c r="AL105" s="69">
        <v>1340300</v>
      </c>
      <c r="AM105" s="69"/>
      <c r="AN105" s="69"/>
      <c r="AO105" s="69"/>
      <c r="AP105" s="69"/>
      <c r="AQ105" s="69"/>
      <c r="AR105" s="69"/>
      <c r="AS105" s="69"/>
      <c r="AT105" s="69"/>
      <c r="AU105" s="6"/>
      <c r="AV105" s="6"/>
      <c r="AW105" s="6">
        <f t="shared" si="12"/>
        <v>3758000</v>
      </c>
      <c r="AX105" s="6">
        <f t="shared" si="12"/>
        <v>10858600</v>
      </c>
      <c r="AY105" s="6">
        <f t="shared" si="12"/>
        <v>17770600</v>
      </c>
      <c r="AZ105" s="6">
        <f t="shared" si="12"/>
        <v>12824600</v>
      </c>
      <c r="BA105" s="6">
        <f t="shared" si="12"/>
        <v>0</v>
      </c>
      <c r="BC105" s="66">
        <f t="shared" ca="1" si="10"/>
        <v>45211800</v>
      </c>
    </row>
    <row r="106" spans="1:55" x14ac:dyDescent="0.3">
      <c r="A106" s="6" t="str">
        <f>IFERROR(VLOOKUP($F106,매장구분!$B:$K,2,0),"")</f>
        <v>리테일채널팀</v>
      </c>
      <c r="B106" s="6" t="str">
        <f>IFERROR(VLOOKUP($F106,매장구분!$B:$K,3,0),"")</f>
        <v>국내</v>
      </c>
      <c r="C106" s="6" t="str">
        <f>IFERROR(VLOOKUP($F106,매장구분!$B:$K,5,0),"")</f>
        <v>대리점</v>
      </c>
      <c r="D106" s="6" t="str">
        <f>IFERROR(VLOOKUP($F106,매장구분!$B:$Z,9,0),"")</f>
        <v>대구성서(대-위)</v>
      </c>
      <c r="E106" s="69" t="s">
        <v>492</v>
      </c>
      <c r="F106" s="69" t="s">
        <v>493</v>
      </c>
      <c r="G106" s="69">
        <v>681</v>
      </c>
      <c r="H106" s="69">
        <v>81717398</v>
      </c>
      <c r="I106" s="69">
        <v>87466200</v>
      </c>
      <c r="J106" s="69">
        <v>877</v>
      </c>
      <c r="K106" s="69">
        <v>115556698</v>
      </c>
      <c r="L106" s="69">
        <v>121687200</v>
      </c>
      <c r="M106" s="69">
        <v>-196</v>
      </c>
      <c r="N106" s="69">
        <v>-33839300</v>
      </c>
      <c r="O106" s="69">
        <v>-34221000</v>
      </c>
      <c r="P106" s="69">
        <v>6178900</v>
      </c>
      <c r="Q106" s="69">
        <v>8353300</v>
      </c>
      <c r="R106" s="69">
        <v>592000</v>
      </c>
      <c r="S106" s="69">
        <v>1445900</v>
      </c>
      <c r="T106" s="69">
        <v>912950</v>
      </c>
      <c r="U106" s="69">
        <v>897000</v>
      </c>
      <c r="V106" s="69">
        <v>1765000</v>
      </c>
      <c r="W106" s="69">
        <v>7953300</v>
      </c>
      <c r="X106" s="69">
        <v>8832700</v>
      </c>
      <c r="Y106" s="69">
        <v>570000</v>
      </c>
      <c r="Z106" s="69">
        <v>1930515</v>
      </c>
      <c r="AA106" s="69">
        <v>2804700</v>
      </c>
      <c r="AB106" s="69">
        <v>978000</v>
      </c>
      <c r="AC106" s="69">
        <v>1065300</v>
      </c>
      <c r="AD106" s="69">
        <v>5410000</v>
      </c>
      <c r="AE106" s="69">
        <v>7700700</v>
      </c>
      <c r="AF106" s="69">
        <v>2064700</v>
      </c>
      <c r="AG106" s="69">
        <v>2344300</v>
      </c>
      <c r="AH106" s="69">
        <v>2851100</v>
      </c>
      <c r="AI106" s="69">
        <v>1755000</v>
      </c>
      <c r="AJ106" s="69">
        <v>1697000</v>
      </c>
      <c r="AK106" s="69">
        <v>6366233</v>
      </c>
      <c r="AL106" s="69">
        <v>7248800</v>
      </c>
      <c r="AM106" s="69"/>
      <c r="AN106" s="69"/>
      <c r="AO106" s="69"/>
      <c r="AP106" s="69"/>
      <c r="AQ106" s="69"/>
      <c r="AR106" s="69"/>
      <c r="AS106" s="69"/>
      <c r="AT106" s="69"/>
      <c r="AU106" s="6"/>
      <c r="AV106" s="6"/>
      <c r="AW106" s="6">
        <f t="shared" si="12"/>
        <v>14532200</v>
      </c>
      <c r="AX106" s="6">
        <f t="shared" si="12"/>
        <v>22398850</v>
      </c>
      <c r="AY106" s="6">
        <f t="shared" si="12"/>
        <v>20459215</v>
      </c>
      <c r="AZ106" s="6">
        <f t="shared" si="12"/>
        <v>24327133</v>
      </c>
      <c r="BA106" s="6">
        <f t="shared" si="12"/>
        <v>0</v>
      </c>
      <c r="BC106" s="66">
        <f t="shared" ca="1" si="10"/>
        <v>81717398</v>
      </c>
    </row>
    <row r="107" spans="1:55" x14ac:dyDescent="0.3">
      <c r="A107" s="6" t="str">
        <f>IFERROR(VLOOKUP($F107,매장구분!$B:$K,2,0),"")</f>
        <v>리테일채널팀</v>
      </c>
      <c r="B107" s="6" t="str">
        <f>IFERROR(VLOOKUP($F107,매장구분!$B:$K,3,0),"")</f>
        <v>국내</v>
      </c>
      <c r="C107" s="6" t="str">
        <f>IFERROR(VLOOKUP($F107,매장구분!$B:$K,5,0),"")</f>
        <v>대리점</v>
      </c>
      <c r="D107" s="6" t="str">
        <f>IFERROR(VLOOKUP($F107,매장구분!$B:$Z,9,0),"")</f>
        <v>안산시화(대-위)</v>
      </c>
      <c r="E107" s="69" t="s">
        <v>291</v>
      </c>
      <c r="F107" s="69" t="s">
        <v>292</v>
      </c>
      <c r="G107" s="69">
        <v>575</v>
      </c>
      <c r="H107" s="69">
        <v>69062307</v>
      </c>
      <c r="I107" s="69">
        <v>73213700</v>
      </c>
      <c r="J107" s="69">
        <v>690</v>
      </c>
      <c r="K107" s="69">
        <v>92806307</v>
      </c>
      <c r="L107" s="69">
        <v>97027700</v>
      </c>
      <c r="M107" s="69">
        <v>-115</v>
      </c>
      <c r="N107" s="69">
        <v>-23744000</v>
      </c>
      <c r="O107" s="69">
        <v>-23814000</v>
      </c>
      <c r="P107" s="69">
        <v>4401000</v>
      </c>
      <c r="Q107" s="69">
        <v>7142349</v>
      </c>
      <c r="R107" s="69">
        <v>1511000</v>
      </c>
      <c r="S107" s="69">
        <v>3474996</v>
      </c>
      <c r="T107" s="69">
        <v>836000</v>
      </c>
      <c r="U107" s="69">
        <v>1455600</v>
      </c>
      <c r="V107" s="69">
        <v>2897000</v>
      </c>
      <c r="W107" s="69">
        <v>3492200</v>
      </c>
      <c r="X107" s="69">
        <v>3222900</v>
      </c>
      <c r="Y107" s="69">
        <v>1894534</v>
      </c>
      <c r="Z107" s="69">
        <v>3104800</v>
      </c>
      <c r="AA107" s="69">
        <v>2386000</v>
      </c>
      <c r="AB107" s="69">
        <v>1772000</v>
      </c>
      <c r="AC107" s="69">
        <v>4635200</v>
      </c>
      <c r="AD107" s="69">
        <v>4378700</v>
      </c>
      <c r="AE107" s="69">
        <v>5818200</v>
      </c>
      <c r="AF107" s="69">
        <v>1051900</v>
      </c>
      <c r="AG107" s="69">
        <v>2905100</v>
      </c>
      <c r="AH107" s="69">
        <v>1522900</v>
      </c>
      <c r="AI107" s="69">
        <v>1792500</v>
      </c>
      <c r="AJ107" s="69">
        <v>2413379</v>
      </c>
      <c r="AK107" s="69">
        <v>2210900</v>
      </c>
      <c r="AL107" s="69">
        <v>4743149</v>
      </c>
      <c r="AM107" s="69"/>
      <c r="AN107" s="69"/>
      <c r="AO107" s="69"/>
      <c r="AP107" s="69"/>
      <c r="AQ107" s="69"/>
      <c r="AR107" s="69"/>
      <c r="AS107" s="69"/>
      <c r="AT107" s="69"/>
      <c r="AU107" s="6"/>
      <c r="AV107" s="6"/>
      <c r="AW107" s="6">
        <f t="shared" ref="AW107:BA122" si="13">SUMIFS($P107:$AS107,$P$3:$AS$3,AW$3)</f>
        <v>11543349</v>
      </c>
      <c r="AX107" s="6">
        <f t="shared" si="13"/>
        <v>16889696</v>
      </c>
      <c r="AY107" s="6">
        <f t="shared" si="13"/>
        <v>23989434</v>
      </c>
      <c r="AZ107" s="6">
        <f t="shared" si="13"/>
        <v>16639828</v>
      </c>
      <c r="BA107" s="6">
        <f t="shared" si="13"/>
        <v>0</v>
      </c>
      <c r="BC107" s="66">
        <f t="shared" ca="1" si="10"/>
        <v>69062307</v>
      </c>
    </row>
    <row r="108" spans="1:55" x14ac:dyDescent="0.3">
      <c r="A108" s="6" t="str">
        <f>IFERROR(VLOOKUP($F108,매장구분!$B:$K,2,0),"")</f>
        <v>리테일채널팀</v>
      </c>
      <c r="B108" s="6" t="str">
        <f>IFERROR(VLOOKUP($F108,매장구분!$B:$K,3,0),"")</f>
        <v>국내</v>
      </c>
      <c r="C108" s="6" t="str">
        <f>IFERROR(VLOOKUP($F108,매장구분!$B:$K,5,0),"")</f>
        <v>대리점</v>
      </c>
      <c r="D108" s="6" t="str">
        <f>IFERROR(VLOOKUP($F108,매장구분!$B:$Z,9,0),"")</f>
        <v>화성봉담(대-위)</v>
      </c>
      <c r="E108" s="69" t="s">
        <v>273</v>
      </c>
      <c r="F108" s="69" t="s">
        <v>274</v>
      </c>
      <c r="G108" s="69">
        <v>1179</v>
      </c>
      <c r="H108" s="69">
        <v>133763728</v>
      </c>
      <c r="I108" s="69">
        <v>142350000</v>
      </c>
      <c r="J108" s="69">
        <v>1271</v>
      </c>
      <c r="K108" s="69">
        <v>151119728</v>
      </c>
      <c r="L108" s="69">
        <v>159786000</v>
      </c>
      <c r="M108" s="69">
        <v>-92</v>
      </c>
      <c r="N108" s="69">
        <v>-17356000</v>
      </c>
      <c r="O108" s="69">
        <v>-17436000</v>
      </c>
      <c r="P108" s="69">
        <v>3573000</v>
      </c>
      <c r="Q108" s="69">
        <v>4496782</v>
      </c>
      <c r="R108" s="69">
        <v>1071000</v>
      </c>
      <c r="S108" s="69">
        <v>20872000</v>
      </c>
      <c r="T108" s="69">
        <v>18561000</v>
      </c>
      <c r="U108" s="69">
        <v>119000</v>
      </c>
      <c r="V108" s="69">
        <v>1229000</v>
      </c>
      <c r="W108" s="69">
        <v>2336000</v>
      </c>
      <c r="X108" s="69">
        <v>3045000</v>
      </c>
      <c r="Y108" s="69">
        <v>906000</v>
      </c>
      <c r="Z108" s="69">
        <v>1899000</v>
      </c>
      <c r="AA108" s="69">
        <v>434000</v>
      </c>
      <c r="AB108" s="69">
        <v>53610000</v>
      </c>
      <c r="AC108" s="69">
        <v>2094000</v>
      </c>
      <c r="AD108" s="69">
        <v>1074200</v>
      </c>
      <c r="AE108" s="69">
        <v>4054000</v>
      </c>
      <c r="AF108" s="69">
        <v>492000</v>
      </c>
      <c r="AG108" s="69">
        <v>1854000</v>
      </c>
      <c r="AH108" s="69">
        <v>412000</v>
      </c>
      <c r="AI108" s="69">
        <v>2883000</v>
      </c>
      <c r="AJ108" s="69">
        <v>2558000</v>
      </c>
      <c r="AK108" s="69">
        <v>2014000</v>
      </c>
      <c r="AL108" s="69">
        <v>4176746</v>
      </c>
      <c r="AM108" s="69"/>
      <c r="AN108" s="69"/>
      <c r="AO108" s="69"/>
      <c r="AP108" s="69"/>
      <c r="AQ108" s="69"/>
      <c r="AR108" s="69"/>
      <c r="AS108" s="69"/>
      <c r="AT108" s="69"/>
      <c r="AU108" s="6"/>
      <c r="AV108" s="6"/>
      <c r="AW108" s="6">
        <f t="shared" si="13"/>
        <v>8069782</v>
      </c>
      <c r="AX108" s="6">
        <f t="shared" si="13"/>
        <v>47233000</v>
      </c>
      <c r="AY108" s="6">
        <f t="shared" si="13"/>
        <v>64071200</v>
      </c>
      <c r="AZ108" s="6">
        <f t="shared" si="13"/>
        <v>14389746</v>
      </c>
      <c r="BA108" s="6">
        <f t="shared" si="13"/>
        <v>0</v>
      </c>
      <c r="BC108" s="66">
        <f t="shared" ca="1" si="10"/>
        <v>133763728</v>
      </c>
    </row>
    <row r="109" spans="1:55" x14ac:dyDescent="0.3">
      <c r="A109" s="6" t="str">
        <f>IFERROR(VLOOKUP($F109,매장구분!$B:$K,2,0),"")</f>
        <v>리테일채널팀</v>
      </c>
      <c r="B109" s="6" t="str">
        <f>IFERROR(VLOOKUP($F109,매장구분!$B:$K,3,0),"")</f>
        <v>국내</v>
      </c>
      <c r="C109" s="6" t="str">
        <f>IFERROR(VLOOKUP($F109,매장구분!$B:$K,5,0),"")</f>
        <v>대리점</v>
      </c>
      <c r="D109" s="6" t="str">
        <f>IFERROR(VLOOKUP($F109,매장구분!$B:$Z,9,0),"")</f>
        <v>안산중앙(대-위)</v>
      </c>
      <c r="E109" s="69" t="s">
        <v>307</v>
      </c>
      <c r="F109" s="69" t="s">
        <v>308</v>
      </c>
      <c r="G109" s="69">
        <v>557</v>
      </c>
      <c r="H109" s="69">
        <v>73711608</v>
      </c>
      <c r="I109" s="69">
        <v>75081200</v>
      </c>
      <c r="J109" s="69">
        <v>686</v>
      </c>
      <c r="K109" s="69">
        <v>101107508</v>
      </c>
      <c r="L109" s="69">
        <v>102487100</v>
      </c>
      <c r="M109" s="69">
        <v>-129</v>
      </c>
      <c r="N109" s="69">
        <v>-27395900</v>
      </c>
      <c r="O109" s="69">
        <v>-27405900</v>
      </c>
      <c r="P109" s="69">
        <v>2126000</v>
      </c>
      <c r="Q109" s="69">
        <v>2689129</v>
      </c>
      <c r="R109" s="69">
        <v>1213900</v>
      </c>
      <c r="S109" s="69">
        <v>2041900</v>
      </c>
      <c r="T109" s="69">
        <v>1476000</v>
      </c>
      <c r="U109" s="69">
        <v>1541000</v>
      </c>
      <c r="V109" s="69">
        <v>422000</v>
      </c>
      <c r="W109" s="69">
        <v>2564000</v>
      </c>
      <c r="X109" s="69">
        <v>2497000</v>
      </c>
      <c r="Y109" s="69">
        <v>1484000</v>
      </c>
      <c r="Z109" s="69">
        <v>6403279</v>
      </c>
      <c r="AA109" s="69">
        <v>932000</v>
      </c>
      <c r="AB109" s="69">
        <v>1514000</v>
      </c>
      <c r="AC109" s="69">
        <v>9870000</v>
      </c>
      <c r="AD109" s="69">
        <v>1873000</v>
      </c>
      <c r="AE109" s="69">
        <v>2377000</v>
      </c>
      <c r="AF109" s="69">
        <v>3651000</v>
      </c>
      <c r="AG109" s="69">
        <v>1986000</v>
      </c>
      <c r="AH109" s="69">
        <v>1768000</v>
      </c>
      <c r="AI109" s="69">
        <v>18360000</v>
      </c>
      <c r="AJ109" s="69">
        <v>2085800</v>
      </c>
      <c r="AK109" s="69">
        <v>1824900</v>
      </c>
      <c r="AL109" s="69">
        <v>3011700</v>
      </c>
      <c r="AM109" s="69"/>
      <c r="AN109" s="69"/>
      <c r="AO109" s="69"/>
      <c r="AP109" s="69"/>
      <c r="AQ109" s="69"/>
      <c r="AR109" s="69"/>
      <c r="AS109" s="69"/>
      <c r="AT109" s="69"/>
      <c r="AU109" s="6"/>
      <c r="AV109" s="6"/>
      <c r="AW109" s="6">
        <f t="shared" si="13"/>
        <v>4815129</v>
      </c>
      <c r="AX109" s="6">
        <f t="shared" si="13"/>
        <v>11755800</v>
      </c>
      <c r="AY109" s="6">
        <f t="shared" si="13"/>
        <v>24453279</v>
      </c>
      <c r="AZ109" s="6">
        <f t="shared" si="13"/>
        <v>32687400</v>
      </c>
      <c r="BA109" s="6">
        <f t="shared" si="13"/>
        <v>0</v>
      </c>
      <c r="BC109" s="66">
        <f t="shared" ca="1" si="10"/>
        <v>73711608</v>
      </c>
    </row>
    <row r="110" spans="1:55" x14ac:dyDescent="0.3">
      <c r="A110" s="6" t="str">
        <f>IFERROR(VLOOKUP($F110,매장구분!$B:$K,2,0),"")</f>
        <v>리테일채널팀</v>
      </c>
      <c r="B110" s="6" t="str">
        <f>IFERROR(VLOOKUP($F110,매장구분!$B:$K,3,0),"")</f>
        <v>국내</v>
      </c>
      <c r="C110" s="6" t="str">
        <f>IFERROR(VLOOKUP($F110,매장구분!$B:$K,5,0),"")</f>
        <v>대리점</v>
      </c>
      <c r="D110" s="6" t="str">
        <f>IFERROR(VLOOKUP($F110,매장구분!$B:$Z,9,0),"")</f>
        <v>제천(대-위)</v>
      </c>
      <c r="E110" s="69" t="s">
        <v>311</v>
      </c>
      <c r="F110" s="69" t="s">
        <v>312</v>
      </c>
      <c r="G110" s="69">
        <v>458</v>
      </c>
      <c r="H110" s="69">
        <v>56866978</v>
      </c>
      <c r="I110" s="69">
        <v>62349000</v>
      </c>
      <c r="J110" s="69">
        <v>583</v>
      </c>
      <c r="K110" s="69">
        <v>72327178</v>
      </c>
      <c r="L110" s="69">
        <v>77864900</v>
      </c>
      <c r="M110" s="69">
        <v>-125</v>
      </c>
      <c r="N110" s="69">
        <v>-15460200</v>
      </c>
      <c r="O110" s="69">
        <v>-15515900</v>
      </c>
      <c r="P110" s="69">
        <v>1557000</v>
      </c>
      <c r="Q110" s="69">
        <v>2290600</v>
      </c>
      <c r="R110" s="69">
        <v>2509600</v>
      </c>
      <c r="S110" s="69">
        <v>1922800</v>
      </c>
      <c r="T110" s="69">
        <v>2660000</v>
      </c>
      <c r="U110" s="69">
        <v>1553700</v>
      </c>
      <c r="V110" s="69">
        <v>185000</v>
      </c>
      <c r="W110" s="69">
        <v>-131000</v>
      </c>
      <c r="X110" s="69">
        <v>547000</v>
      </c>
      <c r="Y110" s="69">
        <v>1530178</v>
      </c>
      <c r="Z110" s="69">
        <v>9426500</v>
      </c>
      <c r="AA110" s="69">
        <v>1474900</v>
      </c>
      <c r="AB110" s="69">
        <v>2852100</v>
      </c>
      <c r="AC110" s="69">
        <v>1960000</v>
      </c>
      <c r="AD110" s="69">
        <v>3261700</v>
      </c>
      <c r="AE110" s="69">
        <v>2810500</v>
      </c>
      <c r="AF110" s="69">
        <v>2943100</v>
      </c>
      <c r="AG110" s="69">
        <v>2480000</v>
      </c>
      <c r="AH110" s="69">
        <v>2735400</v>
      </c>
      <c r="AI110" s="69">
        <v>1785000</v>
      </c>
      <c r="AJ110" s="69">
        <v>2960800</v>
      </c>
      <c r="AK110" s="69">
        <v>3706100</v>
      </c>
      <c r="AL110" s="69">
        <v>3846000</v>
      </c>
      <c r="AM110" s="69"/>
      <c r="AN110" s="69"/>
      <c r="AO110" s="69"/>
      <c r="AP110" s="69"/>
      <c r="AQ110" s="69"/>
      <c r="AR110" s="69"/>
      <c r="AS110" s="69"/>
      <c r="AT110" s="69"/>
      <c r="AU110" s="6"/>
      <c r="AV110" s="6"/>
      <c r="AW110" s="6">
        <f t="shared" si="13"/>
        <v>3847600</v>
      </c>
      <c r="AX110" s="6">
        <f t="shared" si="13"/>
        <v>9247100</v>
      </c>
      <c r="AY110" s="6">
        <f t="shared" si="13"/>
        <v>23315878</v>
      </c>
      <c r="AZ110" s="6">
        <f t="shared" si="13"/>
        <v>20456400</v>
      </c>
      <c r="BA110" s="6">
        <f t="shared" si="13"/>
        <v>0</v>
      </c>
      <c r="BC110" s="66">
        <f t="shared" ca="1" si="10"/>
        <v>56866978</v>
      </c>
    </row>
    <row r="111" spans="1:55" x14ac:dyDescent="0.3">
      <c r="A111" s="6" t="str">
        <f>IFERROR(VLOOKUP($F111,매장구분!$B:$K,2,0),"")</f>
        <v>리테일채널팀</v>
      </c>
      <c r="B111" s="6" t="str">
        <f>IFERROR(VLOOKUP($F111,매장구분!$B:$K,3,0),"")</f>
        <v>국내</v>
      </c>
      <c r="C111" s="6" t="str">
        <f>IFERROR(VLOOKUP($F111,매장구분!$B:$K,5,0),"")</f>
        <v>대리점</v>
      </c>
      <c r="D111" s="6" t="str">
        <f>IFERROR(VLOOKUP($F111,매장구분!$B:$Z,9,0),"")</f>
        <v>스퀘어원인천(대-위)</v>
      </c>
      <c r="E111" s="69" t="s">
        <v>532</v>
      </c>
      <c r="F111" s="69" t="s">
        <v>533</v>
      </c>
      <c r="G111" s="69">
        <v>841</v>
      </c>
      <c r="H111" s="69">
        <v>91302473</v>
      </c>
      <c r="I111" s="69">
        <v>95728600</v>
      </c>
      <c r="J111" s="69">
        <v>1066</v>
      </c>
      <c r="K111" s="69">
        <v>124706373</v>
      </c>
      <c r="L111" s="69">
        <v>129632500</v>
      </c>
      <c r="M111" s="69">
        <v>-225</v>
      </c>
      <c r="N111" s="69">
        <v>-33403900</v>
      </c>
      <c r="O111" s="69">
        <v>-33903900</v>
      </c>
      <c r="P111" s="69">
        <v>4209000</v>
      </c>
      <c r="Q111" s="69">
        <v>6407732</v>
      </c>
      <c r="R111" s="69">
        <v>1611000</v>
      </c>
      <c r="S111" s="69">
        <v>1676000</v>
      </c>
      <c r="T111" s="69">
        <v>3074900</v>
      </c>
      <c r="U111" s="69">
        <v>4147000</v>
      </c>
      <c r="V111" s="69">
        <v>1310000</v>
      </c>
      <c r="W111" s="69">
        <v>6628000</v>
      </c>
      <c r="X111" s="69">
        <v>5639541</v>
      </c>
      <c r="Y111" s="69">
        <v>2431000</v>
      </c>
      <c r="Z111" s="69">
        <v>1763800</v>
      </c>
      <c r="AA111" s="69">
        <v>4775000</v>
      </c>
      <c r="AB111" s="69">
        <v>3761100</v>
      </c>
      <c r="AC111" s="69">
        <v>3087000</v>
      </c>
      <c r="AD111" s="69">
        <v>6352700</v>
      </c>
      <c r="AE111" s="69">
        <v>6920000</v>
      </c>
      <c r="AF111" s="69">
        <v>3470900</v>
      </c>
      <c r="AG111" s="69">
        <v>1853900</v>
      </c>
      <c r="AH111" s="69">
        <v>2366000</v>
      </c>
      <c r="AI111" s="69">
        <v>1728000</v>
      </c>
      <c r="AJ111" s="69">
        <v>1865100</v>
      </c>
      <c r="AK111" s="69">
        <v>7057900</v>
      </c>
      <c r="AL111" s="69">
        <v>9166900</v>
      </c>
      <c r="AM111" s="69"/>
      <c r="AN111" s="69"/>
      <c r="AO111" s="69"/>
      <c r="AP111" s="69"/>
      <c r="AQ111" s="69"/>
      <c r="AR111" s="69"/>
      <c r="AS111" s="69"/>
      <c r="AT111" s="69"/>
      <c r="AU111" s="6"/>
      <c r="AV111" s="6"/>
      <c r="AW111" s="6">
        <f t="shared" si="13"/>
        <v>10616732</v>
      </c>
      <c r="AX111" s="6">
        <f t="shared" si="13"/>
        <v>24086441</v>
      </c>
      <c r="AY111" s="6">
        <f t="shared" si="13"/>
        <v>29090600</v>
      </c>
      <c r="AZ111" s="6">
        <f t="shared" si="13"/>
        <v>27508700</v>
      </c>
      <c r="BA111" s="6">
        <f t="shared" si="13"/>
        <v>0</v>
      </c>
      <c r="BC111" s="66">
        <f t="shared" ca="1" si="10"/>
        <v>91302473</v>
      </c>
    </row>
    <row r="112" spans="1:55" x14ac:dyDescent="0.3">
      <c r="A112" s="6" t="str">
        <f>IFERROR(VLOOKUP($F112,매장구분!$B:$K,2,0),"")</f>
        <v>리테일채널팀</v>
      </c>
      <c r="B112" s="6" t="str">
        <f>IFERROR(VLOOKUP($F112,매장구분!$B:$K,3,0),"")</f>
        <v>국내</v>
      </c>
      <c r="C112" s="6" t="str">
        <f>IFERROR(VLOOKUP($F112,매장구분!$B:$K,5,0),"")</f>
        <v>대리점</v>
      </c>
      <c r="D112" s="6" t="str">
        <f>IFERROR(VLOOKUP($F112,매장구분!$B:$Z,9,0),"")</f>
        <v>영주(대-위)</v>
      </c>
      <c r="E112" s="69" t="s">
        <v>392</v>
      </c>
      <c r="F112" s="69" t="s">
        <v>393</v>
      </c>
      <c r="G112" s="69">
        <v>233</v>
      </c>
      <c r="H112" s="69">
        <v>25306000</v>
      </c>
      <c r="I112" s="69">
        <v>27042700</v>
      </c>
      <c r="J112" s="69">
        <v>283</v>
      </c>
      <c r="K112" s="69">
        <v>35690000</v>
      </c>
      <c r="L112" s="69">
        <v>37586700</v>
      </c>
      <c r="M112" s="69">
        <v>-50</v>
      </c>
      <c r="N112" s="69">
        <v>-10384000</v>
      </c>
      <c r="O112" s="69">
        <v>-10544000</v>
      </c>
      <c r="P112" s="69">
        <v>2381500</v>
      </c>
      <c r="Q112" s="69">
        <v>1477000</v>
      </c>
      <c r="R112" s="69">
        <v>1071000</v>
      </c>
      <c r="S112" s="69">
        <v>174900</v>
      </c>
      <c r="T112" s="69">
        <v>5612000</v>
      </c>
      <c r="U112" s="69">
        <v>366000</v>
      </c>
      <c r="V112" s="69">
        <v>1498000</v>
      </c>
      <c r="W112" s="69">
        <v>-349000</v>
      </c>
      <c r="X112" s="69">
        <v>-310800</v>
      </c>
      <c r="Y112" s="69">
        <v>386000</v>
      </c>
      <c r="Z112" s="69">
        <v>1121000</v>
      </c>
      <c r="AA112" s="69">
        <v>702900</v>
      </c>
      <c r="AB112" s="69">
        <v>793000</v>
      </c>
      <c r="AC112" s="69">
        <v>709700</v>
      </c>
      <c r="AD112" s="69">
        <v>2288300</v>
      </c>
      <c r="AE112" s="69">
        <v>1043200</v>
      </c>
      <c r="AF112" s="69">
        <v>783000</v>
      </c>
      <c r="AG112" s="69">
        <v>871000</v>
      </c>
      <c r="AH112" s="69">
        <v>1950000</v>
      </c>
      <c r="AI112" s="69">
        <v>516000</v>
      </c>
      <c r="AJ112" s="69">
        <v>827000</v>
      </c>
      <c r="AK112" s="69">
        <v>460300</v>
      </c>
      <c r="AL112" s="69">
        <v>934000</v>
      </c>
      <c r="AM112" s="69"/>
      <c r="AN112" s="69"/>
      <c r="AO112" s="69"/>
      <c r="AP112" s="69"/>
      <c r="AQ112" s="69"/>
      <c r="AR112" s="69"/>
      <c r="AS112" s="69"/>
      <c r="AT112" s="69"/>
      <c r="AU112" s="6"/>
      <c r="AV112" s="6"/>
      <c r="AW112" s="6">
        <f t="shared" si="13"/>
        <v>3858500</v>
      </c>
      <c r="AX112" s="6">
        <f t="shared" si="13"/>
        <v>8062100</v>
      </c>
      <c r="AY112" s="6">
        <f t="shared" si="13"/>
        <v>7044100</v>
      </c>
      <c r="AZ112" s="6">
        <f t="shared" si="13"/>
        <v>6341300</v>
      </c>
      <c r="BA112" s="6">
        <f t="shared" si="13"/>
        <v>0</v>
      </c>
      <c r="BC112" s="66">
        <f t="shared" ca="1" si="10"/>
        <v>25306000</v>
      </c>
    </row>
    <row r="113" spans="1:55" x14ac:dyDescent="0.3">
      <c r="A113" s="6" t="str">
        <f>IFERROR(VLOOKUP($F113,매장구분!$B:$K,2,0),"")</f>
        <v>리테일채널팀</v>
      </c>
      <c r="B113" s="6" t="str">
        <f>IFERROR(VLOOKUP($F113,매장구분!$B:$K,3,0),"")</f>
        <v>국내</v>
      </c>
      <c r="C113" s="6" t="str">
        <f>IFERROR(VLOOKUP($F113,매장구분!$B:$K,5,0),"")</f>
        <v>대리점</v>
      </c>
      <c r="D113" s="6" t="str">
        <f>IFERROR(VLOOKUP($F113,매장구분!$B:$Z,9,0),"")</f>
        <v>상주(대-위)</v>
      </c>
      <c r="E113" s="69" t="s">
        <v>388</v>
      </c>
      <c r="F113" s="69" t="s">
        <v>389</v>
      </c>
      <c r="G113" s="69">
        <v>250</v>
      </c>
      <c r="H113" s="69">
        <v>38831668</v>
      </c>
      <c r="I113" s="69">
        <v>42447300</v>
      </c>
      <c r="J113" s="69">
        <v>288</v>
      </c>
      <c r="K113" s="69">
        <v>45014968</v>
      </c>
      <c r="L113" s="69">
        <v>48695300</v>
      </c>
      <c r="M113" s="69">
        <v>-38</v>
      </c>
      <c r="N113" s="69">
        <v>-6183300</v>
      </c>
      <c r="O113" s="69">
        <v>-6248000</v>
      </c>
      <c r="P113" s="69">
        <v>1182157</v>
      </c>
      <c r="Q113" s="69">
        <v>2218900</v>
      </c>
      <c r="R113" s="69">
        <v>606000</v>
      </c>
      <c r="S113" s="69">
        <v>525000</v>
      </c>
      <c r="T113" s="69">
        <v>487000</v>
      </c>
      <c r="U113" s="69">
        <v>856000</v>
      </c>
      <c r="V113" s="69">
        <v>709611</v>
      </c>
      <c r="W113" s="69">
        <v>2177000</v>
      </c>
      <c r="X113" s="69">
        <v>1176800</v>
      </c>
      <c r="Y113" s="69">
        <v>960000</v>
      </c>
      <c r="Z113" s="69">
        <v>928100</v>
      </c>
      <c r="AA113" s="69">
        <v>799000</v>
      </c>
      <c r="AB113" s="69">
        <v>974100</v>
      </c>
      <c r="AC113" s="69">
        <v>256000</v>
      </c>
      <c r="AD113" s="69">
        <v>679100</v>
      </c>
      <c r="AE113" s="69">
        <v>16948600</v>
      </c>
      <c r="AF113" s="69">
        <v>913000</v>
      </c>
      <c r="AG113" s="69">
        <v>958000</v>
      </c>
      <c r="AH113" s="69">
        <v>950000</v>
      </c>
      <c r="AI113" s="69">
        <v>511000</v>
      </c>
      <c r="AJ113" s="69">
        <v>349000</v>
      </c>
      <c r="AK113" s="69">
        <v>1207000</v>
      </c>
      <c r="AL113" s="69">
        <v>2460300</v>
      </c>
      <c r="AM113" s="69"/>
      <c r="AN113" s="69"/>
      <c r="AO113" s="69"/>
      <c r="AP113" s="69"/>
      <c r="AQ113" s="69"/>
      <c r="AR113" s="69"/>
      <c r="AS113" s="69"/>
      <c r="AT113" s="69"/>
      <c r="AU113" s="6"/>
      <c r="AV113" s="6"/>
      <c r="AW113" s="6">
        <f t="shared" si="13"/>
        <v>3401057</v>
      </c>
      <c r="AX113" s="6">
        <f t="shared" si="13"/>
        <v>6537411</v>
      </c>
      <c r="AY113" s="6">
        <f t="shared" si="13"/>
        <v>21544900</v>
      </c>
      <c r="AZ113" s="6">
        <f t="shared" si="13"/>
        <v>7348300</v>
      </c>
      <c r="BA113" s="6">
        <f t="shared" si="13"/>
        <v>0</v>
      </c>
      <c r="BC113" s="66">
        <f t="shared" ca="1" si="10"/>
        <v>38831668</v>
      </c>
    </row>
    <row r="114" spans="1:55" x14ac:dyDescent="0.3">
      <c r="A114" s="6" t="str">
        <f>IFERROR(VLOOKUP($F114,매장구분!$B:$K,2,0),"")</f>
        <v>리테일채널팀</v>
      </c>
      <c r="B114" s="6" t="str">
        <f>IFERROR(VLOOKUP($F114,매장구분!$B:$K,3,0),"")</f>
        <v>국내</v>
      </c>
      <c r="C114" s="6" t="str">
        <f>IFERROR(VLOOKUP($F114,매장구분!$B:$K,5,0),"")</f>
        <v>대리점</v>
      </c>
      <c r="D114" s="6" t="str">
        <f>IFERROR(VLOOKUP($F114,매장구분!$B:$Z,9,0),"")</f>
        <v>아이즈빌부평(대-위)</v>
      </c>
      <c r="E114" s="69" t="s">
        <v>315</v>
      </c>
      <c r="F114" s="69" t="s">
        <v>316</v>
      </c>
      <c r="G114" s="69">
        <v>2371</v>
      </c>
      <c r="H114" s="69">
        <v>242265100</v>
      </c>
      <c r="I114" s="69">
        <v>256821500</v>
      </c>
      <c r="J114" s="69">
        <v>2618</v>
      </c>
      <c r="K114" s="69">
        <v>280920000</v>
      </c>
      <c r="L114" s="69">
        <v>295536400</v>
      </c>
      <c r="M114" s="69">
        <v>-247</v>
      </c>
      <c r="N114" s="69">
        <v>-38654900</v>
      </c>
      <c r="O114" s="69">
        <v>-38714900</v>
      </c>
      <c r="P114" s="69">
        <v>1829000</v>
      </c>
      <c r="Q114" s="69">
        <v>2257000</v>
      </c>
      <c r="R114" s="69">
        <v>31857000</v>
      </c>
      <c r="S114" s="69">
        <v>18314000</v>
      </c>
      <c r="T114" s="69">
        <v>826000</v>
      </c>
      <c r="U114" s="69">
        <v>1197000</v>
      </c>
      <c r="V114" s="69">
        <v>13240800</v>
      </c>
      <c r="W114" s="69">
        <v>2804000</v>
      </c>
      <c r="X114" s="69">
        <v>4241000</v>
      </c>
      <c r="Y114" s="69">
        <v>26690900</v>
      </c>
      <c r="Z114" s="69">
        <v>23110000</v>
      </c>
      <c r="AA114" s="69">
        <v>12068000</v>
      </c>
      <c r="AB114" s="69">
        <v>14815900</v>
      </c>
      <c r="AC114" s="69">
        <v>829500</v>
      </c>
      <c r="AD114" s="69">
        <v>7037000</v>
      </c>
      <c r="AE114" s="69">
        <v>3409100</v>
      </c>
      <c r="AF114" s="69">
        <v>12945000</v>
      </c>
      <c r="AG114" s="69">
        <v>10651000</v>
      </c>
      <c r="AH114" s="69">
        <v>19047000</v>
      </c>
      <c r="AI114" s="69">
        <v>5728900</v>
      </c>
      <c r="AJ114" s="69">
        <v>10137000</v>
      </c>
      <c r="AK114" s="69">
        <v>15923000</v>
      </c>
      <c r="AL114" s="69">
        <v>3307000</v>
      </c>
      <c r="AM114" s="69"/>
      <c r="AN114" s="69"/>
      <c r="AO114" s="69"/>
      <c r="AP114" s="69"/>
      <c r="AQ114" s="69"/>
      <c r="AR114" s="69"/>
      <c r="AS114" s="69"/>
      <c r="AT114" s="69"/>
      <c r="AU114" s="6"/>
      <c r="AV114" s="6"/>
      <c r="AW114" s="6">
        <f t="shared" si="13"/>
        <v>4086000</v>
      </c>
      <c r="AX114" s="6">
        <f t="shared" si="13"/>
        <v>72479800</v>
      </c>
      <c r="AY114" s="6">
        <f t="shared" si="13"/>
        <v>87960400</v>
      </c>
      <c r="AZ114" s="6">
        <f t="shared" si="13"/>
        <v>77738900</v>
      </c>
      <c r="BA114" s="6">
        <f t="shared" si="13"/>
        <v>0</v>
      </c>
      <c r="BC114" s="66">
        <f t="shared" ca="1" si="10"/>
        <v>242265100</v>
      </c>
    </row>
    <row r="115" spans="1:55" x14ac:dyDescent="0.3">
      <c r="A115" s="6" t="str">
        <f>IFERROR(VLOOKUP($F115,매장구분!$B:$K,2,0),"")</f>
        <v>리테일채널팀</v>
      </c>
      <c r="B115" s="6" t="str">
        <f>IFERROR(VLOOKUP($F115,매장구분!$B:$K,3,0),"")</f>
        <v>국내</v>
      </c>
      <c r="C115" s="6" t="str">
        <f>IFERROR(VLOOKUP($F115,매장구분!$B:$K,5,0),"")</f>
        <v>대리점</v>
      </c>
      <c r="D115" s="6" t="str">
        <f>IFERROR(VLOOKUP($F115,매장구분!$B:$Z,9,0),"")</f>
        <v>정읍(대-위)</v>
      </c>
      <c r="E115" s="69" t="s">
        <v>318</v>
      </c>
      <c r="F115" s="69" t="s">
        <v>319</v>
      </c>
      <c r="G115" s="69">
        <v>284</v>
      </c>
      <c r="H115" s="69">
        <v>28975695</v>
      </c>
      <c r="I115" s="69">
        <v>30214400</v>
      </c>
      <c r="J115" s="69">
        <v>297</v>
      </c>
      <c r="K115" s="69">
        <v>31036495</v>
      </c>
      <c r="L115" s="69">
        <v>32275200</v>
      </c>
      <c r="M115" s="69">
        <v>-13</v>
      </c>
      <c r="N115" s="69">
        <v>-2060800</v>
      </c>
      <c r="O115" s="69">
        <v>-2060800</v>
      </c>
      <c r="P115" s="69">
        <v>1700295</v>
      </c>
      <c r="Q115" s="69">
        <v>1928000</v>
      </c>
      <c r="R115" s="69">
        <v>634000</v>
      </c>
      <c r="S115" s="69">
        <v>721000</v>
      </c>
      <c r="T115" s="69">
        <v>1389900</v>
      </c>
      <c r="U115" s="69">
        <v>1198000</v>
      </c>
      <c r="V115" s="69">
        <v>1027000</v>
      </c>
      <c r="W115" s="69">
        <v>1082800</v>
      </c>
      <c r="X115" s="69">
        <v>3025000</v>
      </c>
      <c r="Y115" s="69">
        <v>650000</v>
      </c>
      <c r="Z115" s="69">
        <v>1022000</v>
      </c>
      <c r="AA115" s="69">
        <v>1366900</v>
      </c>
      <c r="AB115" s="69">
        <v>542000</v>
      </c>
      <c r="AC115" s="69">
        <v>1052000</v>
      </c>
      <c r="AD115" s="69">
        <v>2189800</v>
      </c>
      <c r="AE115" s="69">
        <v>1847000</v>
      </c>
      <c r="AF115" s="69">
        <v>791000</v>
      </c>
      <c r="AG115" s="69">
        <v>1566000</v>
      </c>
      <c r="AH115" s="69">
        <v>234000</v>
      </c>
      <c r="AI115" s="69">
        <v>755000</v>
      </c>
      <c r="AJ115" s="69">
        <v>810000</v>
      </c>
      <c r="AK115" s="69">
        <v>1921000</v>
      </c>
      <c r="AL115" s="69">
        <v>1523000</v>
      </c>
      <c r="AM115" s="69"/>
      <c r="AN115" s="69"/>
      <c r="AO115" s="69"/>
      <c r="AP115" s="69"/>
      <c r="AQ115" s="69"/>
      <c r="AR115" s="69"/>
      <c r="AS115" s="69"/>
      <c r="AT115" s="69"/>
      <c r="AU115" s="6"/>
      <c r="AV115" s="6"/>
      <c r="AW115" s="6">
        <f t="shared" si="13"/>
        <v>3628295</v>
      </c>
      <c r="AX115" s="6">
        <f t="shared" si="13"/>
        <v>9077700</v>
      </c>
      <c r="AY115" s="6">
        <f t="shared" si="13"/>
        <v>8669700</v>
      </c>
      <c r="AZ115" s="6">
        <f t="shared" si="13"/>
        <v>7600000</v>
      </c>
      <c r="BA115" s="6">
        <f t="shared" si="13"/>
        <v>0</v>
      </c>
      <c r="BC115" s="66">
        <f t="shared" ca="1" si="10"/>
        <v>28975695</v>
      </c>
    </row>
    <row r="116" spans="1:55" x14ac:dyDescent="0.3">
      <c r="A116" s="6" t="str">
        <f>IFERROR(VLOOKUP($F116,매장구분!$B:$K,2,0),"")</f>
        <v>리테일채널팀</v>
      </c>
      <c r="B116" s="6" t="str">
        <f>IFERROR(VLOOKUP($F116,매장구분!$B:$K,3,0),"")</f>
        <v>국내</v>
      </c>
      <c r="C116" s="6" t="str">
        <f>IFERROR(VLOOKUP($F116,매장구분!$B:$K,5,0),"")</f>
        <v>대리점</v>
      </c>
      <c r="D116" s="6" t="str">
        <f>IFERROR(VLOOKUP($F116,매장구분!$B:$Z,9,0),"")</f>
        <v>남원(대-위)</v>
      </c>
      <c r="E116" s="69" t="s">
        <v>410</v>
      </c>
      <c r="F116" s="69" t="s">
        <v>411</v>
      </c>
      <c r="G116" s="69">
        <v>282</v>
      </c>
      <c r="H116" s="69">
        <v>32416019</v>
      </c>
      <c r="I116" s="69">
        <v>33804600</v>
      </c>
      <c r="J116" s="69">
        <v>302</v>
      </c>
      <c r="K116" s="69">
        <v>35626019</v>
      </c>
      <c r="L116" s="69">
        <v>37014600</v>
      </c>
      <c r="M116" s="69">
        <v>-20</v>
      </c>
      <c r="N116" s="69">
        <v>-3210000</v>
      </c>
      <c r="O116" s="69">
        <v>-3210000</v>
      </c>
      <c r="P116" s="69">
        <v>2372900</v>
      </c>
      <c r="Q116" s="69">
        <v>3790000</v>
      </c>
      <c r="R116" s="69">
        <v>1034000</v>
      </c>
      <c r="S116" s="69">
        <v>500000</v>
      </c>
      <c r="T116" s="69">
        <v>924000</v>
      </c>
      <c r="U116" s="69">
        <v>302000</v>
      </c>
      <c r="V116" s="69">
        <v>1502000</v>
      </c>
      <c r="W116" s="69">
        <v>3020900</v>
      </c>
      <c r="X116" s="69">
        <v>1678000</v>
      </c>
      <c r="Y116" s="69">
        <v>1700000</v>
      </c>
      <c r="Z116" s="69">
        <v>978000</v>
      </c>
      <c r="AA116" s="69">
        <v>128900</v>
      </c>
      <c r="AB116" s="69">
        <v>3003200</v>
      </c>
      <c r="AC116" s="69">
        <v>2391000</v>
      </c>
      <c r="AD116" s="69">
        <v>2377900</v>
      </c>
      <c r="AE116" s="69">
        <v>1347900</v>
      </c>
      <c r="AF116" s="69">
        <v>705000</v>
      </c>
      <c r="AG116" s="69">
        <v>323000</v>
      </c>
      <c r="AH116" s="69">
        <v>-45000</v>
      </c>
      <c r="AI116" s="69">
        <v>1586319</v>
      </c>
      <c r="AJ116" s="69">
        <v>351000</v>
      </c>
      <c r="AK116" s="69">
        <v>1249000</v>
      </c>
      <c r="AL116" s="69">
        <v>1196000</v>
      </c>
      <c r="AM116" s="69"/>
      <c r="AN116" s="69"/>
      <c r="AO116" s="69"/>
      <c r="AP116" s="69"/>
      <c r="AQ116" s="69"/>
      <c r="AR116" s="69"/>
      <c r="AS116" s="69"/>
      <c r="AT116" s="69"/>
      <c r="AU116" s="6"/>
      <c r="AV116" s="6"/>
      <c r="AW116" s="6">
        <f t="shared" si="13"/>
        <v>6162900</v>
      </c>
      <c r="AX116" s="6">
        <f t="shared" si="13"/>
        <v>8960900</v>
      </c>
      <c r="AY116" s="6">
        <f t="shared" si="13"/>
        <v>11926900</v>
      </c>
      <c r="AZ116" s="6">
        <f t="shared" si="13"/>
        <v>5365319</v>
      </c>
      <c r="BA116" s="6">
        <f t="shared" si="13"/>
        <v>0</v>
      </c>
      <c r="BC116" s="66">
        <f t="shared" ca="1" si="10"/>
        <v>32416019</v>
      </c>
    </row>
    <row r="117" spans="1:55" x14ac:dyDescent="0.3">
      <c r="A117" s="6" t="str">
        <f>IFERROR(VLOOKUP($F117,매장구분!$B:$K,2,0),"")</f>
        <v>리테일채널팀</v>
      </c>
      <c r="B117" s="6" t="str">
        <f>IFERROR(VLOOKUP($F117,매장구분!$B:$K,3,0),"")</f>
        <v>국내</v>
      </c>
      <c r="C117" s="6" t="str">
        <f>IFERROR(VLOOKUP($F117,매장구분!$B:$K,5,0),"")</f>
        <v>대리점</v>
      </c>
      <c r="D117" s="6" t="str">
        <f>IFERROR(VLOOKUP($F117,매장구분!$B:$Z,9,0),"")</f>
        <v>부천(대-위)</v>
      </c>
      <c r="E117" s="69" t="s">
        <v>530</v>
      </c>
      <c r="F117" s="69" t="s">
        <v>531</v>
      </c>
      <c r="G117" s="69">
        <v>417</v>
      </c>
      <c r="H117" s="69">
        <v>51671055</v>
      </c>
      <c r="I117" s="69">
        <v>54888700</v>
      </c>
      <c r="J117" s="69">
        <v>574</v>
      </c>
      <c r="K117" s="69">
        <v>78828355</v>
      </c>
      <c r="L117" s="69">
        <v>82137700</v>
      </c>
      <c r="M117" s="69">
        <v>-157</v>
      </c>
      <c r="N117" s="69">
        <v>-27157300</v>
      </c>
      <c r="O117" s="69">
        <v>-27249000</v>
      </c>
      <c r="P117" s="69">
        <v>2077000</v>
      </c>
      <c r="Q117" s="69">
        <v>3216000</v>
      </c>
      <c r="R117" s="69">
        <v>1977000</v>
      </c>
      <c r="S117" s="69">
        <v>2801000</v>
      </c>
      <c r="T117" s="69">
        <v>1184715</v>
      </c>
      <c r="U117" s="69">
        <v>935000</v>
      </c>
      <c r="V117" s="69">
        <v>2242000</v>
      </c>
      <c r="W117" s="69">
        <v>2350000</v>
      </c>
      <c r="X117" s="69">
        <v>2865300</v>
      </c>
      <c r="Y117" s="69">
        <v>2137106</v>
      </c>
      <c r="Z117" s="69">
        <v>1662000</v>
      </c>
      <c r="AA117" s="69">
        <v>2293900</v>
      </c>
      <c r="AB117" s="69">
        <v>58134</v>
      </c>
      <c r="AC117" s="69">
        <v>2065000</v>
      </c>
      <c r="AD117" s="69">
        <v>4623900</v>
      </c>
      <c r="AE117" s="69">
        <v>2803000</v>
      </c>
      <c r="AF117" s="69">
        <v>1574000</v>
      </c>
      <c r="AG117" s="69">
        <v>852200</v>
      </c>
      <c r="AH117" s="69">
        <v>2562600</v>
      </c>
      <c r="AI117" s="69">
        <v>264000</v>
      </c>
      <c r="AJ117" s="69">
        <v>2883200</v>
      </c>
      <c r="AK117" s="69">
        <v>4188000</v>
      </c>
      <c r="AL117" s="69">
        <v>4056000</v>
      </c>
      <c r="AM117" s="69"/>
      <c r="AN117" s="69"/>
      <c r="AO117" s="69"/>
      <c r="AP117" s="69"/>
      <c r="AQ117" s="69"/>
      <c r="AR117" s="69"/>
      <c r="AS117" s="69"/>
      <c r="AT117" s="69"/>
      <c r="AU117" s="6"/>
      <c r="AV117" s="6"/>
      <c r="AW117" s="6">
        <f t="shared" si="13"/>
        <v>5293000</v>
      </c>
      <c r="AX117" s="6">
        <f t="shared" si="13"/>
        <v>14355015</v>
      </c>
      <c r="AY117" s="6">
        <f t="shared" si="13"/>
        <v>15643040</v>
      </c>
      <c r="AZ117" s="6">
        <f t="shared" si="13"/>
        <v>16380000</v>
      </c>
      <c r="BA117" s="6">
        <f t="shared" si="13"/>
        <v>0</v>
      </c>
      <c r="BC117" s="66">
        <f t="shared" ca="1" si="10"/>
        <v>51671055</v>
      </c>
    </row>
    <row r="118" spans="1:55" x14ac:dyDescent="0.3">
      <c r="A118" s="6" t="str">
        <f>IFERROR(VLOOKUP($F118,매장구분!$B:$K,2,0),"")</f>
        <v>리테일채널팀</v>
      </c>
      <c r="B118" s="6" t="str">
        <f>IFERROR(VLOOKUP($F118,매장구분!$B:$K,3,0),"")</f>
        <v>국내</v>
      </c>
      <c r="C118" s="6" t="str">
        <f>IFERROR(VLOOKUP($F118,매장구분!$B:$K,5,0),"")</f>
        <v>대리점</v>
      </c>
      <c r="D118" s="6" t="str">
        <f>IFERROR(VLOOKUP($F118,매장구분!$B:$Z,9,0),"")</f>
        <v>아산(대-위)</v>
      </c>
      <c r="E118" s="69" t="s">
        <v>194</v>
      </c>
      <c r="F118" s="69" t="s">
        <v>195</v>
      </c>
      <c r="G118" s="69">
        <v>372</v>
      </c>
      <c r="H118" s="69">
        <v>42328300</v>
      </c>
      <c r="I118" s="69">
        <v>43654800</v>
      </c>
      <c r="J118" s="69">
        <v>436</v>
      </c>
      <c r="K118" s="69">
        <v>51892300</v>
      </c>
      <c r="L118" s="69">
        <v>53297800</v>
      </c>
      <c r="M118" s="69">
        <v>-64</v>
      </c>
      <c r="N118" s="69">
        <v>-9564000</v>
      </c>
      <c r="O118" s="69">
        <v>-9643000</v>
      </c>
      <c r="P118" s="69">
        <v>2656000</v>
      </c>
      <c r="Q118" s="69">
        <v>4142000</v>
      </c>
      <c r="R118" s="69">
        <v>1816000</v>
      </c>
      <c r="S118" s="69">
        <v>1577000</v>
      </c>
      <c r="T118" s="69">
        <v>400000</v>
      </c>
      <c r="U118" s="69">
        <v>2619000</v>
      </c>
      <c r="V118" s="69">
        <v>1348000</v>
      </c>
      <c r="W118" s="69">
        <v>3240800</v>
      </c>
      <c r="X118" s="69">
        <v>3710000</v>
      </c>
      <c r="Y118" s="69">
        <v>1325000</v>
      </c>
      <c r="Z118" s="69">
        <v>935000</v>
      </c>
      <c r="AA118" s="69">
        <v>1143000</v>
      </c>
      <c r="AB118" s="69">
        <v>601000</v>
      </c>
      <c r="AC118" s="69">
        <v>884000</v>
      </c>
      <c r="AD118" s="69">
        <v>2290000</v>
      </c>
      <c r="AE118" s="69">
        <v>2755000</v>
      </c>
      <c r="AF118" s="69">
        <v>950000</v>
      </c>
      <c r="AG118" s="69">
        <v>1670000</v>
      </c>
      <c r="AH118" s="69">
        <v>1189000</v>
      </c>
      <c r="AI118" s="69">
        <v>227000</v>
      </c>
      <c r="AJ118" s="69">
        <v>1036000</v>
      </c>
      <c r="AK118" s="69">
        <v>2446300</v>
      </c>
      <c r="AL118" s="69">
        <v>3368200</v>
      </c>
      <c r="AM118" s="69"/>
      <c r="AN118" s="69"/>
      <c r="AO118" s="69"/>
      <c r="AP118" s="69"/>
      <c r="AQ118" s="69"/>
      <c r="AR118" s="69"/>
      <c r="AS118" s="69"/>
      <c r="AT118" s="69"/>
      <c r="AU118" s="6"/>
      <c r="AV118" s="6"/>
      <c r="AW118" s="6">
        <f t="shared" si="13"/>
        <v>6798000</v>
      </c>
      <c r="AX118" s="6">
        <f t="shared" si="13"/>
        <v>14710800</v>
      </c>
      <c r="AY118" s="6">
        <f t="shared" si="13"/>
        <v>9933000</v>
      </c>
      <c r="AZ118" s="6">
        <f t="shared" si="13"/>
        <v>10886500</v>
      </c>
      <c r="BA118" s="6">
        <f t="shared" si="13"/>
        <v>0</v>
      </c>
      <c r="BC118" s="66">
        <f t="shared" ca="1" si="10"/>
        <v>42328300</v>
      </c>
    </row>
    <row r="119" spans="1:55" x14ac:dyDescent="0.3">
      <c r="A119" s="6" t="str">
        <f>IFERROR(VLOOKUP($F119,매장구분!$B:$K,2,0),"")</f>
        <v>리테일채널팀</v>
      </c>
      <c r="B119" s="6" t="str">
        <f>IFERROR(VLOOKUP($F119,매장구분!$B:$K,3,0),"")</f>
        <v>국내</v>
      </c>
      <c r="C119" s="6" t="str">
        <f>IFERROR(VLOOKUP($F119,매장구분!$B:$K,5,0),"")</f>
        <v>대리점</v>
      </c>
      <c r="D119" s="6" t="str">
        <f>IFERROR(VLOOKUP($F119,매장구분!$B:$Z,9,0),"")</f>
        <v>홍성(대-위)</v>
      </c>
      <c r="E119" s="69" t="s">
        <v>418</v>
      </c>
      <c r="F119" s="69" t="s">
        <v>419</v>
      </c>
      <c r="G119" s="69">
        <v>246</v>
      </c>
      <c r="H119" s="69">
        <v>27715700</v>
      </c>
      <c r="I119" s="69">
        <v>29209200</v>
      </c>
      <c r="J119" s="69">
        <v>286</v>
      </c>
      <c r="K119" s="69">
        <v>34924100</v>
      </c>
      <c r="L119" s="69">
        <v>36604100</v>
      </c>
      <c r="M119" s="69">
        <v>-40</v>
      </c>
      <c r="N119" s="69">
        <v>-7208400</v>
      </c>
      <c r="O119" s="69">
        <v>-7394900</v>
      </c>
      <c r="P119" s="69">
        <v>988000</v>
      </c>
      <c r="Q119" s="69">
        <v>1685000</v>
      </c>
      <c r="R119" s="69">
        <v>1373000</v>
      </c>
      <c r="S119" s="69">
        <v>736000</v>
      </c>
      <c r="T119" s="69">
        <v>465000</v>
      </c>
      <c r="U119" s="69">
        <v>49000</v>
      </c>
      <c r="V119" s="69">
        <v>178000</v>
      </c>
      <c r="W119" s="69">
        <v>686000</v>
      </c>
      <c r="X119" s="69">
        <v>3859000</v>
      </c>
      <c r="Y119" s="69">
        <v>453000</v>
      </c>
      <c r="Z119" s="69">
        <v>1149000</v>
      </c>
      <c r="AA119" s="69">
        <v>1554100</v>
      </c>
      <c r="AB119" s="69">
        <v>612000</v>
      </c>
      <c r="AC119" s="69">
        <v>736900</v>
      </c>
      <c r="AD119" s="69">
        <v>1504300</v>
      </c>
      <c r="AE119" s="69">
        <v>3575000</v>
      </c>
      <c r="AF119" s="69">
        <v>745800</v>
      </c>
      <c r="AG119" s="69">
        <v>640900</v>
      </c>
      <c r="AH119" s="69">
        <v>2578900</v>
      </c>
      <c r="AI119" s="69">
        <v>778900</v>
      </c>
      <c r="AJ119" s="69">
        <v>1340900</v>
      </c>
      <c r="AK119" s="69">
        <v>688000</v>
      </c>
      <c r="AL119" s="69">
        <v>1339000</v>
      </c>
      <c r="AM119" s="69"/>
      <c r="AN119" s="69"/>
      <c r="AO119" s="69"/>
      <c r="AP119" s="69"/>
      <c r="AQ119" s="69"/>
      <c r="AR119" s="69"/>
      <c r="AS119" s="69"/>
      <c r="AT119" s="69"/>
      <c r="AU119" s="6"/>
      <c r="AV119" s="6"/>
      <c r="AW119" s="6">
        <f t="shared" si="13"/>
        <v>2673000</v>
      </c>
      <c r="AX119" s="6">
        <f t="shared" si="13"/>
        <v>7346000</v>
      </c>
      <c r="AY119" s="6">
        <f t="shared" si="13"/>
        <v>9584300</v>
      </c>
      <c r="AZ119" s="6">
        <f t="shared" si="13"/>
        <v>8112400</v>
      </c>
      <c r="BA119" s="6">
        <f t="shared" si="13"/>
        <v>0</v>
      </c>
      <c r="BC119" s="66">
        <f t="shared" ca="1" si="10"/>
        <v>27715700</v>
      </c>
    </row>
    <row r="120" spans="1:55" x14ac:dyDescent="0.3">
      <c r="A120" s="6" t="str">
        <f>IFERROR(VLOOKUP($F120,매장구분!$B:$K,2,0),"")</f>
        <v>리테일채널팀</v>
      </c>
      <c r="B120" s="6" t="str">
        <f>IFERROR(VLOOKUP($F120,매장구분!$B:$K,3,0),"")</f>
        <v>국내</v>
      </c>
      <c r="C120" s="6" t="str">
        <f>IFERROR(VLOOKUP($F120,매장구분!$B:$K,5,0),"")</f>
        <v>대리점</v>
      </c>
      <c r="D120" s="6" t="str">
        <f>IFERROR(VLOOKUP($F120,매장구분!$B:$Z,9,0),"")</f>
        <v>성남신흥(대-위)</v>
      </c>
      <c r="E120" s="69" t="s">
        <v>228</v>
      </c>
      <c r="F120" s="69" t="s">
        <v>229</v>
      </c>
      <c r="G120" s="69">
        <v>8536</v>
      </c>
      <c r="H120" s="69">
        <v>424392796</v>
      </c>
      <c r="I120" s="69">
        <v>448470700</v>
      </c>
      <c r="J120" s="69">
        <v>8842</v>
      </c>
      <c r="K120" s="69">
        <v>475240996</v>
      </c>
      <c r="L120" s="69">
        <v>499403700</v>
      </c>
      <c r="M120" s="69">
        <v>-306</v>
      </c>
      <c r="N120" s="69">
        <v>-50848200</v>
      </c>
      <c r="O120" s="69">
        <v>-50933000</v>
      </c>
      <c r="P120" s="69">
        <v>90089000</v>
      </c>
      <c r="Q120" s="69">
        <v>6175796</v>
      </c>
      <c r="R120" s="69">
        <v>13895000</v>
      </c>
      <c r="S120" s="69">
        <v>83351000</v>
      </c>
      <c r="T120" s="69">
        <v>5657000</v>
      </c>
      <c r="U120" s="69">
        <v>22803000</v>
      </c>
      <c r="V120" s="69">
        <v>8675000</v>
      </c>
      <c r="W120" s="69">
        <v>4852000</v>
      </c>
      <c r="X120" s="69">
        <v>4607800</v>
      </c>
      <c r="Y120" s="69">
        <v>980000</v>
      </c>
      <c r="Z120" s="69">
        <v>19335000</v>
      </c>
      <c r="AA120" s="69">
        <v>2762000</v>
      </c>
      <c r="AB120" s="69">
        <v>2320000</v>
      </c>
      <c r="AC120" s="69">
        <v>13781000</v>
      </c>
      <c r="AD120" s="69">
        <v>94035900</v>
      </c>
      <c r="AE120" s="69">
        <v>4122000</v>
      </c>
      <c r="AF120" s="69">
        <v>4484000</v>
      </c>
      <c r="AG120" s="69">
        <v>2680500</v>
      </c>
      <c r="AH120" s="69">
        <v>4832300</v>
      </c>
      <c r="AI120" s="69">
        <v>29569200</v>
      </c>
      <c r="AJ120" s="69">
        <v>1746000</v>
      </c>
      <c r="AK120" s="69">
        <v>584000</v>
      </c>
      <c r="AL120" s="69">
        <v>3055300</v>
      </c>
      <c r="AM120" s="69"/>
      <c r="AN120" s="69"/>
      <c r="AO120" s="69"/>
      <c r="AP120" s="69"/>
      <c r="AQ120" s="69"/>
      <c r="AR120" s="69"/>
      <c r="AS120" s="69"/>
      <c r="AT120" s="69"/>
      <c r="AU120" s="6"/>
      <c r="AV120" s="6"/>
      <c r="AW120" s="6">
        <f t="shared" si="13"/>
        <v>96264796</v>
      </c>
      <c r="AX120" s="6">
        <f t="shared" si="13"/>
        <v>143840800</v>
      </c>
      <c r="AY120" s="6">
        <f t="shared" si="13"/>
        <v>137335900</v>
      </c>
      <c r="AZ120" s="6">
        <f t="shared" si="13"/>
        <v>46951300</v>
      </c>
      <c r="BA120" s="6">
        <f t="shared" si="13"/>
        <v>0</v>
      </c>
      <c r="BC120" s="66">
        <f t="shared" ca="1" si="10"/>
        <v>424392796</v>
      </c>
    </row>
    <row r="121" spans="1:55" x14ac:dyDescent="0.3">
      <c r="A121" s="6" t="str">
        <f>IFERROR(VLOOKUP($F121,매장구분!$B:$K,2,0),"")</f>
        <v>리테일채널팀</v>
      </c>
      <c r="B121" s="6" t="str">
        <f>IFERROR(VLOOKUP($F121,매장구분!$B:$K,3,0),"")</f>
        <v>국내</v>
      </c>
      <c r="C121" s="6" t="str">
        <f>IFERROR(VLOOKUP($F121,매장구분!$B:$K,5,0),"")</f>
        <v>대리점</v>
      </c>
      <c r="D121" s="6" t="str">
        <f>IFERROR(VLOOKUP($F121,매장구분!$B:$Z,9,0),"")</f>
        <v>광명(대-위)</v>
      </c>
      <c r="E121" s="69" t="s">
        <v>420</v>
      </c>
      <c r="F121" s="69" t="s">
        <v>421</v>
      </c>
      <c r="G121" s="69">
        <v>4678</v>
      </c>
      <c r="H121" s="69">
        <v>243593752</v>
      </c>
      <c r="I121" s="69">
        <v>256755300</v>
      </c>
      <c r="J121" s="69">
        <v>4952</v>
      </c>
      <c r="K121" s="69">
        <v>276174252</v>
      </c>
      <c r="L121" s="69">
        <v>289545300</v>
      </c>
      <c r="M121" s="69">
        <v>-274</v>
      </c>
      <c r="N121" s="69">
        <v>-32580500</v>
      </c>
      <c r="O121" s="69">
        <v>-32790000</v>
      </c>
      <c r="P121" s="69">
        <v>85895000</v>
      </c>
      <c r="Q121" s="69">
        <v>2753300</v>
      </c>
      <c r="R121" s="69">
        <v>3355992</v>
      </c>
      <c r="S121" s="69">
        <v>2719000</v>
      </c>
      <c r="T121" s="69">
        <v>32344000</v>
      </c>
      <c r="U121" s="69">
        <v>1451000</v>
      </c>
      <c r="V121" s="69">
        <v>2968000</v>
      </c>
      <c r="W121" s="69">
        <v>2241000</v>
      </c>
      <c r="X121" s="69">
        <v>2726594</v>
      </c>
      <c r="Y121" s="69">
        <v>1270900</v>
      </c>
      <c r="Z121" s="69">
        <v>4539000</v>
      </c>
      <c r="AA121" s="69">
        <v>23050100</v>
      </c>
      <c r="AB121" s="69">
        <v>1504500</v>
      </c>
      <c r="AC121" s="69">
        <v>2138900</v>
      </c>
      <c r="AD121" s="69">
        <v>22632966</v>
      </c>
      <c r="AE121" s="69">
        <v>945000</v>
      </c>
      <c r="AF121" s="69">
        <v>2631700</v>
      </c>
      <c r="AG121" s="69">
        <v>868500</v>
      </c>
      <c r="AH121" s="69">
        <v>27545000</v>
      </c>
      <c r="AI121" s="69">
        <v>6207000</v>
      </c>
      <c r="AJ121" s="69">
        <v>1380000</v>
      </c>
      <c r="AK121" s="69">
        <v>3075000</v>
      </c>
      <c r="AL121" s="69">
        <v>9351300</v>
      </c>
      <c r="AM121" s="69"/>
      <c r="AN121" s="69"/>
      <c r="AO121" s="69"/>
      <c r="AP121" s="69"/>
      <c r="AQ121" s="69"/>
      <c r="AR121" s="69"/>
      <c r="AS121" s="69"/>
      <c r="AT121" s="69"/>
      <c r="AU121" s="6"/>
      <c r="AV121" s="6"/>
      <c r="AW121" s="6">
        <f t="shared" si="13"/>
        <v>88648300</v>
      </c>
      <c r="AX121" s="6">
        <f t="shared" si="13"/>
        <v>47805586</v>
      </c>
      <c r="AY121" s="6">
        <f t="shared" si="13"/>
        <v>56081366</v>
      </c>
      <c r="AZ121" s="6">
        <f t="shared" si="13"/>
        <v>51058500</v>
      </c>
      <c r="BA121" s="6">
        <f t="shared" si="13"/>
        <v>0</v>
      </c>
      <c r="BC121" s="66">
        <f t="shared" ca="1" si="10"/>
        <v>243593752</v>
      </c>
    </row>
    <row r="122" spans="1:55" x14ac:dyDescent="0.3">
      <c r="A122" s="6" t="str">
        <f>IFERROR(VLOOKUP($F122,매장구분!$B:$K,2,0),"")</f>
        <v>리테일채널팀</v>
      </c>
      <c r="B122" s="6" t="str">
        <f>IFERROR(VLOOKUP($F122,매장구분!$B:$K,3,0),"")</f>
        <v>국내</v>
      </c>
      <c r="C122" s="6" t="str">
        <f>IFERROR(VLOOKUP($F122,매장구분!$B:$K,5,0),"")</f>
        <v>대리점</v>
      </c>
      <c r="D122" s="6" t="str">
        <f>IFERROR(VLOOKUP($F122,매장구분!$B:$Z,9,0),"")</f>
        <v>해남(대-위)</v>
      </c>
      <c r="E122" s="69" t="s">
        <v>514</v>
      </c>
      <c r="F122" s="69" t="s">
        <v>515</v>
      </c>
      <c r="G122" s="69">
        <v>370</v>
      </c>
      <c r="H122" s="69">
        <v>41305176</v>
      </c>
      <c r="I122" s="69">
        <v>42426500</v>
      </c>
      <c r="J122" s="69">
        <v>453</v>
      </c>
      <c r="K122" s="69">
        <v>52933976</v>
      </c>
      <c r="L122" s="69">
        <v>54137300</v>
      </c>
      <c r="M122" s="69">
        <v>-83</v>
      </c>
      <c r="N122" s="69">
        <v>-11628800</v>
      </c>
      <c r="O122" s="69">
        <v>-11710800</v>
      </c>
      <c r="P122" s="69">
        <v>2456000</v>
      </c>
      <c r="Q122" s="69">
        <v>1751000</v>
      </c>
      <c r="R122" s="69">
        <v>1707900</v>
      </c>
      <c r="S122" s="69">
        <v>1057000</v>
      </c>
      <c r="T122" s="69">
        <v>687000</v>
      </c>
      <c r="U122" s="69">
        <v>703900</v>
      </c>
      <c r="V122" s="69">
        <v>1227000</v>
      </c>
      <c r="W122" s="69">
        <v>1280000</v>
      </c>
      <c r="X122" s="69">
        <v>1900000</v>
      </c>
      <c r="Y122" s="69">
        <v>1167000</v>
      </c>
      <c r="Z122" s="69">
        <v>1917618</v>
      </c>
      <c r="AA122" s="69">
        <v>1238900</v>
      </c>
      <c r="AB122" s="69">
        <v>955000</v>
      </c>
      <c r="AC122" s="69">
        <v>1633000</v>
      </c>
      <c r="AD122" s="69">
        <v>2115000</v>
      </c>
      <c r="AE122" s="69">
        <v>2329000</v>
      </c>
      <c r="AF122" s="69">
        <v>1701800</v>
      </c>
      <c r="AG122" s="69">
        <v>2475000</v>
      </c>
      <c r="AH122" s="69">
        <v>612100</v>
      </c>
      <c r="AI122" s="69">
        <v>115000</v>
      </c>
      <c r="AJ122" s="69">
        <v>1987900</v>
      </c>
      <c r="AK122" s="69">
        <v>5692058</v>
      </c>
      <c r="AL122" s="69">
        <v>4596000</v>
      </c>
      <c r="AM122" s="69"/>
      <c r="AN122" s="69"/>
      <c r="AO122" s="69"/>
      <c r="AP122" s="69"/>
      <c r="AQ122" s="69"/>
      <c r="AR122" s="69"/>
      <c r="AS122" s="69"/>
      <c r="AT122" s="69"/>
      <c r="AU122" s="6"/>
      <c r="AV122" s="6"/>
      <c r="AW122" s="6">
        <f t="shared" si="13"/>
        <v>4207000</v>
      </c>
      <c r="AX122" s="6">
        <f t="shared" si="13"/>
        <v>8562800</v>
      </c>
      <c r="AY122" s="6">
        <f t="shared" si="13"/>
        <v>11355518</v>
      </c>
      <c r="AZ122" s="6">
        <f t="shared" si="13"/>
        <v>17179858</v>
      </c>
      <c r="BA122" s="6">
        <f t="shared" si="13"/>
        <v>0</v>
      </c>
      <c r="BC122" s="66">
        <f t="shared" ca="1" si="10"/>
        <v>41305176</v>
      </c>
    </row>
    <row r="123" spans="1:55" x14ac:dyDescent="0.3">
      <c r="A123" s="6" t="str">
        <f>IFERROR(VLOOKUP($F123,매장구분!$B:$K,2,0),"")</f>
        <v>리테일채널팀</v>
      </c>
      <c r="B123" s="6" t="str">
        <f>IFERROR(VLOOKUP($F123,매장구분!$B:$K,3,0),"")</f>
        <v>국내</v>
      </c>
      <c r="C123" s="6" t="str">
        <f>IFERROR(VLOOKUP($F123,매장구분!$B:$K,5,0),"")</f>
        <v>대리점</v>
      </c>
      <c r="D123" s="6" t="str">
        <f>IFERROR(VLOOKUP($F123,매장구분!$B:$Z,9,0),"")</f>
        <v>대구칠곡(대-위)</v>
      </c>
      <c r="E123" s="69" t="s">
        <v>364</v>
      </c>
      <c r="F123" s="69" t="s">
        <v>365</v>
      </c>
      <c r="G123" s="69">
        <v>138</v>
      </c>
      <c r="H123" s="69">
        <v>13899400</v>
      </c>
      <c r="I123" s="69">
        <v>14341100</v>
      </c>
      <c r="J123" s="69">
        <v>257</v>
      </c>
      <c r="K123" s="69">
        <v>31760400</v>
      </c>
      <c r="L123" s="69">
        <v>32212100</v>
      </c>
      <c r="M123" s="69">
        <v>-119</v>
      </c>
      <c r="N123" s="69">
        <v>-17861000</v>
      </c>
      <c r="O123" s="69">
        <v>-17871000</v>
      </c>
      <c r="P123" s="69">
        <v>799000</v>
      </c>
      <c r="Q123" s="69">
        <v>1411000</v>
      </c>
      <c r="R123" s="69">
        <v>427000</v>
      </c>
      <c r="S123" s="69">
        <v>829500</v>
      </c>
      <c r="T123" s="69">
        <v>783000</v>
      </c>
      <c r="U123" s="69">
        <v>628900</v>
      </c>
      <c r="V123" s="69">
        <v>462000</v>
      </c>
      <c r="W123" s="69">
        <v>309800</v>
      </c>
      <c r="X123" s="69">
        <v>767900</v>
      </c>
      <c r="Y123" s="69">
        <v>85000</v>
      </c>
      <c r="Z123" s="69">
        <v>1012000</v>
      </c>
      <c r="AA123" s="69">
        <v>565000</v>
      </c>
      <c r="AB123" s="69">
        <v>520000</v>
      </c>
      <c r="AC123" s="69">
        <v>735300</v>
      </c>
      <c r="AD123" s="69">
        <v>968000</v>
      </c>
      <c r="AE123" s="69">
        <v>851000</v>
      </c>
      <c r="AF123" s="69">
        <v>211000</v>
      </c>
      <c r="AG123" s="69">
        <v>201000</v>
      </c>
      <c r="AH123" s="69">
        <v>616000</v>
      </c>
      <c r="AI123" s="69">
        <v>964000</v>
      </c>
      <c r="AJ123" s="69">
        <v>164000</v>
      </c>
      <c r="AK123" s="69">
        <v>161000</v>
      </c>
      <c r="AL123" s="69">
        <v>428000</v>
      </c>
      <c r="AM123" s="69"/>
      <c r="AN123" s="69"/>
      <c r="AO123" s="69"/>
      <c r="AP123" s="69"/>
      <c r="AQ123" s="69"/>
      <c r="AR123" s="69"/>
      <c r="AS123" s="69"/>
      <c r="AT123" s="69"/>
      <c r="AU123" s="6"/>
      <c r="AV123" s="6"/>
      <c r="AW123" s="6">
        <f t="shared" ref="AW123:BA138" si="14">SUMIFS($P123:$AS123,$P$3:$AS$3,AW$3)</f>
        <v>2210000</v>
      </c>
      <c r="AX123" s="6">
        <f t="shared" si="14"/>
        <v>4208100</v>
      </c>
      <c r="AY123" s="6">
        <f t="shared" si="14"/>
        <v>4736300</v>
      </c>
      <c r="AZ123" s="6">
        <f t="shared" si="14"/>
        <v>2745000</v>
      </c>
      <c r="BA123" s="6">
        <f t="shared" si="14"/>
        <v>0</v>
      </c>
      <c r="BC123" s="66">
        <f t="shared" ca="1" si="10"/>
        <v>13899400</v>
      </c>
    </row>
    <row r="124" spans="1:55" x14ac:dyDescent="0.3">
      <c r="A124" s="6" t="str">
        <f>IFERROR(VLOOKUP($F124,매장구분!$B:$K,2,0),"")</f>
        <v>리테일채널팀</v>
      </c>
      <c r="B124" s="6" t="str">
        <f>IFERROR(VLOOKUP($F124,매장구분!$B:$K,3,0),"")</f>
        <v>국내</v>
      </c>
      <c r="C124" s="6" t="str">
        <f>IFERROR(VLOOKUP($F124,매장구분!$B:$K,5,0),"")</f>
        <v>대리점</v>
      </c>
      <c r="D124" s="6" t="str">
        <f>IFERROR(VLOOKUP($F124,매장구분!$B:$Z,9,0),"")</f>
        <v>안성(대-위)</v>
      </c>
      <c r="E124" s="69" t="s">
        <v>309</v>
      </c>
      <c r="F124" s="69" t="s">
        <v>310</v>
      </c>
      <c r="G124" s="69">
        <v>336</v>
      </c>
      <c r="H124" s="69">
        <v>34949700</v>
      </c>
      <c r="I124" s="69">
        <v>36740400</v>
      </c>
      <c r="J124" s="69">
        <v>487</v>
      </c>
      <c r="K124" s="69">
        <v>57763300</v>
      </c>
      <c r="L124" s="69">
        <v>59634000</v>
      </c>
      <c r="M124" s="69">
        <v>-151</v>
      </c>
      <c r="N124" s="69">
        <v>-22813600</v>
      </c>
      <c r="O124" s="69">
        <v>-22893600</v>
      </c>
      <c r="P124" s="69">
        <v>2146000</v>
      </c>
      <c r="Q124" s="69">
        <v>1988000</v>
      </c>
      <c r="R124" s="69">
        <v>1871000</v>
      </c>
      <c r="S124" s="69">
        <v>2631800</v>
      </c>
      <c r="T124" s="69">
        <v>531000</v>
      </c>
      <c r="U124" s="69">
        <v>515000</v>
      </c>
      <c r="V124" s="69">
        <v>1291000</v>
      </c>
      <c r="W124" s="69">
        <v>1766000</v>
      </c>
      <c r="X124" s="69">
        <v>818000</v>
      </c>
      <c r="Y124" s="69">
        <v>360000</v>
      </c>
      <c r="Z124" s="69">
        <v>6245000</v>
      </c>
      <c r="AA124" s="69">
        <v>1160000</v>
      </c>
      <c r="AB124" s="69">
        <v>343000</v>
      </c>
      <c r="AC124" s="69">
        <v>1284300</v>
      </c>
      <c r="AD124" s="69">
        <v>1829000</v>
      </c>
      <c r="AE124" s="69">
        <v>1025000</v>
      </c>
      <c r="AF124" s="69">
        <v>786000</v>
      </c>
      <c r="AG124" s="69">
        <v>1513000</v>
      </c>
      <c r="AH124" s="69">
        <v>1026000</v>
      </c>
      <c r="AI124" s="69">
        <v>1323000</v>
      </c>
      <c r="AJ124" s="69">
        <v>351000</v>
      </c>
      <c r="AK124" s="69">
        <v>1295000</v>
      </c>
      <c r="AL124" s="69">
        <v>2851600</v>
      </c>
      <c r="AM124" s="69"/>
      <c r="AN124" s="69"/>
      <c r="AO124" s="69"/>
      <c r="AP124" s="69"/>
      <c r="AQ124" s="69"/>
      <c r="AR124" s="69"/>
      <c r="AS124" s="69"/>
      <c r="AT124" s="69"/>
      <c r="AU124" s="6"/>
      <c r="AV124" s="6"/>
      <c r="AW124" s="6">
        <f t="shared" si="14"/>
        <v>4134000</v>
      </c>
      <c r="AX124" s="6">
        <f t="shared" si="14"/>
        <v>9423800</v>
      </c>
      <c r="AY124" s="6">
        <f t="shared" si="14"/>
        <v>12246300</v>
      </c>
      <c r="AZ124" s="6">
        <f t="shared" si="14"/>
        <v>9145600</v>
      </c>
      <c r="BA124" s="6">
        <f t="shared" si="14"/>
        <v>0</v>
      </c>
      <c r="BC124" s="66">
        <f t="shared" ca="1" si="10"/>
        <v>34949700</v>
      </c>
    </row>
    <row r="125" spans="1:55" x14ac:dyDescent="0.3">
      <c r="A125" s="6" t="str">
        <f>IFERROR(VLOOKUP($F125,매장구분!$B:$K,2,0),"")</f>
        <v>리테일채널팀</v>
      </c>
      <c r="B125" s="6" t="str">
        <f>IFERROR(VLOOKUP($F125,매장구분!$B:$K,3,0),"")</f>
        <v>국내</v>
      </c>
      <c r="C125" s="6" t="str">
        <f>IFERROR(VLOOKUP($F125,매장구분!$B:$K,5,0),"")</f>
        <v>대리점</v>
      </c>
      <c r="D125" s="6" t="str">
        <f>IFERROR(VLOOKUP($F125,매장구분!$B:$Z,9,0),"")</f>
        <v>울산무거(대-위)</v>
      </c>
      <c r="E125" s="69" t="s">
        <v>241</v>
      </c>
      <c r="F125" s="69" t="s">
        <v>242</v>
      </c>
      <c r="G125" s="69">
        <v>336</v>
      </c>
      <c r="H125" s="69">
        <v>34361200</v>
      </c>
      <c r="I125" s="69">
        <v>38317600</v>
      </c>
      <c r="J125" s="69">
        <v>462</v>
      </c>
      <c r="K125" s="69">
        <v>53810200</v>
      </c>
      <c r="L125" s="69">
        <v>58077100</v>
      </c>
      <c r="M125" s="69">
        <v>-126</v>
      </c>
      <c r="N125" s="69">
        <v>-19449000</v>
      </c>
      <c r="O125" s="69">
        <v>-19759500</v>
      </c>
      <c r="P125" s="69">
        <v>288000</v>
      </c>
      <c r="Q125" s="69">
        <v>2985700</v>
      </c>
      <c r="R125" s="69">
        <v>1088300</v>
      </c>
      <c r="S125" s="69">
        <v>726300</v>
      </c>
      <c r="T125" s="69">
        <v>1260300</v>
      </c>
      <c r="U125" s="69">
        <v>4626900</v>
      </c>
      <c r="V125" s="69">
        <v>962000</v>
      </c>
      <c r="W125" s="69">
        <v>1286700</v>
      </c>
      <c r="X125" s="69">
        <v>3956000</v>
      </c>
      <c r="Y125" s="69">
        <v>654600</v>
      </c>
      <c r="Z125" s="69">
        <v>1182700</v>
      </c>
      <c r="AA125" s="69">
        <v>0</v>
      </c>
      <c r="AB125" s="69">
        <v>4000</v>
      </c>
      <c r="AC125" s="69">
        <v>512100</v>
      </c>
      <c r="AD125" s="69">
        <v>69500</v>
      </c>
      <c r="AE125" s="69">
        <v>4787000</v>
      </c>
      <c r="AF125" s="69">
        <v>1367200</v>
      </c>
      <c r="AG125" s="69">
        <v>702000</v>
      </c>
      <c r="AH125" s="69">
        <v>890200</v>
      </c>
      <c r="AI125" s="69">
        <v>2506300</v>
      </c>
      <c r="AJ125" s="69">
        <v>0</v>
      </c>
      <c r="AK125" s="69">
        <v>1008100</v>
      </c>
      <c r="AL125" s="69">
        <v>3497300</v>
      </c>
      <c r="AM125" s="69"/>
      <c r="AN125" s="69"/>
      <c r="AO125" s="69"/>
      <c r="AP125" s="69"/>
      <c r="AQ125" s="69"/>
      <c r="AR125" s="69"/>
      <c r="AS125" s="69"/>
      <c r="AT125" s="69"/>
      <c r="AU125" s="6"/>
      <c r="AV125" s="6"/>
      <c r="AW125" s="6">
        <f t="shared" si="14"/>
        <v>3273700</v>
      </c>
      <c r="AX125" s="6">
        <f t="shared" si="14"/>
        <v>13906500</v>
      </c>
      <c r="AY125" s="6">
        <f t="shared" si="14"/>
        <v>7209900</v>
      </c>
      <c r="AZ125" s="6">
        <f t="shared" si="14"/>
        <v>9971100</v>
      </c>
      <c r="BA125" s="6">
        <f t="shared" si="14"/>
        <v>0</v>
      </c>
      <c r="BC125" s="66">
        <f t="shared" ca="1" si="10"/>
        <v>34361200</v>
      </c>
    </row>
    <row r="126" spans="1:55" x14ac:dyDescent="0.3">
      <c r="A126" s="6" t="str">
        <f>IFERROR(VLOOKUP($F126,매장구분!$B:$K,2,0),"")</f>
        <v>리테일채널팀</v>
      </c>
      <c r="B126" s="6" t="str">
        <f>IFERROR(VLOOKUP($F126,매장구분!$B:$K,3,0),"")</f>
        <v>국내</v>
      </c>
      <c r="C126" s="6" t="str">
        <f>IFERROR(VLOOKUP($F126,매장구분!$B:$K,5,0),"")</f>
        <v>대리점</v>
      </c>
      <c r="D126" s="6" t="str">
        <f>IFERROR(VLOOKUP($F126,매장구분!$B:$Z,9,0),"")</f>
        <v>경기광주(대-위)</v>
      </c>
      <c r="E126" s="69" t="s">
        <v>362</v>
      </c>
      <c r="F126" s="69" t="s">
        <v>363</v>
      </c>
      <c r="G126" s="69">
        <v>296</v>
      </c>
      <c r="H126" s="69">
        <v>32089700</v>
      </c>
      <c r="I126" s="69">
        <v>32730600</v>
      </c>
      <c r="J126" s="69">
        <v>312</v>
      </c>
      <c r="K126" s="69">
        <v>33633700</v>
      </c>
      <c r="L126" s="69">
        <v>34274600</v>
      </c>
      <c r="M126" s="69">
        <v>-16</v>
      </c>
      <c r="N126" s="69">
        <v>-1544000</v>
      </c>
      <c r="O126" s="69">
        <v>-1544000</v>
      </c>
      <c r="P126" s="69">
        <v>2123000</v>
      </c>
      <c r="Q126" s="69">
        <v>2434100</v>
      </c>
      <c r="R126" s="69">
        <v>2333600</v>
      </c>
      <c r="S126" s="69">
        <v>388000</v>
      </c>
      <c r="T126" s="69">
        <v>311000</v>
      </c>
      <c r="U126" s="69">
        <v>1878000</v>
      </c>
      <c r="V126" s="69">
        <v>2077000</v>
      </c>
      <c r="W126" s="69">
        <v>1911000</v>
      </c>
      <c r="X126" s="69">
        <v>1776000</v>
      </c>
      <c r="Y126" s="69">
        <v>244000</v>
      </c>
      <c r="Z126" s="69">
        <v>1373200</v>
      </c>
      <c r="AA126" s="69">
        <v>1124000</v>
      </c>
      <c r="AB126" s="69">
        <v>903000</v>
      </c>
      <c r="AC126" s="69">
        <v>590000</v>
      </c>
      <c r="AD126" s="69">
        <v>2622000</v>
      </c>
      <c r="AE126" s="69">
        <v>1467900</v>
      </c>
      <c r="AF126" s="69">
        <v>1470000</v>
      </c>
      <c r="AG126" s="69">
        <v>805000</v>
      </c>
      <c r="AH126" s="69">
        <v>759300</v>
      </c>
      <c r="AI126" s="69">
        <v>667000</v>
      </c>
      <c r="AJ126" s="69">
        <v>972000</v>
      </c>
      <c r="AK126" s="69">
        <v>1641600</v>
      </c>
      <c r="AL126" s="69">
        <v>2219000</v>
      </c>
      <c r="AM126" s="69"/>
      <c r="AN126" s="69"/>
      <c r="AO126" s="69"/>
      <c r="AP126" s="69"/>
      <c r="AQ126" s="69"/>
      <c r="AR126" s="69"/>
      <c r="AS126" s="69"/>
      <c r="AT126" s="69"/>
      <c r="AU126" s="6"/>
      <c r="AV126" s="6"/>
      <c r="AW126" s="6">
        <f t="shared" si="14"/>
        <v>4557100</v>
      </c>
      <c r="AX126" s="6">
        <f t="shared" si="14"/>
        <v>10674600</v>
      </c>
      <c r="AY126" s="6">
        <f t="shared" si="14"/>
        <v>8324100</v>
      </c>
      <c r="AZ126" s="6">
        <f t="shared" si="14"/>
        <v>8533900</v>
      </c>
      <c r="BA126" s="6">
        <f t="shared" si="14"/>
        <v>0</v>
      </c>
      <c r="BC126" s="66">
        <f t="shared" ca="1" si="10"/>
        <v>32089700</v>
      </c>
    </row>
    <row r="127" spans="1:55" x14ac:dyDescent="0.3">
      <c r="A127" s="6" t="str">
        <f>IFERROR(VLOOKUP($F127,매장구분!$B:$K,2,0),"")</f>
        <v>리테일채널팀</v>
      </c>
      <c r="B127" s="6" t="str">
        <f>IFERROR(VLOOKUP($F127,매장구분!$B:$K,3,0),"")</f>
        <v>국내</v>
      </c>
      <c r="C127" s="6" t="str">
        <f>IFERROR(VLOOKUP($F127,매장구분!$B:$K,5,0),"")</f>
        <v>대리점</v>
      </c>
      <c r="D127" s="6" t="str">
        <f>IFERROR(VLOOKUP($F127,매장구분!$B:$Z,9,0),"")</f>
        <v>대전은행(대-위)</v>
      </c>
      <c r="E127" s="69" t="s">
        <v>456</v>
      </c>
      <c r="F127" s="69" t="s">
        <v>457</v>
      </c>
      <c r="G127" s="69">
        <v>3625</v>
      </c>
      <c r="H127" s="69">
        <v>155988400</v>
      </c>
      <c r="I127" s="69">
        <v>164047400</v>
      </c>
      <c r="J127" s="69">
        <v>3665</v>
      </c>
      <c r="K127" s="69">
        <v>162166400</v>
      </c>
      <c r="L127" s="69">
        <v>170305400</v>
      </c>
      <c r="M127" s="69">
        <v>-40</v>
      </c>
      <c r="N127" s="69">
        <v>-6178000</v>
      </c>
      <c r="O127" s="69">
        <v>-6258000</v>
      </c>
      <c r="P127" s="69">
        <v>43924000</v>
      </c>
      <c r="Q127" s="69">
        <v>3501800</v>
      </c>
      <c r="R127" s="69">
        <v>6010000</v>
      </c>
      <c r="S127" s="69">
        <v>61306000</v>
      </c>
      <c r="T127" s="69">
        <v>1261900</v>
      </c>
      <c r="U127" s="69">
        <v>954000</v>
      </c>
      <c r="V127" s="69">
        <v>1366000</v>
      </c>
      <c r="W127" s="69">
        <v>4919000</v>
      </c>
      <c r="X127" s="69">
        <v>2610000</v>
      </c>
      <c r="Y127" s="69">
        <v>2045000</v>
      </c>
      <c r="Z127" s="69">
        <v>998000</v>
      </c>
      <c r="AA127" s="69">
        <v>1173900</v>
      </c>
      <c r="AB127" s="69">
        <v>3367900</v>
      </c>
      <c r="AC127" s="69">
        <v>1172000</v>
      </c>
      <c r="AD127" s="69">
        <v>4484000</v>
      </c>
      <c r="AE127" s="69">
        <v>5305000</v>
      </c>
      <c r="AF127" s="69">
        <v>1259000</v>
      </c>
      <c r="AG127" s="69">
        <v>1296000</v>
      </c>
      <c r="AH127" s="69">
        <v>1391000</v>
      </c>
      <c r="AI127" s="69">
        <v>1038900</v>
      </c>
      <c r="AJ127" s="69">
        <v>1462000</v>
      </c>
      <c r="AK127" s="69">
        <v>2424000</v>
      </c>
      <c r="AL127" s="69">
        <v>2719000</v>
      </c>
      <c r="AM127" s="69"/>
      <c r="AN127" s="69"/>
      <c r="AO127" s="69"/>
      <c r="AP127" s="69"/>
      <c r="AQ127" s="69"/>
      <c r="AR127" s="69"/>
      <c r="AS127" s="69"/>
      <c r="AT127" s="69"/>
      <c r="AU127" s="6"/>
      <c r="AV127" s="6"/>
      <c r="AW127" s="6">
        <f t="shared" si="14"/>
        <v>47425800</v>
      </c>
      <c r="AX127" s="6">
        <f t="shared" si="14"/>
        <v>78426900</v>
      </c>
      <c r="AY127" s="6">
        <f t="shared" si="14"/>
        <v>18545800</v>
      </c>
      <c r="AZ127" s="6">
        <f t="shared" si="14"/>
        <v>11589900</v>
      </c>
      <c r="BA127" s="6">
        <f t="shared" si="14"/>
        <v>0</v>
      </c>
      <c r="BC127" s="66">
        <f t="shared" ca="1" si="10"/>
        <v>155988400</v>
      </c>
    </row>
    <row r="128" spans="1:55" x14ac:dyDescent="0.3">
      <c r="A128" s="6" t="str">
        <f>IFERROR(VLOOKUP($F128,매장구분!$B:$K,2,0),"")</f>
        <v>리테일채널팀</v>
      </c>
      <c r="B128" s="6" t="str">
        <f>IFERROR(VLOOKUP($F128,매장구분!$B:$K,3,0),"")</f>
        <v>국내</v>
      </c>
      <c r="C128" s="6" t="str">
        <f>IFERROR(VLOOKUP($F128,매장구분!$B:$K,5,0),"")</f>
        <v>대리점</v>
      </c>
      <c r="D128" s="6" t="str">
        <f>IFERROR(VLOOKUP($F128,매장구분!$B:$Z,9,0),"")</f>
        <v>속초(대-위)</v>
      </c>
      <c r="E128" s="69" t="s">
        <v>488</v>
      </c>
      <c r="F128" s="69" t="s">
        <v>489</v>
      </c>
      <c r="G128" s="69">
        <v>566</v>
      </c>
      <c r="H128" s="69">
        <v>59599888</v>
      </c>
      <c r="I128" s="69">
        <v>62922800</v>
      </c>
      <c r="J128" s="69">
        <v>677</v>
      </c>
      <c r="K128" s="69">
        <v>74618288</v>
      </c>
      <c r="L128" s="69">
        <v>78200700</v>
      </c>
      <c r="M128" s="69">
        <v>-111</v>
      </c>
      <c r="N128" s="69">
        <v>-15018400</v>
      </c>
      <c r="O128" s="69">
        <v>-15277900</v>
      </c>
      <c r="P128" s="69">
        <v>2572000</v>
      </c>
      <c r="Q128" s="69">
        <v>4084000</v>
      </c>
      <c r="R128" s="69">
        <v>1734000</v>
      </c>
      <c r="S128" s="69">
        <v>3305000</v>
      </c>
      <c r="T128" s="69">
        <v>2988000</v>
      </c>
      <c r="U128" s="69">
        <v>2336000</v>
      </c>
      <c r="V128" s="69">
        <v>2688000</v>
      </c>
      <c r="W128" s="69">
        <v>3562000</v>
      </c>
      <c r="X128" s="69">
        <v>3737988</v>
      </c>
      <c r="Y128" s="69">
        <v>2790000</v>
      </c>
      <c r="Z128" s="69">
        <v>1543000</v>
      </c>
      <c r="AA128" s="69">
        <v>2741000</v>
      </c>
      <c r="AB128" s="69">
        <v>2114900</v>
      </c>
      <c r="AC128" s="69">
        <v>973000</v>
      </c>
      <c r="AD128" s="69">
        <v>3584000</v>
      </c>
      <c r="AE128" s="69">
        <v>4374000</v>
      </c>
      <c r="AF128" s="69">
        <v>2053900</v>
      </c>
      <c r="AG128" s="69">
        <v>1367000</v>
      </c>
      <c r="AH128" s="69">
        <v>2301100</v>
      </c>
      <c r="AI128" s="69">
        <v>923000</v>
      </c>
      <c r="AJ128" s="69">
        <v>1839000</v>
      </c>
      <c r="AK128" s="69">
        <v>2530000</v>
      </c>
      <c r="AL128" s="69">
        <v>3459000</v>
      </c>
      <c r="AM128" s="69"/>
      <c r="AN128" s="69"/>
      <c r="AO128" s="69"/>
      <c r="AP128" s="69"/>
      <c r="AQ128" s="69"/>
      <c r="AR128" s="69"/>
      <c r="AS128" s="69"/>
      <c r="AT128" s="69"/>
      <c r="AU128" s="6"/>
      <c r="AV128" s="6"/>
      <c r="AW128" s="6">
        <f t="shared" si="14"/>
        <v>6656000</v>
      </c>
      <c r="AX128" s="6">
        <f t="shared" si="14"/>
        <v>20350988</v>
      </c>
      <c r="AY128" s="6">
        <f t="shared" si="14"/>
        <v>18119900</v>
      </c>
      <c r="AZ128" s="6">
        <f t="shared" si="14"/>
        <v>14473000</v>
      </c>
      <c r="BA128" s="6">
        <f t="shared" si="14"/>
        <v>0</v>
      </c>
      <c r="BC128" s="66">
        <f t="shared" ca="1" si="10"/>
        <v>59599888</v>
      </c>
    </row>
    <row r="129" spans="1:55" x14ac:dyDescent="0.3">
      <c r="A129" s="6" t="str">
        <f>IFERROR(VLOOKUP($F129,매장구분!$B:$K,2,0),"")</f>
        <v>리테일채널팀</v>
      </c>
      <c r="B129" s="6" t="str">
        <f>IFERROR(VLOOKUP($F129,매장구분!$B:$K,3,0),"")</f>
        <v>국내</v>
      </c>
      <c r="C129" s="6" t="str">
        <f>IFERROR(VLOOKUP($F129,매장구분!$B:$K,5,0),"")</f>
        <v>대리점</v>
      </c>
      <c r="D129" s="6" t="str">
        <f>IFERROR(VLOOKUP($F129,매장구분!$B:$Z,9,0),"")</f>
        <v>당진(대-위)</v>
      </c>
      <c r="E129" s="69" t="s">
        <v>462</v>
      </c>
      <c r="F129" s="69" t="s">
        <v>463</v>
      </c>
      <c r="G129" s="69">
        <v>489</v>
      </c>
      <c r="H129" s="69">
        <v>75008194</v>
      </c>
      <c r="I129" s="69">
        <v>77919400</v>
      </c>
      <c r="J129" s="69">
        <v>641</v>
      </c>
      <c r="K129" s="69">
        <v>104047494</v>
      </c>
      <c r="L129" s="69">
        <v>107118400</v>
      </c>
      <c r="M129" s="69">
        <v>-152</v>
      </c>
      <c r="N129" s="69">
        <v>-29039300</v>
      </c>
      <c r="O129" s="69">
        <v>-29199000</v>
      </c>
      <c r="P129" s="69">
        <v>975000</v>
      </c>
      <c r="Q129" s="69">
        <v>1470000</v>
      </c>
      <c r="R129" s="69">
        <v>2410000</v>
      </c>
      <c r="S129" s="69">
        <v>1829000</v>
      </c>
      <c r="T129" s="69">
        <v>1985000</v>
      </c>
      <c r="U129" s="69">
        <v>1040000</v>
      </c>
      <c r="V129" s="69">
        <v>26194900</v>
      </c>
      <c r="W129" s="69">
        <v>1412800</v>
      </c>
      <c r="X129" s="69">
        <v>2108254</v>
      </c>
      <c r="Y129" s="69">
        <v>3328240</v>
      </c>
      <c r="Z129" s="69">
        <v>2302000</v>
      </c>
      <c r="AA129" s="69">
        <v>798300</v>
      </c>
      <c r="AB129" s="69">
        <v>1492000</v>
      </c>
      <c r="AC129" s="69">
        <v>1850000</v>
      </c>
      <c r="AD129" s="69">
        <v>12374000</v>
      </c>
      <c r="AE129" s="69">
        <v>2806800</v>
      </c>
      <c r="AF129" s="69">
        <v>2191000</v>
      </c>
      <c r="AG129" s="69">
        <v>2494000</v>
      </c>
      <c r="AH129" s="69">
        <v>946000</v>
      </c>
      <c r="AI129" s="69">
        <v>966000</v>
      </c>
      <c r="AJ129" s="69">
        <v>494000</v>
      </c>
      <c r="AK129" s="69">
        <v>2091000</v>
      </c>
      <c r="AL129" s="69">
        <v>1449900</v>
      </c>
      <c r="AM129" s="69"/>
      <c r="AN129" s="69"/>
      <c r="AO129" s="69"/>
      <c r="AP129" s="69"/>
      <c r="AQ129" s="69"/>
      <c r="AR129" s="69"/>
      <c r="AS129" s="69"/>
      <c r="AT129" s="69"/>
      <c r="AU129" s="6"/>
      <c r="AV129" s="6"/>
      <c r="AW129" s="6">
        <f t="shared" si="14"/>
        <v>2445000</v>
      </c>
      <c r="AX129" s="6">
        <f t="shared" si="14"/>
        <v>36979954</v>
      </c>
      <c r="AY129" s="6">
        <f t="shared" si="14"/>
        <v>24951340</v>
      </c>
      <c r="AZ129" s="6">
        <f t="shared" si="14"/>
        <v>10631900</v>
      </c>
      <c r="BA129" s="6">
        <f t="shared" si="14"/>
        <v>0</v>
      </c>
      <c r="BC129" s="66">
        <f t="shared" ca="1" si="10"/>
        <v>75008194</v>
      </c>
    </row>
    <row r="130" spans="1:55" x14ac:dyDescent="0.3">
      <c r="A130" s="6" t="str">
        <f>IFERROR(VLOOKUP($F130,매장구분!$B:$K,2,0),"")</f>
        <v>리테일채널팀</v>
      </c>
      <c r="B130" s="6" t="str">
        <f>IFERROR(VLOOKUP($F130,매장구분!$B:$K,3,0),"")</f>
        <v>국내</v>
      </c>
      <c r="C130" s="6" t="str">
        <f>IFERROR(VLOOKUP($F130,매장구분!$B:$K,5,0),"")</f>
        <v>대리점</v>
      </c>
      <c r="D130" s="6" t="str">
        <f>IFERROR(VLOOKUP($F130,매장구분!$B:$Z,9,0),"")</f>
        <v>나주(대-위)</v>
      </c>
      <c r="E130" s="69" t="s">
        <v>324</v>
      </c>
      <c r="F130" s="69" t="s">
        <v>325</v>
      </c>
      <c r="G130" s="69">
        <v>505</v>
      </c>
      <c r="H130" s="69">
        <v>60967987</v>
      </c>
      <c r="I130" s="69">
        <v>64946400</v>
      </c>
      <c r="J130" s="69">
        <v>558</v>
      </c>
      <c r="K130" s="69">
        <v>67621221</v>
      </c>
      <c r="L130" s="69">
        <v>71859300</v>
      </c>
      <c r="M130" s="69">
        <v>-53</v>
      </c>
      <c r="N130" s="69">
        <v>-6653234</v>
      </c>
      <c r="O130" s="69">
        <v>-6912900</v>
      </c>
      <c r="P130" s="69">
        <v>4346085</v>
      </c>
      <c r="Q130" s="69">
        <v>5449940</v>
      </c>
      <c r="R130" s="69">
        <v>1090000</v>
      </c>
      <c r="S130" s="69">
        <v>213900</v>
      </c>
      <c r="T130" s="69">
        <v>1086000</v>
      </c>
      <c r="U130" s="69">
        <v>1271000</v>
      </c>
      <c r="V130" s="69">
        <v>1126900</v>
      </c>
      <c r="W130" s="69">
        <v>4164900</v>
      </c>
      <c r="X130" s="69">
        <v>3488900</v>
      </c>
      <c r="Y130" s="69">
        <v>580000</v>
      </c>
      <c r="Z130" s="69">
        <v>408000</v>
      </c>
      <c r="AA130" s="69">
        <v>1269000</v>
      </c>
      <c r="AB130" s="69">
        <v>0</v>
      </c>
      <c r="AC130" s="69">
        <v>1221000</v>
      </c>
      <c r="AD130" s="69">
        <v>5157642</v>
      </c>
      <c r="AE130" s="69">
        <v>2807836</v>
      </c>
      <c r="AF130" s="69">
        <v>1373000</v>
      </c>
      <c r="AG130" s="69">
        <v>766000</v>
      </c>
      <c r="AH130" s="69">
        <v>1272000</v>
      </c>
      <c r="AI130" s="69">
        <v>2403900</v>
      </c>
      <c r="AJ130" s="69">
        <v>3363900</v>
      </c>
      <c r="AK130" s="69">
        <v>11066800</v>
      </c>
      <c r="AL130" s="69">
        <v>7041284</v>
      </c>
      <c r="AM130" s="69"/>
      <c r="AN130" s="69"/>
      <c r="AO130" s="69"/>
      <c r="AP130" s="69"/>
      <c r="AQ130" s="69"/>
      <c r="AR130" s="69"/>
      <c r="AS130" s="69"/>
      <c r="AT130" s="69"/>
      <c r="AU130" s="6"/>
      <c r="AV130" s="6"/>
      <c r="AW130" s="6">
        <f t="shared" si="14"/>
        <v>9796025</v>
      </c>
      <c r="AX130" s="6">
        <f t="shared" si="14"/>
        <v>12441600</v>
      </c>
      <c r="AY130" s="6">
        <f t="shared" si="14"/>
        <v>11443478</v>
      </c>
      <c r="AZ130" s="6">
        <f t="shared" si="14"/>
        <v>27286884</v>
      </c>
      <c r="BA130" s="6">
        <f t="shared" si="14"/>
        <v>0</v>
      </c>
      <c r="BC130" s="66">
        <f t="shared" ca="1" si="10"/>
        <v>60967987</v>
      </c>
    </row>
    <row r="131" spans="1:55" x14ac:dyDescent="0.3">
      <c r="A131" s="6" t="str">
        <f>IFERROR(VLOOKUP($F131,매장구분!$B:$K,2,0),"")</f>
        <v>리테일채널팀</v>
      </c>
      <c r="B131" s="6" t="str">
        <f>IFERROR(VLOOKUP($F131,매장구분!$B:$K,3,0),"")</f>
        <v>국내</v>
      </c>
      <c r="C131" s="6" t="str">
        <f>IFERROR(VLOOKUP($F131,매장구분!$B:$K,5,0),"")</f>
        <v>대리점</v>
      </c>
      <c r="D131" s="6" t="str">
        <f>IFERROR(VLOOKUP($F131,매장구분!$B:$Z,9,0),"")</f>
        <v>마산합성(대-위)</v>
      </c>
      <c r="E131" s="69" t="s">
        <v>546</v>
      </c>
      <c r="F131" s="69" t="s">
        <v>547</v>
      </c>
      <c r="G131" s="69">
        <v>491</v>
      </c>
      <c r="H131" s="69">
        <v>56288231</v>
      </c>
      <c r="I131" s="69">
        <v>61600100</v>
      </c>
      <c r="J131" s="69">
        <v>613</v>
      </c>
      <c r="K131" s="69">
        <v>76291840</v>
      </c>
      <c r="L131" s="69">
        <v>82141800</v>
      </c>
      <c r="M131" s="69">
        <v>-122</v>
      </c>
      <c r="N131" s="69">
        <v>-20003609</v>
      </c>
      <c r="O131" s="69">
        <v>-20541700</v>
      </c>
      <c r="P131" s="69">
        <v>3948500</v>
      </c>
      <c r="Q131" s="69">
        <v>4902810</v>
      </c>
      <c r="R131" s="69">
        <v>2200000</v>
      </c>
      <c r="S131" s="69">
        <v>2388500</v>
      </c>
      <c r="T131" s="69">
        <v>1774800</v>
      </c>
      <c r="U131" s="69">
        <v>2820000</v>
      </c>
      <c r="V131" s="69">
        <v>3908000</v>
      </c>
      <c r="W131" s="69">
        <v>3783110</v>
      </c>
      <c r="X131" s="69">
        <v>1702800</v>
      </c>
      <c r="Y131" s="69">
        <v>1769800</v>
      </c>
      <c r="Z131" s="69">
        <v>1147900</v>
      </c>
      <c r="AA131" s="69">
        <v>644900</v>
      </c>
      <c r="AB131" s="69">
        <v>1268000</v>
      </c>
      <c r="AC131" s="69">
        <v>703600</v>
      </c>
      <c r="AD131" s="69">
        <v>1392900</v>
      </c>
      <c r="AE131" s="69">
        <v>5949100</v>
      </c>
      <c r="AF131" s="69">
        <v>2366300</v>
      </c>
      <c r="AG131" s="69">
        <v>2028609</v>
      </c>
      <c r="AH131" s="69">
        <v>1703000</v>
      </c>
      <c r="AI131" s="69">
        <v>1501502</v>
      </c>
      <c r="AJ131" s="69">
        <v>3450900</v>
      </c>
      <c r="AK131" s="69">
        <v>1732900</v>
      </c>
      <c r="AL131" s="69">
        <v>3200300</v>
      </c>
      <c r="AM131" s="69"/>
      <c r="AN131" s="69"/>
      <c r="AO131" s="69"/>
      <c r="AP131" s="69"/>
      <c r="AQ131" s="69"/>
      <c r="AR131" s="69"/>
      <c r="AS131" s="69"/>
      <c r="AT131" s="69"/>
      <c r="AU131" s="6"/>
      <c r="AV131" s="6"/>
      <c r="AW131" s="6">
        <f t="shared" si="14"/>
        <v>8851310</v>
      </c>
      <c r="AX131" s="6">
        <f t="shared" si="14"/>
        <v>18577210</v>
      </c>
      <c r="AY131" s="6">
        <f t="shared" si="14"/>
        <v>12876200</v>
      </c>
      <c r="AZ131" s="6">
        <f t="shared" si="14"/>
        <v>15983511</v>
      </c>
      <c r="BA131" s="6">
        <f t="shared" si="14"/>
        <v>0</v>
      </c>
      <c r="BC131" s="66">
        <f t="shared" ca="1" si="10"/>
        <v>56288231</v>
      </c>
    </row>
    <row r="132" spans="1:55" x14ac:dyDescent="0.3">
      <c r="A132" s="6" t="str">
        <f>IFERROR(VLOOKUP($F132,매장구분!$B:$K,2,0),"")</f>
        <v>리테일채널팀</v>
      </c>
      <c r="B132" s="6" t="str">
        <f>IFERROR(VLOOKUP($F132,매장구분!$B:$K,3,0),"")</f>
        <v>국내</v>
      </c>
      <c r="C132" s="6" t="str">
        <f>IFERROR(VLOOKUP($F132,매장구분!$B:$K,5,0),"")</f>
        <v>대리점</v>
      </c>
      <c r="D132" s="6" t="str">
        <f>IFERROR(VLOOKUP($F132,매장구분!$B:$Z,9,0),"")</f>
        <v>춘천(대-위)</v>
      </c>
      <c r="E132" s="69" t="s">
        <v>320</v>
      </c>
      <c r="F132" s="69" t="s">
        <v>321</v>
      </c>
      <c r="G132" s="69">
        <v>644</v>
      </c>
      <c r="H132" s="69">
        <v>58816856</v>
      </c>
      <c r="I132" s="69">
        <v>61981000</v>
      </c>
      <c r="J132" s="69">
        <v>700</v>
      </c>
      <c r="K132" s="69">
        <v>65761156</v>
      </c>
      <c r="L132" s="69">
        <v>69211000</v>
      </c>
      <c r="M132" s="69">
        <v>-56</v>
      </c>
      <c r="N132" s="69">
        <v>-6944300</v>
      </c>
      <c r="O132" s="69">
        <v>-7230000</v>
      </c>
      <c r="P132" s="69">
        <v>4264000</v>
      </c>
      <c r="Q132" s="69">
        <v>5252300</v>
      </c>
      <c r="R132" s="69">
        <v>1902300</v>
      </c>
      <c r="S132" s="69">
        <v>1205600</v>
      </c>
      <c r="T132" s="69">
        <v>2707000</v>
      </c>
      <c r="U132" s="69">
        <v>1929000</v>
      </c>
      <c r="V132" s="69">
        <v>1567300</v>
      </c>
      <c r="W132" s="69">
        <v>5146000</v>
      </c>
      <c r="X132" s="69">
        <v>3724000</v>
      </c>
      <c r="Y132" s="69">
        <v>1653600</v>
      </c>
      <c r="Z132" s="69">
        <v>1743300</v>
      </c>
      <c r="AA132" s="69">
        <v>880805</v>
      </c>
      <c r="AB132" s="69">
        <v>1036900</v>
      </c>
      <c r="AC132" s="69">
        <v>1819951</v>
      </c>
      <c r="AD132" s="69">
        <v>4786500</v>
      </c>
      <c r="AE132" s="69">
        <v>4146200</v>
      </c>
      <c r="AF132" s="69">
        <v>2136000</v>
      </c>
      <c r="AG132" s="69">
        <v>1924900</v>
      </c>
      <c r="AH132" s="69">
        <v>2078000</v>
      </c>
      <c r="AI132" s="69">
        <v>1039000</v>
      </c>
      <c r="AJ132" s="69">
        <v>2203900</v>
      </c>
      <c r="AK132" s="69">
        <v>3638300</v>
      </c>
      <c r="AL132" s="69">
        <v>2032000</v>
      </c>
      <c r="AM132" s="69"/>
      <c r="AN132" s="69"/>
      <c r="AO132" s="69"/>
      <c r="AP132" s="69"/>
      <c r="AQ132" s="69"/>
      <c r="AR132" s="69"/>
      <c r="AS132" s="69"/>
      <c r="AT132" s="69"/>
      <c r="AU132" s="6"/>
      <c r="AV132" s="6"/>
      <c r="AW132" s="6">
        <f t="shared" si="14"/>
        <v>9516300</v>
      </c>
      <c r="AX132" s="6">
        <f t="shared" si="14"/>
        <v>18181200</v>
      </c>
      <c r="AY132" s="6">
        <f t="shared" si="14"/>
        <v>16067256</v>
      </c>
      <c r="AZ132" s="6">
        <f t="shared" si="14"/>
        <v>15052100</v>
      </c>
      <c r="BA132" s="6">
        <f t="shared" si="14"/>
        <v>0</v>
      </c>
      <c r="BC132" s="66">
        <f t="shared" ca="1" si="10"/>
        <v>58816856</v>
      </c>
    </row>
    <row r="133" spans="1:55" x14ac:dyDescent="0.3">
      <c r="A133" s="6" t="str">
        <f>IFERROR(VLOOKUP($F133,매장구분!$B:$K,2,0),"")</f>
        <v>리테일채널팀</v>
      </c>
      <c r="B133" s="6" t="str">
        <f>IFERROR(VLOOKUP($F133,매장구분!$B:$K,3,0),"")</f>
        <v>국내</v>
      </c>
      <c r="C133" s="6" t="str">
        <f>IFERROR(VLOOKUP($F133,매장구분!$B:$K,5,0),"")</f>
        <v>대리점</v>
      </c>
      <c r="D133" s="6" t="str">
        <f>IFERROR(VLOOKUP($F133,매장구분!$B:$Z,9,0),"")</f>
        <v>포천(대-위)</v>
      </c>
      <c r="E133" s="69" t="s">
        <v>289</v>
      </c>
      <c r="F133" s="69" t="s">
        <v>290</v>
      </c>
      <c r="G133" s="69">
        <v>386</v>
      </c>
      <c r="H133" s="69">
        <v>57468900</v>
      </c>
      <c r="I133" s="69">
        <v>61513700</v>
      </c>
      <c r="J133" s="69">
        <v>392</v>
      </c>
      <c r="K133" s="69">
        <v>58489900</v>
      </c>
      <c r="L133" s="69">
        <v>62584700</v>
      </c>
      <c r="M133" s="69">
        <v>-6</v>
      </c>
      <c r="N133" s="69">
        <v>-1021000</v>
      </c>
      <c r="O133" s="69">
        <v>-1071000</v>
      </c>
      <c r="P133" s="69">
        <v>1936000</v>
      </c>
      <c r="Q133" s="69">
        <v>12851000</v>
      </c>
      <c r="R133" s="69">
        <v>5644300</v>
      </c>
      <c r="S133" s="69">
        <v>2623000</v>
      </c>
      <c r="T133" s="69">
        <v>0</v>
      </c>
      <c r="U133" s="69">
        <v>1484000</v>
      </c>
      <c r="V133" s="69">
        <v>785000</v>
      </c>
      <c r="W133" s="69">
        <v>5199000</v>
      </c>
      <c r="X133" s="69">
        <v>5005000</v>
      </c>
      <c r="Y133" s="69">
        <v>512000</v>
      </c>
      <c r="Z133" s="69">
        <v>279000</v>
      </c>
      <c r="AA133" s="69">
        <v>440900</v>
      </c>
      <c r="AB133" s="69">
        <v>396000</v>
      </c>
      <c r="AC133" s="69">
        <v>980000</v>
      </c>
      <c r="AD133" s="69">
        <v>4067300</v>
      </c>
      <c r="AE133" s="69">
        <v>1741900</v>
      </c>
      <c r="AF133" s="69">
        <v>3131000</v>
      </c>
      <c r="AG133" s="69">
        <v>504000</v>
      </c>
      <c r="AH133" s="69">
        <v>181000</v>
      </c>
      <c r="AI133" s="69">
        <v>1308300</v>
      </c>
      <c r="AJ133" s="69">
        <v>139000</v>
      </c>
      <c r="AK133" s="69">
        <v>4024000</v>
      </c>
      <c r="AL133" s="69">
        <v>4237200</v>
      </c>
      <c r="AM133" s="69"/>
      <c r="AN133" s="69"/>
      <c r="AO133" s="69"/>
      <c r="AP133" s="69"/>
      <c r="AQ133" s="69"/>
      <c r="AR133" s="69"/>
      <c r="AS133" s="69"/>
      <c r="AT133" s="69"/>
      <c r="AU133" s="6"/>
      <c r="AV133" s="6"/>
      <c r="AW133" s="6">
        <f t="shared" si="14"/>
        <v>14787000</v>
      </c>
      <c r="AX133" s="6">
        <f t="shared" si="14"/>
        <v>20740300</v>
      </c>
      <c r="AY133" s="6">
        <f t="shared" si="14"/>
        <v>8417100</v>
      </c>
      <c r="AZ133" s="6">
        <f t="shared" si="14"/>
        <v>13524500</v>
      </c>
      <c r="BA133" s="6">
        <f t="shared" si="14"/>
        <v>0</v>
      </c>
      <c r="BC133" s="66">
        <f t="shared" ca="1" si="10"/>
        <v>57468900</v>
      </c>
    </row>
    <row r="134" spans="1:55" x14ac:dyDescent="0.3">
      <c r="A134" s="6" t="str">
        <f>IFERROR(VLOOKUP($F134,매장구분!$B:$K,2,0),"")</f>
        <v>리테일채널팀</v>
      </c>
      <c r="B134" s="6" t="str">
        <f>IFERROR(VLOOKUP($F134,매장구분!$B:$K,3,0),"")</f>
        <v>RF</v>
      </c>
      <c r="C134" s="6" t="str">
        <f>IFERROR(VLOOKUP($F134,매장구분!$B:$K,5,0),"")</f>
        <v>대리점</v>
      </c>
      <c r="D134" s="6" t="str">
        <f>IFERROR(VLOOKUP($F134,매장구분!$B:$Z,9,0),"")</f>
        <v>두타(대-위)</v>
      </c>
      <c r="E134" s="69" t="s">
        <v>484</v>
      </c>
      <c r="F134" s="69" t="s">
        <v>485</v>
      </c>
      <c r="G134" s="69">
        <v>710</v>
      </c>
      <c r="H134" s="69">
        <v>80681940</v>
      </c>
      <c r="I134" s="69">
        <v>92167600</v>
      </c>
      <c r="J134" s="69">
        <v>721</v>
      </c>
      <c r="K134" s="69">
        <v>81635940</v>
      </c>
      <c r="L134" s="69">
        <v>93141600</v>
      </c>
      <c r="M134" s="69">
        <v>-11</v>
      </c>
      <c r="N134" s="69">
        <v>-954000</v>
      </c>
      <c r="O134" s="69">
        <v>-974000</v>
      </c>
      <c r="P134" s="69">
        <v>1914000</v>
      </c>
      <c r="Q134" s="69">
        <v>28595040</v>
      </c>
      <c r="R134" s="69">
        <v>1919000</v>
      </c>
      <c r="S134" s="69">
        <v>554300</v>
      </c>
      <c r="T134" s="69">
        <v>6773600</v>
      </c>
      <c r="U134" s="69">
        <v>1536000</v>
      </c>
      <c r="V134" s="69">
        <v>744000</v>
      </c>
      <c r="W134" s="69">
        <v>1917000</v>
      </c>
      <c r="X134" s="69">
        <v>1962000</v>
      </c>
      <c r="Y134" s="69">
        <v>1132900</v>
      </c>
      <c r="Z134" s="69">
        <v>1146000</v>
      </c>
      <c r="AA134" s="69">
        <v>1206000</v>
      </c>
      <c r="AB134" s="69">
        <v>1556000</v>
      </c>
      <c r="AC134" s="69">
        <v>2806900</v>
      </c>
      <c r="AD134" s="69">
        <v>2638000</v>
      </c>
      <c r="AE134" s="69">
        <v>2762000</v>
      </c>
      <c r="AF134" s="69">
        <v>1999000</v>
      </c>
      <c r="AG134" s="69">
        <v>1306000</v>
      </c>
      <c r="AH134" s="69">
        <v>1691000</v>
      </c>
      <c r="AI134" s="69">
        <v>1968000</v>
      </c>
      <c r="AJ134" s="69">
        <v>1151000</v>
      </c>
      <c r="AK134" s="69">
        <v>1599000</v>
      </c>
      <c r="AL134" s="69">
        <v>11805200</v>
      </c>
      <c r="AM134" s="69"/>
      <c r="AN134" s="69"/>
      <c r="AO134" s="69"/>
      <c r="AP134" s="69"/>
      <c r="AQ134" s="69"/>
      <c r="AR134" s="69"/>
      <c r="AS134" s="69"/>
      <c r="AT134" s="69"/>
      <c r="AU134" s="6"/>
      <c r="AV134" s="6"/>
      <c r="AW134" s="6">
        <f t="shared" si="14"/>
        <v>30509040</v>
      </c>
      <c r="AX134" s="6">
        <f t="shared" si="14"/>
        <v>15405900</v>
      </c>
      <c r="AY134" s="6">
        <f t="shared" si="14"/>
        <v>13247800</v>
      </c>
      <c r="AZ134" s="6">
        <f t="shared" si="14"/>
        <v>21519200</v>
      </c>
      <c r="BA134" s="6">
        <f t="shared" si="14"/>
        <v>0</v>
      </c>
      <c r="BC134" s="66">
        <f t="shared" ca="1" si="10"/>
        <v>80681940</v>
      </c>
    </row>
    <row r="135" spans="1:55" x14ac:dyDescent="0.3">
      <c r="A135" s="6" t="str">
        <f>IFERROR(VLOOKUP($F135,매장구분!$B:$K,2,0),"")</f>
        <v>리테일채널팀</v>
      </c>
      <c r="B135" s="6" t="str">
        <f>IFERROR(VLOOKUP($F135,매장구분!$B:$K,3,0),"")</f>
        <v>국내</v>
      </c>
      <c r="C135" s="6" t="str">
        <f>IFERROR(VLOOKUP($F135,매장구분!$B:$K,5,0),"")</f>
        <v>대리점</v>
      </c>
      <c r="D135" s="6" t="str">
        <f>IFERROR(VLOOKUP($F135,매장구분!$B:$Z,9,0),"")</f>
        <v>남양주삼패(대-위)</v>
      </c>
      <c r="E135" s="69" t="s">
        <v>222</v>
      </c>
      <c r="F135" s="69" t="s">
        <v>223</v>
      </c>
      <c r="G135" s="69">
        <v>2426</v>
      </c>
      <c r="H135" s="69">
        <v>329085549</v>
      </c>
      <c r="I135" s="69">
        <v>349209300</v>
      </c>
      <c r="J135" s="69">
        <v>2625</v>
      </c>
      <c r="K135" s="69">
        <v>358068549</v>
      </c>
      <c r="L135" s="69">
        <v>378232300</v>
      </c>
      <c r="M135" s="69">
        <v>-199</v>
      </c>
      <c r="N135" s="69">
        <v>-28983000</v>
      </c>
      <c r="O135" s="69">
        <v>-29023000</v>
      </c>
      <c r="P135" s="69">
        <v>28901449</v>
      </c>
      <c r="Q135" s="69">
        <v>31914000</v>
      </c>
      <c r="R135" s="69">
        <v>33117900</v>
      </c>
      <c r="S135" s="69">
        <v>35238000</v>
      </c>
      <c r="T135" s="69">
        <v>37454000</v>
      </c>
      <c r="U135" s="69">
        <v>13455000</v>
      </c>
      <c r="V135" s="69">
        <v>12937000</v>
      </c>
      <c r="W135" s="69">
        <v>7111000</v>
      </c>
      <c r="X135" s="69">
        <v>237000</v>
      </c>
      <c r="Y135" s="69">
        <v>908000</v>
      </c>
      <c r="Z135" s="69">
        <v>27770000</v>
      </c>
      <c r="AA135" s="69">
        <v>6408300</v>
      </c>
      <c r="AB135" s="69">
        <v>7694000</v>
      </c>
      <c r="AC135" s="69">
        <v>7057000</v>
      </c>
      <c r="AD135" s="69">
        <v>10908000</v>
      </c>
      <c r="AE135" s="69">
        <v>1010000</v>
      </c>
      <c r="AF135" s="69">
        <v>129000</v>
      </c>
      <c r="AG135" s="69">
        <v>20234900</v>
      </c>
      <c r="AH135" s="69">
        <v>9070000</v>
      </c>
      <c r="AI135" s="69">
        <v>9353000</v>
      </c>
      <c r="AJ135" s="69">
        <v>6258000</v>
      </c>
      <c r="AK135" s="69">
        <v>21614000</v>
      </c>
      <c r="AL135" s="69">
        <v>306000</v>
      </c>
      <c r="AM135" s="69"/>
      <c r="AN135" s="69"/>
      <c r="AO135" s="69"/>
      <c r="AP135" s="69"/>
      <c r="AQ135" s="69"/>
      <c r="AR135" s="69"/>
      <c r="AS135" s="69"/>
      <c r="AT135" s="69"/>
      <c r="AU135" s="6"/>
      <c r="AV135" s="6"/>
      <c r="AW135" s="6">
        <f t="shared" si="14"/>
        <v>60815449</v>
      </c>
      <c r="AX135" s="6">
        <f t="shared" si="14"/>
        <v>139549900</v>
      </c>
      <c r="AY135" s="6">
        <f t="shared" si="14"/>
        <v>61755300</v>
      </c>
      <c r="AZ135" s="6">
        <f t="shared" si="14"/>
        <v>66964900</v>
      </c>
      <c r="BA135" s="6">
        <f t="shared" si="14"/>
        <v>0</v>
      </c>
      <c r="BC135" s="66">
        <f t="shared" ref="BC135:BC198" ca="1" si="15">SUMIFS($P135:$AT135,$P$2:$AT$2,BC$3)</f>
        <v>329085549</v>
      </c>
    </row>
    <row r="136" spans="1:55" x14ac:dyDescent="0.3">
      <c r="A136" s="6" t="str">
        <f>IFERROR(VLOOKUP($F136,매장구분!$B:$K,2,0),"")</f>
        <v>리테일채널팀</v>
      </c>
      <c r="B136" s="6" t="str">
        <f>IFERROR(VLOOKUP($F136,매장구분!$B:$K,3,0),"")</f>
        <v>국내</v>
      </c>
      <c r="C136" s="6" t="str">
        <f>IFERROR(VLOOKUP($F136,매장구분!$B:$K,5,0),"")</f>
        <v>대리점</v>
      </c>
      <c r="D136" s="6" t="str">
        <f>IFERROR(VLOOKUP($F136,매장구분!$B:$Z,9,0),"")</f>
        <v>포항(대-위)</v>
      </c>
      <c r="E136" s="69" t="s">
        <v>338</v>
      </c>
      <c r="F136" s="69" t="s">
        <v>339</v>
      </c>
      <c r="G136" s="69">
        <v>583</v>
      </c>
      <c r="H136" s="69">
        <v>64530010</v>
      </c>
      <c r="I136" s="69">
        <v>70988500</v>
      </c>
      <c r="J136" s="69">
        <v>657</v>
      </c>
      <c r="K136" s="69">
        <v>76415220</v>
      </c>
      <c r="L136" s="69">
        <v>83105000</v>
      </c>
      <c r="M136" s="69">
        <v>-74</v>
      </c>
      <c r="N136" s="69">
        <v>-11885210</v>
      </c>
      <c r="O136" s="69">
        <v>-12116500</v>
      </c>
      <c r="P136" s="69">
        <v>754000</v>
      </c>
      <c r="Q136" s="69">
        <v>10240510</v>
      </c>
      <c r="R136" s="69">
        <v>1823000</v>
      </c>
      <c r="S136" s="69">
        <v>4603900</v>
      </c>
      <c r="T136" s="69">
        <v>0</v>
      </c>
      <c r="U136" s="69">
        <v>5162170</v>
      </c>
      <c r="V136" s="69">
        <v>3836220</v>
      </c>
      <c r="W136" s="69">
        <v>9298110</v>
      </c>
      <c r="X136" s="69">
        <v>2182700</v>
      </c>
      <c r="Y136" s="69">
        <v>319000</v>
      </c>
      <c r="Z136" s="69">
        <v>1506700</v>
      </c>
      <c r="AA136" s="69">
        <v>496000</v>
      </c>
      <c r="AB136" s="69">
        <v>1902000</v>
      </c>
      <c r="AC136" s="69">
        <v>135000</v>
      </c>
      <c r="AD136" s="69">
        <v>467000</v>
      </c>
      <c r="AE136" s="69">
        <v>159000</v>
      </c>
      <c r="AF136" s="69">
        <v>3098000</v>
      </c>
      <c r="AG136" s="69">
        <v>5077000</v>
      </c>
      <c r="AH136" s="69">
        <v>7510000</v>
      </c>
      <c r="AI136" s="69">
        <v>1887000</v>
      </c>
      <c r="AJ136" s="69">
        <v>3036700</v>
      </c>
      <c r="AK136" s="69">
        <v>897000</v>
      </c>
      <c r="AL136" s="69">
        <v>139000</v>
      </c>
      <c r="AM136" s="69"/>
      <c r="AN136" s="69"/>
      <c r="AO136" s="69"/>
      <c r="AP136" s="69"/>
      <c r="AQ136" s="69"/>
      <c r="AR136" s="69"/>
      <c r="AS136" s="69"/>
      <c r="AT136" s="69"/>
      <c r="AU136" s="6"/>
      <c r="AV136" s="6"/>
      <c r="AW136" s="6">
        <f t="shared" si="14"/>
        <v>10994510</v>
      </c>
      <c r="AX136" s="6">
        <f t="shared" si="14"/>
        <v>26906100</v>
      </c>
      <c r="AY136" s="6">
        <f t="shared" si="14"/>
        <v>4984700</v>
      </c>
      <c r="AZ136" s="6">
        <f t="shared" si="14"/>
        <v>21644700</v>
      </c>
      <c r="BA136" s="6">
        <f t="shared" si="14"/>
        <v>0</v>
      </c>
      <c r="BC136" s="66">
        <f t="shared" ca="1" si="15"/>
        <v>64530010</v>
      </c>
    </row>
    <row r="137" spans="1:55" x14ac:dyDescent="0.3">
      <c r="A137" s="6" t="str">
        <f>IFERROR(VLOOKUP($F137,매장구분!$B:$K,2,0),"")</f>
        <v>리테일채널팀</v>
      </c>
      <c r="B137" s="6" t="str">
        <f>IFERROR(VLOOKUP($F137,매장구분!$B:$K,3,0),"")</f>
        <v>국내</v>
      </c>
      <c r="C137" s="6" t="str">
        <f>IFERROR(VLOOKUP($F137,매장구분!$B:$K,5,0),"")</f>
        <v>대리점</v>
      </c>
      <c r="D137" s="6" t="str">
        <f>IFERROR(VLOOKUP($F137,매장구분!$B:$Z,9,0),"")</f>
        <v>인천(대-위)</v>
      </c>
      <c r="E137" s="69" t="s">
        <v>215</v>
      </c>
      <c r="F137" s="69" t="s">
        <v>216</v>
      </c>
      <c r="G137" s="69">
        <v>244</v>
      </c>
      <c r="H137" s="69">
        <v>25389400</v>
      </c>
      <c r="I137" s="69">
        <v>26374500</v>
      </c>
      <c r="J137" s="69">
        <v>331</v>
      </c>
      <c r="K137" s="69">
        <v>41239500</v>
      </c>
      <c r="L137" s="69">
        <v>42348500</v>
      </c>
      <c r="M137" s="69">
        <v>-87</v>
      </c>
      <c r="N137" s="69">
        <v>-15850100</v>
      </c>
      <c r="O137" s="69">
        <v>-15974000</v>
      </c>
      <c r="P137" s="69">
        <v>1318000</v>
      </c>
      <c r="Q137" s="69">
        <v>1621000</v>
      </c>
      <c r="R137" s="69">
        <v>636000</v>
      </c>
      <c r="S137" s="69">
        <v>381700</v>
      </c>
      <c r="T137" s="69">
        <v>1355000</v>
      </c>
      <c r="U137" s="69">
        <v>1040000</v>
      </c>
      <c r="V137" s="69">
        <v>1042800</v>
      </c>
      <c r="W137" s="69">
        <v>1052000</v>
      </c>
      <c r="X137" s="69">
        <v>659000</v>
      </c>
      <c r="Y137" s="69">
        <v>1366000</v>
      </c>
      <c r="Z137" s="69">
        <v>1107000</v>
      </c>
      <c r="AA137" s="69">
        <v>465000</v>
      </c>
      <c r="AB137" s="69">
        <v>554000</v>
      </c>
      <c r="AC137" s="69">
        <v>924000</v>
      </c>
      <c r="AD137" s="69">
        <v>1136300</v>
      </c>
      <c r="AE137" s="69">
        <v>2350400</v>
      </c>
      <c r="AF137" s="69">
        <v>1451000</v>
      </c>
      <c r="AG137" s="69">
        <v>2096100</v>
      </c>
      <c r="AH137" s="69">
        <v>582000</v>
      </c>
      <c r="AI137" s="69">
        <v>751000</v>
      </c>
      <c r="AJ137" s="69">
        <v>1327100</v>
      </c>
      <c r="AK137" s="69">
        <v>1130000</v>
      </c>
      <c r="AL137" s="69">
        <v>1044000</v>
      </c>
      <c r="AM137" s="69"/>
      <c r="AN137" s="69"/>
      <c r="AO137" s="69"/>
      <c r="AP137" s="69"/>
      <c r="AQ137" s="69"/>
      <c r="AR137" s="69"/>
      <c r="AS137" s="69"/>
      <c r="AT137" s="69"/>
      <c r="AU137" s="6"/>
      <c r="AV137" s="6"/>
      <c r="AW137" s="6">
        <f t="shared" si="14"/>
        <v>2939000</v>
      </c>
      <c r="AX137" s="6">
        <f t="shared" si="14"/>
        <v>6166500</v>
      </c>
      <c r="AY137" s="6">
        <f t="shared" si="14"/>
        <v>7902700</v>
      </c>
      <c r="AZ137" s="6">
        <f t="shared" si="14"/>
        <v>8381200</v>
      </c>
      <c r="BA137" s="6">
        <f t="shared" si="14"/>
        <v>0</v>
      </c>
      <c r="BC137" s="66">
        <f t="shared" ca="1" si="15"/>
        <v>25389400</v>
      </c>
    </row>
    <row r="138" spans="1:55" x14ac:dyDescent="0.3">
      <c r="A138" s="6" t="str">
        <f>IFERROR(VLOOKUP($F138,매장구분!$B:$K,2,0),"")</f>
        <v>리테일채널팀</v>
      </c>
      <c r="B138" s="6" t="str">
        <f>IFERROR(VLOOKUP($F138,매장구분!$B:$K,3,0),"")</f>
        <v>RF</v>
      </c>
      <c r="C138" s="6" t="str">
        <f>IFERROR(VLOOKUP($F138,매장구분!$B:$K,5,0),"")</f>
        <v>대리점</v>
      </c>
      <c r="D138" s="6" t="str">
        <f>IFERROR(VLOOKUP($F138,매장구분!$B:$Z,9,0),"")</f>
        <v>부산광복(대-위)</v>
      </c>
      <c r="E138" s="69" t="s">
        <v>326</v>
      </c>
      <c r="F138" s="69" t="s">
        <v>327</v>
      </c>
      <c r="G138" s="69">
        <v>3599</v>
      </c>
      <c r="H138" s="69">
        <v>228068700</v>
      </c>
      <c r="I138" s="69">
        <v>269038200</v>
      </c>
      <c r="J138" s="69">
        <v>3929</v>
      </c>
      <c r="K138" s="69">
        <v>282211300</v>
      </c>
      <c r="L138" s="69">
        <v>324514800</v>
      </c>
      <c r="M138" s="69">
        <v>-330</v>
      </c>
      <c r="N138" s="69">
        <v>-54142600</v>
      </c>
      <c r="O138" s="69">
        <v>-55476600</v>
      </c>
      <c r="P138" s="69">
        <v>9261400</v>
      </c>
      <c r="Q138" s="69">
        <v>11369800</v>
      </c>
      <c r="R138" s="69">
        <v>13627600</v>
      </c>
      <c r="S138" s="69">
        <v>11719600</v>
      </c>
      <c r="T138" s="69">
        <v>12832000</v>
      </c>
      <c r="U138" s="69">
        <v>18772200</v>
      </c>
      <c r="V138" s="69">
        <v>14414900</v>
      </c>
      <c r="W138" s="69">
        <v>1948900</v>
      </c>
      <c r="X138" s="69">
        <v>6961200</v>
      </c>
      <c r="Y138" s="69">
        <v>10127600</v>
      </c>
      <c r="Z138" s="69">
        <v>22195700</v>
      </c>
      <c r="AA138" s="69">
        <v>13341400</v>
      </c>
      <c r="AB138" s="69">
        <v>12946700</v>
      </c>
      <c r="AC138" s="69">
        <v>8576900</v>
      </c>
      <c r="AD138" s="69">
        <v>6430100</v>
      </c>
      <c r="AE138" s="69">
        <v>7069300</v>
      </c>
      <c r="AF138" s="69">
        <v>6103200</v>
      </c>
      <c r="AG138" s="69">
        <v>5952500</v>
      </c>
      <c r="AH138" s="69">
        <v>10644600</v>
      </c>
      <c r="AI138" s="69">
        <v>465000</v>
      </c>
      <c r="AJ138" s="69">
        <v>14229600</v>
      </c>
      <c r="AK138" s="69">
        <v>1395900</v>
      </c>
      <c r="AL138" s="69">
        <v>7682600</v>
      </c>
      <c r="AM138" s="69"/>
      <c r="AN138" s="69"/>
      <c r="AO138" s="69"/>
      <c r="AP138" s="69"/>
      <c r="AQ138" s="69"/>
      <c r="AR138" s="69"/>
      <c r="AS138" s="69"/>
      <c r="AT138" s="69"/>
      <c r="AU138" s="6"/>
      <c r="AV138" s="6"/>
      <c r="AW138" s="6">
        <f t="shared" si="14"/>
        <v>20631200</v>
      </c>
      <c r="AX138" s="6">
        <f t="shared" si="14"/>
        <v>80276400</v>
      </c>
      <c r="AY138" s="6">
        <f t="shared" si="14"/>
        <v>80687700</v>
      </c>
      <c r="AZ138" s="6">
        <f t="shared" si="14"/>
        <v>46473400</v>
      </c>
      <c r="BA138" s="6">
        <f t="shared" si="14"/>
        <v>0</v>
      </c>
      <c r="BC138" s="66">
        <f t="shared" ca="1" si="15"/>
        <v>228068700</v>
      </c>
    </row>
    <row r="139" spans="1:55" x14ac:dyDescent="0.3">
      <c r="A139" s="6" t="str">
        <f>IFERROR(VLOOKUP($F139,매장구분!$B:$K,2,0),"")</f>
        <v>리테일채널팀</v>
      </c>
      <c r="B139" s="6" t="str">
        <f>IFERROR(VLOOKUP($F139,매장구분!$B:$K,3,0),"")</f>
        <v>국내</v>
      </c>
      <c r="C139" s="6" t="str">
        <f>IFERROR(VLOOKUP($F139,매장구분!$B:$K,5,0),"")</f>
        <v>대리점</v>
      </c>
      <c r="D139" s="6" t="str">
        <f>IFERROR(VLOOKUP($F139,매장구분!$B:$Z,9,0),"")</f>
        <v>여수(대-위)</v>
      </c>
      <c r="E139" s="69" t="s">
        <v>198</v>
      </c>
      <c r="F139" s="69" t="s">
        <v>199</v>
      </c>
      <c r="G139" s="69">
        <v>415</v>
      </c>
      <c r="H139" s="69">
        <v>43726302</v>
      </c>
      <c r="I139" s="69">
        <v>46603200</v>
      </c>
      <c r="J139" s="69">
        <v>507</v>
      </c>
      <c r="K139" s="69">
        <v>58976202</v>
      </c>
      <c r="L139" s="69">
        <v>61933100</v>
      </c>
      <c r="M139" s="69">
        <v>-92</v>
      </c>
      <c r="N139" s="69">
        <v>-15249900</v>
      </c>
      <c r="O139" s="69">
        <v>-15329900</v>
      </c>
      <c r="P139" s="69">
        <v>3688052</v>
      </c>
      <c r="Q139" s="69">
        <v>2093000</v>
      </c>
      <c r="R139" s="69">
        <v>2398000</v>
      </c>
      <c r="S139" s="69">
        <v>1656600</v>
      </c>
      <c r="T139" s="69">
        <v>782000</v>
      </c>
      <c r="U139" s="69">
        <v>1241300</v>
      </c>
      <c r="V139" s="69">
        <v>2585900</v>
      </c>
      <c r="W139" s="69">
        <v>540000</v>
      </c>
      <c r="X139" s="69">
        <v>3058300</v>
      </c>
      <c r="Y139" s="69">
        <v>253900</v>
      </c>
      <c r="Z139" s="69">
        <v>553900</v>
      </c>
      <c r="AA139" s="69">
        <v>1675178</v>
      </c>
      <c r="AB139" s="69">
        <v>705900</v>
      </c>
      <c r="AC139" s="69">
        <v>896900</v>
      </c>
      <c r="AD139" s="69">
        <v>4208272</v>
      </c>
      <c r="AE139" s="69">
        <v>1899000</v>
      </c>
      <c r="AF139" s="69">
        <v>876000</v>
      </c>
      <c r="AG139" s="69">
        <v>1085000</v>
      </c>
      <c r="AH139" s="69">
        <v>980000</v>
      </c>
      <c r="AI139" s="69">
        <v>3271000</v>
      </c>
      <c r="AJ139" s="69">
        <v>2013800</v>
      </c>
      <c r="AK139" s="69">
        <v>3174700</v>
      </c>
      <c r="AL139" s="69">
        <v>4089600</v>
      </c>
      <c r="AM139" s="69"/>
      <c r="AN139" s="69"/>
      <c r="AO139" s="69"/>
      <c r="AP139" s="69"/>
      <c r="AQ139" s="69"/>
      <c r="AR139" s="69"/>
      <c r="AS139" s="69"/>
      <c r="AT139" s="69"/>
      <c r="AU139" s="6"/>
      <c r="AV139" s="6"/>
      <c r="AW139" s="6">
        <f t="shared" ref="AW139:BA154" si="16">SUMIFS($P139:$AS139,$P$3:$AS$3,AW$3)</f>
        <v>5781052</v>
      </c>
      <c r="AX139" s="6">
        <f t="shared" si="16"/>
        <v>12262100</v>
      </c>
      <c r="AY139" s="6">
        <f t="shared" si="16"/>
        <v>10193050</v>
      </c>
      <c r="AZ139" s="6">
        <f t="shared" si="16"/>
        <v>15490100</v>
      </c>
      <c r="BA139" s="6">
        <f t="shared" si="16"/>
        <v>0</v>
      </c>
      <c r="BC139" s="66">
        <f t="shared" ca="1" si="15"/>
        <v>43726302</v>
      </c>
    </row>
    <row r="140" spans="1:55" x14ac:dyDescent="0.3">
      <c r="A140" s="6" t="str">
        <f>IFERROR(VLOOKUP($F140,매장구분!$B:$K,2,0),"")</f>
        <v>리테일채널팀</v>
      </c>
      <c r="B140" s="6" t="str">
        <f>IFERROR(VLOOKUP($F140,매장구분!$B:$K,3,0),"")</f>
        <v>국내</v>
      </c>
      <c r="C140" s="6" t="str">
        <f>IFERROR(VLOOKUP($F140,매장구분!$B:$K,5,0),"")</f>
        <v>대리점</v>
      </c>
      <c r="D140" s="6" t="str">
        <f>IFERROR(VLOOKUP($F140,매장구분!$B:$Z,9,0),"")</f>
        <v>제주(대-위)</v>
      </c>
      <c r="E140" s="69" t="s">
        <v>474</v>
      </c>
      <c r="F140" s="69" t="s">
        <v>475</v>
      </c>
      <c r="G140" s="69">
        <v>720</v>
      </c>
      <c r="H140" s="69">
        <v>61631300</v>
      </c>
      <c r="I140" s="69">
        <v>65379500</v>
      </c>
      <c r="J140" s="69">
        <v>741</v>
      </c>
      <c r="K140" s="69">
        <v>64383300</v>
      </c>
      <c r="L140" s="69">
        <v>68131500</v>
      </c>
      <c r="M140" s="69">
        <v>-21</v>
      </c>
      <c r="N140" s="69">
        <v>-2752000</v>
      </c>
      <c r="O140" s="69">
        <v>-2752000</v>
      </c>
      <c r="P140" s="69">
        <v>1485900</v>
      </c>
      <c r="Q140" s="69">
        <v>4020900</v>
      </c>
      <c r="R140" s="69">
        <v>2017000</v>
      </c>
      <c r="S140" s="69">
        <v>2216900</v>
      </c>
      <c r="T140" s="69">
        <v>2197800</v>
      </c>
      <c r="U140" s="69">
        <v>2127800</v>
      </c>
      <c r="V140" s="69">
        <v>1665700</v>
      </c>
      <c r="W140" s="69">
        <v>1927000</v>
      </c>
      <c r="X140" s="69">
        <v>2849900</v>
      </c>
      <c r="Y140" s="69">
        <v>1112000</v>
      </c>
      <c r="Z140" s="69">
        <v>2426000</v>
      </c>
      <c r="AA140" s="69">
        <v>2323800</v>
      </c>
      <c r="AB140" s="69">
        <v>2935000</v>
      </c>
      <c r="AC140" s="69">
        <v>2037000</v>
      </c>
      <c r="AD140" s="69">
        <v>2118700</v>
      </c>
      <c r="AE140" s="69">
        <v>4285000</v>
      </c>
      <c r="AF140" s="69">
        <v>1889700</v>
      </c>
      <c r="AG140" s="69">
        <v>5612400</v>
      </c>
      <c r="AH140" s="69">
        <v>1886000</v>
      </c>
      <c r="AI140" s="69">
        <v>3846900</v>
      </c>
      <c r="AJ140" s="69">
        <v>3413500</v>
      </c>
      <c r="AK140" s="69">
        <v>4469900</v>
      </c>
      <c r="AL140" s="69">
        <v>2766500</v>
      </c>
      <c r="AM140" s="69"/>
      <c r="AN140" s="69"/>
      <c r="AO140" s="69"/>
      <c r="AP140" s="69"/>
      <c r="AQ140" s="69"/>
      <c r="AR140" s="69"/>
      <c r="AS140" s="69"/>
      <c r="AT140" s="69"/>
      <c r="AU140" s="6"/>
      <c r="AV140" s="6"/>
      <c r="AW140" s="6">
        <f t="shared" si="16"/>
        <v>5506800</v>
      </c>
      <c r="AX140" s="6">
        <f t="shared" si="16"/>
        <v>15002100</v>
      </c>
      <c r="AY140" s="6">
        <f t="shared" si="16"/>
        <v>17237500</v>
      </c>
      <c r="AZ140" s="6">
        <f t="shared" si="16"/>
        <v>23884900</v>
      </c>
      <c r="BA140" s="6">
        <f t="shared" si="16"/>
        <v>0</v>
      </c>
      <c r="BC140" s="66">
        <f t="shared" ca="1" si="15"/>
        <v>61631300</v>
      </c>
    </row>
    <row r="141" spans="1:55" x14ac:dyDescent="0.3">
      <c r="A141" s="6" t="str">
        <f>IFERROR(VLOOKUP($F141,매장구분!$B:$K,2,0),"")</f>
        <v>리테일채널팀</v>
      </c>
      <c r="B141" s="6" t="str">
        <f>IFERROR(VLOOKUP($F141,매장구분!$B:$K,3,0),"")</f>
        <v>국내</v>
      </c>
      <c r="C141" s="6" t="str">
        <f>IFERROR(VLOOKUP($F141,매장구분!$B:$K,5,0),"")</f>
        <v>대리점</v>
      </c>
      <c r="D141" s="6" t="str">
        <f>IFERROR(VLOOKUP($F141,매장구분!$B:$Z,9,0),"")</f>
        <v>전주중앙(대-위)</v>
      </c>
      <c r="E141" s="69" t="s">
        <v>293</v>
      </c>
      <c r="F141" s="69" t="s">
        <v>294</v>
      </c>
      <c r="G141" s="69">
        <v>548</v>
      </c>
      <c r="H141" s="69">
        <v>57506910</v>
      </c>
      <c r="I141" s="69">
        <v>61333300</v>
      </c>
      <c r="J141" s="69">
        <v>762</v>
      </c>
      <c r="K141" s="69">
        <v>94928110</v>
      </c>
      <c r="L141" s="69">
        <v>98814500</v>
      </c>
      <c r="M141" s="69">
        <v>-214</v>
      </c>
      <c r="N141" s="69">
        <v>-37421200</v>
      </c>
      <c r="O141" s="69">
        <v>-37481200</v>
      </c>
      <c r="P141" s="69">
        <v>3848900</v>
      </c>
      <c r="Q141" s="69">
        <v>4621100</v>
      </c>
      <c r="R141" s="69">
        <v>1605900</v>
      </c>
      <c r="S141" s="69">
        <v>1536000</v>
      </c>
      <c r="T141" s="69">
        <v>2223000</v>
      </c>
      <c r="U141" s="69">
        <v>1387800</v>
      </c>
      <c r="V141" s="69">
        <v>2977010</v>
      </c>
      <c r="W141" s="69">
        <v>1893000</v>
      </c>
      <c r="X141" s="69">
        <v>2818000</v>
      </c>
      <c r="Y141" s="69">
        <v>924000</v>
      </c>
      <c r="Z141" s="69">
        <v>1896900</v>
      </c>
      <c r="AA141" s="69">
        <v>2535000</v>
      </c>
      <c r="AB141" s="69">
        <v>766000</v>
      </c>
      <c r="AC141" s="69">
        <v>690100</v>
      </c>
      <c r="AD141" s="69">
        <v>-830000</v>
      </c>
      <c r="AE141" s="69">
        <v>11591200</v>
      </c>
      <c r="AF141" s="69">
        <v>2007000</v>
      </c>
      <c r="AG141" s="69">
        <v>2749900</v>
      </c>
      <c r="AH141" s="69">
        <v>1519900</v>
      </c>
      <c r="AI141" s="69">
        <v>2509800</v>
      </c>
      <c r="AJ141" s="69">
        <v>-430300</v>
      </c>
      <c r="AK141" s="69">
        <v>5778800</v>
      </c>
      <c r="AL141" s="69">
        <v>2887900</v>
      </c>
      <c r="AM141" s="69"/>
      <c r="AN141" s="69"/>
      <c r="AO141" s="69"/>
      <c r="AP141" s="69"/>
      <c r="AQ141" s="69"/>
      <c r="AR141" s="69"/>
      <c r="AS141" s="69"/>
      <c r="AT141" s="69"/>
      <c r="AU141" s="6"/>
      <c r="AV141" s="6"/>
      <c r="AW141" s="6">
        <f t="shared" si="16"/>
        <v>8470000</v>
      </c>
      <c r="AX141" s="6">
        <f t="shared" si="16"/>
        <v>14440710</v>
      </c>
      <c r="AY141" s="6">
        <f t="shared" si="16"/>
        <v>17573200</v>
      </c>
      <c r="AZ141" s="6">
        <f t="shared" si="16"/>
        <v>17023000</v>
      </c>
      <c r="BA141" s="6">
        <f t="shared" si="16"/>
        <v>0</v>
      </c>
      <c r="BC141" s="66">
        <f t="shared" ca="1" si="15"/>
        <v>57506910</v>
      </c>
    </row>
    <row r="142" spans="1:55" x14ac:dyDescent="0.3">
      <c r="A142" s="6" t="str">
        <f>IFERROR(VLOOKUP($F142,매장구분!$B:$K,2,0),"")</f>
        <v>리테일채널팀</v>
      </c>
      <c r="B142" s="6" t="str">
        <f>IFERROR(VLOOKUP($F142,매장구분!$B:$K,3,0),"")</f>
        <v>국내</v>
      </c>
      <c r="C142" s="6" t="str">
        <f>IFERROR(VLOOKUP($F142,매장구분!$B:$K,5,0),"")</f>
        <v>대리점</v>
      </c>
      <c r="D142" s="6" t="str">
        <f>IFERROR(VLOOKUP($F142,매장구분!$B:$Z,9,0),"")</f>
        <v>서산(대-위)</v>
      </c>
      <c r="E142" s="69" t="s">
        <v>336</v>
      </c>
      <c r="F142" s="69" t="s">
        <v>337</v>
      </c>
      <c r="G142" s="69">
        <v>414</v>
      </c>
      <c r="H142" s="69">
        <v>41926200</v>
      </c>
      <c r="I142" s="69">
        <v>44606200</v>
      </c>
      <c r="J142" s="69">
        <v>459</v>
      </c>
      <c r="K142" s="69">
        <v>47954200</v>
      </c>
      <c r="L142" s="69">
        <v>50694200</v>
      </c>
      <c r="M142" s="69">
        <v>-45</v>
      </c>
      <c r="N142" s="69">
        <v>-6028000</v>
      </c>
      <c r="O142" s="69">
        <v>-6088000</v>
      </c>
      <c r="P142" s="69">
        <v>2791000</v>
      </c>
      <c r="Q142" s="69">
        <v>5943000</v>
      </c>
      <c r="R142" s="69">
        <v>1801800</v>
      </c>
      <c r="S142" s="69">
        <v>535000</v>
      </c>
      <c r="T142" s="69">
        <v>1170000</v>
      </c>
      <c r="U142" s="69">
        <v>1650000</v>
      </c>
      <c r="V142" s="69">
        <v>1103900</v>
      </c>
      <c r="W142" s="69">
        <v>2862900</v>
      </c>
      <c r="X142" s="69">
        <v>1512000</v>
      </c>
      <c r="Y142" s="69">
        <v>310000</v>
      </c>
      <c r="Z142" s="69">
        <v>789000</v>
      </c>
      <c r="AA142" s="69">
        <v>387000</v>
      </c>
      <c r="AB142" s="69">
        <v>1594000</v>
      </c>
      <c r="AC142" s="69">
        <v>939000</v>
      </c>
      <c r="AD142" s="69">
        <v>2365000</v>
      </c>
      <c r="AE142" s="69">
        <v>1723000</v>
      </c>
      <c r="AF142" s="69">
        <v>1449000</v>
      </c>
      <c r="AG142" s="69">
        <v>1721900</v>
      </c>
      <c r="AH142" s="69">
        <v>1121900</v>
      </c>
      <c r="AI142" s="69">
        <v>2178000</v>
      </c>
      <c r="AJ142" s="69">
        <v>2012000</v>
      </c>
      <c r="AK142" s="69">
        <v>1450000</v>
      </c>
      <c r="AL142" s="69">
        <v>4516800</v>
      </c>
      <c r="AM142" s="69"/>
      <c r="AN142" s="69"/>
      <c r="AO142" s="69"/>
      <c r="AP142" s="69"/>
      <c r="AQ142" s="69"/>
      <c r="AR142" s="69"/>
      <c r="AS142" s="69"/>
      <c r="AT142" s="69"/>
      <c r="AU142" s="6"/>
      <c r="AV142" s="6"/>
      <c r="AW142" s="6">
        <f t="shared" si="16"/>
        <v>8734000</v>
      </c>
      <c r="AX142" s="6">
        <f t="shared" si="16"/>
        <v>10635600</v>
      </c>
      <c r="AY142" s="6">
        <f t="shared" si="16"/>
        <v>8107000</v>
      </c>
      <c r="AZ142" s="6">
        <f t="shared" si="16"/>
        <v>14449600</v>
      </c>
      <c r="BA142" s="6">
        <f t="shared" si="16"/>
        <v>0</v>
      </c>
      <c r="BC142" s="66">
        <f t="shared" ca="1" si="15"/>
        <v>41926200</v>
      </c>
    </row>
    <row r="143" spans="1:55" x14ac:dyDescent="0.3">
      <c r="A143" s="6" t="str">
        <f>IFERROR(VLOOKUP($F143,매장구분!$B:$K,2,0),"")</f>
        <v>리테일채널팀</v>
      </c>
      <c r="B143" s="6" t="str">
        <f>IFERROR(VLOOKUP($F143,매장구분!$B:$K,3,0),"")</f>
        <v>국내</v>
      </c>
      <c r="C143" s="6" t="str">
        <f>IFERROR(VLOOKUP($F143,매장구분!$B:$K,5,0),"")</f>
        <v>대리점</v>
      </c>
      <c r="D143" s="6" t="str">
        <f>IFERROR(VLOOKUP($F143,매장구분!$B:$Z,9,0),"")</f>
        <v>안동(대-위)</v>
      </c>
      <c r="E143" s="69" t="s">
        <v>424</v>
      </c>
      <c r="F143" s="69" t="s">
        <v>425</v>
      </c>
      <c r="G143" s="69">
        <v>349</v>
      </c>
      <c r="H143" s="69">
        <v>34960900</v>
      </c>
      <c r="I143" s="69">
        <v>36728200</v>
      </c>
      <c r="J143" s="69">
        <v>396</v>
      </c>
      <c r="K143" s="69">
        <v>41435900</v>
      </c>
      <c r="L143" s="69">
        <v>43203200</v>
      </c>
      <c r="M143" s="69">
        <v>-47</v>
      </c>
      <c r="N143" s="69">
        <v>-6475000</v>
      </c>
      <c r="O143" s="69">
        <v>-6475000</v>
      </c>
      <c r="P143" s="69">
        <v>2825000</v>
      </c>
      <c r="Q143" s="69">
        <v>2666000</v>
      </c>
      <c r="R143" s="69">
        <v>1089000</v>
      </c>
      <c r="S143" s="69">
        <v>560800</v>
      </c>
      <c r="T143" s="69">
        <v>1058000</v>
      </c>
      <c r="U143" s="69">
        <v>2295700</v>
      </c>
      <c r="V143" s="69">
        <v>2098600</v>
      </c>
      <c r="W143" s="69">
        <v>3170700</v>
      </c>
      <c r="X143" s="69">
        <v>1926000</v>
      </c>
      <c r="Y143" s="69">
        <v>2268000</v>
      </c>
      <c r="Z143" s="69">
        <v>376000</v>
      </c>
      <c r="AA143" s="69">
        <v>899000</v>
      </c>
      <c r="AB143" s="69">
        <v>1027000</v>
      </c>
      <c r="AC143" s="69">
        <v>1036700</v>
      </c>
      <c r="AD143" s="69">
        <v>2007000</v>
      </c>
      <c r="AE143" s="69">
        <v>1691000</v>
      </c>
      <c r="AF143" s="69">
        <v>527000</v>
      </c>
      <c r="AG143" s="69">
        <v>1394000</v>
      </c>
      <c r="AH143" s="69">
        <v>709100</v>
      </c>
      <c r="AI143" s="69">
        <v>1515700</v>
      </c>
      <c r="AJ143" s="69">
        <v>607000</v>
      </c>
      <c r="AK143" s="69">
        <v>1487000</v>
      </c>
      <c r="AL143" s="69">
        <v>1726600</v>
      </c>
      <c r="AM143" s="69"/>
      <c r="AN143" s="69"/>
      <c r="AO143" s="69"/>
      <c r="AP143" s="69"/>
      <c r="AQ143" s="69"/>
      <c r="AR143" s="69"/>
      <c r="AS143" s="69"/>
      <c r="AT143" s="69"/>
      <c r="AU143" s="6"/>
      <c r="AV143" s="6"/>
      <c r="AW143" s="6">
        <f t="shared" si="16"/>
        <v>5491000</v>
      </c>
      <c r="AX143" s="6">
        <f t="shared" si="16"/>
        <v>12198800</v>
      </c>
      <c r="AY143" s="6">
        <f t="shared" si="16"/>
        <v>9304700</v>
      </c>
      <c r="AZ143" s="6">
        <f t="shared" si="16"/>
        <v>7966400</v>
      </c>
      <c r="BA143" s="6">
        <f t="shared" si="16"/>
        <v>0</v>
      </c>
      <c r="BC143" s="66">
        <f t="shared" ca="1" si="15"/>
        <v>34960900</v>
      </c>
    </row>
    <row r="144" spans="1:55" x14ac:dyDescent="0.3">
      <c r="A144" s="6" t="str">
        <f>IFERROR(VLOOKUP($F144,매장구분!$B:$K,2,0),"")</f>
        <v>리테일채널팀</v>
      </c>
      <c r="B144" s="6" t="str">
        <f>IFERROR(VLOOKUP($F144,매장구분!$B:$K,3,0),"")</f>
        <v>국내</v>
      </c>
      <c r="C144" s="6" t="str">
        <f>IFERROR(VLOOKUP($F144,매장구분!$B:$K,5,0),"")</f>
        <v>대리점</v>
      </c>
      <c r="D144" s="6" t="str">
        <f>IFERROR(VLOOKUP($F144,매장구분!$B:$Z,9,0),"")</f>
        <v>안산한대(대-위)</v>
      </c>
      <c r="E144" s="69" t="s">
        <v>295</v>
      </c>
      <c r="F144" s="69" t="s">
        <v>296</v>
      </c>
      <c r="G144" s="69">
        <v>697</v>
      </c>
      <c r="H144" s="69">
        <v>76232285</v>
      </c>
      <c r="I144" s="69">
        <v>79961500</v>
      </c>
      <c r="J144" s="69">
        <v>718</v>
      </c>
      <c r="K144" s="69">
        <v>79213185</v>
      </c>
      <c r="L144" s="69">
        <v>82962400</v>
      </c>
      <c r="M144" s="69">
        <v>-21</v>
      </c>
      <c r="N144" s="69">
        <v>-2980900</v>
      </c>
      <c r="O144" s="69">
        <v>-3000900</v>
      </c>
      <c r="P144" s="69">
        <v>6230900</v>
      </c>
      <c r="Q144" s="69">
        <v>4750000</v>
      </c>
      <c r="R144" s="69">
        <v>3038000</v>
      </c>
      <c r="S144" s="69">
        <v>2988000</v>
      </c>
      <c r="T144" s="69">
        <v>2597000</v>
      </c>
      <c r="U144" s="69">
        <v>2138700</v>
      </c>
      <c r="V144" s="69">
        <v>2138000</v>
      </c>
      <c r="W144" s="69">
        <v>2923000</v>
      </c>
      <c r="X144" s="69">
        <v>4568000</v>
      </c>
      <c r="Y144" s="69">
        <v>1246600</v>
      </c>
      <c r="Z144" s="69">
        <v>2831000</v>
      </c>
      <c r="AA144" s="69">
        <v>1477000</v>
      </c>
      <c r="AB144" s="69">
        <v>3053000</v>
      </c>
      <c r="AC144" s="69">
        <v>2094900</v>
      </c>
      <c r="AD144" s="69">
        <v>5015000</v>
      </c>
      <c r="AE144" s="69">
        <v>5931900</v>
      </c>
      <c r="AF144" s="69">
        <v>2594000</v>
      </c>
      <c r="AG144" s="69">
        <v>3040300</v>
      </c>
      <c r="AH144" s="69">
        <v>1896500</v>
      </c>
      <c r="AI144" s="69">
        <v>2390000</v>
      </c>
      <c r="AJ144" s="69">
        <v>925000</v>
      </c>
      <c r="AK144" s="69">
        <v>5102485</v>
      </c>
      <c r="AL144" s="69">
        <v>7263000</v>
      </c>
      <c r="AM144" s="69"/>
      <c r="AN144" s="69"/>
      <c r="AO144" s="69"/>
      <c r="AP144" s="69"/>
      <c r="AQ144" s="69"/>
      <c r="AR144" s="69"/>
      <c r="AS144" s="69"/>
      <c r="AT144" s="69"/>
      <c r="AU144" s="6"/>
      <c r="AV144" s="6"/>
      <c r="AW144" s="6">
        <f t="shared" si="16"/>
        <v>10980900</v>
      </c>
      <c r="AX144" s="6">
        <f t="shared" si="16"/>
        <v>20390700</v>
      </c>
      <c r="AY144" s="6">
        <f t="shared" si="16"/>
        <v>21649400</v>
      </c>
      <c r="AZ144" s="6">
        <f t="shared" si="16"/>
        <v>23211285</v>
      </c>
      <c r="BA144" s="6">
        <f t="shared" si="16"/>
        <v>0</v>
      </c>
      <c r="BC144" s="66">
        <f t="shared" ca="1" si="15"/>
        <v>76232285</v>
      </c>
    </row>
    <row r="145" spans="1:55" x14ac:dyDescent="0.3">
      <c r="A145" s="6" t="str">
        <f>IFERROR(VLOOKUP($F145,매장구분!$B:$K,2,0),"")</f>
        <v>리테일채널팀</v>
      </c>
      <c r="B145" s="6" t="str">
        <f>IFERROR(VLOOKUP($F145,매장구분!$B:$K,3,0),"")</f>
        <v>국내</v>
      </c>
      <c r="C145" s="6" t="str">
        <f>IFERROR(VLOOKUP($F145,매장구분!$B:$K,5,0),"")</f>
        <v>대리점</v>
      </c>
      <c r="D145" s="6" t="str">
        <f>IFERROR(VLOOKUP($F145,매장구분!$B:$Z,9,0),"")</f>
        <v>김포장기(대-위)</v>
      </c>
      <c r="E145" s="69" t="s">
        <v>400</v>
      </c>
      <c r="F145" s="69" t="s">
        <v>401</v>
      </c>
      <c r="G145" s="69">
        <v>554</v>
      </c>
      <c r="H145" s="69">
        <v>59227200</v>
      </c>
      <c r="I145" s="69">
        <v>63167800</v>
      </c>
      <c r="J145" s="69">
        <v>582</v>
      </c>
      <c r="K145" s="69">
        <v>62872900</v>
      </c>
      <c r="L145" s="69">
        <v>66878800</v>
      </c>
      <c r="M145" s="69">
        <v>-28</v>
      </c>
      <c r="N145" s="69">
        <v>-3645700</v>
      </c>
      <c r="O145" s="69">
        <v>-3711000</v>
      </c>
      <c r="P145" s="69">
        <v>3444500</v>
      </c>
      <c r="Q145" s="69">
        <v>6675300</v>
      </c>
      <c r="R145" s="69">
        <v>1633800</v>
      </c>
      <c r="S145" s="69">
        <v>480000</v>
      </c>
      <c r="T145" s="69">
        <v>1213000</v>
      </c>
      <c r="U145" s="69">
        <v>370000</v>
      </c>
      <c r="V145" s="69">
        <v>1488000</v>
      </c>
      <c r="W145" s="69">
        <v>2197300</v>
      </c>
      <c r="X145" s="69">
        <v>3800300</v>
      </c>
      <c r="Y145" s="69">
        <v>820500</v>
      </c>
      <c r="Z145" s="69">
        <v>719000</v>
      </c>
      <c r="AA145" s="69">
        <v>2023500</v>
      </c>
      <c r="AB145" s="69">
        <v>1812000</v>
      </c>
      <c r="AC145" s="69">
        <v>1141800</v>
      </c>
      <c r="AD145" s="69">
        <v>3167900</v>
      </c>
      <c r="AE145" s="69">
        <v>4380000</v>
      </c>
      <c r="AF145" s="69">
        <v>2121200</v>
      </c>
      <c r="AG145" s="69">
        <v>2516400</v>
      </c>
      <c r="AH145" s="69">
        <v>1050800</v>
      </c>
      <c r="AI145" s="69">
        <v>1785000</v>
      </c>
      <c r="AJ145" s="69">
        <v>2301400</v>
      </c>
      <c r="AK145" s="69">
        <v>5858600</v>
      </c>
      <c r="AL145" s="69">
        <v>8226900</v>
      </c>
      <c r="AM145" s="69"/>
      <c r="AN145" s="69"/>
      <c r="AO145" s="69"/>
      <c r="AP145" s="69"/>
      <c r="AQ145" s="69"/>
      <c r="AR145" s="69"/>
      <c r="AS145" s="69"/>
      <c r="AT145" s="69"/>
      <c r="AU145" s="6"/>
      <c r="AV145" s="6"/>
      <c r="AW145" s="6">
        <f t="shared" si="16"/>
        <v>10119800</v>
      </c>
      <c r="AX145" s="6">
        <f t="shared" si="16"/>
        <v>11182400</v>
      </c>
      <c r="AY145" s="6">
        <f t="shared" si="16"/>
        <v>14064700</v>
      </c>
      <c r="AZ145" s="6">
        <f t="shared" si="16"/>
        <v>23860300</v>
      </c>
      <c r="BA145" s="6">
        <f t="shared" si="16"/>
        <v>0</v>
      </c>
      <c r="BC145" s="66">
        <f t="shared" ca="1" si="15"/>
        <v>59227200</v>
      </c>
    </row>
    <row r="146" spans="1:55" x14ac:dyDescent="0.3">
      <c r="A146" s="6" t="str">
        <f>IFERROR(VLOOKUP($F146,매장구분!$B:$K,2,0),"")</f>
        <v>리테일채널팀</v>
      </c>
      <c r="B146" s="6" t="str">
        <f>IFERROR(VLOOKUP($F146,매장구분!$B:$K,3,0),"")</f>
        <v>국내</v>
      </c>
      <c r="C146" s="6" t="str">
        <f>IFERROR(VLOOKUP($F146,매장구분!$B:$K,5,0),"")</f>
        <v>대리점</v>
      </c>
      <c r="D146" s="6" t="str">
        <f>IFERROR(VLOOKUP($F146,매장구분!$B:$Z,9,0),"")</f>
        <v>여천(대-위)</v>
      </c>
      <c r="E146" s="69" t="s">
        <v>500</v>
      </c>
      <c r="F146" s="69" t="s">
        <v>501</v>
      </c>
      <c r="G146" s="69">
        <v>356</v>
      </c>
      <c r="H146" s="69">
        <v>31518847</v>
      </c>
      <c r="I146" s="69">
        <v>33653600</v>
      </c>
      <c r="J146" s="69">
        <v>424</v>
      </c>
      <c r="K146" s="69">
        <v>41231847</v>
      </c>
      <c r="L146" s="69">
        <v>43466600</v>
      </c>
      <c r="M146" s="69">
        <v>-68</v>
      </c>
      <c r="N146" s="69">
        <v>-9713000</v>
      </c>
      <c r="O146" s="69">
        <v>-9813000</v>
      </c>
      <c r="P146" s="69">
        <v>1491500</v>
      </c>
      <c r="Q146" s="69">
        <v>3014700</v>
      </c>
      <c r="R146" s="69">
        <v>399000</v>
      </c>
      <c r="S146" s="69">
        <v>726000</v>
      </c>
      <c r="T146" s="69">
        <v>924300</v>
      </c>
      <c r="U146" s="69">
        <v>298500</v>
      </c>
      <c r="V146" s="69">
        <v>557000</v>
      </c>
      <c r="W146" s="69">
        <v>1649000</v>
      </c>
      <c r="X146" s="69">
        <v>661000</v>
      </c>
      <c r="Y146" s="69">
        <v>712000</v>
      </c>
      <c r="Z146" s="69">
        <v>1186900</v>
      </c>
      <c r="AA146" s="69">
        <v>927086</v>
      </c>
      <c r="AB146" s="69">
        <v>1932000</v>
      </c>
      <c r="AC146" s="69">
        <v>214000</v>
      </c>
      <c r="AD146" s="69">
        <v>1016200</v>
      </c>
      <c r="AE146" s="69">
        <v>1614000</v>
      </c>
      <c r="AF146" s="69">
        <v>1024000</v>
      </c>
      <c r="AG146" s="69">
        <v>730000</v>
      </c>
      <c r="AH146" s="69">
        <v>571000</v>
      </c>
      <c r="AI146" s="69">
        <v>1616200</v>
      </c>
      <c r="AJ146" s="69">
        <v>2347900</v>
      </c>
      <c r="AK146" s="69">
        <v>4960995</v>
      </c>
      <c r="AL146" s="69">
        <v>2945566</v>
      </c>
      <c r="AM146" s="69"/>
      <c r="AN146" s="69"/>
      <c r="AO146" s="69"/>
      <c r="AP146" s="69"/>
      <c r="AQ146" s="69"/>
      <c r="AR146" s="69"/>
      <c r="AS146" s="69"/>
      <c r="AT146" s="69"/>
      <c r="AU146" s="6"/>
      <c r="AV146" s="6"/>
      <c r="AW146" s="6">
        <f t="shared" si="16"/>
        <v>4506200</v>
      </c>
      <c r="AX146" s="6">
        <f t="shared" si="16"/>
        <v>5214800</v>
      </c>
      <c r="AY146" s="6">
        <f t="shared" si="16"/>
        <v>7602186</v>
      </c>
      <c r="AZ146" s="6">
        <f t="shared" si="16"/>
        <v>14195661</v>
      </c>
      <c r="BA146" s="6">
        <f t="shared" si="16"/>
        <v>0</v>
      </c>
      <c r="BC146" s="66">
        <f t="shared" ca="1" si="15"/>
        <v>31518847</v>
      </c>
    </row>
    <row r="147" spans="1:55" x14ac:dyDescent="0.3">
      <c r="A147" s="6" t="str">
        <f>IFERROR(VLOOKUP($F147,매장구분!$B:$K,2,0),"")</f>
        <v>리테일채널팀</v>
      </c>
      <c r="B147" s="6" t="str">
        <f>IFERROR(VLOOKUP($F147,매장구분!$B:$K,3,0),"")</f>
        <v>국내</v>
      </c>
      <c r="C147" s="6" t="str">
        <f>IFERROR(VLOOKUP($F147,매장구분!$B:$K,5,0),"")</f>
        <v>대리점</v>
      </c>
      <c r="D147" s="6" t="str">
        <f>IFERROR(VLOOKUP($F147,매장구분!$B:$Z,9,0),"")</f>
        <v>청주(대-위)</v>
      </c>
      <c r="E147" s="69" t="s">
        <v>265</v>
      </c>
      <c r="F147" s="69" t="s">
        <v>266</v>
      </c>
      <c r="G147" s="69">
        <v>2950</v>
      </c>
      <c r="H147" s="69">
        <v>212239300</v>
      </c>
      <c r="I147" s="69">
        <v>222746200</v>
      </c>
      <c r="J147" s="69">
        <v>2988</v>
      </c>
      <c r="K147" s="69">
        <v>219565300</v>
      </c>
      <c r="L147" s="69">
        <v>230072200</v>
      </c>
      <c r="M147" s="69">
        <v>-38</v>
      </c>
      <c r="N147" s="69">
        <v>-7326000</v>
      </c>
      <c r="O147" s="69">
        <v>-7326000</v>
      </c>
      <c r="P147" s="69">
        <v>36979900</v>
      </c>
      <c r="Q147" s="69">
        <v>38710900</v>
      </c>
      <c r="R147" s="69">
        <v>4155000</v>
      </c>
      <c r="S147" s="69">
        <v>1905000</v>
      </c>
      <c r="T147" s="69">
        <v>15791000</v>
      </c>
      <c r="U147" s="69">
        <v>1941000</v>
      </c>
      <c r="V147" s="69">
        <v>9495000</v>
      </c>
      <c r="W147" s="69">
        <v>1561000</v>
      </c>
      <c r="X147" s="69">
        <v>2696000</v>
      </c>
      <c r="Y147" s="69">
        <v>7000000</v>
      </c>
      <c r="Z147" s="69">
        <v>2217000</v>
      </c>
      <c r="AA147" s="69">
        <v>15388100</v>
      </c>
      <c r="AB147" s="69">
        <v>2810800</v>
      </c>
      <c r="AC147" s="69">
        <v>14491000</v>
      </c>
      <c r="AD147" s="69">
        <v>1317000</v>
      </c>
      <c r="AE147" s="69">
        <v>3350000</v>
      </c>
      <c r="AF147" s="69">
        <v>8121000</v>
      </c>
      <c r="AG147" s="69">
        <v>3379000</v>
      </c>
      <c r="AH147" s="69">
        <v>20537000</v>
      </c>
      <c r="AI147" s="69">
        <v>1764700</v>
      </c>
      <c r="AJ147" s="69">
        <v>1249000</v>
      </c>
      <c r="AK147" s="69">
        <v>13109000</v>
      </c>
      <c r="AL147" s="69">
        <v>4270900</v>
      </c>
      <c r="AM147" s="69"/>
      <c r="AN147" s="69"/>
      <c r="AO147" s="69"/>
      <c r="AP147" s="69"/>
      <c r="AQ147" s="69"/>
      <c r="AR147" s="69"/>
      <c r="AS147" s="69"/>
      <c r="AT147" s="69"/>
      <c r="AU147" s="6"/>
      <c r="AV147" s="6"/>
      <c r="AW147" s="6">
        <f t="shared" si="16"/>
        <v>75690800</v>
      </c>
      <c r="AX147" s="6">
        <f t="shared" si="16"/>
        <v>37544000</v>
      </c>
      <c r="AY147" s="6">
        <f t="shared" si="16"/>
        <v>46573900</v>
      </c>
      <c r="AZ147" s="6">
        <f t="shared" si="16"/>
        <v>52430600</v>
      </c>
      <c r="BA147" s="6">
        <f t="shared" si="16"/>
        <v>0</v>
      </c>
      <c r="BC147" s="66">
        <f t="shared" ca="1" si="15"/>
        <v>212239300</v>
      </c>
    </row>
    <row r="148" spans="1:55" x14ac:dyDescent="0.3">
      <c r="A148" s="6" t="str">
        <f>IFERROR(VLOOKUP($F148,매장구분!$B:$K,2,0),"")</f>
        <v>리테일채널팀</v>
      </c>
      <c r="B148" s="6" t="str">
        <f>IFERROR(VLOOKUP($F148,매장구분!$B:$K,3,0),"")</f>
        <v>국내</v>
      </c>
      <c r="C148" s="6" t="str">
        <f>IFERROR(VLOOKUP($F148,매장구분!$B:$K,5,0),"")</f>
        <v>대리점</v>
      </c>
      <c r="D148" s="6" t="str">
        <f>IFERROR(VLOOKUP($F148,매장구분!$B:$Z,9,0),"")</f>
        <v>서귀포(대-위)</v>
      </c>
      <c r="E148" s="69" t="s">
        <v>313</v>
      </c>
      <c r="F148" s="69" t="s">
        <v>314</v>
      </c>
      <c r="G148" s="69">
        <v>479</v>
      </c>
      <c r="H148" s="69">
        <v>42020646</v>
      </c>
      <c r="I148" s="69">
        <v>44620500</v>
      </c>
      <c r="J148" s="69">
        <v>513</v>
      </c>
      <c r="K148" s="69">
        <v>46367646</v>
      </c>
      <c r="L148" s="69">
        <v>49037500</v>
      </c>
      <c r="M148" s="69">
        <v>-34</v>
      </c>
      <c r="N148" s="69">
        <v>-4347000</v>
      </c>
      <c r="O148" s="69">
        <v>-4417000</v>
      </c>
      <c r="P148" s="69">
        <v>1965000</v>
      </c>
      <c r="Q148" s="69">
        <v>2386000</v>
      </c>
      <c r="R148" s="69">
        <v>2696200</v>
      </c>
      <c r="S148" s="69">
        <v>1462000</v>
      </c>
      <c r="T148" s="69">
        <v>2692600</v>
      </c>
      <c r="U148" s="69">
        <v>912300</v>
      </c>
      <c r="V148" s="69">
        <v>2066000</v>
      </c>
      <c r="W148" s="69">
        <v>686900</v>
      </c>
      <c r="X148" s="69">
        <v>1178133</v>
      </c>
      <c r="Y148" s="69">
        <v>1604000</v>
      </c>
      <c r="Z148" s="69">
        <v>1697000</v>
      </c>
      <c r="AA148" s="69">
        <v>1712000</v>
      </c>
      <c r="AB148" s="69">
        <v>2849800</v>
      </c>
      <c r="AC148" s="69">
        <v>1572200</v>
      </c>
      <c r="AD148" s="69">
        <v>2672600</v>
      </c>
      <c r="AE148" s="69">
        <v>1397000</v>
      </c>
      <c r="AF148" s="69">
        <v>1411800</v>
      </c>
      <c r="AG148" s="69">
        <v>2713100</v>
      </c>
      <c r="AH148" s="69">
        <v>1781900</v>
      </c>
      <c r="AI148" s="69">
        <v>1389100</v>
      </c>
      <c r="AJ148" s="69">
        <v>2362013</v>
      </c>
      <c r="AK148" s="69">
        <v>2305000</v>
      </c>
      <c r="AL148" s="69">
        <v>508000</v>
      </c>
      <c r="AM148" s="69"/>
      <c r="AN148" s="69"/>
      <c r="AO148" s="69"/>
      <c r="AP148" s="69"/>
      <c r="AQ148" s="69"/>
      <c r="AR148" s="69"/>
      <c r="AS148" s="69"/>
      <c r="AT148" s="69"/>
      <c r="AU148" s="6"/>
      <c r="AV148" s="6"/>
      <c r="AW148" s="6">
        <f t="shared" si="16"/>
        <v>4351000</v>
      </c>
      <c r="AX148" s="6">
        <f t="shared" si="16"/>
        <v>11694133</v>
      </c>
      <c r="AY148" s="6">
        <f t="shared" si="16"/>
        <v>13504600</v>
      </c>
      <c r="AZ148" s="6">
        <f t="shared" si="16"/>
        <v>12470913</v>
      </c>
      <c r="BA148" s="6">
        <f t="shared" si="16"/>
        <v>0</v>
      </c>
      <c r="BC148" s="66">
        <f t="shared" ca="1" si="15"/>
        <v>42020646</v>
      </c>
    </row>
    <row r="149" spans="1:55" x14ac:dyDescent="0.3">
      <c r="A149" s="6" t="str">
        <f>IFERROR(VLOOKUP($F149,매장구분!$B:$K,2,0),"")</f>
        <v>리테일채널팀</v>
      </c>
      <c r="B149" s="6" t="str">
        <f>IFERROR(VLOOKUP($F149,매장구분!$B:$K,3,0),"")</f>
        <v>국내</v>
      </c>
      <c r="C149" s="6" t="str">
        <f>IFERROR(VLOOKUP($F149,매장구분!$B:$K,5,0),"")</f>
        <v>대리점</v>
      </c>
      <c r="D149" s="6" t="str">
        <f>IFERROR(VLOOKUP($F149,매장구분!$B:$Z,9,0),"")</f>
        <v>거제(대-위)</v>
      </c>
      <c r="E149" s="69" t="s">
        <v>502</v>
      </c>
      <c r="F149" s="69" t="s">
        <v>503</v>
      </c>
      <c r="G149" s="69">
        <v>557</v>
      </c>
      <c r="H149" s="69">
        <v>61056000</v>
      </c>
      <c r="I149" s="69">
        <v>64048800</v>
      </c>
      <c r="J149" s="69">
        <v>584</v>
      </c>
      <c r="K149" s="69">
        <v>65973300</v>
      </c>
      <c r="L149" s="69">
        <v>69195800</v>
      </c>
      <c r="M149" s="69">
        <v>-27</v>
      </c>
      <c r="N149" s="69">
        <v>-4917300</v>
      </c>
      <c r="O149" s="69">
        <v>-5147000</v>
      </c>
      <c r="P149" s="69">
        <v>2383000</v>
      </c>
      <c r="Q149" s="69">
        <v>3218300</v>
      </c>
      <c r="R149" s="69">
        <v>2252000</v>
      </c>
      <c r="S149" s="69">
        <v>1190400</v>
      </c>
      <c r="T149" s="69">
        <v>2600700</v>
      </c>
      <c r="U149" s="69">
        <v>1672900</v>
      </c>
      <c r="V149" s="69">
        <v>3358000</v>
      </c>
      <c r="W149" s="69">
        <v>1588000</v>
      </c>
      <c r="X149" s="69">
        <v>3559300</v>
      </c>
      <c r="Y149" s="69">
        <v>1944000</v>
      </c>
      <c r="Z149" s="69">
        <v>2245000</v>
      </c>
      <c r="AA149" s="69">
        <v>2258200</v>
      </c>
      <c r="AB149" s="69">
        <v>1749000</v>
      </c>
      <c r="AC149" s="69">
        <v>1991900</v>
      </c>
      <c r="AD149" s="69">
        <v>3776000</v>
      </c>
      <c r="AE149" s="69">
        <v>4945700</v>
      </c>
      <c r="AF149" s="69">
        <v>2249000</v>
      </c>
      <c r="AG149" s="69">
        <v>921000</v>
      </c>
      <c r="AH149" s="69">
        <v>3853000</v>
      </c>
      <c r="AI149" s="69">
        <v>2469000</v>
      </c>
      <c r="AJ149" s="69">
        <v>1831300</v>
      </c>
      <c r="AK149" s="69">
        <v>3186300</v>
      </c>
      <c r="AL149" s="69">
        <v>5814000</v>
      </c>
      <c r="AM149" s="69"/>
      <c r="AN149" s="69"/>
      <c r="AO149" s="69"/>
      <c r="AP149" s="69"/>
      <c r="AQ149" s="69"/>
      <c r="AR149" s="69"/>
      <c r="AS149" s="69"/>
      <c r="AT149" s="69"/>
      <c r="AU149" s="6"/>
      <c r="AV149" s="6"/>
      <c r="AW149" s="6">
        <f t="shared" si="16"/>
        <v>5601300</v>
      </c>
      <c r="AX149" s="6">
        <f t="shared" si="16"/>
        <v>16221300</v>
      </c>
      <c r="AY149" s="6">
        <f t="shared" si="16"/>
        <v>18909800</v>
      </c>
      <c r="AZ149" s="6">
        <f t="shared" si="16"/>
        <v>20323600</v>
      </c>
      <c r="BA149" s="6">
        <f t="shared" si="16"/>
        <v>0</v>
      </c>
      <c r="BC149" s="66">
        <f t="shared" ca="1" si="15"/>
        <v>61056000</v>
      </c>
    </row>
    <row r="150" spans="1:55" x14ac:dyDescent="0.3">
      <c r="A150" s="6" t="str">
        <f>IFERROR(VLOOKUP($F150,매장구분!$B:$K,2,0),"")</f>
        <v>리테일채널팀</v>
      </c>
      <c r="B150" s="6" t="str">
        <f>IFERROR(VLOOKUP($F150,매장구분!$B:$K,3,0),"")</f>
        <v>국내</v>
      </c>
      <c r="C150" s="6" t="str">
        <f>IFERROR(VLOOKUP($F150,매장구분!$B:$K,5,0),"")</f>
        <v>대리점</v>
      </c>
      <c r="D150" s="6" t="str">
        <f>IFERROR(VLOOKUP($F150,매장구분!$B:$Z,9,0),"")</f>
        <v>구미(대-위)</v>
      </c>
      <c r="E150" s="69" t="s">
        <v>458</v>
      </c>
      <c r="F150" s="69" t="s">
        <v>459</v>
      </c>
      <c r="G150" s="69">
        <v>644</v>
      </c>
      <c r="H150" s="69">
        <v>62602300</v>
      </c>
      <c r="I150" s="69">
        <v>67233700</v>
      </c>
      <c r="J150" s="69">
        <v>677</v>
      </c>
      <c r="K150" s="69">
        <v>68194300</v>
      </c>
      <c r="L150" s="69">
        <v>72855700</v>
      </c>
      <c r="M150" s="69">
        <v>-33</v>
      </c>
      <c r="N150" s="69">
        <v>-5592000</v>
      </c>
      <c r="O150" s="69">
        <v>-5622000</v>
      </c>
      <c r="P150" s="69">
        <v>7539000</v>
      </c>
      <c r="Q150" s="69">
        <v>4715800</v>
      </c>
      <c r="R150" s="69">
        <v>1661000</v>
      </c>
      <c r="S150" s="69">
        <v>1571000</v>
      </c>
      <c r="T150" s="69">
        <v>1539000</v>
      </c>
      <c r="U150" s="69">
        <v>1818000</v>
      </c>
      <c r="V150" s="69">
        <v>1590900</v>
      </c>
      <c r="W150" s="69">
        <v>4030000</v>
      </c>
      <c r="X150" s="69">
        <v>4536300</v>
      </c>
      <c r="Y150" s="69">
        <v>1135000</v>
      </c>
      <c r="Z150" s="69">
        <v>1980000</v>
      </c>
      <c r="AA150" s="69">
        <v>1503900</v>
      </c>
      <c r="AB150" s="69">
        <v>2913000</v>
      </c>
      <c r="AC150" s="69">
        <v>2747000</v>
      </c>
      <c r="AD150" s="69">
        <v>1684000</v>
      </c>
      <c r="AE150" s="69">
        <v>4132000</v>
      </c>
      <c r="AF150" s="69">
        <v>944800</v>
      </c>
      <c r="AG150" s="69">
        <v>2218000</v>
      </c>
      <c r="AH150" s="69">
        <v>1331900</v>
      </c>
      <c r="AI150" s="69">
        <v>1370700</v>
      </c>
      <c r="AJ150" s="69">
        <v>3205700</v>
      </c>
      <c r="AK150" s="69">
        <v>3741000</v>
      </c>
      <c r="AL150" s="69">
        <v>4694300</v>
      </c>
      <c r="AM150" s="69"/>
      <c r="AN150" s="69"/>
      <c r="AO150" s="69"/>
      <c r="AP150" s="69"/>
      <c r="AQ150" s="69"/>
      <c r="AR150" s="69"/>
      <c r="AS150" s="69"/>
      <c r="AT150" s="69"/>
      <c r="AU150" s="6"/>
      <c r="AV150" s="6"/>
      <c r="AW150" s="6">
        <f t="shared" si="16"/>
        <v>12254800</v>
      </c>
      <c r="AX150" s="6">
        <f t="shared" si="16"/>
        <v>16746200</v>
      </c>
      <c r="AY150" s="6">
        <f t="shared" si="16"/>
        <v>16094900</v>
      </c>
      <c r="AZ150" s="6">
        <f t="shared" si="16"/>
        <v>17506400</v>
      </c>
      <c r="BA150" s="6">
        <f t="shared" si="16"/>
        <v>0</v>
      </c>
      <c r="BC150" s="66">
        <f t="shared" ca="1" si="15"/>
        <v>62602300</v>
      </c>
    </row>
    <row r="151" spans="1:55" x14ac:dyDescent="0.3">
      <c r="A151" s="6" t="str">
        <f>IFERROR(VLOOKUP($F151,매장구분!$B:$K,2,0),"")</f>
        <v>리테일채널팀</v>
      </c>
      <c r="B151" s="6" t="str">
        <f>IFERROR(VLOOKUP($F151,매장구분!$B:$K,3,0),"")</f>
        <v>국내</v>
      </c>
      <c r="C151" s="6" t="str">
        <f>IFERROR(VLOOKUP($F151,매장구분!$B:$K,5,0),"")</f>
        <v>대리점</v>
      </c>
      <c r="D151" s="6" t="str">
        <f>IFERROR(VLOOKUP($F151,매장구분!$B:$Z,9,0),"")</f>
        <v>동해(대-위)</v>
      </c>
      <c r="E151" s="69" t="s">
        <v>534</v>
      </c>
      <c r="F151" s="69" t="s">
        <v>535</v>
      </c>
      <c r="G151" s="69">
        <v>600</v>
      </c>
      <c r="H151" s="69">
        <v>64776427</v>
      </c>
      <c r="I151" s="69">
        <v>69007700</v>
      </c>
      <c r="J151" s="69">
        <v>713</v>
      </c>
      <c r="K151" s="69">
        <v>79979027</v>
      </c>
      <c r="L151" s="69">
        <v>84383300</v>
      </c>
      <c r="M151" s="69">
        <v>-113</v>
      </c>
      <c r="N151" s="69">
        <v>-15202600</v>
      </c>
      <c r="O151" s="69">
        <v>-15375600</v>
      </c>
      <c r="P151" s="69">
        <v>2675000</v>
      </c>
      <c r="Q151" s="69">
        <v>5708600</v>
      </c>
      <c r="R151" s="69">
        <v>1739900</v>
      </c>
      <c r="S151" s="69">
        <v>2141800</v>
      </c>
      <c r="T151" s="69">
        <v>4013000</v>
      </c>
      <c r="U151" s="69">
        <v>1324000</v>
      </c>
      <c r="V151" s="69">
        <v>3042000</v>
      </c>
      <c r="W151" s="69">
        <v>4493000</v>
      </c>
      <c r="X151" s="69">
        <v>1879600</v>
      </c>
      <c r="Y151" s="69">
        <v>1681727</v>
      </c>
      <c r="Z151" s="69">
        <v>1765000</v>
      </c>
      <c r="AA151" s="69">
        <v>2272000</v>
      </c>
      <c r="AB151" s="69">
        <v>1481000</v>
      </c>
      <c r="AC151" s="69">
        <v>2764400</v>
      </c>
      <c r="AD151" s="69">
        <v>5304900</v>
      </c>
      <c r="AE151" s="69">
        <v>4209700</v>
      </c>
      <c r="AF151" s="69">
        <v>1073700</v>
      </c>
      <c r="AG151" s="69">
        <v>2615000</v>
      </c>
      <c r="AH151" s="69">
        <v>1880900</v>
      </c>
      <c r="AI151" s="69">
        <v>1362000</v>
      </c>
      <c r="AJ151" s="69">
        <v>1753400</v>
      </c>
      <c r="AK151" s="69">
        <v>4670900</v>
      </c>
      <c r="AL151" s="69">
        <v>4924900</v>
      </c>
      <c r="AM151" s="69"/>
      <c r="AN151" s="69"/>
      <c r="AO151" s="69"/>
      <c r="AP151" s="69"/>
      <c r="AQ151" s="69"/>
      <c r="AR151" s="69"/>
      <c r="AS151" s="69"/>
      <c r="AT151" s="69"/>
      <c r="AU151" s="6"/>
      <c r="AV151" s="6"/>
      <c r="AW151" s="6">
        <f t="shared" si="16"/>
        <v>8383600</v>
      </c>
      <c r="AX151" s="6">
        <f t="shared" si="16"/>
        <v>18633300</v>
      </c>
      <c r="AY151" s="6">
        <f t="shared" si="16"/>
        <v>19478727</v>
      </c>
      <c r="AZ151" s="6">
        <f t="shared" si="16"/>
        <v>18280800</v>
      </c>
      <c r="BA151" s="6">
        <f t="shared" si="16"/>
        <v>0</v>
      </c>
      <c r="BC151" s="66">
        <f t="shared" ca="1" si="15"/>
        <v>64776427</v>
      </c>
    </row>
    <row r="152" spans="1:55" x14ac:dyDescent="0.3">
      <c r="A152" s="6" t="str">
        <f>IFERROR(VLOOKUP($F152,매장구분!$B:$K,2,0),"")</f>
        <v>리테일채널팀</v>
      </c>
      <c r="B152" s="6" t="str">
        <f>IFERROR(VLOOKUP($F152,매장구분!$B:$K,3,0),"")</f>
        <v>국내</v>
      </c>
      <c r="C152" s="6" t="str">
        <f>IFERROR(VLOOKUP($F152,매장구분!$B:$K,5,0),"")</f>
        <v>대리점</v>
      </c>
      <c r="D152" s="6" t="str">
        <f>IFERROR(VLOOKUP($F152,매장구분!$B:$Z,9,0),"")</f>
        <v>강릉(대-위)</v>
      </c>
      <c r="E152" s="69" t="s">
        <v>230</v>
      </c>
      <c r="F152" s="69" t="s">
        <v>231</v>
      </c>
      <c r="G152" s="69">
        <v>503</v>
      </c>
      <c r="H152" s="69">
        <v>48997100</v>
      </c>
      <c r="I152" s="69">
        <v>52549400</v>
      </c>
      <c r="J152" s="69">
        <v>612</v>
      </c>
      <c r="K152" s="69">
        <v>63915200</v>
      </c>
      <c r="L152" s="69">
        <v>67761400</v>
      </c>
      <c r="M152" s="69">
        <v>-109</v>
      </c>
      <c r="N152" s="69">
        <v>-14918100</v>
      </c>
      <c r="O152" s="69">
        <v>-15212000</v>
      </c>
      <c r="P152" s="69">
        <v>3440000</v>
      </c>
      <c r="Q152" s="69">
        <v>1708000</v>
      </c>
      <c r="R152" s="69">
        <v>2306800</v>
      </c>
      <c r="S152" s="69">
        <v>2983000</v>
      </c>
      <c r="T152" s="69">
        <v>2217800</v>
      </c>
      <c r="U152" s="69">
        <v>3380000</v>
      </c>
      <c r="V152" s="69">
        <v>793000</v>
      </c>
      <c r="W152" s="69">
        <v>1772900</v>
      </c>
      <c r="X152" s="69">
        <v>2304000</v>
      </c>
      <c r="Y152" s="69">
        <v>2092800</v>
      </c>
      <c r="Z152" s="69">
        <v>2091000</v>
      </c>
      <c r="AA152" s="69">
        <v>1255000</v>
      </c>
      <c r="AB152" s="69">
        <v>1120700</v>
      </c>
      <c r="AC152" s="69">
        <v>1115000</v>
      </c>
      <c r="AD152" s="69">
        <v>1442900</v>
      </c>
      <c r="AE152" s="69">
        <v>5496200</v>
      </c>
      <c r="AF152" s="69">
        <v>1467000</v>
      </c>
      <c r="AG152" s="69">
        <v>591000</v>
      </c>
      <c r="AH152" s="69">
        <v>1815000</v>
      </c>
      <c r="AI152" s="69">
        <v>939900</v>
      </c>
      <c r="AJ152" s="69">
        <v>1353000</v>
      </c>
      <c r="AK152" s="69">
        <v>2733900</v>
      </c>
      <c r="AL152" s="69">
        <v>4578200</v>
      </c>
      <c r="AM152" s="69"/>
      <c r="AN152" s="69"/>
      <c r="AO152" s="69"/>
      <c r="AP152" s="69"/>
      <c r="AQ152" s="69"/>
      <c r="AR152" s="69"/>
      <c r="AS152" s="69"/>
      <c r="AT152" s="69"/>
      <c r="AU152" s="6"/>
      <c r="AV152" s="6"/>
      <c r="AW152" s="6">
        <f t="shared" si="16"/>
        <v>5148000</v>
      </c>
      <c r="AX152" s="6">
        <f t="shared" si="16"/>
        <v>15757500</v>
      </c>
      <c r="AY152" s="6">
        <f t="shared" si="16"/>
        <v>14613600</v>
      </c>
      <c r="AZ152" s="6">
        <f t="shared" si="16"/>
        <v>13478000</v>
      </c>
      <c r="BA152" s="6">
        <f t="shared" si="16"/>
        <v>0</v>
      </c>
      <c r="BC152" s="66">
        <f t="shared" ca="1" si="15"/>
        <v>48997100</v>
      </c>
    </row>
    <row r="153" spans="1:55" x14ac:dyDescent="0.3">
      <c r="A153" s="6" t="str">
        <f>IFERROR(VLOOKUP($F153,매장구분!$B:$K,2,0),"")</f>
        <v>리테일채널팀</v>
      </c>
      <c r="B153" s="6" t="str">
        <f>IFERROR(VLOOKUP($F153,매장구분!$B:$K,3,0),"")</f>
        <v>국내</v>
      </c>
      <c r="C153" s="6" t="str">
        <f>IFERROR(VLOOKUP($F153,매장구분!$B:$K,5,0),"")</f>
        <v>대리점</v>
      </c>
      <c r="D153" s="6" t="str">
        <f>IFERROR(VLOOKUP($F153,매장구분!$B:$Z,9,0),"")</f>
        <v>순천연향(대-위)</v>
      </c>
      <c r="E153" s="69" t="s">
        <v>390</v>
      </c>
      <c r="F153" s="69" t="s">
        <v>391</v>
      </c>
      <c r="G153" s="69">
        <v>975</v>
      </c>
      <c r="H153" s="69">
        <v>110939929</v>
      </c>
      <c r="I153" s="69">
        <v>115156600</v>
      </c>
      <c r="J153" s="69">
        <v>1084</v>
      </c>
      <c r="K153" s="69">
        <v>126803050</v>
      </c>
      <c r="L153" s="69">
        <v>131175000</v>
      </c>
      <c r="M153" s="69">
        <v>-109</v>
      </c>
      <c r="N153" s="69">
        <v>-15863121</v>
      </c>
      <c r="O153" s="69">
        <v>-16018400</v>
      </c>
      <c r="P153" s="69">
        <v>8115086</v>
      </c>
      <c r="Q153" s="69">
        <v>5743626</v>
      </c>
      <c r="R153" s="69">
        <v>1767000</v>
      </c>
      <c r="S153" s="69">
        <v>6213900</v>
      </c>
      <c r="T153" s="69">
        <v>2605000</v>
      </c>
      <c r="U153" s="69">
        <v>1728000</v>
      </c>
      <c r="V153" s="69">
        <v>1948000</v>
      </c>
      <c r="W153" s="69">
        <v>4702020</v>
      </c>
      <c r="X153" s="69">
        <v>7098027</v>
      </c>
      <c r="Y153" s="69">
        <v>2378700</v>
      </c>
      <c r="Z153" s="69">
        <v>3168900</v>
      </c>
      <c r="AA153" s="69">
        <v>2029000</v>
      </c>
      <c r="AB153" s="69">
        <v>2029100</v>
      </c>
      <c r="AC153" s="69">
        <v>901600</v>
      </c>
      <c r="AD153" s="69">
        <v>2883900</v>
      </c>
      <c r="AE153" s="69">
        <v>6895200</v>
      </c>
      <c r="AF153" s="69">
        <v>1298900</v>
      </c>
      <c r="AG153" s="69">
        <v>3548800</v>
      </c>
      <c r="AH153" s="69">
        <v>4261500</v>
      </c>
      <c r="AI153" s="69">
        <v>4551926</v>
      </c>
      <c r="AJ153" s="69">
        <v>5695800</v>
      </c>
      <c r="AK153" s="69">
        <v>14343837</v>
      </c>
      <c r="AL153" s="69">
        <v>17032107</v>
      </c>
      <c r="AM153" s="69"/>
      <c r="AN153" s="69"/>
      <c r="AO153" s="69"/>
      <c r="AP153" s="69"/>
      <c r="AQ153" s="69"/>
      <c r="AR153" s="69"/>
      <c r="AS153" s="69"/>
      <c r="AT153" s="69"/>
      <c r="AU153" s="6"/>
      <c r="AV153" s="6"/>
      <c r="AW153" s="6">
        <f t="shared" si="16"/>
        <v>13858712</v>
      </c>
      <c r="AX153" s="6">
        <f t="shared" si="16"/>
        <v>26061947</v>
      </c>
      <c r="AY153" s="6">
        <f t="shared" si="16"/>
        <v>20286400</v>
      </c>
      <c r="AZ153" s="6">
        <f t="shared" si="16"/>
        <v>50732870</v>
      </c>
      <c r="BA153" s="6">
        <f t="shared" si="16"/>
        <v>0</v>
      </c>
      <c r="BC153" s="66">
        <f t="shared" ca="1" si="15"/>
        <v>110939929</v>
      </c>
    </row>
    <row r="154" spans="1:55" x14ac:dyDescent="0.3">
      <c r="A154" s="6" t="str">
        <f>IFERROR(VLOOKUP($F154,매장구분!$B:$K,2,0),"")</f>
        <v>리테일채널팀</v>
      </c>
      <c r="B154" s="6" t="str">
        <f>IFERROR(VLOOKUP($F154,매장구분!$B:$K,3,0),"")</f>
        <v>RF</v>
      </c>
      <c r="C154" s="6" t="str">
        <f>IFERROR(VLOOKUP($F154,매장구분!$B:$K,5,0),"")</f>
        <v>대리점</v>
      </c>
      <c r="D154" s="6" t="str">
        <f>IFERROR(VLOOKUP($F154,매장구분!$B:$Z,9,0),"")</f>
        <v>신제주(대-위)</v>
      </c>
      <c r="E154" s="69" t="s">
        <v>340</v>
      </c>
      <c r="F154" s="69" t="s">
        <v>341</v>
      </c>
      <c r="G154" s="69">
        <v>1498</v>
      </c>
      <c r="H154" s="69">
        <v>127626407</v>
      </c>
      <c r="I154" s="69">
        <v>140106600</v>
      </c>
      <c r="J154" s="69">
        <v>1531</v>
      </c>
      <c r="K154" s="69">
        <v>131155407</v>
      </c>
      <c r="L154" s="69">
        <v>143715600</v>
      </c>
      <c r="M154" s="69">
        <v>-33</v>
      </c>
      <c r="N154" s="69">
        <v>-3529000</v>
      </c>
      <c r="O154" s="69">
        <v>-3609000</v>
      </c>
      <c r="P154" s="69">
        <v>9558807</v>
      </c>
      <c r="Q154" s="69">
        <v>4927900</v>
      </c>
      <c r="R154" s="69">
        <v>3101900</v>
      </c>
      <c r="S154" s="69">
        <v>4084800</v>
      </c>
      <c r="T154" s="69">
        <v>7476100</v>
      </c>
      <c r="U154" s="69">
        <v>2651900</v>
      </c>
      <c r="V154" s="69">
        <v>2990000</v>
      </c>
      <c r="W154" s="69">
        <v>2600000</v>
      </c>
      <c r="X154" s="69">
        <v>9633000</v>
      </c>
      <c r="Y154" s="69">
        <v>3921800</v>
      </c>
      <c r="Z154" s="69">
        <v>2614000</v>
      </c>
      <c r="AA154" s="69">
        <v>9403000</v>
      </c>
      <c r="AB154" s="69">
        <v>4340300</v>
      </c>
      <c r="AC154" s="69">
        <v>9335000</v>
      </c>
      <c r="AD154" s="69">
        <v>2780000</v>
      </c>
      <c r="AE154" s="69">
        <v>3454000</v>
      </c>
      <c r="AF154" s="69">
        <v>3916000</v>
      </c>
      <c r="AG154" s="69">
        <v>11618400</v>
      </c>
      <c r="AH154" s="69">
        <v>4893000</v>
      </c>
      <c r="AI154" s="69">
        <v>4903300</v>
      </c>
      <c r="AJ154" s="69">
        <v>4819200</v>
      </c>
      <c r="AK154" s="69">
        <v>10454000</v>
      </c>
      <c r="AL154" s="69">
        <v>4150000</v>
      </c>
      <c r="AM154" s="69"/>
      <c r="AN154" s="69"/>
      <c r="AO154" s="69"/>
      <c r="AP154" s="69"/>
      <c r="AQ154" s="69"/>
      <c r="AR154" s="69"/>
      <c r="AS154" s="69"/>
      <c r="AT154" s="69"/>
      <c r="AU154" s="6"/>
      <c r="AV154" s="6"/>
      <c r="AW154" s="6">
        <f t="shared" si="16"/>
        <v>14486707</v>
      </c>
      <c r="AX154" s="6">
        <f t="shared" si="16"/>
        <v>32537700</v>
      </c>
      <c r="AY154" s="6">
        <f t="shared" si="16"/>
        <v>35848100</v>
      </c>
      <c r="AZ154" s="6">
        <f t="shared" si="16"/>
        <v>44753900</v>
      </c>
      <c r="BA154" s="6">
        <f t="shared" si="16"/>
        <v>0</v>
      </c>
      <c r="BC154" s="66">
        <f t="shared" ca="1" si="15"/>
        <v>127626407</v>
      </c>
    </row>
    <row r="155" spans="1:55" x14ac:dyDescent="0.3">
      <c r="A155" s="6" t="str">
        <f>IFERROR(VLOOKUP($F155,매장구분!$B:$K,2,0),"")</f>
        <v>리테일채널팀</v>
      </c>
      <c r="B155" s="6" t="str">
        <f>IFERROR(VLOOKUP($F155,매장구분!$B:$K,3,0),"")</f>
        <v>국내</v>
      </c>
      <c r="C155" s="6" t="str">
        <f>IFERROR(VLOOKUP($F155,매장구분!$B:$K,5,0),"")</f>
        <v>대리점</v>
      </c>
      <c r="D155" s="6" t="str">
        <f>IFERROR(VLOOKUP($F155,매장구분!$B:$Z,9,0),"")</f>
        <v>구미인동(대-위)</v>
      </c>
      <c r="E155" s="69" t="s">
        <v>558</v>
      </c>
      <c r="F155" s="69" t="s">
        <v>559</v>
      </c>
      <c r="G155" s="69">
        <v>266</v>
      </c>
      <c r="H155" s="69">
        <v>25695965</v>
      </c>
      <c r="I155" s="69">
        <v>27189500</v>
      </c>
      <c r="J155" s="69">
        <v>303</v>
      </c>
      <c r="K155" s="69">
        <v>31498965</v>
      </c>
      <c r="L155" s="69">
        <v>32992500</v>
      </c>
      <c r="M155" s="69">
        <v>-37</v>
      </c>
      <c r="N155" s="69">
        <v>-5803000</v>
      </c>
      <c r="O155" s="69">
        <v>-5803000</v>
      </c>
      <c r="P155" s="69">
        <v>1406000</v>
      </c>
      <c r="Q155" s="69">
        <v>790000</v>
      </c>
      <c r="R155" s="69">
        <v>825800</v>
      </c>
      <c r="S155" s="69">
        <v>1292000</v>
      </c>
      <c r="T155" s="69">
        <v>785000</v>
      </c>
      <c r="U155" s="69">
        <v>1433000</v>
      </c>
      <c r="V155" s="69">
        <v>406000</v>
      </c>
      <c r="W155" s="69">
        <v>862000</v>
      </c>
      <c r="X155" s="69">
        <v>1252000</v>
      </c>
      <c r="Y155" s="69">
        <v>419000</v>
      </c>
      <c r="Z155" s="69">
        <v>2052000</v>
      </c>
      <c r="AA155" s="69">
        <v>1778000</v>
      </c>
      <c r="AB155" s="69">
        <v>961000</v>
      </c>
      <c r="AC155" s="69">
        <v>259900</v>
      </c>
      <c r="AD155" s="69">
        <v>868000</v>
      </c>
      <c r="AE155" s="69">
        <v>2483800</v>
      </c>
      <c r="AF155" s="69">
        <v>871000</v>
      </c>
      <c r="AG155" s="69">
        <v>389000</v>
      </c>
      <c r="AH155" s="69">
        <v>1115165</v>
      </c>
      <c r="AI155" s="69">
        <v>827700</v>
      </c>
      <c r="AJ155" s="69">
        <v>1840600</v>
      </c>
      <c r="AK155" s="69">
        <v>1147800</v>
      </c>
      <c r="AL155" s="69">
        <v>1631200</v>
      </c>
      <c r="AM155" s="69"/>
      <c r="AN155" s="69"/>
      <c r="AO155" s="69"/>
      <c r="AP155" s="69"/>
      <c r="AQ155" s="69"/>
      <c r="AR155" s="69"/>
      <c r="AS155" s="69"/>
      <c r="AT155" s="69"/>
      <c r="AU155" s="6"/>
      <c r="AV155" s="6"/>
      <c r="AW155" s="6">
        <f t="shared" ref="AW155:BA170" si="17">SUMIFS($P155:$AS155,$P$3:$AS$3,AW$3)</f>
        <v>2196000</v>
      </c>
      <c r="AX155" s="6">
        <f t="shared" si="17"/>
        <v>6855800</v>
      </c>
      <c r="AY155" s="6">
        <f t="shared" si="17"/>
        <v>8821700</v>
      </c>
      <c r="AZ155" s="6">
        <f t="shared" si="17"/>
        <v>7822465</v>
      </c>
      <c r="BA155" s="6">
        <f t="shared" si="17"/>
        <v>0</v>
      </c>
      <c r="BC155" s="66">
        <f t="shared" ca="1" si="15"/>
        <v>25695965</v>
      </c>
    </row>
    <row r="156" spans="1:55" x14ac:dyDescent="0.3">
      <c r="A156" s="6" t="str">
        <f>IFERROR(VLOOKUP($F156,매장구분!$B:$K,2,0),"")</f>
        <v>리테일채널팀</v>
      </c>
      <c r="B156" s="6" t="str">
        <f>IFERROR(VLOOKUP($F156,매장구분!$B:$K,3,0),"")</f>
        <v>국내</v>
      </c>
      <c r="C156" s="6" t="str">
        <f>IFERROR(VLOOKUP($F156,매장구분!$B:$K,5,0),"")</f>
        <v>대리점</v>
      </c>
      <c r="D156" s="6" t="str">
        <f>IFERROR(VLOOKUP($F156,매장구분!$B:$Z,9,0),"")</f>
        <v>퍼스트빌리지(대-위)</v>
      </c>
      <c r="E156" s="69" t="s">
        <v>440</v>
      </c>
      <c r="F156" s="69" t="s">
        <v>441</v>
      </c>
      <c r="G156" s="69">
        <v>712</v>
      </c>
      <c r="H156" s="69">
        <v>82700100</v>
      </c>
      <c r="I156" s="69">
        <v>89025500</v>
      </c>
      <c r="J156" s="69">
        <v>724</v>
      </c>
      <c r="K156" s="69">
        <v>84567400</v>
      </c>
      <c r="L156" s="69">
        <v>90934500</v>
      </c>
      <c r="M156" s="69">
        <v>-12</v>
      </c>
      <c r="N156" s="69">
        <v>-1867300</v>
      </c>
      <c r="O156" s="69">
        <v>-1909000</v>
      </c>
      <c r="P156" s="69">
        <v>7248700</v>
      </c>
      <c r="Q156" s="69">
        <v>14583500</v>
      </c>
      <c r="R156" s="69">
        <v>2051000</v>
      </c>
      <c r="S156" s="69">
        <v>520000</v>
      </c>
      <c r="T156" s="69">
        <v>1381500</v>
      </c>
      <c r="U156" s="69">
        <v>1046000</v>
      </c>
      <c r="V156" s="69">
        <v>3079900</v>
      </c>
      <c r="W156" s="69">
        <v>6110100</v>
      </c>
      <c r="X156" s="69">
        <v>6651300</v>
      </c>
      <c r="Y156" s="69">
        <v>2756100</v>
      </c>
      <c r="Z156" s="69">
        <v>1116300</v>
      </c>
      <c r="AA156" s="69">
        <v>2016000</v>
      </c>
      <c r="AB156" s="69">
        <v>1647700</v>
      </c>
      <c r="AC156" s="69">
        <v>718000</v>
      </c>
      <c r="AD156" s="69">
        <v>4593100</v>
      </c>
      <c r="AE156" s="69">
        <v>8963900</v>
      </c>
      <c r="AF156" s="69">
        <v>1363000</v>
      </c>
      <c r="AG156" s="69">
        <v>464000</v>
      </c>
      <c r="AH156" s="69">
        <v>899000</v>
      </c>
      <c r="AI156" s="69">
        <v>1028900</v>
      </c>
      <c r="AJ156" s="69">
        <v>738000</v>
      </c>
      <c r="AK156" s="69">
        <v>6807900</v>
      </c>
      <c r="AL156" s="69">
        <v>6916200</v>
      </c>
      <c r="AM156" s="69"/>
      <c r="AN156" s="69"/>
      <c r="AO156" s="69"/>
      <c r="AP156" s="69"/>
      <c r="AQ156" s="69"/>
      <c r="AR156" s="69"/>
      <c r="AS156" s="69"/>
      <c r="AT156" s="69"/>
      <c r="AU156" s="6"/>
      <c r="AV156" s="6"/>
      <c r="AW156" s="6">
        <f t="shared" si="17"/>
        <v>21832200</v>
      </c>
      <c r="AX156" s="6">
        <f t="shared" si="17"/>
        <v>20839800</v>
      </c>
      <c r="AY156" s="6">
        <f t="shared" si="17"/>
        <v>21811100</v>
      </c>
      <c r="AZ156" s="6">
        <f t="shared" si="17"/>
        <v>18217000</v>
      </c>
      <c r="BA156" s="6">
        <f t="shared" si="17"/>
        <v>0</v>
      </c>
      <c r="BC156" s="66">
        <f t="shared" ca="1" si="15"/>
        <v>82700100</v>
      </c>
    </row>
    <row r="157" spans="1:55" x14ac:dyDescent="0.3">
      <c r="A157" s="6" t="str">
        <f>IFERROR(VLOOKUP($F157,매장구분!$B:$K,2,0),"")</f>
        <v>리테일채널팀</v>
      </c>
      <c r="B157" s="6" t="str">
        <f>IFERROR(VLOOKUP($F157,매장구분!$B:$K,3,0),"")</f>
        <v>국내</v>
      </c>
      <c r="C157" s="6" t="str">
        <f>IFERROR(VLOOKUP($F157,매장구분!$B:$K,5,0),"")</f>
        <v>대리점</v>
      </c>
      <c r="D157" s="6" t="str">
        <f>IFERROR(VLOOKUP($F157,매장구분!$B:$Z,9,0),"")</f>
        <v>경산(대-위)</v>
      </c>
      <c r="E157" s="69" t="s">
        <v>556</v>
      </c>
      <c r="F157" s="69" t="s">
        <v>557</v>
      </c>
      <c r="G157" s="69">
        <v>563</v>
      </c>
      <c r="H157" s="69">
        <v>70715610</v>
      </c>
      <c r="I157" s="69">
        <v>72357400</v>
      </c>
      <c r="J157" s="69">
        <v>689</v>
      </c>
      <c r="K157" s="69">
        <v>91139910</v>
      </c>
      <c r="L157" s="69">
        <v>93046400</v>
      </c>
      <c r="M157" s="69">
        <v>-126</v>
      </c>
      <c r="N157" s="69">
        <v>-20424300</v>
      </c>
      <c r="O157" s="69">
        <v>-20689000</v>
      </c>
      <c r="P157" s="69">
        <v>5427000</v>
      </c>
      <c r="Q157" s="69">
        <v>5752000</v>
      </c>
      <c r="R157" s="69">
        <v>3199700</v>
      </c>
      <c r="S157" s="69">
        <v>2120000</v>
      </c>
      <c r="T157" s="69">
        <v>3200300</v>
      </c>
      <c r="U157" s="69">
        <v>2304000</v>
      </c>
      <c r="V157" s="69">
        <v>1345000</v>
      </c>
      <c r="W157" s="69">
        <v>2429000</v>
      </c>
      <c r="X157" s="69">
        <v>2839608</v>
      </c>
      <c r="Y157" s="69">
        <v>2397000</v>
      </c>
      <c r="Z157" s="69">
        <v>2032000</v>
      </c>
      <c r="AA157" s="69">
        <v>690000</v>
      </c>
      <c r="AB157" s="69">
        <v>1264000</v>
      </c>
      <c r="AC157" s="69">
        <v>3000674</v>
      </c>
      <c r="AD157" s="69">
        <v>4766428</v>
      </c>
      <c r="AE157" s="69">
        <v>6801300</v>
      </c>
      <c r="AF157" s="69">
        <v>3698300</v>
      </c>
      <c r="AG157" s="69">
        <v>2369000</v>
      </c>
      <c r="AH157" s="69">
        <v>3030700</v>
      </c>
      <c r="AI157" s="69">
        <v>1933300</v>
      </c>
      <c r="AJ157" s="69">
        <v>808000</v>
      </c>
      <c r="AK157" s="69">
        <v>5821300</v>
      </c>
      <c r="AL157" s="69">
        <v>3487000</v>
      </c>
      <c r="AM157" s="69"/>
      <c r="AN157" s="69"/>
      <c r="AO157" s="69"/>
      <c r="AP157" s="69"/>
      <c r="AQ157" s="69"/>
      <c r="AR157" s="69"/>
      <c r="AS157" s="69"/>
      <c r="AT157" s="69"/>
      <c r="AU157" s="6"/>
      <c r="AV157" s="6"/>
      <c r="AW157" s="6">
        <f t="shared" si="17"/>
        <v>11179000</v>
      </c>
      <c r="AX157" s="6">
        <f t="shared" si="17"/>
        <v>17437608</v>
      </c>
      <c r="AY157" s="6">
        <f t="shared" si="17"/>
        <v>20951402</v>
      </c>
      <c r="AZ157" s="6">
        <f t="shared" si="17"/>
        <v>21147600</v>
      </c>
      <c r="BA157" s="6">
        <f t="shared" si="17"/>
        <v>0</v>
      </c>
      <c r="BC157" s="66">
        <f t="shared" ca="1" si="15"/>
        <v>70715610</v>
      </c>
    </row>
    <row r="158" spans="1:55" x14ac:dyDescent="0.3">
      <c r="A158" s="6" t="str">
        <f>IFERROR(VLOOKUP($F158,매장구분!$B:$K,2,0),"")</f>
        <v>리테일채널팀</v>
      </c>
      <c r="B158" s="6" t="str">
        <f>IFERROR(VLOOKUP($F158,매장구분!$B:$K,3,0),"")</f>
        <v>국내</v>
      </c>
      <c r="C158" s="6" t="str">
        <f>IFERROR(VLOOKUP($F158,매장구분!$B:$K,5,0),"")</f>
        <v>상설(위탁)</v>
      </c>
      <c r="D158" s="6" t="str">
        <f>IFERROR(VLOOKUP($F158,매장구분!$B:$Z,9,0),"")</f>
        <v>롯데아울렛수완(상-위)</v>
      </c>
      <c r="E158" s="69" t="s">
        <v>430</v>
      </c>
      <c r="F158" s="69" t="s">
        <v>431</v>
      </c>
      <c r="G158" s="69">
        <v>222</v>
      </c>
      <c r="H158" s="69">
        <v>8110000</v>
      </c>
      <c r="I158" s="69">
        <v>8110000</v>
      </c>
      <c r="J158" s="69">
        <v>226</v>
      </c>
      <c r="K158" s="69">
        <v>8254000</v>
      </c>
      <c r="L158" s="69">
        <v>8254000</v>
      </c>
      <c r="M158" s="69">
        <v>-4</v>
      </c>
      <c r="N158" s="69">
        <v>-144000</v>
      </c>
      <c r="O158" s="69">
        <v>-144000</v>
      </c>
      <c r="P158" s="69">
        <v>765000</v>
      </c>
      <c r="Q158" s="69">
        <v>651000</v>
      </c>
      <c r="R158" s="69">
        <v>0</v>
      </c>
      <c r="S158" s="69">
        <v>324000</v>
      </c>
      <c r="T158" s="69">
        <v>252000</v>
      </c>
      <c r="U158" s="69">
        <v>183000</v>
      </c>
      <c r="V158" s="69">
        <v>360000</v>
      </c>
      <c r="W158" s="69">
        <v>729000</v>
      </c>
      <c r="X158" s="69">
        <v>834000</v>
      </c>
      <c r="Y158" s="69">
        <v>225000</v>
      </c>
      <c r="Z158" s="69">
        <v>219000</v>
      </c>
      <c r="AA158" s="69">
        <v>366000</v>
      </c>
      <c r="AB158" s="69">
        <v>219000</v>
      </c>
      <c r="AC158" s="69">
        <v>180000</v>
      </c>
      <c r="AD158" s="69">
        <v>504000</v>
      </c>
      <c r="AE158" s="69">
        <v>180000</v>
      </c>
      <c r="AF158" s="69">
        <v>216000</v>
      </c>
      <c r="AG158" s="69">
        <v>144000</v>
      </c>
      <c r="AH158" s="69">
        <v>252000</v>
      </c>
      <c r="AI158" s="69">
        <v>193000</v>
      </c>
      <c r="AJ158" s="69">
        <v>431000</v>
      </c>
      <c r="AK158" s="69">
        <v>510000</v>
      </c>
      <c r="AL158" s="69">
        <v>373000</v>
      </c>
      <c r="AM158" s="69"/>
      <c r="AN158" s="69"/>
      <c r="AO158" s="69"/>
      <c r="AP158" s="69"/>
      <c r="AQ158" s="69"/>
      <c r="AR158" s="69"/>
      <c r="AS158" s="69"/>
      <c r="AT158" s="69"/>
      <c r="AU158" s="6"/>
      <c r="AV158" s="6"/>
      <c r="AW158" s="6">
        <f t="shared" si="17"/>
        <v>1416000</v>
      </c>
      <c r="AX158" s="6">
        <f t="shared" si="17"/>
        <v>2682000</v>
      </c>
      <c r="AY158" s="6">
        <f t="shared" si="17"/>
        <v>1893000</v>
      </c>
      <c r="AZ158" s="6">
        <f t="shared" si="17"/>
        <v>2119000</v>
      </c>
      <c r="BA158" s="6">
        <f t="shared" si="17"/>
        <v>0</v>
      </c>
      <c r="BC158" s="66">
        <f t="shared" ca="1" si="15"/>
        <v>8110000</v>
      </c>
    </row>
    <row r="159" spans="1:55" x14ac:dyDescent="0.3">
      <c r="A159" s="6" t="str">
        <f>IFERROR(VLOOKUP($F159,매장구분!$B:$K,2,0),"")</f>
        <v>리테일채널팀</v>
      </c>
      <c r="B159" s="6" t="str">
        <f>IFERROR(VLOOKUP($F159,매장구분!$B:$K,3,0),"")</f>
        <v>국내</v>
      </c>
      <c r="C159" s="6" t="str">
        <f>IFERROR(VLOOKUP($F159,매장구분!$B:$K,5,0),"")</f>
        <v>상설(위탁)</v>
      </c>
      <c r="D159" s="6" t="str">
        <f>IFERROR(VLOOKUP($F159,매장구분!$B:$Z,9,0),"")</f>
        <v>롯데아울렛동부산(상-위)</v>
      </c>
      <c r="E159" s="69" t="s">
        <v>366</v>
      </c>
      <c r="F159" s="69" t="s">
        <v>367</v>
      </c>
      <c r="G159" s="69">
        <v>658</v>
      </c>
      <c r="H159" s="69">
        <v>26717000</v>
      </c>
      <c r="I159" s="69">
        <v>26817000</v>
      </c>
      <c r="J159" s="69">
        <v>665</v>
      </c>
      <c r="K159" s="69">
        <v>27218000</v>
      </c>
      <c r="L159" s="69">
        <v>27338000</v>
      </c>
      <c r="M159" s="69">
        <v>-7</v>
      </c>
      <c r="N159" s="69">
        <v>-501000</v>
      </c>
      <c r="O159" s="69">
        <v>-521000</v>
      </c>
      <c r="P159" s="69">
        <v>1757000</v>
      </c>
      <c r="Q159" s="69">
        <v>2430000</v>
      </c>
      <c r="R159" s="69">
        <v>652000</v>
      </c>
      <c r="S159" s="69">
        <v>841000</v>
      </c>
      <c r="T159" s="69">
        <v>856000</v>
      </c>
      <c r="U159" s="69">
        <v>575000</v>
      </c>
      <c r="V159" s="69">
        <v>751000</v>
      </c>
      <c r="W159" s="69">
        <v>2111000</v>
      </c>
      <c r="X159" s="69">
        <v>2161000</v>
      </c>
      <c r="Y159" s="69">
        <v>954000</v>
      </c>
      <c r="Z159" s="69">
        <v>729000</v>
      </c>
      <c r="AA159" s="69">
        <v>876000</v>
      </c>
      <c r="AB159" s="69">
        <v>483000</v>
      </c>
      <c r="AC159" s="69">
        <v>1796000</v>
      </c>
      <c r="AD159" s="69">
        <v>1013000</v>
      </c>
      <c r="AE159" s="69">
        <v>1287000</v>
      </c>
      <c r="AF159" s="69">
        <v>928000</v>
      </c>
      <c r="AG159" s="69">
        <v>336000</v>
      </c>
      <c r="AH159" s="69">
        <v>840000</v>
      </c>
      <c r="AI159" s="69">
        <v>559000</v>
      </c>
      <c r="AJ159" s="69">
        <v>884000</v>
      </c>
      <c r="AK159" s="69">
        <v>1872000</v>
      </c>
      <c r="AL159" s="69">
        <v>2026000</v>
      </c>
      <c r="AM159" s="69"/>
      <c r="AN159" s="69"/>
      <c r="AO159" s="69"/>
      <c r="AP159" s="69"/>
      <c r="AQ159" s="69"/>
      <c r="AR159" s="69"/>
      <c r="AS159" s="69"/>
      <c r="AT159" s="69"/>
      <c r="AU159" s="6"/>
      <c r="AV159" s="6"/>
      <c r="AW159" s="6">
        <f t="shared" si="17"/>
        <v>4187000</v>
      </c>
      <c r="AX159" s="6">
        <f t="shared" si="17"/>
        <v>7947000</v>
      </c>
      <c r="AY159" s="6">
        <f t="shared" si="17"/>
        <v>7138000</v>
      </c>
      <c r="AZ159" s="6">
        <f t="shared" si="17"/>
        <v>7445000</v>
      </c>
      <c r="BA159" s="6">
        <f t="shared" si="17"/>
        <v>0</v>
      </c>
      <c r="BC159" s="66">
        <f t="shared" ca="1" si="15"/>
        <v>26717000</v>
      </c>
    </row>
    <row r="160" spans="1:55" x14ac:dyDescent="0.3">
      <c r="A160" s="6" t="str">
        <f>IFERROR(VLOOKUP($F160,매장구분!$B:$K,2,0),"")</f>
        <v>리테일채널팀</v>
      </c>
      <c r="B160" s="6" t="str">
        <f>IFERROR(VLOOKUP($F160,매장구분!$B:$K,3,0),"")</f>
        <v>국내</v>
      </c>
      <c r="C160" s="6" t="str">
        <f>IFERROR(VLOOKUP($F160,매장구분!$B:$K,5,0),"")</f>
        <v>상설(위탁)</v>
      </c>
      <c r="D160" s="6" t="str">
        <f>IFERROR(VLOOKUP($F160,매장구분!$B:$Z,9,0),"")</f>
        <v>롯데아울렛봉무(상-위)</v>
      </c>
      <c r="E160" s="69" t="s">
        <v>220</v>
      </c>
      <c r="F160" s="69" t="s">
        <v>221</v>
      </c>
      <c r="G160" s="69">
        <v>345</v>
      </c>
      <c r="H160" s="69">
        <v>12567000</v>
      </c>
      <c r="I160" s="69">
        <v>12567000</v>
      </c>
      <c r="J160" s="69">
        <v>349</v>
      </c>
      <c r="K160" s="69">
        <v>12711000</v>
      </c>
      <c r="L160" s="69">
        <v>12711000</v>
      </c>
      <c r="M160" s="69">
        <v>-4</v>
      </c>
      <c r="N160" s="69">
        <v>-144000</v>
      </c>
      <c r="O160" s="69">
        <v>-144000</v>
      </c>
      <c r="P160" s="69">
        <v>1233000</v>
      </c>
      <c r="Q160" s="69">
        <v>1533000</v>
      </c>
      <c r="R160" s="69">
        <v>396000</v>
      </c>
      <c r="S160" s="69">
        <v>180000</v>
      </c>
      <c r="T160" s="69">
        <v>327000</v>
      </c>
      <c r="U160" s="69">
        <v>327000</v>
      </c>
      <c r="V160" s="69">
        <v>432000</v>
      </c>
      <c r="W160" s="69">
        <v>690000</v>
      </c>
      <c r="X160" s="69">
        <v>1167000</v>
      </c>
      <c r="Y160" s="69">
        <v>363000</v>
      </c>
      <c r="Z160" s="69">
        <v>252000</v>
      </c>
      <c r="AA160" s="69">
        <v>72000</v>
      </c>
      <c r="AB160" s="69">
        <v>144000</v>
      </c>
      <c r="AC160" s="69">
        <v>396000</v>
      </c>
      <c r="AD160" s="69">
        <v>1275000</v>
      </c>
      <c r="AE160" s="69">
        <v>906000</v>
      </c>
      <c r="AF160" s="69">
        <v>186000</v>
      </c>
      <c r="AG160" s="69">
        <v>216000</v>
      </c>
      <c r="AH160" s="69">
        <v>399000</v>
      </c>
      <c r="AI160" s="69">
        <v>85000</v>
      </c>
      <c r="AJ160" s="69">
        <v>346000</v>
      </c>
      <c r="AK160" s="69">
        <v>739000</v>
      </c>
      <c r="AL160" s="69">
        <v>903000</v>
      </c>
      <c r="AM160" s="69"/>
      <c r="AN160" s="69"/>
      <c r="AO160" s="69"/>
      <c r="AP160" s="69"/>
      <c r="AQ160" s="69"/>
      <c r="AR160" s="69"/>
      <c r="AS160" s="69"/>
      <c r="AT160" s="69"/>
      <c r="AU160" s="6"/>
      <c r="AV160" s="6"/>
      <c r="AW160" s="6">
        <f t="shared" si="17"/>
        <v>2766000</v>
      </c>
      <c r="AX160" s="6">
        <f t="shared" si="17"/>
        <v>3519000</v>
      </c>
      <c r="AY160" s="6">
        <f t="shared" si="17"/>
        <v>3408000</v>
      </c>
      <c r="AZ160" s="6">
        <f t="shared" si="17"/>
        <v>2874000</v>
      </c>
      <c r="BA160" s="6">
        <f t="shared" si="17"/>
        <v>0</v>
      </c>
      <c r="BC160" s="66">
        <f t="shared" ca="1" si="15"/>
        <v>12567000</v>
      </c>
    </row>
    <row r="161" spans="1:55" x14ac:dyDescent="0.3">
      <c r="A161" s="6" t="str">
        <f>IFERROR(VLOOKUP($F161,매장구분!$B:$K,2,0),"")</f>
        <v>리테일채널팀</v>
      </c>
      <c r="B161" s="6" t="str">
        <f>IFERROR(VLOOKUP($F161,매장구분!$B:$K,3,0),"")</f>
        <v>국내</v>
      </c>
      <c r="C161" s="6" t="str">
        <f>IFERROR(VLOOKUP($F161,매장구분!$B:$K,5,0),"")</f>
        <v>상설(위탁)</v>
      </c>
      <c r="D161" s="6" t="str">
        <f>IFERROR(VLOOKUP($F161,매장구분!$B:$Z,9,0),"")</f>
        <v>롯데아울렛부여(상-위)</v>
      </c>
      <c r="E161" s="69" t="s">
        <v>281</v>
      </c>
      <c r="F161" s="69" t="s">
        <v>282</v>
      </c>
      <c r="G161" s="69">
        <v>251</v>
      </c>
      <c r="H161" s="69">
        <v>9233000</v>
      </c>
      <c r="I161" s="69">
        <v>9233000</v>
      </c>
      <c r="J161" s="69">
        <v>252</v>
      </c>
      <c r="K161" s="69">
        <v>9269000</v>
      </c>
      <c r="L161" s="69">
        <v>9269000</v>
      </c>
      <c r="M161" s="69">
        <v>-1</v>
      </c>
      <c r="N161" s="69">
        <v>-36000</v>
      </c>
      <c r="O161" s="69">
        <v>-36000</v>
      </c>
      <c r="P161" s="69">
        <v>804000</v>
      </c>
      <c r="Q161" s="69">
        <v>1089000</v>
      </c>
      <c r="R161" s="69">
        <v>180000</v>
      </c>
      <c r="S161" s="69">
        <v>147000</v>
      </c>
      <c r="T161" s="69">
        <v>294000</v>
      </c>
      <c r="U161" s="69">
        <v>219000</v>
      </c>
      <c r="V161" s="69">
        <v>333000</v>
      </c>
      <c r="W161" s="69">
        <v>732000</v>
      </c>
      <c r="X161" s="69">
        <v>1350000</v>
      </c>
      <c r="Y161" s="69">
        <v>114000</v>
      </c>
      <c r="Z161" s="69">
        <v>0</v>
      </c>
      <c r="AA161" s="69">
        <v>111000</v>
      </c>
      <c r="AB161" s="69">
        <v>291000</v>
      </c>
      <c r="AC161" s="69">
        <v>189000</v>
      </c>
      <c r="AD161" s="69">
        <v>792000</v>
      </c>
      <c r="AE161" s="69">
        <v>513000</v>
      </c>
      <c r="AF161" s="69">
        <v>153000</v>
      </c>
      <c r="AG161" s="69">
        <v>219000</v>
      </c>
      <c r="AH161" s="69">
        <v>36000</v>
      </c>
      <c r="AI161" s="69">
        <v>366000</v>
      </c>
      <c r="AJ161" s="69">
        <v>108000</v>
      </c>
      <c r="AK161" s="69">
        <v>422000</v>
      </c>
      <c r="AL161" s="69">
        <v>771000</v>
      </c>
      <c r="AM161" s="69"/>
      <c r="AN161" s="69"/>
      <c r="AO161" s="69"/>
      <c r="AP161" s="69"/>
      <c r="AQ161" s="69"/>
      <c r="AR161" s="69"/>
      <c r="AS161" s="69"/>
      <c r="AT161" s="69"/>
      <c r="AU161" s="6"/>
      <c r="AV161" s="6"/>
      <c r="AW161" s="6">
        <f t="shared" si="17"/>
        <v>1893000</v>
      </c>
      <c r="AX161" s="6">
        <f t="shared" si="17"/>
        <v>3255000</v>
      </c>
      <c r="AY161" s="6">
        <f t="shared" si="17"/>
        <v>2010000</v>
      </c>
      <c r="AZ161" s="6">
        <f t="shared" si="17"/>
        <v>2075000</v>
      </c>
      <c r="BA161" s="6">
        <f t="shared" si="17"/>
        <v>0</v>
      </c>
      <c r="BC161" s="66">
        <f t="shared" ca="1" si="15"/>
        <v>9233000</v>
      </c>
    </row>
    <row r="162" spans="1:55" x14ac:dyDescent="0.3">
      <c r="A162" s="6" t="str">
        <f>IFERROR(VLOOKUP($F162,매장구분!$B:$K,2,0),"")</f>
        <v>리테일채널팀</v>
      </c>
      <c r="B162" s="6" t="str">
        <f>IFERROR(VLOOKUP($F162,매장구분!$B:$K,3,0),"")</f>
        <v>국내</v>
      </c>
      <c r="C162" s="6" t="str">
        <f>IFERROR(VLOOKUP($F162,매장구분!$B:$K,5,0),"")</f>
        <v>상설(위탁)</v>
      </c>
      <c r="D162" s="6" t="str">
        <f>IFERROR(VLOOKUP($F162,매장구분!$B:$Z,9,0),"")</f>
        <v>현대아울렛동대문(상-위)</v>
      </c>
      <c r="E162" s="69" t="s">
        <v>526</v>
      </c>
      <c r="F162" s="69" t="s">
        <v>527</v>
      </c>
      <c r="G162" s="69">
        <v>134</v>
      </c>
      <c r="H162" s="69">
        <v>4866000</v>
      </c>
      <c r="I162" s="69">
        <v>4866000</v>
      </c>
      <c r="J162" s="69">
        <v>135</v>
      </c>
      <c r="K162" s="69">
        <v>4902000</v>
      </c>
      <c r="L162" s="69">
        <v>4902000</v>
      </c>
      <c r="M162" s="69">
        <v>-1</v>
      </c>
      <c r="N162" s="69">
        <v>-36000</v>
      </c>
      <c r="O162" s="69">
        <v>-36000</v>
      </c>
      <c r="P162" s="69">
        <v>108000</v>
      </c>
      <c r="Q162" s="69">
        <v>183000</v>
      </c>
      <c r="R162" s="69">
        <v>216000</v>
      </c>
      <c r="S162" s="69">
        <v>108000</v>
      </c>
      <c r="T162" s="69">
        <v>111000</v>
      </c>
      <c r="U162" s="69">
        <v>540000</v>
      </c>
      <c r="V162" s="69">
        <v>111000</v>
      </c>
      <c r="W162" s="69">
        <v>108000</v>
      </c>
      <c r="X162" s="69">
        <v>216000</v>
      </c>
      <c r="Y162" s="69">
        <v>147000</v>
      </c>
      <c r="Z162" s="69">
        <v>291000</v>
      </c>
      <c r="AA162" s="69">
        <v>291000</v>
      </c>
      <c r="AB162" s="69">
        <v>144000</v>
      </c>
      <c r="AC162" s="69">
        <v>255000</v>
      </c>
      <c r="AD162" s="69">
        <v>432000</v>
      </c>
      <c r="AE162" s="69">
        <v>219000</v>
      </c>
      <c r="AF162" s="69">
        <v>111000</v>
      </c>
      <c r="AG162" s="69">
        <v>147000</v>
      </c>
      <c r="AH162" s="69">
        <v>144000</v>
      </c>
      <c r="AI162" s="69">
        <v>183000</v>
      </c>
      <c r="AJ162" s="69">
        <v>219000</v>
      </c>
      <c r="AK162" s="69">
        <v>255000</v>
      </c>
      <c r="AL162" s="69">
        <v>327000</v>
      </c>
      <c r="AM162" s="69"/>
      <c r="AN162" s="69"/>
      <c r="AO162" s="69"/>
      <c r="AP162" s="69"/>
      <c r="AQ162" s="69"/>
      <c r="AR162" s="69"/>
      <c r="AS162" s="69"/>
      <c r="AT162" s="69"/>
      <c r="AU162" s="6"/>
      <c r="AV162" s="6"/>
      <c r="AW162" s="6">
        <f t="shared" si="17"/>
        <v>291000</v>
      </c>
      <c r="AX162" s="6">
        <f t="shared" si="17"/>
        <v>1410000</v>
      </c>
      <c r="AY162" s="6">
        <f t="shared" si="17"/>
        <v>1779000</v>
      </c>
      <c r="AZ162" s="6">
        <f t="shared" si="17"/>
        <v>1386000</v>
      </c>
      <c r="BA162" s="6">
        <f t="shared" si="17"/>
        <v>0</v>
      </c>
      <c r="BC162" s="66">
        <f t="shared" ca="1" si="15"/>
        <v>4866000</v>
      </c>
    </row>
    <row r="163" spans="1:55" x14ac:dyDescent="0.3">
      <c r="A163" s="6" t="str">
        <f>IFERROR(VLOOKUP($F163,매장구분!$B:$K,2,0),"")</f>
        <v>리테일채널팀</v>
      </c>
      <c r="B163" s="6" t="str">
        <f>IFERROR(VLOOKUP($F163,매장구분!$B:$K,3,0),"")</f>
        <v>국내</v>
      </c>
      <c r="C163" s="6" t="str">
        <f>IFERROR(VLOOKUP($F163,매장구분!$B:$K,5,0),"")</f>
        <v>상설(위탁)</v>
      </c>
      <c r="D163" s="6" t="str">
        <f>IFERROR(VLOOKUP($F163,매장구분!$B:$Z,9,0),"")</f>
        <v>현대아울렛가든5(상-위)</v>
      </c>
      <c r="E163" s="69" t="s">
        <v>372</v>
      </c>
      <c r="F163" s="69" t="s">
        <v>373</v>
      </c>
      <c r="G163" s="69">
        <v>65</v>
      </c>
      <c r="H163" s="69">
        <v>2340000</v>
      </c>
      <c r="I163" s="69">
        <v>2340000</v>
      </c>
      <c r="J163" s="69">
        <v>65</v>
      </c>
      <c r="K163" s="69">
        <v>2340000</v>
      </c>
      <c r="L163" s="69">
        <v>2340000</v>
      </c>
      <c r="M163" s="69">
        <v>0</v>
      </c>
      <c r="N163" s="69">
        <v>0</v>
      </c>
      <c r="O163" s="69">
        <v>0</v>
      </c>
      <c r="P163" s="69">
        <v>108000</v>
      </c>
      <c r="Q163" s="69">
        <v>0</v>
      </c>
      <c r="R163" s="69">
        <v>144000</v>
      </c>
      <c r="S163" s="69">
        <v>0</v>
      </c>
      <c r="T163" s="69">
        <v>0</v>
      </c>
      <c r="U163" s="69">
        <v>36000</v>
      </c>
      <c r="V163" s="69">
        <v>72000</v>
      </c>
      <c r="W163" s="69">
        <v>252000</v>
      </c>
      <c r="X163" s="69">
        <v>180000</v>
      </c>
      <c r="Y163" s="69">
        <v>72000</v>
      </c>
      <c r="Z163" s="69">
        <v>72000</v>
      </c>
      <c r="AA163" s="69">
        <v>36000</v>
      </c>
      <c r="AB163" s="69">
        <v>108000</v>
      </c>
      <c r="AC163" s="69">
        <v>72000</v>
      </c>
      <c r="AD163" s="69">
        <v>360000</v>
      </c>
      <c r="AE163" s="69">
        <v>72000</v>
      </c>
      <c r="AF163" s="69">
        <v>36000</v>
      </c>
      <c r="AG163" s="69">
        <v>0</v>
      </c>
      <c r="AH163" s="69">
        <v>36000</v>
      </c>
      <c r="AI163" s="69">
        <v>36000</v>
      </c>
      <c r="AJ163" s="69">
        <v>0</v>
      </c>
      <c r="AK163" s="69">
        <v>432000</v>
      </c>
      <c r="AL163" s="69">
        <v>216000</v>
      </c>
      <c r="AM163" s="69"/>
      <c r="AN163" s="69"/>
      <c r="AO163" s="69"/>
      <c r="AP163" s="69"/>
      <c r="AQ163" s="69"/>
      <c r="AR163" s="69"/>
      <c r="AS163" s="69"/>
      <c r="AT163" s="69"/>
      <c r="AU163" s="6"/>
      <c r="AV163" s="6"/>
      <c r="AW163" s="6">
        <f t="shared" si="17"/>
        <v>108000</v>
      </c>
      <c r="AX163" s="6">
        <f t="shared" si="17"/>
        <v>684000</v>
      </c>
      <c r="AY163" s="6">
        <f t="shared" si="17"/>
        <v>792000</v>
      </c>
      <c r="AZ163" s="6">
        <f t="shared" si="17"/>
        <v>756000</v>
      </c>
      <c r="BA163" s="6">
        <f t="shared" si="17"/>
        <v>0</v>
      </c>
      <c r="BC163" s="66">
        <f t="shared" ca="1" si="15"/>
        <v>2340000</v>
      </c>
    </row>
    <row r="164" spans="1:55" x14ac:dyDescent="0.3">
      <c r="A164" s="6" t="str">
        <f>IFERROR(VLOOKUP($F164,매장구분!$B:$K,2,0),"")</f>
        <v>리테일채널팀</v>
      </c>
      <c r="B164" s="6" t="str">
        <f>IFERROR(VLOOKUP($F164,매장구분!$B:$K,3,0),"")</f>
        <v>국내</v>
      </c>
      <c r="C164" s="6" t="str">
        <f>IFERROR(VLOOKUP($F164,매장구분!$B:$K,5,0),"")</f>
        <v>상설(위탁)</v>
      </c>
      <c r="D164" s="6" t="str">
        <f>IFERROR(VLOOKUP($F164,매장구분!$B:$Z,9,0),"")</f>
        <v>NC강서(상-위)</v>
      </c>
      <c r="E164" s="69" t="s">
        <v>376</v>
      </c>
      <c r="F164" s="69" t="s">
        <v>377</v>
      </c>
      <c r="G164" s="69">
        <v>95</v>
      </c>
      <c r="H164" s="69">
        <v>3442000</v>
      </c>
      <c r="I164" s="69">
        <v>3442000</v>
      </c>
      <c r="J164" s="69">
        <v>96</v>
      </c>
      <c r="K164" s="69">
        <v>3478000</v>
      </c>
      <c r="L164" s="69">
        <v>3478000</v>
      </c>
      <c r="M164" s="69">
        <v>-1</v>
      </c>
      <c r="N164" s="69">
        <v>-36000</v>
      </c>
      <c r="O164" s="69">
        <v>-36000</v>
      </c>
      <c r="P164" s="69">
        <v>432000</v>
      </c>
      <c r="Q164" s="69">
        <v>72000</v>
      </c>
      <c r="R164" s="69">
        <v>36000</v>
      </c>
      <c r="S164" s="69">
        <v>219000</v>
      </c>
      <c r="T164" s="69">
        <v>108000</v>
      </c>
      <c r="U164" s="69">
        <v>216000</v>
      </c>
      <c r="V164" s="69">
        <v>147000</v>
      </c>
      <c r="W164" s="69">
        <v>144000</v>
      </c>
      <c r="X164" s="69">
        <v>144000</v>
      </c>
      <c r="Y164" s="69">
        <v>72000</v>
      </c>
      <c r="Z164" s="69">
        <v>108000</v>
      </c>
      <c r="AA164" s="69">
        <v>0</v>
      </c>
      <c r="AB164" s="69">
        <v>72000</v>
      </c>
      <c r="AC164" s="69">
        <v>72000</v>
      </c>
      <c r="AD164" s="69">
        <v>324000</v>
      </c>
      <c r="AE164" s="69">
        <v>288000</v>
      </c>
      <c r="AF164" s="69">
        <v>36000</v>
      </c>
      <c r="AG164" s="69">
        <v>147000</v>
      </c>
      <c r="AH164" s="69">
        <v>216000</v>
      </c>
      <c r="AI164" s="69">
        <v>0</v>
      </c>
      <c r="AJ164" s="69">
        <v>157000</v>
      </c>
      <c r="AK164" s="69">
        <v>324000</v>
      </c>
      <c r="AL164" s="69">
        <v>108000</v>
      </c>
      <c r="AM164" s="69"/>
      <c r="AN164" s="69"/>
      <c r="AO164" s="69"/>
      <c r="AP164" s="69"/>
      <c r="AQ164" s="69"/>
      <c r="AR164" s="69"/>
      <c r="AS164" s="69"/>
      <c r="AT164" s="69"/>
      <c r="AU164" s="6"/>
      <c r="AV164" s="6"/>
      <c r="AW164" s="6">
        <f t="shared" si="17"/>
        <v>504000</v>
      </c>
      <c r="AX164" s="6">
        <f t="shared" si="17"/>
        <v>1014000</v>
      </c>
      <c r="AY164" s="6">
        <f t="shared" si="17"/>
        <v>936000</v>
      </c>
      <c r="AZ164" s="6">
        <f t="shared" si="17"/>
        <v>988000</v>
      </c>
      <c r="BA164" s="6">
        <f t="shared" si="17"/>
        <v>0</v>
      </c>
      <c r="BC164" s="66">
        <f t="shared" ca="1" si="15"/>
        <v>3442000</v>
      </c>
    </row>
    <row r="165" spans="1:55" x14ac:dyDescent="0.3">
      <c r="A165" s="6" t="str">
        <f>IFERROR(VLOOKUP($F165,매장구분!$B:$K,2,0),"")</f>
        <v>리테일채널팀</v>
      </c>
      <c r="B165" s="6" t="str">
        <f>IFERROR(VLOOKUP($F165,매장구분!$B:$K,3,0),"")</f>
        <v>국내</v>
      </c>
      <c r="C165" s="6" t="str">
        <f>IFERROR(VLOOKUP($F165,매장구분!$B:$K,5,0),"")</f>
        <v>상설(위탁)</v>
      </c>
      <c r="D165" s="6" t="str">
        <f>IFERROR(VLOOKUP($F165,매장구분!$B:$Z,9,0),"")</f>
        <v>NC송파(상-위)</v>
      </c>
      <c r="E165" s="69" t="s">
        <v>378</v>
      </c>
      <c r="F165" s="69" t="s">
        <v>379</v>
      </c>
      <c r="G165" s="69">
        <v>63</v>
      </c>
      <c r="H165" s="69">
        <v>2280000</v>
      </c>
      <c r="I165" s="69">
        <v>2280000</v>
      </c>
      <c r="J165" s="69">
        <v>63</v>
      </c>
      <c r="K165" s="69">
        <v>2280000</v>
      </c>
      <c r="L165" s="69">
        <v>2280000</v>
      </c>
      <c r="M165" s="69">
        <v>0</v>
      </c>
      <c r="N165" s="69">
        <v>0</v>
      </c>
      <c r="O165" s="69">
        <v>0</v>
      </c>
      <c r="P165" s="69">
        <v>252000</v>
      </c>
      <c r="Q165" s="69">
        <v>327000</v>
      </c>
      <c r="R165" s="69">
        <v>0</v>
      </c>
      <c r="S165" s="69">
        <v>180000</v>
      </c>
      <c r="T165" s="69">
        <v>36000</v>
      </c>
      <c r="U165" s="69">
        <v>36000</v>
      </c>
      <c r="V165" s="69">
        <v>36000</v>
      </c>
      <c r="W165" s="69">
        <v>252000</v>
      </c>
      <c r="X165" s="69">
        <v>144000</v>
      </c>
      <c r="Y165" s="69">
        <v>0</v>
      </c>
      <c r="Z165" s="69">
        <v>36000</v>
      </c>
      <c r="AA165" s="69">
        <v>36000</v>
      </c>
      <c r="AB165" s="69">
        <v>0</v>
      </c>
      <c r="AC165" s="69">
        <v>36000</v>
      </c>
      <c r="AD165" s="69">
        <v>183000</v>
      </c>
      <c r="AE165" s="69">
        <v>72000</v>
      </c>
      <c r="AF165" s="69">
        <v>36000</v>
      </c>
      <c r="AG165" s="69">
        <v>0</v>
      </c>
      <c r="AH165" s="69">
        <v>0</v>
      </c>
      <c r="AI165" s="69">
        <v>36000</v>
      </c>
      <c r="AJ165" s="69">
        <v>186000</v>
      </c>
      <c r="AK165" s="69">
        <v>144000</v>
      </c>
      <c r="AL165" s="69">
        <v>252000</v>
      </c>
      <c r="AM165" s="69"/>
      <c r="AN165" s="69"/>
      <c r="AO165" s="69"/>
      <c r="AP165" s="69"/>
      <c r="AQ165" s="69"/>
      <c r="AR165" s="69"/>
      <c r="AS165" s="69"/>
      <c r="AT165" s="69"/>
      <c r="AU165" s="6"/>
      <c r="AV165" s="6"/>
      <c r="AW165" s="6">
        <f t="shared" si="17"/>
        <v>579000</v>
      </c>
      <c r="AX165" s="6">
        <f t="shared" si="17"/>
        <v>684000</v>
      </c>
      <c r="AY165" s="6">
        <f t="shared" si="17"/>
        <v>363000</v>
      </c>
      <c r="AZ165" s="6">
        <f t="shared" si="17"/>
        <v>654000</v>
      </c>
      <c r="BA165" s="6">
        <f t="shared" si="17"/>
        <v>0</v>
      </c>
      <c r="BC165" s="66">
        <f t="shared" ca="1" si="15"/>
        <v>2280000</v>
      </c>
    </row>
    <row r="166" spans="1:55" x14ac:dyDescent="0.3">
      <c r="A166" s="6" t="str">
        <f>IFERROR(VLOOKUP($F166,매장구분!$B:$K,2,0),"")</f>
        <v>리테일채널팀</v>
      </c>
      <c r="B166" s="6" t="str">
        <f>IFERROR(VLOOKUP($F166,매장구분!$B:$K,3,0),"")</f>
        <v>국내</v>
      </c>
      <c r="C166" s="6" t="str">
        <f>IFERROR(VLOOKUP($F166,매장구분!$B:$K,5,0),"")</f>
        <v>상설(위탁)</v>
      </c>
      <c r="D166" s="6" t="str">
        <f>IFERROR(VLOOKUP($F166,매장구분!$B:$Z,9,0),"")</f>
        <v>신세계아울렛시흥(상-위)</v>
      </c>
      <c r="E166" s="69" t="s">
        <v>524</v>
      </c>
      <c r="F166" s="69" t="s">
        <v>525</v>
      </c>
      <c r="G166" s="69">
        <v>374</v>
      </c>
      <c r="H166" s="69">
        <v>14855000</v>
      </c>
      <c r="I166" s="69">
        <v>14855000</v>
      </c>
      <c r="J166" s="69">
        <v>375</v>
      </c>
      <c r="K166" s="69">
        <v>14891000</v>
      </c>
      <c r="L166" s="69">
        <v>14891000</v>
      </c>
      <c r="M166" s="69">
        <v>-1</v>
      </c>
      <c r="N166" s="69">
        <v>-36000</v>
      </c>
      <c r="O166" s="69">
        <v>-36000</v>
      </c>
      <c r="P166" s="69">
        <v>864000</v>
      </c>
      <c r="Q166" s="69">
        <v>1821000</v>
      </c>
      <c r="R166" s="69">
        <v>468000</v>
      </c>
      <c r="S166" s="69">
        <v>108000</v>
      </c>
      <c r="T166" s="69">
        <v>252000</v>
      </c>
      <c r="U166" s="69">
        <v>288000</v>
      </c>
      <c r="V166" s="69">
        <v>252000</v>
      </c>
      <c r="W166" s="69">
        <v>900000</v>
      </c>
      <c r="X166" s="69">
        <v>1579000</v>
      </c>
      <c r="Y166" s="69">
        <v>535000</v>
      </c>
      <c r="Z166" s="69">
        <v>288000</v>
      </c>
      <c r="AA166" s="69">
        <v>288000</v>
      </c>
      <c r="AB166" s="69">
        <v>396000</v>
      </c>
      <c r="AC166" s="69">
        <v>494000</v>
      </c>
      <c r="AD166" s="69">
        <v>1106000</v>
      </c>
      <c r="AE166" s="69">
        <v>1759000</v>
      </c>
      <c r="AF166" s="69">
        <v>396000</v>
      </c>
      <c r="AG166" s="69">
        <v>247000</v>
      </c>
      <c r="AH166" s="69">
        <v>252000</v>
      </c>
      <c r="AI166" s="69">
        <v>525000</v>
      </c>
      <c r="AJ166" s="69">
        <v>360000</v>
      </c>
      <c r="AK166" s="69">
        <v>540000</v>
      </c>
      <c r="AL166" s="69">
        <v>1137000</v>
      </c>
      <c r="AM166" s="69"/>
      <c r="AN166" s="69"/>
      <c r="AO166" s="69"/>
      <c r="AP166" s="69"/>
      <c r="AQ166" s="69"/>
      <c r="AR166" s="69"/>
      <c r="AS166" s="69"/>
      <c r="AT166" s="69"/>
      <c r="AU166" s="6"/>
      <c r="AV166" s="6"/>
      <c r="AW166" s="6">
        <f t="shared" si="17"/>
        <v>2685000</v>
      </c>
      <c r="AX166" s="6">
        <f t="shared" si="17"/>
        <v>3847000</v>
      </c>
      <c r="AY166" s="6">
        <f t="shared" si="17"/>
        <v>4866000</v>
      </c>
      <c r="AZ166" s="6">
        <f t="shared" si="17"/>
        <v>3457000</v>
      </c>
      <c r="BA166" s="6">
        <f t="shared" si="17"/>
        <v>0</v>
      </c>
      <c r="BC166" s="66">
        <f t="shared" ca="1" si="15"/>
        <v>14855000</v>
      </c>
    </row>
    <row r="167" spans="1:55" x14ac:dyDescent="0.3">
      <c r="A167" s="6" t="str">
        <f>IFERROR(VLOOKUP($F167,매장구분!$B:$K,2,0),"")</f>
        <v>리테일채널팀</v>
      </c>
      <c r="B167" s="6" t="str">
        <f>IFERROR(VLOOKUP($F167,매장구분!$B:$K,3,0),"")</f>
        <v>국내</v>
      </c>
      <c r="C167" s="6" t="str">
        <f>IFERROR(VLOOKUP($F167,매장구분!$B:$K,5,0),"")</f>
        <v>상설(위탁)</v>
      </c>
      <c r="D167" s="6" t="str">
        <f>IFERROR(VLOOKUP($F167,매장구분!$B:$Z,9,0),"")</f>
        <v>신세계아울렛여주(상-위)</v>
      </c>
      <c r="E167" s="69" t="s">
        <v>380</v>
      </c>
      <c r="F167" s="69" t="s">
        <v>381</v>
      </c>
      <c r="G167" s="69">
        <v>337</v>
      </c>
      <c r="H167" s="69">
        <v>13450000</v>
      </c>
      <c r="I167" s="69">
        <v>13470000</v>
      </c>
      <c r="J167" s="69">
        <v>341</v>
      </c>
      <c r="K167" s="69">
        <v>13737000</v>
      </c>
      <c r="L167" s="69">
        <v>13777000</v>
      </c>
      <c r="M167" s="69">
        <v>-4</v>
      </c>
      <c r="N167" s="69">
        <v>-287000</v>
      </c>
      <c r="O167" s="69">
        <v>-307000</v>
      </c>
      <c r="P167" s="69">
        <v>756000</v>
      </c>
      <c r="Q167" s="69">
        <v>1119000</v>
      </c>
      <c r="R167" s="69">
        <v>183000</v>
      </c>
      <c r="S167" s="69">
        <v>288000</v>
      </c>
      <c r="T167" s="69">
        <v>286000</v>
      </c>
      <c r="U167" s="69">
        <v>252000</v>
      </c>
      <c r="V167" s="69">
        <v>363000</v>
      </c>
      <c r="W167" s="69">
        <v>1150000</v>
      </c>
      <c r="X167" s="69">
        <v>1371000</v>
      </c>
      <c r="Y167" s="69">
        <v>222000</v>
      </c>
      <c r="Z167" s="69">
        <v>144000</v>
      </c>
      <c r="AA167" s="69">
        <v>288000</v>
      </c>
      <c r="AB167" s="69">
        <v>503000</v>
      </c>
      <c r="AC167" s="69">
        <v>499000</v>
      </c>
      <c r="AD167" s="69">
        <v>867000</v>
      </c>
      <c r="AE167" s="69">
        <v>1402000</v>
      </c>
      <c r="AF167" s="69">
        <v>324000</v>
      </c>
      <c r="AG167" s="69">
        <v>216000</v>
      </c>
      <c r="AH167" s="69">
        <v>252000</v>
      </c>
      <c r="AI167" s="69">
        <v>108000</v>
      </c>
      <c r="AJ167" s="69">
        <v>232000</v>
      </c>
      <c r="AK167" s="69">
        <v>963000</v>
      </c>
      <c r="AL167" s="69">
        <v>1662000</v>
      </c>
      <c r="AM167" s="69"/>
      <c r="AN167" s="69"/>
      <c r="AO167" s="69"/>
      <c r="AP167" s="69"/>
      <c r="AQ167" s="69"/>
      <c r="AR167" s="69"/>
      <c r="AS167" s="69"/>
      <c r="AT167" s="69"/>
      <c r="AU167" s="6"/>
      <c r="AV167" s="6"/>
      <c r="AW167" s="6">
        <f t="shared" si="17"/>
        <v>1875000</v>
      </c>
      <c r="AX167" s="6">
        <f t="shared" si="17"/>
        <v>3893000</v>
      </c>
      <c r="AY167" s="6">
        <f t="shared" si="17"/>
        <v>3925000</v>
      </c>
      <c r="AZ167" s="6">
        <f t="shared" si="17"/>
        <v>3757000</v>
      </c>
      <c r="BA167" s="6">
        <f t="shared" si="17"/>
        <v>0</v>
      </c>
      <c r="BC167" s="66">
        <f t="shared" ca="1" si="15"/>
        <v>13450000</v>
      </c>
    </row>
    <row r="168" spans="1:55" x14ac:dyDescent="0.3">
      <c r="A168" s="6" t="str">
        <f>IFERROR(VLOOKUP($F168,매장구분!$B:$K,2,0),"")</f>
        <v>리테일채널팀</v>
      </c>
      <c r="B168" s="6" t="str">
        <f>IFERROR(VLOOKUP($F168,매장구분!$B:$K,3,0),"")</f>
        <v>국내</v>
      </c>
      <c r="C168" s="6" t="str">
        <f>IFERROR(VLOOKUP($F168,매장구분!$B:$K,5,0),"")</f>
        <v>상설(위탁)</v>
      </c>
      <c r="D168" s="6" t="str">
        <f>IFERROR(VLOOKUP($F168,매장구분!$B:$Z,9,0),"")</f>
        <v>마리오(상-위)</v>
      </c>
      <c r="E168" s="69" t="s">
        <v>564</v>
      </c>
      <c r="F168" s="69" t="s">
        <v>565</v>
      </c>
      <c r="G168" s="69">
        <v>146</v>
      </c>
      <c r="H168" s="69">
        <v>6456000</v>
      </c>
      <c r="I168" s="69">
        <v>6606000</v>
      </c>
      <c r="J168" s="69">
        <v>147</v>
      </c>
      <c r="K168" s="69">
        <v>6492000</v>
      </c>
      <c r="L168" s="69">
        <v>6642000</v>
      </c>
      <c r="M168" s="69">
        <v>-1</v>
      </c>
      <c r="N168" s="69">
        <v>-36000</v>
      </c>
      <c r="O168" s="69">
        <v>-36000</v>
      </c>
      <c r="P168" s="69">
        <v>842000</v>
      </c>
      <c r="Q168" s="69">
        <v>468000</v>
      </c>
      <c r="R168" s="69">
        <v>362000</v>
      </c>
      <c r="S168" s="69">
        <v>36000</v>
      </c>
      <c r="T168" s="69">
        <v>150000</v>
      </c>
      <c r="U168" s="69">
        <v>78000</v>
      </c>
      <c r="V168" s="69">
        <v>108000</v>
      </c>
      <c r="W168" s="69">
        <v>363000</v>
      </c>
      <c r="X168" s="69">
        <v>705000</v>
      </c>
      <c r="Y168" s="69">
        <v>180000</v>
      </c>
      <c r="Z168" s="69">
        <v>252000</v>
      </c>
      <c r="AA168" s="69">
        <v>108000</v>
      </c>
      <c r="AB168" s="69">
        <v>111000</v>
      </c>
      <c r="AC168" s="69">
        <v>251000</v>
      </c>
      <c r="AD168" s="69">
        <v>327000</v>
      </c>
      <c r="AE168" s="69">
        <v>402000</v>
      </c>
      <c r="AF168" s="69">
        <v>72000</v>
      </c>
      <c r="AG168" s="69">
        <v>36000</v>
      </c>
      <c r="AH168" s="69">
        <v>72000</v>
      </c>
      <c r="AI168" s="69">
        <v>72000</v>
      </c>
      <c r="AJ168" s="69">
        <v>144000</v>
      </c>
      <c r="AK168" s="69">
        <v>36000</v>
      </c>
      <c r="AL168" s="69">
        <v>1281000</v>
      </c>
      <c r="AM168" s="69"/>
      <c r="AN168" s="69"/>
      <c r="AO168" s="69"/>
      <c r="AP168" s="69"/>
      <c r="AQ168" s="69"/>
      <c r="AR168" s="69"/>
      <c r="AS168" s="69"/>
      <c r="AT168" s="69"/>
      <c r="AU168" s="6"/>
      <c r="AV168" s="6"/>
      <c r="AW168" s="6">
        <f t="shared" si="17"/>
        <v>1310000</v>
      </c>
      <c r="AX168" s="6">
        <f t="shared" si="17"/>
        <v>1802000</v>
      </c>
      <c r="AY168" s="6">
        <f t="shared" si="17"/>
        <v>1631000</v>
      </c>
      <c r="AZ168" s="6">
        <f t="shared" si="17"/>
        <v>1713000</v>
      </c>
      <c r="BA168" s="6">
        <f t="shared" si="17"/>
        <v>0</v>
      </c>
      <c r="BC168" s="66">
        <f t="shared" ca="1" si="15"/>
        <v>6456000</v>
      </c>
    </row>
    <row r="169" spans="1:55" x14ac:dyDescent="0.3">
      <c r="A169" s="6" t="str">
        <f>IFERROR(VLOOKUP($F169,매장구분!$B:$K,2,0),"")</f>
        <v>리테일채널팀</v>
      </c>
      <c r="B169" s="6" t="str">
        <f>IFERROR(VLOOKUP($F169,매장구분!$B:$K,3,0),"")</f>
        <v>국내</v>
      </c>
      <c r="C169" s="6" t="str">
        <f>IFERROR(VLOOKUP($F169,매장구분!$B:$K,5,0),"")</f>
        <v>상설(위탁)</v>
      </c>
      <c r="D169" s="6" t="str">
        <f>IFERROR(VLOOKUP($F169,매장구분!$B:$Z,9,0),"")</f>
        <v>신세계아울렛파주(상-위)</v>
      </c>
      <c r="E169" s="69" t="s">
        <v>432</v>
      </c>
      <c r="F169" s="69" t="s">
        <v>433</v>
      </c>
      <c r="G169" s="69">
        <v>353</v>
      </c>
      <c r="H169" s="69">
        <v>14131000</v>
      </c>
      <c r="I169" s="69">
        <v>14251000</v>
      </c>
      <c r="J169" s="69">
        <v>354</v>
      </c>
      <c r="K169" s="69">
        <v>14167000</v>
      </c>
      <c r="L169" s="69">
        <v>14287000</v>
      </c>
      <c r="M169" s="69">
        <v>-1</v>
      </c>
      <c r="N169" s="69">
        <v>-36000</v>
      </c>
      <c r="O169" s="69">
        <v>-36000</v>
      </c>
      <c r="P169" s="69">
        <v>804000</v>
      </c>
      <c r="Q169" s="69">
        <v>1627000</v>
      </c>
      <c r="R169" s="69">
        <v>192000</v>
      </c>
      <c r="S169" s="69">
        <v>222000</v>
      </c>
      <c r="T169" s="69">
        <v>111000</v>
      </c>
      <c r="U169" s="69">
        <v>183000</v>
      </c>
      <c r="V169" s="69">
        <v>507000</v>
      </c>
      <c r="W169" s="69">
        <v>1124000</v>
      </c>
      <c r="X169" s="69">
        <v>1093000</v>
      </c>
      <c r="Y169" s="69">
        <v>339000</v>
      </c>
      <c r="Z169" s="69">
        <v>225000</v>
      </c>
      <c r="AA169" s="69">
        <v>483000</v>
      </c>
      <c r="AB169" s="69">
        <v>291000</v>
      </c>
      <c r="AC169" s="69">
        <v>499000</v>
      </c>
      <c r="AD169" s="69">
        <v>1167000</v>
      </c>
      <c r="AE169" s="69">
        <v>1306000</v>
      </c>
      <c r="AF169" s="69">
        <v>261000</v>
      </c>
      <c r="AG169" s="69">
        <v>258000</v>
      </c>
      <c r="AH169" s="69">
        <v>114000</v>
      </c>
      <c r="AI169" s="69">
        <v>444000</v>
      </c>
      <c r="AJ169" s="69">
        <v>399000</v>
      </c>
      <c r="AK169" s="69">
        <v>1375000</v>
      </c>
      <c r="AL169" s="69">
        <v>1107000</v>
      </c>
      <c r="AM169" s="69"/>
      <c r="AN169" s="69"/>
      <c r="AO169" s="69"/>
      <c r="AP169" s="69"/>
      <c r="AQ169" s="69"/>
      <c r="AR169" s="69"/>
      <c r="AS169" s="69"/>
      <c r="AT169" s="69"/>
      <c r="AU169" s="6"/>
      <c r="AV169" s="6"/>
      <c r="AW169" s="6">
        <f t="shared" si="17"/>
        <v>2431000</v>
      </c>
      <c r="AX169" s="6">
        <f t="shared" si="17"/>
        <v>3432000</v>
      </c>
      <c r="AY169" s="6">
        <f t="shared" si="17"/>
        <v>4310000</v>
      </c>
      <c r="AZ169" s="6">
        <f t="shared" si="17"/>
        <v>3958000</v>
      </c>
      <c r="BA169" s="6">
        <f t="shared" si="17"/>
        <v>0</v>
      </c>
      <c r="BC169" s="66">
        <f t="shared" ca="1" si="15"/>
        <v>14131000</v>
      </c>
    </row>
    <row r="170" spans="1:55" x14ac:dyDescent="0.3">
      <c r="A170" s="6" t="str">
        <f>IFERROR(VLOOKUP($F170,매장구분!$B:$K,2,0),"")</f>
        <v>리테일채널팀</v>
      </c>
      <c r="B170" s="6" t="str">
        <f>IFERROR(VLOOKUP($F170,매장구분!$B:$K,3,0),"")</f>
        <v>국내</v>
      </c>
      <c r="C170" s="6" t="str">
        <f>IFERROR(VLOOKUP($F170,매장구분!$B:$K,5,0),"")</f>
        <v>상설(위탁)</v>
      </c>
      <c r="D170" s="6" t="str">
        <f>IFERROR(VLOOKUP($F170,매장구분!$B:$Z,9,0),"")</f>
        <v>현대아울렛가산(상-위)</v>
      </c>
      <c r="E170" s="69" t="s">
        <v>285</v>
      </c>
      <c r="F170" s="69" t="s">
        <v>286</v>
      </c>
      <c r="G170" s="69">
        <v>70</v>
      </c>
      <c r="H170" s="69">
        <v>2567000</v>
      </c>
      <c r="I170" s="69">
        <v>2567000</v>
      </c>
      <c r="J170" s="69">
        <v>72</v>
      </c>
      <c r="K170" s="69">
        <v>2642000</v>
      </c>
      <c r="L170" s="69">
        <v>2642000</v>
      </c>
      <c r="M170" s="69">
        <v>-2</v>
      </c>
      <c r="N170" s="69">
        <v>-75000</v>
      </c>
      <c r="O170" s="69">
        <v>-75000</v>
      </c>
      <c r="P170" s="69">
        <v>183000</v>
      </c>
      <c r="Q170" s="69">
        <v>72000</v>
      </c>
      <c r="R170" s="69">
        <v>108000</v>
      </c>
      <c r="S170" s="69">
        <v>144000</v>
      </c>
      <c r="T170" s="69">
        <v>0</v>
      </c>
      <c r="U170" s="69">
        <v>72000</v>
      </c>
      <c r="V170" s="69">
        <v>108000</v>
      </c>
      <c r="W170" s="69">
        <v>264000</v>
      </c>
      <c r="X170" s="69">
        <v>294000</v>
      </c>
      <c r="Y170" s="69">
        <v>0</v>
      </c>
      <c r="Z170" s="69">
        <v>36000</v>
      </c>
      <c r="AA170" s="69">
        <v>36000</v>
      </c>
      <c r="AB170" s="69">
        <v>0</v>
      </c>
      <c r="AC170" s="69">
        <v>108000</v>
      </c>
      <c r="AD170" s="69">
        <v>108000</v>
      </c>
      <c r="AE170" s="69">
        <v>213000</v>
      </c>
      <c r="AF170" s="69">
        <v>39000</v>
      </c>
      <c r="AG170" s="69">
        <v>72000</v>
      </c>
      <c r="AH170" s="69">
        <v>72000</v>
      </c>
      <c r="AI170" s="69">
        <v>49000</v>
      </c>
      <c r="AJ170" s="69">
        <v>72000</v>
      </c>
      <c r="AK170" s="69">
        <v>216000</v>
      </c>
      <c r="AL170" s="69">
        <v>301000</v>
      </c>
      <c r="AM170" s="69"/>
      <c r="AN170" s="69"/>
      <c r="AO170" s="69"/>
      <c r="AP170" s="69"/>
      <c r="AQ170" s="69"/>
      <c r="AR170" s="69"/>
      <c r="AS170" s="69"/>
      <c r="AT170" s="69"/>
      <c r="AU170" s="6"/>
      <c r="AV170" s="6"/>
      <c r="AW170" s="6">
        <f t="shared" si="17"/>
        <v>255000</v>
      </c>
      <c r="AX170" s="6">
        <f t="shared" si="17"/>
        <v>990000</v>
      </c>
      <c r="AY170" s="6">
        <f t="shared" si="17"/>
        <v>501000</v>
      </c>
      <c r="AZ170" s="6">
        <f t="shared" si="17"/>
        <v>821000</v>
      </c>
      <c r="BA170" s="6">
        <f t="shared" si="17"/>
        <v>0</v>
      </c>
      <c r="BC170" s="66">
        <f t="shared" ca="1" si="15"/>
        <v>2567000</v>
      </c>
    </row>
    <row r="171" spans="1:55" x14ac:dyDescent="0.3">
      <c r="A171" s="6" t="str">
        <f>IFERROR(VLOOKUP($F171,매장구분!$B:$K,2,0),"")</f>
        <v>리테일채널팀</v>
      </c>
      <c r="B171" s="6" t="str">
        <f>IFERROR(VLOOKUP($F171,매장구분!$B:$K,3,0),"")</f>
        <v>국내</v>
      </c>
      <c r="C171" s="6" t="str">
        <f>IFERROR(VLOOKUP($F171,매장구분!$B:$K,5,0),"")</f>
        <v>상설(위탁)</v>
      </c>
      <c r="D171" s="6" t="str">
        <f>IFERROR(VLOOKUP($F171,매장구분!$B:$Z,9,0),"")</f>
        <v>콜렉티드(상-위)</v>
      </c>
      <c r="E171" s="69" t="s">
        <v>434</v>
      </c>
      <c r="F171" s="69" t="s">
        <v>435</v>
      </c>
      <c r="G171" s="69">
        <v>23</v>
      </c>
      <c r="H171" s="69">
        <v>837000</v>
      </c>
      <c r="I171" s="69">
        <v>837000</v>
      </c>
      <c r="J171" s="69">
        <v>25</v>
      </c>
      <c r="K171" s="69">
        <v>912000</v>
      </c>
      <c r="L171" s="69">
        <v>912000</v>
      </c>
      <c r="M171" s="69">
        <v>-2</v>
      </c>
      <c r="N171" s="69">
        <v>-75000</v>
      </c>
      <c r="O171" s="69">
        <v>-75000</v>
      </c>
      <c r="P171" s="69">
        <v>0</v>
      </c>
      <c r="Q171" s="69">
        <v>108000</v>
      </c>
      <c r="R171" s="69">
        <v>36000</v>
      </c>
      <c r="S171" s="69">
        <v>0</v>
      </c>
      <c r="T171" s="69">
        <v>36000</v>
      </c>
      <c r="U171" s="69">
        <v>0</v>
      </c>
      <c r="V171" s="69">
        <v>39000</v>
      </c>
      <c r="W171" s="69">
        <v>144000</v>
      </c>
      <c r="X171" s="69">
        <v>75000</v>
      </c>
      <c r="Y171" s="69">
        <v>0</v>
      </c>
      <c r="Z171" s="69">
        <v>36000</v>
      </c>
      <c r="AA171" s="69">
        <v>0</v>
      </c>
      <c r="AB171" s="69">
        <v>36000</v>
      </c>
      <c r="AC171" s="69">
        <v>0</v>
      </c>
      <c r="AD171" s="69">
        <v>75000</v>
      </c>
      <c r="AE171" s="69">
        <v>36000</v>
      </c>
      <c r="AF171" s="69">
        <v>108000</v>
      </c>
      <c r="AG171" s="69">
        <v>-36000</v>
      </c>
      <c r="AH171" s="69">
        <v>0</v>
      </c>
      <c r="AI171" s="69">
        <v>0</v>
      </c>
      <c r="AJ171" s="69">
        <v>0</v>
      </c>
      <c r="AK171" s="69">
        <v>72000</v>
      </c>
      <c r="AL171" s="69">
        <v>72000</v>
      </c>
      <c r="AM171" s="69"/>
      <c r="AN171" s="69"/>
      <c r="AO171" s="69"/>
      <c r="AP171" s="69"/>
      <c r="AQ171" s="69"/>
      <c r="AR171" s="69"/>
      <c r="AS171" s="69"/>
      <c r="AT171" s="69"/>
      <c r="AU171" s="6"/>
      <c r="AV171" s="6"/>
      <c r="AW171" s="6">
        <f t="shared" ref="AW171:BA186" si="18">SUMIFS($P171:$AS171,$P$3:$AS$3,AW$3)</f>
        <v>108000</v>
      </c>
      <c r="AX171" s="6">
        <f t="shared" si="18"/>
        <v>330000</v>
      </c>
      <c r="AY171" s="6">
        <f t="shared" si="18"/>
        <v>183000</v>
      </c>
      <c r="AZ171" s="6">
        <f t="shared" si="18"/>
        <v>216000</v>
      </c>
      <c r="BA171" s="6">
        <f t="shared" si="18"/>
        <v>0</v>
      </c>
      <c r="BC171" s="66">
        <f t="shared" ca="1" si="15"/>
        <v>837000</v>
      </c>
    </row>
    <row r="172" spans="1:55" x14ac:dyDescent="0.3">
      <c r="A172" s="6" t="str">
        <f>IFERROR(VLOOKUP($F172,매장구분!$B:$K,2,0),"")</f>
        <v>리테일채널팀</v>
      </c>
      <c r="B172" s="6" t="str">
        <f>IFERROR(VLOOKUP($F172,매장구분!$B:$K,3,0),"")</f>
        <v>국내</v>
      </c>
      <c r="C172" s="6" t="str">
        <f>IFERROR(VLOOKUP($F172,매장구분!$B:$K,5,0),"")</f>
        <v>상설(위탁)</v>
      </c>
      <c r="D172" s="6" t="str">
        <f>IFERROR(VLOOKUP($F172,매장구분!$B:$Z,9,0),"")</f>
        <v>롯데아울렛김해(상-위)</v>
      </c>
      <c r="E172" s="69" t="s">
        <v>370</v>
      </c>
      <c r="F172" s="69" t="s">
        <v>371</v>
      </c>
      <c r="G172" s="69">
        <v>521</v>
      </c>
      <c r="H172" s="69">
        <v>22719000</v>
      </c>
      <c r="I172" s="69">
        <v>23129000</v>
      </c>
      <c r="J172" s="69">
        <v>533</v>
      </c>
      <c r="K172" s="69">
        <v>23809000</v>
      </c>
      <c r="L172" s="69">
        <v>24259000</v>
      </c>
      <c r="M172" s="69">
        <v>-12</v>
      </c>
      <c r="N172" s="69">
        <v>-1090000</v>
      </c>
      <c r="O172" s="69">
        <v>-1130000</v>
      </c>
      <c r="P172" s="69">
        <v>2133000</v>
      </c>
      <c r="Q172" s="69">
        <v>2772000</v>
      </c>
      <c r="R172" s="69">
        <v>180000</v>
      </c>
      <c r="S172" s="69">
        <v>696000</v>
      </c>
      <c r="T172" s="69">
        <v>360000</v>
      </c>
      <c r="U172" s="69">
        <v>330000</v>
      </c>
      <c r="V172" s="69">
        <v>840000</v>
      </c>
      <c r="W172" s="69">
        <v>1830000</v>
      </c>
      <c r="X172" s="69">
        <v>2643000</v>
      </c>
      <c r="Y172" s="69">
        <v>108000</v>
      </c>
      <c r="Z172" s="69">
        <v>541000</v>
      </c>
      <c r="AA172" s="69">
        <v>180000</v>
      </c>
      <c r="AB172" s="69">
        <v>362000</v>
      </c>
      <c r="AC172" s="69">
        <v>252000</v>
      </c>
      <c r="AD172" s="69">
        <v>1390000</v>
      </c>
      <c r="AE172" s="69">
        <v>2207000</v>
      </c>
      <c r="AF172" s="69">
        <v>327000</v>
      </c>
      <c r="AG172" s="69">
        <v>36000</v>
      </c>
      <c r="AH172" s="69">
        <v>72000</v>
      </c>
      <c r="AI172" s="69">
        <v>216000</v>
      </c>
      <c r="AJ172" s="69">
        <v>396000</v>
      </c>
      <c r="AK172" s="69">
        <v>1497000</v>
      </c>
      <c r="AL172" s="69">
        <v>3351000</v>
      </c>
      <c r="AM172" s="69"/>
      <c r="AN172" s="69"/>
      <c r="AO172" s="69"/>
      <c r="AP172" s="69"/>
      <c r="AQ172" s="69"/>
      <c r="AR172" s="69"/>
      <c r="AS172" s="69"/>
      <c r="AT172" s="69"/>
      <c r="AU172" s="6"/>
      <c r="AV172" s="6"/>
      <c r="AW172" s="6">
        <f t="shared" si="18"/>
        <v>4905000</v>
      </c>
      <c r="AX172" s="6">
        <f t="shared" si="18"/>
        <v>6879000</v>
      </c>
      <c r="AY172" s="6">
        <f t="shared" si="18"/>
        <v>5040000</v>
      </c>
      <c r="AZ172" s="6">
        <f t="shared" si="18"/>
        <v>5895000</v>
      </c>
      <c r="BA172" s="6">
        <f t="shared" si="18"/>
        <v>0</v>
      </c>
      <c r="BC172" s="66">
        <f t="shared" ca="1" si="15"/>
        <v>22719000</v>
      </c>
    </row>
    <row r="173" spans="1:55" x14ac:dyDescent="0.3">
      <c r="A173" s="6" t="str">
        <f>IFERROR(VLOOKUP($F173,매장구분!$B:$K,2,0),"")</f>
        <v>리테일채널팀</v>
      </c>
      <c r="B173" s="6" t="str">
        <f>IFERROR(VLOOKUP($F173,매장구분!$B:$K,3,0),"")</f>
        <v>국내</v>
      </c>
      <c r="C173" s="6" t="str">
        <f>IFERROR(VLOOKUP($F173,매장구분!$B:$K,5,0),"")</f>
        <v>상설(위탁)</v>
      </c>
      <c r="D173" s="6" t="str">
        <f>IFERROR(VLOOKUP($F173,매장구분!$B:$Z,9,0),"")</f>
        <v>신세계아울렛기장(상-위)</v>
      </c>
      <c r="E173" s="69" t="s">
        <v>277</v>
      </c>
      <c r="F173" s="69" t="s">
        <v>278</v>
      </c>
      <c r="G173" s="69">
        <v>172</v>
      </c>
      <c r="H173" s="69">
        <v>7319000</v>
      </c>
      <c r="I173" s="69">
        <v>7439000</v>
      </c>
      <c r="J173" s="69">
        <v>174</v>
      </c>
      <c r="K173" s="69">
        <v>7391000</v>
      </c>
      <c r="L173" s="69">
        <v>7511000</v>
      </c>
      <c r="M173" s="69">
        <v>-2</v>
      </c>
      <c r="N173" s="69">
        <v>-72000</v>
      </c>
      <c r="O173" s="69">
        <v>-72000</v>
      </c>
      <c r="P173" s="69">
        <v>972000</v>
      </c>
      <c r="Q173" s="69">
        <v>576000</v>
      </c>
      <c r="R173" s="69">
        <v>36000</v>
      </c>
      <c r="S173" s="69">
        <v>36000</v>
      </c>
      <c r="T173" s="69">
        <v>180000</v>
      </c>
      <c r="U173" s="69">
        <v>216000</v>
      </c>
      <c r="V173" s="69">
        <v>180000</v>
      </c>
      <c r="W173" s="69">
        <v>468000</v>
      </c>
      <c r="X173" s="69">
        <v>719000</v>
      </c>
      <c r="Y173" s="69">
        <v>0</v>
      </c>
      <c r="Z173" s="69">
        <v>139000</v>
      </c>
      <c r="AA173" s="69">
        <v>36000</v>
      </c>
      <c r="AB173" s="69">
        <v>144000</v>
      </c>
      <c r="AC173" s="69">
        <v>144000</v>
      </c>
      <c r="AD173" s="69">
        <v>499000</v>
      </c>
      <c r="AE173" s="69">
        <v>468000</v>
      </c>
      <c r="AF173" s="69">
        <v>36000</v>
      </c>
      <c r="AG173" s="69">
        <v>180000</v>
      </c>
      <c r="AH173" s="69">
        <v>180000</v>
      </c>
      <c r="AI173" s="69">
        <v>216000</v>
      </c>
      <c r="AJ173" s="69">
        <v>144000</v>
      </c>
      <c r="AK173" s="69">
        <v>432000</v>
      </c>
      <c r="AL173" s="69">
        <v>1318000</v>
      </c>
      <c r="AM173" s="69"/>
      <c r="AN173" s="69"/>
      <c r="AO173" s="69"/>
      <c r="AP173" s="69"/>
      <c r="AQ173" s="69"/>
      <c r="AR173" s="69"/>
      <c r="AS173" s="69"/>
      <c r="AT173" s="69"/>
      <c r="AU173" s="6"/>
      <c r="AV173" s="6"/>
      <c r="AW173" s="6">
        <f t="shared" si="18"/>
        <v>1548000</v>
      </c>
      <c r="AX173" s="6">
        <f t="shared" si="18"/>
        <v>1835000</v>
      </c>
      <c r="AY173" s="6">
        <f t="shared" si="18"/>
        <v>1430000</v>
      </c>
      <c r="AZ173" s="6">
        <f t="shared" si="18"/>
        <v>2506000</v>
      </c>
      <c r="BA173" s="6">
        <f t="shared" si="18"/>
        <v>0</v>
      </c>
      <c r="BC173" s="66">
        <f t="shared" ca="1" si="15"/>
        <v>7319000</v>
      </c>
    </row>
    <row r="174" spans="1:55" x14ac:dyDescent="0.3">
      <c r="A174" s="6" t="str">
        <f>IFERROR(VLOOKUP($F174,매장구분!$B:$K,2,0),"")</f>
        <v>리테일채널팀</v>
      </c>
      <c r="B174" s="6" t="str">
        <f>IFERROR(VLOOKUP($F174,매장구분!$B:$K,3,0),"")</f>
        <v>국내</v>
      </c>
      <c r="C174" s="6" t="str">
        <f>IFERROR(VLOOKUP($F174,매장구분!$B:$K,5,0),"")</f>
        <v>상설(위탁)</v>
      </c>
      <c r="D174" s="6" t="str">
        <f>IFERROR(VLOOKUP($F174,매장구분!$B:$Z,9,0),"")</f>
        <v>모다경주(상-위)</v>
      </c>
      <c r="E174" s="69" t="s">
        <v>374</v>
      </c>
      <c r="F174" s="69" t="s">
        <v>375</v>
      </c>
      <c r="G174" s="69">
        <v>45</v>
      </c>
      <c r="H174" s="69">
        <v>1645000</v>
      </c>
      <c r="I174" s="69">
        <v>1645000</v>
      </c>
      <c r="J174" s="69">
        <v>45</v>
      </c>
      <c r="K174" s="69">
        <v>1645000</v>
      </c>
      <c r="L174" s="69">
        <v>1645000</v>
      </c>
      <c r="M174" s="69">
        <v>0</v>
      </c>
      <c r="N174" s="69">
        <v>0</v>
      </c>
      <c r="O174" s="69">
        <v>0</v>
      </c>
      <c r="P174" s="69">
        <v>216000</v>
      </c>
      <c r="Q174" s="69">
        <v>36000</v>
      </c>
      <c r="R174" s="69">
        <v>0</v>
      </c>
      <c r="S174" s="69">
        <v>36000</v>
      </c>
      <c r="T174" s="69">
        <v>75000</v>
      </c>
      <c r="U174" s="69">
        <v>72000</v>
      </c>
      <c r="V174" s="69">
        <v>0</v>
      </c>
      <c r="W174" s="69">
        <v>108000</v>
      </c>
      <c r="X174" s="69">
        <v>108000</v>
      </c>
      <c r="Y174" s="69">
        <v>111000</v>
      </c>
      <c r="Z174" s="69">
        <v>0</v>
      </c>
      <c r="AA174" s="69">
        <v>0</v>
      </c>
      <c r="AB174" s="69">
        <v>0</v>
      </c>
      <c r="AC174" s="69">
        <v>36000</v>
      </c>
      <c r="AD174" s="69">
        <v>144000</v>
      </c>
      <c r="AE174" s="69">
        <v>72000</v>
      </c>
      <c r="AF174" s="69">
        <v>39000</v>
      </c>
      <c r="AG174" s="69">
        <v>72000</v>
      </c>
      <c r="AH174" s="69">
        <v>0</v>
      </c>
      <c r="AI174" s="69">
        <v>0</v>
      </c>
      <c r="AJ174" s="69">
        <v>72000</v>
      </c>
      <c r="AK174" s="69">
        <v>304000</v>
      </c>
      <c r="AL174" s="69">
        <v>144000</v>
      </c>
      <c r="AM174" s="69"/>
      <c r="AN174" s="69"/>
      <c r="AO174" s="69"/>
      <c r="AP174" s="69"/>
      <c r="AQ174" s="69"/>
      <c r="AR174" s="69"/>
      <c r="AS174" s="69"/>
      <c r="AT174" s="69"/>
      <c r="AU174" s="6"/>
      <c r="AV174" s="6"/>
      <c r="AW174" s="6">
        <f t="shared" si="18"/>
        <v>252000</v>
      </c>
      <c r="AX174" s="6">
        <f t="shared" si="18"/>
        <v>399000</v>
      </c>
      <c r="AY174" s="6">
        <f t="shared" si="18"/>
        <v>363000</v>
      </c>
      <c r="AZ174" s="6">
        <f t="shared" si="18"/>
        <v>631000</v>
      </c>
      <c r="BA174" s="6">
        <f t="shared" si="18"/>
        <v>0</v>
      </c>
      <c r="BC174" s="66">
        <f t="shared" ca="1" si="15"/>
        <v>1645000</v>
      </c>
    </row>
    <row r="175" spans="1:55" x14ac:dyDescent="0.3">
      <c r="A175" s="6" t="str">
        <f>IFERROR(VLOOKUP($F175,매장구분!$B:$K,2,0),"")</f>
        <v>리테일채널팀</v>
      </c>
      <c r="B175" s="6" t="str">
        <f>IFERROR(VLOOKUP($F175,매장구분!$B:$K,3,0),"")</f>
        <v>국내</v>
      </c>
      <c r="C175" s="6" t="str">
        <f>IFERROR(VLOOKUP($F175,매장구분!$B:$K,5,0),"")</f>
        <v>상설(위탁)</v>
      </c>
      <c r="D175" s="6" t="str">
        <f>IFERROR(VLOOKUP($F175,매장구분!$B:$Z,9,0),"")</f>
        <v>롯데아울렛청주(상-위)</v>
      </c>
      <c r="E175" s="69" t="s">
        <v>478</v>
      </c>
      <c r="F175" s="69" t="s">
        <v>479</v>
      </c>
      <c r="G175" s="69">
        <v>39</v>
      </c>
      <c r="H175" s="69">
        <v>1477000</v>
      </c>
      <c r="I175" s="69">
        <v>1477000</v>
      </c>
      <c r="J175" s="69">
        <v>40</v>
      </c>
      <c r="K175" s="69">
        <v>1513000</v>
      </c>
      <c r="L175" s="69">
        <v>1513000</v>
      </c>
      <c r="M175" s="69">
        <v>-1</v>
      </c>
      <c r="N175" s="69">
        <v>-36000</v>
      </c>
      <c r="O175" s="69">
        <v>-36000</v>
      </c>
      <c r="P175" s="69">
        <v>75000</v>
      </c>
      <c r="Q175" s="69">
        <v>189000</v>
      </c>
      <c r="R175" s="69">
        <v>0</v>
      </c>
      <c r="S175" s="69">
        <v>36000</v>
      </c>
      <c r="T175" s="69">
        <v>150000</v>
      </c>
      <c r="U175" s="69">
        <v>0</v>
      </c>
      <c r="V175" s="69">
        <v>0</v>
      </c>
      <c r="W175" s="69">
        <v>228000</v>
      </c>
      <c r="X175" s="69">
        <v>111000</v>
      </c>
      <c r="Y175" s="69">
        <v>-36000</v>
      </c>
      <c r="Z175" s="69">
        <v>0</v>
      </c>
      <c r="AA175" s="69">
        <v>0</v>
      </c>
      <c r="AB175" s="69">
        <v>72000</v>
      </c>
      <c r="AC175" s="69">
        <v>0</v>
      </c>
      <c r="AD175" s="69">
        <v>39000</v>
      </c>
      <c r="AE175" s="69">
        <v>180000</v>
      </c>
      <c r="AF175" s="69">
        <v>36000</v>
      </c>
      <c r="AG175" s="69">
        <v>0</v>
      </c>
      <c r="AH175" s="69">
        <v>0</v>
      </c>
      <c r="AI175" s="69">
        <v>39000</v>
      </c>
      <c r="AJ175" s="69">
        <v>0</v>
      </c>
      <c r="AK175" s="69">
        <v>0</v>
      </c>
      <c r="AL175" s="69">
        <v>358000</v>
      </c>
      <c r="AM175" s="69"/>
      <c r="AN175" s="69"/>
      <c r="AO175" s="69"/>
      <c r="AP175" s="69"/>
      <c r="AQ175" s="69"/>
      <c r="AR175" s="69"/>
      <c r="AS175" s="69"/>
      <c r="AT175" s="69"/>
      <c r="AU175" s="6"/>
      <c r="AV175" s="6"/>
      <c r="AW175" s="6">
        <f t="shared" si="18"/>
        <v>264000</v>
      </c>
      <c r="AX175" s="6">
        <f t="shared" si="18"/>
        <v>525000</v>
      </c>
      <c r="AY175" s="6">
        <f t="shared" si="18"/>
        <v>255000</v>
      </c>
      <c r="AZ175" s="6">
        <f t="shared" si="18"/>
        <v>433000</v>
      </c>
      <c r="BA175" s="6">
        <f t="shared" si="18"/>
        <v>0</v>
      </c>
      <c r="BC175" s="66">
        <f t="shared" ca="1" si="15"/>
        <v>1477000</v>
      </c>
    </row>
    <row r="176" spans="1:55" x14ac:dyDescent="0.3">
      <c r="A176" s="6" t="str">
        <f>IFERROR(VLOOKUP($F176,매장구분!$B:$K,2,0),"")</f>
        <v>리테일채널팀</v>
      </c>
      <c r="B176" s="6" t="str">
        <f>IFERROR(VLOOKUP($F176,매장구분!$B:$K,3,0),"")</f>
        <v>국내</v>
      </c>
      <c r="C176" s="6" t="str">
        <f>IFERROR(VLOOKUP($F176,매장구분!$B:$K,5,0),"")</f>
        <v>상설(위탁)</v>
      </c>
      <c r="D176" s="6" t="str">
        <f>IFERROR(VLOOKUP($F176,매장구분!$B:$Z,9,0),"")</f>
        <v>롯데아울렛진주(상-위)</v>
      </c>
      <c r="E176" s="69" t="s">
        <v>528</v>
      </c>
      <c r="F176" s="69" t="s">
        <v>529</v>
      </c>
      <c r="G176" s="69">
        <v>122</v>
      </c>
      <c r="H176" s="69">
        <v>4481000</v>
      </c>
      <c r="I176" s="69">
        <v>4481000</v>
      </c>
      <c r="J176" s="69">
        <v>124</v>
      </c>
      <c r="K176" s="69">
        <v>4553000</v>
      </c>
      <c r="L176" s="69">
        <v>4553000</v>
      </c>
      <c r="M176" s="69">
        <v>-2</v>
      </c>
      <c r="N176" s="69">
        <v>-72000</v>
      </c>
      <c r="O176" s="69">
        <v>-72000</v>
      </c>
      <c r="P176" s="69">
        <v>432000</v>
      </c>
      <c r="Q176" s="69">
        <v>504000</v>
      </c>
      <c r="R176" s="69">
        <v>0</v>
      </c>
      <c r="S176" s="69">
        <v>147000</v>
      </c>
      <c r="T176" s="69">
        <v>0</v>
      </c>
      <c r="U176" s="69">
        <v>36000</v>
      </c>
      <c r="V176" s="69">
        <v>0</v>
      </c>
      <c r="W176" s="69">
        <v>477000</v>
      </c>
      <c r="X176" s="69">
        <v>576000</v>
      </c>
      <c r="Y176" s="69">
        <v>180000</v>
      </c>
      <c r="Z176" s="69">
        <v>0</v>
      </c>
      <c r="AA176" s="69">
        <v>36000</v>
      </c>
      <c r="AB176" s="69">
        <v>75000</v>
      </c>
      <c r="AC176" s="69">
        <v>144000</v>
      </c>
      <c r="AD176" s="69">
        <v>216000</v>
      </c>
      <c r="AE176" s="69">
        <v>324000</v>
      </c>
      <c r="AF176" s="69">
        <v>108000</v>
      </c>
      <c r="AG176" s="69">
        <v>72000</v>
      </c>
      <c r="AH176" s="69">
        <v>36000</v>
      </c>
      <c r="AI176" s="69">
        <v>108000</v>
      </c>
      <c r="AJ176" s="69">
        <v>180000</v>
      </c>
      <c r="AK176" s="69">
        <v>549000</v>
      </c>
      <c r="AL176" s="69">
        <v>281000</v>
      </c>
      <c r="AM176" s="69"/>
      <c r="AN176" s="69"/>
      <c r="AO176" s="69"/>
      <c r="AP176" s="69"/>
      <c r="AQ176" s="69"/>
      <c r="AR176" s="69"/>
      <c r="AS176" s="69"/>
      <c r="AT176" s="69"/>
      <c r="AU176" s="6"/>
      <c r="AV176" s="6"/>
      <c r="AW176" s="6">
        <f t="shared" si="18"/>
        <v>936000</v>
      </c>
      <c r="AX176" s="6">
        <f t="shared" si="18"/>
        <v>1236000</v>
      </c>
      <c r="AY176" s="6">
        <f t="shared" si="18"/>
        <v>975000</v>
      </c>
      <c r="AZ176" s="6">
        <f t="shared" si="18"/>
        <v>1334000</v>
      </c>
      <c r="BA176" s="6">
        <f t="shared" si="18"/>
        <v>0</v>
      </c>
      <c r="BC176" s="66">
        <f t="shared" ca="1" si="15"/>
        <v>4481000</v>
      </c>
    </row>
    <row r="177" spans="1:55" x14ac:dyDescent="0.3">
      <c r="A177" s="6" t="str">
        <f>IFERROR(VLOOKUP($F177,매장구분!$B:$K,2,0),"")</f>
        <v>리테일채널팀</v>
      </c>
      <c r="B177" s="6" t="str">
        <f>IFERROR(VLOOKUP($F177,매장구분!$B:$K,3,0),"")</f>
        <v>국내</v>
      </c>
      <c r="C177" s="6" t="str">
        <f>IFERROR(VLOOKUP($F177,매장구분!$B:$K,5,0),"")</f>
        <v>상설(위탁)</v>
      </c>
      <c r="D177" s="6" t="str">
        <f>IFERROR(VLOOKUP($F177,매장구분!$B:$Z,9,0),"")</f>
        <v>LF스퀘어광양(상-위)</v>
      </c>
      <c r="E177" s="69" t="s">
        <v>167</v>
      </c>
      <c r="F177" s="69" t="s">
        <v>168</v>
      </c>
      <c r="G177" s="69">
        <v>180</v>
      </c>
      <c r="H177" s="69">
        <v>6489000</v>
      </c>
      <c r="I177" s="69">
        <v>6489000</v>
      </c>
      <c r="J177" s="69">
        <v>180</v>
      </c>
      <c r="K177" s="69">
        <v>6489000</v>
      </c>
      <c r="L177" s="69">
        <v>6489000</v>
      </c>
      <c r="M177" s="69">
        <v>0</v>
      </c>
      <c r="N177" s="69">
        <v>0</v>
      </c>
      <c r="O177" s="69">
        <v>0</v>
      </c>
      <c r="P177" s="69">
        <v>612000</v>
      </c>
      <c r="Q177" s="69">
        <v>504000</v>
      </c>
      <c r="R177" s="69">
        <v>108000</v>
      </c>
      <c r="S177" s="69">
        <v>288000</v>
      </c>
      <c r="T177" s="69">
        <v>108000</v>
      </c>
      <c r="U177" s="69">
        <v>108000</v>
      </c>
      <c r="V177" s="69">
        <v>144000</v>
      </c>
      <c r="W177" s="69">
        <v>576000</v>
      </c>
      <c r="X177" s="69">
        <v>330000</v>
      </c>
      <c r="Y177" s="69">
        <v>252000</v>
      </c>
      <c r="Z177" s="69">
        <v>108000</v>
      </c>
      <c r="AA177" s="69">
        <v>360000</v>
      </c>
      <c r="AB177" s="69">
        <v>288000</v>
      </c>
      <c r="AC177" s="69">
        <v>144000</v>
      </c>
      <c r="AD177" s="69">
        <v>651000</v>
      </c>
      <c r="AE177" s="69">
        <v>468000</v>
      </c>
      <c r="AF177" s="69">
        <v>216000</v>
      </c>
      <c r="AG177" s="69">
        <v>72000</v>
      </c>
      <c r="AH177" s="69">
        <v>72000</v>
      </c>
      <c r="AI177" s="69">
        <v>108000</v>
      </c>
      <c r="AJ177" s="69">
        <v>144000</v>
      </c>
      <c r="AK177" s="69">
        <v>468000</v>
      </c>
      <c r="AL177" s="69">
        <v>360000</v>
      </c>
      <c r="AM177" s="69"/>
      <c r="AN177" s="69"/>
      <c r="AO177" s="69"/>
      <c r="AP177" s="69"/>
      <c r="AQ177" s="69"/>
      <c r="AR177" s="69"/>
      <c r="AS177" s="69"/>
      <c r="AT177" s="69"/>
      <c r="AU177" s="6"/>
      <c r="AV177" s="6"/>
      <c r="AW177" s="6">
        <f t="shared" si="18"/>
        <v>1116000</v>
      </c>
      <c r="AX177" s="6">
        <f t="shared" si="18"/>
        <v>1662000</v>
      </c>
      <c r="AY177" s="6">
        <f t="shared" si="18"/>
        <v>2271000</v>
      </c>
      <c r="AZ177" s="6">
        <f t="shared" si="18"/>
        <v>1440000</v>
      </c>
      <c r="BA177" s="6">
        <f t="shared" si="18"/>
        <v>0</v>
      </c>
      <c r="BC177" s="66">
        <f t="shared" ca="1" si="15"/>
        <v>6489000</v>
      </c>
    </row>
    <row r="178" spans="1:55" x14ac:dyDescent="0.3">
      <c r="A178" s="6" t="str">
        <f>IFERROR(VLOOKUP($F178,매장구분!$B:$K,2,0),"")</f>
        <v>리테일채널팀</v>
      </c>
      <c r="B178" s="6" t="str">
        <f>IFERROR(VLOOKUP($F178,매장구분!$B:$K,3,0),"")</f>
        <v>국내</v>
      </c>
      <c r="C178" s="6" t="str">
        <f>IFERROR(VLOOKUP($F178,매장구분!$B:$K,5,0),"")</f>
        <v>상설(위탁)</v>
      </c>
      <c r="D178" s="6" t="str">
        <f>IFERROR(VLOOKUP($F178,매장구분!$B:$Z,9,0),"")</f>
        <v>LF스퀘어양주(상-위)</v>
      </c>
      <c r="E178" s="69" t="s">
        <v>283</v>
      </c>
      <c r="F178" s="69" t="s">
        <v>284</v>
      </c>
      <c r="G178" s="69">
        <v>129</v>
      </c>
      <c r="H178" s="69">
        <v>4707000</v>
      </c>
      <c r="I178" s="69">
        <v>4707000</v>
      </c>
      <c r="J178" s="69">
        <v>130</v>
      </c>
      <c r="K178" s="69">
        <v>4746000</v>
      </c>
      <c r="L178" s="69">
        <v>4746000</v>
      </c>
      <c r="M178" s="69">
        <v>-1</v>
      </c>
      <c r="N178" s="69">
        <v>-39000</v>
      </c>
      <c r="O178" s="69">
        <v>-39000</v>
      </c>
      <c r="P178" s="69">
        <v>258000</v>
      </c>
      <c r="Q178" s="69">
        <v>762000</v>
      </c>
      <c r="R178" s="69">
        <v>72000</v>
      </c>
      <c r="S178" s="69">
        <v>108000</v>
      </c>
      <c r="T178" s="69">
        <v>108000</v>
      </c>
      <c r="U178" s="69">
        <v>108000</v>
      </c>
      <c r="V178" s="69">
        <v>36000</v>
      </c>
      <c r="W178" s="69">
        <v>510000</v>
      </c>
      <c r="X178" s="69">
        <v>477000</v>
      </c>
      <c r="Y178" s="69">
        <v>75000</v>
      </c>
      <c r="Z178" s="69">
        <v>36000</v>
      </c>
      <c r="AA178" s="69">
        <v>108000</v>
      </c>
      <c r="AB178" s="69">
        <v>36000</v>
      </c>
      <c r="AC178" s="69">
        <v>108000</v>
      </c>
      <c r="AD178" s="69">
        <v>294000</v>
      </c>
      <c r="AE178" s="69">
        <v>366000</v>
      </c>
      <c r="AF178" s="69">
        <v>144000</v>
      </c>
      <c r="AG178" s="69">
        <v>36000</v>
      </c>
      <c r="AH178" s="69">
        <v>36000</v>
      </c>
      <c r="AI178" s="69">
        <v>36000</v>
      </c>
      <c r="AJ178" s="69">
        <v>36000</v>
      </c>
      <c r="AK178" s="69">
        <v>396000</v>
      </c>
      <c r="AL178" s="69">
        <v>561000</v>
      </c>
      <c r="AM178" s="69"/>
      <c r="AN178" s="69"/>
      <c r="AO178" s="69"/>
      <c r="AP178" s="69"/>
      <c r="AQ178" s="69"/>
      <c r="AR178" s="69"/>
      <c r="AS178" s="69"/>
      <c r="AT178" s="69"/>
      <c r="AU178" s="6"/>
      <c r="AV178" s="6"/>
      <c r="AW178" s="6">
        <f t="shared" si="18"/>
        <v>1020000</v>
      </c>
      <c r="AX178" s="6">
        <f t="shared" si="18"/>
        <v>1419000</v>
      </c>
      <c r="AY178" s="6">
        <f t="shared" si="18"/>
        <v>1023000</v>
      </c>
      <c r="AZ178" s="6">
        <f t="shared" si="18"/>
        <v>1245000</v>
      </c>
      <c r="BA178" s="6">
        <f t="shared" si="18"/>
        <v>0</v>
      </c>
      <c r="BC178" s="66">
        <f t="shared" ca="1" si="15"/>
        <v>4707000</v>
      </c>
    </row>
    <row r="179" spans="1:55" x14ac:dyDescent="0.3">
      <c r="A179" s="6" t="str">
        <f>IFERROR(VLOOKUP($F179,매장구분!$B:$K,2,0),"")</f>
        <v>리테일채널팀</v>
      </c>
      <c r="B179" s="6" t="str">
        <f>IFERROR(VLOOKUP($F179,매장구분!$B:$K,3,0),"")</f>
        <v>국내</v>
      </c>
      <c r="C179" s="6" t="str">
        <f>IFERROR(VLOOKUP($F179,매장구분!$B:$K,5,0),"")</f>
        <v>상설(위탁)</v>
      </c>
      <c r="D179" s="6" t="str">
        <f>IFERROR(VLOOKUP($F179,매장구분!$B:$Z,9,0),"")</f>
        <v>현대아울렛대전(상-위)</v>
      </c>
      <c r="E179" s="69" t="s">
        <v>287</v>
      </c>
      <c r="F179" s="69" t="s">
        <v>288</v>
      </c>
      <c r="G179" s="69">
        <v>119</v>
      </c>
      <c r="H179" s="69">
        <v>4815000</v>
      </c>
      <c r="I179" s="69">
        <v>4835000</v>
      </c>
      <c r="J179" s="69">
        <v>119</v>
      </c>
      <c r="K179" s="69">
        <v>4815000</v>
      </c>
      <c r="L179" s="69">
        <v>4835000</v>
      </c>
      <c r="M179" s="69">
        <v>0</v>
      </c>
      <c r="N179" s="69">
        <v>0</v>
      </c>
      <c r="O179" s="69">
        <v>0</v>
      </c>
      <c r="P179" s="69">
        <v>0</v>
      </c>
      <c r="Q179" s="69">
        <v>72000</v>
      </c>
      <c r="R179" s="69">
        <v>0</v>
      </c>
      <c r="S179" s="69">
        <v>36000</v>
      </c>
      <c r="T179" s="69">
        <v>0</v>
      </c>
      <c r="U179" s="69">
        <v>108000</v>
      </c>
      <c r="V179" s="69">
        <v>219000</v>
      </c>
      <c r="W179" s="69">
        <v>643000</v>
      </c>
      <c r="X179" s="69">
        <v>864000</v>
      </c>
      <c r="Y179" s="69">
        <v>36000</v>
      </c>
      <c r="Z179" s="69">
        <v>36000</v>
      </c>
      <c r="AA179" s="69">
        <v>36000</v>
      </c>
      <c r="AB179" s="69">
        <v>235000</v>
      </c>
      <c r="AC179" s="69">
        <v>144000</v>
      </c>
      <c r="AD179" s="69">
        <v>360000</v>
      </c>
      <c r="AE179" s="69">
        <v>504000</v>
      </c>
      <c r="AF179" s="69">
        <v>147000</v>
      </c>
      <c r="AG179" s="69">
        <v>36000</v>
      </c>
      <c r="AH179" s="69">
        <v>319000</v>
      </c>
      <c r="AI179" s="69">
        <v>0</v>
      </c>
      <c r="AJ179" s="69">
        <v>72000</v>
      </c>
      <c r="AK179" s="69">
        <v>301000</v>
      </c>
      <c r="AL179" s="69">
        <v>647000</v>
      </c>
      <c r="AM179" s="69"/>
      <c r="AN179" s="69"/>
      <c r="AO179" s="69"/>
      <c r="AP179" s="69"/>
      <c r="AQ179" s="69"/>
      <c r="AR179" s="69"/>
      <c r="AS179" s="69"/>
      <c r="AT179" s="69"/>
      <c r="AU179" s="6"/>
      <c r="AV179" s="6"/>
      <c r="AW179" s="6">
        <f t="shared" si="18"/>
        <v>72000</v>
      </c>
      <c r="AX179" s="6">
        <f t="shared" si="18"/>
        <v>1870000</v>
      </c>
      <c r="AY179" s="6">
        <f t="shared" si="18"/>
        <v>1351000</v>
      </c>
      <c r="AZ179" s="6">
        <f t="shared" si="18"/>
        <v>1522000</v>
      </c>
      <c r="BA179" s="6">
        <f t="shared" si="18"/>
        <v>0</v>
      </c>
      <c r="BC179" s="66">
        <f t="shared" ca="1" si="15"/>
        <v>4815000</v>
      </c>
    </row>
    <row r="180" spans="1:55" x14ac:dyDescent="0.3">
      <c r="A180" s="6" t="str">
        <f>IFERROR(VLOOKUP($F180,매장구분!$B:$K,2,0),"")</f>
        <v>리테일채널팀</v>
      </c>
      <c r="B180" s="6" t="str">
        <f>IFERROR(VLOOKUP($F180,매장구분!$B:$K,3,0),"")</f>
        <v>국내</v>
      </c>
      <c r="C180" s="6" t="str">
        <f>IFERROR(VLOOKUP($F180,매장구분!$B:$K,5,0),"")</f>
        <v>상설(위탁)</v>
      </c>
      <c r="D180" s="6" t="str">
        <f>IFERROR(VLOOKUP($F180,매장구분!$B:$Z,9,0),"")</f>
        <v>롯데아울렛이천(상-위)</v>
      </c>
      <c r="E180" s="69" t="s">
        <v>560</v>
      </c>
      <c r="F180" s="69" t="s">
        <v>561</v>
      </c>
      <c r="G180" s="69">
        <v>271</v>
      </c>
      <c r="H180" s="69">
        <v>12042000</v>
      </c>
      <c r="I180" s="69">
        <v>12162000</v>
      </c>
      <c r="J180" s="69">
        <v>274</v>
      </c>
      <c r="K180" s="69">
        <v>12293000</v>
      </c>
      <c r="L180" s="69">
        <v>12433000</v>
      </c>
      <c r="M180" s="69">
        <v>-3</v>
      </c>
      <c r="N180" s="69">
        <v>-251000</v>
      </c>
      <c r="O180" s="69">
        <v>-271000</v>
      </c>
      <c r="P180" s="69">
        <v>1200000</v>
      </c>
      <c r="Q180" s="69">
        <v>951000</v>
      </c>
      <c r="R180" s="69">
        <v>144000</v>
      </c>
      <c r="S180" s="69">
        <v>307000</v>
      </c>
      <c r="T180" s="69">
        <v>144000</v>
      </c>
      <c r="U180" s="69">
        <v>114000</v>
      </c>
      <c r="V180" s="69">
        <v>433000</v>
      </c>
      <c r="W180" s="69">
        <v>800000</v>
      </c>
      <c r="X180" s="69">
        <v>1228000</v>
      </c>
      <c r="Y180" s="69">
        <v>271000</v>
      </c>
      <c r="Z180" s="69">
        <v>180000</v>
      </c>
      <c r="AA180" s="69">
        <v>72000</v>
      </c>
      <c r="AB180" s="69">
        <v>183000</v>
      </c>
      <c r="AC180" s="69">
        <v>72000</v>
      </c>
      <c r="AD180" s="69">
        <v>868000</v>
      </c>
      <c r="AE180" s="69">
        <v>876000</v>
      </c>
      <c r="AF180" s="69">
        <v>255000</v>
      </c>
      <c r="AG180" s="69">
        <v>36000</v>
      </c>
      <c r="AH180" s="69">
        <v>175000</v>
      </c>
      <c r="AI180" s="69">
        <v>75000</v>
      </c>
      <c r="AJ180" s="69">
        <v>512000</v>
      </c>
      <c r="AK180" s="69">
        <v>1023000</v>
      </c>
      <c r="AL180" s="69">
        <v>2123000</v>
      </c>
      <c r="AM180" s="69"/>
      <c r="AN180" s="69"/>
      <c r="AO180" s="69"/>
      <c r="AP180" s="69"/>
      <c r="AQ180" s="69"/>
      <c r="AR180" s="69"/>
      <c r="AS180" s="69"/>
      <c r="AT180" s="69"/>
      <c r="AU180" s="6"/>
      <c r="AV180" s="6"/>
      <c r="AW180" s="6">
        <f t="shared" si="18"/>
        <v>2151000</v>
      </c>
      <c r="AX180" s="6">
        <f t="shared" si="18"/>
        <v>3170000</v>
      </c>
      <c r="AY180" s="6">
        <f t="shared" si="18"/>
        <v>2522000</v>
      </c>
      <c r="AZ180" s="6">
        <f t="shared" si="18"/>
        <v>4199000</v>
      </c>
      <c r="BA180" s="6">
        <f t="shared" si="18"/>
        <v>0</v>
      </c>
      <c r="BC180" s="66">
        <f t="shared" ca="1" si="15"/>
        <v>12042000</v>
      </c>
    </row>
    <row r="181" spans="1:55" x14ac:dyDescent="0.3">
      <c r="A181" s="6" t="str">
        <f>IFERROR(VLOOKUP($F181,매장구분!$B:$K,2,0),"")</f>
        <v>리테일채널팀</v>
      </c>
      <c r="B181" s="6" t="str">
        <f>IFERROR(VLOOKUP($F181,매장구분!$B:$K,3,0),"")</f>
        <v>국내</v>
      </c>
      <c r="C181" s="6" t="str">
        <f>IFERROR(VLOOKUP($F181,매장구분!$B:$K,5,0),"")</f>
        <v>상설(위탁)</v>
      </c>
      <c r="D181" s="6" t="str">
        <f>IFERROR(VLOOKUP($F181,매장구분!$B:$Z,9,0),"")</f>
        <v>현대아울렛대구(상-위)</v>
      </c>
      <c r="E181" s="69" t="s">
        <v>520</v>
      </c>
      <c r="F181" s="69" t="s">
        <v>521</v>
      </c>
      <c r="G181" s="69">
        <v>63</v>
      </c>
      <c r="H181" s="69">
        <v>2326000</v>
      </c>
      <c r="I181" s="69">
        <v>2326000</v>
      </c>
      <c r="J181" s="69">
        <v>64</v>
      </c>
      <c r="K181" s="69">
        <v>2362000</v>
      </c>
      <c r="L181" s="69">
        <v>2362000</v>
      </c>
      <c r="M181" s="69">
        <v>-1</v>
      </c>
      <c r="N181" s="69">
        <v>-36000</v>
      </c>
      <c r="O181" s="69">
        <v>-36000</v>
      </c>
      <c r="P181" s="69">
        <v>180000</v>
      </c>
      <c r="Q181" s="69">
        <v>360000</v>
      </c>
      <c r="R181" s="69">
        <v>144000</v>
      </c>
      <c r="S181" s="69">
        <v>36000</v>
      </c>
      <c r="T181" s="69">
        <v>0</v>
      </c>
      <c r="U181" s="69">
        <v>108000</v>
      </c>
      <c r="V181" s="69">
        <v>144000</v>
      </c>
      <c r="W181" s="69">
        <v>108000</v>
      </c>
      <c r="X181" s="69">
        <v>144000</v>
      </c>
      <c r="Y181" s="69">
        <v>0</v>
      </c>
      <c r="Z181" s="69">
        <v>0</v>
      </c>
      <c r="AA181" s="69">
        <v>72000</v>
      </c>
      <c r="AB181" s="69">
        <v>36000</v>
      </c>
      <c r="AC181" s="69">
        <v>72000</v>
      </c>
      <c r="AD181" s="69">
        <v>186000</v>
      </c>
      <c r="AE181" s="69">
        <v>72000</v>
      </c>
      <c r="AF181" s="69">
        <v>72000</v>
      </c>
      <c r="AG181" s="69">
        <v>0</v>
      </c>
      <c r="AH181" s="69">
        <v>36000</v>
      </c>
      <c r="AI181" s="69">
        <v>72000</v>
      </c>
      <c r="AJ181" s="69">
        <v>144000</v>
      </c>
      <c r="AK181" s="69">
        <v>134000</v>
      </c>
      <c r="AL181" s="69">
        <v>206000</v>
      </c>
      <c r="AM181" s="69"/>
      <c r="AN181" s="69"/>
      <c r="AO181" s="69"/>
      <c r="AP181" s="69"/>
      <c r="AQ181" s="69"/>
      <c r="AR181" s="69"/>
      <c r="AS181" s="69"/>
      <c r="AT181" s="69"/>
      <c r="AU181" s="6"/>
      <c r="AV181" s="6"/>
      <c r="AW181" s="6">
        <f t="shared" si="18"/>
        <v>540000</v>
      </c>
      <c r="AX181" s="6">
        <f t="shared" si="18"/>
        <v>684000</v>
      </c>
      <c r="AY181" s="6">
        <f t="shared" si="18"/>
        <v>438000</v>
      </c>
      <c r="AZ181" s="6">
        <f t="shared" si="18"/>
        <v>664000</v>
      </c>
      <c r="BA181" s="6">
        <f t="shared" si="18"/>
        <v>0</v>
      </c>
      <c r="BC181" s="66">
        <f t="shared" ca="1" si="15"/>
        <v>2326000</v>
      </c>
    </row>
    <row r="182" spans="1:55" x14ac:dyDescent="0.3">
      <c r="A182" s="6" t="str">
        <f>IFERROR(VLOOKUP($F182,매장구분!$B:$K,2,0),"")</f>
        <v>리테일채널팀</v>
      </c>
      <c r="B182" s="6" t="str">
        <f>IFERROR(VLOOKUP($F182,매장구분!$B:$K,3,0),"")</f>
        <v>국내</v>
      </c>
      <c r="C182" s="6" t="str">
        <f>IFERROR(VLOOKUP($F182,매장구분!$B:$K,5,0),"")</f>
        <v>상설(위탁)</v>
      </c>
      <c r="D182" s="6" t="str">
        <f>IFERROR(VLOOKUP($F182,매장구분!$B:$Z,9,0),"")</f>
        <v>현대아울렛김포(상-위)</v>
      </c>
      <c r="E182" s="69" t="s">
        <v>522</v>
      </c>
      <c r="F182" s="69" t="s">
        <v>523</v>
      </c>
      <c r="G182" s="69">
        <v>406</v>
      </c>
      <c r="H182" s="69">
        <v>17290000</v>
      </c>
      <c r="I182" s="69">
        <v>17480000</v>
      </c>
      <c r="J182" s="69">
        <v>413</v>
      </c>
      <c r="K182" s="69">
        <v>17548000</v>
      </c>
      <c r="L182" s="69">
        <v>17738000</v>
      </c>
      <c r="M182" s="69">
        <v>-7</v>
      </c>
      <c r="N182" s="69">
        <v>-258000</v>
      </c>
      <c r="O182" s="69">
        <v>-258000</v>
      </c>
      <c r="P182" s="69">
        <v>1231000</v>
      </c>
      <c r="Q182" s="69">
        <v>1398000</v>
      </c>
      <c r="R182" s="69">
        <v>324000</v>
      </c>
      <c r="S182" s="69">
        <v>252000</v>
      </c>
      <c r="T182" s="69">
        <v>255000</v>
      </c>
      <c r="U182" s="69">
        <v>108000</v>
      </c>
      <c r="V182" s="69">
        <v>1171000</v>
      </c>
      <c r="W182" s="69">
        <v>2791000</v>
      </c>
      <c r="X182" s="69">
        <v>2347000</v>
      </c>
      <c r="Y182" s="69">
        <v>692000</v>
      </c>
      <c r="Z182" s="69">
        <v>363000</v>
      </c>
      <c r="AA182" s="69">
        <v>807000</v>
      </c>
      <c r="AB182" s="69">
        <v>696000</v>
      </c>
      <c r="AC182" s="69">
        <v>688000</v>
      </c>
      <c r="AD182" s="69">
        <v>749000</v>
      </c>
      <c r="AE182" s="69">
        <v>802000</v>
      </c>
      <c r="AF182" s="69">
        <v>180000</v>
      </c>
      <c r="AG182" s="69">
        <v>150000</v>
      </c>
      <c r="AH182" s="69">
        <v>216000</v>
      </c>
      <c r="AI182" s="69">
        <v>388000</v>
      </c>
      <c r="AJ182" s="69">
        <v>464000</v>
      </c>
      <c r="AK182" s="69">
        <v>642000</v>
      </c>
      <c r="AL182" s="69">
        <v>576000</v>
      </c>
      <c r="AM182" s="69"/>
      <c r="AN182" s="69"/>
      <c r="AO182" s="69"/>
      <c r="AP182" s="69"/>
      <c r="AQ182" s="69"/>
      <c r="AR182" s="69"/>
      <c r="AS182" s="69"/>
      <c r="AT182" s="69"/>
      <c r="AU182" s="6"/>
      <c r="AV182" s="6"/>
      <c r="AW182" s="6">
        <f t="shared" si="18"/>
        <v>2629000</v>
      </c>
      <c r="AX182" s="6">
        <f t="shared" si="18"/>
        <v>7248000</v>
      </c>
      <c r="AY182" s="6">
        <f t="shared" si="18"/>
        <v>4797000</v>
      </c>
      <c r="AZ182" s="6">
        <f t="shared" si="18"/>
        <v>2616000</v>
      </c>
      <c r="BA182" s="6">
        <f t="shared" si="18"/>
        <v>0</v>
      </c>
      <c r="BC182" s="66">
        <f t="shared" ca="1" si="15"/>
        <v>17290000</v>
      </c>
    </row>
    <row r="183" spans="1:55" x14ac:dyDescent="0.3">
      <c r="A183" s="6" t="str">
        <f>IFERROR(VLOOKUP($F183,매장구분!$B:$K,2,0),"")</f>
        <v>리테일채널팀</v>
      </c>
      <c r="B183" s="6" t="str">
        <f>IFERROR(VLOOKUP($F183,매장구분!$B:$K,3,0),"")</f>
        <v>국내</v>
      </c>
      <c r="C183" s="6" t="str">
        <f>IFERROR(VLOOKUP($F183,매장구분!$B:$K,5,0),"")</f>
        <v>상설(위탁)</v>
      </c>
      <c r="D183" s="6" t="str">
        <f>IFERROR(VLOOKUP($F183,매장구분!$B:$Z,9,0),"")</f>
        <v>롯데아울렛율하(상-위)</v>
      </c>
      <c r="E183" s="69" t="s">
        <v>368</v>
      </c>
      <c r="F183" s="69" t="s">
        <v>369</v>
      </c>
      <c r="G183" s="69">
        <v>73</v>
      </c>
      <c r="H183" s="69">
        <v>2672000</v>
      </c>
      <c r="I183" s="69">
        <v>2672000</v>
      </c>
      <c r="J183" s="69">
        <v>74</v>
      </c>
      <c r="K183" s="69">
        <v>2708000</v>
      </c>
      <c r="L183" s="69">
        <v>2708000</v>
      </c>
      <c r="M183" s="69">
        <v>-1</v>
      </c>
      <c r="N183" s="69">
        <v>-36000</v>
      </c>
      <c r="O183" s="69">
        <v>-36000</v>
      </c>
      <c r="P183" s="69">
        <v>255000</v>
      </c>
      <c r="Q183" s="69">
        <v>144000</v>
      </c>
      <c r="R183" s="69">
        <v>0</v>
      </c>
      <c r="S183" s="69">
        <v>72000</v>
      </c>
      <c r="T183" s="69">
        <v>0</v>
      </c>
      <c r="U183" s="69">
        <v>36000</v>
      </c>
      <c r="V183" s="69">
        <v>75000</v>
      </c>
      <c r="W183" s="69">
        <v>288000</v>
      </c>
      <c r="X183" s="69">
        <v>438000</v>
      </c>
      <c r="Y183" s="69">
        <v>36000</v>
      </c>
      <c r="Z183" s="69">
        <v>36000</v>
      </c>
      <c r="AA183" s="69">
        <v>36000</v>
      </c>
      <c r="AB183" s="69">
        <v>0</v>
      </c>
      <c r="AC183" s="69">
        <v>72000</v>
      </c>
      <c r="AD183" s="69">
        <v>72000</v>
      </c>
      <c r="AE183" s="69">
        <v>186000</v>
      </c>
      <c r="AF183" s="69">
        <v>144000</v>
      </c>
      <c r="AG183" s="69">
        <v>36000</v>
      </c>
      <c r="AH183" s="69">
        <v>36000</v>
      </c>
      <c r="AI183" s="69">
        <v>144000</v>
      </c>
      <c r="AJ183" s="69">
        <v>36000</v>
      </c>
      <c r="AK183" s="69">
        <v>242000</v>
      </c>
      <c r="AL183" s="69">
        <v>288000</v>
      </c>
      <c r="AM183" s="69"/>
      <c r="AN183" s="69"/>
      <c r="AO183" s="69"/>
      <c r="AP183" s="69"/>
      <c r="AQ183" s="69"/>
      <c r="AR183" s="69"/>
      <c r="AS183" s="69"/>
      <c r="AT183" s="69"/>
      <c r="AU183" s="6"/>
      <c r="AV183" s="6"/>
      <c r="AW183" s="6">
        <f t="shared" si="18"/>
        <v>399000</v>
      </c>
      <c r="AX183" s="6">
        <f t="shared" si="18"/>
        <v>909000</v>
      </c>
      <c r="AY183" s="6">
        <f t="shared" si="18"/>
        <v>438000</v>
      </c>
      <c r="AZ183" s="6">
        <f t="shared" si="18"/>
        <v>926000</v>
      </c>
      <c r="BA183" s="6">
        <f t="shared" si="18"/>
        <v>0</v>
      </c>
      <c r="BC183" s="66">
        <f t="shared" ca="1" si="15"/>
        <v>2672000</v>
      </c>
    </row>
    <row r="184" spans="1:55" x14ac:dyDescent="0.3">
      <c r="A184" s="6" t="str">
        <f>IFERROR(VLOOKUP($F184,매장구분!$B:$K,2,0),"")</f>
        <v>리테일채널팀</v>
      </c>
      <c r="B184" s="6" t="str">
        <f>IFERROR(VLOOKUP($F184,매장구분!$B:$K,3,0),"")</f>
        <v>국내</v>
      </c>
      <c r="C184" s="6" t="str">
        <f>IFERROR(VLOOKUP($F184,매장구분!$B:$K,5,0),"")</f>
        <v>상설(위탁)</v>
      </c>
      <c r="D184" s="6" t="str">
        <f>IFERROR(VLOOKUP($F184,매장구분!$B:$Z,9,0),"")</f>
        <v>롯데아울렛기흥(상-위)</v>
      </c>
      <c r="E184" s="69" t="s">
        <v>382</v>
      </c>
      <c r="F184" s="69" t="s">
        <v>383</v>
      </c>
      <c r="G184" s="69">
        <v>255</v>
      </c>
      <c r="H184" s="69">
        <v>11096000</v>
      </c>
      <c r="I184" s="69">
        <v>11166000</v>
      </c>
      <c r="J184" s="69">
        <v>255</v>
      </c>
      <c r="K184" s="69">
        <v>11096000</v>
      </c>
      <c r="L184" s="69">
        <v>11166000</v>
      </c>
      <c r="M184" s="69">
        <v>0</v>
      </c>
      <c r="N184" s="69">
        <v>0</v>
      </c>
      <c r="O184" s="69">
        <v>0</v>
      </c>
      <c r="P184" s="69">
        <v>468000</v>
      </c>
      <c r="Q184" s="69">
        <v>823000</v>
      </c>
      <c r="R184" s="69">
        <v>247000</v>
      </c>
      <c r="S184" s="69">
        <v>499000</v>
      </c>
      <c r="T184" s="69">
        <v>108000</v>
      </c>
      <c r="U184" s="69">
        <v>360000</v>
      </c>
      <c r="V184" s="69">
        <v>180000</v>
      </c>
      <c r="W184" s="69">
        <v>1296000</v>
      </c>
      <c r="X184" s="69">
        <v>1173000</v>
      </c>
      <c r="Y184" s="69">
        <v>391000</v>
      </c>
      <c r="Z184" s="69">
        <v>216000</v>
      </c>
      <c r="AA184" s="69">
        <v>396000</v>
      </c>
      <c r="AB184" s="69">
        <v>355000</v>
      </c>
      <c r="AC184" s="69">
        <v>324000</v>
      </c>
      <c r="AD184" s="69">
        <v>1106000</v>
      </c>
      <c r="AE184" s="69">
        <v>612000</v>
      </c>
      <c r="AF184" s="69">
        <v>144000</v>
      </c>
      <c r="AG184" s="69">
        <v>108000</v>
      </c>
      <c r="AH184" s="69">
        <v>211000</v>
      </c>
      <c r="AI184" s="69">
        <v>144000</v>
      </c>
      <c r="AJ184" s="69">
        <v>157000</v>
      </c>
      <c r="AK184" s="69">
        <v>817000</v>
      </c>
      <c r="AL184" s="69">
        <v>961000</v>
      </c>
      <c r="AM184" s="69"/>
      <c r="AN184" s="69"/>
      <c r="AO184" s="69"/>
      <c r="AP184" s="69"/>
      <c r="AQ184" s="69"/>
      <c r="AR184" s="69"/>
      <c r="AS184" s="69"/>
      <c r="AT184" s="69"/>
      <c r="AU184" s="6"/>
      <c r="AV184" s="6"/>
      <c r="AW184" s="6">
        <f t="shared" si="18"/>
        <v>1291000</v>
      </c>
      <c r="AX184" s="6">
        <f t="shared" si="18"/>
        <v>3863000</v>
      </c>
      <c r="AY184" s="6">
        <f t="shared" si="18"/>
        <v>3400000</v>
      </c>
      <c r="AZ184" s="6">
        <f t="shared" si="18"/>
        <v>2542000</v>
      </c>
      <c r="BA184" s="6">
        <f t="shared" si="18"/>
        <v>0</v>
      </c>
      <c r="BC184" s="66">
        <f t="shared" ca="1" si="15"/>
        <v>11096000</v>
      </c>
    </row>
    <row r="185" spans="1:55" x14ac:dyDescent="0.3">
      <c r="A185" s="6" t="str">
        <f>IFERROR(VLOOKUP($F185,매장구분!$B:$K,2,0),"")</f>
        <v>리테일채널팀</v>
      </c>
      <c r="B185" s="6" t="str">
        <f>IFERROR(VLOOKUP($F185,매장구분!$B:$K,3,0),"")</f>
        <v>국내</v>
      </c>
      <c r="C185" s="6" t="str">
        <f>IFERROR(VLOOKUP($F185,매장구분!$B:$K,5,0),"")</f>
        <v>상설(위탁)</v>
      </c>
      <c r="D185" s="6" t="str">
        <f>IFERROR(VLOOKUP($F185,매장구분!$B:$Z,9,0),"")</f>
        <v>롯데아울렛파주(상-위)</v>
      </c>
      <c r="E185" s="69" t="s">
        <v>217</v>
      </c>
      <c r="F185" s="69" t="s">
        <v>218</v>
      </c>
      <c r="G185" s="69">
        <v>314</v>
      </c>
      <c r="H185" s="69">
        <v>14767000</v>
      </c>
      <c r="I185" s="69">
        <v>15037000</v>
      </c>
      <c r="J185" s="69">
        <v>316</v>
      </c>
      <c r="K185" s="69">
        <v>14839000</v>
      </c>
      <c r="L185" s="69">
        <v>15109000</v>
      </c>
      <c r="M185" s="69">
        <v>-2</v>
      </c>
      <c r="N185" s="69">
        <v>-72000</v>
      </c>
      <c r="O185" s="69">
        <v>-72000</v>
      </c>
      <c r="P185" s="69">
        <v>3369000</v>
      </c>
      <c r="Q185" s="69">
        <v>612000</v>
      </c>
      <c r="R185" s="69">
        <v>696000</v>
      </c>
      <c r="S185" s="69">
        <v>186000</v>
      </c>
      <c r="T185" s="69">
        <v>180000</v>
      </c>
      <c r="U185" s="69">
        <v>626000</v>
      </c>
      <c r="V185" s="69">
        <v>498000</v>
      </c>
      <c r="W185" s="69">
        <v>1459000</v>
      </c>
      <c r="X185" s="69">
        <v>931000</v>
      </c>
      <c r="Y185" s="69">
        <v>216000</v>
      </c>
      <c r="Z185" s="69">
        <v>0</v>
      </c>
      <c r="AA185" s="69">
        <v>0</v>
      </c>
      <c r="AB185" s="69">
        <v>538000</v>
      </c>
      <c r="AC185" s="69">
        <v>108000</v>
      </c>
      <c r="AD185" s="69">
        <v>540000</v>
      </c>
      <c r="AE185" s="69">
        <v>1002000</v>
      </c>
      <c r="AF185" s="69">
        <v>216000</v>
      </c>
      <c r="AG185" s="69">
        <v>252000</v>
      </c>
      <c r="AH185" s="69">
        <v>72000</v>
      </c>
      <c r="AI185" s="69">
        <v>108000</v>
      </c>
      <c r="AJ185" s="69">
        <v>379000</v>
      </c>
      <c r="AK185" s="69">
        <v>1041000</v>
      </c>
      <c r="AL185" s="69">
        <v>1738000</v>
      </c>
      <c r="AM185" s="69"/>
      <c r="AN185" s="69"/>
      <c r="AO185" s="69"/>
      <c r="AP185" s="69"/>
      <c r="AQ185" s="69"/>
      <c r="AR185" s="69"/>
      <c r="AS185" s="69"/>
      <c r="AT185" s="69"/>
      <c r="AU185" s="6"/>
      <c r="AV185" s="6"/>
      <c r="AW185" s="6">
        <f t="shared" si="18"/>
        <v>3981000</v>
      </c>
      <c r="AX185" s="6">
        <f t="shared" si="18"/>
        <v>4576000</v>
      </c>
      <c r="AY185" s="6">
        <f t="shared" si="18"/>
        <v>2404000</v>
      </c>
      <c r="AZ185" s="6">
        <f t="shared" si="18"/>
        <v>3806000</v>
      </c>
      <c r="BA185" s="6">
        <f t="shared" si="18"/>
        <v>0</v>
      </c>
      <c r="BC185" s="66">
        <f t="shared" ca="1" si="15"/>
        <v>14767000</v>
      </c>
    </row>
    <row r="186" spans="1:55" x14ac:dyDescent="0.3">
      <c r="A186" s="6" t="str">
        <f>IFERROR(VLOOKUP($F186,매장구분!$B:$K,2,0),"")</f>
        <v>리테일채널팀</v>
      </c>
      <c r="B186" s="6" t="str">
        <f>IFERROR(VLOOKUP($F186,매장구분!$B:$K,3,0),"")</f>
        <v>국내</v>
      </c>
      <c r="C186" s="6" t="str">
        <f>IFERROR(VLOOKUP($F186,매장구분!$B:$K,5,0),"")</f>
        <v>상설(위탁)</v>
      </c>
      <c r="D186" s="6" t="str">
        <f>IFERROR(VLOOKUP($F186,매장구분!$B:$Z,9,0),"")</f>
        <v>롯데아울렛군산(상-위)</v>
      </c>
      <c r="E186" s="69" t="s">
        <v>562</v>
      </c>
      <c r="F186" s="69" t="s">
        <v>563</v>
      </c>
      <c r="G186" s="69">
        <v>62</v>
      </c>
      <c r="H186" s="69">
        <v>2245000</v>
      </c>
      <c r="I186" s="69">
        <v>2245000</v>
      </c>
      <c r="J186" s="69">
        <v>63</v>
      </c>
      <c r="K186" s="69">
        <v>2281000</v>
      </c>
      <c r="L186" s="69">
        <v>2281000</v>
      </c>
      <c r="M186" s="69">
        <v>-1</v>
      </c>
      <c r="N186" s="69">
        <v>-36000</v>
      </c>
      <c r="O186" s="69">
        <v>-36000</v>
      </c>
      <c r="P186" s="69">
        <v>144000</v>
      </c>
      <c r="Q186" s="69">
        <v>180000</v>
      </c>
      <c r="R186" s="69">
        <v>0</v>
      </c>
      <c r="S186" s="69">
        <v>72000</v>
      </c>
      <c r="T186" s="69">
        <v>108000</v>
      </c>
      <c r="U186" s="69">
        <v>36000</v>
      </c>
      <c r="V186" s="69">
        <v>0</v>
      </c>
      <c r="W186" s="69">
        <v>216000</v>
      </c>
      <c r="X186" s="69">
        <v>108000</v>
      </c>
      <c r="Y186" s="69">
        <v>72000</v>
      </c>
      <c r="Z186" s="69">
        <v>36000</v>
      </c>
      <c r="AA186" s="69">
        <v>36000</v>
      </c>
      <c r="AB186" s="69">
        <v>72000</v>
      </c>
      <c r="AC186" s="69">
        <v>108000</v>
      </c>
      <c r="AD186" s="69">
        <v>108000</v>
      </c>
      <c r="AE186" s="69">
        <v>360000</v>
      </c>
      <c r="AF186" s="69">
        <v>72000</v>
      </c>
      <c r="AG186" s="69">
        <v>72000</v>
      </c>
      <c r="AH186" s="69">
        <v>0</v>
      </c>
      <c r="AI186" s="69">
        <v>0</v>
      </c>
      <c r="AJ186" s="69">
        <v>72000</v>
      </c>
      <c r="AK186" s="69">
        <v>157000</v>
      </c>
      <c r="AL186" s="69">
        <v>216000</v>
      </c>
      <c r="AM186" s="69"/>
      <c r="AN186" s="69"/>
      <c r="AO186" s="69"/>
      <c r="AP186" s="69"/>
      <c r="AQ186" s="69"/>
      <c r="AR186" s="69"/>
      <c r="AS186" s="69"/>
      <c r="AT186" s="69"/>
      <c r="AU186" s="6"/>
      <c r="AV186" s="6"/>
      <c r="AW186" s="6">
        <f t="shared" si="18"/>
        <v>324000</v>
      </c>
      <c r="AX186" s="6">
        <f t="shared" si="18"/>
        <v>540000</v>
      </c>
      <c r="AY186" s="6">
        <f t="shared" si="18"/>
        <v>792000</v>
      </c>
      <c r="AZ186" s="6">
        <f t="shared" si="18"/>
        <v>589000</v>
      </c>
      <c r="BA186" s="6">
        <f t="shared" si="18"/>
        <v>0</v>
      </c>
      <c r="BC186" s="66">
        <f t="shared" ca="1" si="15"/>
        <v>2245000</v>
      </c>
    </row>
    <row r="187" spans="1:55" x14ac:dyDescent="0.3">
      <c r="A187" s="6" t="str">
        <f>IFERROR(VLOOKUP($F187,매장구분!$B:$K,2,0),"")</f>
        <v>E-biz</v>
      </c>
      <c r="B187" s="6" t="str">
        <f>IFERROR(VLOOKUP($F187,매장구분!$B:$K,3,0),"")</f>
        <v>국내</v>
      </c>
      <c r="C187" s="6" t="str">
        <f>IFERROR(VLOOKUP($F187,매장구분!$B:$K,5,0),"")</f>
        <v>온(제휴몰)</v>
      </c>
      <c r="D187" s="6" t="str">
        <f>IFERROR(VLOOKUP($F187,매장구분!$B:$Z,9,0),"")</f>
        <v>무신사(제휴몰)</v>
      </c>
      <c r="E187" s="69" t="s">
        <v>183</v>
      </c>
      <c r="F187" s="69" t="s">
        <v>184</v>
      </c>
      <c r="G187" s="69">
        <v>10848</v>
      </c>
      <c r="H187" s="69">
        <v>895978600</v>
      </c>
      <c r="I187" s="69">
        <v>904448500</v>
      </c>
      <c r="J187" s="69">
        <v>11497</v>
      </c>
      <c r="K187" s="69">
        <v>964385400</v>
      </c>
      <c r="L187" s="69">
        <v>974512500</v>
      </c>
      <c r="M187" s="69">
        <v>-649</v>
      </c>
      <c r="N187" s="69">
        <v>-68406800</v>
      </c>
      <c r="O187" s="69">
        <v>-70064000</v>
      </c>
      <c r="P187" s="69">
        <v>-43000</v>
      </c>
      <c r="Q187" s="69">
        <v>42585400</v>
      </c>
      <c r="R187" s="69">
        <v>62645600</v>
      </c>
      <c r="S187" s="69">
        <v>35178100</v>
      </c>
      <c r="T187" s="69">
        <v>33487800</v>
      </c>
      <c r="U187" s="69">
        <v>28586400</v>
      </c>
      <c r="V187" s="69">
        <v>21917800</v>
      </c>
      <c r="W187" s="69">
        <v>0</v>
      </c>
      <c r="X187" s="69">
        <v>34238200</v>
      </c>
      <c r="Y187" s="69">
        <v>40422300</v>
      </c>
      <c r="Z187" s="69">
        <v>31453200</v>
      </c>
      <c r="AA187" s="69">
        <v>38719800</v>
      </c>
      <c r="AB187" s="69">
        <v>21995900</v>
      </c>
      <c r="AC187" s="69">
        <v>24477000</v>
      </c>
      <c r="AD187" s="69">
        <v>0</v>
      </c>
      <c r="AE187" s="69">
        <v>37973000</v>
      </c>
      <c r="AF187" s="69">
        <v>86793400</v>
      </c>
      <c r="AG187" s="69">
        <v>76501700</v>
      </c>
      <c r="AH187" s="69">
        <v>88084600</v>
      </c>
      <c r="AI187" s="69">
        <v>68774500</v>
      </c>
      <c r="AJ187" s="69">
        <v>56014500</v>
      </c>
      <c r="AK187" s="69">
        <v>0</v>
      </c>
      <c r="AL187" s="69">
        <v>66172400</v>
      </c>
      <c r="AM187" s="69"/>
      <c r="AN187" s="69"/>
      <c r="AO187" s="69"/>
      <c r="AP187" s="69"/>
      <c r="AQ187" s="69"/>
      <c r="AR187" s="69"/>
      <c r="AS187" s="69"/>
      <c r="AT187" s="69"/>
      <c r="AU187" s="6"/>
      <c r="AV187" s="6"/>
      <c r="AW187" s="6">
        <f t="shared" ref="AW187:BA202" si="19">SUMIFS($P187:$AS187,$P$3:$AS$3,AW$3)</f>
        <v>42542400</v>
      </c>
      <c r="AX187" s="6">
        <f t="shared" si="19"/>
        <v>216053900</v>
      </c>
      <c r="AY187" s="6">
        <f t="shared" si="19"/>
        <v>195041200</v>
      </c>
      <c r="AZ187" s="6">
        <f t="shared" si="19"/>
        <v>442341100</v>
      </c>
      <c r="BA187" s="6">
        <f t="shared" si="19"/>
        <v>0</v>
      </c>
      <c r="BC187" s="66">
        <f t="shared" ca="1" si="15"/>
        <v>895978600</v>
      </c>
    </row>
    <row r="188" spans="1:55" x14ac:dyDescent="0.3">
      <c r="A188" s="6" t="str">
        <f>IFERROR(VLOOKUP($F188,매장구분!$B:$K,2,0),"")</f>
        <v>E-biz</v>
      </c>
      <c r="B188" s="6" t="str">
        <f>IFERROR(VLOOKUP($F188,매장구분!$B:$K,3,0),"")</f>
        <v>국내</v>
      </c>
      <c r="C188" s="6" t="str">
        <f>IFERROR(VLOOKUP($F188,매장구분!$B:$K,5,0),"")</f>
        <v>온(제휴몰)</v>
      </c>
      <c r="D188" s="6" t="str">
        <f>IFERROR(VLOOKUP($F188,매장구분!$B:$Z,9,0),"")</f>
        <v>네이버스토어(제휴몰)</v>
      </c>
      <c r="E188" s="69" t="s">
        <v>207</v>
      </c>
      <c r="F188" s="69" t="s">
        <v>208</v>
      </c>
      <c r="G188" s="69">
        <v>4215</v>
      </c>
      <c r="H188" s="69">
        <v>331413800</v>
      </c>
      <c r="I188" s="69">
        <v>341949200</v>
      </c>
      <c r="J188" s="69">
        <v>4552</v>
      </c>
      <c r="K188" s="69">
        <v>368089400</v>
      </c>
      <c r="L188" s="69">
        <v>379216200</v>
      </c>
      <c r="M188" s="69">
        <v>-337</v>
      </c>
      <c r="N188" s="69">
        <v>-36675600</v>
      </c>
      <c r="O188" s="69">
        <v>-37267000</v>
      </c>
      <c r="P188" s="69">
        <v>0</v>
      </c>
      <c r="Q188" s="69">
        <v>9259600</v>
      </c>
      <c r="R188" s="69">
        <v>26339300</v>
      </c>
      <c r="S188" s="69">
        <v>9532500</v>
      </c>
      <c r="T188" s="69">
        <v>7004100</v>
      </c>
      <c r="U188" s="69">
        <v>9246500</v>
      </c>
      <c r="V188" s="69">
        <v>10224800</v>
      </c>
      <c r="W188" s="69">
        <v>0</v>
      </c>
      <c r="X188" s="69">
        <v>8187000</v>
      </c>
      <c r="Y188" s="69">
        <v>26730900</v>
      </c>
      <c r="Z188" s="69">
        <v>15568900</v>
      </c>
      <c r="AA188" s="69">
        <v>19856200</v>
      </c>
      <c r="AB188" s="69">
        <v>18733400</v>
      </c>
      <c r="AC188" s="69">
        <v>14441000</v>
      </c>
      <c r="AD188" s="69">
        <v>0</v>
      </c>
      <c r="AE188" s="69">
        <v>14121700</v>
      </c>
      <c r="AF188" s="69">
        <v>39876600</v>
      </c>
      <c r="AG188" s="69">
        <v>30340100</v>
      </c>
      <c r="AH188" s="69">
        <v>26851300</v>
      </c>
      <c r="AI188" s="69">
        <v>19380700</v>
      </c>
      <c r="AJ188" s="69">
        <v>18024300</v>
      </c>
      <c r="AK188" s="69">
        <v>0</v>
      </c>
      <c r="AL188" s="69">
        <v>7694900</v>
      </c>
      <c r="AM188" s="69"/>
      <c r="AN188" s="69"/>
      <c r="AO188" s="69"/>
      <c r="AP188" s="69"/>
      <c r="AQ188" s="69"/>
      <c r="AR188" s="69"/>
      <c r="AS188" s="69"/>
      <c r="AT188" s="69"/>
      <c r="AU188" s="6"/>
      <c r="AV188" s="6"/>
      <c r="AW188" s="6">
        <f t="shared" si="19"/>
        <v>9259600</v>
      </c>
      <c r="AX188" s="6">
        <f t="shared" si="19"/>
        <v>70534200</v>
      </c>
      <c r="AY188" s="6">
        <f t="shared" si="19"/>
        <v>109452100</v>
      </c>
      <c r="AZ188" s="6">
        <f t="shared" si="19"/>
        <v>142167900</v>
      </c>
      <c r="BA188" s="6">
        <f t="shared" si="19"/>
        <v>0</v>
      </c>
      <c r="BC188" s="66">
        <f t="shared" ca="1" si="15"/>
        <v>331413800</v>
      </c>
    </row>
    <row r="189" spans="1:55" x14ac:dyDescent="0.3">
      <c r="A189" s="6" t="str">
        <f>IFERROR(VLOOKUP($F189,매장구분!$B:$K,2,0),"")</f>
        <v>E-biz</v>
      </c>
      <c r="B189" s="6" t="str">
        <f>IFERROR(VLOOKUP($F189,매장구분!$B:$K,3,0),"")</f>
        <v>국내</v>
      </c>
      <c r="C189" s="6" t="str">
        <f>IFERROR(VLOOKUP($F189,매장구분!$B:$K,5,0),"")</f>
        <v>온(제휴몰)</v>
      </c>
      <c r="D189" s="6" t="str">
        <f>IFERROR(VLOOKUP($F189,매장구분!$B:$Z,9,0),"")</f>
        <v>카카오선물하기(제휴몰)</v>
      </c>
      <c r="E189" s="69" t="s">
        <v>209</v>
      </c>
      <c r="F189" s="69" t="s">
        <v>210</v>
      </c>
      <c r="G189" s="69">
        <v>2886</v>
      </c>
      <c r="H189" s="69">
        <v>111499800</v>
      </c>
      <c r="I189" s="69">
        <v>111707700</v>
      </c>
      <c r="J189" s="69">
        <v>2930</v>
      </c>
      <c r="K189" s="69">
        <v>113563800</v>
      </c>
      <c r="L189" s="69">
        <v>113771700</v>
      </c>
      <c r="M189" s="69">
        <v>-44</v>
      </c>
      <c r="N189" s="69">
        <v>-2064000</v>
      </c>
      <c r="O189" s="69">
        <v>-2064000</v>
      </c>
      <c r="P189" s="69">
        <v>0</v>
      </c>
      <c r="Q189" s="69">
        <v>9481000</v>
      </c>
      <c r="R189" s="69">
        <v>13531600</v>
      </c>
      <c r="S189" s="69">
        <v>5267900</v>
      </c>
      <c r="T189" s="69">
        <v>4868900</v>
      </c>
      <c r="U189" s="69">
        <v>4934000</v>
      </c>
      <c r="V189" s="69">
        <v>3978000</v>
      </c>
      <c r="W189" s="69">
        <v>0</v>
      </c>
      <c r="X189" s="69">
        <v>4845000</v>
      </c>
      <c r="Y189" s="69">
        <v>8466000</v>
      </c>
      <c r="Z189" s="69">
        <v>6721000</v>
      </c>
      <c r="AA189" s="69">
        <v>6661000</v>
      </c>
      <c r="AB189" s="69">
        <v>5488900</v>
      </c>
      <c r="AC189" s="69">
        <v>4376000</v>
      </c>
      <c r="AD189" s="69">
        <v>0</v>
      </c>
      <c r="AE189" s="69">
        <v>6842000</v>
      </c>
      <c r="AF189" s="69">
        <v>5878000</v>
      </c>
      <c r="AG189" s="69">
        <v>5428000</v>
      </c>
      <c r="AH189" s="69">
        <v>4949000</v>
      </c>
      <c r="AI189" s="69">
        <v>4768000</v>
      </c>
      <c r="AJ189" s="69">
        <v>4163500</v>
      </c>
      <c r="AK189" s="69">
        <v>43000</v>
      </c>
      <c r="AL189" s="69">
        <v>809000</v>
      </c>
      <c r="AM189" s="69"/>
      <c r="AN189" s="69"/>
      <c r="AO189" s="69"/>
      <c r="AP189" s="69"/>
      <c r="AQ189" s="69"/>
      <c r="AR189" s="69"/>
      <c r="AS189" s="69"/>
      <c r="AT189" s="69"/>
      <c r="AU189" s="6"/>
      <c r="AV189" s="6"/>
      <c r="AW189" s="6">
        <f t="shared" si="19"/>
        <v>9481000</v>
      </c>
      <c r="AX189" s="6">
        <f t="shared" si="19"/>
        <v>37425400</v>
      </c>
      <c r="AY189" s="6">
        <f t="shared" si="19"/>
        <v>38554900</v>
      </c>
      <c r="AZ189" s="6">
        <f t="shared" si="19"/>
        <v>26038500</v>
      </c>
      <c r="BA189" s="6">
        <f t="shared" si="19"/>
        <v>0</v>
      </c>
      <c r="BC189" s="66">
        <f t="shared" ca="1" si="15"/>
        <v>111499800</v>
      </c>
    </row>
    <row r="190" spans="1:55" x14ac:dyDescent="0.3">
      <c r="A190" s="6" t="str">
        <f>IFERROR(VLOOKUP($F190,매장구분!$B:$K,2,0),"")</f>
        <v>E-biz</v>
      </c>
      <c r="B190" s="6" t="str">
        <f>IFERROR(VLOOKUP($F190,매장구분!$B:$K,3,0),"")</f>
        <v>국내</v>
      </c>
      <c r="C190" s="6" t="str">
        <f>IFERROR(VLOOKUP($F190,매장구분!$B:$K,5,0),"")</f>
        <v>온(제휴몰)</v>
      </c>
      <c r="D190" s="6" t="str">
        <f>IFERROR(VLOOKUP($F190,매장구분!$B:$Z,9,0),"")</f>
        <v>29CM(제휴몰)</v>
      </c>
      <c r="E190" s="69" t="s">
        <v>518</v>
      </c>
      <c r="F190" s="69" t="s">
        <v>519</v>
      </c>
      <c r="G190" s="69">
        <v>1822</v>
      </c>
      <c r="H190" s="69">
        <v>132278700</v>
      </c>
      <c r="I190" s="69">
        <v>133089300</v>
      </c>
      <c r="J190" s="69">
        <v>1970</v>
      </c>
      <c r="K190" s="69">
        <v>152000500</v>
      </c>
      <c r="L190" s="69">
        <v>152876300</v>
      </c>
      <c r="M190" s="69">
        <v>-148</v>
      </c>
      <c r="N190" s="69">
        <v>-19721800</v>
      </c>
      <c r="O190" s="69">
        <v>-19787000</v>
      </c>
      <c r="P190" s="69">
        <v>0</v>
      </c>
      <c r="Q190" s="69">
        <v>6449000</v>
      </c>
      <c r="R190" s="69">
        <v>8618900</v>
      </c>
      <c r="S190" s="69">
        <v>14842700</v>
      </c>
      <c r="T190" s="69">
        <v>12509000</v>
      </c>
      <c r="U190" s="69">
        <v>6316300</v>
      </c>
      <c r="V190" s="69">
        <v>7934800</v>
      </c>
      <c r="W190" s="69">
        <v>0</v>
      </c>
      <c r="X190" s="69">
        <v>11690400</v>
      </c>
      <c r="Y190" s="69">
        <v>13184000</v>
      </c>
      <c r="Z190" s="69">
        <v>4473500</v>
      </c>
      <c r="AA190" s="69">
        <v>8632000</v>
      </c>
      <c r="AB190" s="69">
        <v>6395000</v>
      </c>
      <c r="AC190" s="69">
        <v>5415000</v>
      </c>
      <c r="AD190" s="69">
        <v>0</v>
      </c>
      <c r="AE190" s="69">
        <v>6726900</v>
      </c>
      <c r="AF190" s="69">
        <v>7231900</v>
      </c>
      <c r="AG190" s="69">
        <v>4518300</v>
      </c>
      <c r="AH190" s="69">
        <v>241000</v>
      </c>
      <c r="AI190" s="69">
        <v>1127000</v>
      </c>
      <c r="AJ190" s="69">
        <v>2388000</v>
      </c>
      <c r="AK190" s="69">
        <v>0</v>
      </c>
      <c r="AL190" s="69">
        <v>3585000</v>
      </c>
      <c r="AM190" s="69"/>
      <c r="AN190" s="69"/>
      <c r="AO190" s="69"/>
      <c r="AP190" s="69"/>
      <c r="AQ190" s="69"/>
      <c r="AR190" s="69"/>
      <c r="AS190" s="69"/>
      <c r="AT190" s="69"/>
      <c r="AU190" s="6"/>
      <c r="AV190" s="6"/>
      <c r="AW190" s="6">
        <f t="shared" si="19"/>
        <v>6449000</v>
      </c>
      <c r="AX190" s="6">
        <f t="shared" si="19"/>
        <v>61912100</v>
      </c>
      <c r="AY190" s="6">
        <f t="shared" si="19"/>
        <v>44826400</v>
      </c>
      <c r="AZ190" s="6">
        <f t="shared" si="19"/>
        <v>19091200</v>
      </c>
      <c r="BA190" s="6">
        <f t="shared" si="19"/>
        <v>0</v>
      </c>
      <c r="BC190" s="66">
        <f t="shared" ca="1" si="15"/>
        <v>132278700</v>
      </c>
    </row>
    <row r="191" spans="1:55" x14ac:dyDescent="0.3">
      <c r="A191" s="6" t="str">
        <f>IFERROR(VLOOKUP($F191,매장구분!$B:$K,2,0),"")</f>
        <v>E-biz</v>
      </c>
      <c r="B191" s="6" t="str">
        <f>IFERROR(VLOOKUP($F191,매장구분!$B:$K,3,0),"")</f>
        <v>국내</v>
      </c>
      <c r="C191" s="6" t="str">
        <f>IFERROR(VLOOKUP($F191,매장구분!$B:$K,5,0),"")</f>
        <v>온(제휴몰)</v>
      </c>
      <c r="D191" s="6" t="str">
        <f>IFERROR(VLOOKUP($F191,매장구분!$B:$Z,9,0),"")</f>
        <v>SSG닷컴(제휴몰)</v>
      </c>
      <c r="E191" s="69" t="s">
        <v>498</v>
      </c>
      <c r="F191" s="69" t="s">
        <v>499</v>
      </c>
      <c r="G191" s="69">
        <v>765</v>
      </c>
      <c r="H191" s="69">
        <v>87549400</v>
      </c>
      <c r="I191" s="69">
        <v>88985700</v>
      </c>
      <c r="J191" s="69">
        <v>863</v>
      </c>
      <c r="K191" s="69">
        <v>107397900</v>
      </c>
      <c r="L191" s="69">
        <v>108862700</v>
      </c>
      <c r="M191" s="69">
        <v>-98</v>
      </c>
      <c r="N191" s="69">
        <v>-19848500</v>
      </c>
      <c r="O191" s="69">
        <v>-19877000</v>
      </c>
      <c r="P191" s="69">
        <v>0</v>
      </c>
      <c r="Q191" s="69">
        <v>8406900</v>
      </c>
      <c r="R191" s="69">
        <v>12584300</v>
      </c>
      <c r="S191" s="69">
        <v>8001800</v>
      </c>
      <c r="T191" s="69">
        <v>9880600</v>
      </c>
      <c r="U191" s="69">
        <v>6012000</v>
      </c>
      <c r="V191" s="69">
        <v>3921600</v>
      </c>
      <c r="W191" s="69">
        <v>0</v>
      </c>
      <c r="X191" s="69">
        <v>8400600</v>
      </c>
      <c r="Y191" s="69">
        <v>4478800</v>
      </c>
      <c r="Z191" s="69">
        <v>2061300</v>
      </c>
      <c r="AA191" s="69">
        <v>2678000</v>
      </c>
      <c r="AB191" s="69">
        <v>-630700</v>
      </c>
      <c r="AC191" s="69">
        <v>-198900</v>
      </c>
      <c r="AD191" s="69">
        <v>0</v>
      </c>
      <c r="AE191" s="69">
        <v>3196800</v>
      </c>
      <c r="AF191" s="69">
        <v>2631000</v>
      </c>
      <c r="AG191" s="69">
        <v>3661000</v>
      </c>
      <c r="AH191" s="69">
        <v>5252900</v>
      </c>
      <c r="AI191" s="69">
        <v>2730900</v>
      </c>
      <c r="AJ191" s="69">
        <v>2571000</v>
      </c>
      <c r="AK191" s="69">
        <v>0</v>
      </c>
      <c r="AL191" s="69">
        <v>1909500</v>
      </c>
      <c r="AM191" s="69"/>
      <c r="AN191" s="69"/>
      <c r="AO191" s="69"/>
      <c r="AP191" s="69"/>
      <c r="AQ191" s="69"/>
      <c r="AR191" s="69"/>
      <c r="AS191" s="69"/>
      <c r="AT191" s="69"/>
      <c r="AU191" s="6"/>
      <c r="AV191" s="6"/>
      <c r="AW191" s="6">
        <f t="shared" si="19"/>
        <v>8406900</v>
      </c>
      <c r="AX191" s="6">
        <f t="shared" si="19"/>
        <v>48800900</v>
      </c>
      <c r="AY191" s="6">
        <f t="shared" si="19"/>
        <v>11585300</v>
      </c>
      <c r="AZ191" s="6">
        <f t="shared" si="19"/>
        <v>18756300</v>
      </c>
      <c r="BA191" s="6">
        <f t="shared" si="19"/>
        <v>0</v>
      </c>
      <c r="BC191" s="66">
        <f t="shared" ca="1" si="15"/>
        <v>87549400</v>
      </c>
    </row>
    <row r="192" spans="1:55" x14ac:dyDescent="0.3">
      <c r="A192" s="6" t="str">
        <f>IFERROR(VLOOKUP($F192,매장구분!$B:$K,2,0),"")</f>
        <v>E-biz</v>
      </c>
      <c r="B192" s="6" t="str">
        <f>IFERROR(VLOOKUP($F192,매장구분!$B:$K,3,0),"")</f>
        <v>국내</v>
      </c>
      <c r="C192" s="6" t="str">
        <f>IFERROR(VLOOKUP($F192,매장구분!$B:$K,5,0),"")</f>
        <v>온(제휴몰)</v>
      </c>
      <c r="D192" s="6" t="str">
        <f>IFERROR(VLOOKUP($F192,매장구분!$B:$Z,9,0),"")</f>
        <v>롯데ON(제휴몰)</v>
      </c>
      <c r="E192" s="69" t="s">
        <v>253</v>
      </c>
      <c r="F192" s="69" t="s">
        <v>254</v>
      </c>
      <c r="G192" s="69">
        <v>1108</v>
      </c>
      <c r="H192" s="69">
        <v>90912700</v>
      </c>
      <c r="I192" s="69">
        <v>93695300</v>
      </c>
      <c r="J192" s="69">
        <v>1211</v>
      </c>
      <c r="K192" s="69">
        <v>103985400</v>
      </c>
      <c r="L192" s="69">
        <v>107435300</v>
      </c>
      <c r="M192" s="69">
        <v>-103</v>
      </c>
      <c r="N192" s="69">
        <v>-13072700</v>
      </c>
      <c r="O192" s="69">
        <v>-13740000</v>
      </c>
      <c r="P192" s="69">
        <v>0</v>
      </c>
      <c r="Q192" s="69">
        <v>5801400</v>
      </c>
      <c r="R192" s="69">
        <v>6608800</v>
      </c>
      <c r="S192" s="69">
        <v>5288200</v>
      </c>
      <c r="T192" s="69">
        <v>3455900</v>
      </c>
      <c r="U192" s="69">
        <v>1853400</v>
      </c>
      <c r="V192" s="69">
        <v>5516100</v>
      </c>
      <c r="W192" s="69">
        <v>0</v>
      </c>
      <c r="X192" s="69">
        <v>5987400</v>
      </c>
      <c r="Y192" s="69">
        <v>6045000</v>
      </c>
      <c r="Z192" s="69">
        <v>2039000</v>
      </c>
      <c r="AA192" s="69">
        <v>4555700</v>
      </c>
      <c r="AB192" s="69">
        <v>4698000</v>
      </c>
      <c r="AC192" s="69">
        <v>3573300</v>
      </c>
      <c r="AD192" s="69">
        <v>0</v>
      </c>
      <c r="AE192" s="69">
        <v>8220800</v>
      </c>
      <c r="AF192" s="69">
        <v>8825500</v>
      </c>
      <c r="AG192" s="69">
        <v>4748800</v>
      </c>
      <c r="AH192" s="69">
        <v>4227900</v>
      </c>
      <c r="AI192" s="69">
        <v>4356400</v>
      </c>
      <c r="AJ192" s="69">
        <v>2674600</v>
      </c>
      <c r="AK192" s="69">
        <v>0</v>
      </c>
      <c r="AL192" s="69">
        <v>2436500</v>
      </c>
      <c r="AM192" s="69"/>
      <c r="AN192" s="69"/>
      <c r="AO192" s="69"/>
      <c r="AP192" s="69"/>
      <c r="AQ192" s="69"/>
      <c r="AR192" s="69"/>
      <c r="AS192" s="69"/>
      <c r="AT192" s="69"/>
      <c r="AU192" s="6"/>
      <c r="AV192" s="6"/>
      <c r="AW192" s="6">
        <f t="shared" si="19"/>
        <v>5801400</v>
      </c>
      <c r="AX192" s="6">
        <f t="shared" si="19"/>
        <v>28709800</v>
      </c>
      <c r="AY192" s="6">
        <f t="shared" si="19"/>
        <v>29131800</v>
      </c>
      <c r="AZ192" s="6">
        <f t="shared" si="19"/>
        <v>27269700</v>
      </c>
      <c r="BA192" s="6">
        <f t="shared" si="19"/>
        <v>0</v>
      </c>
      <c r="BC192" s="66">
        <f t="shared" ca="1" si="15"/>
        <v>90912700</v>
      </c>
    </row>
    <row r="193" spans="1:55" x14ac:dyDescent="0.3">
      <c r="A193" s="6" t="str">
        <f>IFERROR(VLOOKUP($F193,매장구분!$B:$K,2,0),"")</f>
        <v>E-biz</v>
      </c>
      <c r="B193" s="6" t="str">
        <f>IFERROR(VLOOKUP($F193,매장구분!$B:$K,3,0),"")</f>
        <v>국내</v>
      </c>
      <c r="C193" s="6" t="str">
        <f>IFERROR(VLOOKUP($F193,매장구분!$B:$K,5,0),"")</f>
        <v>온(제휴몰)</v>
      </c>
      <c r="D193" s="6" t="str">
        <f>IFERROR(VLOOKUP($F193,매장구분!$B:$Z,9,0),"")</f>
        <v>SSF샵(제휴몰)</v>
      </c>
      <c r="E193" s="69" t="s">
        <v>342</v>
      </c>
      <c r="F193" s="69" t="s">
        <v>343</v>
      </c>
      <c r="G193" s="69">
        <v>987</v>
      </c>
      <c r="H193" s="69">
        <v>102807100</v>
      </c>
      <c r="I193" s="69">
        <v>121741800</v>
      </c>
      <c r="J193" s="69">
        <v>1043</v>
      </c>
      <c r="K193" s="69">
        <v>110973300</v>
      </c>
      <c r="L193" s="69">
        <v>130286800</v>
      </c>
      <c r="M193" s="69">
        <v>-56</v>
      </c>
      <c r="N193" s="69">
        <v>-8166200</v>
      </c>
      <c r="O193" s="69">
        <v>-8545000</v>
      </c>
      <c r="P193" s="69">
        <v>0</v>
      </c>
      <c r="Q193" s="69">
        <v>4931400</v>
      </c>
      <c r="R193" s="69">
        <v>6283600</v>
      </c>
      <c r="S193" s="69">
        <v>1599700</v>
      </c>
      <c r="T193" s="69">
        <v>577000</v>
      </c>
      <c r="U193" s="69">
        <v>669900</v>
      </c>
      <c r="V193" s="69">
        <v>350500</v>
      </c>
      <c r="W193" s="69">
        <v>0</v>
      </c>
      <c r="X193" s="69">
        <v>3256500</v>
      </c>
      <c r="Y193" s="69">
        <v>5853400</v>
      </c>
      <c r="Z193" s="69">
        <v>6173200</v>
      </c>
      <c r="AA193" s="69">
        <v>6054800</v>
      </c>
      <c r="AB193" s="69">
        <v>4143500</v>
      </c>
      <c r="AC193" s="69">
        <v>5197300</v>
      </c>
      <c r="AD193" s="69">
        <v>0</v>
      </c>
      <c r="AE193" s="69">
        <v>10706100</v>
      </c>
      <c r="AF193" s="69">
        <v>15990900</v>
      </c>
      <c r="AG193" s="69">
        <v>6733700</v>
      </c>
      <c r="AH193" s="69">
        <v>9696600</v>
      </c>
      <c r="AI193" s="69">
        <v>7370200</v>
      </c>
      <c r="AJ193" s="69">
        <v>4389500</v>
      </c>
      <c r="AK193" s="69">
        <v>0</v>
      </c>
      <c r="AL193" s="69">
        <v>2829300</v>
      </c>
      <c r="AM193" s="69"/>
      <c r="AN193" s="69"/>
      <c r="AO193" s="69"/>
      <c r="AP193" s="69"/>
      <c r="AQ193" s="69"/>
      <c r="AR193" s="69"/>
      <c r="AS193" s="69"/>
      <c r="AT193" s="69"/>
      <c r="AU193" s="6"/>
      <c r="AV193" s="6"/>
      <c r="AW193" s="6">
        <f t="shared" si="19"/>
        <v>4931400</v>
      </c>
      <c r="AX193" s="6">
        <f t="shared" si="19"/>
        <v>12737200</v>
      </c>
      <c r="AY193" s="6">
        <f t="shared" si="19"/>
        <v>38128300</v>
      </c>
      <c r="AZ193" s="6">
        <f t="shared" si="19"/>
        <v>47010200</v>
      </c>
      <c r="BA193" s="6">
        <f t="shared" si="19"/>
        <v>0</v>
      </c>
      <c r="BC193" s="66">
        <f t="shared" ca="1" si="15"/>
        <v>102807100</v>
      </c>
    </row>
    <row r="194" spans="1:55" x14ac:dyDescent="0.3">
      <c r="A194" s="6" t="str">
        <f>IFERROR(VLOOKUP($F194,매장구분!$B:$K,2,0),"")</f>
        <v>E-biz</v>
      </c>
      <c r="B194" s="6" t="str">
        <f>IFERROR(VLOOKUP($F194,매장구분!$B:$K,3,0),"")</f>
        <v>국내</v>
      </c>
      <c r="C194" s="6" t="str">
        <f>IFERROR(VLOOKUP($F194,매장구분!$B:$K,5,0),"")</f>
        <v>온(제휴몰)</v>
      </c>
      <c r="D194" s="6" t="str">
        <f>IFERROR(VLOOKUP($F194,매장구분!$B:$Z,9,0),"")</f>
        <v>CJ온스타일(제휴몰)</v>
      </c>
      <c r="E194" s="69" t="s">
        <v>279</v>
      </c>
      <c r="F194" s="69" t="s">
        <v>280</v>
      </c>
      <c r="G194" s="69">
        <v>172</v>
      </c>
      <c r="H194" s="69">
        <v>13334800</v>
      </c>
      <c r="I194" s="69">
        <v>13866400</v>
      </c>
      <c r="J194" s="69">
        <v>183</v>
      </c>
      <c r="K194" s="69">
        <v>14537800</v>
      </c>
      <c r="L194" s="69">
        <v>15069400</v>
      </c>
      <c r="M194" s="69">
        <v>-11</v>
      </c>
      <c r="N194" s="69">
        <v>-1203000</v>
      </c>
      <c r="O194" s="69">
        <v>-1203000</v>
      </c>
      <c r="P194" s="69">
        <v>0</v>
      </c>
      <c r="Q194" s="69">
        <v>1205300</v>
      </c>
      <c r="R194" s="69">
        <v>968500</v>
      </c>
      <c r="S194" s="69">
        <v>1056000</v>
      </c>
      <c r="T194" s="69">
        <v>248500</v>
      </c>
      <c r="U194" s="69">
        <v>400900</v>
      </c>
      <c r="V194" s="69">
        <v>576400</v>
      </c>
      <c r="W194" s="69">
        <v>0</v>
      </c>
      <c r="X194" s="69">
        <v>571500</v>
      </c>
      <c r="Y194" s="69">
        <v>1061500</v>
      </c>
      <c r="Z194" s="69">
        <v>285000</v>
      </c>
      <c r="AA194" s="69">
        <v>1202000</v>
      </c>
      <c r="AB194" s="69">
        <v>533800</v>
      </c>
      <c r="AC194" s="69">
        <v>731100</v>
      </c>
      <c r="AD194" s="69">
        <v>0</v>
      </c>
      <c r="AE194" s="69">
        <v>531500</v>
      </c>
      <c r="AF194" s="69">
        <v>1407300</v>
      </c>
      <c r="AG194" s="69">
        <v>341000</v>
      </c>
      <c r="AH194" s="69">
        <v>1468000</v>
      </c>
      <c r="AI194" s="69">
        <v>115000</v>
      </c>
      <c r="AJ194" s="69">
        <v>369500</v>
      </c>
      <c r="AK194" s="69">
        <v>0</v>
      </c>
      <c r="AL194" s="69">
        <v>262000</v>
      </c>
      <c r="AM194" s="69"/>
      <c r="AN194" s="69"/>
      <c r="AO194" s="69"/>
      <c r="AP194" s="69"/>
      <c r="AQ194" s="69"/>
      <c r="AR194" s="69"/>
      <c r="AS194" s="69"/>
      <c r="AT194" s="69"/>
      <c r="AU194" s="6"/>
      <c r="AV194" s="6"/>
      <c r="AW194" s="6">
        <f t="shared" si="19"/>
        <v>1205300</v>
      </c>
      <c r="AX194" s="6">
        <f t="shared" si="19"/>
        <v>3821800</v>
      </c>
      <c r="AY194" s="6">
        <f t="shared" si="19"/>
        <v>4344900</v>
      </c>
      <c r="AZ194" s="6">
        <f t="shared" si="19"/>
        <v>3962800</v>
      </c>
      <c r="BA194" s="6">
        <f t="shared" si="19"/>
        <v>0</v>
      </c>
      <c r="BC194" s="66">
        <f t="shared" ca="1" si="15"/>
        <v>13334800</v>
      </c>
    </row>
    <row r="195" spans="1:55" x14ac:dyDescent="0.3">
      <c r="A195" s="6" t="str">
        <f>IFERROR(VLOOKUP($F195,매장구분!$B:$K,2,0),"")</f>
        <v>E-biz</v>
      </c>
      <c r="B195" s="6" t="str">
        <f>IFERROR(VLOOKUP($F195,매장구분!$B:$K,3,0),"")</f>
        <v>국내</v>
      </c>
      <c r="C195" s="6" t="str">
        <f>IFERROR(VLOOKUP($F195,매장구분!$B:$K,5,0),"")</f>
        <v>온(제휴몰)</v>
      </c>
      <c r="D195" s="6" t="str">
        <f>IFERROR(VLOOKUP($F195,매장구분!$B:$Z,9,0),"")</f>
        <v>GS SHOP(제휴몰)</v>
      </c>
      <c r="E195" s="69" t="s">
        <v>550</v>
      </c>
      <c r="F195" s="69" t="s">
        <v>551</v>
      </c>
      <c r="G195" s="69">
        <v>561</v>
      </c>
      <c r="H195" s="69">
        <v>54227200</v>
      </c>
      <c r="I195" s="69">
        <v>58670800</v>
      </c>
      <c r="J195" s="69">
        <v>609</v>
      </c>
      <c r="K195" s="69">
        <v>60674700</v>
      </c>
      <c r="L195" s="69">
        <v>65518800</v>
      </c>
      <c r="M195" s="69">
        <v>-48</v>
      </c>
      <c r="N195" s="69">
        <v>-6447500</v>
      </c>
      <c r="O195" s="69">
        <v>-6848000</v>
      </c>
      <c r="P195" s="69">
        <v>0</v>
      </c>
      <c r="Q195" s="69">
        <v>2348800</v>
      </c>
      <c r="R195" s="69">
        <v>3010900</v>
      </c>
      <c r="S195" s="69">
        <v>1028100</v>
      </c>
      <c r="T195" s="69">
        <v>1425900</v>
      </c>
      <c r="U195" s="69">
        <v>1924900</v>
      </c>
      <c r="V195" s="69">
        <v>2021100</v>
      </c>
      <c r="W195" s="69">
        <v>0</v>
      </c>
      <c r="X195" s="69">
        <v>2361100</v>
      </c>
      <c r="Y195" s="69">
        <v>4128200</v>
      </c>
      <c r="Z195" s="69">
        <v>2134500</v>
      </c>
      <c r="AA195" s="69">
        <v>3999800</v>
      </c>
      <c r="AB195" s="69">
        <v>4662000</v>
      </c>
      <c r="AC195" s="69">
        <v>2508100</v>
      </c>
      <c r="AD195" s="69">
        <v>0</v>
      </c>
      <c r="AE195" s="69">
        <v>4957600</v>
      </c>
      <c r="AF195" s="69">
        <v>4505000</v>
      </c>
      <c r="AG195" s="69">
        <v>3320700</v>
      </c>
      <c r="AH195" s="69">
        <v>2538000</v>
      </c>
      <c r="AI195" s="69">
        <v>3128600</v>
      </c>
      <c r="AJ195" s="69">
        <v>2339300</v>
      </c>
      <c r="AK195" s="69">
        <v>0</v>
      </c>
      <c r="AL195" s="69">
        <v>1884600</v>
      </c>
      <c r="AM195" s="69"/>
      <c r="AN195" s="69"/>
      <c r="AO195" s="69"/>
      <c r="AP195" s="69"/>
      <c r="AQ195" s="69"/>
      <c r="AR195" s="69"/>
      <c r="AS195" s="69"/>
      <c r="AT195" s="69"/>
      <c r="AU195" s="6"/>
      <c r="AV195" s="6"/>
      <c r="AW195" s="6">
        <f t="shared" si="19"/>
        <v>2348800</v>
      </c>
      <c r="AX195" s="6">
        <f t="shared" si="19"/>
        <v>11772000</v>
      </c>
      <c r="AY195" s="6">
        <f t="shared" si="19"/>
        <v>22390200</v>
      </c>
      <c r="AZ195" s="6">
        <f t="shared" si="19"/>
        <v>17716200</v>
      </c>
      <c r="BA195" s="6">
        <f t="shared" si="19"/>
        <v>0</v>
      </c>
      <c r="BC195" s="66">
        <f t="shared" ca="1" si="15"/>
        <v>54227200</v>
      </c>
    </row>
    <row r="196" spans="1:55" x14ac:dyDescent="0.3">
      <c r="A196" s="6" t="str">
        <f>IFERROR(VLOOKUP($F196,매장구분!$B:$K,2,0),"")</f>
        <v>E-biz</v>
      </c>
      <c r="B196" s="6" t="str">
        <f>IFERROR(VLOOKUP($F196,매장구분!$B:$K,3,0),"")</f>
        <v>국내</v>
      </c>
      <c r="C196" s="6" t="str">
        <f>IFERROR(VLOOKUP($F196,매장구분!$B:$K,5,0),"")</f>
        <v>온(제휴몰)</v>
      </c>
      <c r="D196" s="6" t="str">
        <f>IFERROR(VLOOKUP($F196,매장구분!$B:$Z,9,0),"")</f>
        <v>MLB 쇼피파이 글로벌</v>
      </c>
      <c r="E196" s="69" t="s">
        <v>569</v>
      </c>
      <c r="F196" s="69" t="s">
        <v>570</v>
      </c>
      <c r="G196" s="69">
        <v>94</v>
      </c>
      <c r="H196" s="69">
        <v>6865244</v>
      </c>
      <c r="I196" s="69">
        <v>6922800</v>
      </c>
      <c r="J196" s="69">
        <v>100</v>
      </c>
      <c r="K196" s="69">
        <v>7213448</v>
      </c>
      <c r="L196" s="69">
        <v>7261800</v>
      </c>
      <c r="M196" s="69">
        <v>-6</v>
      </c>
      <c r="N196" s="69">
        <v>-348204</v>
      </c>
      <c r="O196" s="69">
        <v>-339000</v>
      </c>
      <c r="P196" s="69">
        <v>0</v>
      </c>
      <c r="Q196" s="69">
        <v>0</v>
      </c>
      <c r="R196" s="69">
        <v>808651</v>
      </c>
      <c r="S196" s="69">
        <v>169099</v>
      </c>
      <c r="T196" s="69">
        <v>219062</v>
      </c>
      <c r="U196" s="69">
        <v>144956</v>
      </c>
      <c r="V196" s="69">
        <v>524090</v>
      </c>
      <c r="W196" s="69">
        <v>0</v>
      </c>
      <c r="X196" s="69">
        <v>0</v>
      </c>
      <c r="Y196" s="69">
        <v>1474128</v>
      </c>
      <c r="Z196" s="69">
        <v>37005</v>
      </c>
      <c r="AA196" s="69">
        <v>376746</v>
      </c>
      <c r="AB196" s="69">
        <v>599879</v>
      </c>
      <c r="AC196" s="69">
        <v>287931</v>
      </c>
      <c r="AD196" s="69">
        <v>0</v>
      </c>
      <c r="AE196" s="69">
        <v>0</v>
      </c>
      <c r="AF196" s="69">
        <v>1035926</v>
      </c>
      <c r="AG196" s="69">
        <v>272206</v>
      </c>
      <c r="AH196" s="69">
        <v>0</v>
      </c>
      <c r="AI196" s="69">
        <v>691273</v>
      </c>
      <c r="AJ196" s="69">
        <v>224292</v>
      </c>
      <c r="AK196" s="69">
        <v>0</v>
      </c>
      <c r="AL196" s="69">
        <v>0</v>
      </c>
      <c r="AM196" s="69"/>
      <c r="AN196" s="69"/>
      <c r="AO196" s="69"/>
      <c r="AP196" s="69"/>
      <c r="AQ196" s="69"/>
      <c r="AR196" s="69"/>
      <c r="AS196" s="69"/>
      <c r="AT196" s="69"/>
      <c r="AU196" s="6"/>
      <c r="AV196" s="6"/>
      <c r="AW196" s="6">
        <f t="shared" si="19"/>
        <v>0</v>
      </c>
      <c r="AX196" s="6">
        <f t="shared" si="19"/>
        <v>1865858</v>
      </c>
      <c r="AY196" s="6">
        <f t="shared" si="19"/>
        <v>2775689</v>
      </c>
      <c r="AZ196" s="6">
        <f t="shared" si="19"/>
        <v>2223697</v>
      </c>
      <c r="BA196" s="6">
        <f t="shared" si="19"/>
        <v>0</v>
      </c>
      <c r="BC196" s="66">
        <f t="shared" ca="1" si="15"/>
        <v>6865244</v>
      </c>
    </row>
    <row r="197" spans="1:55" x14ac:dyDescent="0.3">
      <c r="A197" s="6" t="str">
        <f>IFERROR(VLOOKUP($F197,매장구분!$B:$K,2,0),"")</f>
        <v>파트너채널팀</v>
      </c>
      <c r="B197" s="6" t="str">
        <f>IFERROR(VLOOKUP($F197,매장구분!$B:$K,3,0),"")</f>
        <v>도매</v>
      </c>
      <c r="C197" s="6" t="str">
        <f>IFERROR(VLOOKUP($F197,매장구분!$B:$K,5,0),"")</f>
        <v>도매</v>
      </c>
      <c r="D197" s="6" t="str">
        <f>IFERROR(VLOOKUP($F197,매장구분!$B:$Z,9,0),"")</f>
        <v>온라인완주</v>
      </c>
      <c r="E197" s="69" t="s">
        <v>566</v>
      </c>
      <c r="F197" s="69" t="s">
        <v>567</v>
      </c>
      <c r="G197" s="69">
        <v>4539</v>
      </c>
      <c r="H197" s="69">
        <v>194204430</v>
      </c>
      <c r="I197" s="69">
        <v>308261000</v>
      </c>
      <c r="J197" s="69">
        <v>4539</v>
      </c>
      <c r="K197" s="69">
        <v>194204430</v>
      </c>
      <c r="L197" s="69">
        <v>308261000</v>
      </c>
      <c r="M197" s="69">
        <v>0</v>
      </c>
      <c r="N197" s="69">
        <v>0</v>
      </c>
      <c r="O197" s="69">
        <v>0</v>
      </c>
      <c r="P197" s="69">
        <v>0</v>
      </c>
      <c r="Q197" s="69">
        <v>0</v>
      </c>
      <c r="R197" s="69">
        <v>0</v>
      </c>
      <c r="S197" s="69">
        <v>0</v>
      </c>
      <c r="T197" s="69">
        <v>0</v>
      </c>
      <c r="U197" s="69">
        <v>76939380</v>
      </c>
      <c r="V197" s="69">
        <v>0</v>
      </c>
      <c r="W197" s="69">
        <v>0</v>
      </c>
      <c r="X197" s="69">
        <v>0</v>
      </c>
      <c r="Y197" s="69">
        <v>0</v>
      </c>
      <c r="Z197" s="69">
        <v>0</v>
      </c>
      <c r="AA197" s="69">
        <v>27786150</v>
      </c>
      <c r="AB197" s="69">
        <v>44392950</v>
      </c>
      <c r="AC197" s="69">
        <v>0</v>
      </c>
      <c r="AD197" s="69">
        <v>0</v>
      </c>
      <c r="AE197" s="69">
        <v>0</v>
      </c>
      <c r="AF197" s="69">
        <v>0</v>
      </c>
      <c r="AG197" s="69">
        <v>0</v>
      </c>
      <c r="AH197" s="69">
        <v>7131600</v>
      </c>
      <c r="AI197" s="69">
        <v>37954350</v>
      </c>
      <c r="AJ197" s="69">
        <v>0</v>
      </c>
      <c r="AK197" s="69">
        <v>0</v>
      </c>
      <c r="AL197" s="69">
        <v>0</v>
      </c>
      <c r="AM197" s="69"/>
      <c r="AN197" s="69"/>
      <c r="AO197" s="69"/>
      <c r="AP197" s="69"/>
      <c r="AQ197" s="69"/>
      <c r="AR197" s="69"/>
      <c r="AS197" s="69"/>
      <c r="AT197" s="69"/>
      <c r="AU197" s="6"/>
      <c r="AV197" s="6"/>
      <c r="AW197" s="6">
        <f t="shared" si="19"/>
        <v>0</v>
      </c>
      <c r="AX197" s="6">
        <f t="shared" si="19"/>
        <v>76939380</v>
      </c>
      <c r="AY197" s="6">
        <f t="shared" si="19"/>
        <v>72179100</v>
      </c>
      <c r="AZ197" s="6">
        <f t="shared" si="19"/>
        <v>45085950</v>
      </c>
      <c r="BA197" s="6">
        <f t="shared" si="19"/>
        <v>0</v>
      </c>
      <c r="BC197" s="66">
        <f t="shared" ca="1" si="15"/>
        <v>194204430</v>
      </c>
    </row>
    <row r="198" spans="1:55" x14ac:dyDescent="0.3">
      <c r="A198" s="6" t="str">
        <f>IFERROR(VLOOKUP($F198,매장구분!$B:$K,2,0),"")</f>
        <v/>
      </c>
      <c r="B198" s="6" t="str">
        <f>IFERROR(VLOOKUP($F198,매장구분!$B:$K,3,0),"")</f>
        <v/>
      </c>
      <c r="C198" s="6" t="str">
        <f>IFERROR(VLOOKUP($F198,매장구분!$B:$K,5,0),"")</f>
        <v/>
      </c>
      <c r="D198" s="6" t="str">
        <f>IFERROR(VLOOKUP($F198,매장구분!$B:$Z,9,0),"")</f>
        <v/>
      </c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  <c r="AC198" s="69"/>
      <c r="AD198" s="69"/>
      <c r="AE198" s="69"/>
      <c r="AF198" s="69"/>
      <c r="AG198" s="69"/>
      <c r="AH198" s="69"/>
      <c r="AI198" s="69"/>
      <c r="AJ198" s="69"/>
      <c r="AK198" s="69"/>
      <c r="AL198" s="69"/>
      <c r="AM198" s="69"/>
      <c r="AN198" s="69"/>
      <c r="AO198" s="69"/>
      <c r="AP198" s="69"/>
      <c r="AQ198" s="69"/>
      <c r="AR198" s="69"/>
      <c r="AS198" s="69"/>
      <c r="AT198" s="69"/>
      <c r="AU198" s="6"/>
      <c r="AV198" s="6"/>
      <c r="AW198" s="6">
        <f t="shared" si="19"/>
        <v>0</v>
      </c>
      <c r="AX198" s="6">
        <f t="shared" si="19"/>
        <v>0</v>
      </c>
      <c r="AY198" s="6">
        <f t="shared" si="19"/>
        <v>0</v>
      </c>
      <c r="AZ198" s="6">
        <f t="shared" si="19"/>
        <v>0</v>
      </c>
      <c r="BA198" s="6">
        <f t="shared" si="19"/>
        <v>0</v>
      </c>
      <c r="BC198" s="66">
        <f t="shared" ca="1" si="15"/>
        <v>0</v>
      </c>
    </row>
    <row r="199" spans="1:55" x14ac:dyDescent="0.3">
      <c r="A199" s="6" t="str">
        <f>IFERROR(VLOOKUP($F199,매장구분!$B:$K,2,0),"")</f>
        <v/>
      </c>
      <c r="B199" s="6" t="str">
        <f>IFERROR(VLOOKUP($F199,매장구분!$B:$K,3,0),"")</f>
        <v/>
      </c>
      <c r="C199" s="6" t="str">
        <f>IFERROR(VLOOKUP($F199,매장구분!$B:$K,5,0),"")</f>
        <v/>
      </c>
      <c r="D199" s="6" t="str">
        <f>IFERROR(VLOOKUP($F199,매장구분!$B:$Z,9,0),"")</f>
        <v/>
      </c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  <c r="AC199" s="69"/>
      <c r="AD199" s="69"/>
      <c r="AE199" s="69"/>
      <c r="AF199" s="69"/>
      <c r="AG199" s="69"/>
      <c r="AH199" s="69"/>
      <c r="AI199" s="69"/>
      <c r="AJ199" s="69"/>
      <c r="AK199" s="69"/>
      <c r="AL199" s="69"/>
      <c r="AM199" s="69"/>
      <c r="AN199" s="69"/>
      <c r="AO199" s="69"/>
      <c r="AP199" s="69"/>
      <c r="AQ199" s="69"/>
      <c r="AR199" s="69"/>
      <c r="AS199" s="69"/>
      <c r="AT199" s="69"/>
      <c r="AU199" s="6"/>
      <c r="AV199" s="6"/>
      <c r="AW199" s="6">
        <f t="shared" si="19"/>
        <v>0</v>
      </c>
      <c r="AX199" s="6">
        <f t="shared" si="19"/>
        <v>0</v>
      </c>
      <c r="AY199" s="6">
        <f t="shared" si="19"/>
        <v>0</v>
      </c>
      <c r="AZ199" s="6">
        <f t="shared" si="19"/>
        <v>0</v>
      </c>
      <c r="BA199" s="6">
        <f t="shared" si="19"/>
        <v>0</v>
      </c>
      <c r="BC199" s="66">
        <f t="shared" ref="BC199:BC211" ca="1" si="20">SUMIFS($P199:$AT199,$P$2:$AT$2,BC$3)</f>
        <v>0</v>
      </c>
    </row>
    <row r="200" spans="1:55" x14ac:dyDescent="0.3">
      <c r="A200" s="6" t="str">
        <f>IFERROR(VLOOKUP($F200,매장구분!$B:$K,2,0),"")</f>
        <v/>
      </c>
      <c r="B200" s="6" t="str">
        <f>IFERROR(VLOOKUP($F200,매장구분!$B:$K,3,0),"")</f>
        <v/>
      </c>
      <c r="C200" s="6" t="str">
        <f>IFERROR(VLOOKUP($F200,매장구분!$B:$K,5,0),"")</f>
        <v/>
      </c>
      <c r="D200" s="6" t="str">
        <f>IFERROR(VLOOKUP($F200,매장구분!$B:$Z,9,0),"")</f>
        <v/>
      </c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  <c r="AC200" s="69"/>
      <c r="AD200" s="69"/>
      <c r="AE200" s="69"/>
      <c r="AF200" s="69"/>
      <c r="AG200" s="69"/>
      <c r="AH200" s="69"/>
      <c r="AI200" s="69"/>
      <c r="AJ200" s="69"/>
      <c r="AK200" s="69"/>
      <c r="AL200" s="69"/>
      <c r="AM200" s="69"/>
      <c r="AN200" s="69"/>
      <c r="AO200" s="69"/>
      <c r="AP200" s="69"/>
      <c r="AQ200" s="69"/>
      <c r="AR200" s="69"/>
      <c r="AS200" s="69"/>
      <c r="AT200" s="69"/>
      <c r="AU200" s="6"/>
      <c r="AV200" s="6"/>
      <c r="AW200" s="6">
        <f t="shared" si="19"/>
        <v>0</v>
      </c>
      <c r="AX200" s="6">
        <f t="shared" si="19"/>
        <v>0</v>
      </c>
      <c r="AY200" s="6">
        <f t="shared" si="19"/>
        <v>0</v>
      </c>
      <c r="AZ200" s="6">
        <f t="shared" si="19"/>
        <v>0</v>
      </c>
      <c r="BA200" s="6">
        <f t="shared" si="19"/>
        <v>0</v>
      </c>
      <c r="BC200" s="66">
        <f t="shared" ca="1" si="20"/>
        <v>0</v>
      </c>
    </row>
    <row r="201" spans="1:55" x14ac:dyDescent="0.3">
      <c r="A201" s="6" t="str">
        <f>IFERROR(VLOOKUP($F201,매장구분!$B:$K,2,0),"")</f>
        <v/>
      </c>
      <c r="B201" s="6" t="str">
        <f>IFERROR(VLOOKUP($F201,매장구분!$B:$K,3,0),"")</f>
        <v/>
      </c>
      <c r="C201" s="6" t="str">
        <f>IFERROR(VLOOKUP($F201,매장구분!$B:$K,5,0),"")</f>
        <v/>
      </c>
      <c r="D201" s="6" t="str">
        <f>IFERROR(VLOOKUP($F201,매장구분!$B:$Z,9,0),"")</f>
        <v/>
      </c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"/>
      <c r="AV201" s="6"/>
      <c r="AW201" s="6">
        <f t="shared" si="19"/>
        <v>0</v>
      </c>
      <c r="AX201" s="6">
        <f t="shared" si="19"/>
        <v>0</v>
      </c>
      <c r="AY201" s="6">
        <f t="shared" si="19"/>
        <v>0</v>
      </c>
      <c r="AZ201" s="6">
        <f t="shared" si="19"/>
        <v>0</v>
      </c>
      <c r="BA201" s="6">
        <f t="shared" si="19"/>
        <v>0</v>
      </c>
      <c r="BC201" s="66">
        <f t="shared" ca="1" si="20"/>
        <v>0</v>
      </c>
    </row>
    <row r="202" spans="1:55" x14ac:dyDescent="0.3">
      <c r="A202" s="6" t="str">
        <f>IFERROR(VLOOKUP($F202,매장구분!$B:$K,2,0),"")</f>
        <v/>
      </c>
      <c r="B202" s="6" t="str">
        <f>IFERROR(VLOOKUP($F202,매장구분!$B:$K,3,0),"")</f>
        <v/>
      </c>
      <c r="C202" s="6" t="str">
        <f>IFERROR(VLOOKUP($F202,매장구분!$B:$K,5,0),"")</f>
        <v/>
      </c>
      <c r="D202" s="6" t="str">
        <f>IFERROR(VLOOKUP($F202,매장구분!$B:$Z,9,0),"")</f>
        <v/>
      </c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  <c r="AG202" s="69"/>
      <c r="AH202" s="69"/>
      <c r="AI202" s="69"/>
      <c r="AJ202" s="69"/>
      <c r="AK202" s="69"/>
      <c r="AL202" s="69"/>
      <c r="AM202" s="69"/>
      <c r="AN202" s="69"/>
      <c r="AO202" s="69"/>
      <c r="AP202" s="69"/>
      <c r="AQ202" s="69"/>
      <c r="AR202" s="69"/>
      <c r="AS202" s="69"/>
      <c r="AT202" s="69"/>
      <c r="AU202" s="6"/>
      <c r="AV202" s="6"/>
      <c r="AW202" s="6">
        <f t="shared" si="19"/>
        <v>0</v>
      </c>
      <c r="AX202" s="6">
        <f t="shared" si="19"/>
        <v>0</v>
      </c>
      <c r="AY202" s="6">
        <f t="shared" si="19"/>
        <v>0</v>
      </c>
      <c r="AZ202" s="6">
        <f t="shared" si="19"/>
        <v>0</v>
      </c>
      <c r="BA202" s="6">
        <f t="shared" si="19"/>
        <v>0</v>
      </c>
      <c r="BC202" s="66">
        <f t="shared" ca="1" si="20"/>
        <v>0</v>
      </c>
    </row>
    <row r="203" spans="1:55" x14ac:dyDescent="0.3">
      <c r="A203" s="6" t="str">
        <f>IFERROR(VLOOKUP($F203,매장구분!$B:$K,2,0),"")</f>
        <v/>
      </c>
      <c r="B203" s="6" t="str">
        <f>IFERROR(VLOOKUP($F203,매장구분!$B:$K,3,0),"")</f>
        <v/>
      </c>
      <c r="C203" s="6" t="str">
        <f>IFERROR(VLOOKUP($F203,매장구분!$B:$K,5,0),"")</f>
        <v/>
      </c>
      <c r="D203" s="6" t="str">
        <f>IFERROR(VLOOKUP($F203,매장구분!$B:$Z,9,0),"")</f>
        <v/>
      </c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  <c r="AC203" s="69"/>
      <c r="AD203" s="69"/>
      <c r="AE203" s="69"/>
      <c r="AF203" s="69"/>
      <c r="AG203" s="69"/>
      <c r="AH203" s="69"/>
      <c r="AI203" s="69"/>
      <c r="AJ203" s="69"/>
      <c r="AK203" s="69"/>
      <c r="AL203" s="69"/>
      <c r="AM203" s="69"/>
      <c r="AN203" s="69"/>
      <c r="AO203" s="69"/>
      <c r="AP203" s="69"/>
      <c r="AQ203" s="69"/>
      <c r="AR203" s="69"/>
      <c r="AS203" s="69"/>
      <c r="AT203" s="69"/>
      <c r="AU203" s="6"/>
      <c r="AV203" s="6"/>
      <c r="AW203" s="6">
        <f t="shared" ref="AW203:BA211" si="21">SUMIFS($P203:$AS203,$P$3:$AS$3,AW$3)</f>
        <v>0</v>
      </c>
      <c r="AX203" s="6">
        <f t="shared" si="21"/>
        <v>0</v>
      </c>
      <c r="AY203" s="6">
        <f t="shared" si="21"/>
        <v>0</v>
      </c>
      <c r="AZ203" s="6">
        <f t="shared" si="21"/>
        <v>0</v>
      </c>
      <c r="BA203" s="6">
        <f t="shared" si="21"/>
        <v>0</v>
      </c>
      <c r="BC203" s="66">
        <f t="shared" ca="1" si="20"/>
        <v>0</v>
      </c>
    </row>
    <row r="204" spans="1:55" x14ac:dyDescent="0.3">
      <c r="A204" s="6" t="str">
        <f>IFERROR(VLOOKUP($F204,매장구분!$B:$K,2,0),"")</f>
        <v/>
      </c>
      <c r="B204" s="6" t="str">
        <f>IFERROR(VLOOKUP($F204,매장구분!$B:$K,3,0),"")</f>
        <v/>
      </c>
      <c r="C204" s="6" t="str">
        <f>IFERROR(VLOOKUP($F204,매장구분!$B:$K,5,0),"")</f>
        <v/>
      </c>
      <c r="D204" s="6" t="str">
        <f>IFERROR(VLOOKUP($F204,매장구분!$B:$Z,9,0),"")</f>
        <v/>
      </c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  <c r="AC204" s="69"/>
      <c r="AD204" s="69"/>
      <c r="AE204" s="69"/>
      <c r="AF204" s="69"/>
      <c r="AG204" s="69"/>
      <c r="AH204" s="69"/>
      <c r="AI204" s="69"/>
      <c r="AJ204" s="69"/>
      <c r="AK204" s="69"/>
      <c r="AL204" s="69"/>
      <c r="AM204" s="69"/>
      <c r="AN204" s="69"/>
      <c r="AO204" s="69"/>
      <c r="AP204" s="69"/>
      <c r="AQ204" s="69"/>
      <c r="AR204" s="69"/>
      <c r="AS204" s="69"/>
      <c r="AT204" s="69"/>
      <c r="AU204" s="6"/>
      <c r="AV204" s="6"/>
      <c r="AW204" s="6">
        <f t="shared" si="21"/>
        <v>0</v>
      </c>
      <c r="AX204" s="6">
        <f t="shared" si="21"/>
        <v>0</v>
      </c>
      <c r="AY204" s="6">
        <f t="shared" si="21"/>
        <v>0</v>
      </c>
      <c r="AZ204" s="6">
        <f t="shared" si="21"/>
        <v>0</v>
      </c>
      <c r="BA204" s="6">
        <f t="shared" si="21"/>
        <v>0</v>
      </c>
      <c r="BC204" s="66">
        <f t="shared" ca="1" si="20"/>
        <v>0</v>
      </c>
    </row>
    <row r="205" spans="1:55" x14ac:dyDescent="0.3">
      <c r="A205" s="6" t="str">
        <f>IFERROR(VLOOKUP($F205,매장구분!$B:$K,2,0),"")</f>
        <v/>
      </c>
      <c r="B205" s="6" t="str">
        <f>IFERROR(VLOOKUP($F205,매장구분!$B:$K,3,0),"")</f>
        <v/>
      </c>
      <c r="C205" s="6" t="str">
        <f>IFERROR(VLOOKUP($F205,매장구분!$B:$K,5,0),"")</f>
        <v/>
      </c>
      <c r="D205" s="6" t="str">
        <f>IFERROR(VLOOKUP($F205,매장구분!$B:$Z,9,0),"")</f>
        <v/>
      </c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  <c r="AC205" s="69"/>
      <c r="AD205" s="69"/>
      <c r="AE205" s="69"/>
      <c r="AF205" s="69"/>
      <c r="AG205" s="69"/>
      <c r="AH205" s="69"/>
      <c r="AI205" s="69"/>
      <c r="AJ205" s="69"/>
      <c r="AK205" s="69"/>
      <c r="AL205" s="69"/>
      <c r="AM205" s="69"/>
      <c r="AN205" s="69"/>
      <c r="AO205" s="69"/>
      <c r="AP205" s="69"/>
      <c r="AQ205" s="69"/>
      <c r="AR205" s="69"/>
      <c r="AS205" s="69"/>
      <c r="AT205" s="69"/>
      <c r="AU205" s="6"/>
      <c r="AV205" s="6"/>
      <c r="AW205" s="6">
        <f t="shared" si="21"/>
        <v>0</v>
      </c>
      <c r="AX205" s="6">
        <f t="shared" si="21"/>
        <v>0</v>
      </c>
      <c r="AY205" s="6">
        <f t="shared" si="21"/>
        <v>0</v>
      </c>
      <c r="AZ205" s="6">
        <f t="shared" si="21"/>
        <v>0</v>
      </c>
      <c r="BA205" s="6">
        <f t="shared" si="21"/>
        <v>0</v>
      </c>
      <c r="BC205" s="66">
        <f t="shared" ca="1" si="20"/>
        <v>0</v>
      </c>
    </row>
    <row r="206" spans="1:55" x14ac:dyDescent="0.3">
      <c r="A206" s="6" t="str">
        <f>IFERROR(VLOOKUP($F206,매장구분!$B:$K,2,0),"")</f>
        <v/>
      </c>
      <c r="B206" s="6" t="str">
        <f>IFERROR(VLOOKUP($F206,매장구분!$B:$K,3,0),"")</f>
        <v/>
      </c>
      <c r="C206" s="6" t="str">
        <f>IFERROR(VLOOKUP($F206,매장구분!$B:$K,5,0),"")</f>
        <v/>
      </c>
      <c r="D206" s="6" t="str">
        <f>IFERROR(VLOOKUP($F206,매장구분!$B:$Z,9,0),"")</f>
        <v/>
      </c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  <c r="AC206" s="69"/>
      <c r="AD206" s="69"/>
      <c r="AE206" s="69"/>
      <c r="AF206" s="69"/>
      <c r="AG206" s="69"/>
      <c r="AH206" s="69"/>
      <c r="AI206" s="69"/>
      <c r="AJ206" s="69"/>
      <c r="AK206" s="69"/>
      <c r="AL206" s="69"/>
      <c r="AM206" s="69"/>
      <c r="AN206" s="69"/>
      <c r="AO206" s="69"/>
      <c r="AP206" s="69"/>
      <c r="AQ206" s="69"/>
      <c r="AR206" s="69"/>
      <c r="AS206" s="69"/>
      <c r="AT206" s="69"/>
      <c r="AU206" s="6"/>
      <c r="AV206" s="6"/>
      <c r="AW206" s="6">
        <f t="shared" si="21"/>
        <v>0</v>
      </c>
      <c r="AX206" s="6">
        <f t="shared" si="21"/>
        <v>0</v>
      </c>
      <c r="AY206" s="6">
        <f t="shared" si="21"/>
        <v>0</v>
      </c>
      <c r="AZ206" s="6">
        <f t="shared" si="21"/>
        <v>0</v>
      </c>
      <c r="BA206" s="6">
        <f t="shared" si="21"/>
        <v>0</v>
      </c>
      <c r="BC206" s="66">
        <f t="shared" ca="1" si="20"/>
        <v>0</v>
      </c>
    </row>
    <row r="207" spans="1:55" x14ac:dyDescent="0.3">
      <c r="A207" s="6" t="str">
        <f>IFERROR(VLOOKUP($F207,매장구분!$B:$K,2,0),"")</f>
        <v/>
      </c>
      <c r="B207" s="6" t="str">
        <f>IFERROR(VLOOKUP($F207,매장구분!$B:$K,3,0),"")</f>
        <v/>
      </c>
      <c r="C207" s="6" t="str">
        <f>IFERROR(VLOOKUP($F207,매장구분!$B:$K,5,0),"")</f>
        <v/>
      </c>
      <c r="D207" s="6" t="str">
        <f>IFERROR(VLOOKUP($F207,매장구분!$B:$Z,9,0),"")</f>
        <v/>
      </c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  <c r="AC207" s="69"/>
      <c r="AD207" s="69"/>
      <c r="AE207" s="69"/>
      <c r="AF207" s="69"/>
      <c r="AG207" s="69"/>
      <c r="AH207" s="69"/>
      <c r="AI207" s="69"/>
      <c r="AJ207" s="69"/>
      <c r="AK207" s="69"/>
      <c r="AL207" s="69"/>
      <c r="AM207" s="69"/>
      <c r="AN207" s="69"/>
      <c r="AO207" s="69"/>
      <c r="AP207" s="69"/>
      <c r="AQ207" s="69"/>
      <c r="AR207" s="69"/>
      <c r="AS207" s="69"/>
      <c r="AT207" s="69"/>
      <c r="AU207" s="6"/>
      <c r="AV207" s="6"/>
      <c r="AW207" s="6">
        <f t="shared" si="21"/>
        <v>0</v>
      </c>
      <c r="AX207" s="6">
        <f t="shared" si="21"/>
        <v>0</v>
      </c>
      <c r="AY207" s="6">
        <f t="shared" si="21"/>
        <v>0</v>
      </c>
      <c r="AZ207" s="6">
        <f t="shared" si="21"/>
        <v>0</v>
      </c>
      <c r="BA207" s="6">
        <f t="shared" si="21"/>
        <v>0</v>
      </c>
      <c r="BC207" s="66">
        <f t="shared" ca="1" si="20"/>
        <v>0</v>
      </c>
    </row>
    <row r="208" spans="1:55" x14ac:dyDescent="0.3">
      <c r="A208" s="6" t="str">
        <f>IFERROR(VLOOKUP($F208,매장구분!$B:$K,2,0),"")</f>
        <v/>
      </c>
      <c r="B208" s="6" t="str">
        <f>IFERROR(VLOOKUP($F208,매장구분!$B:$K,3,0),"")</f>
        <v/>
      </c>
      <c r="C208" s="6" t="str">
        <f>IFERROR(VLOOKUP($F208,매장구분!$B:$K,5,0),"")</f>
        <v/>
      </c>
      <c r="D208" s="6" t="str">
        <f>IFERROR(VLOOKUP($F208,매장구분!$B:$Z,9,0),"")</f>
        <v/>
      </c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"/>
      <c r="AV208" s="6"/>
      <c r="AW208" s="6">
        <f t="shared" si="21"/>
        <v>0</v>
      </c>
      <c r="AX208" s="6">
        <f t="shared" si="21"/>
        <v>0</v>
      </c>
      <c r="AY208" s="6">
        <f t="shared" si="21"/>
        <v>0</v>
      </c>
      <c r="AZ208" s="6">
        <f t="shared" si="21"/>
        <v>0</v>
      </c>
      <c r="BA208" s="6">
        <f t="shared" si="21"/>
        <v>0</v>
      </c>
      <c r="BC208" s="66">
        <f t="shared" ca="1" si="20"/>
        <v>0</v>
      </c>
    </row>
    <row r="209" spans="1:55" x14ac:dyDescent="0.3">
      <c r="A209" s="6" t="str">
        <f>IFERROR(VLOOKUP($F209,매장구분!$B:$K,2,0),"")</f>
        <v/>
      </c>
      <c r="B209" s="6" t="str">
        <f>IFERROR(VLOOKUP($F209,매장구분!$B:$K,3,0),"")</f>
        <v/>
      </c>
      <c r="C209" s="6" t="str">
        <f>IFERROR(VLOOKUP($F209,매장구분!$B:$K,5,0),"")</f>
        <v/>
      </c>
      <c r="D209" s="6" t="str">
        <f>IFERROR(VLOOKUP($F209,매장구분!$B:$Z,9,0),"")</f>
        <v/>
      </c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"/>
      <c r="AV209" s="6"/>
      <c r="AW209" s="6">
        <f t="shared" si="21"/>
        <v>0</v>
      </c>
      <c r="AX209" s="6">
        <f t="shared" si="21"/>
        <v>0</v>
      </c>
      <c r="AY209" s="6">
        <f t="shared" si="21"/>
        <v>0</v>
      </c>
      <c r="AZ209" s="6">
        <f t="shared" si="21"/>
        <v>0</v>
      </c>
      <c r="BA209" s="6">
        <f t="shared" si="21"/>
        <v>0</v>
      </c>
      <c r="BC209" s="66">
        <f t="shared" ca="1" si="20"/>
        <v>0</v>
      </c>
    </row>
    <row r="210" spans="1:55" x14ac:dyDescent="0.3">
      <c r="A210" s="6" t="str">
        <f>IFERROR(VLOOKUP($F210,매장구분!$B:$K,2,0),"")</f>
        <v/>
      </c>
      <c r="B210" s="6" t="str">
        <f>IFERROR(VLOOKUP($F210,매장구분!$B:$K,3,0),"")</f>
        <v/>
      </c>
      <c r="C210" s="6" t="str">
        <f>IFERROR(VLOOKUP($F210,매장구분!$B:$K,5,0),"")</f>
        <v/>
      </c>
      <c r="D210" s="6" t="str">
        <f>IFERROR(VLOOKUP($F210,매장구분!$B:$Z,9,0),"")</f>
        <v/>
      </c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"/>
      <c r="AV210" s="6"/>
      <c r="AW210" s="6">
        <f t="shared" si="21"/>
        <v>0</v>
      </c>
      <c r="AX210" s="6">
        <f t="shared" si="21"/>
        <v>0</v>
      </c>
      <c r="AY210" s="6">
        <f t="shared" si="21"/>
        <v>0</v>
      </c>
      <c r="AZ210" s="6">
        <f t="shared" si="21"/>
        <v>0</v>
      </c>
      <c r="BA210" s="6">
        <f t="shared" si="21"/>
        <v>0</v>
      </c>
      <c r="BC210" s="66">
        <f t="shared" ca="1" si="20"/>
        <v>0</v>
      </c>
    </row>
    <row r="211" spans="1:55" x14ac:dyDescent="0.3">
      <c r="A211" s="6" t="str">
        <f>IFERROR(VLOOKUP($F211,매장구분!$B:$K,2,0),"")</f>
        <v/>
      </c>
      <c r="B211" s="6" t="str">
        <f>IFERROR(VLOOKUP($F211,매장구분!$B:$K,3,0),"")</f>
        <v/>
      </c>
      <c r="C211" s="6" t="str">
        <f>IFERROR(VLOOKUP($F211,매장구분!$B:$K,5,0),"")</f>
        <v/>
      </c>
      <c r="D211" s="6" t="str">
        <f>IFERROR(VLOOKUP($F211,매장구분!$B:$Z,9,0),"")</f>
        <v/>
      </c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"/>
      <c r="AV211" s="6"/>
      <c r="AW211" s="6">
        <f t="shared" si="21"/>
        <v>0</v>
      </c>
      <c r="AX211" s="6">
        <f t="shared" si="21"/>
        <v>0</v>
      </c>
      <c r="AY211" s="6">
        <f t="shared" si="21"/>
        <v>0</v>
      </c>
      <c r="AZ211" s="6">
        <f t="shared" si="21"/>
        <v>0</v>
      </c>
      <c r="BA211" s="6">
        <f t="shared" si="21"/>
        <v>0</v>
      </c>
      <c r="BC211" s="66">
        <f t="shared" ca="1" si="20"/>
        <v>0</v>
      </c>
    </row>
    <row r="212" spans="1:55" x14ac:dyDescent="0.3">
      <c r="A212" s="6" t="str">
        <f>IFERROR(VLOOKUP($F212,매장구분!$B:$K,2,0),"")</f>
        <v/>
      </c>
      <c r="B212" s="6" t="str">
        <f>IFERROR(VLOOKUP($F212,매장구분!$B:$K,3,0),"")</f>
        <v/>
      </c>
      <c r="C212" s="6" t="str">
        <f>IFERROR(VLOOKUP($F212,매장구분!$B:$K,5,0),"")</f>
        <v/>
      </c>
      <c r="D212" s="6" t="str">
        <f>IFERROR(VLOOKUP($F212,매장구분!$B:$Z,9,0),"")</f>
        <v/>
      </c>
    </row>
    <row r="213" spans="1:55" x14ac:dyDescent="0.3">
      <c r="A213" s="6" t="str">
        <f>IFERROR(VLOOKUP($F213,매장구분!$B:$K,2,0),"")</f>
        <v/>
      </c>
      <c r="B213" s="6" t="str">
        <f>IFERROR(VLOOKUP($F213,매장구분!$B:$K,3,0),"")</f>
        <v/>
      </c>
      <c r="C213" s="6" t="str">
        <f>IFERROR(VLOOKUP($F213,매장구분!$B:$K,5,0),"")</f>
        <v/>
      </c>
      <c r="D213" s="6" t="str">
        <f>IFERROR(VLOOKUP($F213,매장구분!$B:$Z,9,0),"")</f>
        <v/>
      </c>
    </row>
    <row r="214" spans="1:55" x14ac:dyDescent="0.3">
      <c r="A214" s="6" t="str">
        <f>IFERROR(VLOOKUP($F214,매장구분!$B:$K,2,0),"")</f>
        <v/>
      </c>
      <c r="B214" s="6" t="str">
        <f>IFERROR(VLOOKUP($F214,매장구분!$B:$K,3,0),"")</f>
        <v/>
      </c>
      <c r="C214" s="6" t="str">
        <f>IFERROR(VLOOKUP($F214,매장구분!$B:$K,5,0),"")</f>
        <v/>
      </c>
      <c r="D214" s="6" t="str">
        <f>IFERROR(VLOOKUP($F214,매장구분!$B:$Z,9,0),"")</f>
        <v/>
      </c>
    </row>
    <row r="215" spans="1:55" x14ac:dyDescent="0.3">
      <c r="A215" s="6" t="str">
        <f>IFERROR(VLOOKUP($F215,매장구분!$B:$K,2,0),"")</f>
        <v/>
      </c>
      <c r="B215" s="6" t="str">
        <f>IFERROR(VLOOKUP($F215,매장구분!$B:$K,3,0),"")</f>
        <v/>
      </c>
      <c r="C215" s="6" t="str">
        <f>IFERROR(VLOOKUP($F215,매장구분!$B:$K,5,0),"")</f>
        <v/>
      </c>
      <c r="D215" s="6" t="str">
        <f>IFERROR(VLOOKUP($F215,매장구분!$B:$Z,9,0),"")</f>
        <v/>
      </c>
    </row>
    <row r="216" spans="1:55" x14ac:dyDescent="0.3">
      <c r="A216" s="6" t="str">
        <f>IFERROR(VLOOKUP($F216,매장구분!$B:$K,2,0),"")</f>
        <v/>
      </c>
      <c r="B216" s="6" t="str">
        <f>IFERROR(VLOOKUP($F216,매장구분!$B:$K,3,0),"")</f>
        <v/>
      </c>
      <c r="C216" s="6" t="str">
        <f>IFERROR(VLOOKUP($F216,매장구분!$B:$K,5,0),"")</f>
        <v/>
      </c>
      <c r="D216" s="6" t="str">
        <f>IFERROR(VLOOKUP($F216,매장구분!$B:$Z,9,0),"")</f>
        <v/>
      </c>
    </row>
    <row r="217" spans="1:55" x14ac:dyDescent="0.3">
      <c r="A217" s="6" t="str">
        <f>IFERROR(VLOOKUP($F217,매장구분!$B:$K,2,0),"")</f>
        <v/>
      </c>
      <c r="B217" s="6" t="str">
        <f>IFERROR(VLOOKUP($F217,매장구분!$B:$K,3,0),"")</f>
        <v/>
      </c>
      <c r="C217" s="6" t="str">
        <f>IFERROR(VLOOKUP($F217,매장구분!$B:$K,5,0),"")</f>
        <v/>
      </c>
      <c r="D217" s="6" t="str">
        <f>IFERROR(VLOOKUP($F217,매장구분!$B:$Z,9,0),"")</f>
        <v/>
      </c>
    </row>
    <row r="218" spans="1:55" x14ac:dyDescent="0.3">
      <c r="A218" s="6" t="str">
        <f>IFERROR(VLOOKUP($F218,매장구분!$B:$K,2,0),"")</f>
        <v/>
      </c>
      <c r="B218" s="6" t="str">
        <f>IFERROR(VLOOKUP($F218,매장구분!$B:$K,3,0),"")</f>
        <v/>
      </c>
      <c r="C218" s="6" t="str">
        <f>IFERROR(VLOOKUP($F218,매장구분!$B:$K,5,0),"")</f>
        <v/>
      </c>
      <c r="D218" s="6" t="str">
        <f>IFERROR(VLOOKUP($F218,매장구분!$B:$Z,9,0),"")</f>
        <v/>
      </c>
    </row>
    <row r="219" spans="1:55" x14ac:dyDescent="0.3">
      <c r="A219" s="6" t="str">
        <f>IFERROR(VLOOKUP($F219,매장구분!$B:$K,2,0),"")</f>
        <v/>
      </c>
      <c r="B219" s="6" t="str">
        <f>IFERROR(VLOOKUP($F219,매장구분!$B:$K,3,0),"")</f>
        <v/>
      </c>
      <c r="C219" s="6" t="str">
        <f>IFERROR(VLOOKUP($F219,매장구분!$B:$K,5,0),"")</f>
        <v/>
      </c>
      <c r="D219" s="6" t="str">
        <f>IFERROR(VLOOKUP($F219,매장구분!$B:$Z,9,0),"")</f>
        <v/>
      </c>
    </row>
    <row r="220" spans="1:55" x14ac:dyDescent="0.3">
      <c r="A220" s="6" t="str">
        <f>IFERROR(VLOOKUP($F220,매장구분!$B:$K,2,0),"")</f>
        <v/>
      </c>
      <c r="B220" s="6" t="str">
        <f>IFERROR(VLOOKUP($F220,매장구분!$B:$K,3,0),"")</f>
        <v/>
      </c>
      <c r="C220" s="6" t="str">
        <f>IFERROR(VLOOKUP($F220,매장구분!$B:$K,5,0),"")</f>
        <v/>
      </c>
      <c r="D220" s="6" t="str">
        <f>IFERROR(VLOOKUP($F220,매장구분!$B:$Z,9,0),"")</f>
        <v/>
      </c>
    </row>
    <row r="221" spans="1:55" x14ac:dyDescent="0.3">
      <c r="A221" s="6" t="str">
        <f>IFERROR(VLOOKUP($F221,매장구분!$B:$K,2,0),"")</f>
        <v/>
      </c>
      <c r="B221" s="6" t="str">
        <f>IFERROR(VLOOKUP($F221,매장구분!$B:$K,3,0),"")</f>
        <v/>
      </c>
      <c r="C221" s="6" t="str">
        <f>IFERROR(VLOOKUP($F221,매장구분!$B:$K,5,0),"")</f>
        <v/>
      </c>
      <c r="D221" s="6" t="str">
        <f>IFERROR(VLOOKUP($F221,매장구분!$B:$Z,9,0),"")</f>
        <v/>
      </c>
    </row>
    <row r="222" spans="1:55" x14ac:dyDescent="0.3">
      <c r="A222" s="6" t="str">
        <f>IFERROR(VLOOKUP($F222,매장구분!$B:$K,2,0),"")</f>
        <v/>
      </c>
      <c r="B222" s="6" t="str">
        <f>IFERROR(VLOOKUP($F222,매장구분!$B:$K,3,0),"")</f>
        <v/>
      </c>
      <c r="C222" s="6" t="str">
        <f>IFERROR(VLOOKUP($F222,매장구분!$B:$K,5,0),"")</f>
        <v/>
      </c>
      <c r="D222" s="6" t="str">
        <f>IFERROR(VLOOKUP($F222,매장구분!$B:$Z,9,0),"")</f>
        <v/>
      </c>
    </row>
    <row r="223" spans="1:55" x14ac:dyDescent="0.3">
      <c r="A223" s="6" t="str">
        <f>IFERROR(VLOOKUP($F223,매장구분!$B:$K,2,0),"")</f>
        <v/>
      </c>
      <c r="B223" s="6" t="str">
        <f>IFERROR(VLOOKUP($F223,매장구분!$B:$K,3,0),"")</f>
        <v/>
      </c>
      <c r="C223" s="6" t="str">
        <f>IFERROR(VLOOKUP($F223,매장구분!$B:$K,5,0),"")</f>
        <v/>
      </c>
      <c r="D223" s="6" t="str">
        <f>IFERROR(VLOOKUP($F223,매장구분!$B:$Z,9,0),"")</f>
        <v/>
      </c>
    </row>
    <row r="224" spans="1:55" x14ac:dyDescent="0.3">
      <c r="A224" s="6" t="str">
        <f>IFERROR(VLOOKUP($F224,매장구분!$B:$K,2,0),"")</f>
        <v/>
      </c>
      <c r="B224" s="6" t="str">
        <f>IFERROR(VLOOKUP($F224,매장구분!$B:$K,3,0),"")</f>
        <v/>
      </c>
      <c r="C224" s="6" t="str">
        <f>IFERROR(VLOOKUP($F224,매장구분!$B:$K,5,0),"")</f>
        <v/>
      </c>
      <c r="D224" s="6" t="str">
        <f>IFERROR(VLOOKUP($F224,매장구분!$B:$Z,9,0),"")</f>
        <v/>
      </c>
    </row>
    <row r="225" spans="1:4" x14ac:dyDescent="0.3">
      <c r="A225" s="6" t="str">
        <f>IFERROR(VLOOKUP($F225,매장구분!$B:$K,2,0),"")</f>
        <v/>
      </c>
      <c r="B225" s="6" t="str">
        <f>IFERROR(VLOOKUP($F225,매장구분!$B:$K,3,0),"")</f>
        <v/>
      </c>
      <c r="C225" s="6" t="str">
        <f>IFERROR(VLOOKUP($F225,매장구분!$B:$K,5,0),"")</f>
        <v/>
      </c>
      <c r="D225" s="6" t="str">
        <f>IFERROR(VLOOKUP($F225,매장구분!$B:$Z,9,0),"")</f>
        <v/>
      </c>
    </row>
    <row r="226" spans="1:4" x14ac:dyDescent="0.3">
      <c r="A226" s="6" t="str">
        <f>IFERROR(VLOOKUP($F226,매장구분!$B:$K,2,0),"")</f>
        <v/>
      </c>
      <c r="B226" s="6" t="str">
        <f>IFERROR(VLOOKUP($F226,매장구분!$B:$K,3,0),"")</f>
        <v/>
      </c>
      <c r="C226" s="6" t="str">
        <f>IFERROR(VLOOKUP($F226,매장구분!$B:$K,5,0),"")</f>
        <v/>
      </c>
      <c r="D226" s="6" t="str">
        <f>IFERROR(VLOOKUP($F226,매장구분!$B:$Z,9,0),"")</f>
        <v/>
      </c>
    </row>
    <row r="227" spans="1:4" x14ac:dyDescent="0.3">
      <c r="A227" s="6" t="str">
        <f>IFERROR(VLOOKUP($F227,매장구분!$B:$K,2,0),"")</f>
        <v/>
      </c>
      <c r="B227" s="6" t="str">
        <f>IFERROR(VLOOKUP($F227,매장구분!$B:$K,3,0),"")</f>
        <v/>
      </c>
      <c r="C227" s="6" t="str">
        <f>IFERROR(VLOOKUP($F227,매장구분!$B:$K,5,0),"")</f>
        <v/>
      </c>
      <c r="D227" s="6" t="str">
        <f>IFERROR(VLOOKUP($F227,매장구분!$B:$Z,9,0),"")</f>
        <v/>
      </c>
    </row>
    <row r="228" spans="1:4" x14ac:dyDescent="0.3">
      <c r="A228" s="6" t="str">
        <f>IFERROR(VLOOKUP($F228,매장구분!$B:$K,2,0),"")</f>
        <v/>
      </c>
      <c r="B228" s="6" t="str">
        <f>IFERROR(VLOOKUP($F228,매장구분!$B:$K,3,0),"")</f>
        <v/>
      </c>
      <c r="C228" s="6" t="str">
        <f>IFERROR(VLOOKUP($F228,매장구분!$B:$K,5,0),"")</f>
        <v/>
      </c>
      <c r="D228" s="6" t="str">
        <f>IFERROR(VLOOKUP($F228,매장구분!$B:$Z,9,0),"")</f>
        <v/>
      </c>
    </row>
    <row r="229" spans="1:4" x14ac:dyDescent="0.3">
      <c r="A229" s="6" t="str">
        <f>IFERROR(VLOOKUP($F229,매장구분!$B:$K,2,0),"")</f>
        <v/>
      </c>
      <c r="B229" s="6" t="str">
        <f>IFERROR(VLOOKUP($F229,매장구분!$B:$K,3,0),"")</f>
        <v/>
      </c>
      <c r="C229" s="6" t="str">
        <f>IFERROR(VLOOKUP($F229,매장구분!$B:$K,5,0),"")</f>
        <v/>
      </c>
      <c r="D229" s="6" t="str">
        <f>IFERROR(VLOOKUP($F229,매장구분!$B:$Z,9,0),"")</f>
        <v/>
      </c>
    </row>
    <row r="230" spans="1:4" x14ac:dyDescent="0.3">
      <c r="A230" s="6" t="str">
        <f>IFERROR(VLOOKUP($F230,매장구분!$B:$K,2,0),"")</f>
        <v/>
      </c>
      <c r="B230" s="6" t="str">
        <f>IFERROR(VLOOKUP($F230,매장구분!$B:$K,3,0),"")</f>
        <v/>
      </c>
      <c r="C230" s="6" t="str">
        <f>IFERROR(VLOOKUP($F230,매장구분!$B:$K,5,0),"")</f>
        <v/>
      </c>
      <c r="D230" s="6" t="str">
        <f>IFERROR(VLOOKUP($F230,매장구분!$B:$Z,9,0),"")</f>
        <v/>
      </c>
    </row>
    <row r="231" spans="1:4" x14ac:dyDescent="0.3">
      <c r="A231" s="6" t="str">
        <f>IFERROR(VLOOKUP($F231,매장구분!$B:$K,2,0),"")</f>
        <v/>
      </c>
      <c r="B231" s="6" t="str">
        <f>IFERROR(VLOOKUP($F231,매장구분!$B:$K,3,0),"")</f>
        <v/>
      </c>
      <c r="C231" s="6" t="str">
        <f>IFERROR(VLOOKUP($F231,매장구분!$B:$K,5,0),"")</f>
        <v/>
      </c>
      <c r="D231" s="6" t="str">
        <f>IFERROR(VLOOKUP($F231,매장구분!$B:$Z,9,0),"")</f>
        <v/>
      </c>
    </row>
    <row r="232" spans="1:4" x14ac:dyDescent="0.3">
      <c r="A232" s="6" t="str">
        <f>IFERROR(VLOOKUP($F232,매장구분!$B:$K,2,0),"")</f>
        <v/>
      </c>
      <c r="B232" s="6" t="str">
        <f>IFERROR(VLOOKUP($F232,매장구분!$B:$K,3,0),"")</f>
        <v/>
      </c>
      <c r="C232" s="6" t="str">
        <f>IFERROR(VLOOKUP($F232,매장구분!$B:$K,5,0),"")</f>
        <v/>
      </c>
      <c r="D232" s="6" t="str">
        <f>IFERROR(VLOOKUP($F232,매장구분!$B:$Z,9,0),"")</f>
        <v/>
      </c>
    </row>
    <row r="233" spans="1:4" x14ac:dyDescent="0.3">
      <c r="A233" s="6" t="str">
        <f>IFERROR(VLOOKUP($F233,매장구분!$B:$K,2,0),"")</f>
        <v/>
      </c>
      <c r="B233" s="6" t="str">
        <f>IFERROR(VLOOKUP($F233,매장구분!$B:$K,3,0),"")</f>
        <v/>
      </c>
      <c r="C233" s="6" t="str">
        <f>IFERROR(VLOOKUP($F233,매장구분!$B:$K,5,0),"")</f>
        <v/>
      </c>
      <c r="D233" s="6" t="str">
        <f>IFERROR(VLOOKUP($F233,매장구분!$B:$Z,9,0),"")</f>
        <v/>
      </c>
    </row>
    <row r="234" spans="1:4" x14ac:dyDescent="0.3">
      <c r="A234" s="6" t="str">
        <f>IFERROR(VLOOKUP($F234,매장구분!$B:$K,2,0),"")</f>
        <v/>
      </c>
      <c r="B234" s="6" t="str">
        <f>IFERROR(VLOOKUP($F234,매장구분!$B:$K,3,0),"")</f>
        <v/>
      </c>
      <c r="C234" s="6" t="str">
        <f>IFERROR(VLOOKUP($F234,매장구분!$B:$K,5,0),"")</f>
        <v/>
      </c>
      <c r="D234" s="6" t="str">
        <f>IFERROR(VLOOKUP($F234,매장구분!$B:$Z,9,0),"")</f>
        <v/>
      </c>
    </row>
    <row r="235" spans="1:4" x14ac:dyDescent="0.3">
      <c r="A235" s="6" t="str">
        <f>IFERROR(VLOOKUP($F235,매장구분!$B:$K,2,0),"")</f>
        <v/>
      </c>
      <c r="B235" s="6" t="str">
        <f>IFERROR(VLOOKUP($F235,매장구분!$B:$K,3,0),"")</f>
        <v/>
      </c>
      <c r="C235" s="6" t="str">
        <f>IFERROR(VLOOKUP($F235,매장구분!$B:$K,5,0),"")</f>
        <v/>
      </c>
      <c r="D235" s="6" t="str">
        <f>IFERROR(VLOOKUP($F235,매장구분!$B:$Z,9,0),"")</f>
        <v/>
      </c>
    </row>
    <row r="236" spans="1:4" x14ac:dyDescent="0.3">
      <c r="A236" s="6" t="str">
        <f>IFERROR(VLOOKUP($F236,매장구분!$B:$K,2,0),"")</f>
        <v/>
      </c>
      <c r="B236" s="6" t="str">
        <f>IFERROR(VLOOKUP($F236,매장구분!$B:$K,3,0),"")</f>
        <v/>
      </c>
      <c r="C236" s="6" t="str">
        <f>IFERROR(VLOOKUP($F236,매장구분!$B:$K,5,0),"")</f>
        <v/>
      </c>
      <c r="D236" s="6" t="str">
        <f>IFERROR(VLOOKUP($F236,매장구분!$B:$Z,9,0),"")</f>
        <v/>
      </c>
    </row>
    <row r="237" spans="1:4" x14ac:dyDescent="0.3">
      <c r="A237" s="6" t="str">
        <f>IFERROR(VLOOKUP($F237,매장구분!$B:$K,2,0),"")</f>
        <v/>
      </c>
      <c r="B237" s="6" t="str">
        <f>IFERROR(VLOOKUP($F237,매장구분!$B:$K,3,0),"")</f>
        <v/>
      </c>
      <c r="C237" s="6" t="str">
        <f>IFERROR(VLOOKUP($F237,매장구분!$B:$K,5,0),"")</f>
        <v/>
      </c>
      <c r="D237" s="6" t="str">
        <f>IFERROR(VLOOKUP($F237,매장구분!$B:$Z,9,0),"")</f>
        <v/>
      </c>
    </row>
    <row r="238" spans="1:4" x14ac:dyDescent="0.3">
      <c r="A238" s="6" t="str">
        <f>IFERROR(VLOOKUP($F238,매장구분!$B:$K,2,0),"")</f>
        <v/>
      </c>
      <c r="B238" s="6" t="str">
        <f>IFERROR(VLOOKUP($F238,매장구분!$B:$K,3,0),"")</f>
        <v/>
      </c>
      <c r="C238" s="6" t="str">
        <f>IFERROR(VLOOKUP($F238,매장구분!$B:$K,5,0),"")</f>
        <v/>
      </c>
      <c r="D238" s="6" t="str">
        <f>IFERROR(VLOOKUP($F238,매장구분!$B:$Z,9,0),"")</f>
        <v/>
      </c>
    </row>
    <row r="239" spans="1:4" x14ac:dyDescent="0.3">
      <c r="A239" s="6" t="str">
        <f>IFERROR(VLOOKUP($F239,매장구분!$B:$K,2,0),"")</f>
        <v/>
      </c>
      <c r="B239" s="6" t="str">
        <f>IFERROR(VLOOKUP($F239,매장구분!$B:$K,3,0),"")</f>
        <v/>
      </c>
      <c r="C239" s="6" t="str">
        <f>IFERROR(VLOOKUP($F239,매장구분!$B:$K,5,0),"")</f>
        <v/>
      </c>
      <c r="D239" s="6" t="str">
        <f>IFERROR(VLOOKUP($F239,매장구분!$B:$Z,9,0),"")</f>
        <v/>
      </c>
    </row>
    <row r="240" spans="1:4" x14ac:dyDescent="0.3">
      <c r="A240" s="6" t="str">
        <f>IFERROR(VLOOKUP($F240,매장구분!$B:$K,2,0),"")</f>
        <v/>
      </c>
      <c r="B240" s="6" t="str">
        <f>IFERROR(VLOOKUP($F240,매장구분!$B:$K,3,0),"")</f>
        <v/>
      </c>
      <c r="C240" s="6" t="str">
        <f>IFERROR(VLOOKUP($F240,매장구분!$B:$K,5,0),"")</f>
        <v/>
      </c>
      <c r="D240" s="6" t="str">
        <f>IFERROR(VLOOKUP($F240,매장구분!$B:$Z,9,0),"")</f>
        <v/>
      </c>
    </row>
    <row r="241" spans="1:4" x14ac:dyDescent="0.3">
      <c r="A241" s="6" t="str">
        <f>IFERROR(VLOOKUP($F241,매장구분!$B:$K,2,0),"")</f>
        <v/>
      </c>
      <c r="B241" s="6" t="str">
        <f>IFERROR(VLOOKUP($F241,매장구분!$B:$K,3,0),"")</f>
        <v/>
      </c>
      <c r="C241" s="6" t="str">
        <f>IFERROR(VLOOKUP($F241,매장구분!$B:$K,5,0),"")</f>
        <v/>
      </c>
      <c r="D241" s="6" t="str">
        <f>IFERROR(VLOOKUP($F241,매장구분!$B:$Z,9,0),"")</f>
        <v/>
      </c>
    </row>
    <row r="242" spans="1:4" x14ac:dyDescent="0.3">
      <c r="A242" s="6" t="str">
        <f>IFERROR(VLOOKUP($F242,매장구분!$B:$K,2,0),"")</f>
        <v/>
      </c>
      <c r="B242" s="6" t="str">
        <f>IFERROR(VLOOKUP($F242,매장구분!$B:$K,3,0),"")</f>
        <v/>
      </c>
      <c r="C242" s="6" t="str">
        <f>IFERROR(VLOOKUP($F242,매장구분!$B:$K,5,0),"")</f>
        <v/>
      </c>
      <c r="D242" s="6" t="str">
        <f>IFERROR(VLOOKUP($F242,매장구분!$B:$Z,9,0),"")</f>
        <v/>
      </c>
    </row>
    <row r="243" spans="1:4" x14ac:dyDescent="0.3">
      <c r="A243" s="6" t="str">
        <f>IFERROR(VLOOKUP($F243,매장구분!$B:$K,2,0),"")</f>
        <v/>
      </c>
      <c r="B243" s="6" t="str">
        <f>IFERROR(VLOOKUP($F243,매장구분!$B:$K,3,0),"")</f>
        <v/>
      </c>
      <c r="C243" s="6" t="str">
        <f>IFERROR(VLOOKUP($F243,매장구분!$B:$K,5,0),"")</f>
        <v/>
      </c>
      <c r="D243" s="6" t="str">
        <f>IFERROR(VLOOKUP($F243,매장구분!$B:$Z,9,0),"")</f>
        <v/>
      </c>
    </row>
    <row r="244" spans="1:4" x14ac:dyDescent="0.3">
      <c r="A244" s="6" t="str">
        <f>IFERROR(VLOOKUP($F244,매장구분!$B:$K,2,0),"")</f>
        <v/>
      </c>
      <c r="B244" s="6" t="str">
        <f>IFERROR(VLOOKUP($F244,매장구분!$B:$K,3,0),"")</f>
        <v/>
      </c>
      <c r="C244" s="6" t="str">
        <f>IFERROR(VLOOKUP($F244,매장구분!$B:$K,5,0),"")</f>
        <v/>
      </c>
      <c r="D244" s="6" t="str">
        <f>IFERROR(VLOOKUP($F244,매장구분!$B:$Z,9,0),"")</f>
        <v/>
      </c>
    </row>
    <row r="245" spans="1:4" x14ac:dyDescent="0.3">
      <c r="A245" s="6" t="str">
        <f>IFERROR(VLOOKUP($F245,매장구분!$B:$K,2,0),"")</f>
        <v/>
      </c>
      <c r="B245" s="6" t="str">
        <f>IFERROR(VLOOKUP($F245,매장구분!$B:$K,3,0),"")</f>
        <v/>
      </c>
      <c r="C245" s="6" t="str">
        <f>IFERROR(VLOOKUP($F245,매장구분!$B:$K,5,0),"")</f>
        <v/>
      </c>
      <c r="D245" s="6" t="str">
        <f>IFERROR(VLOOKUP($F245,매장구분!$B:$Z,9,0),"")</f>
        <v/>
      </c>
    </row>
    <row r="246" spans="1:4" x14ac:dyDescent="0.3">
      <c r="A246" s="6" t="str">
        <f>IFERROR(VLOOKUP($F246,매장구분!$B:$K,2,0),"")</f>
        <v/>
      </c>
      <c r="B246" s="6" t="str">
        <f>IFERROR(VLOOKUP($F246,매장구분!$B:$K,3,0),"")</f>
        <v/>
      </c>
      <c r="C246" s="6" t="str">
        <f>IFERROR(VLOOKUP($F246,매장구분!$B:$K,5,0),"")</f>
        <v/>
      </c>
      <c r="D246" s="6" t="str">
        <f>IFERROR(VLOOKUP($F246,매장구분!$B:$Z,9,0),"")</f>
        <v/>
      </c>
    </row>
    <row r="247" spans="1:4" x14ac:dyDescent="0.3">
      <c r="A247" s="6" t="str">
        <f>IFERROR(VLOOKUP($F247,매장구분!$B:$K,2,0),"")</f>
        <v/>
      </c>
      <c r="B247" s="6" t="str">
        <f>IFERROR(VLOOKUP($F247,매장구분!$B:$K,3,0),"")</f>
        <v/>
      </c>
      <c r="C247" s="6" t="str">
        <f>IFERROR(VLOOKUP($F247,매장구분!$B:$K,5,0),"")</f>
        <v/>
      </c>
      <c r="D247" s="6" t="str">
        <f>IFERROR(VLOOKUP($F247,매장구분!$B:$Z,9,0),"")</f>
        <v/>
      </c>
    </row>
    <row r="248" spans="1:4" x14ac:dyDescent="0.3">
      <c r="A248" s="6" t="str">
        <f>IFERROR(VLOOKUP($F248,매장구분!$B:$K,2,0),"")</f>
        <v/>
      </c>
      <c r="B248" s="6" t="str">
        <f>IFERROR(VLOOKUP($F248,매장구분!$B:$K,3,0),"")</f>
        <v/>
      </c>
      <c r="C248" s="6" t="str">
        <f>IFERROR(VLOOKUP($F248,매장구분!$B:$K,5,0),"")</f>
        <v/>
      </c>
      <c r="D248" s="6" t="str">
        <f>IFERROR(VLOOKUP($F248,매장구분!$B:$Z,9,0),"")</f>
        <v/>
      </c>
    </row>
    <row r="249" spans="1:4" x14ac:dyDescent="0.3">
      <c r="A249" s="6" t="str">
        <f>IFERROR(VLOOKUP($F249,매장구분!$B:$K,2,0),"")</f>
        <v/>
      </c>
      <c r="B249" s="6" t="str">
        <f>IFERROR(VLOOKUP($F249,매장구분!$B:$K,3,0),"")</f>
        <v/>
      </c>
      <c r="C249" s="6" t="str">
        <f>IFERROR(VLOOKUP($F249,매장구분!$B:$K,5,0),"")</f>
        <v/>
      </c>
      <c r="D249" s="6" t="str">
        <f>IFERROR(VLOOKUP($F249,매장구분!$B:$Z,9,0),"")</f>
        <v/>
      </c>
    </row>
    <row r="250" spans="1:4" x14ac:dyDescent="0.3">
      <c r="A250" s="6" t="str">
        <f>IFERROR(VLOOKUP($F250,매장구분!$B:$K,2,0),"")</f>
        <v/>
      </c>
      <c r="B250" s="6" t="str">
        <f>IFERROR(VLOOKUP($F250,매장구분!$B:$K,3,0),"")</f>
        <v/>
      </c>
      <c r="C250" s="6" t="str">
        <f>IFERROR(VLOOKUP($F250,매장구분!$B:$K,5,0),"")</f>
        <v/>
      </c>
      <c r="D250" s="6" t="str">
        <f>IFERROR(VLOOKUP($F250,매장구분!$B:$Z,9,0),"")</f>
        <v/>
      </c>
    </row>
    <row r="251" spans="1:4" x14ac:dyDescent="0.3">
      <c r="A251" s="6" t="str">
        <f>IFERROR(VLOOKUP($F251,매장구분!$B:$K,2,0),"")</f>
        <v/>
      </c>
      <c r="B251" s="6" t="str">
        <f>IFERROR(VLOOKUP($F251,매장구분!$B:$K,3,0),"")</f>
        <v/>
      </c>
      <c r="C251" s="6" t="str">
        <f>IFERROR(VLOOKUP($F251,매장구분!$B:$K,5,0),"")</f>
        <v/>
      </c>
      <c r="D251" s="6" t="str">
        <f>IFERROR(VLOOKUP($F251,매장구분!$B:$Z,9,0),"")</f>
        <v/>
      </c>
    </row>
    <row r="252" spans="1:4" x14ac:dyDescent="0.3">
      <c r="A252" s="6" t="str">
        <f>IFERROR(VLOOKUP($F252,매장구분!$B:$K,2,0),"")</f>
        <v/>
      </c>
      <c r="B252" s="6" t="str">
        <f>IFERROR(VLOOKUP($F252,매장구분!$B:$K,3,0),"")</f>
        <v/>
      </c>
      <c r="C252" s="6" t="str">
        <f>IFERROR(VLOOKUP($F252,매장구분!$B:$K,5,0),"")</f>
        <v/>
      </c>
      <c r="D252" s="6" t="str">
        <f>IFERROR(VLOOKUP($F252,매장구분!$B:$Z,9,0),"")</f>
        <v/>
      </c>
    </row>
    <row r="253" spans="1:4" x14ac:dyDescent="0.3">
      <c r="A253" s="6" t="str">
        <f>IFERROR(VLOOKUP($F253,매장구분!$B:$K,2,0),"")</f>
        <v/>
      </c>
      <c r="B253" s="6" t="str">
        <f>IFERROR(VLOOKUP($F253,매장구분!$B:$K,3,0),"")</f>
        <v/>
      </c>
      <c r="C253" s="6" t="str">
        <f>IFERROR(VLOOKUP($F253,매장구분!$B:$K,5,0),"")</f>
        <v/>
      </c>
      <c r="D253" s="6" t="str">
        <f>IFERROR(VLOOKUP($F253,매장구분!$B:$Z,9,0),"")</f>
        <v/>
      </c>
    </row>
    <row r="254" spans="1:4" x14ac:dyDescent="0.3">
      <c r="A254" s="6" t="str">
        <f>IFERROR(VLOOKUP($F254,매장구분!$B:$K,2,0),"")</f>
        <v/>
      </c>
      <c r="B254" s="6" t="str">
        <f>IFERROR(VLOOKUP($F254,매장구분!$B:$K,3,0),"")</f>
        <v/>
      </c>
      <c r="C254" s="6" t="str">
        <f>IFERROR(VLOOKUP($F254,매장구분!$B:$K,5,0),"")</f>
        <v/>
      </c>
      <c r="D254" s="6" t="str">
        <f>IFERROR(VLOOKUP($F254,매장구분!$B:$Z,9,0),"")</f>
        <v/>
      </c>
    </row>
    <row r="255" spans="1:4" x14ac:dyDescent="0.3">
      <c r="A255" s="6" t="str">
        <f>IFERROR(VLOOKUP($F255,매장구분!$B:$K,2,0),"")</f>
        <v/>
      </c>
      <c r="B255" s="6" t="str">
        <f>IFERROR(VLOOKUP($F255,매장구분!$B:$K,3,0),"")</f>
        <v/>
      </c>
      <c r="C255" s="6" t="str">
        <f>IFERROR(VLOOKUP($F255,매장구분!$B:$K,5,0),"")</f>
        <v/>
      </c>
      <c r="D255" s="6" t="str">
        <f>IFERROR(VLOOKUP($F255,매장구분!$B:$Z,9,0),"")</f>
        <v/>
      </c>
    </row>
    <row r="256" spans="1:4" x14ac:dyDescent="0.3">
      <c r="A256" s="6" t="str">
        <f>IFERROR(VLOOKUP($F256,매장구분!$B:$K,2,0),"")</f>
        <v/>
      </c>
      <c r="B256" s="6" t="str">
        <f>IFERROR(VLOOKUP($F256,매장구분!$B:$K,3,0),"")</f>
        <v/>
      </c>
      <c r="C256" s="6" t="str">
        <f>IFERROR(VLOOKUP($F256,매장구분!$B:$K,5,0),"")</f>
        <v/>
      </c>
      <c r="D256" s="6" t="str">
        <f>IFERROR(VLOOKUP($F256,매장구분!$B:$Z,9,0),"")</f>
        <v/>
      </c>
    </row>
    <row r="257" spans="1:4" x14ac:dyDescent="0.3">
      <c r="A257" s="6" t="str">
        <f>IFERROR(VLOOKUP($F257,매장구분!$B:$K,2,0),"")</f>
        <v/>
      </c>
      <c r="B257" s="6" t="str">
        <f>IFERROR(VLOOKUP($F257,매장구분!$B:$K,3,0),"")</f>
        <v/>
      </c>
      <c r="C257" s="6" t="str">
        <f>IFERROR(VLOOKUP($F257,매장구분!$B:$K,5,0),"")</f>
        <v/>
      </c>
      <c r="D257" s="6" t="str">
        <f>IFERROR(VLOOKUP($F257,매장구분!$B:$Z,9,0),"")</f>
        <v/>
      </c>
    </row>
    <row r="258" spans="1:4" x14ac:dyDescent="0.3">
      <c r="A258" s="6" t="str">
        <f>IFERROR(VLOOKUP($F258,매장구분!$B:$K,2,0),"")</f>
        <v/>
      </c>
      <c r="B258" s="6" t="str">
        <f>IFERROR(VLOOKUP($F258,매장구분!$B:$K,3,0),"")</f>
        <v/>
      </c>
      <c r="C258" s="6" t="str">
        <f>IFERROR(VLOOKUP($F258,매장구분!$B:$K,5,0),"")</f>
        <v/>
      </c>
      <c r="D258" s="6" t="str">
        <f>IFERROR(VLOOKUP($F258,매장구분!$B:$Z,9,0),"")</f>
        <v/>
      </c>
    </row>
    <row r="259" spans="1:4" x14ac:dyDescent="0.3">
      <c r="A259" s="6" t="str">
        <f>IFERROR(VLOOKUP($F259,매장구분!$B:$K,2,0),"")</f>
        <v/>
      </c>
      <c r="B259" s="6" t="str">
        <f>IFERROR(VLOOKUP($F259,매장구분!$B:$K,3,0),"")</f>
        <v/>
      </c>
      <c r="C259" s="6" t="str">
        <f>IFERROR(VLOOKUP($F259,매장구분!$B:$K,5,0),"")</f>
        <v/>
      </c>
      <c r="D259" s="6" t="str">
        <f>IFERROR(VLOOKUP($F259,매장구분!$B:$Z,9,0),"")</f>
        <v/>
      </c>
    </row>
    <row r="260" spans="1:4" x14ac:dyDescent="0.3">
      <c r="A260" s="6" t="str">
        <f>IFERROR(VLOOKUP($F260,매장구분!$B:$K,2,0),"")</f>
        <v/>
      </c>
      <c r="B260" s="6" t="str">
        <f>IFERROR(VLOOKUP($F260,매장구분!$B:$K,3,0),"")</f>
        <v/>
      </c>
      <c r="C260" s="6" t="str">
        <f>IFERROR(VLOOKUP($F260,매장구분!$B:$K,5,0),"")</f>
        <v/>
      </c>
      <c r="D260" s="6" t="str">
        <f>IFERROR(VLOOKUP($F260,매장구분!$B:$Z,9,0),"")</f>
        <v/>
      </c>
    </row>
    <row r="261" spans="1:4" x14ac:dyDescent="0.3">
      <c r="A261" s="6" t="str">
        <f>IFERROR(VLOOKUP($F261,매장구분!$B:$K,2,0),"")</f>
        <v/>
      </c>
      <c r="B261" s="6" t="str">
        <f>IFERROR(VLOOKUP($F261,매장구분!$B:$K,3,0),"")</f>
        <v/>
      </c>
      <c r="C261" s="6" t="str">
        <f>IFERROR(VLOOKUP($F261,매장구분!$B:$K,5,0),"")</f>
        <v/>
      </c>
      <c r="D261" s="6" t="str">
        <f>IFERROR(VLOOKUP($F261,매장구분!$B:$Z,9,0),"")</f>
        <v/>
      </c>
    </row>
    <row r="262" spans="1:4" x14ac:dyDescent="0.3">
      <c r="A262" s="6" t="str">
        <f>IFERROR(VLOOKUP($F262,매장구분!$B:$K,2,0),"")</f>
        <v/>
      </c>
      <c r="B262" s="6" t="str">
        <f>IFERROR(VLOOKUP($F262,매장구분!$B:$K,3,0),"")</f>
        <v/>
      </c>
      <c r="C262" s="6" t="str">
        <f>IFERROR(VLOOKUP($F262,매장구분!$B:$K,5,0),"")</f>
        <v/>
      </c>
      <c r="D262" s="6" t="str">
        <f>IFERROR(VLOOKUP($F262,매장구분!$B:$Z,9,0),"")</f>
        <v/>
      </c>
    </row>
    <row r="263" spans="1:4" x14ac:dyDescent="0.3">
      <c r="A263" s="6" t="str">
        <f>IFERROR(VLOOKUP($F263,매장구분!$B:$K,2,0),"")</f>
        <v/>
      </c>
      <c r="B263" s="6" t="str">
        <f>IFERROR(VLOOKUP($F263,매장구분!$B:$K,3,0),"")</f>
        <v/>
      </c>
      <c r="C263" s="6" t="str">
        <f>IFERROR(VLOOKUP($F263,매장구분!$B:$K,5,0),"")</f>
        <v/>
      </c>
      <c r="D263" s="6" t="str">
        <f>IFERROR(VLOOKUP($F263,매장구분!$B:$Z,9,0),"")</f>
        <v/>
      </c>
    </row>
    <row r="264" spans="1:4" x14ac:dyDescent="0.3">
      <c r="A264" s="6" t="str">
        <f>IFERROR(VLOOKUP($F264,매장구분!$B:$K,2,0),"")</f>
        <v/>
      </c>
      <c r="B264" s="6" t="str">
        <f>IFERROR(VLOOKUP($F264,매장구분!$B:$K,3,0),"")</f>
        <v/>
      </c>
      <c r="C264" s="6" t="str">
        <f>IFERROR(VLOOKUP($F264,매장구분!$B:$K,5,0),"")</f>
        <v/>
      </c>
      <c r="D264" s="6" t="str">
        <f>IFERROR(VLOOKUP($F264,매장구분!$B:$Z,9,0),"")</f>
        <v/>
      </c>
    </row>
    <row r="265" spans="1:4" x14ac:dyDescent="0.3">
      <c r="A265" s="6" t="str">
        <f>IFERROR(VLOOKUP($F265,매장구분!$B:$K,2,0),"")</f>
        <v/>
      </c>
      <c r="B265" s="6" t="str">
        <f>IFERROR(VLOOKUP($F265,매장구분!$B:$K,3,0),"")</f>
        <v/>
      </c>
      <c r="C265" s="6" t="str">
        <f>IFERROR(VLOOKUP($F265,매장구분!$B:$K,5,0),"")</f>
        <v/>
      </c>
      <c r="D265" s="6" t="str">
        <f>IFERROR(VLOOKUP($F265,매장구분!$B:$Z,9,0),"")</f>
        <v/>
      </c>
    </row>
    <row r="266" spans="1:4" x14ac:dyDescent="0.3">
      <c r="A266" s="6" t="str">
        <f>IFERROR(VLOOKUP($F266,매장구분!$B:$K,2,0),"")</f>
        <v/>
      </c>
      <c r="B266" s="6" t="str">
        <f>IFERROR(VLOOKUP($F266,매장구분!$B:$K,3,0),"")</f>
        <v/>
      </c>
      <c r="C266" s="6" t="str">
        <f>IFERROR(VLOOKUP($F266,매장구분!$B:$K,5,0),"")</f>
        <v/>
      </c>
      <c r="D266" s="6" t="str">
        <f>IFERROR(VLOOKUP($F266,매장구분!$B:$Z,9,0),"")</f>
        <v/>
      </c>
    </row>
    <row r="267" spans="1:4" x14ac:dyDescent="0.3">
      <c r="A267" s="6" t="str">
        <f>IFERROR(VLOOKUP($F267,매장구분!$B:$K,2,0),"")</f>
        <v/>
      </c>
      <c r="B267" s="6" t="str">
        <f>IFERROR(VLOOKUP($F267,매장구분!$B:$K,3,0),"")</f>
        <v/>
      </c>
      <c r="C267" s="6" t="str">
        <f>IFERROR(VLOOKUP($F267,매장구분!$B:$K,5,0),"")</f>
        <v/>
      </c>
      <c r="D267" s="6" t="str">
        <f>IFERROR(VLOOKUP($F267,매장구분!$B:$Z,9,0),"")</f>
        <v/>
      </c>
    </row>
    <row r="268" spans="1:4" x14ac:dyDescent="0.3">
      <c r="A268" s="6" t="str">
        <f>IFERROR(VLOOKUP($F268,매장구분!$B:$K,2,0),"")</f>
        <v/>
      </c>
      <c r="B268" s="6" t="str">
        <f>IFERROR(VLOOKUP($F268,매장구분!$B:$K,3,0),"")</f>
        <v/>
      </c>
      <c r="C268" s="6" t="str">
        <f>IFERROR(VLOOKUP($F268,매장구분!$B:$K,5,0),"")</f>
        <v/>
      </c>
      <c r="D268" s="6" t="str">
        <f>IFERROR(VLOOKUP($F268,매장구분!$B:$Z,9,0),"")</f>
        <v/>
      </c>
    </row>
    <row r="269" spans="1:4" x14ac:dyDescent="0.3">
      <c r="A269" s="6" t="str">
        <f>IFERROR(VLOOKUP($F269,매장구분!$B:$K,2,0),"")</f>
        <v/>
      </c>
      <c r="B269" s="6" t="str">
        <f>IFERROR(VLOOKUP($F269,매장구분!$B:$K,3,0),"")</f>
        <v/>
      </c>
      <c r="C269" s="6" t="str">
        <f>IFERROR(VLOOKUP($F269,매장구분!$B:$K,5,0),"")</f>
        <v/>
      </c>
      <c r="D269" s="6" t="str">
        <f>IFERROR(VLOOKUP($F269,매장구분!$B:$Z,9,0),"")</f>
        <v/>
      </c>
    </row>
    <row r="270" spans="1:4" x14ac:dyDescent="0.3">
      <c r="A270" s="6" t="str">
        <f>IFERROR(VLOOKUP($F270,매장구분!$B:$K,2,0),"")</f>
        <v/>
      </c>
      <c r="B270" s="6" t="str">
        <f>IFERROR(VLOOKUP($F270,매장구분!$B:$K,3,0),"")</f>
        <v/>
      </c>
      <c r="C270" s="6" t="str">
        <f>IFERROR(VLOOKUP($F270,매장구분!$B:$K,5,0),"")</f>
        <v/>
      </c>
      <c r="D270" s="6" t="str">
        <f>IFERROR(VLOOKUP($F270,매장구분!$B:$Z,9,0),"")</f>
        <v/>
      </c>
    </row>
    <row r="271" spans="1:4" x14ac:dyDescent="0.3">
      <c r="A271" s="6" t="str">
        <f>IFERROR(VLOOKUP($F271,매장구분!$B:$K,2,0),"")</f>
        <v/>
      </c>
      <c r="B271" s="6" t="str">
        <f>IFERROR(VLOOKUP($F271,매장구분!$B:$K,3,0),"")</f>
        <v/>
      </c>
      <c r="C271" s="6" t="str">
        <f>IFERROR(VLOOKUP($F271,매장구분!$B:$K,5,0),"")</f>
        <v/>
      </c>
      <c r="D271" s="6" t="str">
        <f>IFERROR(VLOOKUP($F271,매장구분!$B:$Z,9,0),"")</f>
        <v/>
      </c>
    </row>
    <row r="272" spans="1:4" x14ac:dyDescent="0.3">
      <c r="A272" s="6" t="str">
        <f>IFERROR(VLOOKUP($F272,매장구분!$B:$K,2,0),"")</f>
        <v/>
      </c>
      <c r="B272" s="6" t="str">
        <f>IFERROR(VLOOKUP($F272,매장구분!$B:$K,3,0),"")</f>
        <v/>
      </c>
      <c r="C272" s="6" t="str">
        <f>IFERROR(VLOOKUP($F272,매장구분!$B:$K,5,0),"")</f>
        <v/>
      </c>
      <c r="D272" s="6" t="str">
        <f>IFERROR(VLOOKUP($F272,매장구분!$B:$Z,9,0),"")</f>
        <v/>
      </c>
    </row>
    <row r="273" spans="1:4" x14ac:dyDescent="0.3">
      <c r="A273" s="6" t="str">
        <f>IFERROR(VLOOKUP($F273,매장구분!$B:$K,2,0),"")</f>
        <v/>
      </c>
      <c r="B273" s="6" t="str">
        <f>IFERROR(VLOOKUP($F273,매장구분!$B:$K,3,0),"")</f>
        <v/>
      </c>
      <c r="C273" s="6" t="str">
        <f>IFERROR(VLOOKUP($F273,매장구분!$B:$K,5,0),"")</f>
        <v/>
      </c>
      <c r="D273" s="6" t="str">
        <f>IFERROR(VLOOKUP($F273,매장구분!$B:$Z,9,0),"")</f>
        <v/>
      </c>
    </row>
    <row r="274" spans="1:4" x14ac:dyDescent="0.3">
      <c r="A274" s="6" t="str">
        <f>IFERROR(VLOOKUP($F274,매장구분!$B:$K,2,0),"")</f>
        <v/>
      </c>
      <c r="B274" s="6" t="str">
        <f>IFERROR(VLOOKUP($F274,매장구분!$B:$K,3,0),"")</f>
        <v/>
      </c>
      <c r="C274" s="6" t="str">
        <f>IFERROR(VLOOKUP($F274,매장구분!$B:$K,5,0),"")</f>
        <v/>
      </c>
      <c r="D274" s="6" t="str">
        <f>IFERROR(VLOOKUP($F274,매장구분!$B:$Z,9,0),"")</f>
        <v/>
      </c>
    </row>
    <row r="275" spans="1:4" x14ac:dyDescent="0.3">
      <c r="A275" s="6" t="str">
        <f>IFERROR(VLOOKUP($F275,매장구분!$B:$K,2,0),"")</f>
        <v/>
      </c>
      <c r="B275" s="6" t="str">
        <f>IFERROR(VLOOKUP($F275,매장구분!$B:$K,3,0),"")</f>
        <v/>
      </c>
      <c r="C275" s="6" t="str">
        <f>IFERROR(VLOOKUP($F275,매장구분!$B:$K,5,0),"")</f>
        <v/>
      </c>
      <c r="D275" s="6" t="str">
        <f>IFERROR(VLOOKUP($F275,매장구분!$B:$Z,9,0),"")</f>
        <v/>
      </c>
    </row>
    <row r="276" spans="1:4" x14ac:dyDescent="0.3">
      <c r="A276" s="6" t="str">
        <f>IFERROR(VLOOKUP($F276,매장구분!$B:$K,2,0),"")</f>
        <v/>
      </c>
      <c r="B276" s="6" t="str">
        <f>IFERROR(VLOOKUP($F276,매장구분!$B:$K,3,0),"")</f>
        <v/>
      </c>
      <c r="C276" s="6" t="str">
        <f>IFERROR(VLOOKUP($F276,매장구분!$B:$K,5,0),"")</f>
        <v/>
      </c>
      <c r="D276" s="6" t="str">
        <f>IFERROR(VLOOKUP($F276,매장구분!$B:$Z,9,0),"")</f>
        <v/>
      </c>
    </row>
    <row r="277" spans="1:4" x14ac:dyDescent="0.3">
      <c r="A277" s="6" t="str">
        <f>IFERROR(VLOOKUP($F277,매장구분!$B:$K,2,0),"")</f>
        <v/>
      </c>
      <c r="B277" s="6" t="str">
        <f>IFERROR(VLOOKUP($F277,매장구분!$B:$K,3,0),"")</f>
        <v/>
      </c>
      <c r="C277" s="6" t="str">
        <f>IFERROR(VLOOKUP($F277,매장구분!$B:$K,5,0),"")</f>
        <v/>
      </c>
      <c r="D277" s="6" t="str">
        <f>IFERROR(VLOOKUP($F277,매장구분!$B:$Z,9,0),"")</f>
        <v/>
      </c>
    </row>
    <row r="278" spans="1:4" x14ac:dyDescent="0.3">
      <c r="A278" s="6" t="str">
        <f>IFERROR(VLOOKUP($F278,매장구분!$B:$K,2,0),"")</f>
        <v/>
      </c>
      <c r="B278" s="6" t="str">
        <f>IFERROR(VLOOKUP($F278,매장구분!$B:$K,3,0),"")</f>
        <v/>
      </c>
      <c r="C278" s="6" t="str">
        <f>IFERROR(VLOOKUP($F278,매장구분!$B:$K,5,0),"")</f>
        <v/>
      </c>
      <c r="D278" s="6" t="str">
        <f>IFERROR(VLOOKUP($F278,매장구분!$B:$Z,9,0),"")</f>
        <v/>
      </c>
    </row>
    <row r="279" spans="1:4" x14ac:dyDescent="0.3">
      <c r="A279" s="6" t="str">
        <f>IFERROR(VLOOKUP($F279,매장구분!$B:$K,2,0),"")</f>
        <v/>
      </c>
      <c r="B279" s="6" t="str">
        <f>IFERROR(VLOOKUP($F279,매장구분!$B:$K,3,0),"")</f>
        <v/>
      </c>
      <c r="C279" s="6" t="str">
        <f>IFERROR(VLOOKUP($F279,매장구분!$B:$K,5,0),"")</f>
        <v/>
      </c>
      <c r="D279" s="6" t="str">
        <f>IFERROR(VLOOKUP($F279,매장구분!$B:$Z,9,0),"")</f>
        <v/>
      </c>
    </row>
    <row r="280" spans="1:4" x14ac:dyDescent="0.3">
      <c r="A280" s="6" t="str">
        <f>IFERROR(VLOOKUP($F280,매장구분!$B:$K,2,0),"")</f>
        <v/>
      </c>
      <c r="B280" s="6" t="str">
        <f>IFERROR(VLOOKUP($F280,매장구분!$B:$K,3,0),"")</f>
        <v/>
      </c>
      <c r="C280" s="6" t="str">
        <f>IFERROR(VLOOKUP($F280,매장구분!$B:$K,5,0),"")</f>
        <v/>
      </c>
    </row>
    <row r="281" spans="1:4" x14ac:dyDescent="0.3">
      <c r="A281" s="6" t="str">
        <f>IFERROR(VLOOKUP($F281,매장구분!$B:$K,2,0),"")</f>
        <v/>
      </c>
      <c r="B281" s="6" t="str">
        <f>IFERROR(VLOOKUP($F281,매장구분!$B:$K,3,0),"")</f>
        <v/>
      </c>
      <c r="C281" s="6" t="str">
        <f>IFERROR(VLOOKUP($F281,매장구분!$B:$K,5,0),"")</f>
        <v/>
      </c>
    </row>
    <row r="282" spans="1:4" x14ac:dyDescent="0.3">
      <c r="A282" s="6" t="str">
        <f>IFERROR(VLOOKUP($F282,매장구분!$B:$K,2,0),"")</f>
        <v/>
      </c>
      <c r="B282" s="6" t="str">
        <f>IFERROR(VLOOKUP($F282,매장구분!$B:$K,3,0),"")</f>
        <v/>
      </c>
      <c r="C282" s="6" t="str">
        <f>IFERROR(VLOOKUP($F282,매장구분!$B:$K,5,0),"")</f>
        <v/>
      </c>
    </row>
    <row r="283" spans="1:4" x14ac:dyDescent="0.3">
      <c r="A283" s="6" t="str">
        <f>IFERROR(VLOOKUP($F283,매장구분!$B:$K,2,0),"")</f>
        <v/>
      </c>
      <c r="B283" s="6" t="str">
        <f>IFERROR(VLOOKUP($F283,매장구분!$B:$K,3,0),"")</f>
        <v/>
      </c>
      <c r="C283" s="6" t="str">
        <f>IFERROR(VLOOKUP($F283,매장구분!$B:$K,5,0),"")</f>
        <v/>
      </c>
    </row>
    <row r="284" spans="1:4" x14ac:dyDescent="0.3">
      <c r="A284" s="6" t="str">
        <f>IFERROR(VLOOKUP($F284,매장구분!$B:$K,2,0),"")</f>
        <v/>
      </c>
      <c r="B284" s="6" t="str">
        <f>IFERROR(VLOOKUP($F284,매장구분!$B:$K,3,0),"")</f>
        <v/>
      </c>
      <c r="C284" s="6" t="str">
        <f>IFERROR(VLOOKUP($F284,매장구분!$B:$K,5,0),"")</f>
        <v/>
      </c>
    </row>
    <row r="285" spans="1:4" x14ac:dyDescent="0.3">
      <c r="A285" s="6" t="str">
        <f>IFERROR(VLOOKUP($F285,매장구분!$B:$K,2,0),"")</f>
        <v/>
      </c>
      <c r="B285" s="6" t="str">
        <f>IFERROR(VLOOKUP($F285,매장구분!$B:$K,3,0),"")</f>
        <v/>
      </c>
      <c r="C285" s="6" t="str">
        <f>IFERROR(VLOOKUP($F285,매장구분!$B:$K,5,0),"")</f>
        <v/>
      </c>
    </row>
    <row r="286" spans="1:4" x14ac:dyDescent="0.3">
      <c r="A286" s="6" t="str">
        <f>IFERROR(VLOOKUP($F286,매장구분!$B:$K,2,0),"")</f>
        <v/>
      </c>
      <c r="B286" s="6" t="str">
        <f>IFERROR(VLOOKUP($F286,매장구분!$B:$K,3,0),"")</f>
        <v/>
      </c>
      <c r="C286" s="6" t="str">
        <f>IFERROR(VLOOKUP($F286,매장구분!$B:$K,5,0),"")</f>
        <v/>
      </c>
    </row>
    <row r="287" spans="1:4" x14ac:dyDescent="0.3">
      <c r="A287" s="6" t="str">
        <f>IFERROR(VLOOKUP($F287,매장구분!$B:$K,2,0),"")</f>
        <v/>
      </c>
      <c r="B287" s="6" t="str">
        <f>IFERROR(VLOOKUP($F287,매장구분!$B:$K,3,0),"")</f>
        <v/>
      </c>
      <c r="C287" s="6" t="str">
        <f>IFERROR(VLOOKUP($F287,매장구분!$B:$K,5,0),"")</f>
        <v/>
      </c>
    </row>
    <row r="288" spans="1:4" x14ac:dyDescent="0.3">
      <c r="A288" s="6" t="str">
        <f>IFERROR(VLOOKUP($F288,매장구분!$B:$K,2,0),"")</f>
        <v/>
      </c>
      <c r="B288" s="6" t="str">
        <f>IFERROR(VLOOKUP($F288,매장구분!$B:$K,3,0),"")</f>
        <v/>
      </c>
      <c r="C288" s="6" t="str">
        <f>IFERROR(VLOOKUP($F288,매장구분!$B:$K,5,0),"")</f>
        <v/>
      </c>
    </row>
    <row r="289" spans="1:3" x14ac:dyDescent="0.3">
      <c r="A289" s="6" t="str">
        <f>IFERROR(VLOOKUP($F289,매장구분!$B:$K,2,0),"")</f>
        <v/>
      </c>
      <c r="B289" s="6" t="str">
        <f>IFERROR(VLOOKUP($F289,매장구분!$B:$K,3,0),"")</f>
        <v/>
      </c>
      <c r="C289" s="6" t="str">
        <f>IFERROR(VLOOKUP($F289,매장구분!$B:$K,5,0),"")</f>
        <v/>
      </c>
    </row>
    <row r="290" spans="1:3" x14ac:dyDescent="0.3">
      <c r="A290" s="6" t="str">
        <f>IFERROR(VLOOKUP($F290,매장구분!$B:$K,2,0),"")</f>
        <v/>
      </c>
      <c r="B290" s="6" t="str">
        <f>IFERROR(VLOOKUP($F290,매장구분!$B:$K,3,0),"")</f>
        <v/>
      </c>
      <c r="C290" s="6" t="str">
        <f>IFERROR(VLOOKUP($F290,매장구분!$B:$K,5,0),"")</f>
        <v/>
      </c>
    </row>
    <row r="291" spans="1:3" x14ac:dyDescent="0.3">
      <c r="A291" s="6" t="str">
        <f>IFERROR(VLOOKUP($F291,매장구분!$B:$K,2,0),"")</f>
        <v/>
      </c>
      <c r="B291" s="6" t="str">
        <f>IFERROR(VLOOKUP($F291,매장구분!$B:$K,3,0),"")</f>
        <v/>
      </c>
      <c r="C291" s="6" t="str">
        <f>IFERROR(VLOOKUP($F291,매장구분!$B:$K,5,0),"")</f>
        <v/>
      </c>
    </row>
    <row r="292" spans="1:3" x14ac:dyDescent="0.3">
      <c r="A292" s="6" t="str">
        <f>IFERROR(VLOOKUP($F292,매장구분!$B:$K,2,0),"")</f>
        <v/>
      </c>
      <c r="B292" s="6" t="str">
        <f>IFERROR(VLOOKUP($F292,매장구분!$B:$K,3,0),"")</f>
        <v/>
      </c>
      <c r="C292" s="6" t="str">
        <f>IFERROR(VLOOKUP($F292,매장구분!$B:$K,5,0),"")</f>
        <v/>
      </c>
    </row>
    <row r="293" spans="1:3" x14ac:dyDescent="0.3">
      <c r="A293" s="6" t="str">
        <f>IFERROR(VLOOKUP($F293,매장구분!$B:$K,2,0),"")</f>
        <v/>
      </c>
      <c r="B293" s="6" t="str">
        <f>IFERROR(VLOOKUP($F293,매장구분!$B:$K,3,0),"")</f>
        <v/>
      </c>
      <c r="C293" s="6" t="str">
        <f>IFERROR(VLOOKUP($F293,매장구분!$B:$K,5,0),"")</f>
        <v/>
      </c>
    </row>
    <row r="294" spans="1:3" x14ac:dyDescent="0.3">
      <c r="A294" s="6" t="str">
        <f>IFERROR(VLOOKUP($F294,매장구분!$B:$K,2,0),"")</f>
        <v/>
      </c>
      <c r="B294" s="6" t="str">
        <f>IFERROR(VLOOKUP($F294,매장구분!$B:$K,3,0),"")</f>
        <v/>
      </c>
      <c r="C294" s="6" t="str">
        <f>IFERROR(VLOOKUP($F294,매장구분!$B:$K,5,0),"")</f>
        <v/>
      </c>
    </row>
    <row r="295" spans="1:3" x14ac:dyDescent="0.3">
      <c r="A295" s="6" t="str">
        <f>IFERROR(VLOOKUP($F295,매장구분!$B:$K,2,0),"")</f>
        <v/>
      </c>
      <c r="B295" s="6" t="str">
        <f>IFERROR(VLOOKUP($F295,매장구분!$B:$K,3,0),"")</f>
        <v/>
      </c>
      <c r="C295" s="6" t="str">
        <f>IFERROR(VLOOKUP($F295,매장구분!$B:$K,5,0),"")</f>
        <v/>
      </c>
    </row>
    <row r="296" spans="1:3" x14ac:dyDescent="0.3">
      <c r="A296" s="6" t="str">
        <f>IFERROR(VLOOKUP($F296,매장구분!$B:$K,2,0),"")</f>
        <v/>
      </c>
      <c r="B296" s="6" t="str">
        <f>IFERROR(VLOOKUP($F296,매장구분!$B:$K,3,0),"")</f>
        <v/>
      </c>
      <c r="C296" s="6" t="str">
        <f>IFERROR(VLOOKUP($F296,매장구분!$B:$K,5,0),"")</f>
        <v/>
      </c>
    </row>
    <row r="297" spans="1:3" x14ac:dyDescent="0.3">
      <c r="A297" s="6" t="str">
        <f>IFERROR(VLOOKUP($F297,매장구분!$B:$K,2,0),"")</f>
        <v/>
      </c>
      <c r="B297" s="6" t="str">
        <f>IFERROR(VLOOKUP($F297,매장구분!$B:$K,3,0),"")</f>
        <v/>
      </c>
      <c r="C297" s="6" t="str">
        <f>IFERROR(VLOOKUP($F297,매장구분!$B:$K,5,0),"")</f>
        <v/>
      </c>
    </row>
    <row r="298" spans="1:3" x14ac:dyDescent="0.3">
      <c r="A298" s="6" t="str">
        <f>IFERROR(VLOOKUP($F298,매장구분!$B:$K,2,0),"")</f>
        <v/>
      </c>
      <c r="B298" s="6" t="str">
        <f>IFERROR(VLOOKUP($F298,매장구분!$B:$K,3,0),"")</f>
        <v/>
      </c>
      <c r="C298" s="6" t="str">
        <f>IFERROR(VLOOKUP($F298,매장구분!$B:$K,5,0),"")</f>
        <v/>
      </c>
    </row>
    <row r="299" spans="1:3" x14ac:dyDescent="0.3">
      <c r="A299" s="6" t="str">
        <f>IFERROR(VLOOKUP($F299,매장구분!$B:$K,2,0),"")</f>
        <v/>
      </c>
      <c r="B299" s="6" t="str">
        <f>IFERROR(VLOOKUP($F299,매장구분!$B:$K,3,0),"")</f>
        <v/>
      </c>
      <c r="C299" s="6" t="str">
        <f>IFERROR(VLOOKUP($F299,매장구분!$B:$K,5,0),"")</f>
        <v/>
      </c>
    </row>
    <row r="300" spans="1:3" x14ac:dyDescent="0.3">
      <c r="A300" s="6" t="str">
        <f>IFERROR(VLOOKUP($F300,매장구분!$B:$K,2,0),"")</f>
        <v/>
      </c>
      <c r="B300" s="6" t="str">
        <f>IFERROR(VLOOKUP($F300,매장구분!$B:$K,3,0),"")</f>
        <v/>
      </c>
      <c r="C300" s="6" t="str">
        <f>IFERROR(VLOOKUP($F300,매장구분!$B:$K,5,0),"")</f>
        <v/>
      </c>
    </row>
    <row r="301" spans="1:3" x14ac:dyDescent="0.3">
      <c r="A301" s="6" t="str">
        <f>IFERROR(VLOOKUP($F301,매장구분!$B:$K,2,0),"")</f>
        <v/>
      </c>
      <c r="B301" s="6" t="str">
        <f>IFERROR(VLOOKUP($F301,매장구분!$B:$K,3,0),"")</f>
        <v/>
      </c>
      <c r="C301" s="6" t="str">
        <f>IFERROR(VLOOKUP($F301,매장구분!$B:$K,5,0),"")</f>
        <v/>
      </c>
    </row>
    <row r="302" spans="1:3" x14ac:dyDescent="0.3">
      <c r="A302" s="6" t="str">
        <f>IFERROR(VLOOKUP($F302,매장구분!$B:$K,2,0),"")</f>
        <v/>
      </c>
      <c r="B302" s="6" t="str">
        <f>IFERROR(VLOOKUP($F302,매장구분!$B:$K,3,0),"")</f>
        <v/>
      </c>
      <c r="C302" s="6" t="str">
        <f>IFERROR(VLOOKUP($F302,매장구분!$B:$K,5,0),"")</f>
        <v/>
      </c>
    </row>
    <row r="303" spans="1:3" x14ac:dyDescent="0.3">
      <c r="A303" s="6" t="str">
        <f>IFERROR(VLOOKUP($F303,매장구분!$B:$K,2,0),"")</f>
        <v/>
      </c>
      <c r="B303" s="6" t="str">
        <f>IFERROR(VLOOKUP($F303,매장구분!$B:$K,3,0),"")</f>
        <v/>
      </c>
      <c r="C303" s="6" t="str">
        <f>IFERROR(VLOOKUP($F303,매장구분!$B:$K,5,0),"")</f>
        <v/>
      </c>
    </row>
    <row r="304" spans="1:3" x14ac:dyDescent="0.3">
      <c r="A304" s="6" t="str">
        <f>IFERROR(VLOOKUP($F304,매장구분!$B:$K,2,0),"")</f>
        <v/>
      </c>
      <c r="B304" s="6" t="str">
        <f>IFERROR(VLOOKUP($F304,매장구분!$B:$K,3,0),"")</f>
        <v/>
      </c>
      <c r="C304" s="6" t="str">
        <f>IFERROR(VLOOKUP($F304,매장구분!$B:$K,5,0),"")</f>
        <v/>
      </c>
    </row>
    <row r="305" spans="1:3" x14ac:dyDescent="0.3">
      <c r="A305" s="6" t="str">
        <f>IFERROR(VLOOKUP($F305,매장구분!$B:$K,2,0),"")</f>
        <v/>
      </c>
      <c r="B305" s="6" t="str">
        <f>IFERROR(VLOOKUP($F305,매장구분!$B:$K,3,0),"")</f>
        <v/>
      </c>
      <c r="C305" s="6" t="str">
        <f>IFERROR(VLOOKUP($F305,매장구분!$B:$K,5,0),"")</f>
        <v/>
      </c>
    </row>
    <row r="306" spans="1:3" x14ac:dyDescent="0.3">
      <c r="A306" s="6" t="str">
        <f>IFERROR(VLOOKUP($F306,매장구분!$B:$K,2,0),"")</f>
        <v/>
      </c>
      <c r="B306" s="6" t="str">
        <f>IFERROR(VLOOKUP($F306,매장구분!$B:$K,3,0),"")</f>
        <v/>
      </c>
      <c r="C306" s="6" t="str">
        <f>IFERROR(VLOOKUP($F306,매장구분!$B:$K,5,0),"")</f>
        <v/>
      </c>
    </row>
    <row r="307" spans="1:3" x14ac:dyDescent="0.3">
      <c r="A307" s="6" t="str">
        <f>IFERROR(VLOOKUP($F307,매장구분!$B:$K,2,0),"")</f>
        <v/>
      </c>
      <c r="B307" s="6" t="str">
        <f>IFERROR(VLOOKUP($F307,매장구분!$B:$K,3,0),"")</f>
        <v/>
      </c>
      <c r="C307" s="6" t="str">
        <f>IFERROR(VLOOKUP($F307,매장구분!$B:$K,5,0),"")</f>
        <v/>
      </c>
    </row>
    <row r="308" spans="1:3" x14ac:dyDescent="0.3">
      <c r="A308" s="6" t="str">
        <f>IFERROR(VLOOKUP($F308,매장구분!$B:$K,2,0),"")</f>
        <v/>
      </c>
      <c r="B308" s="6" t="str">
        <f>IFERROR(VLOOKUP($F308,매장구분!$B:$K,3,0),"")</f>
        <v/>
      </c>
      <c r="C308" s="6" t="str">
        <f>IFERROR(VLOOKUP($F308,매장구분!$B:$K,5,0),"")</f>
        <v/>
      </c>
    </row>
    <row r="309" spans="1:3" x14ac:dyDescent="0.3">
      <c r="A309" s="6" t="str">
        <f>IFERROR(VLOOKUP($F309,매장구분!$B:$K,2,0),"")</f>
        <v/>
      </c>
      <c r="B309" s="6" t="str">
        <f>IFERROR(VLOOKUP($F309,매장구분!$B:$K,3,0),"")</f>
        <v/>
      </c>
      <c r="C309" s="6" t="str">
        <f>IFERROR(VLOOKUP($F309,매장구분!$B:$K,5,0),"")</f>
        <v/>
      </c>
    </row>
    <row r="310" spans="1:3" x14ac:dyDescent="0.3">
      <c r="A310" s="6" t="str">
        <f>IFERROR(VLOOKUP($F310,매장구분!$B:$K,2,0),"")</f>
        <v/>
      </c>
      <c r="B310" s="6" t="str">
        <f>IFERROR(VLOOKUP($F310,매장구분!$B:$K,3,0),"")</f>
        <v/>
      </c>
      <c r="C310" s="6" t="str">
        <f>IFERROR(VLOOKUP($F310,매장구분!$B:$K,5,0),"")</f>
        <v/>
      </c>
    </row>
    <row r="311" spans="1:3" x14ac:dyDescent="0.3">
      <c r="A311" s="6" t="str">
        <f>IFERROR(VLOOKUP($F311,매장구분!$B:$K,2,0),"")</f>
        <v/>
      </c>
      <c r="B311" s="6" t="str">
        <f>IFERROR(VLOOKUP($F311,매장구분!$B:$K,3,0),"")</f>
        <v/>
      </c>
      <c r="C311" s="6" t="str">
        <f>IFERROR(VLOOKUP($F311,매장구분!$B:$K,5,0),"")</f>
        <v/>
      </c>
    </row>
    <row r="312" spans="1:3" x14ac:dyDescent="0.3">
      <c r="A312" s="6" t="str">
        <f>IFERROR(VLOOKUP($F312,매장구분!$B:$K,2,0),"")</f>
        <v/>
      </c>
      <c r="B312" s="6" t="str">
        <f>IFERROR(VLOOKUP($F312,매장구분!$B:$K,3,0),"")</f>
        <v/>
      </c>
      <c r="C312" s="6" t="str">
        <f>IFERROR(VLOOKUP($F312,매장구분!$B:$K,5,0),"")</f>
        <v/>
      </c>
    </row>
    <row r="313" spans="1:3" x14ac:dyDescent="0.3">
      <c r="A313" s="6" t="str">
        <f>IFERROR(VLOOKUP($F313,매장구분!$B:$K,2,0),"")</f>
        <v/>
      </c>
      <c r="B313" s="6" t="str">
        <f>IFERROR(VLOOKUP($F313,매장구분!$B:$K,3,0),"")</f>
        <v/>
      </c>
      <c r="C313" s="6" t="str">
        <f>IFERROR(VLOOKUP($F313,매장구분!$B:$K,5,0),"")</f>
        <v/>
      </c>
    </row>
    <row r="314" spans="1:3" x14ac:dyDescent="0.3">
      <c r="A314" s="6" t="str">
        <f>IFERROR(VLOOKUP($F314,매장구분!$B:$K,2,0),"")</f>
        <v/>
      </c>
      <c r="B314" s="6" t="str">
        <f>IFERROR(VLOOKUP($F314,매장구분!$B:$K,3,0),"")</f>
        <v/>
      </c>
      <c r="C314" s="6" t="str">
        <f>IFERROR(VLOOKUP($F314,매장구분!$B:$K,5,0),"")</f>
        <v/>
      </c>
    </row>
    <row r="315" spans="1:3" x14ac:dyDescent="0.3">
      <c r="A315" s="6" t="str">
        <f>IFERROR(VLOOKUP($F315,매장구분!$B:$K,2,0),"")</f>
        <v/>
      </c>
      <c r="B315" s="6" t="str">
        <f>IFERROR(VLOOKUP($F315,매장구분!$B:$K,3,0),"")</f>
        <v/>
      </c>
      <c r="C315" s="6" t="str">
        <f>IFERROR(VLOOKUP($F315,매장구분!$B:$K,5,0),"")</f>
        <v/>
      </c>
    </row>
    <row r="316" spans="1:3" x14ac:dyDescent="0.3">
      <c r="A316" s="6" t="str">
        <f>IFERROR(VLOOKUP($F316,매장구분!$B:$K,2,0),"")</f>
        <v/>
      </c>
      <c r="B316" s="6" t="str">
        <f>IFERROR(VLOOKUP($F316,매장구분!$B:$K,3,0),"")</f>
        <v/>
      </c>
      <c r="C316" s="6" t="str">
        <f>IFERROR(VLOOKUP($F316,매장구분!$B:$K,5,0),"")</f>
        <v/>
      </c>
    </row>
    <row r="317" spans="1:3" x14ac:dyDescent="0.3">
      <c r="A317" s="6" t="str">
        <f>IFERROR(VLOOKUP($F317,매장구분!$B:$K,2,0),"")</f>
        <v/>
      </c>
      <c r="B317" s="6" t="str">
        <f>IFERROR(VLOOKUP($F317,매장구분!$B:$K,3,0),"")</f>
        <v/>
      </c>
      <c r="C317" s="6" t="str">
        <f>IFERROR(VLOOKUP($F317,매장구분!$B:$K,5,0),"")</f>
        <v/>
      </c>
    </row>
    <row r="318" spans="1:3" x14ac:dyDescent="0.3">
      <c r="A318" s="6" t="str">
        <f>IFERROR(VLOOKUP($F318,매장구분!$B:$K,2,0),"")</f>
        <v/>
      </c>
      <c r="B318" s="6" t="str">
        <f>IFERROR(VLOOKUP($F318,매장구분!$B:$K,3,0),"")</f>
        <v/>
      </c>
      <c r="C318" s="6" t="str">
        <f>IFERROR(VLOOKUP($F318,매장구분!$B:$K,5,0),"")</f>
        <v/>
      </c>
    </row>
    <row r="319" spans="1:3" x14ac:dyDescent="0.3">
      <c r="A319" s="6" t="str">
        <f>IFERROR(VLOOKUP($F319,매장구분!$B:$K,2,0),"")</f>
        <v/>
      </c>
      <c r="B319" s="6" t="str">
        <f>IFERROR(VLOOKUP($F319,매장구분!$B:$K,3,0),"")</f>
        <v/>
      </c>
      <c r="C319" s="6" t="str">
        <f>IFERROR(VLOOKUP($F319,매장구분!$B:$K,5,0),"")</f>
        <v/>
      </c>
    </row>
    <row r="320" spans="1:3" x14ac:dyDescent="0.3">
      <c r="A320" s="6" t="str">
        <f>IFERROR(VLOOKUP($F320,매장구분!$B:$K,2,0),"")</f>
        <v/>
      </c>
      <c r="B320" s="6" t="str">
        <f>IFERROR(VLOOKUP($F320,매장구분!$B:$K,3,0),"")</f>
        <v/>
      </c>
      <c r="C320" s="6" t="str">
        <f>IFERROR(VLOOKUP($F320,매장구분!$B:$K,5,0),"")</f>
        <v/>
      </c>
    </row>
    <row r="321" spans="1:3" x14ac:dyDescent="0.3">
      <c r="A321" s="6" t="str">
        <f>IFERROR(VLOOKUP($F321,매장구분!$B:$K,2,0),"")</f>
        <v/>
      </c>
      <c r="B321" s="6" t="str">
        <f>IFERROR(VLOOKUP($F321,매장구분!$B:$K,3,0),"")</f>
        <v/>
      </c>
      <c r="C321" s="6" t="str">
        <f>IFERROR(VLOOKUP($F321,매장구분!$B:$K,5,0),"")</f>
        <v/>
      </c>
    </row>
    <row r="322" spans="1:3" x14ac:dyDescent="0.3">
      <c r="A322" s="6" t="str">
        <f>IFERROR(VLOOKUP($F322,매장구분!$B:$K,2,0),"")</f>
        <v/>
      </c>
      <c r="B322" s="6" t="str">
        <f>IFERROR(VLOOKUP($F322,매장구분!$B:$K,3,0),"")</f>
        <v/>
      </c>
      <c r="C322" s="6" t="str">
        <f>IFERROR(VLOOKUP($F322,매장구분!$B:$K,5,0),"")</f>
        <v/>
      </c>
    </row>
    <row r="323" spans="1:3" x14ac:dyDescent="0.3">
      <c r="A323" s="6" t="str">
        <f>IFERROR(VLOOKUP($F323,매장구분!$B:$K,2,0),"")</f>
        <v/>
      </c>
      <c r="B323" s="6" t="str">
        <f>IFERROR(VLOOKUP($F323,매장구분!$B:$K,3,0),"")</f>
        <v/>
      </c>
      <c r="C323" s="6" t="str">
        <f>IFERROR(VLOOKUP($F323,매장구분!$B:$K,5,0),"")</f>
        <v/>
      </c>
    </row>
    <row r="324" spans="1:3" x14ac:dyDescent="0.3">
      <c r="A324" s="6" t="str">
        <f>IFERROR(VLOOKUP($F324,매장구분!$B:$K,2,0),"")</f>
        <v/>
      </c>
      <c r="B324" s="6" t="str">
        <f>IFERROR(VLOOKUP($F324,매장구분!$B:$K,3,0),"")</f>
        <v/>
      </c>
      <c r="C324" s="6" t="str">
        <f>IFERROR(VLOOKUP($F324,매장구분!$B:$K,5,0),"")</f>
        <v/>
      </c>
    </row>
    <row r="325" spans="1:3" x14ac:dyDescent="0.3">
      <c r="A325" s="6" t="str">
        <f>IFERROR(VLOOKUP($F325,매장구분!$B:$K,2,0),"")</f>
        <v/>
      </c>
      <c r="B325" s="6" t="str">
        <f>IFERROR(VLOOKUP($F325,매장구분!$B:$K,3,0),"")</f>
        <v/>
      </c>
      <c r="C325" s="6" t="str">
        <f>IFERROR(VLOOKUP($F325,매장구분!$B:$K,5,0),"")</f>
        <v/>
      </c>
    </row>
    <row r="326" spans="1:3" x14ac:dyDescent="0.3">
      <c r="A326" s="6" t="str">
        <f>IFERROR(VLOOKUP($F326,매장구분!$B:$K,2,0),"")</f>
        <v/>
      </c>
      <c r="B326" s="6" t="str">
        <f>IFERROR(VLOOKUP($F326,매장구분!$B:$K,3,0),"")</f>
        <v/>
      </c>
      <c r="C326" s="6" t="str">
        <f>IFERROR(VLOOKUP($F326,매장구분!$B:$K,5,0),"")</f>
        <v/>
      </c>
    </row>
    <row r="327" spans="1:3" x14ac:dyDescent="0.3">
      <c r="A327" s="6" t="str">
        <f>IFERROR(VLOOKUP($F327,매장구분!$B:$K,2,0),"")</f>
        <v/>
      </c>
      <c r="B327" s="6" t="str">
        <f>IFERROR(VLOOKUP($F327,매장구분!$B:$K,3,0),"")</f>
        <v/>
      </c>
      <c r="C327" s="6" t="str">
        <f>IFERROR(VLOOKUP($F327,매장구분!$B:$K,5,0),"")</f>
        <v/>
      </c>
    </row>
    <row r="328" spans="1:3" x14ac:dyDescent="0.3">
      <c r="A328" s="6" t="str">
        <f>IFERROR(VLOOKUP($F328,매장구분!$B:$K,2,0),"")</f>
        <v/>
      </c>
      <c r="B328" s="6" t="str">
        <f>IFERROR(VLOOKUP($F328,매장구분!$B:$K,3,0),"")</f>
        <v/>
      </c>
      <c r="C328" s="6" t="str">
        <f>IFERROR(VLOOKUP($F328,매장구분!$B:$K,5,0),"")</f>
        <v/>
      </c>
    </row>
    <row r="329" spans="1:3" x14ac:dyDescent="0.3">
      <c r="A329" s="6" t="str">
        <f>IFERROR(VLOOKUP($F329,매장구분!$B:$K,2,0),"")</f>
        <v/>
      </c>
      <c r="B329" s="6" t="str">
        <f>IFERROR(VLOOKUP($F329,매장구분!$B:$K,3,0),"")</f>
        <v/>
      </c>
      <c r="C329" s="6" t="str">
        <f>IFERROR(VLOOKUP($F329,매장구분!$B:$K,5,0),"")</f>
        <v/>
      </c>
    </row>
    <row r="330" spans="1:3" x14ac:dyDescent="0.3">
      <c r="A330" s="6" t="str">
        <f>IFERROR(VLOOKUP($F330,매장구분!$B:$K,2,0),"")</f>
        <v/>
      </c>
      <c r="B330" s="6" t="str">
        <f>IFERROR(VLOOKUP($F330,매장구분!$B:$K,3,0),"")</f>
        <v/>
      </c>
      <c r="C330" s="6" t="str">
        <f>IFERROR(VLOOKUP($F330,매장구분!$B:$K,5,0),"")</f>
        <v/>
      </c>
    </row>
    <row r="331" spans="1:3" x14ac:dyDescent="0.3">
      <c r="A331" s="6" t="str">
        <f>IFERROR(VLOOKUP($F331,매장구분!$B:$K,2,0),"")</f>
        <v/>
      </c>
      <c r="B331" s="6" t="str">
        <f>IFERROR(VLOOKUP($F331,매장구분!$B:$K,3,0),"")</f>
        <v/>
      </c>
      <c r="C331" s="6" t="str">
        <f>IFERROR(VLOOKUP($F331,매장구분!$B:$K,5,0),"")</f>
        <v/>
      </c>
    </row>
    <row r="332" spans="1:3" x14ac:dyDescent="0.3">
      <c r="A332" s="6" t="str">
        <f>IFERROR(VLOOKUP($F332,매장구분!$B:$K,2,0),"")</f>
        <v/>
      </c>
      <c r="B332" s="6" t="str">
        <f>IFERROR(VLOOKUP($F332,매장구분!$B:$K,3,0),"")</f>
        <v/>
      </c>
      <c r="C332" s="6" t="str">
        <f>IFERROR(VLOOKUP($F332,매장구분!$B:$K,5,0),"")</f>
        <v/>
      </c>
    </row>
    <row r="333" spans="1:3" x14ac:dyDescent="0.3">
      <c r="A333" s="6" t="str">
        <f>IFERROR(VLOOKUP($F333,매장구분!$B:$K,2,0),"")</f>
        <v/>
      </c>
      <c r="B333" s="6" t="str">
        <f>IFERROR(VLOOKUP($F333,매장구분!$B:$K,3,0),"")</f>
        <v/>
      </c>
      <c r="C333" s="6" t="str">
        <f>IFERROR(VLOOKUP($F333,매장구분!$B:$K,5,0),"")</f>
        <v/>
      </c>
    </row>
    <row r="334" spans="1:3" x14ac:dyDescent="0.3">
      <c r="A334" s="6" t="str">
        <f>IFERROR(VLOOKUP($F334,매장구분!$B:$K,2,0),"")</f>
        <v/>
      </c>
      <c r="B334" s="6" t="str">
        <f>IFERROR(VLOOKUP($F334,매장구분!$B:$K,3,0),"")</f>
        <v/>
      </c>
      <c r="C334" s="6" t="str">
        <f>IFERROR(VLOOKUP($F334,매장구분!$B:$K,5,0),"")</f>
        <v/>
      </c>
    </row>
    <row r="335" spans="1:3" x14ac:dyDescent="0.3">
      <c r="A335" s="6" t="str">
        <f>IFERROR(VLOOKUP($F335,매장구분!$B:$K,2,0),"")</f>
        <v/>
      </c>
      <c r="B335" s="6" t="str">
        <f>IFERROR(VLOOKUP($F335,매장구분!$B:$K,3,0),"")</f>
        <v/>
      </c>
      <c r="C335" s="6" t="str">
        <f>IFERROR(VLOOKUP($F335,매장구분!$B:$K,5,0),"")</f>
        <v/>
      </c>
    </row>
    <row r="336" spans="1:3" x14ac:dyDescent="0.3">
      <c r="A336" s="6" t="str">
        <f>IFERROR(VLOOKUP($F336,매장구분!$B:$K,2,0),"")</f>
        <v/>
      </c>
      <c r="B336" s="6" t="str">
        <f>IFERROR(VLOOKUP($F336,매장구분!$B:$K,3,0),"")</f>
        <v/>
      </c>
      <c r="C336" s="6" t="str">
        <f>IFERROR(VLOOKUP($F336,매장구분!$B:$K,5,0),"")</f>
        <v/>
      </c>
    </row>
    <row r="337" spans="1:3" x14ac:dyDescent="0.3">
      <c r="A337" s="6" t="str">
        <f>IFERROR(VLOOKUP($F337,매장구분!$B:$K,2,0),"")</f>
        <v/>
      </c>
      <c r="B337" s="6" t="str">
        <f>IFERROR(VLOOKUP($F337,매장구분!$B:$K,3,0),"")</f>
        <v/>
      </c>
      <c r="C337" s="6" t="str">
        <f>IFERROR(VLOOKUP($F337,매장구분!$B:$K,5,0),"")</f>
        <v/>
      </c>
    </row>
    <row r="338" spans="1:3" x14ac:dyDescent="0.3">
      <c r="A338" s="6" t="str">
        <f>IFERROR(VLOOKUP($F338,매장구분!$B:$K,2,0),"")</f>
        <v/>
      </c>
      <c r="B338" s="6" t="str">
        <f>IFERROR(VLOOKUP($F338,매장구분!$B:$K,3,0),"")</f>
        <v/>
      </c>
      <c r="C338" s="6" t="str">
        <f>IFERROR(VLOOKUP($F338,매장구분!$B:$K,5,0),"")</f>
        <v/>
      </c>
    </row>
    <row r="339" spans="1:3" x14ac:dyDescent="0.3">
      <c r="A339" s="6" t="str">
        <f>IFERROR(VLOOKUP($F339,매장구분!$B:$K,2,0),"")</f>
        <v/>
      </c>
      <c r="B339" s="6" t="str">
        <f>IFERROR(VLOOKUP($F339,매장구분!$B:$K,3,0),"")</f>
        <v/>
      </c>
      <c r="C339" s="6" t="str">
        <f>IFERROR(VLOOKUP($F339,매장구분!$B:$K,5,0),"")</f>
        <v/>
      </c>
    </row>
    <row r="340" spans="1:3" x14ac:dyDescent="0.3">
      <c r="A340" s="6" t="str">
        <f>IFERROR(VLOOKUP($F340,매장구분!$B:$K,2,0),"")</f>
        <v/>
      </c>
      <c r="B340" s="6" t="str">
        <f>IFERROR(VLOOKUP($F340,매장구분!$B:$K,3,0),"")</f>
        <v/>
      </c>
      <c r="C340" s="6" t="str">
        <f>IFERROR(VLOOKUP($F340,매장구분!$B:$K,5,0),"")</f>
        <v/>
      </c>
    </row>
    <row r="341" spans="1:3" x14ac:dyDescent="0.3">
      <c r="A341" s="6" t="str">
        <f>IFERROR(VLOOKUP($F341,매장구분!$B:$K,2,0),"")</f>
        <v/>
      </c>
      <c r="B341" s="6" t="str">
        <f>IFERROR(VLOOKUP($F341,매장구분!$B:$K,3,0),"")</f>
        <v/>
      </c>
      <c r="C341" s="6" t="str">
        <f>IFERROR(VLOOKUP($F341,매장구분!$B:$K,5,0),"")</f>
        <v/>
      </c>
    </row>
    <row r="342" spans="1:3" x14ac:dyDescent="0.3">
      <c r="A342" s="6" t="str">
        <f>IFERROR(VLOOKUP($F342,매장구분!$B:$K,2,0),"")</f>
        <v/>
      </c>
      <c r="B342" s="6" t="str">
        <f>IFERROR(VLOOKUP($F342,매장구분!$B:$K,3,0),"")</f>
        <v/>
      </c>
      <c r="C342" s="6" t="str">
        <f>IFERROR(VLOOKUP($F342,매장구분!$B:$K,5,0),"")</f>
        <v/>
      </c>
    </row>
    <row r="343" spans="1:3" x14ac:dyDescent="0.3">
      <c r="A343" s="6" t="str">
        <f>IFERROR(VLOOKUP($F343,매장구분!$B:$K,2,0),"")</f>
        <v/>
      </c>
      <c r="B343" s="6" t="str">
        <f>IFERROR(VLOOKUP($F343,매장구분!$B:$K,3,0),"")</f>
        <v/>
      </c>
      <c r="C343" s="6" t="str">
        <f>IFERROR(VLOOKUP($F343,매장구분!$B:$K,5,0),"")</f>
        <v/>
      </c>
    </row>
    <row r="344" spans="1:3" x14ac:dyDescent="0.3">
      <c r="A344" s="6" t="str">
        <f>IFERROR(VLOOKUP($F344,매장구분!$B:$K,2,0),"")</f>
        <v/>
      </c>
      <c r="B344" s="6" t="str">
        <f>IFERROR(VLOOKUP($F344,매장구분!$B:$K,3,0),"")</f>
        <v/>
      </c>
      <c r="C344" s="6" t="str">
        <f>IFERROR(VLOOKUP($F344,매장구분!$B:$K,5,0),"")</f>
        <v/>
      </c>
    </row>
    <row r="345" spans="1:3" x14ac:dyDescent="0.3">
      <c r="A345" s="6" t="str">
        <f>IFERROR(VLOOKUP($F345,매장구분!$B:$K,2,0),"")</f>
        <v/>
      </c>
      <c r="B345" s="6" t="str">
        <f>IFERROR(VLOOKUP($F345,매장구분!$B:$K,3,0),"")</f>
        <v/>
      </c>
      <c r="C345" s="6" t="str">
        <f>IFERROR(VLOOKUP($F345,매장구분!$B:$K,5,0),"")</f>
        <v/>
      </c>
    </row>
    <row r="346" spans="1:3" x14ac:dyDescent="0.3">
      <c r="A346" s="6" t="str">
        <f>IFERROR(VLOOKUP($F346,매장구분!$B:$K,2,0),"")</f>
        <v/>
      </c>
      <c r="B346" s="6" t="str">
        <f>IFERROR(VLOOKUP($F346,매장구분!$B:$K,3,0),"")</f>
        <v/>
      </c>
      <c r="C346" s="6" t="str">
        <f>IFERROR(VLOOKUP($F346,매장구분!$B:$K,5,0),"")</f>
        <v/>
      </c>
    </row>
    <row r="347" spans="1:3" x14ac:dyDescent="0.3">
      <c r="A347" s="6" t="str">
        <f>IFERROR(VLOOKUP($F347,매장구분!$B:$K,2,0),"")</f>
        <v/>
      </c>
      <c r="B347" s="6" t="str">
        <f>IFERROR(VLOOKUP($F347,매장구분!$B:$K,3,0),"")</f>
        <v/>
      </c>
      <c r="C347" s="6" t="str">
        <f>IFERROR(VLOOKUP($F347,매장구분!$B:$K,5,0),"")</f>
        <v/>
      </c>
    </row>
    <row r="348" spans="1:3" x14ac:dyDescent="0.3">
      <c r="A348" s="6" t="str">
        <f>IFERROR(VLOOKUP($F348,매장구분!$B:$K,2,0),"")</f>
        <v/>
      </c>
      <c r="B348" s="6" t="str">
        <f>IFERROR(VLOOKUP($F348,매장구분!$B:$K,3,0),"")</f>
        <v/>
      </c>
      <c r="C348" s="6" t="str">
        <f>IFERROR(VLOOKUP($F348,매장구분!$B:$K,5,0),"")</f>
        <v/>
      </c>
    </row>
    <row r="349" spans="1:3" x14ac:dyDescent="0.3">
      <c r="A349" s="6" t="str">
        <f>IFERROR(VLOOKUP($F349,매장구분!$B:$K,2,0),"")</f>
        <v/>
      </c>
      <c r="B349" s="6" t="str">
        <f>IFERROR(VLOOKUP($F349,매장구분!$B:$K,3,0),"")</f>
        <v/>
      </c>
      <c r="C349" s="6" t="str">
        <f>IFERROR(VLOOKUP($F349,매장구분!$B:$K,5,0),"")</f>
        <v/>
      </c>
    </row>
    <row r="350" spans="1:3" x14ac:dyDescent="0.3">
      <c r="A350" s="6" t="str">
        <f>IFERROR(VLOOKUP($F350,매장구분!$B:$K,2,0),"")</f>
        <v/>
      </c>
      <c r="B350" s="6" t="str">
        <f>IFERROR(VLOOKUP($F350,매장구분!$B:$K,3,0),"")</f>
        <v/>
      </c>
      <c r="C350" s="6" t="str">
        <f>IFERROR(VLOOKUP($F350,매장구분!$B:$K,5,0),"")</f>
        <v/>
      </c>
    </row>
    <row r="351" spans="1:3" x14ac:dyDescent="0.3">
      <c r="A351" s="6" t="str">
        <f>IFERROR(VLOOKUP($F351,매장구분!$B:$K,2,0),"")</f>
        <v/>
      </c>
      <c r="B351" s="6" t="str">
        <f>IFERROR(VLOOKUP($F351,매장구분!$B:$K,3,0),"")</f>
        <v/>
      </c>
      <c r="C351" s="6" t="str">
        <f>IFERROR(VLOOKUP($F351,매장구분!$B:$K,5,0),"")</f>
        <v/>
      </c>
    </row>
    <row r="352" spans="1:3" x14ac:dyDescent="0.3">
      <c r="A352" s="6" t="str">
        <f>IFERROR(VLOOKUP($F352,매장구분!$B:$K,2,0),"")</f>
        <v/>
      </c>
      <c r="B352" s="6" t="str">
        <f>IFERROR(VLOOKUP($F352,매장구분!$B:$K,3,0),"")</f>
        <v/>
      </c>
      <c r="C352" s="6" t="str">
        <f>IFERROR(VLOOKUP($F352,매장구분!$B:$K,5,0),"")</f>
        <v/>
      </c>
    </row>
    <row r="353" spans="1:3" x14ac:dyDescent="0.3">
      <c r="A353" s="6" t="str">
        <f>IFERROR(VLOOKUP($F353,매장구분!$B:$K,2,0),"")</f>
        <v/>
      </c>
      <c r="B353" s="6" t="str">
        <f>IFERROR(VLOOKUP($F353,매장구분!$B:$K,3,0),"")</f>
        <v/>
      </c>
      <c r="C353" s="6" t="str">
        <f>IFERROR(VLOOKUP($F353,매장구분!$B:$K,5,0),"")</f>
        <v/>
      </c>
    </row>
    <row r="354" spans="1:3" x14ac:dyDescent="0.3">
      <c r="A354" s="6" t="str">
        <f>IFERROR(VLOOKUP($F354,매장구분!$B:$K,2,0),"")</f>
        <v/>
      </c>
      <c r="B354" s="6" t="str">
        <f>IFERROR(VLOOKUP($F354,매장구분!$B:$K,3,0),"")</f>
        <v/>
      </c>
      <c r="C354" s="6" t="str">
        <f>IFERROR(VLOOKUP($F354,매장구분!$B:$K,5,0),"")</f>
        <v/>
      </c>
    </row>
    <row r="355" spans="1:3" x14ac:dyDescent="0.3">
      <c r="A355" s="6" t="str">
        <f>IFERROR(VLOOKUP($F355,매장구분!$B:$K,2,0),"")</f>
        <v/>
      </c>
      <c r="B355" s="6" t="str">
        <f>IFERROR(VLOOKUP($F355,매장구분!$B:$K,3,0),"")</f>
        <v/>
      </c>
      <c r="C355" s="6" t="str">
        <f>IFERROR(VLOOKUP($F355,매장구분!$B:$K,5,0),"")</f>
        <v/>
      </c>
    </row>
    <row r="356" spans="1:3" x14ac:dyDescent="0.3">
      <c r="A356" s="6" t="str">
        <f>IFERROR(VLOOKUP($F356,매장구분!$B:$K,2,0),"")</f>
        <v/>
      </c>
      <c r="B356" s="6" t="str">
        <f>IFERROR(VLOOKUP($F356,매장구분!$B:$K,3,0),"")</f>
        <v/>
      </c>
      <c r="C356" s="6" t="str">
        <f>IFERROR(VLOOKUP($F356,매장구분!$B:$K,5,0),"")</f>
        <v/>
      </c>
    </row>
    <row r="357" spans="1:3" x14ac:dyDescent="0.3">
      <c r="A357" s="6" t="str">
        <f>IFERROR(VLOOKUP($F357,매장구분!$B:$K,2,0),"")</f>
        <v/>
      </c>
      <c r="B357" s="6" t="str">
        <f>IFERROR(VLOOKUP($F357,매장구분!$B:$K,3,0),"")</f>
        <v/>
      </c>
      <c r="C357" s="6" t="str">
        <f>IFERROR(VLOOKUP($F357,매장구분!$B:$K,5,0),"")</f>
        <v/>
      </c>
    </row>
    <row r="358" spans="1:3" x14ac:dyDescent="0.3">
      <c r="A358" s="6" t="str">
        <f>IFERROR(VLOOKUP($F358,매장구분!$B:$K,2,0),"")</f>
        <v/>
      </c>
      <c r="B358" s="6" t="str">
        <f>IFERROR(VLOOKUP($F358,매장구분!$B:$K,3,0),"")</f>
        <v/>
      </c>
      <c r="C358" s="6" t="str">
        <f>IFERROR(VLOOKUP($F358,매장구분!$B:$K,5,0),"")</f>
        <v/>
      </c>
    </row>
    <row r="359" spans="1:3" x14ac:dyDescent="0.3">
      <c r="A359" s="6" t="str">
        <f>IFERROR(VLOOKUP($F359,매장구분!$B:$K,2,0),"")</f>
        <v/>
      </c>
      <c r="B359" s="6" t="str">
        <f>IFERROR(VLOOKUP($F359,매장구분!$B:$K,3,0),"")</f>
        <v/>
      </c>
      <c r="C359" s="6" t="str">
        <f>IFERROR(VLOOKUP($F359,매장구분!$B:$K,5,0),"")</f>
        <v/>
      </c>
    </row>
    <row r="360" spans="1:3" x14ac:dyDescent="0.3">
      <c r="A360" s="6" t="str">
        <f>IFERROR(VLOOKUP($F360,매장구분!$B:$K,2,0),"")</f>
        <v/>
      </c>
      <c r="B360" s="6" t="str">
        <f>IFERROR(VLOOKUP($F360,매장구분!$B:$K,3,0),"")</f>
        <v/>
      </c>
      <c r="C360" s="6" t="str">
        <f>IFERROR(VLOOKUP($F360,매장구분!$B:$K,5,0),"")</f>
        <v/>
      </c>
    </row>
    <row r="361" spans="1:3" x14ac:dyDescent="0.3">
      <c r="A361" s="6" t="str">
        <f>IFERROR(VLOOKUP($F361,매장구분!$B:$K,2,0),"")</f>
        <v/>
      </c>
      <c r="B361" s="6" t="str">
        <f>IFERROR(VLOOKUP($F361,매장구분!$B:$K,3,0),"")</f>
        <v/>
      </c>
      <c r="C361" s="6" t="str">
        <f>IFERROR(VLOOKUP($F361,매장구분!$B:$K,5,0),"")</f>
        <v/>
      </c>
    </row>
    <row r="362" spans="1:3" x14ac:dyDescent="0.3">
      <c r="A362" s="6" t="str">
        <f>IFERROR(VLOOKUP($F362,매장구분!$B:$K,2,0),"")</f>
        <v/>
      </c>
      <c r="B362" s="6" t="str">
        <f>IFERROR(VLOOKUP($F362,매장구분!$B:$K,3,0),"")</f>
        <v/>
      </c>
      <c r="C362" s="6" t="str">
        <f>IFERROR(VLOOKUP($F362,매장구분!$B:$K,5,0),"")</f>
        <v/>
      </c>
    </row>
    <row r="363" spans="1:3" x14ac:dyDescent="0.3">
      <c r="A363" s="6" t="str">
        <f>IFERROR(VLOOKUP($F363,매장구분!$B:$K,2,0),"")</f>
        <v/>
      </c>
      <c r="B363" s="6" t="str">
        <f>IFERROR(VLOOKUP($F363,매장구분!$B:$K,3,0),"")</f>
        <v/>
      </c>
      <c r="C363" s="6" t="str">
        <f>IFERROR(VLOOKUP($F363,매장구분!$B:$K,5,0),"")</f>
        <v/>
      </c>
    </row>
    <row r="364" spans="1:3" x14ac:dyDescent="0.3">
      <c r="A364" s="6" t="str">
        <f>IFERROR(VLOOKUP($F364,매장구분!$B:$K,2,0),"")</f>
        <v/>
      </c>
      <c r="B364" s="6" t="str">
        <f>IFERROR(VLOOKUP($F364,매장구분!$B:$K,3,0),"")</f>
        <v/>
      </c>
      <c r="C364" s="6" t="str">
        <f>IFERROR(VLOOKUP($F364,매장구분!$B:$K,5,0),"")</f>
        <v/>
      </c>
    </row>
    <row r="365" spans="1:3" x14ac:dyDescent="0.3">
      <c r="A365" s="6" t="str">
        <f>IFERROR(VLOOKUP($F365,매장구분!$B:$K,2,0),"")</f>
        <v/>
      </c>
      <c r="B365" s="6" t="str">
        <f>IFERROR(VLOOKUP($F365,매장구분!$B:$K,3,0),"")</f>
        <v/>
      </c>
      <c r="C365" s="6" t="str">
        <f>IFERROR(VLOOKUP($F365,매장구분!$B:$K,5,0),"")</f>
        <v/>
      </c>
    </row>
    <row r="366" spans="1:3" x14ac:dyDescent="0.3">
      <c r="A366" s="6" t="str">
        <f>IFERROR(VLOOKUP($F366,매장구분!$B:$K,2,0),"")</f>
        <v/>
      </c>
      <c r="B366" s="6" t="str">
        <f>IFERROR(VLOOKUP($F366,매장구분!$B:$K,3,0),"")</f>
        <v/>
      </c>
      <c r="C366" s="6" t="str">
        <f>IFERROR(VLOOKUP($F366,매장구분!$B:$K,5,0),"")</f>
        <v/>
      </c>
    </row>
    <row r="367" spans="1:3" x14ac:dyDescent="0.3">
      <c r="A367" s="6" t="str">
        <f>IFERROR(VLOOKUP($F367,매장구분!$B:$K,2,0),"")</f>
        <v/>
      </c>
      <c r="B367" s="6" t="str">
        <f>IFERROR(VLOOKUP($F367,매장구분!$B:$K,3,0),"")</f>
        <v/>
      </c>
      <c r="C367" s="6" t="str">
        <f>IFERROR(VLOOKUP($F367,매장구분!$B:$K,5,0),"")</f>
        <v/>
      </c>
    </row>
    <row r="368" spans="1:3" x14ac:dyDescent="0.3">
      <c r="A368" s="6" t="str">
        <f>IFERROR(VLOOKUP($F368,매장구분!$B:$K,2,0),"")</f>
        <v/>
      </c>
      <c r="B368" s="6" t="str">
        <f>IFERROR(VLOOKUP($F368,매장구분!$B:$K,3,0),"")</f>
        <v/>
      </c>
      <c r="C368" s="6" t="str">
        <f>IFERROR(VLOOKUP($F368,매장구분!$B:$K,5,0),"")</f>
        <v/>
      </c>
    </row>
    <row r="369" spans="1:3" x14ac:dyDescent="0.3">
      <c r="A369" s="6" t="str">
        <f>IFERROR(VLOOKUP($F369,매장구분!$B:$K,2,0),"")</f>
        <v/>
      </c>
      <c r="B369" s="6" t="str">
        <f>IFERROR(VLOOKUP($F369,매장구분!$B:$K,3,0),"")</f>
        <v/>
      </c>
      <c r="C369" s="6" t="str">
        <f>IFERROR(VLOOKUP($F369,매장구분!$B:$K,5,0),"")</f>
        <v/>
      </c>
    </row>
    <row r="370" spans="1:3" x14ac:dyDescent="0.3">
      <c r="A370" s="6" t="str">
        <f>IFERROR(VLOOKUP($F370,매장구분!$B:$K,2,0),"")</f>
        <v/>
      </c>
      <c r="B370" s="6" t="str">
        <f>IFERROR(VLOOKUP($F370,매장구분!$B:$K,3,0),"")</f>
        <v/>
      </c>
      <c r="C370" s="6" t="str">
        <f>IFERROR(VLOOKUP($F370,매장구분!$B:$K,5,0),"")</f>
        <v/>
      </c>
    </row>
    <row r="371" spans="1:3" x14ac:dyDescent="0.3">
      <c r="A371" s="6" t="str">
        <f>IFERROR(VLOOKUP($F371,매장구분!$B:$K,2,0),"")</f>
        <v/>
      </c>
      <c r="B371" s="6" t="str">
        <f>IFERROR(VLOOKUP($F371,매장구분!$B:$K,3,0),"")</f>
        <v/>
      </c>
      <c r="C371" s="6" t="str">
        <f>IFERROR(VLOOKUP($F371,매장구분!$B:$K,5,0),"")</f>
        <v/>
      </c>
    </row>
    <row r="372" spans="1:3" x14ac:dyDescent="0.3">
      <c r="A372" s="6" t="str">
        <f>IFERROR(VLOOKUP($F372,매장구분!$B:$K,2,0),"")</f>
        <v/>
      </c>
      <c r="B372" s="6" t="str">
        <f>IFERROR(VLOOKUP($F372,매장구분!$B:$K,3,0),"")</f>
        <v/>
      </c>
      <c r="C372" s="6" t="str">
        <f>IFERROR(VLOOKUP($F372,매장구분!$B:$K,5,0),"")</f>
        <v/>
      </c>
    </row>
    <row r="373" spans="1:3" x14ac:dyDescent="0.3">
      <c r="A373" s="6" t="str">
        <f>IFERROR(VLOOKUP($F373,매장구분!$B:$K,2,0),"")</f>
        <v/>
      </c>
      <c r="B373" s="6" t="str">
        <f>IFERROR(VLOOKUP($F373,매장구분!$B:$K,3,0),"")</f>
        <v/>
      </c>
      <c r="C373" s="6" t="str">
        <f>IFERROR(VLOOKUP($F373,매장구분!$B:$K,5,0),"")</f>
        <v/>
      </c>
    </row>
    <row r="374" spans="1:3" x14ac:dyDescent="0.3">
      <c r="A374" s="6" t="str">
        <f>IFERROR(VLOOKUP($F374,매장구분!$B:$K,2,0),"")</f>
        <v/>
      </c>
      <c r="B374" s="6" t="str">
        <f>IFERROR(VLOOKUP($F374,매장구분!$B:$K,3,0),"")</f>
        <v/>
      </c>
      <c r="C374" s="6" t="str">
        <f>IFERROR(VLOOKUP($F374,매장구분!$B:$K,5,0),"")</f>
        <v/>
      </c>
    </row>
    <row r="375" spans="1:3" x14ac:dyDescent="0.3">
      <c r="A375" s="6" t="str">
        <f>IFERROR(VLOOKUP($F375,매장구분!$B:$K,2,0),"")</f>
        <v/>
      </c>
      <c r="B375" s="6" t="str">
        <f>IFERROR(VLOOKUP($F375,매장구분!$B:$K,3,0),"")</f>
        <v/>
      </c>
      <c r="C375" s="6" t="str">
        <f>IFERROR(VLOOKUP($F375,매장구분!$B:$K,5,0),"")</f>
        <v/>
      </c>
    </row>
    <row r="376" spans="1:3" x14ac:dyDescent="0.3">
      <c r="A376" s="6" t="str">
        <f>IFERROR(VLOOKUP($F376,매장구분!$B:$K,2,0),"")</f>
        <v/>
      </c>
      <c r="B376" s="6" t="str">
        <f>IFERROR(VLOOKUP($F376,매장구분!$B:$K,3,0),"")</f>
        <v/>
      </c>
      <c r="C376" s="6" t="str">
        <f>IFERROR(VLOOKUP($F376,매장구분!$B:$K,5,0),"")</f>
        <v/>
      </c>
    </row>
    <row r="377" spans="1:3" x14ac:dyDescent="0.3">
      <c r="A377" s="6" t="str">
        <f>IFERROR(VLOOKUP($F377,매장구분!$B:$K,2,0),"")</f>
        <v/>
      </c>
      <c r="B377" s="6" t="str">
        <f>IFERROR(VLOOKUP($F377,매장구분!$B:$K,3,0),"")</f>
        <v/>
      </c>
      <c r="C377" s="6" t="str">
        <f>IFERROR(VLOOKUP($F377,매장구분!$B:$K,5,0),"")</f>
        <v/>
      </c>
    </row>
    <row r="378" spans="1:3" x14ac:dyDescent="0.3">
      <c r="A378" s="6" t="str">
        <f>IFERROR(VLOOKUP($F378,매장구분!$B:$K,2,0),"")</f>
        <v/>
      </c>
      <c r="B378" s="6" t="str">
        <f>IFERROR(VLOOKUP($F378,매장구분!$B:$K,3,0),"")</f>
        <v/>
      </c>
      <c r="C378" s="6" t="str">
        <f>IFERROR(VLOOKUP($F378,매장구분!$B:$K,5,0),"")</f>
        <v/>
      </c>
    </row>
    <row r="379" spans="1:3" x14ac:dyDescent="0.3">
      <c r="A379" s="6" t="str">
        <f>IFERROR(VLOOKUP($F379,매장구분!$B:$K,2,0),"")</f>
        <v/>
      </c>
      <c r="B379" s="6" t="str">
        <f>IFERROR(VLOOKUP($F379,매장구분!$B:$K,3,0),"")</f>
        <v/>
      </c>
      <c r="C379" s="6" t="str">
        <f>IFERROR(VLOOKUP($F379,매장구분!$B:$K,5,0),"")</f>
        <v/>
      </c>
    </row>
    <row r="380" spans="1:3" x14ac:dyDescent="0.3">
      <c r="A380" s="6" t="str">
        <f>IFERROR(VLOOKUP($F380,매장구분!$B:$K,2,0),"")</f>
        <v/>
      </c>
      <c r="B380" s="6" t="str">
        <f>IFERROR(VLOOKUP($F380,매장구분!$B:$K,3,0),"")</f>
        <v/>
      </c>
      <c r="C380" s="6" t="str">
        <f>IFERROR(VLOOKUP($F380,매장구분!$B:$K,5,0),"")</f>
        <v/>
      </c>
    </row>
    <row r="381" spans="1:3" x14ac:dyDescent="0.3">
      <c r="A381" s="6" t="str">
        <f>IFERROR(VLOOKUP($F381,매장구분!$B:$K,2,0),"")</f>
        <v/>
      </c>
      <c r="B381" s="6" t="str">
        <f>IFERROR(VLOOKUP($F381,매장구분!$B:$K,3,0),"")</f>
        <v/>
      </c>
      <c r="C381" s="6" t="str">
        <f>IFERROR(VLOOKUP($F381,매장구분!$B:$K,5,0),"")</f>
        <v/>
      </c>
    </row>
    <row r="382" spans="1:3" x14ac:dyDescent="0.3">
      <c r="A382" s="6" t="str">
        <f>IFERROR(VLOOKUP($F382,매장구분!$B:$K,2,0),"")</f>
        <v/>
      </c>
      <c r="B382" s="6" t="str">
        <f>IFERROR(VLOOKUP($F382,매장구분!$B:$K,3,0),"")</f>
        <v/>
      </c>
      <c r="C382" s="6" t="str">
        <f>IFERROR(VLOOKUP($F382,매장구분!$B:$K,5,0),"")</f>
        <v/>
      </c>
    </row>
    <row r="383" spans="1:3" x14ac:dyDescent="0.3">
      <c r="A383" s="6" t="str">
        <f>IFERROR(VLOOKUP($F383,매장구분!$B:$K,2,0),"")</f>
        <v/>
      </c>
      <c r="B383" s="6" t="str">
        <f>IFERROR(VLOOKUP($F383,매장구분!$B:$K,3,0),"")</f>
        <v/>
      </c>
      <c r="C383" s="6" t="str">
        <f>IFERROR(VLOOKUP($F383,매장구분!$B:$K,5,0),"")</f>
        <v/>
      </c>
    </row>
    <row r="384" spans="1:3" x14ac:dyDescent="0.3">
      <c r="A384" s="6" t="str">
        <f>IFERROR(VLOOKUP($F384,매장구분!$B:$K,2,0),"")</f>
        <v/>
      </c>
      <c r="B384" s="6" t="str">
        <f>IFERROR(VLOOKUP($F384,매장구분!$B:$K,3,0),"")</f>
        <v/>
      </c>
      <c r="C384" s="6" t="str">
        <f>IFERROR(VLOOKUP($F384,매장구분!$B:$K,5,0),"")</f>
        <v/>
      </c>
    </row>
    <row r="385" spans="1:3" x14ac:dyDescent="0.3">
      <c r="A385" s="6" t="str">
        <f>IFERROR(VLOOKUP($F385,매장구분!$B:$K,2,0),"")</f>
        <v/>
      </c>
      <c r="B385" s="6" t="str">
        <f>IFERROR(VLOOKUP($F385,매장구분!$B:$K,3,0),"")</f>
        <v/>
      </c>
      <c r="C385" s="6" t="str">
        <f>IFERROR(VLOOKUP($F385,매장구분!$B:$K,5,0),"")</f>
        <v/>
      </c>
    </row>
    <row r="386" spans="1:3" x14ac:dyDescent="0.3">
      <c r="A386" s="6" t="str">
        <f>IFERROR(VLOOKUP($F386,매장구분!$B:$K,2,0),"")</f>
        <v/>
      </c>
      <c r="B386" s="6" t="str">
        <f>IFERROR(VLOOKUP($F386,매장구분!$B:$K,3,0),"")</f>
        <v/>
      </c>
      <c r="C386" s="6" t="str">
        <f>IFERROR(VLOOKUP($F386,매장구분!$B:$K,5,0),"")</f>
        <v/>
      </c>
    </row>
    <row r="387" spans="1:3" x14ac:dyDescent="0.3">
      <c r="A387" s="6" t="str">
        <f>IFERROR(VLOOKUP($F387,매장구분!$B:$K,2,0),"")</f>
        <v/>
      </c>
      <c r="B387" s="6" t="str">
        <f>IFERROR(VLOOKUP($F387,매장구분!$B:$K,3,0),"")</f>
        <v/>
      </c>
      <c r="C387" s="6" t="str">
        <f>IFERROR(VLOOKUP($F387,매장구분!$B:$K,5,0),"")</f>
        <v/>
      </c>
    </row>
    <row r="388" spans="1:3" x14ac:dyDescent="0.3">
      <c r="A388" s="6" t="str">
        <f>IFERROR(VLOOKUP($F388,매장구분!$B:$K,2,0),"")</f>
        <v/>
      </c>
      <c r="B388" s="6" t="str">
        <f>IFERROR(VLOOKUP($F388,매장구분!$B:$K,3,0),"")</f>
        <v/>
      </c>
      <c r="C388" s="6" t="str">
        <f>IFERROR(VLOOKUP($F388,매장구분!$B:$K,5,0),"")</f>
        <v/>
      </c>
    </row>
    <row r="389" spans="1:3" x14ac:dyDescent="0.3">
      <c r="A389" s="6" t="str">
        <f>IFERROR(VLOOKUP($F389,매장구분!$B:$K,2,0),"")</f>
        <v/>
      </c>
      <c r="B389" s="6" t="str">
        <f>IFERROR(VLOOKUP($F389,매장구분!$B:$K,3,0),"")</f>
        <v/>
      </c>
      <c r="C389" s="6" t="str">
        <f>IFERROR(VLOOKUP($F389,매장구분!$B:$K,5,0),"")</f>
        <v/>
      </c>
    </row>
    <row r="390" spans="1:3" x14ac:dyDescent="0.3">
      <c r="A390" s="6" t="str">
        <f>IFERROR(VLOOKUP($F390,매장구분!$B:$K,2,0),"")</f>
        <v/>
      </c>
      <c r="B390" s="6" t="str">
        <f>IFERROR(VLOOKUP($F390,매장구분!$B:$K,3,0),"")</f>
        <v/>
      </c>
      <c r="C390" s="6" t="str">
        <f>IFERROR(VLOOKUP($F390,매장구분!$B:$K,5,0),"")</f>
        <v/>
      </c>
    </row>
    <row r="391" spans="1:3" x14ac:dyDescent="0.3">
      <c r="A391" s="6" t="str">
        <f>IFERROR(VLOOKUP($F391,매장구분!$B:$K,2,0),"")</f>
        <v/>
      </c>
      <c r="B391" s="6" t="str">
        <f>IFERROR(VLOOKUP($F391,매장구분!$B:$K,3,0),"")</f>
        <v/>
      </c>
      <c r="C391" s="6" t="str">
        <f>IFERROR(VLOOKUP($F391,매장구분!$B:$K,5,0),"")</f>
        <v/>
      </c>
    </row>
    <row r="392" spans="1:3" x14ac:dyDescent="0.3">
      <c r="A392" s="6" t="str">
        <f>IFERROR(VLOOKUP($F392,매장구분!$B:$K,2,0),"")</f>
        <v/>
      </c>
      <c r="B392" s="6" t="str">
        <f>IFERROR(VLOOKUP($F392,매장구분!$B:$K,3,0),"")</f>
        <v/>
      </c>
      <c r="C392" s="6" t="str">
        <f>IFERROR(VLOOKUP($F392,매장구분!$B:$K,5,0),"")</f>
        <v/>
      </c>
    </row>
    <row r="393" spans="1:3" x14ac:dyDescent="0.3">
      <c r="A393" s="6" t="str">
        <f>IFERROR(VLOOKUP($F393,매장구분!$B:$K,2,0),"")</f>
        <v/>
      </c>
      <c r="B393" s="6" t="str">
        <f>IFERROR(VLOOKUP($F393,매장구분!$B:$K,3,0),"")</f>
        <v/>
      </c>
      <c r="C393" s="6" t="str">
        <f>IFERROR(VLOOKUP($F393,매장구분!$B:$K,5,0),"")</f>
        <v/>
      </c>
    </row>
    <row r="394" spans="1:3" x14ac:dyDescent="0.3">
      <c r="A394" s="6" t="str">
        <f>IFERROR(VLOOKUP($F394,매장구분!$B:$K,2,0),"")</f>
        <v/>
      </c>
      <c r="B394" s="6" t="str">
        <f>IFERROR(VLOOKUP($F394,매장구분!$B:$K,3,0),"")</f>
        <v/>
      </c>
      <c r="C394" s="6" t="str">
        <f>IFERROR(VLOOKUP($F394,매장구분!$B:$K,5,0),"")</f>
        <v/>
      </c>
    </row>
    <row r="395" spans="1:3" x14ac:dyDescent="0.3">
      <c r="A395" s="6" t="str">
        <f>IFERROR(VLOOKUP($F395,매장구분!$B:$K,2,0),"")</f>
        <v/>
      </c>
      <c r="B395" s="6" t="str">
        <f>IFERROR(VLOOKUP($F395,매장구분!$B:$K,3,0),"")</f>
        <v/>
      </c>
      <c r="C395" s="6" t="str">
        <f>IFERROR(VLOOKUP($F395,매장구분!$B:$K,5,0),"")</f>
        <v/>
      </c>
    </row>
    <row r="396" spans="1:3" x14ac:dyDescent="0.3">
      <c r="A396" s="6" t="str">
        <f>IFERROR(VLOOKUP($F396,매장구분!$B:$K,2,0),"")</f>
        <v/>
      </c>
      <c r="B396" s="6" t="str">
        <f>IFERROR(VLOOKUP($F396,매장구분!$B:$K,3,0),"")</f>
        <v/>
      </c>
      <c r="C396" s="6" t="str">
        <f>IFERROR(VLOOKUP($F396,매장구분!$B:$K,5,0),"")</f>
        <v/>
      </c>
    </row>
    <row r="397" spans="1:3" x14ac:dyDescent="0.3">
      <c r="A397" s="6" t="str">
        <f>IFERROR(VLOOKUP($F397,매장구분!$B:$K,2,0),"")</f>
        <v/>
      </c>
      <c r="B397" s="6" t="str">
        <f>IFERROR(VLOOKUP($F397,매장구분!$B:$K,3,0),"")</f>
        <v/>
      </c>
      <c r="C397" s="6" t="str">
        <f>IFERROR(VLOOKUP($F397,매장구분!$B:$K,5,0),"")</f>
        <v/>
      </c>
    </row>
    <row r="398" spans="1:3" x14ac:dyDescent="0.3">
      <c r="A398" s="6" t="str">
        <f>IFERROR(VLOOKUP($F398,매장구분!$B:$K,2,0),"")</f>
        <v/>
      </c>
      <c r="B398" s="6" t="str">
        <f>IFERROR(VLOOKUP($F398,매장구분!$B:$K,3,0),"")</f>
        <v/>
      </c>
      <c r="C398" s="6" t="str">
        <f>IFERROR(VLOOKUP($F398,매장구분!$B:$K,5,0),"")</f>
        <v/>
      </c>
    </row>
    <row r="399" spans="1:3" x14ac:dyDescent="0.3">
      <c r="A399" s="6" t="str">
        <f>IFERROR(VLOOKUP($F399,매장구분!$B:$K,2,0),"")</f>
        <v/>
      </c>
      <c r="B399" s="6" t="str">
        <f>IFERROR(VLOOKUP($F399,매장구분!$B:$K,3,0),"")</f>
        <v/>
      </c>
      <c r="C399" s="6" t="str">
        <f>IFERROR(VLOOKUP($F399,매장구분!$B:$K,5,0),"")</f>
        <v/>
      </c>
    </row>
    <row r="400" spans="1:3" x14ac:dyDescent="0.3">
      <c r="A400" s="6" t="str">
        <f>IFERROR(VLOOKUP($F400,매장구분!$B:$K,2,0),"")</f>
        <v/>
      </c>
      <c r="B400" s="6" t="str">
        <f>IFERROR(VLOOKUP($F400,매장구분!$B:$K,3,0),"")</f>
        <v/>
      </c>
      <c r="C400" s="6" t="str">
        <f>IFERROR(VLOOKUP($F400,매장구분!$B:$K,5,0),"")</f>
        <v/>
      </c>
    </row>
    <row r="401" spans="1:3" x14ac:dyDescent="0.3">
      <c r="A401" s="6" t="str">
        <f>IFERROR(VLOOKUP($F401,매장구분!$B:$K,2,0),"")</f>
        <v/>
      </c>
      <c r="B401" s="6" t="str">
        <f>IFERROR(VLOOKUP($F401,매장구분!$B:$K,3,0),"")</f>
        <v/>
      </c>
      <c r="C401" s="6" t="str">
        <f>IFERROR(VLOOKUP($F401,매장구분!$B:$K,5,0),"")</f>
        <v/>
      </c>
    </row>
    <row r="402" spans="1:3" x14ac:dyDescent="0.3">
      <c r="A402" s="6" t="str">
        <f>IFERROR(VLOOKUP($F402,매장구분!$B:$K,2,0),"")</f>
        <v/>
      </c>
      <c r="B402" s="6" t="str">
        <f>IFERROR(VLOOKUP($F402,매장구분!$B:$K,3,0),"")</f>
        <v/>
      </c>
      <c r="C402" s="6" t="str">
        <f>IFERROR(VLOOKUP($F402,매장구분!$B:$K,5,0),"")</f>
        <v/>
      </c>
    </row>
    <row r="403" spans="1:3" x14ac:dyDescent="0.3">
      <c r="A403" s="6" t="str">
        <f>IFERROR(VLOOKUP($F403,매장구분!$B:$K,2,0),"")</f>
        <v/>
      </c>
      <c r="B403" s="6" t="str">
        <f>IFERROR(VLOOKUP($F403,매장구분!$B:$K,3,0),"")</f>
        <v/>
      </c>
      <c r="C403" s="6" t="str">
        <f>IFERROR(VLOOKUP($F403,매장구분!$B:$K,5,0),"")</f>
        <v/>
      </c>
    </row>
    <row r="404" spans="1:3" x14ac:dyDescent="0.3">
      <c r="A404" s="6" t="str">
        <f>IFERROR(VLOOKUP($F404,매장구분!$B:$K,2,0),"")</f>
        <v/>
      </c>
      <c r="B404" s="6" t="str">
        <f>IFERROR(VLOOKUP($F404,매장구분!$B:$K,3,0),"")</f>
        <v/>
      </c>
      <c r="C404" s="6" t="str">
        <f>IFERROR(VLOOKUP($F404,매장구분!$B:$K,5,0),"")</f>
        <v/>
      </c>
    </row>
    <row r="405" spans="1:3" x14ac:dyDescent="0.3">
      <c r="A405" s="6" t="str">
        <f>IFERROR(VLOOKUP($F405,매장구분!$B:$K,2,0),"")</f>
        <v/>
      </c>
      <c r="B405" s="6" t="str">
        <f>IFERROR(VLOOKUP($F405,매장구분!$B:$K,3,0),"")</f>
        <v/>
      </c>
      <c r="C405" s="6" t="str">
        <f>IFERROR(VLOOKUP($F405,매장구분!$B:$K,5,0),"")</f>
        <v/>
      </c>
    </row>
    <row r="406" spans="1:3" x14ac:dyDescent="0.3">
      <c r="A406" s="6" t="str">
        <f>IFERROR(VLOOKUP($F406,매장구분!$B:$K,2,0),"")</f>
        <v/>
      </c>
      <c r="B406" s="6" t="str">
        <f>IFERROR(VLOOKUP($F406,매장구분!$B:$K,3,0),"")</f>
        <v/>
      </c>
      <c r="C406" s="6" t="str">
        <f>IFERROR(VLOOKUP($F406,매장구분!$B:$K,5,0),"")</f>
        <v/>
      </c>
    </row>
    <row r="407" spans="1:3" x14ac:dyDescent="0.3">
      <c r="A407" s="6" t="str">
        <f>IFERROR(VLOOKUP($F407,매장구분!$B:$K,2,0),"")</f>
        <v/>
      </c>
      <c r="B407" s="6" t="str">
        <f>IFERROR(VLOOKUP($F407,매장구분!$B:$K,3,0),"")</f>
        <v/>
      </c>
      <c r="C407" s="6" t="str">
        <f>IFERROR(VLOOKUP($F407,매장구분!$B:$K,5,0),"")</f>
        <v/>
      </c>
    </row>
    <row r="408" spans="1:3" x14ac:dyDescent="0.3">
      <c r="A408" s="6" t="str">
        <f>IFERROR(VLOOKUP($F408,매장구분!$B:$K,2,0),"")</f>
        <v/>
      </c>
      <c r="B408" s="6" t="str">
        <f>IFERROR(VLOOKUP($F408,매장구분!$B:$K,3,0),"")</f>
        <v/>
      </c>
      <c r="C408" s="6" t="str">
        <f>IFERROR(VLOOKUP($F408,매장구분!$B:$K,5,0),"")</f>
        <v/>
      </c>
    </row>
    <row r="409" spans="1:3" x14ac:dyDescent="0.3">
      <c r="A409" s="6" t="str">
        <f>IFERROR(VLOOKUP($F409,매장구분!$B:$K,2,0),"")</f>
        <v/>
      </c>
      <c r="B409" s="6" t="str">
        <f>IFERROR(VLOOKUP($F409,매장구분!$B:$K,3,0),"")</f>
        <v/>
      </c>
      <c r="C409" s="6" t="str">
        <f>IFERROR(VLOOKUP($F409,매장구분!$B:$K,5,0),"")</f>
        <v/>
      </c>
    </row>
    <row r="410" spans="1:3" x14ac:dyDescent="0.3">
      <c r="A410" s="6" t="str">
        <f>IFERROR(VLOOKUP($F410,매장구분!$B:$K,2,0),"")</f>
        <v/>
      </c>
      <c r="B410" s="6" t="str">
        <f>IFERROR(VLOOKUP($F410,매장구분!$B:$K,3,0),"")</f>
        <v/>
      </c>
      <c r="C410" s="6" t="str">
        <f>IFERROR(VLOOKUP($F410,매장구분!$B:$K,5,0),"")</f>
        <v/>
      </c>
    </row>
    <row r="411" spans="1:3" x14ac:dyDescent="0.3">
      <c r="A411" s="6" t="str">
        <f>IFERROR(VLOOKUP($F411,매장구분!$B:$K,2,0),"")</f>
        <v/>
      </c>
      <c r="B411" s="6" t="str">
        <f>IFERROR(VLOOKUP($F411,매장구분!$B:$K,3,0),"")</f>
        <v/>
      </c>
      <c r="C411" s="6" t="str">
        <f>IFERROR(VLOOKUP($F411,매장구분!$B:$K,5,0),"")</f>
        <v/>
      </c>
    </row>
    <row r="412" spans="1:3" x14ac:dyDescent="0.3">
      <c r="A412" s="6" t="str">
        <f>IFERROR(VLOOKUP($F412,매장구분!$B:$K,2,0),"")</f>
        <v/>
      </c>
      <c r="B412" s="6" t="str">
        <f>IFERROR(VLOOKUP($F412,매장구분!$B:$K,3,0),"")</f>
        <v/>
      </c>
      <c r="C412" s="6" t="str">
        <f>IFERROR(VLOOKUP($F412,매장구분!$B:$K,5,0),"")</f>
        <v/>
      </c>
    </row>
    <row r="413" spans="1:3" x14ac:dyDescent="0.3">
      <c r="A413" s="6" t="str">
        <f>IFERROR(VLOOKUP($F413,매장구분!$B:$K,2,0),"")</f>
        <v/>
      </c>
      <c r="B413" s="6" t="str">
        <f>IFERROR(VLOOKUP($F413,매장구분!$B:$K,3,0),"")</f>
        <v/>
      </c>
      <c r="C413" s="6" t="str">
        <f>IFERROR(VLOOKUP($F413,매장구분!$B:$K,5,0),"")</f>
        <v/>
      </c>
    </row>
    <row r="414" spans="1:3" x14ac:dyDescent="0.3">
      <c r="A414" s="6" t="str">
        <f>IFERROR(VLOOKUP($F414,매장구분!$B:$K,2,0),"")</f>
        <v/>
      </c>
      <c r="B414" s="6" t="str">
        <f>IFERROR(VLOOKUP($F414,매장구분!$B:$K,3,0),"")</f>
        <v/>
      </c>
      <c r="C414" s="6" t="str">
        <f>IFERROR(VLOOKUP($F414,매장구분!$B:$K,5,0),"")</f>
        <v/>
      </c>
    </row>
    <row r="415" spans="1:3" x14ac:dyDescent="0.3">
      <c r="A415" s="6" t="str">
        <f>IFERROR(VLOOKUP($F415,매장구분!$B:$K,2,0),"")</f>
        <v/>
      </c>
      <c r="B415" s="6" t="str">
        <f>IFERROR(VLOOKUP($F415,매장구분!$B:$K,3,0),"")</f>
        <v/>
      </c>
      <c r="C415" s="6" t="str">
        <f>IFERROR(VLOOKUP($F415,매장구분!$B:$K,5,0),"")</f>
        <v/>
      </c>
    </row>
    <row r="416" spans="1:3" x14ac:dyDescent="0.3">
      <c r="A416" s="6" t="str">
        <f>IFERROR(VLOOKUP($F416,매장구분!$B:$K,2,0),"")</f>
        <v/>
      </c>
      <c r="B416" s="6" t="str">
        <f>IFERROR(VLOOKUP($F416,매장구분!$B:$K,3,0),"")</f>
        <v/>
      </c>
      <c r="C416" s="6" t="str">
        <f>IFERROR(VLOOKUP($F416,매장구분!$B:$K,5,0),"")</f>
        <v/>
      </c>
    </row>
    <row r="417" spans="1:3" x14ac:dyDescent="0.3">
      <c r="A417" s="6" t="str">
        <f>IFERROR(VLOOKUP($F417,매장구분!$B:$K,2,0),"")</f>
        <v/>
      </c>
      <c r="B417" s="6" t="str">
        <f>IFERROR(VLOOKUP($F417,매장구분!$B:$K,3,0),"")</f>
        <v/>
      </c>
      <c r="C417" s="6" t="str">
        <f>IFERROR(VLOOKUP($F417,매장구분!$B:$K,5,0),"")</f>
        <v/>
      </c>
    </row>
    <row r="418" spans="1:3" x14ac:dyDescent="0.3">
      <c r="A418" s="6" t="str">
        <f>IFERROR(VLOOKUP($F418,매장구분!$B:$K,2,0),"")</f>
        <v/>
      </c>
      <c r="B418" s="6" t="str">
        <f>IFERROR(VLOOKUP($F418,매장구분!$B:$K,3,0),"")</f>
        <v/>
      </c>
      <c r="C418" s="6" t="str">
        <f>IFERROR(VLOOKUP($F418,매장구분!$B:$K,5,0),"")</f>
        <v/>
      </c>
    </row>
    <row r="419" spans="1:3" x14ac:dyDescent="0.3">
      <c r="A419" s="6" t="str">
        <f>IFERROR(VLOOKUP($F419,매장구분!$B:$K,2,0),"")</f>
        <v/>
      </c>
      <c r="B419" s="6" t="str">
        <f>IFERROR(VLOOKUP($F419,매장구분!$B:$K,3,0),"")</f>
        <v/>
      </c>
      <c r="C419" s="6" t="str">
        <f>IFERROR(VLOOKUP($F419,매장구분!$B:$K,5,0),"")</f>
        <v/>
      </c>
    </row>
    <row r="420" spans="1:3" x14ac:dyDescent="0.3">
      <c r="A420" s="6" t="str">
        <f>IFERROR(VLOOKUP($F420,매장구분!$B:$K,2,0),"")</f>
        <v/>
      </c>
      <c r="B420" s="6" t="str">
        <f>IFERROR(VLOOKUP($F420,매장구분!$B:$K,3,0),"")</f>
        <v/>
      </c>
      <c r="C420" s="6" t="str">
        <f>IFERROR(VLOOKUP($F420,매장구분!$B:$K,5,0),"")</f>
        <v/>
      </c>
    </row>
    <row r="421" spans="1:3" x14ac:dyDescent="0.3">
      <c r="A421" s="6" t="str">
        <f>IFERROR(VLOOKUP($F421,매장구분!$B:$K,2,0),"")</f>
        <v/>
      </c>
      <c r="B421" s="6" t="str">
        <f>IFERROR(VLOOKUP($F421,매장구분!$B:$K,3,0),"")</f>
        <v/>
      </c>
      <c r="C421" s="6" t="str">
        <f>IFERROR(VLOOKUP($F421,매장구분!$B:$K,5,0),"")</f>
        <v/>
      </c>
    </row>
    <row r="422" spans="1:3" x14ac:dyDescent="0.3">
      <c r="A422" s="6" t="str">
        <f>IFERROR(VLOOKUP($F422,매장구분!$B:$K,2,0),"")</f>
        <v/>
      </c>
      <c r="B422" s="6" t="str">
        <f>IFERROR(VLOOKUP($F422,매장구분!$B:$K,3,0),"")</f>
        <v/>
      </c>
      <c r="C422" s="6" t="str">
        <f>IFERROR(VLOOKUP($F422,매장구분!$B:$K,5,0),"")</f>
        <v/>
      </c>
    </row>
    <row r="423" spans="1:3" x14ac:dyDescent="0.3">
      <c r="A423" s="6" t="str">
        <f>IFERROR(VLOOKUP($F423,매장구분!$B:$K,2,0),"")</f>
        <v/>
      </c>
      <c r="B423" s="6" t="str">
        <f>IFERROR(VLOOKUP($F423,매장구분!$B:$K,3,0),"")</f>
        <v/>
      </c>
      <c r="C423" s="6" t="str">
        <f>IFERROR(VLOOKUP($F423,매장구분!$B:$K,5,0),"")</f>
        <v/>
      </c>
    </row>
    <row r="424" spans="1:3" x14ac:dyDescent="0.3">
      <c r="A424" s="6" t="str">
        <f>IFERROR(VLOOKUP($F424,매장구분!$B:$K,2,0),"")</f>
        <v/>
      </c>
      <c r="B424" s="6" t="str">
        <f>IFERROR(VLOOKUP($F424,매장구분!$B:$K,3,0),"")</f>
        <v/>
      </c>
      <c r="C424" s="6" t="str">
        <f>IFERROR(VLOOKUP($F424,매장구분!$B:$K,5,0),"")</f>
        <v/>
      </c>
    </row>
    <row r="425" spans="1:3" x14ac:dyDescent="0.3">
      <c r="A425" s="6" t="str">
        <f>IFERROR(VLOOKUP($F425,매장구분!$B:$K,2,0),"")</f>
        <v/>
      </c>
      <c r="B425" s="6" t="str">
        <f>IFERROR(VLOOKUP($F425,매장구분!$B:$K,3,0),"")</f>
        <v/>
      </c>
      <c r="C425" s="6" t="str">
        <f>IFERROR(VLOOKUP($F425,매장구분!$B:$K,5,0),"")</f>
        <v/>
      </c>
    </row>
    <row r="426" spans="1:3" x14ac:dyDescent="0.3">
      <c r="A426" s="6" t="str">
        <f>IFERROR(VLOOKUP($F426,매장구분!$B:$K,2,0),"")</f>
        <v/>
      </c>
      <c r="B426" s="6" t="str">
        <f>IFERROR(VLOOKUP($F426,매장구분!$B:$K,3,0),"")</f>
        <v/>
      </c>
      <c r="C426" s="6" t="str">
        <f>IFERROR(VLOOKUP($F426,매장구분!$B:$K,5,0),"")</f>
        <v/>
      </c>
    </row>
    <row r="427" spans="1:3" x14ac:dyDescent="0.3">
      <c r="A427" s="6" t="str">
        <f>IFERROR(VLOOKUP($F427,매장구분!$B:$K,2,0),"")</f>
        <v/>
      </c>
      <c r="B427" s="6" t="str">
        <f>IFERROR(VLOOKUP($F427,매장구분!$B:$K,3,0),"")</f>
        <v/>
      </c>
      <c r="C427" s="6" t="str">
        <f>IFERROR(VLOOKUP($F427,매장구분!$B:$K,5,0),"")</f>
        <v/>
      </c>
    </row>
    <row r="428" spans="1:3" x14ac:dyDescent="0.3">
      <c r="A428" s="6" t="str">
        <f>IFERROR(VLOOKUP($F428,매장구분!$B:$K,2,0),"")</f>
        <v/>
      </c>
      <c r="B428" s="6" t="str">
        <f>IFERROR(VLOOKUP($F428,매장구분!$B:$K,3,0),"")</f>
        <v/>
      </c>
      <c r="C428" s="6" t="str">
        <f>IFERROR(VLOOKUP($F428,매장구분!$B:$K,5,0),"")</f>
        <v/>
      </c>
    </row>
    <row r="429" spans="1:3" x14ac:dyDescent="0.3">
      <c r="A429" s="6" t="str">
        <f>IFERROR(VLOOKUP($F429,매장구분!$B:$K,2,0),"")</f>
        <v/>
      </c>
      <c r="B429" s="6" t="str">
        <f>IFERROR(VLOOKUP($F429,매장구분!$B:$K,3,0),"")</f>
        <v/>
      </c>
      <c r="C429" s="6" t="str">
        <f>IFERROR(VLOOKUP($F429,매장구분!$B:$K,5,0),"")</f>
        <v/>
      </c>
    </row>
    <row r="430" spans="1:3" x14ac:dyDescent="0.3">
      <c r="A430" s="6" t="str">
        <f>IFERROR(VLOOKUP($F430,매장구분!$B:$K,2,0),"")</f>
        <v/>
      </c>
      <c r="B430" s="6" t="str">
        <f>IFERROR(VLOOKUP($F430,매장구분!$B:$K,3,0),"")</f>
        <v/>
      </c>
      <c r="C430" s="6" t="str">
        <f>IFERROR(VLOOKUP($F430,매장구분!$B:$K,5,0),"")</f>
        <v/>
      </c>
    </row>
    <row r="431" spans="1:3" x14ac:dyDescent="0.3">
      <c r="A431" s="6" t="str">
        <f>IFERROR(VLOOKUP($F431,매장구분!$B:$K,2,0),"")</f>
        <v/>
      </c>
      <c r="B431" s="6" t="str">
        <f>IFERROR(VLOOKUP($F431,매장구분!$B:$K,3,0),"")</f>
        <v/>
      </c>
      <c r="C431" s="6" t="str">
        <f>IFERROR(VLOOKUP($F431,매장구분!$B:$K,5,0),"")</f>
        <v/>
      </c>
    </row>
    <row r="432" spans="1:3" x14ac:dyDescent="0.3">
      <c r="A432" s="6" t="str">
        <f>IFERROR(VLOOKUP($F432,매장구분!$B:$K,2,0),"")</f>
        <v/>
      </c>
      <c r="B432" s="6" t="str">
        <f>IFERROR(VLOOKUP($F432,매장구분!$B:$K,3,0),"")</f>
        <v/>
      </c>
      <c r="C432" s="6" t="str">
        <f>IFERROR(VLOOKUP($F432,매장구분!$B:$K,5,0),"")</f>
        <v/>
      </c>
    </row>
    <row r="433" spans="1:3" x14ac:dyDescent="0.3">
      <c r="A433" s="6" t="str">
        <f>IFERROR(VLOOKUP($F433,매장구분!$B:$K,2,0),"")</f>
        <v/>
      </c>
      <c r="B433" s="6" t="str">
        <f>IFERROR(VLOOKUP($F433,매장구분!$B:$K,3,0),"")</f>
        <v/>
      </c>
      <c r="C433" s="6" t="str">
        <f>IFERROR(VLOOKUP($F433,매장구분!$B:$K,5,0),"")</f>
        <v/>
      </c>
    </row>
    <row r="434" spans="1:3" x14ac:dyDescent="0.3">
      <c r="A434" s="6" t="str">
        <f>IFERROR(VLOOKUP($F434,매장구분!$B:$K,2,0),"")</f>
        <v/>
      </c>
      <c r="B434" s="6" t="str">
        <f>IFERROR(VLOOKUP($F434,매장구분!$B:$K,3,0),"")</f>
        <v/>
      </c>
      <c r="C434" s="6" t="str">
        <f>IFERROR(VLOOKUP($F434,매장구분!$B:$K,5,0),"")</f>
        <v/>
      </c>
    </row>
    <row r="435" spans="1:3" x14ac:dyDescent="0.3">
      <c r="A435" s="6" t="str">
        <f>IFERROR(VLOOKUP($F435,매장구분!$B:$K,2,0),"")</f>
        <v/>
      </c>
      <c r="B435" s="6" t="str">
        <f>IFERROR(VLOOKUP($F435,매장구분!$B:$K,3,0),"")</f>
        <v/>
      </c>
      <c r="C435" s="6" t="str">
        <f>IFERROR(VLOOKUP($F435,매장구분!$B:$K,5,0),"")</f>
        <v/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3C0E-897D-403A-98F8-F713DBDC9D7A}">
  <sheetPr>
    <tabColor rgb="FFFF0000"/>
  </sheetPr>
  <dimension ref="A1:BE280"/>
  <sheetViews>
    <sheetView zoomScale="70" zoomScaleNormal="70" workbookViewId="0">
      <pane xSplit="7" ySplit="6" topLeftCell="AF7" activePane="bottomRight" state="frozen"/>
      <selection pane="topRight" activeCell="E6" sqref="E6:R202"/>
      <selection pane="bottomLeft" activeCell="E6" sqref="E6:R202"/>
      <selection pane="bottomRight" activeCell="BD7" sqref="BD7"/>
    </sheetView>
  </sheetViews>
  <sheetFormatPr defaultRowHeight="16.5" x14ac:dyDescent="0.3"/>
  <cols>
    <col min="1" max="5" width="9" style="6"/>
    <col min="6" max="6" width="22.75" style="6" bestFit="1" customWidth="1"/>
    <col min="7" max="7" width="9.25" style="6" bestFit="1" customWidth="1"/>
    <col min="8" max="9" width="11.625" style="6" bestFit="1" customWidth="1"/>
    <col min="10" max="10" width="9.25" style="6" bestFit="1" customWidth="1"/>
    <col min="11" max="12" width="11.625" style="6" bestFit="1" customWidth="1"/>
    <col min="13" max="13" width="9.25" style="6" bestFit="1" customWidth="1"/>
    <col min="14" max="15" width="11" style="6" bestFit="1" customWidth="1"/>
    <col min="16" max="16" width="10.5" style="6" customWidth="1"/>
    <col min="17" max="17" width="10.25" style="6" bestFit="1" customWidth="1"/>
    <col min="18" max="18" width="9.875" style="6" bestFit="1" customWidth="1"/>
    <col min="19" max="21" width="10.25" style="6" bestFit="1" customWidth="1"/>
    <col min="22" max="22" width="9.875" style="6" bestFit="1" customWidth="1"/>
    <col min="23" max="34" width="10.25" style="6" bestFit="1" customWidth="1"/>
    <col min="35" max="36" width="9.875" style="6" bestFit="1" customWidth="1"/>
    <col min="37" max="40" width="10.25" style="6" bestFit="1" customWidth="1"/>
    <col min="41" max="43" width="9.875" style="6" bestFit="1" customWidth="1"/>
    <col min="44" max="44" width="10.25" style="6" bestFit="1" customWidth="1"/>
    <col min="45" max="45" width="9.875" style="6" bestFit="1" customWidth="1"/>
    <col min="46" max="46" width="9.75" style="6" bestFit="1" customWidth="1"/>
    <col min="47" max="47" width="11.25" style="6" customWidth="1"/>
    <col min="48" max="48" width="9" style="6"/>
    <col min="49" max="49" width="10.75" style="6" bestFit="1" customWidth="1"/>
    <col min="50" max="52" width="10.25" style="6" bestFit="1" customWidth="1"/>
    <col min="53" max="53" width="9.375" style="6" bestFit="1" customWidth="1"/>
    <col min="54" max="54" width="9" style="6"/>
    <col min="55" max="55" width="10.375" style="66" customWidth="1"/>
    <col min="56" max="56" width="11.5" style="6" customWidth="1"/>
    <col min="57" max="57" width="9" style="6"/>
  </cols>
  <sheetData>
    <row r="1" spans="1:57" x14ac:dyDescent="0.3">
      <c r="L1" s="70" t="s">
        <v>616</v>
      </c>
      <c r="M1" s="65">
        <f ca="1">당년!M1</f>
        <v>24</v>
      </c>
      <c r="P1" s="1">
        <f>DAY(P6)</f>
        <v>1</v>
      </c>
      <c r="Q1" s="1">
        <f t="shared" ref="Q1:AU1" si="0">DAY(Q6)</f>
        <v>2</v>
      </c>
      <c r="R1" s="1">
        <f t="shared" si="0"/>
        <v>3</v>
      </c>
      <c r="S1" s="1">
        <f t="shared" si="0"/>
        <v>4</v>
      </c>
      <c r="T1" s="1">
        <f t="shared" si="0"/>
        <v>5</v>
      </c>
      <c r="U1" s="1">
        <f t="shared" si="0"/>
        <v>6</v>
      </c>
      <c r="V1" s="1">
        <f t="shared" si="0"/>
        <v>7</v>
      </c>
      <c r="W1" s="1">
        <f t="shared" si="0"/>
        <v>8</v>
      </c>
      <c r="X1" s="1">
        <f t="shared" si="0"/>
        <v>9</v>
      </c>
      <c r="Y1" s="1">
        <f t="shared" si="0"/>
        <v>10</v>
      </c>
      <c r="Z1" s="1">
        <f t="shared" si="0"/>
        <v>11</v>
      </c>
      <c r="AA1" s="1">
        <f t="shared" si="0"/>
        <v>12</v>
      </c>
      <c r="AB1" s="1">
        <f t="shared" si="0"/>
        <v>13</v>
      </c>
      <c r="AC1" s="1">
        <f t="shared" si="0"/>
        <v>14</v>
      </c>
      <c r="AD1" s="1">
        <f t="shared" si="0"/>
        <v>15</v>
      </c>
      <c r="AE1" s="1">
        <f t="shared" si="0"/>
        <v>16</v>
      </c>
      <c r="AF1" s="1">
        <f t="shared" si="0"/>
        <v>17</v>
      </c>
      <c r="AG1" s="1">
        <f t="shared" si="0"/>
        <v>18</v>
      </c>
      <c r="AH1" s="1">
        <f t="shared" si="0"/>
        <v>19</v>
      </c>
      <c r="AI1" s="1">
        <f t="shared" si="0"/>
        <v>20</v>
      </c>
      <c r="AJ1" s="1">
        <f t="shared" si="0"/>
        <v>21</v>
      </c>
      <c r="AK1" s="1">
        <f t="shared" si="0"/>
        <v>22</v>
      </c>
      <c r="AL1" s="1">
        <f t="shared" si="0"/>
        <v>23</v>
      </c>
      <c r="AM1" s="1">
        <f t="shared" si="0"/>
        <v>24</v>
      </c>
      <c r="AN1" s="1">
        <f t="shared" si="0"/>
        <v>25</v>
      </c>
      <c r="AO1" s="1">
        <f t="shared" si="0"/>
        <v>26</v>
      </c>
      <c r="AP1" s="1">
        <f t="shared" si="0"/>
        <v>27</v>
      </c>
      <c r="AQ1" s="1">
        <f t="shared" si="0"/>
        <v>28</v>
      </c>
      <c r="AR1" s="1">
        <f t="shared" si="0"/>
        <v>29</v>
      </c>
      <c r="AS1" s="1">
        <f t="shared" si="0"/>
        <v>30</v>
      </c>
      <c r="AT1" s="1">
        <f t="shared" si="0"/>
        <v>1</v>
      </c>
      <c r="AU1" s="1">
        <f t="shared" si="0"/>
        <v>0</v>
      </c>
    </row>
    <row r="2" spans="1:57" x14ac:dyDescent="0.3">
      <c r="M2" s="71" t="s">
        <v>635</v>
      </c>
      <c r="P2" s="1" t="str">
        <f ca="1">IF(P1&lt;$M$1,"동일","")</f>
        <v>동일</v>
      </c>
      <c r="Q2" s="1" t="str">
        <f t="shared" ref="Q2:AS2" ca="1" si="1">IF(Q1&lt;$M$1,"동일","")</f>
        <v>동일</v>
      </c>
      <c r="R2" s="1" t="str">
        <f t="shared" ca="1" si="1"/>
        <v>동일</v>
      </c>
      <c r="S2" s="1" t="str">
        <f t="shared" ca="1" si="1"/>
        <v>동일</v>
      </c>
      <c r="T2" s="1" t="str">
        <f t="shared" ca="1" si="1"/>
        <v>동일</v>
      </c>
      <c r="U2" s="1" t="str">
        <f t="shared" ca="1" si="1"/>
        <v>동일</v>
      </c>
      <c r="V2" s="1" t="str">
        <f t="shared" ca="1" si="1"/>
        <v>동일</v>
      </c>
      <c r="W2" s="1" t="str">
        <f t="shared" ca="1" si="1"/>
        <v>동일</v>
      </c>
      <c r="X2" s="1" t="str">
        <f t="shared" ca="1" si="1"/>
        <v>동일</v>
      </c>
      <c r="Y2" s="1" t="str">
        <f t="shared" ca="1" si="1"/>
        <v>동일</v>
      </c>
      <c r="Z2" s="1" t="str">
        <f t="shared" ca="1" si="1"/>
        <v>동일</v>
      </c>
      <c r="AA2" s="1" t="str">
        <f t="shared" ca="1" si="1"/>
        <v>동일</v>
      </c>
      <c r="AB2" s="1" t="str">
        <f t="shared" ca="1" si="1"/>
        <v>동일</v>
      </c>
      <c r="AC2" s="1" t="str">
        <f t="shared" ca="1" si="1"/>
        <v>동일</v>
      </c>
      <c r="AD2" s="1" t="str">
        <f t="shared" ca="1" si="1"/>
        <v>동일</v>
      </c>
      <c r="AE2" s="1" t="str">
        <f t="shared" ca="1" si="1"/>
        <v>동일</v>
      </c>
      <c r="AF2" s="1" t="str">
        <f t="shared" ca="1" si="1"/>
        <v>동일</v>
      </c>
      <c r="AG2" s="1" t="str">
        <f t="shared" ca="1" si="1"/>
        <v>동일</v>
      </c>
      <c r="AH2" s="1" t="str">
        <f t="shared" ca="1" si="1"/>
        <v>동일</v>
      </c>
      <c r="AI2" s="1" t="str">
        <f t="shared" ca="1" si="1"/>
        <v>동일</v>
      </c>
      <c r="AJ2" s="1" t="str">
        <f t="shared" ca="1" si="1"/>
        <v>동일</v>
      </c>
      <c r="AK2" s="1" t="str">
        <f t="shared" ca="1" si="1"/>
        <v>동일</v>
      </c>
      <c r="AL2" s="1" t="str">
        <f t="shared" ca="1" si="1"/>
        <v>동일</v>
      </c>
      <c r="AM2" s="1" t="str">
        <f t="shared" ca="1" si="1"/>
        <v/>
      </c>
      <c r="AN2" s="1" t="str">
        <f t="shared" ca="1" si="1"/>
        <v/>
      </c>
      <c r="AO2" s="1" t="str">
        <f t="shared" ca="1" si="1"/>
        <v/>
      </c>
      <c r="AP2" s="1" t="str">
        <f t="shared" ca="1" si="1"/>
        <v/>
      </c>
      <c r="AQ2" s="1" t="str">
        <f t="shared" ca="1" si="1"/>
        <v/>
      </c>
      <c r="AR2" s="1" t="str">
        <f t="shared" ca="1" si="1"/>
        <v/>
      </c>
      <c r="AS2" s="1" t="str">
        <f t="shared" ca="1" si="1"/>
        <v/>
      </c>
      <c r="AT2" s="1"/>
      <c r="AU2" s="1"/>
    </row>
    <row r="3" spans="1:57" x14ac:dyDescent="0.3">
      <c r="Q3" s="1">
        <v>1</v>
      </c>
      <c r="R3" s="1">
        <v>1</v>
      </c>
      <c r="S3" s="1">
        <v>2</v>
      </c>
      <c r="T3" s="1">
        <v>2</v>
      </c>
      <c r="U3" s="1">
        <v>2</v>
      </c>
      <c r="V3" s="1">
        <v>2</v>
      </c>
      <c r="W3" s="1">
        <v>2</v>
      </c>
      <c r="X3" s="1">
        <v>2</v>
      </c>
      <c r="Y3" s="1">
        <v>2</v>
      </c>
      <c r="Z3" s="1">
        <v>3</v>
      </c>
      <c r="AA3" s="1">
        <v>3</v>
      </c>
      <c r="AB3" s="1">
        <v>3</v>
      </c>
      <c r="AC3" s="1">
        <v>3</v>
      </c>
      <c r="AD3" s="1">
        <v>3</v>
      </c>
      <c r="AE3" s="1">
        <v>3</v>
      </c>
      <c r="AF3" s="1">
        <v>3</v>
      </c>
      <c r="AG3" s="1">
        <v>4</v>
      </c>
      <c r="AH3" s="1">
        <v>4</v>
      </c>
      <c r="AI3" s="1">
        <v>4</v>
      </c>
      <c r="AJ3" s="1">
        <v>4</v>
      </c>
      <c r="AK3" s="1">
        <v>4</v>
      </c>
      <c r="AL3" s="1">
        <v>4</v>
      </c>
      <c r="AM3" s="1">
        <v>4</v>
      </c>
      <c r="AN3" s="1">
        <v>5</v>
      </c>
      <c r="AO3" s="1">
        <v>5</v>
      </c>
      <c r="AP3" s="1">
        <v>5</v>
      </c>
      <c r="AQ3" s="1">
        <v>5</v>
      </c>
      <c r="AR3" s="1">
        <v>5</v>
      </c>
      <c r="AS3" s="1">
        <v>5</v>
      </c>
      <c r="AT3" s="1">
        <v>5</v>
      </c>
      <c r="AU3" s="1"/>
      <c r="AW3" s="6">
        <v>1</v>
      </c>
      <c r="AX3" s="6">
        <v>2</v>
      </c>
      <c r="AY3" s="6">
        <v>3</v>
      </c>
      <c r="AZ3" s="6">
        <v>4</v>
      </c>
      <c r="BA3" s="6">
        <v>5</v>
      </c>
      <c r="BC3" s="66" t="s">
        <v>617</v>
      </c>
      <c r="BD3" s="6" t="s">
        <v>636</v>
      </c>
    </row>
    <row r="4" spans="1:57" x14ac:dyDescent="0.3">
      <c r="AW4" s="72"/>
      <c r="AX4" s="72"/>
      <c r="AY4" s="72"/>
      <c r="AZ4" s="72"/>
      <c r="BA4" s="72"/>
    </row>
    <row r="5" spans="1:57" x14ac:dyDescent="0.3">
      <c r="P5" s="1" t="s">
        <v>107</v>
      </c>
      <c r="Q5" s="1" t="s">
        <v>95</v>
      </c>
      <c r="R5" s="1" t="s">
        <v>97</v>
      </c>
      <c r="S5" s="1" t="s">
        <v>99</v>
      </c>
      <c r="T5" s="1" t="s">
        <v>101</v>
      </c>
      <c r="U5" s="1" t="s">
        <v>103</v>
      </c>
      <c r="V5" s="1" t="s">
        <v>105</v>
      </c>
      <c r="W5" s="1" t="s">
        <v>107</v>
      </c>
      <c r="X5" s="1" t="s">
        <v>95</v>
      </c>
      <c r="Y5" s="1" t="s">
        <v>97</v>
      </c>
      <c r="Z5" s="1" t="s">
        <v>99</v>
      </c>
      <c r="AA5" s="1" t="s">
        <v>101</v>
      </c>
      <c r="AB5" s="1" t="s">
        <v>103</v>
      </c>
      <c r="AC5" s="1" t="s">
        <v>105</v>
      </c>
      <c r="AD5" s="1" t="s">
        <v>107</v>
      </c>
      <c r="AE5" s="1" t="s">
        <v>95</v>
      </c>
      <c r="AF5" s="1" t="s">
        <v>97</v>
      </c>
      <c r="AG5" s="1" t="s">
        <v>99</v>
      </c>
      <c r="AH5" s="1" t="s">
        <v>101</v>
      </c>
      <c r="AI5" s="1" t="s">
        <v>103</v>
      </c>
      <c r="AJ5" s="1" t="s">
        <v>105</v>
      </c>
      <c r="AK5" s="1" t="s">
        <v>107</v>
      </c>
      <c r="AL5" s="1" t="s">
        <v>95</v>
      </c>
      <c r="AM5" s="1" t="s">
        <v>620</v>
      </c>
      <c r="AN5" s="1" t="s">
        <v>132</v>
      </c>
      <c r="AO5" s="1" t="s">
        <v>637</v>
      </c>
      <c r="AP5" s="1" t="s">
        <v>638</v>
      </c>
      <c r="AQ5" s="1" t="s">
        <v>105</v>
      </c>
      <c r="AR5" s="1" t="s">
        <v>639</v>
      </c>
      <c r="AS5" s="1" t="s">
        <v>619</v>
      </c>
      <c r="AT5" s="1" t="s">
        <v>620</v>
      </c>
      <c r="AU5" s="1"/>
      <c r="AV5" s="1"/>
      <c r="AW5" s="66">
        <f t="shared" ref="AW5:BC5" si="2">SUBTOTAL(9,AW7:AW216)</f>
        <v>2007969322</v>
      </c>
      <c r="AX5" s="66">
        <f t="shared" si="2"/>
        <v>7740086118</v>
      </c>
      <c r="AY5" s="66">
        <f t="shared" si="2"/>
        <v>6993007565</v>
      </c>
      <c r="AZ5" s="66">
        <f t="shared" si="2"/>
        <v>7212765468</v>
      </c>
      <c r="BA5" s="66">
        <f t="shared" si="2"/>
        <v>7166784270</v>
      </c>
      <c r="BB5" s="66">
        <f t="shared" si="2"/>
        <v>0</v>
      </c>
      <c r="BC5" s="66">
        <f t="shared" ca="1" si="2"/>
        <v>23809938360</v>
      </c>
      <c r="BD5" s="66">
        <f>SUBTOTAL(9,BD7:BD216)</f>
        <v>31007987365</v>
      </c>
    </row>
    <row r="6" spans="1:57" s="40" customFormat="1" x14ac:dyDescent="0.3">
      <c r="A6" s="1" t="s">
        <v>621</v>
      </c>
      <c r="B6" s="1" t="s">
        <v>51</v>
      </c>
      <c r="C6" s="1" t="s">
        <v>622</v>
      </c>
      <c r="D6" s="1" t="s">
        <v>623</v>
      </c>
      <c r="E6" s="67" t="s">
        <v>624</v>
      </c>
      <c r="F6" s="67" t="s">
        <v>625</v>
      </c>
      <c r="G6" s="67" t="s">
        <v>626</v>
      </c>
      <c r="H6" s="67" t="s">
        <v>627</v>
      </c>
      <c r="I6" s="67" t="s">
        <v>628</v>
      </c>
      <c r="J6" s="67" t="s">
        <v>629</v>
      </c>
      <c r="K6" s="67" t="s">
        <v>630</v>
      </c>
      <c r="L6" s="67" t="s">
        <v>631</v>
      </c>
      <c r="M6" s="67" t="s">
        <v>632</v>
      </c>
      <c r="N6" s="67" t="s">
        <v>633</v>
      </c>
      <c r="O6" s="67" t="s">
        <v>634</v>
      </c>
      <c r="P6" s="68">
        <v>45597</v>
      </c>
      <c r="Q6" s="68">
        <f>P6+1</f>
        <v>45598</v>
      </c>
      <c r="R6" s="68">
        <f t="shared" ref="R6:AT6" si="3">Q6+1</f>
        <v>45599</v>
      </c>
      <c r="S6" s="68">
        <f t="shared" si="3"/>
        <v>45600</v>
      </c>
      <c r="T6" s="68">
        <f t="shared" si="3"/>
        <v>45601</v>
      </c>
      <c r="U6" s="68">
        <f t="shared" si="3"/>
        <v>45602</v>
      </c>
      <c r="V6" s="68">
        <f t="shared" si="3"/>
        <v>45603</v>
      </c>
      <c r="W6" s="68">
        <f t="shared" si="3"/>
        <v>45604</v>
      </c>
      <c r="X6" s="68">
        <f t="shared" si="3"/>
        <v>45605</v>
      </c>
      <c r="Y6" s="68">
        <f t="shared" si="3"/>
        <v>45606</v>
      </c>
      <c r="Z6" s="68">
        <f t="shared" si="3"/>
        <v>45607</v>
      </c>
      <c r="AA6" s="68">
        <f t="shared" si="3"/>
        <v>45608</v>
      </c>
      <c r="AB6" s="68">
        <f t="shared" si="3"/>
        <v>45609</v>
      </c>
      <c r="AC6" s="68">
        <f t="shared" si="3"/>
        <v>45610</v>
      </c>
      <c r="AD6" s="68">
        <f t="shared" si="3"/>
        <v>45611</v>
      </c>
      <c r="AE6" s="68">
        <f t="shared" si="3"/>
        <v>45612</v>
      </c>
      <c r="AF6" s="68">
        <f t="shared" si="3"/>
        <v>45613</v>
      </c>
      <c r="AG6" s="68">
        <f t="shared" si="3"/>
        <v>45614</v>
      </c>
      <c r="AH6" s="68">
        <f t="shared" si="3"/>
        <v>45615</v>
      </c>
      <c r="AI6" s="68">
        <f t="shared" si="3"/>
        <v>45616</v>
      </c>
      <c r="AJ6" s="68">
        <f t="shared" si="3"/>
        <v>45617</v>
      </c>
      <c r="AK6" s="68">
        <f t="shared" si="3"/>
        <v>45618</v>
      </c>
      <c r="AL6" s="68">
        <f t="shared" si="3"/>
        <v>45619</v>
      </c>
      <c r="AM6" s="68">
        <f t="shared" si="3"/>
        <v>45620</v>
      </c>
      <c r="AN6" s="68">
        <f t="shared" si="3"/>
        <v>45621</v>
      </c>
      <c r="AO6" s="68">
        <f t="shared" si="3"/>
        <v>45622</v>
      </c>
      <c r="AP6" s="68">
        <f t="shared" si="3"/>
        <v>45623</v>
      </c>
      <c r="AQ6" s="68">
        <f t="shared" si="3"/>
        <v>45624</v>
      </c>
      <c r="AR6" s="68">
        <f t="shared" si="3"/>
        <v>45625</v>
      </c>
      <c r="AS6" s="68">
        <f t="shared" si="3"/>
        <v>45626</v>
      </c>
      <c r="AT6" s="68">
        <f t="shared" si="3"/>
        <v>45627</v>
      </c>
      <c r="AU6" s="68"/>
      <c r="AV6" s="1"/>
      <c r="AW6" s="1"/>
      <c r="AX6" s="1"/>
      <c r="AY6" s="1"/>
      <c r="AZ6" s="1"/>
      <c r="BA6" s="1"/>
      <c r="BB6" s="1"/>
      <c r="BC6" s="69"/>
      <c r="BD6" s="1"/>
      <c r="BE6" s="1"/>
    </row>
    <row r="7" spans="1:57" x14ac:dyDescent="0.3">
      <c r="A7" s="6" t="str">
        <f>IFERROR(VLOOKUP($F7,매장구분!$B:$K,2,0),"")</f>
        <v>파트너채널팀</v>
      </c>
      <c r="B7" s="6" t="str">
        <f>IFERROR(VLOOKUP($F7,매장구분!$B:$K,3,0),"")</f>
        <v>국내</v>
      </c>
      <c r="C7" s="6" t="str">
        <f>IFERROR(VLOOKUP($F7,매장구분!$B:$K,5,0),"")</f>
        <v>백화점</v>
      </c>
      <c r="D7" s="6" t="str">
        <f>IFERROR(VLOOKUP($F7,매장구분!$B:$Z,9,0),"")</f>
        <v>갤러리아진주</v>
      </c>
      <c r="E7" s="69" t="s">
        <v>516</v>
      </c>
      <c r="F7" s="69" t="s">
        <v>517</v>
      </c>
      <c r="G7" s="69">
        <v>547</v>
      </c>
      <c r="H7" s="69">
        <v>62171200</v>
      </c>
      <c r="I7" s="69">
        <v>64115000</v>
      </c>
      <c r="J7" s="69">
        <v>618</v>
      </c>
      <c r="K7" s="69">
        <v>74217500</v>
      </c>
      <c r="L7" s="69">
        <v>76203000</v>
      </c>
      <c r="M7" s="69">
        <v>-71</v>
      </c>
      <c r="N7" s="69">
        <v>-12046300</v>
      </c>
      <c r="O7" s="69">
        <v>-12088000</v>
      </c>
      <c r="P7" s="69">
        <v>475000</v>
      </c>
      <c r="Q7" s="69">
        <v>2729600</v>
      </c>
      <c r="R7" s="69">
        <v>2082600</v>
      </c>
      <c r="S7" s="69">
        <v>1096300</v>
      </c>
      <c r="T7" s="69">
        <v>546000</v>
      </c>
      <c r="U7" s="69">
        <v>1102600</v>
      </c>
      <c r="V7" s="69">
        <v>724000</v>
      </c>
      <c r="W7" s="69">
        <v>2527700</v>
      </c>
      <c r="X7" s="69">
        <v>2082000</v>
      </c>
      <c r="Y7" s="69">
        <v>2253000</v>
      </c>
      <c r="Z7" s="69">
        <v>718300</v>
      </c>
      <c r="AA7" s="69">
        <v>1834300</v>
      </c>
      <c r="AB7" s="69">
        <v>1322000</v>
      </c>
      <c r="AC7" s="69">
        <v>853000</v>
      </c>
      <c r="AD7" s="69">
        <v>743000</v>
      </c>
      <c r="AE7" s="69">
        <v>2156000</v>
      </c>
      <c r="AF7" s="69">
        <v>2067000</v>
      </c>
      <c r="AG7" s="69">
        <v>1169300</v>
      </c>
      <c r="AH7" s="69">
        <v>2191000</v>
      </c>
      <c r="AI7" s="69">
        <v>413000</v>
      </c>
      <c r="AJ7" s="69">
        <v>2285300</v>
      </c>
      <c r="AK7" s="69">
        <v>6908000</v>
      </c>
      <c r="AL7" s="69">
        <v>2935300</v>
      </c>
      <c r="AM7" s="69">
        <v>6511000</v>
      </c>
      <c r="AN7" s="69">
        <v>2687000</v>
      </c>
      <c r="AO7" s="69">
        <v>1198000</v>
      </c>
      <c r="AP7" s="69">
        <v>3006000</v>
      </c>
      <c r="AQ7" s="69">
        <v>705300</v>
      </c>
      <c r="AR7" s="69">
        <v>1111000</v>
      </c>
      <c r="AS7" s="69">
        <v>3157600</v>
      </c>
      <c r="AT7" s="69">
        <v>2581000</v>
      </c>
      <c r="AU7" s="69"/>
      <c r="AW7" s="66">
        <f>SUMIFS($Q7:$AU7,$Q$3:$AU$3,AW$3)</f>
        <v>4812200</v>
      </c>
      <c r="AX7" s="66">
        <f t="shared" ref="AX7:BA26" si="4">SUMIFS($Q7:$AU7,$Q$3:$AU$3,AX$3)</f>
        <v>10331600</v>
      </c>
      <c r="AY7" s="66">
        <f t="shared" si="4"/>
        <v>9693600</v>
      </c>
      <c r="AZ7" s="66">
        <f t="shared" si="4"/>
        <v>22412900</v>
      </c>
      <c r="BA7" s="66">
        <f t="shared" si="4"/>
        <v>14445900</v>
      </c>
      <c r="BC7" s="66">
        <f ca="1">SUMIFS($P7:$AT7,$P$2:$AT$2,BC$3)</f>
        <v>41214300</v>
      </c>
      <c r="BD7" s="66">
        <f>SUM(P7:AS7)</f>
        <v>59590200</v>
      </c>
    </row>
    <row r="8" spans="1:57" x14ac:dyDescent="0.3">
      <c r="A8" s="6" t="str">
        <f>IFERROR(VLOOKUP($F8,매장구분!$B:$K,2,0),"")</f>
        <v>파트너채널팀</v>
      </c>
      <c r="B8" s="6" t="str">
        <f>IFERROR(VLOOKUP($F8,매장구분!$B:$K,3,0),"")</f>
        <v>국내</v>
      </c>
      <c r="C8" s="6" t="str">
        <f>IFERROR(VLOOKUP($F8,매장구분!$B:$K,5,0),"")</f>
        <v>백화점</v>
      </c>
      <c r="D8" s="6" t="str">
        <f>IFERROR(VLOOKUP($F8,매장구분!$B:$Z,9,0),"")</f>
        <v>롯데강남</v>
      </c>
      <c r="E8" s="69" t="s">
        <v>275</v>
      </c>
      <c r="F8" s="69" t="s">
        <v>276</v>
      </c>
      <c r="G8" s="69">
        <v>486</v>
      </c>
      <c r="H8" s="69">
        <v>49857300</v>
      </c>
      <c r="I8" s="69">
        <v>51759000</v>
      </c>
      <c r="J8" s="69">
        <v>637</v>
      </c>
      <c r="K8" s="69">
        <v>67361800</v>
      </c>
      <c r="L8" s="69">
        <v>70307000</v>
      </c>
      <c r="M8" s="69">
        <v>-151</v>
      </c>
      <c r="N8" s="69">
        <v>-17504500</v>
      </c>
      <c r="O8" s="69">
        <v>-18548000</v>
      </c>
      <c r="P8" s="69">
        <v>797000</v>
      </c>
      <c r="Q8" s="69">
        <v>1609200</v>
      </c>
      <c r="R8" s="69">
        <v>722000</v>
      </c>
      <c r="S8" s="69">
        <v>0</v>
      </c>
      <c r="T8" s="69">
        <v>198000</v>
      </c>
      <c r="U8" s="69">
        <v>464400</v>
      </c>
      <c r="V8" s="69">
        <v>663300</v>
      </c>
      <c r="W8" s="69">
        <v>930800</v>
      </c>
      <c r="X8" s="69">
        <v>1117000</v>
      </c>
      <c r="Y8" s="69">
        <v>1737000</v>
      </c>
      <c r="Z8" s="69">
        <v>181000</v>
      </c>
      <c r="AA8" s="69">
        <v>287000</v>
      </c>
      <c r="AB8" s="69">
        <v>555800</v>
      </c>
      <c r="AC8" s="69">
        <v>1871400</v>
      </c>
      <c r="AD8" s="69">
        <v>13835700</v>
      </c>
      <c r="AE8" s="69">
        <v>2130200</v>
      </c>
      <c r="AF8" s="69">
        <v>1942100</v>
      </c>
      <c r="AG8" s="69">
        <v>1149000</v>
      </c>
      <c r="AH8" s="69">
        <v>1268000</v>
      </c>
      <c r="AI8" s="69">
        <v>1811700</v>
      </c>
      <c r="AJ8" s="69">
        <v>232000</v>
      </c>
      <c r="AK8" s="69">
        <v>900000</v>
      </c>
      <c r="AL8" s="69">
        <v>4027100</v>
      </c>
      <c r="AM8" s="69">
        <v>1419200</v>
      </c>
      <c r="AN8" s="69">
        <v>816000</v>
      </c>
      <c r="AO8" s="69">
        <v>971000</v>
      </c>
      <c r="AP8" s="69">
        <v>599000</v>
      </c>
      <c r="AQ8" s="69">
        <v>1101700</v>
      </c>
      <c r="AR8" s="69">
        <v>1499700</v>
      </c>
      <c r="AS8" s="69">
        <v>1400000</v>
      </c>
      <c r="AT8" s="69">
        <v>3621000</v>
      </c>
      <c r="AU8" s="69"/>
      <c r="AW8" s="66">
        <f t="shared" ref="AW8:BA27" si="5">SUMIFS($Q8:$AU8,$Q$3:$AU$3,AW$3)</f>
        <v>2331200</v>
      </c>
      <c r="AX8" s="66">
        <f t="shared" si="4"/>
        <v>5110500</v>
      </c>
      <c r="AY8" s="66">
        <f t="shared" si="4"/>
        <v>20803200</v>
      </c>
      <c r="AZ8" s="66">
        <f t="shared" si="4"/>
        <v>10807000</v>
      </c>
      <c r="BA8" s="66">
        <f>SUMIFS($Q8:$AU8,$Q$3:$AU$3,BA$3)</f>
        <v>10008400</v>
      </c>
      <c r="BC8" s="66">
        <f t="shared" ref="BC8:BC71" ca="1" si="6">SUMIFS($P8:$AT8,$P$2:$AT$2,BC$3)</f>
        <v>38429700</v>
      </c>
      <c r="BD8" s="66">
        <f t="shared" ref="BD8:BD71" si="7">SUM(P8:AS8)</f>
        <v>46236300</v>
      </c>
    </row>
    <row r="9" spans="1:57" x14ac:dyDescent="0.3">
      <c r="A9" s="6" t="str">
        <f>IFERROR(VLOOKUP($F9,매장구분!$B:$K,2,0),"")</f>
        <v>파트너채널팀</v>
      </c>
      <c r="B9" s="6" t="str">
        <f>IFERROR(VLOOKUP($F9,매장구분!$B:$K,3,0),"")</f>
        <v>국내</v>
      </c>
      <c r="C9" s="6" t="str">
        <f>IFERROR(VLOOKUP($F9,매장구분!$B:$K,5,0),"")</f>
        <v>백화점</v>
      </c>
      <c r="D9" s="6" t="str">
        <f>IFERROR(VLOOKUP($F9,매장구분!$B:$Z,9,0),"")</f>
        <v>롯데일산</v>
      </c>
      <c r="E9" s="69" t="s">
        <v>508</v>
      </c>
      <c r="F9" s="69" t="s">
        <v>509</v>
      </c>
      <c r="G9" s="69">
        <v>918</v>
      </c>
      <c r="H9" s="69">
        <v>107015100</v>
      </c>
      <c r="I9" s="69">
        <v>110604800</v>
      </c>
      <c r="J9" s="69">
        <v>1094</v>
      </c>
      <c r="K9" s="69">
        <v>137468000</v>
      </c>
      <c r="L9" s="69">
        <v>141342800</v>
      </c>
      <c r="M9" s="69">
        <v>-176</v>
      </c>
      <c r="N9" s="69">
        <v>-30452900</v>
      </c>
      <c r="O9" s="69">
        <v>-30738000</v>
      </c>
      <c r="P9" s="69">
        <v>1902600</v>
      </c>
      <c r="Q9" s="69">
        <v>3132700</v>
      </c>
      <c r="R9" s="69">
        <v>2619200</v>
      </c>
      <c r="S9" s="69">
        <v>0</v>
      </c>
      <c r="T9" s="69">
        <v>6345800</v>
      </c>
      <c r="U9" s="69">
        <v>2954300</v>
      </c>
      <c r="V9" s="69">
        <v>2962600</v>
      </c>
      <c r="W9" s="69">
        <v>1565300</v>
      </c>
      <c r="X9" s="69">
        <v>5173400</v>
      </c>
      <c r="Y9" s="69">
        <v>6324200</v>
      </c>
      <c r="Z9" s="69">
        <v>2581000</v>
      </c>
      <c r="AA9" s="69">
        <v>4779200</v>
      </c>
      <c r="AB9" s="69">
        <v>4071000</v>
      </c>
      <c r="AC9" s="69">
        <v>499900</v>
      </c>
      <c r="AD9" s="69">
        <v>772000</v>
      </c>
      <c r="AE9" s="69">
        <v>5507100</v>
      </c>
      <c r="AF9" s="69">
        <v>8202900</v>
      </c>
      <c r="AG9" s="69">
        <v>1240000</v>
      </c>
      <c r="AH9" s="69">
        <v>1779000</v>
      </c>
      <c r="AI9" s="69">
        <v>1237000</v>
      </c>
      <c r="AJ9" s="69">
        <v>2799000</v>
      </c>
      <c r="AK9" s="69">
        <v>2010000</v>
      </c>
      <c r="AL9" s="69">
        <v>5526300</v>
      </c>
      <c r="AM9" s="69">
        <v>13912100</v>
      </c>
      <c r="AN9" s="69">
        <v>427000</v>
      </c>
      <c r="AO9" s="69">
        <v>1720000</v>
      </c>
      <c r="AP9" s="69">
        <v>1500000</v>
      </c>
      <c r="AQ9" s="69">
        <v>2082000</v>
      </c>
      <c r="AR9" s="69">
        <v>1309000</v>
      </c>
      <c r="AS9" s="69">
        <v>8866500</v>
      </c>
      <c r="AT9" s="69">
        <v>3214000</v>
      </c>
      <c r="AU9" s="69"/>
      <c r="AW9" s="66">
        <f t="shared" si="5"/>
        <v>5751900</v>
      </c>
      <c r="AX9" s="66">
        <f t="shared" si="4"/>
        <v>25325600</v>
      </c>
      <c r="AY9" s="66">
        <f t="shared" si="4"/>
        <v>26413100</v>
      </c>
      <c r="AZ9" s="66">
        <f t="shared" si="4"/>
        <v>28503400</v>
      </c>
      <c r="BA9" s="66">
        <f t="shared" si="4"/>
        <v>19118500</v>
      </c>
      <c r="BC9" s="66">
        <f t="shared" ca="1" si="6"/>
        <v>73984500</v>
      </c>
      <c r="BD9" s="66">
        <f t="shared" si="7"/>
        <v>103801100</v>
      </c>
    </row>
    <row r="10" spans="1:57" x14ac:dyDescent="0.3">
      <c r="A10" s="6" t="str">
        <f>IFERROR(VLOOKUP($F10,매장구분!$B:$K,2,0),"")</f>
        <v>파트너채널팀</v>
      </c>
      <c r="B10" s="6" t="str">
        <f>IFERROR(VLOOKUP($F10,매장구분!$B:$K,3,0),"")</f>
        <v>국내</v>
      </c>
      <c r="C10" s="6" t="str">
        <f>IFERROR(VLOOKUP($F10,매장구분!$B:$K,5,0),"")</f>
        <v>백화점</v>
      </c>
      <c r="D10" s="6" t="str">
        <f>IFERROR(VLOOKUP($F10,매장구분!$B:$Z,9,0),"")</f>
        <v>AK분당</v>
      </c>
      <c r="E10" s="69" t="s">
        <v>582</v>
      </c>
      <c r="F10" s="69" t="s">
        <v>583</v>
      </c>
      <c r="G10" s="69">
        <v>479</v>
      </c>
      <c r="H10" s="69">
        <v>71683000</v>
      </c>
      <c r="I10" s="69">
        <v>75353000</v>
      </c>
      <c r="J10" s="69">
        <v>724</v>
      </c>
      <c r="K10" s="69">
        <v>109666600</v>
      </c>
      <c r="L10" s="69">
        <v>113740000</v>
      </c>
      <c r="M10" s="69">
        <v>-245</v>
      </c>
      <c r="N10" s="69">
        <v>-37983600</v>
      </c>
      <c r="O10" s="69">
        <v>-38387000</v>
      </c>
      <c r="P10" s="69">
        <v>89000</v>
      </c>
      <c r="Q10" s="69">
        <v>979900</v>
      </c>
      <c r="R10" s="69">
        <v>89700</v>
      </c>
      <c r="S10" s="69">
        <v>111000</v>
      </c>
      <c r="T10" s="69">
        <v>992600</v>
      </c>
      <c r="U10" s="69">
        <v>675000</v>
      </c>
      <c r="V10" s="69">
        <v>51000</v>
      </c>
      <c r="W10" s="69">
        <v>-31100</v>
      </c>
      <c r="X10" s="69">
        <v>1168000</v>
      </c>
      <c r="Y10" s="69">
        <v>4514000</v>
      </c>
      <c r="Z10" s="69">
        <v>150000</v>
      </c>
      <c r="AA10" s="69">
        <v>400000</v>
      </c>
      <c r="AB10" s="69">
        <v>551000</v>
      </c>
      <c r="AC10" s="69">
        <v>445000</v>
      </c>
      <c r="AD10" s="69">
        <v>1271000</v>
      </c>
      <c r="AE10" s="69">
        <v>4515200</v>
      </c>
      <c r="AF10" s="69">
        <v>16913700</v>
      </c>
      <c r="AG10" s="69">
        <v>202000</v>
      </c>
      <c r="AH10" s="69">
        <v>1209000</v>
      </c>
      <c r="AI10" s="69">
        <v>1806000</v>
      </c>
      <c r="AJ10" s="69">
        <v>-39000</v>
      </c>
      <c r="AK10" s="69">
        <v>639000</v>
      </c>
      <c r="AL10" s="69">
        <v>6831000</v>
      </c>
      <c r="AM10" s="69">
        <v>6399000</v>
      </c>
      <c r="AN10" s="69">
        <v>732000</v>
      </c>
      <c r="AO10" s="69">
        <v>-528000</v>
      </c>
      <c r="AP10" s="69">
        <v>3259000</v>
      </c>
      <c r="AQ10" s="69">
        <v>309000</v>
      </c>
      <c r="AR10" s="69">
        <v>1136000</v>
      </c>
      <c r="AS10" s="69">
        <v>10794000</v>
      </c>
      <c r="AT10" s="69">
        <v>6049000</v>
      </c>
      <c r="AU10" s="69"/>
      <c r="AW10" s="66">
        <f t="shared" si="5"/>
        <v>1069600</v>
      </c>
      <c r="AX10" s="66">
        <f t="shared" si="4"/>
        <v>7480500</v>
      </c>
      <c r="AY10" s="66">
        <f t="shared" si="4"/>
        <v>24245900</v>
      </c>
      <c r="AZ10" s="66">
        <f t="shared" si="4"/>
        <v>17047000</v>
      </c>
      <c r="BA10" s="66">
        <f t="shared" si="4"/>
        <v>21751000</v>
      </c>
      <c r="BC10" s="66">
        <f t="shared" ca="1" si="6"/>
        <v>43533000</v>
      </c>
      <c r="BD10" s="66">
        <f t="shared" si="7"/>
        <v>65634000</v>
      </c>
    </row>
    <row r="11" spans="1:57" x14ac:dyDescent="0.3">
      <c r="A11" s="6" t="str">
        <f>IFERROR(VLOOKUP($F11,매장구분!$B:$K,2,0),"")</f>
        <v>파트너채널팀</v>
      </c>
      <c r="B11" s="6" t="str">
        <f>IFERROR(VLOOKUP($F11,매장구분!$B:$K,3,0),"")</f>
        <v>국내</v>
      </c>
      <c r="C11" s="6" t="str">
        <f>IFERROR(VLOOKUP($F11,매장구분!$B:$K,5,0),"")</f>
        <v>백화점</v>
      </c>
      <c r="D11" s="6" t="str">
        <f>IFERROR(VLOOKUP($F11,매장구분!$B:$Z,9,0),"")</f>
        <v>롯데건대</v>
      </c>
      <c r="E11" s="69" t="s">
        <v>354</v>
      </c>
      <c r="F11" s="69" t="s">
        <v>355</v>
      </c>
      <c r="G11" s="69">
        <v>826</v>
      </c>
      <c r="H11" s="69">
        <v>105758300</v>
      </c>
      <c r="I11" s="69">
        <v>110652000</v>
      </c>
      <c r="J11" s="69">
        <v>860</v>
      </c>
      <c r="K11" s="69">
        <v>111434300</v>
      </c>
      <c r="L11" s="69">
        <v>116579000</v>
      </c>
      <c r="M11" s="69">
        <v>-34</v>
      </c>
      <c r="N11" s="69">
        <v>-5676000</v>
      </c>
      <c r="O11" s="69">
        <v>-5927000</v>
      </c>
      <c r="P11" s="69">
        <v>806500</v>
      </c>
      <c r="Q11" s="69">
        <v>2779200</v>
      </c>
      <c r="R11" s="69">
        <v>1903800</v>
      </c>
      <c r="S11" s="69">
        <v>0</v>
      </c>
      <c r="T11" s="69">
        <v>887400</v>
      </c>
      <c r="U11" s="69">
        <v>5298700</v>
      </c>
      <c r="V11" s="69">
        <v>2451600</v>
      </c>
      <c r="W11" s="69">
        <v>139800</v>
      </c>
      <c r="X11" s="69">
        <v>1675200</v>
      </c>
      <c r="Y11" s="69">
        <v>1778800</v>
      </c>
      <c r="Z11" s="69">
        <v>1084300</v>
      </c>
      <c r="AA11" s="69">
        <v>6731000</v>
      </c>
      <c r="AB11" s="69">
        <v>1867500</v>
      </c>
      <c r="AC11" s="69">
        <v>27832500</v>
      </c>
      <c r="AD11" s="69">
        <v>889000</v>
      </c>
      <c r="AE11" s="69">
        <v>2270000</v>
      </c>
      <c r="AF11" s="69">
        <v>4416000</v>
      </c>
      <c r="AG11" s="69">
        <v>3122000</v>
      </c>
      <c r="AH11" s="69">
        <v>1679000</v>
      </c>
      <c r="AI11" s="69">
        <v>3704000</v>
      </c>
      <c r="AJ11" s="69">
        <v>1551200</v>
      </c>
      <c r="AK11" s="69">
        <v>968500</v>
      </c>
      <c r="AL11" s="69">
        <v>5491500</v>
      </c>
      <c r="AM11" s="69">
        <v>2718000</v>
      </c>
      <c r="AN11" s="69">
        <v>950300</v>
      </c>
      <c r="AO11" s="69">
        <v>466000</v>
      </c>
      <c r="AP11" s="69">
        <v>554000</v>
      </c>
      <c r="AQ11" s="69">
        <v>11576900</v>
      </c>
      <c r="AR11" s="69">
        <v>1030000</v>
      </c>
      <c r="AS11" s="69">
        <v>5784300</v>
      </c>
      <c r="AT11" s="69">
        <v>3351300</v>
      </c>
      <c r="AU11" s="69"/>
      <c r="AW11" s="66">
        <f t="shared" si="5"/>
        <v>4683000</v>
      </c>
      <c r="AX11" s="66">
        <f t="shared" si="4"/>
        <v>12231500</v>
      </c>
      <c r="AY11" s="66">
        <f t="shared" si="4"/>
        <v>45090300</v>
      </c>
      <c r="AZ11" s="66">
        <f t="shared" si="4"/>
        <v>19234200</v>
      </c>
      <c r="BA11" s="66">
        <f t="shared" si="4"/>
        <v>23712800</v>
      </c>
      <c r="BC11" s="66">
        <f t="shared" ca="1" si="6"/>
        <v>79327500</v>
      </c>
      <c r="BD11" s="66">
        <f t="shared" si="7"/>
        <v>102407000</v>
      </c>
    </row>
    <row r="12" spans="1:57" x14ac:dyDescent="0.3">
      <c r="A12" s="6" t="str">
        <f>IFERROR(VLOOKUP($F12,매장구분!$B:$K,2,0),"")</f>
        <v>파트너채널팀</v>
      </c>
      <c r="B12" s="6" t="str">
        <f>IFERROR(VLOOKUP($F12,매장구분!$B:$K,3,0),"")</f>
        <v>국내</v>
      </c>
      <c r="C12" s="6" t="str">
        <f>IFERROR(VLOOKUP($F12,매장구분!$B:$K,5,0),"")</f>
        <v>백화점</v>
      </c>
      <c r="D12" s="6" t="str">
        <f>IFERROR(VLOOKUP($F12,매장구분!$B:$Z,9,0),"")</f>
        <v>롯데분당</v>
      </c>
      <c r="E12" s="69" t="s">
        <v>470</v>
      </c>
      <c r="F12" s="69" t="s">
        <v>471</v>
      </c>
      <c r="G12" s="69">
        <v>360</v>
      </c>
      <c r="H12" s="69">
        <v>28121800</v>
      </c>
      <c r="I12" s="69">
        <v>31024000</v>
      </c>
      <c r="J12" s="69">
        <v>622</v>
      </c>
      <c r="K12" s="69">
        <v>69120600</v>
      </c>
      <c r="L12" s="69">
        <v>72834000</v>
      </c>
      <c r="M12" s="69">
        <v>-262</v>
      </c>
      <c r="N12" s="69">
        <v>-40998800</v>
      </c>
      <c r="O12" s="69">
        <v>-41810000</v>
      </c>
      <c r="P12" s="69">
        <v>519100</v>
      </c>
      <c r="Q12" s="69">
        <v>346500</v>
      </c>
      <c r="R12" s="69">
        <v>523500</v>
      </c>
      <c r="S12" s="69">
        <v>0</v>
      </c>
      <c r="T12" s="69">
        <v>1250800</v>
      </c>
      <c r="U12" s="69">
        <v>2022000</v>
      </c>
      <c r="V12" s="69">
        <v>1521500</v>
      </c>
      <c r="W12" s="69">
        <v>801100</v>
      </c>
      <c r="X12" s="69">
        <v>1243200</v>
      </c>
      <c r="Y12" s="69">
        <v>1073000</v>
      </c>
      <c r="Z12" s="69">
        <v>806800</v>
      </c>
      <c r="AA12" s="69">
        <v>854400</v>
      </c>
      <c r="AB12" s="69">
        <v>758500</v>
      </c>
      <c r="AC12" s="69">
        <v>1180000</v>
      </c>
      <c r="AD12" s="69">
        <v>240000</v>
      </c>
      <c r="AE12" s="69">
        <v>1260700</v>
      </c>
      <c r="AF12" s="69">
        <v>522200</v>
      </c>
      <c r="AG12" s="69">
        <v>984000</v>
      </c>
      <c r="AH12" s="69">
        <v>665600</v>
      </c>
      <c r="AI12" s="69">
        <v>1661600</v>
      </c>
      <c r="AJ12" s="69">
        <v>764400</v>
      </c>
      <c r="AK12" s="69">
        <v>368000</v>
      </c>
      <c r="AL12" s="69">
        <v>813100</v>
      </c>
      <c r="AM12" s="69">
        <v>1724300</v>
      </c>
      <c r="AN12" s="69">
        <v>1530200</v>
      </c>
      <c r="AO12" s="69">
        <v>1120500</v>
      </c>
      <c r="AP12" s="69">
        <v>521100</v>
      </c>
      <c r="AQ12" s="69">
        <v>423500</v>
      </c>
      <c r="AR12" s="69">
        <v>441000</v>
      </c>
      <c r="AS12" s="69">
        <v>1106200</v>
      </c>
      <c r="AT12" s="69">
        <v>1075000</v>
      </c>
      <c r="AU12" s="69"/>
      <c r="AW12" s="66">
        <f t="shared" si="5"/>
        <v>870000</v>
      </c>
      <c r="AX12" s="66">
        <f t="shared" si="4"/>
        <v>7911600</v>
      </c>
      <c r="AY12" s="66">
        <f t="shared" si="4"/>
        <v>5622600</v>
      </c>
      <c r="AZ12" s="66">
        <f t="shared" si="4"/>
        <v>6981000</v>
      </c>
      <c r="BA12" s="66">
        <f t="shared" si="4"/>
        <v>6217500</v>
      </c>
      <c r="BC12" s="66">
        <f t="shared" ca="1" si="6"/>
        <v>20180000</v>
      </c>
      <c r="BD12" s="66">
        <f t="shared" si="7"/>
        <v>27046800</v>
      </c>
    </row>
    <row r="13" spans="1:57" x14ac:dyDescent="0.3">
      <c r="A13" s="6" t="str">
        <f>IFERROR(VLOOKUP($F13,매장구분!$B:$K,2,0),"")</f>
        <v>파트너채널팀</v>
      </c>
      <c r="B13" s="6" t="str">
        <f>IFERROR(VLOOKUP($F13,매장구분!$B:$K,3,0),"")</f>
        <v>국내</v>
      </c>
      <c r="C13" s="6" t="str">
        <f>IFERROR(VLOOKUP($F13,매장구분!$B:$K,5,0),"")</f>
        <v>백화점</v>
      </c>
      <c r="D13" s="6" t="str">
        <f>IFERROR(VLOOKUP($F13,매장구분!$B:$Z,9,0),"")</f>
        <v>현대울산동구</v>
      </c>
      <c r="E13" s="69" t="s">
        <v>480</v>
      </c>
      <c r="F13" s="69" t="s">
        <v>481</v>
      </c>
      <c r="G13" s="69">
        <v>506</v>
      </c>
      <c r="H13" s="69">
        <v>57446000</v>
      </c>
      <c r="I13" s="69">
        <v>59875000</v>
      </c>
      <c r="J13" s="69">
        <v>658</v>
      </c>
      <c r="K13" s="69">
        <v>80872100</v>
      </c>
      <c r="L13" s="69">
        <v>83332000</v>
      </c>
      <c r="M13" s="69">
        <v>-152</v>
      </c>
      <c r="N13" s="69">
        <v>-23426100</v>
      </c>
      <c r="O13" s="69">
        <v>-23457000</v>
      </c>
      <c r="P13" s="69">
        <v>1952600</v>
      </c>
      <c r="Q13" s="69">
        <v>1141100</v>
      </c>
      <c r="R13" s="69">
        <v>505200</v>
      </c>
      <c r="S13" s="69">
        <v>482100</v>
      </c>
      <c r="T13" s="69">
        <v>1435800</v>
      </c>
      <c r="U13" s="69">
        <v>1139800</v>
      </c>
      <c r="V13" s="69">
        <v>1803800</v>
      </c>
      <c r="W13" s="69">
        <v>2079300</v>
      </c>
      <c r="X13" s="69">
        <v>3172700</v>
      </c>
      <c r="Y13" s="69">
        <v>2900400</v>
      </c>
      <c r="Z13" s="69">
        <v>0</v>
      </c>
      <c r="AA13" s="69">
        <v>2010000</v>
      </c>
      <c r="AB13" s="69">
        <v>1644400</v>
      </c>
      <c r="AC13" s="69">
        <v>389300</v>
      </c>
      <c r="AD13" s="69">
        <v>947000</v>
      </c>
      <c r="AE13" s="69">
        <v>1544400</v>
      </c>
      <c r="AF13" s="69">
        <v>1419000</v>
      </c>
      <c r="AG13" s="69">
        <v>468000</v>
      </c>
      <c r="AH13" s="69">
        <v>3033200</v>
      </c>
      <c r="AI13" s="69">
        <v>1409300</v>
      </c>
      <c r="AJ13" s="69">
        <v>2706000</v>
      </c>
      <c r="AK13" s="69">
        <v>3793200</v>
      </c>
      <c r="AL13" s="69">
        <v>4503200</v>
      </c>
      <c r="AM13" s="69">
        <v>1894200</v>
      </c>
      <c r="AN13" s="69">
        <v>559000</v>
      </c>
      <c r="AO13" s="69">
        <v>1578500</v>
      </c>
      <c r="AP13" s="69">
        <v>2057200</v>
      </c>
      <c r="AQ13" s="69">
        <v>4661200</v>
      </c>
      <c r="AR13" s="69">
        <v>2108000</v>
      </c>
      <c r="AS13" s="69">
        <v>2404100</v>
      </c>
      <c r="AT13" s="69">
        <v>1704000</v>
      </c>
      <c r="AU13" s="69"/>
      <c r="AW13" s="66">
        <f t="shared" si="5"/>
        <v>1646300</v>
      </c>
      <c r="AX13" s="66">
        <f t="shared" si="4"/>
        <v>13013900</v>
      </c>
      <c r="AY13" s="66">
        <f t="shared" si="4"/>
        <v>7954100</v>
      </c>
      <c r="AZ13" s="66">
        <f t="shared" si="4"/>
        <v>17807100</v>
      </c>
      <c r="BA13" s="66">
        <f t="shared" si="4"/>
        <v>15072000</v>
      </c>
      <c r="BC13" s="66">
        <f t="shared" ca="1" si="6"/>
        <v>40479800</v>
      </c>
      <c r="BD13" s="66">
        <f t="shared" si="7"/>
        <v>55742000</v>
      </c>
    </row>
    <row r="14" spans="1:57" x14ac:dyDescent="0.3">
      <c r="A14" s="6" t="str">
        <f>IFERROR(VLOOKUP($F14,매장구분!$B:$K,2,0),"")</f>
        <v>파트너채널팀</v>
      </c>
      <c r="B14" s="6" t="str">
        <f>IFERROR(VLOOKUP($F14,매장구분!$B:$K,3,0),"")</f>
        <v>국내</v>
      </c>
      <c r="C14" s="6" t="str">
        <f>IFERROR(VLOOKUP($F14,매장구분!$B:$K,5,0),"")</f>
        <v>백화점</v>
      </c>
      <c r="D14" s="6" t="str">
        <f>IFERROR(VLOOKUP($F14,매장구분!$B:$Z,9,0),"")</f>
        <v>롯데청량리</v>
      </c>
      <c r="E14" s="69" t="s">
        <v>255</v>
      </c>
      <c r="F14" s="69" t="s">
        <v>256</v>
      </c>
      <c r="G14" s="69">
        <v>628</v>
      </c>
      <c r="H14" s="69">
        <v>59624900</v>
      </c>
      <c r="I14" s="69">
        <v>62741700</v>
      </c>
      <c r="J14" s="69">
        <v>858</v>
      </c>
      <c r="K14" s="69">
        <v>98579900</v>
      </c>
      <c r="L14" s="69">
        <v>102074700</v>
      </c>
      <c r="M14" s="69">
        <v>-230</v>
      </c>
      <c r="N14" s="69">
        <v>-38955000</v>
      </c>
      <c r="O14" s="69">
        <v>-39333000</v>
      </c>
      <c r="P14" s="69">
        <v>1901800</v>
      </c>
      <c r="Q14" s="69">
        <v>1879000</v>
      </c>
      <c r="R14" s="69">
        <v>2315500</v>
      </c>
      <c r="S14" s="69">
        <v>0</v>
      </c>
      <c r="T14" s="69">
        <v>1253200</v>
      </c>
      <c r="U14" s="69">
        <v>2511800</v>
      </c>
      <c r="V14" s="69">
        <v>806200</v>
      </c>
      <c r="W14" s="69">
        <v>1940800</v>
      </c>
      <c r="X14" s="69">
        <v>3213400</v>
      </c>
      <c r="Y14" s="69">
        <v>3475000</v>
      </c>
      <c r="Z14" s="69">
        <v>455000</v>
      </c>
      <c r="AA14" s="69">
        <v>1696400</v>
      </c>
      <c r="AB14" s="69">
        <v>1973000</v>
      </c>
      <c r="AC14" s="69">
        <v>1721000</v>
      </c>
      <c r="AD14" s="69">
        <v>1492000</v>
      </c>
      <c r="AE14" s="69">
        <v>1613000</v>
      </c>
      <c r="AF14" s="69">
        <v>3372000</v>
      </c>
      <c r="AG14" s="69">
        <v>870000</v>
      </c>
      <c r="AH14" s="69">
        <v>530500</v>
      </c>
      <c r="AI14" s="69">
        <v>749000</v>
      </c>
      <c r="AJ14" s="69">
        <v>2419800</v>
      </c>
      <c r="AK14" s="69">
        <v>1092000</v>
      </c>
      <c r="AL14" s="69">
        <v>4317300</v>
      </c>
      <c r="AM14" s="69">
        <v>2436500</v>
      </c>
      <c r="AN14" s="69">
        <v>2447000</v>
      </c>
      <c r="AO14" s="69">
        <v>1814000</v>
      </c>
      <c r="AP14" s="69">
        <v>2407200</v>
      </c>
      <c r="AQ14" s="69">
        <v>824000</v>
      </c>
      <c r="AR14" s="69">
        <v>1632000</v>
      </c>
      <c r="AS14" s="69">
        <v>3187500</v>
      </c>
      <c r="AT14" s="69">
        <v>3279000</v>
      </c>
      <c r="AU14" s="69"/>
      <c r="AW14" s="66">
        <f t="shared" si="5"/>
        <v>4194500</v>
      </c>
      <c r="AX14" s="66">
        <f t="shared" si="4"/>
        <v>13200400</v>
      </c>
      <c r="AY14" s="66">
        <f t="shared" si="4"/>
        <v>12322400</v>
      </c>
      <c r="AZ14" s="66">
        <f t="shared" si="4"/>
        <v>12415100</v>
      </c>
      <c r="BA14" s="66">
        <f t="shared" si="4"/>
        <v>15590700</v>
      </c>
      <c r="BC14" s="66">
        <f t="shared" ca="1" si="6"/>
        <v>41597700</v>
      </c>
      <c r="BD14" s="66">
        <f t="shared" si="7"/>
        <v>56345900</v>
      </c>
    </row>
    <row r="15" spans="1:57" x14ac:dyDescent="0.3">
      <c r="A15" s="6" t="str">
        <f>IFERROR(VLOOKUP($F15,매장구분!$B:$K,2,0),"")</f>
        <v>파트너채널팀</v>
      </c>
      <c r="B15" s="6" t="str">
        <f>IFERROR(VLOOKUP($F15,매장구분!$B:$K,3,0),"")</f>
        <v>국내</v>
      </c>
      <c r="C15" s="6" t="str">
        <f>IFERROR(VLOOKUP($F15,매장구분!$B:$K,5,0),"")</f>
        <v>백화점</v>
      </c>
      <c r="D15" s="6" t="str">
        <f>IFERROR(VLOOKUP($F15,매장구분!$B:$Z,9,0),"")</f>
        <v>신세계경기</v>
      </c>
      <c r="E15" s="69" t="s">
        <v>356</v>
      </c>
      <c r="F15" s="69" t="s">
        <v>357</v>
      </c>
      <c r="G15" s="69">
        <v>1082</v>
      </c>
      <c r="H15" s="69">
        <v>123931000</v>
      </c>
      <c r="I15" s="69">
        <v>131721800</v>
      </c>
      <c r="J15" s="69">
        <v>1121</v>
      </c>
      <c r="K15" s="69">
        <v>127075200</v>
      </c>
      <c r="L15" s="69">
        <v>135011800</v>
      </c>
      <c r="M15" s="69">
        <v>-39</v>
      </c>
      <c r="N15" s="69">
        <v>-3144200</v>
      </c>
      <c r="O15" s="69">
        <v>-3290000</v>
      </c>
      <c r="P15" s="69">
        <v>711000</v>
      </c>
      <c r="Q15" s="69">
        <v>1580000</v>
      </c>
      <c r="R15" s="69">
        <v>3914000</v>
      </c>
      <c r="S15" s="69">
        <v>1035200</v>
      </c>
      <c r="T15" s="69">
        <v>340000</v>
      </c>
      <c r="U15" s="69">
        <v>3665200</v>
      </c>
      <c r="V15" s="69">
        <v>3403000</v>
      </c>
      <c r="W15" s="69">
        <v>494000</v>
      </c>
      <c r="X15" s="69">
        <v>2776200</v>
      </c>
      <c r="Y15" s="69">
        <v>3742000</v>
      </c>
      <c r="Z15" s="69">
        <v>808000</v>
      </c>
      <c r="AA15" s="69">
        <v>420900</v>
      </c>
      <c r="AB15" s="69">
        <v>851000</v>
      </c>
      <c r="AC15" s="69">
        <v>490300</v>
      </c>
      <c r="AD15" s="69">
        <v>320000</v>
      </c>
      <c r="AE15" s="69">
        <v>1508000</v>
      </c>
      <c r="AF15" s="69">
        <v>3579000</v>
      </c>
      <c r="AG15" s="69">
        <v>0</v>
      </c>
      <c r="AH15" s="69">
        <v>664000</v>
      </c>
      <c r="AI15" s="69">
        <v>31699100</v>
      </c>
      <c r="AJ15" s="69">
        <v>20037900</v>
      </c>
      <c r="AK15" s="69">
        <v>327000</v>
      </c>
      <c r="AL15" s="69">
        <v>6219500</v>
      </c>
      <c r="AM15" s="69">
        <v>4269000</v>
      </c>
      <c r="AN15" s="69">
        <v>13678300</v>
      </c>
      <c r="AO15" s="69">
        <v>12716900</v>
      </c>
      <c r="AP15" s="69">
        <v>1016500</v>
      </c>
      <c r="AQ15" s="69">
        <v>1328000</v>
      </c>
      <c r="AR15" s="69">
        <v>128000</v>
      </c>
      <c r="AS15" s="69">
        <v>407000</v>
      </c>
      <c r="AT15" s="69">
        <v>1802000</v>
      </c>
      <c r="AU15" s="69"/>
      <c r="AW15" s="66">
        <f t="shared" si="5"/>
        <v>5494000</v>
      </c>
      <c r="AX15" s="66">
        <f t="shared" si="4"/>
        <v>15455600</v>
      </c>
      <c r="AY15" s="66">
        <f t="shared" si="4"/>
        <v>7977200</v>
      </c>
      <c r="AZ15" s="66">
        <f t="shared" si="4"/>
        <v>63216500</v>
      </c>
      <c r="BA15" s="66">
        <f t="shared" si="4"/>
        <v>31076700</v>
      </c>
      <c r="BC15" s="66">
        <f t="shared" ca="1" si="6"/>
        <v>88585300</v>
      </c>
      <c r="BD15" s="66">
        <f t="shared" si="7"/>
        <v>122129000</v>
      </c>
    </row>
    <row r="16" spans="1:57" x14ac:dyDescent="0.3">
      <c r="A16" s="6" t="str">
        <f>IFERROR(VLOOKUP($F16,매장구분!$B:$K,2,0),"")</f>
        <v>파트너채널팀</v>
      </c>
      <c r="B16" s="6" t="str">
        <f>IFERROR(VLOOKUP($F16,매장구분!$B:$K,3,0),"")</f>
        <v>국내</v>
      </c>
      <c r="C16" s="6" t="str">
        <f>IFERROR(VLOOKUP($F16,매장구분!$B:$K,5,0),"")</f>
        <v>백화점</v>
      </c>
      <c r="D16" s="6" t="str">
        <f>IFERROR(VLOOKUP($F16,매장구분!$B:$Z,9,0),"")</f>
        <v>롯데광복</v>
      </c>
      <c r="E16" s="69" t="s">
        <v>448</v>
      </c>
      <c r="F16" s="69" t="s">
        <v>449</v>
      </c>
      <c r="G16" s="69">
        <v>828</v>
      </c>
      <c r="H16" s="69">
        <v>68766000</v>
      </c>
      <c r="I16" s="69">
        <v>73458000</v>
      </c>
      <c r="J16" s="69">
        <v>870</v>
      </c>
      <c r="K16" s="69">
        <v>74477900</v>
      </c>
      <c r="L16" s="69">
        <v>79269000</v>
      </c>
      <c r="M16" s="69">
        <v>-42</v>
      </c>
      <c r="N16" s="69">
        <v>-5711900</v>
      </c>
      <c r="O16" s="69">
        <v>-5811000</v>
      </c>
      <c r="P16" s="69">
        <v>1335100</v>
      </c>
      <c r="Q16" s="69">
        <v>1661600</v>
      </c>
      <c r="R16" s="69">
        <v>5157500</v>
      </c>
      <c r="S16" s="69">
        <v>0</v>
      </c>
      <c r="T16" s="69">
        <v>813300</v>
      </c>
      <c r="U16" s="69">
        <v>863300</v>
      </c>
      <c r="V16" s="69">
        <v>707400</v>
      </c>
      <c r="W16" s="69">
        <v>706900</v>
      </c>
      <c r="X16" s="69">
        <v>1238000</v>
      </c>
      <c r="Y16" s="69">
        <v>3262100</v>
      </c>
      <c r="Z16" s="69">
        <v>997000</v>
      </c>
      <c r="AA16" s="69">
        <v>896200</v>
      </c>
      <c r="AB16" s="69">
        <v>1054400</v>
      </c>
      <c r="AC16" s="69">
        <v>1263000</v>
      </c>
      <c r="AD16" s="69">
        <v>1220000</v>
      </c>
      <c r="AE16" s="69">
        <v>22778100</v>
      </c>
      <c r="AF16" s="69">
        <v>3392600</v>
      </c>
      <c r="AG16" s="69">
        <v>1384000</v>
      </c>
      <c r="AH16" s="69">
        <v>1138000</v>
      </c>
      <c r="AI16" s="69">
        <v>1969000</v>
      </c>
      <c r="AJ16" s="69">
        <v>462000</v>
      </c>
      <c r="AK16" s="69">
        <v>659000</v>
      </c>
      <c r="AL16" s="69">
        <v>3612000</v>
      </c>
      <c r="AM16" s="69">
        <v>1866000</v>
      </c>
      <c r="AN16" s="69">
        <v>1465100</v>
      </c>
      <c r="AO16" s="69">
        <v>329000</v>
      </c>
      <c r="AP16" s="69">
        <v>1624000</v>
      </c>
      <c r="AQ16" s="69">
        <v>673000</v>
      </c>
      <c r="AR16" s="69">
        <v>715500</v>
      </c>
      <c r="AS16" s="69">
        <v>3067400</v>
      </c>
      <c r="AT16" s="69">
        <v>2455500</v>
      </c>
      <c r="AU16" s="69"/>
      <c r="AW16" s="66">
        <f t="shared" si="5"/>
        <v>6819100</v>
      </c>
      <c r="AX16" s="66">
        <f t="shared" si="4"/>
        <v>7591000</v>
      </c>
      <c r="AY16" s="66">
        <f t="shared" si="4"/>
        <v>31601300</v>
      </c>
      <c r="AZ16" s="66">
        <f t="shared" si="4"/>
        <v>11090000</v>
      </c>
      <c r="BA16" s="66">
        <f t="shared" si="4"/>
        <v>10329500</v>
      </c>
      <c r="BC16" s="66">
        <f t="shared" ca="1" si="6"/>
        <v>56570500</v>
      </c>
      <c r="BD16" s="66">
        <f t="shared" si="7"/>
        <v>66310500</v>
      </c>
    </row>
    <row r="17" spans="1:56" x14ac:dyDescent="0.3">
      <c r="A17" s="6" t="str">
        <f>IFERROR(VLOOKUP($F17,매장구분!$B:$K,2,0),"")</f>
        <v>파트너채널팀</v>
      </c>
      <c r="B17" s="6" t="str">
        <f>IFERROR(VLOOKUP($F17,매장구분!$B:$K,3,0),"")</f>
        <v>국내</v>
      </c>
      <c r="C17" s="6" t="str">
        <f>IFERROR(VLOOKUP($F17,매장구분!$B:$K,5,0),"")</f>
        <v>백화점</v>
      </c>
      <c r="D17" s="6" t="str">
        <f>IFERROR(VLOOKUP($F17,매장구분!$B:$Z,9,0),"")</f>
        <v>신세계센텀</v>
      </c>
      <c r="E17" s="69" t="s">
        <v>301</v>
      </c>
      <c r="F17" s="69" t="s">
        <v>302</v>
      </c>
      <c r="G17" s="69">
        <v>1606</v>
      </c>
      <c r="H17" s="69">
        <v>172284500</v>
      </c>
      <c r="I17" s="69">
        <v>181041900</v>
      </c>
      <c r="J17" s="69">
        <v>1647</v>
      </c>
      <c r="K17" s="69">
        <v>176678400</v>
      </c>
      <c r="L17" s="69">
        <v>186218900</v>
      </c>
      <c r="M17" s="69">
        <v>-41</v>
      </c>
      <c r="N17" s="69">
        <v>-4393900</v>
      </c>
      <c r="O17" s="69">
        <v>-5177000</v>
      </c>
      <c r="P17" s="69">
        <v>2063000</v>
      </c>
      <c r="Q17" s="69">
        <v>4016400</v>
      </c>
      <c r="R17" s="69">
        <v>5263900</v>
      </c>
      <c r="S17" s="69">
        <v>1220800</v>
      </c>
      <c r="T17" s="69">
        <v>1014800</v>
      </c>
      <c r="U17" s="69">
        <v>2633500</v>
      </c>
      <c r="V17" s="69">
        <v>29719400</v>
      </c>
      <c r="W17" s="69">
        <v>58138400</v>
      </c>
      <c r="X17" s="69">
        <v>3811000</v>
      </c>
      <c r="Y17" s="69">
        <v>3874700</v>
      </c>
      <c r="Z17" s="69">
        <v>1239500</v>
      </c>
      <c r="AA17" s="69">
        <v>1042500</v>
      </c>
      <c r="AB17" s="69">
        <v>1508000</v>
      </c>
      <c r="AC17" s="69">
        <v>1355000</v>
      </c>
      <c r="AD17" s="69">
        <v>1450500</v>
      </c>
      <c r="AE17" s="69">
        <v>3217700</v>
      </c>
      <c r="AF17" s="69">
        <v>2876900</v>
      </c>
      <c r="AG17" s="69">
        <v>0</v>
      </c>
      <c r="AH17" s="69">
        <v>2355000</v>
      </c>
      <c r="AI17" s="69">
        <v>3373000</v>
      </c>
      <c r="AJ17" s="69">
        <v>2245500</v>
      </c>
      <c r="AK17" s="69">
        <v>2973600</v>
      </c>
      <c r="AL17" s="69">
        <v>7513900</v>
      </c>
      <c r="AM17" s="69">
        <v>6142700</v>
      </c>
      <c r="AN17" s="69">
        <v>1640300</v>
      </c>
      <c r="AO17" s="69">
        <v>2369000</v>
      </c>
      <c r="AP17" s="69">
        <v>2754400</v>
      </c>
      <c r="AQ17" s="69">
        <v>4080000</v>
      </c>
      <c r="AR17" s="69">
        <v>2961700</v>
      </c>
      <c r="AS17" s="69">
        <v>4887100</v>
      </c>
      <c r="AT17" s="69">
        <v>4542300</v>
      </c>
      <c r="AU17" s="69"/>
      <c r="AW17" s="66">
        <f t="shared" si="5"/>
        <v>9280300</v>
      </c>
      <c r="AX17" s="66">
        <f t="shared" si="4"/>
        <v>100412600</v>
      </c>
      <c r="AY17" s="66">
        <f t="shared" si="4"/>
        <v>12690100</v>
      </c>
      <c r="AZ17" s="66">
        <f t="shared" si="4"/>
        <v>24603700</v>
      </c>
      <c r="BA17" s="66">
        <f t="shared" si="4"/>
        <v>23234800</v>
      </c>
      <c r="BC17" s="66">
        <f t="shared" ca="1" si="6"/>
        <v>142907000</v>
      </c>
      <c r="BD17" s="66">
        <f t="shared" si="7"/>
        <v>167742200</v>
      </c>
    </row>
    <row r="18" spans="1:56" x14ac:dyDescent="0.3">
      <c r="A18" s="6" t="str">
        <f>IFERROR(VLOOKUP($F18,매장구분!$B:$K,2,0),"")</f>
        <v>파트너채널팀</v>
      </c>
      <c r="B18" s="6" t="str">
        <f>IFERROR(VLOOKUP($F18,매장구분!$B:$K,3,0),"")</f>
        <v>국내</v>
      </c>
      <c r="C18" s="6" t="str">
        <f>IFERROR(VLOOKUP($F18,매장구분!$B:$K,5,0),"")</f>
        <v>백화점</v>
      </c>
      <c r="D18" s="6" t="str">
        <f>IFERROR(VLOOKUP($F18,매장구분!$B:$Z,9,0),"")</f>
        <v>현대킨텍스</v>
      </c>
      <c r="E18" s="69" t="s">
        <v>442</v>
      </c>
      <c r="F18" s="69" t="s">
        <v>443</v>
      </c>
      <c r="G18" s="69">
        <v>704</v>
      </c>
      <c r="H18" s="69">
        <v>83820800</v>
      </c>
      <c r="I18" s="69">
        <v>86949000</v>
      </c>
      <c r="J18" s="69">
        <v>897</v>
      </c>
      <c r="K18" s="69">
        <v>118783400</v>
      </c>
      <c r="L18" s="69">
        <v>122817000</v>
      </c>
      <c r="M18" s="69">
        <v>-193</v>
      </c>
      <c r="N18" s="69">
        <v>-34962600</v>
      </c>
      <c r="O18" s="69">
        <v>-35868000</v>
      </c>
      <c r="P18" s="69">
        <v>685900</v>
      </c>
      <c r="Q18" s="69">
        <v>313200</v>
      </c>
      <c r="R18" s="69">
        <v>1712500</v>
      </c>
      <c r="S18" s="69">
        <v>323000</v>
      </c>
      <c r="T18" s="69">
        <v>1357600</v>
      </c>
      <c r="U18" s="69">
        <v>1807000</v>
      </c>
      <c r="V18" s="69">
        <v>3046400</v>
      </c>
      <c r="W18" s="69">
        <v>1700900</v>
      </c>
      <c r="X18" s="69">
        <v>1915300</v>
      </c>
      <c r="Y18" s="69">
        <v>3043800</v>
      </c>
      <c r="Z18" s="69">
        <v>0</v>
      </c>
      <c r="AA18" s="69">
        <v>3176800</v>
      </c>
      <c r="AB18" s="69">
        <v>581000</v>
      </c>
      <c r="AC18" s="69">
        <v>4868000</v>
      </c>
      <c r="AD18" s="69">
        <v>14639900</v>
      </c>
      <c r="AE18" s="69">
        <v>1513500</v>
      </c>
      <c r="AF18" s="69">
        <v>5985000</v>
      </c>
      <c r="AG18" s="69">
        <v>13386000</v>
      </c>
      <c r="AH18" s="69">
        <v>501000</v>
      </c>
      <c r="AI18" s="69">
        <v>587000</v>
      </c>
      <c r="AJ18" s="69">
        <v>1086000</v>
      </c>
      <c r="AK18" s="69">
        <v>966000</v>
      </c>
      <c r="AL18" s="69">
        <v>2289000</v>
      </c>
      <c r="AM18" s="69">
        <v>7378000</v>
      </c>
      <c r="AN18" s="69">
        <v>1040000</v>
      </c>
      <c r="AO18" s="69">
        <v>1401000</v>
      </c>
      <c r="AP18" s="69">
        <v>839000</v>
      </c>
      <c r="AQ18" s="69">
        <v>1032000</v>
      </c>
      <c r="AR18" s="69">
        <v>443000</v>
      </c>
      <c r="AS18" s="69">
        <v>2403000</v>
      </c>
      <c r="AT18" s="69">
        <v>3800000</v>
      </c>
      <c r="AU18" s="69"/>
      <c r="AW18" s="66">
        <f t="shared" si="5"/>
        <v>2025700</v>
      </c>
      <c r="AX18" s="66">
        <f t="shared" si="4"/>
        <v>13194000</v>
      </c>
      <c r="AY18" s="66">
        <f t="shared" si="4"/>
        <v>30764200</v>
      </c>
      <c r="AZ18" s="66">
        <f t="shared" si="4"/>
        <v>26193000</v>
      </c>
      <c r="BA18" s="66">
        <f t="shared" si="4"/>
        <v>10958000</v>
      </c>
      <c r="BC18" s="66">
        <f t="shared" ca="1" si="6"/>
        <v>65484800</v>
      </c>
      <c r="BD18" s="66">
        <f t="shared" si="7"/>
        <v>80020800</v>
      </c>
    </row>
    <row r="19" spans="1:56" x14ac:dyDescent="0.3">
      <c r="A19" s="6" t="str">
        <f>IFERROR(VLOOKUP($F19,매장구분!$B:$K,2,0),"")</f>
        <v>파트너채널팀</v>
      </c>
      <c r="B19" s="6" t="str">
        <f>IFERROR(VLOOKUP($F19,매장구분!$B:$K,3,0),"")</f>
        <v>국내</v>
      </c>
      <c r="C19" s="6" t="str">
        <f>IFERROR(VLOOKUP($F19,매장구분!$B:$K,5,0),"")</f>
        <v>백화점</v>
      </c>
      <c r="D19" s="6" t="str">
        <f>IFERROR(VLOOKUP($F19,매장구분!$B:$Z,9,0),"")</f>
        <v>갤러리아센터시티</v>
      </c>
      <c r="E19" s="69" t="s">
        <v>259</v>
      </c>
      <c r="F19" s="69" t="s">
        <v>260</v>
      </c>
      <c r="G19" s="69">
        <v>558</v>
      </c>
      <c r="H19" s="69">
        <v>69132400</v>
      </c>
      <c r="I19" s="69">
        <v>70663000</v>
      </c>
      <c r="J19" s="69">
        <v>591</v>
      </c>
      <c r="K19" s="69">
        <v>74405600</v>
      </c>
      <c r="L19" s="69">
        <v>76004000</v>
      </c>
      <c r="M19" s="69">
        <v>-33</v>
      </c>
      <c r="N19" s="69">
        <v>-5273200</v>
      </c>
      <c r="O19" s="69">
        <v>-5341000</v>
      </c>
      <c r="P19" s="69">
        <v>1360300</v>
      </c>
      <c r="Q19" s="69">
        <v>1555000</v>
      </c>
      <c r="R19" s="69">
        <v>2639000</v>
      </c>
      <c r="S19" s="69">
        <v>740000</v>
      </c>
      <c r="T19" s="69">
        <v>939000</v>
      </c>
      <c r="U19" s="69">
        <v>1099000</v>
      </c>
      <c r="V19" s="69">
        <v>603100</v>
      </c>
      <c r="W19" s="69">
        <v>899200</v>
      </c>
      <c r="X19" s="69">
        <v>2720900</v>
      </c>
      <c r="Y19" s="69">
        <v>1358000</v>
      </c>
      <c r="Z19" s="69">
        <v>1414000</v>
      </c>
      <c r="AA19" s="69">
        <v>1185000</v>
      </c>
      <c r="AB19" s="69">
        <v>2176000</v>
      </c>
      <c r="AC19" s="69">
        <v>3207000</v>
      </c>
      <c r="AD19" s="69">
        <v>1597000</v>
      </c>
      <c r="AE19" s="69">
        <v>2474000</v>
      </c>
      <c r="AF19" s="69">
        <v>2576900</v>
      </c>
      <c r="AG19" s="69">
        <v>9162000</v>
      </c>
      <c r="AH19" s="69">
        <v>789000</v>
      </c>
      <c r="AI19" s="69">
        <v>1210000</v>
      </c>
      <c r="AJ19" s="69">
        <v>1168000</v>
      </c>
      <c r="AK19" s="69">
        <v>1519000</v>
      </c>
      <c r="AL19" s="69">
        <v>6393000</v>
      </c>
      <c r="AM19" s="69">
        <v>13250000</v>
      </c>
      <c r="AN19" s="69">
        <v>915000</v>
      </c>
      <c r="AO19" s="69">
        <v>900000</v>
      </c>
      <c r="AP19" s="69">
        <v>206000</v>
      </c>
      <c r="AQ19" s="69">
        <v>396000</v>
      </c>
      <c r="AR19" s="69">
        <v>747000</v>
      </c>
      <c r="AS19" s="69">
        <v>1408000</v>
      </c>
      <c r="AT19" s="69">
        <v>2526000</v>
      </c>
      <c r="AU19" s="69"/>
      <c r="AW19" s="66">
        <f t="shared" si="5"/>
        <v>4194000</v>
      </c>
      <c r="AX19" s="66">
        <f t="shared" si="4"/>
        <v>8359200</v>
      </c>
      <c r="AY19" s="66">
        <f t="shared" si="4"/>
        <v>14629900</v>
      </c>
      <c r="AZ19" s="66">
        <f t="shared" si="4"/>
        <v>33491000</v>
      </c>
      <c r="BA19" s="66">
        <f t="shared" si="4"/>
        <v>7098000</v>
      </c>
      <c r="BC19" s="66">
        <f t="shared" ca="1" si="6"/>
        <v>48784400</v>
      </c>
      <c r="BD19" s="66">
        <f t="shared" si="7"/>
        <v>66606400</v>
      </c>
    </row>
    <row r="20" spans="1:56" x14ac:dyDescent="0.3">
      <c r="A20" s="6" t="str">
        <f>IFERROR(VLOOKUP($F20,매장구분!$B:$K,2,0),"")</f>
        <v>파트너채널팀</v>
      </c>
      <c r="B20" s="6" t="str">
        <f>IFERROR(VLOOKUP($F20,매장구분!$B:$K,3,0),"")</f>
        <v>국내</v>
      </c>
      <c r="C20" s="6" t="str">
        <f>IFERROR(VLOOKUP($F20,매장구분!$B:$K,5,0),"")</f>
        <v>백화점</v>
      </c>
      <c r="D20" s="6" t="str">
        <f>IFERROR(VLOOKUP($F20,매장구분!$B:$Z,9,0),"")</f>
        <v>현대대구</v>
      </c>
      <c r="E20" s="69" t="s">
        <v>540</v>
      </c>
      <c r="F20" s="69" t="s">
        <v>541</v>
      </c>
      <c r="G20" s="69">
        <v>1118</v>
      </c>
      <c r="H20" s="69">
        <v>107081430</v>
      </c>
      <c r="I20" s="69">
        <v>111625500</v>
      </c>
      <c r="J20" s="69">
        <v>1420</v>
      </c>
      <c r="K20" s="69">
        <v>158208930</v>
      </c>
      <c r="L20" s="69">
        <v>163645500</v>
      </c>
      <c r="M20" s="69">
        <v>-302</v>
      </c>
      <c r="N20" s="69">
        <v>-51127500</v>
      </c>
      <c r="O20" s="69">
        <v>-52020000</v>
      </c>
      <c r="P20" s="69">
        <v>2528900</v>
      </c>
      <c r="Q20" s="69">
        <v>4457100</v>
      </c>
      <c r="R20" s="69">
        <v>4176000</v>
      </c>
      <c r="S20" s="69">
        <v>1975100</v>
      </c>
      <c r="T20" s="69">
        <v>1790700</v>
      </c>
      <c r="U20" s="69">
        <v>1371100</v>
      </c>
      <c r="V20" s="69">
        <v>2351900</v>
      </c>
      <c r="W20" s="69">
        <v>2219500</v>
      </c>
      <c r="X20" s="69">
        <v>4858700</v>
      </c>
      <c r="Y20" s="69">
        <v>6204300</v>
      </c>
      <c r="Z20" s="69">
        <v>0</v>
      </c>
      <c r="AA20" s="69">
        <v>3519000</v>
      </c>
      <c r="AB20" s="69">
        <v>4031600</v>
      </c>
      <c r="AC20" s="69">
        <v>3593700</v>
      </c>
      <c r="AD20" s="69">
        <v>2678000</v>
      </c>
      <c r="AE20" s="69">
        <v>5650520</v>
      </c>
      <c r="AF20" s="69">
        <v>3892100</v>
      </c>
      <c r="AG20" s="69">
        <v>4043000</v>
      </c>
      <c r="AH20" s="69">
        <v>2982700</v>
      </c>
      <c r="AI20" s="69">
        <v>2382100</v>
      </c>
      <c r="AJ20" s="69">
        <v>3045700</v>
      </c>
      <c r="AK20" s="69">
        <v>2612000</v>
      </c>
      <c r="AL20" s="69">
        <v>6950010</v>
      </c>
      <c r="AM20" s="69">
        <v>5817000</v>
      </c>
      <c r="AN20" s="69">
        <v>4446300</v>
      </c>
      <c r="AO20" s="69">
        <v>1589900</v>
      </c>
      <c r="AP20" s="69">
        <v>2466600</v>
      </c>
      <c r="AQ20" s="69">
        <v>3457000</v>
      </c>
      <c r="AR20" s="69">
        <v>2521700</v>
      </c>
      <c r="AS20" s="69">
        <v>2874500</v>
      </c>
      <c r="AT20" s="69">
        <v>6594700</v>
      </c>
      <c r="AU20" s="69"/>
      <c r="AW20" s="66">
        <f t="shared" si="5"/>
        <v>8633100</v>
      </c>
      <c r="AX20" s="66">
        <f t="shared" si="4"/>
        <v>20771300</v>
      </c>
      <c r="AY20" s="66">
        <f t="shared" si="4"/>
        <v>23364920</v>
      </c>
      <c r="AZ20" s="66">
        <f t="shared" si="4"/>
        <v>27832510</v>
      </c>
      <c r="BA20" s="66">
        <f t="shared" si="4"/>
        <v>23950700</v>
      </c>
      <c r="BC20" s="66">
        <f t="shared" ca="1" si="6"/>
        <v>77313730</v>
      </c>
      <c r="BD20" s="66">
        <f t="shared" si="7"/>
        <v>100486730</v>
      </c>
    </row>
    <row r="21" spans="1:56" x14ac:dyDescent="0.3">
      <c r="A21" s="6" t="str">
        <f>IFERROR(VLOOKUP($F21,매장구분!$B:$K,2,0),"")</f>
        <v>파트너채널팀</v>
      </c>
      <c r="B21" s="6" t="str">
        <f>IFERROR(VLOOKUP($F21,매장구분!$B:$K,3,0),"")</f>
        <v>국내</v>
      </c>
      <c r="C21" s="6" t="str">
        <f>IFERROR(VLOOKUP($F21,매장구분!$B:$K,5,0),"")</f>
        <v>백화점</v>
      </c>
      <c r="D21" s="6" t="str">
        <f>IFERROR(VLOOKUP($F21,매장구분!$B:$Z,9,0),"")</f>
        <v>현대울산</v>
      </c>
      <c r="E21" s="69" t="s">
        <v>344</v>
      </c>
      <c r="F21" s="69" t="s">
        <v>345</v>
      </c>
      <c r="G21" s="69">
        <v>1370</v>
      </c>
      <c r="H21" s="69">
        <v>180715300</v>
      </c>
      <c r="I21" s="69">
        <v>191857000</v>
      </c>
      <c r="J21" s="69">
        <v>1828</v>
      </c>
      <c r="K21" s="69">
        <v>257840400</v>
      </c>
      <c r="L21" s="69">
        <v>271604000</v>
      </c>
      <c r="M21" s="69">
        <v>-458</v>
      </c>
      <c r="N21" s="69">
        <v>-77125100</v>
      </c>
      <c r="O21" s="69">
        <v>-79747000</v>
      </c>
      <c r="P21" s="69">
        <v>5021100</v>
      </c>
      <c r="Q21" s="69">
        <v>6685900</v>
      </c>
      <c r="R21" s="69">
        <v>7014700</v>
      </c>
      <c r="S21" s="69">
        <v>4501800</v>
      </c>
      <c r="T21" s="69">
        <v>2134800</v>
      </c>
      <c r="U21" s="69">
        <v>6980400</v>
      </c>
      <c r="V21" s="69">
        <v>1688600</v>
      </c>
      <c r="W21" s="69">
        <v>7072400</v>
      </c>
      <c r="X21" s="69">
        <v>5000100</v>
      </c>
      <c r="Y21" s="69">
        <v>5017700</v>
      </c>
      <c r="Z21" s="69">
        <v>0</v>
      </c>
      <c r="AA21" s="69">
        <v>12140200</v>
      </c>
      <c r="AB21" s="69">
        <v>7802800</v>
      </c>
      <c r="AC21" s="69">
        <v>1320100</v>
      </c>
      <c r="AD21" s="69">
        <v>7400600</v>
      </c>
      <c r="AE21" s="69">
        <v>8307300</v>
      </c>
      <c r="AF21" s="69">
        <v>6386000</v>
      </c>
      <c r="AG21" s="69">
        <v>4261000</v>
      </c>
      <c r="AH21" s="69">
        <v>4005300</v>
      </c>
      <c r="AI21" s="69">
        <v>11743200</v>
      </c>
      <c r="AJ21" s="69">
        <v>608700</v>
      </c>
      <c r="AK21" s="69">
        <v>9016300</v>
      </c>
      <c r="AL21" s="69">
        <v>5367300</v>
      </c>
      <c r="AM21" s="69">
        <v>7873000</v>
      </c>
      <c r="AN21" s="69">
        <v>4456000</v>
      </c>
      <c r="AO21" s="69">
        <v>1406000</v>
      </c>
      <c r="AP21" s="69">
        <v>12561000</v>
      </c>
      <c r="AQ21" s="69">
        <v>9083200</v>
      </c>
      <c r="AR21" s="69">
        <v>5177800</v>
      </c>
      <c r="AS21" s="69">
        <v>4639000</v>
      </c>
      <c r="AT21" s="69">
        <v>6043000</v>
      </c>
      <c r="AU21" s="69"/>
      <c r="AW21" s="66">
        <f t="shared" si="5"/>
        <v>13700600</v>
      </c>
      <c r="AX21" s="66">
        <f t="shared" si="4"/>
        <v>32395800</v>
      </c>
      <c r="AY21" s="66">
        <f t="shared" si="4"/>
        <v>43357000</v>
      </c>
      <c r="AZ21" s="66">
        <f t="shared" si="4"/>
        <v>42874800</v>
      </c>
      <c r="BA21" s="66">
        <f t="shared" si="4"/>
        <v>43366000</v>
      </c>
      <c r="BC21" s="66">
        <f t="shared" ca="1" si="6"/>
        <v>129476300</v>
      </c>
      <c r="BD21" s="66">
        <f t="shared" si="7"/>
        <v>174672300</v>
      </c>
    </row>
    <row r="22" spans="1:56" x14ac:dyDescent="0.3">
      <c r="A22" s="6" t="str">
        <f>IFERROR(VLOOKUP($F22,매장구분!$B:$K,2,0),"")</f>
        <v>파트너채널팀</v>
      </c>
      <c r="B22" s="6" t="str">
        <f>IFERROR(VLOOKUP($F22,매장구분!$B:$K,3,0),"")</f>
        <v>국내</v>
      </c>
      <c r="C22" s="6" t="str">
        <f>IFERROR(VLOOKUP($F22,매장구분!$B:$K,5,0),"")</f>
        <v>백화점</v>
      </c>
      <c r="D22" s="6" t="str">
        <f>IFERROR(VLOOKUP($F22,매장구분!$B:$Z,9,0),"")</f>
        <v>롯데김포</v>
      </c>
      <c r="E22" s="69" t="s">
        <v>190</v>
      </c>
      <c r="F22" s="69" t="s">
        <v>191</v>
      </c>
      <c r="G22" s="69">
        <v>1426</v>
      </c>
      <c r="H22" s="69">
        <v>137687810</v>
      </c>
      <c r="I22" s="69">
        <v>139736900</v>
      </c>
      <c r="J22" s="69">
        <v>1538</v>
      </c>
      <c r="K22" s="69">
        <v>161123810</v>
      </c>
      <c r="L22" s="69">
        <v>163222900</v>
      </c>
      <c r="M22" s="69">
        <v>-112</v>
      </c>
      <c r="N22" s="69">
        <v>-23436000</v>
      </c>
      <c r="O22" s="69">
        <v>-23486000</v>
      </c>
      <c r="P22" s="69">
        <v>3238200</v>
      </c>
      <c r="Q22" s="69">
        <v>4237400</v>
      </c>
      <c r="R22" s="69">
        <v>5834200</v>
      </c>
      <c r="S22" s="69">
        <v>0</v>
      </c>
      <c r="T22" s="69">
        <v>3949700</v>
      </c>
      <c r="U22" s="69">
        <v>2845500</v>
      </c>
      <c r="V22" s="69">
        <v>3430000</v>
      </c>
      <c r="W22" s="69">
        <v>6133200</v>
      </c>
      <c r="X22" s="69">
        <v>5314200</v>
      </c>
      <c r="Y22" s="69">
        <v>7888500</v>
      </c>
      <c r="Z22" s="69">
        <v>2004000</v>
      </c>
      <c r="AA22" s="69">
        <v>2312000</v>
      </c>
      <c r="AB22" s="69">
        <v>1662000</v>
      </c>
      <c r="AC22" s="69">
        <v>3346800</v>
      </c>
      <c r="AD22" s="69">
        <v>4614300</v>
      </c>
      <c r="AE22" s="69">
        <v>5846000</v>
      </c>
      <c r="AF22" s="69">
        <v>8426000</v>
      </c>
      <c r="AG22" s="69">
        <v>2187000</v>
      </c>
      <c r="AH22" s="69">
        <v>2035000</v>
      </c>
      <c r="AI22" s="69">
        <v>1992000</v>
      </c>
      <c r="AJ22" s="69">
        <v>4720200</v>
      </c>
      <c r="AK22" s="69">
        <v>1693510</v>
      </c>
      <c r="AL22" s="69">
        <v>8836000</v>
      </c>
      <c r="AM22" s="69">
        <v>9882300</v>
      </c>
      <c r="AN22" s="69">
        <v>1496000</v>
      </c>
      <c r="AO22" s="69">
        <v>3622600</v>
      </c>
      <c r="AP22" s="69">
        <v>4495000</v>
      </c>
      <c r="AQ22" s="69">
        <v>2164000</v>
      </c>
      <c r="AR22" s="69">
        <v>4323000</v>
      </c>
      <c r="AS22" s="69">
        <v>8116000</v>
      </c>
      <c r="AT22" s="69">
        <v>11043200</v>
      </c>
      <c r="AU22" s="69"/>
      <c r="AW22" s="66">
        <f t="shared" si="5"/>
        <v>10071600</v>
      </c>
      <c r="AX22" s="66">
        <f t="shared" si="4"/>
        <v>29561100</v>
      </c>
      <c r="AY22" s="66">
        <f t="shared" si="4"/>
        <v>28211100</v>
      </c>
      <c r="AZ22" s="66">
        <f t="shared" si="4"/>
        <v>31346010</v>
      </c>
      <c r="BA22" s="66">
        <f t="shared" si="4"/>
        <v>35259800</v>
      </c>
      <c r="BC22" s="66">
        <f t="shared" ca="1" si="6"/>
        <v>92545710</v>
      </c>
      <c r="BD22" s="66">
        <f t="shared" si="7"/>
        <v>126644610</v>
      </c>
    </row>
    <row r="23" spans="1:56" x14ac:dyDescent="0.3">
      <c r="A23" s="6" t="str">
        <f>IFERROR(VLOOKUP($F23,매장구분!$B:$K,2,0),"")</f>
        <v>파트너채널팀</v>
      </c>
      <c r="B23" s="6" t="str">
        <f>IFERROR(VLOOKUP($F23,매장구분!$B:$K,3,0),"")</f>
        <v>국내</v>
      </c>
      <c r="C23" s="6" t="str">
        <f>IFERROR(VLOOKUP($F23,매장구분!$B:$K,5,0),"")</f>
        <v>백화점</v>
      </c>
      <c r="D23" s="6" t="str">
        <f>IFERROR(VLOOKUP($F23,매장구분!$B:$Z,9,0),"")</f>
        <v>롯데평촌</v>
      </c>
      <c r="E23" s="69" t="s">
        <v>412</v>
      </c>
      <c r="F23" s="69" t="s">
        <v>413</v>
      </c>
      <c r="G23" s="69">
        <v>1465</v>
      </c>
      <c r="H23" s="69">
        <v>181372500</v>
      </c>
      <c r="I23" s="69">
        <v>189271700</v>
      </c>
      <c r="J23" s="69">
        <v>1697</v>
      </c>
      <c r="K23" s="69">
        <v>228712500</v>
      </c>
      <c r="L23" s="69">
        <v>236916700</v>
      </c>
      <c r="M23" s="69">
        <v>-232</v>
      </c>
      <c r="N23" s="69">
        <v>-47340000</v>
      </c>
      <c r="O23" s="69">
        <v>-47645000</v>
      </c>
      <c r="P23" s="69">
        <v>836700</v>
      </c>
      <c r="Q23" s="69">
        <v>5223300</v>
      </c>
      <c r="R23" s="69">
        <v>4325100</v>
      </c>
      <c r="S23" s="69">
        <v>0</v>
      </c>
      <c r="T23" s="69">
        <v>4364500</v>
      </c>
      <c r="U23" s="69">
        <v>6603900</v>
      </c>
      <c r="V23" s="69">
        <v>6496500</v>
      </c>
      <c r="W23" s="69">
        <v>6659900</v>
      </c>
      <c r="X23" s="69">
        <v>13078100</v>
      </c>
      <c r="Y23" s="69">
        <v>13439300</v>
      </c>
      <c r="Z23" s="69">
        <v>2354800</v>
      </c>
      <c r="AA23" s="69">
        <v>1796000</v>
      </c>
      <c r="AB23" s="69">
        <v>6628000</v>
      </c>
      <c r="AC23" s="69">
        <v>7201400</v>
      </c>
      <c r="AD23" s="69">
        <v>7834600</v>
      </c>
      <c r="AE23" s="69">
        <v>7013000</v>
      </c>
      <c r="AF23" s="69">
        <v>12126900</v>
      </c>
      <c r="AG23" s="69">
        <v>837300</v>
      </c>
      <c r="AH23" s="69">
        <v>2356000</v>
      </c>
      <c r="AI23" s="69">
        <v>5322000</v>
      </c>
      <c r="AJ23" s="69">
        <v>6581300</v>
      </c>
      <c r="AK23" s="69">
        <v>7612700</v>
      </c>
      <c r="AL23" s="69">
        <v>10151400</v>
      </c>
      <c r="AM23" s="69">
        <v>10964900</v>
      </c>
      <c r="AN23" s="69">
        <v>666200</v>
      </c>
      <c r="AO23" s="69">
        <v>1928000</v>
      </c>
      <c r="AP23" s="69">
        <v>1411100</v>
      </c>
      <c r="AQ23" s="69">
        <v>906000</v>
      </c>
      <c r="AR23" s="69">
        <v>2809300</v>
      </c>
      <c r="AS23" s="69">
        <v>10147600</v>
      </c>
      <c r="AT23" s="69">
        <v>13696700</v>
      </c>
      <c r="AU23" s="69"/>
      <c r="AW23" s="66">
        <f t="shared" si="5"/>
        <v>9548400</v>
      </c>
      <c r="AX23" s="66">
        <f t="shared" si="4"/>
        <v>50642200</v>
      </c>
      <c r="AY23" s="66">
        <f t="shared" si="4"/>
        <v>44954700</v>
      </c>
      <c r="AZ23" s="66">
        <f t="shared" si="4"/>
        <v>43825600</v>
      </c>
      <c r="BA23" s="66">
        <f t="shared" si="4"/>
        <v>31564900</v>
      </c>
      <c r="BC23" s="66">
        <f t="shared" ca="1" si="6"/>
        <v>138842700</v>
      </c>
      <c r="BD23" s="66">
        <f t="shared" si="7"/>
        <v>167675800</v>
      </c>
    </row>
    <row r="24" spans="1:56" x14ac:dyDescent="0.3">
      <c r="A24" s="6" t="str">
        <f>IFERROR(VLOOKUP($F24,매장구분!$B:$K,2,0),"")</f>
        <v>파트너채널팀</v>
      </c>
      <c r="B24" s="6" t="str">
        <f>IFERROR(VLOOKUP($F24,매장구분!$B:$K,3,0),"")</f>
        <v>국내</v>
      </c>
      <c r="C24" s="6" t="str">
        <f>IFERROR(VLOOKUP($F24,매장구분!$B:$K,5,0),"")</f>
        <v>백화점</v>
      </c>
      <c r="D24" s="6" t="str">
        <f>IFERROR(VLOOKUP($F24,매장구분!$B:$Z,9,0),"")</f>
        <v>AK원주</v>
      </c>
      <c r="E24" s="69" t="s">
        <v>396</v>
      </c>
      <c r="F24" s="69" t="s">
        <v>397</v>
      </c>
      <c r="G24" s="69">
        <v>1095</v>
      </c>
      <c r="H24" s="69">
        <v>151325400</v>
      </c>
      <c r="I24" s="69">
        <v>163380900</v>
      </c>
      <c r="J24" s="69">
        <v>1329</v>
      </c>
      <c r="K24" s="69">
        <v>207385400</v>
      </c>
      <c r="L24" s="69">
        <v>219569900</v>
      </c>
      <c r="M24" s="69">
        <v>-234</v>
      </c>
      <c r="N24" s="69">
        <v>-56060000</v>
      </c>
      <c r="O24" s="69">
        <v>-56189000</v>
      </c>
      <c r="P24" s="69">
        <v>3219100</v>
      </c>
      <c r="Q24" s="69">
        <v>5719100</v>
      </c>
      <c r="R24" s="69">
        <v>7766000</v>
      </c>
      <c r="S24" s="69">
        <v>2159900</v>
      </c>
      <c r="T24" s="69">
        <v>3936200</v>
      </c>
      <c r="U24" s="69">
        <v>1464600</v>
      </c>
      <c r="V24" s="69">
        <v>1349200</v>
      </c>
      <c r="W24" s="69">
        <v>1707300</v>
      </c>
      <c r="X24" s="69">
        <v>15753200</v>
      </c>
      <c r="Y24" s="69">
        <v>11718500</v>
      </c>
      <c r="Z24" s="69">
        <v>2081300</v>
      </c>
      <c r="AA24" s="69">
        <v>5392800</v>
      </c>
      <c r="AB24" s="69">
        <v>2102200</v>
      </c>
      <c r="AC24" s="69">
        <v>3755100</v>
      </c>
      <c r="AD24" s="69">
        <v>1204900</v>
      </c>
      <c r="AE24" s="69">
        <v>7911800</v>
      </c>
      <c r="AF24" s="69">
        <v>10301100</v>
      </c>
      <c r="AG24" s="69">
        <v>1237300</v>
      </c>
      <c r="AH24" s="69">
        <v>4869400</v>
      </c>
      <c r="AI24" s="69">
        <v>4240400</v>
      </c>
      <c r="AJ24" s="69">
        <v>5308800</v>
      </c>
      <c r="AK24" s="69">
        <v>2534700</v>
      </c>
      <c r="AL24" s="69">
        <v>4911300</v>
      </c>
      <c r="AM24" s="69">
        <v>14036800</v>
      </c>
      <c r="AN24" s="69">
        <v>1718800</v>
      </c>
      <c r="AO24" s="69">
        <v>1444200</v>
      </c>
      <c r="AP24" s="69">
        <v>3850000</v>
      </c>
      <c r="AQ24" s="69">
        <v>802200</v>
      </c>
      <c r="AR24" s="69">
        <v>902500</v>
      </c>
      <c r="AS24" s="69">
        <v>6152900</v>
      </c>
      <c r="AT24" s="69">
        <v>11773800</v>
      </c>
      <c r="AU24" s="69"/>
      <c r="AW24" s="66">
        <f t="shared" si="5"/>
        <v>13485100</v>
      </c>
      <c r="AX24" s="66">
        <f t="shared" si="4"/>
        <v>38088900</v>
      </c>
      <c r="AY24" s="66">
        <f t="shared" si="4"/>
        <v>32749200</v>
      </c>
      <c r="AZ24" s="66">
        <f t="shared" si="4"/>
        <v>37138700</v>
      </c>
      <c r="BA24" s="66">
        <f t="shared" si="4"/>
        <v>26644400</v>
      </c>
      <c r="BC24" s="66">
        <f t="shared" ca="1" si="6"/>
        <v>110644200</v>
      </c>
      <c r="BD24" s="66">
        <f t="shared" si="7"/>
        <v>139551600</v>
      </c>
    </row>
    <row r="25" spans="1:56" x14ac:dyDescent="0.3">
      <c r="A25" s="6" t="str">
        <f>IFERROR(VLOOKUP($F25,매장구분!$B:$K,2,0),"")</f>
        <v>파트너채널팀</v>
      </c>
      <c r="B25" s="6" t="str">
        <f>IFERROR(VLOOKUP($F25,매장구분!$B:$K,3,0),"")</f>
        <v>국내</v>
      </c>
      <c r="C25" s="6" t="str">
        <f>IFERROR(VLOOKUP($F25,매장구분!$B:$K,5,0),"")</f>
        <v>백화점</v>
      </c>
      <c r="D25" s="6" t="str">
        <f>IFERROR(VLOOKUP($F25,매장구분!$B:$Z,9,0),"")</f>
        <v>신세계의정부</v>
      </c>
      <c r="E25" s="69" t="s">
        <v>438</v>
      </c>
      <c r="F25" s="69" t="s">
        <v>439</v>
      </c>
      <c r="G25" s="69">
        <v>989</v>
      </c>
      <c r="H25" s="69">
        <v>113652000</v>
      </c>
      <c r="I25" s="69">
        <v>115732000</v>
      </c>
      <c r="J25" s="69">
        <v>1075</v>
      </c>
      <c r="K25" s="69">
        <v>124885400</v>
      </c>
      <c r="L25" s="69">
        <v>127138800</v>
      </c>
      <c r="M25" s="69">
        <v>-86</v>
      </c>
      <c r="N25" s="69">
        <v>-11233400</v>
      </c>
      <c r="O25" s="69">
        <v>-11406800</v>
      </c>
      <c r="P25" s="69">
        <v>937900</v>
      </c>
      <c r="Q25" s="69">
        <v>4410200</v>
      </c>
      <c r="R25" s="69">
        <v>4543900</v>
      </c>
      <c r="S25" s="69">
        <v>1765300</v>
      </c>
      <c r="T25" s="69">
        <v>1359500</v>
      </c>
      <c r="U25" s="69">
        <v>1260400</v>
      </c>
      <c r="V25" s="69">
        <v>3074700</v>
      </c>
      <c r="W25" s="69">
        <v>2848400</v>
      </c>
      <c r="X25" s="69">
        <v>4933000</v>
      </c>
      <c r="Y25" s="69">
        <v>5100000</v>
      </c>
      <c r="Z25" s="69">
        <v>1262000</v>
      </c>
      <c r="AA25" s="69">
        <v>513900</v>
      </c>
      <c r="AB25" s="69">
        <v>1785000</v>
      </c>
      <c r="AC25" s="69">
        <v>2359000</v>
      </c>
      <c r="AD25" s="69">
        <v>3482400</v>
      </c>
      <c r="AE25" s="69">
        <v>4940700</v>
      </c>
      <c r="AF25" s="69">
        <v>8945800</v>
      </c>
      <c r="AG25" s="69">
        <v>0</v>
      </c>
      <c r="AH25" s="69">
        <v>2601200</v>
      </c>
      <c r="AI25" s="69">
        <v>3646200</v>
      </c>
      <c r="AJ25" s="69">
        <v>2292200</v>
      </c>
      <c r="AK25" s="69">
        <v>2877000</v>
      </c>
      <c r="AL25" s="69">
        <v>7020000</v>
      </c>
      <c r="AM25" s="69">
        <v>11522000</v>
      </c>
      <c r="AN25" s="69">
        <v>1287000</v>
      </c>
      <c r="AO25" s="69">
        <v>2575000</v>
      </c>
      <c r="AP25" s="69">
        <v>1614000</v>
      </c>
      <c r="AQ25" s="69">
        <v>4322000</v>
      </c>
      <c r="AR25" s="69">
        <v>4534000</v>
      </c>
      <c r="AS25" s="69">
        <v>6725000</v>
      </c>
      <c r="AT25" s="69">
        <v>9114300</v>
      </c>
      <c r="AU25" s="69"/>
      <c r="AW25" s="66">
        <f t="shared" si="5"/>
        <v>8954100</v>
      </c>
      <c r="AX25" s="66">
        <f t="shared" si="4"/>
        <v>20341300</v>
      </c>
      <c r="AY25" s="66">
        <f t="shared" si="4"/>
        <v>23288800</v>
      </c>
      <c r="AZ25" s="66">
        <f t="shared" si="4"/>
        <v>29958600</v>
      </c>
      <c r="BA25" s="66">
        <f t="shared" si="4"/>
        <v>30171300</v>
      </c>
      <c r="BC25" s="66">
        <f t="shared" ca="1" si="6"/>
        <v>71958700</v>
      </c>
      <c r="BD25" s="66">
        <f t="shared" si="7"/>
        <v>104537700</v>
      </c>
    </row>
    <row r="26" spans="1:56" x14ac:dyDescent="0.3">
      <c r="A26" s="6" t="str">
        <f>IFERROR(VLOOKUP($F26,매장구분!$B:$K,2,0),"")</f>
        <v>파트너채널팀</v>
      </c>
      <c r="B26" s="6" t="str">
        <f>IFERROR(VLOOKUP($F26,매장구분!$B:$K,3,0),"")</f>
        <v>국내</v>
      </c>
      <c r="C26" s="6" t="str">
        <f>IFERROR(VLOOKUP($F26,매장구분!$B:$K,5,0),"")</f>
        <v>백화점</v>
      </c>
      <c r="D26" s="6" t="str">
        <f>IFERROR(VLOOKUP($F26,매장구분!$B:$Z,9,0),"")</f>
        <v>현대신촌</v>
      </c>
      <c r="E26" s="69" t="s">
        <v>297</v>
      </c>
      <c r="F26" s="69" t="s">
        <v>298</v>
      </c>
      <c r="G26" s="69">
        <v>1227</v>
      </c>
      <c r="H26" s="69">
        <v>150316300</v>
      </c>
      <c r="I26" s="69">
        <v>156600500</v>
      </c>
      <c r="J26" s="69">
        <v>1424</v>
      </c>
      <c r="K26" s="69">
        <v>214478300</v>
      </c>
      <c r="L26" s="69">
        <v>220772500</v>
      </c>
      <c r="M26" s="69">
        <v>-197</v>
      </c>
      <c r="N26" s="69">
        <v>-64162000</v>
      </c>
      <c r="O26" s="69">
        <v>-64172000</v>
      </c>
      <c r="P26" s="69">
        <v>5750500</v>
      </c>
      <c r="Q26" s="69">
        <v>11809200</v>
      </c>
      <c r="R26" s="69">
        <v>12035100</v>
      </c>
      <c r="S26" s="69">
        <v>1611000</v>
      </c>
      <c r="T26" s="69">
        <v>1144100</v>
      </c>
      <c r="U26" s="69">
        <v>10420700</v>
      </c>
      <c r="V26" s="69">
        <v>3030300</v>
      </c>
      <c r="W26" s="69">
        <v>1886700</v>
      </c>
      <c r="X26" s="69">
        <v>4652000</v>
      </c>
      <c r="Y26" s="69">
        <v>14125300</v>
      </c>
      <c r="Z26" s="69">
        <v>1756500</v>
      </c>
      <c r="AA26" s="69">
        <v>1207000</v>
      </c>
      <c r="AB26" s="69">
        <v>1484800</v>
      </c>
      <c r="AC26" s="69">
        <v>8027800</v>
      </c>
      <c r="AD26" s="69">
        <v>7930000</v>
      </c>
      <c r="AE26" s="69">
        <v>3687000</v>
      </c>
      <c r="AF26" s="69">
        <v>2870000</v>
      </c>
      <c r="AG26" s="69">
        <v>0</v>
      </c>
      <c r="AH26" s="69">
        <v>1975000</v>
      </c>
      <c r="AI26" s="69">
        <v>6682800</v>
      </c>
      <c r="AJ26" s="69">
        <v>3673500</v>
      </c>
      <c r="AK26" s="69">
        <v>1152000</v>
      </c>
      <c r="AL26" s="69">
        <v>2400000</v>
      </c>
      <c r="AM26" s="69">
        <v>8471500</v>
      </c>
      <c r="AN26" s="69">
        <v>797000</v>
      </c>
      <c r="AO26" s="69">
        <v>1433000</v>
      </c>
      <c r="AP26" s="69">
        <v>3597000</v>
      </c>
      <c r="AQ26" s="69">
        <v>1366000</v>
      </c>
      <c r="AR26" s="69">
        <v>1345000</v>
      </c>
      <c r="AS26" s="69">
        <v>3087500</v>
      </c>
      <c r="AT26" s="69">
        <v>20908000</v>
      </c>
      <c r="AU26" s="69"/>
      <c r="AW26" s="66">
        <f t="shared" si="5"/>
        <v>23844300</v>
      </c>
      <c r="AX26" s="66">
        <f t="shared" si="4"/>
        <v>36870100</v>
      </c>
      <c r="AY26" s="66">
        <f t="shared" si="4"/>
        <v>26963100</v>
      </c>
      <c r="AZ26" s="66">
        <f t="shared" si="4"/>
        <v>24354800</v>
      </c>
      <c r="BA26" s="66">
        <f t="shared" si="4"/>
        <v>32533500</v>
      </c>
      <c r="BC26" s="66">
        <f t="shared" ca="1" si="6"/>
        <v>109311300</v>
      </c>
      <c r="BD26" s="66">
        <f t="shared" si="7"/>
        <v>129408300</v>
      </c>
    </row>
    <row r="27" spans="1:56" x14ac:dyDescent="0.3">
      <c r="A27" s="6" t="str">
        <f>IFERROR(VLOOKUP($F27,매장구분!$B:$K,2,0),"")</f>
        <v>파트너채널팀</v>
      </c>
      <c r="B27" s="6" t="str">
        <f>IFERROR(VLOOKUP($F27,매장구분!$B:$K,3,0),"")</f>
        <v>국내</v>
      </c>
      <c r="C27" s="6" t="str">
        <f>IFERROR(VLOOKUP($F27,매장구분!$B:$K,5,0),"")</f>
        <v>백화점</v>
      </c>
      <c r="D27" s="6" t="str">
        <f>IFERROR(VLOOKUP($F27,매장구분!$B:$Z,9,0),"")</f>
        <v>현대충청</v>
      </c>
      <c r="E27" s="69" t="s">
        <v>358</v>
      </c>
      <c r="F27" s="69" t="s">
        <v>359</v>
      </c>
      <c r="G27" s="69">
        <v>1562</v>
      </c>
      <c r="H27" s="69">
        <v>199147300</v>
      </c>
      <c r="I27" s="69">
        <v>209424000</v>
      </c>
      <c r="J27" s="69">
        <v>1888</v>
      </c>
      <c r="K27" s="69">
        <v>271205300</v>
      </c>
      <c r="L27" s="69">
        <v>281482000</v>
      </c>
      <c r="M27" s="69">
        <v>-326</v>
      </c>
      <c r="N27" s="69">
        <v>-72058000</v>
      </c>
      <c r="O27" s="69">
        <v>-72058000</v>
      </c>
      <c r="P27" s="69">
        <v>6209800</v>
      </c>
      <c r="Q27" s="69">
        <v>8317100</v>
      </c>
      <c r="R27" s="69">
        <v>6067500</v>
      </c>
      <c r="S27" s="69">
        <v>2152400</v>
      </c>
      <c r="T27" s="69">
        <v>14544700</v>
      </c>
      <c r="U27" s="69">
        <v>12243200</v>
      </c>
      <c r="V27" s="69">
        <v>10970600</v>
      </c>
      <c r="W27" s="69">
        <v>3292000</v>
      </c>
      <c r="X27" s="69">
        <v>3717800</v>
      </c>
      <c r="Y27" s="69">
        <v>4675800</v>
      </c>
      <c r="Z27" s="69">
        <v>0</v>
      </c>
      <c r="AA27" s="69">
        <v>8259000</v>
      </c>
      <c r="AB27" s="69">
        <v>12386000</v>
      </c>
      <c r="AC27" s="69">
        <v>7316000</v>
      </c>
      <c r="AD27" s="69">
        <v>6885000</v>
      </c>
      <c r="AE27" s="69">
        <v>4785500</v>
      </c>
      <c r="AF27" s="69">
        <v>4530000</v>
      </c>
      <c r="AG27" s="69">
        <v>4724900</v>
      </c>
      <c r="AH27" s="69">
        <v>4779200</v>
      </c>
      <c r="AI27" s="69">
        <v>6968600</v>
      </c>
      <c r="AJ27" s="69">
        <v>12656000</v>
      </c>
      <c r="AK27" s="69">
        <v>2210000</v>
      </c>
      <c r="AL27" s="69">
        <v>6296900</v>
      </c>
      <c r="AM27" s="69">
        <v>6589700</v>
      </c>
      <c r="AN27" s="69">
        <v>3756900</v>
      </c>
      <c r="AO27" s="69">
        <v>3730300</v>
      </c>
      <c r="AP27" s="69">
        <v>12076200</v>
      </c>
      <c r="AQ27" s="69">
        <v>2466000</v>
      </c>
      <c r="AR27" s="69">
        <v>1778000</v>
      </c>
      <c r="AS27" s="69">
        <v>4727000</v>
      </c>
      <c r="AT27" s="69">
        <v>10035200</v>
      </c>
      <c r="AU27" s="69"/>
      <c r="AW27" s="66">
        <f t="shared" si="5"/>
        <v>14384600</v>
      </c>
      <c r="AX27" s="66">
        <f t="shared" si="5"/>
        <v>51596500</v>
      </c>
      <c r="AY27" s="66">
        <f t="shared" si="5"/>
        <v>44161500</v>
      </c>
      <c r="AZ27" s="66">
        <f t="shared" si="5"/>
        <v>44225300</v>
      </c>
      <c r="BA27" s="66">
        <f t="shared" si="5"/>
        <v>38569600</v>
      </c>
      <c r="BC27" s="66">
        <f t="shared" ca="1" si="6"/>
        <v>153988000</v>
      </c>
      <c r="BD27" s="66">
        <f t="shared" si="7"/>
        <v>189112100</v>
      </c>
    </row>
    <row r="28" spans="1:56" x14ac:dyDescent="0.3">
      <c r="A28" s="6" t="str">
        <f>IFERROR(VLOOKUP($F28,매장구분!$B:$K,2,0),"")</f>
        <v>파트너채널팀</v>
      </c>
      <c r="B28" s="6" t="str">
        <f>IFERROR(VLOOKUP($F28,매장구분!$B:$K,3,0),"")</f>
        <v>국내</v>
      </c>
      <c r="C28" s="6" t="str">
        <f>IFERROR(VLOOKUP($F28,매장구분!$B:$K,5,0),"")</f>
        <v>백화점</v>
      </c>
      <c r="D28" s="6" t="str">
        <f>IFERROR(VLOOKUP($F28,매장구분!$B:$Z,9,0),"")</f>
        <v>롯데구리</v>
      </c>
      <c r="E28" s="69" t="s">
        <v>232</v>
      </c>
      <c r="F28" s="69" t="s">
        <v>233</v>
      </c>
      <c r="G28" s="69">
        <v>749</v>
      </c>
      <c r="H28" s="69">
        <v>74639220</v>
      </c>
      <c r="I28" s="69">
        <v>88182300</v>
      </c>
      <c r="J28" s="69">
        <v>958</v>
      </c>
      <c r="K28" s="69">
        <v>112101430</v>
      </c>
      <c r="L28" s="69">
        <v>127805100</v>
      </c>
      <c r="M28" s="69">
        <v>-209</v>
      </c>
      <c r="N28" s="69">
        <v>-37462210</v>
      </c>
      <c r="O28" s="69">
        <v>-39622800</v>
      </c>
      <c r="P28" s="69">
        <v>1350300</v>
      </c>
      <c r="Q28" s="69">
        <v>2224500</v>
      </c>
      <c r="R28" s="69">
        <v>1471010</v>
      </c>
      <c r="S28" s="69">
        <v>0</v>
      </c>
      <c r="T28" s="69">
        <v>3195000</v>
      </c>
      <c r="U28" s="69">
        <v>743400</v>
      </c>
      <c r="V28" s="69">
        <v>1660630</v>
      </c>
      <c r="W28" s="69">
        <v>4954100</v>
      </c>
      <c r="X28" s="69">
        <v>4209630</v>
      </c>
      <c r="Y28" s="69">
        <v>3712800</v>
      </c>
      <c r="Z28" s="69">
        <v>1212600</v>
      </c>
      <c r="AA28" s="69">
        <v>3204010</v>
      </c>
      <c r="AB28" s="69">
        <v>1314800</v>
      </c>
      <c r="AC28" s="69">
        <v>1952810</v>
      </c>
      <c r="AD28" s="69">
        <v>3627100</v>
      </c>
      <c r="AE28" s="69">
        <v>3789400</v>
      </c>
      <c r="AF28" s="69">
        <v>3276000</v>
      </c>
      <c r="AG28" s="69">
        <v>1096000</v>
      </c>
      <c r="AH28" s="69">
        <v>3140500</v>
      </c>
      <c r="AI28" s="69">
        <v>1382200</v>
      </c>
      <c r="AJ28" s="69">
        <v>1507400</v>
      </c>
      <c r="AK28" s="69">
        <v>2594000</v>
      </c>
      <c r="AL28" s="69">
        <v>7422700</v>
      </c>
      <c r="AM28" s="69">
        <v>2646000</v>
      </c>
      <c r="AN28" s="69">
        <v>1706800</v>
      </c>
      <c r="AO28" s="69">
        <v>1697300</v>
      </c>
      <c r="AP28" s="69">
        <v>2649430</v>
      </c>
      <c r="AQ28" s="69">
        <v>977000</v>
      </c>
      <c r="AR28" s="69">
        <v>1350000</v>
      </c>
      <c r="AS28" s="69">
        <v>2533000</v>
      </c>
      <c r="AT28" s="69">
        <v>2038800</v>
      </c>
      <c r="AU28" s="69"/>
      <c r="AW28" s="66">
        <f t="shared" ref="AW28:BA43" si="8">SUMIFS($Q28:$AU28,$Q$3:$AU$3,AW$3)</f>
        <v>3695510</v>
      </c>
      <c r="AX28" s="66">
        <f t="shared" si="8"/>
        <v>18475560</v>
      </c>
      <c r="AY28" s="66">
        <f t="shared" si="8"/>
        <v>18376720</v>
      </c>
      <c r="AZ28" s="66">
        <f t="shared" si="8"/>
        <v>19788800</v>
      </c>
      <c r="BA28" s="66">
        <f t="shared" si="8"/>
        <v>12952330</v>
      </c>
      <c r="BC28" s="66">
        <f t="shared" ca="1" si="6"/>
        <v>59040890</v>
      </c>
      <c r="BD28" s="66">
        <f t="shared" si="7"/>
        <v>72600420</v>
      </c>
    </row>
    <row r="29" spans="1:56" x14ac:dyDescent="0.3">
      <c r="A29" s="6" t="str">
        <f>IFERROR(VLOOKUP($F29,매장구분!$B:$K,2,0),"")</f>
        <v>파트너채널팀</v>
      </c>
      <c r="B29" s="6" t="str">
        <f>IFERROR(VLOOKUP($F29,매장구분!$B:$K,3,0),"")</f>
        <v>국내</v>
      </c>
      <c r="C29" s="6" t="str">
        <f>IFERROR(VLOOKUP($F29,매장구분!$B:$K,5,0),"")</f>
        <v>백화점</v>
      </c>
      <c r="D29" s="6" t="str">
        <f>IFERROR(VLOOKUP($F29,매장구분!$B:$Z,9,0),"")</f>
        <v>롯데안산</v>
      </c>
      <c r="E29" s="69" t="s">
        <v>200</v>
      </c>
      <c r="F29" s="69" t="s">
        <v>201</v>
      </c>
      <c r="G29" s="69">
        <v>750</v>
      </c>
      <c r="H29" s="69">
        <v>98858700</v>
      </c>
      <c r="I29" s="69">
        <v>102897000</v>
      </c>
      <c r="J29" s="69">
        <v>822</v>
      </c>
      <c r="K29" s="69">
        <v>123007800</v>
      </c>
      <c r="L29" s="69">
        <v>127092000</v>
      </c>
      <c r="M29" s="69">
        <v>-72</v>
      </c>
      <c r="N29" s="69">
        <v>-24149100</v>
      </c>
      <c r="O29" s="69">
        <v>-24195000</v>
      </c>
      <c r="P29" s="69">
        <v>541000</v>
      </c>
      <c r="Q29" s="69">
        <v>1903500</v>
      </c>
      <c r="R29" s="69">
        <v>2971200</v>
      </c>
      <c r="S29" s="69">
        <v>0</v>
      </c>
      <c r="T29" s="69">
        <v>1478000</v>
      </c>
      <c r="U29" s="69">
        <v>5280300</v>
      </c>
      <c r="V29" s="69">
        <v>3098300</v>
      </c>
      <c r="W29" s="69">
        <v>1997100</v>
      </c>
      <c r="X29" s="69">
        <v>15911000</v>
      </c>
      <c r="Y29" s="69">
        <v>2295000</v>
      </c>
      <c r="Z29" s="69">
        <v>2753000</v>
      </c>
      <c r="AA29" s="69">
        <v>1135000</v>
      </c>
      <c r="AB29" s="69">
        <v>6524000</v>
      </c>
      <c r="AC29" s="69">
        <v>5062000</v>
      </c>
      <c r="AD29" s="69">
        <v>993000</v>
      </c>
      <c r="AE29" s="69">
        <v>3990600</v>
      </c>
      <c r="AF29" s="69">
        <v>4310300</v>
      </c>
      <c r="AG29" s="69">
        <v>1310000</v>
      </c>
      <c r="AH29" s="69">
        <v>3957400</v>
      </c>
      <c r="AI29" s="69">
        <v>2458000</v>
      </c>
      <c r="AJ29" s="69">
        <v>5772000</v>
      </c>
      <c r="AK29" s="69">
        <v>2384000</v>
      </c>
      <c r="AL29" s="69">
        <v>2839000</v>
      </c>
      <c r="AM29" s="69">
        <v>2761000</v>
      </c>
      <c r="AN29" s="69">
        <v>701000</v>
      </c>
      <c r="AO29" s="69">
        <v>1902000</v>
      </c>
      <c r="AP29" s="69">
        <v>1785000</v>
      </c>
      <c r="AQ29" s="69">
        <v>572000</v>
      </c>
      <c r="AR29" s="69">
        <v>1945000</v>
      </c>
      <c r="AS29" s="69">
        <v>4809000</v>
      </c>
      <c r="AT29" s="69">
        <v>5420000</v>
      </c>
      <c r="AU29" s="69"/>
      <c r="AW29" s="66">
        <f t="shared" si="8"/>
        <v>4874700</v>
      </c>
      <c r="AX29" s="66">
        <f t="shared" si="8"/>
        <v>30059700</v>
      </c>
      <c r="AY29" s="66">
        <f t="shared" si="8"/>
        <v>24767900</v>
      </c>
      <c r="AZ29" s="66">
        <f t="shared" si="8"/>
        <v>21481400</v>
      </c>
      <c r="BA29" s="66">
        <f t="shared" si="8"/>
        <v>17134000</v>
      </c>
      <c r="BC29" s="66">
        <f t="shared" ca="1" si="6"/>
        <v>78963700</v>
      </c>
      <c r="BD29" s="66">
        <f t="shared" si="7"/>
        <v>93438700</v>
      </c>
    </row>
    <row r="30" spans="1:56" x14ac:dyDescent="0.3">
      <c r="A30" s="6" t="str">
        <f>IFERROR(VLOOKUP($F30,매장구분!$B:$K,2,0),"")</f>
        <v>파트너채널팀</v>
      </c>
      <c r="B30" s="6" t="str">
        <f>IFERROR(VLOOKUP($F30,매장구분!$B:$K,3,0),"")</f>
        <v>국내</v>
      </c>
      <c r="C30" s="6" t="str">
        <f>IFERROR(VLOOKUP($F30,매장구분!$B:$K,5,0),"")</f>
        <v>백화점</v>
      </c>
      <c r="D30" s="6" t="str">
        <f>IFERROR(VLOOKUP($F30,매장구분!$B:$Z,9,0),"")</f>
        <v>롯데중동</v>
      </c>
      <c r="E30" s="69" t="s">
        <v>510</v>
      </c>
      <c r="F30" s="69" t="s">
        <v>511</v>
      </c>
      <c r="G30" s="69">
        <v>621</v>
      </c>
      <c r="H30" s="69">
        <v>76390900</v>
      </c>
      <c r="I30" s="69">
        <v>79012900</v>
      </c>
      <c r="J30" s="69">
        <v>686</v>
      </c>
      <c r="K30" s="69">
        <v>86985900</v>
      </c>
      <c r="L30" s="69">
        <v>89637900</v>
      </c>
      <c r="M30" s="69">
        <v>-65</v>
      </c>
      <c r="N30" s="69">
        <v>-10595000</v>
      </c>
      <c r="O30" s="69">
        <v>-10625000</v>
      </c>
      <c r="P30" s="69">
        <v>881000</v>
      </c>
      <c r="Q30" s="69">
        <v>2366400</v>
      </c>
      <c r="R30" s="69">
        <v>2791700</v>
      </c>
      <c r="S30" s="69">
        <v>0</v>
      </c>
      <c r="T30" s="69">
        <v>5116800</v>
      </c>
      <c r="U30" s="69">
        <v>3652600</v>
      </c>
      <c r="V30" s="69">
        <v>1647200</v>
      </c>
      <c r="W30" s="69">
        <v>2153400</v>
      </c>
      <c r="X30" s="69">
        <v>2307300</v>
      </c>
      <c r="Y30" s="69">
        <v>3009000</v>
      </c>
      <c r="Z30" s="69">
        <v>1595000</v>
      </c>
      <c r="AA30" s="69">
        <v>1809000</v>
      </c>
      <c r="AB30" s="69">
        <v>772000</v>
      </c>
      <c r="AC30" s="69">
        <v>3789500</v>
      </c>
      <c r="AD30" s="69">
        <v>1073000</v>
      </c>
      <c r="AE30" s="69">
        <v>1709500</v>
      </c>
      <c r="AF30" s="69">
        <v>1766000</v>
      </c>
      <c r="AG30" s="69">
        <v>4470000</v>
      </c>
      <c r="AH30" s="69">
        <v>1438000</v>
      </c>
      <c r="AI30" s="69">
        <v>1416000</v>
      </c>
      <c r="AJ30" s="69">
        <v>2432000</v>
      </c>
      <c r="AK30" s="69">
        <v>1047000</v>
      </c>
      <c r="AL30" s="69">
        <v>2802000</v>
      </c>
      <c r="AM30" s="69">
        <v>5909600</v>
      </c>
      <c r="AN30" s="69">
        <v>4461000</v>
      </c>
      <c r="AO30" s="69">
        <v>1363000</v>
      </c>
      <c r="AP30" s="69">
        <v>4071000</v>
      </c>
      <c r="AQ30" s="69">
        <v>532000</v>
      </c>
      <c r="AR30" s="69">
        <v>1511500</v>
      </c>
      <c r="AS30" s="69">
        <v>3454000</v>
      </c>
      <c r="AT30" s="69">
        <v>5044400</v>
      </c>
      <c r="AU30" s="69"/>
      <c r="AW30" s="66">
        <f t="shared" si="8"/>
        <v>5158100</v>
      </c>
      <c r="AX30" s="66">
        <f t="shared" si="8"/>
        <v>17886300</v>
      </c>
      <c r="AY30" s="66">
        <f t="shared" si="8"/>
        <v>12514000</v>
      </c>
      <c r="AZ30" s="66">
        <f t="shared" si="8"/>
        <v>19514600</v>
      </c>
      <c r="BA30" s="66">
        <f t="shared" si="8"/>
        <v>20436900</v>
      </c>
      <c r="BC30" s="66">
        <f t="shared" ca="1" si="6"/>
        <v>50044400</v>
      </c>
      <c r="BD30" s="66">
        <f t="shared" si="7"/>
        <v>71346500</v>
      </c>
    </row>
    <row r="31" spans="1:56" x14ac:dyDescent="0.3">
      <c r="A31" s="6" t="str">
        <f>IFERROR(VLOOKUP($F31,매장구분!$B:$K,2,0),"")</f>
        <v>파트너채널팀</v>
      </c>
      <c r="B31" s="6" t="str">
        <f>IFERROR(VLOOKUP($F31,매장구분!$B:$K,3,0),"")</f>
        <v>국내</v>
      </c>
      <c r="C31" s="6" t="str">
        <f>IFERROR(VLOOKUP($F31,매장구분!$B:$K,5,0),"")</f>
        <v>백화점</v>
      </c>
      <c r="D31" s="6" t="str">
        <f>IFERROR(VLOOKUP($F31,매장구분!$B:$Z,9,0),"")</f>
        <v>롯데노원</v>
      </c>
      <c r="E31" s="69" t="s">
        <v>472</v>
      </c>
      <c r="F31" s="69" t="s">
        <v>473</v>
      </c>
      <c r="G31" s="69">
        <v>1599</v>
      </c>
      <c r="H31" s="69">
        <v>194156200</v>
      </c>
      <c r="I31" s="69">
        <v>207093900</v>
      </c>
      <c r="J31" s="69">
        <v>1705</v>
      </c>
      <c r="K31" s="69">
        <v>209903700</v>
      </c>
      <c r="L31" s="69">
        <v>223889900</v>
      </c>
      <c r="M31" s="69">
        <v>-106</v>
      </c>
      <c r="N31" s="69">
        <v>-15747500</v>
      </c>
      <c r="O31" s="69">
        <v>-16796000</v>
      </c>
      <c r="P31" s="69">
        <v>3706300</v>
      </c>
      <c r="Q31" s="69">
        <v>9685000</v>
      </c>
      <c r="R31" s="69">
        <v>5934500</v>
      </c>
      <c r="S31" s="69">
        <v>0</v>
      </c>
      <c r="T31" s="69">
        <v>3875900</v>
      </c>
      <c r="U31" s="69">
        <v>5621300</v>
      </c>
      <c r="V31" s="69">
        <v>6919900</v>
      </c>
      <c r="W31" s="69">
        <v>14942800</v>
      </c>
      <c r="X31" s="69">
        <v>6101200</v>
      </c>
      <c r="Y31" s="69">
        <v>7003000</v>
      </c>
      <c r="Z31" s="69">
        <v>8233000</v>
      </c>
      <c r="AA31" s="69">
        <v>8006000</v>
      </c>
      <c r="AB31" s="69">
        <v>5664000</v>
      </c>
      <c r="AC31" s="69">
        <v>4329500</v>
      </c>
      <c r="AD31" s="69">
        <v>6108000</v>
      </c>
      <c r="AE31" s="69">
        <v>11272000</v>
      </c>
      <c r="AF31" s="69">
        <v>6813000</v>
      </c>
      <c r="AG31" s="69">
        <v>3559000</v>
      </c>
      <c r="AH31" s="69">
        <v>1982000</v>
      </c>
      <c r="AI31" s="69">
        <v>6103900</v>
      </c>
      <c r="AJ31" s="69">
        <v>2455000</v>
      </c>
      <c r="AK31" s="69">
        <v>8700000</v>
      </c>
      <c r="AL31" s="69">
        <v>8737000</v>
      </c>
      <c r="AM31" s="69">
        <v>5409300</v>
      </c>
      <c r="AN31" s="69">
        <v>1550000</v>
      </c>
      <c r="AO31" s="69">
        <v>2241600</v>
      </c>
      <c r="AP31" s="69">
        <v>5034000</v>
      </c>
      <c r="AQ31" s="69">
        <v>9047000</v>
      </c>
      <c r="AR31" s="69">
        <v>6543000</v>
      </c>
      <c r="AS31" s="69">
        <v>5939000</v>
      </c>
      <c r="AT31" s="69">
        <v>12640000</v>
      </c>
      <c r="AU31" s="69"/>
      <c r="AW31" s="66">
        <f t="shared" si="8"/>
        <v>15619500</v>
      </c>
      <c r="AX31" s="66">
        <f t="shared" si="8"/>
        <v>44464100</v>
      </c>
      <c r="AY31" s="66">
        <f t="shared" si="8"/>
        <v>50425500</v>
      </c>
      <c r="AZ31" s="66">
        <f t="shared" si="8"/>
        <v>36946200</v>
      </c>
      <c r="BA31" s="66">
        <f t="shared" si="8"/>
        <v>42994600</v>
      </c>
      <c r="BC31" s="66">
        <f t="shared" ca="1" si="6"/>
        <v>145752300</v>
      </c>
      <c r="BD31" s="66">
        <f t="shared" si="7"/>
        <v>181516200</v>
      </c>
    </row>
    <row r="32" spans="1:56" x14ac:dyDescent="0.3">
      <c r="A32" s="6" t="str">
        <f>IFERROR(VLOOKUP($F32,매장구분!$B:$K,2,0),"")</f>
        <v>파트너채널팀</v>
      </c>
      <c r="B32" s="6" t="str">
        <f>IFERROR(VLOOKUP($F32,매장구분!$B:$K,3,0),"")</f>
        <v>국내</v>
      </c>
      <c r="C32" s="6" t="str">
        <f>IFERROR(VLOOKUP($F32,매장구분!$B:$K,5,0),"")</f>
        <v>백화점</v>
      </c>
      <c r="D32" s="6" t="str">
        <f>IFERROR(VLOOKUP($F32,매장구분!$B:$Z,9,0),"")</f>
        <v>롯데수원</v>
      </c>
      <c r="E32" s="69" t="s">
        <v>402</v>
      </c>
      <c r="F32" s="69" t="s">
        <v>403</v>
      </c>
      <c r="G32" s="69">
        <v>1596</v>
      </c>
      <c r="H32" s="69">
        <v>181390700</v>
      </c>
      <c r="I32" s="69">
        <v>196998600</v>
      </c>
      <c r="J32" s="69">
        <v>2003</v>
      </c>
      <c r="K32" s="69">
        <v>291312600</v>
      </c>
      <c r="L32" s="69">
        <v>307027600</v>
      </c>
      <c r="M32" s="69">
        <v>-407</v>
      </c>
      <c r="N32" s="69">
        <v>-109921900</v>
      </c>
      <c r="O32" s="69">
        <v>-110029000</v>
      </c>
      <c r="P32" s="69">
        <v>13112400</v>
      </c>
      <c r="Q32" s="69">
        <v>3060900</v>
      </c>
      <c r="R32" s="69">
        <v>5967200</v>
      </c>
      <c r="S32" s="69">
        <v>1891500</v>
      </c>
      <c r="T32" s="69">
        <v>7700200</v>
      </c>
      <c r="U32" s="69">
        <v>2940900</v>
      </c>
      <c r="V32" s="69">
        <v>4983200</v>
      </c>
      <c r="W32" s="69">
        <v>3742400</v>
      </c>
      <c r="X32" s="69">
        <v>5509200</v>
      </c>
      <c r="Y32" s="69">
        <v>14319300</v>
      </c>
      <c r="Z32" s="69">
        <v>5866300</v>
      </c>
      <c r="AA32" s="69">
        <v>4710700</v>
      </c>
      <c r="AB32" s="69">
        <v>3030000</v>
      </c>
      <c r="AC32" s="69">
        <v>2696500</v>
      </c>
      <c r="AD32" s="69">
        <v>11359500</v>
      </c>
      <c r="AE32" s="69">
        <v>4466300</v>
      </c>
      <c r="AF32" s="69">
        <v>8218100</v>
      </c>
      <c r="AG32" s="69">
        <v>5907100</v>
      </c>
      <c r="AH32" s="69">
        <v>4371900</v>
      </c>
      <c r="AI32" s="69">
        <v>2510700</v>
      </c>
      <c r="AJ32" s="69">
        <v>6303200</v>
      </c>
      <c r="AK32" s="69">
        <v>8092200</v>
      </c>
      <c r="AL32" s="69">
        <v>8920600</v>
      </c>
      <c r="AM32" s="69">
        <v>4836200</v>
      </c>
      <c r="AN32" s="69">
        <v>6339200</v>
      </c>
      <c r="AO32" s="69">
        <v>1538300</v>
      </c>
      <c r="AP32" s="69">
        <v>1285300</v>
      </c>
      <c r="AQ32" s="69">
        <v>637000</v>
      </c>
      <c r="AR32" s="69">
        <v>748000</v>
      </c>
      <c r="AS32" s="69">
        <v>8885400</v>
      </c>
      <c r="AT32" s="69">
        <v>17441000</v>
      </c>
      <c r="AU32" s="69"/>
      <c r="AW32" s="66">
        <f t="shared" si="8"/>
        <v>9028100</v>
      </c>
      <c r="AX32" s="66">
        <f t="shared" si="8"/>
        <v>41086700</v>
      </c>
      <c r="AY32" s="66">
        <f t="shared" si="8"/>
        <v>40347400</v>
      </c>
      <c r="AZ32" s="66">
        <f t="shared" si="8"/>
        <v>40941900</v>
      </c>
      <c r="BA32" s="66">
        <f t="shared" si="8"/>
        <v>36874200</v>
      </c>
      <c r="BC32" s="66">
        <f t="shared" ca="1" si="6"/>
        <v>139680300</v>
      </c>
      <c r="BD32" s="66">
        <f t="shared" si="7"/>
        <v>163949700</v>
      </c>
    </row>
    <row r="33" spans="1:56" x14ac:dyDescent="0.3">
      <c r="A33" s="6" t="str">
        <f>IFERROR(VLOOKUP($F33,매장구분!$B:$K,2,0),"")</f>
        <v>파트너채널팀</v>
      </c>
      <c r="B33" s="6" t="str">
        <f>IFERROR(VLOOKUP($F33,매장구분!$B:$K,3,0),"")</f>
        <v>국내</v>
      </c>
      <c r="C33" s="6" t="str">
        <f>IFERROR(VLOOKUP($F33,매장구분!$B:$K,5,0),"")</f>
        <v>백화점</v>
      </c>
      <c r="D33" s="6" t="str">
        <f>IFERROR(VLOOKUP($F33,매장구분!$B:$Z,9,0),"")</f>
        <v>신세계하남</v>
      </c>
      <c r="E33" s="69" t="s">
        <v>243</v>
      </c>
      <c r="F33" s="69" t="s">
        <v>244</v>
      </c>
      <c r="G33" s="69">
        <v>910</v>
      </c>
      <c r="H33" s="69">
        <v>99678700</v>
      </c>
      <c r="I33" s="69">
        <v>106856900</v>
      </c>
      <c r="J33" s="69">
        <v>1097</v>
      </c>
      <c r="K33" s="69">
        <v>131331300</v>
      </c>
      <c r="L33" s="69">
        <v>140531900</v>
      </c>
      <c r="M33" s="69">
        <v>-187</v>
      </c>
      <c r="N33" s="69">
        <v>-31652600</v>
      </c>
      <c r="O33" s="69">
        <v>-33675000</v>
      </c>
      <c r="P33" s="69">
        <v>1470500</v>
      </c>
      <c r="Q33" s="69">
        <v>3956000</v>
      </c>
      <c r="R33" s="69">
        <v>6363600</v>
      </c>
      <c r="S33" s="69">
        <v>2179600</v>
      </c>
      <c r="T33" s="69">
        <v>2602500</v>
      </c>
      <c r="U33" s="69">
        <v>1610500</v>
      </c>
      <c r="V33" s="69">
        <v>795000</v>
      </c>
      <c r="W33" s="69">
        <v>2827000</v>
      </c>
      <c r="X33" s="69">
        <v>7341500</v>
      </c>
      <c r="Y33" s="69">
        <v>6397100</v>
      </c>
      <c r="Z33" s="69">
        <v>3209000</v>
      </c>
      <c r="AA33" s="69">
        <v>1661500</v>
      </c>
      <c r="AB33" s="69">
        <v>2881500</v>
      </c>
      <c r="AC33" s="69">
        <v>2647500</v>
      </c>
      <c r="AD33" s="69">
        <v>2896000</v>
      </c>
      <c r="AE33" s="69">
        <v>4209300</v>
      </c>
      <c r="AF33" s="69">
        <v>4883100</v>
      </c>
      <c r="AG33" s="69">
        <v>0</v>
      </c>
      <c r="AH33" s="69">
        <v>3876300</v>
      </c>
      <c r="AI33" s="69">
        <v>2206000</v>
      </c>
      <c r="AJ33" s="69">
        <v>3896500</v>
      </c>
      <c r="AK33" s="69">
        <v>2581500</v>
      </c>
      <c r="AL33" s="69">
        <v>3593300</v>
      </c>
      <c r="AM33" s="69">
        <v>3995300</v>
      </c>
      <c r="AN33" s="69">
        <v>1441000</v>
      </c>
      <c r="AO33" s="69">
        <v>2114500</v>
      </c>
      <c r="AP33" s="69">
        <v>1965000</v>
      </c>
      <c r="AQ33" s="69">
        <v>1393000</v>
      </c>
      <c r="AR33" s="69">
        <v>4222800</v>
      </c>
      <c r="AS33" s="69">
        <v>5672300</v>
      </c>
      <c r="AT33" s="69">
        <v>4790000</v>
      </c>
      <c r="AU33" s="69"/>
      <c r="AW33" s="66">
        <f t="shared" si="8"/>
        <v>10319600</v>
      </c>
      <c r="AX33" s="66">
        <f t="shared" si="8"/>
        <v>23753200</v>
      </c>
      <c r="AY33" s="66">
        <f t="shared" si="8"/>
        <v>22387900</v>
      </c>
      <c r="AZ33" s="66">
        <f t="shared" si="8"/>
        <v>20148900</v>
      </c>
      <c r="BA33" s="66">
        <f t="shared" si="8"/>
        <v>21598600</v>
      </c>
      <c r="BC33" s="66">
        <f t="shared" ca="1" si="6"/>
        <v>74084800</v>
      </c>
      <c r="BD33" s="66">
        <f t="shared" si="7"/>
        <v>94888700</v>
      </c>
    </row>
    <row r="34" spans="1:56" x14ac:dyDescent="0.3">
      <c r="A34" s="6" t="str">
        <f>IFERROR(VLOOKUP($F34,매장구분!$B:$K,2,0),"")</f>
        <v>파트너채널팀</v>
      </c>
      <c r="B34" s="6" t="str">
        <f>IFERROR(VLOOKUP($F34,매장구분!$B:$K,3,0),"")</f>
        <v>국내</v>
      </c>
      <c r="C34" s="6" t="str">
        <f>IFERROR(VLOOKUP($F34,매장구분!$B:$K,5,0),"")</f>
        <v>백화점</v>
      </c>
      <c r="D34" s="6" t="str">
        <f>IFERROR(VLOOKUP($F34,매장구분!$B:$Z,9,0),"")</f>
        <v>더현대서울</v>
      </c>
      <c r="E34" s="69" t="s">
        <v>422</v>
      </c>
      <c r="F34" s="69" t="s">
        <v>423</v>
      </c>
      <c r="G34" s="69">
        <v>2970</v>
      </c>
      <c r="H34" s="69">
        <v>307994210</v>
      </c>
      <c r="I34" s="69">
        <v>311552900</v>
      </c>
      <c r="J34" s="69">
        <v>3030</v>
      </c>
      <c r="K34" s="69">
        <v>316288210</v>
      </c>
      <c r="L34" s="69">
        <v>319856900</v>
      </c>
      <c r="M34" s="69">
        <v>-60</v>
      </c>
      <c r="N34" s="69">
        <v>-8294000</v>
      </c>
      <c r="O34" s="69">
        <v>-8304000</v>
      </c>
      <c r="P34" s="69">
        <v>4926800</v>
      </c>
      <c r="Q34" s="69">
        <v>8113700</v>
      </c>
      <c r="R34" s="69">
        <v>8492200</v>
      </c>
      <c r="S34" s="69">
        <v>4554600</v>
      </c>
      <c r="T34" s="69">
        <v>8867900</v>
      </c>
      <c r="U34" s="69">
        <v>87678100</v>
      </c>
      <c r="V34" s="69">
        <v>4452200</v>
      </c>
      <c r="W34" s="69">
        <v>4353300</v>
      </c>
      <c r="X34" s="69">
        <v>10582400</v>
      </c>
      <c r="Y34" s="69">
        <v>7866510</v>
      </c>
      <c r="Z34" s="69">
        <v>0</v>
      </c>
      <c r="AA34" s="69">
        <v>5168000</v>
      </c>
      <c r="AB34" s="69">
        <v>33035600</v>
      </c>
      <c r="AC34" s="69">
        <v>4325000</v>
      </c>
      <c r="AD34" s="69">
        <v>6062700</v>
      </c>
      <c r="AE34" s="69">
        <v>8641000</v>
      </c>
      <c r="AF34" s="69">
        <v>11520700</v>
      </c>
      <c r="AG34" s="69">
        <v>5538000</v>
      </c>
      <c r="AH34" s="69">
        <v>7909000</v>
      </c>
      <c r="AI34" s="69">
        <v>2807000</v>
      </c>
      <c r="AJ34" s="69">
        <v>3429000</v>
      </c>
      <c r="AK34" s="69">
        <v>6881000</v>
      </c>
      <c r="AL34" s="69">
        <v>12802700</v>
      </c>
      <c r="AM34" s="69">
        <v>7269000</v>
      </c>
      <c r="AN34" s="69">
        <v>4340000</v>
      </c>
      <c r="AO34" s="69">
        <v>5348000</v>
      </c>
      <c r="AP34" s="69">
        <v>4566000</v>
      </c>
      <c r="AQ34" s="69">
        <v>3175000</v>
      </c>
      <c r="AR34" s="69">
        <v>5171000</v>
      </c>
      <c r="AS34" s="69">
        <v>11667800</v>
      </c>
      <c r="AT34" s="69">
        <v>8450000</v>
      </c>
      <c r="AU34" s="69"/>
      <c r="AW34" s="66">
        <f t="shared" si="8"/>
        <v>16605900</v>
      </c>
      <c r="AX34" s="66">
        <f t="shared" si="8"/>
        <v>128355010</v>
      </c>
      <c r="AY34" s="66">
        <f t="shared" si="8"/>
        <v>68753000</v>
      </c>
      <c r="AZ34" s="66">
        <f t="shared" si="8"/>
        <v>46635700</v>
      </c>
      <c r="BA34" s="66">
        <f t="shared" si="8"/>
        <v>42717800</v>
      </c>
      <c r="BC34" s="66">
        <f t="shared" ca="1" si="6"/>
        <v>258007410</v>
      </c>
      <c r="BD34" s="66">
        <f t="shared" si="7"/>
        <v>299544210</v>
      </c>
    </row>
    <row r="35" spans="1:56" x14ac:dyDescent="0.3">
      <c r="A35" s="6" t="str">
        <f>IFERROR(VLOOKUP($F35,매장구분!$B:$K,2,0),"")</f>
        <v>파트너채널팀</v>
      </c>
      <c r="B35" s="6" t="str">
        <f>IFERROR(VLOOKUP($F35,매장구분!$B:$K,3,0),"")</f>
        <v>국내</v>
      </c>
      <c r="C35" s="6" t="str">
        <f>IFERROR(VLOOKUP($F35,매장구분!$B:$K,5,0),"")</f>
        <v>백화점</v>
      </c>
      <c r="D35" s="6" t="str">
        <f>IFERROR(VLOOKUP($F35,매장구분!$B:$Z,9,0),"")</f>
        <v>엔터식스왕십리</v>
      </c>
      <c r="E35" s="69" t="s">
        <v>444</v>
      </c>
      <c r="F35" s="69" t="s">
        <v>445</v>
      </c>
      <c r="G35" s="69">
        <v>469</v>
      </c>
      <c r="H35" s="69">
        <v>55395610</v>
      </c>
      <c r="I35" s="69">
        <v>55926900</v>
      </c>
      <c r="J35" s="69">
        <v>496</v>
      </c>
      <c r="K35" s="69">
        <v>59402010</v>
      </c>
      <c r="L35" s="69">
        <v>60040900</v>
      </c>
      <c r="M35" s="69">
        <v>-27</v>
      </c>
      <c r="N35" s="69">
        <v>-4006400</v>
      </c>
      <c r="O35" s="69">
        <v>-4114000</v>
      </c>
      <c r="P35" s="69">
        <v>1467000</v>
      </c>
      <c r="Q35" s="69">
        <v>1610000</v>
      </c>
      <c r="R35" s="69">
        <v>2210000</v>
      </c>
      <c r="S35" s="69">
        <v>836000</v>
      </c>
      <c r="T35" s="69">
        <v>884000</v>
      </c>
      <c r="U35" s="69">
        <v>1461000</v>
      </c>
      <c r="V35" s="69">
        <v>1876000</v>
      </c>
      <c r="W35" s="69">
        <v>2583300</v>
      </c>
      <c r="X35" s="69">
        <v>2499000</v>
      </c>
      <c r="Y35" s="69">
        <v>3337000</v>
      </c>
      <c r="Z35" s="69">
        <v>1610000</v>
      </c>
      <c r="AA35" s="69">
        <v>1191000</v>
      </c>
      <c r="AB35" s="69">
        <v>1344000</v>
      </c>
      <c r="AC35" s="69">
        <v>1357000</v>
      </c>
      <c r="AD35" s="69">
        <v>882000</v>
      </c>
      <c r="AE35" s="69">
        <v>2019000</v>
      </c>
      <c r="AF35" s="69">
        <v>1722000</v>
      </c>
      <c r="AG35" s="69">
        <v>2260000</v>
      </c>
      <c r="AH35" s="69">
        <v>489000</v>
      </c>
      <c r="AI35" s="69">
        <v>1880000</v>
      </c>
      <c r="AJ35" s="69">
        <v>813000</v>
      </c>
      <c r="AK35" s="69">
        <v>2797000</v>
      </c>
      <c r="AL35" s="69">
        <v>1616000</v>
      </c>
      <c r="AM35" s="69">
        <v>1574000</v>
      </c>
      <c r="AN35" s="69">
        <v>915300</v>
      </c>
      <c r="AO35" s="69">
        <v>2417000</v>
      </c>
      <c r="AP35" s="69">
        <v>2465000</v>
      </c>
      <c r="AQ35" s="69">
        <v>986000</v>
      </c>
      <c r="AR35" s="69">
        <v>1976300</v>
      </c>
      <c r="AS35" s="69">
        <v>2213000</v>
      </c>
      <c r="AT35" s="69">
        <v>4105710</v>
      </c>
      <c r="AU35" s="69"/>
      <c r="AW35" s="66">
        <f t="shared" si="8"/>
        <v>3820000</v>
      </c>
      <c r="AX35" s="66">
        <f t="shared" si="8"/>
        <v>13476300</v>
      </c>
      <c r="AY35" s="66">
        <f t="shared" si="8"/>
        <v>10125000</v>
      </c>
      <c r="AZ35" s="66">
        <f t="shared" si="8"/>
        <v>11429000</v>
      </c>
      <c r="BA35" s="66">
        <f t="shared" si="8"/>
        <v>15078310</v>
      </c>
      <c r="BC35" s="66">
        <f t="shared" ca="1" si="6"/>
        <v>38743300</v>
      </c>
      <c r="BD35" s="66">
        <f t="shared" si="7"/>
        <v>51289900</v>
      </c>
    </row>
    <row r="36" spans="1:56" x14ac:dyDescent="0.3">
      <c r="A36" s="6" t="str">
        <f>IFERROR(VLOOKUP($F36,매장구분!$B:$K,2,0),"")</f>
        <v>파트너채널팀</v>
      </c>
      <c r="B36" s="6" t="str">
        <f>IFERROR(VLOOKUP($F36,매장구분!$B:$K,3,0),"")</f>
        <v>국내</v>
      </c>
      <c r="C36" s="6" t="str">
        <f>IFERROR(VLOOKUP($F36,매장구분!$B:$K,5,0),"")</f>
        <v>백화점</v>
      </c>
      <c r="D36" s="6" t="str">
        <f>IFERROR(VLOOKUP($F36,매장구분!$B:$Z,9,0),"")</f>
        <v>현대판교</v>
      </c>
      <c r="E36" s="69" t="s">
        <v>257</v>
      </c>
      <c r="F36" s="69" t="s">
        <v>258</v>
      </c>
      <c r="G36" s="69">
        <v>2254</v>
      </c>
      <c r="H36" s="69">
        <v>286674330</v>
      </c>
      <c r="I36" s="69">
        <v>299937400</v>
      </c>
      <c r="J36" s="69">
        <v>2518</v>
      </c>
      <c r="K36" s="69">
        <v>333582530</v>
      </c>
      <c r="L36" s="69">
        <v>347015400</v>
      </c>
      <c r="M36" s="69">
        <v>-264</v>
      </c>
      <c r="N36" s="69">
        <v>-46908200</v>
      </c>
      <c r="O36" s="69">
        <v>-47078000</v>
      </c>
      <c r="P36" s="69">
        <v>16204800</v>
      </c>
      <c r="Q36" s="69">
        <v>13579500</v>
      </c>
      <c r="R36" s="69">
        <v>9301600</v>
      </c>
      <c r="S36" s="69">
        <v>2963000</v>
      </c>
      <c r="T36" s="69">
        <v>8757900</v>
      </c>
      <c r="U36" s="69">
        <v>2370400</v>
      </c>
      <c r="V36" s="69">
        <v>22275000</v>
      </c>
      <c r="W36" s="69">
        <v>8008600</v>
      </c>
      <c r="X36" s="69">
        <v>5919300</v>
      </c>
      <c r="Y36" s="69">
        <v>31091100</v>
      </c>
      <c r="Z36" s="69">
        <v>0</v>
      </c>
      <c r="AA36" s="69">
        <v>9343700</v>
      </c>
      <c r="AB36" s="69">
        <v>2599600</v>
      </c>
      <c r="AC36" s="69">
        <v>5272100</v>
      </c>
      <c r="AD36" s="69">
        <v>19796100</v>
      </c>
      <c r="AE36" s="69">
        <v>6236300</v>
      </c>
      <c r="AF36" s="69">
        <v>3877400</v>
      </c>
      <c r="AG36" s="69">
        <v>6452000</v>
      </c>
      <c r="AH36" s="69">
        <v>6495300</v>
      </c>
      <c r="AI36" s="69">
        <v>6438730</v>
      </c>
      <c r="AJ36" s="69">
        <v>7082300</v>
      </c>
      <c r="AK36" s="69">
        <v>11772800</v>
      </c>
      <c r="AL36" s="69">
        <v>2505000</v>
      </c>
      <c r="AM36" s="69">
        <v>4634700</v>
      </c>
      <c r="AN36" s="69">
        <v>8260100</v>
      </c>
      <c r="AO36" s="69">
        <v>31061000</v>
      </c>
      <c r="AP36" s="69">
        <v>3631700</v>
      </c>
      <c r="AQ36" s="69">
        <v>4378000</v>
      </c>
      <c r="AR36" s="69">
        <v>2455900</v>
      </c>
      <c r="AS36" s="69">
        <v>2815000</v>
      </c>
      <c r="AT36" s="69">
        <v>21095400</v>
      </c>
      <c r="AU36" s="69"/>
      <c r="AW36" s="66">
        <f t="shared" si="8"/>
        <v>22881100</v>
      </c>
      <c r="AX36" s="66">
        <f t="shared" si="8"/>
        <v>81385300</v>
      </c>
      <c r="AY36" s="66">
        <f t="shared" si="8"/>
        <v>47125200</v>
      </c>
      <c r="AZ36" s="66">
        <f t="shared" si="8"/>
        <v>45380830</v>
      </c>
      <c r="BA36" s="66">
        <f t="shared" si="8"/>
        <v>73697100</v>
      </c>
      <c r="BC36" s="66">
        <f t="shared" ca="1" si="6"/>
        <v>208342530</v>
      </c>
      <c r="BD36" s="66">
        <f t="shared" si="7"/>
        <v>265578930</v>
      </c>
    </row>
    <row r="37" spans="1:56" x14ac:dyDescent="0.3">
      <c r="A37" s="6" t="str">
        <f>IFERROR(VLOOKUP($F37,매장구분!$B:$K,2,0),"")</f>
        <v>파트너채널팀</v>
      </c>
      <c r="B37" s="6" t="str">
        <f>IFERROR(VLOOKUP($F37,매장구분!$B:$K,3,0),"")</f>
        <v>국내</v>
      </c>
      <c r="C37" s="6" t="str">
        <f>IFERROR(VLOOKUP($F37,매장구분!$B:$K,5,0),"")</f>
        <v>백화점</v>
      </c>
      <c r="D37" s="6" t="str">
        <f>IFERROR(VLOOKUP($F37,매장구분!$B:$Z,9,0),"")</f>
        <v>신세계강남</v>
      </c>
      <c r="E37" s="69" t="s">
        <v>234</v>
      </c>
      <c r="F37" s="69" t="s">
        <v>235</v>
      </c>
      <c r="G37" s="69">
        <v>2286</v>
      </c>
      <c r="H37" s="69">
        <v>241791910</v>
      </c>
      <c r="I37" s="69">
        <v>246147500</v>
      </c>
      <c r="J37" s="69">
        <v>2635</v>
      </c>
      <c r="K37" s="69">
        <v>298356510</v>
      </c>
      <c r="L37" s="69">
        <v>302917500</v>
      </c>
      <c r="M37" s="69">
        <v>-349</v>
      </c>
      <c r="N37" s="69">
        <v>-56564600</v>
      </c>
      <c r="O37" s="69">
        <v>-56770000</v>
      </c>
      <c r="P37" s="69">
        <v>4843400</v>
      </c>
      <c r="Q37" s="69">
        <v>11099410</v>
      </c>
      <c r="R37" s="69">
        <v>13301100</v>
      </c>
      <c r="S37" s="69">
        <v>7583100</v>
      </c>
      <c r="T37" s="69">
        <v>9721400</v>
      </c>
      <c r="U37" s="69">
        <v>10656400</v>
      </c>
      <c r="V37" s="69">
        <v>8219200</v>
      </c>
      <c r="W37" s="69">
        <v>8391900</v>
      </c>
      <c r="X37" s="69">
        <v>12503000</v>
      </c>
      <c r="Y37" s="69">
        <v>9384800</v>
      </c>
      <c r="Z37" s="69">
        <v>5546000</v>
      </c>
      <c r="AA37" s="69">
        <v>5578000</v>
      </c>
      <c r="AB37" s="69">
        <v>2467000</v>
      </c>
      <c r="AC37" s="69">
        <v>3980000</v>
      </c>
      <c r="AD37" s="69">
        <v>5344000</v>
      </c>
      <c r="AE37" s="69">
        <v>7102000</v>
      </c>
      <c r="AF37" s="69">
        <v>7525000</v>
      </c>
      <c r="AG37" s="69">
        <v>0</v>
      </c>
      <c r="AH37" s="69">
        <v>10914000</v>
      </c>
      <c r="AI37" s="69">
        <v>3966000</v>
      </c>
      <c r="AJ37" s="69">
        <v>7359400</v>
      </c>
      <c r="AK37" s="69">
        <v>6633000</v>
      </c>
      <c r="AL37" s="69">
        <v>16315000</v>
      </c>
      <c r="AM37" s="69">
        <v>12087000</v>
      </c>
      <c r="AN37" s="69">
        <v>5286400</v>
      </c>
      <c r="AO37" s="69">
        <v>6368000</v>
      </c>
      <c r="AP37" s="69">
        <v>7537300</v>
      </c>
      <c r="AQ37" s="69">
        <v>6801000</v>
      </c>
      <c r="AR37" s="69">
        <v>8038200</v>
      </c>
      <c r="AS37" s="69">
        <v>9128900</v>
      </c>
      <c r="AT37" s="69">
        <v>8112000</v>
      </c>
      <c r="AU37" s="69"/>
      <c r="AW37" s="66">
        <f t="shared" si="8"/>
        <v>24400510</v>
      </c>
      <c r="AX37" s="66">
        <f t="shared" si="8"/>
        <v>66459800</v>
      </c>
      <c r="AY37" s="66">
        <f t="shared" si="8"/>
        <v>37542000</v>
      </c>
      <c r="AZ37" s="66">
        <f t="shared" si="8"/>
        <v>57274400</v>
      </c>
      <c r="BA37" s="66">
        <f t="shared" si="8"/>
        <v>51271800</v>
      </c>
      <c r="BC37" s="66">
        <f t="shared" ca="1" si="6"/>
        <v>178433110</v>
      </c>
      <c r="BD37" s="66">
        <f t="shared" si="7"/>
        <v>233679910</v>
      </c>
    </row>
    <row r="38" spans="1:56" x14ac:dyDescent="0.3">
      <c r="A38" s="6" t="str">
        <f>IFERROR(VLOOKUP($F38,매장구분!$B:$K,2,0),"")</f>
        <v>파트너채널팀</v>
      </c>
      <c r="B38" s="6" t="str">
        <f>IFERROR(VLOOKUP($F38,매장구분!$B:$K,3,0),"")</f>
        <v>국내</v>
      </c>
      <c r="C38" s="6" t="str">
        <f>IFERROR(VLOOKUP($F38,매장구분!$B:$K,5,0),"")</f>
        <v>백화점</v>
      </c>
      <c r="D38" s="6" t="str">
        <f>IFERROR(VLOOKUP($F38,매장구분!$B:$Z,9,0),"")</f>
        <v>신세계대구</v>
      </c>
      <c r="E38" s="69" t="s">
        <v>192</v>
      </c>
      <c r="F38" s="69" t="s">
        <v>193</v>
      </c>
      <c r="G38" s="69">
        <v>1735</v>
      </c>
      <c r="H38" s="69">
        <v>186393000</v>
      </c>
      <c r="I38" s="69">
        <v>191983000</v>
      </c>
      <c r="J38" s="69">
        <v>2046</v>
      </c>
      <c r="K38" s="69">
        <v>245346200</v>
      </c>
      <c r="L38" s="69">
        <v>251738000</v>
      </c>
      <c r="M38" s="69">
        <v>-311</v>
      </c>
      <c r="N38" s="69">
        <v>-58953200</v>
      </c>
      <c r="O38" s="69">
        <v>-59755000</v>
      </c>
      <c r="P38" s="69">
        <v>2106800</v>
      </c>
      <c r="Q38" s="69">
        <v>7970900</v>
      </c>
      <c r="R38" s="69">
        <v>6709200</v>
      </c>
      <c r="S38" s="69">
        <v>3433100</v>
      </c>
      <c r="T38" s="69">
        <v>3226500</v>
      </c>
      <c r="U38" s="69">
        <v>3728000</v>
      </c>
      <c r="V38" s="69">
        <v>7203100</v>
      </c>
      <c r="W38" s="69">
        <v>7634300</v>
      </c>
      <c r="X38" s="69">
        <v>35157800</v>
      </c>
      <c r="Y38" s="69">
        <v>10353800</v>
      </c>
      <c r="Z38" s="69">
        <v>4269000</v>
      </c>
      <c r="AA38" s="69">
        <v>2832000</v>
      </c>
      <c r="AB38" s="69">
        <v>4715300</v>
      </c>
      <c r="AC38" s="69">
        <v>1393000</v>
      </c>
      <c r="AD38" s="69">
        <v>4457400</v>
      </c>
      <c r="AE38" s="69">
        <v>7941000</v>
      </c>
      <c r="AF38" s="69">
        <v>10632200</v>
      </c>
      <c r="AG38" s="69">
        <v>0</v>
      </c>
      <c r="AH38" s="69">
        <v>3960000</v>
      </c>
      <c r="AI38" s="69">
        <v>2582000</v>
      </c>
      <c r="AJ38" s="69">
        <v>3177000</v>
      </c>
      <c r="AK38" s="69">
        <v>2727000</v>
      </c>
      <c r="AL38" s="69">
        <v>7387000</v>
      </c>
      <c r="AM38" s="69">
        <v>10160300</v>
      </c>
      <c r="AN38" s="69">
        <v>3304300</v>
      </c>
      <c r="AO38" s="69">
        <v>1875000</v>
      </c>
      <c r="AP38" s="69">
        <v>5149000</v>
      </c>
      <c r="AQ38" s="69">
        <v>2280000</v>
      </c>
      <c r="AR38" s="69">
        <v>2034000</v>
      </c>
      <c r="AS38" s="69">
        <v>7481000</v>
      </c>
      <c r="AT38" s="69">
        <v>10513000</v>
      </c>
      <c r="AU38" s="69"/>
      <c r="AW38" s="66">
        <f t="shared" si="8"/>
        <v>14680100</v>
      </c>
      <c r="AX38" s="66">
        <f t="shared" si="8"/>
        <v>70736600</v>
      </c>
      <c r="AY38" s="66">
        <f t="shared" si="8"/>
        <v>36239900</v>
      </c>
      <c r="AZ38" s="66">
        <f t="shared" si="8"/>
        <v>29993300</v>
      </c>
      <c r="BA38" s="66">
        <f t="shared" si="8"/>
        <v>32636300</v>
      </c>
      <c r="BC38" s="66">
        <f t="shared" ca="1" si="6"/>
        <v>143596400</v>
      </c>
      <c r="BD38" s="66">
        <f t="shared" si="7"/>
        <v>175880000</v>
      </c>
    </row>
    <row r="39" spans="1:56" x14ac:dyDescent="0.3">
      <c r="A39" s="6" t="str">
        <f>IFERROR(VLOOKUP($F39,매장구분!$B:$K,2,0),"")</f>
        <v>파트너채널팀</v>
      </c>
      <c r="B39" s="6" t="str">
        <f>IFERROR(VLOOKUP($F39,매장구분!$B:$K,3,0),"")</f>
        <v>국내</v>
      </c>
      <c r="C39" s="6" t="str">
        <f>IFERROR(VLOOKUP($F39,매장구분!$B:$K,5,0),"")</f>
        <v>백화점</v>
      </c>
      <c r="D39" s="6" t="str">
        <f>IFERROR(VLOOKUP($F39,매장구분!$B:$Z,9,0),"")</f>
        <v>신세계김해</v>
      </c>
      <c r="E39" s="69" t="s">
        <v>454</v>
      </c>
      <c r="F39" s="69" t="s">
        <v>455</v>
      </c>
      <c r="G39" s="69">
        <v>562</v>
      </c>
      <c r="H39" s="69">
        <v>56411500</v>
      </c>
      <c r="I39" s="69">
        <v>61335000</v>
      </c>
      <c r="J39" s="69">
        <v>639</v>
      </c>
      <c r="K39" s="69">
        <v>69184000</v>
      </c>
      <c r="L39" s="69">
        <v>74493000</v>
      </c>
      <c r="M39" s="69">
        <v>-77</v>
      </c>
      <c r="N39" s="69">
        <v>-12772500</v>
      </c>
      <c r="O39" s="69">
        <v>-13158000</v>
      </c>
      <c r="P39" s="69">
        <v>1146800</v>
      </c>
      <c r="Q39" s="69">
        <v>2285600</v>
      </c>
      <c r="R39" s="69">
        <v>3580600</v>
      </c>
      <c r="S39" s="69">
        <v>1103100</v>
      </c>
      <c r="T39" s="69">
        <v>555300</v>
      </c>
      <c r="U39" s="69">
        <v>1137300</v>
      </c>
      <c r="V39" s="69">
        <v>847800</v>
      </c>
      <c r="W39" s="69">
        <v>694200</v>
      </c>
      <c r="X39" s="69">
        <v>1720200</v>
      </c>
      <c r="Y39" s="69">
        <v>2011100</v>
      </c>
      <c r="Z39" s="69">
        <v>1540600</v>
      </c>
      <c r="AA39" s="69">
        <v>679000</v>
      </c>
      <c r="AB39" s="69">
        <v>1713000</v>
      </c>
      <c r="AC39" s="69">
        <v>764500</v>
      </c>
      <c r="AD39" s="69">
        <v>1865300</v>
      </c>
      <c r="AE39" s="69">
        <v>2121100</v>
      </c>
      <c r="AF39" s="69">
        <v>2361300</v>
      </c>
      <c r="AG39" s="69">
        <v>0</v>
      </c>
      <c r="AH39" s="69">
        <v>2969200</v>
      </c>
      <c r="AI39" s="69">
        <v>2263000</v>
      </c>
      <c r="AJ39" s="69">
        <v>1995500</v>
      </c>
      <c r="AK39" s="69">
        <v>1457000</v>
      </c>
      <c r="AL39" s="69">
        <v>2996500</v>
      </c>
      <c r="AM39" s="69">
        <v>4485000</v>
      </c>
      <c r="AN39" s="69">
        <v>1028000</v>
      </c>
      <c r="AO39" s="69">
        <v>1063000</v>
      </c>
      <c r="AP39" s="69">
        <v>1039000</v>
      </c>
      <c r="AQ39" s="69">
        <v>2155500</v>
      </c>
      <c r="AR39" s="69">
        <v>2094000</v>
      </c>
      <c r="AS39" s="69">
        <v>1629000</v>
      </c>
      <c r="AT39" s="69">
        <v>5110000</v>
      </c>
      <c r="AU39" s="69"/>
      <c r="AW39" s="66">
        <f t="shared" si="8"/>
        <v>5866200</v>
      </c>
      <c r="AX39" s="66">
        <f t="shared" si="8"/>
        <v>8069000</v>
      </c>
      <c r="AY39" s="66">
        <f t="shared" si="8"/>
        <v>11044800</v>
      </c>
      <c r="AZ39" s="66">
        <f t="shared" si="8"/>
        <v>16166200</v>
      </c>
      <c r="BA39" s="66">
        <f t="shared" si="8"/>
        <v>14118500</v>
      </c>
      <c r="BC39" s="66">
        <f t="shared" ca="1" si="6"/>
        <v>37808000</v>
      </c>
      <c r="BD39" s="66">
        <f t="shared" si="7"/>
        <v>51301500</v>
      </c>
    </row>
    <row r="40" spans="1:56" x14ac:dyDescent="0.3">
      <c r="A40" s="6" t="str">
        <f>IFERROR(VLOOKUP($F40,매장구분!$B:$K,2,0),"")</f>
        <v>파트너채널팀</v>
      </c>
      <c r="B40" s="6" t="str">
        <f>IFERROR(VLOOKUP($F40,매장구분!$B:$K,3,0),"")</f>
        <v>RF</v>
      </c>
      <c r="C40" s="6" t="str">
        <f>IFERROR(VLOOKUP($F40,매장구분!$B:$K,5,0),"")</f>
        <v>백화점</v>
      </c>
      <c r="D40" s="6" t="str">
        <f>IFERROR(VLOOKUP($F40,매장구분!$B:$Z,9,0),"")</f>
        <v>신세계본점</v>
      </c>
      <c r="E40" s="69" t="s">
        <v>450</v>
      </c>
      <c r="F40" s="69" t="s">
        <v>451</v>
      </c>
      <c r="G40" s="69">
        <v>1366</v>
      </c>
      <c r="H40" s="69">
        <v>214740230</v>
      </c>
      <c r="I40" s="69">
        <v>243327200</v>
      </c>
      <c r="J40" s="69">
        <v>1591</v>
      </c>
      <c r="K40" s="69">
        <v>292863230</v>
      </c>
      <c r="L40" s="69">
        <v>321679200</v>
      </c>
      <c r="M40" s="69">
        <v>-225</v>
      </c>
      <c r="N40" s="69">
        <v>-78123000</v>
      </c>
      <c r="O40" s="69">
        <v>-78352000</v>
      </c>
      <c r="P40" s="69">
        <v>2454000</v>
      </c>
      <c r="Q40" s="69">
        <v>4106700</v>
      </c>
      <c r="R40" s="69">
        <v>2934800</v>
      </c>
      <c r="S40" s="69">
        <v>2183100</v>
      </c>
      <c r="T40" s="69">
        <v>24006830</v>
      </c>
      <c r="U40" s="69">
        <v>1547900</v>
      </c>
      <c r="V40" s="69">
        <v>61021800</v>
      </c>
      <c r="W40" s="69">
        <v>3062400</v>
      </c>
      <c r="X40" s="69">
        <v>4711500</v>
      </c>
      <c r="Y40" s="69">
        <v>6997000</v>
      </c>
      <c r="Z40" s="69">
        <v>4097500</v>
      </c>
      <c r="AA40" s="69">
        <v>3115000</v>
      </c>
      <c r="AB40" s="69">
        <v>2299600</v>
      </c>
      <c r="AC40" s="69">
        <v>2737000</v>
      </c>
      <c r="AD40" s="69">
        <v>3547000</v>
      </c>
      <c r="AE40" s="69">
        <v>4784000</v>
      </c>
      <c r="AF40" s="69">
        <v>5220500</v>
      </c>
      <c r="AG40" s="69">
        <v>2753500</v>
      </c>
      <c r="AH40" s="69">
        <v>2707400</v>
      </c>
      <c r="AI40" s="69">
        <v>3068200</v>
      </c>
      <c r="AJ40" s="69">
        <v>1623000</v>
      </c>
      <c r="AK40" s="69">
        <v>4171800</v>
      </c>
      <c r="AL40" s="69">
        <v>6640000</v>
      </c>
      <c r="AM40" s="69">
        <v>5644000</v>
      </c>
      <c r="AN40" s="69">
        <v>0</v>
      </c>
      <c r="AO40" s="69">
        <v>2544000</v>
      </c>
      <c r="AP40" s="69">
        <v>3331000</v>
      </c>
      <c r="AQ40" s="69">
        <v>1829500</v>
      </c>
      <c r="AR40" s="69">
        <v>32493700</v>
      </c>
      <c r="AS40" s="69">
        <v>4794500</v>
      </c>
      <c r="AT40" s="69">
        <v>4313000</v>
      </c>
      <c r="AU40" s="69"/>
      <c r="AW40" s="66">
        <f t="shared" si="8"/>
        <v>7041500</v>
      </c>
      <c r="AX40" s="66">
        <f t="shared" si="8"/>
        <v>103530530</v>
      </c>
      <c r="AY40" s="66">
        <f t="shared" si="8"/>
        <v>25800600</v>
      </c>
      <c r="AZ40" s="66">
        <f t="shared" si="8"/>
        <v>26607900</v>
      </c>
      <c r="BA40" s="66">
        <f t="shared" si="8"/>
        <v>49305700</v>
      </c>
      <c r="BC40" s="66">
        <f t="shared" ca="1" si="6"/>
        <v>159790530</v>
      </c>
      <c r="BD40" s="66">
        <f t="shared" si="7"/>
        <v>210427230</v>
      </c>
    </row>
    <row r="41" spans="1:56" x14ac:dyDescent="0.3">
      <c r="A41" s="6" t="str">
        <f>IFERROR(VLOOKUP($F41,매장구분!$B:$K,2,0),"")</f>
        <v>파트너채널팀</v>
      </c>
      <c r="B41" s="6" t="str">
        <f>IFERROR(VLOOKUP($F41,매장구분!$B:$K,3,0),"")</f>
        <v>국내</v>
      </c>
      <c r="C41" s="6" t="str">
        <f>IFERROR(VLOOKUP($F41,매장구분!$B:$K,5,0),"")</f>
        <v>백화점</v>
      </c>
      <c r="D41" s="6" t="str">
        <f>IFERROR(VLOOKUP($F41,매장구분!$B:$Z,9,0),"")</f>
        <v>롯데인천</v>
      </c>
      <c r="E41" s="69" t="s">
        <v>245</v>
      </c>
      <c r="F41" s="69" t="s">
        <v>246</v>
      </c>
      <c r="G41" s="69">
        <v>1699</v>
      </c>
      <c r="H41" s="69">
        <v>220921500</v>
      </c>
      <c r="I41" s="69">
        <v>229916800</v>
      </c>
      <c r="J41" s="69">
        <v>1956</v>
      </c>
      <c r="K41" s="69">
        <v>298427900</v>
      </c>
      <c r="L41" s="69">
        <v>307998800</v>
      </c>
      <c r="M41" s="69">
        <v>-257</v>
      </c>
      <c r="N41" s="69">
        <v>-77506400</v>
      </c>
      <c r="O41" s="69">
        <v>-78082000</v>
      </c>
      <c r="P41" s="69">
        <v>2110600</v>
      </c>
      <c r="Q41" s="69">
        <v>5110400</v>
      </c>
      <c r="R41" s="69">
        <v>5532000</v>
      </c>
      <c r="S41" s="69">
        <v>13513700</v>
      </c>
      <c r="T41" s="69">
        <v>2797500</v>
      </c>
      <c r="U41" s="69">
        <v>4805900</v>
      </c>
      <c r="V41" s="69">
        <v>9008700</v>
      </c>
      <c r="W41" s="69">
        <v>5719000</v>
      </c>
      <c r="X41" s="69">
        <v>7465000</v>
      </c>
      <c r="Y41" s="69">
        <v>17405700</v>
      </c>
      <c r="Z41" s="69">
        <v>0</v>
      </c>
      <c r="AA41" s="69">
        <v>12458000</v>
      </c>
      <c r="AB41" s="69">
        <v>4011200</v>
      </c>
      <c r="AC41" s="69">
        <v>1940000</v>
      </c>
      <c r="AD41" s="69">
        <v>2890500</v>
      </c>
      <c r="AE41" s="69">
        <v>25687400</v>
      </c>
      <c r="AF41" s="69">
        <v>8269600</v>
      </c>
      <c r="AG41" s="69">
        <v>5755000</v>
      </c>
      <c r="AH41" s="69">
        <v>3814000</v>
      </c>
      <c r="AI41" s="69">
        <v>3329300</v>
      </c>
      <c r="AJ41" s="69">
        <v>1853000</v>
      </c>
      <c r="AK41" s="69">
        <v>2191000</v>
      </c>
      <c r="AL41" s="69">
        <v>20878000</v>
      </c>
      <c r="AM41" s="69">
        <v>8136200</v>
      </c>
      <c r="AN41" s="69">
        <v>6141000</v>
      </c>
      <c r="AO41" s="69">
        <v>4532000</v>
      </c>
      <c r="AP41" s="69">
        <v>2412000</v>
      </c>
      <c r="AQ41" s="69">
        <v>2318300</v>
      </c>
      <c r="AR41" s="69">
        <v>2860000</v>
      </c>
      <c r="AS41" s="69">
        <v>21714600</v>
      </c>
      <c r="AT41" s="69">
        <v>6261900</v>
      </c>
      <c r="AU41" s="69"/>
      <c r="AW41" s="66">
        <f t="shared" si="8"/>
        <v>10642400</v>
      </c>
      <c r="AX41" s="66">
        <f t="shared" si="8"/>
        <v>60715500</v>
      </c>
      <c r="AY41" s="66">
        <f t="shared" si="8"/>
        <v>55256700</v>
      </c>
      <c r="AZ41" s="66">
        <f t="shared" si="8"/>
        <v>45956500</v>
      </c>
      <c r="BA41" s="66">
        <f t="shared" si="8"/>
        <v>46239800</v>
      </c>
      <c r="BC41" s="66">
        <f t="shared" ca="1" si="6"/>
        <v>166545500</v>
      </c>
      <c r="BD41" s="66">
        <f t="shared" si="7"/>
        <v>214659600</v>
      </c>
    </row>
    <row r="42" spans="1:56" x14ac:dyDescent="0.3">
      <c r="A42" s="6" t="str">
        <f>IFERROR(VLOOKUP($F42,매장구분!$B:$K,2,0),"")</f>
        <v>파트너채널팀</v>
      </c>
      <c r="B42" s="6" t="str">
        <f>IFERROR(VLOOKUP($F42,매장구분!$B:$K,3,0),"")</f>
        <v>국내</v>
      </c>
      <c r="C42" s="6" t="str">
        <f>IFERROR(VLOOKUP($F42,매장구분!$B:$K,5,0),"")</f>
        <v>백화점</v>
      </c>
      <c r="D42" s="6" t="str">
        <f>IFERROR(VLOOKUP($F42,매장구분!$B:$Z,9,0),"")</f>
        <v>갤러리아광교</v>
      </c>
      <c r="E42" s="69" t="s">
        <v>261</v>
      </c>
      <c r="F42" s="69" t="s">
        <v>262</v>
      </c>
      <c r="G42" s="69">
        <v>638</v>
      </c>
      <c r="H42" s="69">
        <v>70806200</v>
      </c>
      <c r="I42" s="69">
        <v>74164000</v>
      </c>
      <c r="J42" s="69">
        <v>736</v>
      </c>
      <c r="K42" s="69">
        <v>84419200</v>
      </c>
      <c r="L42" s="69">
        <v>88205000</v>
      </c>
      <c r="M42" s="69">
        <v>-98</v>
      </c>
      <c r="N42" s="69">
        <v>-13613000</v>
      </c>
      <c r="O42" s="69">
        <v>-14041000</v>
      </c>
      <c r="P42" s="69">
        <v>6483800</v>
      </c>
      <c r="Q42" s="69">
        <v>1442500</v>
      </c>
      <c r="R42" s="69">
        <v>1328800</v>
      </c>
      <c r="S42" s="69">
        <v>1407500</v>
      </c>
      <c r="T42" s="69">
        <v>379100</v>
      </c>
      <c r="U42" s="69">
        <v>618600</v>
      </c>
      <c r="V42" s="69">
        <v>196800</v>
      </c>
      <c r="W42" s="69">
        <v>848500</v>
      </c>
      <c r="X42" s="69">
        <v>1748400</v>
      </c>
      <c r="Y42" s="69">
        <v>2099000</v>
      </c>
      <c r="Z42" s="69">
        <v>1958500</v>
      </c>
      <c r="AA42" s="69">
        <v>420000</v>
      </c>
      <c r="AB42" s="69">
        <v>476500</v>
      </c>
      <c r="AC42" s="69">
        <v>638000</v>
      </c>
      <c r="AD42" s="69">
        <v>961000</v>
      </c>
      <c r="AE42" s="69">
        <v>1315900</v>
      </c>
      <c r="AF42" s="69">
        <v>4820100</v>
      </c>
      <c r="AG42" s="69">
        <v>18555300</v>
      </c>
      <c r="AH42" s="69">
        <v>806500</v>
      </c>
      <c r="AI42" s="69">
        <v>1844000</v>
      </c>
      <c r="AJ42" s="69">
        <v>1533500</v>
      </c>
      <c r="AK42" s="69">
        <v>112400</v>
      </c>
      <c r="AL42" s="69">
        <v>1008500</v>
      </c>
      <c r="AM42" s="69">
        <v>11734900</v>
      </c>
      <c r="AN42" s="69">
        <v>705000</v>
      </c>
      <c r="AO42" s="69">
        <v>765000</v>
      </c>
      <c r="AP42" s="69">
        <v>521000</v>
      </c>
      <c r="AQ42" s="69">
        <v>957400</v>
      </c>
      <c r="AR42" s="69">
        <v>958000</v>
      </c>
      <c r="AS42" s="69">
        <v>1871400</v>
      </c>
      <c r="AT42" s="69">
        <v>2290300</v>
      </c>
      <c r="AU42" s="69"/>
      <c r="AW42" s="66">
        <f t="shared" si="8"/>
        <v>2771300</v>
      </c>
      <c r="AX42" s="66">
        <f t="shared" si="8"/>
        <v>7297900</v>
      </c>
      <c r="AY42" s="66">
        <f t="shared" si="8"/>
        <v>10590000</v>
      </c>
      <c r="AZ42" s="66">
        <f t="shared" si="8"/>
        <v>35595100</v>
      </c>
      <c r="BA42" s="66">
        <f t="shared" si="8"/>
        <v>8068100</v>
      </c>
      <c r="BC42" s="66">
        <f t="shared" ca="1" si="6"/>
        <v>51003200</v>
      </c>
      <c r="BD42" s="66">
        <f t="shared" si="7"/>
        <v>68515900</v>
      </c>
    </row>
    <row r="43" spans="1:56" x14ac:dyDescent="0.3">
      <c r="A43" s="6" t="str">
        <f>IFERROR(VLOOKUP($F43,매장구분!$B:$K,2,0),"")</f>
        <v>파트너채널팀</v>
      </c>
      <c r="B43" s="6" t="str">
        <f>IFERROR(VLOOKUP($F43,매장구분!$B:$K,3,0),"")</f>
        <v>국내</v>
      </c>
      <c r="C43" s="6" t="str">
        <f>IFERROR(VLOOKUP($F43,매장구분!$B:$K,5,0),"")</f>
        <v>백화점</v>
      </c>
      <c r="D43" s="6" t="str">
        <f>IFERROR(VLOOKUP($F43,매장구분!$B:$Z,9,0),"")</f>
        <v>AK평택</v>
      </c>
      <c r="E43" s="69" t="s">
        <v>251</v>
      </c>
      <c r="F43" s="69" t="s">
        <v>252</v>
      </c>
      <c r="G43" s="69">
        <v>1044</v>
      </c>
      <c r="H43" s="69">
        <v>102881500</v>
      </c>
      <c r="I43" s="69">
        <v>113255300</v>
      </c>
      <c r="J43" s="69">
        <v>1214</v>
      </c>
      <c r="K43" s="69">
        <v>128127900</v>
      </c>
      <c r="L43" s="69">
        <v>139158300</v>
      </c>
      <c r="M43" s="69">
        <v>-170</v>
      </c>
      <c r="N43" s="69">
        <v>-25246400</v>
      </c>
      <c r="O43" s="69">
        <v>-25903000</v>
      </c>
      <c r="P43" s="69">
        <v>3448700</v>
      </c>
      <c r="Q43" s="69">
        <v>3617700</v>
      </c>
      <c r="R43" s="69">
        <v>3426100</v>
      </c>
      <c r="S43" s="69">
        <v>2752000</v>
      </c>
      <c r="T43" s="69">
        <v>759600</v>
      </c>
      <c r="U43" s="69">
        <v>2687700</v>
      </c>
      <c r="V43" s="69">
        <v>4068600</v>
      </c>
      <c r="W43" s="69">
        <v>1513300</v>
      </c>
      <c r="X43" s="69">
        <v>5763300</v>
      </c>
      <c r="Y43" s="69">
        <v>11065400</v>
      </c>
      <c r="Z43" s="69">
        <v>2054900</v>
      </c>
      <c r="AA43" s="69">
        <v>1686700</v>
      </c>
      <c r="AB43" s="69">
        <v>5104600</v>
      </c>
      <c r="AC43" s="69">
        <v>2093200</v>
      </c>
      <c r="AD43" s="69">
        <v>3276500</v>
      </c>
      <c r="AE43" s="69">
        <v>3200000</v>
      </c>
      <c r="AF43" s="69">
        <v>4498000</v>
      </c>
      <c r="AG43" s="69">
        <v>2536000</v>
      </c>
      <c r="AH43" s="69">
        <v>1588300</v>
      </c>
      <c r="AI43" s="69">
        <v>2440300</v>
      </c>
      <c r="AJ43" s="69">
        <v>1561000</v>
      </c>
      <c r="AK43" s="69">
        <v>3660800</v>
      </c>
      <c r="AL43" s="69">
        <v>4694300</v>
      </c>
      <c r="AM43" s="69">
        <v>5899800</v>
      </c>
      <c r="AN43" s="69">
        <v>2580500</v>
      </c>
      <c r="AO43" s="69">
        <v>2018500</v>
      </c>
      <c r="AP43" s="69">
        <v>453900</v>
      </c>
      <c r="AQ43" s="69">
        <v>2978500</v>
      </c>
      <c r="AR43" s="69">
        <v>1285900</v>
      </c>
      <c r="AS43" s="69">
        <v>2338500</v>
      </c>
      <c r="AT43" s="69">
        <v>7828900</v>
      </c>
      <c r="AU43" s="69"/>
      <c r="AW43" s="66">
        <f t="shared" si="8"/>
        <v>7043800</v>
      </c>
      <c r="AX43" s="66">
        <f t="shared" si="8"/>
        <v>28609900</v>
      </c>
      <c r="AY43" s="66">
        <f t="shared" si="8"/>
        <v>21913900</v>
      </c>
      <c r="AZ43" s="66">
        <f t="shared" si="8"/>
        <v>22380500</v>
      </c>
      <c r="BA43" s="66">
        <f t="shared" si="8"/>
        <v>19484700</v>
      </c>
      <c r="BC43" s="66">
        <f t="shared" ca="1" si="6"/>
        <v>77497000</v>
      </c>
      <c r="BD43" s="66">
        <f t="shared" si="7"/>
        <v>95052600</v>
      </c>
    </row>
    <row r="44" spans="1:56" x14ac:dyDescent="0.3">
      <c r="A44" s="6" t="str">
        <f>IFERROR(VLOOKUP($F44,매장구분!$B:$K,2,0),"")</f>
        <v>파트너채널팀</v>
      </c>
      <c r="B44" s="6" t="str">
        <f>IFERROR(VLOOKUP($F44,매장구분!$B:$K,3,0),"")</f>
        <v>국내</v>
      </c>
      <c r="C44" s="6" t="str">
        <f>IFERROR(VLOOKUP($F44,매장구분!$B:$K,5,0),"")</f>
        <v>백화점</v>
      </c>
      <c r="D44" s="6" t="str">
        <f>IFERROR(VLOOKUP($F44,매장구분!$B:$Z,9,0),"")</f>
        <v>NC신구로</v>
      </c>
      <c r="E44" s="69" t="s">
        <v>596</v>
      </c>
      <c r="F44" s="69" t="s">
        <v>597</v>
      </c>
      <c r="G44" s="69">
        <v>585</v>
      </c>
      <c r="H44" s="69">
        <v>49992300</v>
      </c>
      <c r="I44" s="69">
        <v>55530000</v>
      </c>
      <c r="J44" s="69">
        <v>672</v>
      </c>
      <c r="K44" s="69">
        <v>64081900</v>
      </c>
      <c r="L44" s="69">
        <v>70223000</v>
      </c>
      <c r="M44" s="69">
        <v>-87</v>
      </c>
      <c r="N44" s="69">
        <v>-14089600</v>
      </c>
      <c r="O44" s="69">
        <v>-14693000</v>
      </c>
      <c r="P44" s="69">
        <v>762000</v>
      </c>
      <c r="Q44" s="69">
        <v>1321000</v>
      </c>
      <c r="R44" s="69">
        <v>555300</v>
      </c>
      <c r="S44" s="69">
        <v>1510000</v>
      </c>
      <c r="T44" s="69">
        <v>1106100</v>
      </c>
      <c r="U44" s="69">
        <v>2976500</v>
      </c>
      <c r="V44" s="69">
        <v>1275200</v>
      </c>
      <c r="W44" s="69">
        <v>1620700</v>
      </c>
      <c r="X44" s="69">
        <v>1188000</v>
      </c>
      <c r="Y44" s="69">
        <v>1781100</v>
      </c>
      <c r="Z44" s="69">
        <v>639000</v>
      </c>
      <c r="AA44" s="69">
        <v>3039700</v>
      </c>
      <c r="AB44" s="69">
        <v>1291000</v>
      </c>
      <c r="AC44" s="69">
        <v>1276500</v>
      </c>
      <c r="AD44" s="69">
        <v>403000</v>
      </c>
      <c r="AE44" s="69">
        <v>1079000</v>
      </c>
      <c r="AF44" s="69">
        <v>1969300</v>
      </c>
      <c r="AG44" s="69">
        <v>2506700</v>
      </c>
      <c r="AH44" s="69">
        <v>2113900</v>
      </c>
      <c r="AI44" s="69">
        <v>564300</v>
      </c>
      <c r="AJ44" s="69">
        <v>1753800</v>
      </c>
      <c r="AK44" s="69">
        <v>630000</v>
      </c>
      <c r="AL44" s="69">
        <v>2066200</v>
      </c>
      <c r="AM44" s="69">
        <v>2904100</v>
      </c>
      <c r="AN44" s="69">
        <v>339000</v>
      </c>
      <c r="AO44" s="69">
        <v>3426300</v>
      </c>
      <c r="AP44" s="69">
        <v>2499100</v>
      </c>
      <c r="AQ44" s="69">
        <v>1182500</v>
      </c>
      <c r="AR44" s="69">
        <v>1693000</v>
      </c>
      <c r="AS44" s="69">
        <v>3557500</v>
      </c>
      <c r="AT44" s="69">
        <v>962500</v>
      </c>
      <c r="AU44" s="69"/>
      <c r="AW44" s="66">
        <f t="shared" ref="AW44:BA59" si="9">SUMIFS($Q44:$AU44,$Q$3:$AU$3,AW$3)</f>
        <v>1876300</v>
      </c>
      <c r="AX44" s="66">
        <f t="shared" si="9"/>
        <v>11457600</v>
      </c>
      <c r="AY44" s="66">
        <f t="shared" si="9"/>
        <v>9697500</v>
      </c>
      <c r="AZ44" s="66">
        <f t="shared" si="9"/>
        <v>12539000</v>
      </c>
      <c r="BA44" s="66">
        <f t="shared" si="9"/>
        <v>13659900</v>
      </c>
      <c r="BC44" s="66">
        <f t="shared" ca="1" si="6"/>
        <v>33428300</v>
      </c>
      <c r="BD44" s="66">
        <f t="shared" si="7"/>
        <v>49029800</v>
      </c>
    </row>
    <row r="45" spans="1:56" x14ac:dyDescent="0.3">
      <c r="A45" s="6" t="str">
        <f>IFERROR(VLOOKUP($F45,매장구분!$B:$K,2,0),"")</f>
        <v>파트너채널팀</v>
      </c>
      <c r="B45" s="6" t="str">
        <f>IFERROR(VLOOKUP($F45,매장구분!$B:$K,3,0),"")</f>
        <v>국내</v>
      </c>
      <c r="C45" s="6" t="str">
        <f>IFERROR(VLOOKUP($F45,매장구분!$B:$K,5,0),"")</f>
        <v>백화점</v>
      </c>
      <c r="D45" s="6" t="str">
        <f>IFERROR(VLOOKUP($F45,매장구분!$B:$Z,9,0),"")</f>
        <v>신세계대전</v>
      </c>
      <c r="E45" s="69" t="s">
        <v>263</v>
      </c>
      <c r="F45" s="69" t="s">
        <v>264</v>
      </c>
      <c r="G45" s="69">
        <v>1094</v>
      </c>
      <c r="H45" s="69">
        <v>134318400</v>
      </c>
      <c r="I45" s="69">
        <v>138268800</v>
      </c>
      <c r="J45" s="69">
        <v>1192</v>
      </c>
      <c r="K45" s="69">
        <v>149642200</v>
      </c>
      <c r="L45" s="69">
        <v>154172800</v>
      </c>
      <c r="M45" s="69">
        <v>-98</v>
      </c>
      <c r="N45" s="69">
        <v>-15323800</v>
      </c>
      <c r="O45" s="69">
        <v>-15904000</v>
      </c>
      <c r="P45" s="69">
        <v>5555400</v>
      </c>
      <c r="Q45" s="69">
        <v>4811700</v>
      </c>
      <c r="R45" s="69">
        <v>4464400</v>
      </c>
      <c r="S45" s="69">
        <v>875000</v>
      </c>
      <c r="T45" s="69">
        <v>1098700</v>
      </c>
      <c r="U45" s="69">
        <v>1021400</v>
      </c>
      <c r="V45" s="69">
        <v>1630300</v>
      </c>
      <c r="W45" s="69">
        <v>1675000</v>
      </c>
      <c r="X45" s="69">
        <v>9453000</v>
      </c>
      <c r="Y45" s="69">
        <v>8573000</v>
      </c>
      <c r="Z45" s="69">
        <v>569000</v>
      </c>
      <c r="AA45" s="69">
        <v>2089900</v>
      </c>
      <c r="AB45" s="69">
        <v>1778000</v>
      </c>
      <c r="AC45" s="69">
        <v>2316000</v>
      </c>
      <c r="AD45" s="69">
        <v>1671000</v>
      </c>
      <c r="AE45" s="69">
        <v>7870000</v>
      </c>
      <c r="AF45" s="69">
        <v>5910000</v>
      </c>
      <c r="AG45" s="69">
        <v>0</v>
      </c>
      <c r="AH45" s="69">
        <v>2737000</v>
      </c>
      <c r="AI45" s="69">
        <v>6724700</v>
      </c>
      <c r="AJ45" s="69">
        <v>1059000</v>
      </c>
      <c r="AK45" s="69">
        <v>1996500</v>
      </c>
      <c r="AL45" s="69">
        <v>5739000</v>
      </c>
      <c r="AM45" s="69">
        <v>5876000</v>
      </c>
      <c r="AN45" s="69">
        <v>898000</v>
      </c>
      <c r="AO45" s="69">
        <v>1697000</v>
      </c>
      <c r="AP45" s="69">
        <v>1757000</v>
      </c>
      <c r="AQ45" s="69">
        <v>11909000</v>
      </c>
      <c r="AR45" s="69">
        <v>4636000</v>
      </c>
      <c r="AS45" s="69">
        <v>14989500</v>
      </c>
      <c r="AT45" s="69">
        <v>12937900</v>
      </c>
      <c r="AU45" s="69"/>
      <c r="AW45" s="66">
        <f t="shared" si="9"/>
        <v>9276100</v>
      </c>
      <c r="AX45" s="66">
        <f t="shared" si="9"/>
        <v>24326400</v>
      </c>
      <c r="AY45" s="66">
        <f t="shared" si="9"/>
        <v>22203900</v>
      </c>
      <c r="AZ45" s="66">
        <f t="shared" si="9"/>
        <v>24132200</v>
      </c>
      <c r="BA45" s="66">
        <f t="shared" si="9"/>
        <v>48824400</v>
      </c>
      <c r="BC45" s="66">
        <f t="shared" ca="1" si="6"/>
        <v>79618000</v>
      </c>
      <c r="BD45" s="66">
        <f t="shared" si="7"/>
        <v>121380500</v>
      </c>
    </row>
    <row r="46" spans="1:56" x14ac:dyDescent="0.3">
      <c r="A46" s="6" t="str">
        <f>IFERROR(VLOOKUP($F46,매장구분!$B:$K,2,0),"")</f>
        <v>파트너채널팀</v>
      </c>
      <c r="B46" s="6" t="str">
        <f>IFERROR(VLOOKUP($F46,매장구분!$B:$K,3,0),"")</f>
        <v>국내</v>
      </c>
      <c r="C46" s="6" t="str">
        <f>IFERROR(VLOOKUP($F46,매장구분!$B:$K,5,0),"")</f>
        <v>백화점</v>
      </c>
      <c r="D46" s="6" t="str">
        <f>IFERROR(VLOOKUP($F46,매장구분!$B:$Z,9,0),"")</f>
        <v>롯데동탄</v>
      </c>
      <c r="E46" s="69" t="s">
        <v>406</v>
      </c>
      <c r="F46" s="69" t="s">
        <v>407</v>
      </c>
      <c r="G46" s="69">
        <v>672</v>
      </c>
      <c r="H46" s="69">
        <v>67264500</v>
      </c>
      <c r="I46" s="69">
        <v>77924900</v>
      </c>
      <c r="J46" s="69">
        <v>734</v>
      </c>
      <c r="K46" s="69">
        <v>75862500</v>
      </c>
      <c r="L46" s="69">
        <v>88526900</v>
      </c>
      <c r="M46" s="69">
        <v>-62</v>
      </c>
      <c r="N46" s="69">
        <v>-8598000</v>
      </c>
      <c r="O46" s="69">
        <v>-10602000</v>
      </c>
      <c r="P46" s="69">
        <v>551500</v>
      </c>
      <c r="Q46" s="69">
        <v>3813700</v>
      </c>
      <c r="R46" s="69">
        <v>1287900</v>
      </c>
      <c r="S46" s="69">
        <v>1495100</v>
      </c>
      <c r="T46" s="69">
        <v>1235400</v>
      </c>
      <c r="U46" s="69">
        <v>1618800</v>
      </c>
      <c r="V46" s="69">
        <v>2579100</v>
      </c>
      <c r="W46" s="69">
        <v>942500</v>
      </c>
      <c r="X46" s="69">
        <v>2135000</v>
      </c>
      <c r="Y46" s="69">
        <v>2604000</v>
      </c>
      <c r="Z46" s="69">
        <v>0</v>
      </c>
      <c r="AA46" s="69">
        <v>507400</v>
      </c>
      <c r="AB46" s="69">
        <v>1834000</v>
      </c>
      <c r="AC46" s="69">
        <v>1881900</v>
      </c>
      <c r="AD46" s="69">
        <v>1054000</v>
      </c>
      <c r="AE46" s="69">
        <v>2412000</v>
      </c>
      <c r="AF46" s="69">
        <v>2865000</v>
      </c>
      <c r="AG46" s="69">
        <v>1076000</v>
      </c>
      <c r="AH46" s="69">
        <v>1925900</v>
      </c>
      <c r="AI46" s="69">
        <v>2393500</v>
      </c>
      <c r="AJ46" s="69">
        <v>310000</v>
      </c>
      <c r="AK46" s="69">
        <v>3645000</v>
      </c>
      <c r="AL46" s="69">
        <v>4992000</v>
      </c>
      <c r="AM46" s="69">
        <v>8812500</v>
      </c>
      <c r="AN46" s="69">
        <v>940000</v>
      </c>
      <c r="AO46" s="69">
        <v>1315800</v>
      </c>
      <c r="AP46" s="69">
        <v>786000</v>
      </c>
      <c r="AQ46" s="69">
        <v>972000</v>
      </c>
      <c r="AR46" s="69">
        <v>3417000</v>
      </c>
      <c r="AS46" s="69">
        <v>3550500</v>
      </c>
      <c r="AT46" s="69">
        <v>4311000</v>
      </c>
      <c r="AU46" s="69"/>
      <c r="AW46" s="66">
        <f t="shared" si="9"/>
        <v>5101600</v>
      </c>
      <c r="AX46" s="66">
        <f t="shared" si="9"/>
        <v>12609900</v>
      </c>
      <c r="AY46" s="66">
        <f t="shared" si="9"/>
        <v>10554300</v>
      </c>
      <c r="AZ46" s="66">
        <f t="shared" si="9"/>
        <v>23154900</v>
      </c>
      <c r="BA46" s="66">
        <f t="shared" si="9"/>
        <v>15292300</v>
      </c>
      <c r="BC46" s="66">
        <f t="shared" ca="1" si="6"/>
        <v>43159700</v>
      </c>
      <c r="BD46" s="66">
        <f t="shared" si="7"/>
        <v>62953500</v>
      </c>
    </row>
    <row r="47" spans="1:56" x14ac:dyDescent="0.3">
      <c r="A47" s="6" t="str">
        <f>IFERROR(VLOOKUP($F47,매장구분!$B:$K,2,0),"")</f>
        <v>파트너채널팀</v>
      </c>
      <c r="B47" s="6" t="str">
        <f>IFERROR(VLOOKUP($F47,매장구분!$B:$K,3,0),"")</f>
        <v>국내</v>
      </c>
      <c r="C47" s="6" t="str">
        <f>IFERROR(VLOOKUP($F47,매장구분!$B:$K,5,0),"")</f>
        <v>백화점</v>
      </c>
      <c r="D47" s="6" t="str">
        <f>IFERROR(VLOOKUP($F47,매장구분!$B:$Z,9,0),"")</f>
        <v>에버세이브청주</v>
      </c>
      <c r="E47" s="69" t="s">
        <v>328</v>
      </c>
      <c r="F47" s="69" t="s">
        <v>329</v>
      </c>
      <c r="G47" s="69">
        <v>573</v>
      </c>
      <c r="H47" s="69">
        <v>66042700</v>
      </c>
      <c r="I47" s="69">
        <v>67906000</v>
      </c>
      <c r="J47" s="69">
        <v>1032</v>
      </c>
      <c r="K47" s="69">
        <v>152471600</v>
      </c>
      <c r="L47" s="69">
        <v>154527000</v>
      </c>
      <c r="M47" s="69">
        <v>-459</v>
      </c>
      <c r="N47" s="69">
        <v>-86428900</v>
      </c>
      <c r="O47" s="69">
        <v>-86621000</v>
      </c>
      <c r="P47" s="69">
        <v>1134200</v>
      </c>
      <c r="Q47" s="69">
        <v>2200700</v>
      </c>
      <c r="R47" s="69">
        <v>3329600</v>
      </c>
      <c r="S47" s="69">
        <v>719500</v>
      </c>
      <c r="T47" s="69">
        <v>819300</v>
      </c>
      <c r="U47" s="69">
        <v>894200</v>
      </c>
      <c r="V47" s="69">
        <v>829100</v>
      </c>
      <c r="W47" s="69">
        <v>1932200</v>
      </c>
      <c r="X47" s="69">
        <v>3656600</v>
      </c>
      <c r="Y47" s="69">
        <v>2996000</v>
      </c>
      <c r="Z47" s="69">
        <v>1232000</v>
      </c>
      <c r="AA47" s="69">
        <v>1569000</v>
      </c>
      <c r="AB47" s="69">
        <v>1643000</v>
      </c>
      <c r="AC47" s="69">
        <v>879000</v>
      </c>
      <c r="AD47" s="69">
        <v>1329000</v>
      </c>
      <c r="AE47" s="69">
        <v>2735600</v>
      </c>
      <c r="AF47" s="69">
        <v>2208000</v>
      </c>
      <c r="AG47" s="69">
        <v>2205200</v>
      </c>
      <c r="AH47" s="69">
        <v>1433300</v>
      </c>
      <c r="AI47" s="69">
        <v>2026000</v>
      </c>
      <c r="AJ47" s="69">
        <v>1855000</v>
      </c>
      <c r="AK47" s="69">
        <v>3783000</v>
      </c>
      <c r="AL47" s="69">
        <v>4666000</v>
      </c>
      <c r="AM47" s="69">
        <v>4640000</v>
      </c>
      <c r="AN47" s="69">
        <v>1388000</v>
      </c>
      <c r="AO47" s="69">
        <v>1213000</v>
      </c>
      <c r="AP47" s="69">
        <v>1199000</v>
      </c>
      <c r="AQ47" s="69">
        <v>956000</v>
      </c>
      <c r="AR47" s="69">
        <v>2520300</v>
      </c>
      <c r="AS47" s="69">
        <v>3712900</v>
      </c>
      <c r="AT47" s="69">
        <v>4338000</v>
      </c>
      <c r="AU47" s="69"/>
      <c r="AW47" s="66">
        <f t="shared" si="9"/>
        <v>5530300</v>
      </c>
      <c r="AX47" s="66">
        <f t="shared" si="9"/>
        <v>11846900</v>
      </c>
      <c r="AY47" s="66">
        <f t="shared" si="9"/>
        <v>11595600</v>
      </c>
      <c r="AZ47" s="66">
        <f t="shared" si="9"/>
        <v>20608500</v>
      </c>
      <c r="BA47" s="66">
        <f t="shared" si="9"/>
        <v>15327200</v>
      </c>
      <c r="BC47" s="66">
        <f t="shared" ca="1" si="6"/>
        <v>46075500</v>
      </c>
      <c r="BD47" s="66">
        <f t="shared" si="7"/>
        <v>61704700</v>
      </c>
    </row>
    <row r="48" spans="1:56" x14ac:dyDescent="0.3">
      <c r="A48" s="6" t="str">
        <f>IFERROR(VLOOKUP($F48,매장구분!$B:$K,2,0),"")</f>
        <v>파트너채널팀</v>
      </c>
      <c r="B48" s="6" t="str">
        <f>IFERROR(VLOOKUP($F48,매장구분!$B:$K,3,0),"")</f>
        <v>국내</v>
      </c>
      <c r="C48" s="6" t="str">
        <f>IFERROR(VLOOKUP($F48,매장구분!$B:$K,5,0),"")</f>
        <v>백화점</v>
      </c>
      <c r="D48" s="6" t="str">
        <f>IFERROR(VLOOKUP($F48,매장구분!$B:$Z,9,0),"")</f>
        <v>현대디큐브시티</v>
      </c>
      <c r="E48" s="69" t="s">
        <v>584</v>
      </c>
      <c r="F48" s="69" t="s">
        <v>585</v>
      </c>
      <c r="G48" s="69">
        <v>1203</v>
      </c>
      <c r="H48" s="69">
        <v>81988800</v>
      </c>
      <c r="I48" s="69">
        <v>86909900</v>
      </c>
      <c r="J48" s="69">
        <v>1768</v>
      </c>
      <c r="K48" s="69">
        <v>205280400</v>
      </c>
      <c r="L48" s="69">
        <v>210392900</v>
      </c>
      <c r="M48" s="69">
        <v>-565</v>
      </c>
      <c r="N48" s="69">
        <v>-123291600</v>
      </c>
      <c r="O48" s="69">
        <v>-123483000</v>
      </c>
      <c r="P48" s="69">
        <v>624100</v>
      </c>
      <c r="Q48" s="69">
        <v>1045200</v>
      </c>
      <c r="R48" s="69">
        <v>1185300</v>
      </c>
      <c r="S48" s="69">
        <v>539400</v>
      </c>
      <c r="T48" s="69">
        <v>3019100</v>
      </c>
      <c r="U48" s="69">
        <v>10066900</v>
      </c>
      <c r="V48" s="69">
        <v>10295200</v>
      </c>
      <c r="W48" s="69">
        <v>691800</v>
      </c>
      <c r="X48" s="69">
        <v>2202800</v>
      </c>
      <c r="Y48" s="69">
        <v>2016000</v>
      </c>
      <c r="Z48" s="69">
        <v>0</v>
      </c>
      <c r="AA48" s="69">
        <v>724000</v>
      </c>
      <c r="AB48" s="69">
        <v>6268500</v>
      </c>
      <c r="AC48" s="69">
        <v>1232000</v>
      </c>
      <c r="AD48" s="69">
        <v>1373000</v>
      </c>
      <c r="AE48" s="69">
        <v>495500</v>
      </c>
      <c r="AF48" s="69">
        <v>1433500</v>
      </c>
      <c r="AG48" s="69">
        <v>1946000</v>
      </c>
      <c r="AH48" s="69">
        <v>14557000</v>
      </c>
      <c r="AI48" s="69">
        <v>410000</v>
      </c>
      <c r="AJ48" s="69">
        <v>1022000</v>
      </c>
      <c r="AK48" s="69">
        <v>10048000</v>
      </c>
      <c r="AL48" s="69">
        <v>2138500</v>
      </c>
      <c r="AM48" s="69">
        <v>932500</v>
      </c>
      <c r="AN48" s="69">
        <v>1637900</v>
      </c>
      <c r="AO48" s="69">
        <v>541500</v>
      </c>
      <c r="AP48" s="69">
        <v>758000</v>
      </c>
      <c r="AQ48" s="69">
        <v>488000</v>
      </c>
      <c r="AR48" s="69">
        <v>1352000</v>
      </c>
      <c r="AS48" s="69">
        <v>1085100</v>
      </c>
      <c r="AT48" s="69">
        <v>1860000</v>
      </c>
      <c r="AU48" s="69"/>
      <c r="AW48" s="66">
        <f t="shared" si="9"/>
        <v>2230500</v>
      </c>
      <c r="AX48" s="66">
        <f t="shared" si="9"/>
        <v>28831200</v>
      </c>
      <c r="AY48" s="66">
        <f t="shared" si="9"/>
        <v>11526500</v>
      </c>
      <c r="AZ48" s="66">
        <f t="shared" si="9"/>
        <v>31054000</v>
      </c>
      <c r="BA48" s="66">
        <f t="shared" si="9"/>
        <v>7722500</v>
      </c>
      <c r="BC48" s="66">
        <f t="shared" ca="1" si="6"/>
        <v>73333800</v>
      </c>
      <c r="BD48" s="66">
        <f t="shared" si="7"/>
        <v>80128800</v>
      </c>
    </row>
    <row r="49" spans="1:56" x14ac:dyDescent="0.3">
      <c r="A49" s="6" t="str">
        <f>IFERROR(VLOOKUP($F49,매장구분!$B:$K,2,0),"")</f>
        <v>파트너채널팀</v>
      </c>
      <c r="B49" s="6" t="str">
        <f>IFERROR(VLOOKUP($F49,매장구분!$B:$K,3,0),"")</f>
        <v>국내</v>
      </c>
      <c r="C49" s="6" t="str">
        <f>IFERROR(VLOOKUP($F49,매장구분!$B:$K,5,0),"")</f>
        <v>백화점</v>
      </c>
      <c r="D49" s="6" t="str">
        <f>IFERROR(VLOOKUP($F49,매장구분!$B:$Z,9,0),"")</f>
        <v>엔터식스안양</v>
      </c>
      <c r="E49" s="69" t="s">
        <v>414</v>
      </c>
      <c r="F49" s="69" t="s">
        <v>415</v>
      </c>
      <c r="G49" s="69">
        <v>877</v>
      </c>
      <c r="H49" s="69">
        <v>82505700</v>
      </c>
      <c r="I49" s="69">
        <v>90299900</v>
      </c>
      <c r="J49" s="69">
        <v>1136</v>
      </c>
      <c r="K49" s="69">
        <v>141798200</v>
      </c>
      <c r="L49" s="69">
        <v>150393900</v>
      </c>
      <c r="M49" s="69">
        <v>-259</v>
      </c>
      <c r="N49" s="69">
        <v>-59292500</v>
      </c>
      <c r="O49" s="69">
        <v>-60094000</v>
      </c>
      <c r="P49" s="69">
        <v>1385300</v>
      </c>
      <c r="Q49" s="69">
        <v>2069300</v>
      </c>
      <c r="R49" s="69">
        <v>3063600</v>
      </c>
      <c r="S49" s="69">
        <v>1725000</v>
      </c>
      <c r="T49" s="69">
        <v>3238600</v>
      </c>
      <c r="U49" s="69">
        <v>1717300</v>
      </c>
      <c r="V49" s="69">
        <v>2484500</v>
      </c>
      <c r="W49" s="69">
        <v>2864700</v>
      </c>
      <c r="X49" s="69">
        <v>4503300</v>
      </c>
      <c r="Y49" s="69">
        <v>3209800</v>
      </c>
      <c r="Z49" s="69">
        <v>2705000</v>
      </c>
      <c r="AA49" s="69">
        <v>2473000</v>
      </c>
      <c r="AB49" s="69">
        <v>2612000</v>
      </c>
      <c r="AC49" s="69">
        <v>2293500</v>
      </c>
      <c r="AD49" s="69">
        <v>3056000</v>
      </c>
      <c r="AE49" s="69">
        <v>3192100</v>
      </c>
      <c r="AF49" s="69">
        <v>5201200</v>
      </c>
      <c r="AG49" s="69">
        <v>5592600</v>
      </c>
      <c r="AH49" s="69">
        <v>2856600</v>
      </c>
      <c r="AI49" s="69">
        <v>1258900</v>
      </c>
      <c r="AJ49" s="69">
        <v>1099000</v>
      </c>
      <c r="AK49" s="69">
        <v>2771800</v>
      </c>
      <c r="AL49" s="69">
        <v>1820800</v>
      </c>
      <c r="AM49" s="69">
        <v>4347000</v>
      </c>
      <c r="AN49" s="69">
        <v>1113000</v>
      </c>
      <c r="AO49" s="69">
        <v>1719000</v>
      </c>
      <c r="AP49" s="69">
        <v>930900</v>
      </c>
      <c r="AQ49" s="69">
        <v>2411800</v>
      </c>
      <c r="AR49" s="69">
        <v>2806000</v>
      </c>
      <c r="AS49" s="69">
        <v>3178800</v>
      </c>
      <c r="AT49" s="69">
        <v>2805300</v>
      </c>
      <c r="AU49" s="69"/>
      <c r="AW49" s="66">
        <f t="shared" si="9"/>
        <v>5132900</v>
      </c>
      <c r="AX49" s="66">
        <f t="shared" si="9"/>
        <v>19743200</v>
      </c>
      <c r="AY49" s="66">
        <f t="shared" si="9"/>
        <v>21532800</v>
      </c>
      <c r="AZ49" s="66">
        <f t="shared" si="9"/>
        <v>19746700</v>
      </c>
      <c r="BA49" s="66">
        <f t="shared" si="9"/>
        <v>14964800</v>
      </c>
      <c r="BC49" s="66">
        <f t="shared" ca="1" si="6"/>
        <v>63193900</v>
      </c>
      <c r="BD49" s="66">
        <f t="shared" si="7"/>
        <v>79700400</v>
      </c>
    </row>
    <row r="50" spans="1:56" x14ac:dyDescent="0.3">
      <c r="A50" s="6" t="str">
        <f>IFERROR(VLOOKUP($F50,매장구분!$B:$K,2,0),"")</f>
        <v>파트너채널팀</v>
      </c>
      <c r="B50" s="6" t="str">
        <f>IFERROR(VLOOKUP($F50,매장구분!$B:$K,3,0),"")</f>
        <v>국내</v>
      </c>
      <c r="C50" s="6" t="str">
        <f>IFERROR(VLOOKUP($F50,매장구분!$B:$K,5,0),"")</f>
        <v>백화점</v>
      </c>
      <c r="D50" s="6" t="str">
        <f>IFERROR(VLOOKUP($F50,매장구분!$B:$Z,9,0),"")</f>
        <v>신세계영등포</v>
      </c>
      <c r="E50" s="69" t="s">
        <v>416</v>
      </c>
      <c r="F50" s="69" t="s">
        <v>417</v>
      </c>
      <c r="G50" s="69">
        <v>592</v>
      </c>
      <c r="H50" s="69">
        <v>69477600</v>
      </c>
      <c r="I50" s="69">
        <v>72206900</v>
      </c>
      <c r="J50" s="69">
        <v>651</v>
      </c>
      <c r="K50" s="69">
        <v>80210300</v>
      </c>
      <c r="L50" s="69">
        <v>83017900</v>
      </c>
      <c r="M50" s="69">
        <v>-59</v>
      </c>
      <c r="N50" s="69">
        <v>-10732700</v>
      </c>
      <c r="O50" s="69">
        <v>-10811000</v>
      </c>
      <c r="P50" s="69">
        <v>5537100</v>
      </c>
      <c r="Q50" s="69">
        <v>2653500</v>
      </c>
      <c r="R50" s="69">
        <v>4111400</v>
      </c>
      <c r="S50" s="69">
        <v>2075000</v>
      </c>
      <c r="T50" s="69">
        <v>1391300</v>
      </c>
      <c r="U50" s="69">
        <v>1517600</v>
      </c>
      <c r="V50" s="69">
        <v>896900</v>
      </c>
      <c r="W50" s="69">
        <v>1998900</v>
      </c>
      <c r="X50" s="69">
        <v>3952900</v>
      </c>
      <c r="Y50" s="69">
        <v>4336000</v>
      </c>
      <c r="Z50" s="69">
        <v>1559000</v>
      </c>
      <c r="AA50" s="69">
        <v>2582000</v>
      </c>
      <c r="AB50" s="69">
        <v>1231300</v>
      </c>
      <c r="AC50" s="69">
        <v>1504000</v>
      </c>
      <c r="AD50" s="69">
        <v>1973300</v>
      </c>
      <c r="AE50" s="69">
        <v>1632800</v>
      </c>
      <c r="AF50" s="69">
        <v>5429500</v>
      </c>
      <c r="AG50" s="69">
        <v>0</v>
      </c>
      <c r="AH50" s="69">
        <v>1585000</v>
      </c>
      <c r="AI50" s="69">
        <v>1326500</v>
      </c>
      <c r="AJ50" s="69">
        <v>1426000</v>
      </c>
      <c r="AK50" s="69">
        <v>2592300</v>
      </c>
      <c r="AL50" s="69">
        <v>2526300</v>
      </c>
      <c r="AM50" s="69">
        <v>2099000</v>
      </c>
      <c r="AN50" s="69">
        <v>737500</v>
      </c>
      <c r="AO50" s="69">
        <v>881000</v>
      </c>
      <c r="AP50" s="69">
        <v>2051000</v>
      </c>
      <c r="AQ50" s="69">
        <v>3167900</v>
      </c>
      <c r="AR50" s="69">
        <v>1277000</v>
      </c>
      <c r="AS50" s="69">
        <v>2732600</v>
      </c>
      <c r="AT50" s="69">
        <v>2693000</v>
      </c>
      <c r="AU50" s="69"/>
      <c r="AW50" s="66">
        <f t="shared" si="9"/>
        <v>6764900</v>
      </c>
      <c r="AX50" s="66">
        <f t="shared" si="9"/>
        <v>16168600</v>
      </c>
      <c r="AY50" s="66">
        <f t="shared" si="9"/>
        <v>15911900</v>
      </c>
      <c r="AZ50" s="66">
        <f t="shared" si="9"/>
        <v>11555100</v>
      </c>
      <c r="BA50" s="66">
        <f t="shared" si="9"/>
        <v>13540000</v>
      </c>
      <c r="BC50" s="66">
        <f t="shared" ca="1" si="6"/>
        <v>53838600</v>
      </c>
      <c r="BD50" s="66">
        <f t="shared" si="7"/>
        <v>66784600</v>
      </c>
    </row>
    <row r="51" spans="1:56" x14ac:dyDescent="0.3">
      <c r="A51" s="6" t="str">
        <f>IFERROR(VLOOKUP($F51,매장구분!$B:$K,2,0),"")</f>
        <v>파트너채널팀</v>
      </c>
      <c r="B51" s="6" t="str">
        <f>IFERROR(VLOOKUP($F51,매장구분!$B:$K,3,0),"")</f>
        <v>국내</v>
      </c>
      <c r="C51" s="6" t="str">
        <f>IFERROR(VLOOKUP($F51,매장구분!$B:$K,5,0),"")</f>
        <v>백화점</v>
      </c>
      <c r="D51" s="6" t="str">
        <f>IFERROR(VLOOKUP($F51,매장구분!$B:$Z,9,0),"")</f>
        <v>모다아울렛대전</v>
      </c>
      <c r="E51" s="69" t="s">
        <v>236</v>
      </c>
      <c r="F51" s="69" t="s">
        <v>237</v>
      </c>
      <c r="G51" s="69">
        <v>757</v>
      </c>
      <c r="H51" s="69">
        <v>91857900</v>
      </c>
      <c r="I51" s="69">
        <v>98501000</v>
      </c>
      <c r="J51" s="69">
        <v>794</v>
      </c>
      <c r="K51" s="69">
        <v>97077000</v>
      </c>
      <c r="L51" s="69">
        <v>103904000</v>
      </c>
      <c r="M51" s="69">
        <v>-37</v>
      </c>
      <c r="N51" s="69">
        <v>-5219100</v>
      </c>
      <c r="O51" s="69">
        <v>-5403000</v>
      </c>
      <c r="P51" s="69">
        <v>4437300</v>
      </c>
      <c r="Q51" s="69">
        <v>5997000</v>
      </c>
      <c r="R51" s="69">
        <v>4799300</v>
      </c>
      <c r="S51" s="69">
        <v>730000</v>
      </c>
      <c r="T51" s="69">
        <v>1332000</v>
      </c>
      <c r="U51" s="69">
        <v>1218100</v>
      </c>
      <c r="V51" s="69">
        <v>968100</v>
      </c>
      <c r="W51" s="69">
        <v>1295000</v>
      </c>
      <c r="X51" s="69">
        <v>4623900</v>
      </c>
      <c r="Y51" s="69">
        <v>8436700</v>
      </c>
      <c r="Z51" s="69">
        <v>2885000</v>
      </c>
      <c r="AA51" s="69">
        <v>1067500</v>
      </c>
      <c r="AB51" s="69">
        <v>1409500</v>
      </c>
      <c r="AC51" s="69">
        <v>1220300</v>
      </c>
      <c r="AD51" s="69">
        <v>1364300</v>
      </c>
      <c r="AE51" s="69">
        <v>6211300</v>
      </c>
      <c r="AF51" s="69">
        <v>5255100</v>
      </c>
      <c r="AG51" s="69">
        <v>1784200</v>
      </c>
      <c r="AH51" s="69">
        <v>926000</v>
      </c>
      <c r="AI51" s="69">
        <v>1728100</v>
      </c>
      <c r="AJ51" s="69">
        <v>1525800</v>
      </c>
      <c r="AK51" s="69">
        <v>1632100</v>
      </c>
      <c r="AL51" s="69">
        <v>6594200</v>
      </c>
      <c r="AM51" s="69">
        <v>6233800</v>
      </c>
      <c r="AN51" s="69">
        <v>1232600</v>
      </c>
      <c r="AO51" s="69">
        <v>1638500</v>
      </c>
      <c r="AP51" s="69">
        <v>1327500</v>
      </c>
      <c r="AQ51" s="69">
        <v>477000</v>
      </c>
      <c r="AR51" s="69">
        <v>1172000</v>
      </c>
      <c r="AS51" s="69">
        <v>5549500</v>
      </c>
      <c r="AT51" s="69">
        <v>6786200</v>
      </c>
      <c r="AU51" s="69"/>
      <c r="AW51" s="66">
        <f t="shared" si="9"/>
        <v>10796300</v>
      </c>
      <c r="AX51" s="66">
        <f t="shared" si="9"/>
        <v>18603800</v>
      </c>
      <c r="AY51" s="66">
        <f t="shared" si="9"/>
        <v>19413000</v>
      </c>
      <c r="AZ51" s="66">
        <f t="shared" si="9"/>
        <v>20424200</v>
      </c>
      <c r="BA51" s="66">
        <f t="shared" si="9"/>
        <v>18183300</v>
      </c>
      <c r="BC51" s="66">
        <f t="shared" ca="1" si="6"/>
        <v>67440800</v>
      </c>
      <c r="BD51" s="66">
        <f t="shared" si="7"/>
        <v>85071700</v>
      </c>
    </row>
    <row r="52" spans="1:56" x14ac:dyDescent="0.3">
      <c r="A52" s="6" t="str">
        <f>IFERROR(VLOOKUP($F52,매장구분!$B:$K,2,0),"")</f>
        <v>파트너채널팀</v>
      </c>
      <c r="B52" s="6" t="str">
        <f>IFERROR(VLOOKUP($F52,매장구분!$B:$K,3,0),"")</f>
        <v>국내</v>
      </c>
      <c r="C52" s="6" t="str">
        <f>IFERROR(VLOOKUP($F52,매장구분!$B:$K,5,0),"")</f>
        <v>백화점</v>
      </c>
      <c r="D52" s="6" t="str">
        <f>IFERROR(VLOOKUP($F52,매장구분!$B:$Z,9,0),"")</f>
        <v>모다아울렛천안</v>
      </c>
      <c r="E52" s="69" t="s">
        <v>267</v>
      </c>
      <c r="F52" s="69" t="s">
        <v>268</v>
      </c>
      <c r="G52" s="69">
        <v>477</v>
      </c>
      <c r="H52" s="69">
        <v>45504800</v>
      </c>
      <c r="I52" s="69">
        <v>48409900</v>
      </c>
      <c r="J52" s="69">
        <v>499</v>
      </c>
      <c r="K52" s="69">
        <v>49397900</v>
      </c>
      <c r="L52" s="69">
        <v>52477900</v>
      </c>
      <c r="M52" s="69">
        <v>-22</v>
      </c>
      <c r="N52" s="69">
        <v>-3893100</v>
      </c>
      <c r="O52" s="69">
        <v>-4068000</v>
      </c>
      <c r="P52" s="69">
        <v>546500</v>
      </c>
      <c r="Q52" s="69">
        <v>2187700</v>
      </c>
      <c r="R52" s="69">
        <v>3772900</v>
      </c>
      <c r="S52" s="69">
        <v>771300</v>
      </c>
      <c r="T52" s="69">
        <v>798300</v>
      </c>
      <c r="U52" s="69">
        <v>1258000</v>
      </c>
      <c r="V52" s="69">
        <v>1473100</v>
      </c>
      <c r="W52" s="69">
        <v>631200</v>
      </c>
      <c r="X52" s="69">
        <v>2569000</v>
      </c>
      <c r="Y52" s="69">
        <v>2411900</v>
      </c>
      <c r="Z52" s="69">
        <v>108000</v>
      </c>
      <c r="AA52" s="69">
        <v>258000</v>
      </c>
      <c r="AB52" s="69">
        <v>170000</v>
      </c>
      <c r="AC52" s="69">
        <v>1126000</v>
      </c>
      <c r="AD52" s="69">
        <v>775700</v>
      </c>
      <c r="AE52" s="69">
        <v>1720500</v>
      </c>
      <c r="AF52" s="69">
        <v>2309000</v>
      </c>
      <c r="AG52" s="69">
        <v>1869000</v>
      </c>
      <c r="AH52" s="69">
        <v>1426000</v>
      </c>
      <c r="AI52" s="69">
        <v>622000</v>
      </c>
      <c r="AJ52" s="69">
        <v>1018000</v>
      </c>
      <c r="AK52" s="69">
        <v>439500</v>
      </c>
      <c r="AL52" s="69">
        <v>2556500</v>
      </c>
      <c r="AM52" s="69">
        <v>3490500</v>
      </c>
      <c r="AN52" s="69">
        <v>863500</v>
      </c>
      <c r="AO52" s="69">
        <v>1677500</v>
      </c>
      <c r="AP52" s="69">
        <v>843500</v>
      </c>
      <c r="AQ52" s="69">
        <v>1061000</v>
      </c>
      <c r="AR52" s="69">
        <v>1248500</v>
      </c>
      <c r="AS52" s="69">
        <v>3578000</v>
      </c>
      <c r="AT52" s="69">
        <v>1924200</v>
      </c>
      <c r="AU52" s="69"/>
      <c r="AW52" s="66">
        <f t="shared" si="9"/>
        <v>5960600</v>
      </c>
      <c r="AX52" s="66">
        <f t="shared" si="9"/>
        <v>9912800</v>
      </c>
      <c r="AY52" s="66">
        <f t="shared" si="9"/>
        <v>6467200</v>
      </c>
      <c r="AZ52" s="66">
        <f t="shared" si="9"/>
        <v>11421500</v>
      </c>
      <c r="BA52" s="66">
        <f t="shared" si="9"/>
        <v>11196200</v>
      </c>
      <c r="BC52" s="66">
        <f t="shared" ca="1" si="6"/>
        <v>30818100</v>
      </c>
      <c r="BD52" s="66">
        <f t="shared" si="7"/>
        <v>43580600</v>
      </c>
    </row>
    <row r="53" spans="1:56" x14ac:dyDescent="0.3">
      <c r="A53" s="6" t="str">
        <f>IFERROR(VLOOKUP($F53,매장구분!$B:$K,2,0),"")</f>
        <v>파트너채널팀</v>
      </c>
      <c r="B53" s="6" t="str">
        <f>IFERROR(VLOOKUP($F53,매장구분!$B:$K,3,0),"")</f>
        <v>국내</v>
      </c>
      <c r="C53" s="6" t="str">
        <f>IFERROR(VLOOKUP($F53,매장구분!$B:$K,5,0),"")</f>
        <v>백화점</v>
      </c>
      <c r="D53" s="6" t="str">
        <f>IFERROR(VLOOKUP($F53,매장구분!$B:$Z,9,0),"")</f>
        <v>신세계광주</v>
      </c>
      <c r="E53" s="69" t="s">
        <v>504</v>
      </c>
      <c r="F53" s="69" t="s">
        <v>505</v>
      </c>
      <c r="G53" s="69">
        <v>931</v>
      </c>
      <c r="H53" s="69">
        <v>97874300</v>
      </c>
      <c r="I53" s="69">
        <v>102849000</v>
      </c>
      <c r="J53" s="69">
        <v>1018</v>
      </c>
      <c r="K53" s="69">
        <v>110336300</v>
      </c>
      <c r="L53" s="69">
        <v>115341000</v>
      </c>
      <c r="M53" s="69">
        <v>-87</v>
      </c>
      <c r="N53" s="69">
        <v>-12462000</v>
      </c>
      <c r="O53" s="69">
        <v>-12492000</v>
      </c>
      <c r="P53" s="69">
        <v>1482000</v>
      </c>
      <c r="Q53" s="69">
        <v>5809900</v>
      </c>
      <c r="R53" s="69">
        <v>5686500</v>
      </c>
      <c r="S53" s="69">
        <v>1812000</v>
      </c>
      <c r="T53" s="69">
        <v>2049900</v>
      </c>
      <c r="U53" s="69">
        <v>1332000</v>
      </c>
      <c r="V53" s="69">
        <v>1322000</v>
      </c>
      <c r="W53" s="69">
        <v>1768000</v>
      </c>
      <c r="X53" s="69">
        <v>6134000</v>
      </c>
      <c r="Y53" s="69">
        <v>5731000</v>
      </c>
      <c r="Z53" s="69">
        <v>908000</v>
      </c>
      <c r="AA53" s="69">
        <v>1190000</v>
      </c>
      <c r="AB53" s="69">
        <v>2720000</v>
      </c>
      <c r="AC53" s="69">
        <v>2304000</v>
      </c>
      <c r="AD53" s="69">
        <v>2269000</v>
      </c>
      <c r="AE53" s="69">
        <v>3813000</v>
      </c>
      <c r="AF53" s="69">
        <v>5178000</v>
      </c>
      <c r="AG53" s="69">
        <v>0</v>
      </c>
      <c r="AH53" s="69">
        <v>2366000</v>
      </c>
      <c r="AI53" s="69">
        <v>3239000</v>
      </c>
      <c r="AJ53" s="69">
        <v>2012000</v>
      </c>
      <c r="AK53" s="69">
        <v>2218000</v>
      </c>
      <c r="AL53" s="69">
        <v>6318000</v>
      </c>
      <c r="AM53" s="69">
        <v>7773000</v>
      </c>
      <c r="AN53" s="69">
        <v>572000</v>
      </c>
      <c r="AO53" s="69">
        <v>1546000</v>
      </c>
      <c r="AP53" s="69">
        <v>2745000</v>
      </c>
      <c r="AQ53" s="69">
        <v>1457000</v>
      </c>
      <c r="AR53" s="69">
        <v>2126000</v>
      </c>
      <c r="AS53" s="69">
        <v>5963000</v>
      </c>
      <c r="AT53" s="69">
        <v>8030000</v>
      </c>
      <c r="AU53" s="69"/>
      <c r="AW53" s="66">
        <f t="shared" si="9"/>
        <v>11496400</v>
      </c>
      <c r="AX53" s="66">
        <f t="shared" si="9"/>
        <v>20148900</v>
      </c>
      <c r="AY53" s="66">
        <f t="shared" si="9"/>
        <v>18382000</v>
      </c>
      <c r="AZ53" s="66">
        <f t="shared" si="9"/>
        <v>23926000</v>
      </c>
      <c r="BA53" s="66">
        <f t="shared" si="9"/>
        <v>22439000</v>
      </c>
      <c r="BC53" s="66">
        <f t="shared" ca="1" si="6"/>
        <v>67662300</v>
      </c>
      <c r="BD53" s="66">
        <f t="shared" si="7"/>
        <v>89844300</v>
      </c>
    </row>
    <row r="54" spans="1:56" x14ac:dyDescent="0.3">
      <c r="A54" s="6" t="str">
        <f>IFERROR(VLOOKUP($F54,매장구분!$B:$K,2,0),"")</f>
        <v>파트너채널팀</v>
      </c>
      <c r="B54" s="6" t="str">
        <f>IFERROR(VLOOKUP($F54,매장구분!$B:$K,3,0),"")</f>
        <v>국내</v>
      </c>
      <c r="C54" s="6" t="str">
        <f>IFERROR(VLOOKUP($F54,매장구분!$B:$K,5,0),"")</f>
        <v>백화점</v>
      </c>
      <c r="D54" s="6" t="str">
        <f>IFERROR(VLOOKUP($F54,매장구분!$B:$Z,9,0),"")</f>
        <v>롯데광주</v>
      </c>
      <c r="E54" s="69" t="s">
        <v>404</v>
      </c>
      <c r="F54" s="69" t="s">
        <v>405</v>
      </c>
      <c r="G54" s="69">
        <v>650</v>
      </c>
      <c r="H54" s="69">
        <v>75635500</v>
      </c>
      <c r="I54" s="69">
        <v>80328800</v>
      </c>
      <c r="J54" s="69">
        <v>692</v>
      </c>
      <c r="K54" s="69">
        <v>82988800</v>
      </c>
      <c r="L54" s="69">
        <v>87736800</v>
      </c>
      <c r="M54" s="69">
        <v>-42</v>
      </c>
      <c r="N54" s="69">
        <v>-7353300</v>
      </c>
      <c r="O54" s="69">
        <v>-7408000</v>
      </c>
      <c r="P54" s="69">
        <v>975100</v>
      </c>
      <c r="Q54" s="69">
        <v>3850900</v>
      </c>
      <c r="R54" s="69">
        <v>3045700</v>
      </c>
      <c r="S54" s="69">
        <v>0</v>
      </c>
      <c r="T54" s="69">
        <v>4945400</v>
      </c>
      <c r="U54" s="69">
        <v>1596000</v>
      </c>
      <c r="V54" s="69">
        <v>809100</v>
      </c>
      <c r="W54" s="69">
        <v>744400</v>
      </c>
      <c r="X54" s="69">
        <v>3353300</v>
      </c>
      <c r="Y54" s="69">
        <v>4202300</v>
      </c>
      <c r="Z54" s="69">
        <v>356000</v>
      </c>
      <c r="AA54" s="69">
        <v>1122300</v>
      </c>
      <c r="AB54" s="69">
        <v>2772800</v>
      </c>
      <c r="AC54" s="69">
        <v>198000</v>
      </c>
      <c r="AD54" s="69">
        <v>1436300</v>
      </c>
      <c r="AE54" s="69">
        <v>1869000</v>
      </c>
      <c r="AF54" s="69">
        <v>4566100</v>
      </c>
      <c r="AG54" s="69">
        <v>2713100</v>
      </c>
      <c r="AH54" s="69">
        <v>1627600</v>
      </c>
      <c r="AI54" s="69">
        <v>6650100</v>
      </c>
      <c r="AJ54" s="69">
        <v>1385100</v>
      </c>
      <c r="AK54" s="69">
        <v>1915500</v>
      </c>
      <c r="AL54" s="69">
        <v>2532200</v>
      </c>
      <c r="AM54" s="69">
        <v>4878500</v>
      </c>
      <c r="AN54" s="69">
        <v>805000</v>
      </c>
      <c r="AO54" s="69">
        <v>1599800</v>
      </c>
      <c r="AP54" s="69">
        <v>840000</v>
      </c>
      <c r="AQ54" s="69">
        <v>1173000</v>
      </c>
      <c r="AR54" s="69">
        <v>318000</v>
      </c>
      <c r="AS54" s="69">
        <v>3675300</v>
      </c>
      <c r="AT54" s="69">
        <v>9679600</v>
      </c>
      <c r="AU54" s="69"/>
      <c r="AW54" s="66">
        <f t="shared" si="9"/>
        <v>6896600</v>
      </c>
      <c r="AX54" s="66">
        <f t="shared" si="9"/>
        <v>15650500</v>
      </c>
      <c r="AY54" s="66">
        <f t="shared" si="9"/>
        <v>12320500</v>
      </c>
      <c r="AZ54" s="66">
        <f t="shared" si="9"/>
        <v>21702100</v>
      </c>
      <c r="BA54" s="66">
        <f t="shared" si="9"/>
        <v>18090700</v>
      </c>
      <c r="BC54" s="66">
        <f t="shared" ca="1" si="6"/>
        <v>52666300</v>
      </c>
      <c r="BD54" s="66">
        <f t="shared" si="7"/>
        <v>65955900</v>
      </c>
    </row>
    <row r="55" spans="1:56" x14ac:dyDescent="0.3">
      <c r="A55" s="6" t="str">
        <f>IFERROR(VLOOKUP($F55,매장구분!$B:$K,2,0),"")</f>
        <v>파트너채널팀</v>
      </c>
      <c r="B55" s="6" t="str">
        <f>IFERROR(VLOOKUP($F55,매장구분!$B:$K,3,0),"")</f>
        <v>국내</v>
      </c>
      <c r="C55" s="6" t="str">
        <f>IFERROR(VLOOKUP($F55,매장구분!$B:$K,5,0),"")</f>
        <v>백화점</v>
      </c>
      <c r="D55" s="6" t="str">
        <f>IFERROR(VLOOKUP($F55,매장구분!$B:$Z,9,0),"")</f>
        <v>현대천호</v>
      </c>
      <c r="E55" s="69" t="s">
        <v>305</v>
      </c>
      <c r="F55" s="69" t="s">
        <v>306</v>
      </c>
      <c r="G55" s="69">
        <v>780</v>
      </c>
      <c r="H55" s="69">
        <v>85541800</v>
      </c>
      <c r="I55" s="69">
        <v>88131000</v>
      </c>
      <c r="J55" s="69">
        <v>838</v>
      </c>
      <c r="K55" s="69">
        <v>94327900</v>
      </c>
      <c r="L55" s="69">
        <v>97162000</v>
      </c>
      <c r="M55" s="69">
        <v>-58</v>
      </c>
      <c r="N55" s="69">
        <v>-8786100</v>
      </c>
      <c r="O55" s="69">
        <v>-9031000</v>
      </c>
      <c r="P55" s="69">
        <v>6640500</v>
      </c>
      <c r="Q55" s="69">
        <v>2322300</v>
      </c>
      <c r="R55" s="69">
        <v>1853100</v>
      </c>
      <c r="S55" s="69">
        <v>1450200</v>
      </c>
      <c r="T55" s="69">
        <v>4425900</v>
      </c>
      <c r="U55" s="69">
        <v>1394800</v>
      </c>
      <c r="V55" s="69">
        <v>650800</v>
      </c>
      <c r="W55" s="69">
        <v>1414000</v>
      </c>
      <c r="X55" s="69">
        <v>2802000</v>
      </c>
      <c r="Y55" s="69">
        <v>2536000</v>
      </c>
      <c r="Z55" s="69">
        <v>0</v>
      </c>
      <c r="AA55" s="69">
        <v>8264500</v>
      </c>
      <c r="AB55" s="69">
        <v>2585800</v>
      </c>
      <c r="AC55" s="69">
        <v>3101400</v>
      </c>
      <c r="AD55" s="69">
        <v>6246000</v>
      </c>
      <c r="AE55" s="69">
        <v>1301000</v>
      </c>
      <c r="AF55" s="69">
        <v>3885000</v>
      </c>
      <c r="AG55" s="69">
        <v>2718000</v>
      </c>
      <c r="AH55" s="69">
        <v>5864200</v>
      </c>
      <c r="AI55" s="69">
        <v>2146000</v>
      </c>
      <c r="AJ55" s="69">
        <v>5406000</v>
      </c>
      <c r="AK55" s="69">
        <v>851000</v>
      </c>
      <c r="AL55" s="69">
        <v>2060300</v>
      </c>
      <c r="AM55" s="69">
        <v>2595000</v>
      </c>
      <c r="AN55" s="69">
        <v>1604000</v>
      </c>
      <c r="AO55" s="69">
        <v>718000</v>
      </c>
      <c r="AP55" s="69">
        <v>2503000</v>
      </c>
      <c r="AQ55" s="69">
        <v>1533000</v>
      </c>
      <c r="AR55" s="69">
        <v>1132000</v>
      </c>
      <c r="AS55" s="69">
        <v>3215000</v>
      </c>
      <c r="AT55" s="69">
        <v>2323000</v>
      </c>
      <c r="AU55" s="69"/>
      <c r="AW55" s="66">
        <f t="shared" si="9"/>
        <v>4175400</v>
      </c>
      <c r="AX55" s="66">
        <f t="shared" si="9"/>
        <v>14673700</v>
      </c>
      <c r="AY55" s="66">
        <f t="shared" si="9"/>
        <v>25383700</v>
      </c>
      <c r="AZ55" s="66">
        <f t="shared" si="9"/>
        <v>21640500</v>
      </c>
      <c r="BA55" s="66">
        <f t="shared" si="9"/>
        <v>13028000</v>
      </c>
      <c r="BC55" s="66">
        <f t="shared" ca="1" si="6"/>
        <v>69918800</v>
      </c>
      <c r="BD55" s="66">
        <f t="shared" si="7"/>
        <v>83218800</v>
      </c>
    </row>
    <row r="56" spans="1:56" x14ac:dyDescent="0.3">
      <c r="A56" s="6" t="str">
        <f>IFERROR(VLOOKUP($F56,매장구분!$B:$K,2,0),"")</f>
        <v>파트너채널팀</v>
      </c>
      <c r="B56" s="6" t="str">
        <f>IFERROR(VLOOKUP($F56,매장구분!$B:$K,3,0),"")</f>
        <v>국내</v>
      </c>
      <c r="C56" s="6" t="str">
        <f>IFERROR(VLOOKUP($F56,매장구분!$B:$K,5,0),"")</f>
        <v>백화점</v>
      </c>
      <c r="D56" s="6" t="str">
        <f>IFERROR(VLOOKUP($F56,매장구분!$B:$Z,9,0),"")</f>
        <v>롯데잠실</v>
      </c>
      <c r="E56" s="69" t="s">
        <v>247</v>
      </c>
      <c r="F56" s="69" t="s">
        <v>248</v>
      </c>
      <c r="G56" s="69">
        <v>2531</v>
      </c>
      <c r="H56" s="69">
        <v>293363000</v>
      </c>
      <c r="I56" s="69">
        <v>311692200</v>
      </c>
      <c r="J56" s="69">
        <v>2837</v>
      </c>
      <c r="K56" s="69">
        <v>342432100</v>
      </c>
      <c r="L56" s="69">
        <v>362399200</v>
      </c>
      <c r="M56" s="69">
        <v>-306</v>
      </c>
      <c r="N56" s="69">
        <v>-49069100</v>
      </c>
      <c r="O56" s="69">
        <v>-50707000</v>
      </c>
      <c r="P56" s="69">
        <v>10190700</v>
      </c>
      <c r="Q56" s="69">
        <v>4897100</v>
      </c>
      <c r="R56" s="69">
        <v>5980500</v>
      </c>
      <c r="S56" s="69">
        <v>4112900</v>
      </c>
      <c r="T56" s="69">
        <v>21480300</v>
      </c>
      <c r="U56" s="69">
        <v>4468400</v>
      </c>
      <c r="V56" s="69">
        <v>9376200</v>
      </c>
      <c r="W56" s="69">
        <v>14119300</v>
      </c>
      <c r="X56" s="69">
        <v>5290000</v>
      </c>
      <c r="Y56" s="69">
        <v>6876400</v>
      </c>
      <c r="Z56" s="69">
        <v>0</v>
      </c>
      <c r="AA56" s="69">
        <v>7601500</v>
      </c>
      <c r="AB56" s="69">
        <v>34689400</v>
      </c>
      <c r="AC56" s="69">
        <v>5652400</v>
      </c>
      <c r="AD56" s="69">
        <v>12681200</v>
      </c>
      <c r="AE56" s="69">
        <v>6272600</v>
      </c>
      <c r="AF56" s="69">
        <v>7028300</v>
      </c>
      <c r="AG56" s="69">
        <v>16429400</v>
      </c>
      <c r="AH56" s="69">
        <v>7523300</v>
      </c>
      <c r="AI56" s="69">
        <v>6313400</v>
      </c>
      <c r="AJ56" s="69">
        <v>5042600</v>
      </c>
      <c r="AK56" s="69">
        <v>12438300</v>
      </c>
      <c r="AL56" s="69">
        <v>5121900</v>
      </c>
      <c r="AM56" s="69">
        <v>8169700</v>
      </c>
      <c r="AN56" s="69">
        <v>7410100</v>
      </c>
      <c r="AO56" s="69">
        <v>2988900</v>
      </c>
      <c r="AP56" s="69">
        <v>16115200</v>
      </c>
      <c r="AQ56" s="69">
        <v>6221400</v>
      </c>
      <c r="AR56" s="69">
        <v>7974400</v>
      </c>
      <c r="AS56" s="69">
        <v>18888900</v>
      </c>
      <c r="AT56" s="69">
        <v>12008300</v>
      </c>
      <c r="AU56" s="69"/>
      <c r="AW56" s="66">
        <f t="shared" si="9"/>
        <v>10877600</v>
      </c>
      <c r="AX56" s="66">
        <f t="shared" si="9"/>
        <v>65723500</v>
      </c>
      <c r="AY56" s="66">
        <f t="shared" si="9"/>
        <v>73925400</v>
      </c>
      <c r="AZ56" s="66">
        <f t="shared" si="9"/>
        <v>61038600</v>
      </c>
      <c r="BA56" s="66">
        <f t="shared" si="9"/>
        <v>71607200</v>
      </c>
      <c r="BC56" s="66">
        <f t="shared" ca="1" si="6"/>
        <v>213586100</v>
      </c>
      <c r="BD56" s="66">
        <f t="shared" si="7"/>
        <v>281354700</v>
      </c>
    </row>
    <row r="57" spans="1:56" x14ac:dyDescent="0.3">
      <c r="A57" s="6" t="str">
        <f>IFERROR(VLOOKUP($F57,매장구분!$B:$K,2,0),"")</f>
        <v>파트너채널팀</v>
      </c>
      <c r="B57" s="6" t="str">
        <f>IFERROR(VLOOKUP($F57,매장구분!$B:$K,3,0),"")</f>
        <v>국내</v>
      </c>
      <c r="C57" s="6" t="str">
        <f>IFERROR(VLOOKUP($F57,매장구분!$B:$K,5,0),"")</f>
        <v>백화점</v>
      </c>
      <c r="D57" s="6" t="str">
        <f>IFERROR(VLOOKUP($F57,매장구분!$B:$Z,9,0),"")</f>
        <v>롯데부산</v>
      </c>
      <c r="E57" s="69" t="s">
        <v>452</v>
      </c>
      <c r="F57" s="69" t="s">
        <v>453</v>
      </c>
      <c r="G57" s="69">
        <v>2969</v>
      </c>
      <c r="H57" s="69">
        <v>353744110</v>
      </c>
      <c r="I57" s="69">
        <v>378220900</v>
      </c>
      <c r="J57" s="69">
        <v>3804</v>
      </c>
      <c r="K57" s="69">
        <v>482213710</v>
      </c>
      <c r="L57" s="69">
        <v>506937900</v>
      </c>
      <c r="M57" s="69">
        <v>-835</v>
      </c>
      <c r="N57" s="69">
        <v>-128469600</v>
      </c>
      <c r="O57" s="69">
        <v>-128717000</v>
      </c>
      <c r="P57" s="69">
        <v>10831700</v>
      </c>
      <c r="Q57" s="69">
        <v>3864800</v>
      </c>
      <c r="R57" s="69">
        <v>7276710</v>
      </c>
      <c r="S57" s="69">
        <v>2159100</v>
      </c>
      <c r="T57" s="69">
        <v>29884700</v>
      </c>
      <c r="U57" s="69">
        <v>22556100</v>
      </c>
      <c r="V57" s="69">
        <v>1578400</v>
      </c>
      <c r="W57" s="69">
        <v>29912700</v>
      </c>
      <c r="X57" s="69">
        <v>17647300</v>
      </c>
      <c r="Y57" s="69">
        <v>4793800</v>
      </c>
      <c r="Z57" s="69">
        <v>0</v>
      </c>
      <c r="AA57" s="69">
        <v>1157000</v>
      </c>
      <c r="AB57" s="69">
        <v>2477000</v>
      </c>
      <c r="AC57" s="69">
        <v>28603300</v>
      </c>
      <c r="AD57" s="69">
        <v>55522700</v>
      </c>
      <c r="AE57" s="69">
        <v>25230800</v>
      </c>
      <c r="AF57" s="69">
        <v>4063300</v>
      </c>
      <c r="AG57" s="69">
        <v>2691000</v>
      </c>
      <c r="AH57" s="69">
        <v>35224500</v>
      </c>
      <c r="AI57" s="69">
        <v>4566000</v>
      </c>
      <c r="AJ57" s="69">
        <v>2220000</v>
      </c>
      <c r="AK57" s="69">
        <v>33807900</v>
      </c>
      <c r="AL57" s="69">
        <v>5354900</v>
      </c>
      <c r="AM57" s="69">
        <v>4755500</v>
      </c>
      <c r="AN57" s="69">
        <v>984000</v>
      </c>
      <c r="AO57" s="69">
        <v>2591900</v>
      </c>
      <c r="AP57" s="69">
        <v>1490000</v>
      </c>
      <c r="AQ57" s="69">
        <v>2551000</v>
      </c>
      <c r="AR57" s="69">
        <v>2337000</v>
      </c>
      <c r="AS57" s="69">
        <v>3326000</v>
      </c>
      <c r="AT57" s="69">
        <v>4285000</v>
      </c>
      <c r="AU57" s="69"/>
      <c r="AW57" s="66">
        <f t="shared" si="9"/>
        <v>11141510</v>
      </c>
      <c r="AX57" s="66">
        <f t="shared" si="9"/>
        <v>108532100</v>
      </c>
      <c r="AY57" s="66">
        <f t="shared" si="9"/>
        <v>117054100</v>
      </c>
      <c r="AZ57" s="66">
        <f t="shared" si="9"/>
        <v>88619800</v>
      </c>
      <c r="BA57" s="66">
        <f t="shared" si="9"/>
        <v>17564900</v>
      </c>
      <c r="BC57" s="66">
        <f t="shared" ca="1" si="6"/>
        <v>331423710</v>
      </c>
      <c r="BD57" s="66">
        <f t="shared" si="7"/>
        <v>349459110</v>
      </c>
    </row>
    <row r="58" spans="1:56" x14ac:dyDescent="0.3">
      <c r="A58" s="6" t="str">
        <f>IFERROR(VLOOKUP($F58,매장구분!$B:$K,2,0),"")</f>
        <v>파트너채널팀</v>
      </c>
      <c r="B58" s="6" t="str">
        <f>IFERROR(VLOOKUP($F58,매장구분!$B:$K,3,0),"")</f>
        <v>국내</v>
      </c>
      <c r="C58" s="6" t="str">
        <f>IFERROR(VLOOKUP($F58,매장구분!$B:$K,5,0),"")</f>
        <v>백화점</v>
      </c>
      <c r="D58" s="6" t="str">
        <f>IFERROR(VLOOKUP($F58,매장구분!$B:$Z,9,0),"")</f>
        <v>롯데대전</v>
      </c>
      <c r="E58" s="69" t="s">
        <v>476</v>
      </c>
      <c r="F58" s="69" t="s">
        <v>477</v>
      </c>
      <c r="G58" s="69">
        <v>534</v>
      </c>
      <c r="H58" s="69">
        <v>62229900</v>
      </c>
      <c r="I58" s="69">
        <v>66447000</v>
      </c>
      <c r="J58" s="69">
        <v>636</v>
      </c>
      <c r="K58" s="69">
        <v>86436100</v>
      </c>
      <c r="L58" s="69">
        <v>90795000</v>
      </c>
      <c r="M58" s="69">
        <v>-102</v>
      </c>
      <c r="N58" s="69">
        <v>-24206200</v>
      </c>
      <c r="O58" s="69">
        <v>-24348000</v>
      </c>
      <c r="P58" s="69">
        <v>372000</v>
      </c>
      <c r="Q58" s="69">
        <v>2071000</v>
      </c>
      <c r="R58" s="69">
        <v>1913400</v>
      </c>
      <c r="S58" s="69">
        <v>0</v>
      </c>
      <c r="T58" s="69">
        <v>2346300</v>
      </c>
      <c r="U58" s="69">
        <v>99000</v>
      </c>
      <c r="V58" s="69">
        <v>2758900</v>
      </c>
      <c r="W58" s="69">
        <v>2760000</v>
      </c>
      <c r="X58" s="69">
        <v>2390900</v>
      </c>
      <c r="Y58" s="69">
        <v>783000</v>
      </c>
      <c r="Z58" s="69">
        <v>175000</v>
      </c>
      <c r="AA58" s="69">
        <v>584000</v>
      </c>
      <c r="AB58" s="69">
        <v>1353700</v>
      </c>
      <c r="AC58" s="69">
        <v>1817100</v>
      </c>
      <c r="AD58" s="69">
        <v>1739200</v>
      </c>
      <c r="AE58" s="69">
        <v>2104800</v>
      </c>
      <c r="AF58" s="69">
        <v>3185900</v>
      </c>
      <c r="AG58" s="69">
        <v>688300</v>
      </c>
      <c r="AH58" s="69">
        <v>484000</v>
      </c>
      <c r="AI58" s="69">
        <v>2664000</v>
      </c>
      <c r="AJ58" s="69">
        <v>4160000</v>
      </c>
      <c r="AK58" s="69">
        <v>3965000</v>
      </c>
      <c r="AL58" s="69">
        <v>5123800</v>
      </c>
      <c r="AM58" s="69">
        <v>2238400</v>
      </c>
      <c r="AN58" s="69">
        <v>758000</v>
      </c>
      <c r="AO58" s="69">
        <v>871000</v>
      </c>
      <c r="AP58" s="69">
        <v>457000</v>
      </c>
      <c r="AQ58" s="69">
        <v>5356300</v>
      </c>
      <c r="AR58" s="69">
        <v>1235000</v>
      </c>
      <c r="AS58" s="69">
        <v>666000</v>
      </c>
      <c r="AT58" s="69">
        <v>7108900</v>
      </c>
      <c r="AU58" s="69"/>
      <c r="AW58" s="66">
        <f t="shared" si="9"/>
        <v>3984400</v>
      </c>
      <c r="AX58" s="66">
        <f t="shared" si="9"/>
        <v>11138100</v>
      </c>
      <c r="AY58" s="66">
        <f t="shared" si="9"/>
        <v>10959700</v>
      </c>
      <c r="AZ58" s="66">
        <f t="shared" si="9"/>
        <v>19323500</v>
      </c>
      <c r="BA58" s="66">
        <f t="shared" si="9"/>
        <v>16452200</v>
      </c>
      <c r="BC58" s="66">
        <f t="shared" ca="1" si="6"/>
        <v>43539300</v>
      </c>
      <c r="BD58" s="66">
        <f t="shared" si="7"/>
        <v>55121000</v>
      </c>
    </row>
    <row r="59" spans="1:56" x14ac:dyDescent="0.3">
      <c r="A59" s="6" t="str">
        <f>IFERROR(VLOOKUP($F59,매장구분!$B:$K,2,0),"")</f>
        <v>파트너채널팀</v>
      </c>
      <c r="B59" s="6" t="str">
        <f>IFERROR(VLOOKUP($F59,매장구분!$B:$K,3,0),"")</f>
        <v>국내</v>
      </c>
      <c r="C59" s="6" t="str">
        <f>IFERROR(VLOOKUP($F59,매장구분!$B:$K,5,0),"")</f>
        <v>백화점</v>
      </c>
      <c r="D59" s="6" t="str">
        <f>IFERROR(VLOOKUP($F59,매장구분!$B:$Z,9,0),"")</f>
        <v>롯데울산</v>
      </c>
      <c r="E59" s="69" t="s">
        <v>460</v>
      </c>
      <c r="F59" s="69" t="s">
        <v>461</v>
      </c>
      <c r="G59" s="69">
        <v>1121</v>
      </c>
      <c r="H59" s="69">
        <v>139942800</v>
      </c>
      <c r="I59" s="69">
        <v>146829000</v>
      </c>
      <c r="J59" s="69">
        <v>1202</v>
      </c>
      <c r="K59" s="69">
        <v>154790100</v>
      </c>
      <c r="L59" s="69">
        <v>162103000</v>
      </c>
      <c r="M59" s="69">
        <v>-81</v>
      </c>
      <c r="N59" s="69">
        <v>-14847300</v>
      </c>
      <c r="O59" s="69">
        <v>-15274000</v>
      </c>
      <c r="P59" s="69">
        <v>6052700</v>
      </c>
      <c r="Q59" s="69">
        <v>4304200</v>
      </c>
      <c r="R59" s="69">
        <v>5394400</v>
      </c>
      <c r="S59" s="69">
        <v>0</v>
      </c>
      <c r="T59" s="69">
        <v>4407300</v>
      </c>
      <c r="U59" s="69">
        <v>3772600</v>
      </c>
      <c r="V59" s="69">
        <v>6331400</v>
      </c>
      <c r="W59" s="69">
        <v>5266000</v>
      </c>
      <c r="X59" s="69">
        <v>8967800</v>
      </c>
      <c r="Y59" s="69">
        <v>6081500</v>
      </c>
      <c r="Z59" s="69">
        <v>4612500</v>
      </c>
      <c r="AA59" s="69">
        <v>2011500</v>
      </c>
      <c r="AB59" s="69">
        <v>2956700</v>
      </c>
      <c r="AC59" s="69">
        <v>4479800</v>
      </c>
      <c r="AD59" s="69">
        <v>3649400</v>
      </c>
      <c r="AE59" s="69">
        <v>2542800</v>
      </c>
      <c r="AF59" s="69">
        <v>4724900</v>
      </c>
      <c r="AG59" s="69">
        <v>4565000</v>
      </c>
      <c r="AH59" s="69">
        <v>4153600</v>
      </c>
      <c r="AI59" s="69">
        <v>4876800</v>
      </c>
      <c r="AJ59" s="69">
        <v>2244300</v>
      </c>
      <c r="AK59" s="69">
        <v>2667000</v>
      </c>
      <c r="AL59" s="69">
        <v>3195000</v>
      </c>
      <c r="AM59" s="69">
        <v>6757800</v>
      </c>
      <c r="AN59" s="69">
        <v>6506400</v>
      </c>
      <c r="AO59" s="69">
        <v>5857700</v>
      </c>
      <c r="AP59" s="69">
        <v>3914200</v>
      </c>
      <c r="AQ59" s="69">
        <v>4921000</v>
      </c>
      <c r="AR59" s="69">
        <v>3637000</v>
      </c>
      <c r="AS59" s="69">
        <v>5423200</v>
      </c>
      <c r="AT59" s="69">
        <v>5668300</v>
      </c>
      <c r="AU59" s="69"/>
      <c r="AW59" s="66">
        <f t="shared" si="9"/>
        <v>9698600</v>
      </c>
      <c r="AX59" s="66">
        <f t="shared" si="9"/>
        <v>34826600</v>
      </c>
      <c r="AY59" s="66">
        <f t="shared" si="9"/>
        <v>24977600</v>
      </c>
      <c r="AZ59" s="66">
        <f t="shared" si="9"/>
        <v>28459500</v>
      </c>
      <c r="BA59" s="66">
        <f t="shared" si="9"/>
        <v>35927800</v>
      </c>
      <c r="BC59" s="66">
        <f t="shared" ca="1" si="6"/>
        <v>97257200</v>
      </c>
      <c r="BD59" s="66">
        <f t="shared" si="7"/>
        <v>134274500</v>
      </c>
    </row>
    <row r="60" spans="1:56" x14ac:dyDescent="0.3">
      <c r="A60" s="6" t="str">
        <f>IFERROR(VLOOKUP($F60,매장구분!$B:$K,2,0),"")</f>
        <v>파트너채널팀</v>
      </c>
      <c r="B60" s="6" t="str">
        <f>IFERROR(VLOOKUP($F60,매장구분!$B:$K,3,0),"")</f>
        <v>국내</v>
      </c>
      <c r="C60" s="6" t="str">
        <f>IFERROR(VLOOKUP($F60,매장구분!$B:$K,5,0),"")</f>
        <v>백화점</v>
      </c>
      <c r="D60" s="6" t="str">
        <f>IFERROR(VLOOKUP($F60,매장구분!$B:$Z,9,0),"")</f>
        <v>현대미아</v>
      </c>
      <c r="E60" s="69" t="s">
        <v>512</v>
      </c>
      <c r="F60" s="69" t="s">
        <v>513</v>
      </c>
      <c r="G60" s="69">
        <v>439</v>
      </c>
      <c r="H60" s="69">
        <v>57442900</v>
      </c>
      <c r="I60" s="69">
        <v>60069000</v>
      </c>
      <c r="J60" s="69">
        <v>609</v>
      </c>
      <c r="K60" s="69">
        <v>92620200</v>
      </c>
      <c r="L60" s="69">
        <v>95298000</v>
      </c>
      <c r="M60" s="69">
        <v>-170</v>
      </c>
      <c r="N60" s="69">
        <v>-35177300</v>
      </c>
      <c r="O60" s="69">
        <v>-35229000</v>
      </c>
      <c r="P60" s="69">
        <v>2600800</v>
      </c>
      <c r="Q60" s="69">
        <v>569000</v>
      </c>
      <c r="R60" s="69">
        <v>1833300</v>
      </c>
      <c r="S60" s="69">
        <v>2423700</v>
      </c>
      <c r="T60" s="69">
        <v>934700</v>
      </c>
      <c r="U60" s="69">
        <v>4508000</v>
      </c>
      <c r="V60" s="69">
        <v>2628000</v>
      </c>
      <c r="W60" s="69">
        <v>1971500</v>
      </c>
      <c r="X60" s="69">
        <v>363000</v>
      </c>
      <c r="Y60" s="69">
        <v>2299000</v>
      </c>
      <c r="Z60" s="69">
        <v>0</v>
      </c>
      <c r="AA60" s="69">
        <v>1366300</v>
      </c>
      <c r="AB60" s="69">
        <v>2985000</v>
      </c>
      <c r="AC60" s="69">
        <v>1809000</v>
      </c>
      <c r="AD60" s="69">
        <v>825000</v>
      </c>
      <c r="AE60" s="69">
        <v>536000</v>
      </c>
      <c r="AF60" s="69">
        <v>1944500</v>
      </c>
      <c r="AG60" s="69">
        <v>1271600</v>
      </c>
      <c r="AH60" s="69">
        <v>2716000</v>
      </c>
      <c r="AI60" s="69">
        <v>2321000</v>
      </c>
      <c r="AJ60" s="69">
        <v>1403000</v>
      </c>
      <c r="AK60" s="69">
        <v>3073000</v>
      </c>
      <c r="AL60" s="69">
        <v>1638300</v>
      </c>
      <c r="AM60" s="69">
        <v>2083700</v>
      </c>
      <c r="AN60" s="69">
        <v>1575000</v>
      </c>
      <c r="AO60" s="69">
        <v>2217200</v>
      </c>
      <c r="AP60" s="69">
        <v>1496000</v>
      </c>
      <c r="AQ60" s="69">
        <v>3546000</v>
      </c>
      <c r="AR60" s="69">
        <v>1300000</v>
      </c>
      <c r="AS60" s="69">
        <v>927000</v>
      </c>
      <c r="AT60" s="69">
        <v>2278300</v>
      </c>
      <c r="AU60" s="69"/>
      <c r="AW60" s="66">
        <f t="shared" ref="AW60:BA75" si="10">SUMIFS($Q60:$AU60,$Q$3:$AU$3,AW$3)</f>
        <v>2402300</v>
      </c>
      <c r="AX60" s="66">
        <f t="shared" si="10"/>
        <v>15127900</v>
      </c>
      <c r="AY60" s="66">
        <f t="shared" si="10"/>
        <v>9465800</v>
      </c>
      <c r="AZ60" s="66">
        <f t="shared" si="10"/>
        <v>14506600</v>
      </c>
      <c r="BA60" s="66">
        <f t="shared" si="10"/>
        <v>13339500</v>
      </c>
      <c r="BC60" s="66">
        <f t="shared" ca="1" si="6"/>
        <v>42019700</v>
      </c>
      <c r="BD60" s="66">
        <f t="shared" si="7"/>
        <v>55164600</v>
      </c>
    </row>
    <row r="61" spans="1:56" x14ac:dyDescent="0.3">
      <c r="A61" s="6" t="str">
        <f>IFERROR(VLOOKUP($F61,매장구분!$B:$K,2,0),"")</f>
        <v>파트너채널팀</v>
      </c>
      <c r="B61" s="6" t="str">
        <f>IFERROR(VLOOKUP($F61,매장구분!$B:$K,3,0),"")</f>
        <v>RF</v>
      </c>
      <c r="C61" s="6" t="str">
        <f>IFERROR(VLOOKUP($F61,매장구분!$B:$K,5,0),"")</f>
        <v>백화점</v>
      </c>
      <c r="D61" s="6" t="str">
        <f>IFERROR(VLOOKUP($F61,매장구분!$B:$Z,9,0),"")</f>
        <v>롯데본점</v>
      </c>
      <c r="E61" s="69" t="s">
        <v>269</v>
      </c>
      <c r="F61" s="69" t="s">
        <v>270</v>
      </c>
      <c r="G61" s="69">
        <v>3626</v>
      </c>
      <c r="H61" s="69">
        <v>488531300</v>
      </c>
      <c r="I61" s="69">
        <v>564804000</v>
      </c>
      <c r="J61" s="69">
        <v>3741</v>
      </c>
      <c r="K61" s="69">
        <v>523731300</v>
      </c>
      <c r="L61" s="69">
        <v>600014000</v>
      </c>
      <c r="M61" s="69">
        <v>-115</v>
      </c>
      <c r="N61" s="69">
        <v>-35200000</v>
      </c>
      <c r="O61" s="69">
        <v>-35210000</v>
      </c>
      <c r="P61" s="69">
        <v>1581500</v>
      </c>
      <c r="Q61" s="69">
        <v>1450100</v>
      </c>
      <c r="R61" s="69">
        <v>1687300</v>
      </c>
      <c r="S61" s="69">
        <v>75210700</v>
      </c>
      <c r="T61" s="69">
        <v>3276800</v>
      </c>
      <c r="U61" s="69">
        <v>2236500</v>
      </c>
      <c r="V61" s="69">
        <v>1437600</v>
      </c>
      <c r="W61" s="69">
        <v>1706700</v>
      </c>
      <c r="X61" s="69">
        <v>1542000</v>
      </c>
      <c r="Y61" s="69">
        <v>2276000</v>
      </c>
      <c r="Z61" s="69">
        <v>122483800</v>
      </c>
      <c r="AA61" s="69">
        <v>2642300</v>
      </c>
      <c r="AB61" s="69">
        <v>2023000</v>
      </c>
      <c r="AC61" s="69">
        <v>4549000</v>
      </c>
      <c r="AD61" s="69">
        <v>1488000</v>
      </c>
      <c r="AE61" s="69">
        <v>1260000</v>
      </c>
      <c r="AF61" s="69">
        <v>1333000</v>
      </c>
      <c r="AG61" s="69">
        <v>122175900</v>
      </c>
      <c r="AH61" s="69">
        <v>1011000</v>
      </c>
      <c r="AI61" s="69">
        <v>1243000</v>
      </c>
      <c r="AJ61" s="69">
        <v>322000</v>
      </c>
      <c r="AK61" s="69">
        <v>1141000</v>
      </c>
      <c r="AL61" s="69">
        <v>1432000</v>
      </c>
      <c r="AM61" s="69">
        <v>2334000</v>
      </c>
      <c r="AN61" s="69">
        <v>732000</v>
      </c>
      <c r="AO61" s="69">
        <v>112619500</v>
      </c>
      <c r="AP61" s="69">
        <v>4970600</v>
      </c>
      <c r="AQ61" s="69">
        <v>2077000</v>
      </c>
      <c r="AR61" s="69">
        <v>1455000</v>
      </c>
      <c r="AS61" s="69">
        <v>7315000</v>
      </c>
      <c r="AT61" s="69">
        <v>1519000</v>
      </c>
      <c r="AU61" s="69"/>
      <c r="AW61" s="66">
        <f t="shared" si="10"/>
        <v>3137400</v>
      </c>
      <c r="AX61" s="66">
        <f t="shared" si="10"/>
        <v>87686300</v>
      </c>
      <c r="AY61" s="66">
        <f t="shared" si="10"/>
        <v>135779100</v>
      </c>
      <c r="AZ61" s="66">
        <f t="shared" si="10"/>
        <v>129658900</v>
      </c>
      <c r="BA61" s="66">
        <f t="shared" si="10"/>
        <v>130688100</v>
      </c>
      <c r="BC61" s="66">
        <f t="shared" ca="1" si="6"/>
        <v>355509200</v>
      </c>
      <c r="BD61" s="66">
        <f t="shared" si="7"/>
        <v>487012300</v>
      </c>
    </row>
    <row r="62" spans="1:56" x14ac:dyDescent="0.3">
      <c r="A62" s="6" t="str">
        <f>IFERROR(VLOOKUP($F62,매장구분!$B:$K,2,0),"")</f>
        <v>파트너채널팀</v>
      </c>
      <c r="B62" s="6" t="str">
        <f>IFERROR(VLOOKUP($F62,매장구분!$B:$K,3,0),"")</f>
        <v>국내</v>
      </c>
      <c r="C62" s="6" t="str">
        <f>IFERROR(VLOOKUP($F62,매장구분!$B:$K,5,0),"")</f>
        <v>백화점</v>
      </c>
      <c r="D62" s="6" t="str">
        <f>IFERROR(VLOOKUP($F62,매장구분!$B:$Z,9,0),"")</f>
        <v>AK수원</v>
      </c>
      <c r="E62" s="69" t="s">
        <v>552</v>
      </c>
      <c r="F62" s="69" t="s">
        <v>553</v>
      </c>
      <c r="G62" s="69">
        <v>1499</v>
      </c>
      <c r="H62" s="69">
        <v>163308400</v>
      </c>
      <c r="I62" s="69">
        <v>174085700</v>
      </c>
      <c r="J62" s="69">
        <v>1555</v>
      </c>
      <c r="K62" s="69">
        <v>173508100</v>
      </c>
      <c r="L62" s="69">
        <v>184748700</v>
      </c>
      <c r="M62" s="69">
        <v>-56</v>
      </c>
      <c r="N62" s="69">
        <v>-10199700</v>
      </c>
      <c r="O62" s="69">
        <v>-10663000</v>
      </c>
      <c r="P62" s="69">
        <v>1497500</v>
      </c>
      <c r="Q62" s="69">
        <v>3589100</v>
      </c>
      <c r="R62" s="69">
        <v>5706900</v>
      </c>
      <c r="S62" s="69">
        <v>1844300</v>
      </c>
      <c r="T62" s="69">
        <v>7879700</v>
      </c>
      <c r="U62" s="69">
        <v>1566600</v>
      </c>
      <c r="V62" s="69">
        <v>2164000</v>
      </c>
      <c r="W62" s="69">
        <v>23542300</v>
      </c>
      <c r="X62" s="69">
        <v>3019900</v>
      </c>
      <c r="Y62" s="69">
        <v>4725700</v>
      </c>
      <c r="Z62" s="69">
        <v>3027300</v>
      </c>
      <c r="AA62" s="69">
        <v>1303800</v>
      </c>
      <c r="AB62" s="69">
        <v>2554300</v>
      </c>
      <c r="AC62" s="69">
        <v>1935000</v>
      </c>
      <c r="AD62" s="69">
        <v>1114600</v>
      </c>
      <c r="AE62" s="69">
        <v>5008100</v>
      </c>
      <c r="AF62" s="69">
        <v>22926100</v>
      </c>
      <c r="AG62" s="69">
        <v>974500</v>
      </c>
      <c r="AH62" s="69">
        <v>3009600</v>
      </c>
      <c r="AI62" s="69">
        <v>1462300</v>
      </c>
      <c r="AJ62" s="69">
        <v>1469700</v>
      </c>
      <c r="AK62" s="69">
        <v>3290700</v>
      </c>
      <c r="AL62" s="69">
        <v>4162400</v>
      </c>
      <c r="AM62" s="69">
        <v>10414800</v>
      </c>
      <c r="AN62" s="69">
        <v>1469000</v>
      </c>
      <c r="AO62" s="69">
        <v>1938400</v>
      </c>
      <c r="AP62" s="69">
        <v>600300</v>
      </c>
      <c r="AQ62" s="69">
        <v>1922000</v>
      </c>
      <c r="AR62" s="69">
        <v>2080900</v>
      </c>
      <c r="AS62" s="69">
        <v>29706700</v>
      </c>
      <c r="AT62" s="69">
        <v>7401900</v>
      </c>
      <c r="AU62" s="69"/>
      <c r="AW62" s="66">
        <f t="shared" si="10"/>
        <v>9296000</v>
      </c>
      <c r="AX62" s="66">
        <f t="shared" si="10"/>
        <v>44742500</v>
      </c>
      <c r="AY62" s="66">
        <f t="shared" si="10"/>
        <v>37869200</v>
      </c>
      <c r="AZ62" s="66">
        <f t="shared" si="10"/>
        <v>24784000</v>
      </c>
      <c r="BA62" s="66">
        <f t="shared" si="10"/>
        <v>45119200</v>
      </c>
      <c r="BC62" s="66">
        <f t="shared" ca="1" si="6"/>
        <v>107774400</v>
      </c>
      <c r="BD62" s="66">
        <f t="shared" si="7"/>
        <v>155906500</v>
      </c>
    </row>
    <row r="63" spans="1:56" x14ac:dyDescent="0.3">
      <c r="A63" s="6" t="str">
        <f>IFERROR(VLOOKUP($F63,매장구분!$B:$K,2,0),"")</f>
        <v>파트너채널팀</v>
      </c>
      <c r="B63" s="6" t="str">
        <f>IFERROR(VLOOKUP($F63,매장구분!$B:$K,3,0),"")</f>
        <v>국내</v>
      </c>
      <c r="C63" s="6" t="str">
        <f>IFERROR(VLOOKUP($F63,매장구분!$B:$K,5,0),"")</f>
        <v>백화점</v>
      </c>
      <c r="D63" s="6" t="str">
        <f>IFERROR(VLOOKUP($F63,매장구분!$B:$Z,9,0),"")</f>
        <v>롯데영등포</v>
      </c>
      <c r="E63" s="69" t="s">
        <v>202</v>
      </c>
      <c r="F63" s="69" t="s">
        <v>203</v>
      </c>
      <c r="G63" s="69">
        <v>951</v>
      </c>
      <c r="H63" s="69">
        <v>101798700</v>
      </c>
      <c r="I63" s="69">
        <v>119247000</v>
      </c>
      <c r="J63" s="69">
        <v>1235</v>
      </c>
      <c r="K63" s="69">
        <v>169386500</v>
      </c>
      <c r="L63" s="69">
        <v>188306000</v>
      </c>
      <c r="M63" s="69">
        <v>-284</v>
      </c>
      <c r="N63" s="69">
        <v>-67587800</v>
      </c>
      <c r="O63" s="69">
        <v>-69059000</v>
      </c>
      <c r="P63" s="69">
        <v>2590600</v>
      </c>
      <c r="Q63" s="69">
        <v>3282600</v>
      </c>
      <c r="R63" s="69">
        <v>5205200</v>
      </c>
      <c r="S63" s="69">
        <v>0</v>
      </c>
      <c r="T63" s="69">
        <v>4348100</v>
      </c>
      <c r="U63" s="69">
        <v>592700</v>
      </c>
      <c r="V63" s="69">
        <v>3201800</v>
      </c>
      <c r="W63" s="69">
        <v>2675300</v>
      </c>
      <c r="X63" s="69">
        <v>1643100</v>
      </c>
      <c r="Y63" s="69">
        <v>4530000</v>
      </c>
      <c r="Z63" s="69">
        <v>2050800</v>
      </c>
      <c r="AA63" s="69">
        <v>1964900</v>
      </c>
      <c r="AB63" s="69">
        <v>1994500</v>
      </c>
      <c r="AC63" s="69">
        <v>2860900</v>
      </c>
      <c r="AD63" s="69">
        <v>2070800</v>
      </c>
      <c r="AE63" s="69">
        <v>1042000</v>
      </c>
      <c r="AF63" s="69">
        <v>6647200</v>
      </c>
      <c r="AG63" s="69">
        <v>4205100</v>
      </c>
      <c r="AH63" s="69">
        <v>4316400</v>
      </c>
      <c r="AI63" s="69">
        <v>4920800</v>
      </c>
      <c r="AJ63" s="69">
        <v>2659000</v>
      </c>
      <c r="AK63" s="69">
        <v>3135200</v>
      </c>
      <c r="AL63" s="69">
        <v>2673800</v>
      </c>
      <c r="AM63" s="69">
        <v>5850000</v>
      </c>
      <c r="AN63" s="69">
        <v>3712100</v>
      </c>
      <c r="AO63" s="69">
        <v>2814900</v>
      </c>
      <c r="AP63" s="69">
        <v>6479800</v>
      </c>
      <c r="AQ63" s="69">
        <v>4386100</v>
      </c>
      <c r="AR63" s="69">
        <v>1953000</v>
      </c>
      <c r="AS63" s="69">
        <v>3742600</v>
      </c>
      <c r="AT63" s="69">
        <v>4249400</v>
      </c>
      <c r="AU63" s="69"/>
      <c r="AW63" s="66">
        <f t="shared" si="10"/>
        <v>8487800</v>
      </c>
      <c r="AX63" s="66">
        <f t="shared" si="10"/>
        <v>16991000</v>
      </c>
      <c r="AY63" s="66">
        <f t="shared" si="10"/>
        <v>18631100</v>
      </c>
      <c r="AZ63" s="66">
        <f t="shared" si="10"/>
        <v>27760300</v>
      </c>
      <c r="BA63" s="66">
        <f t="shared" si="10"/>
        <v>27337900</v>
      </c>
      <c r="BC63" s="66">
        <f t="shared" ca="1" si="6"/>
        <v>68610800</v>
      </c>
      <c r="BD63" s="66">
        <f t="shared" si="7"/>
        <v>97549300</v>
      </c>
    </row>
    <row r="64" spans="1:56" x14ac:dyDescent="0.3">
      <c r="A64" s="6" t="str">
        <f>IFERROR(VLOOKUP($F64,매장구분!$B:$K,2,0),"")</f>
        <v>파트너채널팀</v>
      </c>
      <c r="B64" s="6" t="str">
        <f>IFERROR(VLOOKUP($F64,매장구분!$B:$K,3,0),"")</f>
        <v>국내</v>
      </c>
      <c r="C64" s="6" t="str">
        <f>IFERROR(VLOOKUP($F64,매장구분!$B:$K,5,0),"")</f>
        <v>백화점</v>
      </c>
      <c r="D64" s="6" t="str">
        <f>IFERROR(VLOOKUP($F64,매장구분!$B:$Z,9,0),"")</f>
        <v>현대중동</v>
      </c>
      <c r="E64" s="69" t="s">
        <v>494</v>
      </c>
      <c r="F64" s="69" t="s">
        <v>495</v>
      </c>
      <c r="G64" s="69">
        <v>1107</v>
      </c>
      <c r="H64" s="69">
        <v>140666900</v>
      </c>
      <c r="I64" s="69">
        <v>146350600</v>
      </c>
      <c r="J64" s="69">
        <v>1719</v>
      </c>
      <c r="K64" s="69">
        <v>244067200</v>
      </c>
      <c r="L64" s="69">
        <v>251001600</v>
      </c>
      <c r="M64" s="69">
        <v>-612</v>
      </c>
      <c r="N64" s="69">
        <v>-103400300</v>
      </c>
      <c r="O64" s="69">
        <v>-104651000</v>
      </c>
      <c r="P64" s="69">
        <v>654900</v>
      </c>
      <c r="Q64" s="69">
        <v>2794700</v>
      </c>
      <c r="R64" s="69">
        <v>28371700</v>
      </c>
      <c r="S64" s="69">
        <v>2865700</v>
      </c>
      <c r="T64" s="69">
        <v>1375700</v>
      </c>
      <c r="U64" s="69">
        <v>1586200</v>
      </c>
      <c r="V64" s="69">
        <v>1301000</v>
      </c>
      <c r="W64" s="69">
        <v>1779600</v>
      </c>
      <c r="X64" s="69">
        <v>12313000</v>
      </c>
      <c r="Y64" s="69">
        <v>9185500</v>
      </c>
      <c r="Z64" s="69">
        <v>0</v>
      </c>
      <c r="AA64" s="69">
        <v>2029400</v>
      </c>
      <c r="AB64" s="69">
        <v>12749000</v>
      </c>
      <c r="AC64" s="69">
        <v>1708000</v>
      </c>
      <c r="AD64" s="69">
        <v>1707900</v>
      </c>
      <c r="AE64" s="69">
        <v>2631000</v>
      </c>
      <c r="AF64" s="69">
        <v>4162000</v>
      </c>
      <c r="AG64" s="69">
        <v>6186000</v>
      </c>
      <c r="AH64" s="69">
        <v>1114000</v>
      </c>
      <c r="AI64" s="69">
        <v>1701000</v>
      </c>
      <c r="AJ64" s="69">
        <v>1287000</v>
      </c>
      <c r="AK64" s="69">
        <v>1357000</v>
      </c>
      <c r="AL64" s="69">
        <v>13855600</v>
      </c>
      <c r="AM64" s="69">
        <v>3881000</v>
      </c>
      <c r="AN64" s="69">
        <v>3216300</v>
      </c>
      <c r="AO64" s="69">
        <v>5994300</v>
      </c>
      <c r="AP64" s="69">
        <v>1329000</v>
      </c>
      <c r="AQ64" s="69">
        <v>2259000</v>
      </c>
      <c r="AR64" s="69">
        <v>1630000</v>
      </c>
      <c r="AS64" s="69">
        <v>2975300</v>
      </c>
      <c r="AT64" s="69">
        <v>6666100</v>
      </c>
      <c r="AU64" s="69"/>
      <c r="AW64" s="66">
        <f t="shared" si="10"/>
        <v>31166400</v>
      </c>
      <c r="AX64" s="66">
        <f t="shared" si="10"/>
        <v>30406700</v>
      </c>
      <c r="AY64" s="66">
        <f t="shared" si="10"/>
        <v>24987300</v>
      </c>
      <c r="AZ64" s="66">
        <f t="shared" si="10"/>
        <v>29381600</v>
      </c>
      <c r="BA64" s="66">
        <f t="shared" si="10"/>
        <v>24070000</v>
      </c>
      <c r="BC64" s="66">
        <f t="shared" ca="1" si="6"/>
        <v>112715900</v>
      </c>
      <c r="BD64" s="66">
        <f t="shared" si="7"/>
        <v>134000800</v>
      </c>
    </row>
    <row r="65" spans="1:56" x14ac:dyDescent="0.3">
      <c r="A65" s="6" t="str">
        <f>IFERROR(VLOOKUP($F65,매장구분!$B:$K,2,0),"")</f>
        <v>파트너채널팀</v>
      </c>
      <c r="B65" s="6" t="str">
        <f>IFERROR(VLOOKUP($F65,매장구분!$B:$K,3,0),"")</f>
        <v>국내</v>
      </c>
      <c r="C65" s="6" t="str">
        <f>IFERROR(VLOOKUP($F65,매장구분!$B:$K,5,0),"")</f>
        <v>백화점</v>
      </c>
      <c r="D65" s="6" t="str">
        <f>IFERROR(VLOOKUP($F65,매장구분!$B:$Z,9,0),"")</f>
        <v>신세계천안아산</v>
      </c>
      <c r="E65" s="69" t="s">
        <v>271</v>
      </c>
      <c r="F65" s="69" t="s">
        <v>272</v>
      </c>
      <c r="G65" s="69">
        <v>943</v>
      </c>
      <c r="H65" s="69">
        <v>98763800</v>
      </c>
      <c r="I65" s="69">
        <v>103538900</v>
      </c>
      <c r="J65" s="69">
        <v>1007</v>
      </c>
      <c r="K65" s="69">
        <v>109065600</v>
      </c>
      <c r="L65" s="69">
        <v>114241900</v>
      </c>
      <c r="M65" s="69">
        <v>-64</v>
      </c>
      <c r="N65" s="69">
        <v>-10301800</v>
      </c>
      <c r="O65" s="69">
        <v>-10703000</v>
      </c>
      <c r="P65" s="69">
        <v>1894500</v>
      </c>
      <c r="Q65" s="69">
        <v>3369400</v>
      </c>
      <c r="R65" s="69">
        <v>6100700</v>
      </c>
      <c r="S65" s="69">
        <v>1623600</v>
      </c>
      <c r="T65" s="69">
        <v>3033800</v>
      </c>
      <c r="U65" s="69">
        <v>2243000</v>
      </c>
      <c r="V65" s="69">
        <v>3668600</v>
      </c>
      <c r="W65" s="69">
        <v>2169000</v>
      </c>
      <c r="X65" s="69">
        <v>6404000</v>
      </c>
      <c r="Y65" s="69">
        <v>4842300</v>
      </c>
      <c r="Z65" s="69">
        <v>1951200</v>
      </c>
      <c r="AA65" s="69">
        <v>1858000</v>
      </c>
      <c r="AB65" s="69">
        <v>2187000</v>
      </c>
      <c r="AC65" s="69">
        <v>1511500</v>
      </c>
      <c r="AD65" s="69">
        <v>1798000</v>
      </c>
      <c r="AE65" s="69">
        <v>2838000</v>
      </c>
      <c r="AF65" s="69">
        <v>3867000</v>
      </c>
      <c r="AG65" s="69">
        <v>0</v>
      </c>
      <c r="AH65" s="69">
        <v>2506000</v>
      </c>
      <c r="AI65" s="69">
        <v>1778000</v>
      </c>
      <c r="AJ65" s="69">
        <v>1460000</v>
      </c>
      <c r="AK65" s="69">
        <v>3118000</v>
      </c>
      <c r="AL65" s="69">
        <v>4894000</v>
      </c>
      <c r="AM65" s="69">
        <v>8121000</v>
      </c>
      <c r="AN65" s="69">
        <v>3386000</v>
      </c>
      <c r="AO65" s="69">
        <v>2699000</v>
      </c>
      <c r="AP65" s="69">
        <v>2325000</v>
      </c>
      <c r="AQ65" s="69">
        <v>2826900</v>
      </c>
      <c r="AR65" s="69">
        <v>2636000</v>
      </c>
      <c r="AS65" s="69">
        <v>4650300</v>
      </c>
      <c r="AT65" s="69">
        <v>7004000</v>
      </c>
      <c r="AU65" s="69"/>
      <c r="AW65" s="66">
        <f t="shared" si="10"/>
        <v>9470100</v>
      </c>
      <c r="AX65" s="66">
        <f t="shared" si="10"/>
        <v>23984300</v>
      </c>
      <c r="AY65" s="66">
        <f t="shared" si="10"/>
        <v>16010700</v>
      </c>
      <c r="AZ65" s="66">
        <f t="shared" si="10"/>
        <v>21877000</v>
      </c>
      <c r="BA65" s="66">
        <f t="shared" si="10"/>
        <v>25527200</v>
      </c>
      <c r="BC65" s="66">
        <f t="shared" ca="1" si="6"/>
        <v>65115600</v>
      </c>
      <c r="BD65" s="66">
        <f t="shared" si="7"/>
        <v>91759800</v>
      </c>
    </row>
    <row r="66" spans="1:56" x14ac:dyDescent="0.3">
      <c r="A66" s="6" t="str">
        <f>IFERROR(VLOOKUP($F66,매장구분!$B:$K,2,0),"")</f>
        <v>파트너채널팀</v>
      </c>
      <c r="B66" s="6" t="str">
        <f>IFERROR(VLOOKUP($F66,매장구분!$B:$K,3,0),"")</f>
        <v>국내</v>
      </c>
      <c r="C66" s="6" t="str">
        <f>IFERROR(VLOOKUP($F66,매장구분!$B:$K,5,0),"")</f>
        <v>백화점</v>
      </c>
      <c r="D66" s="6" t="str">
        <f>IFERROR(VLOOKUP($F66,매장구분!$B:$Z,9,0),"")</f>
        <v>롯데창원</v>
      </c>
      <c r="E66" s="69" t="s">
        <v>548</v>
      </c>
      <c r="F66" s="69" t="s">
        <v>549</v>
      </c>
      <c r="G66" s="69">
        <v>1015</v>
      </c>
      <c r="H66" s="69">
        <v>112997200</v>
      </c>
      <c r="I66" s="69">
        <v>130044000</v>
      </c>
      <c r="J66" s="69">
        <v>1323</v>
      </c>
      <c r="K66" s="69">
        <v>162082600</v>
      </c>
      <c r="L66" s="69">
        <v>183209000</v>
      </c>
      <c r="M66" s="69">
        <v>-308</v>
      </c>
      <c r="N66" s="69">
        <v>-49085400</v>
      </c>
      <c r="O66" s="69">
        <v>-53165000</v>
      </c>
      <c r="P66" s="69">
        <v>3343200</v>
      </c>
      <c r="Q66" s="69">
        <v>5004900</v>
      </c>
      <c r="R66" s="69">
        <v>4508200</v>
      </c>
      <c r="S66" s="69">
        <v>0</v>
      </c>
      <c r="T66" s="69">
        <v>4411800</v>
      </c>
      <c r="U66" s="69">
        <v>3158100</v>
      </c>
      <c r="V66" s="69">
        <v>2227300</v>
      </c>
      <c r="W66" s="69">
        <v>3527300</v>
      </c>
      <c r="X66" s="69">
        <v>4076400</v>
      </c>
      <c r="Y66" s="69">
        <v>6612600</v>
      </c>
      <c r="Z66" s="69">
        <v>4669300</v>
      </c>
      <c r="AA66" s="69">
        <v>993300</v>
      </c>
      <c r="AB66" s="69">
        <v>3134100</v>
      </c>
      <c r="AC66" s="69">
        <v>3886700</v>
      </c>
      <c r="AD66" s="69">
        <v>3127100</v>
      </c>
      <c r="AE66" s="69">
        <v>4713500</v>
      </c>
      <c r="AF66" s="69">
        <v>6247400</v>
      </c>
      <c r="AG66" s="69">
        <v>1538000</v>
      </c>
      <c r="AH66" s="69">
        <v>2494200</v>
      </c>
      <c r="AI66" s="69">
        <v>2150600</v>
      </c>
      <c r="AJ66" s="69">
        <v>2196400</v>
      </c>
      <c r="AK66" s="69">
        <v>2843400</v>
      </c>
      <c r="AL66" s="69">
        <v>8005700</v>
      </c>
      <c r="AM66" s="69">
        <v>7622100</v>
      </c>
      <c r="AN66" s="69">
        <v>815200</v>
      </c>
      <c r="AO66" s="69">
        <v>2940700</v>
      </c>
      <c r="AP66" s="69">
        <v>2160200</v>
      </c>
      <c r="AQ66" s="69">
        <v>1216800</v>
      </c>
      <c r="AR66" s="69">
        <v>2059700</v>
      </c>
      <c r="AS66" s="69">
        <v>6133700</v>
      </c>
      <c r="AT66" s="69">
        <v>7179300</v>
      </c>
      <c r="AU66" s="69"/>
      <c r="AW66" s="66">
        <f t="shared" si="10"/>
        <v>9513100</v>
      </c>
      <c r="AX66" s="66">
        <f t="shared" si="10"/>
        <v>24013500</v>
      </c>
      <c r="AY66" s="66">
        <f t="shared" si="10"/>
        <v>26771400</v>
      </c>
      <c r="AZ66" s="66">
        <f t="shared" si="10"/>
        <v>26850400</v>
      </c>
      <c r="BA66" s="66">
        <f t="shared" si="10"/>
        <v>22505600</v>
      </c>
      <c r="BC66" s="66">
        <f t="shared" ca="1" si="6"/>
        <v>82869500</v>
      </c>
      <c r="BD66" s="66">
        <f t="shared" si="7"/>
        <v>105817900</v>
      </c>
    </row>
    <row r="67" spans="1:56" x14ac:dyDescent="0.3">
      <c r="A67" s="6" t="str">
        <f>IFERROR(VLOOKUP($F67,매장구분!$B:$K,2,0),"")</f>
        <v>파트너채널팀</v>
      </c>
      <c r="B67" s="6" t="str">
        <f>IFERROR(VLOOKUP($F67,매장구분!$B:$K,3,0),"")</f>
        <v>국내</v>
      </c>
      <c r="C67" s="6" t="str">
        <f>IFERROR(VLOOKUP($F67,매장구분!$B:$K,5,0),"")</f>
        <v>백화점</v>
      </c>
      <c r="D67" s="6" t="str">
        <f>IFERROR(VLOOKUP($F67,매장구분!$B:$Z,9,0),"")</f>
        <v>롯데대구</v>
      </c>
      <c r="E67" s="69" t="s">
        <v>536</v>
      </c>
      <c r="F67" s="69" t="s">
        <v>537</v>
      </c>
      <c r="G67" s="69">
        <v>517</v>
      </c>
      <c r="H67" s="69">
        <v>60349600</v>
      </c>
      <c r="I67" s="69">
        <v>62287800</v>
      </c>
      <c r="J67" s="69">
        <v>693</v>
      </c>
      <c r="K67" s="69">
        <v>99526700</v>
      </c>
      <c r="L67" s="69">
        <v>101797800</v>
      </c>
      <c r="M67" s="69">
        <v>-176</v>
      </c>
      <c r="N67" s="69">
        <v>-39177100</v>
      </c>
      <c r="O67" s="69">
        <v>-39510000</v>
      </c>
      <c r="P67" s="69">
        <v>1550400</v>
      </c>
      <c r="Q67" s="69">
        <v>4652600</v>
      </c>
      <c r="R67" s="69">
        <v>3535600</v>
      </c>
      <c r="S67" s="69">
        <v>0</v>
      </c>
      <c r="T67" s="69">
        <v>1195600</v>
      </c>
      <c r="U67" s="69">
        <v>884300</v>
      </c>
      <c r="V67" s="69">
        <v>1206500</v>
      </c>
      <c r="W67" s="69">
        <v>869400</v>
      </c>
      <c r="X67" s="69">
        <v>3061800</v>
      </c>
      <c r="Y67" s="69">
        <v>4268000</v>
      </c>
      <c r="Z67" s="69">
        <v>849000</v>
      </c>
      <c r="AA67" s="69">
        <v>1766000</v>
      </c>
      <c r="AB67" s="69">
        <v>1581000</v>
      </c>
      <c r="AC67" s="69">
        <v>2694500</v>
      </c>
      <c r="AD67" s="69">
        <v>759000</v>
      </c>
      <c r="AE67" s="69">
        <v>1322500</v>
      </c>
      <c r="AF67" s="69">
        <v>3171900</v>
      </c>
      <c r="AG67" s="69">
        <v>3248100</v>
      </c>
      <c r="AH67" s="69">
        <v>1625000</v>
      </c>
      <c r="AI67" s="69">
        <v>1645000</v>
      </c>
      <c r="AJ67" s="69">
        <v>2159000</v>
      </c>
      <c r="AK67" s="69">
        <v>1570000</v>
      </c>
      <c r="AL67" s="69">
        <v>2879000</v>
      </c>
      <c r="AM67" s="69">
        <v>1048900</v>
      </c>
      <c r="AN67" s="69">
        <v>489000</v>
      </c>
      <c r="AO67" s="69">
        <v>2158600</v>
      </c>
      <c r="AP67" s="69">
        <v>754000</v>
      </c>
      <c r="AQ67" s="69">
        <v>1056200</v>
      </c>
      <c r="AR67" s="69">
        <v>1120000</v>
      </c>
      <c r="AS67" s="69">
        <v>693900</v>
      </c>
      <c r="AT67" s="69">
        <v>6534800</v>
      </c>
      <c r="AU67" s="69"/>
      <c r="AW67" s="66">
        <f t="shared" si="10"/>
        <v>8188200</v>
      </c>
      <c r="AX67" s="66">
        <f t="shared" si="10"/>
        <v>11485600</v>
      </c>
      <c r="AY67" s="66">
        <f t="shared" si="10"/>
        <v>12143900</v>
      </c>
      <c r="AZ67" s="66">
        <f t="shared" si="10"/>
        <v>14175000</v>
      </c>
      <c r="BA67" s="66">
        <f t="shared" si="10"/>
        <v>12806500</v>
      </c>
      <c r="BC67" s="66">
        <f t="shared" ca="1" si="6"/>
        <v>46494200</v>
      </c>
      <c r="BD67" s="66">
        <f t="shared" si="7"/>
        <v>53814800</v>
      </c>
    </row>
    <row r="68" spans="1:56" x14ac:dyDescent="0.3">
      <c r="A68" s="6" t="str">
        <f>IFERROR(VLOOKUP($F68,매장구분!$B:$K,2,0),"")</f>
        <v>파트너채널팀</v>
      </c>
      <c r="B68" s="6" t="str">
        <f>IFERROR(VLOOKUP($F68,매장구분!$B:$K,3,0),"")</f>
        <v>국내</v>
      </c>
      <c r="C68" s="6" t="str">
        <f>IFERROR(VLOOKUP($F68,매장구분!$B:$K,5,0),"")</f>
        <v>백화점</v>
      </c>
      <c r="D68" s="6" t="str">
        <f>IFERROR(VLOOKUP($F68,매장구분!$B:$Z,9,0),"")</f>
        <v>롯데상인</v>
      </c>
      <c r="E68" s="69" t="s">
        <v>348</v>
      </c>
      <c r="F68" s="69" t="s">
        <v>349</v>
      </c>
      <c r="G68" s="69">
        <v>514</v>
      </c>
      <c r="H68" s="69">
        <v>55853000</v>
      </c>
      <c r="I68" s="69">
        <v>58272000</v>
      </c>
      <c r="J68" s="69">
        <v>640</v>
      </c>
      <c r="K68" s="69">
        <v>78708800</v>
      </c>
      <c r="L68" s="69">
        <v>81192000</v>
      </c>
      <c r="M68" s="69">
        <v>-126</v>
      </c>
      <c r="N68" s="69">
        <v>-22855800</v>
      </c>
      <c r="O68" s="69">
        <v>-22920000</v>
      </c>
      <c r="P68" s="69">
        <v>1125500</v>
      </c>
      <c r="Q68" s="69">
        <v>916000</v>
      </c>
      <c r="R68" s="69">
        <v>3942300</v>
      </c>
      <c r="S68" s="69">
        <v>0</v>
      </c>
      <c r="T68" s="69">
        <v>2084100</v>
      </c>
      <c r="U68" s="69">
        <v>1383000</v>
      </c>
      <c r="V68" s="69">
        <v>1449000</v>
      </c>
      <c r="W68" s="69">
        <v>1993000</v>
      </c>
      <c r="X68" s="69">
        <v>2924000</v>
      </c>
      <c r="Y68" s="69">
        <v>1559000</v>
      </c>
      <c r="Z68" s="69">
        <v>3758600</v>
      </c>
      <c r="AA68" s="69">
        <v>2293000</v>
      </c>
      <c r="AB68" s="69">
        <v>1113000</v>
      </c>
      <c r="AC68" s="69">
        <v>1441000</v>
      </c>
      <c r="AD68" s="69">
        <v>1190000</v>
      </c>
      <c r="AE68" s="69">
        <v>1884000</v>
      </c>
      <c r="AF68" s="69">
        <v>3318000</v>
      </c>
      <c r="AG68" s="69">
        <v>1630500</v>
      </c>
      <c r="AH68" s="69">
        <v>580000</v>
      </c>
      <c r="AI68" s="69">
        <v>724500</v>
      </c>
      <c r="AJ68" s="69">
        <v>1393000</v>
      </c>
      <c r="AK68" s="69">
        <v>1566000</v>
      </c>
      <c r="AL68" s="69">
        <v>3052000</v>
      </c>
      <c r="AM68" s="69">
        <v>1694000</v>
      </c>
      <c r="AN68" s="69">
        <v>806000</v>
      </c>
      <c r="AO68" s="69">
        <v>1231500</v>
      </c>
      <c r="AP68" s="69">
        <v>476000</v>
      </c>
      <c r="AQ68" s="69">
        <v>959000</v>
      </c>
      <c r="AR68" s="69">
        <v>994000</v>
      </c>
      <c r="AS68" s="69">
        <v>1799000</v>
      </c>
      <c r="AT68" s="69">
        <v>6574000</v>
      </c>
      <c r="AU68" s="69"/>
      <c r="AW68" s="66">
        <f t="shared" si="10"/>
        <v>4858300</v>
      </c>
      <c r="AX68" s="66">
        <f t="shared" si="10"/>
        <v>11392100</v>
      </c>
      <c r="AY68" s="66">
        <f t="shared" si="10"/>
        <v>14997600</v>
      </c>
      <c r="AZ68" s="66">
        <f t="shared" si="10"/>
        <v>10640000</v>
      </c>
      <c r="BA68" s="66">
        <f t="shared" si="10"/>
        <v>12839500</v>
      </c>
      <c r="BC68" s="66">
        <f t="shared" ca="1" si="6"/>
        <v>41319500</v>
      </c>
      <c r="BD68" s="66">
        <f t="shared" si="7"/>
        <v>49279000</v>
      </c>
    </row>
    <row r="69" spans="1:56" x14ac:dyDescent="0.3">
      <c r="A69" s="6" t="str">
        <f>IFERROR(VLOOKUP($F69,매장구분!$B:$K,2,0),"")</f>
        <v>파트너채널팀</v>
      </c>
      <c r="B69" s="6" t="str">
        <f>IFERROR(VLOOKUP($F69,매장구분!$B:$K,3,0),"")</f>
        <v>국내</v>
      </c>
      <c r="C69" s="6" t="str">
        <f>IFERROR(VLOOKUP($F69,매장구분!$B:$K,5,0),"")</f>
        <v>백화점</v>
      </c>
      <c r="D69" s="6" t="str">
        <f>IFERROR(VLOOKUP($F69,매장구분!$B:$Z,9,0),"")</f>
        <v>롯데전주</v>
      </c>
      <c r="E69" s="69" t="s">
        <v>446</v>
      </c>
      <c r="F69" s="69" t="s">
        <v>447</v>
      </c>
      <c r="G69" s="69">
        <v>632</v>
      </c>
      <c r="H69" s="69">
        <v>64190500</v>
      </c>
      <c r="I69" s="69">
        <v>69386900</v>
      </c>
      <c r="J69" s="69">
        <v>754</v>
      </c>
      <c r="K69" s="69">
        <v>84928300</v>
      </c>
      <c r="L69" s="69">
        <v>90606900</v>
      </c>
      <c r="M69" s="69">
        <v>-122</v>
      </c>
      <c r="N69" s="69">
        <v>-20737800</v>
      </c>
      <c r="O69" s="69">
        <v>-21220000</v>
      </c>
      <c r="P69" s="69">
        <v>863100</v>
      </c>
      <c r="Q69" s="69">
        <v>2035700</v>
      </c>
      <c r="R69" s="69">
        <v>3895700</v>
      </c>
      <c r="S69" s="69">
        <v>0</v>
      </c>
      <c r="T69" s="69">
        <v>1155900</v>
      </c>
      <c r="U69" s="69">
        <v>1362300</v>
      </c>
      <c r="V69" s="69">
        <v>2033600</v>
      </c>
      <c r="W69" s="69">
        <v>1253100</v>
      </c>
      <c r="X69" s="69">
        <v>2603400</v>
      </c>
      <c r="Y69" s="69">
        <v>4251200</v>
      </c>
      <c r="Z69" s="69">
        <v>1275500</v>
      </c>
      <c r="AA69" s="69">
        <v>1399000</v>
      </c>
      <c r="AB69" s="69">
        <v>1849600</v>
      </c>
      <c r="AC69" s="69">
        <v>954100</v>
      </c>
      <c r="AD69" s="69">
        <v>1877500</v>
      </c>
      <c r="AE69" s="69">
        <v>1207900</v>
      </c>
      <c r="AF69" s="69">
        <v>4826000</v>
      </c>
      <c r="AG69" s="69">
        <v>336000</v>
      </c>
      <c r="AH69" s="69">
        <v>883000</v>
      </c>
      <c r="AI69" s="69">
        <v>1131000</v>
      </c>
      <c r="AJ69" s="69">
        <v>3006500</v>
      </c>
      <c r="AK69" s="69">
        <v>794000</v>
      </c>
      <c r="AL69" s="69">
        <v>4968000</v>
      </c>
      <c r="AM69" s="69">
        <v>4990400</v>
      </c>
      <c r="AN69" s="69">
        <v>2937000</v>
      </c>
      <c r="AO69" s="69">
        <v>570000</v>
      </c>
      <c r="AP69" s="69">
        <v>1911000</v>
      </c>
      <c r="AQ69" s="69">
        <v>1325000</v>
      </c>
      <c r="AR69" s="69">
        <v>2172000</v>
      </c>
      <c r="AS69" s="69">
        <v>3648000</v>
      </c>
      <c r="AT69" s="69">
        <v>2675000</v>
      </c>
      <c r="AU69" s="69"/>
      <c r="AW69" s="66">
        <f t="shared" si="10"/>
        <v>5931400</v>
      </c>
      <c r="AX69" s="66">
        <f t="shared" si="10"/>
        <v>12659500</v>
      </c>
      <c r="AY69" s="66">
        <f t="shared" si="10"/>
        <v>13389600</v>
      </c>
      <c r="AZ69" s="66">
        <f t="shared" si="10"/>
        <v>16108900</v>
      </c>
      <c r="BA69" s="66">
        <f t="shared" si="10"/>
        <v>15238000</v>
      </c>
      <c r="BC69" s="66">
        <f t="shared" ca="1" si="6"/>
        <v>43962100</v>
      </c>
      <c r="BD69" s="66">
        <f t="shared" si="7"/>
        <v>61515500</v>
      </c>
    </row>
    <row r="70" spans="1:56" x14ac:dyDescent="0.3">
      <c r="A70" s="6" t="str">
        <f>IFERROR(VLOOKUP($F70,매장구분!$B:$K,2,0),"")</f>
        <v>파트너채널팀</v>
      </c>
      <c r="B70" s="6" t="str">
        <f>IFERROR(VLOOKUP($F70,매장구분!$B:$K,3,0),"")</f>
        <v>국내</v>
      </c>
      <c r="C70" s="6" t="str">
        <f>IFERROR(VLOOKUP($F70,매장구분!$B:$K,5,0),"")</f>
        <v>백화점</v>
      </c>
      <c r="D70" s="6" t="str">
        <f>IFERROR(VLOOKUP($F70,매장구분!$B:$Z,9,0),"")</f>
        <v>롯데포항</v>
      </c>
      <c r="E70" s="69" t="s">
        <v>249</v>
      </c>
      <c r="F70" s="69" t="s">
        <v>250</v>
      </c>
      <c r="G70" s="69">
        <v>564</v>
      </c>
      <c r="H70" s="69">
        <v>63685910</v>
      </c>
      <c r="I70" s="69">
        <v>70768900</v>
      </c>
      <c r="J70" s="69">
        <v>679</v>
      </c>
      <c r="K70" s="69">
        <v>85837610</v>
      </c>
      <c r="L70" s="69">
        <v>93119900</v>
      </c>
      <c r="M70" s="69">
        <v>-115</v>
      </c>
      <c r="N70" s="69">
        <v>-22151700</v>
      </c>
      <c r="O70" s="69">
        <v>-22351000</v>
      </c>
      <c r="P70" s="69">
        <v>1158800</v>
      </c>
      <c r="Q70" s="69">
        <v>3993400</v>
      </c>
      <c r="R70" s="69">
        <v>4176900</v>
      </c>
      <c r="S70" s="69">
        <v>0</v>
      </c>
      <c r="T70" s="69">
        <v>754200</v>
      </c>
      <c r="U70" s="69">
        <v>1193000</v>
      </c>
      <c r="V70" s="69">
        <v>1490400</v>
      </c>
      <c r="W70" s="69">
        <v>598200</v>
      </c>
      <c r="X70" s="69">
        <v>3770900</v>
      </c>
      <c r="Y70" s="69">
        <v>3456600</v>
      </c>
      <c r="Z70" s="69">
        <v>1649700</v>
      </c>
      <c r="AA70" s="69">
        <v>1801000</v>
      </c>
      <c r="AB70" s="69">
        <v>9000</v>
      </c>
      <c r="AC70" s="69">
        <v>52000</v>
      </c>
      <c r="AD70" s="69">
        <v>3588310</v>
      </c>
      <c r="AE70" s="69">
        <v>3792400</v>
      </c>
      <c r="AF70" s="69">
        <v>3886300</v>
      </c>
      <c r="AG70" s="69">
        <v>0</v>
      </c>
      <c r="AH70" s="69">
        <v>1970000</v>
      </c>
      <c r="AI70" s="69">
        <v>1099500</v>
      </c>
      <c r="AJ70" s="69">
        <v>765000</v>
      </c>
      <c r="AK70" s="69">
        <v>1825000</v>
      </c>
      <c r="AL70" s="69">
        <v>5359500</v>
      </c>
      <c r="AM70" s="69">
        <v>4022700</v>
      </c>
      <c r="AN70" s="69">
        <v>687000</v>
      </c>
      <c r="AO70" s="69">
        <v>1102200</v>
      </c>
      <c r="AP70" s="69">
        <v>1889300</v>
      </c>
      <c r="AQ70" s="69">
        <v>0</v>
      </c>
      <c r="AR70" s="69">
        <v>1902200</v>
      </c>
      <c r="AS70" s="69">
        <v>4174600</v>
      </c>
      <c r="AT70" s="69">
        <v>3517800</v>
      </c>
      <c r="AU70" s="69"/>
      <c r="AW70" s="66">
        <f t="shared" si="10"/>
        <v>8170300</v>
      </c>
      <c r="AX70" s="66">
        <f t="shared" si="10"/>
        <v>11263300</v>
      </c>
      <c r="AY70" s="66">
        <f t="shared" si="10"/>
        <v>14778710</v>
      </c>
      <c r="AZ70" s="66">
        <f t="shared" si="10"/>
        <v>15041700</v>
      </c>
      <c r="BA70" s="66">
        <f t="shared" si="10"/>
        <v>13273100</v>
      </c>
      <c r="BC70" s="66">
        <f t="shared" ca="1" si="6"/>
        <v>46390110</v>
      </c>
      <c r="BD70" s="66">
        <f t="shared" si="7"/>
        <v>60168110</v>
      </c>
    </row>
    <row r="71" spans="1:56" x14ac:dyDescent="0.3">
      <c r="A71" s="6" t="str">
        <f>IFERROR(VLOOKUP($F71,매장구분!$B:$K,2,0),"")</f>
        <v>파트너채널팀</v>
      </c>
      <c r="B71" s="6" t="str">
        <f>IFERROR(VLOOKUP($F71,매장구분!$B:$K,3,0),"")</f>
        <v>국내</v>
      </c>
      <c r="C71" s="6" t="str">
        <f>IFERROR(VLOOKUP($F71,매장구분!$B:$K,5,0),"")</f>
        <v>백화점</v>
      </c>
      <c r="D71" s="6" t="str">
        <f>IFERROR(VLOOKUP($F71,매장구분!$B:$Z,9,0),"")</f>
        <v>롯데동래</v>
      </c>
      <c r="E71" s="69" t="s">
        <v>239</v>
      </c>
      <c r="F71" s="69" t="s">
        <v>240</v>
      </c>
      <c r="G71" s="69">
        <v>1261</v>
      </c>
      <c r="H71" s="69">
        <v>150070800</v>
      </c>
      <c r="I71" s="69">
        <v>157812900</v>
      </c>
      <c r="J71" s="69">
        <v>1445</v>
      </c>
      <c r="K71" s="69">
        <v>188197600</v>
      </c>
      <c r="L71" s="69">
        <v>196000900</v>
      </c>
      <c r="M71" s="69">
        <v>-184</v>
      </c>
      <c r="N71" s="69">
        <v>-38126800</v>
      </c>
      <c r="O71" s="69">
        <v>-38188000</v>
      </c>
      <c r="P71" s="69">
        <v>11720100</v>
      </c>
      <c r="Q71" s="69">
        <v>1622600</v>
      </c>
      <c r="R71" s="69">
        <v>3097700</v>
      </c>
      <c r="S71" s="69">
        <v>0</v>
      </c>
      <c r="T71" s="69">
        <v>6967600</v>
      </c>
      <c r="U71" s="69">
        <v>1820300</v>
      </c>
      <c r="V71" s="69">
        <v>1453600</v>
      </c>
      <c r="W71" s="69">
        <v>1713300</v>
      </c>
      <c r="X71" s="69">
        <v>23379300</v>
      </c>
      <c r="Y71" s="69">
        <v>3073100</v>
      </c>
      <c r="Z71" s="69">
        <v>3115800</v>
      </c>
      <c r="AA71" s="69">
        <v>2990000</v>
      </c>
      <c r="AB71" s="69">
        <v>3022000</v>
      </c>
      <c r="AC71" s="69">
        <v>7323200</v>
      </c>
      <c r="AD71" s="69">
        <v>3867000</v>
      </c>
      <c r="AE71" s="69">
        <v>4225000</v>
      </c>
      <c r="AF71" s="69">
        <v>5059000</v>
      </c>
      <c r="AG71" s="69">
        <v>2435000</v>
      </c>
      <c r="AH71" s="69">
        <v>966000</v>
      </c>
      <c r="AI71" s="69">
        <v>2217900</v>
      </c>
      <c r="AJ71" s="69">
        <v>2353000</v>
      </c>
      <c r="AK71" s="69">
        <v>3886000</v>
      </c>
      <c r="AL71" s="69">
        <v>4301000</v>
      </c>
      <c r="AM71" s="69">
        <v>24242000</v>
      </c>
      <c r="AN71" s="69">
        <v>2198000</v>
      </c>
      <c r="AO71" s="69">
        <v>6605000</v>
      </c>
      <c r="AP71" s="69">
        <v>3469300</v>
      </c>
      <c r="AQ71" s="69">
        <v>1462000</v>
      </c>
      <c r="AR71" s="69">
        <v>202000</v>
      </c>
      <c r="AS71" s="69">
        <v>266000</v>
      </c>
      <c r="AT71" s="69">
        <v>11018000</v>
      </c>
      <c r="AU71" s="69"/>
      <c r="AW71" s="66">
        <f t="shared" si="10"/>
        <v>4720300</v>
      </c>
      <c r="AX71" s="66">
        <f t="shared" si="10"/>
        <v>38407200</v>
      </c>
      <c r="AY71" s="66">
        <f t="shared" si="10"/>
        <v>29602000</v>
      </c>
      <c r="AZ71" s="66">
        <f t="shared" si="10"/>
        <v>40400900</v>
      </c>
      <c r="BA71" s="66">
        <f t="shared" si="10"/>
        <v>25220300</v>
      </c>
      <c r="BC71" s="66">
        <f t="shared" ca="1" si="6"/>
        <v>100608500</v>
      </c>
      <c r="BD71" s="66">
        <f t="shared" si="7"/>
        <v>139052800</v>
      </c>
    </row>
    <row r="72" spans="1:56" x14ac:dyDescent="0.3">
      <c r="A72" s="6" t="str">
        <f>IFERROR(VLOOKUP($F72,매장구분!$B:$K,2,0),"")</f>
        <v>파트너채널팀</v>
      </c>
      <c r="B72" s="6" t="str">
        <f>IFERROR(VLOOKUP($F72,매장구분!$B:$K,3,0),"")</f>
        <v>국내</v>
      </c>
      <c r="C72" s="6" t="str">
        <f>IFERROR(VLOOKUP($F72,매장구분!$B:$K,5,0),"")</f>
        <v>백화점</v>
      </c>
      <c r="D72" s="6" t="str">
        <f>IFERROR(VLOOKUP($F72,매장구분!$B:$Z,9,0),"")</f>
        <v>갤러리아대전</v>
      </c>
      <c r="E72" s="69" t="s">
        <v>303</v>
      </c>
      <c r="F72" s="69" t="s">
        <v>304</v>
      </c>
      <c r="G72" s="69">
        <v>1144</v>
      </c>
      <c r="H72" s="69">
        <v>147118420</v>
      </c>
      <c r="I72" s="69">
        <v>152972400</v>
      </c>
      <c r="J72" s="69">
        <v>1261</v>
      </c>
      <c r="K72" s="69">
        <v>164930520</v>
      </c>
      <c r="L72" s="69">
        <v>171249400</v>
      </c>
      <c r="M72" s="69">
        <v>-117</v>
      </c>
      <c r="N72" s="69">
        <v>-17812100</v>
      </c>
      <c r="O72" s="69">
        <v>-18277000</v>
      </c>
      <c r="P72" s="69">
        <v>4917400</v>
      </c>
      <c r="Q72" s="69">
        <v>7669600</v>
      </c>
      <c r="R72" s="69">
        <v>6383700</v>
      </c>
      <c r="S72" s="69">
        <v>2128800</v>
      </c>
      <c r="T72" s="69">
        <v>870120</v>
      </c>
      <c r="U72" s="69">
        <v>1140800</v>
      </c>
      <c r="V72" s="69">
        <v>1727700</v>
      </c>
      <c r="W72" s="69">
        <v>2530400</v>
      </c>
      <c r="X72" s="69">
        <v>6112000</v>
      </c>
      <c r="Y72" s="69">
        <v>5637900</v>
      </c>
      <c r="Z72" s="69">
        <v>2544000</v>
      </c>
      <c r="AA72" s="69">
        <v>9881900</v>
      </c>
      <c r="AB72" s="69">
        <v>693000</v>
      </c>
      <c r="AC72" s="69">
        <v>3437000</v>
      </c>
      <c r="AD72" s="69">
        <v>905000</v>
      </c>
      <c r="AE72" s="69">
        <v>37909000</v>
      </c>
      <c r="AF72" s="69">
        <v>3000000</v>
      </c>
      <c r="AG72" s="69">
        <v>4120800</v>
      </c>
      <c r="AH72" s="69">
        <v>2059300</v>
      </c>
      <c r="AI72" s="69">
        <v>2858000</v>
      </c>
      <c r="AJ72" s="69">
        <v>1098000</v>
      </c>
      <c r="AK72" s="69">
        <v>1626000</v>
      </c>
      <c r="AL72" s="69">
        <v>5069000</v>
      </c>
      <c r="AM72" s="69">
        <v>5857000</v>
      </c>
      <c r="AN72" s="69">
        <v>1019000</v>
      </c>
      <c r="AO72" s="69">
        <v>1881000</v>
      </c>
      <c r="AP72" s="69">
        <v>6742000</v>
      </c>
      <c r="AQ72" s="69">
        <v>2477000</v>
      </c>
      <c r="AR72" s="69">
        <v>4767000</v>
      </c>
      <c r="AS72" s="69">
        <v>5383000</v>
      </c>
      <c r="AT72" s="69">
        <v>4673000</v>
      </c>
      <c r="AU72" s="69"/>
      <c r="AW72" s="66">
        <f t="shared" si="10"/>
        <v>14053300</v>
      </c>
      <c r="AX72" s="66">
        <f t="shared" si="10"/>
        <v>20147720</v>
      </c>
      <c r="AY72" s="66">
        <f t="shared" si="10"/>
        <v>58369900</v>
      </c>
      <c r="AZ72" s="66">
        <f t="shared" si="10"/>
        <v>22688100</v>
      </c>
      <c r="BA72" s="66">
        <f t="shared" si="10"/>
        <v>26942000</v>
      </c>
      <c r="BC72" s="66">
        <f t="shared" ref="BC72:BC135" ca="1" si="11">SUMIFS($P72:$AT72,$P$2:$AT$2,BC$3)</f>
        <v>114319420</v>
      </c>
      <c r="BD72" s="66">
        <f t="shared" ref="BD72:BD135" si="12">SUM(P72:AS72)</f>
        <v>142445420</v>
      </c>
    </row>
    <row r="73" spans="1:56" x14ac:dyDescent="0.3">
      <c r="A73" s="6" t="str">
        <f>IFERROR(VLOOKUP($F73,매장구분!$B:$K,2,0),"")</f>
        <v>파트너채널팀</v>
      </c>
      <c r="B73" s="6" t="str">
        <f>IFERROR(VLOOKUP($F73,매장구분!$B:$K,3,0),"")</f>
        <v>국내</v>
      </c>
      <c r="C73" s="6" t="str">
        <f>IFERROR(VLOOKUP($F73,매장구분!$B:$K,5,0),"")</f>
        <v>백화점</v>
      </c>
      <c r="D73" s="6" t="str">
        <f>IFERROR(VLOOKUP($F73,매장구분!$B:$Z,9,0),"")</f>
        <v>현대목동</v>
      </c>
      <c r="E73" s="69" t="s">
        <v>604</v>
      </c>
      <c r="F73" s="69" t="s">
        <v>605</v>
      </c>
      <c r="G73" s="69">
        <v>1967</v>
      </c>
      <c r="H73" s="69">
        <v>234187010</v>
      </c>
      <c r="I73" s="69">
        <v>251701900</v>
      </c>
      <c r="J73" s="69">
        <v>2130</v>
      </c>
      <c r="K73" s="69">
        <v>262584320</v>
      </c>
      <c r="L73" s="69">
        <v>280612800</v>
      </c>
      <c r="M73" s="69">
        <v>-163</v>
      </c>
      <c r="N73" s="69">
        <v>-28397310</v>
      </c>
      <c r="O73" s="69">
        <v>-28910900</v>
      </c>
      <c r="P73" s="69">
        <v>23872900</v>
      </c>
      <c r="Q73" s="69">
        <v>954900</v>
      </c>
      <c r="R73" s="69">
        <v>20335600</v>
      </c>
      <c r="S73" s="69">
        <v>3136800</v>
      </c>
      <c r="T73" s="69">
        <v>2672500</v>
      </c>
      <c r="U73" s="69">
        <v>4708200</v>
      </c>
      <c r="V73" s="69">
        <v>4499100</v>
      </c>
      <c r="W73" s="69">
        <v>10715600</v>
      </c>
      <c r="X73" s="69">
        <v>7261000</v>
      </c>
      <c r="Y73" s="69">
        <v>27673300</v>
      </c>
      <c r="Z73" s="69">
        <v>2395000</v>
      </c>
      <c r="AA73" s="69">
        <v>2910800</v>
      </c>
      <c r="AB73" s="69">
        <v>23550500</v>
      </c>
      <c r="AC73" s="69">
        <v>3471710</v>
      </c>
      <c r="AD73" s="69">
        <v>1478700</v>
      </c>
      <c r="AE73" s="69">
        <v>1656400</v>
      </c>
      <c r="AF73" s="69">
        <v>9874400</v>
      </c>
      <c r="AG73" s="69">
        <v>2584100</v>
      </c>
      <c r="AH73" s="69">
        <v>2524200</v>
      </c>
      <c r="AI73" s="69">
        <v>6119100</v>
      </c>
      <c r="AJ73" s="69">
        <v>6127400</v>
      </c>
      <c r="AK73" s="69">
        <v>2429000</v>
      </c>
      <c r="AL73" s="69">
        <v>3219200</v>
      </c>
      <c r="AM73" s="69">
        <v>13457500</v>
      </c>
      <c r="AN73" s="69">
        <v>4344500</v>
      </c>
      <c r="AO73" s="69">
        <v>2174900</v>
      </c>
      <c r="AP73" s="69">
        <v>7867500</v>
      </c>
      <c r="AQ73" s="69">
        <v>7572300</v>
      </c>
      <c r="AR73" s="69">
        <v>5209100</v>
      </c>
      <c r="AS73" s="69">
        <v>15482700</v>
      </c>
      <c r="AT73" s="69">
        <v>3908100</v>
      </c>
      <c r="AU73" s="69"/>
      <c r="AW73" s="66">
        <f t="shared" si="10"/>
        <v>21290500</v>
      </c>
      <c r="AX73" s="66">
        <f t="shared" si="10"/>
        <v>60666500</v>
      </c>
      <c r="AY73" s="66">
        <f t="shared" si="10"/>
        <v>45337510</v>
      </c>
      <c r="AZ73" s="66">
        <f t="shared" si="10"/>
        <v>36460500</v>
      </c>
      <c r="BA73" s="66">
        <f t="shared" si="10"/>
        <v>46559100</v>
      </c>
      <c r="BC73" s="66">
        <f t="shared" ca="1" si="11"/>
        <v>174170410</v>
      </c>
      <c r="BD73" s="66">
        <f t="shared" si="12"/>
        <v>230278910</v>
      </c>
    </row>
    <row r="74" spans="1:56" x14ac:dyDescent="0.3">
      <c r="A74" s="6" t="str">
        <f>IFERROR(VLOOKUP($F74,매장구분!$B:$K,2,0),"")</f>
        <v>파트너채널팀</v>
      </c>
      <c r="B74" s="6" t="str">
        <f>IFERROR(VLOOKUP($F74,매장구분!$B:$K,3,0),"")</f>
        <v>국내</v>
      </c>
      <c r="C74" s="6" t="str">
        <f>IFERROR(VLOOKUP($F74,매장구분!$B:$K,5,0),"")</f>
        <v>백화점</v>
      </c>
      <c r="D74" s="6" t="str">
        <f>IFERROR(VLOOKUP($F74,매장구분!$B:$Z,9,0),"")</f>
        <v>신세계마산</v>
      </c>
      <c r="E74" s="69" t="s">
        <v>426</v>
      </c>
      <c r="F74" s="69" t="s">
        <v>427</v>
      </c>
      <c r="G74" s="69">
        <v>451</v>
      </c>
      <c r="H74" s="69">
        <v>51355600</v>
      </c>
      <c r="I74" s="69">
        <v>57773900</v>
      </c>
      <c r="J74" s="69">
        <v>517</v>
      </c>
      <c r="K74" s="69">
        <v>61524100</v>
      </c>
      <c r="L74" s="69">
        <v>68205900</v>
      </c>
      <c r="M74" s="69">
        <v>-66</v>
      </c>
      <c r="N74" s="69">
        <v>-10168500</v>
      </c>
      <c r="O74" s="69">
        <v>-10432000</v>
      </c>
      <c r="P74" s="69">
        <v>499000</v>
      </c>
      <c r="Q74" s="69">
        <v>2165500</v>
      </c>
      <c r="R74" s="69">
        <v>2258600</v>
      </c>
      <c r="S74" s="69">
        <v>820300</v>
      </c>
      <c r="T74" s="69">
        <v>1155100</v>
      </c>
      <c r="U74" s="69">
        <v>538800</v>
      </c>
      <c r="V74" s="69">
        <v>2261100</v>
      </c>
      <c r="W74" s="69">
        <v>2586700</v>
      </c>
      <c r="X74" s="69">
        <v>1364000</v>
      </c>
      <c r="Y74" s="69">
        <v>4279500</v>
      </c>
      <c r="Z74" s="69">
        <v>612500</v>
      </c>
      <c r="AA74" s="69">
        <v>1338500</v>
      </c>
      <c r="AB74" s="69">
        <v>521500</v>
      </c>
      <c r="AC74" s="69">
        <v>828000</v>
      </c>
      <c r="AD74" s="69">
        <v>254500</v>
      </c>
      <c r="AE74" s="69">
        <v>1950000</v>
      </c>
      <c r="AF74" s="69">
        <v>2025000</v>
      </c>
      <c r="AG74" s="69">
        <v>0</v>
      </c>
      <c r="AH74" s="69">
        <v>1975000</v>
      </c>
      <c r="AI74" s="69">
        <v>2911800</v>
      </c>
      <c r="AJ74" s="69">
        <v>2316500</v>
      </c>
      <c r="AK74" s="69">
        <v>863000</v>
      </c>
      <c r="AL74" s="69">
        <v>3125900</v>
      </c>
      <c r="AM74" s="69">
        <v>3910800</v>
      </c>
      <c r="AN74" s="69">
        <v>565000</v>
      </c>
      <c r="AO74" s="69">
        <v>1906000</v>
      </c>
      <c r="AP74" s="69">
        <v>2184500</v>
      </c>
      <c r="AQ74" s="69">
        <v>656500</v>
      </c>
      <c r="AR74" s="69">
        <v>2637000</v>
      </c>
      <c r="AS74" s="69">
        <v>1575000</v>
      </c>
      <c r="AT74" s="69">
        <v>1270000</v>
      </c>
      <c r="AU74" s="69"/>
      <c r="AW74" s="66">
        <f t="shared" si="10"/>
        <v>4424100</v>
      </c>
      <c r="AX74" s="66">
        <f t="shared" si="10"/>
        <v>13005500</v>
      </c>
      <c r="AY74" s="66">
        <f t="shared" si="10"/>
        <v>7530000</v>
      </c>
      <c r="AZ74" s="66">
        <f t="shared" si="10"/>
        <v>15103000</v>
      </c>
      <c r="BA74" s="66">
        <f t="shared" si="10"/>
        <v>10794000</v>
      </c>
      <c r="BC74" s="66">
        <f t="shared" ca="1" si="11"/>
        <v>36650800</v>
      </c>
      <c r="BD74" s="66">
        <f t="shared" si="12"/>
        <v>50085600</v>
      </c>
    </row>
    <row r="75" spans="1:56" x14ac:dyDescent="0.3">
      <c r="A75" s="6" t="str">
        <f>IFERROR(VLOOKUP($F75,매장구분!$B:$K,2,0),"")</f>
        <v>파트너채널팀</v>
      </c>
      <c r="B75" s="6" t="str">
        <f>IFERROR(VLOOKUP($F75,매장구분!$B:$K,3,0),"")</f>
        <v>국내</v>
      </c>
      <c r="C75" s="6" t="str">
        <f>IFERROR(VLOOKUP($F75,매장구분!$B:$K,5,0),"")</f>
        <v>백화점</v>
      </c>
      <c r="D75" s="6" t="str">
        <f>IFERROR(VLOOKUP($F75,매장구분!$B:$Z,9,0),"")</f>
        <v>아이파크용산</v>
      </c>
      <c r="E75" s="69" t="s">
        <v>496</v>
      </c>
      <c r="F75" s="69" t="s">
        <v>497</v>
      </c>
      <c r="G75" s="69">
        <v>1374</v>
      </c>
      <c r="H75" s="69">
        <v>144171400</v>
      </c>
      <c r="I75" s="69">
        <v>151809600</v>
      </c>
      <c r="J75" s="69">
        <v>1600</v>
      </c>
      <c r="K75" s="69">
        <v>183889500</v>
      </c>
      <c r="L75" s="69">
        <v>191547600</v>
      </c>
      <c r="M75" s="69">
        <v>-226</v>
      </c>
      <c r="N75" s="69">
        <v>-39718100</v>
      </c>
      <c r="O75" s="69">
        <v>-39738000</v>
      </c>
      <c r="P75" s="69">
        <v>17762000</v>
      </c>
      <c r="Q75" s="69">
        <v>18639200</v>
      </c>
      <c r="R75" s="69">
        <v>4996400</v>
      </c>
      <c r="S75" s="69">
        <v>5666000</v>
      </c>
      <c r="T75" s="69">
        <v>966300</v>
      </c>
      <c r="U75" s="69">
        <v>7339200</v>
      </c>
      <c r="V75" s="69">
        <v>552800</v>
      </c>
      <c r="W75" s="69">
        <v>6980100</v>
      </c>
      <c r="X75" s="69">
        <v>1378500</v>
      </c>
      <c r="Y75" s="69">
        <v>2206400</v>
      </c>
      <c r="Z75" s="69">
        <v>5220200</v>
      </c>
      <c r="AA75" s="69">
        <v>2218000</v>
      </c>
      <c r="AB75" s="69">
        <v>8121600</v>
      </c>
      <c r="AC75" s="69">
        <v>1799000</v>
      </c>
      <c r="AD75" s="69">
        <v>9047900</v>
      </c>
      <c r="AE75" s="69">
        <v>2247700</v>
      </c>
      <c r="AF75" s="69">
        <v>2784000</v>
      </c>
      <c r="AG75" s="69">
        <v>6768000</v>
      </c>
      <c r="AH75" s="69">
        <v>208000</v>
      </c>
      <c r="AI75" s="69">
        <v>6444900</v>
      </c>
      <c r="AJ75" s="69">
        <v>1032000</v>
      </c>
      <c r="AK75" s="69">
        <v>7000900</v>
      </c>
      <c r="AL75" s="69">
        <v>1802500</v>
      </c>
      <c r="AM75" s="69">
        <v>2725100</v>
      </c>
      <c r="AN75" s="69">
        <v>670000</v>
      </c>
      <c r="AO75" s="69">
        <v>875000</v>
      </c>
      <c r="AP75" s="69">
        <v>1329000</v>
      </c>
      <c r="AQ75" s="69">
        <v>434000</v>
      </c>
      <c r="AR75" s="69">
        <v>760900</v>
      </c>
      <c r="AS75" s="69">
        <v>2339000</v>
      </c>
      <c r="AT75" s="69">
        <v>13856800</v>
      </c>
      <c r="AU75" s="69"/>
      <c r="AW75" s="66">
        <f t="shared" si="10"/>
        <v>23635600</v>
      </c>
      <c r="AX75" s="66">
        <f t="shared" si="10"/>
        <v>25089300</v>
      </c>
      <c r="AY75" s="66">
        <f t="shared" si="10"/>
        <v>31438400</v>
      </c>
      <c r="AZ75" s="66">
        <f t="shared" si="10"/>
        <v>25981400</v>
      </c>
      <c r="BA75" s="66">
        <f t="shared" si="10"/>
        <v>20264700</v>
      </c>
      <c r="BC75" s="66">
        <f t="shared" ca="1" si="11"/>
        <v>121181600</v>
      </c>
      <c r="BD75" s="66">
        <f t="shared" si="12"/>
        <v>130314600</v>
      </c>
    </row>
    <row r="76" spans="1:56" x14ac:dyDescent="0.3">
      <c r="A76" s="6" t="str">
        <f>IFERROR(VLOOKUP($F76,매장구분!$B:$K,2,0),"")</f>
        <v>파트너채널팀</v>
      </c>
      <c r="B76" s="6" t="str">
        <f>IFERROR(VLOOKUP($F76,매장구분!$B:$K,3,0),"")</f>
        <v>국내</v>
      </c>
      <c r="C76" s="6" t="str">
        <f>IFERROR(VLOOKUP($F76,매장구분!$B:$K,5,0),"")</f>
        <v>백화점</v>
      </c>
      <c r="D76" s="6" t="str">
        <f>IFERROR(VLOOKUP($F76,매장구분!$B:$Z,9,0),"")</f>
        <v>롯데미아</v>
      </c>
      <c r="E76" s="69" t="s">
        <v>350</v>
      </c>
      <c r="F76" s="69" t="s">
        <v>351</v>
      </c>
      <c r="G76" s="69">
        <v>863</v>
      </c>
      <c r="H76" s="69">
        <v>118179500</v>
      </c>
      <c r="I76" s="69">
        <v>124412000</v>
      </c>
      <c r="J76" s="69">
        <v>1014</v>
      </c>
      <c r="K76" s="69">
        <v>159543700</v>
      </c>
      <c r="L76" s="69">
        <v>165943000</v>
      </c>
      <c r="M76" s="69">
        <v>-151</v>
      </c>
      <c r="N76" s="69">
        <v>-41364200</v>
      </c>
      <c r="O76" s="69">
        <v>-41531000</v>
      </c>
      <c r="P76" s="69">
        <v>814200</v>
      </c>
      <c r="Q76" s="69">
        <v>20794200</v>
      </c>
      <c r="R76" s="69">
        <v>2346700</v>
      </c>
      <c r="S76" s="69">
        <v>0</v>
      </c>
      <c r="T76" s="69">
        <v>747900</v>
      </c>
      <c r="U76" s="69">
        <v>1981300</v>
      </c>
      <c r="V76" s="69">
        <v>599000</v>
      </c>
      <c r="W76" s="69">
        <v>790200</v>
      </c>
      <c r="X76" s="69">
        <v>19312700</v>
      </c>
      <c r="Y76" s="69">
        <v>1224200</v>
      </c>
      <c r="Z76" s="69">
        <v>296000</v>
      </c>
      <c r="AA76" s="69">
        <v>836200</v>
      </c>
      <c r="AB76" s="69">
        <v>1042200</v>
      </c>
      <c r="AC76" s="69">
        <v>1275000</v>
      </c>
      <c r="AD76" s="69">
        <v>1611900</v>
      </c>
      <c r="AE76" s="69">
        <v>1025700</v>
      </c>
      <c r="AF76" s="69">
        <v>17942600</v>
      </c>
      <c r="AG76" s="69">
        <v>1300300</v>
      </c>
      <c r="AH76" s="69">
        <v>1181700</v>
      </c>
      <c r="AI76" s="69">
        <v>903300</v>
      </c>
      <c r="AJ76" s="69">
        <v>1565700</v>
      </c>
      <c r="AK76" s="69">
        <v>1009400</v>
      </c>
      <c r="AL76" s="69">
        <v>2366500</v>
      </c>
      <c r="AM76" s="69">
        <v>16524200</v>
      </c>
      <c r="AN76" s="69">
        <v>1052400</v>
      </c>
      <c r="AO76" s="69">
        <v>1229300</v>
      </c>
      <c r="AP76" s="69">
        <v>1853200</v>
      </c>
      <c r="AQ76" s="69">
        <v>10875800</v>
      </c>
      <c r="AR76" s="69">
        <v>1115000</v>
      </c>
      <c r="AS76" s="69">
        <v>2265700</v>
      </c>
      <c r="AT76" s="69">
        <v>2297000</v>
      </c>
      <c r="AU76" s="69"/>
      <c r="AW76" s="66">
        <f t="shared" ref="AW76:BA91" si="13">SUMIFS($Q76:$AU76,$Q$3:$AU$3,AW$3)</f>
        <v>23140900</v>
      </c>
      <c r="AX76" s="66">
        <f t="shared" si="13"/>
        <v>24655300</v>
      </c>
      <c r="AY76" s="66">
        <f t="shared" si="13"/>
        <v>24029600</v>
      </c>
      <c r="AZ76" s="66">
        <f t="shared" si="13"/>
        <v>24851100</v>
      </c>
      <c r="BA76" s="66">
        <f t="shared" si="13"/>
        <v>20688400</v>
      </c>
      <c r="BC76" s="66">
        <f t="shared" ca="1" si="11"/>
        <v>80966900</v>
      </c>
      <c r="BD76" s="66">
        <f t="shared" si="12"/>
        <v>115882500</v>
      </c>
    </row>
    <row r="77" spans="1:56" x14ac:dyDescent="0.3">
      <c r="A77" s="6" t="str">
        <f>IFERROR(VLOOKUP($F77,매장구분!$B:$K,2,0),"")</f>
        <v>파트너채널팀</v>
      </c>
      <c r="B77" s="6" t="str">
        <f>IFERROR(VLOOKUP($F77,매장구분!$B:$K,3,0),"")</f>
        <v>면세</v>
      </c>
      <c r="C77" s="6" t="str">
        <f>IFERROR(VLOOKUP($F77,매장구분!$B:$K,5,0),"")</f>
        <v>면세</v>
      </c>
      <c r="D77" s="6" t="str">
        <f>IFERROR(VLOOKUP($F77,매장구분!$B:$Z,9,0),"")</f>
        <v>롯데면세제주</v>
      </c>
      <c r="E77" s="69" t="s">
        <v>464</v>
      </c>
      <c r="F77" s="69" t="s">
        <v>465</v>
      </c>
      <c r="G77" s="69">
        <v>4987</v>
      </c>
      <c r="H77" s="69">
        <v>386098300</v>
      </c>
      <c r="I77" s="69">
        <v>387604900</v>
      </c>
      <c r="J77" s="69">
        <v>5005</v>
      </c>
      <c r="K77" s="69">
        <v>387194300</v>
      </c>
      <c r="L77" s="69">
        <v>388700900</v>
      </c>
      <c r="M77" s="69">
        <v>-18</v>
      </c>
      <c r="N77" s="69">
        <v>-1096000</v>
      </c>
      <c r="O77" s="69">
        <v>-1096000</v>
      </c>
      <c r="P77" s="69">
        <v>11159000</v>
      </c>
      <c r="Q77" s="69">
        <v>10747800</v>
      </c>
      <c r="R77" s="69">
        <v>6371300</v>
      </c>
      <c r="S77" s="69">
        <v>6038000</v>
      </c>
      <c r="T77" s="69">
        <v>36384600</v>
      </c>
      <c r="U77" s="69">
        <v>8803600</v>
      </c>
      <c r="V77" s="69">
        <v>10380000</v>
      </c>
      <c r="W77" s="69">
        <v>8926200</v>
      </c>
      <c r="X77" s="69">
        <v>9405300</v>
      </c>
      <c r="Y77" s="69">
        <v>12188400</v>
      </c>
      <c r="Z77" s="69">
        <v>4726300</v>
      </c>
      <c r="AA77" s="69">
        <v>9084900</v>
      </c>
      <c r="AB77" s="69">
        <v>55459000</v>
      </c>
      <c r="AC77" s="69">
        <v>9009600</v>
      </c>
      <c r="AD77" s="69">
        <v>9914000</v>
      </c>
      <c r="AE77" s="69">
        <v>10162000</v>
      </c>
      <c r="AF77" s="69">
        <v>9102300</v>
      </c>
      <c r="AG77" s="69">
        <v>11102800</v>
      </c>
      <c r="AH77" s="69">
        <v>7668000</v>
      </c>
      <c r="AI77" s="69">
        <v>11742300</v>
      </c>
      <c r="AJ77" s="69">
        <v>5819000</v>
      </c>
      <c r="AK77" s="69">
        <v>10572600</v>
      </c>
      <c r="AL77" s="69">
        <v>5845000</v>
      </c>
      <c r="AM77" s="69">
        <v>11207600</v>
      </c>
      <c r="AN77" s="69">
        <v>8044900</v>
      </c>
      <c r="AO77" s="69">
        <v>10322300</v>
      </c>
      <c r="AP77" s="69">
        <v>7851000</v>
      </c>
      <c r="AQ77" s="69">
        <v>7713300</v>
      </c>
      <c r="AR77" s="69">
        <v>45497200</v>
      </c>
      <c r="AS77" s="69">
        <v>7515000</v>
      </c>
      <c r="AT77" s="69">
        <v>7335000</v>
      </c>
      <c r="AU77" s="69"/>
      <c r="AW77" s="66">
        <f t="shared" si="13"/>
        <v>17119100</v>
      </c>
      <c r="AX77" s="66">
        <f t="shared" si="13"/>
        <v>92126100</v>
      </c>
      <c r="AY77" s="66">
        <f t="shared" si="13"/>
        <v>107458100</v>
      </c>
      <c r="AZ77" s="66">
        <f t="shared" si="13"/>
        <v>63957300</v>
      </c>
      <c r="BA77" s="66">
        <f t="shared" si="13"/>
        <v>94278700</v>
      </c>
      <c r="BC77" s="66">
        <f t="shared" ca="1" si="11"/>
        <v>280612000</v>
      </c>
      <c r="BD77" s="66">
        <f t="shared" si="12"/>
        <v>378763300</v>
      </c>
    </row>
    <row r="78" spans="1:56" x14ac:dyDescent="0.3">
      <c r="A78" s="6" t="str">
        <f>IFERROR(VLOOKUP($F78,매장구분!$B:$K,2,0),"")</f>
        <v>파트너채널팀</v>
      </c>
      <c r="B78" s="6" t="str">
        <f>IFERROR(VLOOKUP($F78,매장구분!$B:$K,3,0),"")</f>
        <v>면세</v>
      </c>
      <c r="C78" s="6" t="str">
        <f>IFERROR(VLOOKUP($F78,매장구분!$B:$K,5,0),"")</f>
        <v>면세</v>
      </c>
      <c r="D78" s="6" t="str">
        <f>IFERROR(VLOOKUP($F78,매장구분!$B:$Z,9,0),"")</f>
        <v>신라면세용산</v>
      </c>
      <c r="E78" s="69" t="s">
        <v>542</v>
      </c>
      <c r="F78" s="69" t="s">
        <v>543</v>
      </c>
      <c r="G78" s="69">
        <v>30105</v>
      </c>
      <c r="H78" s="69">
        <v>1646793300</v>
      </c>
      <c r="I78" s="69">
        <v>1683231000</v>
      </c>
      <c r="J78" s="69">
        <v>30859</v>
      </c>
      <c r="K78" s="69">
        <v>1678452500</v>
      </c>
      <c r="L78" s="69">
        <v>1715528000</v>
      </c>
      <c r="M78" s="69">
        <v>-754</v>
      </c>
      <c r="N78" s="69">
        <v>-31659200</v>
      </c>
      <c r="O78" s="69">
        <v>-32297000</v>
      </c>
      <c r="P78" s="69">
        <v>6802500</v>
      </c>
      <c r="Q78" s="69">
        <v>94404300</v>
      </c>
      <c r="R78" s="69">
        <v>1545000</v>
      </c>
      <c r="S78" s="69">
        <v>140674300</v>
      </c>
      <c r="T78" s="69">
        <v>83575000</v>
      </c>
      <c r="U78" s="69">
        <v>51631300</v>
      </c>
      <c r="V78" s="69">
        <v>24891500</v>
      </c>
      <c r="W78" s="69">
        <v>63558600</v>
      </c>
      <c r="X78" s="69">
        <v>57447600</v>
      </c>
      <c r="Y78" s="69">
        <v>3013000</v>
      </c>
      <c r="Z78" s="69">
        <v>90670000</v>
      </c>
      <c r="AA78" s="69">
        <v>38332000</v>
      </c>
      <c r="AB78" s="69">
        <v>63221200</v>
      </c>
      <c r="AC78" s="69">
        <v>45392500</v>
      </c>
      <c r="AD78" s="69">
        <v>83433600</v>
      </c>
      <c r="AE78" s="69">
        <v>46964000</v>
      </c>
      <c r="AF78" s="69">
        <v>1204600</v>
      </c>
      <c r="AG78" s="69">
        <v>49487000</v>
      </c>
      <c r="AH78" s="69">
        <v>32908500</v>
      </c>
      <c r="AI78" s="69">
        <v>6191000</v>
      </c>
      <c r="AJ78" s="69">
        <v>41545000</v>
      </c>
      <c r="AK78" s="69">
        <v>18038000</v>
      </c>
      <c r="AL78" s="69">
        <v>33676900</v>
      </c>
      <c r="AM78" s="69">
        <v>7452000</v>
      </c>
      <c r="AN78" s="69">
        <v>8419000</v>
      </c>
      <c r="AO78" s="69">
        <v>15797800</v>
      </c>
      <c r="AP78" s="69">
        <v>86223000</v>
      </c>
      <c r="AQ78" s="69">
        <v>42151300</v>
      </c>
      <c r="AR78" s="69">
        <v>106908500</v>
      </c>
      <c r="AS78" s="69">
        <v>295550000</v>
      </c>
      <c r="AT78" s="69">
        <v>5684300</v>
      </c>
      <c r="AU78" s="69"/>
      <c r="AW78" s="66">
        <f t="shared" si="13"/>
        <v>95949300</v>
      </c>
      <c r="AX78" s="66">
        <f t="shared" si="13"/>
        <v>424791300</v>
      </c>
      <c r="AY78" s="66">
        <f t="shared" si="13"/>
        <v>369217900</v>
      </c>
      <c r="AZ78" s="66">
        <f t="shared" si="13"/>
        <v>189298400</v>
      </c>
      <c r="BA78" s="66">
        <f t="shared" si="13"/>
        <v>560733900</v>
      </c>
      <c r="BC78" s="66">
        <f t="shared" ca="1" si="11"/>
        <v>1078607400</v>
      </c>
      <c r="BD78" s="66">
        <f t="shared" si="12"/>
        <v>1641109000</v>
      </c>
    </row>
    <row r="79" spans="1:56" x14ac:dyDescent="0.3">
      <c r="A79" s="6" t="str">
        <f>IFERROR(VLOOKUP($F79,매장구분!$B:$K,2,0),"")</f>
        <v>파트너채널팀</v>
      </c>
      <c r="B79" s="6" t="str">
        <f>IFERROR(VLOOKUP($F79,매장구분!$B:$K,3,0),"")</f>
        <v>면세</v>
      </c>
      <c r="C79" s="6" t="str">
        <f>IFERROR(VLOOKUP($F79,매장구분!$B:$K,5,0),"")</f>
        <v>면세</v>
      </c>
      <c r="D79" s="6" t="str">
        <f>IFERROR(VLOOKUP($F79,매장구분!$B:$Z,9,0),"")</f>
        <v>신라면세제주</v>
      </c>
      <c r="E79" s="69" t="s">
        <v>334</v>
      </c>
      <c r="F79" s="69" t="s">
        <v>335</v>
      </c>
      <c r="G79" s="69">
        <v>10362</v>
      </c>
      <c r="H79" s="69">
        <v>633369100</v>
      </c>
      <c r="I79" s="69">
        <v>639570000</v>
      </c>
      <c r="J79" s="69">
        <v>10887</v>
      </c>
      <c r="K79" s="69">
        <v>654828400</v>
      </c>
      <c r="L79" s="69">
        <v>661153000</v>
      </c>
      <c r="M79" s="69">
        <v>-525</v>
      </c>
      <c r="N79" s="69">
        <v>-21459300</v>
      </c>
      <c r="O79" s="69">
        <v>-21583000</v>
      </c>
      <c r="P79" s="69">
        <v>16762000</v>
      </c>
      <c r="Q79" s="69">
        <v>13802900</v>
      </c>
      <c r="R79" s="69">
        <v>13001000</v>
      </c>
      <c r="S79" s="69">
        <v>16434300</v>
      </c>
      <c r="T79" s="69">
        <v>25080300</v>
      </c>
      <c r="U79" s="69">
        <v>21673400</v>
      </c>
      <c r="V79" s="69">
        <v>13284500</v>
      </c>
      <c r="W79" s="69">
        <v>18076200</v>
      </c>
      <c r="X79" s="69">
        <v>20770500</v>
      </c>
      <c r="Y79" s="69">
        <v>26191500</v>
      </c>
      <c r="Z79" s="69">
        <v>24071100</v>
      </c>
      <c r="AA79" s="69">
        <v>18130900</v>
      </c>
      <c r="AB79" s="69">
        <v>12462600</v>
      </c>
      <c r="AC79" s="69">
        <v>15433600</v>
      </c>
      <c r="AD79" s="69">
        <v>21509800</v>
      </c>
      <c r="AE79" s="69">
        <v>18472000</v>
      </c>
      <c r="AF79" s="69">
        <v>17283100</v>
      </c>
      <c r="AG79" s="69">
        <v>21152300</v>
      </c>
      <c r="AH79" s="69">
        <v>18286300</v>
      </c>
      <c r="AI79" s="69">
        <v>15711800</v>
      </c>
      <c r="AJ79" s="69">
        <v>14971900</v>
      </c>
      <c r="AK79" s="69">
        <v>14720000</v>
      </c>
      <c r="AL79" s="69">
        <v>18257800</v>
      </c>
      <c r="AM79" s="69">
        <v>64669200</v>
      </c>
      <c r="AN79" s="69">
        <v>15298900</v>
      </c>
      <c r="AO79" s="69">
        <v>15065500</v>
      </c>
      <c r="AP79" s="69">
        <v>18686600</v>
      </c>
      <c r="AQ79" s="69">
        <v>14490800</v>
      </c>
      <c r="AR79" s="69">
        <v>39839900</v>
      </c>
      <c r="AS79" s="69">
        <v>37682800</v>
      </c>
      <c r="AT79" s="69">
        <v>12095600</v>
      </c>
      <c r="AU79" s="69"/>
      <c r="AW79" s="66">
        <f t="shared" si="13"/>
        <v>26803900</v>
      </c>
      <c r="AX79" s="66">
        <f t="shared" si="13"/>
        <v>141510700</v>
      </c>
      <c r="AY79" s="66">
        <f t="shared" si="13"/>
        <v>127363100</v>
      </c>
      <c r="AZ79" s="66">
        <f t="shared" si="13"/>
        <v>167769300</v>
      </c>
      <c r="BA79" s="66">
        <f t="shared" si="13"/>
        <v>153160100</v>
      </c>
      <c r="BC79" s="66">
        <f t="shared" ca="1" si="11"/>
        <v>415539800</v>
      </c>
      <c r="BD79" s="66">
        <f t="shared" si="12"/>
        <v>621273500</v>
      </c>
    </row>
    <row r="80" spans="1:56" x14ac:dyDescent="0.3">
      <c r="A80" s="6" t="str">
        <f>IFERROR(VLOOKUP($F80,매장구분!$B:$K,2,0),"")</f>
        <v>파트너채널팀</v>
      </c>
      <c r="B80" s="6" t="str">
        <f>IFERROR(VLOOKUP($F80,매장구분!$B:$K,3,0),"")</f>
        <v>면세</v>
      </c>
      <c r="C80" s="6" t="str">
        <f>IFERROR(VLOOKUP($F80,매장구분!$B:$K,5,0),"")</f>
        <v>면세</v>
      </c>
      <c r="D80" s="6" t="str">
        <f>IFERROR(VLOOKUP($F80,매장구분!$B:$Z,9,0),"")</f>
        <v>롯데면세월드</v>
      </c>
      <c r="E80" s="69" t="s">
        <v>213</v>
      </c>
      <c r="F80" s="69" t="s">
        <v>214</v>
      </c>
      <c r="G80" s="69">
        <v>5429</v>
      </c>
      <c r="H80" s="69">
        <v>719125200</v>
      </c>
      <c r="I80" s="69">
        <v>719527800</v>
      </c>
      <c r="J80" s="69">
        <v>6057</v>
      </c>
      <c r="K80" s="69">
        <v>809278200</v>
      </c>
      <c r="L80" s="69">
        <v>809680800</v>
      </c>
      <c r="M80" s="69">
        <v>-628</v>
      </c>
      <c r="N80" s="69">
        <v>-90153000</v>
      </c>
      <c r="O80" s="69">
        <v>-90153000</v>
      </c>
      <c r="P80" s="69">
        <v>589000</v>
      </c>
      <c r="Q80" s="69">
        <v>85358000</v>
      </c>
      <c r="R80" s="69">
        <v>244000</v>
      </c>
      <c r="S80" s="69">
        <v>55030000</v>
      </c>
      <c r="T80" s="69">
        <v>1070000</v>
      </c>
      <c r="U80" s="69">
        <v>52005000</v>
      </c>
      <c r="V80" s="69">
        <v>782000</v>
      </c>
      <c r="W80" s="69">
        <v>578000</v>
      </c>
      <c r="X80" s="69">
        <v>1584500</v>
      </c>
      <c r="Y80" s="69">
        <v>800800</v>
      </c>
      <c r="Z80" s="69">
        <v>71207700</v>
      </c>
      <c r="AA80" s="69">
        <v>427000</v>
      </c>
      <c r="AB80" s="69">
        <v>42346000</v>
      </c>
      <c r="AC80" s="69">
        <v>393000</v>
      </c>
      <c r="AD80" s="69">
        <v>384000</v>
      </c>
      <c r="AE80" s="69">
        <v>51739300</v>
      </c>
      <c r="AF80" s="69">
        <v>438000</v>
      </c>
      <c r="AG80" s="69">
        <v>75736300</v>
      </c>
      <c r="AH80" s="69">
        <v>317000</v>
      </c>
      <c r="AI80" s="69">
        <v>557000</v>
      </c>
      <c r="AJ80" s="69">
        <v>166000</v>
      </c>
      <c r="AK80" s="69">
        <v>82855000</v>
      </c>
      <c r="AL80" s="69">
        <v>295000</v>
      </c>
      <c r="AM80" s="69">
        <v>2442000</v>
      </c>
      <c r="AN80" s="69">
        <v>1007300</v>
      </c>
      <c r="AO80" s="69">
        <v>72880000</v>
      </c>
      <c r="AP80" s="69">
        <v>114077000</v>
      </c>
      <c r="AQ80" s="69">
        <v>653300</v>
      </c>
      <c r="AR80" s="69">
        <v>855000</v>
      </c>
      <c r="AS80" s="69">
        <v>1722000</v>
      </c>
      <c r="AT80" s="69">
        <v>586000</v>
      </c>
      <c r="AU80" s="69"/>
      <c r="AW80" s="66">
        <f t="shared" si="13"/>
        <v>85602000</v>
      </c>
      <c r="AX80" s="66">
        <f t="shared" si="13"/>
        <v>111850300</v>
      </c>
      <c r="AY80" s="66">
        <f t="shared" si="13"/>
        <v>166935000</v>
      </c>
      <c r="AZ80" s="66">
        <f t="shared" si="13"/>
        <v>162368300</v>
      </c>
      <c r="BA80" s="66">
        <f t="shared" si="13"/>
        <v>191780600</v>
      </c>
      <c r="BC80" s="66">
        <f t="shared" ca="1" si="11"/>
        <v>524902600</v>
      </c>
      <c r="BD80" s="66">
        <f t="shared" si="12"/>
        <v>718539200</v>
      </c>
    </row>
    <row r="81" spans="1:56" x14ac:dyDescent="0.3">
      <c r="A81" s="6" t="str">
        <f>IFERROR(VLOOKUP($F81,매장구분!$B:$K,2,0),"")</f>
        <v>파트너채널팀</v>
      </c>
      <c r="B81" s="6" t="str">
        <f>IFERROR(VLOOKUP($F81,매장구분!$B:$K,3,0),"")</f>
        <v>면세</v>
      </c>
      <c r="C81" s="6" t="str">
        <f>IFERROR(VLOOKUP($F81,매장구분!$B:$K,5,0),"")</f>
        <v>면세</v>
      </c>
      <c r="D81" s="6" t="str">
        <f>IFERROR(VLOOKUP($F81,매장구분!$B:$Z,9,0),"")</f>
        <v>신라면세장충</v>
      </c>
      <c r="E81" s="69" t="s">
        <v>299</v>
      </c>
      <c r="F81" s="69" t="s">
        <v>300</v>
      </c>
      <c r="G81" s="69">
        <v>36950</v>
      </c>
      <c r="H81" s="69">
        <v>2072447900</v>
      </c>
      <c r="I81" s="69">
        <v>2075558000</v>
      </c>
      <c r="J81" s="69">
        <v>37127</v>
      </c>
      <c r="K81" s="69">
        <v>2087254500</v>
      </c>
      <c r="L81" s="69">
        <v>2090460000</v>
      </c>
      <c r="M81" s="69">
        <v>-177</v>
      </c>
      <c r="N81" s="69">
        <v>-14806600</v>
      </c>
      <c r="O81" s="69">
        <v>-14902000</v>
      </c>
      <c r="P81" s="69">
        <v>18819300</v>
      </c>
      <c r="Q81" s="69">
        <v>8639000</v>
      </c>
      <c r="R81" s="69">
        <v>6893600</v>
      </c>
      <c r="S81" s="69">
        <v>11473600</v>
      </c>
      <c r="T81" s="69">
        <v>116365500</v>
      </c>
      <c r="U81" s="69">
        <v>75962900</v>
      </c>
      <c r="V81" s="69">
        <v>141236600</v>
      </c>
      <c r="W81" s="69">
        <v>167357200</v>
      </c>
      <c r="X81" s="69">
        <v>134452000</v>
      </c>
      <c r="Y81" s="69">
        <v>10595000</v>
      </c>
      <c r="Z81" s="69">
        <v>45356900</v>
      </c>
      <c r="AA81" s="69">
        <v>15302100</v>
      </c>
      <c r="AB81" s="69">
        <v>103403600</v>
      </c>
      <c r="AC81" s="69">
        <v>227175900</v>
      </c>
      <c r="AD81" s="69">
        <v>70723600</v>
      </c>
      <c r="AE81" s="69">
        <v>39895300</v>
      </c>
      <c r="AF81" s="69">
        <v>7815900</v>
      </c>
      <c r="AG81" s="69">
        <v>7278300</v>
      </c>
      <c r="AH81" s="69">
        <v>35400600</v>
      </c>
      <c r="AI81" s="69">
        <v>108132000</v>
      </c>
      <c r="AJ81" s="69">
        <v>100844200</v>
      </c>
      <c r="AK81" s="69">
        <v>163654000</v>
      </c>
      <c r="AL81" s="69">
        <v>35813000</v>
      </c>
      <c r="AM81" s="69">
        <v>6158600</v>
      </c>
      <c r="AN81" s="69">
        <v>136543300</v>
      </c>
      <c r="AO81" s="69">
        <v>7418000</v>
      </c>
      <c r="AP81" s="69">
        <v>145282000</v>
      </c>
      <c r="AQ81" s="69">
        <v>107191000</v>
      </c>
      <c r="AR81" s="69">
        <v>5639300</v>
      </c>
      <c r="AS81" s="69">
        <v>5134000</v>
      </c>
      <c r="AT81" s="69">
        <v>6491600</v>
      </c>
      <c r="AU81" s="69"/>
      <c r="AW81" s="66">
        <f t="shared" si="13"/>
        <v>15532600</v>
      </c>
      <c r="AX81" s="66">
        <f t="shared" si="13"/>
        <v>657442800</v>
      </c>
      <c r="AY81" s="66">
        <f t="shared" si="13"/>
        <v>509673300</v>
      </c>
      <c r="AZ81" s="66">
        <f t="shared" si="13"/>
        <v>457280700</v>
      </c>
      <c r="BA81" s="66">
        <f t="shared" si="13"/>
        <v>413699200</v>
      </c>
      <c r="BC81" s="66">
        <f t="shared" ca="1" si="11"/>
        <v>1652590100</v>
      </c>
      <c r="BD81" s="66">
        <f t="shared" si="12"/>
        <v>2065956300</v>
      </c>
    </row>
    <row r="82" spans="1:56" x14ac:dyDescent="0.3">
      <c r="A82" s="6" t="str">
        <f>IFERROR(VLOOKUP($F82,매장구분!$B:$K,2,0),"")</f>
        <v>파트너채널팀</v>
      </c>
      <c r="B82" s="6" t="str">
        <f>IFERROR(VLOOKUP($F82,매장구분!$B:$K,3,0),"")</f>
        <v>면세</v>
      </c>
      <c r="C82" s="6" t="str">
        <f>IFERROR(VLOOKUP($F82,매장구분!$B:$K,5,0),"")</f>
        <v>면세</v>
      </c>
      <c r="D82" s="6" t="str">
        <f>IFERROR(VLOOKUP($F82,매장구분!$B:$Z,9,0),"")</f>
        <v>롯데면세소공</v>
      </c>
      <c r="E82" s="69" t="s">
        <v>384</v>
      </c>
      <c r="F82" s="69" t="s">
        <v>385</v>
      </c>
      <c r="G82" s="69">
        <v>30796</v>
      </c>
      <c r="H82" s="69">
        <v>1893775100</v>
      </c>
      <c r="I82" s="69">
        <v>1895028800</v>
      </c>
      <c r="J82" s="69">
        <v>31187</v>
      </c>
      <c r="K82" s="69">
        <v>1918847100</v>
      </c>
      <c r="L82" s="69">
        <v>1920100800</v>
      </c>
      <c r="M82" s="69">
        <v>-391</v>
      </c>
      <c r="N82" s="69">
        <v>-25072000</v>
      </c>
      <c r="O82" s="69">
        <v>-25072000</v>
      </c>
      <c r="P82" s="69">
        <v>100846700</v>
      </c>
      <c r="Q82" s="69">
        <v>78440000</v>
      </c>
      <c r="R82" s="69">
        <v>18053000</v>
      </c>
      <c r="S82" s="69">
        <v>113008000</v>
      </c>
      <c r="T82" s="69">
        <v>98560800</v>
      </c>
      <c r="U82" s="69">
        <v>90571500</v>
      </c>
      <c r="V82" s="69">
        <v>105679800</v>
      </c>
      <c r="W82" s="69">
        <v>106505000</v>
      </c>
      <c r="X82" s="69">
        <v>21240000</v>
      </c>
      <c r="Y82" s="69">
        <v>20720300</v>
      </c>
      <c r="Z82" s="69">
        <v>63271000</v>
      </c>
      <c r="AA82" s="69">
        <v>108793000</v>
      </c>
      <c r="AB82" s="69">
        <v>71264000</v>
      </c>
      <c r="AC82" s="69">
        <v>83748000</v>
      </c>
      <c r="AD82" s="69">
        <v>62727800</v>
      </c>
      <c r="AE82" s="69">
        <v>45769000</v>
      </c>
      <c r="AF82" s="69">
        <v>14847000</v>
      </c>
      <c r="AG82" s="69">
        <v>47993000</v>
      </c>
      <c r="AH82" s="69">
        <v>20427000</v>
      </c>
      <c r="AI82" s="69">
        <v>131759000</v>
      </c>
      <c r="AJ82" s="69">
        <v>22474000</v>
      </c>
      <c r="AK82" s="69">
        <v>87052000</v>
      </c>
      <c r="AL82" s="69">
        <v>111413000</v>
      </c>
      <c r="AM82" s="69">
        <v>20466900</v>
      </c>
      <c r="AN82" s="69">
        <v>51900900</v>
      </c>
      <c r="AO82" s="69">
        <v>24086000</v>
      </c>
      <c r="AP82" s="69">
        <v>26178000</v>
      </c>
      <c r="AQ82" s="69">
        <v>21360000</v>
      </c>
      <c r="AR82" s="69">
        <v>88379500</v>
      </c>
      <c r="AS82" s="69">
        <v>18516000</v>
      </c>
      <c r="AT82" s="69">
        <v>17724900</v>
      </c>
      <c r="AU82" s="69"/>
      <c r="AW82" s="66">
        <f t="shared" si="13"/>
        <v>96493000</v>
      </c>
      <c r="AX82" s="66">
        <f t="shared" si="13"/>
        <v>556285400</v>
      </c>
      <c r="AY82" s="66">
        <f t="shared" si="13"/>
        <v>450419800</v>
      </c>
      <c r="AZ82" s="66">
        <f t="shared" si="13"/>
        <v>441584900</v>
      </c>
      <c r="BA82" s="66">
        <f t="shared" si="13"/>
        <v>248145300</v>
      </c>
      <c r="BC82" s="66">
        <f t="shared" ca="1" si="11"/>
        <v>1625162900</v>
      </c>
      <c r="BD82" s="66">
        <f t="shared" si="12"/>
        <v>1876050200</v>
      </c>
    </row>
    <row r="83" spans="1:56" x14ac:dyDescent="0.3">
      <c r="A83" s="6" t="str">
        <f>IFERROR(VLOOKUP($F83,매장구분!$B:$K,2,0),"")</f>
        <v>파트너채널팀</v>
      </c>
      <c r="B83" s="6" t="str">
        <f>IFERROR(VLOOKUP($F83,매장구분!$B:$K,3,0),"")</f>
        <v>면세</v>
      </c>
      <c r="C83" s="6" t="str">
        <f>IFERROR(VLOOKUP($F83,매장구분!$B:$K,5,0),"")</f>
        <v>면세</v>
      </c>
      <c r="D83" s="6" t="str">
        <f>IFERROR(VLOOKUP($F83,매장구분!$B:$Z,9,0),"")</f>
        <v>신세계면세명동</v>
      </c>
      <c r="E83" s="69" t="s">
        <v>173</v>
      </c>
      <c r="F83" s="69" t="s">
        <v>174</v>
      </c>
      <c r="G83" s="69">
        <v>17466</v>
      </c>
      <c r="H83" s="69">
        <v>1184409900</v>
      </c>
      <c r="I83" s="69">
        <v>1187507400</v>
      </c>
      <c r="J83" s="69">
        <v>17601</v>
      </c>
      <c r="K83" s="69">
        <v>1195919900</v>
      </c>
      <c r="L83" s="69">
        <v>1199017400</v>
      </c>
      <c r="M83" s="69">
        <v>-135</v>
      </c>
      <c r="N83" s="69">
        <v>-11510000</v>
      </c>
      <c r="O83" s="69">
        <v>-11510000</v>
      </c>
      <c r="P83" s="69">
        <v>27642100</v>
      </c>
      <c r="Q83" s="69">
        <v>28607800</v>
      </c>
      <c r="R83" s="69">
        <v>19097000</v>
      </c>
      <c r="S83" s="69">
        <v>22040000</v>
      </c>
      <c r="T83" s="69">
        <v>31744800</v>
      </c>
      <c r="U83" s="69">
        <v>201794600</v>
      </c>
      <c r="V83" s="69">
        <v>41849200</v>
      </c>
      <c r="W83" s="69">
        <v>40402000</v>
      </c>
      <c r="X83" s="69">
        <v>18786500</v>
      </c>
      <c r="Y83" s="69">
        <v>20948000</v>
      </c>
      <c r="Z83" s="69">
        <v>23948000</v>
      </c>
      <c r="AA83" s="69">
        <v>105768800</v>
      </c>
      <c r="AB83" s="69">
        <v>26097900</v>
      </c>
      <c r="AC83" s="69">
        <v>19664800</v>
      </c>
      <c r="AD83" s="69">
        <v>19684800</v>
      </c>
      <c r="AE83" s="69">
        <v>16199000</v>
      </c>
      <c r="AF83" s="69">
        <v>29783500</v>
      </c>
      <c r="AG83" s="69">
        <v>29029600</v>
      </c>
      <c r="AH83" s="69">
        <v>31737000</v>
      </c>
      <c r="AI83" s="69">
        <v>71523900</v>
      </c>
      <c r="AJ83" s="69">
        <v>37960800</v>
      </c>
      <c r="AK83" s="69">
        <v>23313000</v>
      </c>
      <c r="AL83" s="69">
        <v>36928900</v>
      </c>
      <c r="AM83" s="69">
        <v>27002100</v>
      </c>
      <c r="AN83" s="69">
        <v>24233300</v>
      </c>
      <c r="AO83" s="69">
        <v>42544500</v>
      </c>
      <c r="AP83" s="69">
        <v>46281400</v>
      </c>
      <c r="AQ83" s="69">
        <v>37975800</v>
      </c>
      <c r="AR83" s="69">
        <v>29999000</v>
      </c>
      <c r="AS83" s="69">
        <v>24260300</v>
      </c>
      <c r="AT83" s="69">
        <v>27561500</v>
      </c>
      <c r="AU83" s="69"/>
      <c r="AW83" s="66">
        <f t="shared" si="13"/>
        <v>47704800</v>
      </c>
      <c r="AX83" s="66">
        <f t="shared" si="13"/>
        <v>377565100</v>
      </c>
      <c r="AY83" s="66">
        <f t="shared" si="13"/>
        <v>241146800</v>
      </c>
      <c r="AZ83" s="66">
        <f t="shared" si="13"/>
        <v>257495300</v>
      </c>
      <c r="BA83" s="66">
        <f t="shared" si="13"/>
        <v>232855800</v>
      </c>
      <c r="BC83" s="66">
        <f t="shared" ca="1" si="11"/>
        <v>924552000</v>
      </c>
      <c r="BD83" s="66">
        <f t="shared" si="12"/>
        <v>1156848400</v>
      </c>
    </row>
    <row r="84" spans="1:56" x14ac:dyDescent="0.3">
      <c r="A84" s="6" t="str">
        <f>IFERROR(VLOOKUP($F84,매장구분!$B:$K,2,0),"")</f>
        <v>파트너채널팀</v>
      </c>
      <c r="B84" s="6" t="str">
        <f>IFERROR(VLOOKUP($F84,매장구분!$B:$K,3,0),"")</f>
        <v>면세</v>
      </c>
      <c r="C84" s="6" t="str">
        <f>IFERROR(VLOOKUP($F84,매장구분!$B:$K,5,0),"")</f>
        <v>면세</v>
      </c>
      <c r="D84" s="6" t="str">
        <f>IFERROR(VLOOKUP($F84,매장구분!$B:$Z,9,0),"")</f>
        <v>현대면세무역</v>
      </c>
      <c r="E84" s="69" t="s">
        <v>466</v>
      </c>
      <c r="F84" s="69" t="s">
        <v>467</v>
      </c>
      <c r="G84" s="69">
        <v>11375</v>
      </c>
      <c r="H84" s="69">
        <v>1111595500</v>
      </c>
      <c r="I84" s="69">
        <v>1142517700</v>
      </c>
      <c r="J84" s="69">
        <v>11385</v>
      </c>
      <c r="K84" s="69">
        <v>1112673500</v>
      </c>
      <c r="L84" s="69">
        <v>1143595700</v>
      </c>
      <c r="M84" s="69">
        <v>-10</v>
      </c>
      <c r="N84" s="69">
        <v>-1078000</v>
      </c>
      <c r="O84" s="69">
        <v>-1078000</v>
      </c>
      <c r="P84" s="69">
        <v>59860000</v>
      </c>
      <c r="Q84" s="69">
        <v>111450000</v>
      </c>
      <c r="R84" s="69">
        <v>114536900</v>
      </c>
      <c r="S84" s="69">
        <v>5916300</v>
      </c>
      <c r="T84" s="69">
        <v>29764900</v>
      </c>
      <c r="U84" s="69">
        <v>50698000</v>
      </c>
      <c r="V84" s="69">
        <v>63161000</v>
      </c>
      <c r="W84" s="69">
        <v>20854000</v>
      </c>
      <c r="X84" s="69">
        <v>3648000</v>
      </c>
      <c r="Y84" s="69">
        <v>1876000</v>
      </c>
      <c r="Z84" s="69">
        <v>66570600</v>
      </c>
      <c r="AA84" s="69">
        <v>53430000</v>
      </c>
      <c r="AB84" s="69">
        <v>52548000</v>
      </c>
      <c r="AC84" s="69">
        <v>29843800</v>
      </c>
      <c r="AD84" s="69">
        <v>34171000</v>
      </c>
      <c r="AE84" s="69">
        <v>29014000</v>
      </c>
      <c r="AF84" s="69">
        <v>3794500</v>
      </c>
      <c r="AG84" s="69">
        <v>1776000</v>
      </c>
      <c r="AH84" s="69">
        <v>26375000</v>
      </c>
      <c r="AI84" s="69">
        <v>26250000</v>
      </c>
      <c r="AJ84" s="69">
        <v>35081000</v>
      </c>
      <c r="AK84" s="69">
        <v>1479000</v>
      </c>
      <c r="AL84" s="69">
        <v>54311500</v>
      </c>
      <c r="AM84" s="69">
        <v>2950900</v>
      </c>
      <c r="AN84" s="69">
        <v>1917000</v>
      </c>
      <c r="AO84" s="69">
        <v>15799500</v>
      </c>
      <c r="AP84" s="69">
        <v>8915300</v>
      </c>
      <c r="AQ84" s="69">
        <v>66229300</v>
      </c>
      <c r="AR84" s="69">
        <v>34965000</v>
      </c>
      <c r="AS84" s="69">
        <v>102999000</v>
      </c>
      <c r="AT84" s="69">
        <v>1410000</v>
      </c>
      <c r="AU84" s="69"/>
      <c r="AW84" s="66">
        <f t="shared" si="13"/>
        <v>225986900</v>
      </c>
      <c r="AX84" s="66">
        <f t="shared" si="13"/>
        <v>175918200</v>
      </c>
      <c r="AY84" s="66">
        <f t="shared" si="13"/>
        <v>269371900</v>
      </c>
      <c r="AZ84" s="66">
        <f t="shared" si="13"/>
        <v>148223400</v>
      </c>
      <c r="BA84" s="66">
        <f t="shared" si="13"/>
        <v>232235100</v>
      </c>
      <c r="BC84" s="66">
        <f t="shared" ca="1" si="11"/>
        <v>876409500</v>
      </c>
      <c r="BD84" s="66">
        <f t="shared" si="12"/>
        <v>1110185500</v>
      </c>
    </row>
    <row r="85" spans="1:56" x14ac:dyDescent="0.3">
      <c r="A85" s="6" t="str">
        <f>IFERROR(VLOOKUP($F85,매장구분!$B:$K,2,0),"")</f>
        <v>파트너채널팀</v>
      </c>
      <c r="B85" s="6" t="str">
        <f>IFERROR(VLOOKUP($F85,매장구분!$B:$K,3,0),"")</f>
        <v>면세</v>
      </c>
      <c r="C85" s="6" t="str">
        <f>IFERROR(VLOOKUP($F85,매장구분!$B:$K,5,0),"")</f>
        <v>면세</v>
      </c>
      <c r="D85" s="6" t="str">
        <f>IFERROR(VLOOKUP($F85,매장구분!$B:$Z,9,0),"")</f>
        <v>현대면세동대문</v>
      </c>
      <c r="E85" s="69" t="s">
        <v>572</v>
      </c>
      <c r="F85" s="69" t="s">
        <v>573</v>
      </c>
      <c r="G85" s="69">
        <v>17912</v>
      </c>
      <c r="H85" s="69">
        <v>1370990100</v>
      </c>
      <c r="I85" s="69">
        <v>1386379500</v>
      </c>
      <c r="J85" s="69">
        <v>18150</v>
      </c>
      <c r="K85" s="69">
        <v>1395035100</v>
      </c>
      <c r="L85" s="69">
        <v>1410619500</v>
      </c>
      <c r="M85" s="69">
        <v>-238</v>
      </c>
      <c r="N85" s="69">
        <v>-24045000</v>
      </c>
      <c r="O85" s="69">
        <v>-24240000</v>
      </c>
      <c r="P85" s="69">
        <v>162813800</v>
      </c>
      <c r="Q85" s="69">
        <v>21318900</v>
      </c>
      <c r="R85" s="69">
        <v>56817900</v>
      </c>
      <c r="S85" s="69">
        <v>81704600</v>
      </c>
      <c r="T85" s="69">
        <v>36806000</v>
      </c>
      <c r="U85" s="69">
        <v>71682100</v>
      </c>
      <c r="V85" s="69">
        <v>68042600</v>
      </c>
      <c r="W85" s="69">
        <v>34100500</v>
      </c>
      <c r="X85" s="69">
        <v>14454500</v>
      </c>
      <c r="Y85" s="69">
        <v>41832300</v>
      </c>
      <c r="Z85" s="69">
        <v>34016900</v>
      </c>
      <c r="AA85" s="69">
        <v>66347600</v>
      </c>
      <c r="AB85" s="69">
        <v>40142600</v>
      </c>
      <c r="AC85" s="69">
        <v>52004600</v>
      </c>
      <c r="AD85" s="69">
        <v>26374500</v>
      </c>
      <c r="AE85" s="69">
        <v>20604300</v>
      </c>
      <c r="AF85" s="69">
        <v>57566500</v>
      </c>
      <c r="AG85" s="69">
        <v>31226100</v>
      </c>
      <c r="AH85" s="69">
        <v>61843600</v>
      </c>
      <c r="AI85" s="69">
        <v>46073300</v>
      </c>
      <c r="AJ85" s="69">
        <v>39136100</v>
      </c>
      <c r="AK85" s="69">
        <v>33787100</v>
      </c>
      <c r="AL85" s="69">
        <v>9757200</v>
      </c>
      <c r="AM85" s="69">
        <v>26524600</v>
      </c>
      <c r="AN85" s="69">
        <v>28317400</v>
      </c>
      <c r="AO85" s="69">
        <v>54139200</v>
      </c>
      <c r="AP85" s="69">
        <v>43805100</v>
      </c>
      <c r="AQ85" s="69">
        <v>45815600</v>
      </c>
      <c r="AR85" s="69">
        <v>22314600</v>
      </c>
      <c r="AS85" s="69">
        <v>11989000</v>
      </c>
      <c r="AT85" s="69">
        <v>29631000</v>
      </c>
      <c r="AU85" s="69"/>
      <c r="AW85" s="66">
        <f t="shared" si="13"/>
        <v>78136800</v>
      </c>
      <c r="AX85" s="66">
        <f t="shared" si="13"/>
        <v>348622600</v>
      </c>
      <c r="AY85" s="66">
        <f t="shared" si="13"/>
        <v>297057000</v>
      </c>
      <c r="AZ85" s="66">
        <f t="shared" si="13"/>
        <v>248348000</v>
      </c>
      <c r="BA85" s="66">
        <f t="shared" si="13"/>
        <v>236011900</v>
      </c>
      <c r="BC85" s="66">
        <f t="shared" ca="1" si="11"/>
        <v>1108453600</v>
      </c>
      <c r="BD85" s="66">
        <f t="shared" si="12"/>
        <v>1341359100</v>
      </c>
    </row>
    <row r="86" spans="1:56" x14ac:dyDescent="0.3">
      <c r="A86" s="6" t="str">
        <f>IFERROR(VLOOKUP($F86,매장구분!$B:$K,2,0),"")</f>
        <v>리테일채널팀</v>
      </c>
      <c r="B86" s="6" t="str">
        <f>IFERROR(VLOOKUP($F86,매장구분!$B:$K,3,0),"")</f>
        <v>국내</v>
      </c>
      <c r="C86" s="6" t="str">
        <f>IFERROR(VLOOKUP($F86,매장구분!$B:$K,5,0),"")</f>
        <v>직영점</v>
      </c>
      <c r="D86" s="6" t="str">
        <f>IFERROR(VLOOKUP($F86,매장구분!$B:$Z,9,0),"")</f>
        <v>타임스퀘어영등포(직)</v>
      </c>
      <c r="E86" s="69" t="s">
        <v>186</v>
      </c>
      <c r="F86" s="69" t="s">
        <v>187</v>
      </c>
      <c r="G86" s="69">
        <v>1244</v>
      </c>
      <c r="H86" s="69">
        <v>122895500</v>
      </c>
      <c r="I86" s="69">
        <v>134020900</v>
      </c>
      <c r="J86" s="69">
        <v>1430</v>
      </c>
      <c r="K86" s="69">
        <v>153441500</v>
      </c>
      <c r="L86" s="69">
        <v>164587900</v>
      </c>
      <c r="M86" s="69">
        <v>-186</v>
      </c>
      <c r="N86" s="69">
        <v>-30546000</v>
      </c>
      <c r="O86" s="69">
        <v>-30567000</v>
      </c>
      <c r="P86" s="69">
        <v>3390600</v>
      </c>
      <c r="Q86" s="69">
        <v>2780400</v>
      </c>
      <c r="R86" s="69">
        <v>7605900</v>
      </c>
      <c r="S86" s="69">
        <v>2550000</v>
      </c>
      <c r="T86" s="69">
        <v>2580700</v>
      </c>
      <c r="U86" s="69">
        <v>2666600</v>
      </c>
      <c r="V86" s="69">
        <v>1798100</v>
      </c>
      <c r="W86" s="69">
        <v>2030400</v>
      </c>
      <c r="X86" s="69">
        <v>4970700</v>
      </c>
      <c r="Y86" s="69">
        <v>7369600</v>
      </c>
      <c r="Z86" s="69">
        <v>2036000</v>
      </c>
      <c r="AA86" s="69">
        <v>2843600</v>
      </c>
      <c r="AB86" s="69">
        <v>2646700</v>
      </c>
      <c r="AC86" s="69">
        <v>2780400</v>
      </c>
      <c r="AD86" s="69">
        <v>2360900</v>
      </c>
      <c r="AE86" s="69">
        <v>4759800</v>
      </c>
      <c r="AF86" s="69">
        <v>6772800</v>
      </c>
      <c r="AG86" s="69">
        <v>3104400</v>
      </c>
      <c r="AH86" s="69">
        <v>4311100</v>
      </c>
      <c r="AI86" s="69">
        <v>2636500</v>
      </c>
      <c r="AJ86" s="69">
        <v>2965500</v>
      </c>
      <c r="AK86" s="69">
        <v>2463200</v>
      </c>
      <c r="AL86" s="69">
        <v>6081900</v>
      </c>
      <c r="AM86" s="69">
        <v>7151200</v>
      </c>
      <c r="AN86" s="69">
        <v>2463700</v>
      </c>
      <c r="AO86" s="69">
        <v>3338400</v>
      </c>
      <c r="AP86" s="69">
        <v>4035200</v>
      </c>
      <c r="AQ86" s="69">
        <v>3756100</v>
      </c>
      <c r="AR86" s="69">
        <v>2854100</v>
      </c>
      <c r="AS86" s="69">
        <v>6652900</v>
      </c>
      <c r="AT86" s="69">
        <v>9138100</v>
      </c>
      <c r="AU86" s="69"/>
      <c r="AW86" s="66">
        <f t="shared" si="13"/>
        <v>10386300</v>
      </c>
      <c r="AX86" s="66">
        <f t="shared" si="13"/>
        <v>23966100</v>
      </c>
      <c r="AY86" s="66">
        <f t="shared" si="13"/>
        <v>24200200</v>
      </c>
      <c r="AZ86" s="66">
        <f t="shared" si="13"/>
        <v>28713800</v>
      </c>
      <c r="BA86" s="66">
        <f t="shared" si="13"/>
        <v>32238500</v>
      </c>
      <c r="BC86" s="66">
        <f t="shared" ca="1" si="11"/>
        <v>83505800</v>
      </c>
      <c r="BD86" s="66">
        <f t="shared" si="12"/>
        <v>113757400</v>
      </c>
    </row>
    <row r="87" spans="1:56" x14ac:dyDescent="0.3">
      <c r="A87" s="6" t="str">
        <f>IFERROR(VLOOKUP($F87,매장구분!$B:$K,2,0),"")</f>
        <v>E-biz</v>
      </c>
      <c r="B87" s="6" t="str">
        <f>IFERROR(VLOOKUP($F87,매장구분!$B:$K,3,0),"")</f>
        <v>국내</v>
      </c>
      <c r="C87" s="6" t="str">
        <f>IFERROR(VLOOKUP($F87,매장구분!$B:$K,5,0),"")</f>
        <v>온(자사몰)</v>
      </c>
      <c r="D87" s="6" t="str">
        <f>IFERROR(VLOOKUP($F87,매장구분!$B:$Z,9,0),"")</f>
        <v>온라인쇼핑몰</v>
      </c>
      <c r="E87" s="69" t="s">
        <v>178</v>
      </c>
      <c r="F87" s="69" t="s">
        <v>179</v>
      </c>
      <c r="G87" s="69">
        <v>10323</v>
      </c>
      <c r="H87" s="69">
        <v>936488260</v>
      </c>
      <c r="I87" s="69">
        <v>1040680800</v>
      </c>
      <c r="J87" s="69">
        <v>11572</v>
      </c>
      <c r="K87" s="69">
        <v>1085204610</v>
      </c>
      <c r="L87" s="69">
        <v>1202076800</v>
      </c>
      <c r="M87" s="69">
        <v>-1249</v>
      </c>
      <c r="N87" s="69">
        <v>-148716350</v>
      </c>
      <c r="O87" s="69">
        <v>-161396000</v>
      </c>
      <c r="P87" s="69">
        <v>25945880</v>
      </c>
      <c r="Q87" s="69">
        <v>21968950</v>
      </c>
      <c r="R87" s="69">
        <v>23428900</v>
      </c>
      <c r="S87" s="69">
        <v>24437990</v>
      </c>
      <c r="T87" s="69">
        <v>25965290</v>
      </c>
      <c r="U87" s="69">
        <v>33485070</v>
      </c>
      <c r="V87" s="69">
        <v>30434980</v>
      </c>
      <c r="W87" s="69">
        <v>25207110</v>
      </c>
      <c r="X87" s="69">
        <v>25778800</v>
      </c>
      <c r="Y87" s="69">
        <v>24439300</v>
      </c>
      <c r="Z87" s="69">
        <v>27599320</v>
      </c>
      <c r="AA87" s="69">
        <v>27966080</v>
      </c>
      <c r="AB87" s="69">
        <v>27367210</v>
      </c>
      <c r="AC87" s="69">
        <v>29113180</v>
      </c>
      <c r="AD87" s="69">
        <v>23141720</v>
      </c>
      <c r="AE87" s="69">
        <v>19579410</v>
      </c>
      <c r="AF87" s="69">
        <v>35273670</v>
      </c>
      <c r="AG87" s="69">
        <v>40552270</v>
      </c>
      <c r="AH87" s="69">
        <v>35897830</v>
      </c>
      <c r="AI87" s="69">
        <v>36715700</v>
      </c>
      <c r="AJ87" s="69">
        <v>22696840</v>
      </c>
      <c r="AK87" s="69">
        <v>29770440</v>
      </c>
      <c r="AL87" s="69">
        <v>26775890</v>
      </c>
      <c r="AM87" s="69">
        <v>34538790</v>
      </c>
      <c r="AN87" s="69">
        <v>29283850</v>
      </c>
      <c r="AO87" s="69">
        <v>35841520</v>
      </c>
      <c r="AP87" s="69">
        <v>48316280</v>
      </c>
      <c r="AQ87" s="69">
        <v>41767000</v>
      </c>
      <c r="AR87" s="69">
        <v>29500130</v>
      </c>
      <c r="AS87" s="69">
        <v>36031220</v>
      </c>
      <c r="AT87" s="69">
        <v>37667640</v>
      </c>
      <c r="AU87" s="69"/>
      <c r="AW87" s="66">
        <f t="shared" si="13"/>
        <v>45397850</v>
      </c>
      <c r="AX87" s="66">
        <f t="shared" si="13"/>
        <v>189748540</v>
      </c>
      <c r="AY87" s="66">
        <f t="shared" si="13"/>
        <v>190040590</v>
      </c>
      <c r="AZ87" s="66">
        <f t="shared" si="13"/>
        <v>226947760</v>
      </c>
      <c r="BA87" s="66">
        <f t="shared" si="13"/>
        <v>258407640</v>
      </c>
      <c r="BC87" s="66">
        <f t="shared" ca="1" si="11"/>
        <v>643541830</v>
      </c>
      <c r="BD87" s="66">
        <f t="shared" si="12"/>
        <v>898820620</v>
      </c>
    </row>
    <row r="88" spans="1:56" x14ac:dyDescent="0.3">
      <c r="A88" s="6" t="str">
        <f>IFERROR(VLOOKUP($F88,매장구분!$B:$K,2,0),"")</f>
        <v>리테일채널팀</v>
      </c>
      <c r="B88" s="6" t="str">
        <f>IFERROR(VLOOKUP($F88,매장구분!$B:$K,3,0),"")</f>
        <v>국내</v>
      </c>
      <c r="C88" s="6" t="str">
        <f>IFERROR(VLOOKUP($F88,매장구분!$B:$K,5,0),"")</f>
        <v>직영점</v>
      </c>
      <c r="D88" s="6" t="str">
        <f>IFERROR(VLOOKUP($F88,매장구분!$B:$Z,9,0),"")</f>
        <v>충장로</v>
      </c>
      <c r="E88" s="69" t="s">
        <v>544</v>
      </c>
      <c r="F88" s="69" t="s">
        <v>545</v>
      </c>
      <c r="G88" s="69">
        <v>1219</v>
      </c>
      <c r="H88" s="69">
        <v>124669610</v>
      </c>
      <c r="I88" s="69">
        <v>127735800</v>
      </c>
      <c r="J88" s="69">
        <v>1467</v>
      </c>
      <c r="K88" s="69">
        <v>171215946</v>
      </c>
      <c r="L88" s="69">
        <v>174548800</v>
      </c>
      <c r="M88" s="69">
        <v>-248</v>
      </c>
      <c r="N88" s="69">
        <v>-46546336</v>
      </c>
      <c r="O88" s="69">
        <v>-46813000</v>
      </c>
      <c r="P88" s="69">
        <v>1949000</v>
      </c>
      <c r="Q88" s="69">
        <v>5845800</v>
      </c>
      <c r="R88" s="69">
        <v>6854200</v>
      </c>
      <c r="S88" s="69">
        <v>1958000</v>
      </c>
      <c r="T88" s="69">
        <v>2745800</v>
      </c>
      <c r="U88" s="69">
        <v>2087500</v>
      </c>
      <c r="V88" s="69">
        <v>4370110</v>
      </c>
      <c r="W88" s="69">
        <v>1734600</v>
      </c>
      <c r="X88" s="69">
        <v>5930400</v>
      </c>
      <c r="Y88" s="69">
        <v>7309000</v>
      </c>
      <c r="Z88" s="69">
        <v>2204000</v>
      </c>
      <c r="AA88" s="69">
        <v>3737600</v>
      </c>
      <c r="AB88" s="69">
        <v>1444000</v>
      </c>
      <c r="AC88" s="69">
        <v>1381000</v>
      </c>
      <c r="AD88" s="69">
        <v>1731000</v>
      </c>
      <c r="AE88" s="69">
        <v>5924000</v>
      </c>
      <c r="AF88" s="69">
        <v>8588600</v>
      </c>
      <c r="AG88" s="69">
        <v>3356500</v>
      </c>
      <c r="AH88" s="69">
        <v>4156000</v>
      </c>
      <c r="AI88" s="69">
        <v>3685000</v>
      </c>
      <c r="AJ88" s="69">
        <v>5111000</v>
      </c>
      <c r="AK88" s="69">
        <v>2587000</v>
      </c>
      <c r="AL88" s="69">
        <v>5689100</v>
      </c>
      <c r="AM88" s="69">
        <v>6863500</v>
      </c>
      <c r="AN88" s="69">
        <v>1761000</v>
      </c>
      <c r="AO88" s="69">
        <v>2107000</v>
      </c>
      <c r="AP88" s="69">
        <v>2058000</v>
      </c>
      <c r="AQ88" s="69">
        <v>2511000</v>
      </c>
      <c r="AR88" s="69">
        <v>4527000</v>
      </c>
      <c r="AS88" s="69">
        <v>5257000</v>
      </c>
      <c r="AT88" s="69">
        <v>9205900</v>
      </c>
      <c r="AU88" s="69"/>
      <c r="AW88" s="66">
        <f t="shared" si="13"/>
        <v>12700000</v>
      </c>
      <c r="AX88" s="66">
        <f t="shared" si="13"/>
        <v>26135410</v>
      </c>
      <c r="AY88" s="66">
        <f t="shared" si="13"/>
        <v>25010200</v>
      </c>
      <c r="AZ88" s="66">
        <f t="shared" si="13"/>
        <v>31448100</v>
      </c>
      <c r="BA88" s="66">
        <f t="shared" si="13"/>
        <v>27426900</v>
      </c>
      <c r="BC88" s="66">
        <f t="shared" ca="1" si="11"/>
        <v>90379210</v>
      </c>
      <c r="BD88" s="66">
        <f t="shared" si="12"/>
        <v>115463710</v>
      </c>
    </row>
    <row r="89" spans="1:56" x14ac:dyDescent="0.3">
      <c r="A89" s="6" t="str">
        <f>IFERROR(VLOOKUP($F89,매장구분!$B:$K,2,0),"")</f>
        <v>리테일채널팀</v>
      </c>
      <c r="B89" s="6" t="str">
        <f>IFERROR(VLOOKUP($F89,매장구분!$B:$K,3,0),"")</f>
        <v>국내</v>
      </c>
      <c r="C89" s="6" t="str">
        <f>IFERROR(VLOOKUP($F89,매장구분!$B:$K,5,0),"")</f>
        <v>직영점</v>
      </c>
      <c r="D89" s="6" t="str">
        <f>IFERROR(VLOOKUP($F89,매장구분!$B:$Z,9,0),"")</f>
        <v>동성로</v>
      </c>
      <c r="E89" s="69" t="s">
        <v>204</v>
      </c>
      <c r="F89" s="69" t="s">
        <v>205</v>
      </c>
      <c r="G89" s="69">
        <v>927</v>
      </c>
      <c r="H89" s="69">
        <v>80480410</v>
      </c>
      <c r="I89" s="69">
        <v>86850700</v>
      </c>
      <c r="J89" s="69">
        <v>1247</v>
      </c>
      <c r="K89" s="69">
        <v>136541010</v>
      </c>
      <c r="L89" s="69">
        <v>143465700</v>
      </c>
      <c r="M89" s="69">
        <v>-320</v>
      </c>
      <c r="N89" s="69">
        <v>-56060600</v>
      </c>
      <c r="O89" s="69">
        <v>-56615000</v>
      </c>
      <c r="P89" s="69">
        <v>720000</v>
      </c>
      <c r="Q89" s="69">
        <v>4148800</v>
      </c>
      <c r="R89" s="69">
        <v>5983400</v>
      </c>
      <c r="S89" s="69">
        <v>3220100</v>
      </c>
      <c r="T89" s="69">
        <v>1622900</v>
      </c>
      <c r="U89" s="69">
        <v>1634500</v>
      </c>
      <c r="V89" s="69">
        <v>3447200</v>
      </c>
      <c r="W89" s="69">
        <v>608500</v>
      </c>
      <c r="X89" s="69">
        <v>4587400</v>
      </c>
      <c r="Y89" s="69">
        <v>4914700</v>
      </c>
      <c r="Z89" s="69">
        <v>1806600</v>
      </c>
      <c r="AA89" s="69">
        <v>1838600</v>
      </c>
      <c r="AB89" s="69">
        <v>1269200</v>
      </c>
      <c r="AC89" s="69">
        <v>1435000</v>
      </c>
      <c r="AD89" s="69">
        <v>1402800</v>
      </c>
      <c r="AE89" s="69">
        <v>3854100</v>
      </c>
      <c r="AF89" s="69">
        <v>3418800</v>
      </c>
      <c r="AG89" s="69">
        <v>1418400</v>
      </c>
      <c r="AH89" s="69">
        <v>897000</v>
      </c>
      <c r="AI89" s="69">
        <v>838000</v>
      </c>
      <c r="AJ89" s="69">
        <v>2243600</v>
      </c>
      <c r="AK89" s="69">
        <v>1484500</v>
      </c>
      <c r="AL89" s="69">
        <v>4725300</v>
      </c>
      <c r="AM89" s="69">
        <v>5838900</v>
      </c>
      <c r="AN89" s="69">
        <v>1650300</v>
      </c>
      <c r="AO89" s="69">
        <v>2147710</v>
      </c>
      <c r="AP89" s="69">
        <v>2590000</v>
      </c>
      <c r="AQ89" s="69">
        <v>947000</v>
      </c>
      <c r="AR89" s="69">
        <v>2209900</v>
      </c>
      <c r="AS89" s="69">
        <v>3662700</v>
      </c>
      <c r="AT89" s="69">
        <v>3914500</v>
      </c>
      <c r="AU89" s="69"/>
      <c r="AW89" s="66">
        <f t="shared" si="13"/>
        <v>10132200</v>
      </c>
      <c r="AX89" s="66">
        <f t="shared" si="13"/>
        <v>20035300</v>
      </c>
      <c r="AY89" s="66">
        <f t="shared" si="13"/>
        <v>15025100</v>
      </c>
      <c r="AZ89" s="66">
        <f t="shared" si="13"/>
        <v>17445700</v>
      </c>
      <c r="BA89" s="66">
        <f t="shared" si="13"/>
        <v>17122110</v>
      </c>
      <c r="BC89" s="66">
        <f t="shared" ca="1" si="11"/>
        <v>57519400</v>
      </c>
      <c r="BD89" s="66">
        <f t="shared" si="12"/>
        <v>76565910</v>
      </c>
    </row>
    <row r="90" spans="1:56" x14ac:dyDescent="0.3">
      <c r="A90" s="6" t="str">
        <f>IFERROR(VLOOKUP($F90,매장구분!$B:$K,2,0),"")</f>
        <v>리테일채널팀</v>
      </c>
      <c r="B90" s="6" t="str">
        <f>IFERROR(VLOOKUP($F90,매장구분!$B:$K,3,0),"")</f>
        <v>국내</v>
      </c>
      <c r="C90" s="6" t="str">
        <f>IFERROR(VLOOKUP($F90,매장구분!$B:$K,5,0),"")</f>
        <v>직영점</v>
      </c>
      <c r="D90" s="6" t="str">
        <f>IFERROR(VLOOKUP($F90,매장구분!$B:$Z,9,0),"")</f>
        <v>트리플스트리트(직)</v>
      </c>
      <c r="E90" s="69" t="s">
        <v>576</v>
      </c>
      <c r="F90" s="69" t="s">
        <v>577</v>
      </c>
      <c r="G90" s="69">
        <v>821</v>
      </c>
      <c r="H90" s="69">
        <v>73078548</v>
      </c>
      <c r="I90" s="69">
        <v>75555600</v>
      </c>
      <c r="J90" s="69">
        <v>977</v>
      </c>
      <c r="K90" s="69">
        <v>104136548</v>
      </c>
      <c r="L90" s="69">
        <v>106643600</v>
      </c>
      <c r="M90" s="69">
        <v>-156</v>
      </c>
      <c r="N90" s="69">
        <v>-31058000</v>
      </c>
      <c r="O90" s="69">
        <v>-31088000</v>
      </c>
      <c r="P90" s="69">
        <v>1008100</v>
      </c>
      <c r="Q90" s="69">
        <v>3583100</v>
      </c>
      <c r="R90" s="69">
        <v>4345000</v>
      </c>
      <c r="S90" s="69">
        <v>2072200</v>
      </c>
      <c r="T90" s="69">
        <v>923000</v>
      </c>
      <c r="U90" s="69">
        <v>2235300</v>
      </c>
      <c r="V90" s="69">
        <v>1581000</v>
      </c>
      <c r="W90" s="69">
        <v>1162700</v>
      </c>
      <c r="X90" s="69">
        <v>5943097</v>
      </c>
      <c r="Y90" s="69">
        <v>5380833</v>
      </c>
      <c r="Z90" s="69">
        <v>1129000</v>
      </c>
      <c r="AA90" s="69">
        <v>2033800</v>
      </c>
      <c r="AB90" s="69">
        <v>968000</v>
      </c>
      <c r="AC90" s="69">
        <v>1647000</v>
      </c>
      <c r="AD90" s="69">
        <v>2389000</v>
      </c>
      <c r="AE90" s="69">
        <v>1543000</v>
      </c>
      <c r="AF90" s="69">
        <v>4252000</v>
      </c>
      <c r="AG90" s="69">
        <v>1346000</v>
      </c>
      <c r="AH90" s="69">
        <v>1911000</v>
      </c>
      <c r="AI90" s="69">
        <v>4352000</v>
      </c>
      <c r="AJ90" s="69">
        <v>2436000</v>
      </c>
      <c r="AK90" s="69">
        <v>1286000</v>
      </c>
      <c r="AL90" s="69">
        <v>2514471</v>
      </c>
      <c r="AM90" s="69">
        <v>4000947</v>
      </c>
      <c r="AN90" s="69">
        <v>984000</v>
      </c>
      <c r="AO90" s="69">
        <v>557000</v>
      </c>
      <c r="AP90" s="69">
        <v>4650000</v>
      </c>
      <c r="AQ90" s="69">
        <v>215000</v>
      </c>
      <c r="AR90" s="69">
        <v>65000</v>
      </c>
      <c r="AS90" s="69">
        <v>101000</v>
      </c>
      <c r="AT90" s="69">
        <v>6464000</v>
      </c>
      <c r="AU90" s="69"/>
      <c r="AW90" s="66">
        <f t="shared" si="13"/>
        <v>7928100</v>
      </c>
      <c r="AX90" s="66">
        <f t="shared" si="13"/>
        <v>19298130</v>
      </c>
      <c r="AY90" s="66">
        <f t="shared" si="13"/>
        <v>13961800</v>
      </c>
      <c r="AZ90" s="66">
        <f t="shared" si="13"/>
        <v>17846418</v>
      </c>
      <c r="BA90" s="66">
        <f t="shared" si="13"/>
        <v>13036000</v>
      </c>
      <c r="BC90" s="66">
        <f t="shared" ca="1" si="11"/>
        <v>56041601</v>
      </c>
      <c r="BD90" s="66">
        <f t="shared" si="12"/>
        <v>66614548</v>
      </c>
    </row>
    <row r="91" spans="1:56" x14ac:dyDescent="0.3">
      <c r="A91" s="6" t="str">
        <f>IFERROR(VLOOKUP($F91,매장구분!$B:$K,2,0),"")</f>
        <v>리테일채널팀</v>
      </c>
      <c r="B91" s="6" t="str">
        <f>IFERROR(VLOOKUP($F91,매장구분!$B:$K,3,0),"")</f>
        <v>RF</v>
      </c>
      <c r="C91" s="6" t="str">
        <f>IFERROR(VLOOKUP($F91,매장구분!$B:$K,5,0),"")</f>
        <v>직영점</v>
      </c>
      <c r="D91" s="6" t="str">
        <f>IFERROR(VLOOKUP($F91,매장구분!$B:$Z,9,0),"")</f>
        <v>가로수길(직)</v>
      </c>
      <c r="E91" s="69" t="s">
        <v>398</v>
      </c>
      <c r="F91" s="69" t="s">
        <v>399</v>
      </c>
      <c r="G91" s="69">
        <v>3391</v>
      </c>
      <c r="H91" s="69">
        <v>400576000</v>
      </c>
      <c r="I91" s="69">
        <v>526155800</v>
      </c>
      <c r="J91" s="69">
        <v>3587</v>
      </c>
      <c r="K91" s="69">
        <v>459370000</v>
      </c>
      <c r="L91" s="69">
        <v>584981800</v>
      </c>
      <c r="M91" s="69">
        <v>-196</v>
      </c>
      <c r="N91" s="69">
        <v>-58794000</v>
      </c>
      <c r="O91" s="69">
        <v>-58826000</v>
      </c>
      <c r="P91" s="69">
        <v>9369200</v>
      </c>
      <c r="Q91" s="69">
        <v>3622000</v>
      </c>
      <c r="R91" s="69">
        <v>5856000</v>
      </c>
      <c r="S91" s="69">
        <v>55417200</v>
      </c>
      <c r="T91" s="69">
        <v>13612400</v>
      </c>
      <c r="U91" s="69">
        <v>14656500</v>
      </c>
      <c r="V91" s="69">
        <v>3880000</v>
      </c>
      <c r="W91" s="69">
        <v>3817300</v>
      </c>
      <c r="X91" s="69">
        <v>4216000</v>
      </c>
      <c r="Y91" s="69">
        <v>4252900</v>
      </c>
      <c r="Z91" s="69">
        <v>64806500</v>
      </c>
      <c r="AA91" s="69">
        <v>23587400</v>
      </c>
      <c r="AB91" s="69">
        <v>30536400</v>
      </c>
      <c r="AC91" s="69">
        <v>2552500</v>
      </c>
      <c r="AD91" s="69">
        <v>2899000</v>
      </c>
      <c r="AE91" s="69">
        <v>4301000</v>
      </c>
      <c r="AF91" s="69">
        <v>5579000</v>
      </c>
      <c r="AG91" s="69">
        <v>28746000</v>
      </c>
      <c r="AH91" s="69">
        <v>26461700</v>
      </c>
      <c r="AI91" s="69">
        <v>3959000</v>
      </c>
      <c r="AJ91" s="69">
        <v>3108000</v>
      </c>
      <c r="AK91" s="69">
        <v>1499000</v>
      </c>
      <c r="AL91" s="69">
        <v>4151000</v>
      </c>
      <c r="AM91" s="69">
        <v>3567000</v>
      </c>
      <c r="AN91" s="69">
        <v>16986200</v>
      </c>
      <c r="AO91" s="69">
        <v>3707000</v>
      </c>
      <c r="AP91" s="69">
        <v>1268000</v>
      </c>
      <c r="AQ91" s="69">
        <v>36975600</v>
      </c>
      <c r="AR91" s="69">
        <v>3027000</v>
      </c>
      <c r="AS91" s="69">
        <v>4081000</v>
      </c>
      <c r="AT91" s="69">
        <v>10078200</v>
      </c>
      <c r="AU91" s="69"/>
      <c r="AW91" s="66">
        <f t="shared" si="13"/>
        <v>9478000</v>
      </c>
      <c r="AX91" s="66">
        <f t="shared" si="13"/>
        <v>99852300</v>
      </c>
      <c r="AY91" s="66">
        <f t="shared" si="13"/>
        <v>134261800</v>
      </c>
      <c r="AZ91" s="66">
        <f t="shared" si="13"/>
        <v>71491700</v>
      </c>
      <c r="BA91" s="66">
        <f t="shared" si="13"/>
        <v>76123000</v>
      </c>
      <c r="BC91" s="66">
        <f t="shared" ca="1" si="11"/>
        <v>320886000</v>
      </c>
      <c r="BD91" s="66">
        <f t="shared" si="12"/>
        <v>390497800</v>
      </c>
    </row>
    <row r="92" spans="1:56" x14ac:dyDescent="0.3">
      <c r="A92" s="6" t="str">
        <f>IFERROR(VLOOKUP($F92,매장구분!$B:$K,2,0),"")</f>
        <v>리테일채널팀</v>
      </c>
      <c r="B92" s="6" t="str">
        <f>IFERROR(VLOOKUP($F92,매장구분!$B:$K,3,0),"")</f>
        <v>국내</v>
      </c>
      <c r="C92" s="6" t="str">
        <f>IFERROR(VLOOKUP($F92,매장구분!$B:$K,5,0),"")</f>
        <v>직영점</v>
      </c>
      <c r="D92" s="6" t="str">
        <f>IFERROR(VLOOKUP($F92,매장구분!$B:$Z,9,0),"")</f>
        <v>스타필드고양</v>
      </c>
      <c r="E92" s="69" t="s">
        <v>592</v>
      </c>
      <c r="F92" s="69" t="s">
        <v>593</v>
      </c>
      <c r="G92" s="69">
        <v>1405</v>
      </c>
      <c r="H92" s="69">
        <v>121724100</v>
      </c>
      <c r="I92" s="69">
        <v>126644000</v>
      </c>
      <c r="J92" s="69">
        <v>1533</v>
      </c>
      <c r="K92" s="69">
        <v>149569700</v>
      </c>
      <c r="L92" s="69">
        <v>154574000</v>
      </c>
      <c r="M92" s="69">
        <v>-128</v>
      </c>
      <c r="N92" s="69">
        <v>-27845600</v>
      </c>
      <c r="O92" s="69">
        <v>-27930000</v>
      </c>
      <c r="P92" s="69">
        <v>2002200</v>
      </c>
      <c r="Q92" s="69">
        <v>6825700</v>
      </c>
      <c r="R92" s="69">
        <v>4461400</v>
      </c>
      <c r="S92" s="69">
        <v>1883900</v>
      </c>
      <c r="T92" s="69">
        <v>2593800</v>
      </c>
      <c r="U92" s="69">
        <v>3742600</v>
      </c>
      <c r="V92" s="69">
        <v>1800200</v>
      </c>
      <c r="W92" s="69">
        <v>3253600</v>
      </c>
      <c r="X92" s="69">
        <v>4534700</v>
      </c>
      <c r="Y92" s="69">
        <v>7858100</v>
      </c>
      <c r="Z92" s="69">
        <v>2443300</v>
      </c>
      <c r="AA92" s="69">
        <v>1117000</v>
      </c>
      <c r="AB92" s="69">
        <v>2918000</v>
      </c>
      <c r="AC92" s="69">
        <v>2168000</v>
      </c>
      <c r="AD92" s="69">
        <v>1955900</v>
      </c>
      <c r="AE92" s="69">
        <v>2164400</v>
      </c>
      <c r="AF92" s="69">
        <v>7279700</v>
      </c>
      <c r="AG92" s="69">
        <v>2646000</v>
      </c>
      <c r="AH92" s="69">
        <v>4385200</v>
      </c>
      <c r="AI92" s="69">
        <v>3585300</v>
      </c>
      <c r="AJ92" s="69">
        <v>4632300</v>
      </c>
      <c r="AK92" s="69">
        <v>3138500</v>
      </c>
      <c r="AL92" s="69">
        <v>8233000</v>
      </c>
      <c r="AM92" s="69">
        <v>6336700</v>
      </c>
      <c r="AN92" s="69">
        <v>2217000</v>
      </c>
      <c r="AO92" s="69">
        <v>3376800</v>
      </c>
      <c r="AP92" s="69">
        <v>3905000</v>
      </c>
      <c r="AQ92" s="69">
        <v>1819000</v>
      </c>
      <c r="AR92" s="69">
        <v>3592300</v>
      </c>
      <c r="AS92" s="69">
        <v>7570000</v>
      </c>
      <c r="AT92" s="69">
        <v>7284500</v>
      </c>
      <c r="AU92" s="69"/>
      <c r="AW92" s="66">
        <f t="shared" ref="AW92:BA107" si="14">SUMIFS($Q92:$AU92,$Q$3:$AU$3,AW$3)</f>
        <v>11287100</v>
      </c>
      <c r="AX92" s="66">
        <f t="shared" si="14"/>
        <v>25666900</v>
      </c>
      <c r="AY92" s="66">
        <f t="shared" si="14"/>
        <v>20046300</v>
      </c>
      <c r="AZ92" s="66">
        <f t="shared" si="14"/>
        <v>32957000</v>
      </c>
      <c r="BA92" s="66">
        <f t="shared" si="14"/>
        <v>29764600</v>
      </c>
      <c r="BC92" s="66">
        <f t="shared" ca="1" si="11"/>
        <v>85622800</v>
      </c>
      <c r="BD92" s="66">
        <f t="shared" si="12"/>
        <v>114439600</v>
      </c>
    </row>
    <row r="93" spans="1:56" x14ac:dyDescent="0.3">
      <c r="A93" s="6" t="str">
        <f>IFERROR(VLOOKUP($F93,매장구분!$B:$K,2,0),"")</f>
        <v>리테일채널팀</v>
      </c>
      <c r="B93" s="6" t="str">
        <f>IFERROR(VLOOKUP($F93,매장구분!$B:$K,3,0),"")</f>
        <v>RF</v>
      </c>
      <c r="C93" s="6" t="str">
        <f>IFERROR(VLOOKUP($F93,매장구분!$B:$K,5,0),"")</f>
        <v>직영점</v>
      </c>
      <c r="D93" s="6" t="str">
        <f>IFERROR(VLOOKUP($F93,매장구분!$B:$Z,9,0),"")</f>
        <v>홍대(직)</v>
      </c>
      <c r="E93" s="69" t="s">
        <v>386</v>
      </c>
      <c r="F93" s="69" t="s">
        <v>387</v>
      </c>
      <c r="G93" s="69">
        <v>1676</v>
      </c>
      <c r="H93" s="69">
        <v>148744300</v>
      </c>
      <c r="I93" s="69">
        <v>162383800</v>
      </c>
      <c r="J93" s="69">
        <v>1770</v>
      </c>
      <c r="K93" s="69">
        <v>157454100</v>
      </c>
      <c r="L93" s="69">
        <v>173485800</v>
      </c>
      <c r="M93" s="69">
        <v>-94</v>
      </c>
      <c r="N93" s="69">
        <v>-8709800</v>
      </c>
      <c r="O93" s="69">
        <v>-11102000</v>
      </c>
      <c r="P93" s="69">
        <v>5068300</v>
      </c>
      <c r="Q93" s="69">
        <v>7784500</v>
      </c>
      <c r="R93" s="69">
        <v>4304600</v>
      </c>
      <c r="S93" s="69">
        <v>4647000</v>
      </c>
      <c r="T93" s="69">
        <v>15412400</v>
      </c>
      <c r="U93" s="69">
        <v>2530000</v>
      </c>
      <c r="V93" s="69">
        <v>2734600</v>
      </c>
      <c r="W93" s="69">
        <v>3362900</v>
      </c>
      <c r="X93" s="69">
        <v>5460300</v>
      </c>
      <c r="Y93" s="69">
        <v>3844300</v>
      </c>
      <c r="Z93" s="69">
        <v>1553000</v>
      </c>
      <c r="AA93" s="69">
        <v>4078000</v>
      </c>
      <c r="AB93" s="69">
        <v>15257100</v>
      </c>
      <c r="AC93" s="69">
        <v>4884300</v>
      </c>
      <c r="AD93" s="69">
        <v>5278100</v>
      </c>
      <c r="AE93" s="69">
        <v>3252000</v>
      </c>
      <c r="AF93" s="69">
        <v>4697000</v>
      </c>
      <c r="AG93" s="69">
        <v>3285300</v>
      </c>
      <c r="AH93" s="69">
        <v>5162500</v>
      </c>
      <c r="AI93" s="69">
        <v>9483900</v>
      </c>
      <c r="AJ93" s="69">
        <v>3516300</v>
      </c>
      <c r="AK93" s="69">
        <v>2261000</v>
      </c>
      <c r="AL93" s="69">
        <v>3523000</v>
      </c>
      <c r="AM93" s="69">
        <v>2973000</v>
      </c>
      <c r="AN93" s="69">
        <v>2974000</v>
      </c>
      <c r="AO93" s="69">
        <v>2048600</v>
      </c>
      <c r="AP93" s="69">
        <v>2095000</v>
      </c>
      <c r="AQ93" s="69">
        <v>2202000</v>
      </c>
      <c r="AR93" s="69">
        <v>2825000</v>
      </c>
      <c r="AS93" s="69">
        <v>6986300</v>
      </c>
      <c r="AT93" s="69">
        <v>5260000</v>
      </c>
      <c r="AU93" s="69"/>
      <c r="AW93" s="66">
        <f t="shared" si="14"/>
        <v>12089100</v>
      </c>
      <c r="AX93" s="66">
        <f t="shared" si="14"/>
        <v>37991500</v>
      </c>
      <c r="AY93" s="66">
        <f t="shared" si="14"/>
        <v>38999500</v>
      </c>
      <c r="AZ93" s="66">
        <f t="shared" si="14"/>
        <v>30205000</v>
      </c>
      <c r="BA93" s="66">
        <f t="shared" si="14"/>
        <v>24390900</v>
      </c>
      <c r="BC93" s="66">
        <f t="shared" ca="1" si="11"/>
        <v>121380400</v>
      </c>
      <c r="BD93" s="66">
        <f t="shared" si="12"/>
        <v>143484300</v>
      </c>
    </row>
    <row r="94" spans="1:56" x14ac:dyDescent="0.3">
      <c r="A94" s="6" t="str">
        <f>IFERROR(VLOOKUP($F94,매장구분!$B:$K,2,0),"")</f>
        <v>리테일채널팀</v>
      </c>
      <c r="B94" s="6" t="str">
        <f>IFERROR(VLOOKUP($F94,매장구분!$B:$K,3,0),"")</f>
        <v>RF</v>
      </c>
      <c r="C94" s="6" t="str">
        <f>IFERROR(VLOOKUP($F94,매장구분!$B:$K,5,0),"")</f>
        <v>직영점</v>
      </c>
      <c r="D94" s="6" t="str">
        <f>IFERROR(VLOOKUP($F94,매장구분!$B:$Z,9,0),"")</f>
        <v>명동중앙(직)</v>
      </c>
      <c r="E94" s="69" t="s">
        <v>538</v>
      </c>
      <c r="F94" s="69" t="s">
        <v>539</v>
      </c>
      <c r="G94" s="69">
        <v>13386</v>
      </c>
      <c r="H94" s="69">
        <v>998017000</v>
      </c>
      <c r="I94" s="69">
        <v>1014417600</v>
      </c>
      <c r="J94" s="69">
        <v>13642</v>
      </c>
      <c r="K94" s="69">
        <v>1069849100</v>
      </c>
      <c r="L94" s="69">
        <v>1086307500</v>
      </c>
      <c r="M94" s="69">
        <v>-256</v>
      </c>
      <c r="N94" s="69">
        <v>-71832100</v>
      </c>
      <c r="O94" s="69">
        <v>-71889900</v>
      </c>
      <c r="P94" s="69">
        <v>31095100</v>
      </c>
      <c r="Q94" s="69">
        <v>42667000</v>
      </c>
      <c r="R94" s="69">
        <v>46793500</v>
      </c>
      <c r="S94" s="69">
        <v>33256500</v>
      </c>
      <c r="T94" s="69">
        <v>30669100</v>
      </c>
      <c r="U94" s="69">
        <v>39471000</v>
      </c>
      <c r="V94" s="69">
        <v>27520300</v>
      </c>
      <c r="W94" s="69">
        <v>24792300</v>
      </c>
      <c r="X94" s="69">
        <v>35878300</v>
      </c>
      <c r="Y94" s="69">
        <v>30057600</v>
      </c>
      <c r="Z94" s="69">
        <v>26399900</v>
      </c>
      <c r="AA94" s="69">
        <v>40739100</v>
      </c>
      <c r="AB94" s="69">
        <v>27353500</v>
      </c>
      <c r="AC94" s="69">
        <v>30867200</v>
      </c>
      <c r="AD94" s="69">
        <v>34523800</v>
      </c>
      <c r="AE94" s="69">
        <v>36546000</v>
      </c>
      <c r="AF94" s="69">
        <v>30309000</v>
      </c>
      <c r="AG94" s="69">
        <v>27765900</v>
      </c>
      <c r="AH94" s="69">
        <v>25526600</v>
      </c>
      <c r="AI94" s="69">
        <v>36325400</v>
      </c>
      <c r="AJ94" s="69">
        <v>24775900</v>
      </c>
      <c r="AK94" s="69">
        <v>30789500</v>
      </c>
      <c r="AL94" s="69">
        <v>43244000</v>
      </c>
      <c r="AM94" s="69">
        <v>35426500</v>
      </c>
      <c r="AN94" s="69">
        <v>27836800</v>
      </c>
      <c r="AO94" s="69">
        <v>24642000</v>
      </c>
      <c r="AP94" s="69">
        <v>28173800</v>
      </c>
      <c r="AQ94" s="69">
        <v>22570600</v>
      </c>
      <c r="AR94" s="69">
        <v>26422800</v>
      </c>
      <c r="AS94" s="69">
        <v>42119400</v>
      </c>
      <c r="AT94" s="69">
        <v>33458600</v>
      </c>
      <c r="AU94" s="69"/>
      <c r="AW94" s="66">
        <f t="shared" si="14"/>
        <v>89460500</v>
      </c>
      <c r="AX94" s="66">
        <f t="shared" si="14"/>
        <v>221645100</v>
      </c>
      <c r="AY94" s="66">
        <f t="shared" si="14"/>
        <v>226738500</v>
      </c>
      <c r="AZ94" s="66">
        <f t="shared" si="14"/>
        <v>223853800</v>
      </c>
      <c r="BA94" s="66">
        <f t="shared" si="14"/>
        <v>205224000</v>
      </c>
      <c r="BC94" s="66">
        <f t="shared" ca="1" si="11"/>
        <v>757366500</v>
      </c>
      <c r="BD94" s="66">
        <f t="shared" si="12"/>
        <v>964558400</v>
      </c>
    </row>
    <row r="95" spans="1:56" x14ac:dyDescent="0.3">
      <c r="A95" s="6" t="str">
        <f>IFERROR(VLOOKUP($F95,매장구분!$B:$K,2,0),"")</f>
        <v>리테일채널팀</v>
      </c>
      <c r="B95" s="6" t="str">
        <f>IFERROR(VLOOKUP($F95,매장구분!$B:$K,3,0),"")</f>
        <v>국내</v>
      </c>
      <c r="C95" s="6" t="str">
        <f>IFERROR(VLOOKUP($F95,매장구분!$B:$K,5,0),"")</f>
        <v>직영점</v>
      </c>
      <c r="D95" s="6" t="str">
        <f>IFERROR(VLOOKUP($F95,매장구분!$B:$Z,9,0),"")</f>
        <v>강남사옥(직)</v>
      </c>
      <c r="E95" s="69" t="s">
        <v>482</v>
      </c>
      <c r="F95" s="69" t="s">
        <v>483</v>
      </c>
      <c r="G95" s="69">
        <v>1390</v>
      </c>
      <c r="H95" s="69">
        <v>142034542</v>
      </c>
      <c r="I95" s="69">
        <v>153695700</v>
      </c>
      <c r="J95" s="69">
        <v>1529</v>
      </c>
      <c r="K95" s="69">
        <v>166104542</v>
      </c>
      <c r="L95" s="69">
        <v>177765700</v>
      </c>
      <c r="M95" s="69">
        <v>-139</v>
      </c>
      <c r="N95" s="69">
        <v>-24070000</v>
      </c>
      <c r="O95" s="69">
        <v>-24070000</v>
      </c>
      <c r="P95" s="69">
        <v>5896100</v>
      </c>
      <c r="Q95" s="69">
        <v>2733000</v>
      </c>
      <c r="R95" s="69">
        <v>3325884</v>
      </c>
      <c r="S95" s="69">
        <v>2175000</v>
      </c>
      <c r="T95" s="69">
        <v>3570400</v>
      </c>
      <c r="U95" s="69">
        <v>5005000</v>
      </c>
      <c r="V95" s="69">
        <v>6256000</v>
      </c>
      <c r="W95" s="69">
        <v>6790000</v>
      </c>
      <c r="X95" s="69">
        <v>4941000</v>
      </c>
      <c r="Y95" s="69">
        <v>1539000</v>
      </c>
      <c r="Z95" s="69">
        <v>4168000</v>
      </c>
      <c r="AA95" s="69">
        <v>10896000</v>
      </c>
      <c r="AB95" s="69">
        <v>3073000</v>
      </c>
      <c r="AC95" s="69">
        <v>4780600</v>
      </c>
      <c r="AD95" s="69">
        <v>3449000</v>
      </c>
      <c r="AE95" s="69">
        <v>-4000</v>
      </c>
      <c r="AF95" s="69">
        <v>2580500</v>
      </c>
      <c r="AG95" s="69">
        <v>4328000</v>
      </c>
      <c r="AH95" s="69">
        <v>7315000</v>
      </c>
      <c r="AI95" s="69">
        <v>4400900</v>
      </c>
      <c r="AJ95" s="69">
        <v>5284500</v>
      </c>
      <c r="AK95" s="69">
        <v>5690000</v>
      </c>
      <c r="AL95" s="69">
        <v>3418300</v>
      </c>
      <c r="AM95" s="69">
        <v>6513000</v>
      </c>
      <c r="AN95" s="69">
        <v>4958000</v>
      </c>
      <c r="AO95" s="69">
        <v>4473000</v>
      </c>
      <c r="AP95" s="69">
        <v>8797000</v>
      </c>
      <c r="AQ95" s="69">
        <v>2993000</v>
      </c>
      <c r="AR95" s="69">
        <v>4939800</v>
      </c>
      <c r="AS95" s="69">
        <v>5795558</v>
      </c>
      <c r="AT95" s="69">
        <v>1954000</v>
      </c>
      <c r="AU95" s="69"/>
      <c r="AW95" s="66">
        <f t="shared" si="14"/>
        <v>6058884</v>
      </c>
      <c r="AX95" s="66">
        <f t="shared" si="14"/>
        <v>30276400</v>
      </c>
      <c r="AY95" s="66">
        <f t="shared" si="14"/>
        <v>28943100</v>
      </c>
      <c r="AZ95" s="66">
        <f t="shared" si="14"/>
        <v>36949700</v>
      </c>
      <c r="BA95" s="66">
        <f t="shared" si="14"/>
        <v>33910358</v>
      </c>
      <c r="BC95" s="66">
        <f t="shared" ca="1" si="11"/>
        <v>101611184</v>
      </c>
      <c r="BD95" s="66">
        <f t="shared" si="12"/>
        <v>140080542</v>
      </c>
    </row>
    <row r="96" spans="1:56" x14ac:dyDescent="0.3">
      <c r="A96" s="6" t="str">
        <f>IFERROR(VLOOKUP($F96,매장구분!$B:$K,2,0),"")</f>
        <v>리테일채널팀</v>
      </c>
      <c r="B96" s="6" t="str">
        <f>IFERROR(VLOOKUP($F96,매장구분!$B:$K,3,0),"")</f>
        <v>국내</v>
      </c>
      <c r="C96" s="6" t="str">
        <f>IFERROR(VLOOKUP($F96,매장구분!$B:$K,5,0),"")</f>
        <v>직영점</v>
      </c>
      <c r="D96" s="6" t="str">
        <f>IFERROR(VLOOKUP($F96,매장구분!$B:$Z,9,0),"")</f>
        <v>스타필드안성(직)</v>
      </c>
      <c r="E96" s="69" t="s">
        <v>554</v>
      </c>
      <c r="F96" s="69" t="s">
        <v>555</v>
      </c>
      <c r="G96" s="69">
        <v>879</v>
      </c>
      <c r="H96" s="69">
        <v>88494400</v>
      </c>
      <c r="I96" s="69">
        <v>93008900</v>
      </c>
      <c r="J96" s="69">
        <v>924</v>
      </c>
      <c r="K96" s="69">
        <v>96904900</v>
      </c>
      <c r="L96" s="69">
        <v>101757900</v>
      </c>
      <c r="M96" s="69">
        <v>-45</v>
      </c>
      <c r="N96" s="69">
        <v>-8410500</v>
      </c>
      <c r="O96" s="69">
        <v>-8749000</v>
      </c>
      <c r="P96" s="69">
        <v>1413000</v>
      </c>
      <c r="Q96" s="69">
        <v>3478500</v>
      </c>
      <c r="R96" s="69">
        <v>4917600</v>
      </c>
      <c r="S96" s="69">
        <v>545700</v>
      </c>
      <c r="T96" s="69">
        <v>1808600</v>
      </c>
      <c r="U96" s="69">
        <v>1179000</v>
      </c>
      <c r="V96" s="69">
        <v>2426600</v>
      </c>
      <c r="W96" s="69">
        <v>3705900</v>
      </c>
      <c r="X96" s="69">
        <v>3596500</v>
      </c>
      <c r="Y96" s="69">
        <v>8492000</v>
      </c>
      <c r="Z96" s="69">
        <v>1513000</v>
      </c>
      <c r="AA96" s="69">
        <v>1290500</v>
      </c>
      <c r="AB96" s="69">
        <v>950000</v>
      </c>
      <c r="AC96" s="69">
        <v>1058000</v>
      </c>
      <c r="AD96" s="69">
        <v>606000</v>
      </c>
      <c r="AE96" s="69">
        <v>2761500</v>
      </c>
      <c r="AF96" s="69">
        <v>6641500</v>
      </c>
      <c r="AG96" s="69">
        <v>2947000</v>
      </c>
      <c r="AH96" s="69">
        <v>2436200</v>
      </c>
      <c r="AI96" s="69">
        <v>779000</v>
      </c>
      <c r="AJ96" s="69">
        <v>1195300</v>
      </c>
      <c r="AK96" s="69">
        <v>3603000</v>
      </c>
      <c r="AL96" s="69">
        <v>5799500</v>
      </c>
      <c r="AM96" s="69">
        <v>7995000</v>
      </c>
      <c r="AN96" s="69">
        <v>2089500</v>
      </c>
      <c r="AO96" s="69">
        <v>1922000</v>
      </c>
      <c r="AP96" s="69">
        <v>641000</v>
      </c>
      <c r="AQ96" s="69">
        <v>1359500</v>
      </c>
      <c r="AR96" s="69">
        <v>1316000</v>
      </c>
      <c r="AS96" s="69">
        <v>3505900</v>
      </c>
      <c r="AT96" s="69">
        <v>6521600</v>
      </c>
      <c r="AU96" s="69"/>
      <c r="AW96" s="66">
        <f t="shared" si="14"/>
        <v>8396100</v>
      </c>
      <c r="AX96" s="66">
        <f t="shared" si="14"/>
        <v>21754300</v>
      </c>
      <c r="AY96" s="66">
        <f t="shared" si="14"/>
        <v>14820500</v>
      </c>
      <c r="AZ96" s="66">
        <f t="shared" si="14"/>
        <v>24755000</v>
      </c>
      <c r="BA96" s="66">
        <f t="shared" si="14"/>
        <v>17355500</v>
      </c>
      <c r="BC96" s="66">
        <f t="shared" ca="1" si="11"/>
        <v>63143900</v>
      </c>
      <c r="BD96" s="66">
        <f t="shared" si="12"/>
        <v>81972800</v>
      </c>
    </row>
    <row r="97" spans="1:56" x14ac:dyDescent="0.3">
      <c r="A97" s="6" t="str">
        <f>IFERROR(VLOOKUP($F97,매장구분!$B:$K,2,0),"")</f>
        <v>파트너채널팀</v>
      </c>
      <c r="B97" s="6" t="str">
        <f>IFERROR(VLOOKUP($F97,매장구분!$B:$K,3,0),"")</f>
        <v>국내</v>
      </c>
      <c r="C97" s="6" t="str">
        <f>IFERROR(VLOOKUP($F97,매장구분!$B:$K,5,0),"")</f>
        <v>백화점</v>
      </c>
      <c r="D97" s="6" t="str">
        <f>IFERROR(VLOOKUP($F97,매장구분!$B:$Z,9,0),"")</f>
        <v>롯데아울렛의왕(직)</v>
      </c>
      <c r="E97" s="69" t="s">
        <v>352</v>
      </c>
      <c r="F97" s="69" t="s">
        <v>353</v>
      </c>
      <c r="G97" s="69">
        <v>714</v>
      </c>
      <c r="H97" s="69">
        <v>64892900</v>
      </c>
      <c r="I97" s="69">
        <v>67385800</v>
      </c>
      <c r="J97" s="69">
        <v>833</v>
      </c>
      <c r="K97" s="69">
        <v>81778000</v>
      </c>
      <c r="L97" s="69">
        <v>84449800</v>
      </c>
      <c r="M97" s="69">
        <v>-119</v>
      </c>
      <c r="N97" s="69">
        <v>-16885100</v>
      </c>
      <c r="O97" s="69">
        <v>-17064000</v>
      </c>
      <c r="P97" s="69">
        <v>433200</v>
      </c>
      <c r="Q97" s="69">
        <v>3478200</v>
      </c>
      <c r="R97" s="69">
        <v>3277000</v>
      </c>
      <c r="S97" s="69">
        <v>2041100</v>
      </c>
      <c r="T97" s="69">
        <v>1001200</v>
      </c>
      <c r="U97" s="69">
        <v>319900</v>
      </c>
      <c r="V97" s="69">
        <v>714500</v>
      </c>
      <c r="W97" s="69">
        <v>1628500</v>
      </c>
      <c r="X97" s="69">
        <v>3946900</v>
      </c>
      <c r="Y97" s="69">
        <v>6113200</v>
      </c>
      <c r="Z97" s="69">
        <v>487000</v>
      </c>
      <c r="AA97" s="69">
        <v>944000</v>
      </c>
      <c r="AB97" s="69">
        <v>1305100</v>
      </c>
      <c r="AC97" s="69">
        <v>797600</v>
      </c>
      <c r="AD97" s="69">
        <v>414000</v>
      </c>
      <c r="AE97" s="69">
        <v>2554000</v>
      </c>
      <c r="AF97" s="69">
        <v>3999100</v>
      </c>
      <c r="AG97" s="69">
        <v>387000</v>
      </c>
      <c r="AH97" s="69">
        <v>820000</v>
      </c>
      <c r="AI97" s="69">
        <v>1159500</v>
      </c>
      <c r="AJ97" s="69">
        <v>948000</v>
      </c>
      <c r="AK97" s="69">
        <v>1192000</v>
      </c>
      <c r="AL97" s="69">
        <v>4978900</v>
      </c>
      <c r="AM97" s="69">
        <v>8410400</v>
      </c>
      <c r="AN97" s="69">
        <v>1439000</v>
      </c>
      <c r="AO97" s="69">
        <v>612000</v>
      </c>
      <c r="AP97" s="69">
        <v>428000</v>
      </c>
      <c r="AQ97" s="69">
        <v>373000</v>
      </c>
      <c r="AR97" s="69">
        <v>873000</v>
      </c>
      <c r="AS97" s="69">
        <v>4223000</v>
      </c>
      <c r="AT97" s="69">
        <v>5594600</v>
      </c>
      <c r="AU97" s="69"/>
      <c r="AW97" s="66">
        <f t="shared" si="14"/>
        <v>6755200</v>
      </c>
      <c r="AX97" s="66">
        <f t="shared" si="14"/>
        <v>15765300</v>
      </c>
      <c r="AY97" s="66">
        <f t="shared" si="14"/>
        <v>10500800</v>
      </c>
      <c r="AZ97" s="66">
        <f t="shared" si="14"/>
        <v>17895800</v>
      </c>
      <c r="BA97" s="66">
        <f t="shared" si="14"/>
        <v>13542600</v>
      </c>
      <c r="BC97" s="66">
        <f t="shared" ca="1" si="11"/>
        <v>42939900</v>
      </c>
      <c r="BD97" s="66">
        <f t="shared" si="12"/>
        <v>59298300</v>
      </c>
    </row>
    <row r="98" spans="1:56" x14ac:dyDescent="0.3">
      <c r="A98" s="6" t="str">
        <f>IFERROR(VLOOKUP($F98,매장구분!$B:$K,2,0),"")</f>
        <v>리테일채널팀</v>
      </c>
      <c r="B98" s="6" t="str">
        <f>IFERROR(VLOOKUP($F98,매장구분!$B:$K,3,0),"")</f>
        <v>국내</v>
      </c>
      <c r="C98" s="6" t="str">
        <f>IFERROR(VLOOKUP($F98,매장구분!$B:$K,5,0),"")</f>
        <v>직영점</v>
      </c>
      <c r="D98" s="6" t="str">
        <f>IFERROR(VLOOKUP($F98,매장구분!$B:$Z,9,0),"")</f>
        <v>타임스트림신림(직)</v>
      </c>
      <c r="E98" s="69" t="s">
        <v>360</v>
      </c>
      <c r="F98" s="69" t="s">
        <v>361</v>
      </c>
      <c r="G98" s="69">
        <v>475</v>
      </c>
      <c r="H98" s="69">
        <v>42548800</v>
      </c>
      <c r="I98" s="69">
        <v>43580700</v>
      </c>
      <c r="J98" s="69">
        <v>494</v>
      </c>
      <c r="K98" s="69">
        <v>44814100</v>
      </c>
      <c r="L98" s="69">
        <v>45881700</v>
      </c>
      <c r="M98" s="69">
        <v>-19</v>
      </c>
      <c r="N98" s="69">
        <v>-2265300</v>
      </c>
      <c r="O98" s="69">
        <v>-2301000</v>
      </c>
      <c r="P98" s="69">
        <v>1334200</v>
      </c>
      <c r="Q98" s="69">
        <v>1525000</v>
      </c>
      <c r="R98" s="69">
        <v>834000</v>
      </c>
      <c r="S98" s="69">
        <v>1734100</v>
      </c>
      <c r="T98" s="69">
        <v>844100</v>
      </c>
      <c r="U98" s="69">
        <v>2311900</v>
      </c>
      <c r="V98" s="69">
        <v>1475100</v>
      </c>
      <c r="W98" s="69">
        <v>470000</v>
      </c>
      <c r="X98" s="69">
        <v>1624200</v>
      </c>
      <c r="Y98" s="69">
        <v>1693700</v>
      </c>
      <c r="Z98" s="69">
        <v>1227000</v>
      </c>
      <c r="AA98" s="69">
        <v>1090000</v>
      </c>
      <c r="AB98" s="69">
        <v>844000</v>
      </c>
      <c r="AC98" s="69">
        <v>1936000</v>
      </c>
      <c r="AD98" s="69">
        <v>318000</v>
      </c>
      <c r="AE98" s="69">
        <v>1086000</v>
      </c>
      <c r="AF98" s="69">
        <v>1841000</v>
      </c>
      <c r="AG98" s="69">
        <v>1875600</v>
      </c>
      <c r="AH98" s="69">
        <v>798000</v>
      </c>
      <c r="AI98" s="69">
        <v>466000</v>
      </c>
      <c r="AJ98" s="69">
        <v>273000</v>
      </c>
      <c r="AK98" s="69">
        <v>1250700</v>
      </c>
      <c r="AL98" s="69">
        <v>2628000</v>
      </c>
      <c r="AM98" s="69">
        <v>2568100</v>
      </c>
      <c r="AN98" s="69">
        <v>1581900</v>
      </c>
      <c r="AO98" s="69">
        <v>1021000</v>
      </c>
      <c r="AP98" s="69">
        <v>1190000</v>
      </c>
      <c r="AQ98" s="69">
        <v>867900</v>
      </c>
      <c r="AR98" s="69">
        <v>1612000</v>
      </c>
      <c r="AS98" s="69">
        <v>2317000</v>
      </c>
      <c r="AT98" s="69">
        <v>1911300</v>
      </c>
      <c r="AU98" s="69"/>
      <c r="AW98" s="66">
        <f t="shared" si="14"/>
        <v>2359000</v>
      </c>
      <c r="AX98" s="66">
        <f t="shared" si="14"/>
        <v>10153100</v>
      </c>
      <c r="AY98" s="66">
        <f t="shared" si="14"/>
        <v>8342000</v>
      </c>
      <c r="AZ98" s="66">
        <f t="shared" si="14"/>
        <v>9859400</v>
      </c>
      <c r="BA98" s="66">
        <f t="shared" si="14"/>
        <v>10501100</v>
      </c>
      <c r="BC98" s="66">
        <f t="shared" ca="1" si="11"/>
        <v>29479600</v>
      </c>
      <c r="BD98" s="66">
        <f t="shared" si="12"/>
        <v>40637500</v>
      </c>
    </row>
    <row r="99" spans="1:56" x14ac:dyDescent="0.3">
      <c r="A99" s="6" t="str">
        <f>IFERROR(VLOOKUP($F99,매장구분!$B:$K,2,0),"")</f>
        <v>리테일채널팀</v>
      </c>
      <c r="B99" s="6" t="str">
        <f>IFERROR(VLOOKUP($F99,매장구분!$B:$K,3,0),"")</f>
        <v>국내</v>
      </c>
      <c r="C99" s="6" t="str">
        <f>IFERROR(VLOOKUP($F99,매장구분!$B:$K,5,0),"")</f>
        <v>직영점</v>
      </c>
      <c r="D99" s="6" t="str">
        <f>IFERROR(VLOOKUP($F99,매장구분!$B:$Z,9,0),"")</f>
        <v>타임테라스동탄(직)</v>
      </c>
      <c r="E99" s="69" t="s">
        <v>408</v>
      </c>
      <c r="F99" s="69" t="s">
        <v>409</v>
      </c>
      <c r="G99" s="69">
        <v>373</v>
      </c>
      <c r="H99" s="69">
        <v>35165200</v>
      </c>
      <c r="I99" s="69">
        <v>38359800</v>
      </c>
      <c r="J99" s="69">
        <v>768</v>
      </c>
      <c r="K99" s="69">
        <v>88538000</v>
      </c>
      <c r="L99" s="69">
        <v>95087800</v>
      </c>
      <c r="M99" s="69">
        <v>-395</v>
      </c>
      <c r="N99" s="69">
        <v>-53372800</v>
      </c>
      <c r="O99" s="69">
        <v>-56728000</v>
      </c>
      <c r="P99" s="69">
        <v>1151000</v>
      </c>
      <c r="Q99" s="69">
        <v>1152400</v>
      </c>
      <c r="R99" s="69">
        <v>1546100</v>
      </c>
      <c r="S99" s="69">
        <v>1017700</v>
      </c>
      <c r="T99" s="69">
        <v>222600</v>
      </c>
      <c r="U99" s="69">
        <v>676600</v>
      </c>
      <c r="V99" s="69">
        <v>1050600</v>
      </c>
      <c r="W99" s="69">
        <v>1053600</v>
      </c>
      <c r="X99" s="69">
        <v>2456800</v>
      </c>
      <c r="Y99" s="69">
        <v>2778100</v>
      </c>
      <c r="Z99" s="69">
        <v>380200</v>
      </c>
      <c r="AA99" s="69">
        <v>637500</v>
      </c>
      <c r="AB99" s="69">
        <v>1065000</v>
      </c>
      <c r="AC99" s="69">
        <v>1535100</v>
      </c>
      <c r="AD99" s="69">
        <v>1030400</v>
      </c>
      <c r="AE99" s="69">
        <v>1435200</v>
      </c>
      <c r="AF99" s="69">
        <v>1083800</v>
      </c>
      <c r="AG99" s="69">
        <v>519000</v>
      </c>
      <c r="AH99" s="69">
        <v>840000</v>
      </c>
      <c r="AI99" s="69">
        <v>791700</v>
      </c>
      <c r="AJ99" s="69">
        <v>933500</v>
      </c>
      <c r="AK99" s="69">
        <v>931000</v>
      </c>
      <c r="AL99" s="69">
        <v>4081100</v>
      </c>
      <c r="AM99" s="69">
        <v>925200</v>
      </c>
      <c r="AN99" s="69">
        <v>363400</v>
      </c>
      <c r="AO99" s="69">
        <v>714000</v>
      </c>
      <c r="AP99" s="69">
        <v>1305000</v>
      </c>
      <c r="AQ99" s="69">
        <v>76600</v>
      </c>
      <c r="AR99" s="69">
        <v>128000</v>
      </c>
      <c r="AS99" s="69">
        <v>819000</v>
      </c>
      <c r="AT99" s="69">
        <v>2465000</v>
      </c>
      <c r="AU99" s="69"/>
      <c r="AW99" s="66">
        <f t="shared" si="14"/>
        <v>2698500</v>
      </c>
      <c r="AX99" s="66">
        <f t="shared" si="14"/>
        <v>9256000</v>
      </c>
      <c r="AY99" s="66">
        <f t="shared" si="14"/>
        <v>7167200</v>
      </c>
      <c r="AZ99" s="66">
        <f t="shared" si="14"/>
        <v>9021500</v>
      </c>
      <c r="BA99" s="66">
        <f t="shared" si="14"/>
        <v>5871000</v>
      </c>
      <c r="BC99" s="66">
        <f t="shared" ca="1" si="11"/>
        <v>28369000</v>
      </c>
      <c r="BD99" s="66">
        <f t="shared" si="12"/>
        <v>32700200</v>
      </c>
    </row>
    <row r="100" spans="1:56" x14ac:dyDescent="0.3">
      <c r="A100" s="6" t="str">
        <f>IFERROR(VLOOKUP($F100,매장구분!$B:$K,2,0),"")</f>
        <v>리테일채널팀</v>
      </c>
      <c r="B100" s="6" t="str">
        <f>IFERROR(VLOOKUP($F100,매장구분!$B:$K,3,0),"")</f>
        <v>국내</v>
      </c>
      <c r="C100" s="6" t="str">
        <f>IFERROR(VLOOKUP($F100,매장구분!$B:$K,5,0),"")</f>
        <v>직영점</v>
      </c>
      <c r="D100" s="6" t="str">
        <f>IFERROR(VLOOKUP($F100,매장구분!$B:$Z,9,0),"")</f>
        <v>스타필드하남(직)</v>
      </c>
      <c r="E100" s="69" t="s">
        <v>394</v>
      </c>
      <c r="F100" s="69" t="s">
        <v>395</v>
      </c>
      <c r="G100" s="69">
        <v>1228</v>
      </c>
      <c r="H100" s="69">
        <v>116433900</v>
      </c>
      <c r="I100" s="69">
        <v>116489000</v>
      </c>
      <c r="J100" s="69">
        <v>1878</v>
      </c>
      <c r="K100" s="69">
        <v>281682900</v>
      </c>
      <c r="L100" s="69">
        <v>281738000</v>
      </c>
      <c r="M100" s="69">
        <v>-650</v>
      </c>
      <c r="N100" s="69">
        <v>-165249000</v>
      </c>
      <c r="O100" s="69">
        <v>-165249000</v>
      </c>
      <c r="P100" s="69">
        <v>6047000</v>
      </c>
      <c r="Q100" s="69">
        <v>5020100</v>
      </c>
      <c r="R100" s="69">
        <v>3714000</v>
      </c>
      <c r="S100" s="69">
        <v>2341800</v>
      </c>
      <c r="T100" s="69">
        <v>3095000</v>
      </c>
      <c r="U100" s="69">
        <v>2419000</v>
      </c>
      <c r="V100" s="69">
        <v>2083000</v>
      </c>
      <c r="W100" s="69">
        <v>2651000</v>
      </c>
      <c r="X100" s="69">
        <v>6786000</v>
      </c>
      <c r="Y100" s="69">
        <v>6229000</v>
      </c>
      <c r="Z100" s="69">
        <v>4687000</v>
      </c>
      <c r="AA100" s="69">
        <v>831000</v>
      </c>
      <c r="AB100" s="69">
        <v>3322000</v>
      </c>
      <c r="AC100" s="69">
        <v>2030000</v>
      </c>
      <c r="AD100" s="69">
        <v>2364000</v>
      </c>
      <c r="AE100" s="69">
        <v>4313000</v>
      </c>
      <c r="AF100" s="69">
        <v>5361000</v>
      </c>
      <c r="AG100" s="69">
        <v>5131000</v>
      </c>
      <c r="AH100" s="69">
        <v>3797000</v>
      </c>
      <c r="AI100" s="69">
        <v>1766000</v>
      </c>
      <c r="AJ100" s="69">
        <v>3264000</v>
      </c>
      <c r="AK100" s="69">
        <v>4568000</v>
      </c>
      <c r="AL100" s="69">
        <v>7517000</v>
      </c>
      <c r="AM100" s="69">
        <v>7898000</v>
      </c>
      <c r="AN100" s="69">
        <v>903000</v>
      </c>
      <c r="AO100" s="69">
        <v>954000</v>
      </c>
      <c r="AP100" s="69">
        <v>1320000</v>
      </c>
      <c r="AQ100" s="69">
        <v>1705000</v>
      </c>
      <c r="AR100" s="69">
        <v>1214000</v>
      </c>
      <c r="AS100" s="69">
        <v>4563000</v>
      </c>
      <c r="AT100" s="69">
        <v>8540000</v>
      </c>
      <c r="AU100" s="69"/>
      <c r="AW100" s="66">
        <f t="shared" si="14"/>
        <v>8734100</v>
      </c>
      <c r="AX100" s="66">
        <f t="shared" si="14"/>
        <v>25604800</v>
      </c>
      <c r="AY100" s="66">
        <f t="shared" si="14"/>
        <v>22908000</v>
      </c>
      <c r="AZ100" s="66">
        <f t="shared" si="14"/>
        <v>33941000</v>
      </c>
      <c r="BA100" s="66">
        <f t="shared" si="14"/>
        <v>19199000</v>
      </c>
      <c r="BC100" s="66">
        <f t="shared" ca="1" si="11"/>
        <v>89336900</v>
      </c>
      <c r="BD100" s="66">
        <f t="shared" si="12"/>
        <v>107893900</v>
      </c>
    </row>
    <row r="101" spans="1:56" x14ac:dyDescent="0.3">
      <c r="A101" s="6" t="str">
        <f>IFERROR(VLOOKUP($F101,매장구분!$B:$K,2,0),"")</f>
        <v>리테일채널팀</v>
      </c>
      <c r="B101" s="6" t="str">
        <f>IFERROR(VLOOKUP($F101,매장구분!$B:$K,3,0),"")</f>
        <v>국내</v>
      </c>
      <c r="C101" s="6" t="str">
        <f>IFERROR(VLOOKUP($F101,매장구분!$B:$K,5,0),"")</f>
        <v>직영점</v>
      </c>
      <c r="D101" s="6" t="str">
        <f>IFERROR(VLOOKUP($F101,매장구분!$B:$Z,9,0),"")</f>
        <v>스타필드수원(직)</v>
      </c>
      <c r="E101" s="69" t="s">
        <v>468</v>
      </c>
      <c r="F101" s="69" t="s">
        <v>469</v>
      </c>
      <c r="G101" s="69">
        <v>997</v>
      </c>
      <c r="H101" s="69">
        <v>84323800</v>
      </c>
      <c r="I101" s="69">
        <v>84749000</v>
      </c>
      <c r="J101" s="69">
        <v>1016</v>
      </c>
      <c r="K101" s="69">
        <v>86622800</v>
      </c>
      <c r="L101" s="69">
        <v>87058000</v>
      </c>
      <c r="M101" s="69">
        <v>-19</v>
      </c>
      <c r="N101" s="69">
        <v>-2299000</v>
      </c>
      <c r="O101" s="69">
        <v>-2309000</v>
      </c>
      <c r="P101" s="69">
        <v>1714000</v>
      </c>
      <c r="Q101" s="69">
        <v>5173600</v>
      </c>
      <c r="R101" s="69">
        <v>4033100</v>
      </c>
      <c r="S101" s="69">
        <v>1827000</v>
      </c>
      <c r="T101" s="69">
        <v>2092000</v>
      </c>
      <c r="U101" s="69">
        <v>1432200</v>
      </c>
      <c r="V101" s="69">
        <v>2422000</v>
      </c>
      <c r="W101" s="69">
        <v>1281000</v>
      </c>
      <c r="X101" s="69">
        <v>5475000</v>
      </c>
      <c r="Y101" s="69">
        <v>3316000</v>
      </c>
      <c r="Z101" s="69">
        <v>1640000</v>
      </c>
      <c r="AA101" s="69">
        <v>2038000</v>
      </c>
      <c r="AB101" s="69">
        <v>1422000</v>
      </c>
      <c r="AC101" s="69">
        <v>858000</v>
      </c>
      <c r="AD101" s="69">
        <v>3236600</v>
      </c>
      <c r="AE101" s="69">
        <v>4361000</v>
      </c>
      <c r="AF101" s="69">
        <v>5436000</v>
      </c>
      <c r="AG101" s="69">
        <v>1642000</v>
      </c>
      <c r="AH101" s="69">
        <v>1469000</v>
      </c>
      <c r="AI101" s="69">
        <v>2507300</v>
      </c>
      <c r="AJ101" s="69">
        <v>1248000</v>
      </c>
      <c r="AK101" s="69">
        <v>2002000</v>
      </c>
      <c r="AL101" s="69">
        <v>3869000</v>
      </c>
      <c r="AM101" s="69">
        <v>5035000</v>
      </c>
      <c r="AN101" s="69">
        <v>1547000</v>
      </c>
      <c r="AO101" s="69">
        <v>1142000</v>
      </c>
      <c r="AP101" s="69">
        <v>1025000</v>
      </c>
      <c r="AQ101" s="69">
        <v>1856000</v>
      </c>
      <c r="AR101" s="69">
        <v>1206000</v>
      </c>
      <c r="AS101" s="69">
        <v>6450000</v>
      </c>
      <c r="AT101" s="69">
        <v>5568000</v>
      </c>
      <c r="AU101" s="69"/>
      <c r="AW101" s="66">
        <f t="shared" si="14"/>
        <v>9206700</v>
      </c>
      <c r="AX101" s="66">
        <f t="shared" si="14"/>
        <v>17845200</v>
      </c>
      <c r="AY101" s="66">
        <f t="shared" si="14"/>
        <v>18991600</v>
      </c>
      <c r="AZ101" s="66">
        <f t="shared" si="14"/>
        <v>17772300</v>
      </c>
      <c r="BA101" s="66">
        <f t="shared" si="14"/>
        <v>18794000</v>
      </c>
      <c r="BC101" s="66">
        <f t="shared" ca="1" si="11"/>
        <v>60494800</v>
      </c>
      <c r="BD101" s="66">
        <f t="shared" si="12"/>
        <v>78755800</v>
      </c>
    </row>
    <row r="102" spans="1:56" x14ac:dyDescent="0.3">
      <c r="A102" s="6" t="str">
        <f>IFERROR(VLOOKUP($F102,매장구분!$B:$K,2,0),"")</f>
        <v>리테일채널팀</v>
      </c>
      <c r="B102" s="6" t="str">
        <f>IFERROR(VLOOKUP($F102,매장구분!$B:$K,3,0),"")</f>
        <v>RF</v>
      </c>
      <c r="C102" s="6" t="str">
        <f>IFERROR(VLOOKUP($F102,매장구분!$B:$K,5,0),"")</f>
        <v>직영점</v>
      </c>
      <c r="D102" s="6" t="str">
        <f>IFERROR(VLOOKUP($F102,매장구분!$B:$Z,9,0),"")</f>
        <v>한남(직)</v>
      </c>
      <c r="E102" s="69" t="s">
        <v>436</v>
      </c>
      <c r="F102" s="69" t="s">
        <v>437</v>
      </c>
      <c r="G102" s="69">
        <v>1356</v>
      </c>
      <c r="H102" s="69">
        <v>97671900</v>
      </c>
      <c r="I102" s="69">
        <v>98103700</v>
      </c>
      <c r="J102" s="69">
        <v>1391</v>
      </c>
      <c r="K102" s="69">
        <v>100150900</v>
      </c>
      <c r="L102" s="69">
        <v>100582700</v>
      </c>
      <c r="M102" s="69">
        <v>-35</v>
      </c>
      <c r="N102" s="69">
        <v>-2479000</v>
      </c>
      <c r="O102" s="69">
        <v>-2479000</v>
      </c>
      <c r="P102" s="69">
        <v>6355300</v>
      </c>
      <c r="Q102" s="69">
        <v>6320000</v>
      </c>
      <c r="R102" s="69">
        <v>5112300</v>
      </c>
      <c r="S102" s="69">
        <v>1833900</v>
      </c>
      <c r="T102" s="69">
        <v>2768200</v>
      </c>
      <c r="U102" s="69">
        <v>2702200</v>
      </c>
      <c r="V102" s="69">
        <v>1784000</v>
      </c>
      <c r="W102" s="69">
        <v>0</v>
      </c>
      <c r="X102" s="69">
        <v>3621300</v>
      </c>
      <c r="Y102" s="69">
        <v>3365000</v>
      </c>
      <c r="Z102" s="69">
        <v>3735000</v>
      </c>
      <c r="AA102" s="69">
        <v>1848000</v>
      </c>
      <c r="AB102" s="69">
        <v>2471000</v>
      </c>
      <c r="AC102" s="69">
        <v>1988000</v>
      </c>
      <c r="AD102" s="69">
        <v>4417900</v>
      </c>
      <c r="AE102" s="69">
        <v>3758000</v>
      </c>
      <c r="AF102" s="69">
        <v>4685000</v>
      </c>
      <c r="AG102" s="69">
        <v>1658000</v>
      </c>
      <c r="AH102" s="69">
        <v>3077000</v>
      </c>
      <c r="AI102" s="69">
        <v>1822000</v>
      </c>
      <c r="AJ102" s="69">
        <v>3116000</v>
      </c>
      <c r="AK102" s="69">
        <v>2881000</v>
      </c>
      <c r="AL102" s="69">
        <v>4314000</v>
      </c>
      <c r="AM102" s="69">
        <v>3673000</v>
      </c>
      <c r="AN102" s="69">
        <v>1584000</v>
      </c>
      <c r="AO102" s="69">
        <v>2005000</v>
      </c>
      <c r="AP102" s="69">
        <v>3396900</v>
      </c>
      <c r="AQ102" s="69">
        <v>4684900</v>
      </c>
      <c r="AR102" s="69">
        <v>2079000</v>
      </c>
      <c r="AS102" s="69">
        <v>3694000</v>
      </c>
      <c r="AT102" s="69">
        <v>2922000</v>
      </c>
      <c r="AU102" s="69"/>
      <c r="AW102" s="66">
        <f t="shared" si="14"/>
        <v>11432300</v>
      </c>
      <c r="AX102" s="66">
        <f t="shared" si="14"/>
        <v>16074600</v>
      </c>
      <c r="AY102" s="66">
        <f t="shared" si="14"/>
        <v>22902900</v>
      </c>
      <c r="AZ102" s="66">
        <f t="shared" si="14"/>
        <v>20541000</v>
      </c>
      <c r="BA102" s="66">
        <f t="shared" si="14"/>
        <v>20365800</v>
      </c>
      <c r="BC102" s="66">
        <f t="shared" ca="1" si="11"/>
        <v>73633100</v>
      </c>
      <c r="BD102" s="66">
        <f t="shared" si="12"/>
        <v>94749900</v>
      </c>
    </row>
    <row r="103" spans="1:56" x14ac:dyDescent="0.3">
      <c r="A103" s="6" t="str">
        <f>IFERROR(VLOOKUP($F103,매장구분!$B:$K,2,0),"")</f>
        <v>리테일채널팀</v>
      </c>
      <c r="B103" s="6" t="str">
        <f>IFERROR(VLOOKUP($F103,매장구분!$B:$K,3,0),"")</f>
        <v>국내</v>
      </c>
      <c r="C103" s="6" t="str">
        <f>IFERROR(VLOOKUP($F103,매장구분!$B:$K,5,0),"")</f>
        <v>대리점</v>
      </c>
      <c r="D103" s="6" t="str">
        <f>IFERROR(VLOOKUP($F103,매장구분!$B:$Z,9,0),"")</f>
        <v>세정광주(대-위)</v>
      </c>
      <c r="E103" s="69" t="s">
        <v>346</v>
      </c>
      <c r="F103" s="69" t="s">
        <v>347</v>
      </c>
      <c r="G103" s="69">
        <v>886</v>
      </c>
      <c r="H103" s="69">
        <v>102733500</v>
      </c>
      <c r="I103" s="69">
        <v>106525900</v>
      </c>
      <c r="J103" s="69">
        <v>1679</v>
      </c>
      <c r="K103" s="69">
        <v>215255100</v>
      </c>
      <c r="L103" s="69">
        <v>219165900</v>
      </c>
      <c r="M103" s="69">
        <v>-793</v>
      </c>
      <c r="N103" s="69">
        <v>-112521600</v>
      </c>
      <c r="O103" s="69">
        <v>-112640000</v>
      </c>
      <c r="P103" s="69">
        <v>977100</v>
      </c>
      <c r="Q103" s="69">
        <v>5450800</v>
      </c>
      <c r="R103" s="69">
        <v>3871900</v>
      </c>
      <c r="S103" s="69">
        <v>3312000</v>
      </c>
      <c r="T103" s="69">
        <v>1330500</v>
      </c>
      <c r="U103" s="69">
        <v>3521000</v>
      </c>
      <c r="V103" s="69">
        <v>1992000</v>
      </c>
      <c r="W103" s="69">
        <v>3302300</v>
      </c>
      <c r="X103" s="69">
        <v>1754000</v>
      </c>
      <c r="Y103" s="69">
        <v>2985700</v>
      </c>
      <c r="Z103" s="69">
        <v>2171000</v>
      </c>
      <c r="AA103" s="69">
        <v>2134000</v>
      </c>
      <c r="AB103" s="69">
        <v>1595000</v>
      </c>
      <c r="AC103" s="69">
        <v>1169000</v>
      </c>
      <c r="AD103" s="69">
        <v>930000</v>
      </c>
      <c r="AE103" s="69">
        <v>6269300</v>
      </c>
      <c r="AF103" s="69">
        <v>9722000</v>
      </c>
      <c r="AG103" s="69">
        <v>3272000</v>
      </c>
      <c r="AH103" s="69">
        <v>3759000</v>
      </c>
      <c r="AI103" s="69">
        <v>3047000</v>
      </c>
      <c r="AJ103" s="69">
        <v>5181000</v>
      </c>
      <c r="AK103" s="69">
        <v>3627000</v>
      </c>
      <c r="AL103" s="69">
        <v>11443400</v>
      </c>
      <c r="AM103" s="69">
        <v>4059500</v>
      </c>
      <c r="AN103" s="69">
        <v>1505600</v>
      </c>
      <c r="AO103" s="69">
        <v>871100</v>
      </c>
      <c r="AP103" s="69">
        <v>959000</v>
      </c>
      <c r="AQ103" s="69">
        <v>2336000</v>
      </c>
      <c r="AR103" s="69">
        <v>1572200</v>
      </c>
      <c r="AS103" s="69">
        <v>4362500</v>
      </c>
      <c r="AT103" s="69">
        <v>4250600</v>
      </c>
      <c r="AU103" s="69"/>
      <c r="AW103" s="66">
        <f t="shared" si="14"/>
        <v>9322700</v>
      </c>
      <c r="AX103" s="66">
        <f t="shared" si="14"/>
        <v>18197500</v>
      </c>
      <c r="AY103" s="66">
        <f t="shared" si="14"/>
        <v>23990300</v>
      </c>
      <c r="AZ103" s="66">
        <f t="shared" si="14"/>
        <v>34388900</v>
      </c>
      <c r="BA103" s="66">
        <f t="shared" si="14"/>
        <v>15857000</v>
      </c>
      <c r="BC103" s="66">
        <f t="shared" ca="1" si="11"/>
        <v>82817000</v>
      </c>
      <c r="BD103" s="66">
        <f t="shared" si="12"/>
        <v>98482900</v>
      </c>
    </row>
    <row r="104" spans="1:56" x14ac:dyDescent="0.3">
      <c r="A104" s="6" t="str">
        <f>IFERROR(VLOOKUP($F104,매장구분!$B:$K,2,0),"")</f>
        <v>리테일채널팀</v>
      </c>
      <c r="B104" s="6" t="str">
        <f>IFERROR(VLOOKUP($F104,매장구분!$B:$K,3,0),"")</f>
        <v>국내</v>
      </c>
      <c r="C104" s="6" t="str">
        <f>IFERROR(VLOOKUP($F104,매장구분!$B:$K,5,0),"")</f>
        <v>대리점</v>
      </c>
      <c r="D104" s="6" t="str">
        <f>IFERROR(VLOOKUP($F104,매장구분!$B:$Z,9,0),"")</f>
        <v>시흥(대-위)</v>
      </c>
      <c r="E104" s="69" t="s">
        <v>330</v>
      </c>
      <c r="F104" s="69" t="s">
        <v>331</v>
      </c>
      <c r="G104" s="69">
        <v>323</v>
      </c>
      <c r="H104" s="69">
        <v>35748159</v>
      </c>
      <c r="I104" s="69">
        <v>36661000</v>
      </c>
      <c r="J104" s="69">
        <v>1515</v>
      </c>
      <c r="K104" s="69">
        <v>281794359</v>
      </c>
      <c r="L104" s="69">
        <v>283004000</v>
      </c>
      <c r="M104" s="69">
        <v>-1192</v>
      </c>
      <c r="N104" s="69">
        <v>-246046200</v>
      </c>
      <c r="O104" s="69">
        <v>-246343000</v>
      </c>
      <c r="P104" s="69">
        <v>1353000</v>
      </c>
      <c r="Q104" s="69">
        <v>1656000</v>
      </c>
      <c r="R104" s="69">
        <v>2349000</v>
      </c>
      <c r="S104" s="69">
        <v>254000</v>
      </c>
      <c r="T104" s="69">
        <v>673000</v>
      </c>
      <c r="U104" s="69">
        <v>1575000</v>
      </c>
      <c r="V104" s="69">
        <v>2091000</v>
      </c>
      <c r="W104" s="69">
        <v>1030000</v>
      </c>
      <c r="X104" s="69">
        <v>1110159</v>
      </c>
      <c r="Y104" s="69">
        <v>3218300</v>
      </c>
      <c r="Z104" s="69">
        <v>1536000</v>
      </c>
      <c r="AA104" s="69">
        <v>290000</v>
      </c>
      <c r="AB104" s="69">
        <v>481000</v>
      </c>
      <c r="AC104" s="69">
        <v>1132000</v>
      </c>
      <c r="AD104" s="69">
        <v>542000</v>
      </c>
      <c r="AE104" s="69">
        <v>2188000</v>
      </c>
      <c r="AF104" s="69">
        <v>1877300</v>
      </c>
      <c r="AG104" s="69">
        <v>674000</v>
      </c>
      <c r="AH104" s="69">
        <v>424000</v>
      </c>
      <c r="AI104" s="69">
        <v>680000</v>
      </c>
      <c r="AJ104" s="69">
        <v>644000</v>
      </c>
      <c r="AK104" s="69">
        <v>821000</v>
      </c>
      <c r="AL104" s="69">
        <v>902000</v>
      </c>
      <c r="AM104" s="69">
        <v>2203000</v>
      </c>
      <c r="AN104" s="69">
        <v>175000</v>
      </c>
      <c r="AO104" s="69">
        <v>593300</v>
      </c>
      <c r="AP104" s="69">
        <v>579000</v>
      </c>
      <c r="AQ104" s="69">
        <v>748000</v>
      </c>
      <c r="AR104" s="69">
        <v>889000</v>
      </c>
      <c r="AS104" s="69">
        <v>1029100</v>
      </c>
      <c r="AT104" s="69">
        <v>2031000</v>
      </c>
      <c r="AU104" s="69"/>
      <c r="AW104" s="66">
        <f t="shared" si="14"/>
        <v>4005000</v>
      </c>
      <c r="AX104" s="66">
        <f t="shared" si="14"/>
        <v>9951459</v>
      </c>
      <c r="AY104" s="66">
        <f t="shared" si="14"/>
        <v>8046300</v>
      </c>
      <c r="AZ104" s="66">
        <f t="shared" si="14"/>
        <v>6348000</v>
      </c>
      <c r="BA104" s="66">
        <f t="shared" si="14"/>
        <v>6044400</v>
      </c>
      <c r="BC104" s="66">
        <f t="shared" ca="1" si="11"/>
        <v>27500759</v>
      </c>
      <c r="BD104" s="66">
        <f t="shared" si="12"/>
        <v>33717159</v>
      </c>
    </row>
    <row r="105" spans="1:56" x14ac:dyDescent="0.3">
      <c r="A105" s="6" t="str">
        <f>IFERROR(VLOOKUP($F105,매장구분!$B:$K,2,0),"")</f>
        <v>리테일채널팀</v>
      </c>
      <c r="B105" s="6" t="str">
        <f>IFERROR(VLOOKUP($F105,매장구분!$B:$K,3,0),"")</f>
        <v>국내</v>
      </c>
      <c r="C105" s="6" t="str">
        <f>IFERROR(VLOOKUP($F105,매장구분!$B:$K,5,0),"")</f>
        <v>대리점</v>
      </c>
      <c r="D105" s="6" t="str">
        <f>IFERROR(VLOOKUP($F105,매장구분!$B:$Z,9,0),"")</f>
        <v>원주(대-위)</v>
      </c>
      <c r="E105" s="69" t="s">
        <v>224</v>
      </c>
      <c r="F105" s="69" t="s">
        <v>225</v>
      </c>
      <c r="G105" s="69">
        <v>850</v>
      </c>
      <c r="H105" s="69">
        <v>110334156</v>
      </c>
      <c r="I105" s="69">
        <v>121755800</v>
      </c>
      <c r="J105" s="69">
        <v>1029</v>
      </c>
      <c r="K105" s="69">
        <v>150571356</v>
      </c>
      <c r="L105" s="69">
        <v>163724800</v>
      </c>
      <c r="M105" s="69">
        <v>-179</v>
      </c>
      <c r="N105" s="69">
        <v>-40237200</v>
      </c>
      <c r="O105" s="69">
        <v>-41969000</v>
      </c>
      <c r="P105" s="69">
        <v>1720100</v>
      </c>
      <c r="Q105" s="69">
        <v>1769400</v>
      </c>
      <c r="R105" s="69">
        <v>1895200</v>
      </c>
      <c r="S105" s="69">
        <v>3800400</v>
      </c>
      <c r="T105" s="69">
        <v>7060500</v>
      </c>
      <c r="U105" s="69">
        <v>1722600</v>
      </c>
      <c r="V105" s="69">
        <v>3484800</v>
      </c>
      <c r="W105" s="69">
        <v>906300</v>
      </c>
      <c r="X105" s="69">
        <v>2507026</v>
      </c>
      <c r="Y105" s="69">
        <v>3325100</v>
      </c>
      <c r="Z105" s="69">
        <v>2756300</v>
      </c>
      <c r="AA105" s="69">
        <v>2288000</v>
      </c>
      <c r="AB105" s="69">
        <v>2272800</v>
      </c>
      <c r="AC105" s="69">
        <v>84600</v>
      </c>
      <c r="AD105" s="69">
        <v>79000</v>
      </c>
      <c r="AE105" s="69">
        <v>3005200</v>
      </c>
      <c r="AF105" s="69">
        <v>6191130</v>
      </c>
      <c r="AG105" s="69">
        <v>2347000</v>
      </c>
      <c r="AH105" s="69">
        <v>5253100</v>
      </c>
      <c r="AI105" s="69">
        <v>2658300</v>
      </c>
      <c r="AJ105" s="69">
        <v>17324500</v>
      </c>
      <c r="AK105" s="69">
        <v>3837300</v>
      </c>
      <c r="AL105" s="69">
        <v>4798900</v>
      </c>
      <c r="AM105" s="69">
        <v>8274000</v>
      </c>
      <c r="AN105" s="69">
        <v>1102100</v>
      </c>
      <c r="AO105" s="69">
        <v>4842800</v>
      </c>
      <c r="AP105" s="69">
        <v>3899700</v>
      </c>
      <c r="AQ105" s="69">
        <v>3391300</v>
      </c>
      <c r="AR105" s="69">
        <v>716000</v>
      </c>
      <c r="AS105" s="69">
        <v>3203100</v>
      </c>
      <c r="AT105" s="69">
        <v>3817600</v>
      </c>
      <c r="AU105" s="69"/>
      <c r="AW105" s="66">
        <f t="shared" si="14"/>
        <v>3664600</v>
      </c>
      <c r="AX105" s="66">
        <f t="shared" si="14"/>
        <v>22806726</v>
      </c>
      <c r="AY105" s="66">
        <f t="shared" si="14"/>
        <v>16677030</v>
      </c>
      <c r="AZ105" s="66">
        <f t="shared" si="14"/>
        <v>44493100</v>
      </c>
      <c r="BA105" s="66">
        <f t="shared" si="14"/>
        <v>20972600</v>
      </c>
      <c r="BC105" s="66">
        <f t="shared" ca="1" si="11"/>
        <v>81087556</v>
      </c>
      <c r="BD105" s="66">
        <f t="shared" si="12"/>
        <v>106516556</v>
      </c>
    </row>
    <row r="106" spans="1:56" x14ac:dyDescent="0.3">
      <c r="A106" s="6" t="str">
        <f>IFERROR(VLOOKUP($F106,매장구분!$B:$K,2,0),"")</f>
        <v>리테일채널팀</v>
      </c>
      <c r="B106" s="6" t="str">
        <f>IFERROR(VLOOKUP($F106,매장구분!$B:$K,3,0),"")</f>
        <v>국내</v>
      </c>
      <c r="C106" s="6" t="str">
        <f>IFERROR(VLOOKUP($F106,매장구분!$B:$K,5,0),"")</f>
        <v>대리점</v>
      </c>
      <c r="D106" s="6" t="str">
        <f>IFERROR(VLOOKUP($F106,매장구분!$B:$Z,9,0),"")</f>
        <v>오산(대-위)</v>
      </c>
      <c r="E106" s="69" t="s">
        <v>226</v>
      </c>
      <c r="F106" s="69" t="s">
        <v>227</v>
      </c>
      <c r="G106" s="69">
        <v>583</v>
      </c>
      <c r="H106" s="69">
        <v>75680091</v>
      </c>
      <c r="I106" s="69">
        <v>81198000</v>
      </c>
      <c r="J106" s="69">
        <v>640</v>
      </c>
      <c r="K106" s="69">
        <v>85977091</v>
      </c>
      <c r="L106" s="69">
        <v>91495000</v>
      </c>
      <c r="M106" s="69">
        <v>-57</v>
      </c>
      <c r="N106" s="69">
        <v>-10297000</v>
      </c>
      <c r="O106" s="69">
        <v>-10297000</v>
      </c>
      <c r="P106" s="69">
        <v>2021200</v>
      </c>
      <c r="Q106" s="69">
        <v>3398900</v>
      </c>
      <c r="R106" s="69">
        <v>2603600</v>
      </c>
      <c r="S106" s="69">
        <v>1863400</v>
      </c>
      <c r="T106" s="69">
        <v>2193100</v>
      </c>
      <c r="U106" s="69">
        <v>2644500</v>
      </c>
      <c r="V106" s="69">
        <v>828400</v>
      </c>
      <c r="W106" s="69">
        <v>1674700</v>
      </c>
      <c r="X106" s="69">
        <v>2631354</v>
      </c>
      <c r="Y106" s="69">
        <v>4978200</v>
      </c>
      <c r="Z106" s="69">
        <v>2112500</v>
      </c>
      <c r="AA106" s="69">
        <v>1303300</v>
      </c>
      <c r="AB106" s="69">
        <v>1630700</v>
      </c>
      <c r="AC106" s="69">
        <v>846600</v>
      </c>
      <c r="AD106" s="69">
        <v>2608900</v>
      </c>
      <c r="AE106" s="69">
        <v>2447007</v>
      </c>
      <c r="AF106" s="69">
        <v>5034115</v>
      </c>
      <c r="AG106" s="69">
        <v>2719200</v>
      </c>
      <c r="AH106" s="69">
        <v>2014000</v>
      </c>
      <c r="AI106" s="69">
        <v>1195300</v>
      </c>
      <c r="AJ106" s="69">
        <v>1818900</v>
      </c>
      <c r="AK106" s="69">
        <v>2173900</v>
      </c>
      <c r="AL106" s="69">
        <v>4030600</v>
      </c>
      <c r="AM106" s="69">
        <v>2621404</v>
      </c>
      <c r="AN106" s="69">
        <v>2188300</v>
      </c>
      <c r="AO106" s="69">
        <v>2669700</v>
      </c>
      <c r="AP106" s="69">
        <v>3234400</v>
      </c>
      <c r="AQ106" s="69">
        <v>1502100</v>
      </c>
      <c r="AR106" s="69">
        <v>645195</v>
      </c>
      <c r="AS106" s="69">
        <v>3714016</v>
      </c>
      <c r="AT106" s="69">
        <v>4332600</v>
      </c>
      <c r="AU106" s="69"/>
      <c r="AW106" s="66">
        <f t="shared" si="14"/>
        <v>6002500</v>
      </c>
      <c r="AX106" s="66">
        <f t="shared" si="14"/>
        <v>16813654</v>
      </c>
      <c r="AY106" s="66">
        <f t="shared" si="14"/>
        <v>15983122</v>
      </c>
      <c r="AZ106" s="66">
        <f t="shared" si="14"/>
        <v>16573304</v>
      </c>
      <c r="BA106" s="66">
        <f t="shared" si="14"/>
        <v>18286311</v>
      </c>
      <c r="BC106" s="66">
        <f t="shared" ca="1" si="11"/>
        <v>54772376</v>
      </c>
      <c r="BD106" s="66">
        <f t="shared" si="12"/>
        <v>71347491</v>
      </c>
    </row>
    <row r="107" spans="1:56" x14ac:dyDescent="0.3">
      <c r="A107" s="6" t="str">
        <f>IFERROR(VLOOKUP($F107,매장구분!$B:$K,2,0),"")</f>
        <v>리테일채널팀</v>
      </c>
      <c r="B107" s="6" t="str">
        <f>IFERROR(VLOOKUP($F107,매장구분!$B:$K,3,0),"")</f>
        <v>국내</v>
      </c>
      <c r="C107" s="6" t="str">
        <f>IFERROR(VLOOKUP($F107,매장구분!$B:$K,5,0),"")</f>
        <v>대리점</v>
      </c>
      <c r="D107" s="6" t="str">
        <f>IFERROR(VLOOKUP($F107,매장구분!$B:$Z,9,0),"")</f>
        <v>통영(대-위)</v>
      </c>
      <c r="E107" s="69" t="s">
        <v>506</v>
      </c>
      <c r="F107" s="69" t="s">
        <v>507</v>
      </c>
      <c r="G107" s="69">
        <v>338</v>
      </c>
      <c r="H107" s="69">
        <v>37457910</v>
      </c>
      <c r="I107" s="69">
        <v>38643700</v>
      </c>
      <c r="J107" s="69">
        <v>391</v>
      </c>
      <c r="K107" s="69">
        <v>45125310</v>
      </c>
      <c r="L107" s="69">
        <v>46329700</v>
      </c>
      <c r="M107" s="69">
        <v>-53</v>
      </c>
      <c r="N107" s="69">
        <v>-7667400</v>
      </c>
      <c r="O107" s="69">
        <v>-7686000</v>
      </c>
      <c r="P107" s="69">
        <v>392000</v>
      </c>
      <c r="Q107" s="69">
        <v>336600</v>
      </c>
      <c r="R107" s="69">
        <v>882000</v>
      </c>
      <c r="S107" s="69">
        <v>406300</v>
      </c>
      <c r="T107" s="69">
        <v>2918800</v>
      </c>
      <c r="U107" s="69">
        <v>1017000</v>
      </c>
      <c r="V107" s="69">
        <v>1546900</v>
      </c>
      <c r="W107" s="69">
        <v>1612000</v>
      </c>
      <c r="X107" s="69">
        <v>2165600</v>
      </c>
      <c r="Y107" s="69">
        <v>750000</v>
      </c>
      <c r="Z107" s="69">
        <v>736000</v>
      </c>
      <c r="AA107" s="69">
        <v>890100</v>
      </c>
      <c r="AB107" s="69">
        <v>584000</v>
      </c>
      <c r="AC107" s="69">
        <v>1131000</v>
      </c>
      <c r="AD107" s="69">
        <v>772300</v>
      </c>
      <c r="AE107" s="69">
        <v>696900</v>
      </c>
      <c r="AF107" s="69">
        <v>1772700</v>
      </c>
      <c r="AG107" s="69">
        <v>2943700</v>
      </c>
      <c r="AH107" s="69">
        <v>1606100</v>
      </c>
      <c r="AI107" s="69">
        <v>795000</v>
      </c>
      <c r="AJ107" s="69">
        <v>1179000</v>
      </c>
      <c r="AK107" s="69">
        <v>365110</v>
      </c>
      <c r="AL107" s="69">
        <v>622000</v>
      </c>
      <c r="AM107" s="69">
        <v>1474900</v>
      </c>
      <c r="AN107" s="69">
        <v>562600</v>
      </c>
      <c r="AO107" s="69">
        <v>2674000</v>
      </c>
      <c r="AP107" s="69">
        <v>1527000</v>
      </c>
      <c r="AQ107" s="69">
        <v>1742000</v>
      </c>
      <c r="AR107" s="69">
        <v>855000</v>
      </c>
      <c r="AS107" s="69">
        <v>1402300</v>
      </c>
      <c r="AT107" s="69">
        <v>1099000</v>
      </c>
      <c r="AU107" s="69"/>
      <c r="AW107" s="66">
        <f t="shared" si="14"/>
        <v>1218600</v>
      </c>
      <c r="AX107" s="66">
        <f t="shared" si="14"/>
        <v>10416600</v>
      </c>
      <c r="AY107" s="66">
        <f t="shared" si="14"/>
        <v>6583000</v>
      </c>
      <c r="AZ107" s="66">
        <f t="shared" si="14"/>
        <v>8985810</v>
      </c>
      <c r="BA107" s="66">
        <f t="shared" si="14"/>
        <v>9861900</v>
      </c>
      <c r="BC107" s="66">
        <f t="shared" ca="1" si="11"/>
        <v>26121110</v>
      </c>
      <c r="BD107" s="66">
        <f t="shared" si="12"/>
        <v>36358910</v>
      </c>
    </row>
    <row r="108" spans="1:56" x14ac:dyDescent="0.3">
      <c r="A108" s="6" t="str">
        <f>IFERROR(VLOOKUP($F108,매장구분!$B:$K,2,0),"")</f>
        <v>리테일채널팀</v>
      </c>
      <c r="B108" s="6" t="str">
        <f>IFERROR(VLOOKUP($F108,매장구분!$B:$K,3,0),"")</f>
        <v>국내</v>
      </c>
      <c r="C108" s="6" t="str">
        <f>IFERROR(VLOOKUP($F108,매장구분!$B:$K,5,0),"")</f>
        <v>대리점</v>
      </c>
      <c r="D108" s="6" t="str">
        <f>IFERROR(VLOOKUP($F108,매장구분!$B:$Z,9,0),"")</f>
        <v>익산(대-위)</v>
      </c>
      <c r="E108" s="69" t="s">
        <v>490</v>
      </c>
      <c r="F108" s="69" t="s">
        <v>491</v>
      </c>
      <c r="G108" s="69">
        <v>1045</v>
      </c>
      <c r="H108" s="69">
        <v>118874061</v>
      </c>
      <c r="I108" s="69">
        <v>123307900</v>
      </c>
      <c r="J108" s="69">
        <v>3054</v>
      </c>
      <c r="K108" s="69">
        <v>409836261</v>
      </c>
      <c r="L108" s="69">
        <v>414760900</v>
      </c>
      <c r="M108" s="69">
        <v>-2009</v>
      </c>
      <c r="N108" s="69">
        <v>-290962200</v>
      </c>
      <c r="O108" s="69">
        <v>-291453000</v>
      </c>
      <c r="P108" s="69">
        <v>1710000</v>
      </c>
      <c r="Q108" s="69">
        <v>2810400</v>
      </c>
      <c r="R108" s="69">
        <v>2560383</v>
      </c>
      <c r="S108" s="69">
        <v>2358000</v>
      </c>
      <c r="T108" s="69">
        <v>1673200</v>
      </c>
      <c r="U108" s="69">
        <v>1882000</v>
      </c>
      <c r="V108" s="69">
        <v>1072100</v>
      </c>
      <c r="W108" s="69">
        <v>2674600</v>
      </c>
      <c r="X108" s="69">
        <v>6439000</v>
      </c>
      <c r="Y108" s="69">
        <v>4407900</v>
      </c>
      <c r="Z108" s="69">
        <v>2439000</v>
      </c>
      <c r="AA108" s="69">
        <v>962000</v>
      </c>
      <c r="AB108" s="69">
        <v>2070375</v>
      </c>
      <c r="AC108" s="69">
        <v>709000</v>
      </c>
      <c r="AD108" s="69">
        <v>1109000</v>
      </c>
      <c r="AE108" s="69">
        <v>10146064</v>
      </c>
      <c r="AF108" s="69">
        <v>7409900</v>
      </c>
      <c r="AG108" s="69">
        <v>3836700</v>
      </c>
      <c r="AH108" s="69">
        <v>3870000</v>
      </c>
      <c r="AI108" s="69">
        <v>6935949</v>
      </c>
      <c r="AJ108" s="69">
        <v>5467000</v>
      </c>
      <c r="AK108" s="69">
        <v>5853000</v>
      </c>
      <c r="AL108" s="69">
        <v>8263000</v>
      </c>
      <c r="AM108" s="69">
        <v>8664100</v>
      </c>
      <c r="AN108" s="69">
        <v>8048590</v>
      </c>
      <c r="AO108" s="69">
        <v>1876300</v>
      </c>
      <c r="AP108" s="69">
        <v>1001100</v>
      </c>
      <c r="AQ108" s="69">
        <v>2162000</v>
      </c>
      <c r="AR108" s="69">
        <v>2314300</v>
      </c>
      <c r="AS108" s="69">
        <v>5341100</v>
      </c>
      <c r="AT108" s="69">
        <v>2808000</v>
      </c>
      <c r="AU108" s="69"/>
      <c r="AW108" s="66">
        <f t="shared" ref="AW108:BA123" si="15">SUMIFS($Q108:$AU108,$Q$3:$AU$3,AW$3)</f>
        <v>5370783</v>
      </c>
      <c r="AX108" s="66">
        <f t="shared" si="15"/>
        <v>20506800</v>
      </c>
      <c r="AY108" s="66">
        <f t="shared" si="15"/>
        <v>24845339</v>
      </c>
      <c r="AZ108" s="66">
        <f t="shared" si="15"/>
        <v>42889749</v>
      </c>
      <c r="BA108" s="66">
        <f t="shared" si="15"/>
        <v>23551390</v>
      </c>
      <c r="BC108" s="66">
        <f t="shared" ca="1" si="11"/>
        <v>86658571</v>
      </c>
      <c r="BD108" s="66">
        <f t="shared" si="12"/>
        <v>116066061</v>
      </c>
    </row>
    <row r="109" spans="1:56" x14ac:dyDescent="0.3">
      <c r="A109" s="6" t="str">
        <f>IFERROR(VLOOKUP($F109,매장구분!$B:$K,2,0),"")</f>
        <v>리테일채널팀</v>
      </c>
      <c r="B109" s="6" t="str">
        <f>IFERROR(VLOOKUP($F109,매장구분!$B:$K,3,0),"")</f>
        <v>국내</v>
      </c>
      <c r="C109" s="6" t="str">
        <f>IFERROR(VLOOKUP($F109,매장구분!$B:$K,5,0),"")</f>
        <v>대리점</v>
      </c>
      <c r="D109" s="6" t="str">
        <f>IFERROR(VLOOKUP($F109,매장구분!$B:$Z,9,0),"")</f>
        <v>목포하당(대-위)</v>
      </c>
      <c r="E109" s="69" t="s">
        <v>486</v>
      </c>
      <c r="F109" s="69" t="s">
        <v>487</v>
      </c>
      <c r="G109" s="69">
        <v>1176</v>
      </c>
      <c r="H109" s="69">
        <v>148240340</v>
      </c>
      <c r="I109" s="69">
        <v>150421700</v>
      </c>
      <c r="J109" s="69">
        <v>1368</v>
      </c>
      <c r="K109" s="69">
        <v>188399807</v>
      </c>
      <c r="L109" s="69">
        <v>190718700</v>
      </c>
      <c r="M109" s="69">
        <v>-192</v>
      </c>
      <c r="N109" s="69">
        <v>-40159467</v>
      </c>
      <c r="O109" s="69">
        <v>-40297000</v>
      </c>
      <c r="P109" s="69">
        <v>3410100</v>
      </c>
      <c r="Q109" s="69">
        <v>6373307</v>
      </c>
      <c r="R109" s="69">
        <v>5903200</v>
      </c>
      <c r="S109" s="69">
        <v>1067200</v>
      </c>
      <c r="T109" s="69">
        <v>4033800</v>
      </c>
      <c r="U109" s="69">
        <v>2265523</v>
      </c>
      <c r="V109" s="69">
        <v>2914100</v>
      </c>
      <c r="W109" s="69">
        <v>5088000</v>
      </c>
      <c r="X109" s="69">
        <v>8804659</v>
      </c>
      <c r="Y109" s="69">
        <v>9808160</v>
      </c>
      <c r="Z109" s="69">
        <v>3074318</v>
      </c>
      <c r="AA109" s="69">
        <v>1823000</v>
      </c>
      <c r="AB109" s="69">
        <v>454000</v>
      </c>
      <c r="AC109" s="69">
        <v>3076000</v>
      </c>
      <c r="AD109" s="69">
        <v>-2096974</v>
      </c>
      <c r="AE109" s="69">
        <v>6780000</v>
      </c>
      <c r="AF109" s="69">
        <v>11605990</v>
      </c>
      <c r="AG109" s="69">
        <v>2874000</v>
      </c>
      <c r="AH109" s="69">
        <v>2772000</v>
      </c>
      <c r="AI109" s="69">
        <v>5315000</v>
      </c>
      <c r="AJ109" s="69">
        <v>4745000</v>
      </c>
      <c r="AK109" s="69">
        <v>4355300</v>
      </c>
      <c r="AL109" s="69">
        <v>11588163</v>
      </c>
      <c r="AM109" s="69">
        <v>9993879</v>
      </c>
      <c r="AN109" s="69">
        <v>1846000</v>
      </c>
      <c r="AO109" s="69">
        <v>2715996</v>
      </c>
      <c r="AP109" s="69">
        <v>3095619</v>
      </c>
      <c r="AQ109" s="69">
        <v>2897000</v>
      </c>
      <c r="AR109" s="69">
        <v>3266000</v>
      </c>
      <c r="AS109" s="69">
        <v>1662000</v>
      </c>
      <c r="AT109" s="69">
        <v>16730000</v>
      </c>
      <c r="AU109" s="69"/>
      <c r="AW109" s="66">
        <f t="shared" si="15"/>
        <v>12276507</v>
      </c>
      <c r="AX109" s="66">
        <f t="shared" si="15"/>
        <v>33981442</v>
      </c>
      <c r="AY109" s="66">
        <f t="shared" si="15"/>
        <v>24716334</v>
      </c>
      <c r="AZ109" s="66">
        <f t="shared" si="15"/>
        <v>41643342</v>
      </c>
      <c r="BA109" s="66">
        <f t="shared" si="15"/>
        <v>32212615</v>
      </c>
      <c r="BC109" s="66">
        <f t="shared" ca="1" si="11"/>
        <v>106033846</v>
      </c>
      <c r="BD109" s="66">
        <f t="shared" si="12"/>
        <v>131510340</v>
      </c>
    </row>
    <row r="110" spans="1:56" x14ac:dyDescent="0.3">
      <c r="A110" s="6" t="str">
        <f>IFERROR(VLOOKUP($F110,매장구분!$B:$K,2,0),"")</f>
        <v>리테일채널팀</v>
      </c>
      <c r="B110" s="6" t="str">
        <f>IFERROR(VLOOKUP($F110,매장구분!$B:$K,3,0),"")</f>
        <v>국내</v>
      </c>
      <c r="C110" s="6" t="str">
        <f>IFERROR(VLOOKUP($F110,매장구분!$B:$K,5,0),"")</f>
        <v>대리점</v>
      </c>
      <c r="D110" s="6" t="str">
        <f>IFERROR(VLOOKUP($F110,매장구분!$B:$Z,9,0),"")</f>
        <v>전주송천(대-위)</v>
      </c>
      <c r="E110" s="69" t="s">
        <v>428</v>
      </c>
      <c r="F110" s="69" t="s">
        <v>429</v>
      </c>
      <c r="G110" s="69">
        <v>726</v>
      </c>
      <c r="H110" s="69">
        <v>88820975</v>
      </c>
      <c r="I110" s="69">
        <v>92355900</v>
      </c>
      <c r="J110" s="69">
        <v>3413</v>
      </c>
      <c r="K110" s="69">
        <v>525182075</v>
      </c>
      <c r="L110" s="69">
        <v>528736900</v>
      </c>
      <c r="M110" s="69">
        <v>-2687</v>
      </c>
      <c r="N110" s="69">
        <v>-436361100</v>
      </c>
      <c r="O110" s="69">
        <v>-436381000</v>
      </c>
      <c r="P110" s="69">
        <v>3260200</v>
      </c>
      <c r="Q110" s="69">
        <v>2498600</v>
      </c>
      <c r="R110" s="69">
        <v>846100</v>
      </c>
      <c r="S110" s="69">
        <v>908300</v>
      </c>
      <c r="T110" s="69">
        <v>867800</v>
      </c>
      <c r="U110" s="69">
        <v>566500</v>
      </c>
      <c r="V110" s="69">
        <v>2999400</v>
      </c>
      <c r="W110" s="69">
        <v>508000</v>
      </c>
      <c r="X110" s="69">
        <v>828000</v>
      </c>
      <c r="Y110" s="69">
        <v>1773000</v>
      </c>
      <c r="Z110" s="69">
        <v>876000</v>
      </c>
      <c r="AA110" s="69">
        <v>1085000</v>
      </c>
      <c r="AB110" s="69">
        <v>1386000</v>
      </c>
      <c r="AC110" s="69">
        <v>1226000</v>
      </c>
      <c r="AD110" s="69">
        <v>1190000</v>
      </c>
      <c r="AE110" s="69">
        <v>8441000</v>
      </c>
      <c r="AF110" s="69">
        <v>11502128</v>
      </c>
      <c r="AG110" s="69">
        <v>6801000</v>
      </c>
      <c r="AH110" s="69">
        <v>4608000</v>
      </c>
      <c r="AI110" s="69">
        <v>7511047</v>
      </c>
      <c r="AJ110" s="69">
        <v>5696000</v>
      </c>
      <c r="AK110" s="69">
        <v>7827900</v>
      </c>
      <c r="AL110" s="69">
        <v>1653000</v>
      </c>
      <c r="AM110" s="69">
        <v>2871000</v>
      </c>
      <c r="AN110" s="69">
        <v>39000</v>
      </c>
      <c r="AO110" s="69">
        <v>1465000</v>
      </c>
      <c r="AP110" s="69">
        <v>901000</v>
      </c>
      <c r="AQ110" s="69">
        <v>852000</v>
      </c>
      <c r="AR110" s="69">
        <v>537000</v>
      </c>
      <c r="AS110" s="69">
        <v>2343000</v>
      </c>
      <c r="AT110" s="69">
        <v>4954000</v>
      </c>
      <c r="AU110" s="69"/>
      <c r="AW110" s="66">
        <f t="shared" si="15"/>
        <v>3344700</v>
      </c>
      <c r="AX110" s="66">
        <f t="shared" si="15"/>
        <v>8451000</v>
      </c>
      <c r="AY110" s="66">
        <f t="shared" si="15"/>
        <v>25706128</v>
      </c>
      <c r="AZ110" s="66">
        <f t="shared" si="15"/>
        <v>36967947</v>
      </c>
      <c r="BA110" s="66">
        <f t="shared" si="15"/>
        <v>11091000</v>
      </c>
      <c r="BC110" s="66">
        <f t="shared" ca="1" si="11"/>
        <v>74858975</v>
      </c>
      <c r="BD110" s="66">
        <f t="shared" si="12"/>
        <v>83866975</v>
      </c>
    </row>
    <row r="111" spans="1:56" x14ac:dyDescent="0.3">
      <c r="A111" s="6" t="str">
        <f>IFERROR(VLOOKUP($F111,매장구분!$B:$K,2,0),"")</f>
        <v>리테일채널팀</v>
      </c>
      <c r="B111" s="6" t="str">
        <f>IFERROR(VLOOKUP($F111,매장구분!$B:$K,3,0),"")</f>
        <v>국내</v>
      </c>
      <c r="C111" s="6" t="str">
        <f>IFERROR(VLOOKUP($F111,매장구분!$B:$K,5,0),"")</f>
        <v>대리점</v>
      </c>
      <c r="D111" s="6" t="str">
        <f>IFERROR(VLOOKUP($F111,매장구분!$B:$Z,9,0),"")</f>
        <v>보령(대-위)</v>
      </c>
      <c r="E111" s="69" t="s">
        <v>211</v>
      </c>
      <c r="F111" s="69" t="s">
        <v>212</v>
      </c>
      <c r="G111" s="69">
        <v>278</v>
      </c>
      <c r="H111" s="69">
        <v>30885600</v>
      </c>
      <c r="I111" s="69">
        <v>31710900</v>
      </c>
      <c r="J111" s="69">
        <v>431</v>
      </c>
      <c r="K111" s="69">
        <v>55721900</v>
      </c>
      <c r="L111" s="69">
        <v>56564900</v>
      </c>
      <c r="M111" s="69">
        <v>-153</v>
      </c>
      <c r="N111" s="69">
        <v>-24836300</v>
      </c>
      <c r="O111" s="69">
        <v>-24854000</v>
      </c>
      <c r="P111" s="69">
        <v>818100</v>
      </c>
      <c r="Q111" s="69">
        <v>1357000</v>
      </c>
      <c r="R111" s="69">
        <v>801000</v>
      </c>
      <c r="S111" s="69">
        <v>724000</v>
      </c>
      <c r="T111" s="69">
        <v>999700</v>
      </c>
      <c r="U111" s="69">
        <v>1055000</v>
      </c>
      <c r="V111" s="69">
        <v>1894000</v>
      </c>
      <c r="W111" s="69">
        <v>284000</v>
      </c>
      <c r="X111" s="69">
        <v>2204000</v>
      </c>
      <c r="Y111" s="69">
        <v>1184000</v>
      </c>
      <c r="Z111" s="69">
        <v>820000</v>
      </c>
      <c r="AA111" s="69">
        <v>530000</v>
      </c>
      <c r="AB111" s="69">
        <v>651000</v>
      </c>
      <c r="AC111" s="69">
        <v>631000</v>
      </c>
      <c r="AD111" s="69">
        <v>713300</v>
      </c>
      <c r="AE111" s="69">
        <v>966000</v>
      </c>
      <c r="AF111" s="69">
        <v>947000</v>
      </c>
      <c r="AG111" s="69">
        <v>1351000</v>
      </c>
      <c r="AH111" s="69">
        <v>1029300</v>
      </c>
      <c r="AI111" s="69">
        <v>1495900</v>
      </c>
      <c r="AJ111" s="69">
        <v>244000</v>
      </c>
      <c r="AK111" s="69">
        <v>354000</v>
      </c>
      <c r="AL111" s="69">
        <v>1486300</v>
      </c>
      <c r="AM111" s="69">
        <v>920000</v>
      </c>
      <c r="AN111" s="69">
        <v>1210000</v>
      </c>
      <c r="AO111" s="69">
        <v>800000</v>
      </c>
      <c r="AP111" s="69">
        <v>796000</v>
      </c>
      <c r="AQ111" s="69">
        <v>346000</v>
      </c>
      <c r="AR111" s="69">
        <v>489000</v>
      </c>
      <c r="AS111" s="69">
        <v>736000</v>
      </c>
      <c r="AT111" s="69">
        <v>3049000</v>
      </c>
      <c r="AU111" s="69"/>
      <c r="AW111" s="66">
        <f t="shared" si="15"/>
        <v>2158000</v>
      </c>
      <c r="AX111" s="66">
        <f t="shared" si="15"/>
        <v>8344700</v>
      </c>
      <c r="AY111" s="66">
        <f t="shared" si="15"/>
        <v>5258300</v>
      </c>
      <c r="AZ111" s="66">
        <f t="shared" si="15"/>
        <v>6880500</v>
      </c>
      <c r="BA111" s="66">
        <f t="shared" si="15"/>
        <v>7426000</v>
      </c>
      <c r="BC111" s="66">
        <f t="shared" ca="1" si="11"/>
        <v>22539600</v>
      </c>
      <c r="BD111" s="66">
        <f t="shared" si="12"/>
        <v>27836600</v>
      </c>
    </row>
    <row r="112" spans="1:56" x14ac:dyDescent="0.3">
      <c r="A112" s="6" t="str">
        <f>IFERROR(VLOOKUP($F112,매장구분!$B:$K,2,0),"")</f>
        <v>리테일채널팀</v>
      </c>
      <c r="B112" s="6" t="str">
        <f>IFERROR(VLOOKUP($F112,매장구분!$B:$K,3,0),"")</f>
        <v>국내</v>
      </c>
      <c r="C112" s="6" t="str">
        <f>IFERROR(VLOOKUP($F112,매장구분!$B:$K,5,0),"")</f>
        <v>대리점</v>
      </c>
      <c r="D112" s="6" t="str">
        <f>IFERROR(VLOOKUP($F112,매장구분!$B:$Z,9,0),"")</f>
        <v>충주(대-위)</v>
      </c>
      <c r="E112" s="69" t="s">
        <v>322</v>
      </c>
      <c r="F112" s="69" t="s">
        <v>323</v>
      </c>
      <c r="G112" s="69">
        <v>785</v>
      </c>
      <c r="H112" s="69">
        <v>93654293</v>
      </c>
      <c r="I112" s="69">
        <v>96818000</v>
      </c>
      <c r="J112" s="69">
        <v>842</v>
      </c>
      <c r="K112" s="69">
        <v>100798393</v>
      </c>
      <c r="L112" s="69">
        <v>103990000</v>
      </c>
      <c r="M112" s="69">
        <v>-57</v>
      </c>
      <c r="N112" s="69">
        <v>-7144100</v>
      </c>
      <c r="O112" s="69">
        <v>-7172000</v>
      </c>
      <c r="P112" s="69">
        <v>275300</v>
      </c>
      <c r="Q112" s="69">
        <v>8153000</v>
      </c>
      <c r="R112" s="69">
        <v>4178800</v>
      </c>
      <c r="S112" s="69">
        <v>482300</v>
      </c>
      <c r="T112" s="69">
        <v>3514000</v>
      </c>
      <c r="U112" s="69">
        <v>1324200</v>
      </c>
      <c r="V112" s="69">
        <v>3647200</v>
      </c>
      <c r="W112" s="69">
        <v>1275600</v>
      </c>
      <c r="X112" s="69">
        <v>1553000</v>
      </c>
      <c r="Y112" s="69">
        <v>8453000</v>
      </c>
      <c r="Z112" s="69">
        <v>5976000</v>
      </c>
      <c r="AA112" s="69">
        <v>3219093</v>
      </c>
      <c r="AB112" s="69">
        <v>3264000</v>
      </c>
      <c r="AC112" s="69">
        <v>2156000</v>
      </c>
      <c r="AD112" s="69">
        <v>3835000</v>
      </c>
      <c r="AE112" s="69">
        <v>1790300</v>
      </c>
      <c r="AF112" s="69">
        <v>4931500</v>
      </c>
      <c r="AG112" s="69">
        <v>499000</v>
      </c>
      <c r="AH112" s="69">
        <v>4817000</v>
      </c>
      <c r="AI112" s="69">
        <v>1158000</v>
      </c>
      <c r="AJ112" s="69">
        <v>871000</v>
      </c>
      <c r="AK112" s="69">
        <v>2207000</v>
      </c>
      <c r="AL112" s="69">
        <v>1483000</v>
      </c>
      <c r="AM112" s="69">
        <v>1840000</v>
      </c>
      <c r="AN112" s="69">
        <v>265000</v>
      </c>
      <c r="AO112" s="69">
        <v>2751000</v>
      </c>
      <c r="AP112" s="69">
        <v>8927000</v>
      </c>
      <c r="AQ112" s="69">
        <v>5918000</v>
      </c>
      <c r="AR112" s="69">
        <v>1764000</v>
      </c>
      <c r="AS112" s="69">
        <v>1441000</v>
      </c>
      <c r="AT112" s="69">
        <v>1685000</v>
      </c>
      <c r="AU112" s="69"/>
      <c r="AW112" s="66">
        <f t="shared" si="15"/>
        <v>12331800</v>
      </c>
      <c r="AX112" s="66">
        <f t="shared" si="15"/>
        <v>20249300</v>
      </c>
      <c r="AY112" s="66">
        <f t="shared" si="15"/>
        <v>25171893</v>
      </c>
      <c r="AZ112" s="66">
        <f t="shared" si="15"/>
        <v>12875000</v>
      </c>
      <c r="BA112" s="66">
        <f t="shared" si="15"/>
        <v>22751000</v>
      </c>
      <c r="BC112" s="66">
        <f t="shared" ca="1" si="11"/>
        <v>69063293</v>
      </c>
      <c r="BD112" s="66">
        <f t="shared" si="12"/>
        <v>91969293</v>
      </c>
    </row>
    <row r="113" spans="1:56" x14ac:dyDescent="0.3">
      <c r="A113" s="6" t="str">
        <f>IFERROR(VLOOKUP($F113,매장구분!$B:$K,2,0),"")</f>
        <v>리테일채널팀</v>
      </c>
      <c r="B113" s="6" t="str">
        <f>IFERROR(VLOOKUP($F113,매장구분!$B:$K,3,0),"")</f>
        <v>국내</v>
      </c>
      <c r="C113" s="6" t="str">
        <f>IFERROR(VLOOKUP($F113,매장구분!$B:$K,5,0),"")</f>
        <v>대리점</v>
      </c>
      <c r="D113" s="6" t="str">
        <f>IFERROR(VLOOKUP($F113,매장구분!$B:$Z,9,0),"")</f>
        <v>광주용봉(대-위)</v>
      </c>
      <c r="E113" s="69" t="s">
        <v>606</v>
      </c>
      <c r="F113" s="69" t="s">
        <v>607</v>
      </c>
      <c r="G113" s="69">
        <v>267</v>
      </c>
      <c r="H113" s="69">
        <v>28629500</v>
      </c>
      <c r="I113" s="69">
        <v>29507900</v>
      </c>
      <c r="J113" s="69">
        <v>307</v>
      </c>
      <c r="K113" s="69">
        <v>35738410</v>
      </c>
      <c r="L113" s="69">
        <v>36752900</v>
      </c>
      <c r="M113" s="69">
        <v>-40</v>
      </c>
      <c r="N113" s="69">
        <v>-7108910</v>
      </c>
      <c r="O113" s="69">
        <v>-7245000</v>
      </c>
      <c r="P113" s="69">
        <v>489000</v>
      </c>
      <c r="Q113" s="69">
        <v>994900</v>
      </c>
      <c r="R113" s="69">
        <v>2241200</v>
      </c>
      <c r="S113" s="69">
        <v>236500</v>
      </c>
      <c r="T113" s="69">
        <v>884000</v>
      </c>
      <c r="U113" s="69">
        <v>920400</v>
      </c>
      <c r="V113" s="69">
        <v>1336200</v>
      </c>
      <c r="W113" s="69">
        <v>613300</v>
      </c>
      <c r="X113" s="69">
        <v>624000</v>
      </c>
      <c r="Y113" s="69">
        <v>2828000</v>
      </c>
      <c r="Z113" s="69">
        <v>1385300</v>
      </c>
      <c r="AA113" s="69">
        <v>637000</v>
      </c>
      <c r="AB113" s="69">
        <v>317000</v>
      </c>
      <c r="AC113" s="69">
        <v>437000</v>
      </c>
      <c r="AD113" s="69">
        <v>1140900</v>
      </c>
      <c r="AE113" s="69">
        <v>751000</v>
      </c>
      <c r="AF113" s="69">
        <v>1458300</v>
      </c>
      <c r="AG113" s="69">
        <v>2109000</v>
      </c>
      <c r="AH113" s="69">
        <v>128000</v>
      </c>
      <c r="AI113" s="69">
        <v>549000</v>
      </c>
      <c r="AJ113" s="69">
        <v>506000</v>
      </c>
      <c r="AK113" s="69">
        <v>322000</v>
      </c>
      <c r="AL113" s="69">
        <v>316000</v>
      </c>
      <c r="AM113" s="69">
        <v>831000</v>
      </c>
      <c r="AN113" s="69">
        <v>540000</v>
      </c>
      <c r="AO113" s="69">
        <v>1046000</v>
      </c>
      <c r="AP113" s="69">
        <v>454000</v>
      </c>
      <c r="AQ113" s="69">
        <v>1495000</v>
      </c>
      <c r="AR113" s="69">
        <v>254000</v>
      </c>
      <c r="AS113" s="69">
        <v>945000</v>
      </c>
      <c r="AT113" s="69">
        <v>1840500</v>
      </c>
      <c r="AU113" s="69"/>
      <c r="AW113" s="66">
        <f t="shared" si="15"/>
        <v>3236100</v>
      </c>
      <c r="AX113" s="66">
        <f t="shared" si="15"/>
        <v>7442400</v>
      </c>
      <c r="AY113" s="66">
        <f t="shared" si="15"/>
        <v>6126500</v>
      </c>
      <c r="AZ113" s="66">
        <f t="shared" si="15"/>
        <v>4761000</v>
      </c>
      <c r="BA113" s="66">
        <f t="shared" si="15"/>
        <v>6574500</v>
      </c>
      <c r="BC113" s="66">
        <f t="shared" ca="1" si="11"/>
        <v>21224000</v>
      </c>
      <c r="BD113" s="66">
        <f t="shared" si="12"/>
        <v>26789000</v>
      </c>
    </row>
    <row r="114" spans="1:56" x14ac:dyDescent="0.3">
      <c r="A114" s="6" t="str">
        <f>IFERROR(VLOOKUP($F114,매장구분!$B:$K,2,0),"")</f>
        <v>리테일채널팀</v>
      </c>
      <c r="B114" s="6" t="str">
        <f>IFERROR(VLOOKUP($F114,매장구분!$B:$K,3,0),"")</f>
        <v>국내</v>
      </c>
      <c r="C114" s="6" t="str">
        <f>IFERROR(VLOOKUP($F114,매장구분!$B:$K,5,0),"")</f>
        <v>대리점</v>
      </c>
      <c r="D114" s="6" t="str">
        <f>IFERROR(VLOOKUP($F114,매장구분!$B:$Z,9,0),"")</f>
        <v>대구성서(대-위)</v>
      </c>
      <c r="E114" s="69" t="s">
        <v>492</v>
      </c>
      <c r="F114" s="69" t="s">
        <v>493</v>
      </c>
      <c r="G114" s="69">
        <v>706</v>
      </c>
      <c r="H114" s="69">
        <v>95184723</v>
      </c>
      <c r="I114" s="69">
        <v>98739000</v>
      </c>
      <c r="J114" s="69">
        <v>896</v>
      </c>
      <c r="K114" s="69">
        <v>128820979</v>
      </c>
      <c r="L114" s="69">
        <v>132564000</v>
      </c>
      <c r="M114" s="69">
        <v>-190</v>
      </c>
      <c r="N114" s="69">
        <v>-33636256</v>
      </c>
      <c r="O114" s="69">
        <v>-33825000</v>
      </c>
      <c r="P114" s="69">
        <v>1300400</v>
      </c>
      <c r="Q114" s="69">
        <v>5726400</v>
      </c>
      <c r="R114" s="69">
        <v>6198100</v>
      </c>
      <c r="S114" s="69">
        <v>1536600</v>
      </c>
      <c r="T114" s="69">
        <v>2119100</v>
      </c>
      <c r="U114" s="69">
        <v>1685700</v>
      </c>
      <c r="V114" s="69">
        <v>1652700</v>
      </c>
      <c r="W114" s="69">
        <v>1185700</v>
      </c>
      <c r="X114" s="69">
        <v>3274300</v>
      </c>
      <c r="Y114" s="69">
        <v>11063716</v>
      </c>
      <c r="Z114" s="69">
        <v>1449644</v>
      </c>
      <c r="AA114" s="69">
        <v>2300000</v>
      </c>
      <c r="AB114" s="69">
        <v>1876892</v>
      </c>
      <c r="AC114" s="69">
        <v>621000</v>
      </c>
      <c r="AD114" s="69">
        <v>704000</v>
      </c>
      <c r="AE114" s="69">
        <v>3915571</v>
      </c>
      <c r="AF114" s="69">
        <v>4867020</v>
      </c>
      <c r="AG114" s="69">
        <v>1589000</v>
      </c>
      <c r="AH114" s="69">
        <v>1712890</v>
      </c>
      <c r="AI114" s="69">
        <v>1044000</v>
      </c>
      <c r="AJ114" s="69">
        <v>535700</v>
      </c>
      <c r="AK114" s="69">
        <v>1715000</v>
      </c>
      <c r="AL114" s="69">
        <v>8005606</v>
      </c>
      <c r="AM114" s="69">
        <v>8501877</v>
      </c>
      <c r="AN114" s="69">
        <v>1733300</v>
      </c>
      <c r="AO114" s="69">
        <v>612000</v>
      </c>
      <c r="AP114" s="69">
        <v>1266000</v>
      </c>
      <c r="AQ114" s="69">
        <v>2565000</v>
      </c>
      <c r="AR114" s="69">
        <v>1409000</v>
      </c>
      <c r="AS114" s="69">
        <v>7306077</v>
      </c>
      <c r="AT114" s="69">
        <v>5712430</v>
      </c>
      <c r="AU114" s="69"/>
      <c r="AW114" s="66">
        <f t="shared" si="15"/>
        <v>11924500</v>
      </c>
      <c r="AX114" s="66">
        <f t="shared" si="15"/>
        <v>22517816</v>
      </c>
      <c r="AY114" s="66">
        <f t="shared" si="15"/>
        <v>15734127</v>
      </c>
      <c r="AZ114" s="66">
        <f t="shared" si="15"/>
        <v>23104073</v>
      </c>
      <c r="BA114" s="66">
        <f t="shared" si="15"/>
        <v>20603807</v>
      </c>
      <c r="BC114" s="66">
        <f t="shared" ca="1" si="11"/>
        <v>66079039</v>
      </c>
      <c r="BD114" s="66">
        <f t="shared" si="12"/>
        <v>89472293</v>
      </c>
    </row>
    <row r="115" spans="1:56" x14ac:dyDescent="0.3">
      <c r="A115" s="6" t="str">
        <f>IFERROR(VLOOKUP($F115,매장구분!$B:$K,2,0),"")</f>
        <v>리테일채널팀</v>
      </c>
      <c r="B115" s="6" t="str">
        <f>IFERROR(VLOOKUP($F115,매장구분!$B:$K,3,0),"")</f>
        <v>국내</v>
      </c>
      <c r="C115" s="6" t="str">
        <f>IFERROR(VLOOKUP($F115,매장구분!$B:$K,5,0),"")</f>
        <v>대리점</v>
      </c>
      <c r="D115" s="6" t="str">
        <f>IFERROR(VLOOKUP($F115,매장구분!$B:$Z,9,0),"")</f>
        <v>안산시화(대-위)</v>
      </c>
      <c r="E115" s="69" t="s">
        <v>291</v>
      </c>
      <c r="F115" s="69" t="s">
        <v>292</v>
      </c>
      <c r="G115" s="69">
        <v>921</v>
      </c>
      <c r="H115" s="69">
        <v>127266629</v>
      </c>
      <c r="I115" s="69">
        <v>130063700</v>
      </c>
      <c r="J115" s="69">
        <v>4467</v>
      </c>
      <c r="K115" s="69">
        <v>805769929</v>
      </c>
      <c r="L115" s="69">
        <v>808639700</v>
      </c>
      <c r="M115" s="69">
        <v>-3546</v>
      </c>
      <c r="N115" s="69">
        <v>-678503300</v>
      </c>
      <c r="O115" s="69">
        <v>-678576000</v>
      </c>
      <c r="P115" s="69">
        <v>3242400</v>
      </c>
      <c r="Q115" s="69">
        <v>5014600</v>
      </c>
      <c r="R115" s="69">
        <v>7032600</v>
      </c>
      <c r="S115" s="69">
        <v>2915723</v>
      </c>
      <c r="T115" s="69">
        <v>2419400</v>
      </c>
      <c r="U115" s="69">
        <v>4210214</v>
      </c>
      <c r="V115" s="69">
        <v>1036000</v>
      </c>
      <c r="W115" s="69">
        <v>4454400</v>
      </c>
      <c r="X115" s="69">
        <v>4636000</v>
      </c>
      <c r="Y115" s="69">
        <v>5785000</v>
      </c>
      <c r="Z115" s="69">
        <v>1853726</v>
      </c>
      <c r="AA115" s="69">
        <v>2626000</v>
      </c>
      <c r="AB115" s="69">
        <v>2694000</v>
      </c>
      <c r="AC115" s="69">
        <v>4014000</v>
      </c>
      <c r="AD115" s="69">
        <v>3741768</v>
      </c>
      <c r="AE115" s="69">
        <v>3633159</v>
      </c>
      <c r="AF115" s="69">
        <v>7576300</v>
      </c>
      <c r="AG115" s="69">
        <v>3005800</v>
      </c>
      <c r="AH115" s="69">
        <v>4085300</v>
      </c>
      <c r="AI115" s="69">
        <v>4895387</v>
      </c>
      <c r="AJ115" s="69">
        <v>2658671</v>
      </c>
      <c r="AK115" s="69">
        <v>6027000</v>
      </c>
      <c r="AL115" s="69">
        <v>4858584</v>
      </c>
      <c r="AM115" s="69">
        <v>4960100</v>
      </c>
      <c r="AN115" s="69">
        <v>3780900</v>
      </c>
      <c r="AO115" s="69">
        <v>1703000</v>
      </c>
      <c r="AP115" s="69">
        <v>1526000</v>
      </c>
      <c r="AQ115" s="69">
        <v>3322000</v>
      </c>
      <c r="AR115" s="69">
        <v>3164044</v>
      </c>
      <c r="AS115" s="69">
        <v>6056115</v>
      </c>
      <c r="AT115" s="69">
        <v>10338438</v>
      </c>
      <c r="AU115" s="69"/>
      <c r="AW115" s="66">
        <f t="shared" si="15"/>
        <v>12047200</v>
      </c>
      <c r="AX115" s="66">
        <f t="shared" si="15"/>
        <v>25456737</v>
      </c>
      <c r="AY115" s="66">
        <f t="shared" si="15"/>
        <v>26138953</v>
      </c>
      <c r="AZ115" s="66">
        <f t="shared" si="15"/>
        <v>30490842</v>
      </c>
      <c r="BA115" s="66">
        <f t="shared" si="15"/>
        <v>29890497</v>
      </c>
      <c r="BC115" s="66">
        <f t="shared" ca="1" si="11"/>
        <v>92416032</v>
      </c>
      <c r="BD115" s="66">
        <f t="shared" si="12"/>
        <v>116928191</v>
      </c>
    </row>
    <row r="116" spans="1:56" x14ac:dyDescent="0.3">
      <c r="A116" s="6" t="str">
        <f>IFERROR(VLOOKUP($F116,매장구분!$B:$K,2,0),"")</f>
        <v>리테일채널팀</v>
      </c>
      <c r="B116" s="6" t="str">
        <f>IFERROR(VLOOKUP($F116,매장구분!$B:$K,3,0),"")</f>
        <v>국내</v>
      </c>
      <c r="C116" s="6" t="str">
        <f>IFERROR(VLOOKUP($F116,매장구분!$B:$K,5,0),"")</f>
        <v>대리점</v>
      </c>
      <c r="D116" s="6" t="str">
        <f>IFERROR(VLOOKUP($F116,매장구분!$B:$Z,9,0),"")</f>
        <v>화성봉담(대-위)</v>
      </c>
      <c r="E116" s="69" t="s">
        <v>273</v>
      </c>
      <c r="F116" s="69" t="s">
        <v>274</v>
      </c>
      <c r="G116" s="69">
        <v>1046</v>
      </c>
      <c r="H116" s="69">
        <v>119054318</v>
      </c>
      <c r="I116" s="69">
        <v>127974000</v>
      </c>
      <c r="J116" s="69">
        <v>1187</v>
      </c>
      <c r="K116" s="69">
        <v>138553520</v>
      </c>
      <c r="L116" s="69">
        <v>147551000</v>
      </c>
      <c r="M116" s="69">
        <v>-141</v>
      </c>
      <c r="N116" s="69">
        <v>-19499202</v>
      </c>
      <c r="O116" s="69">
        <v>-19577000</v>
      </c>
      <c r="P116" s="69">
        <v>3879000</v>
      </c>
      <c r="Q116" s="69">
        <v>6028800</v>
      </c>
      <c r="R116" s="69">
        <v>6136100</v>
      </c>
      <c r="S116" s="69">
        <v>2496600</v>
      </c>
      <c r="T116" s="69">
        <v>3325500</v>
      </c>
      <c r="U116" s="69">
        <v>699400</v>
      </c>
      <c r="V116" s="69">
        <v>4099800</v>
      </c>
      <c r="W116" s="69">
        <v>3927600</v>
      </c>
      <c r="X116" s="69">
        <v>7192200</v>
      </c>
      <c r="Y116" s="69">
        <v>8800731</v>
      </c>
      <c r="Z116" s="69">
        <v>478188</v>
      </c>
      <c r="AA116" s="69">
        <v>5053400</v>
      </c>
      <c r="AB116" s="69">
        <v>3038900</v>
      </c>
      <c r="AC116" s="69">
        <v>1957000</v>
      </c>
      <c r="AD116" s="69">
        <v>2237000</v>
      </c>
      <c r="AE116" s="69">
        <v>8550000</v>
      </c>
      <c r="AF116" s="69">
        <v>6063000</v>
      </c>
      <c r="AG116" s="69">
        <v>935000</v>
      </c>
      <c r="AH116" s="69">
        <v>1149000</v>
      </c>
      <c r="AI116" s="69">
        <v>3218000</v>
      </c>
      <c r="AJ116" s="69">
        <v>4784000</v>
      </c>
      <c r="AK116" s="69">
        <v>2417000</v>
      </c>
      <c r="AL116" s="69">
        <v>5332200</v>
      </c>
      <c r="AM116" s="69">
        <v>5896399</v>
      </c>
      <c r="AN116" s="69">
        <v>4834700</v>
      </c>
      <c r="AO116" s="69">
        <v>1861000</v>
      </c>
      <c r="AP116" s="69">
        <v>1786500</v>
      </c>
      <c r="AQ116" s="69">
        <v>0</v>
      </c>
      <c r="AR116" s="69">
        <v>2416400</v>
      </c>
      <c r="AS116" s="69">
        <v>2385000</v>
      </c>
      <c r="AT116" s="69">
        <v>8075900</v>
      </c>
      <c r="AU116" s="69"/>
      <c r="AW116" s="66">
        <f t="shared" si="15"/>
        <v>12164900</v>
      </c>
      <c r="AX116" s="66">
        <f t="shared" si="15"/>
        <v>30541831</v>
      </c>
      <c r="AY116" s="66">
        <f t="shared" si="15"/>
        <v>27377488</v>
      </c>
      <c r="AZ116" s="66">
        <f t="shared" si="15"/>
        <v>23731599</v>
      </c>
      <c r="BA116" s="66">
        <f t="shared" si="15"/>
        <v>21359500</v>
      </c>
      <c r="BC116" s="66">
        <f t="shared" ca="1" si="11"/>
        <v>91798419</v>
      </c>
      <c r="BD116" s="66">
        <f t="shared" si="12"/>
        <v>110978418</v>
      </c>
    </row>
    <row r="117" spans="1:56" x14ac:dyDescent="0.3">
      <c r="A117" s="6" t="str">
        <f>IFERROR(VLOOKUP($F117,매장구분!$B:$K,2,0),"")</f>
        <v>리테일채널팀</v>
      </c>
      <c r="B117" s="6" t="str">
        <f>IFERROR(VLOOKUP($F117,매장구분!$B:$K,3,0),"")</f>
        <v>국내</v>
      </c>
      <c r="C117" s="6" t="str">
        <f>IFERROR(VLOOKUP($F117,매장구분!$B:$K,5,0),"")</f>
        <v>대리점</v>
      </c>
      <c r="D117" s="6" t="str">
        <f>IFERROR(VLOOKUP($F117,매장구분!$B:$Z,9,0),"")</f>
        <v>일산덕이(대-위)</v>
      </c>
      <c r="E117" s="69" t="s">
        <v>580</v>
      </c>
      <c r="F117" s="69" t="s">
        <v>581</v>
      </c>
      <c r="G117" s="69">
        <v>261</v>
      </c>
      <c r="H117" s="69">
        <v>31208249</v>
      </c>
      <c r="I117" s="69">
        <v>32498000</v>
      </c>
      <c r="J117" s="69">
        <v>471</v>
      </c>
      <c r="K117" s="69">
        <v>73186249</v>
      </c>
      <c r="L117" s="69">
        <v>74476000</v>
      </c>
      <c r="M117" s="69">
        <v>-210</v>
      </c>
      <c r="N117" s="69">
        <v>-41978000</v>
      </c>
      <c r="O117" s="69">
        <v>-41978000</v>
      </c>
      <c r="P117" s="69">
        <v>625849</v>
      </c>
      <c r="Q117" s="69">
        <v>1207000</v>
      </c>
      <c r="R117" s="69">
        <v>825100</v>
      </c>
      <c r="S117" s="69">
        <v>2327000</v>
      </c>
      <c r="T117" s="69">
        <v>224000</v>
      </c>
      <c r="U117" s="69">
        <v>43000</v>
      </c>
      <c r="V117" s="69">
        <v>152000</v>
      </c>
      <c r="W117" s="69">
        <v>291000</v>
      </c>
      <c r="X117" s="69">
        <v>214000</v>
      </c>
      <c r="Y117" s="69">
        <v>3613000</v>
      </c>
      <c r="Z117" s="69">
        <v>119000</v>
      </c>
      <c r="AA117" s="69">
        <v>211000</v>
      </c>
      <c r="AB117" s="69">
        <v>2974000</v>
      </c>
      <c r="AC117" s="69">
        <v>269000</v>
      </c>
      <c r="AD117" s="69">
        <v>1126000</v>
      </c>
      <c r="AE117" s="69">
        <v>198000</v>
      </c>
      <c r="AF117" s="69">
        <v>681000</v>
      </c>
      <c r="AG117" s="69">
        <v>2050000</v>
      </c>
      <c r="AH117" s="69">
        <v>962300</v>
      </c>
      <c r="AI117" s="69">
        <v>2078000</v>
      </c>
      <c r="AJ117" s="69">
        <v>178000</v>
      </c>
      <c r="AK117" s="69">
        <v>520000</v>
      </c>
      <c r="AL117" s="69">
        <v>656000</v>
      </c>
      <c r="AM117" s="69">
        <v>3923000</v>
      </c>
      <c r="AN117" s="69">
        <v>36000</v>
      </c>
      <c r="AO117" s="69">
        <v>1754000</v>
      </c>
      <c r="AP117" s="69">
        <v>907000</v>
      </c>
      <c r="AQ117" s="69">
        <v>1294000</v>
      </c>
      <c r="AR117" s="69">
        <v>494000</v>
      </c>
      <c r="AS117" s="69">
        <v>520000</v>
      </c>
      <c r="AT117" s="69">
        <v>736000</v>
      </c>
      <c r="AU117" s="69"/>
      <c r="AW117" s="66">
        <f t="shared" si="15"/>
        <v>2032100</v>
      </c>
      <c r="AX117" s="66">
        <f t="shared" si="15"/>
        <v>6864000</v>
      </c>
      <c r="AY117" s="66">
        <f t="shared" si="15"/>
        <v>5578000</v>
      </c>
      <c r="AZ117" s="66">
        <f t="shared" si="15"/>
        <v>10367300</v>
      </c>
      <c r="BA117" s="66">
        <f t="shared" si="15"/>
        <v>5741000</v>
      </c>
      <c r="BC117" s="66">
        <f t="shared" ca="1" si="11"/>
        <v>21544249</v>
      </c>
      <c r="BD117" s="66">
        <f t="shared" si="12"/>
        <v>30472249</v>
      </c>
    </row>
    <row r="118" spans="1:56" x14ac:dyDescent="0.3">
      <c r="A118" s="6" t="str">
        <f>IFERROR(VLOOKUP($F118,매장구분!$B:$K,2,0),"")</f>
        <v>리테일채널팀</v>
      </c>
      <c r="B118" s="6" t="str">
        <f>IFERROR(VLOOKUP($F118,매장구분!$B:$K,3,0),"")</f>
        <v>국내</v>
      </c>
      <c r="C118" s="6" t="str">
        <f>IFERROR(VLOOKUP($F118,매장구분!$B:$K,5,0),"")</f>
        <v>대리점</v>
      </c>
      <c r="D118" s="6" t="str">
        <f>IFERROR(VLOOKUP($F118,매장구분!$B:$Z,9,0),"")</f>
        <v>안산중앙(대-위)</v>
      </c>
      <c r="E118" s="69" t="s">
        <v>307</v>
      </c>
      <c r="F118" s="69" t="s">
        <v>308</v>
      </c>
      <c r="G118" s="69">
        <v>992</v>
      </c>
      <c r="H118" s="69">
        <v>127387334</v>
      </c>
      <c r="I118" s="69">
        <v>128119900</v>
      </c>
      <c r="J118" s="69">
        <v>1211</v>
      </c>
      <c r="K118" s="69">
        <v>168113668</v>
      </c>
      <c r="L118" s="69">
        <v>168874900</v>
      </c>
      <c r="M118" s="69">
        <v>-219</v>
      </c>
      <c r="N118" s="69">
        <v>-40726334</v>
      </c>
      <c r="O118" s="69">
        <v>-40755000</v>
      </c>
      <c r="P118" s="69">
        <v>7836000</v>
      </c>
      <c r="Q118" s="69">
        <v>3506000</v>
      </c>
      <c r="R118" s="69">
        <v>1466000</v>
      </c>
      <c r="S118" s="69">
        <v>1532000</v>
      </c>
      <c r="T118" s="69">
        <v>2416100</v>
      </c>
      <c r="U118" s="69">
        <v>6789000</v>
      </c>
      <c r="V118" s="69">
        <v>2141000</v>
      </c>
      <c r="W118" s="69">
        <v>2229000</v>
      </c>
      <c r="X118" s="69">
        <v>9114000</v>
      </c>
      <c r="Y118" s="69">
        <v>4060000</v>
      </c>
      <c r="Z118" s="69">
        <v>2321334</v>
      </c>
      <c r="AA118" s="69">
        <v>1877000</v>
      </c>
      <c r="AB118" s="69">
        <v>7642000</v>
      </c>
      <c r="AC118" s="69">
        <v>4638000</v>
      </c>
      <c r="AD118" s="69">
        <v>2767000</v>
      </c>
      <c r="AE118" s="69">
        <v>3197000</v>
      </c>
      <c r="AF118" s="69">
        <v>10865000</v>
      </c>
      <c r="AG118" s="69">
        <v>2667000</v>
      </c>
      <c r="AH118" s="69">
        <v>1485000</v>
      </c>
      <c r="AI118" s="69">
        <v>8407000</v>
      </c>
      <c r="AJ118" s="69">
        <v>2117000</v>
      </c>
      <c r="AK118" s="69">
        <v>1617000</v>
      </c>
      <c r="AL118" s="69">
        <v>9300000</v>
      </c>
      <c r="AM118" s="69">
        <v>3381000</v>
      </c>
      <c r="AN118" s="69">
        <v>2065000</v>
      </c>
      <c r="AO118" s="69">
        <v>3236900</v>
      </c>
      <c r="AP118" s="69">
        <v>1213000</v>
      </c>
      <c r="AQ118" s="69">
        <v>830000</v>
      </c>
      <c r="AR118" s="69">
        <v>1896000</v>
      </c>
      <c r="AS118" s="69">
        <v>2450000</v>
      </c>
      <c r="AT118" s="69">
        <v>12326000</v>
      </c>
      <c r="AU118" s="69"/>
      <c r="AW118" s="66">
        <f t="shared" si="15"/>
        <v>4972000</v>
      </c>
      <c r="AX118" s="66">
        <f t="shared" si="15"/>
        <v>28281100</v>
      </c>
      <c r="AY118" s="66">
        <f t="shared" si="15"/>
        <v>33307334</v>
      </c>
      <c r="AZ118" s="66">
        <f t="shared" si="15"/>
        <v>28974000</v>
      </c>
      <c r="BA118" s="66">
        <f t="shared" si="15"/>
        <v>24016900</v>
      </c>
      <c r="BC118" s="66">
        <f t="shared" ca="1" si="11"/>
        <v>99989434</v>
      </c>
      <c r="BD118" s="66">
        <f t="shared" si="12"/>
        <v>115061334</v>
      </c>
    </row>
    <row r="119" spans="1:56" x14ac:dyDescent="0.3">
      <c r="A119" s="6" t="str">
        <f>IFERROR(VLOOKUP($F119,매장구분!$B:$K,2,0),"")</f>
        <v>리테일채널팀</v>
      </c>
      <c r="B119" s="6" t="str">
        <f>IFERROR(VLOOKUP($F119,매장구분!$B:$K,3,0),"")</f>
        <v>국내</v>
      </c>
      <c r="C119" s="6" t="str">
        <f>IFERROR(VLOOKUP($F119,매장구분!$B:$K,5,0),"")</f>
        <v>대리점</v>
      </c>
      <c r="D119" s="6" t="str">
        <f>IFERROR(VLOOKUP($F119,매장구분!$B:$Z,9,0),"")</f>
        <v>제천(대-위)</v>
      </c>
      <c r="E119" s="69" t="s">
        <v>311</v>
      </c>
      <c r="F119" s="69" t="s">
        <v>312</v>
      </c>
      <c r="G119" s="69">
        <v>510</v>
      </c>
      <c r="H119" s="69">
        <v>65263410</v>
      </c>
      <c r="I119" s="69">
        <v>71526800</v>
      </c>
      <c r="J119" s="69">
        <v>572</v>
      </c>
      <c r="K119" s="69">
        <v>79934110</v>
      </c>
      <c r="L119" s="69">
        <v>86767800</v>
      </c>
      <c r="M119" s="69">
        <v>-62</v>
      </c>
      <c r="N119" s="69">
        <v>-14670700</v>
      </c>
      <c r="O119" s="69">
        <v>-15241000</v>
      </c>
      <c r="P119" s="69">
        <v>748100</v>
      </c>
      <c r="Q119" s="69">
        <v>1394000</v>
      </c>
      <c r="R119" s="69">
        <v>1807100</v>
      </c>
      <c r="S119" s="69">
        <v>3608000</v>
      </c>
      <c r="T119" s="69">
        <v>908100</v>
      </c>
      <c r="U119" s="69">
        <v>2105500</v>
      </c>
      <c r="V119" s="69">
        <v>335800</v>
      </c>
      <c r="W119" s="69">
        <v>144000</v>
      </c>
      <c r="X119" s="69">
        <v>1984000</v>
      </c>
      <c r="Y119" s="69">
        <v>1787710</v>
      </c>
      <c r="Z119" s="69">
        <v>1725300</v>
      </c>
      <c r="AA119" s="69">
        <v>377000</v>
      </c>
      <c r="AB119" s="69">
        <v>353300</v>
      </c>
      <c r="AC119" s="69">
        <v>1804000</v>
      </c>
      <c r="AD119" s="69">
        <v>5844000</v>
      </c>
      <c r="AE119" s="69">
        <v>1772600</v>
      </c>
      <c r="AF119" s="69">
        <v>4192300</v>
      </c>
      <c r="AG119" s="69">
        <v>1081000</v>
      </c>
      <c r="AH119" s="69">
        <v>2208400</v>
      </c>
      <c r="AI119" s="69">
        <v>3157500</v>
      </c>
      <c r="AJ119" s="69">
        <v>3853700</v>
      </c>
      <c r="AK119" s="69">
        <v>2709500</v>
      </c>
      <c r="AL119" s="69">
        <v>718000</v>
      </c>
      <c r="AM119" s="69">
        <v>7155400</v>
      </c>
      <c r="AN119" s="69">
        <v>2938000</v>
      </c>
      <c r="AO119" s="69">
        <v>1256000</v>
      </c>
      <c r="AP119" s="69">
        <v>1693400</v>
      </c>
      <c r="AQ119" s="69">
        <v>1987000</v>
      </c>
      <c r="AR119" s="69">
        <v>1656000</v>
      </c>
      <c r="AS119" s="69">
        <v>3780700</v>
      </c>
      <c r="AT119" s="69">
        <v>178000</v>
      </c>
      <c r="AU119" s="69"/>
      <c r="AW119" s="66">
        <f t="shared" si="15"/>
        <v>3201100</v>
      </c>
      <c r="AX119" s="66">
        <f t="shared" si="15"/>
        <v>10873110</v>
      </c>
      <c r="AY119" s="66">
        <f t="shared" si="15"/>
        <v>16068500</v>
      </c>
      <c r="AZ119" s="66">
        <f t="shared" si="15"/>
        <v>20883500</v>
      </c>
      <c r="BA119" s="66">
        <f t="shared" si="15"/>
        <v>13489100</v>
      </c>
      <c r="BC119" s="66">
        <f t="shared" ca="1" si="11"/>
        <v>44618910</v>
      </c>
      <c r="BD119" s="66">
        <f t="shared" si="12"/>
        <v>65085410</v>
      </c>
    </row>
    <row r="120" spans="1:56" x14ac:dyDescent="0.3">
      <c r="A120" s="6" t="str">
        <f>IFERROR(VLOOKUP($F120,매장구분!$B:$K,2,0),"")</f>
        <v>리테일채널팀</v>
      </c>
      <c r="B120" s="6" t="str">
        <f>IFERROR(VLOOKUP($F120,매장구분!$B:$K,3,0),"")</f>
        <v>국내</v>
      </c>
      <c r="C120" s="6" t="str">
        <f>IFERROR(VLOOKUP($F120,매장구분!$B:$K,5,0),"")</f>
        <v>대리점</v>
      </c>
      <c r="D120" s="6" t="str">
        <f>IFERROR(VLOOKUP($F120,매장구분!$B:$Z,9,0),"")</f>
        <v>스퀘어원인천(대-위)</v>
      </c>
      <c r="E120" s="69" t="s">
        <v>532</v>
      </c>
      <c r="F120" s="69" t="s">
        <v>533</v>
      </c>
      <c r="G120" s="69">
        <v>1261</v>
      </c>
      <c r="H120" s="69">
        <v>150615405</v>
      </c>
      <c r="I120" s="69">
        <v>154449000</v>
      </c>
      <c r="J120" s="69">
        <v>2414</v>
      </c>
      <c r="K120" s="69">
        <v>410115344</v>
      </c>
      <c r="L120" s="69">
        <v>413982000</v>
      </c>
      <c r="M120" s="69">
        <v>-1153</v>
      </c>
      <c r="N120" s="69">
        <v>-259499939</v>
      </c>
      <c r="O120" s="69">
        <v>-259533000</v>
      </c>
      <c r="P120" s="69">
        <v>702000</v>
      </c>
      <c r="Q120" s="69">
        <v>3910600</v>
      </c>
      <c r="R120" s="69">
        <v>4651600</v>
      </c>
      <c r="S120" s="69">
        <v>1517100</v>
      </c>
      <c r="T120" s="69">
        <v>1442100</v>
      </c>
      <c r="U120" s="69">
        <v>3361500</v>
      </c>
      <c r="V120" s="69">
        <v>2031100</v>
      </c>
      <c r="W120" s="69">
        <v>2907805</v>
      </c>
      <c r="X120" s="69">
        <v>6795000</v>
      </c>
      <c r="Y120" s="69">
        <v>4265000</v>
      </c>
      <c r="Z120" s="69">
        <v>11029000</v>
      </c>
      <c r="AA120" s="69">
        <v>1584000</v>
      </c>
      <c r="AB120" s="69">
        <v>2793000</v>
      </c>
      <c r="AC120" s="69">
        <v>3775000</v>
      </c>
      <c r="AD120" s="69">
        <v>1615700</v>
      </c>
      <c r="AE120" s="69">
        <v>-2015700</v>
      </c>
      <c r="AF120" s="69">
        <v>7973000</v>
      </c>
      <c r="AG120" s="69">
        <v>2157000</v>
      </c>
      <c r="AH120" s="69">
        <v>1855000</v>
      </c>
      <c r="AI120" s="69">
        <v>3212300</v>
      </c>
      <c r="AJ120" s="69">
        <v>1846000</v>
      </c>
      <c r="AK120" s="69">
        <v>27748000</v>
      </c>
      <c r="AL120" s="69">
        <v>8712000</v>
      </c>
      <c r="AM120" s="69">
        <v>7915300</v>
      </c>
      <c r="AN120" s="69">
        <v>2188000</v>
      </c>
      <c r="AO120" s="69">
        <v>2746000</v>
      </c>
      <c r="AP120" s="69">
        <v>4910000</v>
      </c>
      <c r="AQ120" s="69">
        <v>10096000</v>
      </c>
      <c r="AR120" s="69">
        <v>2708000</v>
      </c>
      <c r="AS120" s="69">
        <v>8382000</v>
      </c>
      <c r="AT120" s="69">
        <v>7802000</v>
      </c>
      <c r="AU120" s="69"/>
      <c r="AW120" s="66">
        <f t="shared" si="15"/>
        <v>8562200</v>
      </c>
      <c r="AX120" s="66">
        <f t="shared" si="15"/>
        <v>22319605</v>
      </c>
      <c r="AY120" s="66">
        <f t="shared" si="15"/>
        <v>26754000</v>
      </c>
      <c r="AZ120" s="66">
        <f t="shared" si="15"/>
        <v>53445600</v>
      </c>
      <c r="BA120" s="66">
        <f t="shared" si="15"/>
        <v>38832000</v>
      </c>
      <c r="BC120" s="66">
        <f t="shared" ca="1" si="11"/>
        <v>103868105</v>
      </c>
      <c r="BD120" s="66">
        <f t="shared" si="12"/>
        <v>142813405</v>
      </c>
    </row>
    <row r="121" spans="1:56" x14ac:dyDescent="0.3">
      <c r="A121" s="6" t="str">
        <f>IFERROR(VLOOKUP($F121,매장구분!$B:$K,2,0),"")</f>
        <v>리테일채널팀</v>
      </c>
      <c r="B121" s="6" t="str">
        <f>IFERROR(VLOOKUP($F121,매장구분!$B:$K,3,0),"")</f>
        <v>국내</v>
      </c>
      <c r="C121" s="6" t="str">
        <f>IFERROR(VLOOKUP($F121,매장구분!$B:$K,5,0),"")</f>
        <v>대리점</v>
      </c>
      <c r="D121" s="6" t="str">
        <f>IFERROR(VLOOKUP($F121,매장구분!$B:$Z,9,0),"")</f>
        <v>영주(대-위)</v>
      </c>
      <c r="E121" s="69" t="s">
        <v>392</v>
      </c>
      <c r="F121" s="69" t="s">
        <v>393</v>
      </c>
      <c r="G121" s="69">
        <v>384</v>
      </c>
      <c r="H121" s="69">
        <v>50162886</v>
      </c>
      <c r="I121" s="69">
        <v>51389800</v>
      </c>
      <c r="J121" s="69">
        <v>619</v>
      </c>
      <c r="K121" s="69">
        <v>93339525</v>
      </c>
      <c r="L121" s="69">
        <v>94726800</v>
      </c>
      <c r="M121" s="69">
        <v>-235</v>
      </c>
      <c r="N121" s="69">
        <v>-43176639</v>
      </c>
      <c r="O121" s="69">
        <v>-43337000</v>
      </c>
      <c r="P121" s="69">
        <v>554100</v>
      </c>
      <c r="Q121" s="69">
        <v>1623900</v>
      </c>
      <c r="R121" s="69">
        <v>1589700</v>
      </c>
      <c r="S121" s="69">
        <v>1272300</v>
      </c>
      <c r="T121" s="69">
        <v>1553200</v>
      </c>
      <c r="U121" s="69">
        <v>1910100</v>
      </c>
      <c r="V121" s="69">
        <v>1416400</v>
      </c>
      <c r="W121" s="69">
        <v>832000</v>
      </c>
      <c r="X121" s="69">
        <v>2107250</v>
      </c>
      <c r="Y121" s="69">
        <v>1030000</v>
      </c>
      <c r="Z121" s="69">
        <v>1103000</v>
      </c>
      <c r="AA121" s="69">
        <v>585000</v>
      </c>
      <c r="AB121" s="69">
        <v>3196000</v>
      </c>
      <c r="AC121" s="69">
        <v>1544000</v>
      </c>
      <c r="AD121" s="69">
        <v>1012000</v>
      </c>
      <c r="AE121" s="69">
        <v>1178000</v>
      </c>
      <c r="AF121" s="69">
        <v>693000</v>
      </c>
      <c r="AG121" s="69">
        <v>3095000</v>
      </c>
      <c r="AH121" s="69">
        <v>572000</v>
      </c>
      <c r="AI121" s="69">
        <v>494000</v>
      </c>
      <c r="AJ121" s="69">
        <v>1149239</v>
      </c>
      <c r="AK121" s="69">
        <v>2152845</v>
      </c>
      <c r="AL121" s="69">
        <v>1721000</v>
      </c>
      <c r="AM121" s="69">
        <v>4064000</v>
      </c>
      <c r="AN121" s="69">
        <v>543000</v>
      </c>
      <c r="AO121" s="69">
        <v>4282000</v>
      </c>
      <c r="AP121" s="69">
        <v>645191</v>
      </c>
      <c r="AQ121" s="69">
        <v>2694761</v>
      </c>
      <c r="AR121" s="69">
        <v>2843000</v>
      </c>
      <c r="AS121" s="69">
        <v>1822000</v>
      </c>
      <c r="AT121" s="69">
        <v>884900</v>
      </c>
      <c r="AU121" s="69"/>
      <c r="AW121" s="66">
        <f t="shared" si="15"/>
        <v>3213600</v>
      </c>
      <c r="AX121" s="66">
        <f t="shared" si="15"/>
        <v>10121250</v>
      </c>
      <c r="AY121" s="66">
        <f t="shared" si="15"/>
        <v>9311000</v>
      </c>
      <c r="AZ121" s="66">
        <f t="shared" si="15"/>
        <v>13248084</v>
      </c>
      <c r="BA121" s="66">
        <f t="shared" si="15"/>
        <v>13714852</v>
      </c>
      <c r="BC121" s="66">
        <f t="shared" ca="1" si="11"/>
        <v>32384034</v>
      </c>
      <c r="BD121" s="66">
        <f t="shared" si="12"/>
        <v>49277986</v>
      </c>
    </row>
    <row r="122" spans="1:56" x14ac:dyDescent="0.3">
      <c r="A122" s="6" t="str">
        <f>IFERROR(VLOOKUP($F122,매장구분!$B:$K,2,0),"")</f>
        <v>리테일채널팀</v>
      </c>
      <c r="B122" s="6" t="str">
        <f>IFERROR(VLOOKUP($F122,매장구분!$B:$K,3,0),"")</f>
        <v>국내</v>
      </c>
      <c r="C122" s="6" t="str">
        <f>IFERROR(VLOOKUP($F122,매장구분!$B:$K,5,0),"")</f>
        <v>대리점</v>
      </c>
      <c r="D122" s="6" t="str">
        <f>IFERROR(VLOOKUP($F122,매장구분!$B:$Z,9,0),"")</f>
        <v>상주(대-위)</v>
      </c>
      <c r="E122" s="69" t="s">
        <v>388</v>
      </c>
      <c r="F122" s="69" t="s">
        <v>389</v>
      </c>
      <c r="G122" s="69">
        <v>302</v>
      </c>
      <c r="H122" s="69">
        <v>36012833</v>
      </c>
      <c r="I122" s="69">
        <v>37515000</v>
      </c>
      <c r="J122" s="69">
        <v>325</v>
      </c>
      <c r="K122" s="69">
        <v>40046690</v>
      </c>
      <c r="L122" s="69">
        <v>41625000</v>
      </c>
      <c r="M122" s="69">
        <v>-23</v>
      </c>
      <c r="N122" s="69">
        <v>-4033857</v>
      </c>
      <c r="O122" s="69">
        <v>-4110000</v>
      </c>
      <c r="P122" s="69">
        <v>7685200</v>
      </c>
      <c r="Q122" s="69">
        <v>735200</v>
      </c>
      <c r="R122" s="69">
        <v>1009000</v>
      </c>
      <c r="S122" s="69">
        <v>4891100</v>
      </c>
      <c r="T122" s="69">
        <v>634000</v>
      </c>
      <c r="U122" s="69">
        <v>867981</v>
      </c>
      <c r="V122" s="69">
        <v>36000</v>
      </c>
      <c r="W122" s="69">
        <v>317000</v>
      </c>
      <c r="X122" s="69">
        <v>354000</v>
      </c>
      <c r="Y122" s="69">
        <v>1077000</v>
      </c>
      <c r="Z122" s="69">
        <v>646000</v>
      </c>
      <c r="AA122" s="69">
        <v>59000</v>
      </c>
      <c r="AB122" s="69">
        <v>561000</v>
      </c>
      <c r="AC122" s="69">
        <v>448000</v>
      </c>
      <c r="AD122" s="69">
        <v>299000</v>
      </c>
      <c r="AE122" s="69">
        <v>1218000</v>
      </c>
      <c r="AF122" s="69">
        <v>1298000</v>
      </c>
      <c r="AG122" s="69">
        <v>141000</v>
      </c>
      <c r="AH122" s="69">
        <v>1980400</v>
      </c>
      <c r="AI122" s="69">
        <v>338000</v>
      </c>
      <c r="AJ122" s="69">
        <v>662000</v>
      </c>
      <c r="AK122" s="69">
        <v>838778</v>
      </c>
      <c r="AL122" s="69">
        <v>1928000</v>
      </c>
      <c r="AM122" s="69">
        <v>923657</v>
      </c>
      <c r="AN122" s="69">
        <v>1166000</v>
      </c>
      <c r="AO122" s="69">
        <v>347343</v>
      </c>
      <c r="AP122" s="69">
        <v>296000</v>
      </c>
      <c r="AQ122" s="69">
        <v>1494000</v>
      </c>
      <c r="AR122" s="69">
        <v>679874</v>
      </c>
      <c r="AS122" s="69">
        <v>713300</v>
      </c>
      <c r="AT122" s="69">
        <v>2369000</v>
      </c>
      <c r="AU122" s="69"/>
      <c r="AW122" s="66">
        <f t="shared" si="15"/>
        <v>1744200</v>
      </c>
      <c r="AX122" s="66">
        <f t="shared" si="15"/>
        <v>8177081</v>
      </c>
      <c r="AY122" s="66">
        <f t="shared" si="15"/>
        <v>4529000</v>
      </c>
      <c r="AZ122" s="66">
        <f t="shared" si="15"/>
        <v>6811835</v>
      </c>
      <c r="BA122" s="66">
        <f t="shared" si="15"/>
        <v>7065517</v>
      </c>
      <c r="BC122" s="66">
        <f t="shared" ca="1" si="11"/>
        <v>28023659</v>
      </c>
      <c r="BD122" s="66">
        <f t="shared" si="12"/>
        <v>33643833</v>
      </c>
    </row>
    <row r="123" spans="1:56" x14ac:dyDescent="0.3">
      <c r="A123" s="6" t="str">
        <f>IFERROR(VLOOKUP($F123,매장구분!$B:$K,2,0),"")</f>
        <v>리테일채널팀</v>
      </c>
      <c r="B123" s="6" t="str">
        <f>IFERROR(VLOOKUP($F123,매장구분!$B:$K,3,0),"")</f>
        <v>국내</v>
      </c>
      <c r="C123" s="6" t="str">
        <f>IFERROR(VLOOKUP($F123,매장구분!$B:$K,5,0),"")</f>
        <v>대리점</v>
      </c>
      <c r="D123" s="6" t="str">
        <f>IFERROR(VLOOKUP($F123,매장구분!$B:$Z,9,0),"")</f>
        <v>아이즈빌부평(대-위)</v>
      </c>
      <c r="E123" s="69" t="s">
        <v>315</v>
      </c>
      <c r="F123" s="69" t="s">
        <v>316</v>
      </c>
      <c r="G123" s="69">
        <v>975</v>
      </c>
      <c r="H123" s="69">
        <v>122838070</v>
      </c>
      <c r="I123" s="69">
        <v>128840000</v>
      </c>
      <c r="J123" s="69">
        <v>1284</v>
      </c>
      <c r="K123" s="69">
        <v>194435070</v>
      </c>
      <c r="L123" s="69">
        <v>200637000</v>
      </c>
      <c r="M123" s="69">
        <v>-309</v>
      </c>
      <c r="N123" s="69">
        <v>-71597000</v>
      </c>
      <c r="O123" s="69">
        <v>-71797000</v>
      </c>
      <c r="P123" s="69">
        <v>2081200</v>
      </c>
      <c r="Q123" s="69">
        <v>1927100</v>
      </c>
      <c r="R123" s="69">
        <v>2238100</v>
      </c>
      <c r="S123" s="69">
        <v>1508000</v>
      </c>
      <c r="T123" s="69">
        <v>2057100</v>
      </c>
      <c r="U123" s="69">
        <v>2562000</v>
      </c>
      <c r="V123" s="69">
        <v>5772300</v>
      </c>
      <c r="W123" s="69">
        <v>321100</v>
      </c>
      <c r="X123" s="69">
        <v>1935000</v>
      </c>
      <c r="Y123" s="69">
        <v>3600000</v>
      </c>
      <c r="Z123" s="69">
        <v>4357000</v>
      </c>
      <c r="AA123" s="69">
        <v>2864000</v>
      </c>
      <c r="AB123" s="69">
        <v>332000</v>
      </c>
      <c r="AC123" s="69">
        <v>235000</v>
      </c>
      <c r="AD123" s="69">
        <v>186850</v>
      </c>
      <c r="AE123" s="69">
        <v>1373000</v>
      </c>
      <c r="AF123" s="69">
        <v>1936000</v>
      </c>
      <c r="AG123" s="69">
        <v>2044000</v>
      </c>
      <c r="AH123" s="69">
        <v>25103000</v>
      </c>
      <c r="AI123" s="69">
        <v>5157000</v>
      </c>
      <c r="AJ123" s="69">
        <v>4637000</v>
      </c>
      <c r="AK123" s="69">
        <v>1692000</v>
      </c>
      <c r="AL123" s="69">
        <v>3154000</v>
      </c>
      <c r="AM123" s="69">
        <v>3233000</v>
      </c>
      <c r="AN123" s="69">
        <v>6868000</v>
      </c>
      <c r="AO123" s="69">
        <v>1953000</v>
      </c>
      <c r="AP123" s="69">
        <v>2190000</v>
      </c>
      <c r="AQ123" s="69">
        <v>23373000</v>
      </c>
      <c r="AR123" s="69">
        <v>2375000</v>
      </c>
      <c r="AS123" s="69">
        <v>2303000</v>
      </c>
      <c r="AT123" s="69">
        <v>3470320</v>
      </c>
      <c r="AU123" s="69"/>
      <c r="AW123" s="66">
        <f t="shared" si="15"/>
        <v>4165200</v>
      </c>
      <c r="AX123" s="66">
        <f t="shared" si="15"/>
        <v>17755500</v>
      </c>
      <c r="AY123" s="66">
        <f t="shared" si="15"/>
        <v>11283850</v>
      </c>
      <c r="AZ123" s="66">
        <f t="shared" si="15"/>
        <v>45020000</v>
      </c>
      <c r="BA123" s="66">
        <f t="shared" si="15"/>
        <v>42532320</v>
      </c>
      <c r="BC123" s="66">
        <f t="shared" ca="1" si="11"/>
        <v>77072750</v>
      </c>
      <c r="BD123" s="66">
        <f t="shared" si="12"/>
        <v>119367750</v>
      </c>
    </row>
    <row r="124" spans="1:56" x14ac:dyDescent="0.3">
      <c r="A124" s="6" t="str">
        <f>IFERROR(VLOOKUP($F124,매장구분!$B:$K,2,0),"")</f>
        <v>리테일채널팀</v>
      </c>
      <c r="B124" s="6" t="str">
        <f>IFERROR(VLOOKUP($F124,매장구분!$B:$K,3,0),"")</f>
        <v>국내</v>
      </c>
      <c r="C124" s="6" t="str">
        <f>IFERROR(VLOOKUP($F124,매장구분!$B:$K,5,0),"")</f>
        <v>대리점</v>
      </c>
      <c r="D124" s="6" t="str">
        <f>IFERROR(VLOOKUP($F124,매장구분!$B:$Z,9,0),"")</f>
        <v>정읍(대-위)</v>
      </c>
      <c r="E124" s="69" t="s">
        <v>318</v>
      </c>
      <c r="F124" s="69" t="s">
        <v>319</v>
      </c>
      <c r="G124" s="69">
        <v>402</v>
      </c>
      <c r="H124" s="69">
        <v>41934445</v>
      </c>
      <c r="I124" s="69">
        <v>43056700</v>
      </c>
      <c r="J124" s="69">
        <v>442</v>
      </c>
      <c r="K124" s="69">
        <v>47510445</v>
      </c>
      <c r="L124" s="69">
        <v>48671700</v>
      </c>
      <c r="M124" s="69">
        <v>-40</v>
      </c>
      <c r="N124" s="69">
        <v>-5576000</v>
      </c>
      <c r="O124" s="69">
        <v>-5615000</v>
      </c>
      <c r="P124" s="69">
        <v>350000</v>
      </c>
      <c r="Q124" s="69">
        <v>2863000</v>
      </c>
      <c r="R124" s="69">
        <v>960000</v>
      </c>
      <c r="S124" s="69">
        <v>934000</v>
      </c>
      <c r="T124" s="69">
        <v>526780</v>
      </c>
      <c r="U124" s="69">
        <v>874600</v>
      </c>
      <c r="V124" s="69">
        <v>784000</v>
      </c>
      <c r="W124" s="69">
        <v>1352300</v>
      </c>
      <c r="X124" s="69">
        <v>3523300</v>
      </c>
      <c r="Y124" s="69">
        <v>1895000</v>
      </c>
      <c r="Z124" s="69">
        <v>484000</v>
      </c>
      <c r="AA124" s="69">
        <v>1107000</v>
      </c>
      <c r="AB124" s="69">
        <v>178000</v>
      </c>
      <c r="AC124" s="69">
        <v>1430000</v>
      </c>
      <c r="AD124" s="69">
        <v>454000</v>
      </c>
      <c r="AE124" s="69">
        <v>1666000</v>
      </c>
      <c r="AF124" s="69">
        <v>1415900</v>
      </c>
      <c r="AG124" s="69">
        <v>3546200</v>
      </c>
      <c r="AH124" s="69">
        <v>570000</v>
      </c>
      <c r="AI124" s="69">
        <v>1200900</v>
      </c>
      <c r="AJ124" s="69">
        <v>793000</v>
      </c>
      <c r="AK124" s="69">
        <v>1115000</v>
      </c>
      <c r="AL124" s="69">
        <v>2222000</v>
      </c>
      <c r="AM124" s="69">
        <v>1172000</v>
      </c>
      <c r="AN124" s="69">
        <v>1370264</v>
      </c>
      <c r="AO124" s="69">
        <v>2510301</v>
      </c>
      <c r="AP124" s="69">
        <v>1434000</v>
      </c>
      <c r="AQ124" s="69">
        <v>161000</v>
      </c>
      <c r="AR124" s="69">
        <v>3312900</v>
      </c>
      <c r="AS124" s="69">
        <v>673000</v>
      </c>
      <c r="AT124" s="69">
        <v>1056000</v>
      </c>
      <c r="AU124" s="69"/>
      <c r="AW124" s="66">
        <f t="shared" ref="AW124:BA139" si="16">SUMIFS($Q124:$AU124,$Q$3:$AU$3,AW$3)</f>
        <v>3823000</v>
      </c>
      <c r="AX124" s="66">
        <f t="shared" si="16"/>
        <v>9889980</v>
      </c>
      <c r="AY124" s="66">
        <f t="shared" si="16"/>
        <v>6734900</v>
      </c>
      <c r="AZ124" s="66">
        <f t="shared" si="16"/>
        <v>10619100</v>
      </c>
      <c r="BA124" s="66">
        <f t="shared" si="16"/>
        <v>10517465</v>
      </c>
      <c r="BC124" s="66">
        <f t="shared" ca="1" si="11"/>
        <v>30244980</v>
      </c>
      <c r="BD124" s="66">
        <f t="shared" si="12"/>
        <v>40878445</v>
      </c>
    </row>
    <row r="125" spans="1:56" x14ac:dyDescent="0.3">
      <c r="A125" s="6" t="str">
        <f>IFERROR(VLOOKUP($F125,매장구분!$B:$K,2,0),"")</f>
        <v>리테일채널팀</v>
      </c>
      <c r="B125" s="6" t="str">
        <f>IFERROR(VLOOKUP($F125,매장구분!$B:$K,3,0),"")</f>
        <v>국내</v>
      </c>
      <c r="C125" s="6" t="str">
        <f>IFERROR(VLOOKUP($F125,매장구분!$B:$K,5,0),"")</f>
        <v>대리점</v>
      </c>
      <c r="D125" s="6" t="str">
        <f>IFERROR(VLOOKUP($F125,매장구분!$B:$Z,9,0),"")</f>
        <v>남원(대-위)</v>
      </c>
      <c r="E125" s="69" t="s">
        <v>410</v>
      </c>
      <c r="F125" s="69" t="s">
        <v>411</v>
      </c>
      <c r="G125" s="69">
        <v>319</v>
      </c>
      <c r="H125" s="69">
        <v>37890361</v>
      </c>
      <c r="I125" s="69">
        <v>39203900</v>
      </c>
      <c r="J125" s="69">
        <v>370</v>
      </c>
      <c r="K125" s="69">
        <v>45334361</v>
      </c>
      <c r="L125" s="69">
        <v>46647900</v>
      </c>
      <c r="M125" s="69">
        <v>-51</v>
      </c>
      <c r="N125" s="69">
        <v>-7444000</v>
      </c>
      <c r="O125" s="69">
        <v>-7444000</v>
      </c>
      <c r="P125" s="69">
        <v>1313800</v>
      </c>
      <c r="Q125" s="69">
        <v>1552000</v>
      </c>
      <c r="R125" s="69">
        <v>1028100</v>
      </c>
      <c r="S125" s="69">
        <v>512100</v>
      </c>
      <c r="T125" s="69">
        <v>876900</v>
      </c>
      <c r="U125" s="69">
        <v>537500</v>
      </c>
      <c r="V125" s="69">
        <v>1648400</v>
      </c>
      <c r="W125" s="69">
        <v>1257900</v>
      </c>
      <c r="X125" s="69">
        <v>1382755</v>
      </c>
      <c r="Y125" s="69">
        <v>533000</v>
      </c>
      <c r="Z125" s="69">
        <v>955000</v>
      </c>
      <c r="AA125" s="69">
        <v>1143000</v>
      </c>
      <c r="AB125" s="69">
        <v>762000</v>
      </c>
      <c r="AC125" s="69">
        <v>1549000</v>
      </c>
      <c r="AD125" s="69">
        <v>1254000</v>
      </c>
      <c r="AE125" s="69">
        <v>1952000</v>
      </c>
      <c r="AF125" s="69">
        <v>902000</v>
      </c>
      <c r="AG125" s="69">
        <v>1924900</v>
      </c>
      <c r="AH125" s="69">
        <v>839000</v>
      </c>
      <c r="AI125" s="69">
        <v>757000</v>
      </c>
      <c r="AJ125" s="69">
        <v>954387</v>
      </c>
      <c r="AK125" s="69">
        <v>1109000</v>
      </c>
      <c r="AL125" s="69">
        <v>1295532</v>
      </c>
      <c r="AM125" s="69">
        <v>3309000</v>
      </c>
      <c r="AN125" s="69">
        <v>948000</v>
      </c>
      <c r="AO125" s="69">
        <v>1598000</v>
      </c>
      <c r="AP125" s="69">
        <v>1223000</v>
      </c>
      <c r="AQ125" s="69">
        <v>817000</v>
      </c>
      <c r="AR125" s="69">
        <v>2027000</v>
      </c>
      <c r="AS125" s="69">
        <v>1016000</v>
      </c>
      <c r="AT125" s="69">
        <v>913087</v>
      </c>
      <c r="AU125" s="69"/>
      <c r="AW125" s="66">
        <f t="shared" si="16"/>
        <v>2580100</v>
      </c>
      <c r="AX125" s="66">
        <f t="shared" si="16"/>
        <v>6748555</v>
      </c>
      <c r="AY125" s="66">
        <f t="shared" si="16"/>
        <v>8517000</v>
      </c>
      <c r="AZ125" s="66">
        <f t="shared" si="16"/>
        <v>10188819</v>
      </c>
      <c r="BA125" s="66">
        <f t="shared" si="16"/>
        <v>8542087</v>
      </c>
      <c r="BC125" s="66">
        <f t="shared" ca="1" si="11"/>
        <v>26039274</v>
      </c>
      <c r="BD125" s="66">
        <f t="shared" si="12"/>
        <v>36977274</v>
      </c>
    </row>
    <row r="126" spans="1:56" x14ac:dyDescent="0.3">
      <c r="A126" s="6" t="str">
        <f>IFERROR(VLOOKUP($F126,매장구분!$B:$K,2,0),"")</f>
        <v>리테일채널팀</v>
      </c>
      <c r="B126" s="6" t="str">
        <f>IFERROR(VLOOKUP($F126,매장구분!$B:$K,3,0),"")</f>
        <v>국내</v>
      </c>
      <c r="C126" s="6" t="str">
        <f>IFERROR(VLOOKUP($F126,매장구분!$B:$K,5,0),"")</f>
        <v>대리점</v>
      </c>
      <c r="D126" s="6" t="str">
        <f>IFERROR(VLOOKUP($F126,매장구분!$B:$Z,9,0),"")</f>
        <v>부천(대-위)</v>
      </c>
      <c r="E126" s="69" t="s">
        <v>530</v>
      </c>
      <c r="F126" s="69" t="s">
        <v>531</v>
      </c>
      <c r="G126" s="69">
        <v>802</v>
      </c>
      <c r="H126" s="69">
        <v>121896300</v>
      </c>
      <c r="I126" s="69">
        <v>127139000</v>
      </c>
      <c r="J126" s="69">
        <v>936</v>
      </c>
      <c r="K126" s="69">
        <v>154564300</v>
      </c>
      <c r="L126" s="69">
        <v>159807000</v>
      </c>
      <c r="M126" s="69">
        <v>-134</v>
      </c>
      <c r="N126" s="69">
        <v>-32668000</v>
      </c>
      <c r="O126" s="69">
        <v>-32668000</v>
      </c>
      <c r="P126" s="69">
        <v>6878000</v>
      </c>
      <c r="Q126" s="69">
        <v>1467000</v>
      </c>
      <c r="R126" s="69">
        <v>1751000</v>
      </c>
      <c r="S126" s="69">
        <v>1966300</v>
      </c>
      <c r="T126" s="69">
        <v>1551000</v>
      </c>
      <c r="U126" s="69">
        <v>2719000</v>
      </c>
      <c r="V126" s="69">
        <v>4274000</v>
      </c>
      <c r="W126" s="69">
        <v>8810000</v>
      </c>
      <c r="X126" s="69">
        <v>7144000</v>
      </c>
      <c r="Y126" s="69">
        <v>2625000</v>
      </c>
      <c r="Z126" s="69">
        <v>3214000</v>
      </c>
      <c r="AA126" s="69">
        <v>4108000</v>
      </c>
      <c r="AB126" s="69">
        <v>5491000</v>
      </c>
      <c r="AC126" s="69">
        <v>5719000</v>
      </c>
      <c r="AD126" s="69">
        <v>3721000</v>
      </c>
      <c r="AE126" s="69">
        <v>837000</v>
      </c>
      <c r="AF126" s="69">
        <v>2493000</v>
      </c>
      <c r="AG126" s="69">
        <v>2017000</v>
      </c>
      <c r="AH126" s="69">
        <v>1964000</v>
      </c>
      <c r="AI126" s="69">
        <v>3537000</v>
      </c>
      <c r="AJ126" s="69">
        <v>11415000</v>
      </c>
      <c r="AK126" s="69">
        <v>1903000</v>
      </c>
      <c r="AL126" s="69">
        <v>3799000</v>
      </c>
      <c r="AM126" s="69">
        <v>3137000</v>
      </c>
      <c r="AN126" s="69">
        <v>2069000</v>
      </c>
      <c r="AO126" s="69">
        <v>2262000</v>
      </c>
      <c r="AP126" s="69">
        <v>2446000</v>
      </c>
      <c r="AQ126" s="69">
        <v>4935000</v>
      </c>
      <c r="AR126" s="69">
        <v>5971000</v>
      </c>
      <c r="AS126" s="69">
        <v>2796000</v>
      </c>
      <c r="AT126" s="69">
        <v>8877000</v>
      </c>
      <c r="AU126" s="69"/>
      <c r="AW126" s="66">
        <f t="shared" si="16"/>
        <v>3218000</v>
      </c>
      <c r="AX126" s="66">
        <f t="shared" si="16"/>
        <v>29089300</v>
      </c>
      <c r="AY126" s="66">
        <f t="shared" si="16"/>
        <v>25583000</v>
      </c>
      <c r="AZ126" s="66">
        <f t="shared" si="16"/>
        <v>27772000</v>
      </c>
      <c r="BA126" s="66">
        <f t="shared" si="16"/>
        <v>29356000</v>
      </c>
      <c r="BC126" s="66">
        <f t="shared" ca="1" si="11"/>
        <v>89403300</v>
      </c>
      <c r="BD126" s="66">
        <f t="shared" si="12"/>
        <v>113019300</v>
      </c>
    </row>
    <row r="127" spans="1:56" x14ac:dyDescent="0.3">
      <c r="A127" s="6" t="str">
        <f>IFERROR(VLOOKUP($F127,매장구분!$B:$K,2,0),"")</f>
        <v>리테일채널팀</v>
      </c>
      <c r="B127" s="6" t="str">
        <f>IFERROR(VLOOKUP($F127,매장구분!$B:$K,3,0),"")</f>
        <v>국내</v>
      </c>
      <c r="C127" s="6" t="str">
        <f>IFERROR(VLOOKUP($F127,매장구분!$B:$K,5,0),"")</f>
        <v>대리점</v>
      </c>
      <c r="D127" s="6" t="str">
        <f>IFERROR(VLOOKUP($F127,매장구분!$B:$Z,9,0),"")</f>
        <v>아산(대-위)</v>
      </c>
      <c r="E127" s="69" t="s">
        <v>194</v>
      </c>
      <c r="F127" s="69" t="s">
        <v>195</v>
      </c>
      <c r="G127" s="69">
        <v>570</v>
      </c>
      <c r="H127" s="69">
        <v>67148852</v>
      </c>
      <c r="I127" s="69">
        <v>69100000</v>
      </c>
      <c r="J127" s="69">
        <v>710</v>
      </c>
      <c r="K127" s="69">
        <v>88055452</v>
      </c>
      <c r="L127" s="69">
        <v>90125000</v>
      </c>
      <c r="M127" s="69">
        <v>-140</v>
      </c>
      <c r="N127" s="69">
        <v>-20906600</v>
      </c>
      <c r="O127" s="69">
        <v>-21025000</v>
      </c>
      <c r="P127" s="69">
        <v>2022000</v>
      </c>
      <c r="Q127" s="69">
        <v>3249500</v>
      </c>
      <c r="R127" s="69">
        <v>1029500</v>
      </c>
      <c r="S127" s="69">
        <v>1094300</v>
      </c>
      <c r="T127" s="69">
        <v>1687400</v>
      </c>
      <c r="U127" s="69">
        <v>1492500</v>
      </c>
      <c r="V127" s="69">
        <v>1433000</v>
      </c>
      <c r="W127" s="69">
        <v>1139000</v>
      </c>
      <c r="X127" s="69">
        <v>2719000</v>
      </c>
      <c r="Y127" s="69">
        <v>4279600</v>
      </c>
      <c r="Z127" s="69">
        <v>1681000</v>
      </c>
      <c r="AA127" s="69">
        <v>1405000</v>
      </c>
      <c r="AB127" s="69">
        <v>1322600</v>
      </c>
      <c r="AC127" s="69">
        <v>1755000</v>
      </c>
      <c r="AD127" s="69">
        <v>3119000</v>
      </c>
      <c r="AE127" s="69">
        <v>1185000</v>
      </c>
      <c r="AF127" s="69">
        <v>3153768</v>
      </c>
      <c r="AG127" s="69">
        <v>4476000</v>
      </c>
      <c r="AH127" s="69">
        <v>3285000</v>
      </c>
      <c r="AI127" s="69">
        <v>1552000</v>
      </c>
      <c r="AJ127" s="69">
        <v>2292000</v>
      </c>
      <c r="AK127" s="69">
        <v>1417000</v>
      </c>
      <c r="AL127" s="69">
        <v>2524000</v>
      </c>
      <c r="AM127" s="69">
        <v>3291000</v>
      </c>
      <c r="AN127" s="69">
        <v>761000</v>
      </c>
      <c r="AO127" s="69">
        <v>2687000</v>
      </c>
      <c r="AP127" s="69">
        <v>1235684</v>
      </c>
      <c r="AQ127" s="69">
        <v>1384000</v>
      </c>
      <c r="AR127" s="69">
        <v>1820000</v>
      </c>
      <c r="AS127" s="69">
        <v>3565000</v>
      </c>
      <c r="AT127" s="69">
        <v>3092000</v>
      </c>
      <c r="AU127" s="69"/>
      <c r="AW127" s="66">
        <f t="shared" si="16"/>
        <v>4279000</v>
      </c>
      <c r="AX127" s="66">
        <f t="shared" si="16"/>
        <v>13844800</v>
      </c>
      <c r="AY127" s="66">
        <f t="shared" si="16"/>
        <v>13621368</v>
      </c>
      <c r="AZ127" s="66">
        <f t="shared" si="16"/>
        <v>18837000</v>
      </c>
      <c r="BA127" s="66">
        <f t="shared" si="16"/>
        <v>14544684</v>
      </c>
      <c r="BC127" s="66">
        <f t="shared" ca="1" si="11"/>
        <v>49313168</v>
      </c>
      <c r="BD127" s="66">
        <f t="shared" si="12"/>
        <v>64056852</v>
      </c>
    </row>
    <row r="128" spans="1:56" x14ac:dyDescent="0.3">
      <c r="A128" s="6" t="str">
        <f>IFERROR(VLOOKUP($F128,매장구분!$B:$K,2,0),"")</f>
        <v>리테일채널팀</v>
      </c>
      <c r="B128" s="6" t="str">
        <f>IFERROR(VLOOKUP($F128,매장구분!$B:$K,3,0),"")</f>
        <v>국내</v>
      </c>
      <c r="C128" s="6" t="str">
        <f>IFERROR(VLOOKUP($F128,매장구분!$B:$K,5,0),"")</f>
        <v>대리점</v>
      </c>
      <c r="D128" s="6" t="str">
        <f>IFERROR(VLOOKUP($F128,매장구분!$B:$Z,9,0),"")</f>
        <v>홍성(대-위)</v>
      </c>
      <c r="E128" s="69" t="s">
        <v>418</v>
      </c>
      <c r="F128" s="69" t="s">
        <v>419</v>
      </c>
      <c r="G128" s="69">
        <v>532</v>
      </c>
      <c r="H128" s="69">
        <v>76375162</v>
      </c>
      <c r="I128" s="69">
        <v>80587900</v>
      </c>
      <c r="J128" s="69">
        <v>819</v>
      </c>
      <c r="K128" s="69">
        <v>134181087</v>
      </c>
      <c r="L128" s="69">
        <v>139722900</v>
      </c>
      <c r="M128" s="69">
        <v>-287</v>
      </c>
      <c r="N128" s="69">
        <v>-57805925</v>
      </c>
      <c r="O128" s="69">
        <v>-59135000</v>
      </c>
      <c r="P128" s="69">
        <v>1768300</v>
      </c>
      <c r="Q128" s="69">
        <v>1118152</v>
      </c>
      <c r="R128" s="69">
        <v>4970100</v>
      </c>
      <c r="S128" s="69">
        <v>2051200</v>
      </c>
      <c r="T128" s="69">
        <v>2202000</v>
      </c>
      <c r="U128" s="69">
        <v>2349825</v>
      </c>
      <c r="V128" s="69">
        <v>787000</v>
      </c>
      <c r="W128" s="69">
        <v>3004200</v>
      </c>
      <c r="X128" s="69">
        <v>847400</v>
      </c>
      <c r="Y128" s="69">
        <v>514000</v>
      </c>
      <c r="Z128" s="69">
        <v>-85500</v>
      </c>
      <c r="AA128" s="69">
        <v>2814900</v>
      </c>
      <c r="AB128" s="69">
        <v>2155200</v>
      </c>
      <c r="AC128" s="69">
        <v>367000</v>
      </c>
      <c r="AD128" s="69">
        <v>1143000</v>
      </c>
      <c r="AE128" s="69">
        <v>2293000</v>
      </c>
      <c r="AF128" s="69">
        <v>3485385</v>
      </c>
      <c r="AG128" s="69">
        <v>567500</v>
      </c>
      <c r="AH128" s="69">
        <v>2884500</v>
      </c>
      <c r="AI128" s="69">
        <v>3327000</v>
      </c>
      <c r="AJ128" s="69">
        <v>3050000</v>
      </c>
      <c r="AK128" s="69">
        <v>4364000</v>
      </c>
      <c r="AL128" s="69">
        <v>3382000</v>
      </c>
      <c r="AM128" s="69">
        <v>6343000</v>
      </c>
      <c r="AN128" s="69">
        <v>2660000</v>
      </c>
      <c r="AO128" s="69">
        <v>2606000</v>
      </c>
      <c r="AP128" s="69">
        <v>458000</v>
      </c>
      <c r="AQ128" s="69">
        <v>3456000</v>
      </c>
      <c r="AR128" s="69">
        <v>2511000</v>
      </c>
      <c r="AS128" s="69">
        <v>1590000</v>
      </c>
      <c r="AT128" s="69">
        <v>7391000</v>
      </c>
      <c r="AU128" s="69"/>
      <c r="AW128" s="66">
        <f t="shared" si="16"/>
        <v>6088252</v>
      </c>
      <c r="AX128" s="66">
        <f t="shared" si="16"/>
        <v>11755625</v>
      </c>
      <c r="AY128" s="66">
        <f t="shared" si="16"/>
        <v>12172985</v>
      </c>
      <c r="AZ128" s="66">
        <f t="shared" si="16"/>
        <v>23918000</v>
      </c>
      <c r="BA128" s="66">
        <f t="shared" si="16"/>
        <v>20672000</v>
      </c>
      <c r="BC128" s="66">
        <f t="shared" ca="1" si="11"/>
        <v>49360162</v>
      </c>
      <c r="BD128" s="66">
        <f t="shared" si="12"/>
        <v>68984162</v>
      </c>
    </row>
    <row r="129" spans="1:56" x14ac:dyDescent="0.3">
      <c r="A129" s="6" t="str">
        <f>IFERROR(VLOOKUP($F129,매장구분!$B:$K,2,0),"")</f>
        <v>리테일채널팀</v>
      </c>
      <c r="B129" s="6" t="str">
        <f>IFERROR(VLOOKUP($F129,매장구분!$B:$K,3,0),"")</f>
        <v>국내</v>
      </c>
      <c r="C129" s="6" t="str">
        <f>IFERROR(VLOOKUP($F129,매장구분!$B:$K,5,0),"")</f>
        <v>대리점</v>
      </c>
      <c r="D129" s="6" t="str">
        <f>IFERROR(VLOOKUP($F129,매장구분!$B:$Z,9,0),"")</f>
        <v>성남신흥(대-위)</v>
      </c>
      <c r="E129" s="69" t="s">
        <v>228</v>
      </c>
      <c r="F129" s="69" t="s">
        <v>229</v>
      </c>
      <c r="G129" s="69">
        <v>1184</v>
      </c>
      <c r="H129" s="69">
        <v>191385606</v>
      </c>
      <c r="I129" s="69">
        <v>200246900</v>
      </c>
      <c r="J129" s="69">
        <v>1579</v>
      </c>
      <c r="K129" s="69">
        <v>263653049</v>
      </c>
      <c r="L129" s="69">
        <v>272593900</v>
      </c>
      <c r="M129" s="69">
        <v>-395</v>
      </c>
      <c r="N129" s="69">
        <v>-72267443</v>
      </c>
      <c r="O129" s="69">
        <v>-72347000</v>
      </c>
      <c r="P129" s="69">
        <v>1057800</v>
      </c>
      <c r="Q129" s="69">
        <v>2695300</v>
      </c>
      <c r="R129" s="69">
        <v>3241800</v>
      </c>
      <c r="S129" s="69">
        <v>6814500</v>
      </c>
      <c r="T129" s="69">
        <v>35782700</v>
      </c>
      <c r="U129" s="69">
        <v>2725100</v>
      </c>
      <c r="V129" s="69">
        <v>3717900</v>
      </c>
      <c r="W129" s="69">
        <v>3021200</v>
      </c>
      <c r="X129" s="69">
        <v>5274000</v>
      </c>
      <c r="Y129" s="69">
        <v>3332500</v>
      </c>
      <c r="Z129" s="69">
        <v>32671000</v>
      </c>
      <c r="AA129" s="69">
        <v>2633400</v>
      </c>
      <c r="AB129" s="69">
        <v>2190000</v>
      </c>
      <c r="AC129" s="69">
        <v>1615711</v>
      </c>
      <c r="AD129" s="69">
        <v>2772800</v>
      </c>
      <c r="AE129" s="69">
        <v>4113477</v>
      </c>
      <c r="AF129" s="69">
        <v>6402000</v>
      </c>
      <c r="AG129" s="69">
        <v>5684000</v>
      </c>
      <c r="AH129" s="69">
        <v>1386000</v>
      </c>
      <c r="AI129" s="69">
        <v>8779900</v>
      </c>
      <c r="AJ129" s="69">
        <v>1958000</v>
      </c>
      <c r="AK129" s="69">
        <v>11268000</v>
      </c>
      <c r="AL129" s="69">
        <v>4915440</v>
      </c>
      <c r="AM129" s="69">
        <v>7205734</v>
      </c>
      <c r="AN129" s="69">
        <v>1188000</v>
      </c>
      <c r="AO129" s="69">
        <v>1379000</v>
      </c>
      <c r="AP129" s="69">
        <v>2192300</v>
      </c>
      <c r="AQ129" s="69">
        <v>5627044</v>
      </c>
      <c r="AR129" s="69">
        <v>3176000</v>
      </c>
      <c r="AS129" s="69">
        <v>10109000</v>
      </c>
      <c r="AT129" s="69">
        <v>6456000</v>
      </c>
      <c r="AU129" s="69"/>
      <c r="AW129" s="66">
        <f t="shared" si="16"/>
        <v>5937100</v>
      </c>
      <c r="AX129" s="66">
        <f t="shared" si="16"/>
        <v>60667900</v>
      </c>
      <c r="AY129" s="66">
        <f t="shared" si="16"/>
        <v>52398388</v>
      </c>
      <c r="AZ129" s="66">
        <f t="shared" si="16"/>
        <v>41197074</v>
      </c>
      <c r="BA129" s="66">
        <f t="shared" si="16"/>
        <v>30127344</v>
      </c>
      <c r="BC129" s="66">
        <f t="shared" ca="1" si="11"/>
        <v>154052528</v>
      </c>
      <c r="BD129" s="66">
        <f t="shared" si="12"/>
        <v>184929606</v>
      </c>
    </row>
    <row r="130" spans="1:56" x14ac:dyDescent="0.3">
      <c r="A130" s="6" t="str">
        <f>IFERROR(VLOOKUP($F130,매장구분!$B:$K,2,0),"")</f>
        <v>리테일채널팀</v>
      </c>
      <c r="B130" s="6" t="str">
        <f>IFERROR(VLOOKUP($F130,매장구분!$B:$K,3,0),"")</f>
        <v>국내</v>
      </c>
      <c r="C130" s="6" t="str">
        <f>IFERROR(VLOOKUP($F130,매장구분!$B:$K,5,0),"")</f>
        <v>대리점</v>
      </c>
      <c r="D130" s="6" t="str">
        <f>IFERROR(VLOOKUP($F130,매장구분!$B:$Z,9,0),"")</f>
        <v>남양주삼패(대-위)</v>
      </c>
      <c r="E130" s="69" t="s">
        <v>586</v>
      </c>
      <c r="F130" s="69" t="s">
        <v>587</v>
      </c>
      <c r="G130" s="69">
        <v>1448</v>
      </c>
      <c r="H130" s="69">
        <v>170435800</v>
      </c>
      <c r="I130" s="69">
        <v>180864000</v>
      </c>
      <c r="J130" s="69">
        <v>1529</v>
      </c>
      <c r="K130" s="69">
        <v>182884800</v>
      </c>
      <c r="L130" s="69">
        <v>193313000</v>
      </c>
      <c r="M130" s="69">
        <v>-81</v>
      </c>
      <c r="N130" s="69">
        <v>-12449000</v>
      </c>
      <c r="O130" s="69">
        <v>-12449000</v>
      </c>
      <c r="P130" s="69">
        <v>754000</v>
      </c>
      <c r="Q130" s="69">
        <v>1435000</v>
      </c>
      <c r="R130" s="69">
        <v>216000</v>
      </c>
      <c r="S130" s="69">
        <v>17969000</v>
      </c>
      <c r="T130" s="69">
        <v>19443000</v>
      </c>
      <c r="U130" s="69">
        <v>6725000</v>
      </c>
      <c r="V130" s="69">
        <v>13159000</v>
      </c>
      <c r="W130" s="69">
        <v>436000</v>
      </c>
      <c r="X130" s="69">
        <v>20043000</v>
      </c>
      <c r="Y130" s="69">
        <v>638000</v>
      </c>
      <c r="Z130" s="69">
        <v>1123000</v>
      </c>
      <c r="AA130" s="69">
        <v>5370000</v>
      </c>
      <c r="AB130" s="69">
        <v>10165000</v>
      </c>
      <c r="AC130" s="69">
        <v>7551000</v>
      </c>
      <c r="AD130" s="69">
        <v>6946000</v>
      </c>
      <c r="AE130" s="69">
        <v>2042000</v>
      </c>
      <c r="AF130" s="69">
        <v>458000</v>
      </c>
      <c r="AG130" s="69">
        <v>2176000</v>
      </c>
      <c r="AH130" s="69">
        <v>1240000</v>
      </c>
      <c r="AI130" s="69">
        <v>192000</v>
      </c>
      <c r="AJ130" s="69">
        <v>6443500</v>
      </c>
      <c r="AK130" s="69">
        <v>19296000</v>
      </c>
      <c r="AL130" s="69">
        <v>8671000</v>
      </c>
      <c r="AM130" s="69">
        <v>1966000</v>
      </c>
      <c r="AN130" s="69">
        <v>2290000</v>
      </c>
      <c r="AO130" s="69">
        <v>218000</v>
      </c>
      <c r="AP130" s="69">
        <v>1059000</v>
      </c>
      <c r="AQ130" s="69">
        <v>9130000</v>
      </c>
      <c r="AR130" s="69">
        <v>1348000</v>
      </c>
      <c r="AS130" s="69">
        <v>508000</v>
      </c>
      <c r="AT130" s="69">
        <v>1425300</v>
      </c>
      <c r="AU130" s="69"/>
      <c r="AW130" s="66">
        <f t="shared" si="16"/>
        <v>1651000</v>
      </c>
      <c r="AX130" s="66">
        <f t="shared" si="16"/>
        <v>78413000</v>
      </c>
      <c r="AY130" s="66">
        <f t="shared" si="16"/>
        <v>33655000</v>
      </c>
      <c r="AZ130" s="66">
        <f t="shared" si="16"/>
        <v>39984500</v>
      </c>
      <c r="BA130" s="66">
        <f t="shared" si="16"/>
        <v>15978300</v>
      </c>
      <c r="BC130" s="66">
        <f t="shared" ca="1" si="11"/>
        <v>152491500</v>
      </c>
      <c r="BD130" s="66">
        <f t="shared" si="12"/>
        <v>169010500</v>
      </c>
    </row>
    <row r="131" spans="1:56" x14ac:dyDescent="0.3">
      <c r="A131" s="6" t="str">
        <f>IFERROR(VLOOKUP($F131,매장구분!$B:$K,2,0),"")</f>
        <v>리테일채널팀</v>
      </c>
      <c r="B131" s="6" t="str">
        <f>IFERROR(VLOOKUP($F131,매장구분!$B:$K,3,0),"")</f>
        <v>국내</v>
      </c>
      <c r="C131" s="6" t="str">
        <f>IFERROR(VLOOKUP($F131,매장구분!$B:$K,5,0),"")</f>
        <v>대리점</v>
      </c>
      <c r="D131" s="6" t="str">
        <f>IFERROR(VLOOKUP($F131,매장구분!$B:$Z,9,0),"")</f>
        <v>광명(대-위)</v>
      </c>
      <c r="E131" s="69" t="s">
        <v>420</v>
      </c>
      <c r="F131" s="69" t="s">
        <v>421</v>
      </c>
      <c r="G131" s="69">
        <v>1787</v>
      </c>
      <c r="H131" s="69">
        <v>241984800</v>
      </c>
      <c r="I131" s="69">
        <v>253812000</v>
      </c>
      <c r="J131" s="69">
        <v>3257</v>
      </c>
      <c r="K131" s="69">
        <v>536778000</v>
      </c>
      <c r="L131" s="69">
        <v>548722000</v>
      </c>
      <c r="M131" s="69">
        <v>-1470</v>
      </c>
      <c r="N131" s="69">
        <v>-294793200</v>
      </c>
      <c r="O131" s="69">
        <v>-294910000</v>
      </c>
      <c r="P131" s="69">
        <v>2037000</v>
      </c>
      <c r="Q131" s="69">
        <v>18977100</v>
      </c>
      <c r="R131" s="69">
        <v>1954700</v>
      </c>
      <c r="S131" s="69">
        <v>2208300</v>
      </c>
      <c r="T131" s="69">
        <v>1698300</v>
      </c>
      <c r="U131" s="69">
        <v>13269500</v>
      </c>
      <c r="V131" s="69">
        <v>11130300</v>
      </c>
      <c r="W131" s="69">
        <v>1243400</v>
      </c>
      <c r="X131" s="69">
        <v>4849000</v>
      </c>
      <c r="Y131" s="69">
        <v>1328000</v>
      </c>
      <c r="Z131" s="69">
        <v>8308000</v>
      </c>
      <c r="AA131" s="69">
        <v>2039000</v>
      </c>
      <c r="AB131" s="69">
        <v>3198500</v>
      </c>
      <c r="AC131" s="69">
        <v>5825000</v>
      </c>
      <c r="AD131" s="69">
        <v>1106000</v>
      </c>
      <c r="AE131" s="69">
        <v>24993500</v>
      </c>
      <c r="AF131" s="69">
        <v>1671000</v>
      </c>
      <c r="AG131" s="69">
        <v>1895000</v>
      </c>
      <c r="AH131" s="69">
        <v>2031400</v>
      </c>
      <c r="AI131" s="69">
        <v>2399300</v>
      </c>
      <c r="AJ131" s="69">
        <v>10718000</v>
      </c>
      <c r="AK131" s="69">
        <v>27986500</v>
      </c>
      <c r="AL131" s="69">
        <v>8996000</v>
      </c>
      <c r="AM131" s="69">
        <v>15227000</v>
      </c>
      <c r="AN131" s="69">
        <v>1479000</v>
      </c>
      <c r="AO131" s="69">
        <v>3319000</v>
      </c>
      <c r="AP131" s="69">
        <v>6167500</v>
      </c>
      <c r="AQ131" s="69">
        <v>10186000</v>
      </c>
      <c r="AR131" s="69">
        <v>10008300</v>
      </c>
      <c r="AS131" s="69">
        <v>6883200</v>
      </c>
      <c r="AT131" s="69">
        <v>28852000</v>
      </c>
      <c r="AU131" s="69"/>
      <c r="AW131" s="66">
        <f t="shared" si="16"/>
        <v>20931800</v>
      </c>
      <c r="AX131" s="66">
        <f t="shared" si="16"/>
        <v>35726800</v>
      </c>
      <c r="AY131" s="66">
        <f t="shared" si="16"/>
        <v>47141000</v>
      </c>
      <c r="AZ131" s="66">
        <f t="shared" si="16"/>
        <v>69253200</v>
      </c>
      <c r="BA131" s="66">
        <f t="shared" si="16"/>
        <v>66895000</v>
      </c>
      <c r="BC131" s="66">
        <f t="shared" ca="1" si="11"/>
        <v>159862800</v>
      </c>
      <c r="BD131" s="66">
        <f t="shared" si="12"/>
        <v>213132800</v>
      </c>
    </row>
    <row r="132" spans="1:56" x14ac:dyDescent="0.3">
      <c r="A132" s="6" t="str">
        <f>IFERROR(VLOOKUP($F132,매장구분!$B:$K,2,0),"")</f>
        <v>리테일채널팀</v>
      </c>
      <c r="B132" s="6" t="str">
        <f>IFERROR(VLOOKUP($F132,매장구분!$B:$K,3,0),"")</f>
        <v>국내</v>
      </c>
      <c r="C132" s="6" t="str">
        <f>IFERROR(VLOOKUP($F132,매장구분!$B:$K,5,0),"")</f>
        <v>대리점</v>
      </c>
      <c r="D132" s="6" t="str">
        <f>IFERROR(VLOOKUP($F132,매장구분!$B:$Z,9,0),"")</f>
        <v>부평(대-위)</v>
      </c>
      <c r="E132" s="69" t="s">
        <v>588</v>
      </c>
      <c r="F132" s="69" t="s">
        <v>589</v>
      </c>
      <c r="G132" s="69">
        <v>680</v>
      </c>
      <c r="H132" s="69">
        <v>75208200</v>
      </c>
      <c r="I132" s="69">
        <v>82129800</v>
      </c>
      <c r="J132" s="69">
        <v>933</v>
      </c>
      <c r="K132" s="69">
        <v>126064200</v>
      </c>
      <c r="L132" s="69">
        <v>132985800</v>
      </c>
      <c r="M132" s="69">
        <v>-253</v>
      </c>
      <c r="N132" s="69">
        <v>-50856000</v>
      </c>
      <c r="O132" s="69">
        <v>-50856000</v>
      </c>
      <c r="P132" s="69">
        <v>2043700</v>
      </c>
      <c r="Q132" s="69">
        <v>2684500</v>
      </c>
      <c r="R132" s="69">
        <v>2001900</v>
      </c>
      <c r="S132" s="69">
        <v>1804100</v>
      </c>
      <c r="T132" s="69">
        <v>2305800</v>
      </c>
      <c r="U132" s="69">
        <v>1714100</v>
      </c>
      <c r="V132" s="69">
        <v>956200</v>
      </c>
      <c r="W132" s="69">
        <v>1052000</v>
      </c>
      <c r="X132" s="69">
        <v>4467400</v>
      </c>
      <c r="Y132" s="69">
        <v>5051500</v>
      </c>
      <c r="Z132" s="69">
        <v>1959300</v>
      </c>
      <c r="AA132" s="69">
        <v>2213900</v>
      </c>
      <c r="AB132" s="69">
        <v>1613400</v>
      </c>
      <c r="AC132" s="69">
        <v>1891500</v>
      </c>
      <c r="AD132" s="69">
        <v>2201100</v>
      </c>
      <c r="AE132" s="69">
        <v>3681600</v>
      </c>
      <c r="AF132" s="69">
        <v>3908900</v>
      </c>
      <c r="AG132" s="69">
        <v>2537100</v>
      </c>
      <c r="AH132" s="69">
        <v>2529100</v>
      </c>
      <c r="AI132" s="69">
        <v>2283000</v>
      </c>
      <c r="AJ132" s="69">
        <v>1735100</v>
      </c>
      <c r="AK132" s="69">
        <v>1184000</v>
      </c>
      <c r="AL132" s="69">
        <v>2013000</v>
      </c>
      <c r="AM132" s="69">
        <v>4199300</v>
      </c>
      <c r="AN132" s="69">
        <v>1728900</v>
      </c>
      <c r="AO132" s="69">
        <v>2304600</v>
      </c>
      <c r="AP132" s="69">
        <v>2654800</v>
      </c>
      <c r="AQ132" s="69">
        <v>1801000</v>
      </c>
      <c r="AR132" s="69">
        <v>1542000</v>
      </c>
      <c r="AS132" s="69">
        <v>2080500</v>
      </c>
      <c r="AT132" s="69">
        <v>5064900</v>
      </c>
      <c r="AU132" s="69"/>
      <c r="AW132" s="66">
        <f t="shared" si="16"/>
        <v>4686400</v>
      </c>
      <c r="AX132" s="66">
        <f t="shared" si="16"/>
        <v>17351100</v>
      </c>
      <c r="AY132" s="66">
        <f t="shared" si="16"/>
        <v>17469700</v>
      </c>
      <c r="AZ132" s="66">
        <f t="shared" si="16"/>
        <v>16480600</v>
      </c>
      <c r="BA132" s="66">
        <f t="shared" si="16"/>
        <v>17176700</v>
      </c>
      <c r="BC132" s="66">
        <f t="shared" ca="1" si="11"/>
        <v>53832200</v>
      </c>
      <c r="BD132" s="66">
        <f t="shared" si="12"/>
        <v>70143300</v>
      </c>
    </row>
    <row r="133" spans="1:56" x14ac:dyDescent="0.3">
      <c r="A133" s="6" t="str">
        <f>IFERROR(VLOOKUP($F133,매장구분!$B:$K,2,0),"")</f>
        <v>리테일채널팀</v>
      </c>
      <c r="B133" s="6" t="str">
        <f>IFERROR(VLOOKUP($F133,매장구분!$B:$K,3,0),"")</f>
        <v>국내</v>
      </c>
      <c r="C133" s="6" t="str">
        <f>IFERROR(VLOOKUP($F133,매장구분!$B:$K,5,0),"")</f>
        <v>대리점</v>
      </c>
      <c r="D133" s="6" t="str">
        <f>IFERROR(VLOOKUP($F133,매장구분!$B:$Z,9,0),"")</f>
        <v>해남(대-위)</v>
      </c>
      <c r="E133" s="69" t="s">
        <v>514</v>
      </c>
      <c r="F133" s="69" t="s">
        <v>515</v>
      </c>
      <c r="G133" s="69">
        <v>705</v>
      </c>
      <c r="H133" s="69">
        <v>80980409</v>
      </c>
      <c r="I133" s="69">
        <v>82017800</v>
      </c>
      <c r="J133" s="69">
        <v>771</v>
      </c>
      <c r="K133" s="69">
        <v>90074409</v>
      </c>
      <c r="L133" s="69">
        <v>91111800</v>
      </c>
      <c r="M133" s="69">
        <v>-66</v>
      </c>
      <c r="N133" s="69">
        <v>-9094000</v>
      </c>
      <c r="O133" s="69">
        <v>-9094000</v>
      </c>
      <c r="P133" s="69">
        <v>2064000</v>
      </c>
      <c r="Q133" s="69">
        <v>3839500</v>
      </c>
      <c r="R133" s="69">
        <v>1522100</v>
      </c>
      <c r="S133" s="69">
        <v>1965000</v>
      </c>
      <c r="T133" s="69">
        <v>2540000</v>
      </c>
      <c r="U133" s="69">
        <v>2512100</v>
      </c>
      <c r="V133" s="69">
        <v>2083680</v>
      </c>
      <c r="W133" s="69">
        <v>1318000</v>
      </c>
      <c r="X133" s="69">
        <v>2953759</v>
      </c>
      <c r="Y133" s="69">
        <v>3967939</v>
      </c>
      <c r="Z133" s="69">
        <v>1021000</v>
      </c>
      <c r="AA133" s="69">
        <v>2628000</v>
      </c>
      <c r="AB133" s="69">
        <v>1776000</v>
      </c>
      <c r="AC133" s="69">
        <v>1938000</v>
      </c>
      <c r="AD133" s="69">
        <v>3248000</v>
      </c>
      <c r="AE133" s="69">
        <v>2730000</v>
      </c>
      <c r="AF133" s="69">
        <v>4741531</v>
      </c>
      <c r="AG133" s="69">
        <v>3608691</v>
      </c>
      <c r="AH133" s="69">
        <v>1402000</v>
      </c>
      <c r="AI133" s="69">
        <v>1514000</v>
      </c>
      <c r="AJ133" s="69">
        <v>525000</v>
      </c>
      <c r="AK133" s="69">
        <v>524000</v>
      </c>
      <c r="AL133" s="69">
        <v>4668000</v>
      </c>
      <c r="AM133" s="69">
        <v>4332764</v>
      </c>
      <c r="AN133" s="69">
        <v>4492000</v>
      </c>
      <c r="AO133" s="69">
        <v>2207300</v>
      </c>
      <c r="AP133" s="69">
        <v>2215800</v>
      </c>
      <c r="AQ133" s="69">
        <v>3037000</v>
      </c>
      <c r="AR133" s="69">
        <v>2308000</v>
      </c>
      <c r="AS133" s="69">
        <v>4744245</v>
      </c>
      <c r="AT133" s="69">
        <v>2553000</v>
      </c>
      <c r="AU133" s="69"/>
      <c r="AW133" s="66">
        <f t="shared" si="16"/>
        <v>5361600</v>
      </c>
      <c r="AX133" s="66">
        <f t="shared" si="16"/>
        <v>17340478</v>
      </c>
      <c r="AY133" s="66">
        <f t="shared" si="16"/>
        <v>18082531</v>
      </c>
      <c r="AZ133" s="66">
        <f t="shared" si="16"/>
        <v>16574455</v>
      </c>
      <c r="BA133" s="66">
        <f t="shared" si="16"/>
        <v>21557345</v>
      </c>
      <c r="BC133" s="66">
        <f t="shared" ca="1" si="11"/>
        <v>55090300</v>
      </c>
      <c r="BD133" s="66">
        <f t="shared" si="12"/>
        <v>78427409</v>
      </c>
    </row>
    <row r="134" spans="1:56" x14ac:dyDescent="0.3">
      <c r="A134" s="6" t="str">
        <f>IFERROR(VLOOKUP($F134,매장구분!$B:$K,2,0),"")</f>
        <v>리테일채널팀</v>
      </c>
      <c r="B134" s="6" t="str">
        <f>IFERROR(VLOOKUP($F134,매장구분!$B:$K,3,0),"")</f>
        <v>국내</v>
      </c>
      <c r="C134" s="6" t="str">
        <f>IFERROR(VLOOKUP($F134,매장구분!$B:$K,5,0),"")</f>
        <v>대리점</v>
      </c>
      <c r="D134" s="6" t="str">
        <f>IFERROR(VLOOKUP($F134,매장구분!$B:$Z,9,0),"")</f>
        <v>대구칠곡(대-위)</v>
      </c>
      <c r="E134" s="69" t="s">
        <v>364</v>
      </c>
      <c r="F134" s="69" t="s">
        <v>365</v>
      </c>
      <c r="G134" s="69">
        <v>326</v>
      </c>
      <c r="H134" s="69">
        <v>40702889</v>
      </c>
      <c r="I134" s="69">
        <v>42963000</v>
      </c>
      <c r="J134" s="69">
        <v>561</v>
      </c>
      <c r="K134" s="69">
        <v>79438847</v>
      </c>
      <c r="L134" s="69">
        <v>82171000</v>
      </c>
      <c r="M134" s="69">
        <v>-235</v>
      </c>
      <c r="N134" s="69">
        <v>-38735958</v>
      </c>
      <c r="O134" s="69">
        <v>-39208000</v>
      </c>
      <c r="P134" s="69">
        <v>1926700</v>
      </c>
      <c r="Q134" s="69">
        <v>975027</v>
      </c>
      <c r="R134" s="69">
        <v>860500</v>
      </c>
      <c r="S134" s="69">
        <v>1167000</v>
      </c>
      <c r="T134" s="69">
        <v>421000</v>
      </c>
      <c r="U134" s="69">
        <v>1145000</v>
      </c>
      <c r="V134" s="69">
        <v>890100</v>
      </c>
      <c r="W134" s="69">
        <v>837000</v>
      </c>
      <c r="X134" s="69">
        <v>778000</v>
      </c>
      <c r="Y134" s="69">
        <v>933000</v>
      </c>
      <c r="Z134" s="69">
        <v>3205700</v>
      </c>
      <c r="AA134" s="69">
        <v>1743000</v>
      </c>
      <c r="AB134" s="69">
        <v>1285000</v>
      </c>
      <c r="AC134" s="69">
        <v>571000</v>
      </c>
      <c r="AD134" s="69">
        <v>822000</v>
      </c>
      <c r="AE134" s="69">
        <v>1502000</v>
      </c>
      <c r="AF134" s="69">
        <v>1508300</v>
      </c>
      <c r="AG134" s="69">
        <v>1123000</v>
      </c>
      <c r="AH134" s="69">
        <v>1088649</v>
      </c>
      <c r="AI134" s="69">
        <v>744500</v>
      </c>
      <c r="AJ134" s="69">
        <v>199000</v>
      </c>
      <c r="AK134" s="69">
        <v>677100</v>
      </c>
      <c r="AL134" s="69">
        <v>2198613</v>
      </c>
      <c r="AM134" s="69">
        <v>1974600</v>
      </c>
      <c r="AN134" s="69">
        <v>299000</v>
      </c>
      <c r="AO134" s="69">
        <v>1754000</v>
      </c>
      <c r="AP134" s="69">
        <v>1212000</v>
      </c>
      <c r="AQ134" s="69">
        <v>2301000</v>
      </c>
      <c r="AR134" s="69">
        <v>1024000</v>
      </c>
      <c r="AS134" s="69">
        <v>1605000</v>
      </c>
      <c r="AT134" s="69">
        <v>3932100</v>
      </c>
      <c r="AU134" s="69"/>
      <c r="AW134" s="66">
        <f t="shared" si="16"/>
        <v>1835527</v>
      </c>
      <c r="AX134" s="66">
        <f t="shared" si="16"/>
        <v>6171100</v>
      </c>
      <c r="AY134" s="66">
        <f t="shared" si="16"/>
        <v>10637000</v>
      </c>
      <c r="AZ134" s="66">
        <f t="shared" si="16"/>
        <v>8005462</v>
      </c>
      <c r="BA134" s="66">
        <f t="shared" si="16"/>
        <v>12127100</v>
      </c>
      <c r="BC134" s="66">
        <f t="shared" ca="1" si="11"/>
        <v>26601189</v>
      </c>
      <c r="BD134" s="66">
        <f t="shared" si="12"/>
        <v>36770789</v>
      </c>
    </row>
    <row r="135" spans="1:56" x14ac:dyDescent="0.3">
      <c r="A135" s="6" t="str">
        <f>IFERROR(VLOOKUP($F135,매장구분!$B:$K,2,0),"")</f>
        <v>리테일채널팀</v>
      </c>
      <c r="B135" s="6" t="str">
        <f>IFERROR(VLOOKUP($F135,매장구분!$B:$K,3,0),"")</f>
        <v>국내</v>
      </c>
      <c r="C135" s="6" t="str">
        <f>IFERROR(VLOOKUP($F135,매장구분!$B:$K,5,0),"")</f>
        <v>대리점</v>
      </c>
      <c r="D135" s="6" t="str">
        <f>IFERROR(VLOOKUP($F135,매장구분!$B:$Z,9,0),"")</f>
        <v>안성(대-위)</v>
      </c>
      <c r="E135" s="69" t="s">
        <v>309</v>
      </c>
      <c r="F135" s="69" t="s">
        <v>310</v>
      </c>
      <c r="G135" s="69">
        <v>978</v>
      </c>
      <c r="H135" s="69">
        <v>108932391</v>
      </c>
      <c r="I135" s="69">
        <v>112950500</v>
      </c>
      <c r="J135" s="69">
        <v>1153</v>
      </c>
      <c r="K135" s="69">
        <v>138963891</v>
      </c>
      <c r="L135" s="69">
        <v>143049500</v>
      </c>
      <c r="M135" s="69">
        <v>-175</v>
      </c>
      <c r="N135" s="69">
        <v>-30031500</v>
      </c>
      <c r="O135" s="69">
        <v>-30099000</v>
      </c>
      <c r="P135" s="69">
        <v>931800</v>
      </c>
      <c r="Q135" s="69">
        <v>1397600</v>
      </c>
      <c r="R135" s="69">
        <v>2139300</v>
      </c>
      <c r="S135" s="69">
        <v>15096100</v>
      </c>
      <c r="T135" s="69">
        <v>862000</v>
      </c>
      <c r="U135" s="69">
        <v>3528000</v>
      </c>
      <c r="V135" s="69">
        <v>13456000</v>
      </c>
      <c r="W135" s="69">
        <v>1080000</v>
      </c>
      <c r="X135" s="69">
        <v>1714000</v>
      </c>
      <c r="Y135" s="69">
        <v>2986400</v>
      </c>
      <c r="Z135" s="69">
        <v>1402000</v>
      </c>
      <c r="AA135" s="69">
        <v>959000</v>
      </c>
      <c r="AB135" s="69">
        <v>2990310</v>
      </c>
      <c r="AC135" s="69">
        <v>1003000</v>
      </c>
      <c r="AD135" s="69">
        <v>1637000</v>
      </c>
      <c r="AE135" s="69">
        <v>2845881</v>
      </c>
      <c r="AF135" s="69">
        <v>2310000</v>
      </c>
      <c r="AG135" s="69">
        <v>2441000</v>
      </c>
      <c r="AH135" s="69">
        <v>309000</v>
      </c>
      <c r="AI135" s="69">
        <v>504000</v>
      </c>
      <c r="AJ135" s="69">
        <v>22810000</v>
      </c>
      <c r="AK135" s="69">
        <v>2247000</v>
      </c>
      <c r="AL135" s="69">
        <v>3785000</v>
      </c>
      <c r="AM135" s="69">
        <v>668000</v>
      </c>
      <c r="AN135" s="69">
        <v>1066000</v>
      </c>
      <c r="AO135" s="69">
        <v>400000</v>
      </c>
      <c r="AP135" s="69">
        <v>377000</v>
      </c>
      <c r="AQ135" s="69">
        <v>2055000</v>
      </c>
      <c r="AR135" s="69">
        <v>11411000</v>
      </c>
      <c r="AS135" s="69">
        <v>1149000</v>
      </c>
      <c r="AT135" s="69">
        <v>3372000</v>
      </c>
      <c r="AU135" s="69"/>
      <c r="AW135" s="66">
        <f t="shared" si="16"/>
        <v>3536900</v>
      </c>
      <c r="AX135" s="66">
        <f t="shared" si="16"/>
        <v>38722500</v>
      </c>
      <c r="AY135" s="66">
        <f t="shared" si="16"/>
        <v>13147191</v>
      </c>
      <c r="AZ135" s="66">
        <f t="shared" si="16"/>
        <v>32764000</v>
      </c>
      <c r="BA135" s="66">
        <f t="shared" si="16"/>
        <v>19830000</v>
      </c>
      <c r="BC135" s="66">
        <f t="shared" ca="1" si="11"/>
        <v>88434391</v>
      </c>
      <c r="BD135" s="66">
        <f t="shared" si="12"/>
        <v>105560391</v>
      </c>
    </row>
    <row r="136" spans="1:56" x14ac:dyDescent="0.3">
      <c r="A136" s="6" t="str">
        <f>IFERROR(VLOOKUP($F136,매장구분!$B:$K,2,0),"")</f>
        <v>리테일채널팀</v>
      </c>
      <c r="B136" s="6" t="str">
        <f>IFERROR(VLOOKUP($F136,매장구분!$B:$K,3,0),"")</f>
        <v>국내</v>
      </c>
      <c r="C136" s="6" t="str">
        <f>IFERROR(VLOOKUP($F136,매장구분!$B:$K,5,0),"")</f>
        <v>대리점</v>
      </c>
      <c r="D136" s="6" t="str">
        <f>IFERROR(VLOOKUP($F136,매장구분!$B:$Z,9,0),"")</f>
        <v>울산무거(대-위)</v>
      </c>
      <c r="E136" s="69" t="s">
        <v>241</v>
      </c>
      <c r="F136" s="69" t="s">
        <v>242</v>
      </c>
      <c r="G136" s="69">
        <v>388</v>
      </c>
      <c r="H136" s="69">
        <v>48010100</v>
      </c>
      <c r="I136" s="69">
        <v>52398700</v>
      </c>
      <c r="J136" s="69">
        <v>737</v>
      </c>
      <c r="K136" s="69">
        <v>96379230</v>
      </c>
      <c r="L136" s="69">
        <v>102975400</v>
      </c>
      <c r="M136" s="69">
        <v>-349</v>
      </c>
      <c r="N136" s="69">
        <v>-48369130</v>
      </c>
      <c r="O136" s="69">
        <v>-50576700</v>
      </c>
      <c r="P136" s="69">
        <v>824400</v>
      </c>
      <c r="Q136" s="69">
        <v>838800</v>
      </c>
      <c r="R136" s="69">
        <v>1020300</v>
      </c>
      <c r="S136" s="69">
        <v>710900</v>
      </c>
      <c r="T136" s="69">
        <v>4999800</v>
      </c>
      <c r="U136" s="69">
        <v>679500</v>
      </c>
      <c r="V136" s="69">
        <v>2097000</v>
      </c>
      <c r="W136" s="69">
        <v>2090000</v>
      </c>
      <c r="X136" s="69">
        <v>1890000</v>
      </c>
      <c r="Y136" s="69">
        <v>-282900</v>
      </c>
      <c r="Z136" s="69">
        <v>647900</v>
      </c>
      <c r="AA136" s="69">
        <v>294000</v>
      </c>
      <c r="AB136" s="69">
        <v>1866600</v>
      </c>
      <c r="AC136" s="69">
        <v>2017900</v>
      </c>
      <c r="AD136" s="69">
        <v>547900</v>
      </c>
      <c r="AE136" s="69">
        <v>305100</v>
      </c>
      <c r="AF136" s="69">
        <v>4332800</v>
      </c>
      <c r="AG136" s="69">
        <v>945900</v>
      </c>
      <c r="AH136" s="69">
        <v>1053600</v>
      </c>
      <c r="AI136" s="69">
        <v>933400</v>
      </c>
      <c r="AJ136" s="69">
        <v>574000</v>
      </c>
      <c r="AK136" s="69">
        <v>999100</v>
      </c>
      <c r="AL136" s="69">
        <v>1309500</v>
      </c>
      <c r="AM136" s="69">
        <v>2497700</v>
      </c>
      <c r="AN136" s="69">
        <v>814500</v>
      </c>
      <c r="AO136" s="69">
        <v>2869000</v>
      </c>
      <c r="AP136" s="69">
        <v>3088100</v>
      </c>
      <c r="AQ136" s="69">
        <v>3660200</v>
      </c>
      <c r="AR136" s="69">
        <v>1146800</v>
      </c>
      <c r="AS136" s="69">
        <v>2118700</v>
      </c>
      <c r="AT136" s="69">
        <v>1119600</v>
      </c>
      <c r="AU136" s="69"/>
      <c r="AW136" s="66">
        <f t="shared" si="16"/>
        <v>1859100</v>
      </c>
      <c r="AX136" s="66">
        <f t="shared" si="16"/>
        <v>12184300</v>
      </c>
      <c r="AY136" s="66">
        <f t="shared" si="16"/>
        <v>10012200</v>
      </c>
      <c r="AZ136" s="66">
        <f t="shared" si="16"/>
        <v>8313200</v>
      </c>
      <c r="BA136" s="66">
        <f t="shared" si="16"/>
        <v>14816900</v>
      </c>
      <c r="BC136" s="66">
        <f t="shared" ref="BC136:BC199" ca="1" si="17">SUMIFS($P136:$AT136,$P$2:$AT$2,BC$3)</f>
        <v>30695500</v>
      </c>
      <c r="BD136" s="66">
        <f t="shared" ref="BD136:BD199" si="18">SUM(P136:AS136)</f>
        <v>46890500</v>
      </c>
    </row>
    <row r="137" spans="1:56" x14ac:dyDescent="0.3">
      <c r="A137" s="6" t="str">
        <f>IFERROR(VLOOKUP($F137,매장구분!$B:$K,2,0),"")</f>
        <v>리테일채널팀</v>
      </c>
      <c r="B137" s="6" t="str">
        <f>IFERROR(VLOOKUP($F137,매장구분!$B:$K,3,0),"")</f>
        <v>국내</v>
      </c>
      <c r="C137" s="6" t="str">
        <f>IFERROR(VLOOKUP($F137,매장구분!$B:$K,5,0),"")</f>
        <v>대리점</v>
      </c>
      <c r="D137" s="6" t="str">
        <f>IFERROR(VLOOKUP($F137,매장구분!$B:$Z,9,0),"")</f>
        <v>경기광주(대-위)</v>
      </c>
      <c r="E137" s="69" t="s">
        <v>362</v>
      </c>
      <c r="F137" s="69" t="s">
        <v>363</v>
      </c>
      <c r="G137" s="69">
        <v>439</v>
      </c>
      <c r="H137" s="69">
        <v>45832662</v>
      </c>
      <c r="I137" s="69">
        <v>47417900</v>
      </c>
      <c r="J137" s="69">
        <v>462</v>
      </c>
      <c r="K137" s="69">
        <v>47982562</v>
      </c>
      <c r="L137" s="69">
        <v>49686900</v>
      </c>
      <c r="M137" s="69">
        <v>-23</v>
      </c>
      <c r="N137" s="69">
        <v>-2149900</v>
      </c>
      <c r="O137" s="69">
        <v>-2269000</v>
      </c>
      <c r="P137" s="69">
        <v>949400</v>
      </c>
      <c r="Q137" s="69">
        <v>1811500</v>
      </c>
      <c r="R137" s="69">
        <v>2078100</v>
      </c>
      <c r="S137" s="69">
        <v>1434100</v>
      </c>
      <c r="T137" s="69">
        <v>957100</v>
      </c>
      <c r="U137" s="69">
        <v>876300</v>
      </c>
      <c r="V137" s="69">
        <v>49000</v>
      </c>
      <c r="W137" s="69">
        <v>1484000</v>
      </c>
      <c r="X137" s="69">
        <v>3156500</v>
      </c>
      <c r="Y137" s="69">
        <v>4934521</v>
      </c>
      <c r="Z137" s="69">
        <v>986000</v>
      </c>
      <c r="AA137" s="69">
        <v>562000</v>
      </c>
      <c r="AB137" s="69">
        <v>1383600</v>
      </c>
      <c r="AC137" s="69">
        <v>735000</v>
      </c>
      <c r="AD137" s="69">
        <v>987000</v>
      </c>
      <c r="AE137" s="69">
        <v>1503300</v>
      </c>
      <c r="AF137" s="69">
        <v>1855000</v>
      </c>
      <c r="AG137" s="69">
        <v>1553900</v>
      </c>
      <c r="AH137" s="69">
        <v>1759300</v>
      </c>
      <c r="AI137" s="69">
        <v>2200300</v>
      </c>
      <c r="AJ137" s="69">
        <v>42900</v>
      </c>
      <c r="AK137" s="69">
        <v>443300</v>
      </c>
      <c r="AL137" s="69">
        <v>2252300</v>
      </c>
      <c r="AM137" s="69">
        <v>2054000</v>
      </c>
      <c r="AN137" s="69">
        <v>1779000</v>
      </c>
      <c r="AO137" s="69">
        <v>425300</v>
      </c>
      <c r="AP137" s="69">
        <v>640000</v>
      </c>
      <c r="AQ137" s="69">
        <v>1445600</v>
      </c>
      <c r="AR137" s="69">
        <v>1674441</v>
      </c>
      <c r="AS137" s="69">
        <v>1374000</v>
      </c>
      <c r="AT137" s="69">
        <v>2445900</v>
      </c>
      <c r="AU137" s="69"/>
      <c r="AW137" s="66">
        <f t="shared" si="16"/>
        <v>3889600</v>
      </c>
      <c r="AX137" s="66">
        <f t="shared" si="16"/>
        <v>12891521</v>
      </c>
      <c r="AY137" s="66">
        <f t="shared" si="16"/>
        <v>8011900</v>
      </c>
      <c r="AZ137" s="66">
        <f t="shared" si="16"/>
        <v>10306000</v>
      </c>
      <c r="BA137" s="66">
        <f t="shared" si="16"/>
        <v>9784241</v>
      </c>
      <c r="BC137" s="66">
        <f t="shared" ca="1" si="17"/>
        <v>33994421</v>
      </c>
      <c r="BD137" s="66">
        <f t="shared" si="18"/>
        <v>43386762</v>
      </c>
    </row>
    <row r="138" spans="1:56" x14ac:dyDescent="0.3">
      <c r="A138" s="6" t="str">
        <f>IFERROR(VLOOKUP($F138,매장구분!$B:$K,2,0),"")</f>
        <v>리테일채널팀</v>
      </c>
      <c r="B138" s="6" t="str">
        <f>IFERROR(VLOOKUP($F138,매장구분!$B:$K,3,0),"")</f>
        <v>국내</v>
      </c>
      <c r="C138" s="6" t="str">
        <f>IFERROR(VLOOKUP($F138,매장구분!$B:$K,5,0),"")</f>
        <v>대리점</v>
      </c>
      <c r="D138" s="6" t="str">
        <f>IFERROR(VLOOKUP($F138,매장구분!$B:$Z,9,0),"")</f>
        <v>대전은행(대-위)</v>
      </c>
      <c r="E138" s="69" t="s">
        <v>456</v>
      </c>
      <c r="F138" s="69" t="s">
        <v>457</v>
      </c>
      <c r="G138" s="69">
        <v>1086</v>
      </c>
      <c r="H138" s="69">
        <v>106165974</v>
      </c>
      <c r="I138" s="69">
        <v>113565900</v>
      </c>
      <c r="J138" s="69">
        <v>1146</v>
      </c>
      <c r="K138" s="69">
        <v>114032874</v>
      </c>
      <c r="L138" s="69">
        <v>121432800</v>
      </c>
      <c r="M138" s="69">
        <v>-60</v>
      </c>
      <c r="N138" s="69">
        <v>-7866900</v>
      </c>
      <c r="O138" s="69">
        <v>-7866900</v>
      </c>
      <c r="P138" s="69">
        <v>718000</v>
      </c>
      <c r="Q138" s="69">
        <v>1622000</v>
      </c>
      <c r="R138" s="69">
        <v>2155100</v>
      </c>
      <c r="S138" s="69">
        <v>19771000</v>
      </c>
      <c r="T138" s="69">
        <v>6802100</v>
      </c>
      <c r="U138" s="69">
        <v>890300</v>
      </c>
      <c r="V138" s="69">
        <v>7660900</v>
      </c>
      <c r="W138" s="69">
        <v>1005800</v>
      </c>
      <c r="X138" s="69">
        <v>2147100</v>
      </c>
      <c r="Y138" s="69">
        <v>3930000</v>
      </c>
      <c r="Z138" s="69">
        <v>971000</v>
      </c>
      <c r="AA138" s="69">
        <v>3968000</v>
      </c>
      <c r="AB138" s="69">
        <v>1862953</v>
      </c>
      <c r="AC138" s="69">
        <v>2626000</v>
      </c>
      <c r="AD138" s="69">
        <v>1074000</v>
      </c>
      <c r="AE138" s="69">
        <v>1216000</v>
      </c>
      <c r="AF138" s="69">
        <v>2829000</v>
      </c>
      <c r="AG138" s="69">
        <v>1128000</v>
      </c>
      <c r="AH138" s="69">
        <v>845000</v>
      </c>
      <c r="AI138" s="69">
        <v>1303000</v>
      </c>
      <c r="AJ138" s="69">
        <v>10806000</v>
      </c>
      <c r="AK138" s="69">
        <v>1507000</v>
      </c>
      <c r="AL138" s="69">
        <v>1375000</v>
      </c>
      <c r="AM138" s="69">
        <v>4034613</v>
      </c>
      <c r="AN138" s="69">
        <v>539000</v>
      </c>
      <c r="AO138" s="69">
        <v>2345000</v>
      </c>
      <c r="AP138" s="69">
        <v>1097108</v>
      </c>
      <c r="AQ138" s="69">
        <v>10118000</v>
      </c>
      <c r="AR138" s="69">
        <v>1431000</v>
      </c>
      <c r="AS138" s="69">
        <v>5848000</v>
      </c>
      <c r="AT138" s="69">
        <v>2540000</v>
      </c>
      <c r="AU138" s="69"/>
      <c r="AW138" s="66">
        <f t="shared" si="16"/>
        <v>3777100</v>
      </c>
      <c r="AX138" s="66">
        <f t="shared" si="16"/>
        <v>42207200</v>
      </c>
      <c r="AY138" s="66">
        <f t="shared" si="16"/>
        <v>14546953</v>
      </c>
      <c r="AZ138" s="66">
        <f t="shared" si="16"/>
        <v>20998613</v>
      </c>
      <c r="BA138" s="66">
        <f t="shared" si="16"/>
        <v>23918108</v>
      </c>
      <c r="BC138" s="66">
        <f t="shared" ca="1" si="17"/>
        <v>78213253</v>
      </c>
      <c r="BD138" s="66">
        <f t="shared" si="18"/>
        <v>103625974</v>
      </c>
    </row>
    <row r="139" spans="1:56" x14ac:dyDescent="0.3">
      <c r="A139" s="6" t="str">
        <f>IFERROR(VLOOKUP($F139,매장구분!$B:$K,2,0),"")</f>
        <v>리테일채널팀</v>
      </c>
      <c r="B139" s="6" t="str">
        <f>IFERROR(VLOOKUP($F139,매장구분!$B:$K,3,0),"")</f>
        <v>국내</v>
      </c>
      <c r="C139" s="6" t="str">
        <f>IFERROR(VLOOKUP($F139,매장구분!$B:$K,5,0),"")</f>
        <v>대리점</v>
      </c>
      <c r="D139" s="6" t="str">
        <f>IFERROR(VLOOKUP($F139,매장구분!$B:$Z,9,0),"")</f>
        <v>속초(대-위)</v>
      </c>
      <c r="E139" s="69" t="s">
        <v>488</v>
      </c>
      <c r="F139" s="69" t="s">
        <v>489</v>
      </c>
      <c r="G139" s="69">
        <v>694</v>
      </c>
      <c r="H139" s="69">
        <v>77745869</v>
      </c>
      <c r="I139" s="69">
        <v>79654000</v>
      </c>
      <c r="J139" s="69">
        <v>812</v>
      </c>
      <c r="K139" s="69">
        <v>99377906</v>
      </c>
      <c r="L139" s="69">
        <v>101411000</v>
      </c>
      <c r="M139" s="69">
        <v>-118</v>
      </c>
      <c r="N139" s="69">
        <v>-21632037</v>
      </c>
      <c r="O139" s="69">
        <v>-21757000</v>
      </c>
      <c r="P139" s="69">
        <v>2445400</v>
      </c>
      <c r="Q139" s="69">
        <v>4104269</v>
      </c>
      <c r="R139" s="69">
        <v>1933300</v>
      </c>
      <c r="S139" s="69">
        <v>2562100</v>
      </c>
      <c r="T139" s="69">
        <v>3208500</v>
      </c>
      <c r="U139" s="69">
        <v>1491000</v>
      </c>
      <c r="V139" s="69">
        <v>1867000</v>
      </c>
      <c r="W139" s="69">
        <v>912200</v>
      </c>
      <c r="X139" s="69">
        <v>4781000</v>
      </c>
      <c r="Y139" s="69">
        <v>4476000</v>
      </c>
      <c r="Z139" s="69">
        <v>923000</v>
      </c>
      <c r="AA139" s="69">
        <v>3321000</v>
      </c>
      <c r="AB139" s="69">
        <v>2160000</v>
      </c>
      <c r="AC139" s="69">
        <v>1536000</v>
      </c>
      <c r="AD139" s="69">
        <v>2239000</v>
      </c>
      <c r="AE139" s="69">
        <v>3365000</v>
      </c>
      <c r="AF139" s="69">
        <v>3861300</v>
      </c>
      <c r="AG139" s="69">
        <v>1521000</v>
      </c>
      <c r="AH139" s="69">
        <v>4203000</v>
      </c>
      <c r="AI139" s="69">
        <v>431000</v>
      </c>
      <c r="AJ139" s="69">
        <v>2257000</v>
      </c>
      <c r="AK139" s="69">
        <v>1344000</v>
      </c>
      <c r="AL139" s="69">
        <v>3489800</v>
      </c>
      <c r="AM139" s="69">
        <v>3013000</v>
      </c>
      <c r="AN139" s="69">
        <v>857000</v>
      </c>
      <c r="AO139" s="69">
        <v>2813000</v>
      </c>
      <c r="AP139" s="69">
        <v>2132000</v>
      </c>
      <c r="AQ139" s="69">
        <v>4131000</v>
      </c>
      <c r="AR139" s="69">
        <v>1798000</v>
      </c>
      <c r="AS139" s="69">
        <v>1373000</v>
      </c>
      <c r="AT139" s="69">
        <v>3197000</v>
      </c>
      <c r="AU139" s="69"/>
      <c r="AW139" s="66">
        <f t="shared" si="16"/>
        <v>6037569</v>
      </c>
      <c r="AX139" s="66">
        <f t="shared" si="16"/>
        <v>19297800</v>
      </c>
      <c r="AY139" s="66">
        <f t="shared" si="16"/>
        <v>17405300</v>
      </c>
      <c r="AZ139" s="66">
        <f t="shared" si="16"/>
        <v>16258800</v>
      </c>
      <c r="BA139" s="66">
        <f t="shared" si="16"/>
        <v>16301000</v>
      </c>
      <c r="BC139" s="66">
        <f t="shared" ca="1" si="17"/>
        <v>58431869</v>
      </c>
      <c r="BD139" s="66">
        <f t="shared" si="18"/>
        <v>74548869</v>
      </c>
    </row>
    <row r="140" spans="1:56" x14ac:dyDescent="0.3">
      <c r="A140" s="6" t="str">
        <f>IFERROR(VLOOKUP($F140,매장구분!$B:$K,2,0),"")</f>
        <v>리테일채널팀</v>
      </c>
      <c r="B140" s="6" t="str">
        <f>IFERROR(VLOOKUP($F140,매장구분!$B:$K,3,0),"")</f>
        <v>국내</v>
      </c>
      <c r="C140" s="6" t="str">
        <f>IFERROR(VLOOKUP($F140,매장구분!$B:$K,5,0),"")</f>
        <v>대리점</v>
      </c>
      <c r="D140" s="6" t="str">
        <f>IFERROR(VLOOKUP($F140,매장구분!$B:$Z,9,0),"")</f>
        <v>당진(대-위)</v>
      </c>
      <c r="E140" s="69" t="s">
        <v>462</v>
      </c>
      <c r="F140" s="69" t="s">
        <v>463</v>
      </c>
      <c r="G140" s="69">
        <v>714</v>
      </c>
      <c r="H140" s="69">
        <v>84758723</v>
      </c>
      <c r="I140" s="69">
        <v>87046000</v>
      </c>
      <c r="J140" s="69">
        <v>1354</v>
      </c>
      <c r="K140" s="69">
        <v>229956723</v>
      </c>
      <c r="L140" s="69">
        <v>232244000</v>
      </c>
      <c r="M140" s="69">
        <v>-640</v>
      </c>
      <c r="N140" s="69">
        <v>-145198000</v>
      </c>
      <c r="O140" s="69">
        <v>-145198000</v>
      </c>
      <c r="P140" s="69">
        <v>958000</v>
      </c>
      <c r="Q140" s="69">
        <v>2661000</v>
      </c>
      <c r="R140" s="69">
        <v>2959000</v>
      </c>
      <c r="S140" s="69">
        <v>1058000</v>
      </c>
      <c r="T140" s="69">
        <v>1415000</v>
      </c>
      <c r="U140" s="69">
        <v>1746200</v>
      </c>
      <c r="V140" s="69">
        <v>1099100</v>
      </c>
      <c r="W140" s="69">
        <v>1171000</v>
      </c>
      <c r="X140" s="69">
        <v>2590475</v>
      </c>
      <c r="Y140" s="69">
        <v>3972786</v>
      </c>
      <c r="Z140" s="69">
        <v>6226000</v>
      </c>
      <c r="AA140" s="69">
        <v>836000</v>
      </c>
      <c r="AB140" s="69">
        <v>1627000</v>
      </c>
      <c r="AC140" s="69">
        <v>1114000</v>
      </c>
      <c r="AD140" s="69">
        <v>888300</v>
      </c>
      <c r="AE140" s="69">
        <v>1679000</v>
      </c>
      <c r="AF140" s="69">
        <v>3034000</v>
      </c>
      <c r="AG140" s="69">
        <v>1830000</v>
      </c>
      <c r="AH140" s="69">
        <v>2008000</v>
      </c>
      <c r="AI140" s="69">
        <v>517000</v>
      </c>
      <c r="AJ140" s="69">
        <v>5451000</v>
      </c>
      <c r="AK140" s="69">
        <v>8881000</v>
      </c>
      <c r="AL140" s="69">
        <v>3788000</v>
      </c>
      <c r="AM140" s="69">
        <v>5888000</v>
      </c>
      <c r="AN140" s="69">
        <v>1289276</v>
      </c>
      <c r="AO140" s="69">
        <v>1058100</v>
      </c>
      <c r="AP140" s="69">
        <v>1246000</v>
      </c>
      <c r="AQ140" s="69">
        <v>11058000</v>
      </c>
      <c r="AR140" s="69">
        <v>1421000</v>
      </c>
      <c r="AS140" s="69">
        <v>2609486</v>
      </c>
      <c r="AT140" s="69">
        <v>2679000</v>
      </c>
      <c r="AU140" s="69"/>
      <c r="AW140" s="66">
        <f t="shared" ref="AW140:BA155" si="19">SUMIFS($Q140:$AU140,$Q$3:$AU$3,AW$3)</f>
        <v>5620000</v>
      </c>
      <c r="AX140" s="66">
        <f t="shared" si="19"/>
        <v>13052561</v>
      </c>
      <c r="AY140" s="66">
        <f t="shared" si="19"/>
        <v>15404300</v>
      </c>
      <c r="AZ140" s="66">
        <f t="shared" si="19"/>
        <v>28363000</v>
      </c>
      <c r="BA140" s="66">
        <f t="shared" si="19"/>
        <v>21360862</v>
      </c>
      <c r="BC140" s="66">
        <f t="shared" ca="1" si="17"/>
        <v>57509861</v>
      </c>
      <c r="BD140" s="66">
        <f t="shared" si="18"/>
        <v>82079723</v>
      </c>
    </row>
    <row r="141" spans="1:56" x14ac:dyDescent="0.3">
      <c r="A141" s="6" t="str">
        <f>IFERROR(VLOOKUP($F141,매장구분!$B:$K,2,0),"")</f>
        <v>리테일채널팀</v>
      </c>
      <c r="B141" s="6" t="str">
        <f>IFERROR(VLOOKUP($F141,매장구분!$B:$K,3,0),"")</f>
        <v>국내</v>
      </c>
      <c r="C141" s="6" t="str">
        <f>IFERROR(VLOOKUP($F141,매장구분!$B:$K,5,0),"")</f>
        <v>대리점</v>
      </c>
      <c r="D141" s="6" t="str">
        <f>IFERROR(VLOOKUP($F141,매장구분!$B:$Z,9,0),"")</f>
        <v>나주(대-위)</v>
      </c>
      <c r="E141" s="69" t="s">
        <v>324</v>
      </c>
      <c r="F141" s="69" t="s">
        <v>325</v>
      </c>
      <c r="G141" s="69">
        <v>679</v>
      </c>
      <c r="H141" s="69">
        <v>79655369</v>
      </c>
      <c r="I141" s="69">
        <v>83500800</v>
      </c>
      <c r="J141" s="69">
        <v>713</v>
      </c>
      <c r="K141" s="69">
        <v>84834575</v>
      </c>
      <c r="L141" s="69">
        <v>88724800</v>
      </c>
      <c r="M141" s="69">
        <v>-34</v>
      </c>
      <c r="N141" s="69">
        <v>-5179206</v>
      </c>
      <c r="O141" s="69">
        <v>-5224000</v>
      </c>
      <c r="P141" s="69">
        <v>535100</v>
      </c>
      <c r="Q141" s="69">
        <v>1511900</v>
      </c>
      <c r="R141" s="69">
        <v>1849100</v>
      </c>
      <c r="S141" s="69">
        <v>819000</v>
      </c>
      <c r="T141" s="69">
        <v>-5000</v>
      </c>
      <c r="U141" s="69">
        <v>1660800</v>
      </c>
      <c r="V141" s="69">
        <v>6562800</v>
      </c>
      <c r="W141" s="69">
        <v>2768600</v>
      </c>
      <c r="X141" s="69">
        <v>2629407</v>
      </c>
      <c r="Y141" s="69">
        <v>4228487</v>
      </c>
      <c r="Z141" s="69">
        <v>4828300</v>
      </c>
      <c r="AA141" s="69">
        <v>659000</v>
      </c>
      <c r="AB141" s="69">
        <v>1241949</v>
      </c>
      <c r="AC141" s="69">
        <v>1460000</v>
      </c>
      <c r="AD141" s="69">
        <v>316000</v>
      </c>
      <c r="AE141" s="69">
        <v>3797130</v>
      </c>
      <c r="AF141" s="69">
        <v>7849000</v>
      </c>
      <c r="AG141" s="69">
        <v>946000</v>
      </c>
      <c r="AH141" s="69">
        <v>1425038</v>
      </c>
      <c r="AI141" s="69">
        <v>1707000</v>
      </c>
      <c r="AJ141" s="69">
        <v>664159</v>
      </c>
      <c r="AK141" s="69">
        <v>1207645</v>
      </c>
      <c r="AL141" s="69">
        <v>4526990</v>
      </c>
      <c r="AM141" s="69">
        <v>3053897</v>
      </c>
      <c r="AN141" s="69">
        <v>4345600</v>
      </c>
      <c r="AO141" s="69">
        <v>2799000</v>
      </c>
      <c r="AP141" s="69">
        <v>1540000</v>
      </c>
      <c r="AQ141" s="69">
        <v>1127000</v>
      </c>
      <c r="AR141" s="69">
        <v>1242000</v>
      </c>
      <c r="AS141" s="69">
        <v>5614200</v>
      </c>
      <c r="AT141" s="69">
        <v>6745267</v>
      </c>
      <c r="AU141" s="69"/>
      <c r="AW141" s="66">
        <f t="shared" si="19"/>
        <v>3361000</v>
      </c>
      <c r="AX141" s="66">
        <f t="shared" si="19"/>
        <v>18664094</v>
      </c>
      <c r="AY141" s="66">
        <f t="shared" si="19"/>
        <v>20151379</v>
      </c>
      <c r="AZ141" s="66">
        <f t="shared" si="19"/>
        <v>13530729</v>
      </c>
      <c r="BA141" s="66">
        <f t="shared" si="19"/>
        <v>23413067</v>
      </c>
      <c r="BC141" s="66">
        <f t="shared" ca="1" si="17"/>
        <v>53188405</v>
      </c>
      <c r="BD141" s="66">
        <f t="shared" si="18"/>
        <v>72910102</v>
      </c>
    </row>
    <row r="142" spans="1:56" x14ac:dyDescent="0.3">
      <c r="A142" s="6" t="str">
        <f>IFERROR(VLOOKUP($F142,매장구분!$B:$K,2,0),"")</f>
        <v>리테일채널팀</v>
      </c>
      <c r="B142" s="6" t="str">
        <f>IFERROR(VLOOKUP($F142,매장구분!$B:$K,3,0),"")</f>
        <v>국내</v>
      </c>
      <c r="C142" s="6" t="str">
        <f>IFERROR(VLOOKUP($F142,매장구분!$B:$K,5,0),"")</f>
        <v>대리점</v>
      </c>
      <c r="D142" s="6" t="str">
        <f>IFERROR(VLOOKUP($F142,매장구분!$B:$Z,9,0),"")</f>
        <v>마산합성(대-위)</v>
      </c>
      <c r="E142" s="69" t="s">
        <v>546</v>
      </c>
      <c r="F142" s="69" t="s">
        <v>547</v>
      </c>
      <c r="G142" s="69">
        <v>526</v>
      </c>
      <c r="H142" s="69">
        <v>65896956</v>
      </c>
      <c r="I142" s="69">
        <v>72905600</v>
      </c>
      <c r="J142" s="69">
        <v>682</v>
      </c>
      <c r="K142" s="69">
        <v>92911856</v>
      </c>
      <c r="L142" s="69">
        <v>100036600</v>
      </c>
      <c r="M142" s="69">
        <v>-156</v>
      </c>
      <c r="N142" s="69">
        <v>-27014900</v>
      </c>
      <c r="O142" s="69">
        <v>-27131000</v>
      </c>
      <c r="P142" s="69">
        <v>1386000</v>
      </c>
      <c r="Q142" s="69">
        <v>2384100</v>
      </c>
      <c r="R142" s="69">
        <v>2362500</v>
      </c>
      <c r="S142" s="69">
        <v>2769300</v>
      </c>
      <c r="T142" s="69">
        <v>3709800</v>
      </c>
      <c r="U142" s="69">
        <v>3760320</v>
      </c>
      <c r="V142" s="69">
        <v>3593800</v>
      </c>
      <c r="W142" s="69">
        <v>935000</v>
      </c>
      <c r="X142" s="69">
        <v>2398200</v>
      </c>
      <c r="Y142" s="69">
        <v>2273200</v>
      </c>
      <c r="Z142" s="69">
        <v>4884500</v>
      </c>
      <c r="AA142" s="69">
        <v>1380300</v>
      </c>
      <c r="AB142" s="69">
        <v>317000</v>
      </c>
      <c r="AC142" s="69">
        <v>395000</v>
      </c>
      <c r="AD142" s="69">
        <v>988700</v>
      </c>
      <c r="AE142" s="69">
        <v>3121200</v>
      </c>
      <c r="AF142" s="69">
        <v>4106236</v>
      </c>
      <c r="AG142" s="69">
        <v>1636000</v>
      </c>
      <c r="AH142" s="69">
        <v>1405400</v>
      </c>
      <c r="AI142" s="69">
        <v>3677300</v>
      </c>
      <c r="AJ142" s="69">
        <v>321900</v>
      </c>
      <c r="AK142" s="69">
        <v>476800</v>
      </c>
      <c r="AL142" s="69">
        <v>926700</v>
      </c>
      <c r="AM142" s="69">
        <v>2788500</v>
      </c>
      <c r="AN142" s="69">
        <v>1404500</v>
      </c>
      <c r="AO142" s="69">
        <v>1963900</v>
      </c>
      <c r="AP142" s="69">
        <v>392000</v>
      </c>
      <c r="AQ142" s="69">
        <v>1093300</v>
      </c>
      <c r="AR142" s="69">
        <v>2005400</v>
      </c>
      <c r="AS142" s="69">
        <v>1193500</v>
      </c>
      <c r="AT142" s="69">
        <v>5846600</v>
      </c>
      <c r="AU142" s="69"/>
      <c r="AW142" s="66">
        <f t="shared" si="19"/>
        <v>4746600</v>
      </c>
      <c r="AX142" s="66">
        <f t="shared" si="19"/>
        <v>19439620</v>
      </c>
      <c r="AY142" s="66">
        <f t="shared" si="19"/>
        <v>15192936</v>
      </c>
      <c r="AZ142" s="66">
        <f t="shared" si="19"/>
        <v>11232600</v>
      </c>
      <c r="BA142" s="66">
        <f t="shared" si="19"/>
        <v>13899200</v>
      </c>
      <c r="BC142" s="66">
        <f t="shared" ca="1" si="17"/>
        <v>49209256</v>
      </c>
      <c r="BD142" s="66">
        <f t="shared" si="18"/>
        <v>60050356</v>
      </c>
    </row>
    <row r="143" spans="1:56" x14ac:dyDescent="0.3">
      <c r="A143" s="6" t="str">
        <f>IFERROR(VLOOKUP($F143,매장구분!$B:$K,2,0),"")</f>
        <v>리테일채널팀</v>
      </c>
      <c r="B143" s="6" t="str">
        <f>IFERROR(VLOOKUP($F143,매장구분!$B:$K,3,0),"")</f>
        <v>국내</v>
      </c>
      <c r="C143" s="6" t="str">
        <f>IFERROR(VLOOKUP($F143,매장구분!$B:$K,5,0),"")</f>
        <v>대리점</v>
      </c>
      <c r="D143" s="6" t="str">
        <f>IFERROR(VLOOKUP($F143,매장구분!$B:$Z,9,0),"")</f>
        <v>춘천(대-위)</v>
      </c>
      <c r="E143" s="69" t="s">
        <v>320</v>
      </c>
      <c r="F143" s="69" t="s">
        <v>321</v>
      </c>
      <c r="G143" s="69">
        <v>883</v>
      </c>
      <c r="H143" s="69">
        <v>81137996</v>
      </c>
      <c r="I143" s="69">
        <v>83401900</v>
      </c>
      <c r="J143" s="69">
        <v>1289</v>
      </c>
      <c r="K143" s="69">
        <v>158905045</v>
      </c>
      <c r="L143" s="69">
        <v>161264900</v>
      </c>
      <c r="M143" s="69">
        <v>-406</v>
      </c>
      <c r="N143" s="69">
        <v>-77767049</v>
      </c>
      <c r="O143" s="69">
        <v>-77863000</v>
      </c>
      <c r="P143" s="69">
        <v>1943376</v>
      </c>
      <c r="Q143" s="69">
        <v>3652600</v>
      </c>
      <c r="R143" s="69">
        <v>3416600</v>
      </c>
      <c r="S143" s="69">
        <v>1654100</v>
      </c>
      <c r="T143" s="69">
        <v>1800400</v>
      </c>
      <c r="U143" s="69">
        <v>1818000</v>
      </c>
      <c r="V143" s="69">
        <v>1222900</v>
      </c>
      <c r="W143" s="69">
        <v>1665100</v>
      </c>
      <c r="X143" s="69">
        <v>3526100</v>
      </c>
      <c r="Y143" s="69">
        <v>4651000</v>
      </c>
      <c r="Z143" s="69">
        <v>1178000</v>
      </c>
      <c r="AA143" s="69">
        <v>2240000</v>
      </c>
      <c r="AB143" s="69">
        <v>1252000</v>
      </c>
      <c r="AC143" s="69">
        <v>1899300</v>
      </c>
      <c r="AD143" s="69">
        <v>2187000</v>
      </c>
      <c r="AE143" s="69">
        <v>3576411</v>
      </c>
      <c r="AF143" s="69">
        <v>2460000</v>
      </c>
      <c r="AG143" s="69">
        <v>2570000</v>
      </c>
      <c r="AH143" s="69">
        <v>1779066</v>
      </c>
      <c r="AI143" s="69">
        <v>1932049</v>
      </c>
      <c r="AJ143" s="69">
        <v>1572000</v>
      </c>
      <c r="AK143" s="69">
        <v>2141000</v>
      </c>
      <c r="AL143" s="69">
        <v>3246640</v>
      </c>
      <c r="AM143" s="69">
        <v>6641186</v>
      </c>
      <c r="AN143" s="69">
        <v>2124868</v>
      </c>
      <c r="AO143" s="69">
        <v>2684300</v>
      </c>
      <c r="AP143" s="69">
        <v>2972000</v>
      </c>
      <c r="AQ143" s="69">
        <v>808000</v>
      </c>
      <c r="AR143" s="69">
        <v>2552000</v>
      </c>
      <c r="AS143" s="69">
        <v>4957000</v>
      </c>
      <c r="AT143" s="69">
        <v>5015000</v>
      </c>
      <c r="AU143" s="69"/>
      <c r="AW143" s="66">
        <f t="shared" si="19"/>
        <v>7069200</v>
      </c>
      <c r="AX143" s="66">
        <f t="shared" si="19"/>
        <v>16337600</v>
      </c>
      <c r="AY143" s="66">
        <f t="shared" si="19"/>
        <v>14792711</v>
      </c>
      <c r="AZ143" s="66">
        <f t="shared" si="19"/>
        <v>19881941</v>
      </c>
      <c r="BA143" s="66">
        <f t="shared" si="19"/>
        <v>21113168</v>
      </c>
      <c r="BC143" s="66">
        <f t="shared" ca="1" si="17"/>
        <v>53383642</v>
      </c>
      <c r="BD143" s="66">
        <f t="shared" si="18"/>
        <v>76122996</v>
      </c>
    </row>
    <row r="144" spans="1:56" x14ac:dyDescent="0.3">
      <c r="A144" s="6" t="str">
        <f>IFERROR(VLOOKUP($F144,매장구분!$B:$K,2,0),"")</f>
        <v>리테일채널팀</v>
      </c>
      <c r="B144" s="6" t="str">
        <f>IFERROR(VLOOKUP($F144,매장구분!$B:$K,3,0),"")</f>
        <v>국내</v>
      </c>
      <c r="C144" s="6" t="str">
        <f>IFERROR(VLOOKUP($F144,매장구분!$B:$K,5,0),"")</f>
        <v>대리점</v>
      </c>
      <c r="D144" s="6" t="str">
        <f>IFERROR(VLOOKUP($F144,매장구분!$B:$Z,9,0),"")</f>
        <v>포천(대-위)</v>
      </c>
      <c r="E144" s="69" t="s">
        <v>289</v>
      </c>
      <c r="F144" s="69" t="s">
        <v>290</v>
      </c>
      <c r="G144" s="69">
        <v>397</v>
      </c>
      <c r="H144" s="69">
        <v>47150035</v>
      </c>
      <c r="I144" s="69">
        <v>49398000</v>
      </c>
      <c r="J144" s="69">
        <v>409</v>
      </c>
      <c r="K144" s="69">
        <v>48422035</v>
      </c>
      <c r="L144" s="69">
        <v>50670000</v>
      </c>
      <c r="M144" s="69">
        <v>-12</v>
      </c>
      <c r="N144" s="69">
        <v>-1272000</v>
      </c>
      <c r="O144" s="69">
        <v>-1272000</v>
      </c>
      <c r="P144" s="69">
        <v>227000</v>
      </c>
      <c r="Q144" s="69">
        <v>148000</v>
      </c>
      <c r="R144" s="69">
        <v>1263000</v>
      </c>
      <c r="S144" s="69">
        <v>869000</v>
      </c>
      <c r="T144" s="69">
        <v>39000</v>
      </c>
      <c r="U144" s="69">
        <v>1045400</v>
      </c>
      <c r="V144" s="69">
        <v>2992200</v>
      </c>
      <c r="W144" s="69">
        <v>217000</v>
      </c>
      <c r="X144" s="69">
        <v>1500700</v>
      </c>
      <c r="Y144" s="69">
        <v>1672300</v>
      </c>
      <c r="Z144" s="69">
        <v>297000</v>
      </c>
      <c r="AA144" s="69">
        <v>405000</v>
      </c>
      <c r="AB144" s="69">
        <v>725000</v>
      </c>
      <c r="AC144" s="69">
        <v>138000</v>
      </c>
      <c r="AD144" s="69">
        <v>768000</v>
      </c>
      <c r="AE144" s="69">
        <v>1226000</v>
      </c>
      <c r="AF144" s="69">
        <v>1957300</v>
      </c>
      <c r="AG144" s="69">
        <v>348000</v>
      </c>
      <c r="AH144" s="69">
        <v>1504100</v>
      </c>
      <c r="AI144" s="69">
        <v>1874900</v>
      </c>
      <c r="AJ144" s="69">
        <v>1641000</v>
      </c>
      <c r="AK144" s="69">
        <v>253000</v>
      </c>
      <c r="AL144" s="69">
        <v>7581000</v>
      </c>
      <c r="AM144" s="69">
        <v>8444000</v>
      </c>
      <c r="AN144" s="69">
        <v>892000</v>
      </c>
      <c r="AO144" s="69">
        <v>808000</v>
      </c>
      <c r="AP144" s="69">
        <v>1132000</v>
      </c>
      <c r="AQ144" s="69">
        <v>332000</v>
      </c>
      <c r="AR144" s="69">
        <v>237000</v>
      </c>
      <c r="AS144" s="69">
        <v>2353135</v>
      </c>
      <c r="AT144" s="69">
        <v>4260000</v>
      </c>
      <c r="AU144" s="69"/>
      <c r="AW144" s="66">
        <f t="shared" si="19"/>
        <v>1411000</v>
      </c>
      <c r="AX144" s="66">
        <f t="shared" si="19"/>
        <v>8335600</v>
      </c>
      <c r="AY144" s="66">
        <f t="shared" si="19"/>
        <v>5516300</v>
      </c>
      <c r="AZ144" s="66">
        <f t="shared" si="19"/>
        <v>21646000</v>
      </c>
      <c r="BA144" s="66">
        <f t="shared" si="19"/>
        <v>10014135</v>
      </c>
      <c r="BC144" s="66">
        <f t="shared" ca="1" si="17"/>
        <v>28691900</v>
      </c>
      <c r="BD144" s="66">
        <f t="shared" si="18"/>
        <v>42890035</v>
      </c>
    </row>
    <row r="145" spans="1:56" x14ac:dyDescent="0.3">
      <c r="A145" s="6" t="str">
        <f>IFERROR(VLOOKUP($F145,매장구분!$B:$K,2,0),"")</f>
        <v>리테일채널팀</v>
      </c>
      <c r="B145" s="6" t="str">
        <f>IFERROR(VLOOKUP($F145,매장구분!$B:$K,3,0),"")</f>
        <v>국내</v>
      </c>
      <c r="C145" s="6" t="str">
        <f>IFERROR(VLOOKUP($F145,매장구분!$B:$K,5,0),"")</f>
        <v>대리점</v>
      </c>
      <c r="D145" s="6" t="str">
        <f>IFERROR(VLOOKUP($F145,매장구분!$B:$Z,9,0),"")</f>
        <v>포항(대-위)</v>
      </c>
      <c r="E145" s="69" t="s">
        <v>338</v>
      </c>
      <c r="F145" s="69" t="s">
        <v>339</v>
      </c>
      <c r="G145" s="69">
        <v>701</v>
      </c>
      <c r="H145" s="69">
        <v>80784710</v>
      </c>
      <c r="I145" s="69">
        <v>88980700</v>
      </c>
      <c r="J145" s="69">
        <v>762</v>
      </c>
      <c r="K145" s="69">
        <v>91570210</v>
      </c>
      <c r="L145" s="69">
        <v>99785700</v>
      </c>
      <c r="M145" s="69">
        <v>-61</v>
      </c>
      <c r="N145" s="69">
        <v>-10785500</v>
      </c>
      <c r="O145" s="69">
        <v>-10805000</v>
      </c>
      <c r="P145" s="69">
        <v>1794600</v>
      </c>
      <c r="Q145" s="69">
        <v>3573000</v>
      </c>
      <c r="R145" s="69">
        <v>7190900</v>
      </c>
      <c r="S145" s="69">
        <v>1773900</v>
      </c>
      <c r="T145" s="69">
        <v>1800000</v>
      </c>
      <c r="U145" s="69">
        <v>518000</v>
      </c>
      <c r="V145" s="69">
        <v>1412600</v>
      </c>
      <c r="W145" s="69">
        <v>1786500</v>
      </c>
      <c r="X145" s="69">
        <v>4065100</v>
      </c>
      <c r="Y145" s="69">
        <v>6225010</v>
      </c>
      <c r="Z145" s="69">
        <v>2380000</v>
      </c>
      <c r="AA145" s="69">
        <v>1798200</v>
      </c>
      <c r="AB145" s="69">
        <v>1982000</v>
      </c>
      <c r="AC145" s="69">
        <v>2095100</v>
      </c>
      <c r="AD145" s="69">
        <v>2304000</v>
      </c>
      <c r="AE145" s="69">
        <v>4932200</v>
      </c>
      <c r="AF145" s="69">
        <v>3896200</v>
      </c>
      <c r="AG145" s="69">
        <v>3997900</v>
      </c>
      <c r="AH145" s="69">
        <v>2227000</v>
      </c>
      <c r="AI145" s="69">
        <v>1921000</v>
      </c>
      <c r="AJ145" s="69">
        <v>1879100</v>
      </c>
      <c r="AK145" s="69">
        <v>1807000</v>
      </c>
      <c r="AL145" s="69">
        <v>1862100</v>
      </c>
      <c r="AM145" s="69">
        <v>4249500</v>
      </c>
      <c r="AN145" s="69">
        <v>2166000</v>
      </c>
      <c r="AO145" s="69">
        <v>319000</v>
      </c>
      <c r="AP145" s="69">
        <v>2039100</v>
      </c>
      <c r="AQ145" s="69">
        <v>1831500</v>
      </c>
      <c r="AR145" s="69">
        <v>1800000</v>
      </c>
      <c r="AS145" s="69">
        <v>1900200</v>
      </c>
      <c r="AT145" s="69">
        <v>3258000</v>
      </c>
      <c r="AU145" s="69"/>
      <c r="AW145" s="66">
        <f t="shared" si="19"/>
        <v>10763900</v>
      </c>
      <c r="AX145" s="66">
        <f t="shared" si="19"/>
        <v>17581110</v>
      </c>
      <c r="AY145" s="66">
        <f t="shared" si="19"/>
        <v>19387700</v>
      </c>
      <c r="AZ145" s="66">
        <f t="shared" si="19"/>
        <v>17943600</v>
      </c>
      <c r="BA145" s="66">
        <f t="shared" si="19"/>
        <v>13313800</v>
      </c>
      <c r="BC145" s="66">
        <f t="shared" ca="1" si="17"/>
        <v>63221410</v>
      </c>
      <c r="BD145" s="66">
        <f t="shared" si="18"/>
        <v>77526710</v>
      </c>
    </row>
    <row r="146" spans="1:56" x14ac:dyDescent="0.3">
      <c r="A146" s="6" t="str">
        <f>IFERROR(VLOOKUP($F146,매장구분!$B:$K,2,0),"")</f>
        <v>리테일채널팀</v>
      </c>
      <c r="B146" s="6" t="str">
        <f>IFERROR(VLOOKUP($F146,매장구분!$B:$K,3,0),"")</f>
        <v>국내</v>
      </c>
      <c r="C146" s="6" t="str">
        <f>IFERROR(VLOOKUP($F146,매장구분!$B:$K,5,0),"")</f>
        <v>대리점</v>
      </c>
      <c r="D146" s="6" t="str">
        <f>IFERROR(VLOOKUP($F146,매장구분!$B:$Z,9,0),"")</f>
        <v>인천(대-위)</v>
      </c>
      <c r="E146" s="69" t="s">
        <v>215</v>
      </c>
      <c r="F146" s="69" t="s">
        <v>216</v>
      </c>
      <c r="G146" s="69">
        <v>402</v>
      </c>
      <c r="H146" s="69">
        <v>53106400</v>
      </c>
      <c r="I146" s="69">
        <v>53757000</v>
      </c>
      <c r="J146" s="69">
        <v>523</v>
      </c>
      <c r="K146" s="69">
        <v>74591000</v>
      </c>
      <c r="L146" s="69">
        <v>75519000</v>
      </c>
      <c r="M146" s="69">
        <v>-121</v>
      </c>
      <c r="N146" s="69">
        <v>-21484600</v>
      </c>
      <c r="O146" s="69">
        <v>-21762000</v>
      </c>
      <c r="P146" s="69">
        <v>898000</v>
      </c>
      <c r="Q146" s="69">
        <v>971100</v>
      </c>
      <c r="R146" s="69">
        <v>1500000</v>
      </c>
      <c r="S146" s="69">
        <v>1345000</v>
      </c>
      <c r="T146" s="69">
        <v>4262000</v>
      </c>
      <c r="U146" s="69">
        <v>1912000</v>
      </c>
      <c r="V146" s="69">
        <v>2310000</v>
      </c>
      <c r="W146" s="69">
        <v>1464000</v>
      </c>
      <c r="X146" s="69">
        <v>1633300</v>
      </c>
      <c r="Y146" s="69">
        <v>3584000</v>
      </c>
      <c r="Z146" s="69">
        <v>1264000</v>
      </c>
      <c r="AA146" s="69">
        <v>1212000</v>
      </c>
      <c r="AB146" s="69">
        <v>1194100</v>
      </c>
      <c r="AC146" s="69">
        <v>1080000</v>
      </c>
      <c r="AD146" s="69">
        <v>1241500</v>
      </c>
      <c r="AE146" s="69">
        <v>1149000</v>
      </c>
      <c r="AF146" s="69">
        <v>3124000</v>
      </c>
      <c r="AG146" s="69">
        <v>1364000</v>
      </c>
      <c r="AH146" s="69">
        <v>750300</v>
      </c>
      <c r="AI146" s="69">
        <v>2187000</v>
      </c>
      <c r="AJ146" s="69">
        <v>627100</v>
      </c>
      <c r="AK146" s="69">
        <v>378000</v>
      </c>
      <c r="AL146" s="69">
        <v>1783000</v>
      </c>
      <c r="AM146" s="69">
        <v>4177000</v>
      </c>
      <c r="AN146" s="69">
        <v>485000</v>
      </c>
      <c r="AO146" s="69">
        <v>1546000</v>
      </c>
      <c r="AP146" s="69">
        <v>687000</v>
      </c>
      <c r="AQ146" s="69">
        <v>1237000</v>
      </c>
      <c r="AR146" s="69">
        <v>1980000</v>
      </c>
      <c r="AS146" s="69">
        <v>3101000</v>
      </c>
      <c r="AT146" s="69">
        <v>2660000</v>
      </c>
      <c r="AU146" s="69"/>
      <c r="AW146" s="66">
        <f t="shared" si="19"/>
        <v>2471100</v>
      </c>
      <c r="AX146" s="66">
        <f t="shared" si="19"/>
        <v>16510300</v>
      </c>
      <c r="AY146" s="66">
        <f t="shared" si="19"/>
        <v>10264600</v>
      </c>
      <c r="AZ146" s="66">
        <f t="shared" si="19"/>
        <v>11266400</v>
      </c>
      <c r="BA146" s="66">
        <f t="shared" si="19"/>
        <v>11696000</v>
      </c>
      <c r="BC146" s="66">
        <f t="shared" ca="1" si="17"/>
        <v>37233400</v>
      </c>
      <c r="BD146" s="66">
        <f t="shared" si="18"/>
        <v>50446400</v>
      </c>
    </row>
    <row r="147" spans="1:56" x14ac:dyDescent="0.3">
      <c r="A147" s="6" t="str">
        <f>IFERROR(VLOOKUP($F147,매장구분!$B:$K,2,0),"")</f>
        <v>리테일채널팀</v>
      </c>
      <c r="B147" s="6" t="str">
        <f>IFERROR(VLOOKUP($F147,매장구분!$B:$K,3,0),"")</f>
        <v>RF</v>
      </c>
      <c r="C147" s="6" t="str">
        <f>IFERROR(VLOOKUP($F147,매장구분!$B:$K,5,0),"")</f>
        <v>대리점</v>
      </c>
      <c r="D147" s="6" t="str">
        <f>IFERROR(VLOOKUP($F147,매장구분!$B:$Z,9,0),"")</f>
        <v>부산광복(대-위)</v>
      </c>
      <c r="E147" s="69" t="s">
        <v>326</v>
      </c>
      <c r="F147" s="69" t="s">
        <v>327</v>
      </c>
      <c r="G147" s="69">
        <v>1906</v>
      </c>
      <c r="H147" s="69">
        <v>174126840</v>
      </c>
      <c r="I147" s="69">
        <v>210943800</v>
      </c>
      <c r="J147" s="69">
        <v>2436</v>
      </c>
      <c r="K147" s="69">
        <v>291681340</v>
      </c>
      <c r="L147" s="69">
        <v>329140800</v>
      </c>
      <c r="M147" s="69">
        <v>-530</v>
      </c>
      <c r="N147" s="69">
        <v>-117554500</v>
      </c>
      <c r="O147" s="69">
        <v>-118197000</v>
      </c>
      <c r="P147" s="69">
        <v>4137800</v>
      </c>
      <c r="Q147" s="69">
        <v>10176400</v>
      </c>
      <c r="R147" s="69">
        <v>8222100</v>
      </c>
      <c r="S147" s="69">
        <v>6045800</v>
      </c>
      <c r="T147" s="69">
        <v>5177800</v>
      </c>
      <c r="U147" s="69">
        <v>4118400</v>
      </c>
      <c r="V147" s="69">
        <v>6692600</v>
      </c>
      <c r="W147" s="69">
        <v>4128300</v>
      </c>
      <c r="X147" s="69">
        <v>5459800</v>
      </c>
      <c r="Y147" s="69">
        <v>4590200</v>
      </c>
      <c r="Z147" s="69">
        <v>5455600</v>
      </c>
      <c r="AA147" s="69">
        <v>6219400</v>
      </c>
      <c r="AB147" s="69">
        <v>8209300</v>
      </c>
      <c r="AC147" s="69">
        <v>6056200</v>
      </c>
      <c r="AD147" s="69">
        <v>1075100</v>
      </c>
      <c r="AE147" s="69">
        <v>8656200</v>
      </c>
      <c r="AF147" s="69">
        <v>5362600</v>
      </c>
      <c r="AG147" s="69">
        <v>5993900</v>
      </c>
      <c r="AH147" s="69">
        <v>815000</v>
      </c>
      <c r="AI147" s="69">
        <v>9887800</v>
      </c>
      <c r="AJ147" s="69">
        <v>5645200</v>
      </c>
      <c r="AK147" s="69">
        <v>5366000</v>
      </c>
      <c r="AL147" s="69">
        <v>8139200</v>
      </c>
      <c r="AM147" s="69">
        <v>4895600</v>
      </c>
      <c r="AN147" s="69">
        <v>3484600</v>
      </c>
      <c r="AO147" s="69">
        <v>519300</v>
      </c>
      <c r="AP147" s="69">
        <v>6516200</v>
      </c>
      <c r="AQ147" s="69">
        <v>7023120</v>
      </c>
      <c r="AR147" s="69">
        <v>327000</v>
      </c>
      <c r="AS147" s="69">
        <v>1155000</v>
      </c>
      <c r="AT147" s="69">
        <v>14575320</v>
      </c>
      <c r="AU147" s="69"/>
      <c r="AW147" s="66">
        <f t="shared" si="19"/>
        <v>18398500</v>
      </c>
      <c r="AX147" s="66">
        <f t="shared" si="19"/>
        <v>36212900</v>
      </c>
      <c r="AY147" s="66">
        <f t="shared" si="19"/>
        <v>41034400</v>
      </c>
      <c r="AZ147" s="66">
        <f t="shared" si="19"/>
        <v>40742700</v>
      </c>
      <c r="BA147" s="66">
        <f t="shared" si="19"/>
        <v>33600540</v>
      </c>
      <c r="BC147" s="66">
        <f t="shared" ca="1" si="17"/>
        <v>135630700</v>
      </c>
      <c r="BD147" s="66">
        <f t="shared" si="18"/>
        <v>159551520</v>
      </c>
    </row>
    <row r="148" spans="1:56" x14ac:dyDescent="0.3">
      <c r="A148" s="6" t="str">
        <f>IFERROR(VLOOKUP($F148,매장구분!$B:$K,2,0),"")</f>
        <v>리테일채널팀</v>
      </c>
      <c r="B148" s="6" t="str">
        <f>IFERROR(VLOOKUP($F148,매장구분!$B:$K,3,0),"")</f>
        <v>국내</v>
      </c>
      <c r="C148" s="6" t="str">
        <f>IFERROR(VLOOKUP($F148,매장구분!$B:$K,5,0),"")</f>
        <v>대리점</v>
      </c>
      <c r="D148" s="6" t="str">
        <f>IFERROR(VLOOKUP($F148,매장구분!$B:$Z,9,0),"")</f>
        <v>여수(대-위)</v>
      </c>
      <c r="E148" s="69" t="s">
        <v>198</v>
      </c>
      <c r="F148" s="69" t="s">
        <v>199</v>
      </c>
      <c r="G148" s="69">
        <v>510</v>
      </c>
      <c r="H148" s="69">
        <v>54606100</v>
      </c>
      <c r="I148" s="69">
        <v>56690700</v>
      </c>
      <c r="J148" s="69">
        <v>629</v>
      </c>
      <c r="K148" s="69">
        <v>85048200</v>
      </c>
      <c r="L148" s="69">
        <v>87156700</v>
      </c>
      <c r="M148" s="69">
        <v>-119</v>
      </c>
      <c r="N148" s="69">
        <v>-30442100</v>
      </c>
      <c r="O148" s="69">
        <v>-30466000</v>
      </c>
      <c r="P148" s="69">
        <v>402100</v>
      </c>
      <c r="Q148" s="69">
        <v>2342500</v>
      </c>
      <c r="R148" s="69">
        <v>3789300</v>
      </c>
      <c r="S148" s="69">
        <v>1483600</v>
      </c>
      <c r="T148" s="69">
        <v>555000</v>
      </c>
      <c r="U148" s="69">
        <v>1093200</v>
      </c>
      <c r="V148" s="69">
        <v>2227000</v>
      </c>
      <c r="W148" s="69">
        <v>1908400</v>
      </c>
      <c r="X148" s="69">
        <v>2760000</v>
      </c>
      <c r="Y148" s="69">
        <v>3335900</v>
      </c>
      <c r="Z148" s="69">
        <v>1902000</v>
      </c>
      <c r="AA148" s="69">
        <v>678000</v>
      </c>
      <c r="AB148" s="69">
        <v>355000</v>
      </c>
      <c r="AC148" s="69">
        <v>370000</v>
      </c>
      <c r="AD148" s="69">
        <v>713100</v>
      </c>
      <c r="AE148" s="69">
        <v>2399000</v>
      </c>
      <c r="AF148" s="69">
        <v>2602000</v>
      </c>
      <c r="AG148" s="69">
        <v>2012000</v>
      </c>
      <c r="AH148" s="69">
        <v>898000</v>
      </c>
      <c r="AI148" s="69">
        <v>676000</v>
      </c>
      <c r="AJ148" s="69">
        <v>684700</v>
      </c>
      <c r="AK148" s="69">
        <v>842000</v>
      </c>
      <c r="AL148" s="69">
        <v>2881000</v>
      </c>
      <c r="AM148" s="69">
        <v>4066000</v>
      </c>
      <c r="AN148" s="69">
        <v>828000</v>
      </c>
      <c r="AO148" s="69">
        <v>879000</v>
      </c>
      <c r="AP148" s="69">
        <v>1827000</v>
      </c>
      <c r="AQ148" s="69">
        <v>975000</v>
      </c>
      <c r="AR148" s="69">
        <v>2004000</v>
      </c>
      <c r="AS148" s="69">
        <v>4407300</v>
      </c>
      <c r="AT148" s="69">
        <v>2710000</v>
      </c>
      <c r="AU148" s="69"/>
      <c r="AW148" s="66">
        <f t="shared" si="19"/>
        <v>6131800</v>
      </c>
      <c r="AX148" s="66">
        <f t="shared" si="19"/>
        <v>13363100</v>
      </c>
      <c r="AY148" s="66">
        <f t="shared" si="19"/>
        <v>9019100</v>
      </c>
      <c r="AZ148" s="66">
        <f t="shared" si="19"/>
        <v>12059700</v>
      </c>
      <c r="BA148" s="66">
        <f t="shared" si="19"/>
        <v>13630300</v>
      </c>
      <c r="BC148" s="66">
        <f t="shared" ca="1" si="17"/>
        <v>36909800</v>
      </c>
      <c r="BD148" s="66">
        <f t="shared" si="18"/>
        <v>51896100</v>
      </c>
    </row>
    <row r="149" spans="1:56" x14ac:dyDescent="0.3">
      <c r="A149" s="6" t="str">
        <f>IFERROR(VLOOKUP($F149,매장구분!$B:$K,2,0),"")</f>
        <v>리테일채널팀</v>
      </c>
      <c r="B149" s="6" t="str">
        <f>IFERROR(VLOOKUP($F149,매장구분!$B:$K,3,0),"")</f>
        <v>국내</v>
      </c>
      <c r="C149" s="6" t="str">
        <f>IFERROR(VLOOKUP($F149,매장구분!$B:$K,5,0),"")</f>
        <v>대리점</v>
      </c>
      <c r="D149" s="6" t="str">
        <f>IFERROR(VLOOKUP($F149,매장구분!$B:$Z,9,0),"")</f>
        <v>제주(대-위)</v>
      </c>
      <c r="E149" s="69" t="s">
        <v>474</v>
      </c>
      <c r="F149" s="69" t="s">
        <v>475</v>
      </c>
      <c r="G149" s="69">
        <v>940</v>
      </c>
      <c r="H149" s="69">
        <v>88008260</v>
      </c>
      <c r="I149" s="69">
        <v>93908900</v>
      </c>
      <c r="J149" s="69">
        <v>980</v>
      </c>
      <c r="K149" s="69">
        <v>93066660</v>
      </c>
      <c r="L149" s="69">
        <v>99019900</v>
      </c>
      <c r="M149" s="69">
        <v>-40</v>
      </c>
      <c r="N149" s="69">
        <v>-5058400</v>
      </c>
      <c r="O149" s="69">
        <v>-5111000</v>
      </c>
      <c r="P149" s="69">
        <v>1235000</v>
      </c>
      <c r="Q149" s="69">
        <v>2200000</v>
      </c>
      <c r="R149" s="69">
        <v>3031300</v>
      </c>
      <c r="S149" s="69">
        <v>1477000</v>
      </c>
      <c r="T149" s="69">
        <v>6375700</v>
      </c>
      <c r="U149" s="69">
        <v>1984700</v>
      </c>
      <c r="V149" s="69">
        <v>3379700</v>
      </c>
      <c r="W149" s="69">
        <v>1732400</v>
      </c>
      <c r="X149" s="69">
        <v>3111000</v>
      </c>
      <c r="Y149" s="69">
        <v>1918900</v>
      </c>
      <c r="Z149" s="69">
        <v>2305000</v>
      </c>
      <c r="AA149" s="69">
        <v>2125000</v>
      </c>
      <c r="AB149" s="69">
        <v>823000</v>
      </c>
      <c r="AC149" s="69">
        <v>1543000</v>
      </c>
      <c r="AD149" s="69">
        <v>5384400</v>
      </c>
      <c r="AE149" s="69">
        <v>2117000</v>
      </c>
      <c r="AF149" s="69">
        <v>3907360</v>
      </c>
      <c r="AG149" s="69">
        <v>2057000</v>
      </c>
      <c r="AH149" s="69">
        <v>3575000</v>
      </c>
      <c r="AI149" s="69">
        <v>2524000</v>
      </c>
      <c r="AJ149" s="69">
        <v>5394400</v>
      </c>
      <c r="AK149" s="69">
        <v>1944000</v>
      </c>
      <c r="AL149" s="69">
        <v>3694000</v>
      </c>
      <c r="AM149" s="69">
        <v>3263000</v>
      </c>
      <c r="AN149" s="69">
        <v>1242000</v>
      </c>
      <c r="AO149" s="69">
        <v>2214000</v>
      </c>
      <c r="AP149" s="69">
        <v>2789000</v>
      </c>
      <c r="AQ149" s="69">
        <v>3414000</v>
      </c>
      <c r="AR149" s="69">
        <v>1340000</v>
      </c>
      <c r="AS149" s="69">
        <v>3675000</v>
      </c>
      <c r="AT149" s="69">
        <v>6232400</v>
      </c>
      <c r="AU149" s="69"/>
      <c r="AW149" s="66">
        <f t="shared" si="19"/>
        <v>5231300</v>
      </c>
      <c r="AX149" s="66">
        <f t="shared" si="19"/>
        <v>19979400</v>
      </c>
      <c r="AY149" s="66">
        <f t="shared" si="19"/>
        <v>18204760</v>
      </c>
      <c r="AZ149" s="66">
        <f t="shared" si="19"/>
        <v>22451400</v>
      </c>
      <c r="BA149" s="66">
        <f t="shared" si="19"/>
        <v>20906400</v>
      </c>
      <c r="BC149" s="66">
        <f t="shared" ca="1" si="17"/>
        <v>63838860</v>
      </c>
      <c r="BD149" s="66">
        <f t="shared" si="18"/>
        <v>81775860</v>
      </c>
    </row>
    <row r="150" spans="1:56" x14ac:dyDescent="0.3">
      <c r="A150" s="6" t="str">
        <f>IFERROR(VLOOKUP($F150,매장구분!$B:$K,2,0),"")</f>
        <v>리테일채널팀</v>
      </c>
      <c r="B150" s="6" t="str">
        <f>IFERROR(VLOOKUP($F150,매장구분!$B:$K,3,0),"")</f>
        <v>국내</v>
      </c>
      <c r="C150" s="6" t="str">
        <f>IFERROR(VLOOKUP($F150,매장구분!$B:$K,5,0),"")</f>
        <v>대리점</v>
      </c>
      <c r="D150" s="6" t="str">
        <f>IFERROR(VLOOKUP($F150,매장구분!$B:$Z,9,0),"")</f>
        <v>전주중앙(대-위)</v>
      </c>
      <c r="E150" s="69" t="s">
        <v>293</v>
      </c>
      <c r="F150" s="69" t="s">
        <v>294</v>
      </c>
      <c r="G150" s="69">
        <v>636</v>
      </c>
      <c r="H150" s="69">
        <v>71772300</v>
      </c>
      <c r="I150" s="69">
        <v>78222000</v>
      </c>
      <c r="J150" s="69">
        <v>876</v>
      </c>
      <c r="K150" s="69">
        <v>128202300</v>
      </c>
      <c r="L150" s="69">
        <v>134652000</v>
      </c>
      <c r="M150" s="69">
        <v>-240</v>
      </c>
      <c r="N150" s="69">
        <v>-56430000</v>
      </c>
      <c r="O150" s="69">
        <v>-56430000</v>
      </c>
      <c r="P150" s="69">
        <v>3214700</v>
      </c>
      <c r="Q150" s="69">
        <v>2627800</v>
      </c>
      <c r="R150" s="69">
        <v>3520300</v>
      </c>
      <c r="S150" s="69">
        <v>1804500</v>
      </c>
      <c r="T150" s="69">
        <v>2524500</v>
      </c>
      <c r="U150" s="69">
        <v>2846500</v>
      </c>
      <c r="V150" s="69">
        <v>155300</v>
      </c>
      <c r="W150" s="69">
        <v>2530000</v>
      </c>
      <c r="X150" s="69">
        <v>5305200</v>
      </c>
      <c r="Y150" s="69">
        <v>2471100</v>
      </c>
      <c r="Z150" s="69">
        <v>1501000</v>
      </c>
      <c r="AA150" s="69">
        <v>1370100</v>
      </c>
      <c r="AB150" s="69">
        <v>1547000</v>
      </c>
      <c r="AC150" s="69">
        <v>244000</v>
      </c>
      <c r="AD150" s="69">
        <v>-2302000</v>
      </c>
      <c r="AE150" s="69">
        <v>6937100</v>
      </c>
      <c r="AF150" s="69">
        <v>3817200</v>
      </c>
      <c r="AG150" s="69">
        <v>1375700</v>
      </c>
      <c r="AH150" s="69">
        <v>2359000</v>
      </c>
      <c r="AI150" s="69">
        <v>4078000</v>
      </c>
      <c r="AJ150" s="69">
        <v>2738000</v>
      </c>
      <c r="AK150" s="69">
        <v>575000</v>
      </c>
      <c r="AL150" s="69">
        <v>2841300</v>
      </c>
      <c r="AM150" s="69">
        <v>4166600</v>
      </c>
      <c r="AN150" s="69">
        <v>1872600</v>
      </c>
      <c r="AO150" s="69">
        <v>6137000</v>
      </c>
      <c r="AP150" s="69">
        <v>874900</v>
      </c>
      <c r="AQ150" s="69">
        <v>1318000</v>
      </c>
      <c r="AR150" s="69">
        <v>2664300</v>
      </c>
      <c r="AS150" s="69">
        <v>-8120800</v>
      </c>
      <c r="AT150" s="69">
        <v>8778400</v>
      </c>
      <c r="AU150" s="69"/>
      <c r="AW150" s="66">
        <f t="shared" si="19"/>
        <v>6148100</v>
      </c>
      <c r="AX150" s="66">
        <f t="shared" si="19"/>
        <v>17637100</v>
      </c>
      <c r="AY150" s="66">
        <f t="shared" si="19"/>
        <v>13114400</v>
      </c>
      <c r="AZ150" s="66">
        <f t="shared" si="19"/>
        <v>18133600</v>
      </c>
      <c r="BA150" s="66">
        <f t="shared" si="19"/>
        <v>13524400</v>
      </c>
      <c r="BC150" s="66">
        <f t="shared" ca="1" si="17"/>
        <v>54081300</v>
      </c>
      <c r="BD150" s="66">
        <f t="shared" si="18"/>
        <v>62993900</v>
      </c>
    </row>
    <row r="151" spans="1:56" x14ac:dyDescent="0.3">
      <c r="A151" s="6" t="str">
        <f>IFERROR(VLOOKUP($F151,매장구분!$B:$K,2,0),"")</f>
        <v>리테일채널팀</v>
      </c>
      <c r="B151" s="6" t="str">
        <f>IFERROR(VLOOKUP($F151,매장구분!$B:$K,3,0),"")</f>
        <v>국내</v>
      </c>
      <c r="C151" s="6" t="str">
        <f>IFERROR(VLOOKUP($F151,매장구분!$B:$K,5,0),"")</f>
        <v>대리점</v>
      </c>
      <c r="D151" s="6" t="str">
        <f>IFERROR(VLOOKUP($F151,매장구분!$B:$Z,9,0),"")</f>
        <v>서산(대-위)</v>
      </c>
      <c r="E151" s="69" t="s">
        <v>336</v>
      </c>
      <c r="F151" s="69" t="s">
        <v>337</v>
      </c>
      <c r="G151" s="69">
        <v>461</v>
      </c>
      <c r="H151" s="69">
        <v>51489300</v>
      </c>
      <c r="I151" s="69">
        <v>52171900</v>
      </c>
      <c r="J151" s="69">
        <v>554</v>
      </c>
      <c r="K151" s="69">
        <v>69604300</v>
      </c>
      <c r="L151" s="69">
        <v>70286900</v>
      </c>
      <c r="M151" s="69">
        <v>-93</v>
      </c>
      <c r="N151" s="69">
        <v>-18115000</v>
      </c>
      <c r="O151" s="69">
        <v>-18115000</v>
      </c>
      <c r="P151" s="69">
        <v>1585200</v>
      </c>
      <c r="Q151" s="69">
        <v>1811000</v>
      </c>
      <c r="R151" s="69">
        <v>1078000</v>
      </c>
      <c r="S151" s="69">
        <v>567000</v>
      </c>
      <c r="T151" s="69">
        <v>1156000</v>
      </c>
      <c r="U151" s="69">
        <v>1597000</v>
      </c>
      <c r="V151" s="69">
        <v>2481800</v>
      </c>
      <c r="W151" s="69">
        <v>1466400</v>
      </c>
      <c r="X151" s="69">
        <v>1438000</v>
      </c>
      <c r="Y151" s="69">
        <v>2355000</v>
      </c>
      <c r="Z151" s="69">
        <v>1483000</v>
      </c>
      <c r="AA151" s="69">
        <v>661000</v>
      </c>
      <c r="AB151" s="69">
        <v>1003000</v>
      </c>
      <c r="AC151" s="69">
        <v>790000</v>
      </c>
      <c r="AD151" s="69">
        <v>2512000</v>
      </c>
      <c r="AE151" s="69">
        <v>1526000</v>
      </c>
      <c r="AF151" s="69">
        <v>1568000</v>
      </c>
      <c r="AG151" s="69">
        <v>1917000</v>
      </c>
      <c r="AH151" s="69">
        <v>2095000</v>
      </c>
      <c r="AI151" s="69">
        <v>2707000</v>
      </c>
      <c r="AJ151" s="69">
        <v>705000</v>
      </c>
      <c r="AK151" s="69">
        <v>287000</v>
      </c>
      <c r="AL151" s="69">
        <v>1736000</v>
      </c>
      <c r="AM151" s="69">
        <v>4238000</v>
      </c>
      <c r="AN151" s="69">
        <v>2028000</v>
      </c>
      <c r="AO151" s="69">
        <v>1334000</v>
      </c>
      <c r="AP151" s="69">
        <v>1232000</v>
      </c>
      <c r="AQ151" s="69">
        <v>2276000</v>
      </c>
      <c r="AR151" s="69">
        <v>777000</v>
      </c>
      <c r="AS151" s="69">
        <v>3686000</v>
      </c>
      <c r="AT151" s="69">
        <v>1392900</v>
      </c>
      <c r="AU151" s="69"/>
      <c r="AW151" s="66">
        <f t="shared" si="19"/>
        <v>2889000</v>
      </c>
      <c r="AX151" s="66">
        <f t="shared" si="19"/>
        <v>11061200</v>
      </c>
      <c r="AY151" s="66">
        <f t="shared" si="19"/>
        <v>9543000</v>
      </c>
      <c r="AZ151" s="66">
        <f t="shared" si="19"/>
        <v>13685000</v>
      </c>
      <c r="BA151" s="66">
        <f t="shared" si="19"/>
        <v>12725900</v>
      </c>
      <c r="BC151" s="66">
        <f t="shared" ca="1" si="17"/>
        <v>34525400</v>
      </c>
      <c r="BD151" s="66">
        <f t="shared" si="18"/>
        <v>50096400</v>
      </c>
    </row>
    <row r="152" spans="1:56" x14ac:dyDescent="0.3">
      <c r="A152" s="6" t="str">
        <f>IFERROR(VLOOKUP($F152,매장구분!$B:$K,2,0),"")</f>
        <v>리테일채널팀</v>
      </c>
      <c r="B152" s="6" t="str">
        <f>IFERROR(VLOOKUP($F152,매장구분!$B:$K,3,0),"")</f>
        <v>국내</v>
      </c>
      <c r="C152" s="6" t="str">
        <f>IFERROR(VLOOKUP($F152,매장구분!$B:$K,5,0),"")</f>
        <v>대리점</v>
      </c>
      <c r="D152" s="6" t="str">
        <f>IFERROR(VLOOKUP($F152,매장구분!$B:$Z,9,0),"")</f>
        <v>안동(대-위)</v>
      </c>
      <c r="E152" s="69" t="s">
        <v>424</v>
      </c>
      <c r="F152" s="69" t="s">
        <v>425</v>
      </c>
      <c r="G152" s="69">
        <v>373</v>
      </c>
      <c r="H152" s="69">
        <v>43615020</v>
      </c>
      <c r="I152" s="69">
        <v>45268800</v>
      </c>
      <c r="J152" s="69">
        <v>487</v>
      </c>
      <c r="K152" s="69">
        <v>67040520</v>
      </c>
      <c r="L152" s="69">
        <v>68776800</v>
      </c>
      <c r="M152" s="69">
        <v>-114</v>
      </c>
      <c r="N152" s="69">
        <v>-23425500</v>
      </c>
      <c r="O152" s="69">
        <v>-23508000</v>
      </c>
      <c r="P152" s="69">
        <v>742200</v>
      </c>
      <c r="Q152" s="69">
        <v>1270800</v>
      </c>
      <c r="R152" s="69">
        <v>1959000</v>
      </c>
      <c r="S152" s="69">
        <v>894900</v>
      </c>
      <c r="T152" s="69">
        <v>365400</v>
      </c>
      <c r="U152" s="69">
        <v>994710</v>
      </c>
      <c r="V152" s="69">
        <v>1009200</v>
      </c>
      <c r="W152" s="69">
        <v>1433700</v>
      </c>
      <c r="X152" s="69">
        <v>1146000</v>
      </c>
      <c r="Y152" s="69">
        <v>2025400</v>
      </c>
      <c r="Z152" s="69">
        <v>805000</v>
      </c>
      <c r="AA152" s="69">
        <v>142000</v>
      </c>
      <c r="AB152" s="69">
        <v>1155400</v>
      </c>
      <c r="AC152" s="69">
        <v>412000</v>
      </c>
      <c r="AD152" s="69">
        <v>1744300</v>
      </c>
      <c r="AE152" s="69">
        <v>1347000</v>
      </c>
      <c r="AF152" s="69">
        <v>1402000</v>
      </c>
      <c r="AG152" s="69">
        <v>744000</v>
      </c>
      <c r="AH152" s="69">
        <v>1494000</v>
      </c>
      <c r="AI152" s="69">
        <v>596000</v>
      </c>
      <c r="AJ152" s="69">
        <v>675000</v>
      </c>
      <c r="AK152" s="69">
        <v>1254610</v>
      </c>
      <c r="AL152" s="69">
        <v>2174000</v>
      </c>
      <c r="AM152" s="69">
        <v>2814000</v>
      </c>
      <c r="AN152" s="69">
        <v>1248000</v>
      </c>
      <c r="AO152" s="69">
        <v>1546000</v>
      </c>
      <c r="AP152" s="69">
        <v>2374000</v>
      </c>
      <c r="AQ152" s="69">
        <v>863000</v>
      </c>
      <c r="AR152" s="69">
        <v>664000</v>
      </c>
      <c r="AS152" s="69">
        <v>3106000</v>
      </c>
      <c r="AT152" s="69">
        <v>5213400</v>
      </c>
      <c r="AU152" s="69"/>
      <c r="AW152" s="66">
        <f t="shared" si="19"/>
        <v>3229800</v>
      </c>
      <c r="AX152" s="66">
        <f t="shared" si="19"/>
        <v>7869310</v>
      </c>
      <c r="AY152" s="66">
        <f t="shared" si="19"/>
        <v>7007700</v>
      </c>
      <c r="AZ152" s="66">
        <f t="shared" si="19"/>
        <v>9751610</v>
      </c>
      <c r="BA152" s="66">
        <f t="shared" si="19"/>
        <v>15014400</v>
      </c>
      <c r="BC152" s="66">
        <f t="shared" ca="1" si="17"/>
        <v>25786620</v>
      </c>
      <c r="BD152" s="66">
        <f t="shared" si="18"/>
        <v>38401620</v>
      </c>
    </row>
    <row r="153" spans="1:56" x14ac:dyDescent="0.3">
      <c r="A153" s="6" t="str">
        <f>IFERROR(VLOOKUP($F153,매장구분!$B:$K,2,0),"")</f>
        <v>리테일채널팀</v>
      </c>
      <c r="B153" s="6" t="str">
        <f>IFERROR(VLOOKUP($F153,매장구분!$B:$K,3,0),"")</f>
        <v>국내</v>
      </c>
      <c r="C153" s="6" t="str">
        <f>IFERROR(VLOOKUP($F153,매장구분!$B:$K,5,0),"")</f>
        <v>대리점</v>
      </c>
      <c r="D153" s="6" t="str">
        <f>IFERROR(VLOOKUP($F153,매장구분!$B:$Z,9,0),"")</f>
        <v>안산한대(대-위)</v>
      </c>
      <c r="E153" s="69" t="s">
        <v>295</v>
      </c>
      <c r="F153" s="69" t="s">
        <v>296</v>
      </c>
      <c r="G153" s="69">
        <v>732</v>
      </c>
      <c r="H153" s="69">
        <v>88044203</v>
      </c>
      <c r="I153" s="69">
        <v>91770800</v>
      </c>
      <c r="J153" s="69">
        <v>755</v>
      </c>
      <c r="K153" s="69">
        <v>91136303</v>
      </c>
      <c r="L153" s="69">
        <v>94892800</v>
      </c>
      <c r="M153" s="69">
        <v>-23</v>
      </c>
      <c r="N153" s="69">
        <v>-3092100</v>
      </c>
      <c r="O153" s="69">
        <v>-3122000</v>
      </c>
      <c r="P153" s="69">
        <v>1649500</v>
      </c>
      <c r="Q153" s="69">
        <v>2741500</v>
      </c>
      <c r="R153" s="69">
        <v>6184300</v>
      </c>
      <c r="S153" s="69">
        <v>2426000</v>
      </c>
      <c r="T153" s="69">
        <v>2036300</v>
      </c>
      <c r="U153" s="69">
        <v>2820100</v>
      </c>
      <c r="V153" s="69">
        <v>1442600</v>
      </c>
      <c r="W153" s="69">
        <v>1714100</v>
      </c>
      <c r="X153" s="69">
        <v>3580300</v>
      </c>
      <c r="Y153" s="69">
        <v>5192600</v>
      </c>
      <c r="Z153" s="69">
        <v>2376000</v>
      </c>
      <c r="AA153" s="69">
        <v>1117000</v>
      </c>
      <c r="AB153" s="69">
        <v>2564629</v>
      </c>
      <c r="AC153" s="69">
        <v>614000</v>
      </c>
      <c r="AD153" s="69">
        <v>1610000</v>
      </c>
      <c r="AE153" s="69">
        <v>3935900</v>
      </c>
      <c r="AF153" s="69">
        <v>4843300</v>
      </c>
      <c r="AG153" s="69">
        <v>2870575</v>
      </c>
      <c r="AH153" s="69">
        <v>2177000</v>
      </c>
      <c r="AI153" s="69">
        <v>1530000</v>
      </c>
      <c r="AJ153" s="69">
        <v>2428000</v>
      </c>
      <c r="AK153" s="69">
        <v>1112000</v>
      </c>
      <c r="AL153" s="69">
        <v>5270000</v>
      </c>
      <c r="AM153" s="69">
        <v>6172000</v>
      </c>
      <c r="AN153" s="69">
        <v>3563999</v>
      </c>
      <c r="AO153" s="69">
        <v>1263000</v>
      </c>
      <c r="AP153" s="69">
        <v>1149000</v>
      </c>
      <c r="AQ153" s="69">
        <v>2486300</v>
      </c>
      <c r="AR153" s="69">
        <v>2077000</v>
      </c>
      <c r="AS153" s="69">
        <v>3665200</v>
      </c>
      <c r="AT153" s="69">
        <v>5432000</v>
      </c>
      <c r="AU153" s="69"/>
      <c r="AW153" s="66">
        <f t="shared" si="19"/>
        <v>8925800</v>
      </c>
      <c r="AX153" s="66">
        <f t="shared" si="19"/>
        <v>19212000</v>
      </c>
      <c r="AY153" s="66">
        <f t="shared" si="19"/>
        <v>17060829</v>
      </c>
      <c r="AZ153" s="66">
        <f t="shared" si="19"/>
        <v>21559575</v>
      </c>
      <c r="BA153" s="66">
        <f t="shared" si="19"/>
        <v>19636499</v>
      </c>
      <c r="BC153" s="66">
        <f t="shared" ca="1" si="17"/>
        <v>62235704</v>
      </c>
      <c r="BD153" s="66">
        <f t="shared" si="18"/>
        <v>82612203</v>
      </c>
    </row>
    <row r="154" spans="1:56" x14ac:dyDescent="0.3">
      <c r="A154" s="6" t="str">
        <f>IFERROR(VLOOKUP($F154,매장구분!$B:$K,2,0),"")</f>
        <v>리테일채널팀</v>
      </c>
      <c r="B154" s="6" t="str">
        <f>IFERROR(VLOOKUP($F154,매장구분!$B:$K,3,0),"")</f>
        <v>국내</v>
      </c>
      <c r="C154" s="6" t="str">
        <f>IFERROR(VLOOKUP($F154,매장구분!$B:$K,5,0),"")</f>
        <v>대리점</v>
      </c>
      <c r="D154" s="6" t="str">
        <f>IFERROR(VLOOKUP($F154,매장구분!$B:$Z,9,0),"")</f>
        <v>김포장기(대-위)</v>
      </c>
      <c r="E154" s="69" t="s">
        <v>400</v>
      </c>
      <c r="F154" s="69" t="s">
        <v>401</v>
      </c>
      <c r="G154" s="69">
        <v>626</v>
      </c>
      <c r="H154" s="69">
        <v>73101300</v>
      </c>
      <c r="I154" s="69">
        <v>73920000</v>
      </c>
      <c r="J154" s="69">
        <v>664</v>
      </c>
      <c r="K154" s="69">
        <v>78975700</v>
      </c>
      <c r="L154" s="69">
        <v>79859000</v>
      </c>
      <c r="M154" s="69">
        <v>-38</v>
      </c>
      <c r="N154" s="69">
        <v>-5874400</v>
      </c>
      <c r="O154" s="69">
        <v>-5939000</v>
      </c>
      <c r="P154" s="69">
        <v>1566100</v>
      </c>
      <c r="Q154" s="69">
        <v>1127000</v>
      </c>
      <c r="R154" s="69">
        <v>2229000</v>
      </c>
      <c r="S154" s="69">
        <v>2158000</v>
      </c>
      <c r="T154" s="69">
        <v>2166200</v>
      </c>
      <c r="U154" s="69">
        <v>1405300</v>
      </c>
      <c r="V154" s="69">
        <v>1326000</v>
      </c>
      <c r="W154" s="69">
        <v>1833300</v>
      </c>
      <c r="X154" s="69">
        <v>4274000</v>
      </c>
      <c r="Y154" s="69">
        <v>6145400</v>
      </c>
      <c r="Z154" s="69">
        <v>1113300</v>
      </c>
      <c r="AA154" s="69">
        <v>1357000</v>
      </c>
      <c r="AB154" s="69">
        <v>1033000</v>
      </c>
      <c r="AC154" s="69">
        <v>1178000</v>
      </c>
      <c r="AD154" s="69">
        <v>2470000</v>
      </c>
      <c r="AE154" s="69">
        <v>2147000</v>
      </c>
      <c r="AF154" s="69">
        <v>5270000</v>
      </c>
      <c r="AG154" s="69">
        <v>2356200</v>
      </c>
      <c r="AH154" s="69">
        <v>2003000</v>
      </c>
      <c r="AI154" s="69">
        <v>2134000</v>
      </c>
      <c r="AJ154" s="69">
        <v>1130100</v>
      </c>
      <c r="AK154" s="69">
        <v>3244100</v>
      </c>
      <c r="AL154" s="69">
        <v>2901000</v>
      </c>
      <c r="AM154" s="69">
        <v>5085000</v>
      </c>
      <c r="AN154" s="69">
        <v>2225300</v>
      </c>
      <c r="AO154" s="69">
        <v>1595000</v>
      </c>
      <c r="AP154" s="69">
        <v>380000</v>
      </c>
      <c r="AQ154" s="69">
        <v>2129000</v>
      </c>
      <c r="AR154" s="69">
        <v>986000</v>
      </c>
      <c r="AS154" s="69">
        <v>1449000</v>
      </c>
      <c r="AT154" s="69">
        <v>6685000</v>
      </c>
      <c r="AU154" s="69"/>
      <c r="AW154" s="66">
        <f t="shared" si="19"/>
        <v>3356000</v>
      </c>
      <c r="AX154" s="66">
        <f t="shared" si="19"/>
        <v>19308200</v>
      </c>
      <c r="AY154" s="66">
        <f t="shared" si="19"/>
        <v>14568300</v>
      </c>
      <c r="AZ154" s="66">
        <f t="shared" si="19"/>
        <v>18853400</v>
      </c>
      <c r="BA154" s="66">
        <f t="shared" si="19"/>
        <v>15449300</v>
      </c>
      <c r="BC154" s="66">
        <f t="shared" ca="1" si="17"/>
        <v>52567000</v>
      </c>
      <c r="BD154" s="66">
        <f t="shared" si="18"/>
        <v>66416300</v>
      </c>
    </row>
    <row r="155" spans="1:56" x14ac:dyDescent="0.3">
      <c r="A155" s="6" t="str">
        <f>IFERROR(VLOOKUP($F155,매장구분!$B:$K,2,0),"")</f>
        <v>리테일채널팀</v>
      </c>
      <c r="B155" s="6" t="str">
        <f>IFERROR(VLOOKUP($F155,매장구분!$B:$K,3,0),"")</f>
        <v>국내</v>
      </c>
      <c r="C155" s="6" t="str">
        <f>IFERROR(VLOOKUP($F155,매장구분!$B:$K,5,0),"")</f>
        <v>대리점</v>
      </c>
      <c r="D155" s="6" t="str">
        <f>IFERROR(VLOOKUP($F155,매장구분!$B:$Z,9,0),"")</f>
        <v>여천(대-위)</v>
      </c>
      <c r="E155" s="69" t="s">
        <v>500</v>
      </c>
      <c r="F155" s="69" t="s">
        <v>501</v>
      </c>
      <c r="G155" s="69">
        <v>388</v>
      </c>
      <c r="H155" s="69">
        <v>36225066</v>
      </c>
      <c r="I155" s="69">
        <v>37848700</v>
      </c>
      <c r="J155" s="69">
        <v>415</v>
      </c>
      <c r="K155" s="69">
        <v>40339380</v>
      </c>
      <c r="L155" s="69">
        <v>42015700</v>
      </c>
      <c r="M155" s="69">
        <v>-27</v>
      </c>
      <c r="N155" s="69">
        <v>-4114314</v>
      </c>
      <c r="O155" s="69">
        <v>-4167000</v>
      </c>
      <c r="P155" s="69">
        <v>2212700</v>
      </c>
      <c r="Q155" s="69">
        <v>2870000</v>
      </c>
      <c r="R155" s="69">
        <v>222000</v>
      </c>
      <c r="S155" s="69">
        <v>445100</v>
      </c>
      <c r="T155" s="69">
        <v>1137900</v>
      </c>
      <c r="U155" s="69">
        <v>399100</v>
      </c>
      <c r="V155" s="69">
        <v>1873900</v>
      </c>
      <c r="W155" s="69">
        <v>607300</v>
      </c>
      <c r="X155" s="69">
        <v>3845900</v>
      </c>
      <c r="Y155" s="69">
        <v>973000</v>
      </c>
      <c r="Z155" s="69">
        <v>728000</v>
      </c>
      <c r="AA155" s="69">
        <v>350000</v>
      </c>
      <c r="AB155" s="69">
        <v>490000</v>
      </c>
      <c r="AC155" s="69">
        <v>660000</v>
      </c>
      <c r="AD155" s="69">
        <v>850000</v>
      </c>
      <c r="AE155" s="69">
        <v>2601000</v>
      </c>
      <c r="AF155" s="69">
        <v>521000</v>
      </c>
      <c r="AG155" s="69">
        <v>950995</v>
      </c>
      <c r="AH155" s="69">
        <v>1836000</v>
      </c>
      <c r="AI155" s="69">
        <v>388000</v>
      </c>
      <c r="AJ155" s="69">
        <v>482000</v>
      </c>
      <c r="AK155" s="69">
        <v>1342000</v>
      </c>
      <c r="AL155" s="69">
        <v>1809871</v>
      </c>
      <c r="AM155" s="69">
        <v>1352000</v>
      </c>
      <c r="AN155" s="69">
        <v>769000</v>
      </c>
      <c r="AO155" s="69">
        <v>288000</v>
      </c>
      <c r="AP155" s="69">
        <v>363000</v>
      </c>
      <c r="AQ155" s="69">
        <v>1387400</v>
      </c>
      <c r="AR155" s="69">
        <v>871000</v>
      </c>
      <c r="AS155" s="69">
        <v>1878000</v>
      </c>
      <c r="AT155" s="69">
        <v>1720900</v>
      </c>
      <c r="AU155" s="69"/>
      <c r="AW155" s="66">
        <f t="shared" si="19"/>
        <v>3092000</v>
      </c>
      <c r="AX155" s="66">
        <f t="shared" si="19"/>
        <v>9282200</v>
      </c>
      <c r="AY155" s="66">
        <f t="shared" si="19"/>
        <v>6200000</v>
      </c>
      <c r="AZ155" s="66">
        <f t="shared" si="19"/>
        <v>8160866</v>
      </c>
      <c r="BA155" s="66">
        <f t="shared" si="19"/>
        <v>7277300</v>
      </c>
      <c r="BC155" s="66">
        <f t="shared" ca="1" si="17"/>
        <v>27595766</v>
      </c>
      <c r="BD155" s="66">
        <f t="shared" si="18"/>
        <v>34504166</v>
      </c>
    </row>
    <row r="156" spans="1:56" x14ac:dyDescent="0.3">
      <c r="A156" s="6" t="str">
        <f>IFERROR(VLOOKUP($F156,매장구분!$B:$K,2,0),"")</f>
        <v>리테일채널팀</v>
      </c>
      <c r="B156" s="6" t="str">
        <f>IFERROR(VLOOKUP($F156,매장구분!$B:$K,3,0),"")</f>
        <v>국내</v>
      </c>
      <c r="C156" s="6" t="str">
        <f>IFERROR(VLOOKUP($F156,매장구분!$B:$K,5,0),"")</f>
        <v>대리점</v>
      </c>
      <c r="D156" s="6" t="str">
        <f>IFERROR(VLOOKUP($F156,매장구분!$B:$Z,9,0),"")</f>
        <v>청주(대-위)</v>
      </c>
      <c r="E156" s="69" t="s">
        <v>265</v>
      </c>
      <c r="F156" s="69" t="s">
        <v>266</v>
      </c>
      <c r="G156" s="69">
        <v>1466</v>
      </c>
      <c r="H156" s="69">
        <v>211540144</v>
      </c>
      <c r="I156" s="69">
        <v>221892000</v>
      </c>
      <c r="J156" s="69">
        <v>1632</v>
      </c>
      <c r="K156" s="69">
        <v>250828144</v>
      </c>
      <c r="L156" s="69">
        <v>261180000</v>
      </c>
      <c r="M156" s="69">
        <v>-166</v>
      </c>
      <c r="N156" s="69">
        <v>-39288000</v>
      </c>
      <c r="O156" s="69">
        <v>-39288000</v>
      </c>
      <c r="P156" s="69">
        <v>2253000</v>
      </c>
      <c r="Q156" s="69">
        <v>3465000</v>
      </c>
      <c r="R156" s="69">
        <v>4850511</v>
      </c>
      <c r="S156" s="69">
        <v>5941300</v>
      </c>
      <c r="T156" s="69">
        <v>3729596</v>
      </c>
      <c r="U156" s="69">
        <v>6079500</v>
      </c>
      <c r="V156" s="69">
        <v>13805000</v>
      </c>
      <c r="W156" s="69">
        <v>20515000</v>
      </c>
      <c r="X156" s="69">
        <v>2295000</v>
      </c>
      <c r="Y156" s="69">
        <v>6361000</v>
      </c>
      <c r="Z156" s="69">
        <v>9417837</v>
      </c>
      <c r="AA156" s="69">
        <v>9433000</v>
      </c>
      <c r="AB156" s="69">
        <v>9948000</v>
      </c>
      <c r="AC156" s="69">
        <v>9927300</v>
      </c>
      <c r="AD156" s="69">
        <v>5960000</v>
      </c>
      <c r="AE156" s="69">
        <v>3223300</v>
      </c>
      <c r="AF156" s="69">
        <v>5212000</v>
      </c>
      <c r="AG156" s="69">
        <v>5495000</v>
      </c>
      <c r="AH156" s="69">
        <v>10273000</v>
      </c>
      <c r="AI156" s="69">
        <v>2452000</v>
      </c>
      <c r="AJ156" s="69">
        <v>18322000</v>
      </c>
      <c r="AK156" s="69">
        <v>5230000</v>
      </c>
      <c r="AL156" s="69">
        <v>3645300</v>
      </c>
      <c r="AM156" s="69">
        <v>9351000</v>
      </c>
      <c r="AN156" s="69">
        <v>7594500</v>
      </c>
      <c r="AO156" s="69">
        <v>5971000</v>
      </c>
      <c r="AP156" s="69">
        <v>2378000</v>
      </c>
      <c r="AQ156" s="69">
        <v>7012000</v>
      </c>
      <c r="AR156" s="69">
        <v>2160000</v>
      </c>
      <c r="AS156" s="69">
        <v>1845000</v>
      </c>
      <c r="AT156" s="69">
        <v>7395000</v>
      </c>
      <c r="AU156" s="69"/>
      <c r="AW156" s="66">
        <f t="shared" ref="AW156:BA171" si="20">SUMIFS($Q156:$AU156,$Q$3:$AU$3,AW$3)</f>
        <v>8315511</v>
      </c>
      <c r="AX156" s="66">
        <f t="shared" si="20"/>
        <v>58726396</v>
      </c>
      <c r="AY156" s="66">
        <f t="shared" si="20"/>
        <v>53121437</v>
      </c>
      <c r="AZ156" s="66">
        <f t="shared" si="20"/>
        <v>54768300</v>
      </c>
      <c r="BA156" s="66">
        <f t="shared" si="20"/>
        <v>34355500</v>
      </c>
      <c r="BC156" s="66">
        <f t="shared" ca="1" si="17"/>
        <v>167833644</v>
      </c>
      <c r="BD156" s="66">
        <f t="shared" si="18"/>
        <v>204145144</v>
      </c>
    </row>
    <row r="157" spans="1:56" x14ac:dyDescent="0.3">
      <c r="A157" s="6" t="str">
        <f>IFERROR(VLOOKUP($F157,매장구분!$B:$K,2,0),"")</f>
        <v>리테일채널팀</v>
      </c>
      <c r="B157" s="6" t="str">
        <f>IFERROR(VLOOKUP($F157,매장구분!$B:$K,3,0),"")</f>
        <v>국내</v>
      </c>
      <c r="C157" s="6" t="str">
        <f>IFERROR(VLOOKUP($F157,매장구분!$B:$K,5,0),"")</f>
        <v>대리점</v>
      </c>
      <c r="D157" s="6" t="str">
        <f>IFERROR(VLOOKUP($F157,매장구분!$B:$Z,9,0),"")</f>
        <v>서귀포(대-위)</v>
      </c>
      <c r="E157" s="69" t="s">
        <v>313</v>
      </c>
      <c r="F157" s="69" t="s">
        <v>314</v>
      </c>
      <c r="G157" s="69">
        <v>646</v>
      </c>
      <c r="H157" s="69">
        <v>65671157</v>
      </c>
      <c r="I157" s="69">
        <v>69135900</v>
      </c>
      <c r="J157" s="69">
        <v>700</v>
      </c>
      <c r="K157" s="69">
        <v>72728457</v>
      </c>
      <c r="L157" s="69">
        <v>76265900</v>
      </c>
      <c r="M157" s="69">
        <v>-54</v>
      </c>
      <c r="N157" s="69">
        <v>-7057300</v>
      </c>
      <c r="O157" s="69">
        <v>-7130000</v>
      </c>
      <c r="P157" s="69">
        <v>489300</v>
      </c>
      <c r="Q157" s="69">
        <v>2187600</v>
      </c>
      <c r="R157" s="69">
        <v>2519600</v>
      </c>
      <c r="S157" s="69">
        <v>2523100</v>
      </c>
      <c r="T157" s="69">
        <v>1204500</v>
      </c>
      <c r="U157" s="69">
        <v>1966700</v>
      </c>
      <c r="V157" s="69">
        <v>1697000</v>
      </c>
      <c r="W157" s="69">
        <v>1571871</v>
      </c>
      <c r="X157" s="69">
        <v>2207300</v>
      </c>
      <c r="Y157" s="69">
        <v>1604300</v>
      </c>
      <c r="Z157" s="69">
        <v>2040200</v>
      </c>
      <c r="AA157" s="69">
        <v>1408000</v>
      </c>
      <c r="AB157" s="69">
        <v>2497400</v>
      </c>
      <c r="AC157" s="69">
        <v>1325000</v>
      </c>
      <c r="AD157" s="69">
        <v>1137516</v>
      </c>
      <c r="AE157" s="69">
        <v>1268000</v>
      </c>
      <c r="AF157" s="69">
        <v>2129000</v>
      </c>
      <c r="AG157" s="69">
        <v>2639800</v>
      </c>
      <c r="AH157" s="69">
        <v>1077020</v>
      </c>
      <c r="AI157" s="69">
        <v>3977200</v>
      </c>
      <c r="AJ157" s="69">
        <v>2188700</v>
      </c>
      <c r="AK157" s="69">
        <v>612000</v>
      </c>
      <c r="AL157" s="69">
        <v>2894319</v>
      </c>
      <c r="AM157" s="69">
        <v>2801900</v>
      </c>
      <c r="AN157" s="69">
        <v>1913100</v>
      </c>
      <c r="AO157" s="69">
        <v>3386931</v>
      </c>
      <c r="AP157" s="69">
        <v>3042000</v>
      </c>
      <c r="AQ157" s="69">
        <v>3325600</v>
      </c>
      <c r="AR157" s="69">
        <v>1674900</v>
      </c>
      <c r="AS157" s="69">
        <v>3683000</v>
      </c>
      <c r="AT157" s="69">
        <v>2678300</v>
      </c>
      <c r="AU157" s="69"/>
      <c r="AW157" s="66">
        <f t="shared" si="20"/>
        <v>4707200</v>
      </c>
      <c r="AX157" s="66">
        <f t="shared" si="20"/>
        <v>12774771</v>
      </c>
      <c r="AY157" s="66">
        <f t="shared" si="20"/>
        <v>11805116</v>
      </c>
      <c r="AZ157" s="66">
        <f t="shared" si="20"/>
        <v>16190939</v>
      </c>
      <c r="BA157" s="66">
        <f t="shared" si="20"/>
        <v>19703831</v>
      </c>
      <c r="BC157" s="66">
        <f t="shared" ca="1" si="17"/>
        <v>43165426</v>
      </c>
      <c r="BD157" s="66">
        <f t="shared" si="18"/>
        <v>62992857</v>
      </c>
    </row>
    <row r="158" spans="1:56" x14ac:dyDescent="0.3">
      <c r="A158" s="6" t="str">
        <f>IFERROR(VLOOKUP($F158,매장구분!$B:$K,2,0),"")</f>
        <v>리테일채널팀</v>
      </c>
      <c r="B158" s="6" t="str">
        <f>IFERROR(VLOOKUP($F158,매장구분!$B:$K,3,0),"")</f>
        <v>RF</v>
      </c>
      <c r="C158" s="6" t="str">
        <f>IFERROR(VLOOKUP($F158,매장구분!$B:$K,5,0),"")</f>
        <v>대리점</v>
      </c>
      <c r="D158" s="6" t="str">
        <f>IFERROR(VLOOKUP($F158,매장구분!$B:$Z,9,0),"")</f>
        <v>두타(대-위)</v>
      </c>
      <c r="E158" s="69" t="s">
        <v>600</v>
      </c>
      <c r="F158" s="69" t="s">
        <v>601</v>
      </c>
      <c r="G158" s="69">
        <v>743</v>
      </c>
      <c r="H158" s="69">
        <v>90204800</v>
      </c>
      <c r="I158" s="69">
        <v>100851000</v>
      </c>
      <c r="J158" s="69">
        <v>761</v>
      </c>
      <c r="K158" s="69">
        <v>93370800</v>
      </c>
      <c r="L158" s="69">
        <v>104017000</v>
      </c>
      <c r="M158" s="69">
        <v>-18</v>
      </c>
      <c r="N158" s="69">
        <v>-3166000</v>
      </c>
      <c r="O158" s="69">
        <v>-3166000</v>
      </c>
      <c r="P158" s="69">
        <v>896000</v>
      </c>
      <c r="Q158" s="69">
        <v>3461400</v>
      </c>
      <c r="R158" s="69">
        <v>1982600</v>
      </c>
      <c r="S158" s="69">
        <v>2078300</v>
      </c>
      <c r="T158" s="69">
        <v>240000</v>
      </c>
      <c r="U158" s="69">
        <v>4967500</v>
      </c>
      <c r="V158" s="69">
        <v>2643200</v>
      </c>
      <c r="W158" s="69">
        <v>4544600</v>
      </c>
      <c r="X158" s="69">
        <v>2739000</v>
      </c>
      <c r="Y158" s="69">
        <v>10120000</v>
      </c>
      <c r="Z158" s="69">
        <v>1373000</v>
      </c>
      <c r="AA158" s="69">
        <v>414000</v>
      </c>
      <c r="AB158" s="69">
        <v>1753000</v>
      </c>
      <c r="AC158" s="69">
        <v>2767000</v>
      </c>
      <c r="AD158" s="69">
        <v>1416000</v>
      </c>
      <c r="AE158" s="69">
        <v>1138000</v>
      </c>
      <c r="AF158" s="69">
        <v>1765000</v>
      </c>
      <c r="AG158" s="69">
        <v>1577000</v>
      </c>
      <c r="AH158" s="69">
        <v>945000</v>
      </c>
      <c r="AI158" s="69">
        <v>3759800</v>
      </c>
      <c r="AJ158" s="69">
        <v>14348200</v>
      </c>
      <c r="AK158" s="69">
        <v>1352000</v>
      </c>
      <c r="AL158" s="69">
        <v>880000</v>
      </c>
      <c r="AM158" s="69">
        <v>1314000</v>
      </c>
      <c r="AN158" s="69">
        <v>1587000</v>
      </c>
      <c r="AO158" s="69">
        <v>2773300</v>
      </c>
      <c r="AP158" s="69">
        <v>10262900</v>
      </c>
      <c r="AQ158" s="69">
        <v>1890000</v>
      </c>
      <c r="AR158" s="69">
        <v>1026000</v>
      </c>
      <c r="AS158" s="69">
        <v>2580000</v>
      </c>
      <c r="AT158" s="69">
        <v>1611000</v>
      </c>
      <c r="AU158" s="69"/>
      <c r="AW158" s="66">
        <f t="shared" si="20"/>
        <v>5444000</v>
      </c>
      <c r="AX158" s="66">
        <f t="shared" si="20"/>
        <v>27332600</v>
      </c>
      <c r="AY158" s="66">
        <f t="shared" si="20"/>
        <v>10626000</v>
      </c>
      <c r="AZ158" s="66">
        <f t="shared" si="20"/>
        <v>24176000</v>
      </c>
      <c r="BA158" s="66">
        <f t="shared" si="20"/>
        <v>21730200</v>
      </c>
      <c r="BC158" s="66">
        <f t="shared" ca="1" si="17"/>
        <v>67160600</v>
      </c>
      <c r="BD158" s="66">
        <f t="shared" si="18"/>
        <v>88593800</v>
      </c>
    </row>
    <row r="159" spans="1:56" x14ac:dyDescent="0.3">
      <c r="A159" s="6" t="str">
        <f>IFERROR(VLOOKUP($F159,매장구분!$B:$K,2,0),"")</f>
        <v>리테일채널팀</v>
      </c>
      <c r="B159" s="6" t="str">
        <f>IFERROR(VLOOKUP($F159,매장구분!$B:$K,3,0),"")</f>
        <v>국내</v>
      </c>
      <c r="C159" s="6" t="str">
        <f>IFERROR(VLOOKUP($F159,매장구분!$B:$K,5,0),"")</f>
        <v>대리점</v>
      </c>
      <c r="D159" s="6" t="str">
        <f>IFERROR(VLOOKUP($F159,매장구분!$B:$Z,9,0),"")</f>
        <v>거제(대-위)</v>
      </c>
      <c r="E159" s="69" t="s">
        <v>502</v>
      </c>
      <c r="F159" s="69" t="s">
        <v>503</v>
      </c>
      <c r="G159" s="69">
        <v>648</v>
      </c>
      <c r="H159" s="69">
        <v>73004200</v>
      </c>
      <c r="I159" s="69">
        <v>76747800</v>
      </c>
      <c r="J159" s="69">
        <v>736</v>
      </c>
      <c r="K159" s="69">
        <v>86307800</v>
      </c>
      <c r="L159" s="69">
        <v>90654700</v>
      </c>
      <c r="M159" s="69">
        <v>-88</v>
      </c>
      <c r="N159" s="69">
        <v>-13303600</v>
      </c>
      <c r="O159" s="69">
        <v>-13906900</v>
      </c>
      <c r="P159" s="69">
        <v>828300</v>
      </c>
      <c r="Q159" s="69">
        <v>2051000</v>
      </c>
      <c r="R159" s="69">
        <v>3605500</v>
      </c>
      <c r="S159" s="69">
        <v>1467100</v>
      </c>
      <c r="T159" s="69">
        <v>1247500</v>
      </c>
      <c r="U159" s="69">
        <v>1622200</v>
      </c>
      <c r="V159" s="69">
        <v>2664700</v>
      </c>
      <c r="W159" s="69">
        <v>2832500</v>
      </c>
      <c r="X159" s="69">
        <v>1524800</v>
      </c>
      <c r="Y159" s="69">
        <v>4118600</v>
      </c>
      <c r="Z159" s="69">
        <v>959000</v>
      </c>
      <c r="AA159" s="69">
        <v>467000</v>
      </c>
      <c r="AB159" s="69">
        <v>2745500</v>
      </c>
      <c r="AC159" s="69">
        <v>1815600</v>
      </c>
      <c r="AD159" s="69">
        <v>2514500</v>
      </c>
      <c r="AE159" s="69">
        <v>2024600</v>
      </c>
      <c r="AF159" s="69">
        <v>2791700</v>
      </c>
      <c r="AG159" s="69">
        <v>2786500</v>
      </c>
      <c r="AH159" s="69">
        <v>2742000</v>
      </c>
      <c r="AI159" s="69">
        <v>1659000</v>
      </c>
      <c r="AJ159" s="69">
        <v>1578300</v>
      </c>
      <c r="AK159" s="69">
        <v>1144000</v>
      </c>
      <c r="AL159" s="69">
        <v>3321400</v>
      </c>
      <c r="AM159" s="69">
        <v>3729000</v>
      </c>
      <c r="AN159" s="69">
        <v>2840000</v>
      </c>
      <c r="AO159" s="69">
        <v>942000</v>
      </c>
      <c r="AP159" s="69">
        <v>4468000</v>
      </c>
      <c r="AQ159" s="69">
        <v>2296800</v>
      </c>
      <c r="AR159" s="69">
        <v>2751600</v>
      </c>
      <c r="AS159" s="69">
        <v>2503000</v>
      </c>
      <c r="AT159" s="69">
        <v>4962500</v>
      </c>
      <c r="AU159" s="69"/>
      <c r="AW159" s="66">
        <f t="shared" si="20"/>
        <v>5656500</v>
      </c>
      <c r="AX159" s="66">
        <f t="shared" si="20"/>
        <v>15477400</v>
      </c>
      <c r="AY159" s="66">
        <f t="shared" si="20"/>
        <v>13317900</v>
      </c>
      <c r="AZ159" s="66">
        <f t="shared" si="20"/>
        <v>16960200</v>
      </c>
      <c r="BA159" s="66">
        <f t="shared" si="20"/>
        <v>20763900</v>
      </c>
      <c r="BC159" s="66">
        <f t="shared" ca="1" si="17"/>
        <v>48511300</v>
      </c>
      <c r="BD159" s="66">
        <f t="shared" si="18"/>
        <v>68041700</v>
      </c>
    </row>
    <row r="160" spans="1:56" x14ac:dyDescent="0.3">
      <c r="A160" s="6" t="str">
        <f>IFERROR(VLOOKUP($F160,매장구분!$B:$K,2,0),"")</f>
        <v>리테일채널팀</v>
      </c>
      <c r="B160" s="6" t="str">
        <f>IFERROR(VLOOKUP($F160,매장구분!$B:$K,3,0),"")</f>
        <v>국내</v>
      </c>
      <c r="C160" s="6" t="str">
        <f>IFERROR(VLOOKUP($F160,매장구분!$B:$K,5,0),"")</f>
        <v>대리점</v>
      </c>
      <c r="D160" s="6" t="str">
        <f>IFERROR(VLOOKUP($F160,매장구분!$B:$Z,9,0),"")</f>
        <v>구미(대-위)</v>
      </c>
      <c r="E160" s="69" t="s">
        <v>458</v>
      </c>
      <c r="F160" s="69" t="s">
        <v>459</v>
      </c>
      <c r="G160" s="69">
        <v>821</v>
      </c>
      <c r="H160" s="69">
        <v>88009300</v>
      </c>
      <c r="I160" s="69">
        <v>94497000</v>
      </c>
      <c r="J160" s="69">
        <v>920</v>
      </c>
      <c r="K160" s="69">
        <v>105118300</v>
      </c>
      <c r="L160" s="69">
        <v>111606000</v>
      </c>
      <c r="M160" s="69">
        <v>-99</v>
      </c>
      <c r="N160" s="69">
        <v>-17109000</v>
      </c>
      <c r="O160" s="69">
        <v>-17109000</v>
      </c>
      <c r="P160" s="69">
        <v>2113600</v>
      </c>
      <c r="Q160" s="69">
        <v>4455000</v>
      </c>
      <c r="R160" s="69">
        <v>7781600</v>
      </c>
      <c r="S160" s="69">
        <v>1583800</v>
      </c>
      <c r="T160" s="69">
        <v>1541500</v>
      </c>
      <c r="U160" s="69">
        <v>1148200</v>
      </c>
      <c r="V160" s="69">
        <v>3176800</v>
      </c>
      <c r="W160" s="69">
        <v>1970200</v>
      </c>
      <c r="X160" s="69">
        <v>4918700</v>
      </c>
      <c r="Y160" s="69">
        <v>5825000</v>
      </c>
      <c r="Z160" s="69">
        <v>1269000</v>
      </c>
      <c r="AA160" s="69">
        <v>2112000</v>
      </c>
      <c r="AB160" s="69">
        <v>778000</v>
      </c>
      <c r="AC160" s="69">
        <v>1394000</v>
      </c>
      <c r="AD160" s="69">
        <v>663000</v>
      </c>
      <c r="AE160" s="69">
        <v>7042900</v>
      </c>
      <c r="AF160" s="69">
        <v>5327100</v>
      </c>
      <c r="AG160" s="69">
        <v>4319700</v>
      </c>
      <c r="AH160" s="69">
        <v>647000</v>
      </c>
      <c r="AI160" s="69">
        <v>781000</v>
      </c>
      <c r="AJ160" s="69">
        <v>1747100</v>
      </c>
      <c r="AK160" s="69">
        <v>1724600</v>
      </c>
      <c r="AL160" s="69">
        <v>2811100</v>
      </c>
      <c r="AM160" s="69">
        <v>4187800</v>
      </c>
      <c r="AN160" s="69">
        <v>797000</v>
      </c>
      <c r="AO160" s="69">
        <v>2660100</v>
      </c>
      <c r="AP160" s="69">
        <v>855000</v>
      </c>
      <c r="AQ160" s="69">
        <v>1860000</v>
      </c>
      <c r="AR160" s="69">
        <v>374000</v>
      </c>
      <c r="AS160" s="69">
        <v>5987300</v>
      </c>
      <c r="AT160" s="69">
        <v>6157200</v>
      </c>
      <c r="AU160" s="69"/>
      <c r="AW160" s="66">
        <f t="shared" si="20"/>
        <v>12236600</v>
      </c>
      <c r="AX160" s="66">
        <f t="shared" si="20"/>
        <v>20164200</v>
      </c>
      <c r="AY160" s="66">
        <f t="shared" si="20"/>
        <v>18586000</v>
      </c>
      <c r="AZ160" s="66">
        <f t="shared" si="20"/>
        <v>16218300</v>
      </c>
      <c r="BA160" s="66">
        <f t="shared" si="20"/>
        <v>18690600</v>
      </c>
      <c r="BC160" s="66">
        <f t="shared" ca="1" si="17"/>
        <v>65130900</v>
      </c>
      <c r="BD160" s="66">
        <f t="shared" si="18"/>
        <v>81852100</v>
      </c>
    </row>
    <row r="161" spans="1:56" x14ac:dyDescent="0.3">
      <c r="A161" s="6" t="str">
        <f>IFERROR(VLOOKUP($F161,매장구분!$B:$K,2,0),"")</f>
        <v>리테일채널팀</v>
      </c>
      <c r="B161" s="6" t="str">
        <f>IFERROR(VLOOKUP($F161,매장구분!$B:$K,3,0),"")</f>
        <v>국내</v>
      </c>
      <c r="C161" s="6" t="str">
        <f>IFERROR(VLOOKUP($F161,매장구분!$B:$K,5,0),"")</f>
        <v>대리점</v>
      </c>
      <c r="D161" s="6" t="str">
        <f>IFERROR(VLOOKUP($F161,매장구분!$B:$Z,9,0),"")</f>
        <v>동해(대-위)</v>
      </c>
      <c r="E161" s="69" t="s">
        <v>534</v>
      </c>
      <c r="F161" s="69" t="s">
        <v>535</v>
      </c>
      <c r="G161" s="69">
        <v>712</v>
      </c>
      <c r="H161" s="69">
        <v>84074381</v>
      </c>
      <c r="I161" s="69">
        <v>86622800</v>
      </c>
      <c r="J161" s="69">
        <v>858</v>
      </c>
      <c r="K161" s="69">
        <v>107695281</v>
      </c>
      <c r="L161" s="69">
        <v>110243700</v>
      </c>
      <c r="M161" s="69">
        <v>-146</v>
      </c>
      <c r="N161" s="69">
        <v>-23620900</v>
      </c>
      <c r="O161" s="69">
        <v>-23620900</v>
      </c>
      <c r="P161" s="69">
        <v>2285300</v>
      </c>
      <c r="Q161" s="69">
        <v>5188509</v>
      </c>
      <c r="R161" s="69">
        <v>2418600</v>
      </c>
      <c r="S161" s="69">
        <v>1240000</v>
      </c>
      <c r="T161" s="69">
        <v>979000</v>
      </c>
      <c r="U161" s="69">
        <v>1907100</v>
      </c>
      <c r="V161" s="69">
        <v>2896000</v>
      </c>
      <c r="W161" s="69">
        <v>1818428</v>
      </c>
      <c r="X161" s="69">
        <v>3335000</v>
      </c>
      <c r="Y161" s="69">
        <v>3391000</v>
      </c>
      <c r="Z161" s="69">
        <v>2197000</v>
      </c>
      <c r="AA161" s="69">
        <v>1946300</v>
      </c>
      <c r="AB161" s="69">
        <v>1502000</v>
      </c>
      <c r="AC161" s="69">
        <v>2495000</v>
      </c>
      <c r="AD161" s="69">
        <v>2177000</v>
      </c>
      <c r="AE161" s="69">
        <v>3376000</v>
      </c>
      <c r="AF161" s="69">
        <v>2813000</v>
      </c>
      <c r="AG161" s="69">
        <v>2974000</v>
      </c>
      <c r="AH161" s="69">
        <v>3220000</v>
      </c>
      <c r="AI161" s="69">
        <v>2788500</v>
      </c>
      <c r="AJ161" s="69">
        <v>1696050</v>
      </c>
      <c r="AK161" s="69">
        <v>1153000</v>
      </c>
      <c r="AL161" s="69">
        <v>3690000</v>
      </c>
      <c r="AM161" s="69">
        <v>3335000</v>
      </c>
      <c r="AN161" s="69">
        <v>2201000</v>
      </c>
      <c r="AO161" s="69">
        <v>490000</v>
      </c>
      <c r="AP161" s="69">
        <v>3610000</v>
      </c>
      <c r="AQ161" s="69">
        <v>1355000</v>
      </c>
      <c r="AR161" s="69">
        <v>2186000</v>
      </c>
      <c r="AS161" s="69">
        <v>10567594</v>
      </c>
      <c r="AT161" s="69">
        <v>2843000</v>
      </c>
      <c r="AU161" s="69"/>
      <c r="AW161" s="66">
        <f t="shared" si="20"/>
        <v>7607109</v>
      </c>
      <c r="AX161" s="66">
        <f t="shared" si="20"/>
        <v>15566528</v>
      </c>
      <c r="AY161" s="66">
        <f t="shared" si="20"/>
        <v>16506300</v>
      </c>
      <c r="AZ161" s="66">
        <f t="shared" si="20"/>
        <v>18856550</v>
      </c>
      <c r="BA161" s="66">
        <f t="shared" si="20"/>
        <v>23252594</v>
      </c>
      <c r="BC161" s="66">
        <f t="shared" ca="1" si="17"/>
        <v>57486787</v>
      </c>
      <c r="BD161" s="66">
        <f t="shared" si="18"/>
        <v>81231381</v>
      </c>
    </row>
    <row r="162" spans="1:56" x14ac:dyDescent="0.3">
      <c r="A162" s="6" t="str">
        <f>IFERROR(VLOOKUP($F162,매장구분!$B:$K,2,0),"")</f>
        <v>리테일채널팀</v>
      </c>
      <c r="B162" s="6" t="str">
        <f>IFERROR(VLOOKUP($F162,매장구분!$B:$K,3,0),"")</f>
        <v>국내</v>
      </c>
      <c r="C162" s="6" t="str">
        <f>IFERROR(VLOOKUP($F162,매장구분!$B:$K,5,0),"")</f>
        <v>대리점</v>
      </c>
      <c r="D162" s="6" t="str">
        <f>IFERROR(VLOOKUP($F162,매장구분!$B:$Z,9,0),"")</f>
        <v>강릉(대-위)</v>
      </c>
      <c r="E162" s="69" t="s">
        <v>230</v>
      </c>
      <c r="F162" s="69" t="s">
        <v>231</v>
      </c>
      <c r="G162" s="69">
        <v>608</v>
      </c>
      <c r="H162" s="69">
        <v>72909604</v>
      </c>
      <c r="I162" s="69">
        <v>79089900</v>
      </c>
      <c r="J162" s="69">
        <v>823</v>
      </c>
      <c r="K162" s="69">
        <v>116840100</v>
      </c>
      <c r="L162" s="69">
        <v>124762800</v>
      </c>
      <c r="M162" s="69">
        <v>-215</v>
      </c>
      <c r="N162" s="69">
        <v>-43930496</v>
      </c>
      <c r="O162" s="69">
        <v>-45672900</v>
      </c>
      <c r="P162" s="69">
        <v>1251300</v>
      </c>
      <c r="Q162" s="69">
        <v>2645700</v>
      </c>
      <c r="R162" s="69">
        <v>3442700</v>
      </c>
      <c r="S162" s="69">
        <v>1587600</v>
      </c>
      <c r="T162" s="69">
        <v>756400</v>
      </c>
      <c r="U162" s="69">
        <v>1813100</v>
      </c>
      <c r="V162" s="69">
        <v>1490700</v>
      </c>
      <c r="W162" s="69">
        <v>1785400</v>
      </c>
      <c r="X162" s="69">
        <v>3352388</v>
      </c>
      <c r="Y162" s="69">
        <v>1529200</v>
      </c>
      <c r="Z162" s="69">
        <v>1482900</v>
      </c>
      <c r="AA162" s="69">
        <v>1898600</v>
      </c>
      <c r="AB162" s="69">
        <v>1766000</v>
      </c>
      <c r="AC162" s="69">
        <v>3675700</v>
      </c>
      <c r="AD162" s="69">
        <v>3135700</v>
      </c>
      <c r="AE162" s="69">
        <v>9850200</v>
      </c>
      <c r="AF162" s="69">
        <v>3059000</v>
      </c>
      <c r="AG162" s="69">
        <v>743000</v>
      </c>
      <c r="AH162" s="69">
        <v>2936000</v>
      </c>
      <c r="AI162" s="69">
        <v>653416</v>
      </c>
      <c r="AJ162" s="69">
        <v>960000</v>
      </c>
      <c r="AK162" s="69">
        <v>1841700</v>
      </c>
      <c r="AL162" s="69">
        <v>2040000</v>
      </c>
      <c r="AM162" s="69">
        <v>4479000</v>
      </c>
      <c r="AN162" s="69">
        <v>856000</v>
      </c>
      <c r="AO162" s="69">
        <v>1272000</v>
      </c>
      <c r="AP162" s="69">
        <v>2316000</v>
      </c>
      <c r="AQ162" s="69">
        <v>1961500</v>
      </c>
      <c r="AR162" s="69">
        <v>663700</v>
      </c>
      <c r="AS162" s="69">
        <v>1234800</v>
      </c>
      <c r="AT162" s="69">
        <v>6429900</v>
      </c>
      <c r="AU162" s="69"/>
      <c r="AW162" s="66">
        <f t="shared" si="20"/>
        <v>6088400</v>
      </c>
      <c r="AX162" s="66">
        <f t="shared" si="20"/>
        <v>12314788</v>
      </c>
      <c r="AY162" s="66">
        <f t="shared" si="20"/>
        <v>24868100</v>
      </c>
      <c r="AZ162" s="66">
        <f t="shared" si="20"/>
        <v>13653116</v>
      </c>
      <c r="BA162" s="66">
        <f t="shared" si="20"/>
        <v>14733900</v>
      </c>
      <c r="BC162" s="66">
        <f t="shared" ca="1" si="17"/>
        <v>53696704</v>
      </c>
      <c r="BD162" s="66">
        <f t="shared" si="18"/>
        <v>66479704</v>
      </c>
    </row>
    <row r="163" spans="1:56" x14ac:dyDescent="0.3">
      <c r="A163" s="6" t="str">
        <f>IFERROR(VLOOKUP($F163,매장구분!$B:$K,2,0),"")</f>
        <v>리테일채널팀</v>
      </c>
      <c r="B163" s="6" t="str">
        <f>IFERROR(VLOOKUP($F163,매장구분!$B:$K,3,0),"")</f>
        <v>국내</v>
      </c>
      <c r="C163" s="6" t="str">
        <f>IFERROR(VLOOKUP($F163,매장구분!$B:$K,5,0),"")</f>
        <v>대리점</v>
      </c>
      <c r="D163" s="6" t="str">
        <f>IFERROR(VLOOKUP($F163,매장구분!$B:$Z,9,0),"")</f>
        <v>순천연향(대-위)</v>
      </c>
      <c r="E163" s="69" t="s">
        <v>390</v>
      </c>
      <c r="F163" s="69" t="s">
        <v>391</v>
      </c>
      <c r="G163" s="69">
        <v>1099</v>
      </c>
      <c r="H163" s="69">
        <v>132713424</v>
      </c>
      <c r="I163" s="69">
        <v>134792500</v>
      </c>
      <c r="J163" s="69">
        <v>1228</v>
      </c>
      <c r="K163" s="69">
        <v>150722925</v>
      </c>
      <c r="L163" s="69">
        <v>152960100</v>
      </c>
      <c r="M163" s="69">
        <v>-129</v>
      </c>
      <c r="N163" s="69">
        <v>-18009501</v>
      </c>
      <c r="O163" s="69">
        <v>-18167600</v>
      </c>
      <c r="P163" s="69">
        <v>1002200</v>
      </c>
      <c r="Q163" s="69">
        <v>2431600</v>
      </c>
      <c r="R163" s="69">
        <v>2046700</v>
      </c>
      <c r="S163" s="69">
        <v>1953200</v>
      </c>
      <c r="T163" s="69">
        <v>1310500</v>
      </c>
      <c r="U163" s="69">
        <v>4039000</v>
      </c>
      <c r="V163" s="69">
        <v>4136100</v>
      </c>
      <c r="W163" s="69">
        <v>3473300</v>
      </c>
      <c r="X163" s="69">
        <v>10299000</v>
      </c>
      <c r="Y163" s="69">
        <v>9338600</v>
      </c>
      <c r="Z163" s="69">
        <v>1635000</v>
      </c>
      <c r="AA163" s="69">
        <v>4776000</v>
      </c>
      <c r="AB163" s="69">
        <v>3279100</v>
      </c>
      <c r="AC163" s="69">
        <v>2622000</v>
      </c>
      <c r="AD163" s="69">
        <v>2370800</v>
      </c>
      <c r="AE163" s="69">
        <v>6413300</v>
      </c>
      <c r="AF163" s="69">
        <v>8225000</v>
      </c>
      <c r="AG163" s="69">
        <v>4044000</v>
      </c>
      <c r="AH163" s="69">
        <v>3488000</v>
      </c>
      <c r="AI163" s="69">
        <v>3622000</v>
      </c>
      <c r="AJ163" s="69">
        <v>2793000</v>
      </c>
      <c r="AK163" s="69">
        <v>2815000</v>
      </c>
      <c r="AL163" s="69">
        <v>8213624</v>
      </c>
      <c r="AM163" s="69">
        <v>9162000</v>
      </c>
      <c r="AN163" s="69">
        <v>3966000</v>
      </c>
      <c r="AO163" s="69">
        <v>2537300</v>
      </c>
      <c r="AP163" s="69">
        <v>3961000</v>
      </c>
      <c r="AQ163" s="69">
        <v>2503000</v>
      </c>
      <c r="AR163" s="69">
        <v>2880100</v>
      </c>
      <c r="AS163" s="69">
        <v>9987000</v>
      </c>
      <c r="AT163" s="69">
        <v>3390000</v>
      </c>
      <c r="AU163" s="69"/>
      <c r="AW163" s="66">
        <f t="shared" si="20"/>
        <v>4478300</v>
      </c>
      <c r="AX163" s="66">
        <f t="shared" si="20"/>
        <v>34549700</v>
      </c>
      <c r="AY163" s="66">
        <f t="shared" si="20"/>
        <v>29321200</v>
      </c>
      <c r="AZ163" s="66">
        <f t="shared" si="20"/>
        <v>34137624</v>
      </c>
      <c r="BA163" s="66">
        <f t="shared" si="20"/>
        <v>29224400</v>
      </c>
      <c r="BC163" s="66">
        <f t="shared" ca="1" si="17"/>
        <v>94327024</v>
      </c>
      <c r="BD163" s="66">
        <f t="shared" si="18"/>
        <v>129323424</v>
      </c>
    </row>
    <row r="164" spans="1:56" x14ac:dyDescent="0.3">
      <c r="A164" s="6" t="str">
        <f>IFERROR(VLOOKUP($F164,매장구분!$B:$K,2,0),"")</f>
        <v>리테일채널팀</v>
      </c>
      <c r="B164" s="6" t="str">
        <f>IFERROR(VLOOKUP($F164,매장구분!$B:$K,3,0),"")</f>
        <v>RF</v>
      </c>
      <c r="C164" s="6" t="str">
        <f>IFERROR(VLOOKUP($F164,매장구분!$B:$K,5,0),"")</f>
        <v>대리점</v>
      </c>
      <c r="D164" s="6" t="str">
        <f>IFERROR(VLOOKUP($F164,매장구분!$B:$Z,9,0),"")</f>
        <v>신제주(대-위)</v>
      </c>
      <c r="E164" s="69" t="s">
        <v>340</v>
      </c>
      <c r="F164" s="69" t="s">
        <v>341</v>
      </c>
      <c r="G164" s="69">
        <v>1949</v>
      </c>
      <c r="H164" s="69">
        <v>165490500</v>
      </c>
      <c r="I164" s="69">
        <v>182893700</v>
      </c>
      <c r="J164" s="69">
        <v>2008</v>
      </c>
      <c r="K164" s="69">
        <v>174122600</v>
      </c>
      <c r="L164" s="69">
        <v>191609600</v>
      </c>
      <c r="M164" s="69">
        <v>-59</v>
      </c>
      <c r="N164" s="69">
        <v>-8632100</v>
      </c>
      <c r="O164" s="69">
        <v>-8715900</v>
      </c>
      <c r="P164" s="69">
        <v>1891000</v>
      </c>
      <c r="Q164" s="69">
        <v>11071800</v>
      </c>
      <c r="R164" s="69">
        <v>8302400</v>
      </c>
      <c r="S164" s="69">
        <v>2261500</v>
      </c>
      <c r="T164" s="69">
        <v>8257800</v>
      </c>
      <c r="U164" s="69">
        <v>5580000</v>
      </c>
      <c r="V164" s="69">
        <v>2633000</v>
      </c>
      <c r="W164" s="69">
        <v>2037000</v>
      </c>
      <c r="X164" s="69">
        <v>4048000</v>
      </c>
      <c r="Y164" s="69">
        <v>15062500</v>
      </c>
      <c r="Z164" s="69">
        <v>2220000</v>
      </c>
      <c r="AA164" s="69">
        <v>3007000</v>
      </c>
      <c r="AB164" s="69">
        <v>2833000</v>
      </c>
      <c r="AC164" s="69">
        <v>2961500</v>
      </c>
      <c r="AD164" s="69">
        <v>10257900</v>
      </c>
      <c r="AE164" s="69">
        <v>2474000</v>
      </c>
      <c r="AF164" s="69">
        <v>3493000</v>
      </c>
      <c r="AG164" s="69">
        <v>9533600</v>
      </c>
      <c r="AH164" s="69">
        <v>3390000</v>
      </c>
      <c r="AI164" s="69">
        <v>1624000</v>
      </c>
      <c r="AJ164" s="69">
        <v>2864000</v>
      </c>
      <c r="AK164" s="69">
        <v>3866000</v>
      </c>
      <c r="AL164" s="69">
        <v>16005600</v>
      </c>
      <c r="AM164" s="69">
        <v>3214900</v>
      </c>
      <c r="AN164" s="69">
        <v>10073100</v>
      </c>
      <c r="AO164" s="69">
        <v>12543800</v>
      </c>
      <c r="AP164" s="69">
        <v>1565000</v>
      </c>
      <c r="AQ164" s="69">
        <v>3098300</v>
      </c>
      <c r="AR164" s="69">
        <v>2838000</v>
      </c>
      <c r="AS164" s="69">
        <v>2775800</v>
      </c>
      <c r="AT164" s="69">
        <v>3707000</v>
      </c>
      <c r="AU164" s="69"/>
      <c r="AW164" s="66">
        <f t="shared" si="20"/>
        <v>19374200</v>
      </c>
      <c r="AX164" s="66">
        <f t="shared" si="20"/>
        <v>39879800</v>
      </c>
      <c r="AY164" s="66">
        <f t="shared" si="20"/>
        <v>27246400</v>
      </c>
      <c r="AZ164" s="66">
        <f t="shared" si="20"/>
        <v>40498100</v>
      </c>
      <c r="BA164" s="66">
        <f t="shared" si="20"/>
        <v>36601000</v>
      </c>
      <c r="BC164" s="66">
        <f t="shared" ca="1" si="17"/>
        <v>125674600</v>
      </c>
      <c r="BD164" s="66">
        <f t="shared" si="18"/>
        <v>161783500</v>
      </c>
    </row>
    <row r="165" spans="1:56" x14ac:dyDescent="0.3">
      <c r="A165" s="6" t="str">
        <f>IFERROR(VLOOKUP($F165,매장구분!$B:$K,2,0),"")</f>
        <v>리테일채널팀</v>
      </c>
      <c r="B165" s="6" t="str">
        <f>IFERROR(VLOOKUP($F165,매장구분!$B:$K,3,0),"")</f>
        <v>국내</v>
      </c>
      <c r="C165" s="6" t="str">
        <f>IFERROR(VLOOKUP($F165,매장구분!$B:$K,5,0),"")</f>
        <v>대리점</v>
      </c>
      <c r="D165" s="6" t="str">
        <f>IFERROR(VLOOKUP($F165,매장구분!$B:$Z,9,0),"")</f>
        <v>구미인동(대-위)</v>
      </c>
      <c r="E165" s="69" t="s">
        <v>558</v>
      </c>
      <c r="F165" s="69" t="s">
        <v>559</v>
      </c>
      <c r="G165" s="69">
        <v>361</v>
      </c>
      <c r="H165" s="69">
        <v>38865734</v>
      </c>
      <c r="I165" s="69">
        <v>40033800</v>
      </c>
      <c r="J165" s="69">
        <v>411</v>
      </c>
      <c r="K165" s="69">
        <v>45165434</v>
      </c>
      <c r="L165" s="69">
        <v>46383800</v>
      </c>
      <c r="M165" s="69">
        <v>-50</v>
      </c>
      <c r="N165" s="69">
        <v>-6299700</v>
      </c>
      <c r="O165" s="69">
        <v>-6350000</v>
      </c>
      <c r="P165" s="69">
        <v>386000</v>
      </c>
      <c r="Q165" s="69">
        <v>522100</v>
      </c>
      <c r="R165" s="69">
        <v>2830200</v>
      </c>
      <c r="S165" s="69">
        <v>428764</v>
      </c>
      <c r="T165" s="69">
        <v>899300</v>
      </c>
      <c r="U165" s="69">
        <v>452000</v>
      </c>
      <c r="V165" s="69">
        <v>258400</v>
      </c>
      <c r="W165" s="69">
        <v>1300300</v>
      </c>
      <c r="X165" s="69">
        <v>890000</v>
      </c>
      <c r="Y165" s="69">
        <v>2003000</v>
      </c>
      <c r="Z165" s="69">
        <v>683000</v>
      </c>
      <c r="AA165" s="69">
        <v>318000</v>
      </c>
      <c r="AB165" s="69">
        <v>681432</v>
      </c>
      <c r="AC165" s="69">
        <v>1040000</v>
      </c>
      <c r="AD165" s="69">
        <v>1200000</v>
      </c>
      <c r="AE165" s="69">
        <v>2566338</v>
      </c>
      <c r="AF165" s="69">
        <v>717000</v>
      </c>
      <c r="AG165" s="69">
        <v>2966000</v>
      </c>
      <c r="AH165" s="69">
        <v>941000</v>
      </c>
      <c r="AI165" s="69">
        <v>1680000</v>
      </c>
      <c r="AJ165" s="69">
        <v>1512000</v>
      </c>
      <c r="AK165" s="69">
        <v>1435000</v>
      </c>
      <c r="AL165" s="69">
        <v>1576800</v>
      </c>
      <c r="AM165" s="69">
        <v>1957000</v>
      </c>
      <c r="AN165" s="69">
        <v>1959800</v>
      </c>
      <c r="AO165" s="69">
        <v>901000</v>
      </c>
      <c r="AP165" s="69">
        <v>763000</v>
      </c>
      <c r="AQ165" s="69">
        <v>2013300</v>
      </c>
      <c r="AR165" s="69">
        <v>945000</v>
      </c>
      <c r="AS165" s="69">
        <v>1231000</v>
      </c>
      <c r="AT165" s="69">
        <v>1809000</v>
      </c>
      <c r="AU165" s="69"/>
      <c r="AW165" s="66">
        <f t="shared" si="20"/>
        <v>3352300</v>
      </c>
      <c r="AX165" s="66">
        <f t="shared" si="20"/>
        <v>6231764</v>
      </c>
      <c r="AY165" s="66">
        <f t="shared" si="20"/>
        <v>7205770</v>
      </c>
      <c r="AZ165" s="66">
        <f t="shared" si="20"/>
        <v>12067800</v>
      </c>
      <c r="BA165" s="66">
        <f t="shared" si="20"/>
        <v>9622100</v>
      </c>
      <c r="BC165" s="66">
        <f t="shared" ca="1" si="17"/>
        <v>27286634</v>
      </c>
      <c r="BD165" s="66">
        <f t="shared" si="18"/>
        <v>37056734</v>
      </c>
    </row>
    <row r="166" spans="1:56" x14ac:dyDescent="0.3">
      <c r="A166" s="6" t="str">
        <f>IFERROR(VLOOKUP($F166,매장구분!$B:$K,2,0),"")</f>
        <v>리테일채널팀</v>
      </c>
      <c r="B166" s="6" t="str">
        <f>IFERROR(VLOOKUP($F166,매장구분!$B:$K,3,0),"")</f>
        <v>국내</v>
      </c>
      <c r="C166" s="6" t="str">
        <f>IFERROR(VLOOKUP($F166,매장구분!$B:$K,5,0),"")</f>
        <v>대리점</v>
      </c>
      <c r="D166" s="6" t="str">
        <f>IFERROR(VLOOKUP($F166,매장구분!$B:$Z,9,0),"")</f>
        <v>퍼스트빌리지(대-위)</v>
      </c>
      <c r="E166" s="69" t="s">
        <v>440</v>
      </c>
      <c r="F166" s="69" t="s">
        <v>441</v>
      </c>
      <c r="G166" s="69">
        <v>882</v>
      </c>
      <c r="H166" s="69">
        <v>103762745</v>
      </c>
      <c r="I166" s="69">
        <v>108991000</v>
      </c>
      <c r="J166" s="69">
        <v>896</v>
      </c>
      <c r="K166" s="69">
        <v>106802745</v>
      </c>
      <c r="L166" s="69">
        <v>112041000</v>
      </c>
      <c r="M166" s="69">
        <v>-14</v>
      </c>
      <c r="N166" s="69">
        <v>-3040000</v>
      </c>
      <c r="O166" s="69">
        <v>-3050000</v>
      </c>
      <c r="P166" s="69">
        <v>924700</v>
      </c>
      <c r="Q166" s="69">
        <v>5118800</v>
      </c>
      <c r="R166" s="69">
        <v>6349700</v>
      </c>
      <c r="S166" s="69">
        <v>2146000</v>
      </c>
      <c r="T166" s="69">
        <v>1511100</v>
      </c>
      <c r="U166" s="69">
        <v>1705900</v>
      </c>
      <c r="V166" s="69">
        <v>883700</v>
      </c>
      <c r="W166" s="69">
        <v>625300</v>
      </c>
      <c r="X166" s="69">
        <v>6600000</v>
      </c>
      <c r="Y166" s="69">
        <v>9046000</v>
      </c>
      <c r="Z166" s="69">
        <v>978300</v>
      </c>
      <c r="AA166" s="69">
        <v>272000</v>
      </c>
      <c r="AB166" s="69">
        <v>2601900</v>
      </c>
      <c r="AC166" s="69">
        <v>509000</v>
      </c>
      <c r="AD166" s="69">
        <v>951000</v>
      </c>
      <c r="AE166" s="69">
        <v>7254600</v>
      </c>
      <c r="AF166" s="69">
        <v>6704859</v>
      </c>
      <c r="AG166" s="69">
        <v>3957300</v>
      </c>
      <c r="AH166" s="69">
        <v>572000</v>
      </c>
      <c r="AI166" s="69">
        <v>1664300</v>
      </c>
      <c r="AJ166" s="69">
        <v>1777000</v>
      </c>
      <c r="AK166" s="69">
        <v>1524000</v>
      </c>
      <c r="AL166" s="69">
        <v>7610386</v>
      </c>
      <c r="AM166" s="69">
        <v>11775000</v>
      </c>
      <c r="AN166" s="69">
        <v>2037000</v>
      </c>
      <c r="AO166" s="69">
        <v>1848000</v>
      </c>
      <c r="AP166" s="69">
        <v>2331000</v>
      </c>
      <c r="AQ166" s="69">
        <v>577000</v>
      </c>
      <c r="AR166" s="69">
        <v>0</v>
      </c>
      <c r="AS166" s="69">
        <v>5960600</v>
      </c>
      <c r="AT166" s="69">
        <v>7946300</v>
      </c>
      <c r="AU166" s="69"/>
      <c r="AW166" s="66">
        <f t="shared" si="20"/>
        <v>11468500</v>
      </c>
      <c r="AX166" s="66">
        <f t="shared" si="20"/>
        <v>22518000</v>
      </c>
      <c r="AY166" s="66">
        <f t="shared" si="20"/>
        <v>19271659</v>
      </c>
      <c r="AZ166" s="66">
        <f t="shared" si="20"/>
        <v>28879986</v>
      </c>
      <c r="BA166" s="66">
        <f t="shared" si="20"/>
        <v>20699900</v>
      </c>
      <c r="BC166" s="66">
        <f t="shared" ca="1" si="17"/>
        <v>71287845</v>
      </c>
      <c r="BD166" s="66">
        <f t="shared" si="18"/>
        <v>95816445</v>
      </c>
    </row>
    <row r="167" spans="1:56" x14ac:dyDescent="0.3">
      <c r="A167" s="6" t="str">
        <f>IFERROR(VLOOKUP($F167,매장구분!$B:$K,2,0),"")</f>
        <v>리테일채널팀</v>
      </c>
      <c r="B167" s="6" t="str">
        <f>IFERROR(VLOOKUP($F167,매장구분!$B:$K,3,0),"")</f>
        <v>국내</v>
      </c>
      <c r="C167" s="6" t="str">
        <f>IFERROR(VLOOKUP($F167,매장구분!$B:$K,5,0),"")</f>
        <v>대리점</v>
      </c>
      <c r="D167" s="6" t="str">
        <f>IFERROR(VLOOKUP($F167,매장구분!$B:$Z,9,0),"")</f>
        <v>천안쌍용(대-위)</v>
      </c>
      <c r="E167" s="69" t="s">
        <v>574</v>
      </c>
      <c r="F167" s="69" t="s">
        <v>575</v>
      </c>
      <c r="G167" s="69">
        <v>269</v>
      </c>
      <c r="H167" s="69">
        <v>32454700</v>
      </c>
      <c r="I167" s="69">
        <v>35247000</v>
      </c>
      <c r="J167" s="69">
        <v>399</v>
      </c>
      <c r="K167" s="69">
        <v>51521100</v>
      </c>
      <c r="L167" s="69">
        <v>55468000</v>
      </c>
      <c r="M167" s="69">
        <v>-130</v>
      </c>
      <c r="N167" s="69">
        <v>-19066400</v>
      </c>
      <c r="O167" s="69">
        <v>-20221000</v>
      </c>
      <c r="P167" s="69">
        <v>108900</v>
      </c>
      <c r="Q167" s="69">
        <v>551700</v>
      </c>
      <c r="R167" s="69">
        <v>495900</v>
      </c>
      <c r="S167" s="69">
        <v>0</v>
      </c>
      <c r="T167" s="69">
        <v>1694600</v>
      </c>
      <c r="U167" s="69">
        <v>0</v>
      </c>
      <c r="V167" s="69">
        <v>1002600</v>
      </c>
      <c r="W167" s="69">
        <v>3513600</v>
      </c>
      <c r="X167" s="69">
        <v>0</v>
      </c>
      <c r="Y167" s="69">
        <v>282600</v>
      </c>
      <c r="Z167" s="69">
        <v>1242000</v>
      </c>
      <c r="AA167" s="69">
        <v>313200</v>
      </c>
      <c r="AB167" s="69">
        <v>0</v>
      </c>
      <c r="AC167" s="69">
        <v>1097100</v>
      </c>
      <c r="AD167" s="69">
        <v>319500</v>
      </c>
      <c r="AE167" s="69">
        <v>319000</v>
      </c>
      <c r="AF167" s="69">
        <v>730400</v>
      </c>
      <c r="AG167" s="69">
        <v>5323800</v>
      </c>
      <c r="AH167" s="69">
        <v>684900</v>
      </c>
      <c r="AI167" s="69">
        <v>239500</v>
      </c>
      <c r="AJ167" s="69">
        <v>89000</v>
      </c>
      <c r="AK167" s="69">
        <v>3753400</v>
      </c>
      <c r="AL167" s="69">
        <v>291000</v>
      </c>
      <c r="AM167" s="69">
        <v>1600000</v>
      </c>
      <c r="AN167" s="69">
        <v>680000</v>
      </c>
      <c r="AO167" s="69">
        <v>5581000</v>
      </c>
      <c r="AP167" s="69">
        <v>99000</v>
      </c>
      <c r="AQ167" s="69">
        <v>580000</v>
      </c>
      <c r="AR167" s="69">
        <v>287000</v>
      </c>
      <c r="AS167" s="69">
        <v>492000</v>
      </c>
      <c r="AT167" s="69">
        <v>1083000</v>
      </c>
      <c r="AU167" s="69"/>
      <c r="AW167" s="66">
        <f t="shared" si="20"/>
        <v>1047600</v>
      </c>
      <c r="AX167" s="66">
        <f t="shared" si="20"/>
        <v>6493400</v>
      </c>
      <c r="AY167" s="66">
        <f t="shared" si="20"/>
        <v>4021200</v>
      </c>
      <c r="AZ167" s="66">
        <f t="shared" si="20"/>
        <v>11981600</v>
      </c>
      <c r="BA167" s="66">
        <f t="shared" si="20"/>
        <v>8802000</v>
      </c>
      <c r="BC167" s="66">
        <f t="shared" ca="1" si="17"/>
        <v>22052700</v>
      </c>
      <c r="BD167" s="66">
        <f t="shared" si="18"/>
        <v>31371700</v>
      </c>
    </row>
    <row r="168" spans="1:56" x14ac:dyDescent="0.3">
      <c r="A168" s="6" t="str">
        <f>IFERROR(VLOOKUP($F168,매장구분!$B:$K,2,0),"")</f>
        <v>리테일채널팀</v>
      </c>
      <c r="B168" s="6" t="str">
        <f>IFERROR(VLOOKUP($F168,매장구분!$B:$K,3,0),"")</f>
        <v>국내</v>
      </c>
      <c r="C168" s="6" t="str">
        <f>IFERROR(VLOOKUP($F168,매장구분!$B:$K,5,0),"")</f>
        <v>대리점</v>
      </c>
      <c r="D168" s="6" t="str">
        <f>IFERROR(VLOOKUP($F168,매장구분!$B:$Z,9,0),"")</f>
        <v>군산수송(대-위)</v>
      </c>
      <c r="E168" s="69" t="s">
        <v>594</v>
      </c>
      <c r="F168" s="69" t="s">
        <v>595</v>
      </c>
      <c r="G168" s="69">
        <v>182</v>
      </c>
      <c r="H168" s="69">
        <v>17268900</v>
      </c>
      <c r="I168" s="69">
        <v>18285000</v>
      </c>
      <c r="J168" s="69">
        <v>189</v>
      </c>
      <c r="K168" s="69">
        <v>17739900</v>
      </c>
      <c r="L168" s="69">
        <v>18756000</v>
      </c>
      <c r="M168" s="69">
        <v>-7</v>
      </c>
      <c r="N168" s="69">
        <v>-471000</v>
      </c>
      <c r="O168" s="69">
        <v>-471000</v>
      </c>
      <c r="P168" s="69">
        <v>752000</v>
      </c>
      <c r="Q168" s="69">
        <v>261000</v>
      </c>
      <c r="R168" s="69">
        <v>977000</v>
      </c>
      <c r="S168" s="69">
        <v>158000</v>
      </c>
      <c r="T168" s="69">
        <v>660000</v>
      </c>
      <c r="U168" s="69">
        <v>72000</v>
      </c>
      <c r="V168" s="69">
        <v>33000</v>
      </c>
      <c r="W168" s="69">
        <v>148000</v>
      </c>
      <c r="X168" s="69">
        <v>308000</v>
      </c>
      <c r="Y168" s="69">
        <v>669300</v>
      </c>
      <c r="Z168" s="69">
        <v>621600</v>
      </c>
      <c r="AA168" s="69">
        <v>132000</v>
      </c>
      <c r="AB168" s="69">
        <v>276000</v>
      </c>
      <c r="AC168" s="69">
        <v>7799000</v>
      </c>
      <c r="AD168" s="69">
        <v>138000</v>
      </c>
      <c r="AE168" s="69">
        <v>99000</v>
      </c>
      <c r="AF168" s="69">
        <v>595000</v>
      </c>
      <c r="AG168" s="69">
        <v>228000</v>
      </c>
      <c r="AH168" s="69">
        <v>16000</v>
      </c>
      <c r="AI168" s="69">
        <v>154000</v>
      </c>
      <c r="AJ168" s="69">
        <v>211000</v>
      </c>
      <c r="AK168" s="69">
        <v>391000</v>
      </c>
      <c r="AL168" s="69">
        <v>1011000</v>
      </c>
      <c r="AM168" s="69">
        <v>833000</v>
      </c>
      <c r="AN168" s="69">
        <v>110000</v>
      </c>
      <c r="AO168" s="69">
        <v>16000</v>
      </c>
      <c r="AP168" s="69">
        <v>222000</v>
      </c>
      <c r="AQ168" s="69">
        <v>16000</v>
      </c>
      <c r="AR168" s="69">
        <v>0</v>
      </c>
      <c r="AS168" s="69">
        <v>362000</v>
      </c>
      <c r="AT168" s="69">
        <v>0</v>
      </c>
      <c r="AU168" s="69"/>
      <c r="AW168" s="66">
        <f t="shared" si="20"/>
        <v>1238000</v>
      </c>
      <c r="AX168" s="66">
        <f t="shared" si="20"/>
        <v>2048300</v>
      </c>
      <c r="AY168" s="66">
        <f t="shared" si="20"/>
        <v>9660600</v>
      </c>
      <c r="AZ168" s="66">
        <f t="shared" si="20"/>
        <v>2844000</v>
      </c>
      <c r="BA168" s="66">
        <f t="shared" si="20"/>
        <v>726000</v>
      </c>
      <c r="BC168" s="66">
        <f t="shared" ca="1" si="17"/>
        <v>15709900</v>
      </c>
      <c r="BD168" s="66">
        <f t="shared" si="18"/>
        <v>17268900</v>
      </c>
    </row>
    <row r="169" spans="1:56" x14ac:dyDescent="0.3">
      <c r="A169" s="6" t="str">
        <f>IFERROR(VLOOKUP($F169,매장구분!$B:$K,2,0),"")</f>
        <v>리테일채널팀</v>
      </c>
      <c r="B169" s="6" t="str">
        <f>IFERROR(VLOOKUP($F169,매장구분!$B:$K,3,0),"")</f>
        <v>국내</v>
      </c>
      <c r="C169" s="6" t="str">
        <f>IFERROR(VLOOKUP($F169,매장구분!$B:$K,5,0),"")</f>
        <v>대리점</v>
      </c>
      <c r="D169" s="6" t="str">
        <f>IFERROR(VLOOKUP($F169,매장구분!$B:$Z,9,0),"")</f>
        <v>경산(대-위)</v>
      </c>
      <c r="E169" s="69" t="s">
        <v>556</v>
      </c>
      <c r="F169" s="69" t="s">
        <v>557</v>
      </c>
      <c r="G169" s="69">
        <v>419</v>
      </c>
      <c r="H169" s="69">
        <v>54169953</v>
      </c>
      <c r="I169" s="69">
        <v>55342900</v>
      </c>
      <c r="J169" s="69">
        <v>513</v>
      </c>
      <c r="K169" s="69">
        <v>71126853</v>
      </c>
      <c r="L169" s="69">
        <v>72489800</v>
      </c>
      <c r="M169" s="69">
        <v>-94</v>
      </c>
      <c r="N169" s="69">
        <v>-16956900</v>
      </c>
      <c r="O169" s="69">
        <v>-17146900</v>
      </c>
      <c r="P169" s="69">
        <v>385700</v>
      </c>
      <c r="Q169" s="69">
        <v>4823900</v>
      </c>
      <c r="R169" s="69">
        <v>1991500</v>
      </c>
      <c r="S169" s="69">
        <v>932300</v>
      </c>
      <c r="T169" s="69">
        <v>1563800</v>
      </c>
      <c r="U169" s="69">
        <v>0</v>
      </c>
      <c r="V169" s="69">
        <v>856100</v>
      </c>
      <c r="W169" s="69">
        <v>1082400</v>
      </c>
      <c r="X169" s="69">
        <v>3071600</v>
      </c>
      <c r="Y169" s="69">
        <v>3031000</v>
      </c>
      <c r="Z169" s="69">
        <v>1740000</v>
      </c>
      <c r="AA169" s="69">
        <v>1141000</v>
      </c>
      <c r="AB169" s="69">
        <v>1398000</v>
      </c>
      <c r="AC169" s="69">
        <v>909000</v>
      </c>
      <c r="AD169" s="69">
        <v>200000</v>
      </c>
      <c r="AE169" s="69">
        <v>2313000</v>
      </c>
      <c r="AF169" s="69">
        <v>2566000</v>
      </c>
      <c r="AG169" s="69">
        <v>1536000</v>
      </c>
      <c r="AH169" s="69">
        <v>2662000</v>
      </c>
      <c r="AI169" s="69">
        <v>669000</v>
      </c>
      <c r="AJ169" s="69">
        <v>1547000</v>
      </c>
      <c r="AK169" s="69">
        <v>868000</v>
      </c>
      <c r="AL169" s="69">
        <v>2779900</v>
      </c>
      <c r="AM169" s="69">
        <v>4221000</v>
      </c>
      <c r="AN169" s="69">
        <v>479000</v>
      </c>
      <c r="AO169" s="69">
        <v>900300</v>
      </c>
      <c r="AP169" s="69">
        <v>1318000</v>
      </c>
      <c r="AQ169" s="69">
        <v>883000</v>
      </c>
      <c r="AR169" s="69">
        <v>75000</v>
      </c>
      <c r="AS169" s="69">
        <v>3771453</v>
      </c>
      <c r="AT169" s="69">
        <v>4455000</v>
      </c>
      <c r="AU169" s="69"/>
      <c r="AW169" s="66">
        <f t="shared" si="20"/>
        <v>6815400</v>
      </c>
      <c r="AX169" s="66">
        <f t="shared" si="20"/>
        <v>10537200</v>
      </c>
      <c r="AY169" s="66">
        <f t="shared" si="20"/>
        <v>10267000</v>
      </c>
      <c r="AZ169" s="66">
        <f t="shared" si="20"/>
        <v>14282900</v>
      </c>
      <c r="BA169" s="66">
        <f t="shared" si="20"/>
        <v>11881753</v>
      </c>
      <c r="BC169" s="66">
        <f t="shared" ca="1" si="17"/>
        <v>38067200</v>
      </c>
      <c r="BD169" s="66">
        <f t="shared" si="18"/>
        <v>49714953</v>
      </c>
    </row>
    <row r="170" spans="1:56" x14ac:dyDescent="0.3">
      <c r="A170" s="6" t="str">
        <f>IFERROR(VLOOKUP($F170,매장구분!$B:$K,2,0),"")</f>
        <v>리테일채널팀</v>
      </c>
      <c r="B170" s="6" t="str">
        <f>IFERROR(VLOOKUP($F170,매장구분!$B:$K,3,0),"")</f>
        <v>국내</v>
      </c>
      <c r="C170" s="6" t="str">
        <f>IFERROR(VLOOKUP($F170,매장구분!$B:$K,5,0),"")</f>
        <v>상설(위탁)</v>
      </c>
      <c r="D170" s="6" t="str">
        <f>IFERROR(VLOOKUP($F170,매장구분!$B:$Z,9,0),"")</f>
        <v>롯데아울렛수완(상-위)</v>
      </c>
      <c r="E170" s="69" t="s">
        <v>430</v>
      </c>
      <c r="F170" s="69" t="s">
        <v>431</v>
      </c>
      <c r="G170" s="69">
        <v>308</v>
      </c>
      <c r="H170" s="69">
        <v>11088000</v>
      </c>
      <c r="I170" s="69">
        <v>11088000</v>
      </c>
      <c r="J170" s="69">
        <v>322</v>
      </c>
      <c r="K170" s="69">
        <v>11592000</v>
      </c>
      <c r="L170" s="69">
        <v>11592000</v>
      </c>
      <c r="M170" s="69">
        <v>-14</v>
      </c>
      <c r="N170" s="69">
        <v>-504000</v>
      </c>
      <c r="O170" s="69">
        <v>-504000</v>
      </c>
      <c r="P170" s="69">
        <v>216000</v>
      </c>
      <c r="Q170" s="69">
        <v>756000</v>
      </c>
      <c r="R170" s="69">
        <v>1080000</v>
      </c>
      <c r="S170" s="69">
        <v>0</v>
      </c>
      <c r="T170" s="69">
        <v>360000</v>
      </c>
      <c r="U170" s="69">
        <v>252000</v>
      </c>
      <c r="V170" s="69">
        <v>252000</v>
      </c>
      <c r="W170" s="69">
        <v>396000</v>
      </c>
      <c r="X170" s="69">
        <v>828000</v>
      </c>
      <c r="Y170" s="69">
        <v>792000</v>
      </c>
      <c r="Z170" s="69">
        <v>108000</v>
      </c>
      <c r="AA170" s="69">
        <v>72000</v>
      </c>
      <c r="AB170" s="69">
        <v>72000</v>
      </c>
      <c r="AC170" s="69">
        <v>72000</v>
      </c>
      <c r="AD170" s="69">
        <v>108000</v>
      </c>
      <c r="AE170" s="69">
        <v>612000</v>
      </c>
      <c r="AF170" s="69">
        <v>684000</v>
      </c>
      <c r="AG170" s="69">
        <v>216000</v>
      </c>
      <c r="AH170" s="69">
        <v>180000</v>
      </c>
      <c r="AI170" s="69">
        <v>180000</v>
      </c>
      <c r="AJ170" s="69">
        <v>108000</v>
      </c>
      <c r="AK170" s="69">
        <v>180000</v>
      </c>
      <c r="AL170" s="69">
        <v>648000</v>
      </c>
      <c r="AM170" s="69">
        <v>684000</v>
      </c>
      <c r="AN170" s="69">
        <v>288000</v>
      </c>
      <c r="AO170" s="69">
        <v>216000</v>
      </c>
      <c r="AP170" s="69">
        <v>468000</v>
      </c>
      <c r="AQ170" s="69">
        <v>288000</v>
      </c>
      <c r="AR170" s="69">
        <v>216000</v>
      </c>
      <c r="AS170" s="69">
        <v>216000</v>
      </c>
      <c r="AT170" s="69">
        <v>540000</v>
      </c>
      <c r="AU170" s="69"/>
      <c r="AW170" s="66">
        <f t="shared" si="20"/>
        <v>1836000</v>
      </c>
      <c r="AX170" s="66">
        <f t="shared" si="20"/>
        <v>2880000</v>
      </c>
      <c r="AY170" s="66">
        <f t="shared" si="20"/>
        <v>1728000</v>
      </c>
      <c r="AZ170" s="66">
        <f t="shared" si="20"/>
        <v>2196000</v>
      </c>
      <c r="BA170" s="66">
        <f t="shared" si="20"/>
        <v>2232000</v>
      </c>
      <c r="BC170" s="66">
        <f t="shared" ca="1" si="17"/>
        <v>8172000</v>
      </c>
      <c r="BD170" s="66">
        <f t="shared" si="18"/>
        <v>10548000</v>
      </c>
    </row>
    <row r="171" spans="1:56" x14ac:dyDescent="0.3">
      <c r="A171" s="6" t="str">
        <f>IFERROR(VLOOKUP($F171,매장구분!$B:$K,2,0),"")</f>
        <v>리테일채널팀</v>
      </c>
      <c r="B171" s="6" t="str">
        <f>IFERROR(VLOOKUP($F171,매장구분!$B:$K,3,0),"")</f>
        <v>국내</v>
      </c>
      <c r="C171" s="6" t="str">
        <f>IFERROR(VLOOKUP($F171,매장구분!$B:$K,5,0),"")</f>
        <v>상설(위탁)</v>
      </c>
      <c r="D171" s="6" t="str">
        <f>IFERROR(VLOOKUP($F171,매장구분!$B:$Z,9,0),"")</f>
        <v>현대아울렛대전(상-위)</v>
      </c>
      <c r="E171" s="69" t="s">
        <v>608</v>
      </c>
      <c r="F171" s="69" t="s">
        <v>609</v>
      </c>
      <c r="G171" s="69">
        <v>147</v>
      </c>
      <c r="H171" s="69">
        <v>5292000</v>
      </c>
      <c r="I171" s="69">
        <v>5292000</v>
      </c>
      <c r="J171" s="69">
        <v>149</v>
      </c>
      <c r="K171" s="69">
        <v>5364000</v>
      </c>
      <c r="L171" s="69">
        <v>5364000</v>
      </c>
      <c r="M171" s="69">
        <v>-2</v>
      </c>
      <c r="N171" s="69">
        <v>-72000</v>
      </c>
      <c r="O171" s="69">
        <v>-72000</v>
      </c>
      <c r="P171" s="69">
        <v>144000</v>
      </c>
      <c r="Q171" s="69">
        <v>612000</v>
      </c>
      <c r="R171" s="69">
        <v>468000</v>
      </c>
      <c r="S171" s="69">
        <v>36000</v>
      </c>
      <c r="T171" s="69">
        <v>36000</v>
      </c>
      <c r="U171" s="69">
        <v>144000</v>
      </c>
      <c r="V171" s="69">
        <v>108000</v>
      </c>
      <c r="W171" s="69">
        <v>72000</v>
      </c>
      <c r="X171" s="69">
        <v>396000</v>
      </c>
      <c r="Y171" s="69">
        <v>792000</v>
      </c>
      <c r="Z171" s="69">
        <v>108000</v>
      </c>
      <c r="AA171" s="69">
        <v>0</v>
      </c>
      <c r="AB171" s="69">
        <v>72000</v>
      </c>
      <c r="AC171" s="69">
        <v>360000</v>
      </c>
      <c r="AD171" s="69">
        <v>360000</v>
      </c>
      <c r="AE171" s="69">
        <v>540000</v>
      </c>
      <c r="AF171" s="69">
        <v>684000</v>
      </c>
      <c r="AG171" s="69">
        <v>72000</v>
      </c>
      <c r="AH171" s="69">
        <v>180000</v>
      </c>
      <c r="AI171" s="69">
        <v>108000</v>
      </c>
      <c r="AJ171" s="69">
        <v>0</v>
      </c>
      <c r="AK171" s="69">
        <v>0</v>
      </c>
      <c r="AL171" s="69">
        <v>0</v>
      </c>
      <c r="AM171" s="69">
        <v>0</v>
      </c>
      <c r="AN171" s="69">
        <v>0</v>
      </c>
      <c r="AO171" s="69">
        <v>0</v>
      </c>
      <c r="AP171" s="69">
        <v>0</v>
      </c>
      <c r="AQ171" s="69">
        <v>0</v>
      </c>
      <c r="AR171" s="69">
        <v>0</v>
      </c>
      <c r="AS171" s="69">
        <v>0</v>
      </c>
      <c r="AT171" s="69">
        <v>0</v>
      </c>
      <c r="AU171" s="69"/>
      <c r="AW171" s="66">
        <f t="shared" si="20"/>
        <v>1080000</v>
      </c>
      <c r="AX171" s="66">
        <f t="shared" si="20"/>
        <v>1584000</v>
      </c>
      <c r="AY171" s="66">
        <f t="shared" si="20"/>
        <v>2124000</v>
      </c>
      <c r="AZ171" s="66">
        <f t="shared" si="20"/>
        <v>360000</v>
      </c>
      <c r="BA171" s="66">
        <f t="shared" si="20"/>
        <v>0</v>
      </c>
      <c r="BC171" s="66">
        <f t="shared" ca="1" si="17"/>
        <v>5292000</v>
      </c>
      <c r="BD171" s="66">
        <f t="shared" si="18"/>
        <v>5292000</v>
      </c>
    </row>
    <row r="172" spans="1:56" x14ac:dyDescent="0.3">
      <c r="A172" s="6" t="str">
        <f>IFERROR(VLOOKUP($F172,매장구분!$B:$K,2,0),"")</f>
        <v>리테일채널팀</v>
      </c>
      <c r="B172" s="6" t="str">
        <f>IFERROR(VLOOKUP($F172,매장구분!$B:$K,3,0),"")</f>
        <v>국내</v>
      </c>
      <c r="C172" s="6" t="str">
        <f>IFERROR(VLOOKUP($F172,매장구분!$B:$K,5,0),"")</f>
        <v>상설(위탁)</v>
      </c>
      <c r="D172" s="6" t="str">
        <f>IFERROR(VLOOKUP($F172,매장구분!$B:$Z,9,0),"")</f>
        <v>롯데아울렛동부산(상-위)</v>
      </c>
      <c r="E172" s="69" t="s">
        <v>366</v>
      </c>
      <c r="F172" s="69" t="s">
        <v>367</v>
      </c>
      <c r="G172" s="69">
        <v>516</v>
      </c>
      <c r="H172" s="69">
        <v>18576000</v>
      </c>
      <c r="I172" s="69">
        <v>18576000</v>
      </c>
      <c r="J172" s="69">
        <v>525</v>
      </c>
      <c r="K172" s="69">
        <v>18900000</v>
      </c>
      <c r="L172" s="69">
        <v>18900000</v>
      </c>
      <c r="M172" s="69">
        <v>-9</v>
      </c>
      <c r="N172" s="69">
        <v>-324000</v>
      </c>
      <c r="O172" s="69">
        <v>-324000</v>
      </c>
      <c r="P172" s="69">
        <v>972000</v>
      </c>
      <c r="Q172" s="69">
        <v>1872000</v>
      </c>
      <c r="R172" s="69">
        <v>1332000</v>
      </c>
      <c r="S172" s="69">
        <v>324000</v>
      </c>
      <c r="T172" s="69">
        <v>288000</v>
      </c>
      <c r="U172" s="69">
        <v>360000</v>
      </c>
      <c r="V172" s="69">
        <v>324000</v>
      </c>
      <c r="W172" s="69">
        <v>576000</v>
      </c>
      <c r="X172" s="69">
        <v>756000</v>
      </c>
      <c r="Y172" s="69">
        <v>900000</v>
      </c>
      <c r="Z172" s="69">
        <v>396000</v>
      </c>
      <c r="AA172" s="69">
        <v>252000</v>
      </c>
      <c r="AB172" s="69">
        <v>432000</v>
      </c>
      <c r="AC172" s="69">
        <v>432000</v>
      </c>
      <c r="AD172" s="69">
        <v>360000</v>
      </c>
      <c r="AE172" s="69">
        <v>972000</v>
      </c>
      <c r="AF172" s="69">
        <v>900000</v>
      </c>
      <c r="AG172" s="69">
        <v>72000</v>
      </c>
      <c r="AH172" s="69">
        <v>324000</v>
      </c>
      <c r="AI172" s="69">
        <v>288000</v>
      </c>
      <c r="AJ172" s="69">
        <v>396000</v>
      </c>
      <c r="AK172" s="69">
        <v>396000</v>
      </c>
      <c r="AL172" s="69">
        <v>1116000</v>
      </c>
      <c r="AM172" s="69">
        <v>1548000</v>
      </c>
      <c r="AN172" s="69">
        <v>288000</v>
      </c>
      <c r="AO172" s="69">
        <v>180000</v>
      </c>
      <c r="AP172" s="69">
        <v>288000</v>
      </c>
      <c r="AQ172" s="69">
        <v>108000</v>
      </c>
      <c r="AR172" s="69">
        <v>252000</v>
      </c>
      <c r="AS172" s="69">
        <v>756000</v>
      </c>
      <c r="AT172" s="69">
        <v>1116000</v>
      </c>
      <c r="AU172" s="69"/>
      <c r="AW172" s="66">
        <f t="shared" ref="AW172:BA187" si="21">SUMIFS($Q172:$AU172,$Q$3:$AU$3,AW$3)</f>
        <v>3204000</v>
      </c>
      <c r="AX172" s="66">
        <f t="shared" si="21"/>
        <v>3528000</v>
      </c>
      <c r="AY172" s="66">
        <f t="shared" si="21"/>
        <v>3744000</v>
      </c>
      <c r="AZ172" s="66">
        <f t="shared" si="21"/>
        <v>4140000</v>
      </c>
      <c r="BA172" s="66">
        <f t="shared" si="21"/>
        <v>2988000</v>
      </c>
      <c r="BC172" s="66">
        <f t="shared" ca="1" si="17"/>
        <v>14040000</v>
      </c>
      <c r="BD172" s="66">
        <f t="shared" si="18"/>
        <v>17460000</v>
      </c>
    </row>
    <row r="173" spans="1:56" x14ac:dyDescent="0.3">
      <c r="A173" s="6" t="str">
        <f>IFERROR(VLOOKUP($F173,매장구분!$B:$K,2,0),"")</f>
        <v>리테일채널팀</v>
      </c>
      <c r="B173" s="6" t="str">
        <f>IFERROR(VLOOKUP($F173,매장구분!$B:$K,3,0),"")</f>
        <v>국내</v>
      </c>
      <c r="C173" s="6" t="str">
        <f>IFERROR(VLOOKUP($F173,매장구분!$B:$K,5,0),"")</f>
        <v>상설(위탁)</v>
      </c>
      <c r="D173" s="6" t="str">
        <f>IFERROR(VLOOKUP($F173,매장구분!$B:$Z,9,0),"")</f>
        <v>롯데아울렛봉무(상-위)</v>
      </c>
      <c r="E173" s="69" t="s">
        <v>220</v>
      </c>
      <c r="F173" s="69" t="s">
        <v>221</v>
      </c>
      <c r="G173" s="69">
        <v>365</v>
      </c>
      <c r="H173" s="69">
        <v>13140000</v>
      </c>
      <c r="I173" s="69">
        <v>13140000</v>
      </c>
      <c r="J173" s="69">
        <v>372</v>
      </c>
      <c r="K173" s="69">
        <v>13392000</v>
      </c>
      <c r="L173" s="69">
        <v>13392000</v>
      </c>
      <c r="M173" s="69">
        <v>-7</v>
      </c>
      <c r="N173" s="69">
        <v>-252000</v>
      </c>
      <c r="O173" s="69">
        <v>-252000</v>
      </c>
      <c r="P173" s="69">
        <v>216000</v>
      </c>
      <c r="Q173" s="69">
        <v>1008000</v>
      </c>
      <c r="R173" s="69">
        <v>1440000</v>
      </c>
      <c r="S173" s="69">
        <v>36000</v>
      </c>
      <c r="T173" s="69">
        <v>360000</v>
      </c>
      <c r="U173" s="69">
        <v>216000</v>
      </c>
      <c r="V173" s="69">
        <v>108000</v>
      </c>
      <c r="W173" s="69">
        <v>432000</v>
      </c>
      <c r="X173" s="69">
        <v>756000</v>
      </c>
      <c r="Y173" s="69">
        <v>1260000</v>
      </c>
      <c r="Z173" s="69">
        <v>252000</v>
      </c>
      <c r="AA173" s="69">
        <v>0</v>
      </c>
      <c r="AB173" s="69">
        <v>72000</v>
      </c>
      <c r="AC173" s="69">
        <v>288000</v>
      </c>
      <c r="AD173" s="69">
        <v>108000</v>
      </c>
      <c r="AE173" s="69">
        <v>792000</v>
      </c>
      <c r="AF173" s="69">
        <v>900000</v>
      </c>
      <c r="AG173" s="69">
        <v>72000</v>
      </c>
      <c r="AH173" s="69">
        <v>360000</v>
      </c>
      <c r="AI173" s="69">
        <v>36000</v>
      </c>
      <c r="AJ173" s="69">
        <v>252000</v>
      </c>
      <c r="AK173" s="69">
        <v>324000</v>
      </c>
      <c r="AL173" s="69">
        <v>864000</v>
      </c>
      <c r="AM173" s="69">
        <v>1188000</v>
      </c>
      <c r="AN173" s="69">
        <v>144000</v>
      </c>
      <c r="AO173" s="69">
        <v>144000</v>
      </c>
      <c r="AP173" s="69">
        <v>72000</v>
      </c>
      <c r="AQ173" s="69">
        <v>288000</v>
      </c>
      <c r="AR173" s="69">
        <v>108000</v>
      </c>
      <c r="AS173" s="69">
        <v>648000</v>
      </c>
      <c r="AT173" s="69">
        <v>396000</v>
      </c>
      <c r="AU173" s="69"/>
      <c r="AW173" s="66">
        <f t="shared" si="21"/>
        <v>2448000</v>
      </c>
      <c r="AX173" s="66">
        <f t="shared" si="21"/>
        <v>3168000</v>
      </c>
      <c r="AY173" s="66">
        <f t="shared" si="21"/>
        <v>2412000</v>
      </c>
      <c r="AZ173" s="66">
        <f t="shared" si="21"/>
        <v>3096000</v>
      </c>
      <c r="BA173" s="66">
        <f t="shared" si="21"/>
        <v>1800000</v>
      </c>
      <c r="BC173" s="66">
        <f t="shared" ca="1" si="17"/>
        <v>10152000</v>
      </c>
      <c r="BD173" s="66">
        <f t="shared" si="18"/>
        <v>12744000</v>
      </c>
    </row>
    <row r="174" spans="1:56" x14ac:dyDescent="0.3">
      <c r="A174" s="6" t="str">
        <f>IFERROR(VLOOKUP($F174,매장구분!$B:$K,2,0),"")</f>
        <v>리테일채널팀</v>
      </c>
      <c r="B174" s="6" t="str">
        <f>IFERROR(VLOOKUP($F174,매장구분!$B:$K,3,0),"")</f>
        <v>국내</v>
      </c>
      <c r="C174" s="6" t="str">
        <f>IFERROR(VLOOKUP($F174,매장구분!$B:$K,5,0),"")</f>
        <v>상설(위탁)</v>
      </c>
      <c r="D174" s="6" t="str">
        <f>IFERROR(VLOOKUP($F174,매장구분!$B:$Z,9,0),"")</f>
        <v>롯데아울렛부여(상-위)</v>
      </c>
      <c r="E174" s="69" t="s">
        <v>281</v>
      </c>
      <c r="F174" s="69" t="s">
        <v>282</v>
      </c>
      <c r="G174" s="69">
        <v>279</v>
      </c>
      <c r="H174" s="69">
        <v>10044000</v>
      </c>
      <c r="I174" s="69">
        <v>10044000</v>
      </c>
      <c r="J174" s="69">
        <v>285</v>
      </c>
      <c r="K174" s="69">
        <v>10260000</v>
      </c>
      <c r="L174" s="69">
        <v>10260000</v>
      </c>
      <c r="M174" s="69">
        <v>-6</v>
      </c>
      <c r="N174" s="69">
        <v>-216000</v>
      </c>
      <c r="O174" s="69">
        <v>-216000</v>
      </c>
      <c r="P174" s="69">
        <v>72000</v>
      </c>
      <c r="Q174" s="69">
        <v>684000</v>
      </c>
      <c r="R174" s="69">
        <v>900000</v>
      </c>
      <c r="S174" s="69">
        <v>144000</v>
      </c>
      <c r="T174" s="69">
        <v>144000</v>
      </c>
      <c r="U174" s="69">
        <v>108000</v>
      </c>
      <c r="V174" s="69">
        <v>252000</v>
      </c>
      <c r="W174" s="69">
        <v>432000</v>
      </c>
      <c r="X174" s="69">
        <v>1080000</v>
      </c>
      <c r="Y174" s="69">
        <v>1188000</v>
      </c>
      <c r="Z174" s="69">
        <v>180000</v>
      </c>
      <c r="AA174" s="69">
        <v>36000</v>
      </c>
      <c r="AB174" s="69">
        <v>36000</v>
      </c>
      <c r="AC174" s="69">
        <v>144000</v>
      </c>
      <c r="AD174" s="69">
        <v>72000</v>
      </c>
      <c r="AE174" s="69">
        <v>828000</v>
      </c>
      <c r="AF174" s="69">
        <v>468000</v>
      </c>
      <c r="AG174" s="69">
        <v>144000</v>
      </c>
      <c r="AH174" s="69">
        <v>216000</v>
      </c>
      <c r="AI174" s="69">
        <v>72000</v>
      </c>
      <c r="AJ174" s="69">
        <v>72000</v>
      </c>
      <c r="AK174" s="69">
        <v>0</v>
      </c>
      <c r="AL174" s="69">
        <v>468000</v>
      </c>
      <c r="AM174" s="69">
        <v>756000</v>
      </c>
      <c r="AN174" s="69">
        <v>180000</v>
      </c>
      <c r="AO174" s="69">
        <v>144000</v>
      </c>
      <c r="AP174" s="69">
        <v>72000</v>
      </c>
      <c r="AQ174" s="69">
        <v>144000</v>
      </c>
      <c r="AR174" s="69">
        <v>36000</v>
      </c>
      <c r="AS174" s="69">
        <v>396000</v>
      </c>
      <c r="AT174" s="69">
        <v>576000</v>
      </c>
      <c r="AU174" s="69"/>
      <c r="AW174" s="66">
        <f t="shared" si="21"/>
        <v>1584000</v>
      </c>
      <c r="AX174" s="66">
        <f t="shared" si="21"/>
        <v>3348000</v>
      </c>
      <c r="AY174" s="66">
        <f t="shared" si="21"/>
        <v>1764000</v>
      </c>
      <c r="AZ174" s="66">
        <f t="shared" si="21"/>
        <v>1728000</v>
      </c>
      <c r="BA174" s="66">
        <f t="shared" si="21"/>
        <v>1548000</v>
      </c>
      <c r="BC174" s="66">
        <f t="shared" ca="1" si="17"/>
        <v>7740000</v>
      </c>
      <c r="BD174" s="66">
        <f t="shared" si="18"/>
        <v>9468000</v>
      </c>
    </row>
    <row r="175" spans="1:56" x14ac:dyDescent="0.3">
      <c r="A175" s="6" t="str">
        <f>IFERROR(VLOOKUP($F175,매장구분!$B:$K,2,0),"")</f>
        <v>리테일채널팀</v>
      </c>
      <c r="B175" s="6" t="str">
        <f>IFERROR(VLOOKUP($F175,매장구분!$B:$K,3,0),"")</f>
        <v>국내</v>
      </c>
      <c r="C175" s="6" t="str">
        <f>IFERROR(VLOOKUP($F175,매장구분!$B:$K,5,0),"")</f>
        <v>상설(위탁)</v>
      </c>
      <c r="D175" s="6" t="str">
        <f>IFERROR(VLOOKUP($F175,매장구분!$B:$Z,9,0),"")</f>
        <v>롯데아울렛군산(상-위)</v>
      </c>
      <c r="E175" s="69" t="s">
        <v>602</v>
      </c>
      <c r="F175" s="69" t="s">
        <v>603</v>
      </c>
      <c r="G175" s="69">
        <v>85</v>
      </c>
      <c r="H175" s="69">
        <v>3060000</v>
      </c>
      <c r="I175" s="69">
        <v>3060000</v>
      </c>
      <c r="J175" s="69">
        <v>90</v>
      </c>
      <c r="K175" s="69">
        <v>3240000</v>
      </c>
      <c r="L175" s="69">
        <v>3240000</v>
      </c>
      <c r="M175" s="69">
        <v>-5</v>
      </c>
      <c r="N175" s="69">
        <v>-180000</v>
      </c>
      <c r="O175" s="69">
        <v>-180000</v>
      </c>
      <c r="P175" s="69">
        <v>108000</v>
      </c>
      <c r="Q175" s="69">
        <v>216000</v>
      </c>
      <c r="R175" s="69">
        <v>432000</v>
      </c>
      <c r="S175" s="69">
        <v>0</v>
      </c>
      <c r="T175" s="69">
        <v>36000</v>
      </c>
      <c r="U175" s="69">
        <v>0</v>
      </c>
      <c r="V175" s="69">
        <v>108000</v>
      </c>
      <c r="W175" s="69">
        <v>108000</v>
      </c>
      <c r="X175" s="69">
        <v>288000</v>
      </c>
      <c r="Y175" s="69">
        <v>108000</v>
      </c>
      <c r="Z175" s="69">
        <v>0</v>
      </c>
      <c r="AA175" s="69">
        <v>36000</v>
      </c>
      <c r="AB175" s="69">
        <v>0</v>
      </c>
      <c r="AC175" s="69">
        <v>36000</v>
      </c>
      <c r="AD175" s="69">
        <v>36000</v>
      </c>
      <c r="AE175" s="69">
        <v>216000</v>
      </c>
      <c r="AF175" s="69">
        <v>108000</v>
      </c>
      <c r="AG175" s="69">
        <v>72000</v>
      </c>
      <c r="AH175" s="69">
        <v>72000</v>
      </c>
      <c r="AI175" s="69">
        <v>72000</v>
      </c>
      <c r="AJ175" s="69">
        <v>0</v>
      </c>
      <c r="AK175" s="69">
        <v>36000</v>
      </c>
      <c r="AL175" s="69">
        <v>252000</v>
      </c>
      <c r="AM175" s="69">
        <v>216000</v>
      </c>
      <c r="AN175" s="69">
        <v>0</v>
      </c>
      <c r="AO175" s="69">
        <v>36000</v>
      </c>
      <c r="AP175" s="69">
        <v>36000</v>
      </c>
      <c r="AQ175" s="69">
        <v>36000</v>
      </c>
      <c r="AR175" s="69">
        <v>36000</v>
      </c>
      <c r="AS175" s="69">
        <v>216000</v>
      </c>
      <c r="AT175" s="69">
        <v>144000</v>
      </c>
      <c r="AU175" s="69"/>
      <c r="AW175" s="66">
        <f t="shared" si="21"/>
        <v>648000</v>
      </c>
      <c r="AX175" s="66">
        <f t="shared" si="21"/>
        <v>648000</v>
      </c>
      <c r="AY175" s="66">
        <f t="shared" si="21"/>
        <v>432000</v>
      </c>
      <c r="AZ175" s="66">
        <f t="shared" si="21"/>
        <v>720000</v>
      </c>
      <c r="BA175" s="66">
        <f t="shared" si="21"/>
        <v>504000</v>
      </c>
      <c r="BC175" s="66">
        <f t="shared" ca="1" si="17"/>
        <v>2340000</v>
      </c>
      <c r="BD175" s="66">
        <f t="shared" si="18"/>
        <v>2916000</v>
      </c>
    </row>
    <row r="176" spans="1:56" x14ac:dyDescent="0.3">
      <c r="A176" s="6" t="str">
        <f>IFERROR(VLOOKUP($F176,매장구분!$B:$K,2,0),"")</f>
        <v>리테일채널팀</v>
      </c>
      <c r="B176" s="6" t="str">
        <f>IFERROR(VLOOKUP($F176,매장구분!$B:$K,3,0),"")</f>
        <v>국내</v>
      </c>
      <c r="C176" s="6" t="str">
        <f>IFERROR(VLOOKUP($F176,매장구분!$B:$K,5,0),"")</f>
        <v>상설(위탁)</v>
      </c>
      <c r="D176" s="6" t="str">
        <f>IFERROR(VLOOKUP($F176,매장구분!$B:$Z,9,0),"")</f>
        <v>롯데아울렛파주(상-위)</v>
      </c>
      <c r="E176" s="69" t="s">
        <v>598</v>
      </c>
      <c r="F176" s="69" t="s">
        <v>599</v>
      </c>
      <c r="G176" s="69">
        <v>263</v>
      </c>
      <c r="H176" s="69">
        <v>9468000</v>
      </c>
      <c r="I176" s="69">
        <v>9468000</v>
      </c>
      <c r="J176" s="69">
        <v>265</v>
      </c>
      <c r="K176" s="69">
        <v>9540000</v>
      </c>
      <c r="L176" s="69">
        <v>9540000</v>
      </c>
      <c r="M176" s="69">
        <v>-2</v>
      </c>
      <c r="N176" s="69">
        <v>-72000</v>
      </c>
      <c r="O176" s="69">
        <v>-72000</v>
      </c>
      <c r="P176" s="69">
        <v>180000</v>
      </c>
      <c r="Q176" s="69">
        <v>612000</v>
      </c>
      <c r="R176" s="69">
        <v>756000</v>
      </c>
      <c r="S176" s="69">
        <v>108000</v>
      </c>
      <c r="T176" s="69">
        <v>288000</v>
      </c>
      <c r="U176" s="69">
        <v>288000</v>
      </c>
      <c r="V176" s="69">
        <v>108000</v>
      </c>
      <c r="W176" s="69">
        <v>72000</v>
      </c>
      <c r="X176" s="69">
        <v>900000</v>
      </c>
      <c r="Y176" s="69">
        <v>972000</v>
      </c>
      <c r="Z176" s="69">
        <v>216000</v>
      </c>
      <c r="AA176" s="69">
        <v>108000</v>
      </c>
      <c r="AB176" s="69">
        <v>144000</v>
      </c>
      <c r="AC176" s="69">
        <v>324000</v>
      </c>
      <c r="AD176" s="69">
        <v>36000</v>
      </c>
      <c r="AE176" s="69">
        <v>720000</v>
      </c>
      <c r="AF176" s="69">
        <v>756000</v>
      </c>
      <c r="AG176" s="69">
        <v>144000</v>
      </c>
      <c r="AH176" s="69">
        <v>216000</v>
      </c>
      <c r="AI176" s="69">
        <v>36000</v>
      </c>
      <c r="AJ176" s="69">
        <v>108000</v>
      </c>
      <c r="AK176" s="69">
        <v>36000</v>
      </c>
      <c r="AL176" s="69">
        <v>288000</v>
      </c>
      <c r="AM176" s="69">
        <v>612000</v>
      </c>
      <c r="AN176" s="69">
        <v>72000</v>
      </c>
      <c r="AO176" s="69">
        <v>0</v>
      </c>
      <c r="AP176" s="69">
        <v>216000</v>
      </c>
      <c r="AQ176" s="69">
        <v>108000</v>
      </c>
      <c r="AR176" s="69">
        <v>108000</v>
      </c>
      <c r="AS176" s="69">
        <v>432000</v>
      </c>
      <c r="AT176" s="69">
        <v>504000</v>
      </c>
      <c r="AU176" s="69"/>
      <c r="AW176" s="66">
        <f t="shared" si="21"/>
        <v>1368000</v>
      </c>
      <c r="AX176" s="66">
        <f t="shared" si="21"/>
        <v>2736000</v>
      </c>
      <c r="AY176" s="66">
        <f t="shared" si="21"/>
        <v>2304000</v>
      </c>
      <c r="AZ176" s="66">
        <f t="shared" si="21"/>
        <v>1440000</v>
      </c>
      <c r="BA176" s="66">
        <f t="shared" si="21"/>
        <v>1440000</v>
      </c>
      <c r="BC176" s="66">
        <f t="shared" ca="1" si="17"/>
        <v>7416000</v>
      </c>
      <c r="BD176" s="66">
        <f t="shared" si="18"/>
        <v>8964000</v>
      </c>
    </row>
    <row r="177" spans="1:56" x14ac:dyDescent="0.3">
      <c r="A177" s="6" t="str">
        <f>IFERROR(VLOOKUP($F177,매장구분!$B:$K,2,0),"")</f>
        <v>리테일채널팀</v>
      </c>
      <c r="B177" s="6" t="str">
        <f>IFERROR(VLOOKUP($F177,매장구분!$B:$K,3,0),"")</f>
        <v>국내</v>
      </c>
      <c r="C177" s="6" t="str">
        <f>IFERROR(VLOOKUP($F177,매장구분!$B:$K,5,0),"")</f>
        <v>상설(위탁)</v>
      </c>
      <c r="D177" s="6" t="str">
        <f>IFERROR(VLOOKUP($F177,매장구분!$B:$Z,9,0),"")</f>
        <v>현대아울렛동대문(상-위)</v>
      </c>
      <c r="E177" s="69" t="s">
        <v>526</v>
      </c>
      <c r="F177" s="69" t="s">
        <v>527</v>
      </c>
      <c r="G177" s="69">
        <v>169</v>
      </c>
      <c r="H177" s="69">
        <v>6084000</v>
      </c>
      <c r="I177" s="69">
        <v>6084000</v>
      </c>
      <c r="J177" s="69">
        <v>169</v>
      </c>
      <c r="K177" s="69">
        <v>6084000</v>
      </c>
      <c r="L177" s="69">
        <v>6084000</v>
      </c>
      <c r="M177" s="69">
        <v>0</v>
      </c>
      <c r="N177" s="69">
        <v>0</v>
      </c>
      <c r="O177" s="69">
        <v>0</v>
      </c>
      <c r="P177" s="69">
        <v>216000</v>
      </c>
      <c r="Q177" s="69">
        <v>396000</v>
      </c>
      <c r="R177" s="69">
        <v>432000</v>
      </c>
      <c r="S177" s="69">
        <v>288000</v>
      </c>
      <c r="T177" s="69">
        <v>108000</v>
      </c>
      <c r="U177" s="69">
        <v>180000</v>
      </c>
      <c r="V177" s="69">
        <v>144000</v>
      </c>
      <c r="W177" s="69">
        <v>144000</v>
      </c>
      <c r="X177" s="69">
        <v>504000</v>
      </c>
      <c r="Y177" s="69">
        <v>288000</v>
      </c>
      <c r="Z177" s="69">
        <v>0</v>
      </c>
      <c r="AA177" s="69">
        <v>216000</v>
      </c>
      <c r="AB177" s="69">
        <v>144000</v>
      </c>
      <c r="AC177" s="69">
        <v>180000</v>
      </c>
      <c r="AD177" s="69">
        <v>432000</v>
      </c>
      <c r="AE177" s="69">
        <v>216000</v>
      </c>
      <c r="AF177" s="69">
        <v>252000</v>
      </c>
      <c r="AG177" s="69">
        <v>180000</v>
      </c>
      <c r="AH177" s="69">
        <v>108000</v>
      </c>
      <c r="AI177" s="69">
        <v>36000</v>
      </c>
      <c r="AJ177" s="69">
        <v>108000</v>
      </c>
      <c r="AK177" s="69">
        <v>144000</v>
      </c>
      <c r="AL177" s="69">
        <v>216000</v>
      </c>
      <c r="AM177" s="69">
        <v>144000</v>
      </c>
      <c r="AN177" s="69">
        <v>180000</v>
      </c>
      <c r="AO177" s="69">
        <v>252000</v>
      </c>
      <c r="AP177" s="69">
        <v>0</v>
      </c>
      <c r="AQ177" s="69">
        <v>72000</v>
      </c>
      <c r="AR177" s="69">
        <v>36000</v>
      </c>
      <c r="AS177" s="69">
        <v>180000</v>
      </c>
      <c r="AT177" s="69">
        <v>288000</v>
      </c>
      <c r="AU177" s="69"/>
      <c r="AW177" s="66">
        <f t="shared" si="21"/>
        <v>828000</v>
      </c>
      <c r="AX177" s="66">
        <f t="shared" si="21"/>
        <v>1656000</v>
      </c>
      <c r="AY177" s="66">
        <f t="shared" si="21"/>
        <v>1440000</v>
      </c>
      <c r="AZ177" s="66">
        <f t="shared" si="21"/>
        <v>936000</v>
      </c>
      <c r="BA177" s="66">
        <f t="shared" si="21"/>
        <v>1008000</v>
      </c>
      <c r="BC177" s="66">
        <f t="shared" ca="1" si="17"/>
        <v>4932000</v>
      </c>
      <c r="BD177" s="66">
        <f t="shared" si="18"/>
        <v>5796000</v>
      </c>
    </row>
    <row r="178" spans="1:56" x14ac:dyDescent="0.3">
      <c r="A178" s="6" t="str">
        <f>IFERROR(VLOOKUP($F178,매장구분!$B:$K,2,0),"")</f>
        <v>리테일채널팀</v>
      </c>
      <c r="B178" s="6" t="str">
        <f>IFERROR(VLOOKUP($F178,매장구분!$B:$K,3,0),"")</f>
        <v>국내</v>
      </c>
      <c r="C178" s="6" t="str">
        <f>IFERROR(VLOOKUP($F178,매장구분!$B:$K,5,0),"")</f>
        <v>상설(위탁)</v>
      </c>
      <c r="D178" s="6" t="str">
        <f>IFERROR(VLOOKUP($F178,매장구분!$B:$Z,9,0),"")</f>
        <v>현대아울렛가든5(상-위)</v>
      </c>
      <c r="E178" s="69" t="s">
        <v>372</v>
      </c>
      <c r="F178" s="69" t="s">
        <v>373</v>
      </c>
      <c r="G178" s="69">
        <v>132</v>
      </c>
      <c r="H178" s="69">
        <v>4752000</v>
      </c>
      <c r="I178" s="69">
        <v>4752000</v>
      </c>
      <c r="J178" s="69">
        <v>133</v>
      </c>
      <c r="K178" s="69">
        <v>4788000</v>
      </c>
      <c r="L178" s="69">
        <v>4788000</v>
      </c>
      <c r="M178" s="69">
        <v>-1</v>
      </c>
      <c r="N178" s="69">
        <v>-36000</v>
      </c>
      <c r="O178" s="69">
        <v>-36000</v>
      </c>
      <c r="P178" s="69">
        <v>180000</v>
      </c>
      <c r="Q178" s="69">
        <v>108000</v>
      </c>
      <c r="R178" s="69">
        <v>288000</v>
      </c>
      <c r="S178" s="69">
        <v>36000</v>
      </c>
      <c r="T178" s="69">
        <v>36000</v>
      </c>
      <c r="U178" s="69">
        <v>72000</v>
      </c>
      <c r="V178" s="69">
        <v>36000</v>
      </c>
      <c r="W178" s="69">
        <v>72000</v>
      </c>
      <c r="X178" s="69">
        <v>468000</v>
      </c>
      <c r="Y178" s="69">
        <v>108000</v>
      </c>
      <c r="Z178" s="69">
        <v>72000</v>
      </c>
      <c r="AA178" s="69">
        <v>180000</v>
      </c>
      <c r="AB178" s="69">
        <v>72000</v>
      </c>
      <c r="AC178" s="69">
        <v>180000</v>
      </c>
      <c r="AD178" s="69">
        <v>72000</v>
      </c>
      <c r="AE178" s="69">
        <v>612000</v>
      </c>
      <c r="AF178" s="69">
        <v>252000</v>
      </c>
      <c r="AG178" s="69">
        <v>72000</v>
      </c>
      <c r="AH178" s="69">
        <v>36000</v>
      </c>
      <c r="AI178" s="69">
        <v>216000</v>
      </c>
      <c r="AJ178" s="69">
        <v>0</v>
      </c>
      <c r="AK178" s="69">
        <v>180000</v>
      </c>
      <c r="AL178" s="69">
        <v>36000</v>
      </c>
      <c r="AM178" s="69">
        <v>756000</v>
      </c>
      <c r="AN178" s="69">
        <v>0</v>
      </c>
      <c r="AO178" s="69">
        <v>72000</v>
      </c>
      <c r="AP178" s="69">
        <v>0</v>
      </c>
      <c r="AQ178" s="69">
        <v>0</v>
      </c>
      <c r="AR178" s="69">
        <v>0</v>
      </c>
      <c r="AS178" s="69">
        <v>396000</v>
      </c>
      <c r="AT178" s="69">
        <v>144000</v>
      </c>
      <c r="AU178" s="69"/>
      <c r="AW178" s="66">
        <f t="shared" si="21"/>
        <v>396000</v>
      </c>
      <c r="AX178" s="66">
        <f t="shared" si="21"/>
        <v>828000</v>
      </c>
      <c r="AY178" s="66">
        <f t="shared" si="21"/>
        <v>1440000</v>
      </c>
      <c r="AZ178" s="66">
        <f t="shared" si="21"/>
        <v>1296000</v>
      </c>
      <c r="BA178" s="66">
        <f t="shared" si="21"/>
        <v>612000</v>
      </c>
      <c r="BC178" s="66">
        <f t="shared" ca="1" si="17"/>
        <v>3384000</v>
      </c>
      <c r="BD178" s="66">
        <f t="shared" si="18"/>
        <v>4608000</v>
      </c>
    </row>
    <row r="179" spans="1:56" x14ac:dyDescent="0.3">
      <c r="A179" s="6" t="str">
        <f>IFERROR(VLOOKUP($F179,매장구분!$B:$K,2,0),"")</f>
        <v>리테일채널팀</v>
      </c>
      <c r="B179" s="6" t="str">
        <f>IFERROR(VLOOKUP($F179,매장구분!$B:$K,3,0),"")</f>
        <v>국내</v>
      </c>
      <c r="C179" s="6" t="str">
        <f>IFERROR(VLOOKUP($F179,매장구분!$B:$K,5,0),"")</f>
        <v>상설(위탁)</v>
      </c>
      <c r="D179" s="6" t="str">
        <f>IFERROR(VLOOKUP($F179,매장구분!$B:$Z,9,0),"")</f>
        <v>NC강서(상-위)</v>
      </c>
      <c r="E179" s="69" t="s">
        <v>376</v>
      </c>
      <c r="F179" s="69" t="s">
        <v>377</v>
      </c>
      <c r="G179" s="69">
        <v>132</v>
      </c>
      <c r="H179" s="69">
        <v>4752000</v>
      </c>
      <c r="I179" s="69">
        <v>4752000</v>
      </c>
      <c r="J179" s="69">
        <v>132</v>
      </c>
      <c r="K179" s="69">
        <v>4752000</v>
      </c>
      <c r="L179" s="69">
        <v>4752000</v>
      </c>
      <c r="M179" s="69">
        <v>0</v>
      </c>
      <c r="N179" s="69">
        <v>0</v>
      </c>
      <c r="O179" s="69">
        <v>0</v>
      </c>
      <c r="P179" s="69">
        <v>288000</v>
      </c>
      <c r="Q179" s="69">
        <v>108000</v>
      </c>
      <c r="R179" s="69">
        <v>72000</v>
      </c>
      <c r="S179" s="69">
        <v>36000</v>
      </c>
      <c r="T179" s="69">
        <v>216000</v>
      </c>
      <c r="U179" s="69">
        <v>288000</v>
      </c>
      <c r="V179" s="69">
        <v>72000</v>
      </c>
      <c r="W179" s="69">
        <v>144000</v>
      </c>
      <c r="X179" s="69">
        <v>252000</v>
      </c>
      <c r="Y179" s="69">
        <v>216000</v>
      </c>
      <c r="Z179" s="69">
        <v>0</v>
      </c>
      <c r="AA179" s="69">
        <v>72000</v>
      </c>
      <c r="AB179" s="69">
        <v>36000</v>
      </c>
      <c r="AC179" s="69">
        <v>72000</v>
      </c>
      <c r="AD179" s="69">
        <v>72000</v>
      </c>
      <c r="AE179" s="69">
        <v>576000</v>
      </c>
      <c r="AF179" s="69">
        <v>684000</v>
      </c>
      <c r="AG179" s="69">
        <v>108000</v>
      </c>
      <c r="AH179" s="69">
        <v>0</v>
      </c>
      <c r="AI179" s="69">
        <v>72000</v>
      </c>
      <c r="AJ179" s="69">
        <v>144000</v>
      </c>
      <c r="AK179" s="69">
        <v>0</v>
      </c>
      <c r="AL179" s="69">
        <v>252000</v>
      </c>
      <c r="AM179" s="69">
        <v>216000</v>
      </c>
      <c r="AN179" s="69">
        <v>72000</v>
      </c>
      <c r="AO179" s="69">
        <v>144000</v>
      </c>
      <c r="AP179" s="69">
        <v>72000</v>
      </c>
      <c r="AQ179" s="69">
        <v>72000</v>
      </c>
      <c r="AR179" s="69">
        <v>72000</v>
      </c>
      <c r="AS179" s="69">
        <v>72000</v>
      </c>
      <c r="AT179" s="69">
        <v>252000</v>
      </c>
      <c r="AU179" s="69"/>
      <c r="AW179" s="66">
        <f t="shared" si="21"/>
        <v>180000</v>
      </c>
      <c r="AX179" s="66">
        <f t="shared" si="21"/>
        <v>1224000</v>
      </c>
      <c r="AY179" s="66">
        <f t="shared" si="21"/>
        <v>1512000</v>
      </c>
      <c r="AZ179" s="66">
        <f t="shared" si="21"/>
        <v>792000</v>
      </c>
      <c r="BA179" s="66">
        <f t="shared" si="21"/>
        <v>756000</v>
      </c>
      <c r="BC179" s="66">
        <f t="shared" ca="1" si="17"/>
        <v>3780000</v>
      </c>
      <c r="BD179" s="66">
        <f t="shared" si="18"/>
        <v>4500000</v>
      </c>
    </row>
    <row r="180" spans="1:56" x14ac:dyDescent="0.3">
      <c r="A180" s="6" t="str">
        <f>IFERROR(VLOOKUP($F180,매장구분!$B:$K,2,0),"")</f>
        <v>리테일채널팀</v>
      </c>
      <c r="B180" s="6" t="str">
        <f>IFERROR(VLOOKUP($F180,매장구분!$B:$K,3,0),"")</f>
        <v>국내</v>
      </c>
      <c r="C180" s="6" t="str">
        <f>IFERROR(VLOOKUP($F180,매장구분!$B:$K,5,0),"")</f>
        <v>상설(위탁)</v>
      </c>
      <c r="D180" s="6" t="str">
        <f>IFERROR(VLOOKUP($F180,매장구분!$B:$Z,9,0),"")</f>
        <v>현대아울렛대구(상-위)</v>
      </c>
      <c r="E180" s="69" t="s">
        <v>590</v>
      </c>
      <c r="F180" s="69" t="s">
        <v>591</v>
      </c>
      <c r="G180" s="69">
        <v>73</v>
      </c>
      <c r="H180" s="69">
        <v>2628000</v>
      </c>
      <c r="I180" s="69">
        <v>2628000</v>
      </c>
      <c r="J180" s="69">
        <v>74</v>
      </c>
      <c r="K180" s="69">
        <v>2664000</v>
      </c>
      <c r="L180" s="69">
        <v>2664000</v>
      </c>
      <c r="M180" s="69">
        <v>-1</v>
      </c>
      <c r="N180" s="69">
        <v>-36000</v>
      </c>
      <c r="O180" s="69">
        <v>-36000</v>
      </c>
      <c r="P180" s="69">
        <v>36000</v>
      </c>
      <c r="Q180" s="69">
        <v>108000</v>
      </c>
      <c r="R180" s="69">
        <v>180000</v>
      </c>
      <c r="S180" s="69">
        <v>108000</v>
      </c>
      <c r="T180" s="69">
        <v>36000</v>
      </c>
      <c r="U180" s="69">
        <v>0</v>
      </c>
      <c r="V180" s="69">
        <v>72000</v>
      </c>
      <c r="W180" s="69">
        <v>108000</v>
      </c>
      <c r="X180" s="69">
        <v>144000</v>
      </c>
      <c r="Y180" s="69">
        <v>72000</v>
      </c>
      <c r="Z180" s="69">
        <v>0</v>
      </c>
      <c r="AA180" s="69">
        <v>36000</v>
      </c>
      <c r="AB180" s="69">
        <v>36000</v>
      </c>
      <c r="AC180" s="69">
        <v>72000</v>
      </c>
      <c r="AD180" s="69">
        <v>180000</v>
      </c>
      <c r="AE180" s="69">
        <v>144000</v>
      </c>
      <c r="AF180" s="69">
        <v>288000</v>
      </c>
      <c r="AG180" s="69">
        <v>72000</v>
      </c>
      <c r="AH180" s="69">
        <v>36000</v>
      </c>
      <c r="AI180" s="69">
        <v>0</v>
      </c>
      <c r="AJ180" s="69">
        <v>36000</v>
      </c>
      <c r="AK180" s="69">
        <v>36000</v>
      </c>
      <c r="AL180" s="69">
        <v>108000</v>
      </c>
      <c r="AM180" s="69">
        <v>252000</v>
      </c>
      <c r="AN180" s="69">
        <v>0</v>
      </c>
      <c r="AO180" s="69">
        <v>36000</v>
      </c>
      <c r="AP180" s="69">
        <v>0</v>
      </c>
      <c r="AQ180" s="69">
        <v>0</v>
      </c>
      <c r="AR180" s="69">
        <v>72000</v>
      </c>
      <c r="AS180" s="69">
        <v>252000</v>
      </c>
      <c r="AT180" s="69">
        <v>108000</v>
      </c>
      <c r="AU180" s="69"/>
      <c r="AW180" s="66">
        <f t="shared" si="21"/>
        <v>288000</v>
      </c>
      <c r="AX180" s="66">
        <f t="shared" si="21"/>
        <v>540000</v>
      </c>
      <c r="AY180" s="66">
        <f t="shared" si="21"/>
        <v>756000</v>
      </c>
      <c r="AZ180" s="66">
        <f t="shared" si="21"/>
        <v>540000</v>
      </c>
      <c r="BA180" s="66">
        <f t="shared" si="21"/>
        <v>468000</v>
      </c>
      <c r="BC180" s="66">
        <f t="shared" ca="1" si="17"/>
        <v>1908000</v>
      </c>
      <c r="BD180" s="66">
        <f t="shared" si="18"/>
        <v>2520000</v>
      </c>
    </row>
    <row r="181" spans="1:56" x14ac:dyDescent="0.3">
      <c r="A181" s="6" t="str">
        <f>IFERROR(VLOOKUP($F181,매장구분!$B:$K,2,0),"")</f>
        <v>리테일채널팀</v>
      </c>
      <c r="B181" s="6" t="str">
        <f>IFERROR(VLOOKUP($F181,매장구분!$B:$K,3,0),"")</f>
        <v>국내</v>
      </c>
      <c r="C181" s="6" t="str">
        <f>IFERROR(VLOOKUP($F181,매장구분!$B:$K,5,0),"")</f>
        <v>상설(위탁)</v>
      </c>
      <c r="D181" s="6" t="str">
        <f>IFERROR(VLOOKUP($F181,매장구분!$B:$Z,9,0),"")</f>
        <v>NC송파(상-위)</v>
      </c>
      <c r="E181" s="69" t="s">
        <v>378</v>
      </c>
      <c r="F181" s="69" t="s">
        <v>379</v>
      </c>
      <c r="G181" s="69">
        <v>112</v>
      </c>
      <c r="H181" s="69">
        <v>4032000</v>
      </c>
      <c r="I181" s="69">
        <v>4032000</v>
      </c>
      <c r="J181" s="69">
        <v>112</v>
      </c>
      <c r="K181" s="69">
        <v>4032000</v>
      </c>
      <c r="L181" s="69">
        <v>4032000</v>
      </c>
      <c r="M181" s="69">
        <v>0</v>
      </c>
      <c r="N181" s="69">
        <v>0</v>
      </c>
      <c r="O181" s="69">
        <v>0</v>
      </c>
      <c r="P181" s="69">
        <v>144000</v>
      </c>
      <c r="Q181" s="69">
        <v>180000</v>
      </c>
      <c r="R181" s="69">
        <v>144000</v>
      </c>
      <c r="S181" s="69">
        <v>72000</v>
      </c>
      <c r="T181" s="69">
        <v>144000</v>
      </c>
      <c r="U181" s="69">
        <v>108000</v>
      </c>
      <c r="V181" s="69">
        <v>72000</v>
      </c>
      <c r="W181" s="69">
        <v>108000</v>
      </c>
      <c r="X181" s="69">
        <v>288000</v>
      </c>
      <c r="Y181" s="69">
        <v>72000</v>
      </c>
      <c r="Z181" s="69">
        <v>108000</v>
      </c>
      <c r="AA181" s="69">
        <v>0</v>
      </c>
      <c r="AB181" s="69">
        <v>144000</v>
      </c>
      <c r="AC181" s="69">
        <v>108000</v>
      </c>
      <c r="AD181" s="69">
        <v>36000</v>
      </c>
      <c r="AE181" s="69">
        <v>288000</v>
      </c>
      <c r="AF181" s="69">
        <v>144000</v>
      </c>
      <c r="AG181" s="69">
        <v>180000</v>
      </c>
      <c r="AH181" s="69">
        <v>108000</v>
      </c>
      <c r="AI181" s="69">
        <v>72000</v>
      </c>
      <c r="AJ181" s="69">
        <v>0</v>
      </c>
      <c r="AK181" s="69">
        <v>0</v>
      </c>
      <c r="AL181" s="69">
        <v>36000</v>
      </c>
      <c r="AM181" s="69">
        <v>432000</v>
      </c>
      <c r="AN181" s="69">
        <v>108000</v>
      </c>
      <c r="AO181" s="69">
        <v>72000</v>
      </c>
      <c r="AP181" s="69">
        <v>288000</v>
      </c>
      <c r="AQ181" s="69">
        <v>108000</v>
      </c>
      <c r="AR181" s="69">
        <v>36000</v>
      </c>
      <c r="AS181" s="69">
        <v>216000</v>
      </c>
      <c r="AT181" s="69">
        <v>216000</v>
      </c>
      <c r="AU181" s="69"/>
      <c r="AW181" s="66">
        <f t="shared" si="21"/>
        <v>324000</v>
      </c>
      <c r="AX181" s="66">
        <f t="shared" si="21"/>
        <v>864000</v>
      </c>
      <c r="AY181" s="66">
        <f t="shared" si="21"/>
        <v>828000</v>
      </c>
      <c r="AZ181" s="66">
        <f t="shared" si="21"/>
        <v>828000</v>
      </c>
      <c r="BA181" s="66">
        <f t="shared" si="21"/>
        <v>1044000</v>
      </c>
      <c r="BC181" s="66">
        <f t="shared" ca="1" si="17"/>
        <v>2556000</v>
      </c>
      <c r="BD181" s="66">
        <f t="shared" si="18"/>
        <v>3816000</v>
      </c>
    </row>
    <row r="182" spans="1:56" x14ac:dyDescent="0.3">
      <c r="A182" s="6" t="str">
        <f>IFERROR(VLOOKUP($F182,매장구분!$B:$K,2,0),"")</f>
        <v>리테일채널팀</v>
      </c>
      <c r="B182" s="6" t="str">
        <f>IFERROR(VLOOKUP($F182,매장구분!$B:$K,3,0),"")</f>
        <v>국내</v>
      </c>
      <c r="C182" s="6" t="str">
        <f>IFERROR(VLOOKUP($F182,매장구분!$B:$K,5,0),"")</f>
        <v>상설(위탁)</v>
      </c>
      <c r="D182" s="6" t="str">
        <f>IFERROR(VLOOKUP($F182,매장구분!$B:$Z,9,0),"")</f>
        <v>롯데아울렛율하(상-위)</v>
      </c>
      <c r="E182" s="69" t="s">
        <v>610</v>
      </c>
      <c r="F182" s="69" t="s">
        <v>611</v>
      </c>
      <c r="G182" s="69">
        <v>101</v>
      </c>
      <c r="H182" s="69">
        <v>3636000</v>
      </c>
      <c r="I182" s="69">
        <v>3636000</v>
      </c>
      <c r="J182" s="69">
        <v>103</v>
      </c>
      <c r="K182" s="69">
        <v>3708000</v>
      </c>
      <c r="L182" s="69">
        <v>3708000</v>
      </c>
      <c r="M182" s="69">
        <v>-2</v>
      </c>
      <c r="N182" s="69">
        <v>-72000</v>
      </c>
      <c r="O182" s="69">
        <v>-72000</v>
      </c>
      <c r="P182" s="69">
        <v>144000</v>
      </c>
      <c r="Q182" s="69">
        <v>360000</v>
      </c>
      <c r="R182" s="69">
        <v>396000</v>
      </c>
      <c r="S182" s="69">
        <v>0</v>
      </c>
      <c r="T182" s="69">
        <v>0</v>
      </c>
      <c r="U182" s="69">
        <v>72000</v>
      </c>
      <c r="V182" s="69">
        <v>36000</v>
      </c>
      <c r="W182" s="69">
        <v>36000</v>
      </c>
      <c r="X182" s="69">
        <v>324000</v>
      </c>
      <c r="Y182" s="69">
        <v>144000</v>
      </c>
      <c r="Z182" s="69">
        <v>108000</v>
      </c>
      <c r="AA182" s="69">
        <v>36000</v>
      </c>
      <c r="AB182" s="69">
        <v>36000</v>
      </c>
      <c r="AC182" s="69">
        <v>108000</v>
      </c>
      <c r="AD182" s="69">
        <v>36000</v>
      </c>
      <c r="AE182" s="69">
        <v>324000</v>
      </c>
      <c r="AF182" s="69">
        <v>252000</v>
      </c>
      <c r="AG182" s="69">
        <v>108000</v>
      </c>
      <c r="AH182" s="69">
        <v>0</v>
      </c>
      <c r="AI182" s="69">
        <v>72000</v>
      </c>
      <c r="AJ182" s="69">
        <v>144000</v>
      </c>
      <c r="AK182" s="69">
        <v>36000</v>
      </c>
      <c r="AL182" s="69">
        <v>252000</v>
      </c>
      <c r="AM182" s="69">
        <v>216000</v>
      </c>
      <c r="AN182" s="69">
        <v>36000</v>
      </c>
      <c r="AO182" s="69">
        <v>0</v>
      </c>
      <c r="AP182" s="69">
        <v>0</v>
      </c>
      <c r="AQ182" s="69">
        <v>72000</v>
      </c>
      <c r="AR182" s="69">
        <v>-36000</v>
      </c>
      <c r="AS182" s="69">
        <v>144000</v>
      </c>
      <c r="AT182" s="69">
        <v>180000</v>
      </c>
      <c r="AU182" s="69"/>
      <c r="AW182" s="66">
        <f t="shared" si="21"/>
        <v>756000</v>
      </c>
      <c r="AX182" s="66">
        <f t="shared" si="21"/>
        <v>612000</v>
      </c>
      <c r="AY182" s="66">
        <f t="shared" si="21"/>
        <v>900000</v>
      </c>
      <c r="AZ182" s="66">
        <f t="shared" si="21"/>
        <v>828000</v>
      </c>
      <c r="BA182" s="66">
        <f t="shared" si="21"/>
        <v>396000</v>
      </c>
      <c r="BC182" s="66">
        <f t="shared" ca="1" si="17"/>
        <v>3024000</v>
      </c>
      <c r="BD182" s="66">
        <f t="shared" si="18"/>
        <v>3456000</v>
      </c>
    </row>
    <row r="183" spans="1:56" x14ac:dyDescent="0.3">
      <c r="A183" s="6" t="str">
        <f>IFERROR(VLOOKUP($F183,매장구분!$B:$K,2,0),"")</f>
        <v>리테일채널팀</v>
      </c>
      <c r="B183" s="6" t="str">
        <f>IFERROR(VLOOKUP($F183,매장구분!$B:$K,3,0),"")</f>
        <v>국내</v>
      </c>
      <c r="C183" s="6" t="str">
        <f>IFERROR(VLOOKUP($F183,매장구분!$B:$K,5,0),"")</f>
        <v>상설(위탁)</v>
      </c>
      <c r="D183" s="6" t="str">
        <f>IFERROR(VLOOKUP($F183,매장구분!$B:$Z,9,0),"")</f>
        <v>신세계아울렛시흥(상-위)</v>
      </c>
      <c r="E183" s="69" t="s">
        <v>524</v>
      </c>
      <c r="F183" s="69" t="s">
        <v>525</v>
      </c>
      <c r="G183" s="69">
        <v>456</v>
      </c>
      <c r="H183" s="69">
        <v>16416000</v>
      </c>
      <c r="I183" s="69">
        <v>16416000</v>
      </c>
      <c r="J183" s="69">
        <v>458</v>
      </c>
      <c r="K183" s="69">
        <v>16488000</v>
      </c>
      <c r="L183" s="69">
        <v>16488000</v>
      </c>
      <c r="M183" s="69">
        <v>-2</v>
      </c>
      <c r="N183" s="69">
        <v>-72000</v>
      </c>
      <c r="O183" s="69">
        <v>-72000</v>
      </c>
      <c r="P183" s="69">
        <v>324000</v>
      </c>
      <c r="Q183" s="69">
        <v>684000</v>
      </c>
      <c r="R183" s="69">
        <v>1872000</v>
      </c>
      <c r="S183" s="69">
        <v>396000</v>
      </c>
      <c r="T183" s="69">
        <v>468000</v>
      </c>
      <c r="U183" s="69">
        <v>252000</v>
      </c>
      <c r="V183" s="69">
        <v>396000</v>
      </c>
      <c r="W183" s="69">
        <v>216000</v>
      </c>
      <c r="X183" s="69">
        <v>1404000</v>
      </c>
      <c r="Y183" s="69">
        <v>1728000</v>
      </c>
      <c r="Z183" s="69">
        <v>360000</v>
      </c>
      <c r="AA183" s="69">
        <v>360000</v>
      </c>
      <c r="AB183" s="69">
        <v>360000</v>
      </c>
      <c r="AC183" s="69">
        <v>504000</v>
      </c>
      <c r="AD183" s="69">
        <v>144000</v>
      </c>
      <c r="AE183" s="69">
        <v>540000</v>
      </c>
      <c r="AF183" s="69">
        <v>828000</v>
      </c>
      <c r="AG183" s="69">
        <v>324000</v>
      </c>
      <c r="AH183" s="69">
        <v>216000</v>
      </c>
      <c r="AI183" s="69">
        <v>108000</v>
      </c>
      <c r="AJ183" s="69">
        <v>216000</v>
      </c>
      <c r="AK183" s="69">
        <v>180000</v>
      </c>
      <c r="AL183" s="69">
        <v>828000</v>
      </c>
      <c r="AM183" s="69">
        <v>1044000</v>
      </c>
      <c r="AN183" s="69">
        <v>144000</v>
      </c>
      <c r="AO183" s="69">
        <v>108000</v>
      </c>
      <c r="AP183" s="69">
        <v>180000</v>
      </c>
      <c r="AQ183" s="69">
        <v>144000</v>
      </c>
      <c r="AR183" s="69">
        <v>144000</v>
      </c>
      <c r="AS183" s="69">
        <v>648000</v>
      </c>
      <c r="AT183" s="69">
        <v>1296000</v>
      </c>
      <c r="AU183" s="69"/>
      <c r="AW183" s="66">
        <f t="shared" si="21"/>
        <v>2556000</v>
      </c>
      <c r="AX183" s="66">
        <f t="shared" si="21"/>
        <v>4860000</v>
      </c>
      <c r="AY183" s="66">
        <f t="shared" si="21"/>
        <v>3096000</v>
      </c>
      <c r="AZ183" s="66">
        <f t="shared" si="21"/>
        <v>2916000</v>
      </c>
      <c r="BA183" s="66">
        <f t="shared" si="21"/>
        <v>2664000</v>
      </c>
      <c r="BC183" s="66">
        <f t="shared" ca="1" si="17"/>
        <v>12708000</v>
      </c>
      <c r="BD183" s="66">
        <f t="shared" si="18"/>
        <v>15120000</v>
      </c>
    </row>
    <row r="184" spans="1:56" x14ac:dyDescent="0.3">
      <c r="A184" s="6" t="str">
        <f>IFERROR(VLOOKUP($F184,매장구분!$B:$K,2,0),"")</f>
        <v>리테일채널팀</v>
      </c>
      <c r="B184" s="6" t="str">
        <f>IFERROR(VLOOKUP($F184,매장구분!$B:$K,3,0),"")</f>
        <v>국내</v>
      </c>
      <c r="C184" s="6" t="str">
        <f>IFERROR(VLOOKUP($F184,매장구분!$B:$K,5,0),"")</f>
        <v>상설(위탁)</v>
      </c>
      <c r="D184" s="6" t="str">
        <f>IFERROR(VLOOKUP($F184,매장구분!$B:$Z,9,0),"")</f>
        <v>신세계아울렛여주(상-위)</v>
      </c>
      <c r="E184" s="69" t="s">
        <v>380</v>
      </c>
      <c r="F184" s="69" t="s">
        <v>381</v>
      </c>
      <c r="G184" s="69">
        <v>466</v>
      </c>
      <c r="H184" s="69">
        <v>16776000</v>
      </c>
      <c r="I184" s="69">
        <v>16776000</v>
      </c>
      <c r="J184" s="69">
        <v>468</v>
      </c>
      <c r="K184" s="69">
        <v>16848000</v>
      </c>
      <c r="L184" s="69">
        <v>16848000</v>
      </c>
      <c r="M184" s="69">
        <v>-2</v>
      </c>
      <c r="N184" s="69">
        <v>-72000</v>
      </c>
      <c r="O184" s="69">
        <v>-72000</v>
      </c>
      <c r="P184" s="69">
        <v>144000</v>
      </c>
      <c r="Q184" s="69">
        <v>1296000</v>
      </c>
      <c r="R184" s="69">
        <v>1224000</v>
      </c>
      <c r="S184" s="69">
        <v>216000</v>
      </c>
      <c r="T184" s="69">
        <v>360000</v>
      </c>
      <c r="U184" s="69">
        <v>468000</v>
      </c>
      <c r="V184" s="69">
        <v>324000</v>
      </c>
      <c r="W184" s="69">
        <v>144000</v>
      </c>
      <c r="X184" s="69">
        <v>1332000</v>
      </c>
      <c r="Y184" s="69">
        <v>1836000</v>
      </c>
      <c r="Z184" s="69">
        <v>324000</v>
      </c>
      <c r="AA184" s="69">
        <v>216000</v>
      </c>
      <c r="AB184" s="69">
        <v>324000</v>
      </c>
      <c r="AC184" s="69">
        <v>360000</v>
      </c>
      <c r="AD184" s="69">
        <v>540000</v>
      </c>
      <c r="AE184" s="69">
        <v>1404000</v>
      </c>
      <c r="AF184" s="69">
        <v>1008000</v>
      </c>
      <c r="AG184" s="69">
        <v>108000</v>
      </c>
      <c r="AH184" s="69">
        <v>504000</v>
      </c>
      <c r="AI184" s="69">
        <v>180000</v>
      </c>
      <c r="AJ184" s="69">
        <v>144000</v>
      </c>
      <c r="AK184" s="69">
        <v>108000</v>
      </c>
      <c r="AL184" s="69">
        <v>1260000</v>
      </c>
      <c r="AM184" s="69">
        <v>936000</v>
      </c>
      <c r="AN184" s="69">
        <v>216000</v>
      </c>
      <c r="AO184" s="69">
        <v>108000</v>
      </c>
      <c r="AP184" s="69">
        <v>72000</v>
      </c>
      <c r="AQ184" s="69">
        <v>36000</v>
      </c>
      <c r="AR184" s="69">
        <v>252000</v>
      </c>
      <c r="AS184" s="69">
        <v>648000</v>
      </c>
      <c r="AT184" s="69">
        <v>684000</v>
      </c>
      <c r="AU184" s="69"/>
      <c r="AW184" s="66">
        <f t="shared" si="21"/>
        <v>2520000</v>
      </c>
      <c r="AX184" s="66">
        <f t="shared" si="21"/>
        <v>4680000</v>
      </c>
      <c r="AY184" s="66">
        <f t="shared" si="21"/>
        <v>4176000</v>
      </c>
      <c r="AZ184" s="66">
        <f t="shared" si="21"/>
        <v>3240000</v>
      </c>
      <c r="BA184" s="66">
        <f t="shared" si="21"/>
        <v>2016000</v>
      </c>
      <c r="BC184" s="66">
        <f t="shared" ca="1" si="17"/>
        <v>13824000</v>
      </c>
      <c r="BD184" s="66">
        <f t="shared" si="18"/>
        <v>16092000</v>
      </c>
    </row>
    <row r="185" spans="1:56" x14ac:dyDescent="0.3">
      <c r="A185" s="6" t="str">
        <f>IFERROR(VLOOKUP($F185,매장구분!$B:$K,2,0),"")</f>
        <v>리테일채널팀</v>
      </c>
      <c r="B185" s="6" t="str">
        <f>IFERROR(VLOOKUP($F185,매장구분!$B:$K,3,0),"")</f>
        <v>국내</v>
      </c>
      <c r="C185" s="6" t="str">
        <f>IFERROR(VLOOKUP($F185,매장구분!$B:$K,5,0),"")</f>
        <v>상설(위탁)</v>
      </c>
      <c r="D185" s="6" t="str">
        <f>IFERROR(VLOOKUP($F185,매장구분!$B:$Z,9,0),"")</f>
        <v>마리오(상-위)</v>
      </c>
      <c r="E185" s="69" t="s">
        <v>564</v>
      </c>
      <c r="F185" s="69" t="s">
        <v>565</v>
      </c>
      <c r="G185" s="69">
        <v>172</v>
      </c>
      <c r="H185" s="69">
        <v>6192000</v>
      </c>
      <c r="I185" s="69">
        <v>6192000</v>
      </c>
      <c r="J185" s="69">
        <v>176</v>
      </c>
      <c r="K185" s="69">
        <v>6336000</v>
      </c>
      <c r="L185" s="69">
        <v>6336000</v>
      </c>
      <c r="M185" s="69">
        <v>-4</v>
      </c>
      <c r="N185" s="69">
        <v>-144000</v>
      </c>
      <c r="O185" s="69">
        <v>-144000</v>
      </c>
      <c r="P185" s="69">
        <v>360000</v>
      </c>
      <c r="Q185" s="69">
        <v>396000</v>
      </c>
      <c r="R185" s="69">
        <v>612000</v>
      </c>
      <c r="S185" s="69">
        <v>108000</v>
      </c>
      <c r="T185" s="69">
        <v>72000</v>
      </c>
      <c r="U185" s="69">
        <v>288000</v>
      </c>
      <c r="V185" s="69">
        <v>36000</v>
      </c>
      <c r="W185" s="69">
        <v>324000</v>
      </c>
      <c r="X185" s="69">
        <v>468000</v>
      </c>
      <c r="Y185" s="69">
        <v>612000</v>
      </c>
      <c r="Z185" s="69">
        <v>72000</v>
      </c>
      <c r="AA185" s="69">
        <v>36000</v>
      </c>
      <c r="AB185" s="69">
        <v>36000</v>
      </c>
      <c r="AC185" s="69">
        <v>108000</v>
      </c>
      <c r="AD185" s="69">
        <v>0</v>
      </c>
      <c r="AE185" s="69">
        <v>288000</v>
      </c>
      <c r="AF185" s="69">
        <v>396000</v>
      </c>
      <c r="AG185" s="69">
        <v>108000</v>
      </c>
      <c r="AH185" s="69">
        <v>72000</v>
      </c>
      <c r="AI185" s="69">
        <v>36000</v>
      </c>
      <c r="AJ185" s="69">
        <v>108000</v>
      </c>
      <c r="AK185" s="69">
        <v>72000</v>
      </c>
      <c r="AL185" s="69">
        <v>324000</v>
      </c>
      <c r="AM185" s="69">
        <v>720000</v>
      </c>
      <c r="AN185" s="69">
        <v>72000</v>
      </c>
      <c r="AO185" s="69">
        <v>36000</v>
      </c>
      <c r="AP185" s="69">
        <v>0</v>
      </c>
      <c r="AQ185" s="69">
        <v>36000</v>
      </c>
      <c r="AR185" s="69">
        <v>36000</v>
      </c>
      <c r="AS185" s="69">
        <v>216000</v>
      </c>
      <c r="AT185" s="69">
        <v>144000</v>
      </c>
      <c r="AU185" s="69"/>
      <c r="AW185" s="66">
        <f t="shared" si="21"/>
        <v>1008000</v>
      </c>
      <c r="AX185" s="66">
        <f t="shared" si="21"/>
        <v>1908000</v>
      </c>
      <c r="AY185" s="66">
        <f t="shared" si="21"/>
        <v>936000</v>
      </c>
      <c r="AZ185" s="66">
        <f t="shared" si="21"/>
        <v>1440000</v>
      </c>
      <c r="BA185" s="66">
        <f t="shared" si="21"/>
        <v>540000</v>
      </c>
      <c r="BC185" s="66">
        <f t="shared" ca="1" si="17"/>
        <v>4932000</v>
      </c>
      <c r="BD185" s="66">
        <f t="shared" si="18"/>
        <v>6048000</v>
      </c>
    </row>
    <row r="186" spans="1:56" x14ac:dyDescent="0.3">
      <c r="A186" s="6" t="str">
        <f>IFERROR(VLOOKUP($F186,매장구분!$B:$K,2,0),"")</f>
        <v>리테일채널팀</v>
      </c>
      <c r="B186" s="6" t="str">
        <f>IFERROR(VLOOKUP($F186,매장구분!$B:$K,3,0),"")</f>
        <v>국내</v>
      </c>
      <c r="C186" s="6" t="str">
        <f>IFERROR(VLOOKUP($F186,매장구분!$B:$K,5,0),"")</f>
        <v>상설(위탁)</v>
      </c>
      <c r="D186" s="6" t="str">
        <f>IFERROR(VLOOKUP($F186,매장구분!$B:$Z,9,0),"")</f>
        <v>신세계아울렛파주(상-위)</v>
      </c>
      <c r="E186" s="69" t="s">
        <v>432</v>
      </c>
      <c r="F186" s="69" t="s">
        <v>433</v>
      </c>
      <c r="G186" s="69">
        <v>447</v>
      </c>
      <c r="H186" s="69">
        <v>16092000</v>
      </c>
      <c r="I186" s="69">
        <v>16092000</v>
      </c>
      <c r="J186" s="69">
        <v>450</v>
      </c>
      <c r="K186" s="69">
        <v>16200000</v>
      </c>
      <c r="L186" s="69">
        <v>16200000</v>
      </c>
      <c r="M186" s="69">
        <v>-3</v>
      </c>
      <c r="N186" s="69">
        <v>-108000</v>
      </c>
      <c r="O186" s="69">
        <v>-108000</v>
      </c>
      <c r="P186" s="69">
        <v>324000</v>
      </c>
      <c r="Q186" s="69">
        <v>1332000</v>
      </c>
      <c r="R186" s="69">
        <v>1584000</v>
      </c>
      <c r="S186" s="69">
        <v>288000</v>
      </c>
      <c r="T186" s="69">
        <v>108000</v>
      </c>
      <c r="U186" s="69">
        <v>216000</v>
      </c>
      <c r="V186" s="69">
        <v>360000</v>
      </c>
      <c r="W186" s="69">
        <v>252000</v>
      </c>
      <c r="X186" s="69">
        <v>1116000</v>
      </c>
      <c r="Y186" s="69">
        <v>1728000</v>
      </c>
      <c r="Z186" s="69">
        <v>180000</v>
      </c>
      <c r="AA186" s="69">
        <v>216000</v>
      </c>
      <c r="AB186" s="69">
        <v>180000</v>
      </c>
      <c r="AC186" s="69">
        <v>108000</v>
      </c>
      <c r="AD186" s="69">
        <v>288000</v>
      </c>
      <c r="AE186" s="69">
        <v>864000</v>
      </c>
      <c r="AF186" s="69">
        <v>828000</v>
      </c>
      <c r="AG186" s="69">
        <v>108000</v>
      </c>
      <c r="AH186" s="69">
        <v>216000</v>
      </c>
      <c r="AI186" s="69">
        <v>0</v>
      </c>
      <c r="AJ186" s="69">
        <v>252000</v>
      </c>
      <c r="AK186" s="69">
        <v>180000</v>
      </c>
      <c r="AL186" s="69">
        <v>648000</v>
      </c>
      <c r="AM186" s="69">
        <v>1152000</v>
      </c>
      <c r="AN186" s="69">
        <v>252000</v>
      </c>
      <c r="AO186" s="69">
        <v>288000</v>
      </c>
      <c r="AP186" s="69">
        <v>144000</v>
      </c>
      <c r="AQ186" s="69">
        <v>216000</v>
      </c>
      <c r="AR186" s="69">
        <v>216000</v>
      </c>
      <c r="AS186" s="69">
        <v>828000</v>
      </c>
      <c r="AT186" s="69">
        <v>1620000</v>
      </c>
      <c r="AU186" s="69"/>
      <c r="AW186" s="66">
        <f t="shared" si="21"/>
        <v>2916000</v>
      </c>
      <c r="AX186" s="66">
        <f t="shared" si="21"/>
        <v>4068000</v>
      </c>
      <c r="AY186" s="66">
        <f t="shared" si="21"/>
        <v>2664000</v>
      </c>
      <c r="AZ186" s="66">
        <f t="shared" si="21"/>
        <v>2556000</v>
      </c>
      <c r="BA186" s="66">
        <f t="shared" si="21"/>
        <v>3564000</v>
      </c>
      <c r="BC186" s="66">
        <f t="shared" ca="1" si="17"/>
        <v>11376000</v>
      </c>
      <c r="BD186" s="66">
        <f t="shared" si="18"/>
        <v>14472000</v>
      </c>
    </row>
    <row r="187" spans="1:56" x14ac:dyDescent="0.3">
      <c r="A187" s="6" t="str">
        <f>IFERROR(VLOOKUP($F187,매장구분!$B:$K,2,0),"")</f>
        <v>리테일채널팀</v>
      </c>
      <c r="B187" s="6" t="str">
        <f>IFERROR(VLOOKUP($F187,매장구분!$B:$K,3,0),"")</f>
        <v>국내</v>
      </c>
      <c r="C187" s="6" t="str">
        <f>IFERROR(VLOOKUP($F187,매장구분!$B:$K,5,0),"")</f>
        <v>상설(위탁)</v>
      </c>
      <c r="D187" s="6" t="str">
        <f>IFERROR(VLOOKUP($F187,매장구분!$B:$Z,9,0),"")</f>
        <v>현대아울렛가산(상-위)</v>
      </c>
      <c r="E187" s="69" t="s">
        <v>285</v>
      </c>
      <c r="F187" s="69" t="s">
        <v>286</v>
      </c>
      <c r="G187" s="69">
        <v>87</v>
      </c>
      <c r="H187" s="69">
        <v>3132000</v>
      </c>
      <c r="I187" s="69">
        <v>3132000</v>
      </c>
      <c r="J187" s="69">
        <v>90</v>
      </c>
      <c r="K187" s="69">
        <v>3240000</v>
      </c>
      <c r="L187" s="69">
        <v>3240000</v>
      </c>
      <c r="M187" s="69">
        <v>-3</v>
      </c>
      <c r="N187" s="69">
        <v>-108000</v>
      </c>
      <c r="O187" s="69">
        <v>-108000</v>
      </c>
      <c r="P187" s="69">
        <v>216000</v>
      </c>
      <c r="Q187" s="69">
        <v>252000</v>
      </c>
      <c r="R187" s="69">
        <v>288000</v>
      </c>
      <c r="S187" s="69">
        <v>144000</v>
      </c>
      <c r="T187" s="69">
        <v>72000</v>
      </c>
      <c r="U187" s="69">
        <v>0</v>
      </c>
      <c r="V187" s="69">
        <v>108000</v>
      </c>
      <c r="W187" s="69">
        <v>144000</v>
      </c>
      <c r="X187" s="69">
        <v>108000</v>
      </c>
      <c r="Y187" s="69">
        <v>288000</v>
      </c>
      <c r="Z187" s="69">
        <v>0</v>
      </c>
      <c r="AA187" s="69">
        <v>36000</v>
      </c>
      <c r="AB187" s="69">
        <v>0</v>
      </c>
      <c r="AC187" s="69">
        <v>108000</v>
      </c>
      <c r="AD187" s="69">
        <v>0</v>
      </c>
      <c r="AE187" s="69">
        <v>144000</v>
      </c>
      <c r="AF187" s="69">
        <v>72000</v>
      </c>
      <c r="AG187" s="69">
        <v>0</v>
      </c>
      <c r="AH187" s="69">
        <v>36000</v>
      </c>
      <c r="AI187" s="69">
        <v>72000</v>
      </c>
      <c r="AJ187" s="69">
        <v>36000</v>
      </c>
      <c r="AK187" s="69">
        <v>144000</v>
      </c>
      <c r="AL187" s="69">
        <v>72000</v>
      </c>
      <c r="AM187" s="69">
        <v>180000</v>
      </c>
      <c r="AN187" s="69">
        <v>108000</v>
      </c>
      <c r="AO187" s="69">
        <v>72000</v>
      </c>
      <c r="AP187" s="69">
        <v>0</v>
      </c>
      <c r="AQ187" s="69">
        <v>0</v>
      </c>
      <c r="AR187" s="69">
        <v>36000</v>
      </c>
      <c r="AS187" s="69">
        <v>180000</v>
      </c>
      <c r="AT187" s="69">
        <v>216000</v>
      </c>
      <c r="AU187" s="69"/>
      <c r="AW187" s="66">
        <f t="shared" si="21"/>
        <v>540000</v>
      </c>
      <c r="AX187" s="66">
        <f t="shared" si="21"/>
        <v>864000</v>
      </c>
      <c r="AY187" s="66">
        <f t="shared" si="21"/>
        <v>360000</v>
      </c>
      <c r="AZ187" s="66">
        <f t="shared" si="21"/>
        <v>540000</v>
      </c>
      <c r="BA187" s="66">
        <f t="shared" si="21"/>
        <v>612000</v>
      </c>
      <c r="BC187" s="66">
        <f t="shared" ca="1" si="17"/>
        <v>2340000</v>
      </c>
      <c r="BD187" s="66">
        <f t="shared" si="18"/>
        <v>2916000</v>
      </c>
    </row>
    <row r="188" spans="1:56" x14ac:dyDescent="0.3">
      <c r="A188" s="6" t="str">
        <f>IFERROR(VLOOKUP($F188,매장구분!$B:$K,2,0),"")</f>
        <v>리테일채널팀</v>
      </c>
      <c r="B188" s="6" t="str">
        <f>IFERROR(VLOOKUP($F188,매장구분!$B:$K,3,0),"")</f>
        <v>국내</v>
      </c>
      <c r="C188" s="6" t="str">
        <f>IFERROR(VLOOKUP($F188,매장구분!$B:$K,5,0),"")</f>
        <v>상설(위탁)</v>
      </c>
      <c r="D188" s="6" t="str">
        <f>IFERROR(VLOOKUP($F188,매장구분!$B:$Z,9,0),"")</f>
        <v>콜렉티드(상-위)</v>
      </c>
      <c r="E188" s="69" t="s">
        <v>434</v>
      </c>
      <c r="F188" s="69" t="s">
        <v>435</v>
      </c>
      <c r="G188" s="69">
        <v>23</v>
      </c>
      <c r="H188" s="69">
        <v>828000</v>
      </c>
      <c r="I188" s="69">
        <v>828000</v>
      </c>
      <c r="J188" s="69">
        <v>24</v>
      </c>
      <c r="K188" s="69">
        <v>864000</v>
      </c>
      <c r="L188" s="69">
        <v>864000</v>
      </c>
      <c r="M188" s="69">
        <v>-1</v>
      </c>
      <c r="N188" s="69">
        <v>-36000</v>
      </c>
      <c r="O188" s="69">
        <v>-36000</v>
      </c>
      <c r="P188" s="69">
        <v>36000</v>
      </c>
      <c r="Q188" s="69">
        <v>108000</v>
      </c>
      <c r="R188" s="69">
        <v>36000</v>
      </c>
      <c r="S188" s="69">
        <v>36000</v>
      </c>
      <c r="T188" s="69">
        <v>0</v>
      </c>
      <c r="U188" s="69">
        <v>36000</v>
      </c>
      <c r="V188" s="69">
        <v>0</v>
      </c>
      <c r="W188" s="69">
        <v>0</v>
      </c>
      <c r="X188" s="69">
        <v>108000</v>
      </c>
      <c r="Y188" s="69">
        <v>36000</v>
      </c>
      <c r="Z188" s="69">
        <v>72000</v>
      </c>
      <c r="AA188" s="69">
        <v>0</v>
      </c>
      <c r="AB188" s="69">
        <v>0</v>
      </c>
      <c r="AC188" s="69">
        <v>36000</v>
      </c>
      <c r="AD188" s="69">
        <v>0</v>
      </c>
      <c r="AE188" s="69">
        <v>0</v>
      </c>
      <c r="AF188" s="69">
        <v>108000</v>
      </c>
      <c r="AG188" s="69">
        <v>0</v>
      </c>
      <c r="AH188" s="69">
        <v>0</v>
      </c>
      <c r="AI188" s="69">
        <v>0</v>
      </c>
      <c r="AJ188" s="69">
        <v>36000</v>
      </c>
      <c r="AK188" s="69">
        <v>0</v>
      </c>
      <c r="AL188" s="69">
        <v>0</v>
      </c>
      <c r="AM188" s="69">
        <v>36000</v>
      </c>
      <c r="AN188" s="69">
        <v>0</v>
      </c>
      <c r="AO188" s="69">
        <v>0</v>
      </c>
      <c r="AP188" s="69">
        <v>0</v>
      </c>
      <c r="AQ188" s="69">
        <v>0</v>
      </c>
      <c r="AR188" s="69">
        <v>0</v>
      </c>
      <c r="AS188" s="69">
        <v>72000</v>
      </c>
      <c r="AT188" s="69">
        <v>72000</v>
      </c>
      <c r="AU188" s="69"/>
      <c r="AW188" s="66">
        <f t="shared" ref="AW188:BA203" si="22">SUMIFS($Q188:$AU188,$Q$3:$AU$3,AW$3)</f>
        <v>144000</v>
      </c>
      <c r="AX188" s="66">
        <f t="shared" si="22"/>
        <v>216000</v>
      </c>
      <c r="AY188" s="66">
        <f t="shared" si="22"/>
        <v>216000</v>
      </c>
      <c r="AZ188" s="66">
        <f t="shared" si="22"/>
        <v>72000</v>
      </c>
      <c r="BA188" s="66">
        <f t="shared" si="22"/>
        <v>144000</v>
      </c>
      <c r="BC188" s="66">
        <f t="shared" ca="1" si="17"/>
        <v>648000</v>
      </c>
      <c r="BD188" s="66">
        <f t="shared" si="18"/>
        <v>756000</v>
      </c>
    </row>
    <row r="189" spans="1:56" x14ac:dyDescent="0.3">
      <c r="A189" s="6" t="str">
        <f>IFERROR(VLOOKUP($F189,매장구분!$B:$K,2,0),"")</f>
        <v>리테일채널팀</v>
      </c>
      <c r="B189" s="6" t="str">
        <f>IFERROR(VLOOKUP($F189,매장구분!$B:$K,3,0),"")</f>
        <v>국내</v>
      </c>
      <c r="C189" s="6" t="str">
        <f>IFERROR(VLOOKUP($F189,매장구분!$B:$K,5,0),"")</f>
        <v>상설(위탁)</v>
      </c>
      <c r="D189" s="6" t="str">
        <f>IFERROR(VLOOKUP($F189,매장구분!$B:$Z,9,0),"")</f>
        <v>롯데아울렛김해(상-위)</v>
      </c>
      <c r="E189" s="69" t="s">
        <v>370</v>
      </c>
      <c r="F189" s="69" t="s">
        <v>371</v>
      </c>
      <c r="G189" s="69">
        <v>547</v>
      </c>
      <c r="H189" s="69">
        <v>19692000</v>
      </c>
      <c r="I189" s="69">
        <v>19692000</v>
      </c>
      <c r="J189" s="69">
        <v>557</v>
      </c>
      <c r="K189" s="69">
        <v>20052000</v>
      </c>
      <c r="L189" s="69">
        <v>20052000</v>
      </c>
      <c r="M189" s="69">
        <v>-10</v>
      </c>
      <c r="N189" s="69">
        <v>-360000</v>
      </c>
      <c r="O189" s="69">
        <v>-360000</v>
      </c>
      <c r="P189" s="69">
        <v>324000</v>
      </c>
      <c r="Q189" s="69">
        <v>1188000</v>
      </c>
      <c r="R189" s="69">
        <v>2340000</v>
      </c>
      <c r="S189" s="69">
        <v>216000</v>
      </c>
      <c r="T189" s="69">
        <v>108000</v>
      </c>
      <c r="U189" s="69">
        <v>72000</v>
      </c>
      <c r="V189" s="69">
        <v>288000</v>
      </c>
      <c r="W189" s="69">
        <v>360000</v>
      </c>
      <c r="X189" s="69">
        <v>1584000</v>
      </c>
      <c r="Y189" s="69">
        <v>2160000</v>
      </c>
      <c r="Z189" s="69">
        <v>108000</v>
      </c>
      <c r="AA189" s="69">
        <v>324000</v>
      </c>
      <c r="AB189" s="69">
        <v>180000</v>
      </c>
      <c r="AC189" s="69">
        <v>288000</v>
      </c>
      <c r="AD189" s="69">
        <v>324000</v>
      </c>
      <c r="AE189" s="69">
        <v>1548000</v>
      </c>
      <c r="AF189" s="69">
        <v>1872000</v>
      </c>
      <c r="AG189" s="69">
        <v>36000</v>
      </c>
      <c r="AH189" s="69">
        <v>432000</v>
      </c>
      <c r="AI189" s="69">
        <v>216000</v>
      </c>
      <c r="AJ189" s="69">
        <v>396000</v>
      </c>
      <c r="AK189" s="69">
        <v>216000</v>
      </c>
      <c r="AL189" s="69">
        <v>1008000</v>
      </c>
      <c r="AM189" s="69">
        <v>1764000</v>
      </c>
      <c r="AN189" s="69">
        <v>180000</v>
      </c>
      <c r="AO189" s="69">
        <v>36000</v>
      </c>
      <c r="AP189" s="69">
        <v>72000</v>
      </c>
      <c r="AQ189" s="69">
        <v>108000</v>
      </c>
      <c r="AR189" s="69">
        <v>180000</v>
      </c>
      <c r="AS189" s="69">
        <v>684000</v>
      </c>
      <c r="AT189" s="69">
        <v>1080000</v>
      </c>
      <c r="AU189" s="69"/>
      <c r="AW189" s="66">
        <f t="shared" si="22"/>
        <v>3528000</v>
      </c>
      <c r="AX189" s="66">
        <f t="shared" si="22"/>
        <v>4788000</v>
      </c>
      <c r="AY189" s="66">
        <f t="shared" si="22"/>
        <v>4644000</v>
      </c>
      <c r="AZ189" s="66">
        <f t="shared" si="22"/>
        <v>4068000</v>
      </c>
      <c r="BA189" s="66">
        <f t="shared" si="22"/>
        <v>2340000</v>
      </c>
      <c r="BC189" s="66">
        <f t="shared" ca="1" si="17"/>
        <v>15588000</v>
      </c>
      <c r="BD189" s="66">
        <f t="shared" si="18"/>
        <v>18612000</v>
      </c>
    </row>
    <row r="190" spans="1:56" x14ac:dyDescent="0.3">
      <c r="A190" s="6" t="str">
        <f>IFERROR(VLOOKUP($F190,매장구분!$B:$K,2,0),"")</f>
        <v>리테일채널팀</v>
      </c>
      <c r="B190" s="6" t="str">
        <f>IFERROR(VLOOKUP($F190,매장구분!$B:$K,3,0),"")</f>
        <v>국내</v>
      </c>
      <c r="C190" s="6" t="str">
        <f>IFERROR(VLOOKUP($F190,매장구분!$B:$K,5,0),"")</f>
        <v>상설(위탁)</v>
      </c>
      <c r="D190" s="6" t="str">
        <f>IFERROR(VLOOKUP($F190,매장구분!$B:$Z,9,0),"")</f>
        <v>신세계아울렛기장(상-위)</v>
      </c>
      <c r="E190" s="69" t="s">
        <v>277</v>
      </c>
      <c r="F190" s="69" t="s">
        <v>278</v>
      </c>
      <c r="G190" s="69">
        <v>301</v>
      </c>
      <c r="H190" s="69">
        <v>10836000</v>
      </c>
      <c r="I190" s="69">
        <v>10836000</v>
      </c>
      <c r="J190" s="69">
        <v>303</v>
      </c>
      <c r="K190" s="69">
        <v>10908000</v>
      </c>
      <c r="L190" s="69">
        <v>10908000</v>
      </c>
      <c r="M190" s="69">
        <v>-2</v>
      </c>
      <c r="N190" s="69">
        <v>-72000</v>
      </c>
      <c r="O190" s="69">
        <v>-72000</v>
      </c>
      <c r="P190" s="69">
        <v>180000</v>
      </c>
      <c r="Q190" s="69">
        <v>864000</v>
      </c>
      <c r="R190" s="69">
        <v>1008000</v>
      </c>
      <c r="S190" s="69">
        <v>108000</v>
      </c>
      <c r="T190" s="69">
        <v>144000</v>
      </c>
      <c r="U190" s="69">
        <v>144000</v>
      </c>
      <c r="V190" s="69">
        <v>144000</v>
      </c>
      <c r="W190" s="69">
        <v>36000</v>
      </c>
      <c r="X190" s="69">
        <v>576000</v>
      </c>
      <c r="Y190" s="69">
        <v>720000</v>
      </c>
      <c r="Z190" s="69">
        <v>72000</v>
      </c>
      <c r="AA190" s="69">
        <v>108000</v>
      </c>
      <c r="AB190" s="69">
        <v>36000</v>
      </c>
      <c r="AC190" s="69">
        <v>396000</v>
      </c>
      <c r="AD190" s="69">
        <v>252000</v>
      </c>
      <c r="AE190" s="69">
        <v>828000</v>
      </c>
      <c r="AF190" s="69">
        <v>756000</v>
      </c>
      <c r="AG190" s="69">
        <v>108000</v>
      </c>
      <c r="AH190" s="69">
        <v>180000</v>
      </c>
      <c r="AI190" s="69">
        <v>144000</v>
      </c>
      <c r="AJ190" s="69">
        <v>180000</v>
      </c>
      <c r="AK190" s="69">
        <v>180000</v>
      </c>
      <c r="AL190" s="69">
        <v>720000</v>
      </c>
      <c r="AM190" s="69">
        <v>1080000</v>
      </c>
      <c r="AN190" s="69">
        <v>108000</v>
      </c>
      <c r="AO190" s="69">
        <v>72000</v>
      </c>
      <c r="AP190" s="69">
        <v>72000</v>
      </c>
      <c r="AQ190" s="69">
        <v>288000</v>
      </c>
      <c r="AR190" s="69">
        <v>36000</v>
      </c>
      <c r="AS190" s="69">
        <v>540000</v>
      </c>
      <c r="AT190" s="69">
        <v>756000</v>
      </c>
      <c r="AU190" s="69"/>
      <c r="AW190" s="66">
        <f t="shared" si="22"/>
        <v>1872000</v>
      </c>
      <c r="AX190" s="66">
        <f t="shared" si="22"/>
        <v>1872000</v>
      </c>
      <c r="AY190" s="66">
        <f t="shared" si="22"/>
        <v>2448000</v>
      </c>
      <c r="AZ190" s="66">
        <f t="shared" si="22"/>
        <v>2592000</v>
      </c>
      <c r="BA190" s="66">
        <f t="shared" si="22"/>
        <v>1872000</v>
      </c>
      <c r="BC190" s="66">
        <f t="shared" ca="1" si="17"/>
        <v>7884000</v>
      </c>
      <c r="BD190" s="66">
        <f t="shared" si="18"/>
        <v>10080000</v>
      </c>
    </row>
    <row r="191" spans="1:56" x14ac:dyDescent="0.3">
      <c r="A191" s="6" t="str">
        <f>IFERROR(VLOOKUP($F191,매장구분!$B:$K,2,0),"")</f>
        <v>리테일채널팀</v>
      </c>
      <c r="B191" s="6" t="str">
        <f>IFERROR(VLOOKUP($F191,매장구분!$B:$K,3,0),"")</f>
        <v>국내</v>
      </c>
      <c r="C191" s="6" t="str">
        <f>IFERROR(VLOOKUP($F191,매장구분!$B:$K,5,0),"")</f>
        <v>상설(위탁)</v>
      </c>
      <c r="D191" s="6" t="str">
        <f>IFERROR(VLOOKUP($F191,매장구분!$B:$Z,9,0),"")</f>
        <v>모다경주(상-위)</v>
      </c>
      <c r="E191" s="69" t="s">
        <v>374</v>
      </c>
      <c r="F191" s="69" t="s">
        <v>375</v>
      </c>
      <c r="G191" s="69">
        <v>76</v>
      </c>
      <c r="H191" s="69">
        <v>2736000</v>
      </c>
      <c r="I191" s="69">
        <v>2736000</v>
      </c>
      <c r="J191" s="69">
        <v>77</v>
      </c>
      <c r="K191" s="69">
        <v>2772000</v>
      </c>
      <c r="L191" s="69">
        <v>2772000</v>
      </c>
      <c r="M191" s="69">
        <v>-1</v>
      </c>
      <c r="N191" s="69">
        <v>-36000</v>
      </c>
      <c r="O191" s="69">
        <v>-36000</v>
      </c>
      <c r="P191" s="69">
        <v>0</v>
      </c>
      <c r="Q191" s="69">
        <v>108000</v>
      </c>
      <c r="R191" s="69">
        <v>360000</v>
      </c>
      <c r="S191" s="69">
        <v>0</v>
      </c>
      <c r="T191" s="69">
        <v>36000</v>
      </c>
      <c r="U191" s="69">
        <v>36000</v>
      </c>
      <c r="V191" s="69">
        <v>72000</v>
      </c>
      <c r="W191" s="69">
        <v>0</v>
      </c>
      <c r="X191" s="69">
        <v>180000</v>
      </c>
      <c r="Y191" s="69">
        <v>36000</v>
      </c>
      <c r="Z191" s="69">
        <v>0</v>
      </c>
      <c r="AA191" s="69">
        <v>0</v>
      </c>
      <c r="AB191" s="69">
        <v>216000</v>
      </c>
      <c r="AC191" s="69">
        <v>36000</v>
      </c>
      <c r="AD191" s="69">
        <v>36000</v>
      </c>
      <c r="AE191" s="69">
        <v>180000</v>
      </c>
      <c r="AF191" s="69">
        <v>252000</v>
      </c>
      <c r="AG191" s="69">
        <v>108000</v>
      </c>
      <c r="AH191" s="69">
        <v>0</v>
      </c>
      <c r="AI191" s="69">
        <v>108000</v>
      </c>
      <c r="AJ191" s="69">
        <v>0</v>
      </c>
      <c r="AK191" s="69">
        <v>0</v>
      </c>
      <c r="AL191" s="69">
        <v>144000</v>
      </c>
      <c r="AM191" s="69">
        <v>252000</v>
      </c>
      <c r="AN191" s="69">
        <v>72000</v>
      </c>
      <c r="AO191" s="69">
        <v>72000</v>
      </c>
      <c r="AP191" s="69">
        <v>72000</v>
      </c>
      <c r="AQ191" s="69">
        <v>0</v>
      </c>
      <c r="AR191" s="69">
        <v>0</v>
      </c>
      <c r="AS191" s="69">
        <v>180000</v>
      </c>
      <c r="AT191" s="69">
        <v>180000</v>
      </c>
      <c r="AU191" s="69"/>
      <c r="AW191" s="66">
        <f t="shared" si="22"/>
        <v>468000</v>
      </c>
      <c r="AX191" s="66">
        <f t="shared" si="22"/>
        <v>360000</v>
      </c>
      <c r="AY191" s="66">
        <f t="shared" si="22"/>
        <v>720000</v>
      </c>
      <c r="AZ191" s="66">
        <f t="shared" si="22"/>
        <v>612000</v>
      </c>
      <c r="BA191" s="66">
        <f t="shared" si="22"/>
        <v>576000</v>
      </c>
      <c r="BC191" s="66">
        <f t="shared" ca="1" si="17"/>
        <v>1908000</v>
      </c>
      <c r="BD191" s="66">
        <f t="shared" si="18"/>
        <v>2556000</v>
      </c>
    </row>
    <row r="192" spans="1:56" x14ac:dyDescent="0.3">
      <c r="A192" s="6" t="str">
        <f>IFERROR(VLOOKUP($F192,매장구분!$B:$K,2,0),"")</f>
        <v>리테일채널팀</v>
      </c>
      <c r="B192" s="6" t="str">
        <f>IFERROR(VLOOKUP($F192,매장구분!$B:$K,3,0),"")</f>
        <v>국내</v>
      </c>
      <c r="C192" s="6" t="str">
        <f>IFERROR(VLOOKUP($F192,매장구분!$B:$K,5,0),"")</f>
        <v>상설(위탁)</v>
      </c>
      <c r="D192" s="6" t="str">
        <f>IFERROR(VLOOKUP($F192,매장구분!$B:$Z,9,0),"")</f>
        <v>롯데아울렛청주(상-위)</v>
      </c>
      <c r="E192" s="69" t="s">
        <v>478</v>
      </c>
      <c r="F192" s="69" t="s">
        <v>479</v>
      </c>
      <c r="G192" s="69">
        <v>222</v>
      </c>
      <c r="H192" s="69">
        <v>7992000</v>
      </c>
      <c r="I192" s="69">
        <v>7992000</v>
      </c>
      <c r="J192" s="69">
        <v>227</v>
      </c>
      <c r="K192" s="69">
        <v>8172000</v>
      </c>
      <c r="L192" s="69">
        <v>8172000</v>
      </c>
      <c r="M192" s="69">
        <v>-5</v>
      </c>
      <c r="N192" s="69">
        <v>-180000</v>
      </c>
      <c r="O192" s="69">
        <v>-180000</v>
      </c>
      <c r="P192" s="69">
        <v>0</v>
      </c>
      <c r="Q192" s="69">
        <v>432000</v>
      </c>
      <c r="R192" s="69">
        <v>324000</v>
      </c>
      <c r="S192" s="69">
        <v>0</v>
      </c>
      <c r="T192" s="69">
        <v>0</v>
      </c>
      <c r="U192" s="69">
        <v>648000</v>
      </c>
      <c r="V192" s="69">
        <v>288000</v>
      </c>
      <c r="W192" s="69">
        <v>180000</v>
      </c>
      <c r="X192" s="69">
        <v>540000</v>
      </c>
      <c r="Y192" s="69">
        <v>324000</v>
      </c>
      <c r="Z192" s="69">
        <v>216000</v>
      </c>
      <c r="AA192" s="69">
        <v>108000</v>
      </c>
      <c r="AB192" s="69">
        <v>144000</v>
      </c>
      <c r="AC192" s="69">
        <v>108000</v>
      </c>
      <c r="AD192" s="69">
        <v>36000</v>
      </c>
      <c r="AE192" s="69">
        <v>612000</v>
      </c>
      <c r="AF192" s="69">
        <v>396000</v>
      </c>
      <c r="AG192" s="69">
        <v>144000</v>
      </c>
      <c r="AH192" s="69">
        <v>0</v>
      </c>
      <c r="AI192" s="69">
        <v>180000</v>
      </c>
      <c r="AJ192" s="69">
        <v>36000</v>
      </c>
      <c r="AK192" s="69">
        <v>144000</v>
      </c>
      <c r="AL192" s="69">
        <v>360000</v>
      </c>
      <c r="AM192" s="69">
        <v>972000</v>
      </c>
      <c r="AN192" s="69">
        <v>0</v>
      </c>
      <c r="AO192" s="69">
        <v>216000</v>
      </c>
      <c r="AP192" s="69">
        <v>0</v>
      </c>
      <c r="AQ192" s="69">
        <v>576000</v>
      </c>
      <c r="AR192" s="69">
        <v>216000</v>
      </c>
      <c r="AS192" s="69">
        <v>432000</v>
      </c>
      <c r="AT192" s="69">
        <v>360000</v>
      </c>
      <c r="AU192" s="69"/>
      <c r="AW192" s="66">
        <f t="shared" si="22"/>
        <v>756000</v>
      </c>
      <c r="AX192" s="66">
        <f t="shared" si="22"/>
        <v>1980000</v>
      </c>
      <c r="AY192" s="66">
        <f t="shared" si="22"/>
        <v>1620000</v>
      </c>
      <c r="AZ192" s="66">
        <f t="shared" si="22"/>
        <v>1836000</v>
      </c>
      <c r="BA192" s="66">
        <f t="shared" si="22"/>
        <v>1800000</v>
      </c>
      <c r="BC192" s="66">
        <f t="shared" ca="1" si="17"/>
        <v>5220000</v>
      </c>
      <c r="BD192" s="66">
        <f t="shared" si="18"/>
        <v>7632000</v>
      </c>
    </row>
    <row r="193" spans="1:56" x14ac:dyDescent="0.3">
      <c r="A193" s="6" t="str">
        <f>IFERROR(VLOOKUP($F193,매장구분!$B:$K,2,0),"")</f>
        <v>리테일채널팀</v>
      </c>
      <c r="B193" s="6" t="str">
        <f>IFERROR(VLOOKUP($F193,매장구분!$B:$K,3,0),"")</f>
        <v>국내</v>
      </c>
      <c r="C193" s="6" t="str">
        <f>IFERROR(VLOOKUP($F193,매장구분!$B:$K,5,0),"")</f>
        <v>상설(위탁)</v>
      </c>
      <c r="D193" s="6" t="str">
        <f>IFERROR(VLOOKUP($F193,매장구분!$B:$Z,9,0),"")</f>
        <v>롯데아울렛진주(상-위)</v>
      </c>
      <c r="E193" s="69" t="s">
        <v>528</v>
      </c>
      <c r="F193" s="69" t="s">
        <v>529</v>
      </c>
      <c r="G193" s="69">
        <v>164</v>
      </c>
      <c r="H193" s="69">
        <v>5904000</v>
      </c>
      <c r="I193" s="69">
        <v>5904000</v>
      </c>
      <c r="J193" s="69">
        <v>166</v>
      </c>
      <c r="K193" s="69">
        <v>5976000</v>
      </c>
      <c r="L193" s="69">
        <v>5976000</v>
      </c>
      <c r="M193" s="69">
        <v>-2</v>
      </c>
      <c r="N193" s="69">
        <v>-72000</v>
      </c>
      <c r="O193" s="69">
        <v>-72000</v>
      </c>
      <c r="P193" s="69">
        <v>72000</v>
      </c>
      <c r="Q193" s="69">
        <v>180000</v>
      </c>
      <c r="R193" s="69">
        <v>540000</v>
      </c>
      <c r="S193" s="69">
        <v>0</v>
      </c>
      <c r="T193" s="69">
        <v>36000</v>
      </c>
      <c r="U193" s="69">
        <v>324000</v>
      </c>
      <c r="V193" s="69">
        <v>72000</v>
      </c>
      <c r="W193" s="69">
        <v>36000</v>
      </c>
      <c r="X193" s="69">
        <v>720000</v>
      </c>
      <c r="Y193" s="69">
        <v>144000</v>
      </c>
      <c r="Z193" s="69">
        <v>72000</v>
      </c>
      <c r="AA193" s="69">
        <v>0</v>
      </c>
      <c r="AB193" s="69">
        <v>108000</v>
      </c>
      <c r="AC193" s="69">
        <v>108000</v>
      </c>
      <c r="AD193" s="69">
        <v>108000</v>
      </c>
      <c r="AE193" s="69">
        <v>432000</v>
      </c>
      <c r="AF193" s="69">
        <v>396000</v>
      </c>
      <c r="AG193" s="69">
        <v>0</v>
      </c>
      <c r="AH193" s="69">
        <v>180000</v>
      </c>
      <c r="AI193" s="69">
        <v>72000</v>
      </c>
      <c r="AJ193" s="69">
        <v>72000</v>
      </c>
      <c r="AK193" s="69">
        <v>144000</v>
      </c>
      <c r="AL193" s="69">
        <v>324000</v>
      </c>
      <c r="AM193" s="69">
        <v>504000</v>
      </c>
      <c r="AN193" s="69">
        <v>108000</v>
      </c>
      <c r="AO193" s="69">
        <v>180000</v>
      </c>
      <c r="AP193" s="69">
        <v>360000</v>
      </c>
      <c r="AQ193" s="69">
        <v>108000</v>
      </c>
      <c r="AR193" s="69">
        <v>0</v>
      </c>
      <c r="AS193" s="69">
        <v>144000</v>
      </c>
      <c r="AT193" s="69">
        <v>360000</v>
      </c>
      <c r="AU193" s="69"/>
      <c r="AW193" s="66">
        <f t="shared" si="22"/>
        <v>720000</v>
      </c>
      <c r="AX193" s="66">
        <f t="shared" si="22"/>
        <v>1332000</v>
      </c>
      <c r="AY193" s="66">
        <f t="shared" si="22"/>
        <v>1224000</v>
      </c>
      <c r="AZ193" s="66">
        <f t="shared" si="22"/>
        <v>1296000</v>
      </c>
      <c r="BA193" s="66">
        <f t="shared" si="22"/>
        <v>1260000</v>
      </c>
      <c r="BC193" s="66">
        <f t="shared" ca="1" si="17"/>
        <v>4140000</v>
      </c>
      <c r="BD193" s="66">
        <f t="shared" si="18"/>
        <v>5544000</v>
      </c>
    </row>
    <row r="194" spans="1:56" x14ac:dyDescent="0.3">
      <c r="A194" s="6" t="str">
        <f>IFERROR(VLOOKUP($F194,매장구분!$B:$K,2,0),"")</f>
        <v>리테일채널팀</v>
      </c>
      <c r="B194" s="6" t="str">
        <f>IFERROR(VLOOKUP($F194,매장구분!$B:$K,3,0),"")</f>
        <v>국내</v>
      </c>
      <c r="C194" s="6" t="str">
        <f>IFERROR(VLOOKUP($F194,매장구분!$B:$K,5,0),"")</f>
        <v>상설(위탁)</v>
      </c>
      <c r="D194" s="6" t="str">
        <f>IFERROR(VLOOKUP($F194,매장구분!$B:$Z,9,0),"")</f>
        <v>LF스퀘어광양(상-위)</v>
      </c>
      <c r="E194" s="69" t="s">
        <v>167</v>
      </c>
      <c r="F194" s="69" t="s">
        <v>168</v>
      </c>
      <c r="G194" s="69">
        <v>211</v>
      </c>
      <c r="H194" s="69">
        <v>7596000</v>
      </c>
      <c r="I194" s="69">
        <v>7596000</v>
      </c>
      <c r="J194" s="69">
        <v>215</v>
      </c>
      <c r="K194" s="69">
        <v>7740000</v>
      </c>
      <c r="L194" s="69">
        <v>7740000</v>
      </c>
      <c r="M194" s="69">
        <v>-4</v>
      </c>
      <c r="N194" s="69">
        <v>-144000</v>
      </c>
      <c r="O194" s="69">
        <v>-144000</v>
      </c>
      <c r="P194" s="69">
        <v>216000</v>
      </c>
      <c r="Q194" s="69">
        <v>540000</v>
      </c>
      <c r="R194" s="69">
        <v>396000</v>
      </c>
      <c r="S194" s="69">
        <v>72000</v>
      </c>
      <c r="T194" s="69">
        <v>108000</v>
      </c>
      <c r="U194" s="69">
        <v>72000</v>
      </c>
      <c r="V194" s="69">
        <v>108000</v>
      </c>
      <c r="W194" s="69">
        <v>144000</v>
      </c>
      <c r="X194" s="69">
        <v>468000</v>
      </c>
      <c r="Y194" s="69">
        <v>576000</v>
      </c>
      <c r="Z194" s="69">
        <v>108000</v>
      </c>
      <c r="AA194" s="69">
        <v>144000</v>
      </c>
      <c r="AB194" s="69">
        <v>0</v>
      </c>
      <c r="AC194" s="69">
        <v>180000</v>
      </c>
      <c r="AD194" s="69">
        <v>72000</v>
      </c>
      <c r="AE194" s="69">
        <v>504000</v>
      </c>
      <c r="AF194" s="69">
        <v>576000</v>
      </c>
      <c r="AG194" s="69">
        <v>180000</v>
      </c>
      <c r="AH194" s="69">
        <v>36000</v>
      </c>
      <c r="AI194" s="69">
        <v>216000</v>
      </c>
      <c r="AJ194" s="69">
        <v>36000</v>
      </c>
      <c r="AK194" s="69">
        <v>180000</v>
      </c>
      <c r="AL194" s="69">
        <v>504000</v>
      </c>
      <c r="AM194" s="69">
        <v>612000</v>
      </c>
      <c r="AN194" s="69">
        <v>72000</v>
      </c>
      <c r="AO194" s="69">
        <v>108000</v>
      </c>
      <c r="AP194" s="69">
        <v>108000</v>
      </c>
      <c r="AQ194" s="69">
        <v>252000</v>
      </c>
      <c r="AR194" s="69">
        <v>144000</v>
      </c>
      <c r="AS194" s="69">
        <v>468000</v>
      </c>
      <c r="AT194" s="69">
        <v>396000</v>
      </c>
      <c r="AU194" s="69"/>
      <c r="AW194" s="66">
        <f t="shared" si="22"/>
        <v>936000</v>
      </c>
      <c r="AX194" s="66">
        <f t="shared" si="22"/>
        <v>1548000</v>
      </c>
      <c r="AY194" s="66">
        <f t="shared" si="22"/>
        <v>1584000</v>
      </c>
      <c r="AZ194" s="66">
        <f t="shared" si="22"/>
        <v>1764000</v>
      </c>
      <c r="BA194" s="66">
        <f t="shared" si="22"/>
        <v>1548000</v>
      </c>
      <c r="BC194" s="66">
        <f t="shared" ca="1" si="17"/>
        <v>5436000</v>
      </c>
      <c r="BD194" s="66">
        <f t="shared" si="18"/>
        <v>7200000</v>
      </c>
    </row>
    <row r="195" spans="1:56" x14ac:dyDescent="0.3">
      <c r="A195" s="6" t="str">
        <f>IFERROR(VLOOKUP($F195,매장구분!$B:$K,2,0),"")</f>
        <v>리테일채널팀</v>
      </c>
      <c r="B195" s="6" t="str">
        <f>IFERROR(VLOOKUP($F195,매장구분!$B:$K,3,0),"")</f>
        <v>국내</v>
      </c>
      <c r="C195" s="6" t="str">
        <f>IFERROR(VLOOKUP($F195,매장구분!$B:$K,5,0),"")</f>
        <v>상설(위탁)</v>
      </c>
      <c r="D195" s="6" t="str">
        <f>IFERROR(VLOOKUP($F195,매장구분!$B:$Z,9,0),"")</f>
        <v>LF스퀘어양주(상-위)</v>
      </c>
      <c r="E195" s="69" t="s">
        <v>283</v>
      </c>
      <c r="F195" s="69" t="s">
        <v>284</v>
      </c>
      <c r="G195" s="69">
        <v>191</v>
      </c>
      <c r="H195" s="69">
        <v>6876000</v>
      </c>
      <c r="I195" s="69">
        <v>6876000</v>
      </c>
      <c r="J195" s="69">
        <v>197</v>
      </c>
      <c r="K195" s="69">
        <v>7092000</v>
      </c>
      <c r="L195" s="69">
        <v>7092000</v>
      </c>
      <c r="M195" s="69">
        <v>-6</v>
      </c>
      <c r="N195" s="69">
        <v>-216000</v>
      </c>
      <c r="O195" s="69">
        <v>-216000</v>
      </c>
      <c r="P195" s="69">
        <v>252000</v>
      </c>
      <c r="Q195" s="69">
        <v>432000</v>
      </c>
      <c r="R195" s="69">
        <v>612000</v>
      </c>
      <c r="S195" s="69">
        <v>72000</v>
      </c>
      <c r="T195" s="69">
        <v>288000</v>
      </c>
      <c r="U195" s="69">
        <v>180000</v>
      </c>
      <c r="V195" s="69">
        <v>216000</v>
      </c>
      <c r="W195" s="69">
        <v>288000</v>
      </c>
      <c r="X195" s="69">
        <v>180000</v>
      </c>
      <c r="Y195" s="69">
        <v>288000</v>
      </c>
      <c r="Z195" s="69">
        <v>180000</v>
      </c>
      <c r="AA195" s="69">
        <v>144000</v>
      </c>
      <c r="AB195" s="69">
        <v>144000</v>
      </c>
      <c r="AC195" s="69">
        <v>108000</v>
      </c>
      <c r="AD195" s="69">
        <v>0</v>
      </c>
      <c r="AE195" s="69">
        <v>216000</v>
      </c>
      <c r="AF195" s="69">
        <v>432000</v>
      </c>
      <c r="AG195" s="69">
        <v>36000</v>
      </c>
      <c r="AH195" s="69">
        <v>144000</v>
      </c>
      <c r="AI195" s="69">
        <v>72000</v>
      </c>
      <c r="AJ195" s="69">
        <v>144000</v>
      </c>
      <c r="AK195" s="69">
        <v>108000</v>
      </c>
      <c r="AL195" s="69">
        <v>324000</v>
      </c>
      <c r="AM195" s="69">
        <v>360000</v>
      </c>
      <c r="AN195" s="69">
        <v>72000</v>
      </c>
      <c r="AO195" s="69">
        <v>144000</v>
      </c>
      <c r="AP195" s="69">
        <v>72000</v>
      </c>
      <c r="AQ195" s="69">
        <v>180000</v>
      </c>
      <c r="AR195" s="69">
        <v>252000</v>
      </c>
      <c r="AS195" s="69">
        <v>468000</v>
      </c>
      <c r="AT195" s="69">
        <v>468000</v>
      </c>
      <c r="AU195" s="69"/>
      <c r="AW195" s="66">
        <f t="shared" si="22"/>
        <v>1044000</v>
      </c>
      <c r="AX195" s="66">
        <f t="shared" si="22"/>
        <v>1512000</v>
      </c>
      <c r="AY195" s="66">
        <f t="shared" si="22"/>
        <v>1224000</v>
      </c>
      <c r="AZ195" s="66">
        <f t="shared" si="22"/>
        <v>1188000</v>
      </c>
      <c r="BA195" s="66">
        <f t="shared" si="22"/>
        <v>1656000</v>
      </c>
      <c r="BC195" s="66">
        <f t="shared" ca="1" si="17"/>
        <v>4860000</v>
      </c>
      <c r="BD195" s="66">
        <f t="shared" si="18"/>
        <v>6408000</v>
      </c>
    </row>
    <row r="196" spans="1:56" x14ac:dyDescent="0.3">
      <c r="A196" s="6" t="str">
        <f>IFERROR(VLOOKUP($F196,매장구분!$B:$K,2,0),"")</f>
        <v>리테일채널팀</v>
      </c>
      <c r="B196" s="6" t="str">
        <f>IFERROR(VLOOKUP($F196,매장구분!$B:$K,3,0),"")</f>
        <v>국내</v>
      </c>
      <c r="C196" s="6" t="str">
        <f>IFERROR(VLOOKUP($F196,매장구분!$B:$K,5,0),"")</f>
        <v>상설(위탁)</v>
      </c>
      <c r="D196" s="6" t="str">
        <f>IFERROR(VLOOKUP($F196,매장구분!$B:$Z,9,0),"")</f>
        <v>현대아울렛대전(상-위)</v>
      </c>
      <c r="E196" s="69" t="s">
        <v>287</v>
      </c>
      <c r="F196" s="69" t="s">
        <v>288</v>
      </c>
      <c r="G196" s="69">
        <v>32</v>
      </c>
      <c r="H196" s="69">
        <v>1152000</v>
      </c>
      <c r="I196" s="69">
        <v>1152000</v>
      </c>
      <c r="J196" s="69">
        <v>32</v>
      </c>
      <c r="K196" s="69">
        <v>1152000</v>
      </c>
      <c r="L196" s="69">
        <v>1152000</v>
      </c>
      <c r="M196" s="69">
        <v>0</v>
      </c>
      <c r="N196" s="69">
        <v>0</v>
      </c>
      <c r="O196" s="69">
        <v>0</v>
      </c>
      <c r="P196" s="69">
        <v>0</v>
      </c>
      <c r="Q196" s="69">
        <v>0</v>
      </c>
      <c r="R196" s="69">
        <v>0</v>
      </c>
      <c r="S196" s="69">
        <v>0</v>
      </c>
      <c r="T196" s="69">
        <v>0</v>
      </c>
      <c r="U196" s="69">
        <v>0</v>
      </c>
      <c r="V196" s="69">
        <v>0</v>
      </c>
      <c r="W196" s="69">
        <v>0</v>
      </c>
      <c r="X196" s="69">
        <v>0</v>
      </c>
      <c r="Y196" s="69">
        <v>0</v>
      </c>
      <c r="Z196" s="69">
        <v>0</v>
      </c>
      <c r="AA196" s="69">
        <v>0</v>
      </c>
      <c r="AB196" s="69">
        <v>0</v>
      </c>
      <c r="AC196" s="69">
        <v>0</v>
      </c>
      <c r="AD196" s="69">
        <v>0</v>
      </c>
      <c r="AE196" s="69">
        <v>0</v>
      </c>
      <c r="AF196" s="69">
        <v>0</v>
      </c>
      <c r="AG196" s="69">
        <v>0</v>
      </c>
      <c r="AH196" s="69">
        <v>0</v>
      </c>
      <c r="AI196" s="69">
        <v>0</v>
      </c>
      <c r="AJ196" s="69">
        <v>0</v>
      </c>
      <c r="AK196" s="69">
        <v>0</v>
      </c>
      <c r="AL196" s="69">
        <v>0</v>
      </c>
      <c r="AM196" s="69">
        <v>0</v>
      </c>
      <c r="AN196" s="69">
        <v>0</v>
      </c>
      <c r="AO196" s="69">
        <v>0</v>
      </c>
      <c r="AP196" s="69">
        <v>0</v>
      </c>
      <c r="AQ196" s="69">
        <v>0</v>
      </c>
      <c r="AR196" s="69">
        <v>0</v>
      </c>
      <c r="AS196" s="69">
        <v>288000</v>
      </c>
      <c r="AT196" s="69">
        <v>864000</v>
      </c>
      <c r="AU196" s="69"/>
      <c r="AW196" s="66">
        <f t="shared" si="22"/>
        <v>0</v>
      </c>
      <c r="AX196" s="66">
        <f t="shared" si="22"/>
        <v>0</v>
      </c>
      <c r="AY196" s="66">
        <f t="shared" si="22"/>
        <v>0</v>
      </c>
      <c r="AZ196" s="66">
        <f t="shared" si="22"/>
        <v>0</v>
      </c>
      <c r="BA196" s="66">
        <f t="shared" si="22"/>
        <v>1152000</v>
      </c>
      <c r="BC196" s="66">
        <f t="shared" ca="1" si="17"/>
        <v>0</v>
      </c>
      <c r="BD196" s="66">
        <f t="shared" si="18"/>
        <v>288000</v>
      </c>
    </row>
    <row r="197" spans="1:56" x14ac:dyDescent="0.3">
      <c r="A197" s="6" t="str">
        <f>IFERROR(VLOOKUP($F197,매장구분!$B:$K,2,0),"")</f>
        <v>E-biz</v>
      </c>
      <c r="B197" s="6" t="str">
        <f>IFERROR(VLOOKUP($F197,매장구분!$B:$K,3,0),"")</f>
        <v>국내</v>
      </c>
      <c r="C197" s="6" t="str">
        <f>IFERROR(VLOOKUP($F197,매장구분!$B:$K,5,0),"")</f>
        <v>온(제휴몰)</v>
      </c>
      <c r="D197" s="6" t="str">
        <f>IFERROR(VLOOKUP($F197,매장구분!$B:$Z,9,0),"")</f>
        <v>무신사(제휴몰)</v>
      </c>
      <c r="E197" s="69" t="s">
        <v>183</v>
      </c>
      <c r="F197" s="69" t="s">
        <v>184</v>
      </c>
      <c r="G197" s="69">
        <v>11413</v>
      </c>
      <c r="H197" s="69">
        <v>1029758010</v>
      </c>
      <c r="I197" s="69">
        <v>1046315200</v>
      </c>
      <c r="J197" s="69">
        <v>11902</v>
      </c>
      <c r="K197" s="69">
        <v>1090604010</v>
      </c>
      <c r="L197" s="69">
        <v>1108580200</v>
      </c>
      <c r="M197" s="69">
        <v>-489</v>
      </c>
      <c r="N197" s="69">
        <v>-60846000</v>
      </c>
      <c r="O197" s="69">
        <v>-62265000</v>
      </c>
      <c r="P197" s="69">
        <v>22424200</v>
      </c>
      <c r="Q197" s="69">
        <v>0</v>
      </c>
      <c r="R197" s="69">
        <v>0</v>
      </c>
      <c r="S197" s="69">
        <v>63338500</v>
      </c>
      <c r="T197" s="69">
        <v>20884500</v>
      </c>
      <c r="U197" s="69">
        <v>24575900</v>
      </c>
      <c r="V197" s="69">
        <v>27185500</v>
      </c>
      <c r="W197" s="69">
        <v>20603100</v>
      </c>
      <c r="X197" s="69">
        <v>0</v>
      </c>
      <c r="Y197" s="69">
        <v>0</v>
      </c>
      <c r="Z197" s="69">
        <v>62334400</v>
      </c>
      <c r="AA197" s="69">
        <v>31860500</v>
      </c>
      <c r="AB197" s="69">
        <v>23540800</v>
      </c>
      <c r="AC197" s="69">
        <v>24569300</v>
      </c>
      <c r="AD197" s="69">
        <v>43389600</v>
      </c>
      <c r="AE197" s="69">
        <v>0</v>
      </c>
      <c r="AF197" s="69">
        <v>0</v>
      </c>
      <c r="AG197" s="69">
        <v>78963600</v>
      </c>
      <c r="AH197" s="69">
        <v>48634700</v>
      </c>
      <c r="AI197" s="69">
        <v>33264800</v>
      </c>
      <c r="AJ197" s="69">
        <v>33484500</v>
      </c>
      <c r="AK197" s="69">
        <v>23319000</v>
      </c>
      <c r="AL197" s="69">
        <v>0</v>
      </c>
      <c r="AM197" s="69">
        <v>0</v>
      </c>
      <c r="AN197" s="69">
        <v>71914590</v>
      </c>
      <c r="AO197" s="69">
        <v>107201490</v>
      </c>
      <c r="AP197" s="69">
        <v>128738680</v>
      </c>
      <c r="AQ197" s="69">
        <v>73179060</v>
      </c>
      <c r="AR197" s="69">
        <v>66325650</v>
      </c>
      <c r="AS197" s="69">
        <v>25640</v>
      </c>
      <c r="AT197" s="69">
        <v>0</v>
      </c>
      <c r="AU197" s="69"/>
      <c r="AW197" s="66">
        <f t="shared" si="22"/>
        <v>0</v>
      </c>
      <c r="AX197" s="66">
        <f t="shared" si="22"/>
        <v>156587500</v>
      </c>
      <c r="AY197" s="66">
        <f t="shared" si="22"/>
        <v>185694600</v>
      </c>
      <c r="AZ197" s="66">
        <f t="shared" si="22"/>
        <v>217666600</v>
      </c>
      <c r="BA197" s="66">
        <f t="shared" si="22"/>
        <v>447385110</v>
      </c>
      <c r="BC197" s="66">
        <f t="shared" ca="1" si="17"/>
        <v>582372900</v>
      </c>
      <c r="BD197" s="66">
        <f t="shared" si="18"/>
        <v>1029758010</v>
      </c>
    </row>
    <row r="198" spans="1:56" x14ac:dyDescent="0.3">
      <c r="A198" s="6" t="str">
        <f>IFERROR(VLOOKUP($F198,매장구분!$B:$K,2,0),"")</f>
        <v>E-biz</v>
      </c>
      <c r="B198" s="6" t="str">
        <f>IFERROR(VLOOKUP($F198,매장구분!$B:$K,3,0),"")</f>
        <v>국내</v>
      </c>
      <c r="C198" s="6" t="str">
        <f>IFERROR(VLOOKUP($F198,매장구분!$B:$K,5,0),"")</f>
        <v>온(제휴몰)</v>
      </c>
      <c r="D198" s="6" t="str">
        <f>IFERROR(VLOOKUP($F198,매장구분!$B:$Z,9,0),"")</f>
        <v>네이버스토어(제휴몰)</v>
      </c>
      <c r="E198" s="69" t="s">
        <v>207</v>
      </c>
      <c r="F198" s="69" t="s">
        <v>208</v>
      </c>
      <c r="G198" s="69">
        <v>6909</v>
      </c>
      <c r="H198" s="69">
        <v>618288800</v>
      </c>
      <c r="I198" s="69">
        <v>696933500</v>
      </c>
      <c r="J198" s="69">
        <v>7434</v>
      </c>
      <c r="K198" s="69">
        <v>677260300</v>
      </c>
      <c r="L198" s="69">
        <v>770488500</v>
      </c>
      <c r="M198" s="69">
        <v>-525</v>
      </c>
      <c r="N198" s="69">
        <v>-58971500</v>
      </c>
      <c r="O198" s="69">
        <v>-73555000</v>
      </c>
      <c r="P198" s="69">
        <v>10037700</v>
      </c>
      <c r="Q198" s="69">
        <v>0</v>
      </c>
      <c r="R198" s="69">
        <v>0</v>
      </c>
      <c r="S198" s="69">
        <v>24080400</v>
      </c>
      <c r="T198" s="69">
        <v>12541500</v>
      </c>
      <c r="U198" s="69">
        <v>12608600</v>
      </c>
      <c r="V198" s="69">
        <v>14422100</v>
      </c>
      <c r="W198" s="69">
        <v>9666600</v>
      </c>
      <c r="X198" s="69">
        <v>0</v>
      </c>
      <c r="Y198" s="69">
        <v>0</v>
      </c>
      <c r="Z198" s="69">
        <v>23542300</v>
      </c>
      <c r="AA198" s="69">
        <v>13748200</v>
      </c>
      <c r="AB198" s="69">
        <v>11417800</v>
      </c>
      <c r="AC198" s="69">
        <v>10526400</v>
      </c>
      <c r="AD198" s="69">
        <v>8406100</v>
      </c>
      <c r="AE198" s="69">
        <v>0</v>
      </c>
      <c r="AF198" s="69">
        <v>0</v>
      </c>
      <c r="AG198" s="69">
        <v>33955600</v>
      </c>
      <c r="AH198" s="69">
        <v>32848000</v>
      </c>
      <c r="AI198" s="69">
        <v>67012300</v>
      </c>
      <c r="AJ198" s="69">
        <v>76713200</v>
      </c>
      <c r="AK198" s="69">
        <v>68533700</v>
      </c>
      <c r="AL198" s="69">
        <v>0</v>
      </c>
      <c r="AM198" s="69">
        <v>0</v>
      </c>
      <c r="AN198" s="69">
        <v>84561300</v>
      </c>
      <c r="AO198" s="69">
        <v>27667600</v>
      </c>
      <c r="AP198" s="69">
        <v>34178600</v>
      </c>
      <c r="AQ198" s="69">
        <v>27024600</v>
      </c>
      <c r="AR198" s="69">
        <v>14986200</v>
      </c>
      <c r="AS198" s="69">
        <v>-190000</v>
      </c>
      <c r="AT198" s="69">
        <v>0</v>
      </c>
      <c r="AU198" s="69"/>
      <c r="AW198" s="66">
        <f t="shared" si="22"/>
        <v>0</v>
      </c>
      <c r="AX198" s="66">
        <f t="shared" si="22"/>
        <v>73319200</v>
      </c>
      <c r="AY198" s="66">
        <f t="shared" si="22"/>
        <v>67640800</v>
      </c>
      <c r="AZ198" s="66">
        <f t="shared" si="22"/>
        <v>279062800</v>
      </c>
      <c r="BA198" s="66">
        <f t="shared" si="22"/>
        <v>188228300</v>
      </c>
      <c r="BC198" s="66">
        <f t="shared" ca="1" si="17"/>
        <v>430060500</v>
      </c>
      <c r="BD198" s="66">
        <f t="shared" si="18"/>
        <v>618288800</v>
      </c>
    </row>
    <row r="199" spans="1:56" x14ac:dyDescent="0.3">
      <c r="A199" s="6" t="str">
        <f>IFERROR(VLOOKUP($F199,매장구분!$B:$K,2,0),"")</f>
        <v>E-biz</v>
      </c>
      <c r="B199" s="6" t="str">
        <f>IFERROR(VLOOKUP($F199,매장구분!$B:$K,3,0),"")</f>
        <v>국내</v>
      </c>
      <c r="C199" s="6" t="str">
        <f>IFERROR(VLOOKUP($F199,매장구분!$B:$K,5,0),"")</f>
        <v>온(제휴몰)</v>
      </c>
      <c r="D199" s="6" t="str">
        <f>IFERROR(VLOOKUP($F199,매장구분!$B:$Z,9,0),"")</f>
        <v>MLB 글로벌</v>
      </c>
      <c r="E199" s="69" t="s">
        <v>578</v>
      </c>
      <c r="F199" s="69" t="s">
        <v>579</v>
      </c>
      <c r="G199" s="69">
        <v>63</v>
      </c>
      <c r="H199" s="69">
        <v>7048129</v>
      </c>
      <c r="I199" s="69">
        <v>6365000</v>
      </c>
      <c r="J199" s="69">
        <v>63</v>
      </c>
      <c r="K199" s="69">
        <v>7048129</v>
      </c>
      <c r="L199" s="69">
        <v>6365000</v>
      </c>
      <c r="M199" s="69">
        <v>0</v>
      </c>
      <c r="N199" s="69">
        <v>0</v>
      </c>
      <c r="O199" s="69">
        <v>0</v>
      </c>
      <c r="P199" s="69">
        <v>163229</v>
      </c>
      <c r="Q199" s="69">
        <v>0</v>
      </c>
      <c r="R199" s="69">
        <v>0</v>
      </c>
      <c r="S199" s="69">
        <v>0</v>
      </c>
      <c r="T199" s="69">
        <v>0</v>
      </c>
      <c r="U199" s="69">
        <v>0</v>
      </c>
      <c r="V199" s="69">
        <v>624143</v>
      </c>
      <c r="W199" s="69">
        <v>409887</v>
      </c>
      <c r="X199" s="69">
        <v>0</v>
      </c>
      <c r="Y199" s="69">
        <v>0</v>
      </c>
      <c r="Z199" s="69">
        <v>394547</v>
      </c>
      <c r="AA199" s="69">
        <v>152394</v>
      </c>
      <c r="AB199" s="69">
        <v>1447468</v>
      </c>
      <c r="AC199" s="69">
        <v>0</v>
      </c>
      <c r="AD199" s="69">
        <v>297765</v>
      </c>
      <c r="AE199" s="69">
        <v>0</v>
      </c>
      <c r="AF199" s="69">
        <v>0</v>
      </c>
      <c r="AG199" s="69">
        <v>973229</v>
      </c>
      <c r="AH199" s="69">
        <v>109418</v>
      </c>
      <c r="AI199" s="69">
        <v>316121</v>
      </c>
      <c r="AJ199" s="69">
        <v>174075</v>
      </c>
      <c r="AK199" s="69">
        <v>663793</v>
      </c>
      <c r="AL199" s="69">
        <v>0</v>
      </c>
      <c r="AM199" s="69">
        <v>0</v>
      </c>
      <c r="AN199" s="69">
        <v>0</v>
      </c>
      <c r="AO199" s="69">
        <v>1098018</v>
      </c>
      <c r="AP199" s="69">
        <v>0</v>
      </c>
      <c r="AQ199" s="69">
        <v>224042</v>
      </c>
      <c r="AR199" s="69">
        <v>0</v>
      </c>
      <c r="AS199" s="69">
        <v>0</v>
      </c>
      <c r="AT199" s="69">
        <v>0</v>
      </c>
      <c r="AU199" s="69"/>
      <c r="AW199" s="66">
        <f t="shared" si="22"/>
        <v>0</v>
      </c>
      <c r="AX199" s="66">
        <f t="shared" si="22"/>
        <v>1034030</v>
      </c>
      <c r="AY199" s="66">
        <f t="shared" si="22"/>
        <v>2292174</v>
      </c>
      <c r="AZ199" s="66">
        <f t="shared" si="22"/>
        <v>2236636</v>
      </c>
      <c r="BA199" s="66">
        <f t="shared" si="22"/>
        <v>1322060</v>
      </c>
      <c r="BC199" s="66">
        <f t="shared" ca="1" si="17"/>
        <v>5726069</v>
      </c>
      <c r="BD199" s="66">
        <f t="shared" si="18"/>
        <v>7048129</v>
      </c>
    </row>
    <row r="200" spans="1:56" x14ac:dyDescent="0.3">
      <c r="A200" s="6" t="str">
        <f>IFERROR(VLOOKUP($F200,매장구분!$B:$K,2,0),"")</f>
        <v>E-biz</v>
      </c>
      <c r="B200" s="6" t="str">
        <f>IFERROR(VLOOKUP($F200,매장구분!$B:$K,3,0),"")</f>
        <v>국내</v>
      </c>
      <c r="C200" s="6" t="str">
        <f>IFERROR(VLOOKUP($F200,매장구분!$B:$K,5,0),"")</f>
        <v>온(제휴몰)</v>
      </c>
      <c r="D200" s="6" t="str">
        <f>IFERROR(VLOOKUP($F200,매장구분!$B:$Z,9,0),"")</f>
        <v>카카오선물하기(제휴몰)</v>
      </c>
      <c r="E200" s="69" t="s">
        <v>209</v>
      </c>
      <c r="F200" s="69" t="s">
        <v>210</v>
      </c>
      <c r="G200" s="69">
        <v>5093</v>
      </c>
      <c r="H200" s="69">
        <v>197544800</v>
      </c>
      <c r="I200" s="69">
        <v>197921000</v>
      </c>
      <c r="J200" s="69">
        <v>5136</v>
      </c>
      <c r="K200" s="69">
        <v>199477300</v>
      </c>
      <c r="L200" s="69">
        <v>199873000</v>
      </c>
      <c r="M200" s="69">
        <v>-43</v>
      </c>
      <c r="N200" s="69">
        <v>-1932500</v>
      </c>
      <c r="O200" s="69">
        <v>-1952000</v>
      </c>
      <c r="P200" s="69">
        <v>7631000</v>
      </c>
      <c r="Q200" s="69">
        <v>0</v>
      </c>
      <c r="R200" s="69">
        <v>0</v>
      </c>
      <c r="S200" s="69">
        <v>21238800</v>
      </c>
      <c r="T200" s="69">
        <v>10152000</v>
      </c>
      <c r="U200" s="69">
        <v>8079800</v>
      </c>
      <c r="V200" s="69">
        <v>6514000</v>
      </c>
      <c r="W200" s="69">
        <v>6550500</v>
      </c>
      <c r="X200" s="69">
        <v>0</v>
      </c>
      <c r="Y200" s="69">
        <v>0</v>
      </c>
      <c r="Z200" s="69">
        <v>19031300</v>
      </c>
      <c r="AA200" s="69">
        <v>11363000</v>
      </c>
      <c r="AB200" s="69">
        <v>7138000</v>
      </c>
      <c r="AC200" s="69">
        <v>7418300</v>
      </c>
      <c r="AD200" s="69">
        <v>7629500</v>
      </c>
      <c r="AE200" s="69">
        <v>0</v>
      </c>
      <c r="AF200" s="69">
        <v>0</v>
      </c>
      <c r="AG200" s="69">
        <v>19833000</v>
      </c>
      <c r="AH200" s="69">
        <v>8621000</v>
      </c>
      <c r="AI200" s="69">
        <v>6020500</v>
      </c>
      <c r="AJ200" s="69">
        <v>6511000</v>
      </c>
      <c r="AK200" s="69">
        <v>7845000</v>
      </c>
      <c r="AL200" s="69">
        <v>0</v>
      </c>
      <c r="AM200" s="69">
        <v>0</v>
      </c>
      <c r="AN200" s="69">
        <v>13601000</v>
      </c>
      <c r="AO200" s="69">
        <v>6397000</v>
      </c>
      <c r="AP200" s="69">
        <v>6010600</v>
      </c>
      <c r="AQ200" s="69">
        <v>4862000</v>
      </c>
      <c r="AR200" s="69">
        <v>5097500</v>
      </c>
      <c r="AS200" s="69">
        <v>0</v>
      </c>
      <c r="AT200" s="69">
        <v>0</v>
      </c>
      <c r="AU200" s="69"/>
      <c r="AW200" s="66">
        <f t="shared" si="22"/>
        <v>0</v>
      </c>
      <c r="AX200" s="66">
        <f t="shared" si="22"/>
        <v>52535100</v>
      </c>
      <c r="AY200" s="66">
        <f t="shared" si="22"/>
        <v>52580100</v>
      </c>
      <c r="AZ200" s="66">
        <f t="shared" si="22"/>
        <v>48830500</v>
      </c>
      <c r="BA200" s="66">
        <f t="shared" si="22"/>
        <v>35968100</v>
      </c>
      <c r="BC200" s="66">
        <f t="shared" ref="BC200:BC211" ca="1" si="23">SUMIFS($P200:$AT200,$P$2:$AT$2,BC$3)</f>
        <v>161576700</v>
      </c>
      <c r="BD200" s="66">
        <f t="shared" ref="BD200:BD211" si="24">SUM(P200:AS200)</f>
        <v>197544800</v>
      </c>
    </row>
    <row r="201" spans="1:56" x14ac:dyDescent="0.3">
      <c r="A201" s="6" t="str">
        <f>IFERROR(VLOOKUP($F201,매장구분!$B:$K,2,0),"")</f>
        <v>E-biz</v>
      </c>
      <c r="B201" s="6" t="str">
        <f>IFERROR(VLOOKUP($F201,매장구분!$B:$K,3,0),"")</f>
        <v>국내</v>
      </c>
      <c r="C201" s="6" t="str">
        <f>IFERROR(VLOOKUP($F201,매장구분!$B:$K,5,0),"")</f>
        <v>온(제휴몰)</v>
      </c>
      <c r="D201" s="6" t="str">
        <f>IFERROR(VLOOKUP($F201,매장구분!$B:$Z,9,0),"")</f>
        <v>29CM(제휴몰)</v>
      </c>
      <c r="E201" s="69" t="s">
        <v>518</v>
      </c>
      <c r="F201" s="69" t="s">
        <v>519</v>
      </c>
      <c r="G201" s="69">
        <v>1434</v>
      </c>
      <c r="H201" s="69">
        <v>82964200</v>
      </c>
      <c r="I201" s="69">
        <v>83717900</v>
      </c>
      <c r="J201" s="69">
        <v>1527</v>
      </c>
      <c r="K201" s="69">
        <v>89241400</v>
      </c>
      <c r="L201" s="69">
        <v>90277900</v>
      </c>
      <c r="M201" s="69">
        <v>-93</v>
      </c>
      <c r="N201" s="69">
        <v>-6277200</v>
      </c>
      <c r="O201" s="69">
        <v>-6560000</v>
      </c>
      <c r="P201" s="69">
        <v>1436000</v>
      </c>
      <c r="Q201" s="69">
        <v>0</v>
      </c>
      <c r="R201" s="69">
        <v>0</v>
      </c>
      <c r="S201" s="69">
        <v>6243000</v>
      </c>
      <c r="T201" s="69">
        <v>4262000</v>
      </c>
      <c r="U201" s="69">
        <v>3676500</v>
      </c>
      <c r="V201" s="69">
        <v>3838500</v>
      </c>
      <c r="W201" s="69">
        <v>4190200</v>
      </c>
      <c r="X201" s="69">
        <v>0</v>
      </c>
      <c r="Y201" s="69">
        <v>0</v>
      </c>
      <c r="Z201" s="69">
        <v>9526000</v>
      </c>
      <c r="AA201" s="69">
        <v>4958500</v>
      </c>
      <c r="AB201" s="69">
        <v>3891300</v>
      </c>
      <c r="AC201" s="69">
        <v>5286100</v>
      </c>
      <c r="AD201" s="69">
        <v>5354000</v>
      </c>
      <c r="AE201" s="69">
        <v>0</v>
      </c>
      <c r="AF201" s="69">
        <v>0</v>
      </c>
      <c r="AG201" s="69">
        <v>7260000</v>
      </c>
      <c r="AH201" s="69">
        <v>2974500</v>
      </c>
      <c r="AI201" s="69">
        <v>2178300</v>
      </c>
      <c r="AJ201" s="69">
        <v>1971000</v>
      </c>
      <c r="AK201" s="69">
        <v>1205000</v>
      </c>
      <c r="AL201" s="69">
        <v>0</v>
      </c>
      <c r="AM201" s="69">
        <v>0</v>
      </c>
      <c r="AN201" s="69">
        <v>3716000</v>
      </c>
      <c r="AO201" s="69">
        <v>3026500</v>
      </c>
      <c r="AP201" s="69">
        <v>2641500</v>
      </c>
      <c r="AQ201" s="69">
        <v>2634300</v>
      </c>
      <c r="AR201" s="69">
        <v>2589800</v>
      </c>
      <c r="AS201" s="69">
        <v>105200</v>
      </c>
      <c r="AT201" s="69">
        <v>0</v>
      </c>
      <c r="AU201" s="69"/>
      <c r="AW201" s="66">
        <f t="shared" si="22"/>
        <v>0</v>
      </c>
      <c r="AX201" s="66">
        <f t="shared" si="22"/>
        <v>22210200</v>
      </c>
      <c r="AY201" s="66">
        <f t="shared" si="22"/>
        <v>29015900</v>
      </c>
      <c r="AZ201" s="66">
        <f t="shared" si="22"/>
        <v>15588800</v>
      </c>
      <c r="BA201" s="66">
        <f t="shared" si="22"/>
        <v>14713300</v>
      </c>
      <c r="BC201" s="66">
        <f t="shared" ca="1" si="23"/>
        <v>68250900</v>
      </c>
      <c r="BD201" s="66">
        <f t="shared" si="24"/>
        <v>82964200</v>
      </c>
    </row>
    <row r="202" spans="1:56" x14ac:dyDescent="0.3">
      <c r="A202" s="6" t="str">
        <f>IFERROR(VLOOKUP($F202,매장구분!$B:$K,2,0),"")</f>
        <v>E-biz</v>
      </c>
      <c r="B202" s="6" t="str">
        <f>IFERROR(VLOOKUP($F202,매장구분!$B:$K,3,0),"")</f>
        <v>국내</v>
      </c>
      <c r="C202" s="6" t="str">
        <f>IFERROR(VLOOKUP($F202,매장구분!$B:$K,5,0),"")</f>
        <v>온(제휴몰)</v>
      </c>
      <c r="D202" s="6" t="str">
        <f>IFERROR(VLOOKUP($F202,매장구분!$B:$Z,9,0),"")</f>
        <v>SSG닷컴(제휴몰)</v>
      </c>
      <c r="E202" s="69" t="s">
        <v>498</v>
      </c>
      <c r="F202" s="69" t="s">
        <v>499</v>
      </c>
      <c r="G202" s="69">
        <v>885</v>
      </c>
      <c r="H202" s="69">
        <v>82902300</v>
      </c>
      <c r="I202" s="69">
        <v>85645000</v>
      </c>
      <c r="J202" s="69">
        <v>976</v>
      </c>
      <c r="K202" s="69">
        <v>92882900</v>
      </c>
      <c r="L202" s="69">
        <v>95835000</v>
      </c>
      <c r="M202" s="69">
        <v>-91</v>
      </c>
      <c r="N202" s="69">
        <v>-9980600</v>
      </c>
      <c r="O202" s="69">
        <v>-10190000</v>
      </c>
      <c r="P202" s="69">
        <v>1108500</v>
      </c>
      <c r="Q202" s="69">
        <v>0</v>
      </c>
      <c r="R202" s="69">
        <v>0</v>
      </c>
      <c r="S202" s="69">
        <v>11060000</v>
      </c>
      <c r="T202" s="69">
        <v>2799200</v>
      </c>
      <c r="U202" s="69">
        <v>3525600</v>
      </c>
      <c r="V202" s="69">
        <v>4495300</v>
      </c>
      <c r="W202" s="69">
        <v>2979000</v>
      </c>
      <c r="X202" s="69">
        <v>0</v>
      </c>
      <c r="Y202" s="69">
        <v>0</v>
      </c>
      <c r="Z202" s="69">
        <v>8529000</v>
      </c>
      <c r="AA202" s="69">
        <v>2819400</v>
      </c>
      <c r="AB202" s="69">
        <v>1267300</v>
      </c>
      <c r="AC202" s="69">
        <v>1797500</v>
      </c>
      <c r="AD202" s="69">
        <v>2337000</v>
      </c>
      <c r="AE202" s="69">
        <v>0</v>
      </c>
      <c r="AF202" s="69">
        <v>0</v>
      </c>
      <c r="AG202" s="69">
        <v>5108600</v>
      </c>
      <c r="AH202" s="69">
        <v>2994000</v>
      </c>
      <c r="AI202" s="69">
        <v>5133500</v>
      </c>
      <c r="AJ202" s="69">
        <v>3658500</v>
      </c>
      <c r="AK202" s="69">
        <v>3400500</v>
      </c>
      <c r="AL202" s="69">
        <v>0</v>
      </c>
      <c r="AM202" s="69">
        <v>0</v>
      </c>
      <c r="AN202" s="69">
        <v>4107300</v>
      </c>
      <c r="AO202" s="69">
        <v>1617500</v>
      </c>
      <c r="AP202" s="69">
        <v>6731000</v>
      </c>
      <c r="AQ202" s="69">
        <v>4534800</v>
      </c>
      <c r="AR202" s="69">
        <v>2935800</v>
      </c>
      <c r="AS202" s="69">
        <v>-37000</v>
      </c>
      <c r="AT202" s="69">
        <v>0</v>
      </c>
      <c r="AU202" s="69"/>
      <c r="AW202" s="66">
        <f t="shared" si="22"/>
        <v>0</v>
      </c>
      <c r="AX202" s="66">
        <f t="shared" si="22"/>
        <v>24859100</v>
      </c>
      <c r="AY202" s="66">
        <f t="shared" si="22"/>
        <v>16750200</v>
      </c>
      <c r="AZ202" s="66">
        <f t="shared" si="22"/>
        <v>20295100</v>
      </c>
      <c r="BA202" s="66">
        <f t="shared" si="22"/>
        <v>19889400</v>
      </c>
      <c r="BC202" s="66">
        <f t="shared" ca="1" si="23"/>
        <v>63012900</v>
      </c>
      <c r="BD202" s="66">
        <f t="shared" si="24"/>
        <v>82902300</v>
      </c>
    </row>
    <row r="203" spans="1:56" x14ac:dyDescent="0.3">
      <c r="A203" s="6" t="str">
        <f>IFERROR(VLOOKUP($F203,매장구분!$B:$K,2,0),"")</f>
        <v>E-biz</v>
      </c>
      <c r="B203" s="6" t="str">
        <f>IFERROR(VLOOKUP($F203,매장구분!$B:$K,3,0),"")</f>
        <v>국내</v>
      </c>
      <c r="C203" s="6" t="str">
        <f>IFERROR(VLOOKUP($F203,매장구분!$B:$K,5,0),"")</f>
        <v>온(제휴몰)</v>
      </c>
      <c r="D203" s="6" t="str">
        <f>IFERROR(VLOOKUP($F203,매장구분!$B:$Z,9,0),"")</f>
        <v>롯데ON(제휴몰)</v>
      </c>
      <c r="E203" s="69" t="s">
        <v>253</v>
      </c>
      <c r="F203" s="69" t="s">
        <v>254</v>
      </c>
      <c r="G203" s="69">
        <v>1479</v>
      </c>
      <c r="H203" s="69">
        <v>153542600</v>
      </c>
      <c r="I203" s="69">
        <v>166450000</v>
      </c>
      <c r="J203" s="69">
        <v>1954</v>
      </c>
      <c r="K203" s="69">
        <v>195465700</v>
      </c>
      <c r="L203" s="69">
        <v>219220000</v>
      </c>
      <c r="M203" s="69">
        <v>-475</v>
      </c>
      <c r="N203" s="69">
        <v>-41923100</v>
      </c>
      <c r="O203" s="69">
        <v>-52770000</v>
      </c>
      <c r="P203" s="69">
        <v>1481000</v>
      </c>
      <c r="Q203" s="69">
        <v>0</v>
      </c>
      <c r="R203" s="69">
        <v>0</v>
      </c>
      <c r="S203" s="69">
        <v>8602000</v>
      </c>
      <c r="T203" s="69">
        <v>5834500</v>
      </c>
      <c r="U203" s="69">
        <v>3231700</v>
      </c>
      <c r="V203" s="69">
        <v>2795500</v>
      </c>
      <c r="W203" s="69">
        <v>3133100</v>
      </c>
      <c r="X203" s="69">
        <v>0</v>
      </c>
      <c r="Y203" s="69">
        <v>0</v>
      </c>
      <c r="Z203" s="69">
        <v>10246300</v>
      </c>
      <c r="AA203" s="69">
        <v>4572800</v>
      </c>
      <c r="AB203" s="69">
        <v>5288400</v>
      </c>
      <c r="AC203" s="69">
        <v>5189700</v>
      </c>
      <c r="AD203" s="69">
        <v>3204200</v>
      </c>
      <c r="AE203" s="69">
        <v>0</v>
      </c>
      <c r="AF203" s="69">
        <v>0</v>
      </c>
      <c r="AG203" s="69">
        <v>13489500</v>
      </c>
      <c r="AH203" s="69">
        <v>7859100</v>
      </c>
      <c r="AI203" s="69">
        <v>8670300</v>
      </c>
      <c r="AJ203" s="69">
        <v>3329100</v>
      </c>
      <c r="AK203" s="69">
        <v>5714200</v>
      </c>
      <c r="AL203" s="69">
        <v>0</v>
      </c>
      <c r="AM203" s="69">
        <v>0</v>
      </c>
      <c r="AN203" s="69">
        <v>23933800</v>
      </c>
      <c r="AO203" s="69">
        <v>6407300</v>
      </c>
      <c r="AP203" s="69">
        <v>10489200</v>
      </c>
      <c r="AQ203" s="69">
        <v>6177300</v>
      </c>
      <c r="AR203" s="69">
        <v>3768100</v>
      </c>
      <c r="AS203" s="69">
        <v>10125500</v>
      </c>
      <c r="AT203" s="69">
        <v>0</v>
      </c>
      <c r="AU203" s="69"/>
      <c r="AW203" s="66">
        <f t="shared" si="22"/>
        <v>0</v>
      </c>
      <c r="AX203" s="66">
        <f t="shared" si="22"/>
        <v>23596800</v>
      </c>
      <c r="AY203" s="66">
        <f t="shared" si="22"/>
        <v>28501400</v>
      </c>
      <c r="AZ203" s="66">
        <f t="shared" si="22"/>
        <v>39062200</v>
      </c>
      <c r="BA203" s="66">
        <f t="shared" si="22"/>
        <v>60901200</v>
      </c>
      <c r="BC203" s="66">
        <f t="shared" ca="1" si="23"/>
        <v>92641400</v>
      </c>
      <c r="BD203" s="66">
        <f t="shared" si="24"/>
        <v>153542600</v>
      </c>
    </row>
    <row r="204" spans="1:56" x14ac:dyDescent="0.3">
      <c r="A204" s="6" t="str">
        <f>IFERROR(VLOOKUP($F204,매장구분!$B:$K,2,0),"")</f>
        <v>E-biz</v>
      </c>
      <c r="B204" s="6" t="str">
        <f>IFERROR(VLOOKUP($F204,매장구분!$B:$K,3,0),"")</f>
        <v>국내</v>
      </c>
      <c r="C204" s="6" t="str">
        <f>IFERROR(VLOOKUP($F204,매장구분!$B:$K,5,0),"")</f>
        <v>온(제휴몰)</v>
      </c>
      <c r="D204" s="6" t="str">
        <f>IFERROR(VLOOKUP($F204,매장구분!$B:$Z,9,0),"")</f>
        <v>SSF샵(제휴몰)</v>
      </c>
      <c r="E204" s="69" t="s">
        <v>342</v>
      </c>
      <c r="F204" s="69" t="s">
        <v>343</v>
      </c>
      <c r="G204" s="69">
        <v>267</v>
      </c>
      <c r="H204" s="69">
        <v>37344700</v>
      </c>
      <c r="I204" s="69">
        <v>38279000</v>
      </c>
      <c r="J204" s="69">
        <v>322</v>
      </c>
      <c r="K204" s="69">
        <v>47519700</v>
      </c>
      <c r="L204" s="69">
        <v>48454000</v>
      </c>
      <c r="M204" s="69">
        <v>-55</v>
      </c>
      <c r="N204" s="69">
        <v>-10175000</v>
      </c>
      <c r="O204" s="69">
        <v>-10175000</v>
      </c>
      <c r="P204" s="69">
        <v>383000</v>
      </c>
      <c r="Q204" s="69">
        <v>0</v>
      </c>
      <c r="R204" s="69">
        <v>0</v>
      </c>
      <c r="S204" s="69">
        <v>2236000</v>
      </c>
      <c r="T204" s="69">
        <v>5164000</v>
      </c>
      <c r="U204" s="69">
        <v>3237000</v>
      </c>
      <c r="V204" s="69">
        <v>-987000</v>
      </c>
      <c r="W204" s="69">
        <v>1814300</v>
      </c>
      <c r="X204" s="69">
        <v>0</v>
      </c>
      <c r="Y204" s="69">
        <v>0</v>
      </c>
      <c r="Z204" s="69">
        <v>17862000</v>
      </c>
      <c r="AA204" s="69">
        <v>5789600</v>
      </c>
      <c r="AB204" s="69">
        <v>1890000</v>
      </c>
      <c r="AC204" s="69">
        <v>308500</v>
      </c>
      <c r="AD204" s="69">
        <v>131300</v>
      </c>
      <c r="AE204" s="69">
        <v>0</v>
      </c>
      <c r="AF204" s="69">
        <v>0</v>
      </c>
      <c r="AG204" s="69">
        <v>251000</v>
      </c>
      <c r="AH204" s="69">
        <v>-223500</v>
      </c>
      <c r="AI204" s="69">
        <v>-267500</v>
      </c>
      <c r="AJ204" s="69">
        <v>-557500</v>
      </c>
      <c r="AK204" s="69">
        <v>-159000</v>
      </c>
      <c r="AL204" s="69">
        <v>0</v>
      </c>
      <c r="AM204" s="69">
        <v>0</v>
      </c>
      <c r="AN204" s="69">
        <v>-120000</v>
      </c>
      <c r="AO204" s="69">
        <v>-458500</v>
      </c>
      <c r="AP204" s="69">
        <v>783000</v>
      </c>
      <c r="AQ204" s="69">
        <v>139000</v>
      </c>
      <c r="AR204" s="69">
        <v>119000</v>
      </c>
      <c r="AS204" s="69">
        <v>10000</v>
      </c>
      <c r="AT204" s="69">
        <v>0</v>
      </c>
      <c r="AU204" s="69"/>
      <c r="AW204" s="66">
        <f t="shared" ref="AW204:BA211" si="25">SUMIFS($Q204:$AU204,$Q$3:$AU$3,AW$3)</f>
        <v>0</v>
      </c>
      <c r="AX204" s="66">
        <f t="shared" si="25"/>
        <v>11464300</v>
      </c>
      <c r="AY204" s="66">
        <f t="shared" si="25"/>
        <v>25981400</v>
      </c>
      <c r="AZ204" s="66">
        <f t="shared" si="25"/>
        <v>-956500</v>
      </c>
      <c r="BA204" s="66">
        <f t="shared" si="25"/>
        <v>472500</v>
      </c>
      <c r="BC204" s="66">
        <f t="shared" ca="1" si="23"/>
        <v>36872200</v>
      </c>
      <c r="BD204" s="66">
        <f t="shared" si="24"/>
        <v>37344700</v>
      </c>
    </row>
    <row r="205" spans="1:56" x14ac:dyDescent="0.3">
      <c r="A205" s="6" t="str">
        <f>IFERROR(VLOOKUP($F205,매장구분!$B:$K,2,0),"")</f>
        <v>E-biz</v>
      </c>
      <c r="B205" s="6" t="str">
        <f>IFERROR(VLOOKUP($F205,매장구분!$B:$K,3,0),"")</f>
        <v>국내</v>
      </c>
      <c r="C205" s="6" t="str">
        <f>IFERROR(VLOOKUP($F205,매장구분!$B:$K,5,0),"")</f>
        <v>온(제휴몰)</v>
      </c>
      <c r="D205" s="6" t="str">
        <f>IFERROR(VLOOKUP($F205,매장구분!$B:$Z,9,0),"")</f>
        <v>CJ온스타일(제휴몰)</v>
      </c>
      <c r="E205" s="69" t="s">
        <v>279</v>
      </c>
      <c r="F205" s="69" t="s">
        <v>280</v>
      </c>
      <c r="G205" s="69">
        <v>234</v>
      </c>
      <c r="H205" s="69">
        <v>17935200</v>
      </c>
      <c r="I205" s="69">
        <v>18122700</v>
      </c>
      <c r="J205" s="69">
        <v>267</v>
      </c>
      <c r="K205" s="69">
        <v>21000000</v>
      </c>
      <c r="L205" s="69">
        <v>21287700</v>
      </c>
      <c r="M205" s="69">
        <v>-33</v>
      </c>
      <c r="N205" s="69">
        <v>-3064800</v>
      </c>
      <c r="O205" s="69">
        <v>-3165000</v>
      </c>
      <c r="P205" s="69">
        <v>619500</v>
      </c>
      <c r="Q205" s="69">
        <v>0</v>
      </c>
      <c r="R205" s="69">
        <v>0</v>
      </c>
      <c r="S205" s="69">
        <v>3225800</v>
      </c>
      <c r="T205" s="69">
        <v>548000</v>
      </c>
      <c r="U205" s="69">
        <v>336000</v>
      </c>
      <c r="V205" s="69">
        <v>220800</v>
      </c>
      <c r="W205" s="69">
        <v>236000</v>
      </c>
      <c r="X205" s="69">
        <v>0</v>
      </c>
      <c r="Y205" s="69">
        <v>0</v>
      </c>
      <c r="Z205" s="69">
        <v>3134800</v>
      </c>
      <c r="AA205" s="69">
        <v>763000</v>
      </c>
      <c r="AB205" s="69">
        <v>455700</v>
      </c>
      <c r="AC205" s="69">
        <v>619300</v>
      </c>
      <c r="AD205" s="69">
        <v>236000</v>
      </c>
      <c r="AE205" s="69">
        <v>0</v>
      </c>
      <c r="AF205" s="69">
        <v>0</v>
      </c>
      <c r="AG205" s="69">
        <v>1541000</v>
      </c>
      <c r="AH205" s="69">
        <v>503000</v>
      </c>
      <c r="AI205" s="69">
        <v>344000</v>
      </c>
      <c r="AJ205" s="69">
        <v>441500</v>
      </c>
      <c r="AK205" s="69">
        <v>326000</v>
      </c>
      <c r="AL205" s="69">
        <v>0</v>
      </c>
      <c r="AM205" s="69">
        <v>0</v>
      </c>
      <c r="AN205" s="69">
        <v>890000</v>
      </c>
      <c r="AO205" s="69">
        <v>1018000</v>
      </c>
      <c r="AP205" s="69">
        <v>811000</v>
      </c>
      <c r="AQ205" s="69">
        <v>1344300</v>
      </c>
      <c r="AR205" s="69">
        <v>293000</v>
      </c>
      <c r="AS205" s="69">
        <v>28500</v>
      </c>
      <c r="AT205" s="69">
        <v>0</v>
      </c>
      <c r="AU205" s="69"/>
      <c r="AW205" s="66">
        <f t="shared" si="25"/>
        <v>0</v>
      </c>
      <c r="AX205" s="66">
        <f t="shared" si="25"/>
        <v>4566600</v>
      </c>
      <c r="AY205" s="66">
        <f t="shared" si="25"/>
        <v>5208800</v>
      </c>
      <c r="AZ205" s="66">
        <f t="shared" si="25"/>
        <v>3155500</v>
      </c>
      <c r="BA205" s="66">
        <f t="shared" si="25"/>
        <v>4384800</v>
      </c>
      <c r="BC205" s="66">
        <f t="shared" ca="1" si="23"/>
        <v>13550400</v>
      </c>
      <c r="BD205" s="66">
        <f t="shared" si="24"/>
        <v>17935200</v>
      </c>
    </row>
    <row r="206" spans="1:56" x14ac:dyDescent="0.3">
      <c r="A206" s="6" t="str">
        <f>IFERROR(VLOOKUP($F206,매장구분!$B:$K,2,0),"")</f>
        <v>E-biz</v>
      </c>
      <c r="B206" s="6" t="str">
        <f>IFERROR(VLOOKUP($F206,매장구분!$B:$K,3,0),"")</f>
        <v>국내</v>
      </c>
      <c r="C206" s="6" t="str">
        <f>IFERROR(VLOOKUP($F206,매장구분!$B:$K,5,0),"")</f>
        <v>온(제휴몰)</v>
      </c>
      <c r="D206" s="6" t="str">
        <f>IFERROR(VLOOKUP($F206,매장구분!$B:$Z,9,0),"")</f>
        <v>GS SHOP(제휴몰)</v>
      </c>
      <c r="E206" s="69" t="s">
        <v>550</v>
      </c>
      <c r="F206" s="69" t="s">
        <v>551</v>
      </c>
      <c r="G206" s="69">
        <v>767</v>
      </c>
      <c r="H206" s="69">
        <v>84421900</v>
      </c>
      <c r="I206" s="69">
        <v>86587000</v>
      </c>
      <c r="J206" s="69">
        <v>849</v>
      </c>
      <c r="K206" s="69">
        <v>95775000</v>
      </c>
      <c r="L206" s="69">
        <v>98552000</v>
      </c>
      <c r="M206" s="69">
        <v>-82</v>
      </c>
      <c r="N206" s="69">
        <v>-11353100</v>
      </c>
      <c r="O206" s="69">
        <v>-11965000</v>
      </c>
      <c r="P206" s="69">
        <v>2084300</v>
      </c>
      <c r="Q206" s="69">
        <v>0</v>
      </c>
      <c r="R206" s="69">
        <v>0</v>
      </c>
      <c r="S206" s="69">
        <v>2959500</v>
      </c>
      <c r="T206" s="69">
        <v>7008400</v>
      </c>
      <c r="U206" s="69">
        <v>2354000</v>
      </c>
      <c r="V206" s="69">
        <v>4267100</v>
      </c>
      <c r="W206" s="69">
        <v>4616500</v>
      </c>
      <c r="X206" s="69">
        <v>0</v>
      </c>
      <c r="Y206" s="69">
        <v>0</v>
      </c>
      <c r="Z206" s="69">
        <v>9231900</v>
      </c>
      <c r="AA206" s="69">
        <v>3768800</v>
      </c>
      <c r="AB206" s="69">
        <v>2707800</v>
      </c>
      <c r="AC206" s="69">
        <v>3847100</v>
      </c>
      <c r="AD206" s="69">
        <v>3773800</v>
      </c>
      <c r="AE206" s="69">
        <v>0</v>
      </c>
      <c r="AF206" s="69">
        <v>0</v>
      </c>
      <c r="AG206" s="69">
        <v>5530700</v>
      </c>
      <c r="AH206" s="69">
        <v>3536000</v>
      </c>
      <c r="AI206" s="69">
        <v>2006000</v>
      </c>
      <c r="AJ206" s="69">
        <v>1458200</v>
      </c>
      <c r="AK206" s="69">
        <v>2224500</v>
      </c>
      <c r="AL206" s="69">
        <v>0</v>
      </c>
      <c r="AM206" s="69">
        <v>0</v>
      </c>
      <c r="AN206" s="69">
        <v>3365500</v>
      </c>
      <c r="AO206" s="69">
        <v>4188300</v>
      </c>
      <c r="AP206" s="69">
        <v>4412300</v>
      </c>
      <c r="AQ206" s="69">
        <v>5757500</v>
      </c>
      <c r="AR206" s="69">
        <v>5193800</v>
      </c>
      <c r="AS206" s="69">
        <v>129900</v>
      </c>
      <c r="AT206" s="69">
        <v>0</v>
      </c>
      <c r="AU206" s="69"/>
      <c r="AW206" s="66">
        <f t="shared" si="25"/>
        <v>0</v>
      </c>
      <c r="AX206" s="66">
        <f t="shared" si="25"/>
        <v>21205500</v>
      </c>
      <c r="AY206" s="66">
        <f t="shared" si="25"/>
        <v>23329400</v>
      </c>
      <c r="AZ206" s="66">
        <f t="shared" si="25"/>
        <v>14755400</v>
      </c>
      <c r="BA206" s="66">
        <f t="shared" si="25"/>
        <v>23047300</v>
      </c>
      <c r="BC206" s="66">
        <f t="shared" ca="1" si="23"/>
        <v>61374600</v>
      </c>
      <c r="BD206" s="66">
        <f t="shared" si="24"/>
        <v>84421900</v>
      </c>
    </row>
    <row r="207" spans="1:56" x14ac:dyDescent="0.3">
      <c r="A207" s="6" t="str">
        <f>IFERROR(VLOOKUP($F207,매장구분!$B:$K,2,0),"")</f>
        <v>파트너채널팀</v>
      </c>
      <c r="B207" s="6" t="str">
        <f>IFERROR(VLOOKUP($F207,매장구분!$B:$K,3,0),"")</f>
        <v>도매</v>
      </c>
      <c r="C207" s="6" t="str">
        <f>IFERROR(VLOOKUP($F207,매장구분!$B:$K,5,0),"")</f>
        <v>도매</v>
      </c>
      <c r="D207" s="6" t="str">
        <f>IFERROR(VLOOKUP($F207,매장구분!$B:$Z,9,0),"")</f>
        <v>온라인완주</v>
      </c>
      <c r="E207" s="69" t="s">
        <v>566</v>
      </c>
      <c r="F207" s="69" t="s">
        <v>567</v>
      </c>
      <c r="G207" s="69">
        <v>9764</v>
      </c>
      <c r="H207" s="69">
        <v>281214486</v>
      </c>
      <c r="I207" s="69">
        <v>449941000</v>
      </c>
      <c r="J207" s="69">
        <v>9764</v>
      </c>
      <c r="K207" s="69">
        <v>281214486</v>
      </c>
      <c r="L207" s="69">
        <v>449941000</v>
      </c>
      <c r="M207" s="69">
        <v>0</v>
      </c>
      <c r="N207" s="69">
        <v>0</v>
      </c>
      <c r="O207" s="69">
        <v>0</v>
      </c>
      <c r="P207" s="69">
        <v>0</v>
      </c>
      <c r="Q207" s="69">
        <v>0</v>
      </c>
      <c r="R207" s="69">
        <v>0</v>
      </c>
      <c r="S207" s="69">
        <v>0</v>
      </c>
      <c r="T207" s="69">
        <v>0</v>
      </c>
      <c r="U207" s="69">
        <v>33025860</v>
      </c>
      <c r="V207" s="69">
        <v>83899116</v>
      </c>
      <c r="W207" s="69">
        <v>0</v>
      </c>
      <c r="X207" s="69">
        <v>0</v>
      </c>
      <c r="Y207" s="69">
        <v>0</v>
      </c>
      <c r="Z207" s="69">
        <v>0</v>
      </c>
      <c r="AA207" s="69">
        <v>0</v>
      </c>
      <c r="AB207" s="69">
        <v>26434800</v>
      </c>
      <c r="AC207" s="69">
        <v>18062730</v>
      </c>
      <c r="AD207" s="69">
        <v>0</v>
      </c>
      <c r="AE207" s="69">
        <v>0</v>
      </c>
      <c r="AF207" s="69">
        <v>0</v>
      </c>
      <c r="AG207" s="69">
        <v>0</v>
      </c>
      <c r="AH207" s="69">
        <v>0</v>
      </c>
      <c r="AI207" s="69">
        <v>37718100</v>
      </c>
      <c r="AJ207" s="69">
        <v>18012960</v>
      </c>
      <c r="AK207" s="69">
        <v>0</v>
      </c>
      <c r="AL207" s="69">
        <v>0</v>
      </c>
      <c r="AM207" s="69">
        <v>0</v>
      </c>
      <c r="AN207" s="69">
        <v>0</v>
      </c>
      <c r="AO207" s="69">
        <v>0</v>
      </c>
      <c r="AP207" s="69">
        <v>5206950</v>
      </c>
      <c r="AQ207" s="69">
        <v>58853970</v>
      </c>
      <c r="AR207" s="69">
        <v>0</v>
      </c>
      <c r="AS207" s="69">
        <v>0</v>
      </c>
      <c r="AT207" s="69">
        <v>0</v>
      </c>
      <c r="AU207" s="69"/>
      <c r="AW207" s="66">
        <f t="shared" si="25"/>
        <v>0</v>
      </c>
      <c r="AX207" s="66">
        <f t="shared" si="25"/>
        <v>116924976</v>
      </c>
      <c r="AY207" s="66">
        <f t="shared" si="25"/>
        <v>44497530</v>
      </c>
      <c r="AZ207" s="66">
        <f t="shared" si="25"/>
        <v>55731060</v>
      </c>
      <c r="BA207" s="66">
        <f t="shared" si="25"/>
        <v>64060920</v>
      </c>
      <c r="BC207" s="66">
        <f t="shared" ca="1" si="23"/>
        <v>217153566</v>
      </c>
      <c r="BD207" s="66">
        <f t="shared" si="24"/>
        <v>281214486</v>
      </c>
    </row>
    <row r="208" spans="1:56" x14ac:dyDescent="0.3">
      <c r="A208" s="6" t="str">
        <f>IFERROR(VLOOKUP($F208,매장구분!$B:$K,2,0),"")</f>
        <v/>
      </c>
      <c r="B208" s="6" t="str">
        <f>IFERROR(VLOOKUP($F208,매장구분!$B:$K,3,0),"")</f>
        <v/>
      </c>
      <c r="C208" s="6" t="str">
        <f>IFERROR(VLOOKUP($F208,매장구분!$B:$K,5,0),"")</f>
        <v/>
      </c>
      <c r="D208" s="6" t="str">
        <f>IFERROR(VLOOKUP($F208,매장구분!$B:$Z,9,0),"")</f>
        <v/>
      </c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  <c r="AC208" s="69"/>
      <c r="AD208" s="69"/>
      <c r="AE208" s="69"/>
      <c r="AF208" s="69"/>
      <c r="AG208" s="69"/>
      <c r="AH208" s="69"/>
      <c r="AI208" s="69"/>
      <c r="AJ208" s="69"/>
      <c r="AK208" s="69"/>
      <c r="AL208" s="69"/>
      <c r="AM208" s="69"/>
      <c r="AN208" s="69"/>
      <c r="AO208" s="69"/>
      <c r="AP208" s="69"/>
      <c r="AQ208" s="69"/>
      <c r="AR208" s="69"/>
      <c r="AS208" s="69"/>
      <c r="AT208" s="69"/>
      <c r="AU208" s="69"/>
      <c r="AW208" s="66">
        <f t="shared" si="25"/>
        <v>0</v>
      </c>
      <c r="AX208" s="66">
        <f t="shared" si="25"/>
        <v>0</v>
      </c>
      <c r="AY208" s="66">
        <f t="shared" si="25"/>
        <v>0</v>
      </c>
      <c r="AZ208" s="66">
        <f t="shared" si="25"/>
        <v>0</v>
      </c>
      <c r="BA208" s="66">
        <f t="shared" si="25"/>
        <v>0</v>
      </c>
      <c r="BC208" s="66">
        <f t="shared" ca="1" si="23"/>
        <v>0</v>
      </c>
      <c r="BD208" s="66">
        <f t="shared" si="24"/>
        <v>0</v>
      </c>
    </row>
    <row r="209" spans="1:56" x14ac:dyDescent="0.3">
      <c r="A209" s="6" t="str">
        <f>IFERROR(VLOOKUP($F209,매장구분!$B:$K,2,0),"")</f>
        <v/>
      </c>
      <c r="B209" s="6" t="str">
        <f>IFERROR(VLOOKUP($F209,매장구분!$B:$K,3,0),"")</f>
        <v/>
      </c>
      <c r="C209" s="6" t="str">
        <f>IFERROR(VLOOKUP($F209,매장구분!$B:$K,5,0),"")</f>
        <v/>
      </c>
      <c r="D209" s="6" t="str">
        <f>IFERROR(VLOOKUP($F209,매장구분!$B:$Z,9,0),"")</f>
        <v/>
      </c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  <c r="AC209" s="69"/>
      <c r="AD209" s="69"/>
      <c r="AE209" s="69"/>
      <c r="AF209" s="69"/>
      <c r="AG209" s="69"/>
      <c r="AH209" s="69"/>
      <c r="AI209" s="69"/>
      <c r="AJ209" s="69"/>
      <c r="AK209" s="69"/>
      <c r="AL209" s="69"/>
      <c r="AM209" s="69"/>
      <c r="AN209" s="69"/>
      <c r="AO209" s="69"/>
      <c r="AP209" s="69"/>
      <c r="AQ209" s="69"/>
      <c r="AR209" s="69"/>
      <c r="AS209" s="69"/>
      <c r="AT209" s="69"/>
      <c r="AU209" s="69"/>
      <c r="AW209" s="66">
        <f t="shared" si="25"/>
        <v>0</v>
      </c>
      <c r="AX209" s="66">
        <f t="shared" si="25"/>
        <v>0</v>
      </c>
      <c r="AY209" s="66">
        <f t="shared" si="25"/>
        <v>0</v>
      </c>
      <c r="AZ209" s="66">
        <f t="shared" si="25"/>
        <v>0</v>
      </c>
      <c r="BA209" s="66">
        <f t="shared" si="25"/>
        <v>0</v>
      </c>
      <c r="BC209" s="66">
        <f t="shared" ca="1" si="23"/>
        <v>0</v>
      </c>
      <c r="BD209" s="66">
        <f t="shared" si="24"/>
        <v>0</v>
      </c>
    </row>
    <row r="210" spans="1:56" x14ac:dyDescent="0.3">
      <c r="A210" s="6" t="str">
        <f>IFERROR(VLOOKUP($F210,매장구분!$B:$K,2,0),"")</f>
        <v/>
      </c>
      <c r="B210" s="6" t="str">
        <f>IFERROR(VLOOKUP($F210,매장구분!$B:$K,3,0),"")</f>
        <v/>
      </c>
      <c r="C210" s="6" t="str">
        <f>IFERROR(VLOOKUP($F210,매장구분!$B:$K,5,0),"")</f>
        <v/>
      </c>
      <c r="D210" s="6" t="str">
        <f>IFERROR(VLOOKUP($F210,매장구분!$B:$Z,9,0),"")</f>
        <v/>
      </c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  <c r="AC210" s="69"/>
      <c r="AD210" s="69"/>
      <c r="AE210" s="69"/>
      <c r="AF210" s="69"/>
      <c r="AG210" s="69"/>
      <c r="AH210" s="69"/>
      <c r="AI210" s="69"/>
      <c r="AJ210" s="69"/>
      <c r="AK210" s="69"/>
      <c r="AL210" s="69"/>
      <c r="AM210" s="69"/>
      <c r="AN210" s="69"/>
      <c r="AO210" s="69"/>
      <c r="AP210" s="69"/>
      <c r="AQ210" s="69"/>
      <c r="AR210" s="69"/>
      <c r="AS210" s="69"/>
      <c r="AT210" s="69"/>
      <c r="AU210" s="69"/>
      <c r="AW210" s="66">
        <f t="shared" si="25"/>
        <v>0</v>
      </c>
      <c r="AX210" s="66">
        <f t="shared" si="25"/>
        <v>0</v>
      </c>
      <c r="AY210" s="66">
        <f t="shared" si="25"/>
        <v>0</v>
      </c>
      <c r="AZ210" s="66">
        <f t="shared" si="25"/>
        <v>0</v>
      </c>
      <c r="BA210" s="66">
        <f t="shared" si="25"/>
        <v>0</v>
      </c>
      <c r="BC210" s="66">
        <f t="shared" ca="1" si="23"/>
        <v>0</v>
      </c>
      <c r="BD210" s="66">
        <f t="shared" si="24"/>
        <v>0</v>
      </c>
    </row>
    <row r="211" spans="1:56" x14ac:dyDescent="0.3">
      <c r="A211" s="6" t="str">
        <f>IFERROR(VLOOKUP($F211,매장구분!$B:$K,2,0),"")</f>
        <v/>
      </c>
      <c r="B211" s="6" t="str">
        <f>IFERROR(VLOOKUP($F211,매장구분!$B:$K,3,0),"")</f>
        <v/>
      </c>
      <c r="C211" s="6" t="str">
        <f>IFERROR(VLOOKUP($F211,매장구분!$B:$K,5,0),"")</f>
        <v/>
      </c>
      <c r="D211" s="6" t="str">
        <f>IFERROR(VLOOKUP($F211,매장구분!$B:$Z,9,0),"")</f>
        <v/>
      </c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  <c r="AC211" s="69"/>
      <c r="AD211" s="69"/>
      <c r="AE211" s="69"/>
      <c r="AF211" s="69"/>
      <c r="AG211" s="69"/>
      <c r="AH211" s="69"/>
      <c r="AI211" s="69"/>
      <c r="AJ211" s="69"/>
      <c r="AK211" s="69"/>
      <c r="AL211" s="69"/>
      <c r="AM211" s="69"/>
      <c r="AN211" s="69"/>
      <c r="AO211" s="69"/>
      <c r="AP211" s="69"/>
      <c r="AQ211" s="69"/>
      <c r="AR211" s="69"/>
      <c r="AS211" s="69"/>
      <c r="AT211" s="69"/>
      <c r="AU211" s="69"/>
      <c r="AW211" s="66">
        <f t="shared" si="25"/>
        <v>0</v>
      </c>
      <c r="AX211" s="66">
        <f t="shared" si="25"/>
        <v>0</v>
      </c>
      <c r="AY211" s="66">
        <f t="shared" si="25"/>
        <v>0</v>
      </c>
      <c r="AZ211" s="66">
        <f t="shared" si="25"/>
        <v>0</v>
      </c>
      <c r="BA211" s="66">
        <f t="shared" si="25"/>
        <v>0</v>
      </c>
      <c r="BC211" s="66">
        <f t="shared" ca="1" si="23"/>
        <v>0</v>
      </c>
      <c r="BD211" s="66">
        <f t="shared" si="24"/>
        <v>0</v>
      </c>
    </row>
    <row r="212" spans="1:56" x14ac:dyDescent="0.3"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  <c r="AC212" s="69"/>
      <c r="AD212" s="69"/>
      <c r="AE212" s="69"/>
      <c r="AF212" s="69"/>
      <c r="AG212" s="69"/>
      <c r="AH212" s="69"/>
      <c r="AI212" s="69"/>
      <c r="AJ212" s="69"/>
      <c r="AK212" s="69"/>
      <c r="AL212" s="69"/>
      <c r="AM212" s="69"/>
      <c r="AN212" s="69"/>
      <c r="AO212" s="69"/>
      <c r="AP212" s="69"/>
      <c r="AQ212" s="69"/>
      <c r="AR212" s="69"/>
      <c r="AS212" s="69"/>
      <c r="AT212" s="69"/>
      <c r="AU212" s="69"/>
      <c r="AW212" s="66"/>
      <c r="AX212" s="66"/>
      <c r="AY212" s="66"/>
      <c r="AZ212" s="66"/>
      <c r="BA212" s="66"/>
      <c r="BD212" s="66"/>
    </row>
    <row r="213" spans="1:56" x14ac:dyDescent="0.3">
      <c r="A213" s="6" t="str">
        <f>IFERROR(VLOOKUP($F213,매장구분!$B:$K,2,0),"")</f>
        <v/>
      </c>
      <c r="B213" s="6" t="str">
        <f>IFERROR(VLOOKUP($F213,매장구분!$B:$K,3,0),"")</f>
        <v/>
      </c>
      <c r="C213" s="6" t="str">
        <f>IFERROR(VLOOKUP($F213,매장구분!$B:$K,5,0),"")</f>
        <v/>
      </c>
      <c r="D213" s="6" t="str">
        <f>IFERROR(VLOOKUP($F213,매장구분!$B:$Z,9,0),"")</f>
        <v/>
      </c>
    </row>
    <row r="214" spans="1:56" x14ac:dyDescent="0.3">
      <c r="A214" s="6" t="str">
        <f>IFERROR(VLOOKUP($F214,매장구분!$B:$K,2,0),"")</f>
        <v/>
      </c>
      <c r="B214" s="6" t="str">
        <f>IFERROR(VLOOKUP($F214,매장구분!$B:$K,3,0),"")</f>
        <v/>
      </c>
      <c r="C214" s="6" t="str">
        <f>IFERROR(VLOOKUP($F214,매장구분!$B:$K,5,0),"")</f>
        <v/>
      </c>
      <c r="D214" s="6" t="str">
        <f>IFERROR(VLOOKUP($F214,매장구분!$B:$Z,9,0),"")</f>
        <v/>
      </c>
    </row>
    <row r="215" spans="1:56" x14ac:dyDescent="0.3">
      <c r="A215" s="6" t="str">
        <f>IFERROR(VLOOKUP($F215,매장구분!$B:$K,2,0),"")</f>
        <v/>
      </c>
      <c r="B215" s="6" t="str">
        <f>IFERROR(VLOOKUP($F215,매장구분!$B:$K,3,0),"")</f>
        <v/>
      </c>
      <c r="C215" s="6" t="str">
        <f>IFERROR(VLOOKUP($F215,매장구분!$B:$K,5,0),"")</f>
        <v/>
      </c>
      <c r="D215" s="6" t="str">
        <f>IFERROR(VLOOKUP($F215,매장구분!$B:$Z,9,0),"")</f>
        <v/>
      </c>
    </row>
    <row r="216" spans="1:56" x14ac:dyDescent="0.3">
      <c r="A216" s="6" t="str">
        <f>IFERROR(VLOOKUP($F216,매장구분!$B:$K,2,0),"")</f>
        <v/>
      </c>
      <c r="B216" s="6" t="str">
        <f>IFERROR(VLOOKUP($F216,매장구분!$B:$K,3,0),"")</f>
        <v/>
      </c>
      <c r="C216" s="6" t="str">
        <f>IFERROR(VLOOKUP($F216,매장구분!$B:$K,5,0),"")</f>
        <v/>
      </c>
      <c r="D216" s="6" t="str">
        <f>IFERROR(VLOOKUP($F216,매장구분!$B:$Z,9,0),"")</f>
        <v/>
      </c>
    </row>
    <row r="217" spans="1:56" x14ac:dyDescent="0.3">
      <c r="A217" s="6" t="str">
        <f>IFERROR(VLOOKUP($F217,매장구분!$B:$K,2,0),"")</f>
        <v/>
      </c>
      <c r="B217" s="6" t="str">
        <f>IFERROR(VLOOKUP($F217,매장구분!$B:$K,3,0),"")</f>
        <v/>
      </c>
      <c r="C217" s="6" t="str">
        <f>IFERROR(VLOOKUP($F217,매장구분!$B:$K,5,0),"")</f>
        <v/>
      </c>
      <c r="D217" s="6" t="str">
        <f>IFERROR(VLOOKUP($F217,매장구분!$B:$Z,9,0),"")</f>
        <v/>
      </c>
    </row>
    <row r="218" spans="1:56" x14ac:dyDescent="0.3">
      <c r="A218" s="6" t="str">
        <f>IFERROR(VLOOKUP($F218,매장구분!$B:$K,2,0),"")</f>
        <v/>
      </c>
      <c r="B218" s="6" t="str">
        <f>IFERROR(VLOOKUP($F218,매장구분!$B:$K,3,0),"")</f>
        <v/>
      </c>
      <c r="C218" s="6" t="str">
        <f>IFERROR(VLOOKUP($F218,매장구분!$B:$K,5,0),"")</f>
        <v/>
      </c>
      <c r="D218" s="6" t="str">
        <f>IFERROR(VLOOKUP($F218,매장구분!$B:$Z,9,0),"")</f>
        <v/>
      </c>
    </row>
    <row r="219" spans="1:56" x14ac:dyDescent="0.3">
      <c r="A219" s="6" t="str">
        <f>IFERROR(VLOOKUP($F219,매장구분!$B:$K,2,0),"")</f>
        <v/>
      </c>
      <c r="B219" s="6" t="str">
        <f>IFERROR(VLOOKUP($F219,매장구분!$B:$K,3,0),"")</f>
        <v/>
      </c>
      <c r="C219" s="6" t="str">
        <f>IFERROR(VLOOKUP($F219,매장구분!$B:$K,5,0),"")</f>
        <v/>
      </c>
      <c r="D219" s="6" t="str">
        <f>IFERROR(VLOOKUP($F219,매장구분!$B:$Z,9,0),"")</f>
        <v/>
      </c>
    </row>
    <row r="220" spans="1:56" x14ac:dyDescent="0.3">
      <c r="A220" s="6" t="str">
        <f>IFERROR(VLOOKUP($F220,매장구분!$B:$K,2,0),"")</f>
        <v/>
      </c>
      <c r="B220" s="6" t="str">
        <f>IFERROR(VLOOKUP($F220,매장구분!$B:$K,3,0),"")</f>
        <v/>
      </c>
      <c r="C220" s="6" t="str">
        <f>IFERROR(VLOOKUP($F220,매장구분!$B:$K,5,0),"")</f>
        <v/>
      </c>
      <c r="D220" s="6" t="str">
        <f>IFERROR(VLOOKUP($F220,매장구분!$B:$Z,9,0),"")</f>
        <v/>
      </c>
    </row>
    <row r="221" spans="1:56" x14ac:dyDescent="0.3">
      <c r="A221" s="6" t="str">
        <f>IFERROR(VLOOKUP($F221,매장구분!$B:$K,2,0),"")</f>
        <v/>
      </c>
      <c r="B221" s="6" t="str">
        <f>IFERROR(VLOOKUP($F221,매장구분!$B:$K,3,0),"")</f>
        <v/>
      </c>
      <c r="C221" s="6" t="str">
        <f>IFERROR(VLOOKUP($F221,매장구분!$B:$K,5,0),"")</f>
        <v/>
      </c>
      <c r="D221" s="6" t="str">
        <f>IFERROR(VLOOKUP($F221,매장구분!$B:$Z,9,0),"")</f>
        <v/>
      </c>
    </row>
    <row r="222" spans="1:56" x14ac:dyDescent="0.3">
      <c r="A222" s="6" t="str">
        <f>IFERROR(VLOOKUP($F222,매장구분!$B:$K,2,0),"")</f>
        <v/>
      </c>
      <c r="B222" s="6" t="str">
        <f>IFERROR(VLOOKUP($F222,매장구분!$B:$K,3,0),"")</f>
        <v/>
      </c>
      <c r="C222" s="6" t="str">
        <f>IFERROR(VLOOKUP($F222,매장구분!$B:$K,5,0),"")</f>
        <v/>
      </c>
      <c r="D222" s="6" t="str">
        <f>IFERROR(VLOOKUP($F222,매장구분!$B:$Z,9,0),"")</f>
        <v/>
      </c>
    </row>
    <row r="223" spans="1:56" x14ac:dyDescent="0.3">
      <c r="A223" s="6" t="str">
        <f>IFERROR(VLOOKUP($F223,매장구분!$B:$K,2,0),"")</f>
        <v/>
      </c>
      <c r="B223" s="6" t="str">
        <f>IFERROR(VLOOKUP($F223,매장구분!$B:$K,3,0),"")</f>
        <v/>
      </c>
      <c r="C223" s="6" t="str">
        <f>IFERROR(VLOOKUP($F223,매장구분!$B:$K,5,0),"")</f>
        <v/>
      </c>
      <c r="D223" s="6" t="str">
        <f>IFERROR(VLOOKUP($F223,매장구분!$B:$Z,9,0),"")</f>
        <v/>
      </c>
    </row>
    <row r="224" spans="1:56" x14ac:dyDescent="0.3">
      <c r="A224" s="6" t="str">
        <f>IFERROR(VLOOKUP($F224,매장구분!$B:$K,2,0),"")</f>
        <v/>
      </c>
      <c r="B224" s="6" t="str">
        <f>IFERROR(VLOOKUP($F224,매장구분!$B:$K,3,0),"")</f>
        <v/>
      </c>
      <c r="C224" s="6" t="str">
        <f>IFERROR(VLOOKUP($F224,매장구분!$B:$K,5,0),"")</f>
        <v/>
      </c>
      <c r="D224" s="6" t="str">
        <f>IFERROR(VLOOKUP($F224,매장구분!$B:$Z,9,0),"")</f>
        <v/>
      </c>
    </row>
    <row r="225" spans="1:4" x14ac:dyDescent="0.3">
      <c r="A225" s="6" t="str">
        <f>IFERROR(VLOOKUP($F225,매장구분!$B:$K,2,0),"")</f>
        <v/>
      </c>
      <c r="B225" s="6" t="str">
        <f>IFERROR(VLOOKUP($F225,매장구분!$B:$K,3,0),"")</f>
        <v/>
      </c>
      <c r="C225" s="6" t="str">
        <f>IFERROR(VLOOKUP($F225,매장구분!$B:$K,5,0),"")</f>
        <v/>
      </c>
      <c r="D225" s="6" t="str">
        <f>IFERROR(VLOOKUP($F225,매장구분!$B:$Z,9,0),"")</f>
        <v/>
      </c>
    </row>
    <row r="226" spans="1:4" x14ac:dyDescent="0.3">
      <c r="A226" s="6" t="str">
        <f>IFERROR(VLOOKUP($F226,매장구분!$B:$K,2,0),"")</f>
        <v/>
      </c>
      <c r="B226" s="6" t="str">
        <f>IFERROR(VLOOKUP($F226,매장구분!$B:$K,3,0),"")</f>
        <v/>
      </c>
      <c r="C226" s="6" t="str">
        <f>IFERROR(VLOOKUP($F226,매장구분!$B:$K,5,0),"")</f>
        <v/>
      </c>
      <c r="D226" s="6" t="str">
        <f>IFERROR(VLOOKUP($F226,매장구분!$B:$Z,9,0),"")</f>
        <v/>
      </c>
    </row>
    <row r="227" spans="1:4" x14ac:dyDescent="0.3">
      <c r="A227" s="6" t="str">
        <f>IFERROR(VLOOKUP($F227,매장구분!$B:$K,2,0),"")</f>
        <v/>
      </c>
      <c r="B227" s="6" t="str">
        <f>IFERROR(VLOOKUP($F227,매장구분!$B:$K,3,0),"")</f>
        <v/>
      </c>
      <c r="C227" s="6" t="str">
        <f>IFERROR(VLOOKUP($F227,매장구분!$B:$K,5,0),"")</f>
        <v/>
      </c>
      <c r="D227" s="6" t="str">
        <f>IFERROR(VLOOKUP($F227,매장구분!$B:$Z,9,0),"")</f>
        <v/>
      </c>
    </row>
    <row r="228" spans="1:4" x14ac:dyDescent="0.3">
      <c r="A228" s="6" t="str">
        <f>IFERROR(VLOOKUP($F228,매장구분!$B:$K,2,0),"")</f>
        <v/>
      </c>
      <c r="B228" s="6" t="str">
        <f>IFERROR(VLOOKUP($F228,매장구분!$B:$K,3,0),"")</f>
        <v/>
      </c>
      <c r="C228" s="6" t="str">
        <f>IFERROR(VLOOKUP($F228,매장구분!$B:$K,5,0),"")</f>
        <v/>
      </c>
      <c r="D228" s="6" t="str">
        <f>IFERROR(VLOOKUP($F228,매장구분!$B:$Z,9,0),"")</f>
        <v/>
      </c>
    </row>
    <row r="229" spans="1:4" x14ac:dyDescent="0.3">
      <c r="A229" s="6" t="str">
        <f>IFERROR(VLOOKUP($F229,매장구분!$B:$K,2,0),"")</f>
        <v/>
      </c>
      <c r="B229" s="6" t="str">
        <f>IFERROR(VLOOKUP($F229,매장구분!$B:$K,3,0),"")</f>
        <v/>
      </c>
      <c r="C229" s="6" t="str">
        <f>IFERROR(VLOOKUP($F229,매장구분!$B:$K,5,0),"")</f>
        <v/>
      </c>
      <c r="D229" s="6" t="str">
        <f>IFERROR(VLOOKUP($F229,매장구분!$B:$Z,9,0),"")</f>
        <v/>
      </c>
    </row>
    <row r="230" spans="1:4" x14ac:dyDescent="0.3">
      <c r="A230" s="6" t="str">
        <f>IFERROR(VLOOKUP($F230,매장구분!$B:$K,2,0),"")</f>
        <v/>
      </c>
      <c r="B230" s="6" t="str">
        <f>IFERROR(VLOOKUP($F230,매장구분!$B:$K,3,0),"")</f>
        <v/>
      </c>
      <c r="C230" s="6" t="str">
        <f>IFERROR(VLOOKUP($F230,매장구분!$B:$K,5,0),"")</f>
        <v/>
      </c>
      <c r="D230" s="6" t="str">
        <f>IFERROR(VLOOKUP($F230,매장구분!$B:$Z,9,0),"")</f>
        <v/>
      </c>
    </row>
    <row r="231" spans="1:4" x14ac:dyDescent="0.3">
      <c r="A231" s="6" t="str">
        <f>IFERROR(VLOOKUP($F231,매장구분!$B:$K,2,0),"")</f>
        <v/>
      </c>
      <c r="B231" s="6" t="str">
        <f>IFERROR(VLOOKUP($F231,매장구분!$B:$K,3,0),"")</f>
        <v/>
      </c>
      <c r="C231" s="6" t="str">
        <f>IFERROR(VLOOKUP($F231,매장구분!$B:$K,5,0),"")</f>
        <v/>
      </c>
      <c r="D231" s="6" t="str">
        <f>IFERROR(VLOOKUP($F231,매장구분!$B:$Z,9,0),"")</f>
        <v/>
      </c>
    </row>
    <row r="232" spans="1:4" x14ac:dyDescent="0.3">
      <c r="A232" s="6" t="str">
        <f>IFERROR(VLOOKUP($F232,매장구분!$B:$K,2,0),"")</f>
        <v/>
      </c>
      <c r="B232" s="6" t="str">
        <f>IFERROR(VLOOKUP($F232,매장구분!$B:$K,3,0),"")</f>
        <v/>
      </c>
      <c r="C232" s="6" t="str">
        <f>IFERROR(VLOOKUP($F232,매장구분!$B:$K,5,0),"")</f>
        <v/>
      </c>
      <c r="D232" s="6" t="str">
        <f>IFERROR(VLOOKUP($F232,매장구분!$B:$Z,9,0),"")</f>
        <v/>
      </c>
    </row>
    <row r="233" spans="1:4" x14ac:dyDescent="0.3">
      <c r="A233" s="6" t="str">
        <f>IFERROR(VLOOKUP($F233,매장구분!$B:$K,2,0),"")</f>
        <v/>
      </c>
      <c r="B233" s="6" t="str">
        <f>IFERROR(VLOOKUP($F233,매장구분!$B:$K,3,0),"")</f>
        <v/>
      </c>
      <c r="C233" s="6" t="str">
        <f>IFERROR(VLOOKUP($F233,매장구분!$B:$K,5,0),"")</f>
        <v/>
      </c>
      <c r="D233" s="6" t="str">
        <f>IFERROR(VLOOKUP($F233,매장구분!$B:$Z,9,0),"")</f>
        <v/>
      </c>
    </row>
    <row r="234" spans="1:4" x14ac:dyDescent="0.3">
      <c r="A234" s="6" t="str">
        <f>IFERROR(VLOOKUP($F234,매장구분!$B:$K,2,0),"")</f>
        <v/>
      </c>
      <c r="B234" s="6" t="str">
        <f>IFERROR(VLOOKUP($F234,매장구분!$B:$K,3,0),"")</f>
        <v/>
      </c>
      <c r="C234" s="6" t="str">
        <f>IFERROR(VLOOKUP($F234,매장구분!$B:$K,5,0),"")</f>
        <v/>
      </c>
      <c r="D234" s="6" t="str">
        <f>IFERROR(VLOOKUP($F234,매장구분!$B:$Z,9,0),"")</f>
        <v/>
      </c>
    </row>
    <row r="235" spans="1:4" x14ac:dyDescent="0.3">
      <c r="A235" s="6" t="str">
        <f>IFERROR(VLOOKUP($F235,매장구분!$B:$K,2,0),"")</f>
        <v/>
      </c>
      <c r="B235" s="6" t="str">
        <f>IFERROR(VLOOKUP($F235,매장구분!$B:$K,3,0),"")</f>
        <v/>
      </c>
      <c r="C235" s="6" t="str">
        <f>IFERROR(VLOOKUP($F235,매장구분!$B:$K,5,0),"")</f>
        <v/>
      </c>
      <c r="D235" s="6" t="str">
        <f>IFERROR(VLOOKUP($F235,매장구분!$B:$Z,9,0),"")</f>
        <v/>
      </c>
    </row>
    <row r="236" spans="1:4" x14ac:dyDescent="0.3">
      <c r="A236" s="6" t="str">
        <f>IFERROR(VLOOKUP($F236,매장구분!$B:$K,2,0),"")</f>
        <v/>
      </c>
      <c r="B236" s="6" t="str">
        <f>IFERROR(VLOOKUP($F236,매장구분!$B:$K,3,0),"")</f>
        <v/>
      </c>
      <c r="C236" s="6" t="str">
        <f>IFERROR(VLOOKUP($F236,매장구분!$B:$K,5,0),"")</f>
        <v/>
      </c>
      <c r="D236" s="6" t="str">
        <f>IFERROR(VLOOKUP($F236,매장구분!$B:$Z,9,0),"")</f>
        <v/>
      </c>
    </row>
    <row r="237" spans="1:4" x14ac:dyDescent="0.3">
      <c r="A237" s="6" t="str">
        <f>IFERROR(VLOOKUP($F237,매장구분!$B:$K,2,0),"")</f>
        <v/>
      </c>
      <c r="B237" s="6" t="str">
        <f>IFERROR(VLOOKUP($F237,매장구분!$B:$K,3,0),"")</f>
        <v/>
      </c>
      <c r="C237" s="6" t="str">
        <f>IFERROR(VLOOKUP($F237,매장구분!$B:$K,5,0),"")</f>
        <v/>
      </c>
      <c r="D237" s="6" t="str">
        <f>IFERROR(VLOOKUP($F237,매장구분!$B:$Z,9,0),"")</f>
        <v/>
      </c>
    </row>
    <row r="238" spans="1:4" x14ac:dyDescent="0.3">
      <c r="A238" s="6" t="str">
        <f>IFERROR(VLOOKUP($F238,매장구분!$B:$K,2,0),"")</f>
        <v/>
      </c>
      <c r="B238" s="6" t="str">
        <f>IFERROR(VLOOKUP($F238,매장구분!$B:$K,3,0),"")</f>
        <v/>
      </c>
      <c r="C238" s="6" t="str">
        <f>IFERROR(VLOOKUP($F238,매장구분!$B:$K,5,0),"")</f>
        <v/>
      </c>
      <c r="D238" s="6" t="str">
        <f>IFERROR(VLOOKUP($F238,매장구분!$B:$Z,9,0),"")</f>
        <v/>
      </c>
    </row>
    <row r="239" spans="1:4" x14ac:dyDescent="0.3">
      <c r="A239" s="6" t="str">
        <f>IFERROR(VLOOKUP($F239,매장구분!$B:$K,2,0),"")</f>
        <v/>
      </c>
      <c r="B239" s="6" t="str">
        <f>IFERROR(VLOOKUP($F239,매장구분!$B:$K,3,0),"")</f>
        <v/>
      </c>
      <c r="C239" s="6" t="str">
        <f>IFERROR(VLOOKUP($F239,매장구분!$B:$K,5,0),"")</f>
        <v/>
      </c>
      <c r="D239" s="6" t="str">
        <f>IFERROR(VLOOKUP($F239,매장구분!$B:$Z,9,0),"")</f>
        <v/>
      </c>
    </row>
    <row r="240" spans="1:4" x14ac:dyDescent="0.3">
      <c r="A240" s="6" t="str">
        <f>IFERROR(VLOOKUP($F240,매장구분!$B:$K,2,0),"")</f>
        <v/>
      </c>
      <c r="B240" s="6" t="str">
        <f>IFERROR(VLOOKUP($F240,매장구분!$B:$K,3,0),"")</f>
        <v/>
      </c>
      <c r="C240" s="6" t="str">
        <f>IFERROR(VLOOKUP($F240,매장구분!$B:$K,5,0),"")</f>
        <v/>
      </c>
      <c r="D240" s="6" t="str">
        <f>IFERROR(VLOOKUP($F240,매장구분!$B:$Z,9,0),"")</f>
        <v/>
      </c>
    </row>
    <row r="241" spans="1:4" x14ac:dyDescent="0.3">
      <c r="A241" s="6" t="str">
        <f>IFERROR(VLOOKUP($F241,매장구분!$B:$K,2,0),"")</f>
        <v/>
      </c>
      <c r="B241" s="6" t="str">
        <f>IFERROR(VLOOKUP($F241,매장구분!$B:$K,3,0),"")</f>
        <v/>
      </c>
      <c r="C241" s="6" t="str">
        <f>IFERROR(VLOOKUP($F241,매장구분!$B:$K,5,0),"")</f>
        <v/>
      </c>
      <c r="D241" s="6" t="str">
        <f>IFERROR(VLOOKUP($F241,매장구분!$B:$Z,9,0),"")</f>
        <v/>
      </c>
    </row>
    <row r="242" spans="1:4" x14ac:dyDescent="0.3">
      <c r="A242" s="6" t="str">
        <f>IFERROR(VLOOKUP($F242,매장구분!$B:$K,2,0),"")</f>
        <v/>
      </c>
      <c r="B242" s="6" t="str">
        <f>IFERROR(VLOOKUP($F242,매장구분!$B:$K,3,0),"")</f>
        <v/>
      </c>
      <c r="C242" s="6" t="str">
        <f>IFERROR(VLOOKUP($F242,매장구분!$B:$K,5,0),"")</f>
        <v/>
      </c>
      <c r="D242" s="6" t="str">
        <f>IFERROR(VLOOKUP($F242,매장구분!$B:$Z,9,0),"")</f>
        <v/>
      </c>
    </row>
    <row r="243" spans="1:4" x14ac:dyDescent="0.3">
      <c r="A243" s="6" t="str">
        <f>IFERROR(VLOOKUP($F243,매장구분!$B:$K,2,0),"")</f>
        <v/>
      </c>
      <c r="B243" s="6" t="str">
        <f>IFERROR(VLOOKUP($F243,매장구분!$B:$K,3,0),"")</f>
        <v/>
      </c>
      <c r="C243" s="6" t="str">
        <f>IFERROR(VLOOKUP($F243,매장구분!$B:$K,5,0),"")</f>
        <v/>
      </c>
      <c r="D243" s="6" t="str">
        <f>IFERROR(VLOOKUP($F243,매장구분!$B:$Z,9,0),"")</f>
        <v/>
      </c>
    </row>
    <row r="244" spans="1:4" x14ac:dyDescent="0.3">
      <c r="A244" s="6" t="str">
        <f>IFERROR(VLOOKUP($F244,매장구분!$B:$K,2,0),"")</f>
        <v/>
      </c>
      <c r="B244" s="6" t="str">
        <f>IFERROR(VLOOKUP($F244,매장구분!$B:$K,3,0),"")</f>
        <v/>
      </c>
      <c r="C244" s="6" t="str">
        <f>IFERROR(VLOOKUP($F244,매장구분!$B:$K,5,0),"")</f>
        <v/>
      </c>
      <c r="D244" s="6" t="str">
        <f>IFERROR(VLOOKUP($F244,매장구분!$B:$Z,9,0),"")</f>
        <v/>
      </c>
    </row>
    <row r="245" spans="1:4" x14ac:dyDescent="0.3">
      <c r="A245" s="6" t="str">
        <f>IFERROR(VLOOKUP($F245,매장구분!$B:$K,2,0),"")</f>
        <v/>
      </c>
      <c r="B245" s="6" t="str">
        <f>IFERROR(VLOOKUP($F245,매장구분!$B:$K,3,0),"")</f>
        <v/>
      </c>
      <c r="C245" s="6" t="str">
        <f>IFERROR(VLOOKUP($F245,매장구분!$B:$K,5,0),"")</f>
        <v/>
      </c>
      <c r="D245" s="6" t="str">
        <f>IFERROR(VLOOKUP($F245,매장구분!$B:$Z,9,0),"")</f>
        <v/>
      </c>
    </row>
    <row r="246" spans="1:4" x14ac:dyDescent="0.3">
      <c r="A246" s="6" t="str">
        <f>IFERROR(VLOOKUP($F246,매장구분!$B:$K,2,0),"")</f>
        <v/>
      </c>
      <c r="B246" s="6" t="str">
        <f>IFERROR(VLOOKUP($F246,매장구분!$B:$K,3,0),"")</f>
        <v/>
      </c>
      <c r="C246" s="6" t="str">
        <f>IFERROR(VLOOKUP($F246,매장구분!$B:$K,5,0),"")</f>
        <v/>
      </c>
      <c r="D246" s="6" t="str">
        <f>IFERROR(VLOOKUP($F246,매장구분!$B:$Z,9,0),"")</f>
        <v/>
      </c>
    </row>
    <row r="247" spans="1:4" x14ac:dyDescent="0.3">
      <c r="A247" s="6" t="str">
        <f>IFERROR(VLOOKUP($F247,매장구분!$B:$K,2,0),"")</f>
        <v/>
      </c>
      <c r="B247" s="6" t="str">
        <f>IFERROR(VLOOKUP($F247,매장구분!$B:$K,3,0),"")</f>
        <v/>
      </c>
      <c r="C247" s="6" t="str">
        <f>IFERROR(VLOOKUP($F247,매장구분!$B:$K,5,0),"")</f>
        <v/>
      </c>
      <c r="D247" s="6" t="str">
        <f>IFERROR(VLOOKUP($F247,매장구분!$B:$Z,9,0),"")</f>
        <v/>
      </c>
    </row>
    <row r="248" spans="1:4" x14ac:dyDescent="0.3">
      <c r="A248" s="6" t="str">
        <f>IFERROR(VLOOKUP($F248,매장구분!$B:$K,2,0),"")</f>
        <v/>
      </c>
      <c r="B248" s="6" t="str">
        <f>IFERROR(VLOOKUP($F248,매장구분!$B:$K,3,0),"")</f>
        <v/>
      </c>
      <c r="C248" s="6" t="str">
        <f>IFERROR(VLOOKUP($F248,매장구분!$B:$K,5,0),"")</f>
        <v/>
      </c>
      <c r="D248" s="6" t="str">
        <f>IFERROR(VLOOKUP($F248,매장구분!$B:$Z,9,0),"")</f>
        <v/>
      </c>
    </row>
    <row r="249" spans="1:4" x14ac:dyDescent="0.3">
      <c r="A249" s="6" t="str">
        <f>IFERROR(VLOOKUP($F249,매장구분!$B:$K,2,0),"")</f>
        <v/>
      </c>
      <c r="B249" s="6" t="str">
        <f>IFERROR(VLOOKUP($F249,매장구분!$B:$K,3,0),"")</f>
        <v/>
      </c>
      <c r="C249" s="6" t="str">
        <f>IFERROR(VLOOKUP($F249,매장구분!$B:$K,5,0),"")</f>
        <v/>
      </c>
      <c r="D249" s="6" t="str">
        <f>IFERROR(VLOOKUP($F249,매장구분!$B:$Z,9,0),"")</f>
        <v/>
      </c>
    </row>
    <row r="250" spans="1:4" x14ac:dyDescent="0.3">
      <c r="A250" s="6" t="str">
        <f>IFERROR(VLOOKUP($F250,매장구분!$B:$K,2,0),"")</f>
        <v/>
      </c>
      <c r="B250" s="6" t="str">
        <f>IFERROR(VLOOKUP($F250,매장구분!$B:$K,3,0),"")</f>
        <v/>
      </c>
      <c r="C250" s="6" t="str">
        <f>IFERROR(VLOOKUP($F250,매장구분!$B:$K,5,0),"")</f>
        <v/>
      </c>
      <c r="D250" s="6" t="str">
        <f>IFERROR(VLOOKUP($F250,매장구분!$B:$Z,9,0),"")</f>
        <v/>
      </c>
    </row>
    <row r="251" spans="1:4" x14ac:dyDescent="0.3">
      <c r="A251" s="6" t="str">
        <f>IFERROR(VLOOKUP($F251,매장구분!$B:$K,2,0),"")</f>
        <v/>
      </c>
      <c r="B251" s="6" t="str">
        <f>IFERROR(VLOOKUP($F251,매장구분!$B:$K,3,0),"")</f>
        <v/>
      </c>
      <c r="C251" s="6" t="str">
        <f>IFERROR(VLOOKUP($F251,매장구분!$B:$K,5,0),"")</f>
        <v/>
      </c>
      <c r="D251" s="6" t="str">
        <f>IFERROR(VLOOKUP($F251,매장구분!$B:$Z,9,0),"")</f>
        <v/>
      </c>
    </row>
    <row r="252" spans="1:4" x14ac:dyDescent="0.3">
      <c r="A252" s="6" t="str">
        <f>IFERROR(VLOOKUP($F252,매장구분!$B:$K,2,0),"")</f>
        <v/>
      </c>
      <c r="B252" s="6" t="str">
        <f>IFERROR(VLOOKUP($F252,매장구분!$B:$K,3,0),"")</f>
        <v/>
      </c>
      <c r="C252" s="6" t="str">
        <f>IFERROR(VLOOKUP($F252,매장구분!$B:$K,5,0),"")</f>
        <v/>
      </c>
      <c r="D252" s="6" t="str">
        <f>IFERROR(VLOOKUP($F252,매장구분!$B:$Z,9,0),"")</f>
        <v/>
      </c>
    </row>
    <row r="253" spans="1:4" x14ac:dyDescent="0.3">
      <c r="A253" s="6" t="str">
        <f>IFERROR(VLOOKUP($F253,매장구분!$B:$K,2,0),"")</f>
        <v/>
      </c>
      <c r="B253" s="6" t="str">
        <f>IFERROR(VLOOKUP($F253,매장구분!$B:$K,3,0),"")</f>
        <v/>
      </c>
      <c r="C253" s="6" t="str">
        <f>IFERROR(VLOOKUP($F253,매장구분!$B:$K,5,0),"")</f>
        <v/>
      </c>
      <c r="D253" s="6" t="str">
        <f>IFERROR(VLOOKUP($F253,매장구분!$B:$Z,9,0),"")</f>
        <v/>
      </c>
    </row>
    <row r="254" spans="1:4" x14ac:dyDescent="0.3">
      <c r="A254" s="6" t="str">
        <f>IFERROR(VLOOKUP($F254,매장구분!$B:$K,2,0),"")</f>
        <v/>
      </c>
      <c r="B254" s="6" t="str">
        <f>IFERROR(VLOOKUP($F254,매장구분!$B:$K,3,0),"")</f>
        <v/>
      </c>
      <c r="C254" s="6" t="str">
        <f>IFERROR(VLOOKUP($F254,매장구분!$B:$K,5,0),"")</f>
        <v/>
      </c>
      <c r="D254" s="6" t="str">
        <f>IFERROR(VLOOKUP($F254,매장구분!$B:$Z,9,0),"")</f>
        <v/>
      </c>
    </row>
    <row r="255" spans="1:4" x14ac:dyDescent="0.3">
      <c r="A255" s="6" t="str">
        <f>IFERROR(VLOOKUP($F255,매장구분!$B:$K,2,0),"")</f>
        <v/>
      </c>
      <c r="B255" s="6" t="str">
        <f>IFERROR(VLOOKUP($F255,매장구분!$B:$K,3,0),"")</f>
        <v/>
      </c>
      <c r="C255" s="6" t="str">
        <f>IFERROR(VLOOKUP($F255,매장구분!$B:$K,5,0),"")</f>
        <v/>
      </c>
      <c r="D255" s="6" t="str">
        <f>IFERROR(VLOOKUP($F255,매장구분!$B:$Z,9,0),"")</f>
        <v/>
      </c>
    </row>
    <row r="256" spans="1:4" x14ac:dyDescent="0.3">
      <c r="A256" s="6" t="str">
        <f>IFERROR(VLOOKUP($F256,매장구분!$B:$K,2,0),"")</f>
        <v/>
      </c>
      <c r="B256" s="6" t="str">
        <f>IFERROR(VLOOKUP($F256,매장구분!$B:$K,3,0),"")</f>
        <v/>
      </c>
      <c r="C256" s="6" t="str">
        <f>IFERROR(VLOOKUP($F256,매장구분!$B:$K,5,0),"")</f>
        <v/>
      </c>
      <c r="D256" s="6" t="str">
        <f>IFERROR(VLOOKUP($F256,매장구분!$B:$Z,9,0),"")</f>
        <v/>
      </c>
    </row>
    <row r="257" spans="1:4" x14ac:dyDescent="0.3">
      <c r="A257" s="6" t="str">
        <f>IFERROR(VLOOKUP($F257,매장구분!$B:$K,2,0),"")</f>
        <v/>
      </c>
      <c r="B257" s="6" t="str">
        <f>IFERROR(VLOOKUP($F257,매장구분!$B:$K,3,0),"")</f>
        <v/>
      </c>
      <c r="C257" s="6" t="str">
        <f>IFERROR(VLOOKUP($F257,매장구분!$B:$K,5,0),"")</f>
        <v/>
      </c>
      <c r="D257" s="6" t="str">
        <f>IFERROR(VLOOKUP($F257,매장구분!$B:$Z,9,0),"")</f>
        <v/>
      </c>
    </row>
    <row r="258" spans="1:4" x14ac:dyDescent="0.3">
      <c r="A258" s="6" t="str">
        <f>IFERROR(VLOOKUP($F258,매장구분!$B:$K,2,0),"")</f>
        <v/>
      </c>
      <c r="B258" s="6" t="str">
        <f>IFERROR(VLOOKUP($F258,매장구분!$B:$K,3,0),"")</f>
        <v/>
      </c>
      <c r="C258" s="6" t="str">
        <f>IFERROR(VLOOKUP($F258,매장구분!$B:$K,5,0),"")</f>
        <v/>
      </c>
      <c r="D258" s="6" t="str">
        <f>IFERROR(VLOOKUP($F258,매장구분!$B:$Z,9,0),"")</f>
        <v/>
      </c>
    </row>
    <row r="259" spans="1:4" x14ac:dyDescent="0.3">
      <c r="A259" s="6" t="str">
        <f>IFERROR(VLOOKUP($F259,매장구분!$B:$K,2,0),"")</f>
        <v/>
      </c>
      <c r="B259" s="6" t="str">
        <f>IFERROR(VLOOKUP($F259,매장구분!$B:$K,3,0),"")</f>
        <v/>
      </c>
      <c r="C259" s="6" t="str">
        <f>IFERROR(VLOOKUP($F259,매장구분!$B:$K,5,0),"")</f>
        <v/>
      </c>
      <c r="D259" s="6" t="str">
        <f>IFERROR(VLOOKUP($F259,매장구분!$B:$Z,9,0),"")</f>
        <v/>
      </c>
    </row>
    <row r="260" spans="1:4" x14ac:dyDescent="0.3">
      <c r="A260" s="6" t="str">
        <f>IFERROR(VLOOKUP($F260,매장구분!$B:$K,2,0),"")</f>
        <v/>
      </c>
      <c r="B260" s="6" t="str">
        <f>IFERROR(VLOOKUP($F260,매장구분!$B:$K,3,0),"")</f>
        <v/>
      </c>
      <c r="C260" s="6" t="str">
        <f>IFERROR(VLOOKUP($F260,매장구분!$B:$K,5,0),"")</f>
        <v/>
      </c>
      <c r="D260" s="6" t="str">
        <f>IFERROR(VLOOKUP($F260,매장구분!$B:$Z,9,0),"")</f>
        <v/>
      </c>
    </row>
    <row r="261" spans="1:4" x14ac:dyDescent="0.3">
      <c r="A261" s="6" t="str">
        <f>IFERROR(VLOOKUP($F261,매장구분!$B:$K,2,0),"")</f>
        <v/>
      </c>
      <c r="B261" s="6" t="str">
        <f>IFERROR(VLOOKUP($F261,매장구분!$B:$K,3,0),"")</f>
        <v/>
      </c>
      <c r="C261" s="6" t="str">
        <f>IFERROR(VLOOKUP($F261,매장구분!$B:$K,5,0),"")</f>
        <v/>
      </c>
      <c r="D261" s="6" t="str">
        <f>IFERROR(VLOOKUP($F261,매장구분!$B:$Z,9,0),"")</f>
        <v/>
      </c>
    </row>
    <row r="262" spans="1:4" x14ac:dyDescent="0.3">
      <c r="A262" s="6" t="str">
        <f>IFERROR(VLOOKUP($F262,매장구분!$B:$K,2,0),"")</f>
        <v/>
      </c>
      <c r="B262" s="6" t="str">
        <f>IFERROR(VLOOKUP($F262,매장구분!$B:$K,3,0),"")</f>
        <v/>
      </c>
      <c r="C262" s="6" t="str">
        <f>IFERROR(VLOOKUP($F262,매장구분!$B:$K,5,0),"")</f>
        <v/>
      </c>
      <c r="D262" s="6" t="str">
        <f>IFERROR(VLOOKUP($F262,매장구분!$B:$Z,9,0),"")</f>
        <v/>
      </c>
    </row>
    <row r="263" spans="1:4" x14ac:dyDescent="0.3">
      <c r="A263" s="6" t="str">
        <f>IFERROR(VLOOKUP($F263,매장구분!$B:$K,2,0),"")</f>
        <v/>
      </c>
      <c r="B263" s="6" t="str">
        <f>IFERROR(VLOOKUP($F263,매장구분!$B:$K,3,0),"")</f>
        <v/>
      </c>
      <c r="C263" s="6" t="str">
        <f>IFERROR(VLOOKUP($F263,매장구분!$B:$K,5,0),"")</f>
        <v/>
      </c>
      <c r="D263" s="6" t="str">
        <f>IFERROR(VLOOKUP($F263,매장구분!$B:$Z,9,0),"")</f>
        <v/>
      </c>
    </row>
    <row r="264" spans="1:4" x14ac:dyDescent="0.3">
      <c r="A264" s="6" t="str">
        <f>IFERROR(VLOOKUP($F264,매장구분!$B:$K,2,0),"")</f>
        <v/>
      </c>
      <c r="B264" s="6" t="str">
        <f>IFERROR(VLOOKUP($F264,매장구분!$B:$K,3,0),"")</f>
        <v/>
      </c>
      <c r="C264" s="6" t="str">
        <f>IFERROR(VLOOKUP($F264,매장구분!$B:$K,5,0),"")</f>
        <v/>
      </c>
      <c r="D264" s="6" t="str">
        <f>IFERROR(VLOOKUP($F264,매장구분!$B:$Z,9,0),"")</f>
        <v/>
      </c>
    </row>
    <row r="265" spans="1:4" x14ac:dyDescent="0.3">
      <c r="A265" s="6" t="str">
        <f>IFERROR(VLOOKUP($F265,매장구분!$B:$K,2,0),"")</f>
        <v/>
      </c>
      <c r="B265" s="6" t="str">
        <f>IFERROR(VLOOKUP($F265,매장구분!$B:$K,3,0),"")</f>
        <v/>
      </c>
      <c r="C265" s="6" t="str">
        <f>IFERROR(VLOOKUP($F265,매장구분!$B:$K,5,0),"")</f>
        <v/>
      </c>
      <c r="D265" s="6" t="str">
        <f>IFERROR(VLOOKUP($F265,매장구분!$B:$Z,9,0),"")</f>
        <v/>
      </c>
    </row>
    <row r="266" spans="1:4" x14ac:dyDescent="0.3">
      <c r="A266" s="6" t="str">
        <f>IFERROR(VLOOKUP($F266,매장구분!$B:$K,2,0),"")</f>
        <v/>
      </c>
      <c r="B266" s="6" t="str">
        <f>IFERROR(VLOOKUP($F266,매장구분!$B:$K,3,0),"")</f>
        <v/>
      </c>
      <c r="C266" s="6" t="str">
        <f>IFERROR(VLOOKUP($F266,매장구분!$B:$K,5,0),"")</f>
        <v/>
      </c>
      <c r="D266" s="6" t="str">
        <f>IFERROR(VLOOKUP($F266,매장구분!$B:$Z,9,0),"")</f>
        <v/>
      </c>
    </row>
    <row r="267" spans="1:4" x14ac:dyDescent="0.3">
      <c r="A267" s="6" t="str">
        <f>IFERROR(VLOOKUP($F267,매장구분!$B:$K,2,0),"")</f>
        <v/>
      </c>
      <c r="B267" s="6" t="str">
        <f>IFERROR(VLOOKUP($F267,매장구분!$B:$K,3,0),"")</f>
        <v/>
      </c>
      <c r="C267" s="6" t="str">
        <f>IFERROR(VLOOKUP($F267,매장구분!$B:$K,5,0),"")</f>
        <v/>
      </c>
      <c r="D267" s="6" t="str">
        <f>IFERROR(VLOOKUP($F267,매장구분!$B:$Z,9,0),"")</f>
        <v/>
      </c>
    </row>
    <row r="268" spans="1:4" x14ac:dyDescent="0.3">
      <c r="A268" s="6" t="str">
        <f>IFERROR(VLOOKUP($F268,매장구분!$B:$K,2,0),"")</f>
        <v/>
      </c>
      <c r="B268" s="6" t="str">
        <f>IFERROR(VLOOKUP($F268,매장구분!$B:$K,3,0),"")</f>
        <v/>
      </c>
      <c r="C268" s="6" t="str">
        <f>IFERROR(VLOOKUP($F268,매장구분!$B:$K,5,0),"")</f>
        <v/>
      </c>
      <c r="D268" s="6" t="str">
        <f>IFERROR(VLOOKUP($F268,매장구분!$B:$Z,9,0),"")</f>
        <v/>
      </c>
    </row>
    <row r="269" spans="1:4" x14ac:dyDescent="0.3">
      <c r="A269" s="6" t="str">
        <f>IFERROR(VLOOKUP($F269,매장구분!$B:$K,2,0),"")</f>
        <v/>
      </c>
      <c r="B269" s="6" t="str">
        <f>IFERROR(VLOOKUP($F269,매장구분!$B:$K,3,0),"")</f>
        <v/>
      </c>
      <c r="C269" s="6" t="str">
        <f>IFERROR(VLOOKUP($F269,매장구분!$B:$K,5,0),"")</f>
        <v/>
      </c>
      <c r="D269" s="6" t="str">
        <f>IFERROR(VLOOKUP($F269,매장구분!$B:$Z,9,0),"")</f>
        <v/>
      </c>
    </row>
    <row r="270" spans="1:4" x14ac:dyDescent="0.3">
      <c r="A270" s="6" t="str">
        <f>IFERROR(VLOOKUP($F270,매장구분!$B:$K,2,0),"")</f>
        <v/>
      </c>
      <c r="B270" s="6" t="str">
        <f>IFERROR(VLOOKUP($F270,매장구분!$B:$K,3,0),"")</f>
        <v/>
      </c>
      <c r="C270" s="6" t="str">
        <f>IFERROR(VLOOKUP($F270,매장구분!$B:$K,5,0),"")</f>
        <v/>
      </c>
      <c r="D270" s="6" t="str">
        <f>IFERROR(VLOOKUP($F270,매장구분!$B:$Z,9,0),"")</f>
        <v/>
      </c>
    </row>
    <row r="271" spans="1:4" x14ac:dyDescent="0.3">
      <c r="A271" s="6" t="str">
        <f>IFERROR(VLOOKUP($F271,매장구분!$B:$K,2,0),"")</f>
        <v/>
      </c>
      <c r="B271" s="6" t="str">
        <f>IFERROR(VLOOKUP($F271,매장구분!$B:$K,3,0),"")</f>
        <v/>
      </c>
      <c r="C271" s="6" t="str">
        <f>IFERROR(VLOOKUP($F271,매장구분!$B:$K,5,0),"")</f>
        <v/>
      </c>
      <c r="D271" s="6" t="str">
        <f>IFERROR(VLOOKUP($F271,매장구분!$B:$Z,9,0),"")</f>
        <v/>
      </c>
    </row>
    <row r="272" spans="1:4" x14ac:dyDescent="0.3">
      <c r="A272" s="6" t="str">
        <f>IFERROR(VLOOKUP($F272,매장구분!$B:$K,2,0),"")</f>
        <v/>
      </c>
      <c r="B272" s="6" t="str">
        <f>IFERROR(VLOOKUP($F272,매장구분!$B:$K,3,0),"")</f>
        <v/>
      </c>
      <c r="C272" s="6" t="str">
        <f>IFERROR(VLOOKUP($F272,매장구분!$B:$K,5,0),"")</f>
        <v/>
      </c>
      <c r="D272" s="6" t="str">
        <f>IFERROR(VLOOKUP($F272,매장구분!$B:$Z,9,0),"")</f>
        <v/>
      </c>
    </row>
    <row r="273" spans="1:4" x14ac:dyDescent="0.3">
      <c r="A273" s="6" t="str">
        <f>IFERROR(VLOOKUP($F273,매장구분!$B:$K,2,0),"")</f>
        <v/>
      </c>
      <c r="B273" s="6" t="str">
        <f>IFERROR(VLOOKUP($F273,매장구분!$B:$K,3,0),"")</f>
        <v/>
      </c>
      <c r="C273" s="6" t="str">
        <f>IFERROR(VLOOKUP($F273,매장구분!$B:$K,5,0),"")</f>
        <v/>
      </c>
      <c r="D273" s="6" t="str">
        <f>IFERROR(VLOOKUP($F273,매장구분!$B:$Z,9,0),"")</f>
        <v/>
      </c>
    </row>
    <row r="274" spans="1:4" x14ac:dyDescent="0.3">
      <c r="A274" s="6" t="str">
        <f>IFERROR(VLOOKUP($F274,매장구분!$B:$K,2,0),"")</f>
        <v/>
      </c>
      <c r="B274" s="6" t="str">
        <f>IFERROR(VLOOKUP($F274,매장구분!$B:$K,3,0),"")</f>
        <v/>
      </c>
      <c r="C274" s="6" t="str">
        <f>IFERROR(VLOOKUP($F274,매장구분!$B:$K,5,0),"")</f>
        <v/>
      </c>
      <c r="D274" s="6" t="str">
        <f>IFERROR(VLOOKUP($F274,매장구분!$B:$Z,9,0),"")</f>
        <v/>
      </c>
    </row>
    <row r="275" spans="1:4" x14ac:dyDescent="0.3">
      <c r="A275" s="6" t="str">
        <f>IFERROR(VLOOKUP($F275,매장구분!$B:$K,2,0),"")</f>
        <v/>
      </c>
      <c r="B275" s="6" t="str">
        <f>IFERROR(VLOOKUP($F275,매장구분!$B:$K,3,0),"")</f>
        <v/>
      </c>
      <c r="C275" s="6" t="str">
        <f>IFERROR(VLOOKUP($F275,매장구분!$B:$K,5,0),"")</f>
        <v/>
      </c>
      <c r="D275" s="6" t="str">
        <f>IFERROR(VLOOKUP($F275,매장구분!$B:$Z,9,0),"")</f>
        <v/>
      </c>
    </row>
    <row r="276" spans="1:4" x14ac:dyDescent="0.3">
      <c r="A276" s="6" t="str">
        <f>IFERROR(VLOOKUP($F276,매장구분!$B:$K,2,0),"")</f>
        <v/>
      </c>
      <c r="B276" s="6" t="str">
        <f>IFERROR(VLOOKUP($F276,매장구분!$B:$K,3,0),"")</f>
        <v/>
      </c>
      <c r="C276" s="6" t="str">
        <f>IFERROR(VLOOKUP($F276,매장구분!$B:$K,5,0),"")</f>
        <v/>
      </c>
      <c r="D276" s="6" t="str">
        <f>IFERROR(VLOOKUP($F276,매장구분!$B:$Z,9,0),"")</f>
        <v/>
      </c>
    </row>
    <row r="277" spans="1:4" x14ac:dyDescent="0.3">
      <c r="A277" s="6" t="str">
        <f>IFERROR(VLOOKUP($F277,매장구분!$B:$K,2,0),"")</f>
        <v/>
      </c>
      <c r="B277" s="6" t="str">
        <f>IFERROR(VLOOKUP($F277,매장구분!$B:$K,3,0),"")</f>
        <v/>
      </c>
      <c r="C277" s="6" t="str">
        <f>IFERROR(VLOOKUP($F277,매장구분!$B:$K,5,0),"")</f>
        <v/>
      </c>
      <c r="D277" s="6" t="str">
        <f>IFERROR(VLOOKUP($F277,매장구분!$B:$Z,9,0),"")</f>
        <v/>
      </c>
    </row>
    <row r="278" spans="1:4" x14ac:dyDescent="0.3">
      <c r="A278" s="6" t="str">
        <f>IFERROR(VLOOKUP($F278,매장구분!$B:$K,2,0),"")</f>
        <v/>
      </c>
      <c r="B278" s="6" t="str">
        <f>IFERROR(VLOOKUP($F278,매장구분!$B:$K,3,0),"")</f>
        <v/>
      </c>
      <c r="C278" s="6" t="str">
        <f>IFERROR(VLOOKUP($F278,매장구분!$B:$K,5,0),"")</f>
        <v/>
      </c>
      <c r="D278" s="6" t="str">
        <f>IFERROR(VLOOKUP($F278,매장구분!$B:$Z,9,0),"")</f>
        <v/>
      </c>
    </row>
    <row r="279" spans="1:4" x14ac:dyDescent="0.3">
      <c r="A279" s="6" t="str">
        <f>IFERROR(VLOOKUP($F279,매장구분!$B:$K,2,0),"")</f>
        <v/>
      </c>
      <c r="B279" s="6" t="str">
        <f>IFERROR(VLOOKUP($F279,매장구분!$B:$K,3,0),"")</f>
        <v/>
      </c>
      <c r="C279" s="6" t="str">
        <f>IFERROR(VLOOKUP($F279,매장구분!$B:$K,5,0),"")</f>
        <v/>
      </c>
      <c r="D279" s="6" t="str">
        <f>IFERROR(VLOOKUP($F279,매장구분!$B:$Z,9,0),"")</f>
        <v/>
      </c>
    </row>
    <row r="280" spans="1:4" x14ac:dyDescent="0.3">
      <c r="A280" s="6" t="str">
        <f>IFERROR(VLOOKUP($F280,매장구분!$B:$K,2,0),"")</f>
        <v/>
      </c>
      <c r="B280" s="6" t="str">
        <f>IFERROR(VLOOKUP($F280,매장구분!$B:$K,3,0),"")</f>
        <v/>
      </c>
      <c r="C280" s="6" t="str">
        <f>IFERROR(VLOOKUP($F280,매장구분!$B:$K,5,0),"")</f>
        <v/>
      </c>
      <c r="D280" s="6" t="str">
        <f>IFERROR(VLOOKUP($F280,매장구분!$B:$Z,9,0),"")</f>
        <v/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3202-AE39-4747-8822-F76A86D002B2}">
  <dimension ref="B1:BG301"/>
  <sheetViews>
    <sheetView zoomScale="70" zoomScaleNormal="70" workbookViewId="0">
      <pane xSplit="6" ySplit="5" topLeftCell="G21" activePane="bottomRight" state="frozen"/>
      <selection pane="topRight" activeCell="G1" sqref="G1"/>
      <selection pane="bottomLeft" activeCell="A6" sqref="A6"/>
      <selection pane="bottomRight" activeCell="E6" sqref="E6:AM49"/>
    </sheetView>
  </sheetViews>
  <sheetFormatPr defaultRowHeight="16.5" x14ac:dyDescent="0.3"/>
  <cols>
    <col min="6" max="6" width="13.875" bestFit="1" customWidth="1"/>
    <col min="9" max="24" width="12.25" customWidth="1"/>
    <col min="25" max="47" width="10.625" bestFit="1" customWidth="1"/>
    <col min="52" max="52" width="10.125" bestFit="1" customWidth="1"/>
    <col min="53" max="53" width="9.25" bestFit="1" customWidth="1"/>
    <col min="54" max="56" width="9.125" bestFit="1" customWidth="1"/>
    <col min="58" max="58" width="9.25" bestFit="1" customWidth="1"/>
    <col min="59" max="59" width="11.375" bestFit="1" customWidth="1"/>
  </cols>
  <sheetData>
    <row r="1" spans="2:59" x14ac:dyDescent="0.3">
      <c r="L1" s="6" t="s">
        <v>616</v>
      </c>
      <c r="M1" s="65">
        <f ca="1">DAY(TODAY())</f>
        <v>24</v>
      </c>
      <c r="AZ1" s="6">
        <v>1</v>
      </c>
      <c r="BA1" s="6">
        <v>2</v>
      </c>
      <c r="BB1" s="6">
        <v>3</v>
      </c>
      <c r="BC1" s="6">
        <v>4</v>
      </c>
      <c r="BD1" s="6">
        <v>5</v>
      </c>
    </row>
    <row r="2" spans="2:59" x14ac:dyDescent="0.3">
      <c r="Q2" s="1" t="str">
        <f ca="1">IF(DAY(Q5)&lt;$M$1,"동일","")</f>
        <v>동일</v>
      </c>
      <c r="R2" s="1" t="str">
        <f t="shared" ref="R2:AT2" ca="1" si="0">IF(DAY(R5)&lt;$M$1,"동일","")</f>
        <v>동일</v>
      </c>
      <c r="S2" s="1" t="str">
        <f t="shared" ca="1" si="0"/>
        <v>동일</v>
      </c>
      <c r="T2" s="1" t="str">
        <f t="shared" ca="1" si="0"/>
        <v>동일</v>
      </c>
      <c r="U2" s="1" t="str">
        <f t="shared" ca="1" si="0"/>
        <v>동일</v>
      </c>
      <c r="V2" s="1" t="str">
        <f t="shared" ca="1" si="0"/>
        <v>동일</v>
      </c>
      <c r="W2" s="1" t="str">
        <f t="shared" ca="1" si="0"/>
        <v>동일</v>
      </c>
      <c r="X2" s="1" t="str">
        <f t="shared" ca="1" si="0"/>
        <v>동일</v>
      </c>
      <c r="Y2" s="1" t="str">
        <f t="shared" ca="1" si="0"/>
        <v>동일</v>
      </c>
      <c r="Z2" s="1" t="str">
        <f t="shared" ca="1" si="0"/>
        <v>동일</v>
      </c>
      <c r="AA2" s="1" t="str">
        <f t="shared" ca="1" si="0"/>
        <v>동일</v>
      </c>
      <c r="AB2" s="1" t="str">
        <f t="shared" ca="1" si="0"/>
        <v>동일</v>
      </c>
      <c r="AC2" s="1" t="str">
        <f t="shared" ca="1" si="0"/>
        <v>동일</v>
      </c>
      <c r="AD2" s="1" t="str">
        <f t="shared" ca="1" si="0"/>
        <v>동일</v>
      </c>
      <c r="AE2" s="1" t="str">
        <f t="shared" ca="1" si="0"/>
        <v>동일</v>
      </c>
      <c r="AF2" s="1" t="str">
        <f t="shared" ca="1" si="0"/>
        <v>동일</v>
      </c>
      <c r="AG2" s="1" t="str">
        <f t="shared" ca="1" si="0"/>
        <v>동일</v>
      </c>
      <c r="AH2" s="1" t="str">
        <f t="shared" ca="1" si="0"/>
        <v>동일</v>
      </c>
      <c r="AI2" s="1" t="str">
        <f t="shared" ca="1" si="0"/>
        <v>동일</v>
      </c>
      <c r="AJ2" s="1" t="str">
        <f t="shared" ca="1" si="0"/>
        <v>동일</v>
      </c>
      <c r="AK2" s="1" t="str">
        <f t="shared" ca="1" si="0"/>
        <v>동일</v>
      </c>
      <c r="AL2" s="1" t="str">
        <f t="shared" ca="1" si="0"/>
        <v>동일</v>
      </c>
      <c r="AM2" s="1" t="str">
        <f t="shared" ca="1" si="0"/>
        <v>동일</v>
      </c>
      <c r="AN2" s="1" t="str">
        <f t="shared" ca="1" si="0"/>
        <v/>
      </c>
      <c r="AO2" s="1" t="str">
        <f t="shared" ca="1" si="0"/>
        <v/>
      </c>
      <c r="AP2" s="1" t="str">
        <f t="shared" ca="1" si="0"/>
        <v/>
      </c>
      <c r="AQ2" s="1" t="str">
        <f t="shared" ca="1" si="0"/>
        <v/>
      </c>
      <c r="AR2" s="1" t="str">
        <f t="shared" ca="1" si="0"/>
        <v/>
      </c>
      <c r="AS2" s="1" t="str">
        <f t="shared" ca="1" si="0"/>
        <v/>
      </c>
      <c r="AT2" s="1" t="str">
        <f t="shared" ca="1" si="0"/>
        <v/>
      </c>
      <c r="AU2" s="1"/>
      <c r="BF2" t="s">
        <v>617</v>
      </c>
      <c r="BG2" t="s">
        <v>636</v>
      </c>
    </row>
    <row r="3" spans="2:59" x14ac:dyDescent="0.3">
      <c r="Q3" s="1">
        <f>당년!P3</f>
        <v>1</v>
      </c>
      <c r="R3" s="1">
        <f>당년!Q3</f>
        <v>1</v>
      </c>
      <c r="S3" s="1">
        <f>당년!R3</f>
        <v>2</v>
      </c>
      <c r="T3" s="1">
        <f>당년!S3</f>
        <v>2</v>
      </c>
      <c r="U3" s="1">
        <f>당년!T3</f>
        <v>2</v>
      </c>
      <c r="V3" s="1">
        <f>당년!U3</f>
        <v>2</v>
      </c>
      <c r="W3" s="1">
        <f>당년!V3</f>
        <v>2</v>
      </c>
      <c r="X3" s="1">
        <f>당년!W3</f>
        <v>2</v>
      </c>
      <c r="Y3" s="1">
        <f>당년!X3</f>
        <v>2</v>
      </c>
      <c r="Z3" s="1">
        <f>당년!Y3</f>
        <v>3</v>
      </c>
      <c r="AA3" s="1">
        <f>당년!Z3</f>
        <v>3</v>
      </c>
      <c r="AB3" s="1">
        <f>당년!AA3</f>
        <v>3</v>
      </c>
      <c r="AC3" s="1">
        <f>당년!AB3</f>
        <v>3</v>
      </c>
      <c r="AD3" s="1">
        <f>당년!AC3</f>
        <v>3</v>
      </c>
      <c r="AE3" s="1">
        <f>당년!AD3</f>
        <v>3</v>
      </c>
      <c r="AF3" s="1">
        <f>당년!AE3</f>
        <v>3</v>
      </c>
      <c r="AG3" s="1">
        <f>당년!AF3</f>
        <v>4</v>
      </c>
      <c r="AH3" s="1">
        <f>당년!AG3</f>
        <v>4</v>
      </c>
      <c r="AI3" s="1">
        <f>당년!AH3</f>
        <v>4</v>
      </c>
      <c r="AJ3" s="1">
        <f>당년!AI3</f>
        <v>4</v>
      </c>
      <c r="AK3" s="1">
        <f>당년!AJ3</f>
        <v>4</v>
      </c>
      <c r="AL3" s="1">
        <f>당년!AK3</f>
        <v>4</v>
      </c>
      <c r="AM3" s="1">
        <f>당년!AL3</f>
        <v>4</v>
      </c>
      <c r="AN3" s="1">
        <f>당년!AM3</f>
        <v>5</v>
      </c>
      <c r="AO3" s="1">
        <f>당년!AN3</f>
        <v>5</v>
      </c>
      <c r="AP3" s="1">
        <f>당년!AO3</f>
        <v>5</v>
      </c>
      <c r="AQ3" s="1">
        <f>당년!AP3</f>
        <v>5</v>
      </c>
      <c r="AR3" s="1">
        <f>당년!AQ3</f>
        <v>5</v>
      </c>
      <c r="AS3" s="1">
        <f>당년!AR3</f>
        <v>5</v>
      </c>
      <c r="AT3" s="1">
        <f>당년!AS3</f>
        <v>5</v>
      </c>
      <c r="AU3" s="1">
        <f>당년!AT3</f>
        <v>5</v>
      </c>
    </row>
    <row r="4" spans="2:59" ht="26.25" x14ac:dyDescent="0.3">
      <c r="E4" s="89" t="s">
        <v>640</v>
      </c>
      <c r="Q4" s="36" t="str">
        <f>당년!P4</f>
        <v>토</v>
      </c>
      <c r="R4" s="36" t="str">
        <f>당년!Q4</f>
        <v>일</v>
      </c>
      <c r="S4" s="36" t="str">
        <f>당년!R4</f>
        <v>월</v>
      </c>
      <c r="T4" s="36" t="str">
        <f>당년!S4</f>
        <v>화</v>
      </c>
      <c r="U4" s="36" t="str">
        <f>당년!T4</f>
        <v>수</v>
      </c>
      <c r="V4" s="36" t="str">
        <f>당년!U4</f>
        <v>목</v>
      </c>
      <c r="W4" s="36" t="str">
        <f>당년!V4</f>
        <v>금</v>
      </c>
      <c r="X4" s="36" t="str">
        <f>당년!W4</f>
        <v>토</v>
      </c>
      <c r="Y4" s="36" t="str">
        <f>당년!X4</f>
        <v>일</v>
      </c>
      <c r="Z4" s="36" t="str">
        <f>당년!Y4</f>
        <v>월</v>
      </c>
      <c r="AA4" s="36" t="str">
        <f>당년!Z4</f>
        <v>화</v>
      </c>
      <c r="AB4" s="36" t="str">
        <f>당년!AA4</f>
        <v>수</v>
      </c>
      <c r="AC4" s="36" t="str">
        <f>당년!AB4</f>
        <v>목</v>
      </c>
      <c r="AD4" s="36" t="str">
        <f>당년!AC4</f>
        <v>금</v>
      </c>
      <c r="AE4" s="36" t="str">
        <f>당년!AD4</f>
        <v>토</v>
      </c>
      <c r="AF4" s="36" t="str">
        <f>당년!AE4</f>
        <v>일</v>
      </c>
      <c r="AG4" s="36" t="str">
        <f>당년!AF4</f>
        <v>월</v>
      </c>
      <c r="AH4" s="36" t="str">
        <f>당년!AG4</f>
        <v>화</v>
      </c>
      <c r="AI4" s="36" t="str">
        <f>당년!AH4</f>
        <v>수</v>
      </c>
      <c r="AJ4" s="36" t="str">
        <f>당년!AI4</f>
        <v>목</v>
      </c>
      <c r="AK4" s="36" t="str">
        <f>당년!AJ4</f>
        <v>금</v>
      </c>
      <c r="AL4" s="36" t="str">
        <f>당년!AK4</f>
        <v>토</v>
      </c>
      <c r="AM4" s="36" t="str">
        <f>당년!AL4</f>
        <v>일</v>
      </c>
      <c r="AN4" s="36" t="str">
        <f>당년!AM4</f>
        <v>월</v>
      </c>
      <c r="AO4" s="36" t="str">
        <f>당년!AN4</f>
        <v>화</v>
      </c>
      <c r="AP4" s="36" t="str">
        <f>당년!AO4</f>
        <v>수</v>
      </c>
      <c r="AQ4" s="36" t="str">
        <f>당년!AP4</f>
        <v>목</v>
      </c>
      <c r="AR4" s="36" t="str">
        <f>당년!AQ4</f>
        <v>금</v>
      </c>
      <c r="AS4" s="36" t="str">
        <f>당년!AR4</f>
        <v>토</v>
      </c>
      <c r="AT4" s="36" t="str">
        <f>당년!AS4</f>
        <v>일</v>
      </c>
      <c r="AU4" s="36" t="str">
        <f>당년!AT4</f>
        <v>월</v>
      </c>
      <c r="AZ4" s="66">
        <f>SUBTOTAL(9,AZ$6:AZ$100)</f>
        <v>351483397</v>
      </c>
      <c r="BA4" s="66">
        <f t="shared" ref="BA4:BD4" si="1">SUBTOTAL(9,BA$6:BA$100)</f>
        <v>1003123640</v>
      </c>
      <c r="BB4" s="66">
        <f t="shared" si="1"/>
        <v>852115210</v>
      </c>
      <c r="BC4" s="66">
        <f t="shared" si="1"/>
        <v>783661700</v>
      </c>
      <c r="BD4" s="66">
        <f t="shared" si="1"/>
        <v>0</v>
      </c>
    </row>
    <row r="5" spans="2:59" x14ac:dyDescent="0.25">
      <c r="E5" s="83" t="s">
        <v>624</v>
      </c>
      <c r="F5" s="83" t="s">
        <v>625</v>
      </c>
      <c r="G5" s="83" t="s">
        <v>641</v>
      </c>
      <c r="H5" s="83" t="s">
        <v>626</v>
      </c>
      <c r="I5" s="84" t="s">
        <v>627</v>
      </c>
      <c r="J5" s="84" t="s">
        <v>628</v>
      </c>
      <c r="K5" s="84" t="s">
        <v>629</v>
      </c>
      <c r="L5" s="84" t="s">
        <v>630</v>
      </c>
      <c r="M5" s="84" t="s">
        <v>631</v>
      </c>
      <c r="N5" s="84" t="s">
        <v>632</v>
      </c>
      <c r="O5" s="84" t="s">
        <v>633</v>
      </c>
      <c r="P5" s="84" t="s">
        <v>634</v>
      </c>
      <c r="Q5" s="82">
        <f>당년!P5</f>
        <v>45962</v>
      </c>
      <c r="R5" s="82">
        <f>당년!Q5</f>
        <v>45963</v>
      </c>
      <c r="S5" s="82">
        <f>당년!R5</f>
        <v>45964</v>
      </c>
      <c r="T5" s="82">
        <f>당년!S5</f>
        <v>45965</v>
      </c>
      <c r="U5" s="82">
        <f>당년!T5</f>
        <v>45966</v>
      </c>
      <c r="V5" s="82">
        <f>당년!U5</f>
        <v>45967</v>
      </c>
      <c r="W5" s="82">
        <f>당년!V5</f>
        <v>45968</v>
      </c>
      <c r="X5" s="82">
        <f>당년!W5</f>
        <v>45969</v>
      </c>
      <c r="Y5" s="82">
        <f>당년!X5</f>
        <v>45970</v>
      </c>
      <c r="Z5" s="82">
        <f>당년!Y5</f>
        <v>45971</v>
      </c>
      <c r="AA5" s="82">
        <f>당년!Z5</f>
        <v>45972</v>
      </c>
      <c r="AB5" s="82">
        <f>당년!AA5</f>
        <v>45973</v>
      </c>
      <c r="AC5" s="82">
        <f>당년!AB5</f>
        <v>45974</v>
      </c>
      <c r="AD5" s="82">
        <f>당년!AC5</f>
        <v>45975</v>
      </c>
      <c r="AE5" s="82">
        <f>당년!AD5</f>
        <v>45976</v>
      </c>
      <c r="AF5" s="82">
        <f>당년!AE5</f>
        <v>45977</v>
      </c>
      <c r="AG5" s="82">
        <f>당년!AF5</f>
        <v>45978</v>
      </c>
      <c r="AH5" s="82">
        <f>당년!AG5</f>
        <v>45979</v>
      </c>
      <c r="AI5" s="82">
        <f>당년!AH5</f>
        <v>45980</v>
      </c>
      <c r="AJ5" s="82">
        <f>당년!AI5</f>
        <v>45981</v>
      </c>
      <c r="AK5" s="82">
        <f>당년!AJ5</f>
        <v>45982</v>
      </c>
      <c r="AL5" s="82">
        <f>당년!AK5</f>
        <v>45983</v>
      </c>
      <c r="AM5" s="82">
        <f>당년!AL5</f>
        <v>45984</v>
      </c>
      <c r="AN5" s="82">
        <f>당년!AM5</f>
        <v>45985</v>
      </c>
      <c r="AO5" s="82">
        <f>당년!AN5</f>
        <v>45986</v>
      </c>
      <c r="AP5" s="82">
        <f>당년!AO5</f>
        <v>45987</v>
      </c>
      <c r="AQ5" s="82">
        <f>당년!AP5</f>
        <v>45988</v>
      </c>
      <c r="AR5" s="82">
        <f>당년!AQ5</f>
        <v>45989</v>
      </c>
      <c r="AS5" s="82">
        <f>당년!AR5</f>
        <v>45990</v>
      </c>
      <c r="AT5" s="82">
        <f>당년!AS5</f>
        <v>45991</v>
      </c>
      <c r="AU5" s="82">
        <f>당년!AT5</f>
        <v>45992</v>
      </c>
      <c r="AZ5" s="6"/>
      <c r="BA5" s="6"/>
      <c r="BB5" s="6"/>
      <c r="BC5" s="6"/>
      <c r="BD5" s="6"/>
    </row>
    <row r="6" spans="2:59" x14ac:dyDescent="0.25">
      <c r="B6" t="str">
        <f>IFERROR(VLOOKUP($F6,매장구분!$B:$V,2,0),"")</f>
        <v>파트너채널팀</v>
      </c>
      <c r="C6" t="str">
        <f>IFERROR(VLOOKUP($F6,매장구분!$B:$V,4,0),"")</f>
        <v>백화점</v>
      </c>
      <c r="D6" t="str">
        <f>IF(G6="단체할인","단체",IF(G6="","","순수"))</f>
        <v>단체</v>
      </c>
      <c r="E6" s="85" t="s">
        <v>450</v>
      </c>
      <c r="F6" s="85" t="s">
        <v>451</v>
      </c>
      <c r="G6" s="85" t="s">
        <v>642</v>
      </c>
      <c r="H6" s="85">
        <v>1137</v>
      </c>
      <c r="I6" s="86">
        <v>146324400</v>
      </c>
      <c r="J6" s="86">
        <v>164543000</v>
      </c>
      <c r="K6" s="86">
        <v>1137</v>
      </c>
      <c r="L6" s="86">
        <v>146324400</v>
      </c>
      <c r="M6" s="86">
        <v>164543000</v>
      </c>
      <c r="N6" s="86">
        <v>0</v>
      </c>
      <c r="O6" s="86">
        <v>0</v>
      </c>
      <c r="P6" s="86">
        <v>0</v>
      </c>
      <c r="Q6" s="86">
        <v>0</v>
      </c>
      <c r="R6" s="86">
        <v>0</v>
      </c>
      <c r="S6" s="86">
        <v>0</v>
      </c>
      <c r="T6" s="86">
        <v>0</v>
      </c>
      <c r="U6" s="86">
        <v>0</v>
      </c>
      <c r="V6" s="86">
        <v>0</v>
      </c>
      <c r="W6" s="86">
        <v>132210000</v>
      </c>
      <c r="X6" s="86">
        <v>14114400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Z6" s="66">
        <f t="shared" ref="AZ6:BC21" si="2">SUMIFS($Q6:$AU6,$Q$3:$AU$3,AZ$1)</f>
        <v>0</v>
      </c>
      <c r="BA6" s="66">
        <f t="shared" si="2"/>
        <v>146324400</v>
      </c>
      <c r="BB6" s="66">
        <f t="shared" si="2"/>
        <v>0</v>
      </c>
      <c r="BC6" s="66">
        <f>SUMIFS($Q6:$AU6,$Q$3:$AU$3,BC$1)</f>
        <v>0</v>
      </c>
      <c r="BD6" s="66">
        <f t="shared" ref="BD6:BD60" si="3">SUMIFS($Q6:$AU6,$Q$3:$AU$3,BD$1)</f>
        <v>0</v>
      </c>
      <c r="BF6" s="66">
        <f ca="1">SUMIFS($Q6:$AU6,$Q$2:$AU$2,BF$2)</f>
        <v>146324400</v>
      </c>
      <c r="BG6" s="66"/>
    </row>
    <row r="7" spans="2:59" x14ac:dyDescent="0.25">
      <c r="B7" t="str">
        <f>IFERROR(VLOOKUP($F7,매장구분!$B:$V,2,0),"")</f>
        <v>파트너채널팀</v>
      </c>
      <c r="C7" t="str">
        <f>IFERROR(VLOOKUP($F7,매장구분!$B:$V,4,0),"")</f>
        <v>백화점</v>
      </c>
      <c r="D7" t="str">
        <f t="shared" ref="D7:D70" si="4">IF(G7="단체할인","단체",IF(G7="","","순수"))</f>
        <v>순수</v>
      </c>
      <c r="E7" s="85" t="s">
        <v>450</v>
      </c>
      <c r="F7" s="85" t="s">
        <v>451</v>
      </c>
      <c r="G7" s="85" t="s">
        <v>643</v>
      </c>
      <c r="H7" s="85">
        <v>23</v>
      </c>
      <c r="I7" s="86">
        <v>898800</v>
      </c>
      <c r="J7" s="86">
        <v>1088800</v>
      </c>
      <c r="K7" s="86">
        <v>23</v>
      </c>
      <c r="L7" s="86">
        <v>898800</v>
      </c>
      <c r="M7" s="86">
        <v>1088800</v>
      </c>
      <c r="N7" s="86">
        <v>0</v>
      </c>
      <c r="O7" s="86">
        <v>0</v>
      </c>
      <c r="P7" s="86">
        <v>0</v>
      </c>
      <c r="Q7" s="86">
        <v>59000</v>
      </c>
      <c r="R7" s="86">
        <v>247000</v>
      </c>
      <c r="S7" s="86">
        <v>0</v>
      </c>
      <c r="T7" s="86">
        <v>137000</v>
      </c>
      <c r="U7" s="86">
        <v>0</v>
      </c>
      <c r="V7" s="86">
        <v>49000</v>
      </c>
      <c r="W7" s="86">
        <v>0</v>
      </c>
      <c r="X7" s="86">
        <v>0</v>
      </c>
      <c r="Y7">
        <v>0</v>
      </c>
      <c r="Z7">
        <v>0</v>
      </c>
      <c r="AA7">
        <v>53000</v>
      </c>
      <c r="AB7">
        <v>0</v>
      </c>
      <c r="AC7">
        <v>0</v>
      </c>
      <c r="AD7">
        <v>43000</v>
      </c>
      <c r="AE7">
        <v>36000</v>
      </c>
      <c r="AF7">
        <v>49000</v>
      </c>
      <c r="AG7">
        <v>0</v>
      </c>
      <c r="AH7">
        <v>0</v>
      </c>
      <c r="AI7">
        <v>0</v>
      </c>
      <c r="AJ7">
        <v>0</v>
      </c>
      <c r="AK7">
        <v>102800</v>
      </c>
      <c r="AL7">
        <v>0</v>
      </c>
      <c r="AM7">
        <v>123000</v>
      </c>
      <c r="AZ7" s="66">
        <f t="shared" si="2"/>
        <v>306000</v>
      </c>
      <c r="BA7" s="66">
        <f t="shared" si="2"/>
        <v>186000</v>
      </c>
      <c r="BB7" s="66">
        <f t="shared" si="2"/>
        <v>181000</v>
      </c>
      <c r="BC7" s="66">
        <f t="shared" si="2"/>
        <v>225800</v>
      </c>
      <c r="BD7" s="66">
        <f t="shared" si="3"/>
        <v>0</v>
      </c>
      <c r="BF7" s="66">
        <f t="shared" ref="BF7:BF60" ca="1" si="5">SUMIFS($Q7:$AU7,$Q$2:$AU$2,BF$2)</f>
        <v>898800</v>
      </c>
      <c r="BG7" s="66"/>
    </row>
    <row r="8" spans="2:59" x14ac:dyDescent="0.25">
      <c r="B8" t="str">
        <f>IFERROR(VLOOKUP($F8,매장구분!$B:$V,2,0),"")</f>
        <v>파트너채널팀</v>
      </c>
      <c r="C8" t="str">
        <f>IFERROR(VLOOKUP($F8,매장구분!$B:$V,4,0),"")</f>
        <v>백화점</v>
      </c>
      <c r="D8" t="str">
        <f t="shared" si="4"/>
        <v>순수</v>
      </c>
      <c r="E8" s="85" t="s">
        <v>450</v>
      </c>
      <c r="F8" s="85" t="s">
        <v>451</v>
      </c>
      <c r="G8" s="85" t="s">
        <v>644</v>
      </c>
      <c r="H8" s="85">
        <v>527</v>
      </c>
      <c r="I8" s="86">
        <v>50042100</v>
      </c>
      <c r="J8" s="86">
        <v>50042100</v>
      </c>
      <c r="K8" s="86">
        <v>575</v>
      </c>
      <c r="L8" s="86">
        <v>55829600</v>
      </c>
      <c r="M8" s="86">
        <v>55829600</v>
      </c>
      <c r="N8" s="86">
        <v>-48</v>
      </c>
      <c r="O8" s="86">
        <v>-5787500</v>
      </c>
      <c r="P8" s="86">
        <v>-5787500</v>
      </c>
      <c r="Q8" s="86">
        <v>2564200</v>
      </c>
      <c r="R8" s="86">
        <v>1691200</v>
      </c>
      <c r="S8" s="86">
        <v>0</v>
      </c>
      <c r="T8" s="86">
        <v>1966900</v>
      </c>
      <c r="U8" s="86">
        <v>2285000</v>
      </c>
      <c r="V8" s="86">
        <v>965700</v>
      </c>
      <c r="W8" s="86">
        <v>2087400</v>
      </c>
      <c r="X8" s="86">
        <v>2697500</v>
      </c>
      <c r="Y8">
        <v>1481000</v>
      </c>
      <c r="Z8">
        <v>4145000</v>
      </c>
      <c r="AA8">
        <v>2294900</v>
      </c>
      <c r="AB8">
        <v>1641000</v>
      </c>
      <c r="AC8">
        <v>2601000</v>
      </c>
      <c r="AD8">
        <v>1797900</v>
      </c>
      <c r="AE8">
        <v>1779000</v>
      </c>
      <c r="AF8">
        <v>2304000</v>
      </c>
      <c r="AG8">
        <v>1623000</v>
      </c>
      <c r="AH8">
        <v>3543800</v>
      </c>
      <c r="AI8">
        <v>2921000</v>
      </c>
      <c r="AJ8">
        <v>1875000</v>
      </c>
      <c r="AK8">
        <v>1669000</v>
      </c>
      <c r="AL8">
        <v>1761600</v>
      </c>
      <c r="AM8">
        <v>4347000</v>
      </c>
      <c r="AZ8" s="66">
        <f t="shared" si="2"/>
        <v>4255400</v>
      </c>
      <c r="BA8" s="66">
        <f t="shared" si="2"/>
        <v>11483500</v>
      </c>
      <c r="BB8" s="66">
        <f t="shared" si="2"/>
        <v>16562800</v>
      </c>
      <c r="BC8" s="66">
        <f t="shared" si="2"/>
        <v>17740400</v>
      </c>
      <c r="BD8" s="66">
        <f t="shared" si="3"/>
        <v>0</v>
      </c>
      <c r="BF8" s="66">
        <f t="shared" ca="1" si="5"/>
        <v>50042100</v>
      </c>
    </row>
    <row r="9" spans="2:59" x14ac:dyDescent="0.25">
      <c r="B9" t="str">
        <f>IFERROR(VLOOKUP($F9,매장구분!$B:$V,2,0),"")</f>
        <v>파트너채널팀</v>
      </c>
      <c r="C9" t="str">
        <f>IFERROR(VLOOKUP($F9,매장구분!$B:$V,4,0),"")</f>
        <v>백화점</v>
      </c>
      <c r="D9" t="str">
        <f t="shared" si="4"/>
        <v>순수</v>
      </c>
      <c r="E9" s="85" t="s">
        <v>450</v>
      </c>
      <c r="F9" s="85" t="s">
        <v>451</v>
      </c>
      <c r="G9" s="85" t="s">
        <v>645</v>
      </c>
      <c r="H9" s="85">
        <v>163</v>
      </c>
      <c r="I9" s="86">
        <v>25357300</v>
      </c>
      <c r="J9" s="86">
        <v>27457300</v>
      </c>
      <c r="K9" s="86">
        <v>169</v>
      </c>
      <c r="L9" s="86">
        <v>26211300</v>
      </c>
      <c r="M9" s="86">
        <v>28391300</v>
      </c>
      <c r="N9" s="86">
        <v>-6</v>
      </c>
      <c r="O9" s="86">
        <v>-854000</v>
      </c>
      <c r="P9" s="86">
        <v>-934000</v>
      </c>
      <c r="Q9" s="86">
        <v>1444000</v>
      </c>
      <c r="R9" s="86">
        <v>2213000</v>
      </c>
      <c r="S9" s="86">
        <v>0</v>
      </c>
      <c r="T9" s="86">
        <v>2218000</v>
      </c>
      <c r="U9" s="86">
        <v>2019700</v>
      </c>
      <c r="V9" s="86">
        <v>784000</v>
      </c>
      <c r="W9" s="86">
        <v>0</v>
      </c>
      <c r="X9" s="86">
        <v>745000</v>
      </c>
      <c r="Y9">
        <v>793900</v>
      </c>
      <c r="Z9">
        <v>447000</v>
      </c>
      <c r="AA9">
        <v>717000</v>
      </c>
      <c r="AB9">
        <v>0</v>
      </c>
      <c r="AC9">
        <v>198000</v>
      </c>
      <c r="AD9">
        <v>1530000</v>
      </c>
      <c r="AE9">
        <v>1861900</v>
      </c>
      <c r="AF9">
        <v>1391000</v>
      </c>
      <c r="AG9">
        <v>664900</v>
      </c>
      <c r="AH9">
        <v>2597900</v>
      </c>
      <c r="AI9">
        <v>408000</v>
      </c>
      <c r="AJ9">
        <v>450000</v>
      </c>
      <c r="AK9">
        <v>2408000</v>
      </c>
      <c r="AL9">
        <v>923000</v>
      </c>
      <c r="AM9">
        <v>1543000</v>
      </c>
      <c r="AZ9" s="66">
        <f t="shared" si="2"/>
        <v>3657000</v>
      </c>
      <c r="BA9" s="66">
        <f t="shared" si="2"/>
        <v>6560600</v>
      </c>
      <c r="BB9" s="66">
        <f t="shared" si="2"/>
        <v>6144900</v>
      </c>
      <c r="BC9" s="66">
        <f t="shared" si="2"/>
        <v>8994800</v>
      </c>
      <c r="BD9" s="66">
        <f t="shared" si="3"/>
        <v>0</v>
      </c>
      <c r="BF9" s="66">
        <f t="shared" ca="1" si="5"/>
        <v>25357300</v>
      </c>
    </row>
    <row r="10" spans="2:59" x14ac:dyDescent="0.3">
      <c r="B10" t="str">
        <f>IFERROR(VLOOKUP($F10,매장구분!$B:$V,2,0),"")</f>
        <v>파트너채널팀</v>
      </c>
      <c r="C10" t="str">
        <f>IFERROR(VLOOKUP($F10,매장구분!$B:$V,4,0),"")</f>
        <v>백화점</v>
      </c>
      <c r="D10" t="str">
        <f t="shared" si="4"/>
        <v>단체</v>
      </c>
      <c r="E10" t="s">
        <v>269</v>
      </c>
      <c r="F10" t="s">
        <v>270</v>
      </c>
      <c r="G10" t="s">
        <v>642</v>
      </c>
      <c r="H10">
        <v>1381</v>
      </c>
      <c r="I10">
        <v>316146500</v>
      </c>
      <c r="J10">
        <v>393264000</v>
      </c>
      <c r="K10">
        <v>1381</v>
      </c>
      <c r="L10">
        <v>316146500</v>
      </c>
      <c r="M10">
        <v>393264000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161380000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145247700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9518800</v>
      </c>
      <c r="AM10">
        <v>0</v>
      </c>
      <c r="AZ10" s="66">
        <f t="shared" si="2"/>
        <v>0</v>
      </c>
      <c r="BA10" s="66">
        <f t="shared" si="2"/>
        <v>161380000</v>
      </c>
      <c r="BB10" s="66">
        <f t="shared" si="2"/>
        <v>145247700</v>
      </c>
      <c r="BC10" s="66">
        <f t="shared" si="2"/>
        <v>9518800</v>
      </c>
      <c r="BD10" s="66">
        <f t="shared" si="3"/>
        <v>0</v>
      </c>
      <c r="BF10" s="66">
        <f t="shared" ca="1" si="5"/>
        <v>316146500</v>
      </c>
    </row>
    <row r="11" spans="2:59" x14ac:dyDescent="0.3">
      <c r="B11" t="str">
        <f>IFERROR(VLOOKUP($F11,매장구분!$B:$V,2,0),"")</f>
        <v>파트너채널팀</v>
      </c>
      <c r="C11" t="str">
        <f>IFERROR(VLOOKUP($F11,매장구분!$B:$V,4,0),"")</f>
        <v>백화점</v>
      </c>
      <c r="D11" t="str">
        <f t="shared" si="4"/>
        <v>순수</v>
      </c>
      <c r="E11" t="s">
        <v>269</v>
      </c>
      <c r="F11" t="s">
        <v>270</v>
      </c>
      <c r="G11" t="s">
        <v>643</v>
      </c>
      <c r="H11">
        <v>104</v>
      </c>
      <c r="I11">
        <v>4741000</v>
      </c>
      <c r="J11">
        <v>5722000</v>
      </c>
      <c r="K11">
        <v>104</v>
      </c>
      <c r="L11">
        <v>4741000</v>
      </c>
      <c r="M11">
        <v>5722000</v>
      </c>
      <c r="N11">
        <v>0</v>
      </c>
      <c r="O11">
        <v>0</v>
      </c>
      <c r="P11">
        <v>0</v>
      </c>
      <c r="Q11">
        <v>56000</v>
      </c>
      <c r="R11">
        <v>484000</v>
      </c>
      <c r="S11">
        <v>141000</v>
      </c>
      <c r="T11">
        <v>158000</v>
      </c>
      <c r="U11">
        <v>26000</v>
      </c>
      <c r="V11">
        <v>177000</v>
      </c>
      <c r="W11">
        <v>26000</v>
      </c>
      <c r="X11">
        <v>299000</v>
      </c>
      <c r="Y11">
        <v>351000</v>
      </c>
      <c r="Z11">
        <v>0</v>
      </c>
      <c r="AA11">
        <v>120000</v>
      </c>
      <c r="AB11">
        <v>238000</v>
      </c>
      <c r="AC11">
        <v>201000</v>
      </c>
      <c r="AD11">
        <v>39000</v>
      </c>
      <c r="AE11">
        <v>236000</v>
      </c>
      <c r="AF11">
        <v>253000</v>
      </c>
      <c r="AG11">
        <v>55000</v>
      </c>
      <c r="AH11">
        <v>322000</v>
      </c>
      <c r="AI11">
        <v>111000</v>
      </c>
      <c r="AJ11">
        <v>217000</v>
      </c>
      <c r="AK11">
        <v>332000</v>
      </c>
      <c r="AL11">
        <v>550000</v>
      </c>
      <c r="AM11">
        <v>349000</v>
      </c>
      <c r="AZ11" s="66">
        <f t="shared" si="2"/>
        <v>540000</v>
      </c>
      <c r="BA11" s="66">
        <f t="shared" si="2"/>
        <v>1178000</v>
      </c>
      <c r="BB11" s="66">
        <f t="shared" si="2"/>
        <v>1087000</v>
      </c>
      <c r="BC11" s="66">
        <f t="shared" si="2"/>
        <v>1936000</v>
      </c>
      <c r="BD11" s="66">
        <f t="shared" si="3"/>
        <v>0</v>
      </c>
      <c r="BF11" s="66">
        <f t="shared" ca="1" si="5"/>
        <v>4741000</v>
      </c>
    </row>
    <row r="12" spans="2:59" x14ac:dyDescent="0.3">
      <c r="B12" t="str">
        <f>IFERROR(VLOOKUP($F12,매장구분!$B:$V,2,0),"")</f>
        <v>파트너채널팀</v>
      </c>
      <c r="C12" t="str">
        <f>IFERROR(VLOOKUP($F12,매장구분!$B:$V,4,0),"")</f>
        <v>백화점</v>
      </c>
      <c r="D12" t="str">
        <f t="shared" si="4"/>
        <v>순수</v>
      </c>
      <c r="E12" t="s">
        <v>269</v>
      </c>
      <c r="F12" t="s">
        <v>270</v>
      </c>
      <c r="G12" t="s">
        <v>644</v>
      </c>
      <c r="H12">
        <v>1094</v>
      </c>
      <c r="I12">
        <v>65780100</v>
      </c>
      <c r="J12">
        <v>65780100</v>
      </c>
      <c r="K12">
        <v>1129</v>
      </c>
      <c r="L12">
        <v>69496900</v>
      </c>
      <c r="M12">
        <v>69496900</v>
      </c>
      <c r="N12">
        <v>-35</v>
      </c>
      <c r="O12">
        <v>-3716800</v>
      </c>
      <c r="P12">
        <v>-3716800</v>
      </c>
      <c r="Q12">
        <v>9946200</v>
      </c>
      <c r="R12">
        <v>4185000</v>
      </c>
      <c r="S12">
        <v>3661000</v>
      </c>
      <c r="T12">
        <v>3995000</v>
      </c>
      <c r="U12">
        <v>2939000</v>
      </c>
      <c r="V12">
        <v>3626000</v>
      </c>
      <c r="W12">
        <v>2354000</v>
      </c>
      <c r="X12">
        <v>4748000</v>
      </c>
      <c r="Y12">
        <v>4252000</v>
      </c>
      <c r="Z12">
        <v>0</v>
      </c>
      <c r="AA12">
        <v>2788000</v>
      </c>
      <c r="AB12">
        <v>1403000</v>
      </c>
      <c r="AC12">
        <v>338000</v>
      </c>
      <c r="AD12">
        <v>1483000</v>
      </c>
      <c r="AE12">
        <v>2806000</v>
      </c>
      <c r="AF12">
        <v>1380000</v>
      </c>
      <c r="AG12">
        <v>1277000</v>
      </c>
      <c r="AH12">
        <v>1127000</v>
      </c>
      <c r="AI12">
        <v>1104000</v>
      </c>
      <c r="AJ12">
        <v>1352000</v>
      </c>
      <c r="AK12">
        <v>4383000</v>
      </c>
      <c r="AL12">
        <v>3267000</v>
      </c>
      <c r="AM12">
        <v>3365900</v>
      </c>
      <c r="AZ12" s="66">
        <f t="shared" si="2"/>
        <v>14131200</v>
      </c>
      <c r="BA12" s="66">
        <f t="shared" si="2"/>
        <v>25575000</v>
      </c>
      <c r="BB12" s="66">
        <f t="shared" si="2"/>
        <v>10198000</v>
      </c>
      <c r="BC12" s="66">
        <f t="shared" si="2"/>
        <v>15875900</v>
      </c>
      <c r="BD12" s="66">
        <f t="shared" si="3"/>
        <v>0</v>
      </c>
      <c r="BF12" s="66">
        <f t="shared" ca="1" si="5"/>
        <v>65780100</v>
      </c>
    </row>
    <row r="13" spans="2:59" x14ac:dyDescent="0.3">
      <c r="B13" t="str">
        <f>IFERROR(VLOOKUP($F13,매장구분!$B:$V,2,0),"")</f>
        <v>파트너채널팀</v>
      </c>
      <c r="C13" t="str">
        <f>IFERROR(VLOOKUP($F13,매장구분!$B:$V,4,0),"")</f>
        <v>백화점</v>
      </c>
      <c r="D13" t="str">
        <f t="shared" si="4"/>
        <v>순수</v>
      </c>
      <c r="E13" t="s">
        <v>269</v>
      </c>
      <c r="F13" t="s">
        <v>270</v>
      </c>
      <c r="G13" t="s">
        <v>645</v>
      </c>
      <c r="H13">
        <v>479</v>
      </c>
      <c r="I13">
        <v>62178000</v>
      </c>
      <c r="J13">
        <v>67968000</v>
      </c>
      <c r="K13">
        <v>483</v>
      </c>
      <c r="L13">
        <v>63364000</v>
      </c>
      <c r="M13">
        <v>69244000</v>
      </c>
      <c r="N13">
        <v>-4</v>
      </c>
      <c r="O13">
        <v>-1186000</v>
      </c>
      <c r="P13">
        <v>-1276000</v>
      </c>
      <c r="Q13">
        <v>408000</v>
      </c>
      <c r="R13">
        <v>2521000</v>
      </c>
      <c r="S13">
        <v>746000</v>
      </c>
      <c r="T13">
        <v>2182000</v>
      </c>
      <c r="U13">
        <v>239000</v>
      </c>
      <c r="V13">
        <v>438000</v>
      </c>
      <c r="W13">
        <v>1583000</v>
      </c>
      <c r="X13">
        <v>797000</v>
      </c>
      <c r="Y13">
        <v>1569000</v>
      </c>
      <c r="Z13">
        <v>0</v>
      </c>
      <c r="AA13">
        <v>915000</v>
      </c>
      <c r="AB13">
        <v>4481000</v>
      </c>
      <c r="AC13">
        <v>1925000</v>
      </c>
      <c r="AD13">
        <v>4074000</v>
      </c>
      <c r="AE13">
        <v>5586000</v>
      </c>
      <c r="AF13">
        <v>3822000</v>
      </c>
      <c r="AG13">
        <v>2540000</v>
      </c>
      <c r="AH13">
        <v>5212000</v>
      </c>
      <c r="AI13">
        <v>2088000</v>
      </c>
      <c r="AJ13">
        <v>2823000</v>
      </c>
      <c r="AK13">
        <v>2337000</v>
      </c>
      <c r="AL13">
        <v>6718000</v>
      </c>
      <c r="AM13">
        <v>9174000</v>
      </c>
      <c r="AZ13" s="66">
        <f t="shared" si="2"/>
        <v>2929000</v>
      </c>
      <c r="BA13" s="66">
        <f t="shared" si="2"/>
        <v>7554000</v>
      </c>
      <c r="BB13" s="66">
        <f t="shared" si="2"/>
        <v>20803000</v>
      </c>
      <c r="BC13" s="66">
        <f t="shared" si="2"/>
        <v>30892000</v>
      </c>
      <c r="BD13" s="66">
        <f t="shared" si="3"/>
        <v>0</v>
      </c>
      <c r="BF13" s="66">
        <f t="shared" ca="1" si="5"/>
        <v>62178000</v>
      </c>
    </row>
    <row r="14" spans="2:59" x14ac:dyDescent="0.3">
      <c r="B14" t="str">
        <f>IFERROR(VLOOKUP($F14,매장구분!$B:$V,2,0),"")</f>
        <v>리테일채널팀</v>
      </c>
      <c r="C14" t="str">
        <f>IFERROR(VLOOKUP($F14,매장구분!$B:$V,4,0),"")</f>
        <v>직영점</v>
      </c>
      <c r="D14" t="str">
        <f t="shared" si="4"/>
        <v>순수</v>
      </c>
      <c r="E14" t="s">
        <v>398</v>
      </c>
      <c r="F14" t="s">
        <v>399</v>
      </c>
      <c r="G14" t="s">
        <v>646</v>
      </c>
      <c r="H14">
        <v>1</v>
      </c>
      <c r="I14">
        <v>111300</v>
      </c>
      <c r="J14">
        <v>159000</v>
      </c>
      <c r="K14">
        <v>1</v>
      </c>
      <c r="L14">
        <v>111300</v>
      </c>
      <c r="M14">
        <v>159000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111300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Z14" s="66">
        <f t="shared" si="2"/>
        <v>0</v>
      </c>
      <c r="BA14" s="66">
        <f t="shared" si="2"/>
        <v>111300</v>
      </c>
      <c r="BB14" s="66">
        <f t="shared" si="2"/>
        <v>0</v>
      </c>
      <c r="BC14" s="66">
        <f t="shared" si="2"/>
        <v>0</v>
      </c>
      <c r="BD14" s="66">
        <f t="shared" si="3"/>
        <v>0</v>
      </c>
      <c r="BF14" s="66">
        <f t="shared" ca="1" si="5"/>
        <v>111300</v>
      </c>
    </row>
    <row r="15" spans="2:59" x14ac:dyDescent="0.3">
      <c r="B15" t="str">
        <f>IFERROR(VLOOKUP($F15,매장구분!$B:$V,2,0),"")</f>
        <v>리테일채널팀</v>
      </c>
      <c r="C15" t="str">
        <f>IFERROR(VLOOKUP($F15,매장구분!$B:$V,4,0),"")</f>
        <v>직영점</v>
      </c>
      <c r="D15" t="str">
        <f t="shared" si="4"/>
        <v>단체</v>
      </c>
      <c r="E15" t="s">
        <v>398</v>
      </c>
      <c r="F15" t="s">
        <v>399</v>
      </c>
      <c r="G15" t="s">
        <v>642</v>
      </c>
      <c r="H15">
        <v>1596</v>
      </c>
      <c r="I15">
        <v>115499300</v>
      </c>
      <c r="J15">
        <v>164999000</v>
      </c>
      <c r="K15">
        <v>1596</v>
      </c>
      <c r="L15">
        <v>115499300</v>
      </c>
      <c r="M15">
        <v>164999000</v>
      </c>
      <c r="N15">
        <v>0</v>
      </c>
      <c r="O15">
        <v>0</v>
      </c>
      <c r="P15">
        <v>0</v>
      </c>
      <c r="Q15">
        <v>66571960</v>
      </c>
      <c r="R15">
        <v>10709090</v>
      </c>
      <c r="S15">
        <v>0</v>
      </c>
      <c r="T15">
        <v>0</v>
      </c>
      <c r="U15">
        <v>0</v>
      </c>
      <c r="V15">
        <v>0</v>
      </c>
      <c r="W15">
        <v>9163700</v>
      </c>
      <c r="X15">
        <v>8570940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14479710</v>
      </c>
      <c r="AE15">
        <v>6003900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Z15" s="66">
        <f t="shared" si="2"/>
        <v>77281050</v>
      </c>
      <c r="BA15" s="66">
        <f t="shared" si="2"/>
        <v>17734640</v>
      </c>
      <c r="BB15" s="66">
        <f t="shared" si="2"/>
        <v>20483610</v>
      </c>
      <c r="BC15" s="66">
        <f t="shared" si="2"/>
        <v>0</v>
      </c>
      <c r="BD15" s="66">
        <f t="shared" si="3"/>
        <v>0</v>
      </c>
      <c r="BF15" s="66">
        <f t="shared" ca="1" si="5"/>
        <v>115499300</v>
      </c>
    </row>
    <row r="16" spans="2:59" x14ac:dyDescent="0.3">
      <c r="B16" t="str">
        <f>IFERROR(VLOOKUP($F16,매장구분!$B:$V,2,0),"")</f>
        <v>리테일채널팀</v>
      </c>
      <c r="C16" t="str">
        <f>IFERROR(VLOOKUP($F16,매장구분!$B:$V,4,0),"")</f>
        <v>직영점</v>
      </c>
      <c r="D16" t="str">
        <f t="shared" si="4"/>
        <v>순수</v>
      </c>
      <c r="E16" t="s">
        <v>398</v>
      </c>
      <c r="F16" t="s">
        <v>399</v>
      </c>
      <c r="G16" t="s">
        <v>643</v>
      </c>
      <c r="H16">
        <v>20</v>
      </c>
      <c r="I16">
        <v>1889000</v>
      </c>
      <c r="J16">
        <v>2019000</v>
      </c>
      <c r="K16">
        <v>21</v>
      </c>
      <c r="L16">
        <v>1932000</v>
      </c>
      <c r="M16">
        <v>2072000</v>
      </c>
      <c r="N16">
        <v>-1</v>
      </c>
      <c r="O16">
        <v>-43000</v>
      </c>
      <c r="P16">
        <v>-53000</v>
      </c>
      <c r="Q16">
        <v>377000</v>
      </c>
      <c r="R16">
        <v>0</v>
      </c>
      <c r="S16">
        <v>373000</v>
      </c>
      <c r="T16">
        <v>189000</v>
      </c>
      <c r="U16">
        <v>-43000</v>
      </c>
      <c r="V16">
        <v>0</v>
      </c>
      <c r="W16">
        <v>0</v>
      </c>
      <c r="X16">
        <v>0</v>
      </c>
      <c r="Y16">
        <v>0</v>
      </c>
      <c r="Z16">
        <v>33000</v>
      </c>
      <c r="AA16">
        <v>111000</v>
      </c>
      <c r="AB16">
        <v>0</v>
      </c>
      <c r="AC16">
        <v>150000</v>
      </c>
      <c r="AD16">
        <v>0</v>
      </c>
      <c r="AE16">
        <v>0</v>
      </c>
      <c r="AF16">
        <v>441000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258000</v>
      </c>
      <c r="AM16">
        <v>0</v>
      </c>
      <c r="AZ16" s="66">
        <f t="shared" si="2"/>
        <v>377000</v>
      </c>
      <c r="BA16" s="66">
        <f t="shared" si="2"/>
        <v>519000</v>
      </c>
      <c r="BB16" s="66">
        <f t="shared" si="2"/>
        <v>735000</v>
      </c>
      <c r="BC16" s="66">
        <f t="shared" si="2"/>
        <v>258000</v>
      </c>
      <c r="BD16" s="66">
        <f t="shared" si="3"/>
        <v>0</v>
      </c>
      <c r="BF16" s="66">
        <f t="shared" ca="1" si="5"/>
        <v>1889000</v>
      </c>
    </row>
    <row r="17" spans="2:58" x14ac:dyDescent="0.3">
      <c r="B17" t="str">
        <f>IFERROR(VLOOKUP($F17,매장구분!$B:$V,2,0),"")</f>
        <v>리테일채널팀</v>
      </c>
      <c r="C17" t="str">
        <f>IFERROR(VLOOKUP($F17,매장구분!$B:$V,4,0),"")</f>
        <v>직영점</v>
      </c>
      <c r="D17" t="str">
        <f t="shared" si="4"/>
        <v>순수</v>
      </c>
      <c r="E17" t="s">
        <v>398</v>
      </c>
      <c r="F17" t="s">
        <v>399</v>
      </c>
      <c r="G17" t="s">
        <v>644</v>
      </c>
      <c r="H17">
        <v>921</v>
      </c>
      <c r="I17">
        <v>71760700</v>
      </c>
      <c r="J17">
        <v>71760700</v>
      </c>
      <c r="K17">
        <v>944</v>
      </c>
      <c r="L17">
        <v>74553700</v>
      </c>
      <c r="M17">
        <v>74553700</v>
      </c>
      <c r="N17">
        <v>-23</v>
      </c>
      <c r="O17">
        <v>-2793000</v>
      </c>
      <c r="P17">
        <v>-2793000</v>
      </c>
      <c r="Q17">
        <v>3326800</v>
      </c>
      <c r="R17">
        <v>3271900</v>
      </c>
      <c r="S17">
        <v>3354000</v>
      </c>
      <c r="T17">
        <v>3060000</v>
      </c>
      <c r="U17">
        <v>921000</v>
      </c>
      <c r="V17">
        <v>3387000</v>
      </c>
      <c r="W17">
        <v>4119400</v>
      </c>
      <c r="X17">
        <v>3047800</v>
      </c>
      <c r="Y17">
        <v>1797000</v>
      </c>
      <c r="Z17">
        <v>3146000</v>
      </c>
      <c r="AA17">
        <v>2837800</v>
      </c>
      <c r="AB17">
        <v>2499800</v>
      </c>
      <c r="AC17">
        <v>1863900</v>
      </c>
      <c r="AD17">
        <v>2205700</v>
      </c>
      <c r="AE17">
        <v>2594000</v>
      </c>
      <c r="AF17">
        <v>2254000</v>
      </c>
      <c r="AG17">
        <v>3957000</v>
      </c>
      <c r="AH17">
        <v>3487000</v>
      </c>
      <c r="AI17">
        <v>4319900</v>
      </c>
      <c r="AJ17">
        <v>2956000</v>
      </c>
      <c r="AK17">
        <v>4377000</v>
      </c>
      <c r="AL17">
        <v>3865000</v>
      </c>
      <c r="AM17">
        <v>5112700</v>
      </c>
      <c r="AZ17" s="66">
        <f t="shared" si="2"/>
        <v>6598700</v>
      </c>
      <c r="BA17" s="66">
        <f t="shared" si="2"/>
        <v>19686200</v>
      </c>
      <c r="BB17" s="66">
        <f t="shared" si="2"/>
        <v>17401200</v>
      </c>
      <c r="BC17" s="66">
        <f t="shared" si="2"/>
        <v>28074600</v>
      </c>
      <c r="BD17" s="66">
        <f t="shared" si="3"/>
        <v>0</v>
      </c>
      <c r="BF17" s="66">
        <f t="shared" ca="1" si="5"/>
        <v>71760700</v>
      </c>
    </row>
    <row r="18" spans="2:58" x14ac:dyDescent="0.3">
      <c r="B18" t="str">
        <f>IFERROR(VLOOKUP($F18,매장구분!$B:$V,2,0),"")</f>
        <v>리테일채널팀</v>
      </c>
      <c r="C18" t="str">
        <f>IFERROR(VLOOKUP($F18,매장구분!$B:$V,4,0),"")</f>
        <v>직영점</v>
      </c>
      <c r="D18" t="str">
        <f t="shared" si="4"/>
        <v>순수</v>
      </c>
      <c r="E18" t="s">
        <v>398</v>
      </c>
      <c r="F18" t="s">
        <v>399</v>
      </c>
      <c r="G18" t="s">
        <v>645</v>
      </c>
      <c r="H18">
        <v>23</v>
      </c>
      <c r="I18">
        <v>4307000</v>
      </c>
      <c r="J18">
        <v>4637000</v>
      </c>
      <c r="K18">
        <v>23</v>
      </c>
      <c r="L18">
        <v>4307000</v>
      </c>
      <c r="M18">
        <v>4637000</v>
      </c>
      <c r="N18">
        <v>0</v>
      </c>
      <c r="O18">
        <v>0</v>
      </c>
      <c r="P18">
        <v>0</v>
      </c>
      <c r="Q18">
        <v>488000</v>
      </c>
      <c r="R18">
        <v>0</v>
      </c>
      <c r="S18">
        <v>269000</v>
      </c>
      <c r="T18">
        <v>0</v>
      </c>
      <c r="U18">
        <v>0</v>
      </c>
      <c r="V18">
        <v>0</v>
      </c>
      <c r="W18">
        <v>0</v>
      </c>
      <c r="X18">
        <v>0</v>
      </c>
      <c r="Y18">
        <v>497000</v>
      </c>
      <c r="Z18">
        <v>0</v>
      </c>
      <c r="AA18">
        <v>0</v>
      </c>
      <c r="AB18">
        <v>279000</v>
      </c>
      <c r="AC18">
        <v>0</v>
      </c>
      <c r="AD18">
        <v>1263000</v>
      </c>
      <c r="AE18">
        <v>258000</v>
      </c>
      <c r="AF18">
        <v>0</v>
      </c>
      <c r="AG18">
        <v>207000</v>
      </c>
      <c r="AH18">
        <v>0</v>
      </c>
      <c r="AI18">
        <v>199000</v>
      </c>
      <c r="AJ18">
        <v>279000</v>
      </c>
      <c r="AK18">
        <v>0</v>
      </c>
      <c r="AL18">
        <v>289000</v>
      </c>
      <c r="AM18">
        <v>279000</v>
      </c>
      <c r="AZ18" s="66">
        <f t="shared" si="2"/>
        <v>488000</v>
      </c>
      <c r="BA18" s="66">
        <f t="shared" si="2"/>
        <v>766000</v>
      </c>
      <c r="BB18" s="66">
        <f t="shared" si="2"/>
        <v>1800000</v>
      </c>
      <c r="BC18" s="66">
        <f t="shared" si="2"/>
        <v>1253000</v>
      </c>
      <c r="BD18" s="66">
        <f t="shared" si="3"/>
        <v>0</v>
      </c>
      <c r="BF18" s="66">
        <f t="shared" ca="1" si="5"/>
        <v>4307000</v>
      </c>
    </row>
    <row r="19" spans="2:58" x14ac:dyDescent="0.3">
      <c r="B19" t="str">
        <f>IFERROR(VLOOKUP($F19,매장구분!$B:$V,2,0),"")</f>
        <v>리테일채널팀</v>
      </c>
      <c r="C19" t="str">
        <f>IFERROR(VLOOKUP($F19,매장구분!$B:$V,4,0),"")</f>
        <v>직영점</v>
      </c>
      <c r="D19" t="str">
        <f t="shared" si="4"/>
        <v>순수</v>
      </c>
      <c r="E19" t="s">
        <v>386</v>
      </c>
      <c r="F19" t="s">
        <v>387</v>
      </c>
      <c r="G19" t="s">
        <v>646</v>
      </c>
      <c r="H19">
        <v>5</v>
      </c>
      <c r="I19">
        <v>465500</v>
      </c>
      <c r="J19">
        <v>665000</v>
      </c>
      <c r="K19">
        <v>5</v>
      </c>
      <c r="L19">
        <v>465500</v>
      </c>
      <c r="M19">
        <v>665000</v>
      </c>
      <c r="N19">
        <v>0</v>
      </c>
      <c r="O19">
        <v>0</v>
      </c>
      <c r="P19">
        <v>0</v>
      </c>
      <c r="Q19">
        <v>0</v>
      </c>
      <c r="R19">
        <v>90300</v>
      </c>
      <c r="S19">
        <v>90300</v>
      </c>
      <c r="T19">
        <v>139300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90300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55300</v>
      </c>
      <c r="AI19">
        <v>0</v>
      </c>
      <c r="AJ19">
        <v>0</v>
      </c>
      <c r="AK19">
        <v>0</v>
      </c>
      <c r="AL19">
        <v>0</v>
      </c>
      <c r="AM19">
        <v>0</v>
      </c>
      <c r="AZ19" s="66">
        <f t="shared" si="2"/>
        <v>90300</v>
      </c>
      <c r="BA19" s="66">
        <f t="shared" si="2"/>
        <v>229600</v>
      </c>
      <c r="BB19" s="66">
        <f t="shared" si="2"/>
        <v>90300</v>
      </c>
      <c r="BC19" s="66">
        <f t="shared" si="2"/>
        <v>55300</v>
      </c>
      <c r="BD19" s="66">
        <f t="shared" si="3"/>
        <v>0</v>
      </c>
      <c r="BF19" s="66">
        <f t="shared" ca="1" si="5"/>
        <v>465500</v>
      </c>
    </row>
    <row r="20" spans="2:58" x14ac:dyDescent="0.3">
      <c r="B20" t="str">
        <f>IFERROR(VLOOKUP($F20,매장구분!$B:$V,2,0),"")</f>
        <v>리테일채널팀</v>
      </c>
      <c r="C20" t="str">
        <f>IFERROR(VLOOKUP($F20,매장구분!$B:$V,4,0),"")</f>
        <v>직영점</v>
      </c>
      <c r="D20" t="str">
        <f t="shared" si="4"/>
        <v>단체</v>
      </c>
      <c r="E20" t="s">
        <v>386</v>
      </c>
      <c r="F20" t="s">
        <v>387</v>
      </c>
      <c r="G20" t="s">
        <v>642</v>
      </c>
      <c r="H20">
        <v>166</v>
      </c>
      <c r="I20">
        <v>13409200</v>
      </c>
      <c r="J20">
        <v>19156000</v>
      </c>
      <c r="K20">
        <v>166</v>
      </c>
      <c r="L20">
        <v>13409200</v>
      </c>
      <c r="M20">
        <v>19156000</v>
      </c>
      <c r="N20">
        <v>0</v>
      </c>
      <c r="O20">
        <v>0</v>
      </c>
      <c r="P20">
        <v>0</v>
      </c>
      <c r="Q20">
        <v>0</v>
      </c>
      <c r="R20">
        <v>0</v>
      </c>
      <c r="S20">
        <v>8365700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5043500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Z20" s="66">
        <f t="shared" si="2"/>
        <v>0</v>
      </c>
      <c r="BA20" s="66">
        <f t="shared" si="2"/>
        <v>8365700</v>
      </c>
      <c r="BB20" s="66">
        <f t="shared" si="2"/>
        <v>5043500</v>
      </c>
      <c r="BC20" s="66">
        <f t="shared" si="2"/>
        <v>0</v>
      </c>
      <c r="BD20" s="66">
        <f t="shared" si="3"/>
        <v>0</v>
      </c>
      <c r="BF20" s="66">
        <f t="shared" ca="1" si="5"/>
        <v>13409200</v>
      </c>
    </row>
    <row r="21" spans="2:58" x14ac:dyDescent="0.3">
      <c r="B21" t="str">
        <f>IFERROR(VLOOKUP($F21,매장구분!$B:$V,2,0),"")</f>
        <v>리테일채널팀</v>
      </c>
      <c r="C21" t="str">
        <f>IFERROR(VLOOKUP($F21,매장구분!$B:$V,4,0),"")</f>
        <v>직영점</v>
      </c>
      <c r="D21" t="str">
        <f t="shared" si="4"/>
        <v>순수</v>
      </c>
      <c r="E21" t="s">
        <v>386</v>
      </c>
      <c r="F21" t="s">
        <v>387</v>
      </c>
      <c r="G21" t="s">
        <v>643</v>
      </c>
      <c r="H21">
        <v>13</v>
      </c>
      <c r="I21">
        <v>513000</v>
      </c>
      <c r="J21">
        <v>603000</v>
      </c>
      <c r="K21">
        <v>13</v>
      </c>
      <c r="L21">
        <v>513000</v>
      </c>
      <c r="M21">
        <v>603000</v>
      </c>
      <c r="N21">
        <v>0</v>
      </c>
      <c r="O21">
        <v>0</v>
      </c>
      <c r="P21">
        <v>0</v>
      </c>
      <c r="Q21" s="37">
        <v>33000</v>
      </c>
      <c r="R21" s="36">
        <v>76000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62000</v>
      </c>
      <c r="Y21" s="36">
        <v>0</v>
      </c>
      <c r="Z21" s="36">
        <v>0</v>
      </c>
      <c r="AA21" s="36">
        <v>0</v>
      </c>
      <c r="AB21" s="36">
        <v>33000</v>
      </c>
      <c r="AC21" s="36">
        <v>0</v>
      </c>
      <c r="AD21" s="36">
        <v>0</v>
      </c>
      <c r="AE21" s="36">
        <v>39000</v>
      </c>
      <c r="AF21" s="36">
        <v>99000</v>
      </c>
      <c r="AG21" s="36">
        <v>62000</v>
      </c>
      <c r="AH21" s="36">
        <v>0</v>
      </c>
      <c r="AI21" s="36">
        <v>0</v>
      </c>
      <c r="AJ21" s="36">
        <v>0</v>
      </c>
      <c r="AK21" s="36">
        <v>0</v>
      </c>
      <c r="AL21" s="36">
        <v>109000</v>
      </c>
      <c r="AM21" s="36">
        <v>0</v>
      </c>
      <c r="AN21" s="36"/>
      <c r="AO21" s="36"/>
      <c r="AP21" s="36"/>
      <c r="AQ21" s="36"/>
      <c r="AR21" s="36"/>
      <c r="AS21" s="36"/>
      <c r="AT21" s="36"/>
      <c r="AU21" s="36"/>
      <c r="AZ21" s="66">
        <f t="shared" si="2"/>
        <v>109000</v>
      </c>
      <c r="BA21" s="66">
        <f t="shared" si="2"/>
        <v>62000</v>
      </c>
      <c r="BB21" s="66">
        <f t="shared" si="2"/>
        <v>171000</v>
      </c>
      <c r="BC21" s="66">
        <f t="shared" si="2"/>
        <v>171000</v>
      </c>
      <c r="BD21" s="66">
        <f t="shared" si="3"/>
        <v>0</v>
      </c>
      <c r="BF21" s="66">
        <f t="shared" ca="1" si="5"/>
        <v>513000</v>
      </c>
    </row>
    <row r="22" spans="2:58" x14ac:dyDescent="0.3">
      <c r="B22" t="str">
        <f>IFERROR(VLOOKUP($F22,매장구분!$B:$V,2,0),"")</f>
        <v>리테일채널팀</v>
      </c>
      <c r="C22" t="str">
        <f>IFERROR(VLOOKUP($F22,매장구분!$B:$V,4,0),"")</f>
        <v>직영점</v>
      </c>
      <c r="D22" t="str">
        <f t="shared" si="4"/>
        <v>순수</v>
      </c>
      <c r="E22" t="s">
        <v>386</v>
      </c>
      <c r="F22" t="s">
        <v>387</v>
      </c>
      <c r="G22" t="s">
        <v>644</v>
      </c>
      <c r="H22">
        <v>1557</v>
      </c>
      <c r="I22">
        <v>111765000</v>
      </c>
      <c r="J22">
        <v>111765000</v>
      </c>
      <c r="K22">
        <v>1571</v>
      </c>
      <c r="L22">
        <v>112918000</v>
      </c>
      <c r="M22">
        <v>112918000</v>
      </c>
      <c r="N22">
        <v>-14</v>
      </c>
      <c r="O22">
        <v>-1153000</v>
      </c>
      <c r="P22">
        <v>-1153000</v>
      </c>
      <c r="Q22" s="37">
        <v>4362800</v>
      </c>
      <c r="R22" s="36">
        <v>5311000</v>
      </c>
      <c r="S22" s="36">
        <v>2775000</v>
      </c>
      <c r="T22" s="36">
        <v>3163000</v>
      </c>
      <c r="U22" s="36">
        <v>3979900</v>
      </c>
      <c r="V22" s="36">
        <v>3878900</v>
      </c>
      <c r="W22" s="36">
        <v>2843000</v>
      </c>
      <c r="X22" s="36">
        <v>4802000</v>
      </c>
      <c r="Y22" s="36">
        <v>4701700</v>
      </c>
      <c r="Z22" s="36">
        <v>4503600</v>
      </c>
      <c r="AA22" s="36">
        <v>3179900</v>
      </c>
      <c r="AB22" s="36">
        <v>3435800</v>
      </c>
      <c r="AC22" s="36">
        <v>2067000</v>
      </c>
      <c r="AD22" s="36">
        <v>2845000</v>
      </c>
      <c r="AE22" s="36">
        <v>7621900</v>
      </c>
      <c r="AF22" s="36">
        <v>5954000</v>
      </c>
      <c r="AG22" s="36">
        <v>6943800</v>
      </c>
      <c r="AH22" s="36">
        <v>4103000</v>
      </c>
      <c r="AI22" s="36">
        <v>4475000</v>
      </c>
      <c r="AJ22" s="36">
        <v>5599000</v>
      </c>
      <c r="AK22" s="36">
        <v>7930900</v>
      </c>
      <c r="AL22" s="36">
        <v>9918000</v>
      </c>
      <c r="AM22" s="36">
        <v>7370800</v>
      </c>
      <c r="AN22" s="36"/>
      <c r="AO22" s="36"/>
      <c r="AP22" s="36"/>
      <c r="AQ22" s="36"/>
      <c r="AR22" s="36"/>
      <c r="AS22" s="36"/>
      <c r="AT22" s="36"/>
      <c r="AU22" s="36"/>
      <c r="AZ22" s="66">
        <f t="shared" ref="AZ22:BC37" si="6">SUMIFS($Q22:$AU22,$Q$3:$AU$3,AZ$1)</f>
        <v>9673800</v>
      </c>
      <c r="BA22" s="66">
        <f t="shared" si="6"/>
        <v>26143500</v>
      </c>
      <c r="BB22" s="66">
        <f t="shared" si="6"/>
        <v>29607200</v>
      </c>
      <c r="BC22" s="66">
        <f t="shared" si="6"/>
        <v>46340500</v>
      </c>
      <c r="BD22" s="66">
        <f t="shared" si="3"/>
        <v>0</v>
      </c>
      <c r="BF22" s="66">
        <f t="shared" ca="1" si="5"/>
        <v>111765000</v>
      </c>
    </row>
    <row r="23" spans="2:58" x14ac:dyDescent="0.3">
      <c r="B23" t="str">
        <f>IFERROR(VLOOKUP($F23,매장구분!$B:$V,2,0),"")</f>
        <v>리테일채널팀</v>
      </c>
      <c r="C23" t="str">
        <f>IFERROR(VLOOKUP($F23,매장구분!$B:$V,4,0),"")</f>
        <v>직영점</v>
      </c>
      <c r="D23" t="str">
        <f t="shared" si="4"/>
        <v>순수</v>
      </c>
      <c r="E23" t="s">
        <v>386</v>
      </c>
      <c r="F23" t="s">
        <v>387</v>
      </c>
      <c r="G23" t="s">
        <v>645</v>
      </c>
      <c r="H23">
        <v>28</v>
      </c>
      <c r="I23">
        <v>4963700</v>
      </c>
      <c r="J23">
        <v>5383700</v>
      </c>
      <c r="K23">
        <v>28</v>
      </c>
      <c r="L23">
        <v>4963700</v>
      </c>
      <c r="M23">
        <v>5383700</v>
      </c>
      <c r="N23">
        <v>0</v>
      </c>
      <c r="O23">
        <v>0</v>
      </c>
      <c r="P23">
        <v>0</v>
      </c>
      <c r="Q23" s="37">
        <v>0</v>
      </c>
      <c r="R23" s="36">
        <v>706000</v>
      </c>
      <c r="S23" s="36">
        <v>0</v>
      </c>
      <c r="T23" s="36">
        <v>0</v>
      </c>
      <c r="U23" s="36">
        <v>0</v>
      </c>
      <c r="V23" s="36">
        <v>448000</v>
      </c>
      <c r="W23" s="36">
        <v>0</v>
      </c>
      <c r="X23" s="36">
        <v>0</v>
      </c>
      <c r="Y23" s="36">
        <v>578000</v>
      </c>
      <c r="Z23" s="36">
        <v>1066000</v>
      </c>
      <c r="AA23" s="36">
        <v>0</v>
      </c>
      <c r="AB23" s="36">
        <v>279000</v>
      </c>
      <c r="AC23" s="36">
        <v>285900</v>
      </c>
      <c r="AD23" s="36">
        <v>0</v>
      </c>
      <c r="AE23" s="36">
        <v>0</v>
      </c>
      <c r="AF23" s="36">
        <v>302000</v>
      </c>
      <c r="AG23" s="36">
        <v>351000</v>
      </c>
      <c r="AH23" s="36">
        <v>0</v>
      </c>
      <c r="AI23" s="36">
        <v>0</v>
      </c>
      <c r="AJ23" s="36">
        <v>0</v>
      </c>
      <c r="AK23" s="36">
        <v>289000</v>
      </c>
      <c r="AL23" s="36">
        <v>565900</v>
      </c>
      <c r="AM23" s="36">
        <v>92900</v>
      </c>
      <c r="AN23" s="36"/>
      <c r="AO23" s="36"/>
      <c r="AP23" s="36"/>
      <c r="AQ23" s="36"/>
      <c r="AR23" s="36"/>
      <c r="AS23" s="36"/>
      <c r="AT23" s="36"/>
      <c r="AU23" s="36"/>
      <c r="AZ23" s="66">
        <f t="shared" si="6"/>
        <v>706000</v>
      </c>
      <c r="BA23" s="66">
        <f t="shared" si="6"/>
        <v>1026000</v>
      </c>
      <c r="BB23" s="66">
        <f t="shared" si="6"/>
        <v>1932900</v>
      </c>
      <c r="BC23" s="66">
        <f t="shared" si="6"/>
        <v>1298800</v>
      </c>
      <c r="BD23" s="66">
        <f t="shared" si="3"/>
        <v>0</v>
      </c>
      <c r="BF23" s="66">
        <f t="shared" ca="1" si="5"/>
        <v>4963700</v>
      </c>
    </row>
    <row r="24" spans="2:58" x14ac:dyDescent="0.3">
      <c r="B24" t="str">
        <f>IFERROR(VLOOKUP($F24,매장구분!$B:$V,2,0),"")</f>
        <v>리테일채널팀</v>
      </c>
      <c r="C24" t="str">
        <f>IFERROR(VLOOKUP($F24,매장구분!$B:$V,4,0),"")</f>
        <v>직영점</v>
      </c>
      <c r="D24" t="str">
        <f t="shared" si="4"/>
        <v>순수</v>
      </c>
      <c r="E24" t="s">
        <v>538</v>
      </c>
      <c r="F24" t="s">
        <v>539</v>
      </c>
      <c r="G24" t="s">
        <v>646</v>
      </c>
      <c r="H24">
        <v>10</v>
      </c>
      <c r="I24">
        <v>896000</v>
      </c>
      <c r="J24">
        <v>1280000</v>
      </c>
      <c r="K24">
        <v>10</v>
      </c>
      <c r="L24">
        <v>896000</v>
      </c>
      <c r="M24">
        <v>1280000</v>
      </c>
      <c r="N24">
        <v>0</v>
      </c>
      <c r="O24">
        <v>0</v>
      </c>
      <c r="P24">
        <v>0</v>
      </c>
      <c r="Q24" s="37">
        <v>0</v>
      </c>
      <c r="R24" s="36">
        <v>0</v>
      </c>
      <c r="S24" s="36">
        <v>263900</v>
      </c>
      <c r="T24" s="36">
        <v>0</v>
      </c>
      <c r="U24" s="36">
        <v>180600</v>
      </c>
      <c r="V24" s="36">
        <v>90300</v>
      </c>
      <c r="W24" s="36">
        <v>0</v>
      </c>
      <c r="X24" s="36">
        <v>90300</v>
      </c>
      <c r="Y24" s="36">
        <v>0</v>
      </c>
      <c r="Z24" s="36">
        <v>180600</v>
      </c>
      <c r="AA24" s="36">
        <v>90300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6">
        <v>0</v>
      </c>
      <c r="AI24" s="36">
        <v>0</v>
      </c>
      <c r="AJ24" s="36">
        <v>0</v>
      </c>
      <c r="AK24" s="36">
        <v>0</v>
      </c>
      <c r="AL24" s="36">
        <v>0</v>
      </c>
      <c r="AM24" s="36">
        <v>0</v>
      </c>
      <c r="AN24" s="36"/>
      <c r="AO24" s="36"/>
      <c r="AP24" s="36"/>
      <c r="AQ24" s="36"/>
      <c r="AR24" s="36"/>
      <c r="AS24" s="36"/>
      <c r="AT24" s="36"/>
      <c r="AU24" s="36"/>
      <c r="AZ24" s="66">
        <f t="shared" si="6"/>
        <v>0</v>
      </c>
      <c r="BA24" s="66">
        <f t="shared" si="6"/>
        <v>625100</v>
      </c>
      <c r="BB24" s="66">
        <f t="shared" si="6"/>
        <v>270900</v>
      </c>
      <c r="BC24" s="66">
        <f t="shared" si="6"/>
        <v>0</v>
      </c>
      <c r="BD24" s="66">
        <f t="shared" si="3"/>
        <v>0</v>
      </c>
      <c r="BF24" s="66">
        <f t="shared" ca="1" si="5"/>
        <v>896000</v>
      </c>
    </row>
    <row r="25" spans="2:58" x14ac:dyDescent="0.3">
      <c r="B25" t="str">
        <f>IFERROR(VLOOKUP($F25,매장구분!$B:$V,2,0),"")</f>
        <v>리테일채널팀</v>
      </c>
      <c r="C25" t="str">
        <f>IFERROR(VLOOKUP($F25,매장구분!$B:$V,4,0),"")</f>
        <v>직영점</v>
      </c>
      <c r="D25" t="str">
        <f t="shared" si="4"/>
        <v>순수</v>
      </c>
      <c r="E25" t="s">
        <v>538</v>
      </c>
      <c r="F25" t="s">
        <v>539</v>
      </c>
      <c r="G25" t="s">
        <v>643</v>
      </c>
      <c r="H25">
        <v>144</v>
      </c>
      <c r="I25">
        <v>7995900</v>
      </c>
      <c r="J25">
        <v>9265900</v>
      </c>
      <c r="K25">
        <v>145</v>
      </c>
      <c r="L25">
        <v>8124900</v>
      </c>
      <c r="M25">
        <v>9404900</v>
      </c>
      <c r="N25">
        <v>-1</v>
      </c>
      <c r="O25">
        <v>-129000</v>
      </c>
      <c r="P25">
        <v>-139000</v>
      </c>
      <c r="Q25" s="37">
        <v>36000</v>
      </c>
      <c r="R25" s="36">
        <v>1073000</v>
      </c>
      <c r="S25" s="36">
        <v>162000</v>
      </c>
      <c r="T25" s="36">
        <v>26000</v>
      </c>
      <c r="U25" s="36">
        <v>121000</v>
      </c>
      <c r="V25" s="36">
        <v>125000</v>
      </c>
      <c r="W25" s="36">
        <v>910000</v>
      </c>
      <c r="X25" s="36">
        <v>978900</v>
      </c>
      <c r="Y25" s="36">
        <v>354000</v>
      </c>
      <c r="Z25" s="36">
        <v>405000</v>
      </c>
      <c r="AA25" s="36">
        <v>23000</v>
      </c>
      <c r="AB25" s="36">
        <v>269000</v>
      </c>
      <c r="AC25" s="36">
        <v>200000</v>
      </c>
      <c r="AD25" s="36">
        <v>627000</v>
      </c>
      <c r="AE25" s="36">
        <v>0</v>
      </c>
      <c r="AF25" s="36">
        <v>596000</v>
      </c>
      <c r="AG25" s="36">
        <v>0</v>
      </c>
      <c r="AH25" s="36">
        <v>204000</v>
      </c>
      <c r="AI25" s="36">
        <v>69000</v>
      </c>
      <c r="AJ25" s="36">
        <v>221000</v>
      </c>
      <c r="AK25" s="36">
        <v>262000</v>
      </c>
      <c r="AL25" s="36">
        <v>499000</v>
      </c>
      <c r="AM25" s="36">
        <v>835000</v>
      </c>
      <c r="AN25" s="36"/>
      <c r="AO25" s="36"/>
      <c r="AP25" s="36"/>
      <c r="AQ25" s="36"/>
      <c r="AR25" s="36"/>
      <c r="AS25" s="36"/>
      <c r="AT25" s="36"/>
      <c r="AU25" s="36"/>
      <c r="AZ25" s="66">
        <f t="shared" si="6"/>
        <v>1109000</v>
      </c>
      <c r="BA25" s="66">
        <f t="shared" si="6"/>
        <v>2676900</v>
      </c>
      <c r="BB25" s="66">
        <f t="shared" si="6"/>
        <v>2120000</v>
      </c>
      <c r="BC25" s="66">
        <f t="shared" si="6"/>
        <v>2090000</v>
      </c>
      <c r="BD25" s="66">
        <f t="shared" si="3"/>
        <v>0</v>
      </c>
      <c r="BF25" s="66">
        <f t="shared" ca="1" si="5"/>
        <v>7995900</v>
      </c>
    </row>
    <row r="26" spans="2:58" x14ac:dyDescent="0.3">
      <c r="B26" t="str">
        <f>IFERROR(VLOOKUP($F26,매장구분!$B:$V,2,0),"")</f>
        <v>리테일채널팀</v>
      </c>
      <c r="C26" t="str">
        <f>IFERROR(VLOOKUP($F26,매장구분!$B:$V,4,0),"")</f>
        <v>직영점</v>
      </c>
      <c r="D26" t="str">
        <f t="shared" si="4"/>
        <v>순수</v>
      </c>
      <c r="E26" t="s">
        <v>538</v>
      </c>
      <c r="F26" t="s">
        <v>539</v>
      </c>
      <c r="G26" t="s">
        <v>644</v>
      </c>
      <c r="H26">
        <v>11717</v>
      </c>
      <c r="I26">
        <v>874577600</v>
      </c>
      <c r="J26">
        <v>874577600</v>
      </c>
      <c r="K26">
        <v>11896</v>
      </c>
      <c r="L26">
        <v>895505600</v>
      </c>
      <c r="M26">
        <v>895505600</v>
      </c>
      <c r="N26">
        <v>-179</v>
      </c>
      <c r="O26">
        <v>-20928000</v>
      </c>
      <c r="P26">
        <v>-20928000</v>
      </c>
      <c r="Q26" s="37">
        <v>43046200</v>
      </c>
      <c r="R26" s="36">
        <v>41962800</v>
      </c>
      <c r="S26" s="36">
        <v>38281500</v>
      </c>
      <c r="T26" s="36">
        <v>33306100</v>
      </c>
      <c r="U26" s="36">
        <v>34232800</v>
      </c>
      <c r="V26" s="36">
        <v>32342900</v>
      </c>
      <c r="W26" s="36">
        <v>35230200</v>
      </c>
      <c r="X26" s="36">
        <v>48283800</v>
      </c>
      <c r="Y26" s="36">
        <v>37661100</v>
      </c>
      <c r="Z26" s="36">
        <v>36168800</v>
      </c>
      <c r="AA26" s="36">
        <v>45134400</v>
      </c>
      <c r="AB26" s="36">
        <v>34973900</v>
      </c>
      <c r="AC26" s="36">
        <v>36622400</v>
      </c>
      <c r="AD26" s="36">
        <v>39724100</v>
      </c>
      <c r="AE26" s="36">
        <v>0</v>
      </c>
      <c r="AF26" s="36">
        <v>49286400</v>
      </c>
      <c r="AG26" s="36">
        <v>30647300</v>
      </c>
      <c r="AH26" s="36">
        <v>41956700</v>
      </c>
      <c r="AI26" s="36">
        <v>37792400</v>
      </c>
      <c r="AJ26" s="36">
        <v>33518100</v>
      </c>
      <c r="AK26" s="36">
        <v>41816100</v>
      </c>
      <c r="AL26" s="36">
        <v>49211600</v>
      </c>
      <c r="AM26" s="36">
        <v>53378000</v>
      </c>
      <c r="AN26" s="36"/>
      <c r="AO26" s="36"/>
      <c r="AP26" s="36"/>
      <c r="AQ26" s="36"/>
      <c r="AR26" s="36"/>
      <c r="AS26" s="36"/>
      <c r="AT26" s="36"/>
      <c r="AU26" s="36"/>
      <c r="AZ26" s="66">
        <f t="shared" si="6"/>
        <v>85009000</v>
      </c>
      <c r="BA26" s="66">
        <f t="shared" si="6"/>
        <v>259338400</v>
      </c>
      <c r="BB26" s="66">
        <f t="shared" si="6"/>
        <v>241910000</v>
      </c>
      <c r="BC26" s="66">
        <f t="shared" si="6"/>
        <v>288320200</v>
      </c>
      <c r="BD26" s="66">
        <f t="shared" si="3"/>
        <v>0</v>
      </c>
      <c r="BF26" s="66">
        <f t="shared" ca="1" si="5"/>
        <v>874577600</v>
      </c>
    </row>
    <row r="27" spans="2:58" x14ac:dyDescent="0.3">
      <c r="B27" t="str">
        <f>IFERROR(VLOOKUP($F27,매장구분!$B:$V,2,0),"")</f>
        <v>리테일채널팀</v>
      </c>
      <c r="C27" t="str">
        <f>IFERROR(VLOOKUP($F27,매장구분!$B:$V,4,0),"")</f>
        <v>직영점</v>
      </c>
      <c r="D27" t="str">
        <f t="shared" si="4"/>
        <v>순수</v>
      </c>
      <c r="E27" t="s">
        <v>538</v>
      </c>
      <c r="F27" t="s">
        <v>539</v>
      </c>
      <c r="G27" t="s">
        <v>645</v>
      </c>
      <c r="H27">
        <v>52</v>
      </c>
      <c r="I27">
        <v>7859800</v>
      </c>
      <c r="J27">
        <v>8461700</v>
      </c>
      <c r="K27">
        <v>53</v>
      </c>
      <c r="L27">
        <v>7968800</v>
      </c>
      <c r="M27">
        <v>8580700</v>
      </c>
      <c r="N27">
        <v>-1</v>
      </c>
      <c r="O27">
        <v>-109000</v>
      </c>
      <c r="P27">
        <v>-119000</v>
      </c>
      <c r="Q27" s="37">
        <v>548000</v>
      </c>
      <c r="R27" s="36">
        <v>1782900</v>
      </c>
      <c r="S27" s="36">
        <v>0</v>
      </c>
      <c r="T27" s="36">
        <v>208000</v>
      </c>
      <c r="U27" s="36">
        <v>279000</v>
      </c>
      <c r="V27" s="36">
        <v>299000</v>
      </c>
      <c r="W27" s="36">
        <v>279000</v>
      </c>
      <c r="X27" s="36">
        <v>700000</v>
      </c>
      <c r="Y27" s="36">
        <v>842900</v>
      </c>
      <c r="Z27" s="36">
        <v>129000</v>
      </c>
      <c r="AA27" s="36">
        <v>0</v>
      </c>
      <c r="AB27" s="36">
        <v>118000</v>
      </c>
      <c r="AC27" s="36">
        <v>476100</v>
      </c>
      <c r="AD27" s="36">
        <v>238000</v>
      </c>
      <c r="AE27" s="36">
        <v>0</v>
      </c>
      <c r="AF27" s="36">
        <v>279000</v>
      </c>
      <c r="AG27" s="36">
        <v>0</v>
      </c>
      <c r="AH27" s="36">
        <v>407000</v>
      </c>
      <c r="AI27" s="36">
        <v>279000</v>
      </c>
      <c r="AJ27" s="36">
        <v>0</v>
      </c>
      <c r="AK27" s="36">
        <v>457900</v>
      </c>
      <c r="AL27" s="36">
        <v>537000</v>
      </c>
      <c r="AM27" s="36">
        <v>0</v>
      </c>
      <c r="AN27" s="36"/>
      <c r="AO27" s="36"/>
      <c r="AP27" s="36"/>
      <c r="AQ27" s="36"/>
      <c r="AR27" s="36"/>
      <c r="AS27" s="36"/>
      <c r="AT27" s="36"/>
      <c r="AU27" s="36"/>
      <c r="AZ27" s="66">
        <f t="shared" si="6"/>
        <v>2330900</v>
      </c>
      <c r="BA27" s="66">
        <f t="shared" si="6"/>
        <v>2607900</v>
      </c>
      <c r="BB27" s="66">
        <f t="shared" si="6"/>
        <v>1240100</v>
      </c>
      <c r="BC27" s="66">
        <f t="shared" si="6"/>
        <v>1680900</v>
      </c>
      <c r="BD27" s="66">
        <f t="shared" si="3"/>
        <v>0</v>
      </c>
      <c r="BF27" s="66">
        <f t="shared" ca="1" si="5"/>
        <v>7859800</v>
      </c>
    </row>
    <row r="28" spans="2:58" x14ac:dyDescent="0.3">
      <c r="B28" t="str">
        <f>IFERROR(VLOOKUP($F28,매장구분!$B:$V,2,0),"")</f>
        <v>리테일채널팀</v>
      </c>
      <c r="C28" t="str">
        <f>IFERROR(VLOOKUP($F28,매장구분!$B:$V,4,0),"")</f>
        <v>직영점</v>
      </c>
      <c r="D28" t="str">
        <f t="shared" si="4"/>
        <v>순수</v>
      </c>
      <c r="E28" t="s">
        <v>436</v>
      </c>
      <c r="F28" t="s">
        <v>437</v>
      </c>
      <c r="G28" t="s">
        <v>643</v>
      </c>
      <c r="H28">
        <v>76</v>
      </c>
      <c r="I28">
        <v>3095000</v>
      </c>
      <c r="J28">
        <v>3733000</v>
      </c>
      <c r="K28">
        <v>77</v>
      </c>
      <c r="L28">
        <v>3128000</v>
      </c>
      <c r="M28">
        <v>3776000</v>
      </c>
      <c r="N28">
        <v>-1</v>
      </c>
      <c r="O28">
        <v>-33000</v>
      </c>
      <c r="P28">
        <v>-43000</v>
      </c>
      <c r="Q28" s="37">
        <v>148000</v>
      </c>
      <c r="R28" s="36">
        <v>451000</v>
      </c>
      <c r="S28" s="36">
        <v>66000</v>
      </c>
      <c r="T28" s="36">
        <v>29000</v>
      </c>
      <c r="U28" s="36">
        <v>96000</v>
      </c>
      <c r="V28" s="36">
        <v>62000</v>
      </c>
      <c r="W28" s="36">
        <v>131000</v>
      </c>
      <c r="X28" s="36">
        <v>481000</v>
      </c>
      <c r="Y28" s="36">
        <v>189000</v>
      </c>
      <c r="Z28" s="36">
        <v>0</v>
      </c>
      <c r="AA28" s="36">
        <v>101000</v>
      </c>
      <c r="AB28" s="36">
        <v>98000</v>
      </c>
      <c r="AC28" s="36">
        <v>271000</v>
      </c>
      <c r="AD28" s="36">
        <v>68000</v>
      </c>
      <c r="AE28" s="36">
        <v>206000</v>
      </c>
      <c r="AF28" s="36">
        <v>106000</v>
      </c>
      <c r="AG28" s="36">
        <v>33000</v>
      </c>
      <c r="AH28" s="36">
        <v>26000</v>
      </c>
      <c r="AI28" s="36">
        <v>26000</v>
      </c>
      <c r="AJ28" s="36">
        <v>29000</v>
      </c>
      <c r="AK28" s="36">
        <v>98000</v>
      </c>
      <c r="AL28" s="36">
        <v>315000</v>
      </c>
      <c r="AM28" s="36">
        <v>65000</v>
      </c>
      <c r="AN28" s="36"/>
      <c r="AO28" s="36"/>
      <c r="AP28" s="36"/>
      <c r="AQ28" s="36"/>
      <c r="AR28" s="36"/>
      <c r="AS28" s="36"/>
      <c r="AT28" s="36"/>
      <c r="AU28" s="36"/>
      <c r="AZ28" s="66">
        <f t="shared" si="6"/>
        <v>599000</v>
      </c>
      <c r="BA28" s="66">
        <f t="shared" si="6"/>
        <v>1054000</v>
      </c>
      <c r="BB28" s="66">
        <f t="shared" si="6"/>
        <v>850000</v>
      </c>
      <c r="BC28" s="66">
        <f t="shared" si="6"/>
        <v>592000</v>
      </c>
      <c r="BD28" s="66">
        <f t="shared" si="3"/>
        <v>0</v>
      </c>
      <c r="BF28" s="66">
        <f t="shared" ca="1" si="5"/>
        <v>3095000</v>
      </c>
    </row>
    <row r="29" spans="2:58" x14ac:dyDescent="0.3">
      <c r="B29" t="str">
        <f>IFERROR(VLOOKUP($F29,매장구분!$B:$V,2,0),"")</f>
        <v>리테일채널팀</v>
      </c>
      <c r="C29" t="str">
        <f>IFERROR(VLOOKUP($F29,매장구분!$B:$V,4,0),"")</f>
        <v>직영점</v>
      </c>
      <c r="D29" t="str">
        <f t="shared" si="4"/>
        <v>순수</v>
      </c>
      <c r="E29" t="s">
        <v>436</v>
      </c>
      <c r="F29" t="s">
        <v>437</v>
      </c>
      <c r="G29" t="s">
        <v>644</v>
      </c>
      <c r="H29">
        <v>1129</v>
      </c>
      <c r="I29">
        <v>80776100</v>
      </c>
      <c r="J29">
        <v>80776100</v>
      </c>
      <c r="K29">
        <v>1143</v>
      </c>
      <c r="L29">
        <v>82741100</v>
      </c>
      <c r="M29">
        <v>82741100</v>
      </c>
      <c r="N29">
        <v>-14</v>
      </c>
      <c r="O29">
        <v>-1965000</v>
      </c>
      <c r="P29">
        <v>-1965000</v>
      </c>
      <c r="Q29" s="37">
        <v>3434000</v>
      </c>
      <c r="R29" s="36">
        <v>5911900</v>
      </c>
      <c r="S29" s="36">
        <v>3416900</v>
      </c>
      <c r="T29" s="36">
        <v>2368700</v>
      </c>
      <c r="U29" s="36">
        <v>1521000</v>
      </c>
      <c r="V29" s="36">
        <v>2128800</v>
      </c>
      <c r="W29" s="36">
        <v>3102000</v>
      </c>
      <c r="X29" s="36">
        <v>2579800</v>
      </c>
      <c r="Y29" s="36">
        <v>3572600</v>
      </c>
      <c r="Z29" s="36">
        <v>2991000</v>
      </c>
      <c r="AA29" s="36">
        <v>2439900</v>
      </c>
      <c r="AB29" s="36">
        <v>3556900</v>
      </c>
      <c r="AC29" s="36">
        <v>2597000</v>
      </c>
      <c r="AD29" s="36">
        <v>2667000</v>
      </c>
      <c r="AE29" s="36">
        <v>3026800</v>
      </c>
      <c r="AF29" s="36">
        <v>3374900</v>
      </c>
      <c r="AG29" s="36">
        <v>4085000</v>
      </c>
      <c r="AH29" s="36">
        <v>2757700</v>
      </c>
      <c r="AI29" s="36">
        <v>2812900</v>
      </c>
      <c r="AJ29" s="36">
        <v>7009000</v>
      </c>
      <c r="AK29" s="36">
        <v>4868700</v>
      </c>
      <c r="AL29" s="36">
        <v>5583000</v>
      </c>
      <c r="AM29" s="36">
        <v>4970600</v>
      </c>
      <c r="AN29" s="36"/>
      <c r="AO29" s="36"/>
      <c r="AP29" s="36"/>
      <c r="AQ29" s="36"/>
      <c r="AR29" s="36"/>
      <c r="AS29" s="36"/>
      <c r="AT29" s="36"/>
      <c r="AU29" s="36"/>
      <c r="AZ29" s="66">
        <f t="shared" si="6"/>
        <v>9345900</v>
      </c>
      <c r="BA29" s="66">
        <f t="shared" si="6"/>
        <v>18689800</v>
      </c>
      <c r="BB29" s="66">
        <f t="shared" si="6"/>
        <v>20653500</v>
      </c>
      <c r="BC29" s="66">
        <f t="shared" si="6"/>
        <v>32086900</v>
      </c>
      <c r="BD29" s="66">
        <f t="shared" si="3"/>
        <v>0</v>
      </c>
      <c r="BF29" s="66">
        <f t="shared" ca="1" si="5"/>
        <v>80776100</v>
      </c>
    </row>
    <row r="30" spans="2:58" x14ac:dyDescent="0.3">
      <c r="B30" t="str">
        <f>IFERROR(VLOOKUP($F30,매장구분!$B:$V,2,0),"")</f>
        <v>리테일채널팀</v>
      </c>
      <c r="C30" t="str">
        <f>IFERROR(VLOOKUP($F30,매장구분!$B:$V,4,0),"")</f>
        <v>직영점</v>
      </c>
      <c r="D30" t="str">
        <f t="shared" si="4"/>
        <v>순수</v>
      </c>
      <c r="E30" t="s">
        <v>436</v>
      </c>
      <c r="F30" t="s">
        <v>437</v>
      </c>
      <c r="G30" t="s">
        <v>647</v>
      </c>
      <c r="H30">
        <v>15</v>
      </c>
      <c r="I30">
        <v>2206000</v>
      </c>
      <c r="J30">
        <v>2206000</v>
      </c>
      <c r="K30">
        <v>16</v>
      </c>
      <c r="L30">
        <v>2405000</v>
      </c>
      <c r="M30">
        <v>2405000</v>
      </c>
      <c r="N30">
        <v>-1</v>
      </c>
      <c r="O30">
        <v>-199000</v>
      </c>
      <c r="P30">
        <v>-199000</v>
      </c>
      <c r="Q30" s="37">
        <v>0</v>
      </c>
      <c r="R30" s="36">
        <v>0</v>
      </c>
      <c r="S30" s="36">
        <v>0</v>
      </c>
      <c r="T30" s="36">
        <v>0</v>
      </c>
      <c r="U30" s="36">
        <v>0</v>
      </c>
      <c r="V30" s="36">
        <v>0</v>
      </c>
      <c r="W30" s="36">
        <v>0</v>
      </c>
      <c r="X30" s="36">
        <v>0</v>
      </c>
      <c r="Y30" s="36">
        <v>0</v>
      </c>
      <c r="Z30" s="36">
        <v>398000</v>
      </c>
      <c r="AA30" s="36">
        <v>0</v>
      </c>
      <c r="AB30" s="36">
        <v>167000</v>
      </c>
      <c r="AC30" s="36">
        <v>0</v>
      </c>
      <c r="AD30" s="36">
        <v>0</v>
      </c>
      <c r="AE30" s="36">
        <v>0</v>
      </c>
      <c r="AF30" s="36">
        <v>0</v>
      </c>
      <c r="AG30" s="36">
        <v>0</v>
      </c>
      <c r="AH30" s="36">
        <v>0</v>
      </c>
      <c r="AI30" s="36">
        <v>0</v>
      </c>
      <c r="AJ30" s="36">
        <v>0</v>
      </c>
      <c r="AK30" s="36">
        <v>0</v>
      </c>
      <c r="AL30" s="36">
        <v>199000</v>
      </c>
      <c r="AM30" s="36">
        <v>1442000</v>
      </c>
      <c r="AN30" s="36"/>
      <c r="AO30" s="36"/>
      <c r="AP30" s="36"/>
      <c r="AQ30" s="36"/>
      <c r="AR30" s="36"/>
      <c r="AS30" s="36"/>
      <c r="AT30" s="36"/>
      <c r="AU30" s="36"/>
      <c r="AZ30" s="66">
        <f t="shared" si="6"/>
        <v>0</v>
      </c>
      <c r="BA30" s="66">
        <f t="shared" si="6"/>
        <v>0</v>
      </c>
      <c r="BB30" s="66">
        <f t="shared" si="6"/>
        <v>565000</v>
      </c>
      <c r="BC30" s="66">
        <f t="shared" si="6"/>
        <v>1641000</v>
      </c>
      <c r="BD30" s="66">
        <f t="shared" si="3"/>
        <v>0</v>
      </c>
      <c r="BF30" s="66">
        <f t="shared" ca="1" si="5"/>
        <v>2206000</v>
      </c>
    </row>
    <row r="31" spans="2:58" x14ac:dyDescent="0.3">
      <c r="B31" t="str">
        <f>IFERROR(VLOOKUP($F31,매장구분!$B:$V,2,0),"")</f>
        <v>리테일채널팀</v>
      </c>
      <c r="C31" t="str">
        <f>IFERROR(VLOOKUP($F31,매장구분!$B:$V,4,0),"")</f>
        <v>직영점</v>
      </c>
      <c r="D31" t="str">
        <f t="shared" si="4"/>
        <v>순수</v>
      </c>
      <c r="E31" t="s">
        <v>436</v>
      </c>
      <c r="F31" t="s">
        <v>437</v>
      </c>
      <c r="G31" t="s">
        <v>645</v>
      </c>
      <c r="H31">
        <v>77</v>
      </c>
      <c r="I31">
        <v>18151100</v>
      </c>
      <c r="J31">
        <v>19522900</v>
      </c>
      <c r="K31">
        <v>79</v>
      </c>
      <c r="L31">
        <v>18529100</v>
      </c>
      <c r="M31">
        <v>19930900</v>
      </c>
      <c r="N31">
        <v>-2</v>
      </c>
      <c r="O31">
        <v>-378000</v>
      </c>
      <c r="P31">
        <v>-408000</v>
      </c>
      <c r="Q31" s="37">
        <v>1544000</v>
      </c>
      <c r="R31" s="36">
        <v>3018900</v>
      </c>
      <c r="S31" s="36">
        <v>279000</v>
      </c>
      <c r="T31" s="36">
        <v>373100</v>
      </c>
      <c r="U31" s="36">
        <v>1674000</v>
      </c>
      <c r="V31" s="36">
        <v>936000</v>
      </c>
      <c r="W31" s="36">
        <v>535700</v>
      </c>
      <c r="X31" s="36">
        <v>926000</v>
      </c>
      <c r="Y31" s="36">
        <v>832200</v>
      </c>
      <c r="Z31" s="36">
        <v>169000</v>
      </c>
      <c r="AA31" s="36">
        <v>658000</v>
      </c>
      <c r="AB31" s="36">
        <v>189000</v>
      </c>
      <c r="AC31" s="36">
        <v>279000</v>
      </c>
      <c r="AD31" s="36">
        <v>787000</v>
      </c>
      <c r="AE31" s="36">
        <v>1044200</v>
      </c>
      <c r="AF31" s="36">
        <v>2871000</v>
      </c>
      <c r="AG31" s="36">
        <v>0</v>
      </c>
      <c r="AH31" s="36">
        <v>279000</v>
      </c>
      <c r="AI31" s="36">
        <v>518000</v>
      </c>
      <c r="AJ31" s="36">
        <v>378000</v>
      </c>
      <c r="AK31" s="36">
        <v>0</v>
      </c>
      <c r="AL31" s="36">
        <v>312000</v>
      </c>
      <c r="AM31" s="36">
        <v>548000</v>
      </c>
      <c r="AN31" s="36"/>
      <c r="AO31" s="36"/>
      <c r="AP31" s="36"/>
      <c r="AQ31" s="36"/>
      <c r="AR31" s="36"/>
      <c r="AS31" s="36"/>
      <c r="AT31" s="36"/>
      <c r="AU31" s="36"/>
      <c r="AZ31" s="66">
        <f t="shared" si="6"/>
        <v>4562900</v>
      </c>
      <c r="BA31" s="66">
        <f t="shared" si="6"/>
        <v>5556000</v>
      </c>
      <c r="BB31" s="66">
        <f t="shared" si="6"/>
        <v>5997200</v>
      </c>
      <c r="BC31" s="66">
        <f t="shared" si="6"/>
        <v>2035000</v>
      </c>
      <c r="BD31" s="66">
        <f t="shared" si="3"/>
        <v>0</v>
      </c>
      <c r="BF31" s="66">
        <f t="shared" ca="1" si="5"/>
        <v>18151100</v>
      </c>
    </row>
    <row r="32" spans="2:58" x14ac:dyDescent="0.3">
      <c r="B32" t="str">
        <f>IFERROR(VLOOKUP($F32,매장구분!$B:$V,2,0),"")</f>
        <v>리테일채널팀</v>
      </c>
      <c r="C32" t="str">
        <f>IFERROR(VLOOKUP($F32,매장구분!$B:$V,4,0),"")</f>
        <v>직영점</v>
      </c>
      <c r="D32" t="str">
        <f t="shared" si="4"/>
        <v>순수</v>
      </c>
      <c r="E32" t="s">
        <v>332</v>
      </c>
      <c r="F32" t="s">
        <v>333</v>
      </c>
      <c r="G32" t="s">
        <v>643</v>
      </c>
      <c r="H32">
        <v>353</v>
      </c>
      <c r="I32">
        <v>14056800</v>
      </c>
      <c r="J32">
        <v>17320800</v>
      </c>
      <c r="K32">
        <v>354</v>
      </c>
      <c r="L32">
        <v>14155800</v>
      </c>
      <c r="M32">
        <v>17429800</v>
      </c>
      <c r="N32">
        <v>-1</v>
      </c>
      <c r="O32">
        <v>-99000</v>
      </c>
      <c r="P32">
        <v>-109000</v>
      </c>
      <c r="Q32" s="37">
        <v>1167000</v>
      </c>
      <c r="R32" s="36">
        <v>934900</v>
      </c>
      <c r="S32" s="36">
        <v>571000</v>
      </c>
      <c r="T32" s="36">
        <v>140000</v>
      </c>
      <c r="U32" s="36">
        <v>430000</v>
      </c>
      <c r="V32" s="36">
        <v>574000</v>
      </c>
      <c r="W32" s="36">
        <v>555000</v>
      </c>
      <c r="X32" s="36">
        <v>766900</v>
      </c>
      <c r="Y32" s="36">
        <v>876000</v>
      </c>
      <c r="Z32" s="36">
        <v>463000</v>
      </c>
      <c r="AA32" s="36">
        <v>362000</v>
      </c>
      <c r="AB32" s="36">
        <v>763000</v>
      </c>
      <c r="AC32" s="36">
        <v>738000</v>
      </c>
      <c r="AD32" s="36">
        <v>451000</v>
      </c>
      <c r="AE32" s="36">
        <v>837000</v>
      </c>
      <c r="AF32" s="36">
        <v>502000</v>
      </c>
      <c r="AG32" s="36">
        <v>492000</v>
      </c>
      <c r="AH32" s="36">
        <v>545000</v>
      </c>
      <c r="AI32" s="36">
        <v>305000</v>
      </c>
      <c r="AJ32" s="36">
        <v>212000</v>
      </c>
      <c r="AK32" s="36">
        <v>642000</v>
      </c>
      <c r="AL32" s="36">
        <v>904000</v>
      </c>
      <c r="AM32" s="36">
        <v>826000</v>
      </c>
      <c r="AN32" s="36"/>
      <c r="AO32" s="36"/>
      <c r="AP32" s="36"/>
      <c r="AQ32" s="36"/>
      <c r="AR32" s="36"/>
      <c r="AS32" s="36"/>
      <c r="AT32" s="36"/>
      <c r="AU32" s="36"/>
      <c r="AZ32" s="66">
        <f t="shared" si="6"/>
        <v>2101900</v>
      </c>
      <c r="BA32" s="66">
        <f t="shared" si="6"/>
        <v>3912900</v>
      </c>
      <c r="BB32" s="66">
        <f t="shared" si="6"/>
        <v>4116000</v>
      </c>
      <c r="BC32" s="66">
        <f t="shared" si="6"/>
        <v>3926000</v>
      </c>
      <c r="BD32" s="66">
        <f t="shared" si="3"/>
        <v>0</v>
      </c>
      <c r="BF32" s="66">
        <f t="shared" ca="1" si="5"/>
        <v>14056800</v>
      </c>
    </row>
    <row r="33" spans="2:58" x14ac:dyDescent="0.3">
      <c r="B33" t="str">
        <f>IFERROR(VLOOKUP($F33,매장구분!$B:$V,2,0),"")</f>
        <v>리테일채널팀</v>
      </c>
      <c r="C33" t="str">
        <f>IFERROR(VLOOKUP($F33,매장구분!$B:$V,4,0),"")</f>
        <v>직영점</v>
      </c>
      <c r="D33" t="str">
        <f t="shared" si="4"/>
        <v>순수</v>
      </c>
      <c r="E33" t="s">
        <v>332</v>
      </c>
      <c r="F33" t="s">
        <v>333</v>
      </c>
      <c r="G33" t="s">
        <v>644</v>
      </c>
      <c r="H33">
        <v>5991</v>
      </c>
      <c r="I33">
        <v>404675300</v>
      </c>
      <c r="J33">
        <v>404675300</v>
      </c>
      <c r="K33">
        <v>6043</v>
      </c>
      <c r="L33">
        <v>409679200</v>
      </c>
      <c r="M33">
        <v>409679200</v>
      </c>
      <c r="N33">
        <v>-52</v>
      </c>
      <c r="O33">
        <v>-5003900</v>
      </c>
      <c r="P33">
        <v>-5003900</v>
      </c>
      <c r="Q33" s="37">
        <v>17818900</v>
      </c>
      <c r="R33" s="36">
        <v>20409500</v>
      </c>
      <c r="S33" s="36">
        <v>19532700</v>
      </c>
      <c r="T33" s="36">
        <v>13932600</v>
      </c>
      <c r="U33" s="36">
        <v>10848800</v>
      </c>
      <c r="V33" s="36">
        <v>13907100</v>
      </c>
      <c r="W33" s="36">
        <v>18600700</v>
      </c>
      <c r="X33" s="36">
        <v>15316500</v>
      </c>
      <c r="Y33" s="36">
        <v>17971800</v>
      </c>
      <c r="Z33" s="36">
        <v>11630600</v>
      </c>
      <c r="AA33" s="36">
        <v>14410900</v>
      </c>
      <c r="AB33" s="36">
        <v>14001200</v>
      </c>
      <c r="AC33" s="36">
        <v>20945500</v>
      </c>
      <c r="AD33" s="36">
        <v>16807500</v>
      </c>
      <c r="AE33" s="36">
        <v>16578000</v>
      </c>
      <c r="AF33" s="36">
        <v>20077600</v>
      </c>
      <c r="AG33" s="36">
        <v>15042600</v>
      </c>
      <c r="AH33" s="36">
        <v>16113700</v>
      </c>
      <c r="AI33" s="36">
        <v>13515200</v>
      </c>
      <c r="AJ33" s="36">
        <v>14556200</v>
      </c>
      <c r="AK33" s="36">
        <v>28034300</v>
      </c>
      <c r="AL33" s="36">
        <v>20748400</v>
      </c>
      <c r="AM33" s="36">
        <v>33875000</v>
      </c>
      <c r="AN33" s="36"/>
      <c r="AO33" s="36"/>
      <c r="AP33" s="36"/>
      <c r="AQ33" s="36"/>
      <c r="AR33" s="36"/>
      <c r="AS33" s="36"/>
      <c r="AT33" s="36"/>
      <c r="AU33" s="36"/>
      <c r="AZ33" s="66">
        <f t="shared" si="6"/>
        <v>38228400</v>
      </c>
      <c r="BA33" s="66">
        <f t="shared" si="6"/>
        <v>110110200</v>
      </c>
      <c r="BB33" s="66">
        <f t="shared" si="6"/>
        <v>114451300</v>
      </c>
      <c r="BC33" s="66">
        <f t="shared" si="6"/>
        <v>141885400</v>
      </c>
      <c r="BD33" s="66">
        <f t="shared" si="3"/>
        <v>0</v>
      </c>
      <c r="BF33" s="66">
        <f t="shared" ca="1" si="5"/>
        <v>404675300</v>
      </c>
    </row>
    <row r="34" spans="2:58" x14ac:dyDescent="0.3">
      <c r="B34" t="str">
        <f>IFERROR(VLOOKUP($F34,매장구분!$B:$V,2,0),"")</f>
        <v>리테일채널팀</v>
      </c>
      <c r="C34" t="str">
        <f>IFERROR(VLOOKUP($F34,매장구분!$B:$V,4,0),"")</f>
        <v>직영점</v>
      </c>
      <c r="D34" t="str">
        <f t="shared" si="4"/>
        <v>순수</v>
      </c>
      <c r="E34" t="s">
        <v>332</v>
      </c>
      <c r="F34" t="s">
        <v>333</v>
      </c>
      <c r="G34" t="s">
        <v>645</v>
      </c>
      <c r="H34">
        <v>845</v>
      </c>
      <c r="I34">
        <v>143565400</v>
      </c>
      <c r="J34">
        <v>161980400</v>
      </c>
      <c r="K34">
        <v>859</v>
      </c>
      <c r="L34">
        <v>145796400</v>
      </c>
      <c r="M34">
        <v>164371400</v>
      </c>
      <c r="N34">
        <v>-14</v>
      </c>
      <c r="O34">
        <v>-2231000</v>
      </c>
      <c r="P34">
        <v>-2391000</v>
      </c>
      <c r="Q34" s="37">
        <v>9162000</v>
      </c>
      <c r="R34" s="36">
        <v>12265000</v>
      </c>
      <c r="S34" s="36">
        <v>6317000</v>
      </c>
      <c r="T34" s="36">
        <v>4851000</v>
      </c>
      <c r="U34" s="36">
        <v>5438000</v>
      </c>
      <c r="V34" s="36">
        <v>3522000</v>
      </c>
      <c r="W34" s="36">
        <v>2927000</v>
      </c>
      <c r="X34" s="36">
        <v>6245000</v>
      </c>
      <c r="Y34" s="36">
        <v>6147000</v>
      </c>
      <c r="Z34" s="36">
        <v>2210000</v>
      </c>
      <c r="AA34" s="36">
        <v>10592800</v>
      </c>
      <c r="AB34" s="36">
        <v>7396400</v>
      </c>
      <c r="AC34" s="36">
        <v>2525000</v>
      </c>
      <c r="AD34" s="36">
        <v>7147900</v>
      </c>
      <c r="AE34" s="36">
        <v>11394400</v>
      </c>
      <c r="AF34" s="36">
        <v>11402000</v>
      </c>
      <c r="AG34" s="36">
        <v>6008000</v>
      </c>
      <c r="AH34" s="36">
        <v>3036000</v>
      </c>
      <c r="AI34" s="36">
        <v>5443500</v>
      </c>
      <c r="AJ34" s="36">
        <v>5258600</v>
      </c>
      <c r="AK34" s="36">
        <v>1622000</v>
      </c>
      <c r="AL34" s="36">
        <v>10532000</v>
      </c>
      <c r="AM34" s="36">
        <v>2122800</v>
      </c>
      <c r="AN34" s="36"/>
      <c r="AO34" s="36"/>
      <c r="AP34" s="36"/>
      <c r="AQ34" s="36"/>
      <c r="AR34" s="36"/>
      <c r="AS34" s="36"/>
      <c r="AT34" s="36"/>
      <c r="AU34" s="36"/>
      <c r="AZ34" s="66">
        <f t="shared" si="6"/>
        <v>21427000</v>
      </c>
      <c r="BA34" s="66">
        <f t="shared" si="6"/>
        <v>35447000</v>
      </c>
      <c r="BB34" s="66">
        <f t="shared" si="6"/>
        <v>52668500</v>
      </c>
      <c r="BC34" s="66">
        <f t="shared" si="6"/>
        <v>34022900</v>
      </c>
      <c r="BD34" s="66">
        <f t="shared" si="3"/>
        <v>0</v>
      </c>
      <c r="BF34" s="66">
        <f t="shared" ca="1" si="5"/>
        <v>143565400</v>
      </c>
    </row>
    <row r="35" spans="2:58" x14ac:dyDescent="0.3">
      <c r="B35" t="str">
        <f>IFERROR(VLOOKUP($F35,매장구분!$B:$V,2,0),"")</f>
        <v>리테일채널팀</v>
      </c>
      <c r="C35" t="str">
        <f>IFERROR(VLOOKUP($F35,매장구분!$B:$V,4,0),"")</f>
        <v>대리점</v>
      </c>
      <c r="D35" t="str">
        <f t="shared" si="4"/>
        <v>순수</v>
      </c>
      <c r="E35" t="s">
        <v>484</v>
      </c>
      <c r="F35" t="s">
        <v>485</v>
      </c>
      <c r="G35" t="s">
        <v>646</v>
      </c>
      <c r="H35">
        <v>1</v>
      </c>
      <c r="I35">
        <v>90300</v>
      </c>
      <c r="J35">
        <v>129000</v>
      </c>
      <c r="K35">
        <v>1</v>
      </c>
      <c r="L35">
        <v>90300</v>
      </c>
      <c r="M35">
        <v>129000</v>
      </c>
      <c r="N35">
        <v>0</v>
      </c>
      <c r="O35">
        <v>0</v>
      </c>
      <c r="P35">
        <v>0</v>
      </c>
      <c r="Q35" s="37">
        <v>0</v>
      </c>
      <c r="R35" s="36">
        <v>0</v>
      </c>
      <c r="S35" s="36">
        <v>0</v>
      </c>
      <c r="T35" s="36">
        <v>90300</v>
      </c>
      <c r="U35" s="36">
        <v>0</v>
      </c>
      <c r="V35" s="36">
        <v>0</v>
      </c>
      <c r="W35" s="36">
        <v>0</v>
      </c>
      <c r="X35" s="36">
        <v>0</v>
      </c>
      <c r="Y35" s="36">
        <v>0</v>
      </c>
      <c r="Z35" s="36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6">
        <v>0</v>
      </c>
      <c r="AH35" s="36">
        <v>0</v>
      </c>
      <c r="AI35" s="36">
        <v>0</v>
      </c>
      <c r="AJ35" s="36">
        <v>0</v>
      </c>
      <c r="AK35" s="36">
        <v>0</v>
      </c>
      <c r="AL35" s="36">
        <v>0</v>
      </c>
      <c r="AM35" s="36">
        <v>0</v>
      </c>
      <c r="AN35" s="36"/>
      <c r="AO35" s="36"/>
      <c r="AP35" s="36"/>
      <c r="AQ35" s="36"/>
      <c r="AR35" s="36"/>
      <c r="AS35" s="36"/>
      <c r="AT35" s="36"/>
      <c r="AU35" s="36"/>
      <c r="AZ35" s="66">
        <f t="shared" si="6"/>
        <v>0</v>
      </c>
      <c r="BA35" s="66">
        <f t="shared" si="6"/>
        <v>90300</v>
      </c>
      <c r="BB35" s="66">
        <f t="shared" si="6"/>
        <v>0</v>
      </c>
      <c r="BC35" s="66">
        <f t="shared" si="6"/>
        <v>0</v>
      </c>
      <c r="BD35" s="66">
        <f t="shared" si="3"/>
        <v>0</v>
      </c>
      <c r="BF35" s="66">
        <f t="shared" ca="1" si="5"/>
        <v>90300</v>
      </c>
    </row>
    <row r="36" spans="2:58" x14ac:dyDescent="0.3">
      <c r="B36" t="str">
        <f>IFERROR(VLOOKUP($F36,매장구분!$B:$V,2,0),"")</f>
        <v>리테일채널팀</v>
      </c>
      <c r="C36" t="str">
        <f>IFERROR(VLOOKUP($F36,매장구분!$B:$V,4,0),"")</f>
        <v>대리점</v>
      </c>
      <c r="D36" t="str">
        <f t="shared" si="4"/>
        <v>단체</v>
      </c>
      <c r="E36" t="s">
        <v>484</v>
      </c>
      <c r="F36" t="s">
        <v>485</v>
      </c>
      <c r="G36" t="s">
        <v>642</v>
      </c>
      <c r="H36">
        <v>230</v>
      </c>
      <c r="I36">
        <v>43059840</v>
      </c>
      <c r="J36">
        <v>53824800</v>
      </c>
      <c r="K36">
        <v>230</v>
      </c>
      <c r="L36">
        <v>43059840</v>
      </c>
      <c r="M36">
        <v>53824800</v>
      </c>
      <c r="N36">
        <v>0</v>
      </c>
      <c r="O36">
        <v>0</v>
      </c>
      <c r="P36">
        <v>0</v>
      </c>
      <c r="Q36" s="37">
        <v>0</v>
      </c>
      <c r="R36" s="36">
        <v>27335040</v>
      </c>
      <c r="S36" s="36">
        <v>0</v>
      </c>
      <c r="T36" s="36">
        <v>0</v>
      </c>
      <c r="U36" s="36">
        <v>6125600</v>
      </c>
      <c r="V36" s="36">
        <v>0</v>
      </c>
      <c r="W36" s="36">
        <v>0</v>
      </c>
      <c r="X36" s="36">
        <v>0</v>
      </c>
      <c r="Y36" s="36">
        <v>0</v>
      </c>
      <c r="Z36" s="36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6">
        <v>0</v>
      </c>
      <c r="AH36" s="36">
        <v>0</v>
      </c>
      <c r="AI36" s="36">
        <v>0</v>
      </c>
      <c r="AJ36" s="36">
        <v>0</v>
      </c>
      <c r="AK36" s="36">
        <v>0</v>
      </c>
      <c r="AL36" s="36">
        <v>0</v>
      </c>
      <c r="AM36" s="36">
        <v>9599200</v>
      </c>
      <c r="AN36" s="36"/>
      <c r="AO36" s="36"/>
      <c r="AP36" s="36"/>
      <c r="AQ36" s="36"/>
      <c r="AR36" s="36"/>
      <c r="AS36" s="36"/>
      <c r="AT36" s="36"/>
      <c r="AU36" s="36"/>
      <c r="AZ36" s="66">
        <f t="shared" si="6"/>
        <v>27335040</v>
      </c>
      <c r="BA36" s="66">
        <f t="shared" si="6"/>
        <v>6125600</v>
      </c>
      <c r="BB36" s="66">
        <f t="shared" si="6"/>
        <v>0</v>
      </c>
      <c r="BC36" s="66">
        <f t="shared" si="6"/>
        <v>9599200</v>
      </c>
      <c r="BD36" s="66">
        <f t="shared" si="3"/>
        <v>0</v>
      </c>
      <c r="BF36" s="66">
        <f t="shared" ca="1" si="5"/>
        <v>43059840</v>
      </c>
    </row>
    <row r="37" spans="2:58" x14ac:dyDescent="0.3">
      <c r="B37" t="str">
        <f>IFERROR(VLOOKUP($F37,매장구분!$B:$V,2,0),"")</f>
        <v>리테일채널팀</v>
      </c>
      <c r="C37" t="str">
        <f>IFERROR(VLOOKUP($F37,매장구분!$B:$V,4,0),"")</f>
        <v>대리점</v>
      </c>
      <c r="D37" t="str">
        <f t="shared" si="4"/>
        <v>순수</v>
      </c>
      <c r="E37" t="s">
        <v>484</v>
      </c>
      <c r="F37" t="s">
        <v>485</v>
      </c>
      <c r="G37" t="s">
        <v>643</v>
      </c>
      <c r="H37">
        <v>15</v>
      </c>
      <c r="I37">
        <v>871000</v>
      </c>
      <c r="J37">
        <v>1223000</v>
      </c>
      <c r="K37">
        <v>19</v>
      </c>
      <c r="L37">
        <v>1041000</v>
      </c>
      <c r="M37">
        <v>1413000</v>
      </c>
      <c r="N37">
        <v>-4</v>
      </c>
      <c r="O37">
        <v>-170000</v>
      </c>
      <c r="P37">
        <v>-190000</v>
      </c>
      <c r="Q37" s="37">
        <v>0</v>
      </c>
      <c r="R37" s="36">
        <v>0</v>
      </c>
      <c r="S37" s="36">
        <v>0</v>
      </c>
      <c r="T37" s="36">
        <v>54000</v>
      </c>
      <c r="U37" s="36">
        <v>0</v>
      </c>
      <c r="V37" s="36">
        <v>0</v>
      </c>
      <c r="W37" s="36">
        <v>66000</v>
      </c>
      <c r="X37" s="36">
        <v>0</v>
      </c>
      <c r="Y37" s="36">
        <v>0</v>
      </c>
      <c r="Z37" s="36">
        <v>186000</v>
      </c>
      <c r="AA37" s="36">
        <v>0</v>
      </c>
      <c r="AB37" s="36">
        <v>0</v>
      </c>
      <c r="AC37" s="36">
        <v>119000</v>
      </c>
      <c r="AD37" s="36">
        <v>0</v>
      </c>
      <c r="AE37" s="36">
        <v>0</v>
      </c>
      <c r="AF37" s="36">
        <v>0</v>
      </c>
      <c r="AG37" s="36">
        <v>170000</v>
      </c>
      <c r="AH37" s="36">
        <v>109000</v>
      </c>
      <c r="AI37" s="36">
        <v>0</v>
      </c>
      <c r="AJ37" s="36">
        <v>0</v>
      </c>
      <c r="AK37" s="36">
        <v>0</v>
      </c>
      <c r="AL37" s="36">
        <v>119000</v>
      </c>
      <c r="AM37" s="36">
        <v>48000</v>
      </c>
      <c r="AN37" s="36"/>
      <c r="AO37" s="36"/>
      <c r="AP37" s="36"/>
      <c r="AQ37" s="36"/>
      <c r="AR37" s="36"/>
      <c r="AS37" s="36"/>
      <c r="AT37" s="36"/>
      <c r="AU37" s="36"/>
      <c r="AZ37" s="66">
        <f t="shared" si="6"/>
        <v>0</v>
      </c>
      <c r="BA37" s="66">
        <f t="shared" si="6"/>
        <v>120000</v>
      </c>
      <c r="BB37" s="66">
        <f t="shared" si="6"/>
        <v>305000</v>
      </c>
      <c r="BC37" s="66">
        <f t="shared" si="6"/>
        <v>446000</v>
      </c>
      <c r="BD37" s="66">
        <f t="shared" si="3"/>
        <v>0</v>
      </c>
      <c r="BF37" s="66">
        <f t="shared" ca="1" si="5"/>
        <v>871000</v>
      </c>
    </row>
    <row r="38" spans="2:58" x14ac:dyDescent="0.3">
      <c r="B38" t="str">
        <f>IFERROR(VLOOKUP($F38,매장구분!$B:$V,2,0),"")</f>
        <v>리테일채널팀</v>
      </c>
      <c r="C38" t="str">
        <f>IFERROR(VLOOKUP($F38,매장구분!$B:$V,4,0),"")</f>
        <v>대리점</v>
      </c>
      <c r="D38" t="str">
        <f t="shared" si="4"/>
        <v>순수</v>
      </c>
      <c r="E38" t="s">
        <v>484</v>
      </c>
      <c r="F38" t="s">
        <v>485</v>
      </c>
      <c r="G38" t="s">
        <v>644</v>
      </c>
      <c r="H38">
        <v>438</v>
      </c>
      <c r="I38">
        <v>32595800</v>
      </c>
      <c r="J38">
        <v>32595800</v>
      </c>
      <c r="K38">
        <v>445</v>
      </c>
      <c r="L38">
        <v>33379800</v>
      </c>
      <c r="M38">
        <v>33379800</v>
      </c>
      <c r="N38">
        <v>-7</v>
      </c>
      <c r="O38">
        <v>-784000</v>
      </c>
      <c r="P38">
        <v>-784000</v>
      </c>
      <c r="Q38" s="37">
        <v>1914000</v>
      </c>
      <c r="R38" s="36">
        <v>901000</v>
      </c>
      <c r="S38" s="36">
        <v>1381000</v>
      </c>
      <c r="T38" s="36">
        <v>410000</v>
      </c>
      <c r="U38" s="36">
        <v>648000</v>
      </c>
      <c r="V38" s="36">
        <v>1536000</v>
      </c>
      <c r="W38" s="36">
        <v>678000</v>
      </c>
      <c r="X38" s="36">
        <v>1917000</v>
      </c>
      <c r="Y38" s="36">
        <v>1962000</v>
      </c>
      <c r="Z38" s="36">
        <v>667900</v>
      </c>
      <c r="AA38" s="36">
        <v>1146000</v>
      </c>
      <c r="AB38" s="36">
        <v>1206000</v>
      </c>
      <c r="AC38" s="36">
        <v>1437000</v>
      </c>
      <c r="AD38" s="36">
        <v>2527900</v>
      </c>
      <c r="AE38" s="36">
        <v>2638000</v>
      </c>
      <c r="AF38" s="36">
        <v>2503000</v>
      </c>
      <c r="AG38" s="36">
        <v>1398000</v>
      </c>
      <c r="AH38" s="36">
        <v>1197000</v>
      </c>
      <c r="AI38" s="36">
        <v>1432000</v>
      </c>
      <c r="AJ38" s="36">
        <v>1072000</v>
      </c>
      <c r="AK38" s="36">
        <v>882000</v>
      </c>
      <c r="AL38" s="36">
        <v>1480000</v>
      </c>
      <c r="AM38" s="36">
        <v>1662000</v>
      </c>
      <c r="AN38" s="36"/>
      <c r="AO38" s="36"/>
      <c r="AP38" s="36"/>
      <c r="AQ38" s="36"/>
      <c r="AR38" s="36"/>
      <c r="AS38" s="36"/>
      <c r="AT38" s="36"/>
      <c r="AU38" s="36"/>
      <c r="AZ38" s="66">
        <f t="shared" ref="AZ38:BC53" si="7">SUMIFS($Q38:$AU38,$Q$3:$AU$3,AZ$1)</f>
        <v>2815000</v>
      </c>
      <c r="BA38" s="66">
        <f t="shared" si="7"/>
        <v>8532000</v>
      </c>
      <c r="BB38" s="66">
        <f t="shared" si="7"/>
        <v>12125800</v>
      </c>
      <c r="BC38" s="66">
        <f t="shared" si="7"/>
        <v>9123000</v>
      </c>
      <c r="BD38" s="66">
        <f t="shared" si="3"/>
        <v>0</v>
      </c>
      <c r="BF38" s="66">
        <f t="shared" ca="1" si="5"/>
        <v>32595800</v>
      </c>
    </row>
    <row r="39" spans="2:58" x14ac:dyDescent="0.3">
      <c r="B39" t="str">
        <f>IFERROR(VLOOKUP($F39,매장구분!$B:$V,2,0),"")</f>
        <v>리테일채널팀</v>
      </c>
      <c r="C39" t="str">
        <f>IFERROR(VLOOKUP($F39,매장구분!$B:$V,4,0),"")</f>
        <v>대리점</v>
      </c>
      <c r="D39" t="str">
        <f t="shared" si="4"/>
        <v>순수</v>
      </c>
      <c r="E39" t="s">
        <v>484</v>
      </c>
      <c r="F39" t="s">
        <v>485</v>
      </c>
      <c r="G39" t="s">
        <v>645</v>
      </c>
      <c r="H39">
        <v>26</v>
      </c>
      <c r="I39">
        <v>4065000</v>
      </c>
      <c r="J39">
        <v>4395000</v>
      </c>
      <c r="K39">
        <v>26</v>
      </c>
      <c r="L39">
        <v>4065000</v>
      </c>
      <c r="M39">
        <v>4395000</v>
      </c>
      <c r="N39">
        <v>0</v>
      </c>
      <c r="O39">
        <v>0</v>
      </c>
      <c r="P39">
        <v>0</v>
      </c>
      <c r="Q39" s="37">
        <v>0</v>
      </c>
      <c r="R39" s="36">
        <v>359000</v>
      </c>
      <c r="S39" s="36">
        <v>538000</v>
      </c>
      <c r="T39" s="36">
        <v>0</v>
      </c>
      <c r="U39" s="36">
        <v>0</v>
      </c>
      <c r="V39" s="36">
        <v>0</v>
      </c>
      <c r="W39" s="36">
        <v>0</v>
      </c>
      <c r="X39" s="36">
        <v>0</v>
      </c>
      <c r="Y39" s="36">
        <v>0</v>
      </c>
      <c r="Z39" s="36">
        <v>279000</v>
      </c>
      <c r="AA39" s="36">
        <v>0</v>
      </c>
      <c r="AB39" s="36">
        <v>0</v>
      </c>
      <c r="AC39" s="36">
        <v>0</v>
      </c>
      <c r="AD39" s="36">
        <v>279000</v>
      </c>
      <c r="AE39" s="36">
        <v>0</v>
      </c>
      <c r="AF39" s="36">
        <v>259000</v>
      </c>
      <c r="AG39" s="36">
        <v>431000</v>
      </c>
      <c r="AH39" s="36">
        <v>0</v>
      </c>
      <c r="AI39" s="36">
        <v>259000</v>
      </c>
      <c r="AJ39" s="36">
        <v>896000</v>
      </c>
      <c r="AK39" s="36">
        <v>269000</v>
      </c>
      <c r="AL39" s="36">
        <v>0</v>
      </c>
      <c r="AM39" s="36">
        <v>496000</v>
      </c>
      <c r="AN39" s="36"/>
      <c r="AO39" s="36"/>
      <c r="AP39" s="36"/>
      <c r="AQ39" s="36"/>
      <c r="AR39" s="36"/>
      <c r="AS39" s="36"/>
      <c r="AT39" s="36"/>
      <c r="AU39" s="36"/>
      <c r="AZ39" s="66">
        <f t="shared" si="7"/>
        <v>359000</v>
      </c>
      <c r="BA39" s="66">
        <f t="shared" si="7"/>
        <v>538000</v>
      </c>
      <c r="BB39" s="66">
        <f t="shared" si="7"/>
        <v>817000</v>
      </c>
      <c r="BC39" s="66">
        <f t="shared" si="7"/>
        <v>2351000</v>
      </c>
      <c r="BD39" s="66">
        <f t="shared" si="3"/>
        <v>0</v>
      </c>
      <c r="BF39" s="66">
        <f t="shared" ca="1" si="5"/>
        <v>4065000</v>
      </c>
    </row>
    <row r="40" spans="2:58" x14ac:dyDescent="0.3">
      <c r="B40" t="str">
        <f>IFERROR(VLOOKUP($F40,매장구분!$B:$V,2,0),"")</f>
        <v>리테일채널팀</v>
      </c>
      <c r="C40" t="str">
        <f>IFERROR(VLOOKUP($F40,매장구분!$B:$V,4,0),"")</f>
        <v>대리점</v>
      </c>
      <c r="D40" t="str">
        <f t="shared" si="4"/>
        <v>순수</v>
      </c>
      <c r="E40" t="s">
        <v>326</v>
      </c>
      <c r="F40" t="s">
        <v>327</v>
      </c>
      <c r="G40" t="s">
        <v>646</v>
      </c>
      <c r="H40">
        <v>8</v>
      </c>
      <c r="I40">
        <v>681800</v>
      </c>
      <c r="J40">
        <v>974000</v>
      </c>
      <c r="K40">
        <v>11</v>
      </c>
      <c r="L40">
        <v>917700</v>
      </c>
      <c r="M40">
        <v>1311000</v>
      </c>
      <c r="N40">
        <v>-3</v>
      </c>
      <c r="O40">
        <v>-235900</v>
      </c>
      <c r="P40">
        <v>-337000</v>
      </c>
      <c r="Q40" s="37">
        <v>0</v>
      </c>
      <c r="R40" s="36">
        <v>104300</v>
      </c>
      <c r="S40" s="36">
        <v>0</v>
      </c>
      <c r="T40" s="36">
        <v>0</v>
      </c>
      <c r="U40" s="36">
        <v>0</v>
      </c>
      <c r="V40" s="36">
        <v>0</v>
      </c>
      <c r="W40" s="36">
        <v>41300</v>
      </c>
      <c r="X40" s="36">
        <v>0</v>
      </c>
      <c r="Y40" s="36">
        <v>97300</v>
      </c>
      <c r="Z40" s="36">
        <v>4200</v>
      </c>
      <c r="AA40" s="36">
        <v>0</v>
      </c>
      <c r="AB40" s="36">
        <v>0</v>
      </c>
      <c r="AC40" s="36">
        <v>97300</v>
      </c>
      <c r="AD40" s="36">
        <v>142800</v>
      </c>
      <c r="AE40" s="36">
        <v>0</v>
      </c>
      <c r="AF40" s="36">
        <v>0</v>
      </c>
      <c r="AG40" s="36">
        <v>0</v>
      </c>
      <c r="AH40" s="36">
        <v>194600</v>
      </c>
      <c r="AI40" s="36">
        <v>0</v>
      </c>
      <c r="AJ40" s="36">
        <v>0</v>
      </c>
      <c r="AK40" s="36">
        <v>0</v>
      </c>
      <c r="AL40" s="36">
        <v>0</v>
      </c>
      <c r="AM40" s="36">
        <v>0</v>
      </c>
      <c r="AN40" s="36"/>
      <c r="AO40" s="36"/>
      <c r="AP40" s="36"/>
      <c r="AQ40" s="36"/>
      <c r="AR40" s="36"/>
      <c r="AS40" s="36"/>
      <c r="AT40" s="36"/>
      <c r="AU40" s="36"/>
      <c r="AZ40" s="66">
        <f t="shared" si="7"/>
        <v>104300</v>
      </c>
      <c r="BA40" s="66">
        <f t="shared" si="7"/>
        <v>138600</v>
      </c>
      <c r="BB40" s="66">
        <f t="shared" si="7"/>
        <v>244300</v>
      </c>
      <c r="BC40" s="66">
        <f t="shared" si="7"/>
        <v>194600</v>
      </c>
      <c r="BD40" s="66">
        <f t="shared" si="3"/>
        <v>0</v>
      </c>
      <c r="BF40" s="66">
        <f t="shared" ca="1" si="5"/>
        <v>681800</v>
      </c>
    </row>
    <row r="41" spans="2:58" x14ac:dyDescent="0.3">
      <c r="B41" t="str">
        <f>IFERROR(VLOOKUP($F41,매장구분!$B:$V,2,0),"")</f>
        <v>리테일채널팀</v>
      </c>
      <c r="C41" t="str">
        <f>IFERROR(VLOOKUP($F41,매장구분!$B:$V,4,0),"")</f>
        <v>대리점</v>
      </c>
      <c r="D41" t="str">
        <f t="shared" si="4"/>
        <v>단체</v>
      </c>
      <c r="E41" t="s">
        <v>326</v>
      </c>
      <c r="F41" t="s">
        <v>327</v>
      </c>
      <c r="G41" t="s">
        <v>642</v>
      </c>
      <c r="H41">
        <v>2446</v>
      </c>
      <c r="I41">
        <v>130000000</v>
      </c>
      <c r="J41">
        <v>162500000</v>
      </c>
      <c r="K41">
        <v>2446</v>
      </c>
      <c r="L41">
        <v>130000000</v>
      </c>
      <c r="M41">
        <v>162500000</v>
      </c>
      <c r="N41">
        <v>0</v>
      </c>
      <c r="O41">
        <v>0</v>
      </c>
      <c r="P41">
        <v>0</v>
      </c>
      <c r="Q41" s="37">
        <v>7857600</v>
      </c>
      <c r="R41" s="36">
        <v>7869600</v>
      </c>
      <c r="S41" s="36">
        <v>7869600</v>
      </c>
      <c r="T41" s="36">
        <v>7867200</v>
      </c>
      <c r="U41" s="36">
        <v>9672000</v>
      </c>
      <c r="V41" s="36">
        <v>7861600</v>
      </c>
      <c r="W41" s="36">
        <v>7833600</v>
      </c>
      <c r="X41" s="36">
        <v>0</v>
      </c>
      <c r="Y41" s="36">
        <v>0</v>
      </c>
      <c r="Z41" s="36">
        <v>7534400</v>
      </c>
      <c r="AA41" s="36">
        <v>7902400</v>
      </c>
      <c r="AB41" s="36">
        <v>7666400</v>
      </c>
      <c r="AC41" s="36">
        <v>7756800</v>
      </c>
      <c r="AD41" s="36">
        <v>4116800</v>
      </c>
      <c r="AE41" s="36">
        <v>0</v>
      </c>
      <c r="AF41" s="36">
        <v>4134400</v>
      </c>
      <c r="AG41" s="36">
        <v>4336000</v>
      </c>
      <c r="AH41" s="36">
        <v>4252800</v>
      </c>
      <c r="AI41" s="36">
        <v>6777600</v>
      </c>
      <c r="AJ41" s="36">
        <v>0</v>
      </c>
      <c r="AK41" s="36">
        <v>12901600</v>
      </c>
      <c r="AL41" s="36">
        <v>0</v>
      </c>
      <c r="AM41" s="36">
        <v>5789600</v>
      </c>
      <c r="AN41" s="36"/>
      <c r="AO41" s="36"/>
      <c r="AP41" s="36"/>
      <c r="AQ41" s="36"/>
      <c r="AR41" s="36"/>
      <c r="AS41" s="36"/>
      <c r="AT41" s="36"/>
      <c r="AU41" s="36"/>
      <c r="AZ41" s="66">
        <f t="shared" si="7"/>
        <v>15727200</v>
      </c>
      <c r="BA41" s="66">
        <f t="shared" si="7"/>
        <v>41104000</v>
      </c>
      <c r="BB41" s="66">
        <f t="shared" si="7"/>
        <v>39111200</v>
      </c>
      <c r="BC41" s="66">
        <f t="shared" si="7"/>
        <v>34057600</v>
      </c>
      <c r="BD41" s="66">
        <f t="shared" si="3"/>
        <v>0</v>
      </c>
      <c r="BF41" s="66">
        <f t="shared" ca="1" si="5"/>
        <v>130000000</v>
      </c>
    </row>
    <row r="42" spans="2:58" x14ac:dyDescent="0.3">
      <c r="B42" t="str">
        <f>IFERROR(VLOOKUP($F42,매장구분!$B:$V,2,0),"")</f>
        <v>리테일채널팀</v>
      </c>
      <c r="C42" t="str">
        <f>IFERROR(VLOOKUP($F42,매장구분!$B:$V,4,0),"")</f>
        <v>대리점</v>
      </c>
      <c r="D42" t="str">
        <f t="shared" si="4"/>
        <v>순수</v>
      </c>
      <c r="E42" t="s">
        <v>326</v>
      </c>
      <c r="F42" t="s">
        <v>327</v>
      </c>
      <c r="G42" t="s">
        <v>643</v>
      </c>
      <c r="H42">
        <v>77</v>
      </c>
      <c r="I42">
        <v>4174000</v>
      </c>
      <c r="J42">
        <v>6498000</v>
      </c>
      <c r="K42">
        <v>78</v>
      </c>
      <c r="L42">
        <v>4220000</v>
      </c>
      <c r="M42">
        <v>6587000</v>
      </c>
      <c r="N42">
        <v>-1</v>
      </c>
      <c r="O42">
        <v>-46000</v>
      </c>
      <c r="P42">
        <v>-89000</v>
      </c>
      <c r="Q42" s="37">
        <v>621000</v>
      </c>
      <c r="R42" s="36">
        <v>33000</v>
      </c>
      <c r="S42" s="36">
        <v>572000</v>
      </c>
      <c r="T42" s="36">
        <v>198000</v>
      </c>
      <c r="U42" s="36">
        <v>0</v>
      </c>
      <c r="V42" s="36">
        <v>672000</v>
      </c>
      <c r="W42" s="36">
        <v>728000</v>
      </c>
      <c r="X42" s="36">
        <v>0</v>
      </c>
      <c r="Y42" s="36">
        <v>62000</v>
      </c>
      <c r="Z42" s="36">
        <v>-46000</v>
      </c>
      <c r="AA42" s="36">
        <v>801000</v>
      </c>
      <c r="AB42" s="36">
        <v>0</v>
      </c>
      <c r="AC42" s="36">
        <v>0</v>
      </c>
      <c r="AD42" s="36">
        <v>182000</v>
      </c>
      <c r="AE42" s="36">
        <v>0</v>
      </c>
      <c r="AF42" s="36">
        <v>0</v>
      </c>
      <c r="AG42" s="36">
        <v>0</v>
      </c>
      <c r="AH42" s="36">
        <v>33000</v>
      </c>
      <c r="AI42" s="36">
        <v>0</v>
      </c>
      <c r="AJ42" s="36">
        <v>0</v>
      </c>
      <c r="AK42" s="36">
        <v>0</v>
      </c>
      <c r="AL42" s="36">
        <v>318000</v>
      </c>
      <c r="AM42" s="36">
        <v>0</v>
      </c>
      <c r="AN42" s="36"/>
      <c r="AO42" s="36"/>
      <c r="AP42" s="36"/>
      <c r="AQ42" s="36"/>
      <c r="AR42" s="36"/>
      <c r="AS42" s="36"/>
      <c r="AT42" s="36"/>
      <c r="AU42" s="36"/>
      <c r="AZ42" s="66">
        <f t="shared" si="7"/>
        <v>654000</v>
      </c>
      <c r="BA42" s="66">
        <f t="shared" si="7"/>
        <v>2232000</v>
      </c>
      <c r="BB42" s="66">
        <f t="shared" si="7"/>
        <v>937000</v>
      </c>
      <c r="BC42" s="66">
        <f t="shared" si="7"/>
        <v>351000</v>
      </c>
      <c r="BD42" s="66">
        <f t="shared" si="3"/>
        <v>0</v>
      </c>
      <c r="BF42" s="66">
        <f t="shared" ca="1" si="5"/>
        <v>4174000</v>
      </c>
    </row>
    <row r="43" spans="2:58" x14ac:dyDescent="0.3">
      <c r="B43" t="str">
        <f>IFERROR(VLOOKUP($F43,매장구분!$B:$V,2,0),"")</f>
        <v>리테일채널팀</v>
      </c>
      <c r="C43" t="str">
        <f>IFERROR(VLOOKUP($F43,매장구분!$B:$V,4,0),"")</f>
        <v>대리점</v>
      </c>
      <c r="D43" t="str">
        <f t="shared" si="4"/>
        <v>순수</v>
      </c>
      <c r="E43" t="s">
        <v>326</v>
      </c>
      <c r="F43" t="s">
        <v>327</v>
      </c>
      <c r="G43" t="s">
        <v>644</v>
      </c>
      <c r="H43">
        <v>566</v>
      </c>
      <c r="I43">
        <v>37475200</v>
      </c>
      <c r="J43">
        <v>37475200</v>
      </c>
      <c r="K43">
        <v>823</v>
      </c>
      <c r="L43">
        <v>77504800</v>
      </c>
      <c r="M43">
        <v>77504800</v>
      </c>
      <c r="N43">
        <v>-257</v>
      </c>
      <c r="O43">
        <v>-40029600</v>
      </c>
      <c r="P43">
        <v>-40029600</v>
      </c>
      <c r="Q43" s="37">
        <v>563800</v>
      </c>
      <c r="R43" s="36">
        <v>2944900</v>
      </c>
      <c r="S43" s="36">
        <v>4489000</v>
      </c>
      <c r="T43" s="36">
        <v>2857400</v>
      </c>
      <c r="U43" s="36">
        <v>1191000</v>
      </c>
      <c r="V43" s="36">
        <v>9482600</v>
      </c>
      <c r="W43" s="36">
        <v>1603000</v>
      </c>
      <c r="X43" s="36">
        <v>842900</v>
      </c>
      <c r="Y43" s="36">
        <v>5318900</v>
      </c>
      <c r="Z43" s="36">
        <v>2635000</v>
      </c>
      <c r="AA43" s="36">
        <v>558700</v>
      </c>
      <c r="AB43" s="36">
        <v>771300</v>
      </c>
      <c r="AC43" s="36">
        <v>125200</v>
      </c>
      <c r="AD43" s="36">
        <v>318100</v>
      </c>
      <c r="AE43" s="36">
        <v>306200</v>
      </c>
      <c r="AF43" s="36">
        <v>540000</v>
      </c>
      <c r="AG43" s="36">
        <v>418000</v>
      </c>
      <c r="AH43" s="36">
        <v>449100</v>
      </c>
      <c r="AI43" s="36">
        <v>213100</v>
      </c>
      <c r="AJ43" s="36">
        <v>465000</v>
      </c>
      <c r="AK43" s="36">
        <v>585000</v>
      </c>
      <c r="AL43" s="36">
        <v>559900</v>
      </c>
      <c r="AM43" s="36">
        <v>237100</v>
      </c>
      <c r="AN43" s="36"/>
      <c r="AO43" s="36"/>
      <c r="AP43" s="36"/>
      <c r="AQ43" s="36"/>
      <c r="AR43" s="36"/>
      <c r="AS43" s="36"/>
      <c r="AT43" s="36"/>
      <c r="AU43" s="36"/>
      <c r="AZ43" s="66">
        <f t="shared" si="7"/>
        <v>3508700</v>
      </c>
      <c r="BA43" s="66">
        <f t="shared" si="7"/>
        <v>25784800</v>
      </c>
      <c r="BB43" s="66">
        <f t="shared" si="7"/>
        <v>5254500</v>
      </c>
      <c r="BC43" s="66">
        <f t="shared" si="7"/>
        <v>2927200</v>
      </c>
      <c r="BD43" s="66">
        <f t="shared" si="3"/>
        <v>0</v>
      </c>
      <c r="BF43" s="66">
        <f t="shared" ca="1" si="5"/>
        <v>37475200</v>
      </c>
    </row>
    <row r="44" spans="2:58" x14ac:dyDescent="0.3">
      <c r="B44" t="str">
        <f>IFERROR(VLOOKUP($F44,매장구분!$B:$V,2,0),"")</f>
        <v>리테일채널팀</v>
      </c>
      <c r="C44" t="str">
        <f>IFERROR(VLOOKUP($F44,매장구분!$B:$V,4,0),"")</f>
        <v>대리점</v>
      </c>
      <c r="D44" t="str">
        <f t="shared" si="4"/>
        <v>순수</v>
      </c>
      <c r="E44" t="s">
        <v>326</v>
      </c>
      <c r="F44" t="s">
        <v>327</v>
      </c>
      <c r="G44" t="s">
        <v>645</v>
      </c>
      <c r="H44">
        <v>502</v>
      </c>
      <c r="I44">
        <v>55737700</v>
      </c>
      <c r="J44">
        <v>61591000</v>
      </c>
      <c r="K44">
        <v>571</v>
      </c>
      <c r="L44">
        <v>69568800</v>
      </c>
      <c r="M44">
        <v>76612000</v>
      </c>
      <c r="N44">
        <v>-69</v>
      </c>
      <c r="O44">
        <v>-13831100</v>
      </c>
      <c r="P44">
        <v>-15021000</v>
      </c>
      <c r="Q44" s="37">
        <v>219000</v>
      </c>
      <c r="R44" s="36">
        <v>418000</v>
      </c>
      <c r="S44" s="36">
        <v>697000</v>
      </c>
      <c r="T44" s="36">
        <v>797000</v>
      </c>
      <c r="U44" s="36">
        <v>1969000</v>
      </c>
      <c r="V44" s="36">
        <v>756000</v>
      </c>
      <c r="W44" s="36">
        <v>4209000</v>
      </c>
      <c r="X44" s="36">
        <v>1106000</v>
      </c>
      <c r="Y44" s="36">
        <v>1483000</v>
      </c>
      <c r="Z44" s="36">
        <v>0</v>
      </c>
      <c r="AA44" s="36">
        <v>12933600</v>
      </c>
      <c r="AB44" s="36">
        <v>4903700</v>
      </c>
      <c r="AC44" s="36">
        <v>4967400</v>
      </c>
      <c r="AD44" s="36">
        <v>3817200</v>
      </c>
      <c r="AE44" s="36">
        <v>6123900</v>
      </c>
      <c r="AF44" s="36">
        <v>2394900</v>
      </c>
      <c r="AG44" s="36">
        <v>1349200</v>
      </c>
      <c r="AH44" s="36">
        <v>1023000</v>
      </c>
      <c r="AI44" s="36">
        <v>3653900</v>
      </c>
      <c r="AJ44" s="36">
        <v>0</v>
      </c>
      <c r="AK44" s="36">
        <v>743000</v>
      </c>
      <c r="AL44" s="36">
        <v>518000</v>
      </c>
      <c r="AM44" s="36">
        <v>1655900</v>
      </c>
      <c r="AN44" s="36"/>
      <c r="AO44" s="36"/>
      <c r="AP44" s="36"/>
      <c r="AQ44" s="36"/>
      <c r="AR44" s="36"/>
      <c r="AS44" s="36"/>
      <c r="AT44" s="36"/>
      <c r="AU44" s="36"/>
      <c r="AZ44" s="66">
        <f t="shared" si="7"/>
        <v>637000</v>
      </c>
      <c r="BA44" s="66">
        <f t="shared" si="7"/>
        <v>11017000</v>
      </c>
      <c r="BB44" s="66">
        <f t="shared" si="7"/>
        <v>35140700</v>
      </c>
      <c r="BC44" s="66">
        <f t="shared" si="7"/>
        <v>8943000</v>
      </c>
      <c r="BD44" s="66">
        <f t="shared" si="3"/>
        <v>0</v>
      </c>
      <c r="BF44" s="66">
        <f t="shared" ca="1" si="5"/>
        <v>55737700</v>
      </c>
    </row>
    <row r="45" spans="2:58" x14ac:dyDescent="0.3">
      <c r="B45" t="str">
        <f>IFERROR(VLOOKUP($F45,매장구분!$B:$V,2,0),"")</f>
        <v>리테일채널팀</v>
      </c>
      <c r="C45" t="str">
        <f>IFERROR(VLOOKUP($F45,매장구분!$B:$V,4,0),"")</f>
        <v>대리점</v>
      </c>
      <c r="D45" t="str">
        <f t="shared" si="4"/>
        <v>순수</v>
      </c>
      <c r="E45" t="s">
        <v>340</v>
      </c>
      <c r="F45" t="s">
        <v>341</v>
      </c>
      <c r="G45" t="s">
        <v>646</v>
      </c>
      <c r="H45">
        <v>5</v>
      </c>
      <c r="I45">
        <v>493500</v>
      </c>
      <c r="J45">
        <v>705000</v>
      </c>
      <c r="K45">
        <v>5</v>
      </c>
      <c r="L45">
        <v>493500</v>
      </c>
      <c r="M45">
        <v>705000</v>
      </c>
      <c r="N45">
        <v>0</v>
      </c>
      <c r="O45">
        <v>0</v>
      </c>
      <c r="P45">
        <v>0</v>
      </c>
      <c r="Q45" s="37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104300</v>
      </c>
      <c r="AD45" s="36">
        <v>0</v>
      </c>
      <c r="AE45" s="36">
        <v>0</v>
      </c>
      <c r="AF45" s="36">
        <v>0</v>
      </c>
      <c r="AG45" s="36">
        <v>0</v>
      </c>
      <c r="AH45" s="36">
        <v>284900</v>
      </c>
      <c r="AI45" s="36">
        <v>0</v>
      </c>
      <c r="AJ45" s="36">
        <v>104300</v>
      </c>
      <c r="AK45" s="36">
        <v>0</v>
      </c>
      <c r="AL45" s="36">
        <v>0</v>
      </c>
      <c r="AM45" s="36">
        <v>0</v>
      </c>
      <c r="AN45" s="36"/>
      <c r="AO45" s="36"/>
      <c r="AP45" s="36"/>
      <c r="AQ45" s="36"/>
      <c r="AR45" s="36"/>
      <c r="AS45" s="36"/>
      <c r="AT45" s="36"/>
      <c r="AU45" s="36"/>
      <c r="AZ45" s="66">
        <f t="shared" si="7"/>
        <v>0</v>
      </c>
      <c r="BA45" s="66">
        <f t="shared" si="7"/>
        <v>0</v>
      </c>
      <c r="BB45" s="66">
        <f t="shared" si="7"/>
        <v>104300</v>
      </c>
      <c r="BC45" s="66">
        <f t="shared" si="7"/>
        <v>389200</v>
      </c>
      <c r="BD45" s="66">
        <f t="shared" si="3"/>
        <v>0</v>
      </c>
      <c r="BF45" s="66">
        <f t="shared" ca="1" si="5"/>
        <v>493500</v>
      </c>
    </row>
    <row r="46" spans="2:58" x14ac:dyDescent="0.3">
      <c r="B46" t="str">
        <f>IFERROR(VLOOKUP($F46,매장구분!$B:$V,2,0),"")</f>
        <v>리테일채널팀</v>
      </c>
      <c r="C46" t="str">
        <f>IFERROR(VLOOKUP($F46,매장구분!$B:$V,4,0),"")</f>
        <v>대리점</v>
      </c>
      <c r="D46" t="str">
        <f t="shared" si="4"/>
        <v>단체</v>
      </c>
      <c r="E46" t="s">
        <v>340</v>
      </c>
      <c r="F46" t="s">
        <v>341</v>
      </c>
      <c r="G46" t="s">
        <v>642</v>
      </c>
      <c r="H46">
        <v>688</v>
      </c>
      <c r="I46">
        <v>44928800</v>
      </c>
      <c r="J46">
        <v>56161000</v>
      </c>
      <c r="K46">
        <v>688</v>
      </c>
      <c r="L46">
        <v>44928800</v>
      </c>
      <c r="M46">
        <v>56161000</v>
      </c>
      <c r="N46">
        <v>0</v>
      </c>
      <c r="O46">
        <v>0</v>
      </c>
      <c r="P46">
        <v>0</v>
      </c>
      <c r="Q46" s="37">
        <v>6285600</v>
      </c>
      <c r="R46" s="36">
        <v>0</v>
      </c>
      <c r="S46" s="36">
        <v>0</v>
      </c>
      <c r="T46" s="36">
        <v>0</v>
      </c>
      <c r="U46" s="36">
        <v>6314400</v>
      </c>
      <c r="V46" s="36">
        <v>0</v>
      </c>
      <c r="W46" s="36">
        <v>0</v>
      </c>
      <c r="X46" s="36">
        <v>0</v>
      </c>
      <c r="Y46" s="36">
        <v>6304000</v>
      </c>
      <c r="Z46" s="36">
        <v>0</v>
      </c>
      <c r="AA46" s="36">
        <v>0</v>
      </c>
      <c r="AB46" s="36">
        <v>7092000</v>
      </c>
      <c r="AC46" s="36">
        <v>0</v>
      </c>
      <c r="AD46" s="36">
        <v>6316000</v>
      </c>
      <c r="AE46" s="36">
        <v>0</v>
      </c>
      <c r="AF46" s="36">
        <v>0</v>
      </c>
      <c r="AG46" s="36">
        <v>0</v>
      </c>
      <c r="AH46" s="36">
        <v>6308800</v>
      </c>
      <c r="AI46" s="36">
        <v>0</v>
      </c>
      <c r="AJ46" s="36">
        <v>0</v>
      </c>
      <c r="AK46" s="36">
        <v>0</v>
      </c>
      <c r="AL46" s="36">
        <v>6308000</v>
      </c>
      <c r="AM46" s="36">
        <v>0</v>
      </c>
      <c r="AN46" s="36"/>
      <c r="AO46" s="36"/>
      <c r="AP46" s="36"/>
      <c r="AQ46" s="36"/>
      <c r="AR46" s="36"/>
      <c r="AS46" s="36"/>
      <c r="AT46" s="36"/>
      <c r="AU46" s="36"/>
      <c r="AZ46" s="66">
        <f t="shared" si="7"/>
        <v>6285600</v>
      </c>
      <c r="BA46" s="66">
        <f t="shared" si="7"/>
        <v>12618400</v>
      </c>
      <c r="BB46" s="66">
        <f t="shared" si="7"/>
        <v>13408000</v>
      </c>
      <c r="BC46" s="66">
        <f t="shared" si="7"/>
        <v>12616800</v>
      </c>
      <c r="BD46" s="66">
        <f t="shared" si="3"/>
        <v>0</v>
      </c>
      <c r="BF46" s="66">
        <f t="shared" ca="1" si="5"/>
        <v>44928800</v>
      </c>
    </row>
    <row r="47" spans="2:58" x14ac:dyDescent="0.3">
      <c r="B47" t="str">
        <f>IFERROR(VLOOKUP($F47,매장구분!$B:$V,2,0),"")</f>
        <v>리테일채널팀</v>
      </c>
      <c r="C47" t="str">
        <f>IFERROR(VLOOKUP($F47,매장구분!$B:$V,4,0),"")</f>
        <v>대리점</v>
      </c>
      <c r="D47" t="str">
        <f t="shared" si="4"/>
        <v>순수</v>
      </c>
      <c r="E47" t="s">
        <v>340</v>
      </c>
      <c r="F47" t="s">
        <v>341</v>
      </c>
      <c r="G47" t="s">
        <v>643</v>
      </c>
      <c r="H47">
        <v>26</v>
      </c>
      <c r="I47">
        <v>2049307</v>
      </c>
      <c r="J47">
        <v>2201000</v>
      </c>
      <c r="K47">
        <v>29</v>
      </c>
      <c r="L47">
        <v>2536307</v>
      </c>
      <c r="M47">
        <v>2708000</v>
      </c>
      <c r="N47">
        <v>-3</v>
      </c>
      <c r="O47">
        <v>-487000</v>
      </c>
      <c r="P47">
        <v>-507000</v>
      </c>
      <c r="Q47" s="37">
        <v>297307</v>
      </c>
      <c r="R47" s="36">
        <v>235000</v>
      </c>
      <c r="S47" s="36">
        <v>0</v>
      </c>
      <c r="T47" s="36">
        <v>0</v>
      </c>
      <c r="U47" s="36">
        <v>0</v>
      </c>
      <c r="V47" s="36">
        <v>0</v>
      </c>
      <c r="W47" s="36">
        <v>0</v>
      </c>
      <c r="X47" s="36">
        <v>0</v>
      </c>
      <c r="Y47" s="36">
        <v>136000</v>
      </c>
      <c r="Z47" s="36">
        <v>735000</v>
      </c>
      <c r="AA47" s="36">
        <v>0</v>
      </c>
      <c r="AB47" s="36">
        <v>0</v>
      </c>
      <c r="AC47" s="36">
        <v>258000</v>
      </c>
      <c r="AD47" s="36">
        <v>26000</v>
      </c>
      <c r="AE47" s="36">
        <v>0</v>
      </c>
      <c r="AF47" s="36">
        <v>0</v>
      </c>
      <c r="AG47" s="36">
        <v>119000</v>
      </c>
      <c r="AH47" s="36">
        <v>129000</v>
      </c>
      <c r="AI47" s="36">
        <v>0</v>
      </c>
      <c r="AJ47" s="36">
        <v>88000</v>
      </c>
      <c r="AK47" s="36">
        <v>0</v>
      </c>
      <c r="AL47" s="36">
        <v>26000</v>
      </c>
      <c r="AM47" s="36">
        <v>0</v>
      </c>
      <c r="AN47" s="36"/>
      <c r="AO47" s="36"/>
      <c r="AP47" s="36"/>
      <c r="AQ47" s="36"/>
      <c r="AR47" s="36"/>
      <c r="AS47" s="36"/>
      <c r="AT47" s="36"/>
      <c r="AU47" s="36"/>
      <c r="AZ47" s="66">
        <f t="shared" si="7"/>
        <v>532307</v>
      </c>
      <c r="BA47" s="66">
        <f t="shared" si="7"/>
        <v>136000</v>
      </c>
      <c r="BB47" s="66">
        <f t="shared" si="7"/>
        <v>1019000</v>
      </c>
      <c r="BC47" s="66">
        <f t="shared" si="7"/>
        <v>362000</v>
      </c>
      <c r="BD47" s="66">
        <f t="shared" si="3"/>
        <v>0</v>
      </c>
      <c r="BF47" s="66">
        <f t="shared" ca="1" si="5"/>
        <v>2049307</v>
      </c>
    </row>
    <row r="48" spans="2:58" x14ac:dyDescent="0.3">
      <c r="B48" t="str">
        <f>IFERROR(VLOOKUP($F48,매장구분!$B:$V,2,0),"")</f>
        <v>리테일채널팀</v>
      </c>
      <c r="C48" t="str">
        <f>IFERROR(VLOOKUP($F48,매장구분!$B:$V,4,0),"")</f>
        <v>대리점</v>
      </c>
      <c r="D48" t="str">
        <f t="shared" si="4"/>
        <v>순수</v>
      </c>
      <c r="E48" t="s">
        <v>340</v>
      </c>
      <c r="F48" t="s">
        <v>341</v>
      </c>
      <c r="G48" t="s">
        <v>644</v>
      </c>
      <c r="H48">
        <v>713</v>
      </c>
      <c r="I48">
        <v>68189800</v>
      </c>
      <c r="J48">
        <v>68189800</v>
      </c>
      <c r="K48">
        <v>739</v>
      </c>
      <c r="L48">
        <v>70585800</v>
      </c>
      <c r="M48">
        <v>70585800</v>
      </c>
      <c r="N48">
        <v>-26</v>
      </c>
      <c r="O48">
        <v>-2396000</v>
      </c>
      <c r="P48">
        <v>-2396000</v>
      </c>
      <c r="Q48" s="37">
        <v>2816900</v>
      </c>
      <c r="R48" s="36">
        <v>3965900</v>
      </c>
      <c r="S48" s="36">
        <v>3101900</v>
      </c>
      <c r="T48" s="36">
        <v>4084800</v>
      </c>
      <c r="U48" s="36">
        <v>863700</v>
      </c>
      <c r="V48" s="36">
        <v>2033900</v>
      </c>
      <c r="W48" s="36">
        <v>2990000</v>
      </c>
      <c r="X48" s="36">
        <v>2600000</v>
      </c>
      <c r="Y48" s="36">
        <v>3002000</v>
      </c>
      <c r="Z48" s="36">
        <v>3186800</v>
      </c>
      <c r="AA48" s="36">
        <v>2198000</v>
      </c>
      <c r="AB48" s="36">
        <v>1893000</v>
      </c>
      <c r="AC48" s="36">
        <v>3281000</v>
      </c>
      <c r="AD48" s="36">
        <v>2726000</v>
      </c>
      <c r="AE48" s="36">
        <v>2780000</v>
      </c>
      <c r="AF48" s="36">
        <v>3236000</v>
      </c>
      <c r="AG48" s="36">
        <v>3797000</v>
      </c>
      <c r="AH48" s="36">
        <v>3501900</v>
      </c>
      <c r="AI48" s="36">
        <v>3987000</v>
      </c>
      <c r="AJ48" s="36">
        <v>3272000</v>
      </c>
      <c r="AK48" s="36">
        <v>3805000</v>
      </c>
      <c r="AL48" s="36">
        <v>2730000</v>
      </c>
      <c r="AM48" s="36">
        <v>2337000</v>
      </c>
      <c r="AN48" s="36"/>
      <c r="AO48" s="36"/>
      <c r="AP48" s="36"/>
      <c r="AQ48" s="36"/>
      <c r="AR48" s="36"/>
      <c r="AS48" s="36"/>
      <c r="AT48" s="36"/>
      <c r="AU48" s="36"/>
      <c r="AZ48" s="66">
        <f t="shared" si="7"/>
        <v>6782800</v>
      </c>
      <c r="BA48" s="66">
        <f t="shared" si="7"/>
        <v>18676300</v>
      </c>
      <c r="BB48" s="66">
        <f t="shared" si="7"/>
        <v>19300800</v>
      </c>
      <c r="BC48" s="66">
        <f t="shared" si="7"/>
        <v>23429900</v>
      </c>
      <c r="BD48" s="66">
        <f t="shared" si="3"/>
        <v>0</v>
      </c>
      <c r="BF48" s="66">
        <f t="shared" ca="1" si="5"/>
        <v>68189800</v>
      </c>
    </row>
    <row r="49" spans="2:58" x14ac:dyDescent="0.3">
      <c r="B49" t="str">
        <f>IFERROR(VLOOKUP($F49,매장구분!$B:$V,2,0),"")</f>
        <v>리테일채널팀</v>
      </c>
      <c r="C49" t="str">
        <f>IFERROR(VLOOKUP($F49,매장구분!$B:$V,4,0),"")</f>
        <v>대리점</v>
      </c>
      <c r="D49" t="str">
        <f t="shared" si="4"/>
        <v>순수</v>
      </c>
      <c r="E49" t="s">
        <v>340</v>
      </c>
      <c r="F49" t="s">
        <v>341</v>
      </c>
      <c r="G49" t="s">
        <v>645</v>
      </c>
      <c r="H49">
        <v>66</v>
      </c>
      <c r="I49">
        <v>11965000</v>
      </c>
      <c r="J49">
        <v>12849800</v>
      </c>
      <c r="K49">
        <v>70</v>
      </c>
      <c r="L49">
        <v>12611000</v>
      </c>
      <c r="M49">
        <v>13555800</v>
      </c>
      <c r="N49">
        <v>-4</v>
      </c>
      <c r="O49">
        <v>-646000</v>
      </c>
      <c r="P49">
        <v>-706000</v>
      </c>
      <c r="Q49" s="37">
        <v>159000</v>
      </c>
      <c r="R49" s="36">
        <v>727000</v>
      </c>
      <c r="S49" s="36">
        <v>0</v>
      </c>
      <c r="T49" s="36">
        <v>0</v>
      </c>
      <c r="U49" s="36">
        <v>298000</v>
      </c>
      <c r="V49" s="36">
        <v>618000</v>
      </c>
      <c r="W49" s="36">
        <v>0</v>
      </c>
      <c r="X49" s="36">
        <v>0</v>
      </c>
      <c r="Y49" s="36">
        <v>191000</v>
      </c>
      <c r="Z49" s="36">
        <v>0</v>
      </c>
      <c r="AA49" s="36">
        <v>416000</v>
      </c>
      <c r="AB49" s="36">
        <v>418000</v>
      </c>
      <c r="AC49" s="36">
        <v>697000</v>
      </c>
      <c r="AD49" s="36">
        <v>267000</v>
      </c>
      <c r="AE49" s="36">
        <v>0</v>
      </c>
      <c r="AF49" s="36">
        <v>218000</v>
      </c>
      <c r="AG49" s="36">
        <v>0</v>
      </c>
      <c r="AH49" s="36">
        <v>1393800</v>
      </c>
      <c r="AI49" s="36">
        <v>906000</v>
      </c>
      <c r="AJ49" s="36">
        <v>1439000</v>
      </c>
      <c r="AK49" s="36">
        <v>1014200</v>
      </c>
      <c r="AL49" s="36">
        <v>1390000</v>
      </c>
      <c r="AM49" s="36">
        <v>1813000</v>
      </c>
      <c r="AN49" s="36"/>
      <c r="AO49" s="36"/>
      <c r="AP49" s="36"/>
      <c r="AQ49" s="36"/>
      <c r="AR49" s="36"/>
      <c r="AS49" s="36"/>
      <c r="AT49" s="36"/>
      <c r="AU49" s="36"/>
      <c r="AZ49" s="66">
        <f t="shared" si="7"/>
        <v>886000</v>
      </c>
      <c r="BA49" s="66">
        <f t="shared" si="7"/>
        <v>1107000</v>
      </c>
      <c r="BB49" s="66">
        <f t="shared" si="7"/>
        <v>2016000</v>
      </c>
      <c r="BC49" s="66">
        <f t="shared" si="7"/>
        <v>7956000</v>
      </c>
      <c r="BD49" s="66">
        <f t="shared" si="3"/>
        <v>0</v>
      </c>
      <c r="BF49" s="66">
        <f t="shared" ca="1" si="5"/>
        <v>11965000</v>
      </c>
    </row>
    <row r="50" spans="2:58" x14ac:dyDescent="0.3">
      <c r="B50" t="str">
        <f>IFERROR(VLOOKUP($F50,매장구분!$B:$V,2,0),"")</f>
        <v/>
      </c>
      <c r="C50" t="str">
        <f>IFERROR(VLOOKUP($F50,매장구분!$B:$V,4,0),"")</f>
        <v/>
      </c>
      <c r="D50" t="str">
        <f t="shared" si="4"/>
        <v/>
      </c>
      <c r="Q50" s="37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Z50" s="66">
        <f t="shared" si="7"/>
        <v>0</v>
      </c>
      <c r="BA50" s="66">
        <f t="shared" si="7"/>
        <v>0</v>
      </c>
      <c r="BB50" s="66">
        <f t="shared" si="7"/>
        <v>0</v>
      </c>
      <c r="BC50" s="66">
        <f t="shared" si="7"/>
        <v>0</v>
      </c>
      <c r="BD50" s="66">
        <f t="shared" si="3"/>
        <v>0</v>
      </c>
      <c r="BF50" s="66">
        <f t="shared" ca="1" si="5"/>
        <v>0</v>
      </c>
    </row>
    <row r="51" spans="2:58" x14ac:dyDescent="0.3">
      <c r="B51" t="str">
        <f>IFERROR(VLOOKUP($F51,매장구분!$B:$V,2,0),"")</f>
        <v/>
      </c>
      <c r="C51" t="str">
        <f>IFERROR(VLOOKUP($F51,매장구분!$B:$V,4,0),"")</f>
        <v/>
      </c>
      <c r="D51" t="str">
        <f t="shared" si="4"/>
        <v/>
      </c>
      <c r="Q51" s="37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Z51" s="66">
        <f t="shared" si="7"/>
        <v>0</v>
      </c>
      <c r="BA51" s="66">
        <f t="shared" si="7"/>
        <v>0</v>
      </c>
      <c r="BB51" s="66">
        <f t="shared" si="7"/>
        <v>0</v>
      </c>
      <c r="BC51" s="66">
        <f t="shared" si="7"/>
        <v>0</v>
      </c>
      <c r="BD51" s="66">
        <f t="shared" si="3"/>
        <v>0</v>
      </c>
      <c r="BF51" s="66">
        <f t="shared" ca="1" si="5"/>
        <v>0</v>
      </c>
    </row>
    <row r="52" spans="2:58" x14ac:dyDescent="0.3">
      <c r="B52" t="str">
        <f>IFERROR(VLOOKUP($F52,매장구분!$B:$V,2,0),"")</f>
        <v/>
      </c>
      <c r="C52" t="str">
        <f>IFERROR(VLOOKUP($F52,매장구분!$B:$V,4,0),"")</f>
        <v/>
      </c>
      <c r="D52" t="str">
        <f t="shared" si="4"/>
        <v/>
      </c>
      <c r="Q52" s="37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Z52" s="66">
        <f t="shared" si="7"/>
        <v>0</v>
      </c>
      <c r="BA52" s="66">
        <f t="shared" si="7"/>
        <v>0</v>
      </c>
      <c r="BB52" s="66">
        <f t="shared" si="7"/>
        <v>0</v>
      </c>
      <c r="BC52" s="66">
        <f t="shared" si="7"/>
        <v>0</v>
      </c>
      <c r="BD52" s="66">
        <f t="shared" si="3"/>
        <v>0</v>
      </c>
      <c r="BF52" s="66">
        <f t="shared" ca="1" si="5"/>
        <v>0</v>
      </c>
    </row>
    <row r="53" spans="2:58" x14ac:dyDescent="0.3">
      <c r="B53" t="str">
        <f>IFERROR(VLOOKUP($F53,매장구분!$B:$V,2,0),"")</f>
        <v/>
      </c>
      <c r="C53" t="str">
        <f>IFERROR(VLOOKUP($F53,매장구분!$B:$V,4,0),"")</f>
        <v/>
      </c>
      <c r="D53" t="str">
        <f t="shared" si="4"/>
        <v/>
      </c>
      <c r="Q53" s="37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Z53" s="66">
        <f t="shared" si="7"/>
        <v>0</v>
      </c>
      <c r="BA53" s="66">
        <f t="shared" si="7"/>
        <v>0</v>
      </c>
      <c r="BB53" s="66">
        <f t="shared" si="7"/>
        <v>0</v>
      </c>
      <c r="BC53" s="66">
        <f t="shared" si="7"/>
        <v>0</v>
      </c>
      <c r="BD53" s="66">
        <f t="shared" si="3"/>
        <v>0</v>
      </c>
      <c r="BF53" s="66">
        <f t="shared" ca="1" si="5"/>
        <v>0</v>
      </c>
    </row>
    <row r="54" spans="2:58" x14ac:dyDescent="0.3">
      <c r="B54" t="str">
        <f>IFERROR(VLOOKUP($F54,매장구분!$B:$V,2,0),"")</f>
        <v/>
      </c>
      <c r="C54" t="str">
        <f>IFERROR(VLOOKUP($F54,매장구분!$B:$V,4,0),"")</f>
        <v/>
      </c>
      <c r="D54" t="str">
        <f t="shared" si="4"/>
        <v/>
      </c>
      <c r="Q54" s="37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Z54" s="66">
        <f t="shared" ref="AZ54:BC60" si="8">SUMIFS($Q54:$AU54,$Q$3:$AU$3,AZ$1)</f>
        <v>0</v>
      </c>
      <c r="BA54" s="66">
        <f t="shared" si="8"/>
        <v>0</v>
      </c>
      <c r="BB54" s="66">
        <f t="shared" si="8"/>
        <v>0</v>
      </c>
      <c r="BC54" s="66">
        <f t="shared" si="8"/>
        <v>0</v>
      </c>
      <c r="BD54" s="66">
        <f t="shared" si="3"/>
        <v>0</v>
      </c>
      <c r="BF54" s="66">
        <f t="shared" ca="1" si="5"/>
        <v>0</v>
      </c>
    </row>
    <row r="55" spans="2:58" x14ac:dyDescent="0.3">
      <c r="B55" t="str">
        <f>IFERROR(VLOOKUP($F55,매장구분!$B:$V,2,0),"")</f>
        <v/>
      </c>
      <c r="C55" t="str">
        <f>IFERROR(VLOOKUP($F55,매장구분!$B:$V,4,0),"")</f>
        <v/>
      </c>
      <c r="D55" t="str">
        <f t="shared" si="4"/>
        <v/>
      </c>
      <c r="Q55" s="37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Z55" s="66">
        <f t="shared" si="8"/>
        <v>0</v>
      </c>
      <c r="BA55" s="66">
        <f t="shared" si="8"/>
        <v>0</v>
      </c>
      <c r="BB55" s="66">
        <f t="shared" si="8"/>
        <v>0</v>
      </c>
      <c r="BC55" s="66">
        <f t="shared" si="8"/>
        <v>0</v>
      </c>
      <c r="BD55" s="66">
        <f t="shared" si="3"/>
        <v>0</v>
      </c>
      <c r="BF55" s="66">
        <f t="shared" ca="1" si="5"/>
        <v>0</v>
      </c>
    </row>
    <row r="56" spans="2:58" x14ac:dyDescent="0.3">
      <c r="B56" t="str">
        <f>IFERROR(VLOOKUP($F56,매장구분!$B:$V,2,0),"")</f>
        <v/>
      </c>
      <c r="C56" t="str">
        <f>IFERROR(VLOOKUP($F56,매장구분!$B:$V,4,0),"")</f>
        <v/>
      </c>
      <c r="D56" t="str">
        <f t="shared" si="4"/>
        <v/>
      </c>
      <c r="Q56" s="37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Z56" s="66">
        <f t="shared" si="8"/>
        <v>0</v>
      </c>
      <c r="BA56" s="66">
        <f t="shared" si="8"/>
        <v>0</v>
      </c>
      <c r="BB56" s="66">
        <f t="shared" si="8"/>
        <v>0</v>
      </c>
      <c r="BC56" s="66">
        <f t="shared" si="8"/>
        <v>0</v>
      </c>
      <c r="BD56" s="66">
        <f t="shared" si="3"/>
        <v>0</v>
      </c>
      <c r="BF56" s="66">
        <f t="shared" ca="1" si="5"/>
        <v>0</v>
      </c>
    </row>
    <row r="57" spans="2:58" x14ac:dyDescent="0.3">
      <c r="B57" t="str">
        <f>IFERROR(VLOOKUP($F57,매장구분!$B:$V,2,0),"")</f>
        <v/>
      </c>
      <c r="C57" t="str">
        <f>IFERROR(VLOOKUP($F57,매장구분!$B:$V,4,0),"")</f>
        <v/>
      </c>
      <c r="D57" t="str">
        <f t="shared" si="4"/>
        <v/>
      </c>
      <c r="Q57" s="37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Z57" s="66">
        <f t="shared" si="8"/>
        <v>0</v>
      </c>
      <c r="BA57" s="66">
        <f t="shared" si="8"/>
        <v>0</v>
      </c>
      <c r="BB57" s="66">
        <f t="shared" si="8"/>
        <v>0</v>
      </c>
      <c r="BC57" s="66">
        <f t="shared" si="8"/>
        <v>0</v>
      </c>
      <c r="BD57" s="66">
        <f t="shared" si="3"/>
        <v>0</v>
      </c>
      <c r="BF57" s="66">
        <f t="shared" ca="1" si="5"/>
        <v>0</v>
      </c>
    </row>
    <row r="58" spans="2:58" x14ac:dyDescent="0.3">
      <c r="B58" t="str">
        <f>IFERROR(VLOOKUP($F58,매장구분!$B:$V,2,0),"")</f>
        <v/>
      </c>
      <c r="C58" t="str">
        <f>IFERROR(VLOOKUP($F58,매장구분!$B:$V,4,0),"")</f>
        <v/>
      </c>
      <c r="D58" t="str">
        <f t="shared" si="4"/>
        <v/>
      </c>
      <c r="Q58" s="37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Z58" s="66">
        <f t="shared" si="8"/>
        <v>0</v>
      </c>
      <c r="BA58" s="66">
        <f t="shared" si="8"/>
        <v>0</v>
      </c>
      <c r="BB58" s="66">
        <f t="shared" si="8"/>
        <v>0</v>
      </c>
      <c r="BC58" s="66">
        <f t="shared" si="8"/>
        <v>0</v>
      </c>
      <c r="BD58" s="66">
        <f t="shared" si="3"/>
        <v>0</v>
      </c>
      <c r="BF58" s="66">
        <f t="shared" ca="1" si="5"/>
        <v>0</v>
      </c>
    </row>
    <row r="59" spans="2:58" x14ac:dyDescent="0.3">
      <c r="B59" t="str">
        <f>IFERROR(VLOOKUP($F59,매장구분!$B:$V,2,0),"")</f>
        <v/>
      </c>
      <c r="C59" t="str">
        <f>IFERROR(VLOOKUP($F59,매장구분!$B:$V,4,0),"")</f>
        <v/>
      </c>
      <c r="D59" t="str">
        <f t="shared" si="4"/>
        <v/>
      </c>
      <c r="Q59" s="37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Z59" s="66">
        <f t="shared" si="8"/>
        <v>0</v>
      </c>
      <c r="BA59" s="66">
        <f t="shared" si="8"/>
        <v>0</v>
      </c>
      <c r="BB59" s="66">
        <f t="shared" si="8"/>
        <v>0</v>
      </c>
      <c r="BC59" s="66">
        <f t="shared" si="8"/>
        <v>0</v>
      </c>
      <c r="BD59" s="66">
        <f t="shared" si="3"/>
        <v>0</v>
      </c>
      <c r="BF59" s="66">
        <f t="shared" ca="1" si="5"/>
        <v>0</v>
      </c>
    </row>
    <row r="60" spans="2:58" x14ac:dyDescent="0.3">
      <c r="B60" t="str">
        <f>IFERROR(VLOOKUP($F60,매장구분!$B:$V,2,0),"")</f>
        <v/>
      </c>
      <c r="C60" t="str">
        <f>IFERROR(VLOOKUP($F60,매장구분!$B:$V,4,0),"")</f>
        <v/>
      </c>
      <c r="D60" t="str">
        <f t="shared" si="4"/>
        <v/>
      </c>
      <c r="Q60" s="37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Z60" s="66">
        <f t="shared" si="8"/>
        <v>0</v>
      </c>
      <c r="BA60" s="66">
        <f t="shared" si="8"/>
        <v>0</v>
      </c>
      <c r="BB60" s="66">
        <f t="shared" si="8"/>
        <v>0</v>
      </c>
      <c r="BC60" s="66">
        <f t="shared" si="8"/>
        <v>0</v>
      </c>
      <c r="BD60" s="66">
        <f t="shared" si="3"/>
        <v>0</v>
      </c>
      <c r="BF60" s="66">
        <f t="shared" ca="1" si="5"/>
        <v>0</v>
      </c>
    </row>
    <row r="61" spans="2:58" x14ac:dyDescent="0.3">
      <c r="B61" t="str">
        <f>IFERROR(VLOOKUP($F61,매장구분!$B:$V,2,0),"")</f>
        <v/>
      </c>
      <c r="C61" t="str">
        <f>IFERROR(VLOOKUP($F61,매장구분!$B:$V,4,0),"")</f>
        <v/>
      </c>
      <c r="D61" t="str">
        <f t="shared" si="4"/>
        <v/>
      </c>
      <c r="Q61" s="37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Z61" s="66"/>
      <c r="BA61" s="66"/>
      <c r="BB61" s="66"/>
      <c r="BC61" s="66"/>
      <c r="BD61" s="66"/>
    </row>
    <row r="62" spans="2:58" x14ac:dyDescent="0.3">
      <c r="B62" t="str">
        <f>IFERROR(VLOOKUP($F62,매장구분!$B:$V,2,0),"")</f>
        <v/>
      </c>
      <c r="C62" t="str">
        <f>IFERROR(VLOOKUP($F62,매장구분!$B:$V,4,0),"")</f>
        <v/>
      </c>
      <c r="D62" t="str">
        <f t="shared" si="4"/>
        <v/>
      </c>
      <c r="Q62" s="37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Z62" s="66"/>
      <c r="BA62" s="66"/>
      <c r="BB62" s="66"/>
      <c r="BC62" s="66"/>
      <c r="BD62" s="66"/>
    </row>
    <row r="63" spans="2:58" x14ac:dyDescent="0.3">
      <c r="B63" t="str">
        <f>IFERROR(VLOOKUP($F63,매장구분!$B:$V,2,0),"")</f>
        <v/>
      </c>
      <c r="C63" t="str">
        <f>IFERROR(VLOOKUP($F63,매장구분!$B:$V,4,0),"")</f>
        <v/>
      </c>
      <c r="D63" t="str">
        <f t="shared" si="4"/>
        <v/>
      </c>
      <c r="Q63" s="37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Z63" s="66"/>
      <c r="BA63" s="66"/>
      <c r="BB63" s="66"/>
      <c r="BC63" s="66"/>
      <c r="BD63" s="66"/>
    </row>
    <row r="64" spans="2:58" x14ac:dyDescent="0.3">
      <c r="B64" t="str">
        <f>IFERROR(VLOOKUP($F64,매장구분!$B:$V,2,0),"")</f>
        <v/>
      </c>
      <c r="C64" t="str">
        <f>IFERROR(VLOOKUP($F64,매장구분!$B:$V,4,0),"")</f>
        <v/>
      </c>
      <c r="D64" t="str">
        <f t="shared" si="4"/>
        <v/>
      </c>
      <c r="Q64" s="37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Z64" s="66"/>
      <c r="BA64" s="66"/>
      <c r="BB64" s="66"/>
      <c r="BC64" s="66"/>
      <c r="BD64" s="66"/>
    </row>
    <row r="65" spans="2:56" x14ac:dyDescent="0.3">
      <c r="B65" t="str">
        <f>IFERROR(VLOOKUP($F65,매장구분!$B:$V,2,0),"")</f>
        <v/>
      </c>
      <c r="C65" t="str">
        <f>IFERROR(VLOOKUP($F65,매장구분!$B:$V,4,0),"")</f>
        <v/>
      </c>
      <c r="D65" t="str">
        <f t="shared" si="4"/>
        <v/>
      </c>
      <c r="Q65" s="37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Z65" s="66"/>
      <c r="BA65" s="66"/>
      <c r="BB65" s="66"/>
      <c r="BC65" s="66"/>
      <c r="BD65" s="66"/>
    </row>
    <row r="66" spans="2:56" x14ac:dyDescent="0.3">
      <c r="B66" t="str">
        <f>IFERROR(VLOOKUP($F66,매장구분!$B:$V,2,0),"")</f>
        <v/>
      </c>
      <c r="C66" t="str">
        <f>IFERROR(VLOOKUP($F66,매장구분!$B:$V,4,0),"")</f>
        <v/>
      </c>
      <c r="D66" t="str">
        <f t="shared" si="4"/>
        <v/>
      </c>
      <c r="Q66" s="37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Z66" s="66"/>
      <c r="BA66" s="66"/>
      <c r="BB66" s="66"/>
      <c r="BC66" s="66"/>
      <c r="BD66" s="66"/>
    </row>
    <row r="67" spans="2:56" x14ac:dyDescent="0.3">
      <c r="B67" t="str">
        <f>IFERROR(VLOOKUP($F67,매장구분!$B:$V,2,0),"")</f>
        <v/>
      </c>
      <c r="C67" t="str">
        <f>IFERROR(VLOOKUP($F67,매장구분!$B:$V,4,0),"")</f>
        <v/>
      </c>
      <c r="D67" t="str">
        <f t="shared" si="4"/>
        <v/>
      </c>
      <c r="Q67" s="37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Z67" s="66"/>
      <c r="BA67" s="66"/>
      <c r="BB67" s="66"/>
      <c r="BC67" s="66"/>
      <c r="BD67" s="66"/>
    </row>
    <row r="68" spans="2:56" x14ac:dyDescent="0.3">
      <c r="B68" t="str">
        <f>IFERROR(VLOOKUP($F68,매장구분!$B:$V,2,0),"")</f>
        <v/>
      </c>
      <c r="C68" t="str">
        <f>IFERROR(VLOOKUP($F68,매장구분!$B:$V,4,0),"")</f>
        <v/>
      </c>
      <c r="D68" t="str">
        <f t="shared" si="4"/>
        <v/>
      </c>
      <c r="Q68" s="37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Z68" s="66"/>
      <c r="BA68" s="66"/>
      <c r="BB68" s="66"/>
      <c r="BC68" s="66"/>
      <c r="BD68" s="66"/>
    </row>
    <row r="69" spans="2:56" x14ac:dyDescent="0.3">
      <c r="B69" t="str">
        <f>IFERROR(VLOOKUP($F69,매장구분!$B:$V,2,0),"")</f>
        <v/>
      </c>
      <c r="C69" t="str">
        <f>IFERROR(VLOOKUP($F69,매장구분!$B:$V,4,0),"")</f>
        <v/>
      </c>
      <c r="D69" t="str">
        <f t="shared" si="4"/>
        <v/>
      </c>
      <c r="Q69" s="37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Z69" s="66"/>
      <c r="BA69" s="66"/>
      <c r="BB69" s="66"/>
      <c r="BC69" s="66"/>
      <c r="BD69" s="66"/>
    </row>
    <row r="70" spans="2:56" x14ac:dyDescent="0.3">
      <c r="B70" t="str">
        <f>IFERROR(VLOOKUP($F70,매장구분!$B:$V,2,0),"")</f>
        <v/>
      </c>
      <c r="C70" t="str">
        <f>IFERROR(VLOOKUP($F70,매장구분!$B:$V,4,0),"")</f>
        <v/>
      </c>
      <c r="D70" t="str">
        <f t="shared" si="4"/>
        <v/>
      </c>
      <c r="Q70" s="37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Z70" s="66"/>
      <c r="BA70" s="66"/>
      <c r="BB70" s="66"/>
      <c r="BC70" s="66"/>
      <c r="BD70" s="66"/>
    </row>
    <row r="71" spans="2:56" x14ac:dyDescent="0.3">
      <c r="B71" t="str">
        <f>IFERROR(VLOOKUP($F71,매장구분!$B:$V,2,0),"")</f>
        <v/>
      </c>
      <c r="C71" t="str">
        <f>IFERROR(VLOOKUP($F71,매장구분!$B:$V,4,0),"")</f>
        <v/>
      </c>
      <c r="D71" t="str">
        <f t="shared" ref="D71:D85" si="9">IF(G71="단체할인","단체",IF(G71="","","순수"))</f>
        <v/>
      </c>
      <c r="Q71" s="37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Z71" s="66"/>
      <c r="BA71" s="66"/>
      <c r="BB71" s="66"/>
      <c r="BC71" s="66"/>
      <c r="BD71" s="66"/>
    </row>
    <row r="72" spans="2:56" x14ac:dyDescent="0.3">
      <c r="B72" t="str">
        <f>IFERROR(VLOOKUP($F72,매장구분!$B:$V,2,0),"")</f>
        <v/>
      </c>
      <c r="C72" t="str">
        <f>IFERROR(VLOOKUP($F72,매장구분!$B:$V,4,0),"")</f>
        <v/>
      </c>
      <c r="D72" t="str">
        <f t="shared" si="9"/>
        <v/>
      </c>
      <c r="Q72" s="37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Z72" s="66"/>
      <c r="BA72" s="66"/>
      <c r="BB72" s="66"/>
      <c r="BC72" s="66"/>
      <c r="BD72" s="66"/>
    </row>
    <row r="73" spans="2:56" x14ac:dyDescent="0.3">
      <c r="B73" t="str">
        <f>IFERROR(VLOOKUP($F73,매장구분!$B:$V,2,0),"")</f>
        <v/>
      </c>
      <c r="C73" t="str">
        <f>IFERROR(VLOOKUP($F73,매장구분!$B:$V,4,0),"")</f>
        <v/>
      </c>
      <c r="D73" t="str">
        <f t="shared" si="9"/>
        <v/>
      </c>
      <c r="Q73" s="37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Z73" s="66"/>
      <c r="BA73" s="66"/>
      <c r="BB73" s="66"/>
      <c r="BC73" s="66"/>
      <c r="BD73" s="66"/>
    </row>
    <row r="74" spans="2:56" x14ac:dyDescent="0.3">
      <c r="B74" t="str">
        <f>IFERROR(VLOOKUP($F74,매장구분!$B:$V,2,0),"")</f>
        <v/>
      </c>
      <c r="C74" t="str">
        <f>IFERROR(VLOOKUP($F74,매장구분!$B:$V,4,0),"")</f>
        <v/>
      </c>
      <c r="D74" t="str">
        <f t="shared" si="9"/>
        <v/>
      </c>
      <c r="Q74" s="37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Z74" s="66"/>
      <c r="BA74" s="66"/>
      <c r="BB74" s="66"/>
      <c r="BC74" s="66"/>
      <c r="BD74" s="66"/>
    </row>
    <row r="75" spans="2:56" x14ac:dyDescent="0.3">
      <c r="B75" t="str">
        <f>IFERROR(VLOOKUP($F75,매장구분!$B:$V,2,0),"")</f>
        <v/>
      </c>
      <c r="C75" t="str">
        <f>IFERROR(VLOOKUP($F75,매장구분!$B:$V,4,0),"")</f>
        <v/>
      </c>
      <c r="D75" t="str">
        <f t="shared" si="9"/>
        <v/>
      </c>
      <c r="Q75" s="37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Z75" s="66"/>
      <c r="BA75" s="66"/>
      <c r="BB75" s="66"/>
      <c r="BC75" s="66"/>
      <c r="BD75" s="66"/>
    </row>
    <row r="76" spans="2:56" x14ac:dyDescent="0.3">
      <c r="B76" t="str">
        <f>IFERROR(VLOOKUP($F76,매장구분!$B:$V,2,0),"")</f>
        <v/>
      </c>
      <c r="C76" t="str">
        <f>IFERROR(VLOOKUP($F76,매장구분!$B:$V,4,0),"")</f>
        <v/>
      </c>
      <c r="D76" t="str">
        <f t="shared" si="9"/>
        <v/>
      </c>
      <c r="Q76" s="37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Z76" s="66"/>
      <c r="BA76" s="66"/>
      <c r="BB76" s="66"/>
      <c r="BC76" s="66"/>
      <c r="BD76" s="66"/>
    </row>
    <row r="77" spans="2:56" x14ac:dyDescent="0.3">
      <c r="B77" t="str">
        <f>IFERROR(VLOOKUP($F77,매장구분!$B:$V,2,0),"")</f>
        <v/>
      </c>
      <c r="C77" t="str">
        <f>IFERROR(VLOOKUP($F77,매장구분!$B:$V,4,0),"")</f>
        <v/>
      </c>
      <c r="D77" t="str">
        <f t="shared" si="9"/>
        <v/>
      </c>
      <c r="Q77" s="37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Z77" s="66"/>
      <c r="BA77" s="66"/>
      <c r="BB77" s="66"/>
      <c r="BC77" s="66"/>
      <c r="BD77" s="66"/>
    </row>
    <row r="78" spans="2:56" x14ac:dyDescent="0.3">
      <c r="B78" t="str">
        <f>IFERROR(VLOOKUP($F78,매장구분!$B:$V,2,0),"")</f>
        <v/>
      </c>
      <c r="C78" t="str">
        <f>IFERROR(VLOOKUP($F78,매장구분!$B:$V,4,0),"")</f>
        <v/>
      </c>
      <c r="D78" t="str">
        <f t="shared" si="9"/>
        <v/>
      </c>
      <c r="Q78" s="37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Z78" s="66"/>
      <c r="BA78" s="66"/>
      <c r="BB78" s="66"/>
      <c r="BC78" s="66"/>
      <c r="BD78" s="66"/>
    </row>
    <row r="79" spans="2:56" x14ac:dyDescent="0.3">
      <c r="B79" t="str">
        <f>IFERROR(VLOOKUP($F79,매장구분!$B:$V,2,0),"")</f>
        <v/>
      </c>
      <c r="C79" t="str">
        <f>IFERROR(VLOOKUP($F79,매장구분!$B:$V,4,0),"")</f>
        <v/>
      </c>
      <c r="D79" t="str">
        <f t="shared" si="9"/>
        <v/>
      </c>
      <c r="Q79" s="37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Z79" s="66"/>
      <c r="BA79" s="66"/>
      <c r="BB79" s="66"/>
      <c r="BC79" s="66"/>
      <c r="BD79" s="66"/>
    </row>
    <row r="80" spans="2:56" x14ac:dyDescent="0.3">
      <c r="B80" t="str">
        <f>IFERROR(VLOOKUP($F80,매장구분!$B:$V,2,0),"")</f>
        <v/>
      </c>
      <c r="C80" t="str">
        <f>IFERROR(VLOOKUP($F80,매장구분!$B:$V,4,0),"")</f>
        <v/>
      </c>
      <c r="D80" t="str">
        <f t="shared" si="9"/>
        <v/>
      </c>
      <c r="Q80" s="37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Z80" s="66"/>
      <c r="BA80" s="66"/>
      <c r="BB80" s="66"/>
      <c r="BC80" s="66"/>
      <c r="BD80" s="66"/>
    </row>
    <row r="81" spans="2:56" x14ac:dyDescent="0.3">
      <c r="B81" t="str">
        <f>IFERROR(VLOOKUP($F81,매장구분!$B:$V,2,0),"")</f>
        <v/>
      </c>
      <c r="C81" t="str">
        <f>IFERROR(VLOOKUP($F81,매장구분!$B:$V,4,0),"")</f>
        <v/>
      </c>
      <c r="D81" t="str">
        <f t="shared" si="9"/>
        <v/>
      </c>
      <c r="Q81" s="37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Z81" s="66"/>
      <c r="BA81" s="66"/>
      <c r="BB81" s="66"/>
      <c r="BC81" s="66"/>
      <c r="BD81" s="66"/>
    </row>
    <row r="82" spans="2:56" x14ac:dyDescent="0.3">
      <c r="B82" t="str">
        <f>IFERROR(VLOOKUP($F82,매장구분!$B:$V,2,0),"")</f>
        <v/>
      </c>
      <c r="C82" t="str">
        <f>IFERROR(VLOOKUP($F82,매장구분!$B:$V,4,0),"")</f>
        <v/>
      </c>
      <c r="D82" t="str">
        <f t="shared" si="9"/>
        <v/>
      </c>
      <c r="Q82" s="37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Z82" s="66"/>
      <c r="BA82" s="66"/>
      <c r="BB82" s="66"/>
      <c r="BC82" s="66"/>
      <c r="BD82" s="66"/>
    </row>
    <row r="83" spans="2:56" x14ac:dyDescent="0.3">
      <c r="B83" t="str">
        <f>IFERROR(VLOOKUP($F83,매장구분!$B:$V,2,0),"")</f>
        <v/>
      </c>
      <c r="C83" t="str">
        <f>IFERROR(VLOOKUP($F83,매장구분!$B:$V,4,0),"")</f>
        <v/>
      </c>
      <c r="D83" t="str">
        <f t="shared" si="9"/>
        <v/>
      </c>
      <c r="Q83" s="37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Z83" s="66"/>
      <c r="BA83" s="66"/>
      <c r="BB83" s="66"/>
      <c r="BC83" s="66"/>
      <c r="BD83" s="66"/>
    </row>
    <row r="84" spans="2:56" x14ac:dyDescent="0.3">
      <c r="B84" t="str">
        <f>IFERROR(VLOOKUP($F84,매장구분!$B:$V,2,0),"")</f>
        <v/>
      </c>
      <c r="C84" t="str">
        <f>IFERROR(VLOOKUP($F84,매장구분!$B:$V,4,0),"")</f>
        <v/>
      </c>
      <c r="D84" t="str">
        <f t="shared" si="9"/>
        <v/>
      </c>
      <c r="Q84" s="37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Z84" s="66"/>
      <c r="BA84" s="66"/>
      <c r="BB84" s="66"/>
      <c r="BC84" s="66"/>
      <c r="BD84" s="66"/>
    </row>
    <row r="85" spans="2:56" x14ac:dyDescent="0.3">
      <c r="B85" t="str">
        <f>IFERROR(VLOOKUP($F85,매장구분!$B:$V,2,0),"")</f>
        <v/>
      </c>
      <c r="C85" t="str">
        <f>IFERROR(VLOOKUP($F85,매장구분!$B:$V,4,0),"")</f>
        <v/>
      </c>
      <c r="D85" t="str">
        <f t="shared" si="9"/>
        <v/>
      </c>
      <c r="Q85" s="37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Z85" s="66"/>
      <c r="BA85" s="66"/>
      <c r="BB85" s="66"/>
      <c r="BC85" s="66"/>
      <c r="BD85" s="66"/>
    </row>
    <row r="86" spans="2:56" x14ac:dyDescent="0.3">
      <c r="B86" t="str">
        <f>IFERROR(VLOOKUP($F86,매장구분!$B:$V,2,0),"")</f>
        <v/>
      </c>
      <c r="C86" t="str">
        <f>IFERROR(VLOOKUP($F86,매장구분!$B:$V,4,0),"")</f>
        <v/>
      </c>
      <c r="Q86" s="37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Z86" s="66"/>
      <c r="BA86" s="66"/>
      <c r="BB86" s="66"/>
      <c r="BC86" s="66"/>
      <c r="BD86" s="66"/>
    </row>
    <row r="87" spans="2:56" x14ac:dyDescent="0.3">
      <c r="B87" t="str">
        <f>IFERROR(VLOOKUP($F87,매장구분!$B:$V,2,0),"")</f>
        <v/>
      </c>
      <c r="C87" t="str">
        <f>IFERROR(VLOOKUP($F87,매장구분!$B:$V,4,0),"")</f>
        <v/>
      </c>
      <c r="Q87" s="37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Z87" s="66"/>
      <c r="BA87" s="66"/>
      <c r="BB87" s="66"/>
      <c r="BC87" s="66"/>
      <c r="BD87" s="66"/>
    </row>
    <row r="88" spans="2:56" x14ac:dyDescent="0.3">
      <c r="B88" t="str">
        <f>IFERROR(VLOOKUP($F88,매장구분!$B:$V,2,0),"")</f>
        <v/>
      </c>
      <c r="C88" t="str">
        <f>IFERROR(VLOOKUP($F88,매장구분!$B:$V,4,0),"")</f>
        <v/>
      </c>
      <c r="Q88" s="37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Z88" s="66"/>
      <c r="BA88" s="66"/>
      <c r="BB88" s="66"/>
      <c r="BC88" s="66"/>
      <c r="BD88" s="66"/>
    </row>
    <row r="89" spans="2:56" x14ac:dyDescent="0.3">
      <c r="B89" t="str">
        <f>IFERROR(VLOOKUP($F89,매장구분!$B:$V,2,0),"")</f>
        <v/>
      </c>
      <c r="C89" t="str">
        <f>IFERROR(VLOOKUP($F89,매장구분!$B:$V,4,0),"")</f>
        <v/>
      </c>
      <c r="Q89" s="37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Z89" s="66"/>
      <c r="BA89" s="66"/>
      <c r="BB89" s="66"/>
      <c r="BC89" s="66"/>
      <c r="BD89" s="66"/>
    </row>
    <row r="90" spans="2:56" x14ac:dyDescent="0.3">
      <c r="B90" t="str">
        <f>IFERROR(VLOOKUP($F90,매장구분!$B:$V,2,0),"")</f>
        <v/>
      </c>
      <c r="C90" t="str">
        <f>IFERROR(VLOOKUP($F90,매장구분!$B:$V,4,0),"")</f>
        <v/>
      </c>
      <c r="Q90" s="37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Z90" s="66"/>
      <c r="BA90" s="66"/>
      <c r="BB90" s="66"/>
      <c r="BC90" s="66"/>
      <c r="BD90" s="66"/>
    </row>
    <row r="91" spans="2:56" x14ac:dyDescent="0.3">
      <c r="B91" t="str">
        <f>IFERROR(VLOOKUP($F91,매장구분!$B:$V,2,0),"")</f>
        <v/>
      </c>
      <c r="C91" t="str">
        <f>IFERROR(VLOOKUP($F91,매장구분!$B:$V,4,0),"")</f>
        <v/>
      </c>
      <c r="Q91" s="37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Z91" s="66"/>
      <c r="BA91" s="66"/>
      <c r="BB91" s="66"/>
      <c r="BC91" s="66"/>
      <c r="BD91" s="66"/>
    </row>
    <row r="92" spans="2:56" x14ac:dyDescent="0.3">
      <c r="B92" t="str">
        <f>IFERROR(VLOOKUP($F92,매장구분!$B:$V,2,0),"")</f>
        <v/>
      </c>
      <c r="C92" t="str">
        <f>IFERROR(VLOOKUP($F92,매장구분!$B:$V,4,0),"")</f>
        <v/>
      </c>
      <c r="Q92" s="37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Z92" s="66"/>
      <c r="BA92" s="66"/>
      <c r="BB92" s="66"/>
      <c r="BC92" s="66"/>
      <c r="BD92" s="66"/>
    </row>
    <row r="93" spans="2:56" x14ac:dyDescent="0.3">
      <c r="B93" t="str">
        <f>IFERROR(VLOOKUP($F93,매장구분!$B:$V,2,0),"")</f>
        <v/>
      </c>
      <c r="C93" t="str">
        <f>IFERROR(VLOOKUP($F93,매장구분!$B:$V,4,0),"")</f>
        <v/>
      </c>
      <c r="Q93" s="37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Z93" s="66"/>
      <c r="BA93" s="66"/>
      <c r="BB93" s="66"/>
      <c r="BC93" s="66"/>
      <c r="BD93" s="66"/>
    </row>
    <row r="94" spans="2:56" x14ac:dyDescent="0.3">
      <c r="B94" t="str">
        <f>IFERROR(VLOOKUP($F94,매장구분!$B:$V,2,0),"")</f>
        <v/>
      </c>
      <c r="C94" t="str">
        <f>IFERROR(VLOOKUP($F94,매장구분!$B:$V,4,0),"")</f>
        <v/>
      </c>
      <c r="Q94" s="37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Z94" s="66"/>
      <c r="BA94" s="66"/>
      <c r="BB94" s="66"/>
      <c r="BC94" s="66"/>
      <c r="BD94" s="66"/>
    </row>
    <row r="95" spans="2:56" x14ac:dyDescent="0.3">
      <c r="B95" t="str">
        <f>IFERROR(VLOOKUP($F95,매장구분!$B:$V,2,0),"")</f>
        <v/>
      </c>
      <c r="C95" t="str">
        <f>IFERROR(VLOOKUP($F95,매장구분!$B:$V,4,0),"")</f>
        <v/>
      </c>
      <c r="Q95" s="37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Z95" s="66"/>
      <c r="BA95" s="66"/>
      <c r="BB95" s="66"/>
      <c r="BC95" s="66"/>
      <c r="BD95" s="66"/>
    </row>
    <row r="96" spans="2:56" x14ac:dyDescent="0.3">
      <c r="B96" t="str">
        <f>IFERROR(VLOOKUP($F96,매장구분!$B:$V,2,0),"")</f>
        <v/>
      </c>
      <c r="C96" t="str">
        <f>IFERROR(VLOOKUP($F96,매장구분!$B:$V,4,0),"")</f>
        <v/>
      </c>
      <c r="Q96" s="37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Z96" s="66"/>
      <c r="BA96" s="66"/>
      <c r="BB96" s="66"/>
      <c r="BC96" s="66"/>
      <c r="BD96" s="66"/>
    </row>
    <row r="97" spans="2:56" x14ac:dyDescent="0.3">
      <c r="B97" t="str">
        <f>IFERROR(VLOOKUP($F97,매장구분!$B:$V,2,0),"")</f>
        <v/>
      </c>
      <c r="C97" t="str">
        <f>IFERROR(VLOOKUP($F97,매장구분!$B:$V,4,0),"")</f>
        <v/>
      </c>
      <c r="Q97" s="37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Z97" s="66"/>
      <c r="BA97" s="66"/>
      <c r="BB97" s="66"/>
      <c r="BC97" s="66"/>
      <c r="BD97" s="66"/>
    </row>
    <row r="98" spans="2:56" x14ac:dyDescent="0.3">
      <c r="B98" t="str">
        <f>IFERROR(VLOOKUP($F98,매장구분!$B:$V,2,0),"")</f>
        <v/>
      </c>
      <c r="C98" t="str">
        <f>IFERROR(VLOOKUP($F98,매장구분!$B:$V,4,0),"")</f>
        <v/>
      </c>
      <c r="Q98" s="37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Z98" s="66"/>
      <c r="BA98" s="66"/>
      <c r="BB98" s="66"/>
      <c r="BC98" s="66"/>
      <c r="BD98" s="66"/>
    </row>
    <row r="99" spans="2:56" x14ac:dyDescent="0.3">
      <c r="B99" t="str">
        <f>IFERROR(VLOOKUP($F99,매장구분!$B:$V,2,0),"")</f>
        <v/>
      </c>
      <c r="C99" t="str">
        <f>IFERROR(VLOOKUP($F99,매장구분!$B:$V,4,0),"")</f>
        <v/>
      </c>
      <c r="Q99" s="37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Z99" s="66"/>
      <c r="BA99" s="66"/>
      <c r="BB99" s="66"/>
      <c r="BC99" s="66"/>
      <c r="BD99" s="66"/>
    </row>
    <row r="100" spans="2:56" x14ac:dyDescent="0.3">
      <c r="B100" t="str">
        <f>IFERROR(VLOOKUP($F100,매장구분!$B:$V,2,0),"")</f>
        <v/>
      </c>
      <c r="C100" t="str">
        <f>IFERROR(VLOOKUP($F100,매장구분!$B:$V,4,0),"")</f>
        <v/>
      </c>
      <c r="Q100" s="37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Z100" s="66"/>
      <c r="BA100" s="66"/>
      <c r="BB100" s="66"/>
      <c r="BC100" s="66"/>
      <c r="BD100" s="66"/>
    </row>
    <row r="101" spans="2:56" x14ac:dyDescent="0.3">
      <c r="B101" t="str">
        <f>IFERROR(VLOOKUP($F101,매장구분!$B:$V,2,0),"")</f>
        <v/>
      </c>
      <c r="C101" t="str">
        <f>IFERROR(VLOOKUP($F101,매장구분!$B:$V,4,0),"")</f>
        <v/>
      </c>
      <c r="Q101" s="37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Z101" s="66"/>
      <c r="BA101" s="66"/>
      <c r="BB101" s="66"/>
      <c r="BC101" s="66"/>
      <c r="BD101" s="66"/>
    </row>
    <row r="102" spans="2:56" x14ac:dyDescent="0.3">
      <c r="B102" t="str">
        <f>IFERROR(VLOOKUP($F102,매장구분!$B:$V,2,0),"")</f>
        <v/>
      </c>
      <c r="C102" t="str">
        <f>IFERROR(VLOOKUP($F102,매장구분!$B:$V,4,0),"")</f>
        <v/>
      </c>
      <c r="Q102" s="37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Z102" s="66"/>
      <c r="BA102" s="66"/>
      <c r="BB102" s="66"/>
      <c r="BC102" s="66"/>
      <c r="BD102" s="66"/>
    </row>
    <row r="103" spans="2:56" x14ac:dyDescent="0.3">
      <c r="B103" t="str">
        <f>IFERROR(VLOOKUP($F103,매장구분!$B:$V,2,0),"")</f>
        <v/>
      </c>
      <c r="C103" t="str">
        <f>IFERROR(VLOOKUP($F103,매장구분!$B:$V,4,0),"")</f>
        <v/>
      </c>
      <c r="Q103" s="37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Z103" s="66"/>
      <c r="BA103" s="66"/>
      <c r="BB103" s="66"/>
      <c r="BC103" s="66"/>
      <c r="BD103" s="66"/>
    </row>
    <row r="104" spans="2:56" x14ac:dyDescent="0.3">
      <c r="B104" t="str">
        <f>IFERROR(VLOOKUP($F104,매장구분!$B:$V,2,0),"")</f>
        <v/>
      </c>
      <c r="C104" t="str">
        <f>IFERROR(VLOOKUP($F104,매장구분!$B:$V,4,0),"")</f>
        <v/>
      </c>
      <c r="Q104" s="37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Z104" s="66"/>
      <c r="BA104" s="66"/>
      <c r="BB104" s="66"/>
      <c r="BC104" s="66"/>
      <c r="BD104" s="66"/>
    </row>
    <row r="105" spans="2:56" x14ac:dyDescent="0.3">
      <c r="B105" t="str">
        <f>IFERROR(VLOOKUP($F105,매장구분!$B:$V,2,0),"")</f>
        <v/>
      </c>
      <c r="C105" t="str">
        <f>IFERROR(VLOOKUP($F105,매장구분!$B:$V,4,0),"")</f>
        <v/>
      </c>
      <c r="Q105" s="37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Z105" s="66"/>
      <c r="BA105" s="66"/>
      <c r="BB105" s="66"/>
      <c r="BC105" s="66"/>
      <c r="BD105" s="66"/>
    </row>
    <row r="106" spans="2:56" x14ac:dyDescent="0.3">
      <c r="B106" t="str">
        <f>IFERROR(VLOOKUP($F106,매장구분!$B:$V,2,0),"")</f>
        <v/>
      </c>
      <c r="C106" t="str">
        <f>IFERROR(VLOOKUP($F106,매장구분!$B:$V,4,0),"")</f>
        <v/>
      </c>
      <c r="Q106" s="37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Z106" s="66"/>
      <c r="BA106" s="66"/>
      <c r="BB106" s="66"/>
      <c r="BC106" s="66"/>
      <c r="BD106" s="66"/>
    </row>
    <row r="107" spans="2:56" x14ac:dyDescent="0.3">
      <c r="B107" t="str">
        <f>IFERROR(VLOOKUP($F107,매장구분!$B:$V,2,0),"")</f>
        <v/>
      </c>
      <c r="C107" t="str">
        <f>IFERROR(VLOOKUP($F107,매장구분!$B:$V,4,0),"")</f>
        <v/>
      </c>
      <c r="Q107" s="37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Z107" s="66"/>
      <c r="BA107" s="66"/>
      <c r="BB107" s="66"/>
      <c r="BC107" s="66"/>
      <c r="BD107" s="66"/>
    </row>
    <row r="108" spans="2:56" x14ac:dyDescent="0.3">
      <c r="B108" t="str">
        <f>IFERROR(VLOOKUP($F108,매장구분!$B:$V,2,0),"")</f>
        <v/>
      </c>
      <c r="C108" t="str">
        <f>IFERROR(VLOOKUP($F108,매장구분!$B:$V,4,0),"")</f>
        <v/>
      </c>
      <c r="Q108" s="37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Z108" s="66"/>
      <c r="BA108" s="66"/>
      <c r="BB108" s="66"/>
      <c r="BC108" s="66"/>
      <c r="BD108" s="66"/>
    </row>
    <row r="109" spans="2:56" x14ac:dyDescent="0.3">
      <c r="B109" t="str">
        <f>IFERROR(VLOOKUP($F109,매장구분!$B:$V,2,0),"")</f>
        <v/>
      </c>
      <c r="C109" t="str">
        <f>IFERROR(VLOOKUP($F109,매장구분!$B:$V,4,0),"")</f>
        <v/>
      </c>
      <c r="Q109" s="37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Z109" s="66"/>
      <c r="BA109" s="66"/>
      <c r="BB109" s="66"/>
      <c r="BC109" s="66"/>
      <c r="BD109" s="66"/>
    </row>
    <row r="110" spans="2:56" x14ac:dyDescent="0.3">
      <c r="B110" t="str">
        <f>IFERROR(VLOOKUP($F110,매장구분!$B:$V,2,0),"")</f>
        <v/>
      </c>
      <c r="C110" t="str">
        <f>IFERROR(VLOOKUP($F110,매장구분!$B:$V,4,0),"")</f>
        <v/>
      </c>
      <c r="Q110" s="37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Z110" s="66"/>
      <c r="BA110" s="66"/>
      <c r="BB110" s="66"/>
      <c r="BC110" s="66"/>
      <c r="BD110" s="66"/>
    </row>
    <row r="111" spans="2:56" x14ac:dyDescent="0.3">
      <c r="B111" t="str">
        <f>IFERROR(VLOOKUP($F111,매장구분!$B:$V,2,0),"")</f>
        <v/>
      </c>
      <c r="C111" t="str">
        <f>IFERROR(VLOOKUP($F111,매장구분!$B:$V,4,0),"")</f>
        <v/>
      </c>
      <c r="Q111" s="37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Z111" s="66"/>
      <c r="BA111" s="66"/>
      <c r="BB111" s="66"/>
      <c r="BC111" s="66"/>
      <c r="BD111" s="66"/>
    </row>
    <row r="112" spans="2:56" x14ac:dyDescent="0.3">
      <c r="Q112" s="37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Z112" s="66"/>
      <c r="BA112" s="66"/>
      <c r="BB112" s="66"/>
      <c r="BC112" s="66"/>
      <c r="BD112" s="66"/>
    </row>
    <row r="113" spans="17:56" x14ac:dyDescent="0.3">
      <c r="Q113" s="37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Z113" s="66"/>
      <c r="BA113" s="66"/>
      <c r="BB113" s="66"/>
      <c r="BC113" s="66"/>
      <c r="BD113" s="66"/>
    </row>
    <row r="114" spans="17:56" x14ac:dyDescent="0.3">
      <c r="Q114" s="37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Z114" s="66"/>
      <c r="BA114" s="66"/>
      <c r="BB114" s="66"/>
      <c r="BC114" s="66"/>
      <c r="BD114" s="66"/>
    </row>
    <row r="115" spans="17:56" x14ac:dyDescent="0.3">
      <c r="Q115" s="37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Z115" s="66"/>
      <c r="BA115" s="66"/>
      <c r="BB115" s="66"/>
      <c r="BC115" s="66"/>
      <c r="BD115" s="66"/>
    </row>
    <row r="116" spans="17:56" x14ac:dyDescent="0.3">
      <c r="Q116" s="37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Z116" s="66"/>
      <c r="BA116" s="66"/>
      <c r="BB116" s="66"/>
      <c r="BC116" s="66"/>
      <c r="BD116" s="66"/>
    </row>
    <row r="117" spans="17:56" x14ac:dyDescent="0.3">
      <c r="Q117" s="37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Z117" s="66"/>
      <c r="BA117" s="66"/>
      <c r="BB117" s="66"/>
      <c r="BC117" s="66"/>
      <c r="BD117" s="66"/>
    </row>
    <row r="118" spans="17:56" x14ac:dyDescent="0.3">
      <c r="Q118" s="37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Z118" s="66"/>
      <c r="BA118" s="66"/>
      <c r="BB118" s="66"/>
      <c r="BC118" s="66"/>
      <c r="BD118" s="66"/>
    </row>
    <row r="119" spans="17:56" x14ac:dyDescent="0.3">
      <c r="Q119" s="37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Z119" s="66"/>
      <c r="BA119" s="66"/>
      <c r="BB119" s="66"/>
      <c r="BC119" s="66"/>
      <c r="BD119" s="66"/>
    </row>
    <row r="120" spans="17:56" x14ac:dyDescent="0.3">
      <c r="Q120" s="37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Z120" s="66"/>
      <c r="BA120" s="66"/>
      <c r="BB120" s="66"/>
      <c r="BC120" s="66"/>
      <c r="BD120" s="66"/>
    </row>
    <row r="121" spans="17:56" x14ac:dyDescent="0.3">
      <c r="Q121" s="37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Z121" s="66"/>
      <c r="BA121" s="66"/>
      <c r="BB121" s="66"/>
      <c r="BC121" s="66"/>
      <c r="BD121" s="66"/>
    </row>
    <row r="122" spans="17:56" x14ac:dyDescent="0.3">
      <c r="Q122" s="37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Z122" s="66"/>
      <c r="BA122" s="66"/>
      <c r="BB122" s="66"/>
      <c r="BC122" s="66"/>
      <c r="BD122" s="66"/>
    </row>
    <row r="123" spans="17:56" x14ac:dyDescent="0.3">
      <c r="Q123" s="37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Z123" s="66"/>
      <c r="BA123" s="66"/>
      <c r="BB123" s="66"/>
      <c r="BC123" s="66"/>
      <c r="BD123" s="66"/>
    </row>
    <row r="124" spans="17:56" x14ac:dyDescent="0.3">
      <c r="Q124" s="37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Z124" s="66"/>
      <c r="BA124" s="66"/>
      <c r="BB124" s="66"/>
      <c r="BC124" s="66"/>
      <c r="BD124" s="66"/>
    </row>
    <row r="125" spans="17:56" x14ac:dyDescent="0.3">
      <c r="Q125" s="37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Z125" s="66"/>
      <c r="BA125" s="66"/>
      <c r="BB125" s="66"/>
      <c r="BC125" s="66"/>
      <c r="BD125" s="66"/>
    </row>
    <row r="126" spans="17:56" x14ac:dyDescent="0.3">
      <c r="Q126" s="37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Z126" s="66"/>
      <c r="BA126" s="66"/>
      <c r="BB126" s="66"/>
      <c r="BC126" s="66"/>
      <c r="BD126" s="66"/>
    </row>
    <row r="127" spans="17:56" x14ac:dyDescent="0.3">
      <c r="Q127" s="37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Z127" s="66"/>
      <c r="BA127" s="66"/>
      <c r="BB127" s="66"/>
      <c r="BC127" s="66"/>
      <c r="BD127" s="66"/>
    </row>
    <row r="128" spans="17:56" x14ac:dyDescent="0.3">
      <c r="Q128" s="37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Z128" s="66"/>
      <c r="BA128" s="66"/>
      <c r="BB128" s="66"/>
      <c r="BC128" s="66"/>
      <c r="BD128" s="66"/>
    </row>
    <row r="129" spans="17:56" x14ac:dyDescent="0.3">
      <c r="Q129" s="37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Z129" s="66"/>
      <c r="BA129" s="66"/>
      <c r="BB129" s="66"/>
      <c r="BC129" s="66"/>
      <c r="BD129" s="66"/>
    </row>
    <row r="130" spans="17:56" x14ac:dyDescent="0.3">
      <c r="Q130" s="37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Z130" s="66"/>
      <c r="BA130" s="66"/>
      <c r="BB130" s="66"/>
      <c r="BC130" s="66"/>
      <c r="BD130" s="66"/>
    </row>
    <row r="131" spans="17:56" x14ac:dyDescent="0.3">
      <c r="Q131" s="37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Z131" s="66"/>
      <c r="BA131" s="66"/>
      <c r="BB131" s="66"/>
      <c r="BC131" s="66"/>
      <c r="BD131" s="66"/>
    </row>
    <row r="132" spans="17:56" x14ac:dyDescent="0.3">
      <c r="Q132" s="37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Z132" s="66"/>
      <c r="BA132" s="66"/>
      <c r="BB132" s="66"/>
      <c r="BC132" s="66"/>
      <c r="BD132" s="66"/>
    </row>
    <row r="133" spans="17:56" x14ac:dyDescent="0.3">
      <c r="Q133" s="37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Z133" s="66"/>
      <c r="BA133" s="66"/>
      <c r="BB133" s="66"/>
      <c r="BC133" s="66"/>
      <c r="BD133" s="66"/>
    </row>
    <row r="134" spans="17:56" x14ac:dyDescent="0.3">
      <c r="Q134" s="37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Z134" s="66"/>
      <c r="BA134" s="66"/>
      <c r="BB134" s="66"/>
      <c r="BC134" s="66"/>
      <c r="BD134" s="66"/>
    </row>
    <row r="135" spans="17:56" x14ac:dyDescent="0.3">
      <c r="Q135" s="37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Z135" s="66"/>
      <c r="BA135" s="66"/>
      <c r="BB135" s="66"/>
      <c r="BC135" s="66"/>
      <c r="BD135" s="66"/>
    </row>
    <row r="136" spans="17:56" x14ac:dyDescent="0.3">
      <c r="Q136" s="37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Z136" s="66"/>
      <c r="BA136" s="66"/>
      <c r="BB136" s="66"/>
      <c r="BC136" s="66"/>
      <c r="BD136" s="66"/>
    </row>
    <row r="137" spans="17:56" x14ac:dyDescent="0.3">
      <c r="Q137" s="37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Z137" s="66"/>
      <c r="BA137" s="66"/>
      <c r="BB137" s="66"/>
      <c r="BC137" s="66"/>
      <c r="BD137" s="66"/>
    </row>
    <row r="138" spans="17:56" x14ac:dyDescent="0.3">
      <c r="Q138" s="37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Z138" s="66"/>
      <c r="BA138" s="66"/>
      <c r="BB138" s="66"/>
      <c r="BC138" s="66"/>
      <c r="BD138" s="66"/>
    </row>
    <row r="139" spans="17:56" x14ac:dyDescent="0.3">
      <c r="Q139" s="37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Z139" s="66"/>
      <c r="BA139" s="66"/>
      <c r="BB139" s="66"/>
      <c r="BC139" s="66"/>
      <c r="BD139" s="66"/>
    </row>
    <row r="140" spans="17:56" x14ac:dyDescent="0.3">
      <c r="Q140" s="37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Z140" s="66"/>
      <c r="BA140" s="66"/>
      <c r="BB140" s="66"/>
      <c r="BC140" s="66"/>
      <c r="BD140" s="66"/>
    </row>
    <row r="141" spans="17:56" x14ac:dyDescent="0.3">
      <c r="Q141" s="37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Z141" s="66"/>
      <c r="BA141" s="66"/>
      <c r="BB141" s="66"/>
      <c r="BC141" s="66"/>
      <c r="BD141" s="66"/>
    </row>
    <row r="142" spans="17:56" x14ac:dyDescent="0.3">
      <c r="Q142" s="37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Z142" s="66"/>
      <c r="BA142" s="66"/>
      <c r="BB142" s="66"/>
      <c r="BC142" s="66"/>
      <c r="BD142" s="66"/>
    </row>
    <row r="143" spans="17:56" x14ac:dyDescent="0.3">
      <c r="Q143" s="37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Z143" s="66"/>
      <c r="BA143" s="66"/>
      <c r="BB143" s="66"/>
      <c r="BC143" s="66"/>
      <c r="BD143" s="66"/>
    </row>
    <row r="144" spans="17:56" x14ac:dyDescent="0.3">
      <c r="Q144" s="37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Z144" s="66"/>
      <c r="BA144" s="66"/>
      <c r="BB144" s="66"/>
      <c r="BC144" s="66"/>
      <c r="BD144" s="66"/>
    </row>
    <row r="145" spans="17:56" x14ac:dyDescent="0.3">
      <c r="Q145" s="37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Z145" s="66"/>
      <c r="BA145" s="66"/>
      <c r="BB145" s="66"/>
      <c r="BC145" s="66"/>
      <c r="BD145" s="66"/>
    </row>
    <row r="146" spans="17:56" x14ac:dyDescent="0.3">
      <c r="Q146" s="37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Z146" s="66"/>
      <c r="BA146" s="66"/>
      <c r="BB146" s="66"/>
      <c r="BC146" s="66"/>
      <c r="BD146" s="66"/>
    </row>
    <row r="147" spans="17:56" x14ac:dyDescent="0.3">
      <c r="Q147" s="37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Z147" s="66"/>
      <c r="BA147" s="66"/>
      <c r="BB147" s="66"/>
      <c r="BC147" s="66"/>
      <c r="BD147" s="66"/>
    </row>
    <row r="148" spans="17:56" x14ac:dyDescent="0.3">
      <c r="Q148" s="37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Z148" s="66"/>
      <c r="BA148" s="66"/>
      <c r="BB148" s="66"/>
      <c r="BC148" s="66"/>
      <c r="BD148" s="66"/>
    </row>
    <row r="149" spans="17:56" x14ac:dyDescent="0.3">
      <c r="Q149" s="37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Z149" s="66"/>
      <c r="BA149" s="66"/>
      <c r="BB149" s="66"/>
      <c r="BC149" s="66"/>
      <c r="BD149" s="66"/>
    </row>
    <row r="150" spans="17:56" x14ac:dyDescent="0.3">
      <c r="Q150" s="37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Z150" s="66"/>
      <c r="BA150" s="66"/>
      <c r="BB150" s="66"/>
      <c r="BC150" s="66"/>
      <c r="BD150" s="66"/>
    </row>
    <row r="151" spans="17:56" x14ac:dyDescent="0.3">
      <c r="Q151" s="37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Z151" s="66"/>
      <c r="BA151" s="66"/>
      <c r="BB151" s="66"/>
      <c r="BC151" s="66"/>
      <c r="BD151" s="66"/>
    </row>
    <row r="152" spans="17:56" x14ac:dyDescent="0.3">
      <c r="Q152" s="37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Z152" s="66"/>
      <c r="BA152" s="66"/>
      <c r="BB152" s="66"/>
      <c r="BC152" s="66"/>
      <c r="BD152" s="66"/>
    </row>
    <row r="153" spans="17:56" x14ac:dyDescent="0.3">
      <c r="Q153" s="37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Z153" s="66"/>
      <c r="BA153" s="66"/>
      <c r="BB153" s="66"/>
      <c r="BC153" s="66"/>
      <c r="BD153" s="66"/>
    </row>
    <row r="154" spans="17:56" x14ac:dyDescent="0.3">
      <c r="Q154" s="37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Z154" s="66"/>
      <c r="BA154" s="66"/>
      <c r="BB154" s="66"/>
      <c r="BC154" s="66"/>
      <c r="BD154" s="66"/>
    </row>
    <row r="155" spans="17:56" x14ac:dyDescent="0.3">
      <c r="Q155" s="37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Z155" s="66"/>
      <c r="BA155" s="66"/>
      <c r="BB155" s="66"/>
      <c r="BC155" s="66"/>
      <c r="BD155" s="66"/>
    </row>
    <row r="156" spans="17:56" x14ac:dyDescent="0.3">
      <c r="Q156" s="37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Z156" s="66"/>
      <c r="BA156" s="66"/>
      <c r="BB156" s="66"/>
      <c r="BC156" s="66"/>
      <c r="BD156" s="66"/>
    </row>
    <row r="157" spans="17:56" x14ac:dyDescent="0.3">
      <c r="Q157" s="37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Z157" s="66"/>
      <c r="BA157" s="66"/>
      <c r="BB157" s="66"/>
      <c r="BC157" s="66"/>
      <c r="BD157" s="66"/>
    </row>
    <row r="158" spans="17:56" x14ac:dyDescent="0.3">
      <c r="Q158" s="37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Z158" s="66"/>
      <c r="BA158" s="66"/>
      <c r="BB158" s="66"/>
      <c r="BC158" s="66"/>
      <c r="BD158" s="66"/>
    </row>
    <row r="159" spans="17:56" x14ac:dyDescent="0.3">
      <c r="Q159" s="37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Z159" s="66"/>
      <c r="BA159" s="66"/>
      <c r="BB159" s="66"/>
      <c r="BC159" s="66"/>
      <c r="BD159" s="66"/>
    </row>
    <row r="160" spans="17:56" x14ac:dyDescent="0.3">
      <c r="Q160" s="37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Z160" s="66"/>
      <c r="BA160" s="66"/>
      <c r="BB160" s="66"/>
      <c r="BC160" s="66"/>
      <c r="BD160" s="66"/>
    </row>
    <row r="161" spans="17:56" x14ac:dyDescent="0.3">
      <c r="Q161" s="37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Z161" s="66"/>
      <c r="BA161" s="66"/>
      <c r="BB161" s="66"/>
      <c r="BC161" s="66"/>
      <c r="BD161" s="66"/>
    </row>
    <row r="162" spans="17:56" x14ac:dyDescent="0.3">
      <c r="Q162" s="37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Z162" s="66"/>
      <c r="BA162" s="66"/>
      <c r="BB162" s="66"/>
      <c r="BC162" s="66"/>
      <c r="BD162" s="66"/>
    </row>
    <row r="163" spans="17:56" x14ac:dyDescent="0.3">
      <c r="Q163" s="37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Z163" s="66"/>
      <c r="BA163" s="66"/>
      <c r="BB163" s="66"/>
      <c r="BC163" s="66"/>
      <c r="BD163" s="66"/>
    </row>
    <row r="164" spans="17:56" x14ac:dyDescent="0.3">
      <c r="Q164" s="37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Z164" s="66"/>
      <c r="BA164" s="66"/>
      <c r="BB164" s="66"/>
      <c r="BC164" s="66"/>
      <c r="BD164" s="66"/>
    </row>
    <row r="165" spans="17:56" x14ac:dyDescent="0.3">
      <c r="Q165" s="37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Z165" s="66"/>
      <c r="BA165" s="66"/>
      <c r="BB165" s="66"/>
      <c r="BC165" s="66"/>
      <c r="BD165" s="66"/>
    </row>
    <row r="166" spans="17:56" x14ac:dyDescent="0.3">
      <c r="Q166" s="37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Z166" s="66"/>
      <c r="BA166" s="66"/>
      <c r="BB166" s="66"/>
      <c r="BC166" s="66"/>
      <c r="BD166" s="66"/>
    </row>
    <row r="167" spans="17:56" x14ac:dyDescent="0.3">
      <c r="Q167" s="37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Z167" s="66"/>
      <c r="BA167" s="66"/>
      <c r="BB167" s="66"/>
      <c r="BC167" s="66"/>
      <c r="BD167" s="66"/>
    </row>
    <row r="168" spans="17:56" x14ac:dyDescent="0.3">
      <c r="Q168" s="37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Z168" s="66"/>
      <c r="BA168" s="66"/>
      <c r="BB168" s="66"/>
      <c r="BC168" s="66"/>
      <c r="BD168" s="66"/>
    </row>
    <row r="169" spans="17:56" x14ac:dyDescent="0.3">
      <c r="Q169" s="37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Z169" s="66"/>
      <c r="BA169" s="66"/>
      <c r="BB169" s="66"/>
      <c r="BC169" s="66"/>
      <c r="BD169" s="66"/>
    </row>
    <row r="170" spans="17:56" x14ac:dyDescent="0.3">
      <c r="Q170" s="37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Z170" s="66"/>
      <c r="BA170" s="66"/>
      <c r="BB170" s="66"/>
      <c r="BC170" s="66"/>
      <c r="BD170" s="66"/>
    </row>
    <row r="171" spans="17:56" x14ac:dyDescent="0.3">
      <c r="Q171" s="37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Z171" s="66"/>
      <c r="BA171" s="66"/>
      <c r="BB171" s="66"/>
      <c r="BC171" s="66"/>
      <c r="BD171" s="66"/>
    </row>
    <row r="172" spans="17:56" x14ac:dyDescent="0.3">
      <c r="Q172" s="37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Z172" s="66"/>
      <c r="BA172" s="66"/>
      <c r="BB172" s="66"/>
      <c r="BC172" s="66"/>
      <c r="BD172" s="66"/>
    </row>
    <row r="173" spans="17:56" x14ac:dyDescent="0.3">
      <c r="Q173" s="37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Z173" s="66"/>
      <c r="BA173" s="66"/>
      <c r="BB173" s="66"/>
      <c r="BC173" s="66"/>
      <c r="BD173" s="66"/>
    </row>
    <row r="174" spans="17:56" x14ac:dyDescent="0.3">
      <c r="Q174" s="37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Z174" s="66"/>
      <c r="BA174" s="66"/>
      <c r="BB174" s="66"/>
      <c r="BC174" s="66"/>
      <c r="BD174" s="66"/>
    </row>
    <row r="175" spans="17:56" x14ac:dyDescent="0.3">
      <c r="Q175" s="37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Z175" s="66"/>
      <c r="BA175" s="66"/>
      <c r="BB175" s="66"/>
      <c r="BC175" s="66"/>
      <c r="BD175" s="66"/>
    </row>
    <row r="176" spans="17:56" x14ac:dyDescent="0.3">
      <c r="Q176" s="37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Z176" s="66"/>
      <c r="BA176" s="66"/>
      <c r="BB176" s="66"/>
      <c r="BC176" s="66"/>
      <c r="BD176" s="66"/>
    </row>
    <row r="177" spans="17:59" x14ac:dyDescent="0.3">
      <c r="Q177" s="37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Z177" s="66"/>
      <c r="BA177" s="66"/>
      <c r="BB177" s="66"/>
      <c r="BC177" s="66"/>
      <c r="BD177" s="66"/>
    </row>
    <row r="178" spans="17:59" x14ac:dyDescent="0.3">
      <c r="Q178" s="37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Z178" s="66"/>
      <c r="BA178" s="66"/>
      <c r="BB178" s="66"/>
      <c r="BC178" s="66"/>
      <c r="BD178" s="66"/>
    </row>
    <row r="179" spans="17:59" x14ac:dyDescent="0.3">
      <c r="Q179" s="37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Z179" s="66"/>
      <c r="BA179" s="66"/>
      <c r="BB179" s="66"/>
      <c r="BC179" s="66"/>
      <c r="BD179" s="66"/>
    </row>
    <row r="180" spans="17:59" x14ac:dyDescent="0.3">
      <c r="Q180" s="37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Z180" s="66"/>
      <c r="BA180" s="66"/>
      <c r="BB180" s="66"/>
      <c r="BC180" s="66"/>
      <c r="BD180" s="66"/>
    </row>
    <row r="181" spans="17:59" x14ac:dyDescent="0.3">
      <c r="Q181" s="37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Z181" s="66"/>
      <c r="BA181" s="66"/>
      <c r="BB181" s="66"/>
      <c r="BC181" s="66"/>
      <c r="BD181" s="66"/>
    </row>
    <row r="182" spans="17:59" x14ac:dyDescent="0.3">
      <c r="Q182" s="37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Z182" s="66"/>
      <c r="BA182" s="66"/>
      <c r="BB182" s="66"/>
      <c r="BC182" s="66"/>
      <c r="BD182" s="66"/>
    </row>
    <row r="183" spans="17:59" x14ac:dyDescent="0.3">
      <c r="AZ183" s="66" t="e">
        <f>SUMIFS($R183:$AU183,#REF!,AZ$1)</f>
        <v>#REF!</v>
      </c>
      <c r="BA183" s="66" t="e">
        <f>SUMIFS($R183:$AU183,#REF!,BA$1)</f>
        <v>#REF!</v>
      </c>
      <c r="BB183" s="66" t="e">
        <f>SUMIFS($R183:$AU183,#REF!,BB$1)</f>
        <v>#REF!</v>
      </c>
      <c r="BC183" s="66" t="e">
        <f>SUMIFS($R183:$AU183,#REF!,BC$1)</f>
        <v>#REF!</v>
      </c>
      <c r="BD183" s="66" t="e">
        <f>SUMIFS($R183:$AU183,#REF!,BD$1)</f>
        <v>#REF!</v>
      </c>
      <c r="BF183" s="66">
        <f t="shared" ref="BF183" ca="1" si="10">SUMIFS($Q183:$AU183,$Q$2:$AU$2,BF$2)</f>
        <v>0</v>
      </c>
      <c r="BG183" s="81">
        <f t="shared" ref="BG183" si="11">SUM(Q183:AT183)</f>
        <v>0</v>
      </c>
    </row>
    <row r="184" spans="17:59" x14ac:dyDescent="0.3">
      <c r="AZ184" s="66"/>
      <c r="BA184" s="66"/>
      <c r="BB184" s="66"/>
      <c r="BC184" s="66"/>
      <c r="BD184" s="66"/>
    </row>
    <row r="185" spans="17:59" x14ac:dyDescent="0.3">
      <c r="AZ185" s="66"/>
      <c r="BA185" s="66"/>
      <c r="BB185" s="66"/>
      <c r="BC185" s="66"/>
      <c r="BD185" s="66"/>
    </row>
    <row r="186" spans="17:59" x14ac:dyDescent="0.3">
      <c r="AZ186" s="66"/>
      <c r="BA186" s="66"/>
      <c r="BB186" s="66"/>
      <c r="BC186" s="66"/>
      <c r="BD186" s="66"/>
    </row>
    <row r="187" spans="17:59" x14ac:dyDescent="0.3">
      <c r="AZ187" s="66"/>
      <c r="BA187" s="66"/>
      <c r="BB187" s="66"/>
      <c r="BC187" s="66"/>
      <c r="BD187" s="66"/>
    </row>
    <row r="188" spans="17:59" x14ac:dyDescent="0.3">
      <c r="AZ188" s="66"/>
      <c r="BA188" s="66"/>
      <c r="BB188" s="66"/>
      <c r="BC188" s="66"/>
      <c r="BD188" s="66"/>
    </row>
    <row r="189" spans="17:59" x14ac:dyDescent="0.3">
      <c r="AZ189" s="66"/>
      <c r="BA189" s="66"/>
      <c r="BB189" s="66"/>
      <c r="BC189" s="66"/>
      <c r="BD189" s="66"/>
    </row>
    <row r="190" spans="17:59" x14ac:dyDescent="0.3">
      <c r="AZ190" s="66"/>
      <c r="BA190" s="66"/>
      <c r="BB190" s="66"/>
      <c r="BC190" s="66"/>
      <c r="BD190" s="66"/>
    </row>
    <row r="191" spans="17:59" x14ac:dyDescent="0.3">
      <c r="AZ191" s="66"/>
      <c r="BA191" s="66"/>
      <c r="BB191" s="66"/>
      <c r="BC191" s="66"/>
      <c r="BD191" s="66"/>
    </row>
    <row r="192" spans="17:59" x14ac:dyDescent="0.3">
      <c r="AZ192" s="66"/>
      <c r="BA192" s="66"/>
      <c r="BB192" s="66"/>
      <c r="BC192" s="66"/>
      <c r="BD192" s="66"/>
    </row>
    <row r="193" spans="52:56" x14ac:dyDescent="0.3">
      <c r="AZ193" s="66"/>
      <c r="BA193" s="66"/>
      <c r="BB193" s="66"/>
      <c r="BC193" s="66"/>
      <c r="BD193" s="66"/>
    </row>
    <row r="194" spans="52:56" x14ac:dyDescent="0.3">
      <c r="AZ194" s="66"/>
      <c r="BA194" s="66"/>
      <c r="BB194" s="66"/>
      <c r="BC194" s="66"/>
      <c r="BD194" s="66"/>
    </row>
    <row r="195" spans="52:56" x14ac:dyDescent="0.3">
      <c r="AZ195" s="66"/>
      <c r="BA195" s="66"/>
      <c r="BB195" s="66"/>
      <c r="BC195" s="66"/>
      <c r="BD195" s="66"/>
    </row>
    <row r="196" spans="52:56" x14ac:dyDescent="0.3">
      <c r="AZ196" s="66"/>
      <c r="BA196" s="66"/>
      <c r="BB196" s="66"/>
      <c r="BC196" s="66"/>
      <c r="BD196" s="66"/>
    </row>
    <row r="197" spans="52:56" x14ac:dyDescent="0.3">
      <c r="AZ197" s="66"/>
      <c r="BA197" s="66"/>
      <c r="BB197" s="66"/>
      <c r="BC197" s="66"/>
      <c r="BD197" s="66"/>
    </row>
    <row r="198" spans="52:56" x14ac:dyDescent="0.3">
      <c r="AZ198" s="66"/>
      <c r="BA198" s="66"/>
      <c r="BB198" s="66"/>
      <c r="BC198" s="66"/>
      <c r="BD198" s="66"/>
    </row>
    <row r="199" spans="52:56" x14ac:dyDescent="0.3">
      <c r="AZ199" s="66"/>
      <c r="BA199" s="66"/>
      <c r="BB199" s="66"/>
      <c r="BC199" s="66"/>
      <c r="BD199" s="66"/>
    </row>
    <row r="200" spans="52:56" x14ac:dyDescent="0.3">
      <c r="AZ200" s="66"/>
      <c r="BA200" s="66"/>
      <c r="BB200" s="66"/>
      <c r="BC200" s="66"/>
      <c r="BD200" s="66"/>
    </row>
    <row r="201" spans="52:56" x14ac:dyDescent="0.3">
      <c r="AZ201" s="66"/>
      <c r="BA201" s="66"/>
      <c r="BB201" s="66"/>
      <c r="BC201" s="66"/>
      <c r="BD201" s="66"/>
    </row>
    <row r="202" spans="52:56" x14ac:dyDescent="0.3">
      <c r="AZ202" s="66"/>
      <c r="BA202" s="66"/>
      <c r="BB202" s="66"/>
      <c r="BC202" s="66"/>
      <c r="BD202" s="66"/>
    </row>
    <row r="203" spans="52:56" x14ac:dyDescent="0.3">
      <c r="AZ203" s="66"/>
      <c r="BA203" s="66"/>
      <c r="BB203" s="66"/>
      <c r="BC203" s="66"/>
      <c r="BD203" s="66"/>
    </row>
    <row r="204" spans="52:56" x14ac:dyDescent="0.3">
      <c r="AZ204" s="66"/>
      <c r="BA204" s="66"/>
      <c r="BB204" s="66"/>
      <c r="BC204" s="66"/>
      <c r="BD204" s="66"/>
    </row>
    <row r="205" spans="52:56" x14ac:dyDescent="0.3">
      <c r="AZ205" s="66"/>
      <c r="BA205" s="66"/>
      <c r="BB205" s="66"/>
      <c r="BC205" s="66"/>
      <c r="BD205" s="66"/>
    </row>
    <row r="206" spans="52:56" x14ac:dyDescent="0.3">
      <c r="AZ206" s="66"/>
      <c r="BA206" s="66"/>
      <c r="BB206" s="66"/>
      <c r="BC206" s="66"/>
      <c r="BD206" s="66"/>
    </row>
    <row r="207" spans="52:56" x14ac:dyDescent="0.3">
      <c r="AZ207" s="66"/>
      <c r="BA207" s="66"/>
      <c r="BB207" s="66"/>
      <c r="BC207" s="66"/>
      <c r="BD207" s="66"/>
    </row>
    <row r="208" spans="52:56" x14ac:dyDescent="0.3">
      <c r="AZ208" s="66"/>
      <c r="BA208" s="66"/>
      <c r="BB208" s="66"/>
      <c r="BC208" s="66"/>
      <c r="BD208" s="66"/>
    </row>
    <row r="209" spans="52:56" x14ac:dyDescent="0.3">
      <c r="AZ209" s="66"/>
      <c r="BA209" s="66"/>
      <c r="BB209" s="66"/>
      <c r="BC209" s="66"/>
      <c r="BD209" s="66"/>
    </row>
    <row r="210" spans="52:56" x14ac:dyDescent="0.3">
      <c r="AZ210" s="66"/>
      <c r="BA210" s="66"/>
      <c r="BB210" s="66"/>
      <c r="BC210" s="66"/>
      <c r="BD210" s="66"/>
    </row>
    <row r="211" spans="52:56" x14ac:dyDescent="0.3">
      <c r="AZ211" s="66"/>
      <c r="BA211" s="66"/>
      <c r="BB211" s="66"/>
      <c r="BC211" s="66"/>
      <c r="BD211" s="66"/>
    </row>
    <row r="212" spans="52:56" x14ac:dyDescent="0.3">
      <c r="AZ212" s="66"/>
      <c r="BA212" s="66"/>
      <c r="BB212" s="66"/>
      <c r="BC212" s="66"/>
      <c r="BD212" s="66"/>
    </row>
    <row r="213" spans="52:56" x14ac:dyDescent="0.3">
      <c r="AZ213" s="66"/>
      <c r="BA213" s="66"/>
      <c r="BB213" s="66"/>
      <c r="BC213" s="66"/>
      <c r="BD213" s="66"/>
    </row>
    <row r="214" spans="52:56" x14ac:dyDescent="0.3">
      <c r="AZ214" s="66"/>
      <c r="BA214" s="66"/>
      <c r="BB214" s="66"/>
      <c r="BC214" s="66"/>
      <c r="BD214" s="66"/>
    </row>
    <row r="215" spans="52:56" x14ac:dyDescent="0.3">
      <c r="AZ215" s="66"/>
      <c r="BA215" s="66"/>
      <c r="BB215" s="66"/>
      <c r="BC215" s="66"/>
      <c r="BD215" s="66"/>
    </row>
    <row r="216" spans="52:56" x14ac:dyDescent="0.3">
      <c r="AZ216" s="66"/>
      <c r="BA216" s="66"/>
      <c r="BB216" s="66"/>
      <c r="BC216" s="66"/>
      <c r="BD216" s="66"/>
    </row>
    <row r="217" spans="52:56" x14ac:dyDescent="0.3">
      <c r="AZ217" s="66"/>
      <c r="BA217" s="66"/>
      <c r="BB217" s="66"/>
      <c r="BC217" s="66"/>
      <c r="BD217" s="66"/>
    </row>
    <row r="218" spans="52:56" x14ac:dyDescent="0.3">
      <c r="AZ218" s="66"/>
      <c r="BA218" s="66"/>
      <c r="BB218" s="66"/>
      <c r="BC218" s="66"/>
      <c r="BD218" s="66"/>
    </row>
    <row r="219" spans="52:56" x14ac:dyDescent="0.3">
      <c r="AZ219" s="66"/>
      <c r="BA219" s="66"/>
      <c r="BB219" s="66"/>
      <c r="BC219" s="66"/>
      <c r="BD219" s="66"/>
    </row>
    <row r="220" spans="52:56" x14ac:dyDescent="0.3">
      <c r="AZ220" s="66"/>
      <c r="BA220" s="66"/>
      <c r="BB220" s="66"/>
      <c r="BC220" s="66"/>
      <c r="BD220" s="66"/>
    </row>
    <row r="221" spans="52:56" x14ac:dyDescent="0.3">
      <c r="AZ221" s="66"/>
      <c r="BA221" s="66"/>
      <c r="BB221" s="66"/>
      <c r="BC221" s="66"/>
      <c r="BD221" s="66"/>
    </row>
    <row r="222" spans="52:56" x14ac:dyDescent="0.3">
      <c r="AZ222" s="66"/>
      <c r="BA222" s="66"/>
      <c r="BB222" s="66"/>
      <c r="BC222" s="66"/>
      <c r="BD222" s="66"/>
    </row>
    <row r="223" spans="52:56" x14ac:dyDescent="0.3">
      <c r="AZ223" s="66"/>
      <c r="BA223" s="66"/>
      <c r="BB223" s="66"/>
      <c r="BC223" s="66"/>
      <c r="BD223" s="66"/>
    </row>
    <row r="224" spans="52:56" x14ac:dyDescent="0.3">
      <c r="AZ224" s="66"/>
      <c r="BA224" s="66"/>
      <c r="BB224" s="66"/>
      <c r="BC224" s="66"/>
      <c r="BD224" s="66"/>
    </row>
    <row r="225" spans="52:56" x14ac:dyDescent="0.3">
      <c r="AZ225" s="66"/>
      <c r="BA225" s="66"/>
      <c r="BB225" s="66"/>
      <c r="BC225" s="66"/>
      <c r="BD225" s="66"/>
    </row>
    <row r="226" spans="52:56" x14ac:dyDescent="0.3">
      <c r="AZ226" s="66"/>
      <c r="BA226" s="66"/>
      <c r="BB226" s="66"/>
      <c r="BC226" s="66"/>
      <c r="BD226" s="66"/>
    </row>
    <row r="227" spans="52:56" x14ac:dyDescent="0.3">
      <c r="AZ227" s="66"/>
      <c r="BA227" s="66"/>
      <c r="BB227" s="66"/>
      <c r="BC227" s="66"/>
      <c r="BD227" s="66"/>
    </row>
    <row r="228" spans="52:56" x14ac:dyDescent="0.3">
      <c r="AZ228" s="66"/>
      <c r="BA228" s="66"/>
      <c r="BB228" s="66"/>
      <c r="BC228" s="66"/>
      <c r="BD228" s="66"/>
    </row>
    <row r="229" spans="52:56" x14ac:dyDescent="0.3">
      <c r="AZ229" s="66"/>
      <c r="BA229" s="66"/>
      <c r="BB229" s="66"/>
      <c r="BC229" s="66"/>
      <c r="BD229" s="66"/>
    </row>
    <row r="230" spans="52:56" x14ac:dyDescent="0.3">
      <c r="AZ230" s="66"/>
      <c r="BA230" s="66"/>
      <c r="BB230" s="66"/>
      <c r="BC230" s="66"/>
      <c r="BD230" s="66"/>
    </row>
    <row r="231" spans="52:56" x14ac:dyDescent="0.3">
      <c r="AZ231" s="66"/>
      <c r="BA231" s="66"/>
      <c r="BB231" s="66"/>
      <c r="BC231" s="66"/>
      <c r="BD231" s="66"/>
    </row>
    <row r="232" spans="52:56" x14ac:dyDescent="0.3">
      <c r="AZ232" s="66"/>
      <c r="BA232" s="66"/>
      <c r="BB232" s="66"/>
      <c r="BC232" s="66"/>
      <c r="BD232" s="66"/>
    </row>
    <row r="233" spans="52:56" x14ac:dyDescent="0.3">
      <c r="AZ233" s="66"/>
      <c r="BA233" s="66"/>
      <c r="BB233" s="66"/>
      <c r="BC233" s="66"/>
      <c r="BD233" s="66"/>
    </row>
    <row r="234" spans="52:56" x14ac:dyDescent="0.3">
      <c r="AZ234" s="66"/>
      <c r="BA234" s="66"/>
      <c r="BB234" s="66"/>
      <c r="BC234" s="66"/>
      <c r="BD234" s="66"/>
    </row>
    <row r="235" spans="52:56" x14ac:dyDescent="0.3">
      <c r="AZ235" s="66"/>
      <c r="BA235" s="66"/>
      <c r="BB235" s="66"/>
      <c r="BC235" s="66"/>
      <c r="BD235" s="66"/>
    </row>
    <row r="236" spans="52:56" x14ac:dyDescent="0.3">
      <c r="AZ236" s="66"/>
      <c r="BA236" s="66"/>
      <c r="BB236" s="66"/>
      <c r="BC236" s="66"/>
      <c r="BD236" s="66"/>
    </row>
    <row r="237" spans="52:56" x14ac:dyDescent="0.3">
      <c r="AZ237" s="66"/>
      <c r="BA237" s="66"/>
      <c r="BB237" s="66"/>
      <c r="BC237" s="66"/>
      <c r="BD237" s="66"/>
    </row>
    <row r="238" spans="52:56" x14ac:dyDescent="0.3">
      <c r="AZ238" s="66"/>
      <c r="BA238" s="66"/>
      <c r="BB238" s="66"/>
      <c r="BC238" s="66"/>
      <c r="BD238" s="66"/>
    </row>
    <row r="239" spans="52:56" x14ac:dyDescent="0.3">
      <c r="AZ239" s="66"/>
      <c r="BA239" s="66"/>
      <c r="BB239" s="66"/>
      <c r="BC239" s="66"/>
      <c r="BD239" s="66"/>
    </row>
    <row r="240" spans="52:56" x14ac:dyDescent="0.3">
      <c r="AZ240" s="66"/>
      <c r="BA240" s="66"/>
      <c r="BB240" s="66"/>
      <c r="BC240" s="66"/>
      <c r="BD240" s="66"/>
    </row>
    <row r="241" spans="52:56" x14ac:dyDescent="0.3">
      <c r="AZ241" s="66"/>
      <c r="BA241" s="66"/>
      <c r="BB241" s="66"/>
      <c r="BC241" s="66"/>
      <c r="BD241" s="66"/>
    </row>
    <row r="242" spans="52:56" x14ac:dyDescent="0.3">
      <c r="AZ242" s="66"/>
      <c r="BA242" s="66"/>
      <c r="BB242" s="66"/>
      <c r="BC242" s="66"/>
      <c r="BD242" s="66"/>
    </row>
    <row r="243" spans="52:56" x14ac:dyDescent="0.3">
      <c r="AZ243" s="66"/>
      <c r="BA243" s="66"/>
      <c r="BB243" s="66"/>
      <c r="BC243" s="66"/>
      <c r="BD243" s="66"/>
    </row>
    <row r="244" spans="52:56" x14ac:dyDescent="0.3">
      <c r="AZ244" s="66"/>
      <c r="BA244" s="66"/>
      <c r="BB244" s="66"/>
      <c r="BC244" s="66"/>
      <c r="BD244" s="66"/>
    </row>
    <row r="245" spans="52:56" x14ac:dyDescent="0.3">
      <c r="AZ245" s="66"/>
      <c r="BA245" s="66"/>
      <c r="BB245" s="66"/>
      <c r="BC245" s="66"/>
      <c r="BD245" s="66"/>
    </row>
    <row r="246" spans="52:56" x14ac:dyDescent="0.3">
      <c r="AZ246" s="66"/>
      <c r="BA246" s="66"/>
      <c r="BB246" s="66"/>
      <c r="BC246" s="66"/>
      <c r="BD246" s="66"/>
    </row>
    <row r="247" spans="52:56" x14ac:dyDescent="0.3">
      <c r="AZ247" s="66"/>
      <c r="BA247" s="66"/>
      <c r="BB247" s="66"/>
      <c r="BC247" s="66"/>
      <c r="BD247" s="66"/>
    </row>
    <row r="248" spans="52:56" x14ac:dyDescent="0.3">
      <c r="AZ248" s="66"/>
      <c r="BA248" s="66"/>
      <c r="BB248" s="66"/>
      <c r="BC248" s="66"/>
      <c r="BD248" s="66"/>
    </row>
    <row r="249" spans="52:56" x14ac:dyDescent="0.3">
      <c r="AZ249" s="66"/>
      <c r="BA249" s="66"/>
      <c r="BB249" s="66"/>
      <c r="BC249" s="66"/>
      <c r="BD249" s="66"/>
    </row>
    <row r="250" spans="52:56" x14ac:dyDescent="0.3">
      <c r="AZ250" s="66"/>
      <c r="BA250" s="66"/>
      <c r="BB250" s="66"/>
      <c r="BC250" s="66"/>
      <c r="BD250" s="66"/>
    </row>
    <row r="251" spans="52:56" x14ac:dyDescent="0.3">
      <c r="AZ251" s="66"/>
      <c r="BA251" s="66"/>
      <c r="BB251" s="66"/>
      <c r="BC251" s="66"/>
      <c r="BD251" s="66"/>
    </row>
    <row r="252" spans="52:56" x14ac:dyDescent="0.3">
      <c r="AZ252" s="66"/>
      <c r="BA252" s="66"/>
      <c r="BB252" s="66"/>
      <c r="BC252" s="66"/>
      <c r="BD252" s="66"/>
    </row>
    <row r="253" spans="52:56" x14ac:dyDescent="0.3">
      <c r="AZ253" s="66"/>
      <c r="BA253" s="66"/>
      <c r="BB253" s="66"/>
      <c r="BC253" s="66"/>
      <c r="BD253" s="66"/>
    </row>
    <row r="254" spans="52:56" x14ac:dyDescent="0.3">
      <c r="AZ254" s="66"/>
      <c r="BA254" s="66"/>
      <c r="BB254" s="66"/>
      <c r="BC254" s="66"/>
      <c r="BD254" s="66"/>
    </row>
    <row r="255" spans="52:56" x14ac:dyDescent="0.3">
      <c r="AZ255" s="66"/>
      <c r="BA255" s="66"/>
      <c r="BB255" s="66"/>
      <c r="BC255" s="66"/>
      <c r="BD255" s="66"/>
    </row>
    <row r="256" spans="52:56" x14ac:dyDescent="0.3">
      <c r="AZ256" s="66"/>
      <c r="BA256" s="66"/>
      <c r="BB256" s="66"/>
      <c r="BC256" s="66"/>
      <c r="BD256" s="66"/>
    </row>
    <row r="257" spans="52:56" x14ac:dyDescent="0.3">
      <c r="AZ257" s="66"/>
      <c r="BA257" s="66"/>
      <c r="BB257" s="66"/>
      <c r="BC257" s="66"/>
      <c r="BD257" s="66"/>
    </row>
    <row r="258" spans="52:56" x14ac:dyDescent="0.3">
      <c r="AZ258" s="66"/>
      <c r="BA258" s="66"/>
      <c r="BB258" s="66"/>
      <c r="BC258" s="66"/>
      <c r="BD258" s="66"/>
    </row>
    <row r="259" spans="52:56" x14ac:dyDescent="0.3">
      <c r="AZ259" s="66"/>
      <c r="BA259" s="66"/>
      <c r="BB259" s="66"/>
      <c r="BC259" s="66"/>
      <c r="BD259" s="66"/>
    </row>
    <row r="260" spans="52:56" x14ac:dyDescent="0.3">
      <c r="AZ260" s="66"/>
      <c r="BA260" s="66"/>
      <c r="BB260" s="66"/>
      <c r="BC260" s="66"/>
      <c r="BD260" s="66"/>
    </row>
    <row r="261" spans="52:56" x14ac:dyDescent="0.3">
      <c r="AZ261" s="66"/>
      <c r="BA261" s="66"/>
      <c r="BB261" s="66"/>
      <c r="BC261" s="66"/>
      <c r="BD261" s="66"/>
    </row>
    <row r="262" spans="52:56" x14ac:dyDescent="0.3">
      <c r="AZ262" s="66"/>
      <c r="BA262" s="66"/>
      <c r="BB262" s="66"/>
      <c r="BC262" s="66"/>
      <c r="BD262" s="66"/>
    </row>
    <row r="263" spans="52:56" x14ac:dyDescent="0.3">
      <c r="AZ263" s="66"/>
      <c r="BA263" s="66"/>
      <c r="BB263" s="66"/>
      <c r="BC263" s="66"/>
      <c r="BD263" s="66"/>
    </row>
    <row r="264" spans="52:56" x14ac:dyDescent="0.3">
      <c r="AZ264" s="66"/>
      <c r="BA264" s="66"/>
      <c r="BB264" s="66"/>
      <c r="BC264" s="66"/>
      <c r="BD264" s="66"/>
    </row>
    <row r="265" spans="52:56" x14ac:dyDescent="0.3">
      <c r="AZ265" s="66"/>
      <c r="BA265" s="66"/>
      <c r="BB265" s="66"/>
      <c r="BC265" s="66"/>
      <c r="BD265" s="66"/>
    </row>
    <row r="266" spans="52:56" x14ac:dyDescent="0.3">
      <c r="AZ266" s="66"/>
      <c r="BA266" s="66"/>
      <c r="BB266" s="66"/>
      <c r="BC266" s="66"/>
      <c r="BD266" s="66"/>
    </row>
    <row r="267" spans="52:56" x14ac:dyDescent="0.3">
      <c r="AZ267" s="66"/>
      <c r="BA267" s="66"/>
      <c r="BB267" s="66"/>
      <c r="BC267" s="66"/>
      <c r="BD267" s="66"/>
    </row>
    <row r="268" spans="52:56" x14ac:dyDescent="0.3">
      <c r="AZ268" s="66"/>
      <c r="BA268" s="66"/>
      <c r="BB268" s="66"/>
      <c r="BC268" s="66"/>
      <c r="BD268" s="66"/>
    </row>
    <row r="269" spans="52:56" x14ac:dyDescent="0.3">
      <c r="AZ269" s="66"/>
      <c r="BA269" s="66"/>
      <c r="BB269" s="66"/>
      <c r="BC269" s="66"/>
      <c r="BD269" s="66"/>
    </row>
    <row r="270" spans="52:56" x14ac:dyDescent="0.3">
      <c r="AZ270" s="66"/>
      <c r="BA270" s="66"/>
      <c r="BB270" s="66"/>
      <c r="BC270" s="66"/>
      <c r="BD270" s="66"/>
    </row>
    <row r="271" spans="52:56" x14ac:dyDescent="0.3">
      <c r="AZ271" s="66"/>
      <c r="BA271" s="66"/>
      <c r="BB271" s="66"/>
      <c r="BC271" s="66"/>
      <c r="BD271" s="66"/>
    </row>
    <row r="272" spans="52:56" x14ac:dyDescent="0.3">
      <c r="AZ272" s="66"/>
      <c r="BA272" s="66"/>
      <c r="BB272" s="66"/>
      <c r="BC272" s="66"/>
      <c r="BD272" s="66"/>
    </row>
    <row r="273" spans="52:56" x14ac:dyDescent="0.3">
      <c r="AZ273" s="66"/>
      <c r="BA273" s="66"/>
      <c r="BB273" s="66"/>
      <c r="BC273" s="66"/>
      <c r="BD273" s="66"/>
    </row>
    <row r="274" spans="52:56" x14ac:dyDescent="0.3">
      <c r="AZ274" s="66"/>
      <c r="BA274" s="66"/>
      <c r="BB274" s="66"/>
      <c r="BC274" s="66"/>
      <c r="BD274" s="66"/>
    </row>
    <row r="275" spans="52:56" x14ac:dyDescent="0.3">
      <c r="AZ275" s="66"/>
      <c r="BA275" s="66"/>
      <c r="BB275" s="66"/>
      <c r="BC275" s="66"/>
      <c r="BD275" s="66"/>
    </row>
    <row r="276" spans="52:56" x14ac:dyDescent="0.3">
      <c r="AZ276" s="66"/>
      <c r="BA276" s="66"/>
      <c r="BB276" s="66"/>
      <c r="BC276" s="66"/>
      <c r="BD276" s="66"/>
    </row>
    <row r="277" spans="52:56" x14ac:dyDescent="0.3">
      <c r="AZ277" s="66"/>
      <c r="BA277" s="66"/>
      <c r="BB277" s="66"/>
      <c r="BC277" s="66"/>
      <c r="BD277" s="66"/>
    </row>
    <row r="278" spans="52:56" x14ac:dyDescent="0.3">
      <c r="AZ278" s="66"/>
      <c r="BA278" s="66"/>
      <c r="BB278" s="66"/>
      <c r="BC278" s="66"/>
      <c r="BD278" s="66"/>
    </row>
    <row r="279" spans="52:56" x14ac:dyDescent="0.3">
      <c r="AZ279" s="66"/>
      <c r="BA279" s="66"/>
      <c r="BB279" s="66"/>
      <c r="BC279" s="66"/>
      <c r="BD279" s="66"/>
    </row>
    <row r="280" spans="52:56" x14ac:dyDescent="0.3">
      <c r="AZ280" s="66"/>
      <c r="BA280" s="66"/>
      <c r="BB280" s="66"/>
      <c r="BC280" s="66"/>
      <c r="BD280" s="66"/>
    </row>
    <row r="281" spans="52:56" x14ac:dyDescent="0.3">
      <c r="AZ281" s="66"/>
      <c r="BA281" s="66"/>
      <c r="BB281" s="66"/>
      <c r="BC281" s="66"/>
      <c r="BD281" s="66"/>
    </row>
    <row r="282" spans="52:56" x14ac:dyDescent="0.3">
      <c r="AZ282" s="66"/>
      <c r="BA282" s="66"/>
      <c r="BB282" s="66"/>
      <c r="BC282" s="66"/>
      <c r="BD282" s="66"/>
    </row>
    <row r="283" spans="52:56" x14ac:dyDescent="0.3">
      <c r="AZ283" s="66"/>
      <c r="BA283" s="66"/>
      <c r="BB283" s="66"/>
      <c r="BC283" s="66"/>
      <c r="BD283" s="66"/>
    </row>
    <row r="284" spans="52:56" x14ac:dyDescent="0.3">
      <c r="AZ284" s="66"/>
      <c r="BA284" s="66"/>
      <c r="BB284" s="66"/>
      <c r="BC284" s="66"/>
      <c r="BD284" s="66"/>
    </row>
    <row r="285" spans="52:56" x14ac:dyDescent="0.3">
      <c r="AZ285" s="66"/>
      <c r="BA285" s="66"/>
      <c r="BB285" s="66"/>
      <c r="BC285" s="66"/>
      <c r="BD285" s="66"/>
    </row>
    <row r="286" spans="52:56" x14ac:dyDescent="0.3">
      <c r="AZ286" s="66"/>
      <c r="BA286" s="66"/>
      <c r="BB286" s="66"/>
      <c r="BC286" s="66"/>
      <c r="BD286" s="66"/>
    </row>
    <row r="287" spans="52:56" x14ac:dyDescent="0.3">
      <c r="AZ287" s="66"/>
      <c r="BA287" s="66"/>
      <c r="BB287" s="66"/>
      <c r="BC287" s="66"/>
      <c r="BD287" s="66"/>
    </row>
    <row r="288" spans="52:56" x14ac:dyDescent="0.3">
      <c r="AZ288" s="66"/>
      <c r="BA288" s="66"/>
      <c r="BB288" s="66"/>
      <c r="BC288" s="66"/>
      <c r="BD288" s="66"/>
    </row>
    <row r="289" spans="52:56" x14ac:dyDescent="0.3">
      <c r="AZ289" s="66"/>
      <c r="BA289" s="66"/>
      <c r="BB289" s="66"/>
      <c r="BC289" s="66"/>
      <c r="BD289" s="66"/>
    </row>
    <row r="290" spans="52:56" x14ac:dyDescent="0.3">
      <c r="AZ290" s="66"/>
      <c r="BA290" s="66"/>
      <c r="BB290" s="66"/>
      <c r="BC290" s="66"/>
      <c r="BD290" s="66"/>
    </row>
    <row r="291" spans="52:56" x14ac:dyDescent="0.3">
      <c r="AZ291" s="66"/>
      <c r="BA291" s="66"/>
      <c r="BB291" s="66"/>
      <c r="BC291" s="66"/>
      <c r="BD291" s="66"/>
    </row>
    <row r="292" spans="52:56" x14ac:dyDescent="0.3">
      <c r="AZ292" s="66"/>
      <c r="BA292" s="66"/>
      <c r="BB292" s="66"/>
      <c r="BC292" s="66"/>
      <c r="BD292" s="66"/>
    </row>
    <row r="293" spans="52:56" x14ac:dyDescent="0.3">
      <c r="AZ293" s="66"/>
      <c r="BA293" s="66"/>
      <c r="BB293" s="66"/>
      <c r="BC293" s="66"/>
      <c r="BD293" s="66"/>
    </row>
    <row r="294" spans="52:56" x14ac:dyDescent="0.3">
      <c r="AZ294" s="66"/>
      <c r="BA294" s="66"/>
      <c r="BB294" s="66"/>
      <c r="BC294" s="66"/>
      <c r="BD294" s="66"/>
    </row>
    <row r="295" spans="52:56" x14ac:dyDescent="0.3">
      <c r="AZ295" s="66"/>
      <c r="BA295" s="66"/>
      <c r="BB295" s="66"/>
      <c r="BC295" s="66"/>
      <c r="BD295" s="66"/>
    </row>
    <row r="296" spans="52:56" x14ac:dyDescent="0.3">
      <c r="AZ296" s="66"/>
      <c r="BA296" s="66"/>
      <c r="BB296" s="66"/>
      <c r="BC296" s="66"/>
      <c r="BD296" s="66"/>
    </row>
    <row r="297" spans="52:56" x14ac:dyDescent="0.3">
      <c r="AZ297" s="66"/>
      <c r="BA297" s="66"/>
      <c r="BB297" s="66"/>
      <c r="BC297" s="66"/>
      <c r="BD297" s="66"/>
    </row>
    <row r="298" spans="52:56" x14ac:dyDescent="0.3">
      <c r="AZ298" s="66"/>
      <c r="BA298" s="66"/>
      <c r="BB298" s="66"/>
      <c r="BC298" s="66"/>
      <c r="BD298" s="66"/>
    </row>
    <row r="299" spans="52:56" x14ac:dyDescent="0.3">
      <c r="AZ299" s="66"/>
      <c r="BA299" s="66"/>
      <c r="BB299" s="66"/>
      <c r="BC299" s="66"/>
      <c r="BD299" s="66"/>
    </row>
    <row r="300" spans="52:56" x14ac:dyDescent="0.3">
      <c r="AZ300" s="66"/>
      <c r="BA300" s="66"/>
      <c r="BB300" s="66"/>
      <c r="BC300" s="66"/>
      <c r="BD300" s="66"/>
    </row>
    <row r="301" spans="52:56" x14ac:dyDescent="0.3">
      <c r="AZ301" s="66"/>
      <c r="BA301" s="66"/>
      <c r="BB301" s="66"/>
      <c r="BC301" s="66"/>
      <c r="BD301" s="66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90686-7614-4791-AEEA-DDDB67FA21D2}">
  <sheetPr>
    <tabColor rgb="FFFF0000"/>
  </sheetPr>
  <dimension ref="B1:BG190"/>
  <sheetViews>
    <sheetView zoomScale="70" zoomScaleNormal="70" workbookViewId="0">
      <pane xSplit="6" ySplit="5" topLeftCell="AH6" activePane="bottomRight" state="frozen"/>
      <selection pane="topRight" activeCell="G1" sqref="G1"/>
      <selection pane="bottomLeft" activeCell="A6" sqref="A6"/>
      <selection pane="bottomRight" activeCell="BG6" sqref="BG6"/>
    </sheetView>
  </sheetViews>
  <sheetFormatPr defaultRowHeight="16.5" x14ac:dyDescent="0.3"/>
  <cols>
    <col min="2" max="2" width="11.75" style="37" bestFit="1" customWidth="1"/>
    <col min="3" max="5" width="9" style="37"/>
    <col min="6" max="6" width="13.875" style="37" bestFit="1" customWidth="1"/>
    <col min="7" max="7" width="9" style="37"/>
    <col min="8" max="8" width="9.125" style="37" bestFit="1" customWidth="1"/>
    <col min="9" max="24" width="12.25" style="37" customWidth="1"/>
    <col min="25" max="47" width="10.75" style="37" bestFit="1" customWidth="1"/>
    <col min="48" max="48" width="10.75" style="37" customWidth="1"/>
    <col min="49" max="51" width="9" style="37"/>
    <col min="52" max="56" width="10.875" style="37" bestFit="1" customWidth="1"/>
    <col min="57" max="57" width="9" style="37"/>
    <col min="58" max="58" width="10.875" style="37" bestFit="1" customWidth="1"/>
    <col min="59" max="59" width="11.5" style="37" bestFit="1" customWidth="1"/>
  </cols>
  <sheetData>
    <row r="1" spans="2:59" x14ac:dyDescent="0.3">
      <c r="L1" s="37" t="s">
        <v>616</v>
      </c>
      <c r="M1" s="208">
        <f ca="1">전년!M1</f>
        <v>24</v>
      </c>
      <c r="AZ1" s="37">
        <v>1</v>
      </c>
      <c r="BA1" s="37">
        <v>2</v>
      </c>
      <c r="BB1" s="37">
        <v>3</v>
      </c>
      <c r="BC1" s="37">
        <v>4</v>
      </c>
      <c r="BD1" s="37">
        <v>5</v>
      </c>
    </row>
    <row r="2" spans="2:59" x14ac:dyDescent="0.3">
      <c r="Q2" s="36" t="str">
        <f ca="1">IF(DAY(Q5)&lt;$M$1,"동일","")</f>
        <v>동일</v>
      </c>
      <c r="R2" s="36" t="str">
        <f t="shared" ref="R2:AT2" ca="1" si="0">IF(DAY(R5)&lt;$M$1,"동일","")</f>
        <v>동일</v>
      </c>
      <c r="S2" s="36" t="str">
        <f t="shared" ca="1" si="0"/>
        <v>동일</v>
      </c>
      <c r="T2" s="36" t="str">
        <f t="shared" ca="1" si="0"/>
        <v>동일</v>
      </c>
      <c r="U2" s="36" t="str">
        <f t="shared" ca="1" si="0"/>
        <v>동일</v>
      </c>
      <c r="V2" s="36" t="str">
        <f t="shared" ca="1" si="0"/>
        <v>동일</v>
      </c>
      <c r="W2" s="36" t="str">
        <f t="shared" ca="1" si="0"/>
        <v>동일</v>
      </c>
      <c r="X2" s="36" t="str">
        <f t="shared" ca="1" si="0"/>
        <v>동일</v>
      </c>
      <c r="Y2" s="36" t="str">
        <f t="shared" ca="1" si="0"/>
        <v>동일</v>
      </c>
      <c r="Z2" s="36" t="str">
        <f t="shared" ca="1" si="0"/>
        <v>동일</v>
      </c>
      <c r="AA2" s="36" t="str">
        <f t="shared" ca="1" si="0"/>
        <v>동일</v>
      </c>
      <c r="AB2" s="36" t="str">
        <f t="shared" ca="1" si="0"/>
        <v>동일</v>
      </c>
      <c r="AC2" s="36" t="str">
        <f t="shared" ca="1" si="0"/>
        <v>동일</v>
      </c>
      <c r="AD2" s="36" t="str">
        <f t="shared" ca="1" si="0"/>
        <v>동일</v>
      </c>
      <c r="AE2" s="36" t="str">
        <f t="shared" ca="1" si="0"/>
        <v>동일</v>
      </c>
      <c r="AF2" s="36" t="str">
        <f t="shared" ca="1" si="0"/>
        <v>동일</v>
      </c>
      <c r="AG2" s="36" t="str">
        <f t="shared" ca="1" si="0"/>
        <v>동일</v>
      </c>
      <c r="AH2" s="36" t="str">
        <f t="shared" ca="1" si="0"/>
        <v>동일</v>
      </c>
      <c r="AI2" s="36" t="str">
        <f t="shared" ca="1" si="0"/>
        <v>동일</v>
      </c>
      <c r="AJ2" s="36" t="str">
        <f t="shared" ca="1" si="0"/>
        <v>동일</v>
      </c>
      <c r="AK2" s="36" t="str">
        <f t="shared" ca="1" si="0"/>
        <v>동일</v>
      </c>
      <c r="AL2" s="36" t="str">
        <f t="shared" ca="1" si="0"/>
        <v>동일</v>
      </c>
      <c r="AM2" s="36" t="str">
        <f t="shared" ca="1" si="0"/>
        <v>동일</v>
      </c>
      <c r="AN2" s="36" t="str">
        <f t="shared" ca="1" si="0"/>
        <v/>
      </c>
      <c r="AO2" s="36" t="str">
        <f t="shared" ca="1" si="0"/>
        <v/>
      </c>
      <c r="AP2" s="36" t="str">
        <f t="shared" ca="1" si="0"/>
        <v/>
      </c>
      <c r="AQ2" s="36" t="str">
        <f t="shared" ca="1" si="0"/>
        <v/>
      </c>
      <c r="AR2" s="36" t="str">
        <f t="shared" ca="1" si="0"/>
        <v/>
      </c>
      <c r="AS2" s="36" t="str">
        <f t="shared" ca="1" si="0"/>
        <v/>
      </c>
      <c r="AT2" s="36" t="str">
        <f t="shared" ca="1" si="0"/>
        <v/>
      </c>
      <c r="AU2" s="36"/>
      <c r="BF2" s="37" t="s">
        <v>617</v>
      </c>
      <c r="BG2" s="37" t="s">
        <v>636</v>
      </c>
    </row>
    <row r="3" spans="2:59" x14ac:dyDescent="0.3">
      <c r="Q3" s="36"/>
      <c r="R3" s="36">
        <f>전년!Q3</f>
        <v>1</v>
      </c>
      <c r="S3" s="36">
        <f>전년!R3</f>
        <v>1</v>
      </c>
      <c r="T3" s="36">
        <f>전년!S3</f>
        <v>2</v>
      </c>
      <c r="U3" s="36">
        <f>전년!T3</f>
        <v>2</v>
      </c>
      <c r="V3" s="36">
        <f>전년!U3</f>
        <v>2</v>
      </c>
      <c r="W3" s="36">
        <f>전년!V3</f>
        <v>2</v>
      </c>
      <c r="X3" s="36">
        <f>전년!W3</f>
        <v>2</v>
      </c>
      <c r="Y3" s="36">
        <f>전년!X3</f>
        <v>2</v>
      </c>
      <c r="Z3" s="36">
        <f>전년!Y3</f>
        <v>2</v>
      </c>
      <c r="AA3" s="36">
        <f>전년!Z3</f>
        <v>3</v>
      </c>
      <c r="AB3" s="36">
        <f>전년!AA3</f>
        <v>3</v>
      </c>
      <c r="AC3" s="36">
        <f>전년!AB3</f>
        <v>3</v>
      </c>
      <c r="AD3" s="36">
        <f>전년!AC3</f>
        <v>3</v>
      </c>
      <c r="AE3" s="36">
        <f>전년!AD3</f>
        <v>3</v>
      </c>
      <c r="AF3" s="36">
        <f>전년!AE3</f>
        <v>3</v>
      </c>
      <c r="AG3" s="36">
        <f>전년!AF3</f>
        <v>3</v>
      </c>
      <c r="AH3" s="36">
        <f>전년!AG3</f>
        <v>4</v>
      </c>
      <c r="AI3" s="36">
        <f>전년!AH3</f>
        <v>4</v>
      </c>
      <c r="AJ3" s="36">
        <f>전년!AI3</f>
        <v>4</v>
      </c>
      <c r="AK3" s="36">
        <f>전년!AJ3</f>
        <v>4</v>
      </c>
      <c r="AL3" s="36">
        <f>전년!AK3</f>
        <v>4</v>
      </c>
      <c r="AM3" s="36">
        <f>전년!AL3</f>
        <v>4</v>
      </c>
      <c r="AN3" s="36">
        <f>전년!AM3</f>
        <v>4</v>
      </c>
      <c r="AO3" s="36">
        <f>전년!AN3</f>
        <v>5</v>
      </c>
      <c r="AP3" s="36">
        <f>전년!AO3</f>
        <v>5</v>
      </c>
      <c r="AQ3" s="36">
        <f>전년!AP3</f>
        <v>5</v>
      </c>
      <c r="AR3" s="36">
        <f>전년!AQ3</f>
        <v>5</v>
      </c>
      <c r="AS3" s="36">
        <f>전년!AR3</f>
        <v>5</v>
      </c>
      <c r="AT3" s="36">
        <f>전년!AS3</f>
        <v>5</v>
      </c>
      <c r="AU3" s="36">
        <f>전년!AT3</f>
        <v>5</v>
      </c>
      <c r="AV3" s="36">
        <f>전년!AU3</f>
        <v>0</v>
      </c>
    </row>
    <row r="4" spans="2:59" x14ac:dyDescent="0.3">
      <c r="E4" s="208" t="s">
        <v>92</v>
      </c>
      <c r="Q4" s="36" t="str">
        <f>전년!P5</f>
        <v>금</v>
      </c>
      <c r="R4" s="36" t="str">
        <f>전년!Q5</f>
        <v>토</v>
      </c>
      <c r="S4" s="36" t="str">
        <f>전년!R5</f>
        <v>일</v>
      </c>
      <c r="T4" s="36" t="str">
        <f>전년!S5</f>
        <v>월</v>
      </c>
      <c r="U4" s="36" t="str">
        <f>전년!T5</f>
        <v>화</v>
      </c>
      <c r="V4" s="36" t="str">
        <f>전년!U5</f>
        <v>수</v>
      </c>
      <c r="W4" s="36" t="str">
        <f>전년!V5</f>
        <v>목</v>
      </c>
      <c r="X4" s="36" t="str">
        <f>전년!W5</f>
        <v>금</v>
      </c>
      <c r="Y4" s="36" t="str">
        <f>전년!X5</f>
        <v>토</v>
      </c>
      <c r="Z4" s="36" t="str">
        <f>전년!Y5</f>
        <v>일</v>
      </c>
      <c r="AA4" s="36" t="str">
        <f>전년!Z5</f>
        <v>월</v>
      </c>
      <c r="AB4" s="36" t="str">
        <f>전년!AA5</f>
        <v>화</v>
      </c>
      <c r="AC4" s="36" t="str">
        <f>전년!AB5</f>
        <v>수</v>
      </c>
      <c r="AD4" s="36" t="str">
        <f>전년!AC5</f>
        <v>목</v>
      </c>
      <c r="AE4" s="36" t="str">
        <f>전년!AD5</f>
        <v>금</v>
      </c>
      <c r="AF4" s="36" t="str">
        <f>전년!AE5</f>
        <v>토</v>
      </c>
      <c r="AG4" s="36" t="str">
        <f>전년!AF5</f>
        <v>일</v>
      </c>
      <c r="AH4" s="36" t="str">
        <f>전년!AG5</f>
        <v>월</v>
      </c>
      <c r="AI4" s="36" t="str">
        <f>전년!AH5</f>
        <v>화</v>
      </c>
      <c r="AJ4" s="36" t="str">
        <f>전년!AI5</f>
        <v>수</v>
      </c>
      <c r="AK4" s="36" t="str">
        <f>전년!AJ5</f>
        <v>목</v>
      </c>
      <c r="AL4" s="36" t="str">
        <f>전년!AK5</f>
        <v>금</v>
      </c>
      <c r="AM4" s="36" t="str">
        <f>전년!AL5</f>
        <v>토</v>
      </c>
      <c r="AN4" s="36" t="str">
        <f>전년!AM5</f>
        <v>일</v>
      </c>
      <c r="AO4" s="36" t="str">
        <f>전년!AN5</f>
        <v>월</v>
      </c>
      <c r="AP4" s="36" t="str">
        <f>전년!AO5</f>
        <v>화</v>
      </c>
      <c r="AQ4" s="36" t="str">
        <f>전년!AP5</f>
        <v>수</v>
      </c>
      <c r="AR4" s="36" t="str">
        <f>전년!AQ5</f>
        <v>목</v>
      </c>
      <c r="AS4" s="36" t="str">
        <f>전년!AR5</f>
        <v>금</v>
      </c>
      <c r="AT4" s="36" t="str">
        <f>전년!AS5</f>
        <v>토</v>
      </c>
      <c r="AU4" s="36" t="str">
        <f>전년!AT5</f>
        <v>일</v>
      </c>
      <c r="AV4" s="36">
        <f>전년!AU5</f>
        <v>0</v>
      </c>
      <c r="AZ4" s="86"/>
      <c r="BA4" s="86"/>
      <c r="BB4" s="86"/>
      <c r="BC4" s="86"/>
      <c r="BD4" s="86"/>
    </row>
    <row r="5" spans="2:59" x14ac:dyDescent="0.25">
      <c r="E5" s="83" t="s">
        <v>624</v>
      </c>
      <c r="F5" s="83" t="s">
        <v>625</v>
      </c>
      <c r="G5" s="83" t="s">
        <v>641</v>
      </c>
      <c r="H5" s="83" t="s">
        <v>626</v>
      </c>
      <c r="I5" s="84" t="s">
        <v>627</v>
      </c>
      <c r="J5" s="84" t="s">
        <v>628</v>
      </c>
      <c r="K5" s="84" t="s">
        <v>629</v>
      </c>
      <c r="L5" s="84" t="s">
        <v>630</v>
      </c>
      <c r="M5" s="84" t="s">
        <v>631</v>
      </c>
      <c r="N5" s="84" t="s">
        <v>632</v>
      </c>
      <c r="O5" s="84" t="s">
        <v>633</v>
      </c>
      <c r="P5" s="84" t="s">
        <v>634</v>
      </c>
      <c r="Q5" s="87">
        <f>전년!P6</f>
        <v>45597</v>
      </c>
      <c r="R5" s="87">
        <f>전년!Q6</f>
        <v>45598</v>
      </c>
      <c r="S5" s="87">
        <f>전년!R6</f>
        <v>45599</v>
      </c>
      <c r="T5" s="87">
        <f>전년!S6</f>
        <v>45600</v>
      </c>
      <c r="U5" s="87">
        <f>전년!T6</f>
        <v>45601</v>
      </c>
      <c r="V5" s="87">
        <f>전년!U6</f>
        <v>45602</v>
      </c>
      <c r="W5" s="87">
        <f>전년!V6</f>
        <v>45603</v>
      </c>
      <c r="X5" s="88">
        <f>전년!W6</f>
        <v>45604</v>
      </c>
      <c r="Y5" s="88">
        <f>전년!X6</f>
        <v>45605</v>
      </c>
      <c r="Z5" s="88">
        <f>전년!Y6</f>
        <v>45606</v>
      </c>
      <c r="AA5" s="88">
        <f>전년!Z6</f>
        <v>45607</v>
      </c>
      <c r="AB5" s="88">
        <f>전년!AA6</f>
        <v>45608</v>
      </c>
      <c r="AC5" s="87">
        <f>전년!AB6</f>
        <v>45609</v>
      </c>
      <c r="AD5" s="87">
        <f>전년!AC6</f>
        <v>45610</v>
      </c>
      <c r="AE5" s="87">
        <f>전년!AD6</f>
        <v>45611</v>
      </c>
      <c r="AF5" s="87">
        <f>전년!AE6</f>
        <v>45612</v>
      </c>
      <c r="AG5" s="87">
        <f>전년!AF6</f>
        <v>45613</v>
      </c>
      <c r="AH5" s="87">
        <f>전년!AG6</f>
        <v>45614</v>
      </c>
      <c r="AI5" s="87">
        <f>전년!AH6</f>
        <v>45615</v>
      </c>
      <c r="AJ5" s="87">
        <f>전년!AI6</f>
        <v>45616</v>
      </c>
      <c r="AK5" s="87">
        <f>전년!AJ6</f>
        <v>45617</v>
      </c>
      <c r="AL5" s="87">
        <f>전년!AK6</f>
        <v>45618</v>
      </c>
      <c r="AM5" s="87">
        <f>전년!AL6</f>
        <v>45619</v>
      </c>
      <c r="AN5" s="87">
        <f>전년!AM6</f>
        <v>45620</v>
      </c>
      <c r="AO5" s="87">
        <f>전년!AN6</f>
        <v>45621</v>
      </c>
      <c r="AP5" s="87">
        <f>전년!AO6</f>
        <v>45622</v>
      </c>
      <c r="AQ5" s="87">
        <f>전년!AP6</f>
        <v>45623</v>
      </c>
      <c r="AR5" s="87">
        <f>전년!AQ6</f>
        <v>45624</v>
      </c>
      <c r="AS5" s="87">
        <f>전년!AR6</f>
        <v>45625</v>
      </c>
      <c r="AT5" s="87">
        <f>전년!AS6</f>
        <v>45626</v>
      </c>
      <c r="AU5" s="87">
        <f>전년!AT6</f>
        <v>45627</v>
      </c>
      <c r="AV5" s="87">
        <f>전년!AU6</f>
        <v>0</v>
      </c>
      <c r="AZ5" s="86"/>
      <c r="BA5" s="86"/>
      <c r="BB5" s="86"/>
      <c r="BC5" s="86"/>
      <c r="BD5" s="86"/>
    </row>
    <row r="6" spans="2:59" x14ac:dyDescent="0.25">
      <c r="B6" s="37" t="str">
        <f>IFERROR(VLOOKUP($F6,매장구분!$B:$V,2,0),"")</f>
        <v>파트너채널팀</v>
      </c>
      <c r="C6" s="37" t="str">
        <f>IFERROR(VLOOKUP($F6,매장구분!$B:$V,4,0),"")</f>
        <v>백화점</v>
      </c>
      <c r="D6" s="37" t="str">
        <f>IF(G6="단체할인","단체",IF(G6="","","순수"))</f>
        <v>순수</v>
      </c>
      <c r="E6" s="85" t="s">
        <v>450</v>
      </c>
      <c r="F6" s="85" t="s">
        <v>451</v>
      </c>
      <c r="G6" s="85" t="s">
        <v>646</v>
      </c>
      <c r="H6" s="85">
        <v>1</v>
      </c>
      <c r="I6" s="86">
        <v>97300</v>
      </c>
      <c r="J6" s="86">
        <v>139000</v>
      </c>
      <c r="K6" s="86">
        <v>1</v>
      </c>
      <c r="L6" s="86">
        <v>97300</v>
      </c>
      <c r="M6" s="86">
        <v>139000</v>
      </c>
      <c r="N6" s="86">
        <v>0</v>
      </c>
      <c r="O6" s="86">
        <v>0</v>
      </c>
      <c r="P6" s="86">
        <v>0</v>
      </c>
      <c r="Q6" s="86">
        <v>0</v>
      </c>
      <c r="R6" s="86">
        <v>97300</v>
      </c>
      <c r="S6" s="86">
        <v>0</v>
      </c>
      <c r="T6" s="86">
        <v>0</v>
      </c>
      <c r="U6" s="86">
        <v>0</v>
      </c>
      <c r="V6" s="86">
        <v>0</v>
      </c>
      <c r="W6" s="86">
        <v>0</v>
      </c>
      <c r="X6" s="86">
        <v>0</v>
      </c>
      <c r="Y6" s="86">
        <v>0</v>
      </c>
      <c r="Z6" s="86">
        <v>0</v>
      </c>
      <c r="AA6" s="86">
        <v>0</v>
      </c>
      <c r="AB6" s="86">
        <v>0</v>
      </c>
      <c r="AC6" s="86">
        <v>0</v>
      </c>
      <c r="AD6" s="86">
        <v>0</v>
      </c>
      <c r="AE6" s="86">
        <v>0</v>
      </c>
      <c r="AF6" s="86">
        <v>0</v>
      </c>
      <c r="AG6" s="86">
        <v>0</v>
      </c>
      <c r="AH6" s="86">
        <v>0</v>
      </c>
      <c r="AI6" s="86">
        <v>0</v>
      </c>
      <c r="AJ6" s="86">
        <v>0</v>
      </c>
      <c r="AK6" s="86">
        <v>0</v>
      </c>
      <c r="AL6" s="86">
        <v>0</v>
      </c>
      <c r="AM6" s="86">
        <v>0</v>
      </c>
      <c r="AN6" s="86">
        <v>0</v>
      </c>
      <c r="AO6" s="86">
        <v>0</v>
      </c>
      <c r="AP6" s="86">
        <v>0</v>
      </c>
      <c r="AQ6" s="86">
        <v>0</v>
      </c>
      <c r="AR6" s="86">
        <v>0</v>
      </c>
      <c r="AS6" s="86">
        <v>0</v>
      </c>
      <c r="AT6" s="86">
        <v>0</v>
      </c>
      <c r="AU6" s="86">
        <v>0</v>
      </c>
      <c r="AZ6" s="86">
        <f>SUMIFS($R6:$AV6,$R$3:$AV$3,AZ$1)</f>
        <v>97300</v>
      </c>
      <c r="BA6" s="86">
        <f t="shared" ref="BA6:BD25" si="1">SUMIFS($R6:$AV6,$R$3:$AV$3,BA$1)</f>
        <v>0</v>
      </c>
      <c r="BB6" s="86">
        <f t="shared" si="1"/>
        <v>0</v>
      </c>
      <c r="BC6" s="86">
        <f t="shared" si="1"/>
        <v>0</v>
      </c>
      <c r="BD6" s="86">
        <f t="shared" si="1"/>
        <v>0</v>
      </c>
      <c r="BF6" s="86">
        <f ca="1">SUMIFS($Q6:$AU6,$Q$2:$AU$2,BF$2)</f>
        <v>97300</v>
      </c>
      <c r="BG6" s="86">
        <f>SUM(Q6:AT6)</f>
        <v>97300</v>
      </c>
    </row>
    <row r="7" spans="2:59" x14ac:dyDescent="0.25">
      <c r="B7" s="37" t="str">
        <f>IFERROR(VLOOKUP($F7,매장구분!$B:$V,2,0),"")</f>
        <v>파트너채널팀</v>
      </c>
      <c r="C7" s="37" t="str">
        <f>IFERROR(VLOOKUP($F7,매장구분!$B:$V,4,0),"")</f>
        <v>백화점</v>
      </c>
      <c r="D7" s="37" t="str">
        <f t="shared" ref="D7:D59" si="2">IF(G7="단체할인","단체",IF(G7="","","순수"))</f>
        <v>순수</v>
      </c>
      <c r="E7" s="85" t="s">
        <v>450</v>
      </c>
      <c r="F7" s="85" t="s">
        <v>451</v>
      </c>
      <c r="G7" s="85" t="s">
        <v>648</v>
      </c>
      <c r="H7" s="85">
        <v>15</v>
      </c>
      <c r="I7" s="86">
        <v>1047500</v>
      </c>
      <c r="J7" s="86">
        <v>2095000</v>
      </c>
      <c r="K7" s="86">
        <v>17</v>
      </c>
      <c r="L7" s="86">
        <v>1246500</v>
      </c>
      <c r="M7" s="86">
        <v>2493000</v>
      </c>
      <c r="N7" s="86">
        <v>-2</v>
      </c>
      <c r="O7" s="86">
        <v>-199000</v>
      </c>
      <c r="P7" s="86">
        <v>-398000</v>
      </c>
      <c r="Q7" s="86">
        <v>0</v>
      </c>
      <c r="R7" s="86">
        <v>0</v>
      </c>
      <c r="S7" s="86">
        <v>0</v>
      </c>
      <c r="T7" s="86">
        <v>0</v>
      </c>
      <c r="U7" s="86">
        <v>0</v>
      </c>
      <c r="V7" s="86">
        <v>0</v>
      </c>
      <c r="W7" s="86">
        <v>0</v>
      </c>
      <c r="X7" s="86">
        <v>99500</v>
      </c>
      <c r="Y7" s="86">
        <v>99500</v>
      </c>
      <c r="Z7" s="86">
        <v>0</v>
      </c>
      <c r="AA7" s="86">
        <v>491500</v>
      </c>
      <c r="AB7" s="86">
        <v>0</v>
      </c>
      <c r="AC7" s="86">
        <v>79500</v>
      </c>
      <c r="AD7" s="86">
        <v>0</v>
      </c>
      <c r="AE7" s="86">
        <v>0</v>
      </c>
      <c r="AF7" s="86">
        <v>0</v>
      </c>
      <c r="AG7" s="86">
        <v>-99500</v>
      </c>
      <c r="AH7" s="86">
        <v>99500</v>
      </c>
      <c r="AI7" s="86">
        <v>99500</v>
      </c>
      <c r="AJ7" s="86">
        <v>49500</v>
      </c>
      <c r="AK7" s="86">
        <v>0</v>
      </c>
      <c r="AL7" s="86">
        <v>0</v>
      </c>
      <c r="AM7" s="86">
        <v>0</v>
      </c>
      <c r="AN7" s="86">
        <v>0</v>
      </c>
      <c r="AO7" s="86">
        <v>0</v>
      </c>
      <c r="AP7" s="86">
        <v>0</v>
      </c>
      <c r="AQ7" s="86">
        <v>0</v>
      </c>
      <c r="AR7" s="86">
        <v>29500</v>
      </c>
      <c r="AS7" s="86">
        <v>49500</v>
      </c>
      <c r="AT7" s="86">
        <v>49500</v>
      </c>
      <c r="AU7" s="86">
        <v>0</v>
      </c>
      <c r="AZ7" s="86">
        <f t="shared" ref="AZ7:AZ22" si="3">SUMIFS($R7:$AV7,$R$3:$AV$3,AZ$1)</f>
        <v>0</v>
      </c>
      <c r="BA7" s="86">
        <f t="shared" si="1"/>
        <v>199000</v>
      </c>
      <c r="BB7" s="86">
        <f t="shared" si="1"/>
        <v>471500</v>
      </c>
      <c r="BC7" s="86">
        <f t="shared" si="1"/>
        <v>248500</v>
      </c>
      <c r="BD7" s="86">
        <f t="shared" si="1"/>
        <v>128500</v>
      </c>
      <c r="BF7" s="86">
        <f t="shared" ref="BF7:BF70" ca="1" si="4">SUMIFS($Q7:$AU7,$Q$2:$AU$2,BF$2)</f>
        <v>919000</v>
      </c>
      <c r="BG7" s="86">
        <f t="shared" ref="BG7:BG70" si="5">SUM(Q7:AT7)</f>
        <v>1047500</v>
      </c>
    </row>
    <row r="8" spans="2:59" x14ac:dyDescent="0.25">
      <c r="B8" s="37" t="str">
        <f>IFERROR(VLOOKUP($F8,매장구분!$B:$V,2,0),"")</f>
        <v>파트너채널팀</v>
      </c>
      <c r="C8" s="37" t="str">
        <f>IFERROR(VLOOKUP($F8,매장구분!$B:$V,4,0),"")</f>
        <v>백화점</v>
      </c>
      <c r="D8" s="37" t="str">
        <f t="shared" si="2"/>
        <v>단체</v>
      </c>
      <c r="E8" s="85" t="s">
        <v>450</v>
      </c>
      <c r="F8" s="85" t="s">
        <v>451</v>
      </c>
      <c r="G8" s="85" t="s">
        <v>642</v>
      </c>
      <c r="H8" s="85">
        <v>345</v>
      </c>
      <c r="I8" s="86">
        <v>110005730</v>
      </c>
      <c r="J8" s="86">
        <v>136871700</v>
      </c>
      <c r="K8" s="86">
        <v>345</v>
      </c>
      <c r="L8" s="86">
        <v>110005730</v>
      </c>
      <c r="M8" s="86">
        <v>136871700</v>
      </c>
      <c r="N8" s="86">
        <v>0</v>
      </c>
      <c r="O8" s="86">
        <v>0</v>
      </c>
      <c r="P8" s="86">
        <v>0</v>
      </c>
      <c r="Q8" s="86">
        <v>0</v>
      </c>
      <c r="R8" s="86">
        <v>0</v>
      </c>
      <c r="S8" s="86">
        <v>0</v>
      </c>
      <c r="T8" s="86">
        <v>0</v>
      </c>
      <c r="U8" s="86">
        <v>20560630</v>
      </c>
      <c r="V8" s="86">
        <v>0</v>
      </c>
      <c r="W8" s="86">
        <v>58756800</v>
      </c>
      <c r="X8" s="86">
        <v>0</v>
      </c>
      <c r="Y8" s="86">
        <v>0</v>
      </c>
      <c r="Z8" s="86">
        <v>0</v>
      </c>
      <c r="AA8" s="86">
        <v>0</v>
      </c>
      <c r="AB8" s="86">
        <v>0</v>
      </c>
      <c r="AC8" s="86">
        <v>0</v>
      </c>
      <c r="AD8" s="86">
        <v>0</v>
      </c>
      <c r="AE8" s="86">
        <v>0</v>
      </c>
      <c r="AF8" s="86">
        <v>0</v>
      </c>
      <c r="AG8" s="86">
        <v>0</v>
      </c>
      <c r="AH8" s="86">
        <v>0</v>
      </c>
      <c r="AI8" s="86">
        <v>0</v>
      </c>
      <c r="AJ8" s="86">
        <v>0</v>
      </c>
      <c r="AK8" s="86">
        <v>0</v>
      </c>
      <c r="AL8" s="86">
        <v>0</v>
      </c>
      <c r="AM8" s="86">
        <v>0</v>
      </c>
      <c r="AN8" s="86">
        <v>0</v>
      </c>
      <c r="AO8" s="86">
        <v>0</v>
      </c>
      <c r="AP8" s="86">
        <v>0</v>
      </c>
      <c r="AQ8" s="86">
        <v>0</v>
      </c>
      <c r="AR8" s="86">
        <v>0</v>
      </c>
      <c r="AS8" s="86">
        <v>30688300</v>
      </c>
      <c r="AT8" s="86">
        <v>0</v>
      </c>
      <c r="AU8" s="86">
        <v>0</v>
      </c>
      <c r="AZ8" s="86">
        <f t="shared" si="3"/>
        <v>0</v>
      </c>
      <c r="BA8" s="86">
        <f t="shared" si="1"/>
        <v>79317430</v>
      </c>
      <c r="BB8" s="86">
        <f t="shared" si="1"/>
        <v>0</v>
      </c>
      <c r="BC8" s="86">
        <f t="shared" si="1"/>
        <v>0</v>
      </c>
      <c r="BD8" s="86">
        <f t="shared" si="1"/>
        <v>30688300</v>
      </c>
      <c r="BF8" s="86">
        <f t="shared" ca="1" si="4"/>
        <v>79317430</v>
      </c>
      <c r="BG8" s="86">
        <f t="shared" si="5"/>
        <v>110005730</v>
      </c>
    </row>
    <row r="9" spans="2:59" x14ac:dyDescent="0.25">
      <c r="B9" s="37" t="str">
        <f>IFERROR(VLOOKUP($F9,매장구분!$B:$V,2,0),"")</f>
        <v>파트너채널팀</v>
      </c>
      <c r="C9" s="37" t="str">
        <f>IFERROR(VLOOKUP($F9,매장구분!$B:$V,4,0),"")</f>
        <v>백화점</v>
      </c>
      <c r="D9" s="37" t="str">
        <f t="shared" si="2"/>
        <v>순수</v>
      </c>
      <c r="E9" s="85" t="s">
        <v>450</v>
      </c>
      <c r="F9" s="85" t="s">
        <v>451</v>
      </c>
      <c r="G9" s="85" t="s">
        <v>643</v>
      </c>
      <c r="H9" s="85">
        <v>35</v>
      </c>
      <c r="I9" s="86">
        <v>6303000</v>
      </c>
      <c r="J9" s="86">
        <v>6609000</v>
      </c>
      <c r="K9" s="86">
        <v>38</v>
      </c>
      <c r="L9" s="86">
        <v>6910000</v>
      </c>
      <c r="M9" s="86">
        <v>7246000</v>
      </c>
      <c r="N9" s="86">
        <v>-3</v>
      </c>
      <c r="O9" s="86">
        <v>-607000</v>
      </c>
      <c r="P9" s="86">
        <v>-637000</v>
      </c>
      <c r="Q9" s="86">
        <v>0</v>
      </c>
      <c r="R9" s="86">
        <v>0</v>
      </c>
      <c r="S9" s="86">
        <v>0</v>
      </c>
      <c r="T9" s="86">
        <v>93000</v>
      </c>
      <c r="U9" s="86">
        <v>0</v>
      </c>
      <c r="V9" s="86">
        <v>0</v>
      </c>
      <c r="W9" s="86">
        <v>0</v>
      </c>
      <c r="X9" s="86">
        <v>0</v>
      </c>
      <c r="Y9" s="86">
        <v>0</v>
      </c>
      <c r="Z9" s="86">
        <v>806000</v>
      </c>
      <c r="AA9" s="86">
        <v>0</v>
      </c>
      <c r="AB9" s="86">
        <v>0</v>
      </c>
      <c r="AC9" s="86">
        <v>658000</v>
      </c>
      <c r="AD9" s="86">
        <v>0</v>
      </c>
      <c r="AE9" s="86">
        <v>676000</v>
      </c>
      <c r="AF9" s="86">
        <v>456000</v>
      </c>
      <c r="AG9" s="86">
        <v>139000</v>
      </c>
      <c r="AH9" s="86">
        <v>0</v>
      </c>
      <c r="AI9" s="86">
        <v>0</v>
      </c>
      <c r="AJ9" s="86">
        <v>697000</v>
      </c>
      <c r="AK9" s="86">
        <v>0</v>
      </c>
      <c r="AL9" s="86">
        <v>0</v>
      </c>
      <c r="AM9" s="86">
        <v>0</v>
      </c>
      <c r="AN9" s="86">
        <v>269000</v>
      </c>
      <c r="AO9" s="86">
        <v>0</v>
      </c>
      <c r="AP9" s="86">
        <v>0</v>
      </c>
      <c r="AQ9" s="86">
        <v>0</v>
      </c>
      <c r="AR9" s="86">
        <v>198000</v>
      </c>
      <c r="AS9" s="86">
        <v>510000</v>
      </c>
      <c r="AT9" s="86">
        <v>646000</v>
      </c>
      <c r="AU9" s="86">
        <v>1155000</v>
      </c>
      <c r="AZ9" s="86">
        <f t="shared" si="3"/>
        <v>0</v>
      </c>
      <c r="BA9" s="86">
        <f t="shared" si="1"/>
        <v>899000</v>
      </c>
      <c r="BB9" s="86">
        <f t="shared" si="1"/>
        <v>1929000</v>
      </c>
      <c r="BC9" s="86">
        <f t="shared" si="1"/>
        <v>966000</v>
      </c>
      <c r="BD9" s="86">
        <f t="shared" si="1"/>
        <v>2509000</v>
      </c>
      <c r="BF9" s="86">
        <f t="shared" ca="1" si="4"/>
        <v>3525000</v>
      </c>
      <c r="BG9" s="86">
        <f t="shared" si="5"/>
        <v>5148000</v>
      </c>
    </row>
    <row r="10" spans="2:59" x14ac:dyDescent="0.25">
      <c r="B10" s="37" t="str">
        <f>IFERROR(VLOOKUP($F10,매장구분!$B:$V,2,0),"")</f>
        <v>파트너채널팀</v>
      </c>
      <c r="C10" s="37" t="str">
        <f>IFERROR(VLOOKUP($F10,매장구분!$B:$V,4,0),"")</f>
        <v>백화점</v>
      </c>
      <c r="D10" s="37" t="str">
        <f t="shared" si="2"/>
        <v>순수</v>
      </c>
      <c r="E10" s="85" t="s">
        <v>450</v>
      </c>
      <c r="F10" s="85" t="s">
        <v>451</v>
      </c>
      <c r="G10" s="85" t="s">
        <v>644</v>
      </c>
      <c r="H10" s="85">
        <v>949</v>
      </c>
      <c r="I10" s="86">
        <v>94354500</v>
      </c>
      <c r="J10" s="86">
        <v>94354500</v>
      </c>
      <c r="K10" s="86">
        <v>1169</v>
      </c>
      <c r="L10" s="86">
        <v>171671500</v>
      </c>
      <c r="M10" s="86">
        <v>171671500</v>
      </c>
      <c r="N10" s="86">
        <v>-220</v>
      </c>
      <c r="O10" s="86">
        <v>-77317000</v>
      </c>
      <c r="P10" s="86">
        <v>-77317000</v>
      </c>
      <c r="Q10" s="86">
        <v>2454000</v>
      </c>
      <c r="R10" s="86">
        <v>3041000</v>
      </c>
      <c r="S10" s="86">
        <v>2024000</v>
      </c>
      <c r="T10" s="86">
        <v>1965000</v>
      </c>
      <c r="U10" s="86">
        <v>2908000</v>
      </c>
      <c r="V10" s="86">
        <v>1547900</v>
      </c>
      <c r="W10" s="86">
        <v>2265000</v>
      </c>
      <c r="X10" s="86">
        <v>2900800</v>
      </c>
      <c r="Y10" s="86">
        <v>4612000</v>
      </c>
      <c r="Z10" s="86">
        <v>6191000</v>
      </c>
      <c r="AA10" s="86">
        <v>3606000</v>
      </c>
      <c r="AB10" s="86">
        <v>3115000</v>
      </c>
      <c r="AC10" s="86">
        <v>1518000</v>
      </c>
      <c r="AD10" s="86">
        <v>2737000</v>
      </c>
      <c r="AE10" s="86">
        <v>2871000</v>
      </c>
      <c r="AF10" s="86">
        <v>4328000</v>
      </c>
      <c r="AG10" s="86">
        <v>5181000</v>
      </c>
      <c r="AH10" s="86">
        <v>2654000</v>
      </c>
      <c r="AI10" s="86">
        <v>2607900</v>
      </c>
      <c r="AJ10" s="86">
        <v>2283000</v>
      </c>
      <c r="AK10" s="86">
        <v>1623000</v>
      </c>
      <c r="AL10" s="86">
        <v>3927000</v>
      </c>
      <c r="AM10" s="86">
        <v>6640000</v>
      </c>
      <c r="AN10" s="86">
        <v>5375000</v>
      </c>
      <c r="AO10" s="86">
        <v>0</v>
      </c>
      <c r="AP10" s="86">
        <v>2544000</v>
      </c>
      <c r="AQ10" s="86">
        <v>3331000</v>
      </c>
      <c r="AR10" s="86">
        <v>1602000</v>
      </c>
      <c r="AS10" s="86">
        <v>1245900</v>
      </c>
      <c r="AT10" s="86">
        <v>4099000</v>
      </c>
      <c r="AU10" s="86">
        <v>3158000</v>
      </c>
      <c r="AZ10" s="86">
        <f t="shared" si="3"/>
        <v>5065000</v>
      </c>
      <c r="BA10" s="86">
        <f t="shared" si="1"/>
        <v>22389700</v>
      </c>
      <c r="BB10" s="86">
        <f t="shared" si="1"/>
        <v>23356000</v>
      </c>
      <c r="BC10" s="86">
        <f t="shared" si="1"/>
        <v>25109900</v>
      </c>
      <c r="BD10" s="86">
        <f t="shared" si="1"/>
        <v>15979900</v>
      </c>
      <c r="BF10" s="86">
        <f t="shared" ca="1" si="4"/>
        <v>72999600</v>
      </c>
      <c r="BG10" s="86">
        <f t="shared" si="5"/>
        <v>91196500</v>
      </c>
    </row>
    <row r="11" spans="2:59" x14ac:dyDescent="0.25">
      <c r="B11" s="37" t="str">
        <f>IFERROR(VLOOKUP($F11,매장구분!$B:$V,2,0),"")</f>
        <v>파트너채널팀</v>
      </c>
      <c r="C11" s="37" t="str">
        <f>IFERROR(VLOOKUP($F11,매장구분!$B:$V,4,0),"")</f>
        <v>백화점</v>
      </c>
      <c r="D11" s="37" t="str">
        <f t="shared" si="2"/>
        <v>순수</v>
      </c>
      <c r="E11" s="85" t="s">
        <v>450</v>
      </c>
      <c r="F11" s="85" t="s">
        <v>451</v>
      </c>
      <c r="G11" s="85" t="s">
        <v>645</v>
      </c>
      <c r="H11" s="85">
        <v>21</v>
      </c>
      <c r="I11" s="86">
        <v>2932200</v>
      </c>
      <c r="J11" s="86">
        <v>3258000</v>
      </c>
      <c r="K11" s="86">
        <v>21</v>
      </c>
      <c r="L11" s="86">
        <v>2932200</v>
      </c>
      <c r="M11" s="86">
        <v>3258000</v>
      </c>
      <c r="N11" s="86">
        <v>0</v>
      </c>
      <c r="O11" s="86">
        <v>0</v>
      </c>
      <c r="P11" s="86">
        <v>0</v>
      </c>
      <c r="Q11" s="86">
        <v>0</v>
      </c>
      <c r="R11" s="86">
        <v>968400</v>
      </c>
      <c r="S11" s="86">
        <v>910800</v>
      </c>
      <c r="T11" s="86">
        <v>125100</v>
      </c>
      <c r="U11" s="86">
        <v>538200</v>
      </c>
      <c r="V11" s="86">
        <v>0</v>
      </c>
      <c r="W11" s="86">
        <v>0</v>
      </c>
      <c r="X11" s="86">
        <v>62100</v>
      </c>
      <c r="Y11" s="86">
        <v>0</v>
      </c>
      <c r="Z11" s="86">
        <v>0</v>
      </c>
      <c r="AA11" s="86">
        <v>0</v>
      </c>
      <c r="AB11" s="86">
        <v>0</v>
      </c>
      <c r="AC11" s="86">
        <v>44100</v>
      </c>
      <c r="AD11" s="86">
        <v>0</v>
      </c>
      <c r="AE11" s="86">
        <v>0</v>
      </c>
      <c r="AF11" s="86">
        <v>0</v>
      </c>
      <c r="AG11" s="86">
        <v>0</v>
      </c>
      <c r="AH11" s="86">
        <v>0</v>
      </c>
      <c r="AI11" s="86">
        <v>0</v>
      </c>
      <c r="AJ11" s="86">
        <v>38700</v>
      </c>
      <c r="AK11" s="86">
        <v>0</v>
      </c>
      <c r="AL11" s="86">
        <v>244800</v>
      </c>
      <c r="AM11" s="86">
        <v>0</v>
      </c>
      <c r="AN11" s="86">
        <v>0</v>
      </c>
      <c r="AO11" s="86">
        <v>0</v>
      </c>
      <c r="AP11" s="86">
        <v>0</v>
      </c>
      <c r="AQ11" s="86">
        <v>0</v>
      </c>
      <c r="AR11" s="86">
        <v>0</v>
      </c>
      <c r="AS11" s="86">
        <v>0</v>
      </c>
      <c r="AT11" s="86">
        <v>0</v>
      </c>
      <c r="AU11" s="86">
        <v>0</v>
      </c>
      <c r="AZ11" s="86">
        <f t="shared" si="3"/>
        <v>1879200</v>
      </c>
      <c r="BA11" s="86">
        <f t="shared" si="1"/>
        <v>725400</v>
      </c>
      <c r="BB11" s="86">
        <f t="shared" si="1"/>
        <v>44100</v>
      </c>
      <c r="BC11" s="86">
        <f t="shared" si="1"/>
        <v>283500</v>
      </c>
      <c r="BD11" s="86">
        <f t="shared" si="1"/>
        <v>0</v>
      </c>
      <c r="BF11" s="86">
        <f t="shared" ca="1" si="4"/>
        <v>2932200</v>
      </c>
      <c r="BG11" s="86">
        <f t="shared" si="5"/>
        <v>2932200</v>
      </c>
    </row>
    <row r="12" spans="2:59" x14ac:dyDescent="0.25">
      <c r="B12" s="37" t="str">
        <f>IFERROR(VLOOKUP($F12,매장구분!$B:$V,2,0),"")</f>
        <v>파트너채널팀</v>
      </c>
      <c r="C12" s="37" t="str">
        <f>IFERROR(VLOOKUP($F12,매장구분!$B:$V,4,0),"")</f>
        <v>백화점</v>
      </c>
      <c r="D12" s="37" t="str">
        <f t="shared" si="2"/>
        <v>순수</v>
      </c>
      <c r="E12" s="85" t="s">
        <v>269</v>
      </c>
      <c r="F12" s="85" t="s">
        <v>270</v>
      </c>
      <c r="G12" s="85" t="s">
        <v>648</v>
      </c>
      <c r="H12" s="85">
        <v>30</v>
      </c>
      <c r="I12" s="86">
        <v>2985000</v>
      </c>
      <c r="J12" s="86">
        <v>5970000</v>
      </c>
      <c r="K12" s="86">
        <v>30</v>
      </c>
      <c r="L12" s="86">
        <v>2985000</v>
      </c>
      <c r="M12" s="86">
        <v>5970000</v>
      </c>
      <c r="N12" s="86">
        <v>0</v>
      </c>
      <c r="O12" s="86">
        <v>0</v>
      </c>
      <c r="P12" s="86">
        <v>0</v>
      </c>
      <c r="Q12" s="86">
        <v>0</v>
      </c>
      <c r="R12" s="86">
        <v>0</v>
      </c>
      <c r="S12" s="86">
        <v>0</v>
      </c>
      <c r="T12" s="86">
        <v>0</v>
      </c>
      <c r="U12" s="86">
        <v>0</v>
      </c>
      <c r="V12" s="86">
        <v>0</v>
      </c>
      <c r="W12" s="86">
        <v>0</v>
      </c>
      <c r="X12" s="86">
        <v>0</v>
      </c>
      <c r="Y12" s="86">
        <v>0</v>
      </c>
      <c r="Z12" s="86">
        <v>0</v>
      </c>
      <c r="AA12" s="86">
        <v>0</v>
      </c>
      <c r="AB12" s="86">
        <v>0</v>
      </c>
      <c r="AC12" s="86">
        <v>0</v>
      </c>
      <c r="AD12" s="86">
        <v>2985000</v>
      </c>
      <c r="AE12" s="86">
        <v>0</v>
      </c>
      <c r="AF12" s="86">
        <v>0</v>
      </c>
      <c r="AG12" s="86">
        <v>0</v>
      </c>
      <c r="AH12" s="86">
        <v>0</v>
      </c>
      <c r="AI12" s="86">
        <v>0</v>
      </c>
      <c r="AJ12" s="86">
        <v>0</v>
      </c>
      <c r="AK12" s="86">
        <v>0</v>
      </c>
      <c r="AL12" s="86">
        <v>0</v>
      </c>
      <c r="AM12" s="86">
        <v>0</v>
      </c>
      <c r="AN12" s="86">
        <v>0</v>
      </c>
      <c r="AO12" s="86">
        <v>0</v>
      </c>
      <c r="AP12" s="86">
        <v>0</v>
      </c>
      <c r="AQ12" s="86">
        <v>0</v>
      </c>
      <c r="AR12" s="86">
        <v>0</v>
      </c>
      <c r="AS12" s="86">
        <v>0</v>
      </c>
      <c r="AT12" s="86">
        <v>0</v>
      </c>
      <c r="AU12" s="86">
        <v>0</v>
      </c>
      <c r="AZ12" s="86">
        <f t="shared" si="3"/>
        <v>0</v>
      </c>
      <c r="BA12" s="86">
        <f t="shared" si="1"/>
        <v>0</v>
      </c>
      <c r="BB12" s="86">
        <f t="shared" si="1"/>
        <v>2985000</v>
      </c>
      <c r="BC12" s="86">
        <f t="shared" si="1"/>
        <v>0</v>
      </c>
      <c r="BD12" s="86">
        <f t="shared" si="1"/>
        <v>0</v>
      </c>
      <c r="BF12" s="86">
        <f t="shared" ca="1" si="4"/>
        <v>2985000</v>
      </c>
      <c r="BG12" s="86">
        <f t="shared" si="5"/>
        <v>2985000</v>
      </c>
    </row>
    <row r="13" spans="2:59" x14ac:dyDescent="0.25">
      <c r="B13" s="37" t="str">
        <f>IFERROR(VLOOKUP($F13,매장구분!$B:$V,2,0),"")</f>
        <v>파트너채널팀</v>
      </c>
      <c r="C13" s="37" t="str">
        <f>IFERROR(VLOOKUP($F13,매장구분!$B:$V,4,0),"")</f>
        <v>백화점</v>
      </c>
      <c r="D13" s="37" t="str">
        <f t="shared" si="2"/>
        <v>단체</v>
      </c>
      <c r="E13" s="85" t="s">
        <v>269</v>
      </c>
      <c r="F13" s="85" t="s">
        <v>270</v>
      </c>
      <c r="G13" s="85" t="s">
        <v>642</v>
      </c>
      <c r="H13" s="85">
        <v>2770</v>
      </c>
      <c r="I13" s="86">
        <v>432242500</v>
      </c>
      <c r="J13" s="86">
        <v>504524000</v>
      </c>
      <c r="K13" s="86">
        <v>2770</v>
      </c>
      <c r="L13" s="86">
        <v>432242500</v>
      </c>
      <c r="M13" s="86">
        <v>504524000</v>
      </c>
      <c r="N13" s="86">
        <v>0</v>
      </c>
      <c r="O13" s="86">
        <v>0</v>
      </c>
      <c r="P13" s="86">
        <v>0</v>
      </c>
      <c r="Q13" s="86">
        <v>0</v>
      </c>
      <c r="R13" s="86">
        <v>0</v>
      </c>
      <c r="S13" s="86">
        <v>0</v>
      </c>
      <c r="T13" s="86">
        <v>74244700</v>
      </c>
      <c r="U13" s="86">
        <v>0</v>
      </c>
      <c r="V13" s="86">
        <v>0</v>
      </c>
      <c r="W13" s="86">
        <v>0</v>
      </c>
      <c r="X13" s="86">
        <v>0</v>
      </c>
      <c r="Y13" s="86">
        <v>0</v>
      </c>
      <c r="Z13" s="86">
        <v>0</v>
      </c>
      <c r="AA13" s="86">
        <v>122483800</v>
      </c>
      <c r="AB13" s="86">
        <v>0</v>
      </c>
      <c r="AC13" s="86">
        <v>0</v>
      </c>
      <c r="AD13" s="86">
        <v>0</v>
      </c>
      <c r="AE13" s="86">
        <v>0</v>
      </c>
      <c r="AF13" s="86">
        <v>0</v>
      </c>
      <c r="AG13" s="86">
        <v>0</v>
      </c>
      <c r="AH13" s="86">
        <v>120860900</v>
      </c>
      <c r="AI13" s="86">
        <v>0</v>
      </c>
      <c r="AJ13" s="86">
        <v>0</v>
      </c>
      <c r="AK13" s="86">
        <v>0</v>
      </c>
      <c r="AL13" s="86">
        <v>0</v>
      </c>
      <c r="AM13" s="86">
        <v>0</v>
      </c>
      <c r="AN13" s="86">
        <v>0</v>
      </c>
      <c r="AO13" s="86">
        <v>0</v>
      </c>
      <c r="AP13" s="86">
        <v>110707500</v>
      </c>
      <c r="AQ13" s="86">
        <v>3945600</v>
      </c>
      <c r="AR13" s="86">
        <v>0</v>
      </c>
      <c r="AS13" s="86">
        <v>0</v>
      </c>
      <c r="AT13" s="86">
        <v>0</v>
      </c>
      <c r="AU13" s="86">
        <v>0</v>
      </c>
      <c r="AZ13" s="86">
        <f t="shared" si="3"/>
        <v>0</v>
      </c>
      <c r="BA13" s="86">
        <f t="shared" si="1"/>
        <v>74244700</v>
      </c>
      <c r="BB13" s="86">
        <f t="shared" si="1"/>
        <v>122483800</v>
      </c>
      <c r="BC13" s="86">
        <f t="shared" si="1"/>
        <v>120860900</v>
      </c>
      <c r="BD13" s="86">
        <f t="shared" si="1"/>
        <v>114653100</v>
      </c>
      <c r="BF13" s="86">
        <f t="shared" ca="1" si="4"/>
        <v>317589400</v>
      </c>
      <c r="BG13" s="86">
        <f t="shared" si="5"/>
        <v>432242500</v>
      </c>
    </row>
    <row r="14" spans="2:59" x14ac:dyDescent="0.3">
      <c r="B14" s="37" t="str">
        <f>IFERROR(VLOOKUP($F14,매장구분!$B:$V,2,0),"")</f>
        <v>파트너채널팀</v>
      </c>
      <c r="C14" s="37" t="str">
        <f>IFERROR(VLOOKUP($F14,매장구분!$B:$V,4,0),"")</f>
        <v>백화점</v>
      </c>
      <c r="D14" s="37" t="str">
        <f t="shared" si="2"/>
        <v>순수</v>
      </c>
      <c r="E14" s="37" t="s">
        <v>269</v>
      </c>
      <c r="F14" s="37" t="s">
        <v>270</v>
      </c>
      <c r="G14" s="37" t="s">
        <v>643</v>
      </c>
      <c r="H14" s="37">
        <v>47</v>
      </c>
      <c r="I14" s="37">
        <v>2293000</v>
      </c>
      <c r="J14" s="37">
        <v>2743000</v>
      </c>
      <c r="K14" s="37">
        <v>48</v>
      </c>
      <c r="L14" s="37">
        <v>2562000</v>
      </c>
      <c r="M14" s="37">
        <v>3022000</v>
      </c>
      <c r="N14" s="37">
        <v>-1</v>
      </c>
      <c r="O14" s="37">
        <v>-269000</v>
      </c>
      <c r="P14" s="37">
        <v>-279000</v>
      </c>
      <c r="Q14" s="37">
        <v>0</v>
      </c>
      <c r="R14" s="37">
        <v>84000</v>
      </c>
      <c r="S14" s="37">
        <v>0</v>
      </c>
      <c r="T14" s="37">
        <v>52000</v>
      </c>
      <c r="U14" s="37">
        <v>108000</v>
      </c>
      <c r="V14" s="37">
        <v>26000</v>
      </c>
      <c r="W14" s="37">
        <v>55000</v>
      </c>
      <c r="X14" s="37">
        <v>52000</v>
      </c>
      <c r="Y14" s="37">
        <v>111000</v>
      </c>
      <c r="Z14" s="37">
        <v>329000</v>
      </c>
      <c r="AA14" s="37">
        <v>0</v>
      </c>
      <c r="AB14" s="37">
        <v>49000</v>
      </c>
      <c r="AC14" s="37">
        <v>55000</v>
      </c>
      <c r="AD14" s="37">
        <v>0</v>
      </c>
      <c r="AE14" s="37">
        <v>151000</v>
      </c>
      <c r="AF14" s="37">
        <v>192000</v>
      </c>
      <c r="AG14" s="37">
        <v>208000</v>
      </c>
      <c r="AH14" s="37">
        <v>0</v>
      </c>
      <c r="AI14" s="37">
        <v>26000</v>
      </c>
      <c r="AJ14" s="37">
        <v>295000</v>
      </c>
      <c r="AK14" s="37">
        <v>-217000</v>
      </c>
      <c r="AL14" s="37">
        <v>101000</v>
      </c>
      <c r="AM14" s="37">
        <v>0</v>
      </c>
      <c r="AN14" s="37">
        <v>398000</v>
      </c>
      <c r="AO14" s="37">
        <v>0</v>
      </c>
      <c r="AP14" s="37">
        <v>0</v>
      </c>
      <c r="AQ14" s="37">
        <v>0</v>
      </c>
      <c r="AR14" s="37">
        <v>79000</v>
      </c>
      <c r="AS14" s="37">
        <v>0</v>
      </c>
      <c r="AT14" s="37">
        <v>139000</v>
      </c>
      <c r="AU14" s="37">
        <v>0</v>
      </c>
      <c r="AZ14" s="86">
        <f t="shared" si="3"/>
        <v>84000</v>
      </c>
      <c r="BA14" s="86">
        <f t="shared" si="1"/>
        <v>733000</v>
      </c>
      <c r="BB14" s="86">
        <f t="shared" si="1"/>
        <v>655000</v>
      </c>
      <c r="BC14" s="86">
        <f t="shared" si="1"/>
        <v>603000</v>
      </c>
      <c r="BD14" s="86">
        <f t="shared" si="1"/>
        <v>218000</v>
      </c>
      <c r="BF14" s="86">
        <f t="shared" ca="1" si="4"/>
        <v>1677000</v>
      </c>
      <c r="BG14" s="86">
        <f t="shared" si="5"/>
        <v>2293000</v>
      </c>
    </row>
    <row r="15" spans="2:59" x14ac:dyDescent="0.3">
      <c r="B15" s="37" t="str">
        <f>IFERROR(VLOOKUP($F15,매장구분!$B:$V,2,0),"")</f>
        <v>파트너채널팀</v>
      </c>
      <c r="C15" s="37" t="str">
        <f>IFERROR(VLOOKUP($F15,매장구분!$B:$V,4,0),"")</f>
        <v>백화점</v>
      </c>
      <c r="D15" s="37" t="str">
        <f t="shared" si="2"/>
        <v>순수</v>
      </c>
      <c r="E15" s="37" t="s">
        <v>269</v>
      </c>
      <c r="F15" s="37" t="s">
        <v>270</v>
      </c>
      <c r="G15" s="37" t="s">
        <v>644</v>
      </c>
      <c r="H15" s="37">
        <v>721</v>
      </c>
      <c r="I15" s="37">
        <v>46005000</v>
      </c>
      <c r="J15" s="37">
        <v>46005000</v>
      </c>
      <c r="K15" s="37">
        <v>835</v>
      </c>
      <c r="L15" s="37">
        <v>80936000</v>
      </c>
      <c r="M15" s="37">
        <v>80936000</v>
      </c>
      <c r="N15" s="37">
        <v>-114</v>
      </c>
      <c r="O15" s="37">
        <v>-34931000</v>
      </c>
      <c r="P15" s="37">
        <v>-34931000</v>
      </c>
      <c r="Q15" s="37">
        <v>1379000</v>
      </c>
      <c r="R15" s="37">
        <v>908000</v>
      </c>
      <c r="S15" s="37">
        <v>1294000</v>
      </c>
      <c r="T15" s="37">
        <v>914000</v>
      </c>
      <c r="U15" s="37">
        <v>1907000</v>
      </c>
      <c r="V15" s="37">
        <v>1387000</v>
      </c>
      <c r="W15" s="37">
        <v>767000</v>
      </c>
      <c r="X15" s="37">
        <v>1094000</v>
      </c>
      <c r="Y15" s="37">
        <v>1431000</v>
      </c>
      <c r="Z15" s="37">
        <v>1947000</v>
      </c>
      <c r="AA15" s="37">
        <v>0</v>
      </c>
      <c r="AB15" s="37">
        <v>1903000</v>
      </c>
      <c r="AC15" s="37">
        <v>1968000</v>
      </c>
      <c r="AD15" s="37">
        <v>1564000</v>
      </c>
      <c r="AE15" s="37">
        <v>1337000</v>
      </c>
      <c r="AF15" s="37">
        <v>1068000</v>
      </c>
      <c r="AG15" s="37">
        <v>1125000</v>
      </c>
      <c r="AH15" s="37">
        <v>1315000</v>
      </c>
      <c r="AI15" s="37">
        <v>985000</v>
      </c>
      <c r="AJ15" s="37">
        <v>948000</v>
      </c>
      <c r="AK15" s="37">
        <v>539000</v>
      </c>
      <c r="AL15" s="37">
        <v>1040000</v>
      </c>
      <c r="AM15" s="37">
        <v>1432000</v>
      </c>
      <c r="AN15" s="37">
        <v>1936000</v>
      </c>
      <c r="AO15" s="37">
        <v>732000</v>
      </c>
      <c r="AP15" s="37">
        <v>1912000</v>
      </c>
      <c r="AQ15" s="37">
        <v>1025000</v>
      </c>
      <c r="AR15" s="37">
        <v>1998000</v>
      </c>
      <c r="AS15" s="37">
        <v>1455000</v>
      </c>
      <c r="AT15" s="37">
        <v>7176000</v>
      </c>
      <c r="AU15" s="37">
        <v>1519000</v>
      </c>
      <c r="AZ15" s="86">
        <f t="shared" si="3"/>
        <v>2202000</v>
      </c>
      <c r="BA15" s="86">
        <f t="shared" si="1"/>
        <v>9447000</v>
      </c>
      <c r="BB15" s="86">
        <f t="shared" si="1"/>
        <v>8965000</v>
      </c>
      <c r="BC15" s="86">
        <f t="shared" si="1"/>
        <v>8195000</v>
      </c>
      <c r="BD15" s="86">
        <f t="shared" si="1"/>
        <v>15817000</v>
      </c>
      <c r="BF15" s="86">
        <f t="shared" ca="1" si="4"/>
        <v>28252000</v>
      </c>
      <c r="BG15" s="86">
        <f t="shared" si="5"/>
        <v>44486000</v>
      </c>
    </row>
    <row r="16" spans="2:59" x14ac:dyDescent="0.3">
      <c r="B16" s="37" t="str">
        <f>IFERROR(VLOOKUP($F16,매장구분!$B:$V,2,0),"")</f>
        <v>파트너채널팀</v>
      </c>
      <c r="C16" s="37" t="str">
        <f>IFERROR(VLOOKUP($F16,매장구분!$B:$V,4,0),"")</f>
        <v>백화점</v>
      </c>
      <c r="D16" s="37" t="str">
        <f t="shared" si="2"/>
        <v>순수</v>
      </c>
      <c r="E16" s="37" t="s">
        <v>269</v>
      </c>
      <c r="F16" s="37" t="s">
        <v>270</v>
      </c>
      <c r="G16" s="37" t="s">
        <v>645</v>
      </c>
      <c r="H16" s="37">
        <v>58</v>
      </c>
      <c r="I16" s="37">
        <v>5005800</v>
      </c>
      <c r="J16" s="37">
        <v>5562000</v>
      </c>
      <c r="K16" s="37">
        <v>58</v>
      </c>
      <c r="L16" s="37">
        <v>5005800</v>
      </c>
      <c r="M16" s="37">
        <v>5562000</v>
      </c>
      <c r="N16" s="37">
        <v>0</v>
      </c>
      <c r="O16" s="37">
        <v>0</v>
      </c>
      <c r="P16" s="37">
        <v>0</v>
      </c>
      <c r="Q16" s="37">
        <v>202500</v>
      </c>
      <c r="R16" s="37">
        <v>458100</v>
      </c>
      <c r="S16" s="37">
        <v>393300</v>
      </c>
      <c r="T16" s="37">
        <v>0</v>
      </c>
      <c r="U16" s="37">
        <v>1261800</v>
      </c>
      <c r="V16" s="37">
        <v>823500</v>
      </c>
      <c r="W16" s="37">
        <v>615600</v>
      </c>
      <c r="X16" s="37">
        <v>560700</v>
      </c>
      <c r="Y16" s="37">
        <v>0</v>
      </c>
      <c r="Z16" s="37">
        <v>0</v>
      </c>
      <c r="AA16" s="37">
        <v>0</v>
      </c>
      <c r="AB16" s="37">
        <v>690300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Z16" s="86">
        <f t="shared" si="3"/>
        <v>851400</v>
      </c>
      <c r="BA16" s="86">
        <f t="shared" si="1"/>
        <v>3261600</v>
      </c>
      <c r="BB16" s="86">
        <f t="shared" si="1"/>
        <v>690300</v>
      </c>
      <c r="BC16" s="86">
        <f t="shared" si="1"/>
        <v>0</v>
      </c>
      <c r="BD16" s="86">
        <f t="shared" si="1"/>
        <v>0</v>
      </c>
      <c r="BF16" s="86">
        <f t="shared" ca="1" si="4"/>
        <v>5005800</v>
      </c>
      <c r="BG16" s="86">
        <f t="shared" si="5"/>
        <v>5005800</v>
      </c>
    </row>
    <row r="17" spans="2:59" x14ac:dyDescent="0.3">
      <c r="B17" s="37" t="str">
        <f>IFERROR(VLOOKUP($F17,매장구분!$B:$V,2,0),"")</f>
        <v>리테일채널팀</v>
      </c>
      <c r="C17" s="37" t="str">
        <f>IFERROR(VLOOKUP($F17,매장구분!$B:$V,4,0),"")</f>
        <v>직영점</v>
      </c>
      <c r="D17" s="37" t="str">
        <f t="shared" si="2"/>
        <v>순수</v>
      </c>
      <c r="E17" s="37" t="s">
        <v>398</v>
      </c>
      <c r="F17" s="37" t="s">
        <v>399</v>
      </c>
      <c r="G17" s="37" t="s">
        <v>646</v>
      </c>
      <c r="H17" s="37">
        <v>2</v>
      </c>
      <c r="I17" s="37">
        <v>156800</v>
      </c>
      <c r="J17" s="37">
        <v>224000</v>
      </c>
      <c r="K17" s="37">
        <v>2</v>
      </c>
      <c r="L17" s="37">
        <v>156800</v>
      </c>
      <c r="M17" s="37">
        <v>224000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90300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66500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Z17" s="86">
        <f t="shared" si="3"/>
        <v>0</v>
      </c>
      <c r="BA17" s="86">
        <f t="shared" si="1"/>
        <v>90300</v>
      </c>
      <c r="BB17" s="86">
        <f t="shared" si="1"/>
        <v>66500</v>
      </c>
      <c r="BC17" s="86">
        <f t="shared" si="1"/>
        <v>0</v>
      </c>
      <c r="BD17" s="86">
        <f t="shared" si="1"/>
        <v>0</v>
      </c>
      <c r="BF17" s="86">
        <f t="shared" ca="1" si="4"/>
        <v>156800</v>
      </c>
      <c r="BG17" s="86">
        <f t="shared" si="5"/>
        <v>156800</v>
      </c>
    </row>
    <row r="18" spans="2:59" x14ac:dyDescent="0.3">
      <c r="B18" s="37" t="str">
        <f>IFERROR(VLOOKUP($F18,매장구분!$B:$V,2,0),"")</f>
        <v>리테일채널팀</v>
      </c>
      <c r="C18" s="37" t="str">
        <f>IFERROR(VLOOKUP($F18,매장구분!$B:$V,4,0),"")</f>
        <v>직영점</v>
      </c>
      <c r="D18" s="37" t="str">
        <f t="shared" si="2"/>
        <v>단체</v>
      </c>
      <c r="E18" s="37" t="s">
        <v>398</v>
      </c>
      <c r="F18" s="37" t="s">
        <v>399</v>
      </c>
      <c r="G18" s="37" t="s">
        <v>642</v>
      </c>
      <c r="H18" s="37">
        <v>2170</v>
      </c>
      <c r="I18" s="37">
        <v>292553800</v>
      </c>
      <c r="J18" s="37">
        <v>417934000</v>
      </c>
      <c r="K18" s="37">
        <v>2170</v>
      </c>
      <c r="L18" s="37">
        <v>292553800</v>
      </c>
      <c r="M18" s="37">
        <v>417934000</v>
      </c>
      <c r="N18" s="37">
        <v>0</v>
      </c>
      <c r="O18" s="37">
        <v>0</v>
      </c>
      <c r="P18" s="37">
        <v>0</v>
      </c>
      <c r="Q18" s="37">
        <v>6528200</v>
      </c>
      <c r="R18" s="37">
        <v>0</v>
      </c>
      <c r="S18" s="37">
        <v>0</v>
      </c>
      <c r="T18" s="37">
        <v>52766700</v>
      </c>
      <c r="U18" s="37">
        <v>10949400</v>
      </c>
      <c r="V18" s="37">
        <v>8303400</v>
      </c>
      <c r="W18" s="37">
        <v>0</v>
      </c>
      <c r="X18" s="37">
        <v>0</v>
      </c>
      <c r="Y18" s="37">
        <v>0</v>
      </c>
      <c r="Z18" s="37">
        <v>0</v>
      </c>
      <c r="AA18" s="37">
        <v>60091500</v>
      </c>
      <c r="AB18" s="37">
        <v>19930400</v>
      </c>
      <c r="AC18" s="37">
        <v>28449400</v>
      </c>
      <c r="AD18" s="37">
        <v>0</v>
      </c>
      <c r="AE18" s="37">
        <v>0</v>
      </c>
      <c r="AF18" s="37">
        <v>0</v>
      </c>
      <c r="AG18" s="37">
        <v>0</v>
      </c>
      <c r="AH18" s="37">
        <v>25949000</v>
      </c>
      <c r="AI18" s="37">
        <v>22983800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15733200</v>
      </c>
      <c r="AP18" s="37">
        <v>0</v>
      </c>
      <c r="AQ18" s="37">
        <v>0</v>
      </c>
      <c r="AR18" s="37">
        <v>34389600</v>
      </c>
      <c r="AS18" s="37">
        <v>0</v>
      </c>
      <c r="AT18" s="37">
        <v>0</v>
      </c>
      <c r="AU18" s="37">
        <v>6479200</v>
      </c>
      <c r="AZ18" s="86">
        <f t="shared" si="3"/>
        <v>0</v>
      </c>
      <c r="BA18" s="86">
        <f t="shared" si="1"/>
        <v>72019500</v>
      </c>
      <c r="BB18" s="86">
        <f t="shared" si="1"/>
        <v>108471300</v>
      </c>
      <c r="BC18" s="86">
        <f t="shared" si="1"/>
        <v>48932800</v>
      </c>
      <c r="BD18" s="86">
        <f t="shared" si="1"/>
        <v>56602000</v>
      </c>
      <c r="BF18" s="86">
        <f t="shared" ca="1" si="4"/>
        <v>235951800</v>
      </c>
      <c r="BG18" s="86">
        <f t="shared" si="5"/>
        <v>286074600</v>
      </c>
    </row>
    <row r="19" spans="2:59" x14ac:dyDescent="0.3">
      <c r="B19" s="37" t="str">
        <f>IFERROR(VLOOKUP($F19,매장구분!$B:$V,2,0),"")</f>
        <v>리테일채널팀</v>
      </c>
      <c r="C19" s="37" t="str">
        <f>IFERROR(VLOOKUP($F19,매장구분!$B:$V,4,0),"")</f>
        <v>직영점</v>
      </c>
      <c r="D19" s="37" t="str">
        <f t="shared" si="2"/>
        <v>순수</v>
      </c>
      <c r="E19" s="37" t="s">
        <v>398</v>
      </c>
      <c r="F19" s="37" t="s">
        <v>399</v>
      </c>
      <c r="G19" s="37" t="s">
        <v>643</v>
      </c>
      <c r="H19" s="37">
        <v>13</v>
      </c>
      <c r="I19" s="37">
        <v>1064000</v>
      </c>
      <c r="J19" s="37">
        <v>1166000</v>
      </c>
      <c r="K19" s="37">
        <v>16</v>
      </c>
      <c r="L19" s="37">
        <v>1419000</v>
      </c>
      <c r="M19" s="37">
        <v>1553000</v>
      </c>
      <c r="N19" s="37">
        <v>-3</v>
      </c>
      <c r="O19" s="37">
        <v>-355000</v>
      </c>
      <c r="P19" s="37">
        <v>-387000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355000</v>
      </c>
      <c r="W19" s="37">
        <v>-169000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26000</v>
      </c>
      <c r="AH19" s="37">
        <v>0</v>
      </c>
      <c r="AI19" s="37">
        <v>26000</v>
      </c>
      <c r="AJ19" s="37">
        <v>160000</v>
      </c>
      <c r="AK19" s="37">
        <v>0</v>
      </c>
      <c r="AL19" s="37">
        <v>0</v>
      </c>
      <c r="AM19" s="37">
        <v>0</v>
      </c>
      <c r="AN19" s="37">
        <v>388000</v>
      </c>
      <c r="AO19" s="37">
        <v>0</v>
      </c>
      <c r="AP19" s="37">
        <v>0</v>
      </c>
      <c r="AQ19" s="37">
        <v>0</v>
      </c>
      <c r="AR19" s="37">
        <v>0</v>
      </c>
      <c r="AS19" s="37">
        <v>109000</v>
      </c>
      <c r="AT19" s="37">
        <v>169000</v>
      </c>
      <c r="AU19" s="37">
        <v>0</v>
      </c>
      <c r="AZ19" s="86">
        <f t="shared" si="3"/>
        <v>0</v>
      </c>
      <c r="BA19" s="86">
        <f t="shared" si="1"/>
        <v>186000</v>
      </c>
      <c r="BB19" s="86">
        <f t="shared" si="1"/>
        <v>26000</v>
      </c>
      <c r="BC19" s="86">
        <f t="shared" si="1"/>
        <v>574000</v>
      </c>
      <c r="BD19" s="86">
        <f t="shared" si="1"/>
        <v>278000</v>
      </c>
      <c r="BF19" s="86">
        <f t="shared" ca="1" si="4"/>
        <v>398000</v>
      </c>
      <c r="BG19" s="86">
        <f t="shared" si="5"/>
        <v>1064000</v>
      </c>
    </row>
    <row r="20" spans="2:59" x14ac:dyDescent="0.3">
      <c r="B20" s="37" t="str">
        <f>IFERROR(VLOOKUP($F20,매장구분!$B:$V,2,0),"")</f>
        <v>리테일채널팀</v>
      </c>
      <c r="C20" s="37" t="str">
        <f>IFERROR(VLOOKUP($F20,매장구분!$B:$V,4,0),"")</f>
        <v>직영점</v>
      </c>
      <c r="D20" s="37" t="str">
        <f t="shared" si="2"/>
        <v>순수</v>
      </c>
      <c r="E20" s="37" t="s">
        <v>398</v>
      </c>
      <c r="F20" s="37" t="s">
        <v>399</v>
      </c>
      <c r="G20" s="37" t="s">
        <v>644</v>
      </c>
      <c r="H20" s="37">
        <v>1203</v>
      </c>
      <c r="I20" s="37">
        <v>106527800</v>
      </c>
      <c r="J20" s="37">
        <v>106527800</v>
      </c>
      <c r="K20" s="37">
        <v>1396</v>
      </c>
      <c r="L20" s="37">
        <v>164966800</v>
      </c>
      <c r="M20" s="37">
        <v>164966800</v>
      </c>
      <c r="N20" s="37">
        <v>-193</v>
      </c>
      <c r="O20" s="37">
        <v>-58439000</v>
      </c>
      <c r="P20" s="37">
        <v>-58439000</v>
      </c>
      <c r="Q20" s="37">
        <v>2841000</v>
      </c>
      <c r="R20" s="37">
        <v>3622000</v>
      </c>
      <c r="S20" s="37">
        <v>5856000</v>
      </c>
      <c r="T20" s="37">
        <v>2574000</v>
      </c>
      <c r="U20" s="37">
        <v>2663000</v>
      </c>
      <c r="V20" s="37">
        <v>5801000</v>
      </c>
      <c r="W20" s="37">
        <v>4049000</v>
      </c>
      <c r="X20" s="37">
        <v>3727000</v>
      </c>
      <c r="Y20" s="37">
        <v>4216000</v>
      </c>
      <c r="Z20" s="37">
        <v>4252900</v>
      </c>
      <c r="AA20" s="37">
        <v>4715000</v>
      </c>
      <c r="AB20" s="37">
        <v>3657000</v>
      </c>
      <c r="AC20" s="37">
        <v>2087000</v>
      </c>
      <c r="AD20" s="37">
        <v>2486000</v>
      </c>
      <c r="AE20" s="37">
        <v>2899000</v>
      </c>
      <c r="AF20" s="37">
        <v>4301000</v>
      </c>
      <c r="AG20" s="37">
        <v>5553000</v>
      </c>
      <c r="AH20" s="37">
        <v>2797000</v>
      </c>
      <c r="AI20" s="37">
        <v>3451900</v>
      </c>
      <c r="AJ20" s="37">
        <v>3799000</v>
      </c>
      <c r="AK20" s="37">
        <v>3108000</v>
      </c>
      <c r="AL20" s="37">
        <v>1499000</v>
      </c>
      <c r="AM20" s="37">
        <v>4151000</v>
      </c>
      <c r="AN20" s="37">
        <v>3179000</v>
      </c>
      <c r="AO20" s="37">
        <v>1253000</v>
      </c>
      <c r="AP20" s="37">
        <v>3707000</v>
      </c>
      <c r="AQ20" s="37">
        <v>1268000</v>
      </c>
      <c r="AR20" s="37">
        <v>2586000</v>
      </c>
      <c r="AS20" s="37">
        <v>2918000</v>
      </c>
      <c r="AT20" s="37">
        <v>3912000</v>
      </c>
      <c r="AU20" s="37">
        <v>3599000</v>
      </c>
      <c r="AZ20" s="86">
        <f t="shared" si="3"/>
        <v>9478000</v>
      </c>
      <c r="BA20" s="86">
        <f t="shared" si="1"/>
        <v>27282900</v>
      </c>
      <c r="BB20" s="86">
        <f t="shared" si="1"/>
        <v>25698000</v>
      </c>
      <c r="BC20" s="86">
        <f t="shared" si="1"/>
        <v>21984900</v>
      </c>
      <c r="BD20" s="86">
        <f t="shared" si="1"/>
        <v>19243000</v>
      </c>
      <c r="BF20" s="86">
        <f t="shared" ca="1" si="4"/>
        <v>84105800</v>
      </c>
      <c r="BG20" s="86">
        <f t="shared" si="5"/>
        <v>102928800</v>
      </c>
    </row>
    <row r="21" spans="2:59" x14ac:dyDescent="0.3">
      <c r="B21" s="37" t="str">
        <f>IFERROR(VLOOKUP($F21,매장구분!$B:$V,2,0),"")</f>
        <v>리테일채널팀</v>
      </c>
      <c r="C21" s="37" t="str">
        <f>IFERROR(VLOOKUP($F21,매장구분!$B:$V,4,0),"")</f>
        <v>직영점</v>
      </c>
      <c r="D21" s="37" t="str">
        <f t="shared" si="2"/>
        <v>순수</v>
      </c>
      <c r="E21" s="37" t="s">
        <v>398</v>
      </c>
      <c r="F21" s="37" t="s">
        <v>399</v>
      </c>
      <c r="G21" s="37" t="s">
        <v>645</v>
      </c>
      <c r="H21" s="37">
        <v>3</v>
      </c>
      <c r="I21" s="37">
        <v>273600</v>
      </c>
      <c r="J21" s="37">
        <v>304000</v>
      </c>
      <c r="K21" s="37">
        <v>3</v>
      </c>
      <c r="L21" s="37">
        <v>273600</v>
      </c>
      <c r="M21" s="37">
        <v>304000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76500</v>
      </c>
      <c r="U21" s="37">
        <v>0</v>
      </c>
      <c r="V21" s="37">
        <v>197100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Z21" s="86">
        <f t="shared" si="3"/>
        <v>0</v>
      </c>
      <c r="BA21" s="86">
        <f t="shared" si="1"/>
        <v>273600</v>
      </c>
      <c r="BB21" s="86">
        <f t="shared" si="1"/>
        <v>0</v>
      </c>
      <c r="BC21" s="86">
        <f t="shared" si="1"/>
        <v>0</v>
      </c>
      <c r="BD21" s="86">
        <f t="shared" si="1"/>
        <v>0</v>
      </c>
      <c r="BF21" s="86">
        <f t="shared" ca="1" si="4"/>
        <v>273600</v>
      </c>
      <c r="BG21" s="86">
        <f t="shared" si="5"/>
        <v>273600</v>
      </c>
    </row>
    <row r="22" spans="2:59" x14ac:dyDescent="0.3">
      <c r="B22" s="37" t="str">
        <f>IFERROR(VLOOKUP($F22,매장구분!$B:$V,2,0),"")</f>
        <v>리테일채널팀</v>
      </c>
      <c r="C22" s="37" t="str">
        <f>IFERROR(VLOOKUP($F22,매장구분!$B:$V,4,0),"")</f>
        <v>직영점</v>
      </c>
      <c r="D22" s="37" t="str">
        <f t="shared" si="2"/>
        <v>순수</v>
      </c>
      <c r="E22" s="37" t="s">
        <v>386</v>
      </c>
      <c r="F22" s="37" t="s">
        <v>387</v>
      </c>
      <c r="G22" s="37" t="s">
        <v>646</v>
      </c>
      <c r="H22" s="37">
        <v>21</v>
      </c>
      <c r="I22" s="37">
        <v>1364300</v>
      </c>
      <c r="J22" s="37">
        <v>1949000</v>
      </c>
      <c r="K22" s="37">
        <v>21</v>
      </c>
      <c r="L22" s="37">
        <v>1364300</v>
      </c>
      <c r="M22" s="37">
        <v>1949000</v>
      </c>
      <c r="N22" s="37">
        <v>0</v>
      </c>
      <c r="O22" s="37">
        <v>0</v>
      </c>
      <c r="P22" s="37">
        <v>0</v>
      </c>
      <c r="Q22" s="37">
        <v>174300</v>
      </c>
      <c r="R22" s="37">
        <v>45500</v>
      </c>
      <c r="S22" s="37">
        <v>166600</v>
      </c>
      <c r="T22" s="37">
        <v>0</v>
      </c>
      <c r="U22" s="37">
        <v>55300</v>
      </c>
      <c r="V22" s="37">
        <v>0</v>
      </c>
      <c r="W22" s="37">
        <v>138600</v>
      </c>
      <c r="X22" s="37">
        <v>100800</v>
      </c>
      <c r="Y22" s="37">
        <v>83300</v>
      </c>
      <c r="Z22" s="37">
        <v>83300</v>
      </c>
      <c r="AA22" s="37">
        <v>0</v>
      </c>
      <c r="AB22" s="37">
        <v>0</v>
      </c>
      <c r="AC22" s="37">
        <v>0</v>
      </c>
      <c r="AD22" s="37">
        <v>83300</v>
      </c>
      <c r="AE22" s="37">
        <v>83300</v>
      </c>
      <c r="AF22" s="37">
        <v>0</v>
      </c>
      <c r="AG22" s="37">
        <v>0</v>
      </c>
      <c r="AH22" s="37">
        <v>55300</v>
      </c>
      <c r="AI22" s="37">
        <v>45500</v>
      </c>
      <c r="AJ22" s="37">
        <v>0</v>
      </c>
      <c r="AK22" s="37">
        <v>55300</v>
      </c>
      <c r="AL22" s="37">
        <v>0</v>
      </c>
      <c r="AM22" s="37">
        <v>0</v>
      </c>
      <c r="AN22" s="37">
        <v>0</v>
      </c>
      <c r="AO22" s="37">
        <v>0</v>
      </c>
      <c r="AP22" s="37">
        <v>138600</v>
      </c>
      <c r="AQ22" s="37">
        <v>0</v>
      </c>
      <c r="AR22" s="37">
        <v>0</v>
      </c>
      <c r="AS22" s="37">
        <v>0</v>
      </c>
      <c r="AT22" s="37">
        <v>55300</v>
      </c>
      <c r="AU22" s="37">
        <v>0</v>
      </c>
      <c r="AZ22" s="86">
        <f t="shared" si="3"/>
        <v>212100</v>
      </c>
      <c r="BA22" s="86">
        <f t="shared" si="1"/>
        <v>461300</v>
      </c>
      <c r="BB22" s="86">
        <f t="shared" si="1"/>
        <v>166600</v>
      </c>
      <c r="BC22" s="86">
        <f t="shared" si="1"/>
        <v>156100</v>
      </c>
      <c r="BD22" s="86">
        <f t="shared" si="1"/>
        <v>193900</v>
      </c>
      <c r="BF22" s="86">
        <f t="shared" ca="1" si="4"/>
        <v>1170400</v>
      </c>
      <c r="BG22" s="86">
        <f t="shared" si="5"/>
        <v>1364300</v>
      </c>
    </row>
    <row r="23" spans="2:59" x14ac:dyDescent="0.3">
      <c r="B23" s="37" t="str">
        <f>IFERROR(VLOOKUP($F23,매장구분!$B:$V,2,0),"")</f>
        <v>리테일채널팀</v>
      </c>
      <c r="C23" s="37" t="str">
        <f>IFERROR(VLOOKUP($F23,매장구분!$B:$V,4,0),"")</f>
        <v>직영점</v>
      </c>
      <c r="D23" s="37" t="str">
        <f t="shared" si="2"/>
        <v>단체</v>
      </c>
      <c r="E23" s="37" t="s">
        <v>386</v>
      </c>
      <c r="F23" s="37" t="s">
        <v>387</v>
      </c>
      <c r="G23" s="37" t="s">
        <v>642</v>
      </c>
      <c r="H23" s="37">
        <v>195</v>
      </c>
      <c r="I23" s="37">
        <v>30452100</v>
      </c>
      <c r="J23" s="37">
        <v>43503000</v>
      </c>
      <c r="K23" s="37">
        <v>265</v>
      </c>
      <c r="L23" s="37">
        <v>37085900</v>
      </c>
      <c r="M23" s="37">
        <v>52529000</v>
      </c>
      <c r="N23" s="37">
        <v>-70</v>
      </c>
      <c r="O23" s="37">
        <v>-6633800</v>
      </c>
      <c r="P23" s="37">
        <v>-9026000</v>
      </c>
      <c r="Q23" s="37">
        <v>0</v>
      </c>
      <c r="R23" s="37">
        <v>0</v>
      </c>
      <c r="S23" s="37">
        <v>0</v>
      </c>
      <c r="T23" s="37">
        <v>0</v>
      </c>
      <c r="U23" s="37">
        <v>9508100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13295100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7648900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Z23" s="86">
        <f t="shared" ref="AZ23:BD38" si="6">SUMIFS($R23:$AV23,$R$3:$AV$3,AZ$1)</f>
        <v>0</v>
      </c>
      <c r="BA23" s="86">
        <f t="shared" si="1"/>
        <v>9508100</v>
      </c>
      <c r="BB23" s="86">
        <f t="shared" si="1"/>
        <v>13295100</v>
      </c>
      <c r="BC23" s="86">
        <f t="shared" si="1"/>
        <v>7648900</v>
      </c>
      <c r="BD23" s="86">
        <f t="shared" si="1"/>
        <v>0</v>
      </c>
      <c r="BF23" s="86">
        <f t="shared" ca="1" si="4"/>
        <v>30452100</v>
      </c>
      <c r="BG23" s="86">
        <f t="shared" si="5"/>
        <v>30452100</v>
      </c>
    </row>
    <row r="24" spans="2:59" x14ac:dyDescent="0.3">
      <c r="B24" s="37" t="str">
        <f>IFERROR(VLOOKUP($F24,매장구분!$B:$V,2,0),"")</f>
        <v>리테일채널팀</v>
      </c>
      <c r="C24" s="37" t="str">
        <f>IFERROR(VLOOKUP($F24,매장구분!$B:$V,4,0),"")</f>
        <v>직영점</v>
      </c>
      <c r="D24" s="37" t="str">
        <f t="shared" si="2"/>
        <v>순수</v>
      </c>
      <c r="E24" s="37" t="s">
        <v>386</v>
      </c>
      <c r="F24" s="37" t="s">
        <v>387</v>
      </c>
      <c r="G24" s="37" t="s">
        <v>644</v>
      </c>
      <c r="H24" s="37">
        <v>1459</v>
      </c>
      <c r="I24" s="37">
        <v>116892800</v>
      </c>
      <c r="J24" s="37">
        <v>116892800</v>
      </c>
      <c r="K24" s="37">
        <v>1483</v>
      </c>
      <c r="L24" s="37">
        <v>118968800</v>
      </c>
      <c r="M24" s="37">
        <v>118968800</v>
      </c>
      <c r="N24" s="37">
        <v>-24</v>
      </c>
      <c r="O24" s="37">
        <v>-2076000</v>
      </c>
      <c r="P24" s="37">
        <v>-2076000</v>
      </c>
      <c r="Q24" s="37">
        <v>4894000</v>
      </c>
      <c r="R24" s="37">
        <v>7739000</v>
      </c>
      <c r="S24" s="37">
        <v>4138000</v>
      </c>
      <c r="T24" s="37">
        <v>4647000</v>
      </c>
      <c r="U24" s="37">
        <v>5849000</v>
      </c>
      <c r="V24" s="37">
        <v>2530000</v>
      </c>
      <c r="W24" s="37">
        <v>2596000</v>
      </c>
      <c r="X24" s="37">
        <v>3227000</v>
      </c>
      <c r="Y24" s="37">
        <v>5377000</v>
      </c>
      <c r="Z24" s="37">
        <v>3761000</v>
      </c>
      <c r="AA24" s="37">
        <v>1553000</v>
      </c>
      <c r="AB24" s="37">
        <v>4078000</v>
      </c>
      <c r="AC24" s="37">
        <v>1962000</v>
      </c>
      <c r="AD24" s="37">
        <v>4801000</v>
      </c>
      <c r="AE24" s="37">
        <v>5194800</v>
      </c>
      <c r="AF24" s="37">
        <v>3252000</v>
      </c>
      <c r="AG24" s="37">
        <v>4697000</v>
      </c>
      <c r="AH24" s="37">
        <v>3230000</v>
      </c>
      <c r="AI24" s="37">
        <v>5117000</v>
      </c>
      <c r="AJ24" s="37">
        <v>1835000</v>
      </c>
      <c r="AK24" s="37">
        <v>3461000</v>
      </c>
      <c r="AL24" s="37">
        <v>2261000</v>
      </c>
      <c r="AM24" s="37">
        <v>3523000</v>
      </c>
      <c r="AN24" s="37">
        <v>2973000</v>
      </c>
      <c r="AO24" s="37">
        <v>2974000</v>
      </c>
      <c r="AP24" s="37">
        <v>1910000</v>
      </c>
      <c r="AQ24" s="37">
        <v>2095000</v>
      </c>
      <c r="AR24" s="37">
        <v>2202000</v>
      </c>
      <c r="AS24" s="37">
        <v>2825000</v>
      </c>
      <c r="AT24" s="37">
        <v>6931000</v>
      </c>
      <c r="AU24" s="37">
        <v>5260000</v>
      </c>
      <c r="AZ24" s="86">
        <f t="shared" si="6"/>
        <v>11877000</v>
      </c>
      <c r="BA24" s="86">
        <f t="shared" si="1"/>
        <v>27987000</v>
      </c>
      <c r="BB24" s="86">
        <f t="shared" si="1"/>
        <v>25537800</v>
      </c>
      <c r="BC24" s="86">
        <f t="shared" si="1"/>
        <v>22400000</v>
      </c>
      <c r="BD24" s="86">
        <f t="shared" si="1"/>
        <v>24197000</v>
      </c>
      <c r="BF24" s="86">
        <f t="shared" ca="1" si="4"/>
        <v>89722800</v>
      </c>
      <c r="BG24" s="86">
        <f t="shared" si="5"/>
        <v>111632800</v>
      </c>
    </row>
    <row r="25" spans="2:59" x14ac:dyDescent="0.3">
      <c r="B25" s="37" t="str">
        <f>IFERROR(VLOOKUP($F25,매장구분!$B:$V,2,0),"")</f>
        <v>리테일채널팀</v>
      </c>
      <c r="C25" s="37" t="str">
        <f>IFERROR(VLOOKUP($F25,매장구분!$B:$V,4,0),"")</f>
        <v>직영점</v>
      </c>
      <c r="D25" s="37" t="str">
        <f t="shared" si="2"/>
        <v>순수</v>
      </c>
      <c r="E25" s="37" t="s">
        <v>386</v>
      </c>
      <c r="F25" s="37" t="s">
        <v>387</v>
      </c>
      <c r="G25" s="37" t="s">
        <v>645</v>
      </c>
      <c r="H25" s="37">
        <v>1</v>
      </c>
      <c r="I25" s="37">
        <v>35100</v>
      </c>
      <c r="J25" s="37">
        <v>39000</v>
      </c>
      <c r="K25" s="37">
        <v>1</v>
      </c>
      <c r="L25" s="37">
        <v>35100</v>
      </c>
      <c r="M25" s="37">
        <v>39000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35100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Z25" s="86">
        <f t="shared" si="6"/>
        <v>0</v>
      </c>
      <c r="BA25" s="86">
        <f t="shared" si="1"/>
        <v>35100</v>
      </c>
      <c r="BB25" s="86">
        <f t="shared" si="1"/>
        <v>0</v>
      </c>
      <c r="BC25" s="86">
        <f t="shared" si="1"/>
        <v>0</v>
      </c>
      <c r="BD25" s="86">
        <f t="shared" si="1"/>
        <v>0</v>
      </c>
      <c r="BF25" s="86">
        <f t="shared" ca="1" si="4"/>
        <v>35100</v>
      </c>
      <c r="BG25" s="86">
        <f t="shared" si="5"/>
        <v>35100</v>
      </c>
    </row>
    <row r="26" spans="2:59" x14ac:dyDescent="0.3">
      <c r="B26" s="37" t="str">
        <f>IFERROR(VLOOKUP($F26,매장구분!$B:$V,2,0),"")</f>
        <v>리테일채널팀</v>
      </c>
      <c r="C26" s="37" t="str">
        <f>IFERROR(VLOOKUP($F26,매장구분!$B:$V,4,0),"")</f>
        <v>직영점</v>
      </c>
      <c r="D26" s="37" t="str">
        <f t="shared" si="2"/>
        <v>순수</v>
      </c>
      <c r="E26" s="37" t="s">
        <v>538</v>
      </c>
      <c r="F26" s="37" t="s">
        <v>539</v>
      </c>
      <c r="G26" s="37" t="s">
        <v>646</v>
      </c>
      <c r="H26" s="37">
        <v>40</v>
      </c>
      <c r="I26" s="37">
        <v>3889200</v>
      </c>
      <c r="J26" s="37">
        <v>5556000</v>
      </c>
      <c r="K26" s="37">
        <v>40</v>
      </c>
      <c r="L26" s="37">
        <v>3889200</v>
      </c>
      <c r="M26" s="37">
        <v>5556000</v>
      </c>
      <c r="N26" s="37">
        <v>0</v>
      </c>
      <c r="O26" s="37">
        <v>0</v>
      </c>
      <c r="P26" s="37">
        <v>0</v>
      </c>
      <c r="Q26" s="37">
        <v>104300</v>
      </c>
      <c r="R26" s="37">
        <v>577500</v>
      </c>
      <c r="S26" s="37">
        <v>0</v>
      </c>
      <c r="T26" s="37">
        <v>104300</v>
      </c>
      <c r="U26" s="37">
        <v>97300</v>
      </c>
      <c r="V26" s="37">
        <v>0</v>
      </c>
      <c r="W26" s="37">
        <v>447300</v>
      </c>
      <c r="X26" s="37">
        <v>0</v>
      </c>
      <c r="Y26" s="37">
        <v>104300</v>
      </c>
      <c r="Z26" s="37">
        <v>208600</v>
      </c>
      <c r="AA26" s="37">
        <v>291900</v>
      </c>
      <c r="AB26" s="37">
        <v>139300</v>
      </c>
      <c r="AC26" s="37">
        <v>208600</v>
      </c>
      <c r="AD26" s="37">
        <v>104300</v>
      </c>
      <c r="AE26" s="37">
        <v>163800</v>
      </c>
      <c r="AF26" s="37">
        <v>83300</v>
      </c>
      <c r="AG26" s="37">
        <v>0</v>
      </c>
      <c r="AH26" s="37">
        <v>0</v>
      </c>
      <c r="AI26" s="37">
        <v>0</v>
      </c>
      <c r="AJ26" s="37">
        <v>194600</v>
      </c>
      <c r="AK26" s="37">
        <v>0</v>
      </c>
      <c r="AL26" s="37">
        <v>201600</v>
      </c>
      <c r="AM26" s="37">
        <v>0</v>
      </c>
      <c r="AN26" s="37">
        <v>166600</v>
      </c>
      <c r="AO26" s="37">
        <v>0</v>
      </c>
      <c r="AP26" s="37">
        <v>0</v>
      </c>
      <c r="AQ26" s="37">
        <v>0</v>
      </c>
      <c r="AR26" s="37">
        <v>173600</v>
      </c>
      <c r="AS26" s="37">
        <v>128800</v>
      </c>
      <c r="AT26" s="37">
        <v>180600</v>
      </c>
      <c r="AU26" s="37">
        <v>208600</v>
      </c>
      <c r="AZ26" s="86">
        <f t="shared" si="6"/>
        <v>577500</v>
      </c>
      <c r="BA26" s="86">
        <f t="shared" si="6"/>
        <v>961800</v>
      </c>
      <c r="BB26" s="86">
        <f t="shared" si="6"/>
        <v>991200</v>
      </c>
      <c r="BC26" s="86">
        <f t="shared" si="6"/>
        <v>562800</v>
      </c>
      <c r="BD26" s="86">
        <f t="shared" si="6"/>
        <v>691600</v>
      </c>
      <c r="BF26" s="86">
        <f t="shared" ca="1" si="4"/>
        <v>3031000</v>
      </c>
      <c r="BG26" s="86">
        <f t="shared" si="5"/>
        <v>3680600</v>
      </c>
    </row>
    <row r="27" spans="2:59" x14ac:dyDescent="0.3">
      <c r="B27" s="37" t="str">
        <f>IFERROR(VLOOKUP($F27,매장구분!$B:$V,2,0),"")</f>
        <v>리테일채널팀</v>
      </c>
      <c r="C27" s="37" t="str">
        <f>IFERROR(VLOOKUP($F27,매장구분!$B:$V,4,0),"")</f>
        <v>직영점</v>
      </c>
      <c r="D27" s="37" t="str">
        <f t="shared" si="2"/>
        <v>단체</v>
      </c>
      <c r="E27" s="37" t="s">
        <v>538</v>
      </c>
      <c r="F27" s="37" t="s">
        <v>539</v>
      </c>
      <c r="G27" s="37" t="s">
        <v>642</v>
      </c>
      <c r="H27" s="37">
        <v>79</v>
      </c>
      <c r="I27" s="37">
        <v>27454700</v>
      </c>
      <c r="J27" s="37">
        <v>39221000</v>
      </c>
      <c r="K27" s="37">
        <v>79</v>
      </c>
      <c r="L27" s="37">
        <v>27454700</v>
      </c>
      <c r="M27" s="37">
        <v>39221000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15222900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12231800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Z27" s="86">
        <f t="shared" si="6"/>
        <v>0</v>
      </c>
      <c r="BA27" s="86">
        <f t="shared" si="6"/>
        <v>0</v>
      </c>
      <c r="BB27" s="86">
        <f t="shared" si="6"/>
        <v>15222900</v>
      </c>
      <c r="BC27" s="86">
        <f t="shared" si="6"/>
        <v>12231800</v>
      </c>
      <c r="BD27" s="86">
        <f t="shared" si="6"/>
        <v>0</v>
      </c>
      <c r="BF27" s="86">
        <f t="shared" ca="1" si="4"/>
        <v>27454700</v>
      </c>
      <c r="BG27" s="86">
        <f t="shared" si="5"/>
        <v>27454700</v>
      </c>
    </row>
    <row r="28" spans="2:59" x14ac:dyDescent="0.3">
      <c r="B28" s="37" t="str">
        <f>IFERROR(VLOOKUP($F28,매장구분!$B:$V,2,0),"")</f>
        <v>리테일채널팀</v>
      </c>
      <c r="C28" s="37" t="str">
        <f>IFERROR(VLOOKUP($F28,매장구분!$B:$V,4,0),"")</f>
        <v>직영점</v>
      </c>
      <c r="D28" s="37" t="str">
        <f t="shared" si="2"/>
        <v>순수</v>
      </c>
      <c r="E28" s="37" t="s">
        <v>538</v>
      </c>
      <c r="F28" s="37" t="s">
        <v>539</v>
      </c>
      <c r="G28" s="37" t="s">
        <v>643</v>
      </c>
      <c r="H28" s="37">
        <v>254</v>
      </c>
      <c r="I28" s="37">
        <v>11842000</v>
      </c>
      <c r="J28" s="37">
        <v>14199000</v>
      </c>
      <c r="K28" s="37">
        <v>260</v>
      </c>
      <c r="L28" s="37">
        <v>12124000</v>
      </c>
      <c r="M28" s="37">
        <v>14521000</v>
      </c>
      <c r="N28" s="37">
        <v>-6</v>
      </c>
      <c r="O28" s="37">
        <v>-282000</v>
      </c>
      <c r="P28" s="37">
        <v>-322000</v>
      </c>
      <c r="Q28" s="37">
        <v>136000</v>
      </c>
      <c r="R28" s="37">
        <v>413000</v>
      </c>
      <c r="S28" s="37">
        <v>306000</v>
      </c>
      <c r="T28" s="37">
        <v>134000</v>
      </c>
      <c r="U28" s="37">
        <v>433000</v>
      </c>
      <c r="V28" s="37">
        <v>150000</v>
      </c>
      <c r="W28" s="37">
        <v>150000</v>
      </c>
      <c r="X28" s="37">
        <v>55000</v>
      </c>
      <c r="Y28" s="37">
        <v>1518000</v>
      </c>
      <c r="Z28" s="37">
        <v>788000</v>
      </c>
      <c r="AA28" s="37">
        <v>130000</v>
      </c>
      <c r="AB28" s="37">
        <v>26000</v>
      </c>
      <c r="AC28" s="37">
        <v>440000</v>
      </c>
      <c r="AD28" s="37">
        <v>527000</v>
      </c>
      <c r="AE28" s="37">
        <v>815000</v>
      </c>
      <c r="AF28" s="37">
        <v>407000</v>
      </c>
      <c r="AG28" s="37">
        <v>273000</v>
      </c>
      <c r="AH28" s="37">
        <v>320000</v>
      </c>
      <c r="AI28" s="37">
        <v>220000</v>
      </c>
      <c r="AJ28" s="37">
        <v>78000</v>
      </c>
      <c r="AK28" s="37">
        <v>230000</v>
      </c>
      <c r="AL28" s="37">
        <v>160000</v>
      </c>
      <c r="AM28" s="37">
        <v>906000</v>
      </c>
      <c r="AN28" s="37">
        <v>580000</v>
      </c>
      <c r="AO28" s="37">
        <v>127000</v>
      </c>
      <c r="AP28" s="37">
        <v>203000</v>
      </c>
      <c r="AQ28" s="37">
        <v>147000</v>
      </c>
      <c r="AR28" s="37">
        <v>176000</v>
      </c>
      <c r="AS28" s="37">
        <v>290000</v>
      </c>
      <c r="AT28" s="37">
        <v>1416000</v>
      </c>
      <c r="AU28" s="37">
        <v>288000</v>
      </c>
      <c r="AZ28" s="86">
        <f t="shared" si="6"/>
        <v>719000</v>
      </c>
      <c r="BA28" s="86">
        <f t="shared" si="6"/>
        <v>3228000</v>
      </c>
      <c r="BB28" s="86">
        <f t="shared" si="6"/>
        <v>2618000</v>
      </c>
      <c r="BC28" s="86">
        <f t="shared" si="6"/>
        <v>2494000</v>
      </c>
      <c r="BD28" s="86">
        <f t="shared" si="6"/>
        <v>2647000</v>
      </c>
      <c r="BF28" s="86">
        <f t="shared" ca="1" si="4"/>
        <v>8615000</v>
      </c>
      <c r="BG28" s="86">
        <f t="shared" si="5"/>
        <v>11554000</v>
      </c>
    </row>
    <row r="29" spans="2:59" x14ac:dyDescent="0.3">
      <c r="B29" s="37" t="str">
        <f>IFERROR(VLOOKUP($F29,매장구분!$B:$V,2,0),"")</f>
        <v>리테일채널팀</v>
      </c>
      <c r="C29" s="37" t="str">
        <f>IFERROR(VLOOKUP($F29,매장구분!$B:$V,4,0),"")</f>
        <v>직영점</v>
      </c>
      <c r="D29" s="37" t="str">
        <f t="shared" si="2"/>
        <v>순수</v>
      </c>
      <c r="E29" s="37" t="s">
        <v>538</v>
      </c>
      <c r="F29" s="37" t="s">
        <v>539</v>
      </c>
      <c r="G29" s="37" t="s">
        <v>644</v>
      </c>
      <c r="H29" s="37">
        <v>12940</v>
      </c>
      <c r="I29" s="37">
        <v>949336600</v>
      </c>
      <c r="J29" s="37">
        <v>949336600</v>
      </c>
      <c r="K29" s="37">
        <v>13188</v>
      </c>
      <c r="L29" s="37">
        <v>1020726500</v>
      </c>
      <c r="M29" s="37">
        <v>1020726500</v>
      </c>
      <c r="N29" s="37">
        <v>-248</v>
      </c>
      <c r="O29" s="37">
        <v>-71389900</v>
      </c>
      <c r="P29" s="37">
        <v>-71389900</v>
      </c>
      <c r="Q29" s="37">
        <v>30304900</v>
      </c>
      <c r="R29" s="37">
        <v>40322000</v>
      </c>
      <c r="S29" s="37">
        <v>45817000</v>
      </c>
      <c r="T29" s="37">
        <v>32894000</v>
      </c>
      <c r="U29" s="37">
        <v>28688900</v>
      </c>
      <c r="V29" s="37">
        <v>39249900</v>
      </c>
      <c r="W29" s="37">
        <v>26500000</v>
      </c>
      <c r="X29" s="37">
        <v>23885900</v>
      </c>
      <c r="Y29" s="37">
        <v>34256000</v>
      </c>
      <c r="Z29" s="37">
        <v>29061000</v>
      </c>
      <c r="AA29" s="37">
        <v>25978000</v>
      </c>
      <c r="AB29" s="37">
        <v>25350900</v>
      </c>
      <c r="AC29" s="37">
        <v>26704900</v>
      </c>
      <c r="AD29" s="37">
        <v>30235900</v>
      </c>
      <c r="AE29" s="37">
        <v>33545000</v>
      </c>
      <c r="AF29" s="37">
        <v>36055700</v>
      </c>
      <c r="AG29" s="37">
        <v>30036000</v>
      </c>
      <c r="AH29" s="37">
        <v>27445900</v>
      </c>
      <c r="AI29" s="37">
        <v>25306600</v>
      </c>
      <c r="AJ29" s="37">
        <v>23821000</v>
      </c>
      <c r="AK29" s="37">
        <v>24545900</v>
      </c>
      <c r="AL29" s="37">
        <v>30427900</v>
      </c>
      <c r="AM29" s="37">
        <v>42338000</v>
      </c>
      <c r="AN29" s="37">
        <v>34679900</v>
      </c>
      <c r="AO29" s="37">
        <v>27709800</v>
      </c>
      <c r="AP29" s="37">
        <v>24439000</v>
      </c>
      <c r="AQ29" s="37">
        <v>28026800</v>
      </c>
      <c r="AR29" s="37">
        <v>22221000</v>
      </c>
      <c r="AS29" s="37">
        <v>26004000</v>
      </c>
      <c r="AT29" s="37">
        <v>40522800</v>
      </c>
      <c r="AU29" s="37">
        <v>32962000</v>
      </c>
      <c r="AZ29" s="86">
        <f t="shared" si="6"/>
        <v>86139000</v>
      </c>
      <c r="BA29" s="86">
        <f t="shared" si="6"/>
        <v>214535700</v>
      </c>
      <c r="BB29" s="86">
        <f t="shared" si="6"/>
        <v>207906400</v>
      </c>
      <c r="BC29" s="86">
        <f t="shared" si="6"/>
        <v>208565200</v>
      </c>
      <c r="BD29" s="86">
        <f t="shared" si="6"/>
        <v>201885400</v>
      </c>
      <c r="BF29" s="86">
        <f t="shared" ca="1" si="4"/>
        <v>712771300</v>
      </c>
      <c r="BG29" s="86">
        <f t="shared" si="5"/>
        <v>916374600</v>
      </c>
    </row>
    <row r="30" spans="2:59" x14ac:dyDescent="0.3">
      <c r="B30" s="37" t="str">
        <f>IFERROR(VLOOKUP($F30,매장구분!$B:$V,2,0),"")</f>
        <v>리테일채널팀</v>
      </c>
      <c r="C30" s="37" t="str">
        <f>IFERROR(VLOOKUP($F30,매장구분!$B:$V,4,0),"")</f>
        <v>직영점</v>
      </c>
      <c r="D30" s="37" t="str">
        <f t="shared" si="2"/>
        <v>순수</v>
      </c>
      <c r="E30" s="37" t="s">
        <v>538</v>
      </c>
      <c r="F30" s="37" t="s">
        <v>539</v>
      </c>
      <c r="G30" s="37" t="s">
        <v>645</v>
      </c>
      <c r="H30" s="37">
        <v>73</v>
      </c>
      <c r="I30" s="37">
        <v>5494500</v>
      </c>
      <c r="J30" s="37">
        <v>6105000</v>
      </c>
      <c r="K30" s="37">
        <v>75</v>
      </c>
      <c r="L30" s="37">
        <v>5654700</v>
      </c>
      <c r="M30" s="37">
        <v>6283000</v>
      </c>
      <c r="N30" s="37">
        <v>-2</v>
      </c>
      <c r="O30" s="37">
        <v>-160200</v>
      </c>
      <c r="P30" s="37">
        <v>-178000</v>
      </c>
      <c r="Q30" s="37">
        <v>549900</v>
      </c>
      <c r="R30" s="37">
        <v>1354500</v>
      </c>
      <c r="S30" s="37">
        <v>670500</v>
      </c>
      <c r="T30" s="37">
        <v>124200</v>
      </c>
      <c r="U30" s="37">
        <v>1449900</v>
      </c>
      <c r="V30" s="37">
        <v>71100</v>
      </c>
      <c r="W30" s="37">
        <v>423000</v>
      </c>
      <c r="X30" s="37">
        <v>851400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>
        <v>0</v>
      </c>
      <c r="AT30" s="37">
        <v>0</v>
      </c>
      <c r="AU30" s="37">
        <v>0</v>
      </c>
      <c r="AZ30" s="86">
        <f t="shared" si="6"/>
        <v>2025000</v>
      </c>
      <c r="BA30" s="86">
        <f t="shared" si="6"/>
        <v>2919600</v>
      </c>
      <c r="BB30" s="86">
        <f t="shared" si="6"/>
        <v>0</v>
      </c>
      <c r="BC30" s="86">
        <f t="shared" si="6"/>
        <v>0</v>
      </c>
      <c r="BD30" s="86">
        <f t="shared" si="6"/>
        <v>0</v>
      </c>
      <c r="BF30" s="86">
        <f t="shared" ca="1" si="4"/>
        <v>5494500</v>
      </c>
      <c r="BG30" s="86">
        <f t="shared" si="5"/>
        <v>5494500</v>
      </c>
    </row>
    <row r="31" spans="2:59" x14ac:dyDescent="0.3">
      <c r="B31" s="37" t="str">
        <f>IFERROR(VLOOKUP($F31,매장구분!$B:$V,2,0),"")</f>
        <v>리테일채널팀</v>
      </c>
      <c r="C31" s="37" t="str">
        <f>IFERROR(VLOOKUP($F31,매장구분!$B:$V,4,0),"")</f>
        <v>직영점</v>
      </c>
      <c r="D31" s="37" t="str">
        <f t="shared" si="2"/>
        <v>순수</v>
      </c>
      <c r="E31" s="37" t="s">
        <v>436</v>
      </c>
      <c r="F31" s="37" t="s">
        <v>437</v>
      </c>
      <c r="G31" s="37" t="s">
        <v>643</v>
      </c>
      <c r="H31" s="37">
        <v>21</v>
      </c>
      <c r="I31" s="37">
        <v>2613000</v>
      </c>
      <c r="J31" s="37">
        <v>2745000</v>
      </c>
      <c r="K31" s="37">
        <v>21</v>
      </c>
      <c r="L31" s="37">
        <v>2613000</v>
      </c>
      <c r="M31" s="37">
        <v>2745000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268000</v>
      </c>
      <c r="AE31" s="37">
        <v>0</v>
      </c>
      <c r="AF31" s="37">
        <v>788000</v>
      </c>
      <c r="AG31" s="37">
        <v>0</v>
      </c>
      <c r="AH31" s="37">
        <v>0</v>
      </c>
      <c r="AI31" s="37">
        <v>0</v>
      </c>
      <c r="AJ31" s="37">
        <v>33000</v>
      </c>
      <c r="AK31" s="37">
        <v>59000</v>
      </c>
      <c r="AL31" s="37">
        <v>78000</v>
      </c>
      <c r="AM31" s="37">
        <v>26000</v>
      </c>
      <c r="AN31" s="37">
        <v>844000</v>
      </c>
      <c r="AO31" s="37">
        <v>0</v>
      </c>
      <c r="AP31" s="37">
        <v>0</v>
      </c>
      <c r="AQ31" s="37">
        <v>389000</v>
      </c>
      <c r="AR31" s="37">
        <v>79000</v>
      </c>
      <c r="AS31" s="37">
        <v>0</v>
      </c>
      <c r="AT31" s="37">
        <v>49000</v>
      </c>
      <c r="AU31" s="37">
        <v>0</v>
      </c>
      <c r="AZ31" s="86">
        <f t="shared" si="6"/>
        <v>0</v>
      </c>
      <c r="BA31" s="86">
        <f t="shared" si="6"/>
        <v>0</v>
      </c>
      <c r="BB31" s="86">
        <f t="shared" si="6"/>
        <v>1056000</v>
      </c>
      <c r="BC31" s="86">
        <f t="shared" si="6"/>
        <v>1040000</v>
      </c>
      <c r="BD31" s="86">
        <f t="shared" si="6"/>
        <v>517000</v>
      </c>
      <c r="BF31" s="86">
        <f t="shared" ca="1" si="4"/>
        <v>1252000</v>
      </c>
      <c r="BG31" s="86">
        <f t="shared" si="5"/>
        <v>2613000</v>
      </c>
    </row>
    <row r="32" spans="2:59" x14ac:dyDescent="0.3">
      <c r="B32" s="37" t="str">
        <f>IFERROR(VLOOKUP($F32,매장구분!$B:$V,2,0),"")</f>
        <v>리테일채널팀</v>
      </c>
      <c r="C32" s="37" t="str">
        <f>IFERROR(VLOOKUP($F32,매장구분!$B:$V,4,0),"")</f>
        <v>직영점</v>
      </c>
      <c r="D32" s="37" t="str">
        <f t="shared" si="2"/>
        <v>순수</v>
      </c>
      <c r="E32" s="37" t="s">
        <v>436</v>
      </c>
      <c r="F32" s="37" t="s">
        <v>437</v>
      </c>
      <c r="G32" s="37" t="s">
        <v>644</v>
      </c>
      <c r="H32" s="37">
        <v>1288</v>
      </c>
      <c r="I32" s="37">
        <v>91510700</v>
      </c>
      <c r="J32" s="37">
        <v>91510700</v>
      </c>
      <c r="K32" s="37">
        <v>1323</v>
      </c>
      <c r="L32" s="37">
        <v>93989700</v>
      </c>
      <c r="M32" s="37">
        <v>93989700</v>
      </c>
      <c r="N32" s="37">
        <v>-35</v>
      </c>
      <c r="O32" s="37">
        <v>-2479000</v>
      </c>
      <c r="P32" s="37">
        <v>-2479000</v>
      </c>
      <c r="Q32" s="37">
        <v>6232000</v>
      </c>
      <c r="R32" s="37">
        <v>5906000</v>
      </c>
      <c r="S32" s="37">
        <v>4269000</v>
      </c>
      <c r="T32" s="37">
        <v>1437000</v>
      </c>
      <c r="U32" s="37">
        <v>2671000</v>
      </c>
      <c r="V32" s="37">
        <v>2209000</v>
      </c>
      <c r="W32" s="37">
        <v>1784000</v>
      </c>
      <c r="X32" s="37">
        <v>0</v>
      </c>
      <c r="Y32" s="37">
        <v>3291000</v>
      </c>
      <c r="Z32" s="37">
        <v>3365000</v>
      </c>
      <c r="AA32" s="37">
        <v>3735000</v>
      </c>
      <c r="AB32" s="37">
        <v>1681000</v>
      </c>
      <c r="AC32" s="37">
        <v>2055000</v>
      </c>
      <c r="AD32" s="37">
        <v>1720000</v>
      </c>
      <c r="AE32" s="37">
        <v>4417900</v>
      </c>
      <c r="AF32" s="37">
        <v>2970000</v>
      </c>
      <c r="AG32" s="37">
        <v>4685000</v>
      </c>
      <c r="AH32" s="37">
        <v>1658000</v>
      </c>
      <c r="AI32" s="37">
        <v>3077000</v>
      </c>
      <c r="AJ32" s="37">
        <v>1789000</v>
      </c>
      <c r="AK32" s="37">
        <v>3057000</v>
      </c>
      <c r="AL32" s="37">
        <v>2803000</v>
      </c>
      <c r="AM32" s="37">
        <v>4021000</v>
      </c>
      <c r="AN32" s="37">
        <v>2829000</v>
      </c>
      <c r="AO32" s="37">
        <v>1584000</v>
      </c>
      <c r="AP32" s="37">
        <v>2005000</v>
      </c>
      <c r="AQ32" s="37">
        <v>3007900</v>
      </c>
      <c r="AR32" s="37">
        <v>4605900</v>
      </c>
      <c r="AS32" s="37">
        <v>2079000</v>
      </c>
      <c r="AT32" s="37">
        <v>3645000</v>
      </c>
      <c r="AU32" s="37">
        <v>2922000</v>
      </c>
      <c r="AZ32" s="86">
        <f t="shared" si="6"/>
        <v>10175000</v>
      </c>
      <c r="BA32" s="86">
        <f t="shared" si="6"/>
        <v>14757000</v>
      </c>
      <c r="BB32" s="86">
        <f t="shared" si="6"/>
        <v>21263900</v>
      </c>
      <c r="BC32" s="86">
        <f t="shared" si="6"/>
        <v>19234000</v>
      </c>
      <c r="BD32" s="86">
        <f t="shared" si="6"/>
        <v>19848800</v>
      </c>
      <c r="BF32" s="86">
        <f t="shared" ca="1" si="4"/>
        <v>68832900</v>
      </c>
      <c r="BG32" s="86">
        <f t="shared" si="5"/>
        <v>88588700</v>
      </c>
    </row>
    <row r="33" spans="2:59" x14ac:dyDescent="0.3">
      <c r="B33" s="37" t="str">
        <f>IFERROR(VLOOKUP($F33,매장구분!$B:$V,2,0),"")</f>
        <v>리테일채널팀</v>
      </c>
      <c r="C33" s="37" t="str">
        <f>IFERROR(VLOOKUP($F33,매장구분!$B:$V,4,0),"")</f>
        <v>직영점</v>
      </c>
      <c r="D33" s="37" t="str">
        <f t="shared" si="2"/>
        <v>순수</v>
      </c>
      <c r="E33" s="37" t="s">
        <v>436</v>
      </c>
      <c r="F33" s="37" t="s">
        <v>437</v>
      </c>
      <c r="G33" s="37" t="s">
        <v>647</v>
      </c>
      <c r="H33" s="37">
        <v>12</v>
      </c>
      <c r="I33" s="37">
        <v>850000</v>
      </c>
      <c r="J33" s="37">
        <v>850000</v>
      </c>
      <c r="K33" s="37">
        <v>12</v>
      </c>
      <c r="L33" s="37">
        <v>850000</v>
      </c>
      <c r="M33" s="37">
        <v>850000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167000</v>
      </c>
      <c r="AC33" s="37">
        <v>416000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267000</v>
      </c>
      <c r="AN33" s="37">
        <v>0</v>
      </c>
      <c r="AO33" s="37">
        <v>0</v>
      </c>
      <c r="AP33" s="37">
        <v>0</v>
      </c>
      <c r="AQ33" s="37">
        <v>0</v>
      </c>
      <c r="AR33" s="37">
        <v>0</v>
      </c>
      <c r="AS33" s="37">
        <v>0</v>
      </c>
      <c r="AT33" s="37">
        <v>0</v>
      </c>
      <c r="AU33" s="37">
        <v>0</v>
      </c>
      <c r="AZ33" s="86">
        <f t="shared" si="6"/>
        <v>0</v>
      </c>
      <c r="BA33" s="86">
        <f t="shared" si="6"/>
        <v>0</v>
      </c>
      <c r="BB33" s="86">
        <f t="shared" si="6"/>
        <v>583000</v>
      </c>
      <c r="BC33" s="86">
        <f t="shared" si="6"/>
        <v>267000</v>
      </c>
      <c r="BD33" s="86">
        <f t="shared" si="6"/>
        <v>0</v>
      </c>
      <c r="BF33" s="86">
        <f t="shared" ca="1" si="4"/>
        <v>850000</v>
      </c>
      <c r="BG33" s="86">
        <f t="shared" si="5"/>
        <v>850000</v>
      </c>
    </row>
    <row r="34" spans="2:59" x14ac:dyDescent="0.3">
      <c r="B34" s="37" t="str">
        <f>IFERROR(VLOOKUP($F34,매장구분!$B:$V,2,0),"")</f>
        <v>리테일채널팀</v>
      </c>
      <c r="C34" s="37" t="str">
        <f>IFERROR(VLOOKUP($F34,매장구분!$B:$V,4,0),"")</f>
        <v>직영점</v>
      </c>
      <c r="D34" s="37" t="str">
        <f t="shared" si="2"/>
        <v>순수</v>
      </c>
      <c r="E34" s="37" t="s">
        <v>436</v>
      </c>
      <c r="F34" s="37" t="s">
        <v>437</v>
      </c>
      <c r="G34" s="37" t="s">
        <v>645</v>
      </c>
      <c r="H34" s="37">
        <v>35</v>
      </c>
      <c r="I34" s="37">
        <v>2698200</v>
      </c>
      <c r="J34" s="37">
        <v>2998000</v>
      </c>
      <c r="K34" s="37">
        <v>35</v>
      </c>
      <c r="L34" s="37">
        <v>2698200</v>
      </c>
      <c r="M34" s="37">
        <v>2998000</v>
      </c>
      <c r="N34" s="37">
        <v>0</v>
      </c>
      <c r="O34" s="37">
        <v>0</v>
      </c>
      <c r="P34" s="37">
        <v>0</v>
      </c>
      <c r="Q34" s="37">
        <v>123300</v>
      </c>
      <c r="R34" s="37">
        <v>414000</v>
      </c>
      <c r="S34" s="37">
        <v>843300</v>
      </c>
      <c r="T34" s="37">
        <v>396900</v>
      </c>
      <c r="U34" s="37">
        <v>97200</v>
      </c>
      <c r="V34" s="37">
        <v>493200</v>
      </c>
      <c r="W34" s="37">
        <v>0</v>
      </c>
      <c r="X34" s="37">
        <v>0</v>
      </c>
      <c r="Y34" s="37">
        <v>330300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7">
        <v>0</v>
      </c>
      <c r="AU34" s="37">
        <v>0</v>
      </c>
      <c r="AZ34" s="86">
        <f t="shared" si="6"/>
        <v>1257300</v>
      </c>
      <c r="BA34" s="86">
        <f t="shared" si="6"/>
        <v>1317600</v>
      </c>
      <c r="BB34" s="86">
        <f t="shared" si="6"/>
        <v>0</v>
      </c>
      <c r="BC34" s="86">
        <f t="shared" si="6"/>
        <v>0</v>
      </c>
      <c r="BD34" s="86">
        <f t="shared" si="6"/>
        <v>0</v>
      </c>
      <c r="BF34" s="86">
        <f t="shared" ca="1" si="4"/>
        <v>2698200</v>
      </c>
      <c r="BG34" s="86">
        <f t="shared" si="5"/>
        <v>2698200</v>
      </c>
    </row>
    <row r="35" spans="2:59" x14ac:dyDescent="0.3">
      <c r="B35" s="37" t="str">
        <f>IFERROR(VLOOKUP($F35,매장구분!$B:$V,2,0),"")</f>
        <v>리테일채널팀</v>
      </c>
      <c r="C35" s="37" t="str">
        <f>IFERROR(VLOOKUP($F35,매장구분!$B:$V,4,0),"")</f>
        <v>대리점</v>
      </c>
      <c r="D35" s="37" t="str">
        <f t="shared" si="2"/>
        <v>순수</v>
      </c>
      <c r="E35" s="37" t="s">
        <v>326</v>
      </c>
      <c r="F35" s="37" t="s">
        <v>327</v>
      </c>
      <c r="G35" s="37" t="s">
        <v>646</v>
      </c>
      <c r="H35" s="37">
        <v>13</v>
      </c>
      <c r="I35" s="37">
        <v>956900</v>
      </c>
      <c r="J35" s="37">
        <v>1367000</v>
      </c>
      <c r="K35" s="37">
        <v>16</v>
      </c>
      <c r="L35" s="37">
        <v>1093400</v>
      </c>
      <c r="M35" s="37">
        <v>1562000</v>
      </c>
      <c r="N35" s="37">
        <v>-3</v>
      </c>
      <c r="O35" s="37">
        <v>-136500</v>
      </c>
      <c r="P35" s="37">
        <v>-195000</v>
      </c>
      <c r="Q35" s="37">
        <v>0</v>
      </c>
      <c r="R35" s="37">
        <v>0</v>
      </c>
      <c r="S35" s="37">
        <v>55300</v>
      </c>
      <c r="T35" s="37">
        <v>0</v>
      </c>
      <c r="U35" s="37">
        <v>91000</v>
      </c>
      <c r="V35" s="37">
        <v>0</v>
      </c>
      <c r="W35" s="37">
        <v>0</v>
      </c>
      <c r="X35" s="37">
        <v>97300</v>
      </c>
      <c r="Y35" s="37">
        <v>0</v>
      </c>
      <c r="Z35" s="37">
        <v>0</v>
      </c>
      <c r="AA35" s="37">
        <v>0</v>
      </c>
      <c r="AB35" s="37">
        <v>91000</v>
      </c>
      <c r="AC35" s="37">
        <v>83300</v>
      </c>
      <c r="AD35" s="37">
        <v>0</v>
      </c>
      <c r="AE35" s="37">
        <v>0</v>
      </c>
      <c r="AF35" s="37">
        <v>142800</v>
      </c>
      <c r="AG35" s="37">
        <v>0</v>
      </c>
      <c r="AH35" s="37">
        <v>97300</v>
      </c>
      <c r="AI35" s="37">
        <v>0</v>
      </c>
      <c r="AJ35" s="37">
        <v>0</v>
      </c>
      <c r="AK35" s="37">
        <v>0</v>
      </c>
      <c r="AL35" s="37">
        <v>0</v>
      </c>
      <c r="AM35" s="37">
        <v>194600</v>
      </c>
      <c r="AN35" s="37">
        <v>0</v>
      </c>
      <c r="AO35" s="37">
        <v>0</v>
      </c>
      <c r="AP35" s="37">
        <v>104300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Z35" s="86">
        <f t="shared" si="6"/>
        <v>55300</v>
      </c>
      <c r="BA35" s="86">
        <f t="shared" si="6"/>
        <v>188300</v>
      </c>
      <c r="BB35" s="86">
        <f t="shared" si="6"/>
        <v>317100</v>
      </c>
      <c r="BC35" s="86">
        <f t="shared" si="6"/>
        <v>291900</v>
      </c>
      <c r="BD35" s="86">
        <f t="shared" si="6"/>
        <v>104300</v>
      </c>
      <c r="BF35" s="86">
        <f t="shared" ca="1" si="4"/>
        <v>852600</v>
      </c>
      <c r="BG35" s="86">
        <f t="shared" si="5"/>
        <v>956900</v>
      </c>
    </row>
    <row r="36" spans="2:59" x14ac:dyDescent="0.3">
      <c r="B36" s="37" t="str">
        <f>IFERROR(VLOOKUP($F36,매장구분!$B:$V,2,0),"")</f>
        <v>리테일채널팀</v>
      </c>
      <c r="C36" s="37" t="str">
        <f>IFERROR(VLOOKUP($F36,매장구분!$B:$V,4,0),"")</f>
        <v>대리점</v>
      </c>
      <c r="D36" s="37" t="str">
        <f t="shared" si="2"/>
        <v>단체</v>
      </c>
      <c r="E36" s="37" t="s">
        <v>326</v>
      </c>
      <c r="F36" s="37" t="s">
        <v>327</v>
      </c>
      <c r="G36" s="37" t="s">
        <v>642</v>
      </c>
      <c r="H36" s="37">
        <v>1317</v>
      </c>
      <c r="I36" s="37">
        <v>143527040</v>
      </c>
      <c r="J36" s="37">
        <v>179408800</v>
      </c>
      <c r="K36" s="37">
        <v>1345</v>
      </c>
      <c r="L36" s="37">
        <v>145863040</v>
      </c>
      <c r="M36" s="37">
        <v>182328800</v>
      </c>
      <c r="N36" s="37">
        <v>-28</v>
      </c>
      <c r="O36" s="37">
        <v>-2336000</v>
      </c>
      <c r="P36" s="37">
        <v>-2920000</v>
      </c>
      <c r="Q36" s="37">
        <v>3964800</v>
      </c>
      <c r="R36" s="37">
        <v>7954400</v>
      </c>
      <c r="S36" s="37">
        <v>6956800</v>
      </c>
      <c r="T36" s="37">
        <v>5536800</v>
      </c>
      <c r="U36" s="37">
        <v>4956800</v>
      </c>
      <c r="V36" s="37">
        <v>3496000</v>
      </c>
      <c r="W36" s="37">
        <v>4583200</v>
      </c>
      <c r="X36" s="37">
        <v>3332000</v>
      </c>
      <c r="Y36" s="37">
        <v>3352800</v>
      </c>
      <c r="Z36" s="37">
        <v>3315200</v>
      </c>
      <c r="AA36" s="37">
        <v>4589600</v>
      </c>
      <c r="AB36" s="37">
        <v>5654400</v>
      </c>
      <c r="AC36" s="37">
        <v>7256000</v>
      </c>
      <c r="AD36" s="37">
        <v>5815200</v>
      </c>
      <c r="AE36" s="37">
        <v>0</v>
      </c>
      <c r="AF36" s="37">
        <v>7626400</v>
      </c>
      <c r="AG36" s="37">
        <v>4417600</v>
      </c>
      <c r="AH36" s="37">
        <v>5389600</v>
      </c>
      <c r="AI36" s="37">
        <v>0</v>
      </c>
      <c r="AJ36" s="37">
        <v>9152800</v>
      </c>
      <c r="AK36" s="37">
        <v>4703200</v>
      </c>
      <c r="AL36" s="37">
        <v>4168000</v>
      </c>
      <c r="AM36" s="37">
        <v>4837600</v>
      </c>
      <c r="AN36" s="37">
        <v>3381600</v>
      </c>
      <c r="AO36" s="37">
        <v>3289600</v>
      </c>
      <c r="AP36" s="37">
        <v>0</v>
      </c>
      <c r="AQ36" s="37">
        <v>6123200</v>
      </c>
      <c r="AR36" s="37">
        <v>6147120</v>
      </c>
      <c r="AS36" s="37">
        <v>0</v>
      </c>
      <c r="AT36" s="37">
        <v>0</v>
      </c>
      <c r="AU36" s="37">
        <v>13526320</v>
      </c>
      <c r="AZ36" s="86">
        <f t="shared" si="6"/>
        <v>14911200</v>
      </c>
      <c r="BA36" s="86">
        <f t="shared" si="6"/>
        <v>28572800</v>
      </c>
      <c r="BB36" s="86">
        <f t="shared" si="6"/>
        <v>35359200</v>
      </c>
      <c r="BC36" s="86">
        <f t="shared" si="6"/>
        <v>31632800</v>
      </c>
      <c r="BD36" s="86">
        <f t="shared" si="6"/>
        <v>29086240</v>
      </c>
      <c r="BF36" s="86">
        <f t="shared" ca="1" si="4"/>
        <v>111059200</v>
      </c>
      <c r="BG36" s="86">
        <f t="shared" si="5"/>
        <v>130000720</v>
      </c>
    </row>
    <row r="37" spans="2:59" x14ac:dyDescent="0.3">
      <c r="B37" s="37" t="str">
        <f>IFERROR(VLOOKUP($F37,매장구분!$B:$V,2,0),"")</f>
        <v>리테일채널팀</v>
      </c>
      <c r="C37" s="37" t="str">
        <f>IFERROR(VLOOKUP($F37,매장구분!$B:$V,4,0),"")</f>
        <v>대리점</v>
      </c>
      <c r="D37" s="37" t="str">
        <f t="shared" si="2"/>
        <v>순수</v>
      </c>
      <c r="E37" s="37" t="s">
        <v>326</v>
      </c>
      <c r="F37" s="37" t="s">
        <v>327</v>
      </c>
      <c r="G37" s="37" t="s">
        <v>643</v>
      </c>
      <c r="H37" s="37">
        <v>35</v>
      </c>
      <c r="I37" s="37">
        <v>5977000</v>
      </c>
      <c r="J37" s="37">
        <v>6313000</v>
      </c>
      <c r="K37" s="37">
        <v>35</v>
      </c>
      <c r="L37" s="37">
        <v>5977000</v>
      </c>
      <c r="M37" s="37">
        <v>6313000</v>
      </c>
      <c r="N37" s="37">
        <v>0</v>
      </c>
      <c r="O37" s="37">
        <v>0</v>
      </c>
      <c r="P37" s="37">
        <v>0</v>
      </c>
      <c r="Q37" s="37">
        <v>0</v>
      </c>
      <c r="R37" s="37">
        <v>129000</v>
      </c>
      <c r="S37" s="37">
        <v>0</v>
      </c>
      <c r="T37" s="37">
        <v>29000</v>
      </c>
      <c r="U37" s="37">
        <v>0</v>
      </c>
      <c r="V37" s="37">
        <v>268000</v>
      </c>
      <c r="W37" s="37">
        <v>0</v>
      </c>
      <c r="X37" s="37">
        <v>0</v>
      </c>
      <c r="Y37" s="37">
        <v>565000</v>
      </c>
      <c r="Z37" s="37">
        <v>0</v>
      </c>
      <c r="AA37" s="37">
        <v>0</v>
      </c>
      <c r="AB37" s="37">
        <v>165000</v>
      </c>
      <c r="AC37" s="37">
        <v>387000</v>
      </c>
      <c r="AD37" s="37">
        <v>0</v>
      </c>
      <c r="AE37" s="37">
        <v>26000</v>
      </c>
      <c r="AF37" s="37">
        <v>0</v>
      </c>
      <c r="AG37" s="37">
        <v>0</v>
      </c>
      <c r="AH37" s="37">
        <v>0</v>
      </c>
      <c r="AI37" s="37">
        <v>478000</v>
      </c>
      <c r="AJ37" s="37">
        <v>269000</v>
      </c>
      <c r="AK37" s="37">
        <v>468000</v>
      </c>
      <c r="AL37" s="37">
        <v>628000</v>
      </c>
      <c r="AM37" s="37">
        <v>1731000</v>
      </c>
      <c r="AN37" s="37">
        <v>309000</v>
      </c>
      <c r="AO37" s="37">
        <v>0</v>
      </c>
      <c r="AP37" s="37">
        <v>0</v>
      </c>
      <c r="AQ37" s="37">
        <v>43000</v>
      </c>
      <c r="AR37" s="37">
        <v>0</v>
      </c>
      <c r="AS37" s="37">
        <v>0</v>
      </c>
      <c r="AT37" s="37">
        <v>129000</v>
      </c>
      <c r="AU37" s="37">
        <v>353000</v>
      </c>
      <c r="AZ37" s="86">
        <f t="shared" si="6"/>
        <v>129000</v>
      </c>
      <c r="BA37" s="86">
        <f t="shared" si="6"/>
        <v>862000</v>
      </c>
      <c r="BB37" s="86">
        <f t="shared" si="6"/>
        <v>578000</v>
      </c>
      <c r="BC37" s="86">
        <f t="shared" si="6"/>
        <v>3883000</v>
      </c>
      <c r="BD37" s="86">
        <f t="shared" si="6"/>
        <v>525000</v>
      </c>
      <c r="BF37" s="86">
        <f t="shared" ca="1" si="4"/>
        <v>5143000</v>
      </c>
      <c r="BG37" s="86">
        <f t="shared" si="5"/>
        <v>5624000</v>
      </c>
    </row>
    <row r="38" spans="2:59" x14ac:dyDescent="0.3">
      <c r="B38" s="37" t="str">
        <f>IFERROR(VLOOKUP($F38,매장구분!$B:$V,2,0),"")</f>
        <v>리테일채널팀</v>
      </c>
      <c r="C38" s="37" t="str">
        <f>IFERROR(VLOOKUP($F38,매장구분!$B:$V,4,0),"")</f>
        <v>대리점</v>
      </c>
      <c r="D38" s="37" t="str">
        <f t="shared" si="2"/>
        <v>순수</v>
      </c>
      <c r="E38" s="37" t="s">
        <v>326</v>
      </c>
      <c r="F38" s="37" t="s">
        <v>327</v>
      </c>
      <c r="G38" s="37" t="s">
        <v>644</v>
      </c>
      <c r="H38" s="37">
        <v>528</v>
      </c>
      <c r="I38" s="37">
        <v>21964000</v>
      </c>
      <c r="J38" s="37">
        <v>21964000</v>
      </c>
      <c r="K38" s="37">
        <v>1027</v>
      </c>
      <c r="L38" s="37">
        <v>137046000</v>
      </c>
      <c r="M38" s="37">
        <v>137046000</v>
      </c>
      <c r="N38" s="37">
        <v>-499</v>
      </c>
      <c r="O38" s="37">
        <v>-115082000</v>
      </c>
      <c r="P38" s="37">
        <v>-115082000</v>
      </c>
      <c r="Q38" s="37">
        <v>173000</v>
      </c>
      <c r="R38" s="37">
        <v>2093000</v>
      </c>
      <c r="S38" s="37">
        <v>1210000</v>
      </c>
      <c r="T38" s="37">
        <v>480000</v>
      </c>
      <c r="U38" s="37">
        <v>130000</v>
      </c>
      <c r="V38" s="37">
        <v>322000</v>
      </c>
      <c r="W38" s="37">
        <v>583000</v>
      </c>
      <c r="X38" s="37">
        <v>699000</v>
      </c>
      <c r="Y38" s="37">
        <v>1542000</v>
      </c>
      <c r="Z38" s="37">
        <v>1275000</v>
      </c>
      <c r="AA38" s="37">
        <v>866000</v>
      </c>
      <c r="AB38" s="37">
        <v>309000</v>
      </c>
      <c r="AC38" s="37">
        <v>483000</v>
      </c>
      <c r="AD38" s="37">
        <v>241000</v>
      </c>
      <c r="AE38" s="37">
        <v>906000</v>
      </c>
      <c r="AF38" s="37">
        <v>887000</v>
      </c>
      <c r="AG38" s="37">
        <v>945000</v>
      </c>
      <c r="AH38" s="37">
        <v>507000</v>
      </c>
      <c r="AI38" s="37">
        <v>337000</v>
      </c>
      <c r="AJ38" s="37">
        <v>466000</v>
      </c>
      <c r="AK38" s="37">
        <v>474000</v>
      </c>
      <c r="AL38" s="37">
        <v>570000</v>
      </c>
      <c r="AM38" s="37">
        <v>1376000</v>
      </c>
      <c r="AN38" s="37">
        <v>1205000</v>
      </c>
      <c r="AO38" s="37">
        <v>195000</v>
      </c>
      <c r="AP38" s="37">
        <v>415000</v>
      </c>
      <c r="AQ38" s="37">
        <v>350000</v>
      </c>
      <c r="AR38" s="37">
        <v>876000</v>
      </c>
      <c r="AS38" s="37">
        <v>327000</v>
      </c>
      <c r="AT38" s="37">
        <v>1026000</v>
      </c>
      <c r="AU38" s="37">
        <v>696000</v>
      </c>
      <c r="AZ38" s="86">
        <f t="shared" si="6"/>
        <v>3303000</v>
      </c>
      <c r="BA38" s="86">
        <f t="shared" si="6"/>
        <v>5031000</v>
      </c>
      <c r="BB38" s="86">
        <f t="shared" si="6"/>
        <v>4637000</v>
      </c>
      <c r="BC38" s="86">
        <f t="shared" si="6"/>
        <v>4935000</v>
      </c>
      <c r="BD38" s="86">
        <f t="shared" si="6"/>
        <v>3885000</v>
      </c>
      <c r="BF38" s="86">
        <f t="shared" ca="1" si="4"/>
        <v>16874000</v>
      </c>
      <c r="BG38" s="86">
        <f t="shared" si="5"/>
        <v>21268000</v>
      </c>
    </row>
    <row r="39" spans="2:59" x14ac:dyDescent="0.3">
      <c r="B39" s="37" t="str">
        <f>IFERROR(VLOOKUP($F39,매장구분!$B:$V,2,0),"")</f>
        <v>리테일채널팀</v>
      </c>
      <c r="C39" s="37" t="str">
        <f>IFERROR(VLOOKUP($F39,매장구분!$B:$V,4,0),"")</f>
        <v>대리점</v>
      </c>
      <c r="D39" s="37" t="str">
        <f t="shared" si="2"/>
        <v>순수</v>
      </c>
      <c r="E39" s="37" t="s">
        <v>326</v>
      </c>
      <c r="F39" s="37" t="s">
        <v>327</v>
      </c>
      <c r="G39" s="37" t="s">
        <v>645</v>
      </c>
      <c r="H39" s="37">
        <v>13</v>
      </c>
      <c r="I39" s="37">
        <v>1701900</v>
      </c>
      <c r="J39" s="37">
        <v>1891000</v>
      </c>
      <c r="K39" s="37">
        <v>13</v>
      </c>
      <c r="L39" s="37">
        <v>1701900</v>
      </c>
      <c r="M39" s="37">
        <v>1891000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32400</v>
      </c>
      <c r="W39" s="37">
        <v>1526400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143100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Z39" s="86">
        <f t="shared" ref="AZ39:BD54" si="7">SUMIFS($R39:$AV39,$R$3:$AV$3,AZ$1)</f>
        <v>0</v>
      </c>
      <c r="BA39" s="86">
        <f t="shared" si="7"/>
        <v>1558800</v>
      </c>
      <c r="BB39" s="86">
        <f t="shared" si="7"/>
        <v>143100</v>
      </c>
      <c r="BC39" s="86">
        <f t="shared" si="7"/>
        <v>0</v>
      </c>
      <c r="BD39" s="86">
        <f t="shared" si="7"/>
        <v>0</v>
      </c>
      <c r="BF39" s="86">
        <f t="shared" ca="1" si="4"/>
        <v>1701900</v>
      </c>
      <c r="BG39" s="86">
        <f t="shared" si="5"/>
        <v>1701900</v>
      </c>
    </row>
    <row r="40" spans="2:59" x14ac:dyDescent="0.3">
      <c r="B40" s="37" t="str">
        <f>IFERROR(VLOOKUP($F40,매장구분!$B:$V,2,0),"")</f>
        <v>리테일채널팀</v>
      </c>
      <c r="C40" s="37" t="str">
        <f>IFERROR(VLOOKUP($F40,매장구분!$B:$V,4,0),"")</f>
        <v>대리점</v>
      </c>
      <c r="D40" s="37" t="str">
        <f t="shared" si="2"/>
        <v>순수</v>
      </c>
      <c r="E40" s="37" t="s">
        <v>600</v>
      </c>
      <c r="F40" s="37" t="s">
        <v>601</v>
      </c>
      <c r="G40" s="37" t="s">
        <v>646</v>
      </c>
      <c r="H40" s="37">
        <v>7</v>
      </c>
      <c r="I40" s="37">
        <v>328300</v>
      </c>
      <c r="J40" s="37">
        <v>469000</v>
      </c>
      <c r="K40" s="37">
        <v>7</v>
      </c>
      <c r="L40" s="37">
        <v>328300</v>
      </c>
      <c r="M40" s="37">
        <v>469000</v>
      </c>
      <c r="N40" s="37">
        <v>0</v>
      </c>
      <c r="O40" s="37">
        <v>0</v>
      </c>
      <c r="P40" s="37">
        <v>0</v>
      </c>
      <c r="Q40" s="37">
        <v>0</v>
      </c>
      <c r="R40" s="37">
        <v>45500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55300</v>
      </c>
      <c r="AQ40" s="37">
        <v>45500</v>
      </c>
      <c r="AR40" s="37">
        <v>0</v>
      </c>
      <c r="AS40" s="37">
        <v>0</v>
      </c>
      <c r="AT40" s="37">
        <v>0</v>
      </c>
      <c r="AU40" s="37">
        <v>182000</v>
      </c>
      <c r="AZ40" s="86">
        <f t="shared" si="7"/>
        <v>45500</v>
      </c>
      <c r="BA40" s="86">
        <f t="shared" si="7"/>
        <v>0</v>
      </c>
      <c r="BB40" s="86">
        <f t="shared" si="7"/>
        <v>0</v>
      </c>
      <c r="BC40" s="86">
        <f t="shared" si="7"/>
        <v>0</v>
      </c>
      <c r="BD40" s="86">
        <f t="shared" si="7"/>
        <v>282800</v>
      </c>
      <c r="BF40" s="86">
        <f t="shared" ca="1" si="4"/>
        <v>45500</v>
      </c>
      <c r="BG40" s="86">
        <f t="shared" si="5"/>
        <v>146300</v>
      </c>
    </row>
    <row r="41" spans="2:59" x14ac:dyDescent="0.3">
      <c r="B41" s="37" t="str">
        <f>IFERROR(VLOOKUP($F41,매장구분!$B:$V,2,0),"")</f>
        <v>리테일채널팀</v>
      </c>
      <c r="C41" s="37" t="str">
        <f>IFERROR(VLOOKUP($F41,매장구분!$B:$V,4,0),"")</f>
        <v>대리점</v>
      </c>
      <c r="D41" s="37" t="str">
        <f t="shared" si="2"/>
        <v>단체</v>
      </c>
      <c r="E41" s="37" t="s">
        <v>600</v>
      </c>
      <c r="F41" s="37" t="s">
        <v>601</v>
      </c>
      <c r="G41" s="37" t="s">
        <v>642</v>
      </c>
      <c r="H41" s="37">
        <v>218</v>
      </c>
      <c r="I41" s="37">
        <v>39999200</v>
      </c>
      <c r="J41" s="37">
        <v>49999000</v>
      </c>
      <c r="K41" s="37">
        <v>218</v>
      </c>
      <c r="L41" s="37">
        <v>39999200</v>
      </c>
      <c r="M41" s="37">
        <v>49999000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4154400</v>
      </c>
      <c r="W41" s="37">
        <v>0</v>
      </c>
      <c r="X41" s="37">
        <v>3370400</v>
      </c>
      <c r="Y41" s="37">
        <v>0</v>
      </c>
      <c r="Z41" s="37">
        <v>8028000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3384800</v>
      </c>
      <c r="AK41" s="37">
        <v>12731200</v>
      </c>
      <c r="AL41" s="37">
        <v>0</v>
      </c>
      <c r="AM41" s="37">
        <v>0</v>
      </c>
      <c r="AN41" s="37">
        <v>0</v>
      </c>
      <c r="AO41" s="37">
        <v>0</v>
      </c>
      <c r="AP41" s="37">
        <v>0</v>
      </c>
      <c r="AQ41" s="37">
        <v>8330400</v>
      </c>
      <c r="AR41" s="37">
        <v>0</v>
      </c>
      <c r="AS41" s="37">
        <v>0</v>
      </c>
      <c r="AT41" s="37">
        <v>0</v>
      </c>
      <c r="AU41" s="37">
        <v>0</v>
      </c>
      <c r="AZ41" s="86">
        <f t="shared" si="7"/>
        <v>0</v>
      </c>
      <c r="BA41" s="86">
        <f t="shared" si="7"/>
        <v>15552800</v>
      </c>
      <c r="BB41" s="86">
        <f t="shared" si="7"/>
        <v>0</v>
      </c>
      <c r="BC41" s="86">
        <f t="shared" si="7"/>
        <v>16116000</v>
      </c>
      <c r="BD41" s="86">
        <f t="shared" si="7"/>
        <v>8330400</v>
      </c>
      <c r="BF41" s="86">
        <f t="shared" ca="1" si="4"/>
        <v>31668800</v>
      </c>
      <c r="BG41" s="86">
        <f t="shared" si="5"/>
        <v>39999200</v>
      </c>
    </row>
    <row r="42" spans="2:59" x14ac:dyDescent="0.3">
      <c r="B42" s="37" t="str">
        <f>IFERROR(VLOOKUP($F42,매장구분!$B:$V,2,0),"")</f>
        <v>리테일채널팀</v>
      </c>
      <c r="C42" s="37" t="str">
        <f>IFERROR(VLOOKUP($F42,매장구분!$B:$V,4,0),"")</f>
        <v>대리점</v>
      </c>
      <c r="D42" s="37" t="str">
        <f t="shared" si="2"/>
        <v>순수</v>
      </c>
      <c r="E42" s="37" t="s">
        <v>600</v>
      </c>
      <c r="F42" s="37" t="s">
        <v>601</v>
      </c>
      <c r="G42" s="37" t="s">
        <v>643</v>
      </c>
      <c r="H42" s="37">
        <v>9</v>
      </c>
      <c r="I42" s="37">
        <v>980000</v>
      </c>
      <c r="J42" s="37">
        <v>1221000</v>
      </c>
      <c r="K42" s="37">
        <v>9</v>
      </c>
      <c r="L42" s="37">
        <v>980000</v>
      </c>
      <c r="M42" s="37">
        <v>1221000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203000</v>
      </c>
      <c r="X42" s="37">
        <v>0</v>
      </c>
      <c r="Y42" s="37">
        <v>269000</v>
      </c>
      <c r="Z42" s="37">
        <v>0</v>
      </c>
      <c r="AA42" s="37">
        <v>0</v>
      </c>
      <c r="AB42" s="37">
        <v>0</v>
      </c>
      <c r="AC42" s="37">
        <v>79000</v>
      </c>
      <c r="AD42" s="37">
        <v>229000</v>
      </c>
      <c r="AE42" s="37">
        <v>15000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108000</v>
      </c>
      <c r="AM42" s="37">
        <v>0</v>
      </c>
      <c r="AN42" s="37">
        <v>77000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Z42" s="86">
        <f t="shared" si="7"/>
        <v>0</v>
      </c>
      <c r="BA42" s="86">
        <f t="shared" si="7"/>
        <v>472000</v>
      </c>
      <c r="BB42" s="86">
        <f t="shared" si="7"/>
        <v>323000</v>
      </c>
      <c r="BC42" s="86">
        <f t="shared" si="7"/>
        <v>185000</v>
      </c>
      <c r="BD42" s="86">
        <f t="shared" si="7"/>
        <v>0</v>
      </c>
      <c r="BF42" s="86">
        <f t="shared" ca="1" si="4"/>
        <v>903000</v>
      </c>
      <c r="BG42" s="86">
        <f t="shared" si="5"/>
        <v>980000</v>
      </c>
    </row>
    <row r="43" spans="2:59" x14ac:dyDescent="0.3">
      <c r="B43" s="37" t="str">
        <f>IFERROR(VLOOKUP($F43,매장구분!$B:$V,2,0),"")</f>
        <v>리테일채널팀</v>
      </c>
      <c r="C43" s="37" t="str">
        <f>IFERROR(VLOOKUP($F43,매장구분!$B:$V,4,0),"")</f>
        <v>대리점</v>
      </c>
      <c r="D43" s="37" t="str">
        <f t="shared" si="2"/>
        <v>순수</v>
      </c>
      <c r="E43" s="37" t="s">
        <v>600</v>
      </c>
      <c r="F43" s="37" t="s">
        <v>601</v>
      </c>
      <c r="G43" s="37" t="s">
        <v>644</v>
      </c>
      <c r="H43" s="37">
        <v>495</v>
      </c>
      <c r="I43" s="37">
        <v>46515000</v>
      </c>
      <c r="J43" s="37">
        <v>46515000</v>
      </c>
      <c r="K43" s="37">
        <v>513</v>
      </c>
      <c r="L43" s="37">
        <v>49681000</v>
      </c>
      <c r="M43" s="37">
        <v>49681000</v>
      </c>
      <c r="N43" s="37">
        <v>-18</v>
      </c>
      <c r="O43" s="37">
        <v>-3166000</v>
      </c>
      <c r="P43" s="37">
        <v>-3166000</v>
      </c>
      <c r="Q43" s="37">
        <v>896000</v>
      </c>
      <c r="R43" s="37">
        <v>3073000</v>
      </c>
      <c r="S43" s="37">
        <v>1520000</v>
      </c>
      <c r="T43" s="37">
        <v>1721000</v>
      </c>
      <c r="U43" s="37">
        <v>240000</v>
      </c>
      <c r="V43" s="37">
        <v>724000</v>
      </c>
      <c r="W43" s="37">
        <v>1578000</v>
      </c>
      <c r="X43" s="37">
        <v>906000</v>
      </c>
      <c r="Y43" s="37">
        <v>2470000</v>
      </c>
      <c r="Z43" s="37">
        <v>2092000</v>
      </c>
      <c r="AA43" s="37">
        <v>1373000</v>
      </c>
      <c r="AB43" s="37">
        <v>414000</v>
      </c>
      <c r="AC43" s="37">
        <v>1674000</v>
      </c>
      <c r="AD43" s="37">
        <v>2538000</v>
      </c>
      <c r="AE43" s="37">
        <v>1401000</v>
      </c>
      <c r="AF43" s="37">
        <v>1138000</v>
      </c>
      <c r="AG43" s="37">
        <v>1765000</v>
      </c>
      <c r="AH43" s="37">
        <v>1577000</v>
      </c>
      <c r="AI43" s="37">
        <v>945000</v>
      </c>
      <c r="AJ43" s="37">
        <v>375000</v>
      </c>
      <c r="AK43" s="37">
        <v>1617000</v>
      </c>
      <c r="AL43" s="37">
        <v>1244000</v>
      </c>
      <c r="AM43" s="37">
        <v>880000</v>
      </c>
      <c r="AN43" s="37">
        <v>1237000</v>
      </c>
      <c r="AO43" s="37">
        <v>1587000</v>
      </c>
      <c r="AP43" s="37">
        <v>2718000</v>
      </c>
      <c r="AQ43" s="37">
        <v>1887000</v>
      </c>
      <c r="AR43" s="37">
        <v>1890000</v>
      </c>
      <c r="AS43" s="37">
        <v>1026000</v>
      </c>
      <c r="AT43" s="37">
        <v>2580000</v>
      </c>
      <c r="AU43" s="37">
        <v>1429000</v>
      </c>
      <c r="AZ43" s="86">
        <f t="shared" si="7"/>
        <v>4593000</v>
      </c>
      <c r="BA43" s="86">
        <f t="shared" si="7"/>
        <v>9731000</v>
      </c>
      <c r="BB43" s="86">
        <f t="shared" si="7"/>
        <v>10303000</v>
      </c>
      <c r="BC43" s="86">
        <f t="shared" si="7"/>
        <v>7875000</v>
      </c>
      <c r="BD43" s="86">
        <f t="shared" si="7"/>
        <v>13117000</v>
      </c>
      <c r="BF43" s="86">
        <f t="shared" ca="1" si="4"/>
        <v>32161000</v>
      </c>
      <c r="BG43" s="86">
        <f t="shared" si="5"/>
        <v>45086000</v>
      </c>
    </row>
    <row r="44" spans="2:59" x14ac:dyDescent="0.3">
      <c r="B44" s="37" t="str">
        <f>IFERROR(VLOOKUP($F44,매장구분!$B:$V,2,0),"")</f>
        <v>리테일채널팀</v>
      </c>
      <c r="C44" s="37" t="str">
        <f>IFERROR(VLOOKUP($F44,매장구분!$B:$V,4,0),"")</f>
        <v>대리점</v>
      </c>
      <c r="D44" s="37" t="str">
        <f t="shared" si="2"/>
        <v>순수</v>
      </c>
      <c r="E44" s="37" t="s">
        <v>600</v>
      </c>
      <c r="F44" s="37" t="s">
        <v>601</v>
      </c>
      <c r="G44" s="37" t="s">
        <v>645</v>
      </c>
      <c r="H44" s="37">
        <v>14</v>
      </c>
      <c r="I44" s="37">
        <v>2382300</v>
      </c>
      <c r="J44" s="37">
        <v>2647000</v>
      </c>
      <c r="K44" s="37">
        <v>14</v>
      </c>
      <c r="L44" s="37">
        <v>2382300</v>
      </c>
      <c r="M44" s="37">
        <v>2647000</v>
      </c>
      <c r="N44" s="37">
        <v>0</v>
      </c>
      <c r="O44" s="37">
        <v>0</v>
      </c>
      <c r="P44" s="37">
        <v>0</v>
      </c>
      <c r="Q44" s="37">
        <v>0</v>
      </c>
      <c r="R44" s="37">
        <v>342900</v>
      </c>
      <c r="S44" s="37">
        <v>462600</v>
      </c>
      <c r="T44" s="37">
        <v>357300</v>
      </c>
      <c r="U44" s="37">
        <v>0</v>
      </c>
      <c r="V44" s="37">
        <v>89100</v>
      </c>
      <c r="W44" s="37">
        <v>862200</v>
      </c>
      <c r="X44" s="37">
        <v>268200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0</v>
      </c>
      <c r="AS44" s="37">
        <v>0</v>
      </c>
      <c r="AT44" s="37">
        <v>0</v>
      </c>
      <c r="AU44" s="37">
        <v>0</v>
      </c>
      <c r="AZ44" s="86">
        <f t="shared" si="7"/>
        <v>805500</v>
      </c>
      <c r="BA44" s="86">
        <f t="shared" si="7"/>
        <v>1576800</v>
      </c>
      <c r="BB44" s="86">
        <f t="shared" si="7"/>
        <v>0</v>
      </c>
      <c r="BC44" s="86">
        <f t="shared" si="7"/>
        <v>0</v>
      </c>
      <c r="BD44" s="86">
        <f t="shared" si="7"/>
        <v>0</v>
      </c>
      <c r="BF44" s="86">
        <f t="shared" ca="1" si="4"/>
        <v>2382300</v>
      </c>
      <c r="BG44" s="86">
        <f t="shared" si="5"/>
        <v>2382300</v>
      </c>
    </row>
    <row r="45" spans="2:59" x14ac:dyDescent="0.3">
      <c r="B45" s="37" t="str">
        <f>IFERROR(VLOOKUP($F45,매장구분!$B:$V,2,0),"")</f>
        <v>리테일채널팀</v>
      </c>
      <c r="C45" s="37" t="str">
        <f>IFERROR(VLOOKUP($F45,매장구분!$B:$V,4,0),"")</f>
        <v>대리점</v>
      </c>
      <c r="D45" s="37" t="str">
        <f t="shared" si="2"/>
        <v>순수</v>
      </c>
      <c r="E45" s="37" t="s">
        <v>340</v>
      </c>
      <c r="F45" s="37" t="s">
        <v>341</v>
      </c>
      <c r="G45" s="37" t="s">
        <v>646</v>
      </c>
      <c r="H45" s="37">
        <v>8</v>
      </c>
      <c r="I45" s="37">
        <v>634200</v>
      </c>
      <c r="J45" s="37">
        <v>906000</v>
      </c>
      <c r="K45" s="37">
        <v>8</v>
      </c>
      <c r="L45" s="37">
        <v>634200</v>
      </c>
      <c r="M45" s="37">
        <v>906000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45500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45500</v>
      </c>
      <c r="AE45" s="37">
        <v>139300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7">
        <v>66500</v>
      </c>
      <c r="AP45" s="37">
        <v>97300</v>
      </c>
      <c r="AQ45" s="37">
        <v>0</v>
      </c>
      <c r="AR45" s="37">
        <v>97300</v>
      </c>
      <c r="AS45" s="37">
        <v>0</v>
      </c>
      <c r="AT45" s="37">
        <v>142800</v>
      </c>
      <c r="AU45" s="37">
        <v>0</v>
      </c>
      <c r="AZ45" s="86">
        <f t="shared" si="7"/>
        <v>0</v>
      </c>
      <c r="BA45" s="86">
        <f t="shared" si="7"/>
        <v>45500</v>
      </c>
      <c r="BB45" s="86">
        <f t="shared" si="7"/>
        <v>184800</v>
      </c>
      <c r="BC45" s="86">
        <f t="shared" si="7"/>
        <v>0</v>
      </c>
      <c r="BD45" s="86">
        <f t="shared" si="7"/>
        <v>403900</v>
      </c>
      <c r="BF45" s="86">
        <f t="shared" ca="1" si="4"/>
        <v>230300</v>
      </c>
      <c r="BG45" s="86">
        <f t="shared" si="5"/>
        <v>634200</v>
      </c>
    </row>
    <row r="46" spans="2:59" x14ac:dyDescent="0.3">
      <c r="B46" s="37" t="str">
        <f>IFERROR(VLOOKUP($F46,매장구분!$B:$V,2,0),"")</f>
        <v>리테일채널팀</v>
      </c>
      <c r="C46" s="37" t="str">
        <f>IFERROR(VLOOKUP($F46,매장구분!$B:$V,4,0),"")</f>
        <v>대리점</v>
      </c>
      <c r="D46" s="37" t="str">
        <f t="shared" si="2"/>
        <v>단체</v>
      </c>
      <c r="E46" s="37" t="s">
        <v>340</v>
      </c>
      <c r="F46" s="37" t="s">
        <v>341</v>
      </c>
      <c r="G46" s="37" t="s">
        <v>642</v>
      </c>
      <c r="H46" s="37">
        <v>969</v>
      </c>
      <c r="I46" s="37">
        <v>67793600</v>
      </c>
      <c r="J46" s="37">
        <v>84742000</v>
      </c>
      <c r="K46" s="37">
        <v>969</v>
      </c>
      <c r="L46" s="37">
        <v>67793600</v>
      </c>
      <c r="M46" s="37">
        <v>84742000</v>
      </c>
      <c r="N46" s="37">
        <v>0</v>
      </c>
      <c r="O46" s="37">
        <v>0</v>
      </c>
      <c r="P46" s="37">
        <v>0</v>
      </c>
      <c r="Q46" s="37">
        <v>0</v>
      </c>
      <c r="R46" s="37">
        <v>6284800</v>
      </c>
      <c r="S46" s="37">
        <v>6282400</v>
      </c>
      <c r="T46" s="37">
        <v>0</v>
      </c>
      <c r="U46" s="37">
        <v>6300800</v>
      </c>
      <c r="V46" s="37">
        <v>0</v>
      </c>
      <c r="W46" s="37">
        <v>0</v>
      </c>
      <c r="X46" s="37">
        <v>0</v>
      </c>
      <c r="Y46" s="37">
        <v>0</v>
      </c>
      <c r="Z46" s="37">
        <v>11797600</v>
      </c>
      <c r="AA46" s="37">
        <v>0</v>
      </c>
      <c r="AB46" s="37">
        <v>0</v>
      </c>
      <c r="AC46" s="37">
        <v>0</v>
      </c>
      <c r="AD46" s="37">
        <v>0</v>
      </c>
      <c r="AE46" s="37">
        <v>6325600</v>
      </c>
      <c r="AF46" s="37">
        <v>0</v>
      </c>
      <c r="AG46" s="37">
        <v>0</v>
      </c>
      <c r="AH46" s="37">
        <v>6309600</v>
      </c>
      <c r="AI46" s="37">
        <v>0</v>
      </c>
      <c r="AJ46" s="37">
        <v>0</v>
      </c>
      <c r="AK46" s="37">
        <v>0</v>
      </c>
      <c r="AL46" s="37">
        <v>0</v>
      </c>
      <c r="AM46" s="37">
        <v>11849600</v>
      </c>
      <c r="AN46" s="37">
        <v>0</v>
      </c>
      <c r="AO46" s="37">
        <v>6317600</v>
      </c>
      <c r="AP46" s="37">
        <v>6325600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Z46" s="86">
        <f t="shared" si="7"/>
        <v>12567200</v>
      </c>
      <c r="BA46" s="86">
        <f t="shared" si="7"/>
        <v>18098400</v>
      </c>
      <c r="BB46" s="86">
        <f t="shared" si="7"/>
        <v>6325600</v>
      </c>
      <c r="BC46" s="86">
        <f t="shared" si="7"/>
        <v>18159200</v>
      </c>
      <c r="BD46" s="86">
        <f t="shared" si="7"/>
        <v>12643200</v>
      </c>
      <c r="BF46" s="86">
        <f t="shared" ca="1" si="4"/>
        <v>55150400</v>
      </c>
      <c r="BG46" s="86">
        <f t="shared" si="5"/>
        <v>67793600</v>
      </c>
    </row>
    <row r="47" spans="2:59" x14ac:dyDescent="0.3">
      <c r="B47" s="37" t="str">
        <f>IFERROR(VLOOKUP($F47,매장구분!$B:$V,2,0),"")</f>
        <v>리테일채널팀</v>
      </c>
      <c r="C47" s="37" t="str">
        <f>IFERROR(VLOOKUP($F47,매장구분!$B:$V,4,0),"")</f>
        <v>대리점</v>
      </c>
      <c r="D47" s="37" t="str">
        <f t="shared" si="2"/>
        <v>순수</v>
      </c>
      <c r="E47" s="37" t="s">
        <v>340</v>
      </c>
      <c r="F47" s="37" t="s">
        <v>341</v>
      </c>
      <c r="G47" s="37" t="s">
        <v>643</v>
      </c>
      <c r="H47" s="37">
        <v>6</v>
      </c>
      <c r="I47" s="37">
        <v>1069000</v>
      </c>
      <c r="J47" s="37">
        <v>1194000</v>
      </c>
      <c r="K47" s="37">
        <v>8</v>
      </c>
      <c r="L47" s="37">
        <v>1525000</v>
      </c>
      <c r="M47" s="37">
        <v>1702000</v>
      </c>
      <c r="N47" s="37">
        <v>-2</v>
      </c>
      <c r="O47" s="37">
        <v>-456000</v>
      </c>
      <c r="P47" s="37">
        <v>-508000</v>
      </c>
      <c r="Q47" s="37">
        <v>61000</v>
      </c>
      <c r="R47" s="37">
        <v>0</v>
      </c>
      <c r="S47" s="37">
        <v>0</v>
      </c>
      <c r="T47" s="37">
        <v>0</v>
      </c>
      <c r="U47" s="37">
        <v>189000</v>
      </c>
      <c r="V47" s="37">
        <v>0</v>
      </c>
      <c r="W47" s="37">
        <v>119000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297000</v>
      </c>
      <c r="AD47" s="37">
        <v>-40000</v>
      </c>
      <c r="AE47" s="37">
        <v>0</v>
      </c>
      <c r="AF47" s="37">
        <v>0</v>
      </c>
      <c r="AG47" s="37">
        <v>0</v>
      </c>
      <c r="AH47" s="37">
        <v>0</v>
      </c>
      <c r="AI47" s="37">
        <v>99000</v>
      </c>
      <c r="AJ47" s="37">
        <v>0</v>
      </c>
      <c r="AK47" s="37">
        <v>344000</v>
      </c>
      <c r="AL47" s="37">
        <v>0</v>
      </c>
      <c r="AM47" s="37">
        <v>0</v>
      </c>
      <c r="AN47" s="37">
        <v>0</v>
      </c>
      <c r="AO47" s="37">
        <v>0</v>
      </c>
      <c r="AP47" s="37">
        <v>0</v>
      </c>
      <c r="AQ47" s="37">
        <v>0</v>
      </c>
      <c r="AR47" s="37">
        <v>159000</v>
      </c>
      <c r="AS47" s="37">
        <v>-159000</v>
      </c>
      <c r="AT47" s="37">
        <v>0</v>
      </c>
      <c r="AU47" s="37">
        <v>0</v>
      </c>
      <c r="AZ47" s="86">
        <f t="shared" si="7"/>
        <v>0</v>
      </c>
      <c r="BA47" s="86">
        <f t="shared" si="7"/>
        <v>308000</v>
      </c>
      <c r="BB47" s="86">
        <f t="shared" si="7"/>
        <v>257000</v>
      </c>
      <c r="BC47" s="86">
        <f t="shared" si="7"/>
        <v>443000</v>
      </c>
      <c r="BD47" s="86">
        <f t="shared" si="7"/>
        <v>0</v>
      </c>
      <c r="BF47" s="86">
        <f t="shared" ca="1" si="4"/>
        <v>1069000</v>
      </c>
      <c r="BG47" s="86">
        <f t="shared" si="5"/>
        <v>1069000</v>
      </c>
    </row>
    <row r="48" spans="2:59" x14ac:dyDescent="0.3">
      <c r="B48" s="37" t="str">
        <f>IFERROR(VLOOKUP($F48,매장구분!$B:$V,2,0),"")</f>
        <v>리테일채널팀</v>
      </c>
      <c r="C48" s="37" t="str">
        <f>IFERROR(VLOOKUP($F48,매장구분!$B:$V,4,0),"")</f>
        <v>대리점</v>
      </c>
      <c r="D48" s="37" t="str">
        <f t="shared" si="2"/>
        <v>순수</v>
      </c>
      <c r="E48" s="37" t="s">
        <v>340</v>
      </c>
      <c r="F48" s="37" t="s">
        <v>341</v>
      </c>
      <c r="G48" s="37" t="s">
        <v>644</v>
      </c>
      <c r="H48" s="37">
        <v>962</v>
      </c>
      <c r="I48" s="37">
        <v>95471700</v>
      </c>
      <c r="J48" s="37">
        <v>95471700</v>
      </c>
      <c r="K48" s="37">
        <v>1017</v>
      </c>
      <c r="L48" s="37">
        <v>103361600</v>
      </c>
      <c r="M48" s="37">
        <v>103361600</v>
      </c>
      <c r="N48" s="37">
        <v>-55</v>
      </c>
      <c r="O48" s="37">
        <v>-7889900</v>
      </c>
      <c r="P48" s="37">
        <v>-7889900</v>
      </c>
      <c r="Q48" s="37">
        <v>1830000</v>
      </c>
      <c r="R48" s="37">
        <v>4787000</v>
      </c>
      <c r="S48" s="37">
        <v>2020000</v>
      </c>
      <c r="T48" s="37">
        <v>2216000</v>
      </c>
      <c r="U48" s="37">
        <v>1768000</v>
      </c>
      <c r="V48" s="37">
        <v>5058000</v>
      </c>
      <c r="W48" s="37">
        <v>2514000</v>
      </c>
      <c r="X48" s="37">
        <v>2037000</v>
      </c>
      <c r="Y48" s="37">
        <v>4048000</v>
      </c>
      <c r="Z48" s="37">
        <v>3264900</v>
      </c>
      <c r="AA48" s="37">
        <v>2220000</v>
      </c>
      <c r="AB48" s="37">
        <v>3007000</v>
      </c>
      <c r="AC48" s="37">
        <v>2536000</v>
      </c>
      <c r="AD48" s="37">
        <v>2956000</v>
      </c>
      <c r="AE48" s="37">
        <v>3793000</v>
      </c>
      <c r="AF48" s="37">
        <v>2474000</v>
      </c>
      <c r="AG48" s="37">
        <v>3493000</v>
      </c>
      <c r="AH48" s="37">
        <v>3224000</v>
      </c>
      <c r="AI48" s="37">
        <v>3291000</v>
      </c>
      <c r="AJ48" s="37">
        <v>1624000</v>
      </c>
      <c r="AK48" s="37">
        <v>2520000</v>
      </c>
      <c r="AL48" s="37">
        <v>3866000</v>
      </c>
      <c r="AM48" s="37">
        <v>4156000</v>
      </c>
      <c r="AN48" s="37">
        <v>3214900</v>
      </c>
      <c r="AO48" s="37">
        <v>3689000</v>
      </c>
      <c r="AP48" s="37">
        <v>6120900</v>
      </c>
      <c r="AQ48" s="37">
        <v>1565000</v>
      </c>
      <c r="AR48" s="37">
        <v>2842000</v>
      </c>
      <c r="AS48" s="37">
        <v>2997000</v>
      </c>
      <c r="AT48" s="37">
        <v>2633000</v>
      </c>
      <c r="AU48" s="37">
        <v>3707000</v>
      </c>
      <c r="AZ48" s="86">
        <f t="shared" si="7"/>
        <v>6807000</v>
      </c>
      <c r="BA48" s="86">
        <f t="shared" si="7"/>
        <v>20905900</v>
      </c>
      <c r="BB48" s="86">
        <f t="shared" si="7"/>
        <v>20479000</v>
      </c>
      <c r="BC48" s="86">
        <f t="shared" si="7"/>
        <v>21895900</v>
      </c>
      <c r="BD48" s="86">
        <f t="shared" si="7"/>
        <v>23553900</v>
      </c>
      <c r="BF48" s="86">
        <f t="shared" ca="1" si="4"/>
        <v>68702900</v>
      </c>
      <c r="BG48" s="86">
        <f t="shared" si="5"/>
        <v>91764700</v>
      </c>
    </row>
    <row r="49" spans="2:59" x14ac:dyDescent="0.3">
      <c r="B49" s="37" t="str">
        <f>IFERROR(VLOOKUP($F49,매장구분!$B:$V,2,0),"")</f>
        <v>리테일채널팀</v>
      </c>
      <c r="C49" s="37" t="str">
        <f>IFERROR(VLOOKUP($F49,매장구분!$B:$V,4,0),"")</f>
        <v>대리점</v>
      </c>
      <c r="D49" s="37" t="str">
        <f t="shared" si="2"/>
        <v>순수</v>
      </c>
      <c r="E49" s="37" t="s">
        <v>340</v>
      </c>
      <c r="F49" s="37" t="s">
        <v>341</v>
      </c>
      <c r="G49" s="37" t="s">
        <v>645</v>
      </c>
      <c r="H49" s="37">
        <v>4</v>
      </c>
      <c r="I49" s="37">
        <v>522000</v>
      </c>
      <c r="J49" s="37">
        <v>580000</v>
      </c>
      <c r="K49" s="37">
        <v>6</v>
      </c>
      <c r="L49" s="37">
        <v>808200</v>
      </c>
      <c r="M49" s="37">
        <v>898000</v>
      </c>
      <c r="N49" s="37">
        <v>-2</v>
      </c>
      <c r="O49" s="37">
        <v>-286200</v>
      </c>
      <c r="P49" s="37">
        <v>-318000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522000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>
        <v>0</v>
      </c>
      <c r="AT49" s="37">
        <v>0</v>
      </c>
      <c r="AU49" s="37">
        <v>0</v>
      </c>
      <c r="AZ49" s="86">
        <f t="shared" si="7"/>
        <v>0</v>
      </c>
      <c r="BA49" s="86">
        <f t="shared" si="7"/>
        <v>522000</v>
      </c>
      <c r="BB49" s="86">
        <f t="shared" si="7"/>
        <v>0</v>
      </c>
      <c r="BC49" s="86">
        <f t="shared" si="7"/>
        <v>0</v>
      </c>
      <c r="BD49" s="86">
        <f t="shared" si="7"/>
        <v>0</v>
      </c>
      <c r="BF49" s="86">
        <f t="shared" ca="1" si="4"/>
        <v>522000</v>
      </c>
      <c r="BG49" s="86">
        <f t="shared" si="5"/>
        <v>522000</v>
      </c>
    </row>
    <row r="50" spans="2:59" x14ac:dyDescent="0.3">
      <c r="B50" s="37" t="str">
        <f>IFERROR(VLOOKUP($F50,매장구분!$B:$V,2,0),"")</f>
        <v/>
      </c>
      <c r="C50" s="37" t="str">
        <f>IFERROR(VLOOKUP($F50,매장구분!$B:$V,4,0),"")</f>
        <v/>
      </c>
      <c r="D50" s="37" t="str">
        <f t="shared" si="2"/>
        <v/>
      </c>
      <c r="AZ50" s="86">
        <f t="shared" si="7"/>
        <v>0</v>
      </c>
      <c r="BA50" s="86">
        <f t="shared" si="7"/>
        <v>0</v>
      </c>
      <c r="BB50" s="86">
        <f t="shared" si="7"/>
        <v>0</v>
      </c>
      <c r="BC50" s="86">
        <f t="shared" si="7"/>
        <v>0</v>
      </c>
      <c r="BD50" s="86">
        <f t="shared" si="7"/>
        <v>0</v>
      </c>
      <c r="BF50" s="86">
        <f t="shared" ca="1" si="4"/>
        <v>0</v>
      </c>
      <c r="BG50" s="86">
        <f t="shared" si="5"/>
        <v>0</v>
      </c>
    </row>
    <row r="51" spans="2:59" x14ac:dyDescent="0.3">
      <c r="B51" s="37" t="str">
        <f>IFERROR(VLOOKUP($F51,매장구분!$B:$V,2,0),"")</f>
        <v/>
      </c>
      <c r="C51" s="37" t="str">
        <f>IFERROR(VLOOKUP($F51,매장구분!$B:$V,4,0),"")</f>
        <v/>
      </c>
      <c r="D51" s="37" t="str">
        <f t="shared" si="2"/>
        <v/>
      </c>
      <c r="AZ51" s="86">
        <f t="shared" si="7"/>
        <v>0</v>
      </c>
      <c r="BA51" s="86">
        <f t="shared" si="7"/>
        <v>0</v>
      </c>
      <c r="BB51" s="86">
        <f t="shared" si="7"/>
        <v>0</v>
      </c>
      <c r="BC51" s="86">
        <f t="shared" si="7"/>
        <v>0</v>
      </c>
      <c r="BD51" s="86">
        <f t="shared" si="7"/>
        <v>0</v>
      </c>
      <c r="BF51" s="86">
        <f t="shared" ca="1" si="4"/>
        <v>0</v>
      </c>
      <c r="BG51" s="86">
        <f t="shared" si="5"/>
        <v>0</v>
      </c>
    </row>
    <row r="52" spans="2:59" x14ac:dyDescent="0.3">
      <c r="B52" s="37" t="str">
        <f>IFERROR(VLOOKUP($F52,매장구분!$B:$V,2,0),"")</f>
        <v/>
      </c>
      <c r="C52" s="37" t="str">
        <f>IFERROR(VLOOKUP($F52,매장구분!$B:$V,4,0),"")</f>
        <v/>
      </c>
      <c r="D52" s="37" t="str">
        <f t="shared" si="2"/>
        <v/>
      </c>
      <c r="AZ52" s="86">
        <f t="shared" si="7"/>
        <v>0</v>
      </c>
      <c r="BA52" s="86">
        <f t="shared" si="7"/>
        <v>0</v>
      </c>
      <c r="BB52" s="86">
        <f t="shared" si="7"/>
        <v>0</v>
      </c>
      <c r="BC52" s="86">
        <f t="shared" si="7"/>
        <v>0</v>
      </c>
      <c r="BD52" s="86">
        <f t="shared" si="7"/>
        <v>0</v>
      </c>
      <c r="BF52" s="86">
        <f t="shared" ca="1" si="4"/>
        <v>0</v>
      </c>
      <c r="BG52" s="86">
        <f t="shared" si="5"/>
        <v>0</v>
      </c>
    </row>
    <row r="53" spans="2:59" x14ac:dyDescent="0.3">
      <c r="B53" s="37" t="str">
        <f>IFERROR(VLOOKUP($F53,매장구분!$B:$V,2,0),"")</f>
        <v/>
      </c>
      <c r="C53" s="37" t="str">
        <f>IFERROR(VLOOKUP($F53,매장구분!$B:$V,4,0),"")</f>
        <v/>
      </c>
      <c r="D53" s="37" t="str">
        <f t="shared" si="2"/>
        <v/>
      </c>
      <c r="AZ53" s="86">
        <f t="shared" si="7"/>
        <v>0</v>
      </c>
      <c r="BA53" s="86">
        <f t="shared" si="7"/>
        <v>0</v>
      </c>
      <c r="BB53" s="86">
        <f t="shared" si="7"/>
        <v>0</v>
      </c>
      <c r="BC53" s="86">
        <f t="shared" si="7"/>
        <v>0</v>
      </c>
      <c r="BD53" s="86">
        <f t="shared" si="7"/>
        <v>0</v>
      </c>
      <c r="BF53" s="86">
        <f t="shared" ca="1" si="4"/>
        <v>0</v>
      </c>
      <c r="BG53" s="86">
        <f t="shared" si="5"/>
        <v>0</v>
      </c>
    </row>
    <row r="54" spans="2:59" x14ac:dyDescent="0.3">
      <c r="B54" s="37" t="str">
        <f>IFERROR(VLOOKUP($F54,매장구분!$B:$V,2,0),"")</f>
        <v/>
      </c>
      <c r="C54" s="37" t="str">
        <f>IFERROR(VLOOKUP($F54,매장구분!$B:$V,4,0),"")</f>
        <v/>
      </c>
      <c r="D54" s="37" t="str">
        <f t="shared" si="2"/>
        <v/>
      </c>
      <c r="AZ54" s="86">
        <f t="shared" si="7"/>
        <v>0</v>
      </c>
      <c r="BA54" s="86">
        <f t="shared" si="7"/>
        <v>0</v>
      </c>
      <c r="BB54" s="86">
        <f t="shared" si="7"/>
        <v>0</v>
      </c>
      <c r="BC54" s="86">
        <f t="shared" si="7"/>
        <v>0</v>
      </c>
      <c r="BD54" s="86">
        <f t="shared" si="7"/>
        <v>0</v>
      </c>
      <c r="BF54" s="86">
        <f t="shared" ca="1" si="4"/>
        <v>0</v>
      </c>
      <c r="BG54" s="86">
        <f t="shared" si="5"/>
        <v>0</v>
      </c>
    </row>
    <row r="55" spans="2:59" x14ac:dyDescent="0.3">
      <c r="B55" s="37" t="str">
        <f>IFERROR(VLOOKUP($F55,매장구분!$B:$V,2,0),"")</f>
        <v/>
      </c>
      <c r="C55" s="37" t="str">
        <f>IFERROR(VLOOKUP($F55,매장구분!$B:$V,4,0),"")</f>
        <v/>
      </c>
      <c r="D55" s="37" t="str">
        <f t="shared" si="2"/>
        <v/>
      </c>
      <c r="AZ55" s="86">
        <f t="shared" ref="AZ55:BD70" si="8">SUMIFS($R55:$AV55,$R$3:$AV$3,AZ$1)</f>
        <v>0</v>
      </c>
      <c r="BA55" s="86">
        <f t="shared" si="8"/>
        <v>0</v>
      </c>
      <c r="BB55" s="86">
        <f t="shared" si="8"/>
        <v>0</v>
      </c>
      <c r="BC55" s="86">
        <f t="shared" si="8"/>
        <v>0</v>
      </c>
      <c r="BD55" s="86">
        <f t="shared" si="8"/>
        <v>0</v>
      </c>
      <c r="BF55" s="86">
        <f t="shared" ca="1" si="4"/>
        <v>0</v>
      </c>
      <c r="BG55" s="86">
        <f t="shared" si="5"/>
        <v>0</v>
      </c>
    </row>
    <row r="56" spans="2:59" x14ac:dyDescent="0.3">
      <c r="B56" s="37" t="str">
        <f>IFERROR(VLOOKUP($F56,매장구분!$B:$V,2,0),"")</f>
        <v/>
      </c>
      <c r="C56" s="37" t="str">
        <f>IFERROR(VLOOKUP($F56,매장구분!$B:$V,4,0),"")</f>
        <v/>
      </c>
      <c r="D56" s="37" t="str">
        <f t="shared" si="2"/>
        <v/>
      </c>
      <c r="AZ56" s="86">
        <f t="shared" si="8"/>
        <v>0</v>
      </c>
      <c r="BA56" s="86">
        <f t="shared" si="8"/>
        <v>0</v>
      </c>
      <c r="BB56" s="86">
        <f t="shared" si="8"/>
        <v>0</v>
      </c>
      <c r="BC56" s="86">
        <f t="shared" si="8"/>
        <v>0</v>
      </c>
      <c r="BD56" s="86">
        <f t="shared" si="8"/>
        <v>0</v>
      </c>
      <c r="BF56" s="86">
        <f t="shared" ca="1" si="4"/>
        <v>0</v>
      </c>
      <c r="BG56" s="86">
        <f t="shared" si="5"/>
        <v>0</v>
      </c>
    </row>
    <row r="57" spans="2:59" x14ac:dyDescent="0.3">
      <c r="B57" s="37" t="str">
        <f>IFERROR(VLOOKUP($F57,매장구분!$B:$V,2,0),"")</f>
        <v/>
      </c>
      <c r="C57" s="37" t="str">
        <f>IFERROR(VLOOKUP($F57,매장구분!$B:$V,4,0),"")</f>
        <v/>
      </c>
      <c r="D57" s="37" t="str">
        <f t="shared" si="2"/>
        <v/>
      </c>
      <c r="AZ57" s="86">
        <f t="shared" si="8"/>
        <v>0</v>
      </c>
      <c r="BA57" s="86">
        <f t="shared" si="8"/>
        <v>0</v>
      </c>
      <c r="BB57" s="86">
        <f t="shared" si="8"/>
        <v>0</v>
      </c>
      <c r="BC57" s="86">
        <f t="shared" si="8"/>
        <v>0</v>
      </c>
      <c r="BD57" s="86">
        <f t="shared" si="8"/>
        <v>0</v>
      </c>
      <c r="BF57" s="86">
        <f t="shared" ca="1" si="4"/>
        <v>0</v>
      </c>
      <c r="BG57" s="86">
        <f t="shared" si="5"/>
        <v>0</v>
      </c>
    </row>
    <row r="58" spans="2:59" x14ac:dyDescent="0.3">
      <c r="B58" s="37" t="str">
        <f>IFERROR(VLOOKUP($F58,매장구분!$B:$V,2,0),"")</f>
        <v/>
      </c>
      <c r="C58" s="37" t="str">
        <f>IFERROR(VLOOKUP($F58,매장구분!$B:$V,4,0),"")</f>
        <v/>
      </c>
      <c r="D58" s="37" t="str">
        <f t="shared" si="2"/>
        <v/>
      </c>
      <c r="AZ58" s="86">
        <f t="shared" si="8"/>
        <v>0</v>
      </c>
      <c r="BA58" s="86">
        <f t="shared" si="8"/>
        <v>0</v>
      </c>
      <c r="BB58" s="86">
        <f t="shared" si="8"/>
        <v>0</v>
      </c>
      <c r="BC58" s="86">
        <f t="shared" si="8"/>
        <v>0</v>
      </c>
      <c r="BD58" s="86">
        <f t="shared" si="8"/>
        <v>0</v>
      </c>
      <c r="BF58" s="86">
        <f t="shared" ca="1" si="4"/>
        <v>0</v>
      </c>
      <c r="BG58" s="86">
        <f t="shared" si="5"/>
        <v>0</v>
      </c>
    </row>
    <row r="59" spans="2:59" x14ac:dyDescent="0.3">
      <c r="B59" s="37" t="str">
        <f>IFERROR(VLOOKUP($F59,매장구분!$B:$V,2,0),"")</f>
        <v/>
      </c>
      <c r="C59" s="37" t="str">
        <f>IFERROR(VLOOKUP($F59,매장구분!$B:$V,4,0),"")</f>
        <v/>
      </c>
      <c r="D59" s="37" t="str">
        <f t="shared" si="2"/>
        <v/>
      </c>
      <c r="AZ59" s="86">
        <f t="shared" si="8"/>
        <v>0</v>
      </c>
      <c r="BA59" s="86">
        <f t="shared" si="8"/>
        <v>0</v>
      </c>
      <c r="BB59" s="86">
        <f t="shared" si="8"/>
        <v>0</v>
      </c>
      <c r="BC59" s="86">
        <f t="shared" si="8"/>
        <v>0</v>
      </c>
      <c r="BD59" s="86">
        <f t="shared" si="8"/>
        <v>0</v>
      </c>
      <c r="BF59" s="86">
        <f t="shared" ca="1" si="4"/>
        <v>0</v>
      </c>
      <c r="BG59" s="86">
        <f t="shared" si="5"/>
        <v>0</v>
      </c>
    </row>
    <row r="60" spans="2:59" x14ac:dyDescent="0.3">
      <c r="B60" s="37" t="str">
        <f>IFERROR(VLOOKUP($F60,매장구분!$B:$V,2,0),"")</f>
        <v/>
      </c>
      <c r="C60" s="37" t="str">
        <f>IFERROR(VLOOKUP($F60,매장구분!$B:$V,4,0),"")</f>
        <v/>
      </c>
      <c r="AZ60" s="86">
        <f t="shared" si="8"/>
        <v>0</v>
      </c>
      <c r="BA60" s="86">
        <f t="shared" si="8"/>
        <v>0</v>
      </c>
      <c r="BB60" s="86">
        <f t="shared" si="8"/>
        <v>0</v>
      </c>
      <c r="BC60" s="86">
        <f t="shared" si="8"/>
        <v>0</v>
      </c>
      <c r="BD60" s="86">
        <f t="shared" si="8"/>
        <v>0</v>
      </c>
      <c r="BF60" s="86">
        <f t="shared" ca="1" si="4"/>
        <v>0</v>
      </c>
      <c r="BG60" s="86">
        <f t="shared" si="5"/>
        <v>0</v>
      </c>
    </row>
    <row r="61" spans="2:59" x14ac:dyDescent="0.3">
      <c r="AZ61" s="86">
        <f t="shared" si="8"/>
        <v>0</v>
      </c>
      <c r="BA61" s="86">
        <f t="shared" si="8"/>
        <v>0</v>
      </c>
      <c r="BB61" s="86">
        <f t="shared" si="8"/>
        <v>0</v>
      </c>
      <c r="BC61" s="86">
        <f t="shared" si="8"/>
        <v>0</v>
      </c>
      <c r="BD61" s="86">
        <f t="shared" si="8"/>
        <v>0</v>
      </c>
      <c r="BF61" s="86">
        <f t="shared" ca="1" si="4"/>
        <v>0</v>
      </c>
      <c r="BG61" s="86">
        <f t="shared" si="5"/>
        <v>0</v>
      </c>
    </row>
    <row r="62" spans="2:59" x14ac:dyDescent="0.3">
      <c r="AZ62" s="86">
        <f t="shared" si="8"/>
        <v>0</v>
      </c>
      <c r="BA62" s="86">
        <f t="shared" si="8"/>
        <v>0</v>
      </c>
      <c r="BB62" s="86">
        <f t="shared" si="8"/>
        <v>0</v>
      </c>
      <c r="BC62" s="86">
        <f t="shared" si="8"/>
        <v>0</v>
      </c>
      <c r="BD62" s="86">
        <f t="shared" si="8"/>
        <v>0</v>
      </c>
      <c r="BF62" s="86">
        <f t="shared" ca="1" si="4"/>
        <v>0</v>
      </c>
      <c r="BG62" s="86">
        <f t="shared" si="5"/>
        <v>0</v>
      </c>
    </row>
    <row r="63" spans="2:59" x14ac:dyDescent="0.3">
      <c r="AZ63" s="86">
        <f t="shared" si="8"/>
        <v>0</v>
      </c>
      <c r="BA63" s="86">
        <f t="shared" si="8"/>
        <v>0</v>
      </c>
      <c r="BB63" s="86">
        <f t="shared" si="8"/>
        <v>0</v>
      </c>
      <c r="BC63" s="86">
        <f t="shared" si="8"/>
        <v>0</v>
      </c>
      <c r="BD63" s="86">
        <f t="shared" si="8"/>
        <v>0</v>
      </c>
      <c r="BF63" s="86">
        <f t="shared" ca="1" si="4"/>
        <v>0</v>
      </c>
      <c r="BG63" s="86">
        <f t="shared" si="5"/>
        <v>0</v>
      </c>
    </row>
    <row r="64" spans="2:59" x14ac:dyDescent="0.3">
      <c r="AZ64" s="86">
        <f t="shared" si="8"/>
        <v>0</v>
      </c>
      <c r="BA64" s="86">
        <f t="shared" si="8"/>
        <v>0</v>
      </c>
      <c r="BB64" s="86">
        <f t="shared" si="8"/>
        <v>0</v>
      </c>
      <c r="BC64" s="86">
        <f t="shared" si="8"/>
        <v>0</v>
      </c>
      <c r="BD64" s="86">
        <f t="shared" si="8"/>
        <v>0</v>
      </c>
      <c r="BF64" s="86">
        <f t="shared" ca="1" si="4"/>
        <v>0</v>
      </c>
      <c r="BG64" s="86">
        <f t="shared" si="5"/>
        <v>0</v>
      </c>
    </row>
    <row r="65" spans="52:59" x14ac:dyDescent="0.3">
      <c r="AZ65" s="86">
        <f t="shared" si="8"/>
        <v>0</v>
      </c>
      <c r="BA65" s="86">
        <f t="shared" si="8"/>
        <v>0</v>
      </c>
      <c r="BB65" s="86">
        <f t="shared" si="8"/>
        <v>0</v>
      </c>
      <c r="BC65" s="86">
        <f t="shared" si="8"/>
        <v>0</v>
      </c>
      <c r="BD65" s="86">
        <f t="shared" si="8"/>
        <v>0</v>
      </c>
      <c r="BF65" s="86">
        <f t="shared" ca="1" si="4"/>
        <v>0</v>
      </c>
      <c r="BG65" s="86">
        <f t="shared" si="5"/>
        <v>0</v>
      </c>
    </row>
    <row r="66" spans="52:59" x14ac:dyDescent="0.3">
      <c r="AZ66" s="86">
        <f t="shared" si="8"/>
        <v>0</v>
      </c>
      <c r="BA66" s="86">
        <f t="shared" si="8"/>
        <v>0</v>
      </c>
      <c r="BB66" s="86">
        <f t="shared" si="8"/>
        <v>0</v>
      </c>
      <c r="BC66" s="86">
        <f t="shared" si="8"/>
        <v>0</v>
      </c>
      <c r="BD66" s="86">
        <f t="shared" si="8"/>
        <v>0</v>
      </c>
      <c r="BF66" s="86">
        <f t="shared" ca="1" si="4"/>
        <v>0</v>
      </c>
      <c r="BG66" s="86">
        <f t="shared" si="5"/>
        <v>0</v>
      </c>
    </row>
    <row r="67" spans="52:59" x14ac:dyDescent="0.3">
      <c r="AZ67" s="86">
        <f t="shared" si="8"/>
        <v>0</v>
      </c>
      <c r="BA67" s="86">
        <f t="shared" si="8"/>
        <v>0</v>
      </c>
      <c r="BB67" s="86">
        <f t="shared" si="8"/>
        <v>0</v>
      </c>
      <c r="BC67" s="86">
        <f t="shared" si="8"/>
        <v>0</v>
      </c>
      <c r="BD67" s="86">
        <f t="shared" si="8"/>
        <v>0</v>
      </c>
      <c r="BF67" s="86">
        <f t="shared" ca="1" si="4"/>
        <v>0</v>
      </c>
      <c r="BG67" s="86">
        <f t="shared" si="5"/>
        <v>0</v>
      </c>
    </row>
    <row r="68" spans="52:59" x14ac:dyDescent="0.3">
      <c r="AZ68" s="86">
        <f t="shared" si="8"/>
        <v>0</v>
      </c>
      <c r="BA68" s="86">
        <f t="shared" si="8"/>
        <v>0</v>
      </c>
      <c r="BB68" s="86">
        <f t="shared" si="8"/>
        <v>0</v>
      </c>
      <c r="BC68" s="86">
        <f t="shared" si="8"/>
        <v>0</v>
      </c>
      <c r="BD68" s="86">
        <f t="shared" si="8"/>
        <v>0</v>
      </c>
      <c r="BF68" s="86">
        <f t="shared" ca="1" si="4"/>
        <v>0</v>
      </c>
      <c r="BG68" s="86">
        <f t="shared" si="5"/>
        <v>0</v>
      </c>
    </row>
    <row r="69" spans="52:59" x14ac:dyDescent="0.3">
      <c r="AZ69" s="86">
        <f t="shared" si="8"/>
        <v>0</v>
      </c>
      <c r="BA69" s="86">
        <f t="shared" si="8"/>
        <v>0</v>
      </c>
      <c r="BB69" s="86">
        <f t="shared" si="8"/>
        <v>0</v>
      </c>
      <c r="BC69" s="86">
        <f t="shared" si="8"/>
        <v>0</v>
      </c>
      <c r="BD69" s="86">
        <f t="shared" si="8"/>
        <v>0</v>
      </c>
      <c r="BF69" s="86">
        <f t="shared" ca="1" si="4"/>
        <v>0</v>
      </c>
      <c r="BG69" s="86">
        <f t="shared" si="5"/>
        <v>0</v>
      </c>
    </row>
    <row r="70" spans="52:59" x14ac:dyDescent="0.3">
      <c r="AZ70" s="86">
        <f t="shared" si="8"/>
        <v>0</v>
      </c>
      <c r="BA70" s="86">
        <f t="shared" si="8"/>
        <v>0</v>
      </c>
      <c r="BB70" s="86">
        <f t="shared" si="8"/>
        <v>0</v>
      </c>
      <c r="BC70" s="86">
        <f t="shared" si="8"/>
        <v>0</v>
      </c>
      <c r="BD70" s="86">
        <f t="shared" si="8"/>
        <v>0</v>
      </c>
      <c r="BF70" s="86">
        <f t="shared" ca="1" si="4"/>
        <v>0</v>
      </c>
      <c r="BG70" s="86">
        <f t="shared" si="5"/>
        <v>0</v>
      </c>
    </row>
    <row r="71" spans="52:59" x14ac:dyDescent="0.3">
      <c r="AZ71" s="86">
        <f t="shared" ref="AZ71:BD72" si="9">SUMIFS($R71:$AV71,$R$3:$AV$3,AZ$1)</f>
        <v>0</v>
      </c>
      <c r="BA71" s="86">
        <f t="shared" si="9"/>
        <v>0</v>
      </c>
      <c r="BB71" s="86">
        <f t="shared" si="9"/>
        <v>0</v>
      </c>
      <c r="BC71" s="86">
        <f t="shared" si="9"/>
        <v>0</v>
      </c>
      <c r="BD71" s="86">
        <f t="shared" si="9"/>
        <v>0</v>
      </c>
      <c r="BF71" s="86">
        <f t="shared" ref="BF71:BF72" ca="1" si="10">SUMIFS($Q71:$AU71,$Q$2:$AU$2,BF$2)</f>
        <v>0</v>
      </c>
      <c r="BG71" s="86">
        <f t="shared" ref="BG71:BG72" si="11">SUM(Q71:AT71)</f>
        <v>0</v>
      </c>
    </row>
    <row r="72" spans="52:59" x14ac:dyDescent="0.3">
      <c r="AZ72" s="86">
        <f t="shared" si="9"/>
        <v>0</v>
      </c>
      <c r="BA72" s="86">
        <f t="shared" si="9"/>
        <v>0</v>
      </c>
      <c r="BB72" s="86">
        <f t="shared" si="9"/>
        <v>0</v>
      </c>
      <c r="BC72" s="86">
        <f t="shared" si="9"/>
        <v>0</v>
      </c>
      <c r="BD72" s="86">
        <f t="shared" si="9"/>
        <v>0</v>
      </c>
      <c r="BF72" s="86">
        <f t="shared" ca="1" si="10"/>
        <v>0</v>
      </c>
      <c r="BG72" s="86">
        <f t="shared" si="11"/>
        <v>0</v>
      </c>
    </row>
    <row r="73" spans="52:59" x14ac:dyDescent="0.3">
      <c r="AZ73" s="86"/>
      <c r="BA73" s="86"/>
      <c r="BB73" s="86"/>
      <c r="BC73" s="86"/>
      <c r="BD73" s="86"/>
    </row>
    <row r="74" spans="52:59" x14ac:dyDescent="0.3">
      <c r="AZ74" s="86"/>
      <c r="BA74" s="86"/>
      <c r="BB74" s="86"/>
      <c r="BC74" s="86"/>
      <c r="BD74" s="86"/>
    </row>
    <row r="75" spans="52:59" x14ac:dyDescent="0.3">
      <c r="AZ75" s="86"/>
      <c r="BA75" s="86"/>
      <c r="BB75" s="86"/>
      <c r="BC75" s="86"/>
      <c r="BD75" s="86"/>
    </row>
    <row r="76" spans="52:59" x14ac:dyDescent="0.3">
      <c r="AZ76" s="86"/>
      <c r="BA76" s="86"/>
      <c r="BB76" s="86"/>
      <c r="BC76" s="86"/>
      <c r="BD76" s="86"/>
    </row>
    <row r="77" spans="52:59" x14ac:dyDescent="0.3">
      <c r="AZ77" s="86"/>
      <c r="BA77" s="86"/>
      <c r="BB77" s="86"/>
      <c r="BC77" s="86"/>
      <c r="BD77" s="86"/>
    </row>
    <row r="78" spans="52:59" x14ac:dyDescent="0.3">
      <c r="AZ78" s="86"/>
      <c r="BA78" s="86"/>
      <c r="BB78" s="86"/>
      <c r="BC78" s="86"/>
      <c r="BD78" s="86"/>
    </row>
    <row r="79" spans="52:59" x14ac:dyDescent="0.3">
      <c r="AZ79" s="86"/>
      <c r="BA79" s="86"/>
      <c r="BB79" s="86"/>
      <c r="BC79" s="86"/>
      <c r="BD79" s="86"/>
    </row>
    <row r="80" spans="52:59" x14ac:dyDescent="0.3">
      <c r="AZ80" s="86"/>
      <c r="BA80" s="86"/>
      <c r="BB80" s="86"/>
      <c r="BC80" s="86"/>
      <c r="BD80" s="86"/>
    </row>
    <row r="81" spans="52:56" x14ac:dyDescent="0.3">
      <c r="AZ81" s="86"/>
      <c r="BA81" s="86"/>
      <c r="BB81" s="86"/>
      <c r="BC81" s="86"/>
      <c r="BD81" s="86"/>
    </row>
    <row r="82" spans="52:56" x14ac:dyDescent="0.3">
      <c r="AZ82" s="86"/>
      <c r="BA82" s="86"/>
      <c r="BB82" s="86"/>
      <c r="BC82" s="86"/>
      <c r="BD82" s="86"/>
    </row>
    <row r="83" spans="52:56" x14ac:dyDescent="0.3">
      <c r="AZ83" s="86"/>
      <c r="BA83" s="86"/>
      <c r="BB83" s="86"/>
      <c r="BC83" s="86"/>
      <c r="BD83" s="86"/>
    </row>
    <row r="84" spans="52:56" x14ac:dyDescent="0.3">
      <c r="AZ84" s="86"/>
      <c r="BA84" s="86"/>
      <c r="BB84" s="86"/>
      <c r="BC84" s="86"/>
      <c r="BD84" s="86"/>
    </row>
    <row r="85" spans="52:56" x14ac:dyDescent="0.3">
      <c r="AZ85" s="86"/>
      <c r="BA85" s="86"/>
      <c r="BB85" s="86"/>
      <c r="BC85" s="86"/>
      <c r="BD85" s="86"/>
    </row>
    <row r="86" spans="52:56" x14ac:dyDescent="0.3">
      <c r="AZ86" s="86"/>
      <c r="BA86" s="86"/>
      <c r="BB86" s="86"/>
      <c r="BC86" s="86"/>
      <c r="BD86" s="86"/>
    </row>
    <row r="87" spans="52:56" x14ac:dyDescent="0.3">
      <c r="AZ87" s="86"/>
      <c r="BA87" s="86"/>
      <c r="BB87" s="86"/>
      <c r="BC87" s="86"/>
      <c r="BD87" s="86"/>
    </row>
    <row r="88" spans="52:56" x14ac:dyDescent="0.3">
      <c r="AZ88" s="86"/>
      <c r="BA88" s="86"/>
      <c r="BB88" s="86"/>
      <c r="BC88" s="86"/>
      <c r="BD88" s="86"/>
    </row>
    <row r="89" spans="52:56" x14ac:dyDescent="0.3">
      <c r="AZ89" s="86"/>
      <c r="BA89" s="86"/>
      <c r="BB89" s="86"/>
      <c r="BC89" s="86"/>
      <c r="BD89" s="86"/>
    </row>
    <row r="90" spans="52:56" x14ac:dyDescent="0.3">
      <c r="AZ90" s="86"/>
      <c r="BA90" s="86"/>
      <c r="BB90" s="86"/>
      <c r="BC90" s="86"/>
      <c r="BD90" s="86"/>
    </row>
    <row r="91" spans="52:56" x14ac:dyDescent="0.3">
      <c r="AZ91" s="86"/>
      <c r="BA91" s="86"/>
      <c r="BB91" s="86"/>
      <c r="BC91" s="86"/>
      <c r="BD91" s="86"/>
    </row>
    <row r="92" spans="52:56" x14ac:dyDescent="0.3">
      <c r="AZ92" s="86"/>
      <c r="BA92" s="86"/>
      <c r="BB92" s="86"/>
      <c r="BC92" s="86"/>
      <c r="BD92" s="86"/>
    </row>
    <row r="93" spans="52:56" x14ac:dyDescent="0.3">
      <c r="AZ93" s="86"/>
      <c r="BA93" s="86"/>
      <c r="BB93" s="86"/>
      <c r="BC93" s="86"/>
      <c r="BD93" s="86"/>
    </row>
    <row r="94" spans="52:56" x14ac:dyDescent="0.3">
      <c r="AZ94" s="86"/>
      <c r="BA94" s="86"/>
      <c r="BB94" s="86"/>
      <c r="BC94" s="86"/>
      <c r="BD94" s="86"/>
    </row>
    <row r="95" spans="52:56" x14ac:dyDescent="0.3">
      <c r="AZ95" s="86"/>
      <c r="BA95" s="86"/>
      <c r="BB95" s="86"/>
      <c r="BC95" s="86"/>
      <c r="BD95" s="86"/>
    </row>
    <row r="96" spans="52:56" x14ac:dyDescent="0.3">
      <c r="AZ96" s="86"/>
      <c r="BA96" s="86"/>
      <c r="BB96" s="86"/>
      <c r="BC96" s="86"/>
      <c r="BD96" s="86"/>
    </row>
    <row r="97" spans="52:56" x14ac:dyDescent="0.3">
      <c r="AZ97" s="86"/>
      <c r="BA97" s="86"/>
      <c r="BB97" s="86"/>
      <c r="BC97" s="86"/>
      <c r="BD97" s="86"/>
    </row>
    <row r="98" spans="52:56" x14ac:dyDescent="0.3">
      <c r="AZ98" s="86"/>
      <c r="BA98" s="86"/>
      <c r="BB98" s="86"/>
      <c r="BC98" s="86"/>
      <c r="BD98" s="86"/>
    </row>
    <row r="99" spans="52:56" x14ac:dyDescent="0.3">
      <c r="AZ99" s="86"/>
      <c r="BA99" s="86"/>
      <c r="BB99" s="86"/>
      <c r="BC99" s="86"/>
      <c r="BD99" s="86"/>
    </row>
    <row r="100" spans="52:56" x14ac:dyDescent="0.3">
      <c r="AZ100" s="86"/>
      <c r="BA100" s="86"/>
      <c r="BB100" s="86"/>
      <c r="BC100" s="86"/>
      <c r="BD100" s="86"/>
    </row>
    <row r="101" spans="52:56" x14ac:dyDescent="0.3">
      <c r="AZ101" s="86"/>
      <c r="BA101" s="86"/>
      <c r="BB101" s="86"/>
      <c r="BC101" s="86"/>
      <c r="BD101" s="86"/>
    </row>
    <row r="102" spans="52:56" x14ac:dyDescent="0.3">
      <c r="AZ102" s="86"/>
      <c r="BA102" s="86"/>
      <c r="BB102" s="86"/>
      <c r="BC102" s="86"/>
      <c r="BD102" s="86"/>
    </row>
    <row r="103" spans="52:56" x14ac:dyDescent="0.3">
      <c r="AZ103" s="86"/>
      <c r="BA103" s="86"/>
      <c r="BB103" s="86"/>
      <c r="BC103" s="86"/>
      <c r="BD103" s="86"/>
    </row>
    <row r="104" spans="52:56" x14ac:dyDescent="0.3">
      <c r="AZ104" s="86"/>
      <c r="BA104" s="86"/>
      <c r="BB104" s="86"/>
      <c r="BC104" s="86"/>
      <c r="BD104" s="86"/>
    </row>
    <row r="105" spans="52:56" x14ac:dyDescent="0.3">
      <c r="AZ105" s="86"/>
      <c r="BA105" s="86"/>
      <c r="BB105" s="86"/>
      <c r="BC105" s="86"/>
      <c r="BD105" s="86"/>
    </row>
    <row r="106" spans="52:56" x14ac:dyDescent="0.3">
      <c r="AZ106" s="86"/>
      <c r="BA106" s="86"/>
      <c r="BB106" s="86"/>
      <c r="BC106" s="86"/>
      <c r="BD106" s="86"/>
    </row>
    <row r="107" spans="52:56" x14ac:dyDescent="0.3">
      <c r="AZ107" s="86"/>
      <c r="BA107" s="86"/>
      <c r="BB107" s="86"/>
      <c r="BC107" s="86"/>
      <c r="BD107" s="86"/>
    </row>
    <row r="108" spans="52:56" x14ac:dyDescent="0.3">
      <c r="AZ108" s="86"/>
      <c r="BA108" s="86"/>
      <c r="BB108" s="86"/>
      <c r="BC108" s="86"/>
      <c r="BD108" s="86"/>
    </row>
    <row r="109" spans="52:56" x14ac:dyDescent="0.3">
      <c r="AZ109" s="86"/>
      <c r="BA109" s="86"/>
      <c r="BB109" s="86"/>
      <c r="BC109" s="86"/>
      <c r="BD109" s="86"/>
    </row>
    <row r="110" spans="52:56" x14ac:dyDescent="0.3">
      <c r="AZ110" s="86"/>
      <c r="BA110" s="86"/>
      <c r="BB110" s="86"/>
      <c r="BC110" s="86"/>
      <c r="BD110" s="86"/>
    </row>
    <row r="111" spans="52:56" x14ac:dyDescent="0.3">
      <c r="AZ111" s="86"/>
      <c r="BA111" s="86"/>
      <c r="BB111" s="86"/>
      <c r="BC111" s="86"/>
      <c r="BD111" s="86"/>
    </row>
    <row r="112" spans="52:56" x14ac:dyDescent="0.3">
      <c r="AZ112" s="86"/>
      <c r="BA112" s="86"/>
      <c r="BB112" s="86"/>
      <c r="BC112" s="86"/>
      <c r="BD112" s="86"/>
    </row>
    <row r="113" spans="52:56" x14ac:dyDescent="0.3">
      <c r="AZ113" s="86"/>
      <c r="BA113" s="86"/>
      <c r="BB113" s="86"/>
      <c r="BC113" s="86"/>
      <c r="BD113" s="86"/>
    </row>
    <row r="114" spans="52:56" x14ac:dyDescent="0.3">
      <c r="AZ114" s="86"/>
      <c r="BA114" s="86"/>
      <c r="BB114" s="86"/>
      <c r="BC114" s="86"/>
      <c r="BD114" s="86"/>
    </row>
    <row r="115" spans="52:56" x14ac:dyDescent="0.3">
      <c r="AZ115" s="86"/>
      <c r="BA115" s="86"/>
      <c r="BB115" s="86"/>
      <c r="BC115" s="86"/>
      <c r="BD115" s="86"/>
    </row>
    <row r="116" spans="52:56" x14ac:dyDescent="0.3">
      <c r="AZ116" s="86"/>
      <c r="BA116" s="86"/>
      <c r="BB116" s="86"/>
      <c r="BC116" s="86"/>
      <c r="BD116" s="86"/>
    </row>
    <row r="117" spans="52:56" x14ac:dyDescent="0.3">
      <c r="AZ117" s="86"/>
      <c r="BA117" s="86"/>
      <c r="BB117" s="86"/>
      <c r="BC117" s="86"/>
      <c r="BD117" s="86"/>
    </row>
    <row r="118" spans="52:56" x14ac:dyDescent="0.3">
      <c r="AZ118" s="86"/>
      <c r="BA118" s="86"/>
      <c r="BB118" s="86"/>
      <c r="BC118" s="86"/>
      <c r="BD118" s="86"/>
    </row>
    <row r="119" spans="52:56" x14ac:dyDescent="0.3">
      <c r="AZ119" s="86"/>
      <c r="BA119" s="86"/>
      <c r="BB119" s="86"/>
      <c r="BC119" s="86"/>
      <c r="BD119" s="86"/>
    </row>
    <row r="120" spans="52:56" x14ac:dyDescent="0.3">
      <c r="AZ120" s="86"/>
      <c r="BA120" s="86"/>
      <c r="BB120" s="86"/>
      <c r="BC120" s="86"/>
      <c r="BD120" s="86"/>
    </row>
    <row r="121" spans="52:56" x14ac:dyDescent="0.3">
      <c r="AZ121" s="86"/>
      <c r="BA121" s="86"/>
      <c r="BB121" s="86"/>
      <c r="BC121" s="86"/>
      <c r="BD121" s="86"/>
    </row>
    <row r="122" spans="52:56" x14ac:dyDescent="0.3">
      <c r="AZ122" s="86"/>
      <c r="BA122" s="86"/>
      <c r="BB122" s="86"/>
      <c r="BC122" s="86"/>
      <c r="BD122" s="86"/>
    </row>
    <row r="123" spans="52:56" x14ac:dyDescent="0.3">
      <c r="AZ123" s="86"/>
      <c r="BA123" s="86"/>
      <c r="BB123" s="86"/>
      <c r="BC123" s="86"/>
      <c r="BD123" s="86"/>
    </row>
    <row r="124" spans="52:56" x14ac:dyDescent="0.3">
      <c r="AZ124" s="86"/>
      <c r="BA124" s="86"/>
      <c r="BB124" s="86"/>
      <c r="BC124" s="86"/>
      <c r="BD124" s="86"/>
    </row>
    <row r="125" spans="52:56" x14ac:dyDescent="0.3">
      <c r="AZ125" s="86"/>
      <c r="BA125" s="86"/>
      <c r="BB125" s="86"/>
      <c r="BC125" s="86"/>
      <c r="BD125" s="86"/>
    </row>
    <row r="126" spans="52:56" x14ac:dyDescent="0.3">
      <c r="AZ126" s="86"/>
      <c r="BA126" s="86"/>
      <c r="BB126" s="86"/>
      <c r="BC126" s="86"/>
      <c r="BD126" s="86"/>
    </row>
    <row r="127" spans="52:56" x14ac:dyDescent="0.3">
      <c r="AZ127" s="86"/>
      <c r="BA127" s="86"/>
      <c r="BB127" s="86"/>
      <c r="BC127" s="86"/>
      <c r="BD127" s="86"/>
    </row>
    <row r="128" spans="52:56" x14ac:dyDescent="0.3">
      <c r="AZ128" s="86"/>
      <c r="BA128" s="86"/>
      <c r="BB128" s="86"/>
      <c r="BC128" s="86"/>
      <c r="BD128" s="86"/>
    </row>
    <row r="129" spans="52:56" x14ac:dyDescent="0.3">
      <c r="AZ129" s="86"/>
      <c r="BA129" s="86"/>
      <c r="BB129" s="86"/>
      <c r="BC129" s="86"/>
      <c r="BD129" s="86"/>
    </row>
    <row r="130" spans="52:56" x14ac:dyDescent="0.3">
      <c r="AZ130" s="86"/>
      <c r="BA130" s="86"/>
      <c r="BB130" s="86"/>
      <c r="BC130" s="86"/>
      <c r="BD130" s="86"/>
    </row>
    <row r="131" spans="52:56" x14ac:dyDescent="0.3">
      <c r="AZ131" s="86"/>
      <c r="BA131" s="86"/>
      <c r="BB131" s="86"/>
      <c r="BC131" s="86"/>
      <c r="BD131" s="86"/>
    </row>
    <row r="132" spans="52:56" x14ac:dyDescent="0.3">
      <c r="AZ132" s="86"/>
      <c r="BA132" s="86"/>
      <c r="BB132" s="86"/>
      <c r="BC132" s="86"/>
      <c r="BD132" s="86"/>
    </row>
    <row r="133" spans="52:56" x14ac:dyDescent="0.3">
      <c r="AZ133" s="86"/>
      <c r="BA133" s="86"/>
      <c r="BB133" s="86"/>
      <c r="BC133" s="86"/>
      <c r="BD133" s="86"/>
    </row>
    <row r="134" spans="52:56" x14ac:dyDescent="0.3">
      <c r="AZ134" s="86"/>
      <c r="BA134" s="86"/>
      <c r="BB134" s="86"/>
      <c r="BC134" s="86"/>
      <c r="BD134" s="86"/>
    </row>
    <row r="135" spans="52:56" x14ac:dyDescent="0.3">
      <c r="AZ135" s="86"/>
      <c r="BA135" s="86"/>
      <c r="BB135" s="86"/>
      <c r="BC135" s="86"/>
      <c r="BD135" s="86"/>
    </row>
    <row r="136" spans="52:56" x14ac:dyDescent="0.3">
      <c r="AZ136" s="86"/>
      <c r="BA136" s="86"/>
      <c r="BB136" s="86"/>
      <c r="BC136" s="86"/>
      <c r="BD136" s="86"/>
    </row>
    <row r="137" spans="52:56" x14ac:dyDescent="0.3">
      <c r="AZ137" s="86"/>
      <c r="BA137" s="86"/>
      <c r="BB137" s="86"/>
      <c r="BC137" s="86"/>
      <c r="BD137" s="86"/>
    </row>
    <row r="138" spans="52:56" x14ac:dyDescent="0.3">
      <c r="AZ138" s="86"/>
      <c r="BA138" s="86"/>
      <c r="BB138" s="86"/>
      <c r="BC138" s="86"/>
      <c r="BD138" s="86"/>
    </row>
    <row r="139" spans="52:56" x14ac:dyDescent="0.3">
      <c r="AZ139" s="86"/>
      <c r="BA139" s="86"/>
      <c r="BB139" s="86"/>
      <c r="BC139" s="86"/>
      <c r="BD139" s="86"/>
    </row>
    <row r="140" spans="52:56" x14ac:dyDescent="0.3">
      <c r="AZ140" s="86"/>
      <c r="BA140" s="86"/>
      <c r="BB140" s="86"/>
      <c r="BC140" s="86"/>
      <c r="BD140" s="86"/>
    </row>
    <row r="141" spans="52:56" x14ac:dyDescent="0.3">
      <c r="AZ141" s="86"/>
      <c r="BA141" s="86"/>
      <c r="BB141" s="86"/>
      <c r="BC141" s="86"/>
      <c r="BD141" s="86"/>
    </row>
    <row r="142" spans="52:56" x14ac:dyDescent="0.3">
      <c r="AZ142" s="86"/>
      <c r="BA142" s="86"/>
      <c r="BB142" s="86"/>
      <c r="BC142" s="86"/>
      <c r="BD142" s="86"/>
    </row>
    <row r="143" spans="52:56" x14ac:dyDescent="0.3">
      <c r="AZ143" s="86"/>
      <c r="BA143" s="86"/>
      <c r="BB143" s="86"/>
      <c r="BC143" s="86"/>
      <c r="BD143" s="86"/>
    </row>
    <row r="144" spans="52:56" x14ac:dyDescent="0.3">
      <c r="AZ144" s="86"/>
      <c r="BA144" s="86"/>
      <c r="BB144" s="86"/>
      <c r="BC144" s="86"/>
      <c r="BD144" s="86"/>
    </row>
    <row r="145" spans="52:56" x14ac:dyDescent="0.3">
      <c r="AZ145" s="86"/>
      <c r="BA145" s="86"/>
      <c r="BB145" s="86"/>
      <c r="BC145" s="86"/>
      <c r="BD145" s="86"/>
    </row>
    <row r="146" spans="52:56" x14ac:dyDescent="0.3">
      <c r="AZ146" s="86"/>
      <c r="BA146" s="86"/>
      <c r="BB146" s="86"/>
      <c r="BC146" s="86"/>
      <c r="BD146" s="86"/>
    </row>
    <row r="147" spans="52:56" x14ac:dyDescent="0.3">
      <c r="AZ147" s="86"/>
      <c r="BA147" s="86"/>
      <c r="BB147" s="86"/>
      <c r="BC147" s="86"/>
      <c r="BD147" s="86"/>
    </row>
    <row r="148" spans="52:56" x14ac:dyDescent="0.3">
      <c r="AZ148" s="86"/>
      <c r="BA148" s="86"/>
      <c r="BB148" s="86"/>
      <c r="BC148" s="86"/>
      <c r="BD148" s="86"/>
    </row>
    <row r="149" spans="52:56" x14ac:dyDescent="0.3">
      <c r="AZ149" s="86"/>
      <c r="BA149" s="86"/>
      <c r="BB149" s="86"/>
      <c r="BC149" s="86"/>
      <c r="BD149" s="86"/>
    </row>
    <row r="150" spans="52:56" x14ac:dyDescent="0.3">
      <c r="AZ150" s="86"/>
      <c r="BA150" s="86"/>
      <c r="BB150" s="86"/>
      <c r="BC150" s="86"/>
      <c r="BD150" s="86"/>
    </row>
    <row r="151" spans="52:56" x14ac:dyDescent="0.3">
      <c r="AZ151" s="86"/>
      <c r="BA151" s="86"/>
      <c r="BB151" s="86"/>
      <c r="BC151" s="86"/>
      <c r="BD151" s="86"/>
    </row>
    <row r="152" spans="52:56" x14ac:dyDescent="0.3">
      <c r="AZ152" s="86"/>
      <c r="BA152" s="86"/>
      <c r="BB152" s="86"/>
      <c r="BC152" s="86"/>
      <c r="BD152" s="86"/>
    </row>
    <row r="153" spans="52:56" x14ac:dyDescent="0.3">
      <c r="AZ153" s="86"/>
      <c r="BA153" s="86"/>
      <c r="BB153" s="86"/>
      <c r="BC153" s="86"/>
      <c r="BD153" s="86"/>
    </row>
    <row r="154" spans="52:56" x14ac:dyDescent="0.3">
      <c r="AZ154" s="86"/>
      <c r="BA154" s="86"/>
      <c r="BB154" s="86"/>
      <c r="BC154" s="86"/>
      <c r="BD154" s="86"/>
    </row>
    <row r="155" spans="52:56" x14ac:dyDescent="0.3">
      <c r="AZ155" s="86"/>
      <c r="BA155" s="86"/>
      <c r="BB155" s="86"/>
      <c r="BC155" s="86"/>
      <c r="BD155" s="86"/>
    </row>
    <row r="156" spans="52:56" x14ac:dyDescent="0.3">
      <c r="AZ156" s="86"/>
      <c r="BA156" s="86"/>
      <c r="BB156" s="86"/>
      <c r="BC156" s="86"/>
      <c r="BD156" s="86"/>
    </row>
    <row r="157" spans="52:56" x14ac:dyDescent="0.3">
      <c r="AZ157" s="86"/>
      <c r="BA157" s="86"/>
      <c r="BB157" s="86"/>
      <c r="BC157" s="86"/>
      <c r="BD157" s="86"/>
    </row>
    <row r="158" spans="52:56" x14ac:dyDescent="0.3">
      <c r="AZ158" s="86"/>
      <c r="BA158" s="86"/>
      <c r="BB158" s="86"/>
      <c r="BC158" s="86"/>
      <c r="BD158" s="86"/>
    </row>
    <row r="159" spans="52:56" x14ac:dyDescent="0.3">
      <c r="AZ159" s="86"/>
      <c r="BA159" s="86"/>
      <c r="BB159" s="86"/>
      <c r="BC159" s="86"/>
      <c r="BD159" s="86"/>
    </row>
    <row r="160" spans="52:56" x14ac:dyDescent="0.3">
      <c r="AZ160" s="86"/>
      <c r="BA160" s="86"/>
      <c r="BB160" s="86"/>
      <c r="BC160" s="86"/>
      <c r="BD160" s="86"/>
    </row>
    <row r="161" spans="52:56" x14ac:dyDescent="0.3">
      <c r="AZ161" s="86"/>
      <c r="BA161" s="86"/>
      <c r="BB161" s="86"/>
      <c r="BC161" s="86"/>
      <c r="BD161" s="86"/>
    </row>
    <row r="162" spans="52:56" x14ac:dyDescent="0.3">
      <c r="AZ162" s="86"/>
      <c r="BA162" s="86"/>
      <c r="BB162" s="86"/>
      <c r="BC162" s="86"/>
      <c r="BD162" s="86"/>
    </row>
    <row r="163" spans="52:56" x14ac:dyDescent="0.3">
      <c r="AZ163" s="86"/>
      <c r="BA163" s="86"/>
      <c r="BB163" s="86"/>
      <c r="BC163" s="86"/>
      <c r="BD163" s="86"/>
    </row>
    <row r="164" spans="52:56" x14ac:dyDescent="0.3">
      <c r="AZ164" s="86"/>
      <c r="BA164" s="86"/>
      <c r="BB164" s="86"/>
      <c r="BC164" s="86"/>
      <c r="BD164" s="86"/>
    </row>
    <row r="165" spans="52:56" x14ac:dyDescent="0.3">
      <c r="AZ165" s="86"/>
      <c r="BA165" s="86"/>
      <c r="BB165" s="86"/>
      <c r="BC165" s="86"/>
      <c r="BD165" s="86"/>
    </row>
    <row r="166" spans="52:56" x14ac:dyDescent="0.3">
      <c r="AZ166" s="86"/>
      <c r="BA166" s="86"/>
      <c r="BB166" s="86"/>
      <c r="BC166" s="86"/>
      <c r="BD166" s="86"/>
    </row>
    <row r="167" spans="52:56" x14ac:dyDescent="0.3">
      <c r="AZ167" s="86"/>
      <c r="BA167" s="86"/>
      <c r="BB167" s="86"/>
      <c r="BC167" s="86"/>
      <c r="BD167" s="86"/>
    </row>
    <row r="168" spans="52:56" x14ac:dyDescent="0.3">
      <c r="AZ168" s="86"/>
      <c r="BA168" s="86"/>
      <c r="BB168" s="86"/>
      <c r="BC168" s="86"/>
      <c r="BD168" s="86"/>
    </row>
    <row r="169" spans="52:56" x14ac:dyDescent="0.3">
      <c r="AZ169" s="86"/>
      <c r="BA169" s="86"/>
      <c r="BB169" s="86"/>
      <c r="BC169" s="86"/>
      <c r="BD169" s="86"/>
    </row>
    <row r="170" spans="52:56" x14ac:dyDescent="0.3">
      <c r="AZ170" s="86"/>
      <c r="BA170" s="86"/>
      <c r="BB170" s="86"/>
      <c r="BC170" s="86"/>
      <c r="BD170" s="86"/>
    </row>
    <row r="171" spans="52:56" x14ac:dyDescent="0.3">
      <c r="AZ171" s="86"/>
      <c r="BA171" s="86"/>
      <c r="BB171" s="86"/>
      <c r="BC171" s="86"/>
      <c r="BD171" s="86"/>
    </row>
    <row r="172" spans="52:56" x14ac:dyDescent="0.3">
      <c r="AZ172" s="86"/>
      <c r="BA172" s="86"/>
      <c r="BB172" s="86"/>
      <c r="BC172" s="86"/>
      <c r="BD172" s="86"/>
    </row>
    <row r="173" spans="52:56" x14ac:dyDescent="0.3">
      <c r="AZ173" s="86"/>
      <c r="BA173" s="86"/>
      <c r="BB173" s="86"/>
      <c r="BC173" s="86"/>
      <c r="BD173" s="86"/>
    </row>
    <row r="174" spans="52:56" x14ac:dyDescent="0.3">
      <c r="AZ174" s="86"/>
      <c r="BA174" s="86"/>
      <c r="BB174" s="86"/>
      <c r="BC174" s="86"/>
      <c r="BD174" s="86"/>
    </row>
    <row r="175" spans="52:56" x14ac:dyDescent="0.3">
      <c r="AZ175" s="86"/>
      <c r="BA175" s="86"/>
      <c r="BB175" s="86"/>
      <c r="BC175" s="86"/>
      <c r="BD175" s="86"/>
    </row>
    <row r="176" spans="52:56" x14ac:dyDescent="0.3">
      <c r="AZ176" s="86"/>
      <c r="BA176" s="86"/>
      <c r="BB176" s="86"/>
      <c r="BC176" s="86"/>
      <c r="BD176" s="86"/>
    </row>
    <row r="177" spans="52:56" x14ac:dyDescent="0.3">
      <c r="AZ177" s="86"/>
      <c r="BA177" s="86"/>
      <c r="BB177" s="86"/>
      <c r="BC177" s="86"/>
      <c r="BD177" s="86"/>
    </row>
    <row r="178" spans="52:56" x14ac:dyDescent="0.3">
      <c r="AZ178" s="86"/>
      <c r="BA178" s="86"/>
      <c r="BB178" s="86"/>
      <c r="BC178" s="86"/>
      <c r="BD178" s="86"/>
    </row>
    <row r="179" spans="52:56" x14ac:dyDescent="0.3">
      <c r="AZ179" s="86"/>
      <c r="BA179" s="86"/>
      <c r="BB179" s="86"/>
      <c r="BC179" s="86"/>
      <c r="BD179" s="86"/>
    </row>
    <row r="180" spans="52:56" x14ac:dyDescent="0.3">
      <c r="AZ180" s="86"/>
      <c r="BA180" s="86"/>
      <c r="BB180" s="86"/>
      <c r="BC180" s="86"/>
      <c r="BD180" s="86"/>
    </row>
    <row r="181" spans="52:56" x14ac:dyDescent="0.3">
      <c r="AZ181" s="86"/>
      <c r="BA181" s="86"/>
      <c r="BB181" s="86"/>
      <c r="BC181" s="86"/>
      <c r="BD181" s="86"/>
    </row>
    <row r="182" spans="52:56" x14ac:dyDescent="0.3">
      <c r="AZ182" s="86"/>
      <c r="BA182" s="86"/>
      <c r="BB182" s="86"/>
      <c r="BC182" s="86"/>
      <c r="BD182" s="86"/>
    </row>
    <row r="183" spans="52:56" x14ac:dyDescent="0.3">
      <c r="AZ183" s="86"/>
      <c r="BA183" s="86"/>
      <c r="BB183" s="86"/>
      <c r="BC183" s="86"/>
      <c r="BD183" s="86"/>
    </row>
    <row r="184" spans="52:56" x14ac:dyDescent="0.3">
      <c r="AZ184" s="86"/>
      <c r="BA184" s="86"/>
      <c r="BB184" s="86"/>
      <c r="BC184" s="86"/>
      <c r="BD184" s="86"/>
    </row>
    <row r="185" spans="52:56" x14ac:dyDescent="0.3">
      <c r="AZ185" s="86"/>
      <c r="BA185" s="86"/>
      <c r="BB185" s="86"/>
      <c r="BC185" s="86"/>
      <c r="BD185" s="86"/>
    </row>
    <row r="186" spans="52:56" x14ac:dyDescent="0.3">
      <c r="AZ186" s="86"/>
      <c r="BA186" s="86"/>
      <c r="BB186" s="86"/>
      <c r="BC186" s="86"/>
      <c r="BD186" s="86"/>
    </row>
    <row r="187" spans="52:56" x14ac:dyDescent="0.3">
      <c r="AZ187" s="86"/>
      <c r="BA187" s="86"/>
      <c r="BB187" s="86"/>
      <c r="BC187" s="86"/>
      <c r="BD187" s="86"/>
    </row>
    <row r="188" spans="52:56" x14ac:dyDescent="0.3">
      <c r="AZ188" s="86"/>
      <c r="BA188" s="86"/>
      <c r="BB188" s="86"/>
      <c r="BC188" s="86"/>
      <c r="BD188" s="86"/>
    </row>
    <row r="189" spans="52:56" x14ac:dyDescent="0.3">
      <c r="AZ189" s="86"/>
      <c r="BA189" s="86"/>
      <c r="BB189" s="86"/>
      <c r="BC189" s="86"/>
      <c r="BD189" s="86"/>
    </row>
    <row r="190" spans="52:56" x14ac:dyDescent="0.3">
      <c r="AZ190" s="86"/>
      <c r="BA190" s="86"/>
      <c r="BB190" s="86"/>
      <c r="BC190" s="86"/>
      <c r="BD190" s="86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A48C-DB3D-46B4-ADF4-090ABC5A636A}">
  <dimension ref="B3:X2663"/>
  <sheetViews>
    <sheetView zoomScale="70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V11" sqref="V11"/>
    </sheetView>
  </sheetViews>
  <sheetFormatPr defaultRowHeight="16.5" x14ac:dyDescent="0.3"/>
  <cols>
    <col min="2" max="2" width="26.25" style="36" bestFit="1" customWidth="1"/>
    <col min="3" max="3" width="26.25" style="36" customWidth="1"/>
    <col min="4" max="4" width="12.5" style="36" bestFit="1" customWidth="1"/>
    <col min="5" max="5" width="14.375" style="36" bestFit="1" customWidth="1"/>
    <col min="6" max="6" width="14.375" style="36" customWidth="1"/>
    <col min="7" max="7" width="12.625" style="36" bestFit="1" customWidth="1"/>
    <col min="8" max="8" width="12.625" style="36" customWidth="1"/>
    <col min="9" max="9" width="7.125" style="36" bestFit="1" customWidth="1"/>
    <col min="10" max="12" width="9" style="36"/>
    <col min="13" max="24" width="8.75" style="40"/>
  </cols>
  <sheetData>
    <row r="3" spans="2:24" x14ac:dyDescent="0.3">
      <c r="B3" s="34" t="s">
        <v>625</v>
      </c>
      <c r="C3" s="34" t="s">
        <v>649</v>
      </c>
      <c r="D3" s="34" t="s">
        <v>650</v>
      </c>
      <c r="E3" s="34" t="s">
        <v>651</v>
      </c>
      <c r="F3" s="34" t="s">
        <v>652</v>
      </c>
      <c r="G3" s="35" t="s">
        <v>653</v>
      </c>
      <c r="H3" s="36" t="s">
        <v>654</v>
      </c>
      <c r="I3" s="36" t="s">
        <v>655</v>
      </c>
      <c r="J3" s="36" t="s">
        <v>143</v>
      </c>
      <c r="Q3" s="40" t="s">
        <v>143</v>
      </c>
      <c r="R3" s="40" t="s">
        <v>656</v>
      </c>
      <c r="S3" s="40" t="s">
        <v>657</v>
      </c>
      <c r="T3" s="40" t="s">
        <v>658</v>
      </c>
      <c r="U3" s="40" t="s">
        <v>659</v>
      </c>
    </row>
    <row r="4" spans="2:24" x14ac:dyDescent="0.3">
      <c r="B4" s="38" t="s">
        <v>399</v>
      </c>
      <c r="C4" s="36" t="s">
        <v>78</v>
      </c>
      <c r="D4" s="36" t="s">
        <v>660</v>
      </c>
      <c r="E4" s="36" t="s">
        <v>180</v>
      </c>
      <c r="F4" s="36" t="s">
        <v>180</v>
      </c>
      <c r="G4" s="36" t="s">
        <v>661</v>
      </c>
      <c r="I4" s="36">
        <v>1</v>
      </c>
      <c r="J4" s="37" t="s">
        <v>399</v>
      </c>
      <c r="K4" s="37"/>
      <c r="L4" s="37"/>
      <c r="M4"/>
      <c r="N4"/>
      <c r="O4"/>
      <c r="P4"/>
      <c r="Q4" t="s">
        <v>485</v>
      </c>
      <c r="R4" t="s">
        <v>662</v>
      </c>
      <c r="S4" t="s">
        <v>660</v>
      </c>
      <c r="T4" t="s">
        <v>79</v>
      </c>
      <c r="U4" t="s">
        <v>79</v>
      </c>
      <c r="V4"/>
      <c r="W4"/>
      <c r="X4"/>
    </row>
    <row r="5" spans="2:24" x14ac:dyDescent="0.3">
      <c r="B5" s="38" t="s">
        <v>539</v>
      </c>
      <c r="C5" s="36" t="s">
        <v>78</v>
      </c>
      <c r="D5" s="36" t="s">
        <v>660</v>
      </c>
      <c r="E5" s="36" t="s">
        <v>180</v>
      </c>
      <c r="F5" s="36" t="s">
        <v>180</v>
      </c>
      <c r="G5" s="36" t="s">
        <v>661</v>
      </c>
      <c r="I5" s="36">
        <v>1</v>
      </c>
      <c r="J5" s="37" t="s">
        <v>539</v>
      </c>
      <c r="K5" s="37"/>
      <c r="L5" s="37"/>
      <c r="M5"/>
      <c r="N5"/>
      <c r="O5"/>
      <c r="P5"/>
      <c r="Q5" t="s">
        <v>485</v>
      </c>
      <c r="R5" t="s">
        <v>662</v>
      </c>
      <c r="S5" t="s">
        <v>660</v>
      </c>
      <c r="T5" t="s">
        <v>79</v>
      </c>
      <c r="U5" t="s">
        <v>79</v>
      </c>
      <c r="V5"/>
      <c r="W5"/>
      <c r="X5"/>
    </row>
    <row r="6" spans="2:24" x14ac:dyDescent="0.3">
      <c r="B6" s="38" t="s">
        <v>437</v>
      </c>
      <c r="C6" s="36" t="s">
        <v>78</v>
      </c>
      <c r="D6" s="36" t="s">
        <v>660</v>
      </c>
      <c r="E6" s="36" t="s">
        <v>180</v>
      </c>
      <c r="F6" s="36" t="s">
        <v>180</v>
      </c>
      <c r="G6" s="36" t="s">
        <v>661</v>
      </c>
      <c r="I6" s="36">
        <v>1</v>
      </c>
      <c r="J6" s="37" t="s">
        <v>437</v>
      </c>
      <c r="K6" s="37"/>
      <c r="L6" s="37"/>
      <c r="M6"/>
      <c r="N6"/>
      <c r="O6"/>
      <c r="P6"/>
      <c r="Q6" t="s">
        <v>327</v>
      </c>
      <c r="R6" t="s">
        <v>662</v>
      </c>
      <c r="S6" t="s">
        <v>660</v>
      </c>
      <c r="T6" t="s">
        <v>79</v>
      </c>
      <c r="U6" t="s">
        <v>79</v>
      </c>
      <c r="V6"/>
      <c r="W6"/>
      <c r="X6"/>
    </row>
    <row r="7" spans="2:24" x14ac:dyDescent="0.3">
      <c r="B7" s="38" t="s">
        <v>387</v>
      </c>
      <c r="C7" s="36" t="s">
        <v>78</v>
      </c>
      <c r="D7" s="36" t="s">
        <v>660</v>
      </c>
      <c r="E7" s="36" t="s">
        <v>180</v>
      </c>
      <c r="F7" s="36" t="s">
        <v>180</v>
      </c>
      <c r="G7" s="36" t="s">
        <v>661</v>
      </c>
      <c r="I7" s="36">
        <v>1</v>
      </c>
      <c r="J7" s="37" t="s">
        <v>387</v>
      </c>
      <c r="K7" s="37"/>
      <c r="L7" s="37"/>
      <c r="M7"/>
      <c r="N7"/>
      <c r="O7"/>
      <c r="P7"/>
      <c r="Q7" t="s">
        <v>341</v>
      </c>
      <c r="R7" t="s">
        <v>662</v>
      </c>
      <c r="S7" t="s">
        <v>660</v>
      </c>
      <c r="T7" t="s">
        <v>79</v>
      </c>
      <c r="U7" t="s">
        <v>79</v>
      </c>
      <c r="V7"/>
      <c r="W7"/>
      <c r="X7"/>
    </row>
    <row r="8" spans="2:24" x14ac:dyDescent="0.3">
      <c r="B8" s="38" t="s">
        <v>663</v>
      </c>
      <c r="C8" s="36" t="s">
        <v>78</v>
      </c>
      <c r="D8" s="36" t="s">
        <v>660</v>
      </c>
      <c r="E8" s="36" t="s">
        <v>180</v>
      </c>
      <c r="F8" s="36" t="s">
        <v>180</v>
      </c>
      <c r="G8" s="36" t="s">
        <v>661</v>
      </c>
      <c r="I8" s="36">
        <v>1</v>
      </c>
      <c r="J8" s="37" t="s">
        <v>333</v>
      </c>
      <c r="K8" s="37"/>
      <c r="L8" s="37"/>
      <c r="M8"/>
      <c r="N8"/>
      <c r="O8"/>
      <c r="P8"/>
      <c r="Q8" t="s">
        <v>231</v>
      </c>
      <c r="R8" t="s">
        <v>662</v>
      </c>
      <c r="S8" t="s">
        <v>664</v>
      </c>
      <c r="T8" t="s">
        <v>79</v>
      </c>
      <c r="U8" t="s">
        <v>79</v>
      </c>
      <c r="V8"/>
      <c r="W8"/>
      <c r="X8"/>
    </row>
    <row r="9" spans="2:24" x14ac:dyDescent="0.3">
      <c r="B9" s="38" t="s">
        <v>665</v>
      </c>
      <c r="C9" s="36" t="s">
        <v>78</v>
      </c>
      <c r="D9" s="36" t="s">
        <v>664</v>
      </c>
      <c r="E9" s="36" t="s">
        <v>180</v>
      </c>
      <c r="F9" s="36" t="s">
        <v>180</v>
      </c>
      <c r="G9" s="36" t="s">
        <v>666</v>
      </c>
      <c r="I9" s="36">
        <v>1</v>
      </c>
      <c r="J9" s="37" t="s">
        <v>665</v>
      </c>
      <c r="K9" s="37"/>
      <c r="L9" s="37"/>
      <c r="M9"/>
      <c r="N9"/>
      <c r="O9"/>
      <c r="P9"/>
      <c r="Q9" t="s">
        <v>503</v>
      </c>
      <c r="R9" t="s">
        <v>662</v>
      </c>
      <c r="S9" t="s">
        <v>664</v>
      </c>
      <c r="T9" t="s">
        <v>79</v>
      </c>
      <c r="U9" t="s">
        <v>79</v>
      </c>
      <c r="V9"/>
      <c r="W9"/>
      <c r="X9"/>
    </row>
    <row r="10" spans="2:24" x14ac:dyDescent="0.3">
      <c r="B10" s="38" t="s">
        <v>187</v>
      </c>
      <c r="C10" s="36" t="s">
        <v>78</v>
      </c>
      <c r="D10" s="36" t="s">
        <v>664</v>
      </c>
      <c r="E10" s="36" t="s">
        <v>180</v>
      </c>
      <c r="F10" s="36" t="s">
        <v>180</v>
      </c>
      <c r="G10" s="36" t="s">
        <v>667</v>
      </c>
      <c r="I10" s="36">
        <v>1</v>
      </c>
      <c r="J10" s="37" t="s">
        <v>187</v>
      </c>
      <c r="K10" s="37"/>
      <c r="L10" s="37"/>
      <c r="M10"/>
      <c r="N10"/>
      <c r="O10"/>
      <c r="P10"/>
      <c r="Q10" t="s">
        <v>363</v>
      </c>
      <c r="R10" t="s">
        <v>662</v>
      </c>
      <c r="S10" t="s">
        <v>664</v>
      </c>
      <c r="T10" t="s">
        <v>79</v>
      </c>
      <c r="U10" t="s">
        <v>79</v>
      </c>
      <c r="V10"/>
      <c r="W10"/>
      <c r="X10"/>
    </row>
    <row r="11" spans="2:24" x14ac:dyDescent="0.3">
      <c r="B11" s="38" t="s">
        <v>668</v>
      </c>
      <c r="C11" s="36" t="s">
        <v>78</v>
      </c>
      <c r="D11" s="36" t="s">
        <v>664</v>
      </c>
      <c r="E11" s="36" t="s">
        <v>180</v>
      </c>
      <c r="F11" s="36" t="s">
        <v>180</v>
      </c>
      <c r="G11" s="36" t="s">
        <v>667</v>
      </c>
      <c r="I11" s="36">
        <v>1</v>
      </c>
      <c r="J11" s="37" t="s">
        <v>469</v>
      </c>
      <c r="K11" s="37"/>
      <c r="L11" s="37"/>
      <c r="M11"/>
      <c r="N11"/>
      <c r="O11"/>
      <c r="P11"/>
      <c r="Q11" t="s">
        <v>557</v>
      </c>
      <c r="R11" t="s">
        <v>662</v>
      </c>
      <c r="S11" t="s">
        <v>664</v>
      </c>
      <c r="T11" t="s">
        <v>79</v>
      </c>
      <c r="U11" t="s">
        <v>79</v>
      </c>
      <c r="V11"/>
      <c r="W11"/>
      <c r="X11"/>
    </row>
    <row r="12" spans="2:24" x14ac:dyDescent="0.3">
      <c r="B12" s="38" t="s">
        <v>395</v>
      </c>
      <c r="C12" s="36" t="s">
        <v>78</v>
      </c>
      <c r="D12" s="36" t="s">
        <v>664</v>
      </c>
      <c r="E12" s="36" t="s">
        <v>180</v>
      </c>
      <c r="F12" s="36" t="s">
        <v>180</v>
      </c>
      <c r="G12" s="36" t="s">
        <v>667</v>
      </c>
      <c r="I12" s="36">
        <v>1</v>
      </c>
      <c r="J12" s="37" t="s">
        <v>395</v>
      </c>
      <c r="K12" s="37"/>
      <c r="L12" s="37"/>
      <c r="M12"/>
      <c r="N12"/>
      <c r="O12"/>
      <c r="P12"/>
      <c r="Q12" t="s">
        <v>421</v>
      </c>
      <c r="R12" t="s">
        <v>662</v>
      </c>
      <c r="S12" t="s">
        <v>664</v>
      </c>
      <c r="T12" t="s">
        <v>79</v>
      </c>
      <c r="U12" t="s">
        <v>79</v>
      </c>
      <c r="V12"/>
      <c r="W12"/>
      <c r="X12"/>
    </row>
    <row r="13" spans="2:24" x14ac:dyDescent="0.3">
      <c r="B13" s="38" t="s">
        <v>353</v>
      </c>
      <c r="C13" s="36" t="s">
        <v>56</v>
      </c>
      <c r="D13" s="36" t="s">
        <v>664</v>
      </c>
      <c r="E13" s="73" t="s">
        <v>69</v>
      </c>
      <c r="F13" s="73" t="s">
        <v>69</v>
      </c>
      <c r="G13" s="36" t="s">
        <v>667</v>
      </c>
      <c r="I13" s="36">
        <v>1</v>
      </c>
      <c r="J13" s="37" t="s">
        <v>353</v>
      </c>
      <c r="K13" s="37"/>
      <c r="L13" s="37"/>
      <c r="M13"/>
      <c r="N13"/>
      <c r="O13"/>
      <c r="P13"/>
      <c r="Q13" t="s">
        <v>669</v>
      </c>
      <c r="R13" t="s">
        <v>662</v>
      </c>
      <c r="S13" t="s">
        <v>664</v>
      </c>
      <c r="T13" t="s">
        <v>79</v>
      </c>
      <c r="U13" t="s">
        <v>79</v>
      </c>
      <c r="V13"/>
      <c r="W13"/>
      <c r="X13"/>
    </row>
    <row r="14" spans="2:24" x14ac:dyDescent="0.3">
      <c r="B14" s="38" t="s">
        <v>555</v>
      </c>
      <c r="C14" s="36" t="s">
        <v>78</v>
      </c>
      <c r="D14" s="36" t="s">
        <v>664</v>
      </c>
      <c r="E14" s="36" t="s">
        <v>180</v>
      </c>
      <c r="F14" s="36" t="s">
        <v>180</v>
      </c>
      <c r="G14" s="36" t="s">
        <v>667</v>
      </c>
      <c r="I14" s="36">
        <v>1</v>
      </c>
      <c r="J14" s="37" t="s">
        <v>555</v>
      </c>
      <c r="K14" s="37"/>
      <c r="L14" s="37"/>
      <c r="M14"/>
      <c r="N14"/>
      <c r="O14"/>
      <c r="P14"/>
      <c r="Q14" t="s">
        <v>670</v>
      </c>
      <c r="R14" t="s">
        <v>662</v>
      </c>
      <c r="S14" t="s">
        <v>664</v>
      </c>
      <c r="T14" t="s">
        <v>79</v>
      </c>
      <c r="U14" t="s">
        <v>79</v>
      </c>
      <c r="V14"/>
      <c r="W14"/>
      <c r="X14"/>
    </row>
    <row r="15" spans="2:24" x14ac:dyDescent="0.3">
      <c r="B15" s="38" t="s">
        <v>671</v>
      </c>
      <c r="C15" s="36" t="s">
        <v>78</v>
      </c>
      <c r="D15" s="36" t="s">
        <v>664</v>
      </c>
      <c r="E15" s="36" t="s">
        <v>180</v>
      </c>
      <c r="F15" s="36" t="s">
        <v>180</v>
      </c>
      <c r="G15" s="36" t="s">
        <v>667</v>
      </c>
      <c r="I15" s="36">
        <v>1</v>
      </c>
      <c r="J15" s="37" t="s">
        <v>671</v>
      </c>
      <c r="K15" s="37"/>
      <c r="L15" s="37"/>
      <c r="M15"/>
      <c r="N15"/>
      <c r="O15"/>
      <c r="P15"/>
      <c r="Q15" t="s">
        <v>459</v>
      </c>
      <c r="R15" t="s">
        <v>662</v>
      </c>
      <c r="S15" t="s">
        <v>664</v>
      </c>
      <c r="T15" t="s">
        <v>79</v>
      </c>
      <c r="U15" t="s">
        <v>79</v>
      </c>
      <c r="V15"/>
      <c r="W15"/>
      <c r="X15"/>
    </row>
    <row r="16" spans="2:24" x14ac:dyDescent="0.3">
      <c r="B16" s="38" t="s">
        <v>361</v>
      </c>
      <c r="C16" s="36" t="s">
        <v>78</v>
      </c>
      <c r="D16" s="36" t="s">
        <v>664</v>
      </c>
      <c r="E16" s="36" t="s">
        <v>180</v>
      </c>
      <c r="F16" s="36" t="s">
        <v>180</v>
      </c>
      <c r="G16" s="36" t="s">
        <v>667</v>
      </c>
      <c r="I16" s="36">
        <v>1</v>
      </c>
      <c r="J16" s="37" t="s">
        <v>361</v>
      </c>
      <c r="K16" s="37"/>
      <c r="L16" s="37"/>
      <c r="M16"/>
      <c r="N16"/>
      <c r="O16"/>
      <c r="P16"/>
      <c r="Q16" t="s">
        <v>559</v>
      </c>
      <c r="R16" t="s">
        <v>662</v>
      </c>
      <c r="S16" t="s">
        <v>664</v>
      </c>
      <c r="T16" t="s">
        <v>79</v>
      </c>
      <c r="U16" t="s">
        <v>79</v>
      </c>
      <c r="V16"/>
      <c r="W16"/>
      <c r="X16"/>
    </row>
    <row r="17" spans="2:21" customFormat="1" x14ac:dyDescent="0.3">
      <c r="B17" s="38" t="s">
        <v>409</v>
      </c>
      <c r="C17" s="36" t="s">
        <v>78</v>
      </c>
      <c r="D17" s="36" t="s">
        <v>664</v>
      </c>
      <c r="E17" s="36" t="s">
        <v>180</v>
      </c>
      <c r="F17" s="36" t="s">
        <v>180</v>
      </c>
      <c r="G17" s="36" t="s">
        <v>667</v>
      </c>
      <c r="H17" s="36"/>
      <c r="I17" s="36">
        <v>1</v>
      </c>
      <c r="J17" s="37" t="s">
        <v>409</v>
      </c>
      <c r="K17" s="37"/>
      <c r="L17" s="37"/>
      <c r="Q17" t="s">
        <v>595</v>
      </c>
      <c r="R17" t="s">
        <v>662</v>
      </c>
      <c r="S17" t="s">
        <v>664</v>
      </c>
      <c r="T17" t="s">
        <v>79</v>
      </c>
      <c r="U17" t="s">
        <v>79</v>
      </c>
    </row>
    <row r="18" spans="2:21" customFormat="1" x14ac:dyDescent="0.3">
      <c r="B18" s="38" t="s">
        <v>672</v>
      </c>
      <c r="C18" s="36" t="s">
        <v>56</v>
      </c>
      <c r="D18" s="36" t="s">
        <v>664</v>
      </c>
      <c r="E18" s="36" t="s">
        <v>77</v>
      </c>
      <c r="F18" s="36" t="s">
        <v>77</v>
      </c>
      <c r="G18" s="36" t="s">
        <v>667</v>
      </c>
      <c r="H18" s="36"/>
      <c r="I18" s="36">
        <v>1</v>
      </c>
      <c r="J18" s="37" t="s">
        <v>673</v>
      </c>
      <c r="K18" s="37"/>
      <c r="L18" s="37"/>
      <c r="Q18" t="s">
        <v>401</v>
      </c>
      <c r="R18" t="s">
        <v>662</v>
      </c>
      <c r="S18" t="s">
        <v>664</v>
      </c>
      <c r="T18" t="s">
        <v>79</v>
      </c>
      <c r="U18" t="s">
        <v>79</v>
      </c>
    </row>
    <row r="19" spans="2:21" customFormat="1" x14ac:dyDescent="0.3">
      <c r="B19" s="38" t="s">
        <v>553</v>
      </c>
      <c r="C19" s="36" t="s">
        <v>56</v>
      </c>
      <c r="D19" s="36" t="s">
        <v>664</v>
      </c>
      <c r="E19" s="36" t="s">
        <v>77</v>
      </c>
      <c r="F19" s="36" t="s">
        <v>77</v>
      </c>
      <c r="G19" s="36" t="s">
        <v>666</v>
      </c>
      <c r="H19" s="36"/>
      <c r="I19" s="36">
        <v>1</v>
      </c>
      <c r="J19" s="37" t="s">
        <v>553</v>
      </c>
      <c r="K19" s="37"/>
      <c r="L19" s="37"/>
      <c r="Q19" t="s">
        <v>325</v>
      </c>
      <c r="R19" t="s">
        <v>662</v>
      </c>
      <c r="S19" t="s">
        <v>664</v>
      </c>
      <c r="T19" t="s">
        <v>79</v>
      </c>
      <c r="U19" t="s">
        <v>79</v>
      </c>
    </row>
    <row r="20" spans="2:21" customFormat="1" x14ac:dyDescent="0.3">
      <c r="B20" s="38" t="s">
        <v>304</v>
      </c>
      <c r="C20" s="36" t="s">
        <v>56</v>
      </c>
      <c r="D20" s="36" t="s">
        <v>664</v>
      </c>
      <c r="E20" s="36" t="s">
        <v>77</v>
      </c>
      <c r="F20" s="36" t="s">
        <v>77</v>
      </c>
      <c r="G20" s="36" t="s">
        <v>666</v>
      </c>
      <c r="H20" s="36"/>
      <c r="I20" s="36">
        <v>1</v>
      </c>
      <c r="J20" s="37" t="s">
        <v>304</v>
      </c>
      <c r="K20" s="37"/>
      <c r="L20" s="37"/>
      <c r="Q20" t="s">
        <v>223</v>
      </c>
      <c r="R20" t="s">
        <v>662</v>
      </c>
      <c r="S20" t="s">
        <v>664</v>
      </c>
      <c r="T20" t="s">
        <v>79</v>
      </c>
      <c r="U20" t="s">
        <v>79</v>
      </c>
    </row>
    <row r="21" spans="2:21" customFormat="1" x14ac:dyDescent="0.3">
      <c r="B21" s="38" t="s">
        <v>191</v>
      </c>
      <c r="C21" s="36" t="s">
        <v>56</v>
      </c>
      <c r="D21" s="36" t="s">
        <v>664</v>
      </c>
      <c r="E21" s="36" t="s">
        <v>77</v>
      </c>
      <c r="F21" s="36" t="s">
        <v>77</v>
      </c>
      <c r="G21" s="36" t="s">
        <v>666</v>
      </c>
      <c r="H21" s="36"/>
      <c r="I21" s="36">
        <v>1</v>
      </c>
      <c r="J21" s="37" t="s">
        <v>191</v>
      </c>
      <c r="K21" s="37"/>
      <c r="L21" s="37"/>
      <c r="Q21" t="s">
        <v>411</v>
      </c>
      <c r="R21" t="s">
        <v>662</v>
      </c>
      <c r="S21" t="s">
        <v>664</v>
      </c>
      <c r="T21" t="s">
        <v>79</v>
      </c>
      <c r="U21" t="s">
        <v>79</v>
      </c>
    </row>
    <row r="22" spans="2:21" customFormat="1" x14ac:dyDescent="0.3">
      <c r="B22" s="38" t="s">
        <v>246</v>
      </c>
      <c r="C22" s="36" t="s">
        <v>56</v>
      </c>
      <c r="D22" s="36" t="s">
        <v>664</v>
      </c>
      <c r="E22" s="36" t="s">
        <v>77</v>
      </c>
      <c r="F22" s="36" t="s">
        <v>77</v>
      </c>
      <c r="G22" s="36" t="s">
        <v>666</v>
      </c>
      <c r="H22" s="36"/>
      <c r="I22" s="36">
        <v>1</v>
      </c>
      <c r="J22" s="37" t="s">
        <v>246</v>
      </c>
      <c r="K22" s="37"/>
      <c r="L22" s="37"/>
      <c r="Q22" t="s">
        <v>463</v>
      </c>
      <c r="R22" t="s">
        <v>662</v>
      </c>
      <c r="S22" t="s">
        <v>664</v>
      </c>
      <c r="T22" t="s">
        <v>79</v>
      </c>
      <c r="U22" t="s">
        <v>79</v>
      </c>
    </row>
    <row r="23" spans="2:21" customFormat="1" x14ac:dyDescent="0.3">
      <c r="B23" s="38" t="s">
        <v>549</v>
      </c>
      <c r="C23" s="36" t="s">
        <v>56</v>
      </c>
      <c r="D23" s="36" t="s">
        <v>664</v>
      </c>
      <c r="E23" s="36" t="s">
        <v>77</v>
      </c>
      <c r="F23" s="36" t="s">
        <v>77</v>
      </c>
      <c r="G23" s="36" t="s">
        <v>666</v>
      </c>
      <c r="H23" s="36"/>
      <c r="I23" s="36">
        <v>1</v>
      </c>
      <c r="J23" s="37" t="s">
        <v>549</v>
      </c>
      <c r="K23" s="37"/>
      <c r="L23" s="37"/>
      <c r="Q23" t="s">
        <v>493</v>
      </c>
      <c r="R23" t="s">
        <v>662</v>
      </c>
      <c r="S23" t="s">
        <v>664</v>
      </c>
      <c r="T23" t="s">
        <v>79</v>
      </c>
      <c r="U23" t="s">
        <v>79</v>
      </c>
    </row>
    <row r="24" spans="2:21" customFormat="1" x14ac:dyDescent="0.3">
      <c r="B24" s="38" t="s">
        <v>413</v>
      </c>
      <c r="C24" s="36" t="s">
        <v>56</v>
      </c>
      <c r="D24" s="36" t="s">
        <v>664</v>
      </c>
      <c r="E24" s="36" t="s">
        <v>77</v>
      </c>
      <c r="F24" s="36" t="s">
        <v>77</v>
      </c>
      <c r="G24" s="36" t="s">
        <v>666</v>
      </c>
      <c r="H24" s="36"/>
      <c r="I24" s="36">
        <v>1</v>
      </c>
      <c r="J24" s="37" t="s">
        <v>413</v>
      </c>
      <c r="K24" s="37"/>
      <c r="L24" s="37"/>
      <c r="Q24" t="s">
        <v>365</v>
      </c>
      <c r="R24" t="s">
        <v>662</v>
      </c>
      <c r="S24" t="s">
        <v>664</v>
      </c>
      <c r="T24" t="s">
        <v>79</v>
      </c>
      <c r="U24" t="s">
        <v>79</v>
      </c>
    </row>
    <row r="25" spans="2:21" customFormat="1" x14ac:dyDescent="0.3">
      <c r="B25" s="38" t="s">
        <v>505</v>
      </c>
      <c r="C25" s="36" t="s">
        <v>56</v>
      </c>
      <c r="D25" s="36" t="s">
        <v>664</v>
      </c>
      <c r="E25" s="36" t="s">
        <v>77</v>
      </c>
      <c r="F25" s="36" t="s">
        <v>77</v>
      </c>
      <c r="G25" s="36" t="s">
        <v>666</v>
      </c>
      <c r="H25" s="36"/>
      <c r="I25" s="36">
        <v>1</v>
      </c>
      <c r="J25" s="37" t="s">
        <v>505</v>
      </c>
      <c r="K25" s="37"/>
      <c r="L25" s="37"/>
      <c r="Q25" t="s">
        <v>457</v>
      </c>
      <c r="R25" t="s">
        <v>662</v>
      </c>
      <c r="S25" t="s">
        <v>664</v>
      </c>
      <c r="T25" t="s">
        <v>79</v>
      </c>
      <c r="U25" t="s">
        <v>79</v>
      </c>
    </row>
    <row r="26" spans="2:21" customFormat="1" x14ac:dyDescent="0.3">
      <c r="B26" s="38" t="s">
        <v>264</v>
      </c>
      <c r="C26" s="36" t="s">
        <v>56</v>
      </c>
      <c r="D26" s="36" t="s">
        <v>664</v>
      </c>
      <c r="E26" s="36" t="s">
        <v>77</v>
      </c>
      <c r="F26" s="36" t="s">
        <v>77</v>
      </c>
      <c r="G26" s="36" t="s">
        <v>666</v>
      </c>
      <c r="H26" s="36"/>
      <c r="I26" s="36">
        <v>1</v>
      </c>
      <c r="J26" s="37" t="s">
        <v>264</v>
      </c>
      <c r="K26" s="37"/>
      <c r="L26" s="37"/>
      <c r="Q26" t="s">
        <v>535</v>
      </c>
      <c r="R26" t="s">
        <v>662</v>
      </c>
      <c r="S26" t="s">
        <v>664</v>
      </c>
      <c r="T26" t="s">
        <v>79</v>
      </c>
      <c r="U26" t="s">
        <v>79</v>
      </c>
    </row>
    <row r="27" spans="2:21" customFormat="1" x14ac:dyDescent="0.3">
      <c r="B27" s="38" t="s">
        <v>497</v>
      </c>
      <c r="C27" s="36" t="s">
        <v>56</v>
      </c>
      <c r="D27" s="36" t="s">
        <v>664</v>
      </c>
      <c r="E27" s="36" t="s">
        <v>77</v>
      </c>
      <c r="F27" s="36" t="s">
        <v>77</v>
      </c>
      <c r="G27" s="36" t="s">
        <v>666</v>
      </c>
      <c r="H27" s="36"/>
      <c r="I27" s="36">
        <v>1</v>
      </c>
      <c r="J27" s="37" t="s">
        <v>497</v>
      </c>
      <c r="K27" s="37"/>
      <c r="L27" s="37"/>
      <c r="Q27" t="s">
        <v>547</v>
      </c>
      <c r="R27" t="s">
        <v>662</v>
      </c>
      <c r="S27" t="s">
        <v>664</v>
      </c>
      <c r="T27" t="s">
        <v>79</v>
      </c>
      <c r="U27" t="s">
        <v>79</v>
      </c>
    </row>
    <row r="28" spans="2:21" customFormat="1" x14ac:dyDescent="0.3">
      <c r="B28" s="38" t="s">
        <v>674</v>
      </c>
      <c r="C28" s="36" t="s">
        <v>56</v>
      </c>
      <c r="D28" s="36" t="s">
        <v>664</v>
      </c>
      <c r="E28" s="36" t="s">
        <v>77</v>
      </c>
      <c r="F28" s="36" t="s">
        <v>77</v>
      </c>
      <c r="G28" s="36" t="s">
        <v>666</v>
      </c>
      <c r="H28" s="36"/>
      <c r="I28" s="36">
        <v>1</v>
      </c>
      <c r="J28" s="37" t="s">
        <v>674</v>
      </c>
      <c r="K28" s="37"/>
      <c r="L28" s="37"/>
      <c r="Q28" t="s">
        <v>487</v>
      </c>
      <c r="R28" t="s">
        <v>662</v>
      </c>
      <c r="S28" t="s">
        <v>664</v>
      </c>
      <c r="T28" t="s">
        <v>79</v>
      </c>
      <c r="U28" t="s">
        <v>79</v>
      </c>
    </row>
    <row r="29" spans="2:21" customFormat="1" x14ac:dyDescent="0.3">
      <c r="B29" s="38" t="s">
        <v>495</v>
      </c>
      <c r="C29" s="36" t="s">
        <v>56</v>
      </c>
      <c r="D29" s="36" t="s">
        <v>664</v>
      </c>
      <c r="E29" s="36" t="s">
        <v>77</v>
      </c>
      <c r="F29" s="36" t="s">
        <v>77</v>
      </c>
      <c r="G29" s="36" t="s">
        <v>666</v>
      </c>
      <c r="H29" s="36"/>
      <c r="I29" s="36">
        <v>1</v>
      </c>
      <c r="J29" s="37" t="s">
        <v>495</v>
      </c>
      <c r="K29" s="37"/>
      <c r="L29" s="37"/>
      <c r="Q29" t="s">
        <v>212</v>
      </c>
      <c r="R29" t="s">
        <v>662</v>
      </c>
      <c r="S29" t="s">
        <v>664</v>
      </c>
      <c r="T29" t="s">
        <v>79</v>
      </c>
      <c r="U29" t="s">
        <v>79</v>
      </c>
    </row>
    <row r="30" spans="2:21" customFormat="1" x14ac:dyDescent="0.3">
      <c r="B30" s="38" t="s">
        <v>359</v>
      </c>
      <c r="C30" s="36" t="s">
        <v>56</v>
      </c>
      <c r="D30" s="36" t="s">
        <v>664</v>
      </c>
      <c r="E30" s="36" t="s">
        <v>77</v>
      </c>
      <c r="F30" s="36" t="s">
        <v>77</v>
      </c>
      <c r="G30" s="36" t="s">
        <v>666</v>
      </c>
      <c r="H30" s="36"/>
      <c r="I30" s="36">
        <v>1</v>
      </c>
      <c r="J30" s="37" t="s">
        <v>359</v>
      </c>
      <c r="K30" s="37"/>
      <c r="L30" s="37"/>
      <c r="Q30" t="s">
        <v>531</v>
      </c>
      <c r="R30" t="s">
        <v>662</v>
      </c>
      <c r="S30" t="s">
        <v>664</v>
      </c>
      <c r="T30" t="s">
        <v>79</v>
      </c>
      <c r="U30" t="s">
        <v>79</v>
      </c>
    </row>
    <row r="31" spans="2:21" customFormat="1" x14ac:dyDescent="0.3">
      <c r="B31" s="38" t="s">
        <v>397</v>
      </c>
      <c r="C31" s="36" t="s">
        <v>56</v>
      </c>
      <c r="D31" s="36" t="s">
        <v>664</v>
      </c>
      <c r="E31" s="36" t="s">
        <v>77</v>
      </c>
      <c r="F31" s="36" t="s">
        <v>77</v>
      </c>
      <c r="G31" s="36" t="s">
        <v>666</v>
      </c>
      <c r="H31" s="36"/>
      <c r="I31" s="36">
        <v>1</v>
      </c>
      <c r="J31" s="37" t="s">
        <v>397</v>
      </c>
      <c r="K31" s="37"/>
      <c r="L31" s="37"/>
      <c r="Q31" t="s">
        <v>589</v>
      </c>
      <c r="R31" t="s">
        <v>662</v>
      </c>
      <c r="S31" t="s">
        <v>664</v>
      </c>
      <c r="T31" t="s">
        <v>79</v>
      </c>
      <c r="U31" t="s">
        <v>79</v>
      </c>
    </row>
    <row r="32" spans="2:21" customFormat="1" x14ac:dyDescent="0.3">
      <c r="B32" s="38" t="s">
        <v>252</v>
      </c>
      <c r="C32" s="36" t="s">
        <v>56</v>
      </c>
      <c r="D32" s="36" t="s">
        <v>664</v>
      </c>
      <c r="E32" s="36" t="s">
        <v>77</v>
      </c>
      <c r="F32" s="36" t="s">
        <v>77</v>
      </c>
      <c r="G32" s="36" t="s">
        <v>666</v>
      </c>
      <c r="H32" s="36"/>
      <c r="I32" s="36">
        <v>1</v>
      </c>
      <c r="J32" s="37" t="s">
        <v>252</v>
      </c>
      <c r="K32" s="37"/>
      <c r="L32" s="37"/>
      <c r="Q32" t="s">
        <v>389</v>
      </c>
      <c r="R32" t="s">
        <v>662</v>
      </c>
      <c r="S32" t="s">
        <v>664</v>
      </c>
      <c r="T32" t="s">
        <v>79</v>
      </c>
      <c r="U32" t="s">
        <v>79</v>
      </c>
    </row>
    <row r="33" spans="2:21" customFormat="1" x14ac:dyDescent="0.3">
      <c r="B33" s="38" t="s">
        <v>262</v>
      </c>
      <c r="C33" s="36" t="s">
        <v>56</v>
      </c>
      <c r="D33" s="36" t="s">
        <v>664</v>
      </c>
      <c r="E33" s="36" t="s">
        <v>77</v>
      </c>
      <c r="F33" s="36" t="s">
        <v>77</v>
      </c>
      <c r="G33" s="36" t="s">
        <v>666</v>
      </c>
      <c r="H33" s="36"/>
      <c r="I33" s="36">
        <v>1</v>
      </c>
      <c r="J33" s="37" t="s">
        <v>262</v>
      </c>
      <c r="K33" s="37"/>
      <c r="L33" s="37"/>
      <c r="Q33" t="s">
        <v>314</v>
      </c>
      <c r="R33" t="s">
        <v>662</v>
      </c>
      <c r="S33" t="s">
        <v>664</v>
      </c>
      <c r="T33" t="s">
        <v>79</v>
      </c>
      <c r="U33" t="s">
        <v>79</v>
      </c>
    </row>
    <row r="34" spans="2:21" customFormat="1" x14ac:dyDescent="0.3">
      <c r="B34" s="38" t="s">
        <v>449</v>
      </c>
      <c r="C34" s="36" t="s">
        <v>56</v>
      </c>
      <c r="D34" s="36" t="s">
        <v>664</v>
      </c>
      <c r="E34" s="36" t="s">
        <v>77</v>
      </c>
      <c r="F34" s="36" t="s">
        <v>77</v>
      </c>
      <c r="G34" s="36" t="s">
        <v>666</v>
      </c>
      <c r="H34" s="36"/>
      <c r="I34" s="36">
        <v>1</v>
      </c>
      <c r="J34" s="37" t="s">
        <v>449</v>
      </c>
      <c r="K34" s="37"/>
      <c r="L34" s="37"/>
      <c r="Q34" t="s">
        <v>337</v>
      </c>
      <c r="R34" t="s">
        <v>662</v>
      </c>
      <c r="S34" t="s">
        <v>664</v>
      </c>
      <c r="T34" t="s">
        <v>79</v>
      </c>
      <c r="U34" t="s">
        <v>79</v>
      </c>
    </row>
    <row r="35" spans="2:21" customFormat="1" x14ac:dyDescent="0.3">
      <c r="B35" s="38" t="s">
        <v>473</v>
      </c>
      <c r="C35" s="36" t="s">
        <v>56</v>
      </c>
      <c r="D35" s="36" t="s">
        <v>664</v>
      </c>
      <c r="E35" s="36" t="s">
        <v>77</v>
      </c>
      <c r="F35" s="36" t="s">
        <v>77</v>
      </c>
      <c r="G35" s="36" t="s">
        <v>666</v>
      </c>
      <c r="H35" s="36"/>
      <c r="I35" s="36">
        <v>1</v>
      </c>
      <c r="J35" s="37" t="s">
        <v>473</v>
      </c>
      <c r="K35" s="37"/>
      <c r="L35" s="37"/>
      <c r="Q35" t="s">
        <v>229</v>
      </c>
      <c r="R35" t="s">
        <v>662</v>
      </c>
      <c r="S35" t="s">
        <v>664</v>
      </c>
      <c r="T35" t="s">
        <v>79</v>
      </c>
      <c r="U35" t="s">
        <v>79</v>
      </c>
    </row>
    <row r="36" spans="2:21" customFormat="1" x14ac:dyDescent="0.3">
      <c r="B36" s="38" t="s">
        <v>203</v>
      </c>
      <c r="C36" s="36" t="s">
        <v>56</v>
      </c>
      <c r="D36" s="36" t="s">
        <v>664</v>
      </c>
      <c r="E36" s="36" t="s">
        <v>77</v>
      </c>
      <c r="F36" s="36" t="s">
        <v>77</v>
      </c>
      <c r="G36" s="36" t="s">
        <v>666</v>
      </c>
      <c r="H36" s="36"/>
      <c r="I36" s="36">
        <v>1</v>
      </c>
      <c r="J36" s="37" t="s">
        <v>203</v>
      </c>
      <c r="K36" s="37"/>
      <c r="L36" s="37"/>
      <c r="Q36" t="s">
        <v>347</v>
      </c>
      <c r="R36" t="s">
        <v>662</v>
      </c>
      <c r="S36" t="s">
        <v>664</v>
      </c>
      <c r="T36" t="s">
        <v>79</v>
      </c>
      <c r="U36" t="s">
        <v>79</v>
      </c>
    </row>
    <row r="37" spans="2:21" customFormat="1" x14ac:dyDescent="0.3">
      <c r="B37" s="38" t="s">
        <v>461</v>
      </c>
      <c r="C37" s="36" t="s">
        <v>56</v>
      </c>
      <c r="D37" s="36" t="s">
        <v>664</v>
      </c>
      <c r="E37" s="36" t="s">
        <v>77</v>
      </c>
      <c r="F37" s="36" t="s">
        <v>77</v>
      </c>
      <c r="G37" s="36" t="s">
        <v>666</v>
      </c>
      <c r="H37" s="36"/>
      <c r="I37" s="36">
        <v>1</v>
      </c>
      <c r="J37" s="37" t="s">
        <v>461</v>
      </c>
      <c r="K37" s="37"/>
      <c r="L37" s="37"/>
      <c r="Q37" t="s">
        <v>489</v>
      </c>
      <c r="R37" t="s">
        <v>662</v>
      </c>
      <c r="S37" t="s">
        <v>664</v>
      </c>
      <c r="T37" t="s">
        <v>79</v>
      </c>
      <c r="U37" t="s">
        <v>79</v>
      </c>
    </row>
    <row r="38" spans="2:21" customFormat="1" x14ac:dyDescent="0.3">
      <c r="B38" s="38" t="s">
        <v>509</v>
      </c>
      <c r="C38" s="36" t="s">
        <v>56</v>
      </c>
      <c r="D38" s="36" t="s">
        <v>664</v>
      </c>
      <c r="E38" s="36" t="s">
        <v>77</v>
      </c>
      <c r="F38" s="36" t="s">
        <v>77</v>
      </c>
      <c r="G38" s="36" t="s">
        <v>666</v>
      </c>
      <c r="H38" s="36"/>
      <c r="I38" s="36">
        <v>1</v>
      </c>
      <c r="J38" s="37" t="s">
        <v>509</v>
      </c>
      <c r="K38" s="37"/>
      <c r="L38" s="37"/>
      <c r="Q38" t="s">
        <v>675</v>
      </c>
      <c r="R38" t="s">
        <v>662</v>
      </c>
      <c r="S38" t="s">
        <v>664</v>
      </c>
      <c r="T38" t="s">
        <v>79</v>
      </c>
      <c r="U38" t="s">
        <v>79</v>
      </c>
    </row>
    <row r="39" spans="2:21" customFormat="1" x14ac:dyDescent="0.3">
      <c r="B39" s="38" t="s">
        <v>237</v>
      </c>
      <c r="C39" s="36" t="s">
        <v>56</v>
      </c>
      <c r="D39" s="36" t="s">
        <v>664</v>
      </c>
      <c r="E39" s="36" t="s">
        <v>77</v>
      </c>
      <c r="F39" s="36" t="s">
        <v>77</v>
      </c>
      <c r="G39" s="36" t="s">
        <v>666</v>
      </c>
      <c r="H39" s="36"/>
      <c r="I39" s="36">
        <v>1</v>
      </c>
      <c r="J39" s="37" t="s">
        <v>237</v>
      </c>
      <c r="K39" s="37"/>
      <c r="L39" s="37"/>
      <c r="Q39" t="s">
        <v>391</v>
      </c>
      <c r="R39" t="s">
        <v>662</v>
      </c>
      <c r="S39" t="s">
        <v>664</v>
      </c>
      <c r="T39" t="s">
        <v>79</v>
      </c>
      <c r="U39" t="s">
        <v>79</v>
      </c>
    </row>
    <row r="40" spans="2:21" customFormat="1" x14ac:dyDescent="0.3">
      <c r="B40" s="38" t="s">
        <v>439</v>
      </c>
      <c r="C40" s="36" t="s">
        <v>56</v>
      </c>
      <c r="D40" s="36" t="s">
        <v>664</v>
      </c>
      <c r="E40" s="36" t="s">
        <v>77</v>
      </c>
      <c r="F40" s="36" t="s">
        <v>77</v>
      </c>
      <c r="G40" s="36" t="s">
        <v>666</v>
      </c>
      <c r="H40" s="36"/>
      <c r="I40" s="36">
        <v>1</v>
      </c>
      <c r="J40" s="37" t="s">
        <v>439</v>
      </c>
      <c r="K40" s="37"/>
      <c r="L40" s="37"/>
      <c r="Q40" t="s">
        <v>533</v>
      </c>
      <c r="R40" t="s">
        <v>662</v>
      </c>
      <c r="S40" t="s">
        <v>664</v>
      </c>
      <c r="T40" t="s">
        <v>79</v>
      </c>
      <c r="U40" t="s">
        <v>79</v>
      </c>
    </row>
    <row r="41" spans="2:21" customFormat="1" x14ac:dyDescent="0.3">
      <c r="B41" s="38" t="s">
        <v>272</v>
      </c>
      <c r="C41" s="36" t="s">
        <v>56</v>
      </c>
      <c r="D41" s="36" t="s">
        <v>664</v>
      </c>
      <c r="E41" s="36" t="s">
        <v>77</v>
      </c>
      <c r="F41" s="36" t="s">
        <v>77</v>
      </c>
      <c r="G41" s="36" t="s">
        <v>666</v>
      </c>
      <c r="H41" s="36"/>
      <c r="I41" s="36">
        <v>1</v>
      </c>
      <c r="J41" s="37" t="s">
        <v>272</v>
      </c>
      <c r="K41" s="37"/>
      <c r="L41" s="37"/>
      <c r="Q41" t="s">
        <v>331</v>
      </c>
      <c r="R41" t="s">
        <v>662</v>
      </c>
      <c r="S41" t="s">
        <v>664</v>
      </c>
      <c r="T41" t="s">
        <v>79</v>
      </c>
      <c r="U41" t="s">
        <v>79</v>
      </c>
    </row>
    <row r="42" spans="2:21" customFormat="1" x14ac:dyDescent="0.3">
      <c r="B42" s="38" t="s">
        <v>244</v>
      </c>
      <c r="C42" s="36" t="s">
        <v>56</v>
      </c>
      <c r="D42" s="36" t="s">
        <v>664</v>
      </c>
      <c r="E42" s="36" t="s">
        <v>77</v>
      </c>
      <c r="F42" s="36" t="s">
        <v>77</v>
      </c>
      <c r="G42" s="36" t="s">
        <v>666</v>
      </c>
      <c r="H42" s="36"/>
      <c r="I42" s="36">
        <v>1</v>
      </c>
      <c r="J42" s="37" t="s">
        <v>244</v>
      </c>
      <c r="K42" s="37"/>
      <c r="L42" s="37"/>
      <c r="Q42" t="s">
        <v>195</v>
      </c>
      <c r="R42" t="s">
        <v>662</v>
      </c>
      <c r="S42" t="s">
        <v>664</v>
      </c>
      <c r="T42" t="s">
        <v>79</v>
      </c>
      <c r="U42" t="s">
        <v>79</v>
      </c>
    </row>
    <row r="43" spans="2:21" customFormat="1" x14ac:dyDescent="0.3">
      <c r="B43" s="38" t="s">
        <v>541</v>
      </c>
      <c r="C43" s="36" t="s">
        <v>56</v>
      </c>
      <c r="D43" s="36" t="s">
        <v>664</v>
      </c>
      <c r="E43" s="36" t="s">
        <v>77</v>
      </c>
      <c r="F43" s="36" t="s">
        <v>77</v>
      </c>
      <c r="G43" s="36" t="s">
        <v>666</v>
      </c>
      <c r="H43" s="36"/>
      <c r="I43" s="36">
        <v>1</v>
      </c>
      <c r="J43" s="37" t="s">
        <v>541</v>
      </c>
      <c r="K43" s="37"/>
      <c r="L43" s="37"/>
      <c r="Q43" t="s">
        <v>316</v>
      </c>
      <c r="R43" t="s">
        <v>662</v>
      </c>
      <c r="S43" t="s">
        <v>664</v>
      </c>
      <c r="T43" t="s">
        <v>79</v>
      </c>
      <c r="U43" t="s">
        <v>79</v>
      </c>
    </row>
    <row r="44" spans="2:21" customFormat="1" x14ac:dyDescent="0.3">
      <c r="B44" s="38" t="s">
        <v>298</v>
      </c>
      <c r="C44" s="36" t="s">
        <v>56</v>
      </c>
      <c r="D44" s="36" t="s">
        <v>664</v>
      </c>
      <c r="E44" s="36" t="s">
        <v>77</v>
      </c>
      <c r="F44" s="36" t="s">
        <v>77</v>
      </c>
      <c r="G44" s="36" t="s">
        <v>666</v>
      </c>
      <c r="H44" s="36"/>
      <c r="I44" s="36">
        <v>1</v>
      </c>
      <c r="J44" s="37" t="s">
        <v>298</v>
      </c>
      <c r="K44" s="37"/>
      <c r="L44" s="37"/>
      <c r="Q44" t="s">
        <v>425</v>
      </c>
      <c r="R44" t="s">
        <v>662</v>
      </c>
      <c r="S44" t="s">
        <v>664</v>
      </c>
      <c r="T44" t="s">
        <v>79</v>
      </c>
      <c r="U44" t="s">
        <v>79</v>
      </c>
    </row>
    <row r="45" spans="2:21" customFormat="1" x14ac:dyDescent="0.3">
      <c r="B45" s="38" t="s">
        <v>345</v>
      </c>
      <c r="C45" s="36" t="s">
        <v>56</v>
      </c>
      <c r="D45" s="36" t="s">
        <v>664</v>
      </c>
      <c r="E45" s="36" t="s">
        <v>77</v>
      </c>
      <c r="F45" s="36" t="s">
        <v>77</v>
      </c>
      <c r="G45" s="36" t="s">
        <v>666</v>
      </c>
      <c r="H45" s="36"/>
      <c r="I45" s="36">
        <v>1</v>
      </c>
      <c r="J45" s="37" t="s">
        <v>345</v>
      </c>
      <c r="K45" s="37"/>
      <c r="L45" s="37"/>
      <c r="Q45" t="s">
        <v>292</v>
      </c>
      <c r="R45" t="s">
        <v>662</v>
      </c>
      <c r="S45" t="s">
        <v>664</v>
      </c>
      <c r="T45" t="s">
        <v>79</v>
      </c>
      <c r="U45" t="s">
        <v>79</v>
      </c>
    </row>
    <row r="46" spans="2:21" customFormat="1" x14ac:dyDescent="0.3">
      <c r="B46" s="38" t="s">
        <v>407</v>
      </c>
      <c r="C46" s="36" t="s">
        <v>56</v>
      </c>
      <c r="D46" s="36" t="s">
        <v>664</v>
      </c>
      <c r="E46" s="36" t="s">
        <v>77</v>
      </c>
      <c r="F46" s="36" t="s">
        <v>77</v>
      </c>
      <c r="G46" s="36" t="s">
        <v>666</v>
      </c>
      <c r="H46" s="36"/>
      <c r="I46" s="36">
        <v>1</v>
      </c>
      <c r="J46" s="37" t="s">
        <v>407</v>
      </c>
      <c r="K46" s="37"/>
      <c r="L46" s="37"/>
      <c r="Q46" t="s">
        <v>308</v>
      </c>
      <c r="R46" t="s">
        <v>662</v>
      </c>
      <c r="S46" t="s">
        <v>664</v>
      </c>
      <c r="T46" t="s">
        <v>79</v>
      </c>
      <c r="U46" t="s">
        <v>79</v>
      </c>
    </row>
    <row r="47" spans="2:21" customFormat="1" x14ac:dyDescent="0.3">
      <c r="B47" s="38" t="s">
        <v>447</v>
      </c>
      <c r="C47" s="36" t="s">
        <v>56</v>
      </c>
      <c r="D47" s="36" t="s">
        <v>664</v>
      </c>
      <c r="E47" s="36" t="s">
        <v>77</v>
      </c>
      <c r="F47" s="36" t="s">
        <v>77</v>
      </c>
      <c r="G47" s="36" t="s">
        <v>666</v>
      </c>
      <c r="H47" s="36"/>
      <c r="I47" s="36">
        <v>1</v>
      </c>
      <c r="J47" s="37" t="s">
        <v>447</v>
      </c>
      <c r="K47" s="37"/>
      <c r="L47" s="37"/>
      <c r="Q47" t="s">
        <v>296</v>
      </c>
      <c r="R47" t="s">
        <v>662</v>
      </c>
      <c r="S47" t="s">
        <v>664</v>
      </c>
      <c r="T47" t="s">
        <v>79</v>
      </c>
      <c r="U47" t="s">
        <v>79</v>
      </c>
    </row>
    <row r="48" spans="2:21" customFormat="1" x14ac:dyDescent="0.3">
      <c r="B48" s="38" t="s">
        <v>250</v>
      </c>
      <c r="C48" s="36" t="s">
        <v>56</v>
      </c>
      <c r="D48" s="36" t="s">
        <v>664</v>
      </c>
      <c r="E48" s="36" t="s">
        <v>77</v>
      </c>
      <c r="F48" s="36" t="s">
        <v>77</v>
      </c>
      <c r="G48" s="36" t="s">
        <v>666</v>
      </c>
      <c r="H48" s="36"/>
      <c r="I48" s="36">
        <v>1</v>
      </c>
      <c r="J48" s="37" t="s">
        <v>250</v>
      </c>
      <c r="K48" s="37"/>
      <c r="L48" s="37"/>
      <c r="Q48" t="s">
        <v>310</v>
      </c>
      <c r="R48" t="s">
        <v>662</v>
      </c>
      <c r="S48" t="s">
        <v>664</v>
      </c>
      <c r="T48" t="s">
        <v>79</v>
      </c>
      <c r="U48" t="s">
        <v>79</v>
      </c>
    </row>
    <row r="49" spans="2:21" customFormat="1" x14ac:dyDescent="0.3">
      <c r="B49" s="38" t="s">
        <v>357</v>
      </c>
      <c r="C49" s="36" t="s">
        <v>56</v>
      </c>
      <c r="D49" s="36" t="s">
        <v>664</v>
      </c>
      <c r="E49" s="36" t="s">
        <v>77</v>
      </c>
      <c r="F49" s="36" t="s">
        <v>77</v>
      </c>
      <c r="G49" s="36" t="s">
        <v>666</v>
      </c>
      <c r="H49" s="36"/>
      <c r="I49" s="36">
        <v>1</v>
      </c>
      <c r="J49" s="37" t="s">
        <v>357</v>
      </c>
      <c r="K49" s="37"/>
      <c r="L49" s="37"/>
      <c r="Q49" t="s">
        <v>199</v>
      </c>
      <c r="R49" t="s">
        <v>662</v>
      </c>
      <c r="S49" t="s">
        <v>664</v>
      </c>
      <c r="T49" t="s">
        <v>79</v>
      </c>
      <c r="U49" t="s">
        <v>79</v>
      </c>
    </row>
    <row r="50" spans="2:21" customFormat="1" x14ac:dyDescent="0.3">
      <c r="B50" s="38" t="s">
        <v>417</v>
      </c>
      <c r="C50" s="36" t="s">
        <v>56</v>
      </c>
      <c r="D50" s="36" t="s">
        <v>664</v>
      </c>
      <c r="E50" s="36" t="s">
        <v>77</v>
      </c>
      <c r="F50" s="36" t="s">
        <v>77</v>
      </c>
      <c r="G50" s="36" t="s">
        <v>666</v>
      </c>
      <c r="H50" s="36"/>
      <c r="I50" s="36">
        <v>1</v>
      </c>
      <c r="J50" s="37" t="s">
        <v>417</v>
      </c>
      <c r="K50" s="37"/>
      <c r="L50" s="37"/>
      <c r="Q50" t="s">
        <v>501</v>
      </c>
      <c r="R50" t="s">
        <v>662</v>
      </c>
      <c r="S50" t="s">
        <v>664</v>
      </c>
      <c r="T50" t="s">
        <v>79</v>
      </c>
      <c r="U50" t="s">
        <v>79</v>
      </c>
    </row>
    <row r="51" spans="2:21" customFormat="1" x14ac:dyDescent="0.3">
      <c r="B51" s="38" t="s">
        <v>676</v>
      </c>
      <c r="C51" s="36" t="s">
        <v>56</v>
      </c>
      <c r="D51" s="36" t="s">
        <v>664</v>
      </c>
      <c r="E51" s="36" t="s">
        <v>77</v>
      </c>
      <c r="F51" s="36" t="s">
        <v>77</v>
      </c>
      <c r="G51" s="36" t="s">
        <v>666</v>
      </c>
      <c r="H51" s="36"/>
      <c r="I51" s="36">
        <v>1</v>
      </c>
      <c r="J51" s="37" t="s">
        <v>676</v>
      </c>
      <c r="K51" s="37"/>
      <c r="L51" s="37"/>
      <c r="Q51" t="s">
        <v>393</v>
      </c>
      <c r="R51" t="s">
        <v>662</v>
      </c>
      <c r="S51" t="s">
        <v>664</v>
      </c>
      <c r="T51" t="s">
        <v>79</v>
      </c>
      <c r="U51" t="s">
        <v>79</v>
      </c>
    </row>
    <row r="52" spans="2:21" customFormat="1" x14ac:dyDescent="0.3">
      <c r="B52" s="38" t="s">
        <v>276</v>
      </c>
      <c r="C52" s="36" t="s">
        <v>56</v>
      </c>
      <c r="D52" s="36" t="s">
        <v>664</v>
      </c>
      <c r="E52" s="36" t="s">
        <v>77</v>
      </c>
      <c r="F52" s="36" t="s">
        <v>77</v>
      </c>
      <c r="G52" s="36" t="s">
        <v>666</v>
      </c>
      <c r="H52" s="36"/>
      <c r="I52" s="36">
        <v>1</v>
      </c>
      <c r="J52" s="37" t="s">
        <v>276</v>
      </c>
      <c r="K52" s="37"/>
      <c r="L52" s="37"/>
      <c r="Q52" t="s">
        <v>227</v>
      </c>
      <c r="R52" t="s">
        <v>662</v>
      </c>
      <c r="S52" t="s">
        <v>664</v>
      </c>
      <c r="T52" t="s">
        <v>79</v>
      </c>
      <c r="U52" t="s">
        <v>79</v>
      </c>
    </row>
    <row r="53" spans="2:21" customFormat="1" x14ac:dyDescent="0.3">
      <c r="B53" s="38" t="s">
        <v>355</v>
      </c>
      <c r="C53" s="36" t="s">
        <v>56</v>
      </c>
      <c r="D53" s="36" t="s">
        <v>664</v>
      </c>
      <c r="E53" s="36" t="s">
        <v>77</v>
      </c>
      <c r="F53" s="36" t="s">
        <v>77</v>
      </c>
      <c r="G53" s="36" t="s">
        <v>666</v>
      </c>
      <c r="H53" s="36"/>
      <c r="I53" s="36">
        <v>1</v>
      </c>
      <c r="J53" s="37" t="s">
        <v>355</v>
      </c>
      <c r="K53" s="37"/>
      <c r="L53" s="37"/>
      <c r="Q53" t="s">
        <v>242</v>
      </c>
      <c r="R53" t="s">
        <v>662</v>
      </c>
      <c r="S53" t="s">
        <v>664</v>
      </c>
      <c r="T53" t="s">
        <v>79</v>
      </c>
      <c r="U53" t="s">
        <v>79</v>
      </c>
    </row>
    <row r="54" spans="2:21" customFormat="1" x14ac:dyDescent="0.3">
      <c r="B54" s="38" t="s">
        <v>240</v>
      </c>
      <c r="C54" s="36" t="s">
        <v>56</v>
      </c>
      <c r="D54" s="36" t="s">
        <v>664</v>
      </c>
      <c r="E54" s="36" t="s">
        <v>77</v>
      </c>
      <c r="F54" s="36" t="s">
        <v>77</v>
      </c>
      <c r="G54" s="36" t="s">
        <v>666</v>
      </c>
      <c r="H54" s="36"/>
      <c r="I54" s="36">
        <v>1</v>
      </c>
      <c r="J54" s="37" t="s">
        <v>240</v>
      </c>
      <c r="K54" s="37"/>
      <c r="L54" s="37"/>
      <c r="Q54" t="s">
        <v>225</v>
      </c>
      <c r="R54" t="s">
        <v>662</v>
      </c>
      <c r="S54" t="s">
        <v>664</v>
      </c>
      <c r="T54" t="s">
        <v>79</v>
      </c>
      <c r="U54" t="s">
        <v>79</v>
      </c>
    </row>
    <row r="55" spans="2:21" customFormat="1" x14ac:dyDescent="0.3">
      <c r="B55" s="38" t="s">
        <v>351</v>
      </c>
      <c r="C55" s="36" t="s">
        <v>56</v>
      </c>
      <c r="D55" s="36" t="s">
        <v>664</v>
      </c>
      <c r="E55" s="36" t="s">
        <v>77</v>
      </c>
      <c r="F55" s="36" t="s">
        <v>77</v>
      </c>
      <c r="G55" s="36" t="s">
        <v>666</v>
      </c>
      <c r="H55" s="36"/>
      <c r="I55" s="36">
        <v>1</v>
      </c>
      <c r="J55" s="37" t="s">
        <v>351</v>
      </c>
      <c r="K55" s="37"/>
      <c r="L55" s="37"/>
      <c r="Q55" t="s">
        <v>491</v>
      </c>
      <c r="R55" t="s">
        <v>662</v>
      </c>
      <c r="S55" t="s">
        <v>664</v>
      </c>
      <c r="T55" t="s">
        <v>79</v>
      </c>
      <c r="U55" t="s">
        <v>79</v>
      </c>
    </row>
    <row r="56" spans="2:21" customFormat="1" x14ac:dyDescent="0.3">
      <c r="B56" s="38" t="s">
        <v>201</v>
      </c>
      <c r="C56" s="36" t="s">
        <v>56</v>
      </c>
      <c r="D56" s="36" t="s">
        <v>664</v>
      </c>
      <c r="E56" s="36" t="s">
        <v>77</v>
      </c>
      <c r="F56" s="36" t="s">
        <v>77</v>
      </c>
      <c r="G56" s="36" t="s">
        <v>666</v>
      </c>
      <c r="H56" s="36"/>
      <c r="I56" s="36">
        <v>1</v>
      </c>
      <c r="J56" s="37" t="s">
        <v>201</v>
      </c>
      <c r="K56" s="37"/>
      <c r="L56" s="37"/>
      <c r="Q56" t="s">
        <v>216</v>
      </c>
      <c r="R56" t="s">
        <v>662</v>
      </c>
      <c r="S56" t="s">
        <v>664</v>
      </c>
      <c r="T56" t="s">
        <v>79</v>
      </c>
      <c r="U56" t="s">
        <v>79</v>
      </c>
    </row>
    <row r="57" spans="2:21" customFormat="1" x14ac:dyDescent="0.3">
      <c r="B57" s="38" t="s">
        <v>511</v>
      </c>
      <c r="C57" s="36" t="s">
        <v>56</v>
      </c>
      <c r="D57" s="36" t="s">
        <v>664</v>
      </c>
      <c r="E57" s="36" t="s">
        <v>77</v>
      </c>
      <c r="F57" s="36" t="s">
        <v>77</v>
      </c>
      <c r="G57" s="36" t="s">
        <v>666</v>
      </c>
      <c r="H57" s="36"/>
      <c r="I57" s="36">
        <v>1</v>
      </c>
      <c r="J57" s="37" t="s">
        <v>511</v>
      </c>
      <c r="K57" s="37"/>
      <c r="L57" s="37"/>
      <c r="Q57" t="s">
        <v>677</v>
      </c>
      <c r="R57" t="s">
        <v>662</v>
      </c>
      <c r="S57" t="s">
        <v>664</v>
      </c>
      <c r="T57" t="s">
        <v>79</v>
      </c>
      <c r="U57" t="s">
        <v>79</v>
      </c>
    </row>
    <row r="58" spans="2:21" customFormat="1" x14ac:dyDescent="0.3">
      <c r="B58" s="38" t="s">
        <v>481</v>
      </c>
      <c r="C58" s="36" t="s">
        <v>56</v>
      </c>
      <c r="D58" s="36" t="s">
        <v>664</v>
      </c>
      <c r="E58" s="36" t="s">
        <v>77</v>
      </c>
      <c r="F58" s="36" t="s">
        <v>77</v>
      </c>
      <c r="G58" s="36" t="s">
        <v>666</v>
      </c>
      <c r="H58" s="36"/>
      <c r="I58" s="36">
        <v>1</v>
      </c>
      <c r="J58" s="37" t="s">
        <v>481</v>
      </c>
      <c r="K58" s="37"/>
      <c r="L58" s="37"/>
      <c r="Q58" t="s">
        <v>429</v>
      </c>
      <c r="R58" t="s">
        <v>662</v>
      </c>
      <c r="S58" t="s">
        <v>664</v>
      </c>
      <c r="T58" t="s">
        <v>79</v>
      </c>
      <c r="U58" t="s">
        <v>79</v>
      </c>
    </row>
    <row r="59" spans="2:21" customFormat="1" x14ac:dyDescent="0.3">
      <c r="B59" s="38" t="s">
        <v>260</v>
      </c>
      <c r="C59" s="36" t="s">
        <v>56</v>
      </c>
      <c r="D59" s="36" t="s">
        <v>664</v>
      </c>
      <c r="E59" s="36" t="s">
        <v>77</v>
      </c>
      <c r="F59" s="36" t="s">
        <v>77</v>
      </c>
      <c r="G59" s="36" t="s">
        <v>666</v>
      </c>
      <c r="H59" s="36"/>
      <c r="I59" s="36">
        <v>1</v>
      </c>
      <c r="J59" s="37" t="s">
        <v>260</v>
      </c>
      <c r="K59" s="37"/>
      <c r="L59" s="37"/>
      <c r="Q59" t="s">
        <v>294</v>
      </c>
      <c r="R59" t="s">
        <v>662</v>
      </c>
      <c r="S59" t="s">
        <v>664</v>
      </c>
      <c r="T59" t="s">
        <v>79</v>
      </c>
      <c r="U59" t="s">
        <v>79</v>
      </c>
    </row>
    <row r="60" spans="2:21" customFormat="1" x14ac:dyDescent="0.3">
      <c r="B60" s="38" t="s">
        <v>517</v>
      </c>
      <c r="C60" s="36" t="s">
        <v>56</v>
      </c>
      <c r="D60" s="36" t="s">
        <v>664</v>
      </c>
      <c r="E60" s="36" t="s">
        <v>77</v>
      </c>
      <c r="F60" s="36" t="s">
        <v>77</v>
      </c>
      <c r="G60" s="36" t="s">
        <v>666</v>
      </c>
      <c r="H60" s="36"/>
      <c r="I60" s="36">
        <v>1</v>
      </c>
      <c r="J60" s="37" t="s">
        <v>517</v>
      </c>
      <c r="K60" s="37"/>
      <c r="L60" s="37"/>
      <c r="Q60" t="s">
        <v>319</v>
      </c>
      <c r="R60" t="s">
        <v>662</v>
      </c>
      <c r="S60" t="s">
        <v>664</v>
      </c>
      <c r="T60" t="s">
        <v>79</v>
      </c>
      <c r="U60" t="s">
        <v>79</v>
      </c>
    </row>
    <row r="61" spans="2:21" customFormat="1" x14ac:dyDescent="0.3">
      <c r="B61" s="38" t="s">
        <v>405</v>
      </c>
      <c r="C61" s="36" t="s">
        <v>56</v>
      </c>
      <c r="D61" s="36" t="s">
        <v>664</v>
      </c>
      <c r="E61" s="36" t="s">
        <v>77</v>
      </c>
      <c r="F61" s="36" t="s">
        <v>77</v>
      </c>
      <c r="G61" s="36" t="s">
        <v>666</v>
      </c>
      <c r="H61" s="36"/>
      <c r="I61" s="36">
        <v>1</v>
      </c>
      <c r="J61" s="37" t="s">
        <v>405</v>
      </c>
      <c r="K61" s="37"/>
      <c r="L61" s="37"/>
      <c r="Q61" t="s">
        <v>475</v>
      </c>
      <c r="R61" t="s">
        <v>662</v>
      </c>
      <c r="S61" t="s">
        <v>664</v>
      </c>
      <c r="T61" t="s">
        <v>79</v>
      </c>
      <c r="U61" t="s">
        <v>79</v>
      </c>
    </row>
    <row r="62" spans="2:21" customFormat="1" x14ac:dyDescent="0.3">
      <c r="B62" s="38" t="s">
        <v>233</v>
      </c>
      <c r="C62" s="36" t="s">
        <v>56</v>
      </c>
      <c r="D62" s="36" t="s">
        <v>664</v>
      </c>
      <c r="E62" s="36" t="s">
        <v>77</v>
      </c>
      <c r="F62" s="36" t="s">
        <v>77</v>
      </c>
      <c r="G62" s="36" t="s">
        <v>666</v>
      </c>
      <c r="H62" s="36"/>
      <c r="I62" s="36">
        <v>1</v>
      </c>
      <c r="J62" s="37" t="s">
        <v>233</v>
      </c>
      <c r="K62" s="37"/>
      <c r="L62" s="37"/>
      <c r="Q62" t="s">
        <v>312</v>
      </c>
      <c r="R62" t="s">
        <v>662</v>
      </c>
      <c r="S62" t="s">
        <v>664</v>
      </c>
      <c r="T62" t="s">
        <v>79</v>
      </c>
      <c r="U62" t="s">
        <v>79</v>
      </c>
    </row>
    <row r="63" spans="2:21" customFormat="1" x14ac:dyDescent="0.3">
      <c r="B63" s="38" t="s">
        <v>537</v>
      </c>
      <c r="C63" s="36" t="s">
        <v>56</v>
      </c>
      <c r="D63" s="36" t="s">
        <v>664</v>
      </c>
      <c r="E63" s="36" t="s">
        <v>77</v>
      </c>
      <c r="F63" s="36" t="s">
        <v>77</v>
      </c>
      <c r="G63" s="36" t="s">
        <v>666</v>
      </c>
      <c r="H63" s="36"/>
      <c r="I63" s="36">
        <v>1</v>
      </c>
      <c r="J63" s="37" t="s">
        <v>537</v>
      </c>
      <c r="K63" s="37"/>
      <c r="L63" s="37"/>
      <c r="Q63" t="s">
        <v>678</v>
      </c>
      <c r="R63" t="s">
        <v>662</v>
      </c>
      <c r="S63" t="s">
        <v>664</v>
      </c>
      <c r="T63" t="s">
        <v>79</v>
      </c>
      <c r="U63" t="s">
        <v>79</v>
      </c>
    </row>
    <row r="64" spans="2:21" customFormat="1" x14ac:dyDescent="0.3">
      <c r="B64" s="38" t="s">
        <v>477</v>
      </c>
      <c r="C64" s="36" t="s">
        <v>56</v>
      </c>
      <c r="D64" s="36" t="s">
        <v>664</v>
      </c>
      <c r="E64" s="36" t="s">
        <v>77</v>
      </c>
      <c r="F64" s="36" t="s">
        <v>77</v>
      </c>
      <c r="G64" s="36" t="s">
        <v>666</v>
      </c>
      <c r="H64" s="36"/>
      <c r="I64" s="36">
        <v>1</v>
      </c>
      <c r="J64" s="37" t="s">
        <v>477</v>
      </c>
      <c r="K64" s="37"/>
      <c r="L64" s="37"/>
      <c r="Q64" t="s">
        <v>266</v>
      </c>
      <c r="R64" t="s">
        <v>662</v>
      </c>
      <c r="S64" t="s">
        <v>664</v>
      </c>
      <c r="T64" t="s">
        <v>79</v>
      </c>
      <c r="U64" t="s">
        <v>79</v>
      </c>
    </row>
    <row r="65" spans="2:21" customFormat="1" x14ac:dyDescent="0.3">
      <c r="B65" s="38" t="s">
        <v>256</v>
      </c>
      <c r="C65" s="36" t="s">
        <v>56</v>
      </c>
      <c r="D65" s="36" t="s">
        <v>664</v>
      </c>
      <c r="E65" s="36" t="s">
        <v>77</v>
      </c>
      <c r="F65" s="36" t="s">
        <v>77</v>
      </c>
      <c r="G65" s="36" t="s">
        <v>666</v>
      </c>
      <c r="H65" s="36"/>
      <c r="I65" s="36">
        <v>1</v>
      </c>
      <c r="J65" s="37" t="s">
        <v>256</v>
      </c>
      <c r="K65" s="37"/>
      <c r="L65" s="37"/>
      <c r="Q65" t="s">
        <v>321</v>
      </c>
      <c r="R65" t="s">
        <v>662</v>
      </c>
      <c r="S65" t="s">
        <v>664</v>
      </c>
      <c r="T65" t="s">
        <v>79</v>
      </c>
      <c r="U65" t="s">
        <v>79</v>
      </c>
    </row>
    <row r="66" spans="2:21" customFormat="1" x14ac:dyDescent="0.3">
      <c r="B66" s="38" t="s">
        <v>455</v>
      </c>
      <c r="C66" s="36" t="s">
        <v>56</v>
      </c>
      <c r="D66" s="36" t="s">
        <v>664</v>
      </c>
      <c r="E66" s="36" t="s">
        <v>77</v>
      </c>
      <c r="F66" s="36" t="s">
        <v>77</v>
      </c>
      <c r="G66" s="36" t="s">
        <v>666</v>
      </c>
      <c r="H66" s="36"/>
      <c r="I66" s="36">
        <v>1</v>
      </c>
      <c r="J66" s="37" t="s">
        <v>455</v>
      </c>
      <c r="K66" s="37"/>
      <c r="L66" s="37"/>
      <c r="Q66" t="s">
        <v>323</v>
      </c>
      <c r="R66" t="s">
        <v>662</v>
      </c>
      <c r="S66" t="s">
        <v>664</v>
      </c>
      <c r="T66" t="s">
        <v>79</v>
      </c>
      <c r="U66" t="s">
        <v>79</v>
      </c>
    </row>
    <row r="67" spans="2:21" customFormat="1" x14ac:dyDescent="0.3">
      <c r="B67" s="38" t="s">
        <v>329</v>
      </c>
      <c r="C67" s="36" t="s">
        <v>56</v>
      </c>
      <c r="D67" s="36" t="s">
        <v>664</v>
      </c>
      <c r="E67" s="36" t="s">
        <v>77</v>
      </c>
      <c r="F67" s="36" t="s">
        <v>77</v>
      </c>
      <c r="G67" s="36" t="s">
        <v>666</v>
      </c>
      <c r="H67" s="36"/>
      <c r="I67" s="36">
        <v>1</v>
      </c>
      <c r="J67" s="37" t="s">
        <v>329</v>
      </c>
      <c r="K67" s="37"/>
      <c r="L67" s="37"/>
      <c r="Q67" t="s">
        <v>507</v>
      </c>
      <c r="R67" t="s">
        <v>662</v>
      </c>
      <c r="S67" t="s">
        <v>664</v>
      </c>
      <c r="T67" t="s">
        <v>79</v>
      </c>
      <c r="U67" t="s">
        <v>79</v>
      </c>
    </row>
    <row r="68" spans="2:21" customFormat="1" x14ac:dyDescent="0.3">
      <c r="B68" s="38" t="s">
        <v>415</v>
      </c>
      <c r="C68" s="36" t="s">
        <v>56</v>
      </c>
      <c r="D68" s="36" t="s">
        <v>664</v>
      </c>
      <c r="E68" s="36" t="s">
        <v>77</v>
      </c>
      <c r="F68" s="36" t="s">
        <v>77</v>
      </c>
      <c r="G68" s="36" t="s">
        <v>666</v>
      </c>
      <c r="H68" s="36"/>
      <c r="I68" s="36">
        <v>1</v>
      </c>
      <c r="J68" s="37" t="s">
        <v>415</v>
      </c>
      <c r="K68" s="37"/>
      <c r="L68" s="37"/>
      <c r="Q68" t="s">
        <v>441</v>
      </c>
      <c r="R68" t="s">
        <v>662</v>
      </c>
      <c r="S68" t="s">
        <v>664</v>
      </c>
      <c r="T68" t="s">
        <v>79</v>
      </c>
      <c r="U68" t="s">
        <v>79</v>
      </c>
    </row>
    <row r="69" spans="2:21" customFormat="1" x14ac:dyDescent="0.3">
      <c r="B69" s="38" t="s">
        <v>306</v>
      </c>
      <c r="C69" s="36" t="s">
        <v>56</v>
      </c>
      <c r="D69" s="36" t="s">
        <v>664</v>
      </c>
      <c r="E69" s="36" t="s">
        <v>77</v>
      </c>
      <c r="F69" s="36" t="s">
        <v>77</v>
      </c>
      <c r="G69" s="36" t="s">
        <v>666</v>
      </c>
      <c r="H69" s="36"/>
      <c r="I69" s="36">
        <v>1</v>
      </c>
      <c r="J69" s="37" t="s">
        <v>306</v>
      </c>
      <c r="K69" s="37"/>
      <c r="L69" s="37"/>
      <c r="Q69" t="s">
        <v>679</v>
      </c>
      <c r="R69" t="s">
        <v>662</v>
      </c>
      <c r="S69" t="s">
        <v>664</v>
      </c>
      <c r="T69" t="s">
        <v>79</v>
      </c>
      <c r="U69" t="s">
        <v>79</v>
      </c>
    </row>
    <row r="70" spans="2:21" customFormat="1" x14ac:dyDescent="0.3">
      <c r="B70" s="38" t="s">
        <v>443</v>
      </c>
      <c r="C70" s="36" t="s">
        <v>56</v>
      </c>
      <c r="D70" s="36" t="s">
        <v>664</v>
      </c>
      <c r="E70" s="36" t="s">
        <v>77</v>
      </c>
      <c r="F70" s="36" t="s">
        <v>77</v>
      </c>
      <c r="G70" s="36" t="s">
        <v>666</v>
      </c>
      <c r="H70" s="36"/>
      <c r="I70" s="36">
        <v>1</v>
      </c>
      <c r="J70" s="37" t="s">
        <v>443</v>
      </c>
      <c r="K70" s="37"/>
      <c r="L70" s="37"/>
      <c r="Q70" t="s">
        <v>290</v>
      </c>
      <c r="R70" t="s">
        <v>662</v>
      </c>
      <c r="S70" t="s">
        <v>664</v>
      </c>
      <c r="T70" t="s">
        <v>79</v>
      </c>
      <c r="U70" t="s">
        <v>79</v>
      </c>
    </row>
    <row r="71" spans="2:21" customFormat="1" x14ac:dyDescent="0.3">
      <c r="B71" s="38" t="s">
        <v>680</v>
      </c>
      <c r="C71" s="36" t="s">
        <v>56</v>
      </c>
      <c r="D71" s="36" t="s">
        <v>664</v>
      </c>
      <c r="E71" s="36" t="s">
        <v>77</v>
      </c>
      <c r="F71" s="36" t="s">
        <v>77</v>
      </c>
      <c r="G71" s="36" t="s">
        <v>666</v>
      </c>
      <c r="H71" s="36"/>
      <c r="I71" s="36">
        <v>1</v>
      </c>
      <c r="J71" s="37" t="s">
        <v>680</v>
      </c>
      <c r="K71" s="37"/>
      <c r="L71" s="37"/>
      <c r="Q71" t="s">
        <v>681</v>
      </c>
      <c r="R71" t="s">
        <v>662</v>
      </c>
      <c r="S71" t="s">
        <v>664</v>
      </c>
      <c r="T71" t="s">
        <v>79</v>
      </c>
      <c r="U71" t="s">
        <v>79</v>
      </c>
    </row>
    <row r="72" spans="2:21" customFormat="1" x14ac:dyDescent="0.3">
      <c r="B72" s="38" t="s">
        <v>471</v>
      </c>
      <c r="C72" s="36" t="s">
        <v>56</v>
      </c>
      <c r="D72" s="36" t="s">
        <v>664</v>
      </c>
      <c r="E72" s="36" t="s">
        <v>77</v>
      </c>
      <c r="F72" s="36" t="s">
        <v>77</v>
      </c>
      <c r="G72" s="36" t="s">
        <v>666</v>
      </c>
      <c r="H72" s="36"/>
      <c r="I72" s="36">
        <v>1</v>
      </c>
      <c r="J72" s="37" t="s">
        <v>471</v>
      </c>
      <c r="K72" s="37"/>
      <c r="L72" s="37"/>
      <c r="Q72" t="s">
        <v>339</v>
      </c>
      <c r="R72" t="s">
        <v>662</v>
      </c>
      <c r="S72" t="s">
        <v>664</v>
      </c>
      <c r="T72" t="s">
        <v>79</v>
      </c>
      <c r="U72" t="s">
        <v>79</v>
      </c>
    </row>
    <row r="73" spans="2:21" customFormat="1" x14ac:dyDescent="0.3">
      <c r="B73" s="38" t="s">
        <v>349</v>
      </c>
      <c r="C73" s="36" t="s">
        <v>56</v>
      </c>
      <c r="D73" s="36" t="s">
        <v>664</v>
      </c>
      <c r="E73" s="36" t="s">
        <v>77</v>
      </c>
      <c r="F73" s="36" t="s">
        <v>77</v>
      </c>
      <c r="G73" s="36" t="s">
        <v>666</v>
      </c>
      <c r="H73" s="36"/>
      <c r="I73" s="36">
        <v>1</v>
      </c>
      <c r="J73" s="37" t="s">
        <v>349</v>
      </c>
      <c r="K73" s="37"/>
      <c r="L73" s="37"/>
      <c r="Q73" t="s">
        <v>515</v>
      </c>
      <c r="R73" t="s">
        <v>662</v>
      </c>
      <c r="S73" t="s">
        <v>664</v>
      </c>
      <c r="T73" t="s">
        <v>79</v>
      </c>
      <c r="U73" t="s">
        <v>79</v>
      </c>
    </row>
    <row r="74" spans="2:21" customFormat="1" x14ac:dyDescent="0.3">
      <c r="B74" s="38" t="s">
        <v>268</v>
      </c>
      <c r="C74" s="36" t="s">
        <v>56</v>
      </c>
      <c r="D74" s="36" t="s">
        <v>664</v>
      </c>
      <c r="E74" s="36" t="s">
        <v>77</v>
      </c>
      <c r="F74" s="36" t="s">
        <v>77</v>
      </c>
      <c r="G74" s="36" t="s">
        <v>666</v>
      </c>
      <c r="H74" s="36"/>
      <c r="I74" s="36">
        <v>1</v>
      </c>
      <c r="J74" s="37" t="s">
        <v>268</v>
      </c>
      <c r="K74" s="37"/>
      <c r="L74" s="37"/>
      <c r="Q74" t="s">
        <v>419</v>
      </c>
      <c r="R74" t="s">
        <v>662</v>
      </c>
      <c r="S74" t="s">
        <v>664</v>
      </c>
      <c r="T74" t="s">
        <v>79</v>
      </c>
      <c r="U74" t="s">
        <v>79</v>
      </c>
    </row>
    <row r="75" spans="2:21" customFormat="1" x14ac:dyDescent="0.3">
      <c r="B75" s="38" t="s">
        <v>427</v>
      </c>
      <c r="C75" s="36" t="s">
        <v>56</v>
      </c>
      <c r="D75" s="36" t="s">
        <v>664</v>
      </c>
      <c r="E75" s="36" t="s">
        <v>77</v>
      </c>
      <c r="F75" s="36" t="s">
        <v>77</v>
      </c>
      <c r="G75" s="36" t="s">
        <v>666</v>
      </c>
      <c r="H75" s="36"/>
      <c r="I75" s="36">
        <v>1</v>
      </c>
      <c r="J75" s="37" t="s">
        <v>427</v>
      </c>
      <c r="K75" s="37"/>
      <c r="L75" s="37"/>
      <c r="Q75" t="s">
        <v>274</v>
      </c>
      <c r="R75" t="s">
        <v>662</v>
      </c>
      <c r="S75" t="s">
        <v>664</v>
      </c>
      <c r="T75" t="s">
        <v>79</v>
      </c>
      <c r="U75" t="s">
        <v>79</v>
      </c>
    </row>
    <row r="76" spans="2:21" customFormat="1" x14ac:dyDescent="0.3">
      <c r="B76" s="38" t="s">
        <v>445</v>
      </c>
      <c r="C76" s="36" t="s">
        <v>56</v>
      </c>
      <c r="D76" s="36" t="s">
        <v>664</v>
      </c>
      <c r="E76" s="36" t="s">
        <v>77</v>
      </c>
      <c r="F76" s="36" t="s">
        <v>77</v>
      </c>
      <c r="G76" s="36" t="s">
        <v>666</v>
      </c>
      <c r="H76" s="36"/>
      <c r="I76" s="36">
        <v>1</v>
      </c>
      <c r="J76" s="37" t="s">
        <v>445</v>
      </c>
      <c r="K76" s="37"/>
      <c r="L76" s="37"/>
      <c r="Q76" t="s">
        <v>385</v>
      </c>
      <c r="R76" t="s">
        <v>682</v>
      </c>
      <c r="S76" t="s">
        <v>176</v>
      </c>
      <c r="T76" t="s">
        <v>177</v>
      </c>
      <c r="U76" t="s">
        <v>177</v>
      </c>
    </row>
    <row r="77" spans="2:21" customFormat="1" x14ac:dyDescent="0.3">
      <c r="B77" s="38" t="s">
        <v>683</v>
      </c>
      <c r="C77" s="36" t="s">
        <v>56</v>
      </c>
      <c r="D77" s="36" t="s">
        <v>664</v>
      </c>
      <c r="E77" s="36" t="s">
        <v>77</v>
      </c>
      <c r="F77" s="36" t="s">
        <v>77</v>
      </c>
      <c r="G77" s="36" t="s">
        <v>666</v>
      </c>
      <c r="H77" s="36"/>
      <c r="I77" s="36">
        <v>1</v>
      </c>
      <c r="J77" s="37" t="s">
        <v>683</v>
      </c>
      <c r="K77" s="37"/>
      <c r="L77" s="37"/>
      <c r="Q77" t="s">
        <v>214</v>
      </c>
      <c r="R77" t="s">
        <v>682</v>
      </c>
      <c r="S77" t="s">
        <v>176</v>
      </c>
      <c r="T77" t="s">
        <v>177</v>
      </c>
      <c r="U77" t="s">
        <v>177</v>
      </c>
    </row>
    <row r="78" spans="2:21" customFormat="1" x14ac:dyDescent="0.3">
      <c r="B78" s="38" t="s">
        <v>513</v>
      </c>
      <c r="C78" s="36" t="s">
        <v>56</v>
      </c>
      <c r="D78" s="36" t="s">
        <v>664</v>
      </c>
      <c r="E78" s="36" t="s">
        <v>77</v>
      </c>
      <c r="F78" s="36" t="s">
        <v>77</v>
      </c>
      <c r="G78" s="36" t="s">
        <v>666</v>
      </c>
      <c r="H78" s="36"/>
      <c r="I78" s="36">
        <v>1</v>
      </c>
      <c r="J78" s="37" t="s">
        <v>513</v>
      </c>
      <c r="K78" s="37"/>
      <c r="L78" s="37"/>
      <c r="Q78" t="s">
        <v>465</v>
      </c>
      <c r="R78" t="s">
        <v>682</v>
      </c>
      <c r="S78" t="s">
        <v>176</v>
      </c>
      <c r="T78" t="s">
        <v>177</v>
      </c>
      <c r="U78" t="s">
        <v>177</v>
      </c>
    </row>
    <row r="79" spans="2:21" customFormat="1" x14ac:dyDescent="0.3">
      <c r="B79" s="38" t="s">
        <v>205</v>
      </c>
      <c r="C79" s="36" t="s">
        <v>78</v>
      </c>
      <c r="D79" s="36" t="s">
        <v>664</v>
      </c>
      <c r="E79" s="36" t="s">
        <v>180</v>
      </c>
      <c r="F79" s="36" t="s">
        <v>180</v>
      </c>
      <c r="G79" s="36" t="s">
        <v>666</v>
      </c>
      <c r="H79" s="36"/>
      <c r="I79" s="36">
        <v>1</v>
      </c>
      <c r="J79" s="37" t="s">
        <v>684</v>
      </c>
      <c r="K79" s="37"/>
      <c r="L79" s="37"/>
      <c r="Q79" t="s">
        <v>543</v>
      </c>
      <c r="R79" t="s">
        <v>682</v>
      </c>
      <c r="S79" t="s">
        <v>176</v>
      </c>
      <c r="T79" t="s">
        <v>177</v>
      </c>
      <c r="U79" t="s">
        <v>177</v>
      </c>
    </row>
    <row r="80" spans="2:21" customFormat="1" x14ac:dyDescent="0.3">
      <c r="B80" s="38" t="s">
        <v>545</v>
      </c>
      <c r="C80" s="36" t="s">
        <v>78</v>
      </c>
      <c r="D80" s="36" t="s">
        <v>664</v>
      </c>
      <c r="E80" s="36" t="s">
        <v>180</v>
      </c>
      <c r="F80" s="36" t="s">
        <v>180</v>
      </c>
      <c r="G80" s="36" t="s">
        <v>666</v>
      </c>
      <c r="H80" s="36"/>
      <c r="I80" s="36">
        <v>1</v>
      </c>
      <c r="J80" s="37" t="s">
        <v>685</v>
      </c>
      <c r="K80" s="37"/>
      <c r="L80" s="37"/>
      <c r="Q80" t="s">
        <v>300</v>
      </c>
      <c r="R80" t="s">
        <v>682</v>
      </c>
      <c r="S80" t="s">
        <v>176</v>
      </c>
      <c r="T80" t="s">
        <v>177</v>
      </c>
      <c r="U80" t="s">
        <v>177</v>
      </c>
    </row>
    <row r="81" spans="2:24" x14ac:dyDescent="0.3">
      <c r="B81" s="38" t="s">
        <v>270</v>
      </c>
      <c r="C81" s="36" t="s">
        <v>56</v>
      </c>
      <c r="D81" s="36" t="s">
        <v>660</v>
      </c>
      <c r="E81" s="36" t="s">
        <v>69</v>
      </c>
      <c r="F81" s="36" t="s">
        <v>77</v>
      </c>
      <c r="G81" s="36" t="s">
        <v>686</v>
      </c>
      <c r="I81" s="36">
        <v>1</v>
      </c>
      <c r="J81" s="37" t="s">
        <v>270</v>
      </c>
      <c r="K81" s="37"/>
      <c r="L81" s="37"/>
      <c r="M81"/>
      <c r="N81"/>
      <c r="O81"/>
      <c r="P81"/>
      <c r="Q81" t="s">
        <v>335</v>
      </c>
      <c r="R81" t="s">
        <v>682</v>
      </c>
      <c r="S81" t="s">
        <v>176</v>
      </c>
      <c r="T81" t="s">
        <v>177</v>
      </c>
      <c r="U81" t="s">
        <v>177</v>
      </c>
      <c r="V81"/>
      <c r="W81"/>
      <c r="X81"/>
    </row>
    <row r="82" spans="2:24" x14ac:dyDescent="0.3">
      <c r="B82" s="38" t="s">
        <v>423</v>
      </c>
      <c r="C82" s="36" t="s">
        <v>56</v>
      </c>
      <c r="D82" s="36" t="s">
        <v>664</v>
      </c>
      <c r="E82" s="36" t="s">
        <v>77</v>
      </c>
      <c r="F82" s="36" t="s">
        <v>77</v>
      </c>
      <c r="G82" s="36" t="s">
        <v>686</v>
      </c>
      <c r="I82" s="36">
        <v>1</v>
      </c>
      <c r="J82" s="37" t="s">
        <v>423</v>
      </c>
      <c r="K82" s="37"/>
      <c r="L82" s="37"/>
      <c r="M82"/>
      <c r="N82"/>
      <c r="O82"/>
      <c r="P82"/>
      <c r="Q82" t="s">
        <v>174</v>
      </c>
      <c r="R82" t="s">
        <v>682</v>
      </c>
      <c r="S82" t="s">
        <v>176</v>
      </c>
      <c r="T82" t="s">
        <v>177</v>
      </c>
      <c r="U82" t="s">
        <v>177</v>
      </c>
      <c r="V82"/>
      <c r="W82"/>
      <c r="X82"/>
    </row>
    <row r="83" spans="2:24" x14ac:dyDescent="0.3">
      <c r="B83" s="38" t="s">
        <v>453</v>
      </c>
      <c r="C83" s="36" t="s">
        <v>56</v>
      </c>
      <c r="D83" s="36" t="s">
        <v>664</v>
      </c>
      <c r="E83" s="36" t="s">
        <v>77</v>
      </c>
      <c r="F83" s="36" t="s">
        <v>77</v>
      </c>
      <c r="G83" s="36" t="s">
        <v>686</v>
      </c>
      <c r="I83" s="36">
        <v>1</v>
      </c>
      <c r="J83" s="37" t="s">
        <v>453</v>
      </c>
      <c r="K83" s="37"/>
      <c r="L83" s="37"/>
      <c r="M83"/>
      <c r="N83"/>
      <c r="O83"/>
      <c r="P83"/>
      <c r="Q83" t="s">
        <v>687</v>
      </c>
      <c r="R83" t="s">
        <v>682</v>
      </c>
      <c r="S83" t="s">
        <v>176</v>
      </c>
      <c r="T83" t="s">
        <v>177</v>
      </c>
      <c r="U83" t="s">
        <v>177</v>
      </c>
      <c r="V83"/>
      <c r="W83"/>
      <c r="X83"/>
    </row>
    <row r="84" spans="2:24" x14ac:dyDescent="0.3">
      <c r="B84" s="38" t="s">
        <v>248</v>
      </c>
      <c r="C84" s="36" t="s">
        <v>56</v>
      </c>
      <c r="D84" s="36" t="s">
        <v>664</v>
      </c>
      <c r="E84" s="36" t="s">
        <v>77</v>
      </c>
      <c r="F84" s="36" t="s">
        <v>77</v>
      </c>
      <c r="G84" s="36" t="s">
        <v>686</v>
      </c>
      <c r="I84" s="36">
        <v>1</v>
      </c>
      <c r="J84" s="37" t="s">
        <v>248</v>
      </c>
      <c r="K84" s="37"/>
      <c r="L84" s="37"/>
      <c r="M84"/>
      <c r="N84"/>
      <c r="O84"/>
      <c r="P84"/>
      <c r="Q84" t="s">
        <v>467</v>
      </c>
      <c r="R84" t="s">
        <v>682</v>
      </c>
      <c r="S84" t="s">
        <v>176</v>
      </c>
      <c r="T84" t="s">
        <v>177</v>
      </c>
      <c r="U84" t="s">
        <v>177</v>
      </c>
      <c r="V84"/>
      <c r="W84"/>
      <c r="X84"/>
    </row>
    <row r="85" spans="2:24" x14ac:dyDescent="0.3">
      <c r="B85" s="38" t="s">
        <v>235</v>
      </c>
      <c r="C85" s="36" t="s">
        <v>56</v>
      </c>
      <c r="D85" s="36" t="s">
        <v>664</v>
      </c>
      <c r="E85" s="36" t="s">
        <v>77</v>
      </c>
      <c r="F85" s="36" t="s">
        <v>77</v>
      </c>
      <c r="G85" s="36" t="s">
        <v>686</v>
      </c>
      <c r="I85" s="36">
        <v>1</v>
      </c>
      <c r="J85" s="37" t="s">
        <v>235</v>
      </c>
      <c r="K85" s="37"/>
      <c r="L85" s="37"/>
      <c r="M85"/>
      <c r="N85"/>
      <c r="O85"/>
      <c r="P85"/>
      <c r="Q85" t="s">
        <v>270</v>
      </c>
      <c r="R85" t="s">
        <v>688</v>
      </c>
      <c r="S85" t="s">
        <v>660</v>
      </c>
      <c r="T85" t="s">
        <v>77</v>
      </c>
      <c r="U85" t="s">
        <v>77</v>
      </c>
      <c r="V85"/>
      <c r="W85"/>
      <c r="X85"/>
    </row>
    <row r="86" spans="2:24" x14ac:dyDescent="0.3">
      <c r="B86" s="38" t="s">
        <v>193</v>
      </c>
      <c r="C86" s="36" t="s">
        <v>56</v>
      </c>
      <c r="D86" s="36" t="s">
        <v>664</v>
      </c>
      <c r="E86" s="36" t="s">
        <v>77</v>
      </c>
      <c r="F86" s="36" t="s">
        <v>77</v>
      </c>
      <c r="G86" s="36" t="s">
        <v>686</v>
      </c>
      <c r="I86" s="36">
        <v>1</v>
      </c>
      <c r="J86" s="37" t="s">
        <v>193</v>
      </c>
      <c r="K86" s="37"/>
      <c r="L86" s="37"/>
      <c r="M86"/>
      <c r="N86"/>
      <c r="O86"/>
      <c r="P86"/>
      <c r="Q86" t="s">
        <v>451</v>
      </c>
      <c r="R86" t="s">
        <v>688</v>
      </c>
      <c r="S86" t="s">
        <v>660</v>
      </c>
      <c r="T86" t="s">
        <v>77</v>
      </c>
      <c r="U86" t="s">
        <v>77</v>
      </c>
      <c r="V86"/>
      <c r="W86"/>
      <c r="X86"/>
    </row>
    <row r="87" spans="2:24" x14ac:dyDescent="0.3">
      <c r="B87" s="38" t="s">
        <v>302</v>
      </c>
      <c r="C87" s="36" t="s">
        <v>56</v>
      </c>
      <c r="D87" s="36" t="s">
        <v>664</v>
      </c>
      <c r="E87" s="36" t="s">
        <v>77</v>
      </c>
      <c r="F87" s="36" t="s">
        <v>77</v>
      </c>
      <c r="G87" s="36" t="s">
        <v>686</v>
      </c>
      <c r="I87" s="36">
        <v>1</v>
      </c>
      <c r="J87" s="37" t="s">
        <v>302</v>
      </c>
      <c r="K87" s="37"/>
      <c r="L87" s="37"/>
      <c r="M87"/>
      <c r="N87"/>
      <c r="O87"/>
      <c r="P87"/>
      <c r="Q87" t="s">
        <v>676</v>
      </c>
      <c r="R87" t="s">
        <v>688</v>
      </c>
      <c r="S87" t="s">
        <v>664</v>
      </c>
      <c r="T87" t="s">
        <v>77</v>
      </c>
      <c r="U87" t="s">
        <v>77</v>
      </c>
      <c r="V87"/>
      <c r="W87"/>
      <c r="X87"/>
    </row>
    <row r="88" spans="2:24" x14ac:dyDescent="0.3">
      <c r="B88" s="38" t="s">
        <v>258</v>
      </c>
      <c r="C88" s="36" t="s">
        <v>56</v>
      </c>
      <c r="D88" s="36" t="s">
        <v>664</v>
      </c>
      <c r="E88" s="36" t="s">
        <v>77</v>
      </c>
      <c r="F88" s="36" t="s">
        <v>77</v>
      </c>
      <c r="G88" s="36" t="s">
        <v>686</v>
      </c>
      <c r="I88" s="36">
        <v>1</v>
      </c>
      <c r="J88" s="37" t="s">
        <v>258</v>
      </c>
      <c r="K88" s="37"/>
      <c r="L88" s="37"/>
      <c r="M88"/>
      <c r="N88"/>
      <c r="O88"/>
      <c r="P88"/>
      <c r="Q88" t="s">
        <v>553</v>
      </c>
      <c r="R88" t="s">
        <v>688</v>
      </c>
      <c r="S88" t="s">
        <v>664</v>
      </c>
      <c r="T88" t="s">
        <v>77</v>
      </c>
      <c r="U88" t="s">
        <v>77</v>
      </c>
      <c r="V88"/>
      <c r="W88"/>
      <c r="X88"/>
    </row>
    <row r="89" spans="2:24" x14ac:dyDescent="0.3">
      <c r="B89" s="38" t="s">
        <v>451</v>
      </c>
      <c r="C89" s="36" t="s">
        <v>56</v>
      </c>
      <c r="D89" s="36" t="s">
        <v>660</v>
      </c>
      <c r="E89" s="36" t="s">
        <v>77</v>
      </c>
      <c r="F89" s="36" t="s">
        <v>77</v>
      </c>
      <c r="G89" s="36" t="s">
        <v>686</v>
      </c>
      <c r="I89" s="36">
        <v>1</v>
      </c>
      <c r="J89" s="37" t="s">
        <v>451</v>
      </c>
      <c r="K89" s="37"/>
      <c r="L89" s="37"/>
      <c r="M89"/>
      <c r="N89"/>
      <c r="O89"/>
      <c r="P89"/>
      <c r="Q89" t="s">
        <v>397</v>
      </c>
      <c r="R89" t="s">
        <v>688</v>
      </c>
      <c r="S89" t="s">
        <v>664</v>
      </c>
      <c r="T89" t="s">
        <v>77</v>
      </c>
      <c r="U89" t="s">
        <v>77</v>
      </c>
      <c r="V89"/>
      <c r="W89"/>
      <c r="X89"/>
    </row>
    <row r="90" spans="2:24" x14ac:dyDescent="0.3">
      <c r="B90" s="38" t="s">
        <v>168</v>
      </c>
      <c r="C90" s="36" t="s">
        <v>78</v>
      </c>
      <c r="D90" s="36" t="s">
        <v>664</v>
      </c>
      <c r="E90" s="36" t="s">
        <v>79</v>
      </c>
      <c r="F90" s="36" t="s">
        <v>81</v>
      </c>
      <c r="G90" s="36" t="s">
        <v>81</v>
      </c>
      <c r="H90" s="36" t="s">
        <v>81</v>
      </c>
      <c r="I90" s="36">
        <v>1</v>
      </c>
      <c r="J90" s="36" t="s">
        <v>168</v>
      </c>
      <c r="Q90" s="40" t="s">
        <v>252</v>
      </c>
      <c r="R90" s="40" t="s">
        <v>688</v>
      </c>
      <c r="S90" s="40" t="s">
        <v>664</v>
      </c>
      <c r="T90" s="40" t="s">
        <v>77</v>
      </c>
      <c r="U90" s="40" t="s">
        <v>77</v>
      </c>
    </row>
    <row r="91" spans="2:24" x14ac:dyDescent="0.3">
      <c r="B91" s="38" t="s">
        <v>284</v>
      </c>
      <c r="C91" s="36" t="s">
        <v>78</v>
      </c>
      <c r="D91" s="36" t="s">
        <v>664</v>
      </c>
      <c r="E91" s="36" t="s">
        <v>79</v>
      </c>
      <c r="F91" s="36" t="s">
        <v>81</v>
      </c>
      <c r="G91" s="36" t="s">
        <v>81</v>
      </c>
      <c r="H91" s="36" t="s">
        <v>81</v>
      </c>
      <c r="I91" s="36">
        <v>1</v>
      </c>
      <c r="J91" s="36" t="s">
        <v>284</v>
      </c>
      <c r="Q91" s="40" t="s">
        <v>680</v>
      </c>
      <c r="R91" s="40" t="s">
        <v>688</v>
      </c>
      <c r="S91" s="40" t="s">
        <v>664</v>
      </c>
      <c r="T91" s="40" t="s">
        <v>77</v>
      </c>
      <c r="U91" s="40" t="s">
        <v>77</v>
      </c>
    </row>
    <row r="92" spans="2:24" x14ac:dyDescent="0.3">
      <c r="B92" s="38" t="s">
        <v>377</v>
      </c>
      <c r="C92" s="36" t="s">
        <v>78</v>
      </c>
      <c r="D92" s="36" t="s">
        <v>664</v>
      </c>
      <c r="E92" s="36" t="s">
        <v>79</v>
      </c>
      <c r="F92" s="36" t="s">
        <v>81</v>
      </c>
      <c r="G92" s="36" t="s">
        <v>81</v>
      </c>
      <c r="H92" s="36" t="s">
        <v>81</v>
      </c>
      <c r="I92" s="36">
        <v>1</v>
      </c>
      <c r="J92" s="36" t="s">
        <v>377</v>
      </c>
      <c r="Q92" s="40" t="s">
        <v>262</v>
      </c>
      <c r="R92" s="40" t="s">
        <v>688</v>
      </c>
      <c r="S92" s="40" t="s">
        <v>664</v>
      </c>
      <c r="T92" s="40" t="s">
        <v>77</v>
      </c>
      <c r="U92" s="40" t="s">
        <v>77</v>
      </c>
    </row>
    <row r="93" spans="2:24" x14ac:dyDescent="0.3">
      <c r="B93" s="38" t="s">
        <v>379</v>
      </c>
      <c r="C93" s="36" t="s">
        <v>78</v>
      </c>
      <c r="D93" s="36" t="s">
        <v>664</v>
      </c>
      <c r="E93" s="36" t="s">
        <v>79</v>
      </c>
      <c r="F93" s="36" t="s">
        <v>81</v>
      </c>
      <c r="G93" s="36" t="s">
        <v>81</v>
      </c>
      <c r="H93" s="36" t="s">
        <v>81</v>
      </c>
      <c r="I93" s="36">
        <v>1</v>
      </c>
      <c r="J93" s="36" t="s">
        <v>379</v>
      </c>
      <c r="Q93" s="40" t="s">
        <v>304</v>
      </c>
      <c r="R93" s="40" t="s">
        <v>688</v>
      </c>
      <c r="S93" s="40" t="s">
        <v>664</v>
      </c>
      <c r="T93" s="40" t="s">
        <v>77</v>
      </c>
      <c r="U93" s="40" t="s">
        <v>77</v>
      </c>
    </row>
    <row r="94" spans="2:24" x14ac:dyDescent="0.3">
      <c r="B94" s="38" t="s">
        <v>563</v>
      </c>
      <c r="C94" s="36" t="s">
        <v>78</v>
      </c>
      <c r="D94" s="36" t="s">
        <v>664</v>
      </c>
      <c r="E94" s="36" t="s">
        <v>79</v>
      </c>
      <c r="F94" s="36" t="s">
        <v>81</v>
      </c>
      <c r="G94" s="36" t="s">
        <v>81</v>
      </c>
      <c r="H94" s="36" t="s">
        <v>81</v>
      </c>
      <c r="I94" s="36">
        <v>1</v>
      </c>
      <c r="J94" s="36" t="s">
        <v>563</v>
      </c>
      <c r="Q94" s="40" t="s">
        <v>260</v>
      </c>
      <c r="R94" s="40" t="s">
        <v>688</v>
      </c>
      <c r="S94" s="40" t="s">
        <v>664</v>
      </c>
      <c r="T94" s="40" t="s">
        <v>77</v>
      </c>
      <c r="U94" s="40" t="s">
        <v>77</v>
      </c>
    </row>
    <row r="95" spans="2:24" x14ac:dyDescent="0.3">
      <c r="B95" s="38" t="s">
        <v>371</v>
      </c>
      <c r="C95" s="36" t="s">
        <v>78</v>
      </c>
      <c r="D95" s="36" t="s">
        <v>664</v>
      </c>
      <c r="E95" s="36" t="s">
        <v>79</v>
      </c>
      <c r="F95" s="36" t="s">
        <v>81</v>
      </c>
      <c r="G95" s="36" t="s">
        <v>81</v>
      </c>
      <c r="H95" s="36" t="s">
        <v>81</v>
      </c>
      <c r="I95" s="36">
        <v>1</v>
      </c>
      <c r="J95" s="36" t="s">
        <v>371</v>
      </c>
      <c r="Q95" s="40" t="s">
        <v>517</v>
      </c>
      <c r="R95" s="40" t="s">
        <v>688</v>
      </c>
      <c r="S95" s="40" t="s">
        <v>664</v>
      </c>
      <c r="T95" s="40" t="s">
        <v>77</v>
      </c>
      <c r="U95" s="40" t="s">
        <v>77</v>
      </c>
    </row>
    <row r="96" spans="2:24" x14ac:dyDescent="0.3">
      <c r="B96" s="38" t="s">
        <v>367</v>
      </c>
      <c r="C96" s="36" t="s">
        <v>78</v>
      </c>
      <c r="D96" s="36" t="s">
        <v>664</v>
      </c>
      <c r="E96" s="36" t="s">
        <v>79</v>
      </c>
      <c r="F96" s="36" t="s">
        <v>81</v>
      </c>
      <c r="G96" s="36" t="s">
        <v>81</v>
      </c>
      <c r="H96" s="36" t="s">
        <v>81</v>
      </c>
      <c r="I96" s="36">
        <v>1</v>
      </c>
      <c r="J96" s="36" t="s">
        <v>367</v>
      </c>
      <c r="Q96" s="40" t="s">
        <v>423</v>
      </c>
      <c r="R96" s="40" t="s">
        <v>688</v>
      </c>
      <c r="S96" s="40" t="s">
        <v>664</v>
      </c>
      <c r="T96" s="40" t="s">
        <v>77</v>
      </c>
      <c r="U96" s="40" t="s">
        <v>77</v>
      </c>
    </row>
    <row r="97" spans="2:21" x14ac:dyDescent="0.3">
      <c r="B97" s="38" t="s">
        <v>221</v>
      </c>
      <c r="C97" s="36" t="s">
        <v>78</v>
      </c>
      <c r="D97" s="36" t="s">
        <v>664</v>
      </c>
      <c r="E97" s="36" t="s">
        <v>79</v>
      </c>
      <c r="F97" s="36" t="s">
        <v>81</v>
      </c>
      <c r="G97" s="36" t="s">
        <v>81</v>
      </c>
      <c r="H97" s="36" t="s">
        <v>81</v>
      </c>
      <c r="I97" s="36">
        <v>1</v>
      </c>
      <c r="J97" s="36" t="s">
        <v>221</v>
      </c>
      <c r="Q97" s="40" t="s">
        <v>689</v>
      </c>
      <c r="R97" s="40" t="s">
        <v>688</v>
      </c>
      <c r="S97" s="40" t="s">
        <v>664</v>
      </c>
      <c r="T97" s="40" t="s">
        <v>77</v>
      </c>
      <c r="U97" s="40" t="s">
        <v>77</v>
      </c>
    </row>
    <row r="98" spans="2:21" x14ac:dyDescent="0.3">
      <c r="B98" s="38" t="s">
        <v>282</v>
      </c>
      <c r="C98" s="36" t="s">
        <v>78</v>
      </c>
      <c r="D98" s="36" t="s">
        <v>664</v>
      </c>
      <c r="E98" s="36" t="s">
        <v>79</v>
      </c>
      <c r="F98" s="36" t="s">
        <v>81</v>
      </c>
      <c r="G98" s="36" t="s">
        <v>81</v>
      </c>
      <c r="H98" s="36" t="s">
        <v>81</v>
      </c>
      <c r="I98" s="36">
        <v>1</v>
      </c>
      <c r="J98" s="36" t="s">
        <v>282</v>
      </c>
      <c r="Q98" s="40" t="s">
        <v>276</v>
      </c>
      <c r="R98" s="40" t="s">
        <v>688</v>
      </c>
      <c r="S98" s="40" t="s">
        <v>664</v>
      </c>
      <c r="T98" s="40" t="s">
        <v>77</v>
      </c>
      <c r="U98" s="40" t="s">
        <v>77</v>
      </c>
    </row>
    <row r="99" spans="2:21" x14ac:dyDescent="0.3">
      <c r="B99" s="38" t="s">
        <v>431</v>
      </c>
      <c r="C99" s="36" t="s">
        <v>78</v>
      </c>
      <c r="D99" s="36" t="s">
        <v>664</v>
      </c>
      <c r="E99" s="36" t="s">
        <v>79</v>
      </c>
      <c r="F99" s="36" t="s">
        <v>81</v>
      </c>
      <c r="G99" s="36" t="s">
        <v>81</v>
      </c>
      <c r="H99" s="36" t="s">
        <v>81</v>
      </c>
      <c r="I99" s="36">
        <v>1</v>
      </c>
      <c r="J99" s="36" t="s">
        <v>431</v>
      </c>
      <c r="Q99" s="40" t="s">
        <v>355</v>
      </c>
      <c r="R99" s="40" t="s">
        <v>688</v>
      </c>
      <c r="S99" s="40" t="s">
        <v>664</v>
      </c>
      <c r="T99" s="40" t="s">
        <v>77</v>
      </c>
      <c r="U99" s="40" t="s">
        <v>77</v>
      </c>
    </row>
    <row r="100" spans="2:21" x14ac:dyDescent="0.3">
      <c r="B100" s="38" t="s">
        <v>369</v>
      </c>
      <c r="C100" s="36" t="s">
        <v>78</v>
      </c>
      <c r="D100" s="36" t="s">
        <v>664</v>
      </c>
      <c r="E100" s="36" t="s">
        <v>79</v>
      </c>
      <c r="F100" s="36" t="s">
        <v>81</v>
      </c>
      <c r="G100" s="36" t="s">
        <v>81</v>
      </c>
      <c r="H100" s="36" t="s">
        <v>81</v>
      </c>
      <c r="I100" s="36">
        <v>1</v>
      </c>
      <c r="J100" s="36" t="s">
        <v>369</v>
      </c>
      <c r="Q100" s="40" t="s">
        <v>449</v>
      </c>
      <c r="R100" s="40" t="s">
        <v>688</v>
      </c>
      <c r="S100" s="40" t="s">
        <v>664</v>
      </c>
      <c r="T100" s="40" t="s">
        <v>77</v>
      </c>
      <c r="U100" s="40" t="s">
        <v>77</v>
      </c>
    </row>
    <row r="101" spans="2:21" x14ac:dyDescent="0.3">
      <c r="B101" s="38" t="s">
        <v>529</v>
      </c>
      <c r="C101" s="36" t="s">
        <v>78</v>
      </c>
      <c r="D101" s="36" t="s">
        <v>664</v>
      </c>
      <c r="E101" s="36" t="s">
        <v>79</v>
      </c>
      <c r="F101" s="36" t="s">
        <v>81</v>
      </c>
      <c r="G101" s="36" t="s">
        <v>81</v>
      </c>
      <c r="H101" s="36" t="s">
        <v>81</v>
      </c>
      <c r="I101" s="36">
        <v>1</v>
      </c>
      <c r="J101" s="36" t="s">
        <v>529</v>
      </c>
      <c r="Q101" s="40" t="s">
        <v>405</v>
      </c>
      <c r="R101" s="40" t="s">
        <v>688</v>
      </c>
      <c r="S101" s="40" t="s">
        <v>664</v>
      </c>
      <c r="T101" s="40" t="s">
        <v>77</v>
      </c>
      <c r="U101" s="40" t="s">
        <v>77</v>
      </c>
    </row>
    <row r="102" spans="2:21" x14ac:dyDescent="0.3">
      <c r="B102" s="38" t="s">
        <v>479</v>
      </c>
      <c r="C102" s="36" t="s">
        <v>78</v>
      </c>
      <c r="D102" s="36" t="s">
        <v>664</v>
      </c>
      <c r="E102" s="36" t="s">
        <v>79</v>
      </c>
      <c r="F102" s="36" t="s">
        <v>81</v>
      </c>
      <c r="G102" s="36" t="s">
        <v>81</v>
      </c>
      <c r="H102" s="36" t="s">
        <v>81</v>
      </c>
      <c r="I102" s="36">
        <v>1</v>
      </c>
      <c r="J102" s="36" t="s">
        <v>479</v>
      </c>
      <c r="Q102" s="40" t="s">
        <v>233</v>
      </c>
      <c r="R102" s="40" t="s">
        <v>688</v>
      </c>
      <c r="S102" s="40" t="s">
        <v>664</v>
      </c>
      <c r="T102" s="40" t="s">
        <v>77</v>
      </c>
      <c r="U102" s="40" t="s">
        <v>77</v>
      </c>
    </row>
    <row r="103" spans="2:21" x14ac:dyDescent="0.3">
      <c r="B103" s="38" t="s">
        <v>218</v>
      </c>
      <c r="C103" s="36" t="s">
        <v>78</v>
      </c>
      <c r="D103" s="36" t="s">
        <v>664</v>
      </c>
      <c r="E103" s="36" t="s">
        <v>79</v>
      </c>
      <c r="F103" s="36" t="s">
        <v>81</v>
      </c>
      <c r="G103" s="36" t="s">
        <v>81</v>
      </c>
      <c r="H103" s="36" t="s">
        <v>81</v>
      </c>
      <c r="I103" s="36">
        <v>1</v>
      </c>
      <c r="J103" s="36" t="s">
        <v>218</v>
      </c>
      <c r="Q103" s="40" t="s">
        <v>191</v>
      </c>
      <c r="R103" s="40" t="s">
        <v>688</v>
      </c>
      <c r="S103" s="40" t="s">
        <v>664</v>
      </c>
      <c r="T103" s="40" t="s">
        <v>77</v>
      </c>
      <c r="U103" s="40" t="s">
        <v>77</v>
      </c>
    </row>
    <row r="104" spans="2:21" x14ac:dyDescent="0.3">
      <c r="B104" s="38" t="s">
        <v>565</v>
      </c>
      <c r="C104" s="36" t="s">
        <v>78</v>
      </c>
      <c r="D104" s="36" t="s">
        <v>664</v>
      </c>
      <c r="E104" s="36" t="s">
        <v>79</v>
      </c>
      <c r="F104" s="36" t="s">
        <v>81</v>
      </c>
      <c r="G104" s="36" t="s">
        <v>81</v>
      </c>
      <c r="H104" s="36" t="s">
        <v>81</v>
      </c>
      <c r="I104" s="36">
        <v>1</v>
      </c>
      <c r="J104" s="36" t="s">
        <v>565</v>
      </c>
      <c r="Q104" s="40" t="s">
        <v>473</v>
      </c>
      <c r="R104" s="40" t="s">
        <v>688</v>
      </c>
      <c r="S104" s="40" t="s">
        <v>664</v>
      </c>
      <c r="T104" s="40" t="s">
        <v>77</v>
      </c>
      <c r="U104" s="40" t="s">
        <v>77</v>
      </c>
    </row>
    <row r="105" spans="2:21" x14ac:dyDescent="0.3">
      <c r="B105" s="38" t="s">
        <v>375</v>
      </c>
      <c r="C105" s="36" t="s">
        <v>78</v>
      </c>
      <c r="D105" s="36" t="s">
        <v>664</v>
      </c>
      <c r="E105" s="36" t="s">
        <v>79</v>
      </c>
      <c r="F105" s="36" t="s">
        <v>81</v>
      </c>
      <c r="G105" s="36" t="s">
        <v>81</v>
      </c>
      <c r="H105" s="36" t="s">
        <v>81</v>
      </c>
      <c r="I105" s="36">
        <v>1</v>
      </c>
      <c r="J105" s="36" t="s">
        <v>375</v>
      </c>
      <c r="Q105" s="40" t="s">
        <v>537</v>
      </c>
      <c r="R105" s="40" t="s">
        <v>688</v>
      </c>
      <c r="S105" s="40" t="s">
        <v>664</v>
      </c>
      <c r="T105" s="40" t="s">
        <v>77</v>
      </c>
      <c r="U105" s="40" t="s">
        <v>77</v>
      </c>
    </row>
    <row r="106" spans="2:21" x14ac:dyDescent="0.3">
      <c r="B106" s="38" t="s">
        <v>278</v>
      </c>
      <c r="C106" s="36" t="s">
        <v>78</v>
      </c>
      <c r="D106" s="36" t="s">
        <v>664</v>
      </c>
      <c r="E106" s="36" t="s">
        <v>79</v>
      </c>
      <c r="F106" s="36" t="s">
        <v>81</v>
      </c>
      <c r="G106" s="36" t="s">
        <v>81</v>
      </c>
      <c r="H106" s="36" t="s">
        <v>81</v>
      </c>
      <c r="I106" s="36">
        <v>1</v>
      </c>
      <c r="J106" s="36" t="s">
        <v>278</v>
      </c>
      <c r="Q106" s="40" t="s">
        <v>477</v>
      </c>
      <c r="R106" s="40" t="s">
        <v>688</v>
      </c>
      <c r="S106" s="40" t="s">
        <v>664</v>
      </c>
      <c r="T106" s="40" t="s">
        <v>77</v>
      </c>
      <c r="U106" s="40" t="s">
        <v>77</v>
      </c>
    </row>
    <row r="107" spans="2:21" x14ac:dyDescent="0.3">
      <c r="B107" s="38" t="s">
        <v>525</v>
      </c>
      <c r="C107" s="36" t="s">
        <v>78</v>
      </c>
      <c r="D107" s="36" t="s">
        <v>664</v>
      </c>
      <c r="E107" s="36" t="s">
        <v>79</v>
      </c>
      <c r="F107" s="36" t="s">
        <v>81</v>
      </c>
      <c r="G107" s="36" t="s">
        <v>81</v>
      </c>
      <c r="H107" s="36" t="s">
        <v>81</v>
      </c>
      <c r="I107" s="36">
        <v>1</v>
      </c>
      <c r="J107" s="36" t="s">
        <v>525</v>
      </c>
      <c r="Q107" s="40" t="s">
        <v>240</v>
      </c>
      <c r="R107" s="40" t="s">
        <v>688</v>
      </c>
      <c r="S107" s="40" t="s">
        <v>664</v>
      </c>
      <c r="T107" s="40" t="s">
        <v>77</v>
      </c>
      <c r="U107" s="40" t="s">
        <v>77</v>
      </c>
    </row>
    <row r="108" spans="2:21" x14ac:dyDescent="0.3">
      <c r="B108" s="38" t="s">
        <v>381</v>
      </c>
      <c r="C108" s="36" t="s">
        <v>78</v>
      </c>
      <c r="D108" s="36" t="s">
        <v>664</v>
      </c>
      <c r="E108" s="36" t="s">
        <v>79</v>
      </c>
      <c r="F108" s="36" t="s">
        <v>81</v>
      </c>
      <c r="G108" s="36" t="s">
        <v>81</v>
      </c>
      <c r="H108" s="36" t="s">
        <v>81</v>
      </c>
      <c r="I108" s="36">
        <v>1</v>
      </c>
      <c r="J108" s="36" t="s">
        <v>381</v>
      </c>
      <c r="Q108" s="40" t="s">
        <v>407</v>
      </c>
      <c r="R108" s="40" t="s">
        <v>688</v>
      </c>
      <c r="S108" s="40" t="s">
        <v>664</v>
      </c>
      <c r="T108" s="40" t="s">
        <v>77</v>
      </c>
      <c r="U108" s="40" t="s">
        <v>77</v>
      </c>
    </row>
    <row r="109" spans="2:21" x14ac:dyDescent="0.3">
      <c r="B109" s="38" t="s">
        <v>433</v>
      </c>
      <c r="C109" s="36" t="s">
        <v>78</v>
      </c>
      <c r="D109" s="36" t="s">
        <v>664</v>
      </c>
      <c r="E109" s="36" t="s">
        <v>79</v>
      </c>
      <c r="F109" s="36" t="s">
        <v>81</v>
      </c>
      <c r="G109" s="36" t="s">
        <v>81</v>
      </c>
      <c r="H109" s="36" t="s">
        <v>81</v>
      </c>
      <c r="I109" s="36">
        <v>1</v>
      </c>
      <c r="J109" s="36" t="s">
        <v>433</v>
      </c>
      <c r="Q109" s="40" t="s">
        <v>690</v>
      </c>
      <c r="R109" s="40" t="s">
        <v>688</v>
      </c>
      <c r="S109" s="40" t="s">
        <v>664</v>
      </c>
      <c r="T109" s="40" t="s">
        <v>77</v>
      </c>
      <c r="U109" s="40" t="s">
        <v>77</v>
      </c>
    </row>
    <row r="110" spans="2:21" x14ac:dyDescent="0.3">
      <c r="B110" s="38" t="s">
        <v>435</v>
      </c>
      <c r="C110" s="36" t="s">
        <v>78</v>
      </c>
      <c r="D110" s="36" t="s">
        <v>664</v>
      </c>
      <c r="E110" s="36" t="s">
        <v>79</v>
      </c>
      <c r="F110" s="36" t="s">
        <v>81</v>
      </c>
      <c r="G110" s="36" t="s">
        <v>81</v>
      </c>
      <c r="H110" s="36" t="s">
        <v>81</v>
      </c>
      <c r="I110" s="36">
        <v>1</v>
      </c>
      <c r="J110" s="36" t="s">
        <v>435</v>
      </c>
      <c r="Q110" s="40" t="s">
        <v>351</v>
      </c>
      <c r="R110" s="40" t="s">
        <v>688</v>
      </c>
      <c r="S110" s="40" t="s">
        <v>664</v>
      </c>
      <c r="T110" s="40" t="s">
        <v>77</v>
      </c>
      <c r="U110" s="40" t="s">
        <v>77</v>
      </c>
    </row>
    <row r="111" spans="2:21" x14ac:dyDescent="0.3">
      <c r="B111" s="38" t="s">
        <v>373</v>
      </c>
      <c r="C111" s="36" t="s">
        <v>78</v>
      </c>
      <c r="D111" s="36" t="s">
        <v>664</v>
      </c>
      <c r="E111" s="36" t="s">
        <v>79</v>
      </c>
      <c r="F111" s="36" t="s">
        <v>81</v>
      </c>
      <c r="G111" s="36" t="s">
        <v>81</v>
      </c>
      <c r="H111" s="36" t="s">
        <v>81</v>
      </c>
      <c r="I111" s="36">
        <v>1</v>
      </c>
      <c r="J111" s="36" t="s">
        <v>373</v>
      </c>
      <c r="Q111" s="40" t="s">
        <v>453</v>
      </c>
      <c r="R111" s="40" t="s">
        <v>688</v>
      </c>
      <c r="S111" s="40" t="s">
        <v>664</v>
      </c>
      <c r="T111" s="40" t="s">
        <v>77</v>
      </c>
      <c r="U111" s="40" t="s">
        <v>77</v>
      </c>
    </row>
    <row r="112" spans="2:21" x14ac:dyDescent="0.3">
      <c r="B112" s="38" t="s">
        <v>286</v>
      </c>
      <c r="C112" s="36" t="s">
        <v>78</v>
      </c>
      <c r="D112" s="36" t="s">
        <v>664</v>
      </c>
      <c r="E112" s="36" t="s">
        <v>79</v>
      </c>
      <c r="F112" s="36" t="s">
        <v>81</v>
      </c>
      <c r="G112" s="36" t="s">
        <v>81</v>
      </c>
      <c r="H112" s="36" t="s">
        <v>81</v>
      </c>
      <c r="I112" s="36">
        <v>1</v>
      </c>
      <c r="J112" s="36" t="s">
        <v>286</v>
      </c>
      <c r="Q112" s="40" t="s">
        <v>471</v>
      </c>
      <c r="R112" s="40" t="s">
        <v>688</v>
      </c>
      <c r="S112" s="40" t="s">
        <v>664</v>
      </c>
      <c r="T112" s="40" t="s">
        <v>77</v>
      </c>
      <c r="U112" s="40" t="s">
        <v>77</v>
      </c>
    </row>
    <row r="113" spans="2:24" x14ac:dyDescent="0.3">
      <c r="B113" s="38" t="s">
        <v>521</v>
      </c>
      <c r="C113" s="36" t="s">
        <v>78</v>
      </c>
      <c r="D113" s="36" t="s">
        <v>664</v>
      </c>
      <c r="E113" s="36" t="s">
        <v>79</v>
      </c>
      <c r="F113" s="36" t="s">
        <v>81</v>
      </c>
      <c r="G113" s="36" t="s">
        <v>81</v>
      </c>
      <c r="H113" s="36" t="s">
        <v>81</v>
      </c>
      <c r="I113" s="36">
        <v>1</v>
      </c>
      <c r="J113" s="36" t="s">
        <v>521</v>
      </c>
      <c r="Q113" s="40" t="s">
        <v>349</v>
      </c>
      <c r="R113" s="40" t="s">
        <v>688</v>
      </c>
      <c r="S113" s="40" t="s">
        <v>664</v>
      </c>
      <c r="T113" s="40" t="s">
        <v>77</v>
      </c>
      <c r="U113" s="40" t="s">
        <v>77</v>
      </c>
    </row>
    <row r="114" spans="2:24" x14ac:dyDescent="0.3">
      <c r="B114" s="38" t="s">
        <v>288</v>
      </c>
      <c r="C114" s="36" t="s">
        <v>78</v>
      </c>
      <c r="D114" s="36" t="s">
        <v>664</v>
      </c>
      <c r="E114" s="36" t="s">
        <v>79</v>
      </c>
      <c r="F114" s="36" t="s">
        <v>81</v>
      </c>
      <c r="G114" s="36" t="s">
        <v>81</v>
      </c>
      <c r="H114" s="36" t="s">
        <v>81</v>
      </c>
      <c r="I114" s="36">
        <v>1</v>
      </c>
      <c r="J114" s="36" t="s">
        <v>288</v>
      </c>
      <c r="Q114" s="40" t="s">
        <v>403</v>
      </c>
      <c r="R114" s="40" t="s">
        <v>688</v>
      </c>
      <c r="S114" s="40" t="s">
        <v>664</v>
      </c>
      <c r="T114" s="40" t="s">
        <v>77</v>
      </c>
      <c r="U114" s="40" t="s">
        <v>77</v>
      </c>
    </row>
    <row r="115" spans="2:24" x14ac:dyDescent="0.3">
      <c r="B115" s="38" t="s">
        <v>609</v>
      </c>
      <c r="C115" s="36" t="s">
        <v>78</v>
      </c>
      <c r="D115" s="36" t="s">
        <v>664</v>
      </c>
      <c r="E115" s="36" t="s">
        <v>79</v>
      </c>
      <c r="F115" s="36" t="s">
        <v>81</v>
      </c>
      <c r="G115" s="36" t="s">
        <v>81</v>
      </c>
      <c r="H115" s="36" t="s">
        <v>81</v>
      </c>
      <c r="I115" s="36">
        <v>1</v>
      </c>
      <c r="J115" s="36" t="s">
        <v>288</v>
      </c>
      <c r="Q115" s="40" t="s">
        <v>201</v>
      </c>
      <c r="R115" s="40" t="s">
        <v>688</v>
      </c>
      <c r="S115" s="40" t="s">
        <v>664</v>
      </c>
      <c r="T115" s="40" t="s">
        <v>77</v>
      </c>
      <c r="U115" s="40" t="s">
        <v>77</v>
      </c>
    </row>
    <row r="116" spans="2:24" x14ac:dyDescent="0.3">
      <c r="B116" s="38" t="s">
        <v>527</v>
      </c>
      <c r="C116" s="36" t="s">
        <v>78</v>
      </c>
      <c r="D116" s="36" t="s">
        <v>664</v>
      </c>
      <c r="E116" s="36" t="s">
        <v>79</v>
      </c>
      <c r="F116" s="36" t="s">
        <v>81</v>
      </c>
      <c r="G116" s="36" t="s">
        <v>81</v>
      </c>
      <c r="H116" s="36" t="s">
        <v>81</v>
      </c>
      <c r="I116" s="36">
        <v>1</v>
      </c>
      <c r="J116" s="36" t="s">
        <v>527</v>
      </c>
      <c r="Q116" s="40" t="s">
        <v>203</v>
      </c>
      <c r="R116" s="40" t="s">
        <v>688</v>
      </c>
      <c r="S116" s="40" t="s">
        <v>664</v>
      </c>
      <c r="T116" s="40" t="s">
        <v>77</v>
      </c>
      <c r="U116" s="40" t="s">
        <v>77</v>
      </c>
    </row>
    <row r="117" spans="2:24" x14ac:dyDescent="0.3">
      <c r="B117" s="38" t="s">
        <v>457</v>
      </c>
      <c r="C117" s="36" t="s">
        <v>78</v>
      </c>
      <c r="D117" s="36" t="s">
        <v>664</v>
      </c>
      <c r="E117" s="36" t="s">
        <v>79</v>
      </c>
      <c r="F117" s="36" t="s">
        <v>79</v>
      </c>
      <c r="G117" s="36" t="s">
        <v>70</v>
      </c>
      <c r="I117" s="36">
        <v>1</v>
      </c>
      <c r="J117" s="37" t="s">
        <v>457</v>
      </c>
      <c r="K117" s="37"/>
      <c r="L117" s="37"/>
      <c r="M117"/>
      <c r="N117"/>
      <c r="O117"/>
      <c r="P117"/>
      <c r="Q117" t="s">
        <v>461</v>
      </c>
      <c r="R117" t="s">
        <v>688</v>
      </c>
      <c r="S117" t="s">
        <v>664</v>
      </c>
      <c r="T117" t="s">
        <v>77</v>
      </c>
      <c r="U117" t="s">
        <v>77</v>
      </c>
      <c r="V117"/>
      <c r="W117"/>
      <c r="X117"/>
    </row>
    <row r="118" spans="2:24" x14ac:dyDescent="0.3">
      <c r="B118" s="38" t="s">
        <v>266</v>
      </c>
      <c r="C118" s="36" t="s">
        <v>78</v>
      </c>
      <c r="D118" s="36" t="s">
        <v>664</v>
      </c>
      <c r="E118" s="36" t="s">
        <v>79</v>
      </c>
      <c r="F118" s="36" t="s">
        <v>79</v>
      </c>
      <c r="G118" s="36" t="s">
        <v>79</v>
      </c>
      <c r="I118" s="36">
        <v>1</v>
      </c>
      <c r="J118" s="37" t="s">
        <v>266</v>
      </c>
      <c r="K118" s="37"/>
      <c r="L118" s="37"/>
      <c r="M118"/>
      <c r="N118"/>
      <c r="O118"/>
      <c r="P118"/>
      <c r="Q118" t="s">
        <v>246</v>
      </c>
      <c r="R118" t="s">
        <v>688</v>
      </c>
      <c r="S118" t="s">
        <v>664</v>
      </c>
      <c r="T118" t="s">
        <v>77</v>
      </c>
      <c r="U118" t="s">
        <v>77</v>
      </c>
      <c r="V118"/>
      <c r="W118"/>
      <c r="X118"/>
    </row>
    <row r="119" spans="2:24" x14ac:dyDescent="0.3">
      <c r="B119" s="38" t="s">
        <v>327</v>
      </c>
      <c r="C119" s="36" t="s">
        <v>78</v>
      </c>
      <c r="D119" s="36" t="s">
        <v>660</v>
      </c>
      <c r="E119" s="36" t="s">
        <v>79</v>
      </c>
      <c r="F119" s="36" t="s">
        <v>79</v>
      </c>
      <c r="G119" s="36" t="s">
        <v>79</v>
      </c>
      <c r="I119" s="36">
        <v>1</v>
      </c>
      <c r="J119" s="37" t="s">
        <v>327</v>
      </c>
      <c r="K119" s="37"/>
      <c r="L119" s="37"/>
      <c r="M119"/>
      <c r="N119"/>
      <c r="O119"/>
      <c r="P119"/>
      <c r="Q119" t="s">
        <v>509</v>
      </c>
      <c r="R119" t="s">
        <v>688</v>
      </c>
      <c r="S119" t="s">
        <v>664</v>
      </c>
      <c r="T119" t="s">
        <v>77</v>
      </c>
      <c r="U119" t="s">
        <v>77</v>
      </c>
      <c r="V119"/>
      <c r="W119"/>
      <c r="X119"/>
    </row>
    <row r="120" spans="2:24" x14ac:dyDescent="0.3">
      <c r="B120" s="38" t="s">
        <v>341</v>
      </c>
      <c r="C120" s="36" t="s">
        <v>78</v>
      </c>
      <c r="D120" s="36" t="s">
        <v>660</v>
      </c>
      <c r="E120" s="36" t="s">
        <v>79</v>
      </c>
      <c r="F120" s="36" t="s">
        <v>79</v>
      </c>
      <c r="G120" s="36" t="s">
        <v>79</v>
      </c>
      <c r="I120" s="36">
        <v>1</v>
      </c>
      <c r="J120" s="37" t="s">
        <v>341</v>
      </c>
      <c r="K120" s="37"/>
      <c r="L120" s="37"/>
      <c r="M120"/>
      <c r="N120"/>
      <c r="O120"/>
      <c r="P120"/>
      <c r="Q120" t="s">
        <v>248</v>
      </c>
      <c r="R120" t="s">
        <v>688</v>
      </c>
      <c r="S120" t="s">
        <v>664</v>
      </c>
      <c r="T120" t="s">
        <v>77</v>
      </c>
      <c r="U120" t="s">
        <v>77</v>
      </c>
      <c r="V120"/>
      <c r="W120"/>
      <c r="X120"/>
    </row>
    <row r="121" spans="2:24" x14ac:dyDescent="0.3">
      <c r="B121" s="38" t="s">
        <v>421</v>
      </c>
      <c r="C121" s="36" t="s">
        <v>78</v>
      </c>
      <c r="D121" s="36" t="s">
        <v>664</v>
      </c>
      <c r="E121" s="36" t="s">
        <v>79</v>
      </c>
      <c r="F121" s="36" t="s">
        <v>79</v>
      </c>
      <c r="G121" s="36" t="s">
        <v>79</v>
      </c>
      <c r="I121" s="36">
        <v>1</v>
      </c>
      <c r="J121" s="37" t="s">
        <v>421</v>
      </c>
      <c r="K121" s="37"/>
      <c r="L121" s="37"/>
      <c r="M121"/>
      <c r="N121"/>
      <c r="O121"/>
      <c r="P121"/>
      <c r="Q121" t="s">
        <v>447</v>
      </c>
      <c r="R121" t="s">
        <v>688</v>
      </c>
      <c r="S121" t="s">
        <v>664</v>
      </c>
      <c r="T121" t="s">
        <v>77</v>
      </c>
      <c r="U121" t="s">
        <v>77</v>
      </c>
      <c r="V121"/>
      <c r="W121"/>
      <c r="X121"/>
    </row>
    <row r="122" spans="2:24" x14ac:dyDescent="0.3">
      <c r="B122" s="38" t="s">
        <v>223</v>
      </c>
      <c r="C122" s="36" t="s">
        <v>78</v>
      </c>
      <c r="D122" s="36" t="s">
        <v>664</v>
      </c>
      <c r="E122" s="36" t="s">
        <v>79</v>
      </c>
      <c r="F122" s="36" t="s">
        <v>79</v>
      </c>
      <c r="G122" s="36" t="s">
        <v>79</v>
      </c>
      <c r="I122" s="36">
        <v>1</v>
      </c>
      <c r="J122" s="37" t="s">
        <v>223</v>
      </c>
      <c r="K122" s="37"/>
      <c r="L122" s="37"/>
      <c r="M122"/>
      <c r="N122"/>
      <c r="O122"/>
      <c r="P122"/>
      <c r="Q122" t="s">
        <v>511</v>
      </c>
      <c r="R122" t="s">
        <v>688</v>
      </c>
      <c r="S122" t="s">
        <v>664</v>
      </c>
      <c r="T122" t="s">
        <v>77</v>
      </c>
      <c r="U122" t="s">
        <v>77</v>
      </c>
      <c r="V122"/>
      <c r="W122"/>
      <c r="X122"/>
    </row>
    <row r="123" spans="2:24" x14ac:dyDescent="0.3">
      <c r="B123" s="38" t="s">
        <v>229</v>
      </c>
      <c r="C123" s="36" t="s">
        <v>78</v>
      </c>
      <c r="D123" s="36" t="s">
        <v>664</v>
      </c>
      <c r="E123" s="36" t="s">
        <v>79</v>
      </c>
      <c r="F123" s="36" t="s">
        <v>79</v>
      </c>
      <c r="G123" s="36" t="s">
        <v>79</v>
      </c>
      <c r="I123" s="36">
        <v>1</v>
      </c>
      <c r="J123" s="37" t="s">
        <v>229</v>
      </c>
      <c r="K123" s="37"/>
      <c r="L123" s="37"/>
      <c r="M123"/>
      <c r="N123"/>
      <c r="O123"/>
      <c r="P123"/>
      <c r="Q123" t="s">
        <v>549</v>
      </c>
      <c r="R123" t="s">
        <v>688</v>
      </c>
      <c r="S123" t="s">
        <v>664</v>
      </c>
      <c r="T123" t="s">
        <v>77</v>
      </c>
      <c r="U123" t="s">
        <v>77</v>
      </c>
      <c r="V123"/>
      <c r="W123"/>
      <c r="X123"/>
    </row>
    <row r="124" spans="2:24" x14ac:dyDescent="0.3">
      <c r="B124" s="38" t="s">
        <v>533</v>
      </c>
      <c r="C124" s="36" t="s">
        <v>78</v>
      </c>
      <c r="D124" s="36" t="s">
        <v>664</v>
      </c>
      <c r="E124" s="36" t="s">
        <v>79</v>
      </c>
      <c r="F124" s="36" t="s">
        <v>79</v>
      </c>
      <c r="G124" s="36" t="s">
        <v>79</v>
      </c>
      <c r="I124" s="36">
        <v>1</v>
      </c>
      <c r="J124" s="37" t="s">
        <v>533</v>
      </c>
      <c r="K124" s="37"/>
      <c r="L124" s="37"/>
      <c r="M124"/>
      <c r="N124"/>
      <c r="O124"/>
      <c r="P124"/>
      <c r="Q124" t="s">
        <v>256</v>
      </c>
      <c r="R124" t="s">
        <v>688</v>
      </c>
      <c r="S124" t="s">
        <v>664</v>
      </c>
      <c r="T124" t="s">
        <v>77</v>
      </c>
      <c r="U124" t="s">
        <v>77</v>
      </c>
      <c r="V124"/>
      <c r="W124"/>
      <c r="X124"/>
    </row>
    <row r="125" spans="2:24" x14ac:dyDescent="0.3">
      <c r="B125" s="38" t="s">
        <v>316</v>
      </c>
      <c r="C125" s="36" t="s">
        <v>78</v>
      </c>
      <c r="D125" s="36" t="s">
        <v>664</v>
      </c>
      <c r="E125" s="36" t="s">
        <v>79</v>
      </c>
      <c r="F125" s="36" t="s">
        <v>79</v>
      </c>
      <c r="G125" s="36" t="s">
        <v>79</v>
      </c>
      <c r="I125" s="36">
        <v>1</v>
      </c>
      <c r="J125" s="37" t="s">
        <v>316</v>
      </c>
      <c r="K125" s="37"/>
      <c r="L125" s="37"/>
      <c r="M125"/>
      <c r="N125"/>
      <c r="O125"/>
      <c r="P125"/>
      <c r="Q125" t="s">
        <v>413</v>
      </c>
      <c r="R125" t="s">
        <v>688</v>
      </c>
      <c r="S125" t="s">
        <v>664</v>
      </c>
      <c r="T125" t="s">
        <v>77</v>
      </c>
      <c r="U125" t="s">
        <v>77</v>
      </c>
      <c r="V125"/>
      <c r="W125"/>
      <c r="X125"/>
    </row>
    <row r="126" spans="2:24" x14ac:dyDescent="0.3">
      <c r="B126" s="38" t="s">
        <v>292</v>
      </c>
      <c r="C126" s="36" t="s">
        <v>78</v>
      </c>
      <c r="D126" s="36" t="s">
        <v>664</v>
      </c>
      <c r="E126" s="36" t="s">
        <v>79</v>
      </c>
      <c r="F126" s="36" t="s">
        <v>79</v>
      </c>
      <c r="G126" s="36" t="s">
        <v>79</v>
      </c>
      <c r="I126" s="36">
        <v>1</v>
      </c>
      <c r="J126" s="37" t="s">
        <v>292</v>
      </c>
      <c r="K126" s="37"/>
      <c r="L126" s="37"/>
      <c r="M126"/>
      <c r="N126"/>
      <c r="O126"/>
      <c r="P126"/>
      <c r="Q126" t="s">
        <v>250</v>
      </c>
      <c r="R126" t="s">
        <v>688</v>
      </c>
      <c r="S126" t="s">
        <v>664</v>
      </c>
      <c r="T126" t="s">
        <v>77</v>
      </c>
      <c r="U126" t="s">
        <v>77</v>
      </c>
      <c r="V126"/>
      <c r="W126"/>
      <c r="X126"/>
    </row>
    <row r="127" spans="2:24" x14ac:dyDescent="0.3">
      <c r="B127" s="38" t="s">
        <v>310</v>
      </c>
      <c r="C127" s="36" t="s">
        <v>78</v>
      </c>
      <c r="D127" s="36" t="s">
        <v>664</v>
      </c>
      <c r="E127" s="36" t="s">
        <v>79</v>
      </c>
      <c r="F127" s="36" t="s">
        <v>79</v>
      </c>
      <c r="G127" s="36" t="s">
        <v>79</v>
      </c>
      <c r="I127" s="36">
        <v>1</v>
      </c>
      <c r="J127" s="37" t="s">
        <v>310</v>
      </c>
      <c r="K127" s="37"/>
      <c r="L127" s="37"/>
      <c r="M127"/>
      <c r="N127"/>
      <c r="O127"/>
      <c r="P127"/>
      <c r="Q127" t="s">
        <v>237</v>
      </c>
      <c r="R127" t="s">
        <v>688</v>
      </c>
      <c r="S127" t="s">
        <v>664</v>
      </c>
      <c r="T127" t="s">
        <v>77</v>
      </c>
      <c r="U127" t="s">
        <v>77</v>
      </c>
      <c r="V127"/>
      <c r="W127"/>
      <c r="X127"/>
    </row>
    <row r="128" spans="2:24" x14ac:dyDescent="0.3">
      <c r="B128" s="38" t="s">
        <v>491</v>
      </c>
      <c r="C128" s="36" t="s">
        <v>78</v>
      </c>
      <c r="D128" s="36" t="s">
        <v>664</v>
      </c>
      <c r="E128" s="36" t="s">
        <v>79</v>
      </c>
      <c r="F128" s="36" t="s">
        <v>79</v>
      </c>
      <c r="G128" s="36" t="s">
        <v>79</v>
      </c>
      <c r="I128" s="36">
        <v>1</v>
      </c>
      <c r="J128" s="37" t="s">
        <v>491</v>
      </c>
      <c r="K128" s="37"/>
      <c r="L128" s="37"/>
      <c r="M128"/>
      <c r="N128"/>
      <c r="O128"/>
      <c r="P128"/>
      <c r="Q128" t="s">
        <v>268</v>
      </c>
      <c r="R128" t="s">
        <v>688</v>
      </c>
      <c r="S128" t="s">
        <v>664</v>
      </c>
      <c r="T128" t="s">
        <v>77</v>
      </c>
      <c r="U128" t="s">
        <v>77</v>
      </c>
      <c r="V128"/>
      <c r="W128"/>
      <c r="X128"/>
    </row>
    <row r="129" spans="2:21" customFormat="1" x14ac:dyDescent="0.3">
      <c r="B129" s="38" t="s">
        <v>429</v>
      </c>
      <c r="C129" s="36" t="s">
        <v>78</v>
      </c>
      <c r="D129" s="36" t="s">
        <v>664</v>
      </c>
      <c r="E129" s="36" t="s">
        <v>79</v>
      </c>
      <c r="F129" s="36" t="s">
        <v>79</v>
      </c>
      <c r="G129" s="36" t="s">
        <v>79</v>
      </c>
      <c r="H129" s="36"/>
      <c r="I129" s="36">
        <v>1</v>
      </c>
      <c r="J129" s="37" t="s">
        <v>429</v>
      </c>
      <c r="K129" s="37"/>
      <c r="L129" s="37"/>
      <c r="Q129" t="s">
        <v>235</v>
      </c>
      <c r="R129" t="s">
        <v>688</v>
      </c>
      <c r="S129" t="s">
        <v>664</v>
      </c>
      <c r="T129" t="s">
        <v>77</v>
      </c>
      <c r="U129" t="s">
        <v>77</v>
      </c>
    </row>
    <row r="130" spans="2:21" customFormat="1" x14ac:dyDescent="0.3">
      <c r="B130" s="38" t="s">
        <v>475</v>
      </c>
      <c r="C130" s="36" t="s">
        <v>78</v>
      </c>
      <c r="D130" s="36" t="s">
        <v>664</v>
      </c>
      <c r="E130" s="36" t="s">
        <v>79</v>
      </c>
      <c r="F130" s="36" t="s">
        <v>79</v>
      </c>
      <c r="G130" s="36" t="s">
        <v>79</v>
      </c>
      <c r="H130" s="36"/>
      <c r="I130" s="36">
        <v>1</v>
      </c>
      <c r="J130" s="37" t="s">
        <v>475</v>
      </c>
      <c r="K130" s="37"/>
      <c r="L130" s="37"/>
      <c r="Q130" t="s">
        <v>357</v>
      </c>
      <c r="R130" t="s">
        <v>688</v>
      </c>
      <c r="S130" t="s">
        <v>664</v>
      </c>
      <c r="T130" t="s">
        <v>77</v>
      </c>
      <c r="U130" t="s">
        <v>77</v>
      </c>
    </row>
    <row r="131" spans="2:21" customFormat="1" x14ac:dyDescent="0.3">
      <c r="B131" s="38" t="s">
        <v>323</v>
      </c>
      <c r="C131" s="36" t="s">
        <v>78</v>
      </c>
      <c r="D131" s="36" t="s">
        <v>664</v>
      </c>
      <c r="E131" s="36" t="s">
        <v>79</v>
      </c>
      <c r="F131" s="36" t="s">
        <v>79</v>
      </c>
      <c r="G131" s="36" t="s">
        <v>79</v>
      </c>
      <c r="H131" s="36"/>
      <c r="I131" s="36">
        <v>1</v>
      </c>
      <c r="J131" s="37" t="s">
        <v>323</v>
      </c>
      <c r="K131" s="37"/>
      <c r="L131" s="37"/>
      <c r="Q131" t="s">
        <v>505</v>
      </c>
      <c r="R131" t="s">
        <v>688</v>
      </c>
      <c r="S131" t="s">
        <v>664</v>
      </c>
      <c r="T131" t="s">
        <v>77</v>
      </c>
      <c r="U131" t="s">
        <v>77</v>
      </c>
    </row>
    <row r="132" spans="2:21" customFormat="1" x14ac:dyDescent="0.3">
      <c r="B132" s="38" t="s">
        <v>531</v>
      </c>
      <c r="C132" s="36" t="s">
        <v>78</v>
      </c>
      <c r="D132" s="36" t="s">
        <v>664</v>
      </c>
      <c r="E132" s="36" t="s">
        <v>79</v>
      </c>
      <c r="F132" s="36" t="s">
        <v>79</v>
      </c>
      <c r="G132" s="36" t="s">
        <v>79</v>
      </c>
      <c r="H132" s="36"/>
      <c r="I132" s="36">
        <v>1</v>
      </c>
      <c r="J132" s="37" t="s">
        <v>531</v>
      </c>
      <c r="K132" s="37"/>
      <c r="L132" s="37"/>
      <c r="Q132" t="s">
        <v>691</v>
      </c>
      <c r="R132" t="s">
        <v>688</v>
      </c>
      <c r="S132" t="s">
        <v>664</v>
      </c>
      <c r="T132" t="s">
        <v>77</v>
      </c>
      <c r="U132" t="s">
        <v>77</v>
      </c>
    </row>
    <row r="133" spans="2:21" customFormat="1" x14ac:dyDescent="0.3">
      <c r="B133" s="38" t="s">
        <v>489</v>
      </c>
      <c r="C133" s="36" t="s">
        <v>78</v>
      </c>
      <c r="D133" s="36" t="s">
        <v>664</v>
      </c>
      <c r="E133" s="36" t="s">
        <v>79</v>
      </c>
      <c r="F133" s="36" t="s">
        <v>79</v>
      </c>
      <c r="G133" s="36" t="s">
        <v>79</v>
      </c>
      <c r="H133" s="36"/>
      <c r="I133" s="36">
        <v>1</v>
      </c>
      <c r="J133" s="37" t="s">
        <v>489</v>
      </c>
      <c r="K133" s="37"/>
      <c r="L133" s="37"/>
      <c r="Q133" t="s">
        <v>455</v>
      </c>
      <c r="R133" t="s">
        <v>688</v>
      </c>
      <c r="S133" t="s">
        <v>664</v>
      </c>
      <c r="T133" t="s">
        <v>77</v>
      </c>
      <c r="U133" t="s">
        <v>77</v>
      </c>
    </row>
    <row r="134" spans="2:21" customFormat="1" x14ac:dyDescent="0.3">
      <c r="B134" s="38" t="s">
        <v>321</v>
      </c>
      <c r="C134" s="36" t="s">
        <v>78</v>
      </c>
      <c r="D134" s="36" t="s">
        <v>664</v>
      </c>
      <c r="E134" s="36" t="s">
        <v>79</v>
      </c>
      <c r="F134" s="36" t="s">
        <v>79</v>
      </c>
      <c r="G134" s="36" t="s">
        <v>79</v>
      </c>
      <c r="H134" s="36"/>
      <c r="I134" s="36">
        <v>1</v>
      </c>
      <c r="J134" s="37" t="s">
        <v>321</v>
      </c>
      <c r="K134" s="37"/>
      <c r="L134" s="37"/>
      <c r="Q134" t="s">
        <v>193</v>
      </c>
      <c r="R134" t="s">
        <v>688</v>
      </c>
      <c r="S134" t="s">
        <v>664</v>
      </c>
      <c r="T134" t="s">
        <v>77</v>
      </c>
      <c r="U134" t="s">
        <v>77</v>
      </c>
    </row>
    <row r="135" spans="2:21" customFormat="1" x14ac:dyDescent="0.3">
      <c r="B135" s="38" t="s">
        <v>441</v>
      </c>
      <c r="C135" s="36" t="s">
        <v>78</v>
      </c>
      <c r="D135" s="36" t="s">
        <v>664</v>
      </c>
      <c r="E135" s="36" t="s">
        <v>79</v>
      </c>
      <c r="F135" s="36" t="s">
        <v>79</v>
      </c>
      <c r="G135" s="36" t="s">
        <v>79</v>
      </c>
      <c r="H135" s="36"/>
      <c r="I135" s="36">
        <v>1</v>
      </c>
      <c r="J135" s="37" t="s">
        <v>441</v>
      </c>
      <c r="K135" s="37"/>
      <c r="L135" s="37"/>
      <c r="Q135" t="s">
        <v>264</v>
      </c>
      <c r="R135" t="s">
        <v>688</v>
      </c>
      <c r="S135" t="s">
        <v>664</v>
      </c>
      <c r="T135" t="s">
        <v>77</v>
      </c>
      <c r="U135" t="s">
        <v>77</v>
      </c>
    </row>
    <row r="136" spans="2:21" customFormat="1" x14ac:dyDescent="0.3">
      <c r="B136" s="38" t="s">
        <v>485</v>
      </c>
      <c r="C136" s="36" t="s">
        <v>78</v>
      </c>
      <c r="D136" s="36" t="s">
        <v>660</v>
      </c>
      <c r="E136" s="36" t="s">
        <v>79</v>
      </c>
      <c r="F136" s="36" t="s">
        <v>79</v>
      </c>
      <c r="G136" s="36" t="s">
        <v>79</v>
      </c>
      <c r="H136" s="36"/>
      <c r="I136" s="36">
        <v>1</v>
      </c>
      <c r="J136" s="37" t="s">
        <v>485</v>
      </c>
      <c r="K136" s="37"/>
      <c r="L136" s="37"/>
      <c r="Q136" t="s">
        <v>427</v>
      </c>
      <c r="R136" t="s">
        <v>688</v>
      </c>
      <c r="S136" t="s">
        <v>664</v>
      </c>
      <c r="T136" t="s">
        <v>77</v>
      </c>
      <c r="U136" t="s">
        <v>77</v>
      </c>
    </row>
    <row r="137" spans="2:21" customFormat="1" x14ac:dyDescent="0.3">
      <c r="B137" s="38" t="s">
        <v>459</v>
      </c>
      <c r="C137" s="36" t="s">
        <v>78</v>
      </c>
      <c r="D137" s="36" t="s">
        <v>664</v>
      </c>
      <c r="E137" s="36" t="s">
        <v>79</v>
      </c>
      <c r="F137" s="36" t="s">
        <v>79</v>
      </c>
      <c r="G137" s="36" t="s">
        <v>79</v>
      </c>
      <c r="H137" s="36"/>
      <c r="I137" s="36">
        <v>1</v>
      </c>
      <c r="J137" s="37" t="s">
        <v>459</v>
      </c>
      <c r="K137" s="37"/>
      <c r="L137" s="37"/>
      <c r="Q137" t="s">
        <v>302</v>
      </c>
      <c r="R137" t="s">
        <v>688</v>
      </c>
      <c r="S137" t="s">
        <v>664</v>
      </c>
      <c r="T137" t="s">
        <v>77</v>
      </c>
      <c r="U137" t="s">
        <v>77</v>
      </c>
    </row>
    <row r="138" spans="2:21" customFormat="1" x14ac:dyDescent="0.3">
      <c r="B138" s="38" t="s">
        <v>535</v>
      </c>
      <c r="C138" s="36" t="s">
        <v>78</v>
      </c>
      <c r="D138" s="36" t="s">
        <v>664</v>
      </c>
      <c r="E138" s="36" t="s">
        <v>79</v>
      </c>
      <c r="F138" s="36" t="s">
        <v>79</v>
      </c>
      <c r="G138" s="36" t="s">
        <v>79</v>
      </c>
      <c r="H138" s="36"/>
      <c r="I138" s="36">
        <v>1</v>
      </c>
      <c r="J138" s="37" t="s">
        <v>535</v>
      </c>
      <c r="K138" s="37"/>
      <c r="L138" s="37"/>
      <c r="Q138" t="s">
        <v>417</v>
      </c>
      <c r="R138" t="s">
        <v>688</v>
      </c>
      <c r="S138" t="s">
        <v>664</v>
      </c>
      <c r="T138" t="s">
        <v>77</v>
      </c>
      <c r="U138" t="s">
        <v>77</v>
      </c>
    </row>
    <row r="139" spans="2:21" customFormat="1" x14ac:dyDescent="0.3">
      <c r="B139" s="38" t="s">
        <v>347</v>
      </c>
      <c r="C139" s="36" t="s">
        <v>78</v>
      </c>
      <c r="D139" s="36" t="s">
        <v>664</v>
      </c>
      <c r="E139" s="36" t="s">
        <v>79</v>
      </c>
      <c r="F139" s="36" t="s">
        <v>79</v>
      </c>
      <c r="G139" s="36" t="s">
        <v>79</v>
      </c>
      <c r="H139" s="36"/>
      <c r="I139" s="36">
        <v>1</v>
      </c>
      <c r="J139" s="37" t="s">
        <v>347</v>
      </c>
      <c r="K139" s="37"/>
      <c r="L139" s="37"/>
      <c r="Q139" t="s">
        <v>439</v>
      </c>
      <c r="R139" t="s">
        <v>688</v>
      </c>
      <c r="S139" t="s">
        <v>664</v>
      </c>
      <c r="T139" t="s">
        <v>77</v>
      </c>
      <c r="U139" t="s">
        <v>77</v>
      </c>
    </row>
    <row r="140" spans="2:21" customFormat="1" x14ac:dyDescent="0.3">
      <c r="B140" s="38" t="s">
        <v>225</v>
      </c>
      <c r="C140" s="36" t="s">
        <v>78</v>
      </c>
      <c r="D140" s="36" t="s">
        <v>664</v>
      </c>
      <c r="E140" s="36" t="s">
        <v>79</v>
      </c>
      <c r="F140" s="36" t="s">
        <v>79</v>
      </c>
      <c r="G140" s="36" t="s">
        <v>79</v>
      </c>
      <c r="H140" s="36"/>
      <c r="I140" s="36">
        <v>1</v>
      </c>
      <c r="J140" s="37" t="s">
        <v>225</v>
      </c>
      <c r="K140" s="37"/>
      <c r="L140" s="37"/>
      <c r="Q140" t="s">
        <v>272</v>
      </c>
      <c r="R140" t="s">
        <v>688</v>
      </c>
      <c r="S140" t="s">
        <v>664</v>
      </c>
      <c r="T140" t="s">
        <v>77</v>
      </c>
      <c r="U140" t="s">
        <v>77</v>
      </c>
    </row>
    <row r="141" spans="2:21" customFormat="1" x14ac:dyDescent="0.3">
      <c r="B141" s="38" t="s">
        <v>339</v>
      </c>
      <c r="C141" s="36" t="s">
        <v>78</v>
      </c>
      <c r="D141" s="36" t="s">
        <v>664</v>
      </c>
      <c r="E141" s="36" t="s">
        <v>79</v>
      </c>
      <c r="F141" s="36" t="s">
        <v>79</v>
      </c>
      <c r="G141" s="36" t="s">
        <v>79</v>
      </c>
      <c r="H141" s="36"/>
      <c r="I141" s="36">
        <v>1</v>
      </c>
      <c r="J141" s="37" t="s">
        <v>339</v>
      </c>
      <c r="K141" s="37"/>
      <c r="L141" s="37"/>
      <c r="Q141" t="s">
        <v>244</v>
      </c>
      <c r="R141" t="s">
        <v>688</v>
      </c>
      <c r="S141" t="s">
        <v>664</v>
      </c>
      <c r="T141" t="s">
        <v>77</v>
      </c>
      <c r="U141" t="s">
        <v>77</v>
      </c>
    </row>
    <row r="142" spans="2:21" customFormat="1" x14ac:dyDescent="0.3">
      <c r="B142" s="38" t="s">
        <v>231</v>
      </c>
      <c r="C142" s="36" t="s">
        <v>78</v>
      </c>
      <c r="D142" s="36" t="s">
        <v>664</v>
      </c>
      <c r="E142" s="36" t="s">
        <v>79</v>
      </c>
      <c r="F142" s="36" t="s">
        <v>79</v>
      </c>
      <c r="G142" s="36" t="s">
        <v>79</v>
      </c>
      <c r="H142" s="36"/>
      <c r="I142" s="36">
        <v>1</v>
      </c>
      <c r="J142" s="37" t="s">
        <v>231</v>
      </c>
      <c r="K142" s="37"/>
      <c r="L142" s="37"/>
      <c r="Q142" t="s">
        <v>497</v>
      </c>
      <c r="R142" t="s">
        <v>688</v>
      </c>
      <c r="S142" t="s">
        <v>664</v>
      </c>
      <c r="T142" t="s">
        <v>77</v>
      </c>
      <c r="U142" t="s">
        <v>77</v>
      </c>
    </row>
    <row r="143" spans="2:21" customFormat="1" x14ac:dyDescent="0.3">
      <c r="B143" s="38" t="s">
        <v>503</v>
      </c>
      <c r="C143" s="36" t="s">
        <v>78</v>
      </c>
      <c r="D143" s="36" t="s">
        <v>664</v>
      </c>
      <c r="E143" s="36" t="s">
        <v>79</v>
      </c>
      <c r="F143" s="36" t="s">
        <v>79</v>
      </c>
      <c r="G143" s="36" t="s">
        <v>79</v>
      </c>
      <c r="H143" s="36"/>
      <c r="I143" s="36">
        <v>1</v>
      </c>
      <c r="J143" s="37" t="s">
        <v>503</v>
      </c>
      <c r="K143" s="37"/>
      <c r="L143" s="37"/>
      <c r="Q143" t="s">
        <v>329</v>
      </c>
      <c r="R143" t="s">
        <v>688</v>
      </c>
      <c r="S143" t="s">
        <v>664</v>
      </c>
      <c r="T143" t="s">
        <v>77</v>
      </c>
      <c r="U143" t="s">
        <v>77</v>
      </c>
    </row>
    <row r="144" spans="2:21" customFormat="1" x14ac:dyDescent="0.3">
      <c r="B144" s="38" t="s">
        <v>363</v>
      </c>
      <c r="C144" s="36" t="s">
        <v>78</v>
      </c>
      <c r="D144" s="36" t="s">
        <v>664</v>
      </c>
      <c r="E144" s="36" t="s">
        <v>79</v>
      </c>
      <c r="F144" s="36" t="s">
        <v>79</v>
      </c>
      <c r="G144" s="36" t="s">
        <v>79</v>
      </c>
      <c r="H144" s="36"/>
      <c r="I144" s="36">
        <v>1</v>
      </c>
      <c r="J144" s="37" t="s">
        <v>363</v>
      </c>
      <c r="K144" s="37"/>
      <c r="L144" s="37"/>
      <c r="Q144" t="s">
        <v>415</v>
      </c>
      <c r="R144" t="s">
        <v>688</v>
      </c>
      <c r="S144" t="s">
        <v>664</v>
      </c>
      <c r="T144" t="s">
        <v>77</v>
      </c>
      <c r="U144" t="s">
        <v>77</v>
      </c>
    </row>
    <row r="145" spans="2:21" customFormat="1" x14ac:dyDescent="0.3">
      <c r="B145" s="38" t="s">
        <v>557</v>
      </c>
      <c r="C145" s="36" t="s">
        <v>78</v>
      </c>
      <c r="D145" s="36" t="s">
        <v>664</v>
      </c>
      <c r="E145" s="36" t="s">
        <v>79</v>
      </c>
      <c r="F145" s="36" t="s">
        <v>79</v>
      </c>
      <c r="G145" s="36" t="s">
        <v>79</v>
      </c>
      <c r="H145" s="36"/>
      <c r="I145" s="36">
        <v>1</v>
      </c>
      <c r="J145" s="37" t="s">
        <v>557</v>
      </c>
      <c r="K145" s="37"/>
      <c r="L145" s="37"/>
      <c r="Q145" t="s">
        <v>445</v>
      </c>
      <c r="R145" t="s">
        <v>688</v>
      </c>
      <c r="S145" t="s">
        <v>664</v>
      </c>
      <c r="T145" t="s">
        <v>77</v>
      </c>
      <c r="U145" t="s">
        <v>77</v>
      </c>
    </row>
    <row r="146" spans="2:21" customFormat="1" x14ac:dyDescent="0.3">
      <c r="B146" s="38" t="s">
        <v>401</v>
      </c>
      <c r="C146" s="36" t="s">
        <v>78</v>
      </c>
      <c r="D146" s="36" t="s">
        <v>664</v>
      </c>
      <c r="E146" s="36" t="s">
        <v>79</v>
      </c>
      <c r="F146" s="36" t="s">
        <v>79</v>
      </c>
      <c r="G146" s="36" t="s">
        <v>79</v>
      </c>
      <c r="H146" s="36"/>
      <c r="I146" s="36">
        <v>1</v>
      </c>
      <c r="J146" s="37" t="s">
        <v>401</v>
      </c>
      <c r="K146" s="37"/>
      <c r="L146" s="37"/>
      <c r="Q146" t="s">
        <v>541</v>
      </c>
      <c r="R146" t="s">
        <v>688</v>
      </c>
      <c r="S146" t="s">
        <v>664</v>
      </c>
      <c r="T146" t="s">
        <v>77</v>
      </c>
      <c r="U146" t="s">
        <v>77</v>
      </c>
    </row>
    <row r="147" spans="2:21" customFormat="1" x14ac:dyDescent="0.3">
      <c r="B147" s="38" t="s">
        <v>463</v>
      </c>
      <c r="C147" s="36" t="s">
        <v>78</v>
      </c>
      <c r="D147" s="36" t="s">
        <v>664</v>
      </c>
      <c r="E147" s="36" t="s">
        <v>79</v>
      </c>
      <c r="F147" s="36" t="s">
        <v>79</v>
      </c>
      <c r="G147" s="36" t="s">
        <v>79</v>
      </c>
      <c r="H147" s="36"/>
      <c r="I147" s="36">
        <v>1</v>
      </c>
      <c r="J147" s="37" t="s">
        <v>463</v>
      </c>
      <c r="K147" s="37"/>
      <c r="L147" s="37"/>
      <c r="Q147" t="s">
        <v>683</v>
      </c>
      <c r="R147" t="s">
        <v>688</v>
      </c>
      <c r="S147" t="s">
        <v>664</v>
      </c>
      <c r="T147" t="s">
        <v>77</v>
      </c>
      <c r="U147" t="s">
        <v>77</v>
      </c>
    </row>
    <row r="148" spans="2:21" customFormat="1" x14ac:dyDescent="0.3">
      <c r="B148" s="38" t="s">
        <v>493</v>
      </c>
      <c r="C148" s="36" t="s">
        <v>78</v>
      </c>
      <c r="D148" s="36" t="s">
        <v>664</v>
      </c>
      <c r="E148" s="36" t="s">
        <v>79</v>
      </c>
      <c r="F148" s="36" t="s">
        <v>79</v>
      </c>
      <c r="G148" s="36" t="s">
        <v>79</v>
      </c>
      <c r="H148" s="36"/>
      <c r="I148" s="36">
        <v>1</v>
      </c>
      <c r="J148" s="37" t="s">
        <v>493</v>
      </c>
      <c r="K148" s="37"/>
      <c r="L148" s="37"/>
      <c r="Q148" t="s">
        <v>674</v>
      </c>
      <c r="R148" t="s">
        <v>688</v>
      </c>
      <c r="S148" t="s">
        <v>664</v>
      </c>
      <c r="T148" t="s">
        <v>77</v>
      </c>
      <c r="U148" t="s">
        <v>77</v>
      </c>
    </row>
    <row r="149" spans="2:21" customFormat="1" x14ac:dyDescent="0.3">
      <c r="B149" s="38" t="s">
        <v>547</v>
      </c>
      <c r="C149" s="36" t="s">
        <v>78</v>
      </c>
      <c r="D149" s="36" t="s">
        <v>664</v>
      </c>
      <c r="E149" s="36" t="s">
        <v>79</v>
      </c>
      <c r="F149" s="36" t="s">
        <v>79</v>
      </c>
      <c r="G149" s="36" t="s">
        <v>79</v>
      </c>
      <c r="H149" s="36"/>
      <c r="I149" s="36">
        <v>1</v>
      </c>
      <c r="J149" s="37" t="s">
        <v>547</v>
      </c>
      <c r="K149" s="37"/>
      <c r="L149" s="37"/>
      <c r="Q149" t="s">
        <v>513</v>
      </c>
      <c r="R149" t="s">
        <v>688</v>
      </c>
      <c r="S149" t="s">
        <v>664</v>
      </c>
      <c r="T149" t="s">
        <v>77</v>
      </c>
      <c r="U149" t="s">
        <v>77</v>
      </c>
    </row>
    <row r="150" spans="2:21" customFormat="1" x14ac:dyDescent="0.3">
      <c r="B150" s="38" t="s">
        <v>487</v>
      </c>
      <c r="C150" s="36" t="s">
        <v>78</v>
      </c>
      <c r="D150" s="36" t="s">
        <v>664</v>
      </c>
      <c r="E150" s="36" t="s">
        <v>79</v>
      </c>
      <c r="F150" s="36" t="s">
        <v>79</v>
      </c>
      <c r="G150" s="36" t="s">
        <v>79</v>
      </c>
      <c r="H150" s="36"/>
      <c r="I150" s="36">
        <v>1</v>
      </c>
      <c r="J150" s="37" t="s">
        <v>487</v>
      </c>
      <c r="K150" s="37"/>
      <c r="L150" s="37"/>
      <c r="Q150" t="s">
        <v>692</v>
      </c>
      <c r="R150" t="s">
        <v>688</v>
      </c>
      <c r="S150" t="s">
        <v>664</v>
      </c>
      <c r="T150" t="s">
        <v>77</v>
      </c>
      <c r="U150" t="s">
        <v>77</v>
      </c>
    </row>
    <row r="151" spans="2:21" customFormat="1" x14ac:dyDescent="0.3">
      <c r="B151" s="38" t="s">
        <v>314</v>
      </c>
      <c r="C151" s="36" t="s">
        <v>78</v>
      </c>
      <c r="D151" s="36" t="s">
        <v>664</v>
      </c>
      <c r="E151" s="36" t="s">
        <v>79</v>
      </c>
      <c r="F151" s="36" t="s">
        <v>79</v>
      </c>
      <c r="G151" s="36" t="s">
        <v>79</v>
      </c>
      <c r="H151" s="36"/>
      <c r="I151" s="36">
        <v>1</v>
      </c>
      <c r="J151" s="37" t="s">
        <v>314</v>
      </c>
      <c r="K151" s="37"/>
      <c r="L151" s="37"/>
      <c r="Q151" t="s">
        <v>298</v>
      </c>
      <c r="R151" t="s">
        <v>688</v>
      </c>
      <c r="S151" t="s">
        <v>664</v>
      </c>
      <c r="T151" t="s">
        <v>77</v>
      </c>
      <c r="U151" t="s">
        <v>77</v>
      </c>
    </row>
    <row r="152" spans="2:21" customFormat="1" x14ac:dyDescent="0.3">
      <c r="B152" s="38" t="s">
        <v>195</v>
      </c>
      <c r="C152" s="36" t="s">
        <v>78</v>
      </c>
      <c r="D152" s="36" t="s">
        <v>664</v>
      </c>
      <c r="E152" s="36" t="s">
        <v>79</v>
      </c>
      <c r="F152" s="36" t="s">
        <v>79</v>
      </c>
      <c r="G152" s="36" t="s">
        <v>79</v>
      </c>
      <c r="H152" s="36"/>
      <c r="I152" s="36">
        <v>1</v>
      </c>
      <c r="J152" s="37" t="s">
        <v>195</v>
      </c>
      <c r="K152" s="37"/>
      <c r="L152" s="37"/>
      <c r="Q152" t="s">
        <v>345</v>
      </c>
      <c r="R152" t="s">
        <v>688</v>
      </c>
      <c r="S152" t="s">
        <v>664</v>
      </c>
      <c r="T152" t="s">
        <v>77</v>
      </c>
      <c r="U152" t="s">
        <v>77</v>
      </c>
    </row>
    <row r="153" spans="2:21" customFormat="1" x14ac:dyDescent="0.3">
      <c r="B153" s="38" t="s">
        <v>308</v>
      </c>
      <c r="C153" s="36" t="s">
        <v>78</v>
      </c>
      <c r="D153" s="36" t="s">
        <v>664</v>
      </c>
      <c r="E153" s="36" t="s">
        <v>79</v>
      </c>
      <c r="F153" s="36" t="s">
        <v>79</v>
      </c>
      <c r="G153" s="36" t="s">
        <v>79</v>
      </c>
      <c r="H153" s="36"/>
      <c r="I153" s="36">
        <v>1</v>
      </c>
      <c r="J153" s="37" t="s">
        <v>308</v>
      </c>
      <c r="K153" s="37"/>
      <c r="L153" s="37"/>
      <c r="Q153" t="s">
        <v>481</v>
      </c>
      <c r="R153" t="s">
        <v>688</v>
      </c>
      <c r="S153" t="s">
        <v>664</v>
      </c>
      <c r="T153" t="s">
        <v>77</v>
      </c>
      <c r="U153" t="s">
        <v>77</v>
      </c>
    </row>
    <row r="154" spans="2:21" customFormat="1" x14ac:dyDescent="0.3">
      <c r="B154" s="38" t="s">
        <v>296</v>
      </c>
      <c r="C154" s="36" t="s">
        <v>78</v>
      </c>
      <c r="D154" s="36" t="s">
        <v>664</v>
      </c>
      <c r="E154" s="36" t="s">
        <v>79</v>
      </c>
      <c r="F154" s="36" t="s">
        <v>79</v>
      </c>
      <c r="G154" s="36" t="s">
        <v>79</v>
      </c>
      <c r="H154" s="36"/>
      <c r="I154" s="36">
        <v>1</v>
      </c>
      <c r="J154" s="37" t="s">
        <v>296</v>
      </c>
      <c r="K154" s="37"/>
      <c r="L154" s="37"/>
      <c r="Q154" t="s">
        <v>495</v>
      </c>
      <c r="R154" t="s">
        <v>688</v>
      </c>
      <c r="S154" t="s">
        <v>664</v>
      </c>
      <c r="T154" t="s">
        <v>77</v>
      </c>
      <c r="U154" t="s">
        <v>77</v>
      </c>
    </row>
    <row r="155" spans="2:21" customFormat="1" x14ac:dyDescent="0.3">
      <c r="B155" s="38" t="s">
        <v>227</v>
      </c>
      <c r="C155" s="36" t="s">
        <v>78</v>
      </c>
      <c r="D155" s="36" t="s">
        <v>664</v>
      </c>
      <c r="E155" s="36" t="s">
        <v>79</v>
      </c>
      <c r="F155" s="36" t="s">
        <v>79</v>
      </c>
      <c r="G155" s="36" t="s">
        <v>79</v>
      </c>
      <c r="H155" s="36"/>
      <c r="I155" s="36">
        <v>1</v>
      </c>
      <c r="J155" s="37" t="s">
        <v>227</v>
      </c>
      <c r="K155" s="37"/>
      <c r="L155" s="37"/>
      <c r="Q155" t="s">
        <v>306</v>
      </c>
      <c r="R155" t="s">
        <v>688</v>
      </c>
      <c r="S155" t="s">
        <v>664</v>
      </c>
      <c r="T155" t="s">
        <v>77</v>
      </c>
      <c r="U155" t="s">
        <v>77</v>
      </c>
    </row>
    <row r="156" spans="2:21" customFormat="1" x14ac:dyDescent="0.3">
      <c r="B156" s="38" t="s">
        <v>294</v>
      </c>
      <c r="C156" s="36" t="s">
        <v>78</v>
      </c>
      <c r="D156" s="36" t="s">
        <v>664</v>
      </c>
      <c r="E156" s="36" t="s">
        <v>79</v>
      </c>
      <c r="F156" s="36" t="s">
        <v>79</v>
      </c>
      <c r="G156" s="36" t="s">
        <v>79</v>
      </c>
      <c r="H156" s="36"/>
      <c r="I156" s="36">
        <v>1</v>
      </c>
      <c r="J156" s="37" t="s">
        <v>294</v>
      </c>
      <c r="K156" s="37"/>
      <c r="L156" s="37"/>
      <c r="Q156" t="s">
        <v>359</v>
      </c>
      <c r="R156" t="s">
        <v>688</v>
      </c>
      <c r="S156" t="s">
        <v>664</v>
      </c>
      <c r="T156" t="s">
        <v>77</v>
      </c>
      <c r="U156" t="s">
        <v>77</v>
      </c>
    </row>
    <row r="157" spans="2:21" customFormat="1" x14ac:dyDescent="0.3">
      <c r="B157" s="38" t="s">
        <v>325</v>
      </c>
      <c r="C157" s="36" t="s">
        <v>78</v>
      </c>
      <c r="D157" s="36" t="s">
        <v>664</v>
      </c>
      <c r="E157" s="36" t="s">
        <v>79</v>
      </c>
      <c r="F157" s="36" t="s">
        <v>79</v>
      </c>
      <c r="G157" s="36" t="s">
        <v>79</v>
      </c>
      <c r="H157" s="36"/>
      <c r="I157" s="36">
        <v>1</v>
      </c>
      <c r="J157" s="37" t="s">
        <v>325</v>
      </c>
      <c r="K157" s="37"/>
      <c r="L157" s="37"/>
      <c r="Q157" t="s">
        <v>443</v>
      </c>
      <c r="R157" t="s">
        <v>688</v>
      </c>
      <c r="S157" t="s">
        <v>664</v>
      </c>
      <c r="T157" t="s">
        <v>77</v>
      </c>
      <c r="U157" t="s">
        <v>77</v>
      </c>
    </row>
    <row r="158" spans="2:21" customFormat="1" x14ac:dyDescent="0.3">
      <c r="B158" s="38" t="s">
        <v>391</v>
      </c>
      <c r="C158" s="36" t="s">
        <v>78</v>
      </c>
      <c r="D158" s="36" t="s">
        <v>664</v>
      </c>
      <c r="E158" s="36" t="s">
        <v>79</v>
      </c>
      <c r="F158" s="36" t="s">
        <v>79</v>
      </c>
      <c r="G158" s="36" t="s">
        <v>79</v>
      </c>
      <c r="H158" s="36"/>
      <c r="I158" s="36">
        <v>1</v>
      </c>
      <c r="J158" s="37" t="s">
        <v>391</v>
      </c>
      <c r="K158" s="37"/>
      <c r="L158" s="37"/>
      <c r="Q158" t="s">
        <v>258</v>
      </c>
      <c r="R158" t="s">
        <v>688</v>
      </c>
      <c r="S158" t="s">
        <v>664</v>
      </c>
      <c r="T158" t="s">
        <v>77</v>
      </c>
      <c r="U158" t="s">
        <v>77</v>
      </c>
    </row>
    <row r="159" spans="2:21" customFormat="1" x14ac:dyDescent="0.3">
      <c r="B159" s="38" t="s">
        <v>515</v>
      </c>
      <c r="C159" s="36" t="s">
        <v>78</v>
      </c>
      <c r="D159" s="36" t="s">
        <v>664</v>
      </c>
      <c r="E159" s="36" t="s">
        <v>79</v>
      </c>
      <c r="F159" s="36" t="s">
        <v>79</v>
      </c>
      <c r="G159" s="36" t="s">
        <v>79</v>
      </c>
      <c r="H159" s="36"/>
      <c r="I159" s="36">
        <v>1</v>
      </c>
      <c r="J159" s="37" t="s">
        <v>515</v>
      </c>
      <c r="K159" s="37"/>
      <c r="L159" s="37"/>
      <c r="Q159" t="s">
        <v>168</v>
      </c>
      <c r="R159" t="s">
        <v>662</v>
      </c>
      <c r="S159" t="s">
        <v>664</v>
      </c>
      <c r="T159" t="s">
        <v>693</v>
      </c>
      <c r="U159" t="s">
        <v>693</v>
      </c>
    </row>
    <row r="160" spans="2:21" customFormat="1" x14ac:dyDescent="0.3">
      <c r="B160" s="38" t="s">
        <v>274</v>
      </c>
      <c r="C160" s="36" t="s">
        <v>78</v>
      </c>
      <c r="D160" s="36" t="s">
        <v>664</v>
      </c>
      <c r="E160" s="36" t="s">
        <v>79</v>
      </c>
      <c r="F160" s="36" t="s">
        <v>79</v>
      </c>
      <c r="G160" s="36" t="s">
        <v>79</v>
      </c>
      <c r="H160" s="36"/>
      <c r="I160" s="36">
        <v>1</v>
      </c>
      <c r="J160" s="37" t="s">
        <v>274</v>
      </c>
      <c r="K160" s="37"/>
      <c r="L160" s="37"/>
      <c r="Q160" t="s">
        <v>284</v>
      </c>
      <c r="R160" t="s">
        <v>662</v>
      </c>
      <c r="S160" t="s">
        <v>664</v>
      </c>
      <c r="T160" t="s">
        <v>693</v>
      </c>
      <c r="U160" t="s">
        <v>693</v>
      </c>
    </row>
    <row r="161" spans="2:21" customFormat="1" x14ac:dyDescent="0.3">
      <c r="B161" s="38" t="s">
        <v>678</v>
      </c>
      <c r="C161" s="36" t="s">
        <v>78</v>
      </c>
      <c r="D161" s="36" t="s">
        <v>664</v>
      </c>
      <c r="E161" s="36" t="s">
        <v>79</v>
      </c>
      <c r="F161" s="36" t="s">
        <v>79</v>
      </c>
      <c r="G161" s="36" t="s">
        <v>79</v>
      </c>
      <c r="H161" s="36"/>
      <c r="I161" s="36">
        <v>1</v>
      </c>
      <c r="J161" s="37" t="s">
        <v>678</v>
      </c>
      <c r="K161" s="37"/>
      <c r="L161" s="37"/>
      <c r="Q161" t="s">
        <v>377</v>
      </c>
      <c r="R161" t="s">
        <v>662</v>
      </c>
      <c r="S161" t="s">
        <v>664</v>
      </c>
      <c r="T161" t="s">
        <v>693</v>
      </c>
      <c r="U161" t="s">
        <v>693</v>
      </c>
    </row>
    <row r="162" spans="2:21" customFormat="1" x14ac:dyDescent="0.3">
      <c r="B162" s="38" t="s">
        <v>669</v>
      </c>
      <c r="C162" s="36" t="s">
        <v>78</v>
      </c>
      <c r="D162" s="36" t="s">
        <v>664</v>
      </c>
      <c r="E162" s="36" t="s">
        <v>79</v>
      </c>
      <c r="F162" s="36" t="s">
        <v>79</v>
      </c>
      <c r="G162" s="36" t="s">
        <v>79</v>
      </c>
      <c r="H162" s="36"/>
      <c r="I162" s="36">
        <v>1</v>
      </c>
      <c r="J162" s="37" t="s">
        <v>669</v>
      </c>
      <c r="K162" s="37"/>
      <c r="L162" s="37"/>
      <c r="Q162" t="s">
        <v>379</v>
      </c>
      <c r="R162" t="s">
        <v>662</v>
      </c>
      <c r="S162" t="s">
        <v>664</v>
      </c>
      <c r="T162" t="s">
        <v>693</v>
      </c>
      <c r="U162" t="s">
        <v>693</v>
      </c>
    </row>
    <row r="163" spans="2:21" customFormat="1" x14ac:dyDescent="0.3">
      <c r="B163" s="38" t="s">
        <v>559</v>
      </c>
      <c r="C163" s="36" t="s">
        <v>78</v>
      </c>
      <c r="D163" s="36" t="s">
        <v>664</v>
      </c>
      <c r="E163" s="36" t="s">
        <v>79</v>
      </c>
      <c r="F163" s="36" t="s">
        <v>79</v>
      </c>
      <c r="G163" s="36" t="s">
        <v>79</v>
      </c>
      <c r="H163" s="36"/>
      <c r="I163" s="36">
        <v>1</v>
      </c>
      <c r="J163" s="37" t="s">
        <v>559</v>
      </c>
      <c r="K163" s="37"/>
      <c r="L163" s="37"/>
      <c r="Q163" t="s">
        <v>563</v>
      </c>
      <c r="R163" t="s">
        <v>662</v>
      </c>
      <c r="S163" t="s">
        <v>664</v>
      </c>
      <c r="T163" t="s">
        <v>693</v>
      </c>
      <c r="U163" t="s">
        <v>693</v>
      </c>
    </row>
    <row r="164" spans="2:21" customFormat="1" x14ac:dyDescent="0.3">
      <c r="B164" s="38" t="s">
        <v>411</v>
      </c>
      <c r="C164" s="36" t="s">
        <v>78</v>
      </c>
      <c r="D164" s="36" t="s">
        <v>664</v>
      </c>
      <c r="E164" s="36" t="s">
        <v>79</v>
      </c>
      <c r="F164" s="36" t="s">
        <v>79</v>
      </c>
      <c r="G164" s="36" t="s">
        <v>79</v>
      </c>
      <c r="H164" s="36"/>
      <c r="I164" s="36">
        <v>1</v>
      </c>
      <c r="J164" s="37" t="s">
        <v>411</v>
      </c>
      <c r="K164" s="37"/>
      <c r="L164" s="37"/>
      <c r="Q164" t="s">
        <v>383</v>
      </c>
      <c r="R164" t="s">
        <v>662</v>
      </c>
      <c r="S164" t="s">
        <v>664</v>
      </c>
      <c r="T164" t="s">
        <v>693</v>
      </c>
      <c r="U164" t="s">
        <v>693</v>
      </c>
    </row>
    <row r="165" spans="2:21" customFormat="1" x14ac:dyDescent="0.3">
      <c r="B165" s="38" t="s">
        <v>365</v>
      </c>
      <c r="C165" s="36" t="s">
        <v>78</v>
      </c>
      <c r="D165" s="36" t="s">
        <v>664</v>
      </c>
      <c r="E165" s="36" t="s">
        <v>79</v>
      </c>
      <c r="F165" s="36" t="s">
        <v>79</v>
      </c>
      <c r="G165" s="36" t="s">
        <v>79</v>
      </c>
      <c r="H165" s="36"/>
      <c r="I165" s="36">
        <v>1</v>
      </c>
      <c r="J165" s="37" t="s">
        <v>365</v>
      </c>
      <c r="K165" s="37"/>
      <c r="L165" s="37"/>
      <c r="Q165" t="s">
        <v>694</v>
      </c>
      <c r="R165" t="s">
        <v>662</v>
      </c>
      <c r="S165" t="s">
        <v>664</v>
      </c>
      <c r="T165" t="s">
        <v>693</v>
      </c>
      <c r="U165" t="s">
        <v>693</v>
      </c>
    </row>
    <row r="166" spans="2:21" customFormat="1" x14ac:dyDescent="0.3">
      <c r="B166" s="38" t="s">
        <v>212</v>
      </c>
      <c r="C166" s="36" t="s">
        <v>78</v>
      </c>
      <c r="D166" s="36" t="s">
        <v>664</v>
      </c>
      <c r="E166" s="36" t="s">
        <v>79</v>
      </c>
      <c r="F166" s="36" t="s">
        <v>79</v>
      </c>
      <c r="G166" s="36" t="s">
        <v>79</v>
      </c>
      <c r="H166" s="36"/>
      <c r="I166" s="36">
        <v>1</v>
      </c>
      <c r="J166" s="37" t="s">
        <v>212</v>
      </c>
      <c r="K166" s="37"/>
      <c r="L166" s="37"/>
      <c r="Q166" t="s">
        <v>371</v>
      </c>
      <c r="R166" t="s">
        <v>662</v>
      </c>
      <c r="S166" t="s">
        <v>664</v>
      </c>
      <c r="T166" t="s">
        <v>693</v>
      </c>
      <c r="U166" t="s">
        <v>693</v>
      </c>
    </row>
    <row r="167" spans="2:21" customFormat="1" x14ac:dyDescent="0.3">
      <c r="B167" s="38" t="s">
        <v>389</v>
      </c>
      <c r="C167" s="36" t="s">
        <v>78</v>
      </c>
      <c r="D167" s="36" t="s">
        <v>664</v>
      </c>
      <c r="E167" s="36" t="s">
        <v>79</v>
      </c>
      <c r="F167" s="36" t="s">
        <v>79</v>
      </c>
      <c r="G167" s="36" t="s">
        <v>79</v>
      </c>
      <c r="H167" s="36"/>
      <c r="I167" s="36">
        <v>1</v>
      </c>
      <c r="J167" s="37" t="s">
        <v>389</v>
      </c>
      <c r="K167" s="37"/>
      <c r="L167" s="37"/>
      <c r="Q167" t="s">
        <v>367</v>
      </c>
      <c r="R167" t="s">
        <v>662</v>
      </c>
      <c r="S167" t="s">
        <v>664</v>
      </c>
      <c r="T167" t="s">
        <v>693</v>
      </c>
      <c r="U167" t="s">
        <v>693</v>
      </c>
    </row>
    <row r="168" spans="2:21" customFormat="1" x14ac:dyDescent="0.3">
      <c r="B168" s="38" t="s">
        <v>337</v>
      </c>
      <c r="C168" s="36" t="s">
        <v>78</v>
      </c>
      <c r="D168" s="36" t="s">
        <v>664</v>
      </c>
      <c r="E168" s="36" t="s">
        <v>79</v>
      </c>
      <c r="F168" s="36" t="s">
        <v>79</v>
      </c>
      <c r="G168" s="36" t="s">
        <v>79</v>
      </c>
      <c r="H168" s="36"/>
      <c r="I168" s="36">
        <v>1</v>
      </c>
      <c r="J168" s="37" t="s">
        <v>337</v>
      </c>
      <c r="K168" s="37"/>
      <c r="L168" s="37"/>
      <c r="Q168" t="s">
        <v>221</v>
      </c>
      <c r="R168" t="s">
        <v>662</v>
      </c>
      <c r="S168" t="s">
        <v>664</v>
      </c>
      <c r="T168" t="s">
        <v>693</v>
      </c>
      <c r="U168" t="s">
        <v>693</v>
      </c>
    </row>
    <row r="169" spans="2:21" customFormat="1" x14ac:dyDescent="0.3">
      <c r="B169" s="38" t="s">
        <v>331</v>
      </c>
      <c r="C169" s="36" t="s">
        <v>78</v>
      </c>
      <c r="D169" s="36" t="s">
        <v>664</v>
      </c>
      <c r="E169" s="36" t="s">
        <v>79</v>
      </c>
      <c r="F169" s="36" t="s">
        <v>79</v>
      </c>
      <c r="G169" s="36" t="s">
        <v>79</v>
      </c>
      <c r="H169" s="36"/>
      <c r="I169" s="36">
        <v>1</v>
      </c>
      <c r="J169" s="37" t="s">
        <v>331</v>
      </c>
      <c r="K169" s="37"/>
      <c r="L169" s="37"/>
      <c r="Q169" t="s">
        <v>282</v>
      </c>
      <c r="R169" t="s">
        <v>662</v>
      </c>
      <c r="S169" t="s">
        <v>664</v>
      </c>
      <c r="T169" t="s">
        <v>693</v>
      </c>
      <c r="U169" t="s">
        <v>693</v>
      </c>
    </row>
    <row r="170" spans="2:21" customFormat="1" x14ac:dyDescent="0.3">
      <c r="B170" s="38" t="s">
        <v>425</v>
      </c>
      <c r="C170" s="36" t="s">
        <v>78</v>
      </c>
      <c r="D170" s="36" t="s">
        <v>664</v>
      </c>
      <c r="E170" s="36" t="s">
        <v>79</v>
      </c>
      <c r="F170" s="36" t="s">
        <v>79</v>
      </c>
      <c r="G170" s="36" t="s">
        <v>79</v>
      </c>
      <c r="H170" s="36"/>
      <c r="I170" s="36">
        <v>1</v>
      </c>
      <c r="J170" s="37" t="s">
        <v>425</v>
      </c>
      <c r="K170" s="37"/>
      <c r="L170" s="37"/>
      <c r="Q170" t="s">
        <v>431</v>
      </c>
      <c r="R170" t="s">
        <v>662</v>
      </c>
      <c r="S170" t="s">
        <v>664</v>
      </c>
      <c r="T170" t="s">
        <v>693</v>
      </c>
      <c r="U170" t="s">
        <v>693</v>
      </c>
    </row>
    <row r="171" spans="2:21" customFormat="1" x14ac:dyDescent="0.3">
      <c r="B171" s="38" t="s">
        <v>199</v>
      </c>
      <c r="C171" s="36" t="s">
        <v>78</v>
      </c>
      <c r="D171" s="36" t="s">
        <v>664</v>
      </c>
      <c r="E171" s="36" t="s">
        <v>79</v>
      </c>
      <c r="F171" s="36" t="s">
        <v>79</v>
      </c>
      <c r="G171" s="36" t="s">
        <v>79</v>
      </c>
      <c r="H171" s="36"/>
      <c r="I171" s="36">
        <v>1</v>
      </c>
      <c r="J171" s="37" t="s">
        <v>199</v>
      </c>
      <c r="K171" s="37"/>
      <c r="L171" s="37"/>
      <c r="Q171" t="s">
        <v>369</v>
      </c>
      <c r="R171" t="s">
        <v>662</v>
      </c>
      <c r="S171" t="s">
        <v>664</v>
      </c>
      <c r="T171" t="s">
        <v>693</v>
      </c>
      <c r="U171" t="s">
        <v>693</v>
      </c>
    </row>
    <row r="172" spans="2:21" customFormat="1" x14ac:dyDescent="0.3">
      <c r="B172" s="38" t="s">
        <v>501</v>
      </c>
      <c r="C172" s="36" t="s">
        <v>78</v>
      </c>
      <c r="D172" s="36" t="s">
        <v>664</v>
      </c>
      <c r="E172" s="36" t="s">
        <v>79</v>
      </c>
      <c r="F172" s="36" t="s">
        <v>79</v>
      </c>
      <c r="G172" s="36" t="s">
        <v>79</v>
      </c>
      <c r="H172" s="36"/>
      <c r="I172" s="36">
        <v>1</v>
      </c>
      <c r="J172" s="37" t="s">
        <v>501</v>
      </c>
      <c r="K172" s="37"/>
      <c r="L172" s="37"/>
      <c r="Q172" t="s">
        <v>561</v>
      </c>
      <c r="R172" t="s">
        <v>662</v>
      </c>
      <c r="S172" t="s">
        <v>664</v>
      </c>
      <c r="T172" t="s">
        <v>693</v>
      </c>
      <c r="U172" t="s">
        <v>693</v>
      </c>
    </row>
    <row r="173" spans="2:21" customFormat="1" x14ac:dyDescent="0.3">
      <c r="B173" s="38" t="s">
        <v>393</v>
      </c>
      <c r="C173" s="36" t="s">
        <v>78</v>
      </c>
      <c r="D173" s="36" t="s">
        <v>664</v>
      </c>
      <c r="E173" s="36" t="s">
        <v>79</v>
      </c>
      <c r="F173" s="36" t="s">
        <v>79</v>
      </c>
      <c r="G173" s="36" t="s">
        <v>79</v>
      </c>
      <c r="H173" s="36"/>
      <c r="I173" s="36">
        <v>1</v>
      </c>
      <c r="J173" s="37" t="s">
        <v>393</v>
      </c>
      <c r="K173" s="37"/>
      <c r="L173" s="37"/>
      <c r="Q173" t="s">
        <v>695</v>
      </c>
      <c r="R173" t="s">
        <v>662</v>
      </c>
      <c r="S173" t="s">
        <v>664</v>
      </c>
      <c r="T173" t="s">
        <v>693</v>
      </c>
      <c r="U173" t="s">
        <v>693</v>
      </c>
    </row>
    <row r="174" spans="2:21" customFormat="1" x14ac:dyDescent="0.3">
      <c r="B174" s="38" t="s">
        <v>242</v>
      </c>
      <c r="C174" s="36" t="s">
        <v>78</v>
      </c>
      <c r="D174" s="36" t="s">
        <v>664</v>
      </c>
      <c r="E174" s="36" t="s">
        <v>79</v>
      </c>
      <c r="F174" s="36" t="s">
        <v>79</v>
      </c>
      <c r="G174" s="36" t="s">
        <v>79</v>
      </c>
      <c r="H174" s="36"/>
      <c r="I174" s="36">
        <v>1</v>
      </c>
      <c r="J174" s="37" t="s">
        <v>242</v>
      </c>
      <c r="K174" s="37"/>
      <c r="L174" s="37"/>
      <c r="Q174" t="s">
        <v>529</v>
      </c>
      <c r="R174" t="s">
        <v>662</v>
      </c>
      <c r="S174" t="s">
        <v>664</v>
      </c>
      <c r="T174" t="s">
        <v>693</v>
      </c>
      <c r="U174" t="s">
        <v>693</v>
      </c>
    </row>
    <row r="175" spans="2:21" customFormat="1" x14ac:dyDescent="0.3">
      <c r="B175" s="38" t="s">
        <v>216</v>
      </c>
      <c r="C175" s="36" t="s">
        <v>78</v>
      </c>
      <c r="D175" s="36" t="s">
        <v>664</v>
      </c>
      <c r="E175" s="36" t="s">
        <v>79</v>
      </c>
      <c r="F175" s="36" t="s">
        <v>79</v>
      </c>
      <c r="G175" s="36" t="s">
        <v>79</v>
      </c>
      <c r="H175" s="36"/>
      <c r="I175" s="36">
        <v>1</v>
      </c>
      <c r="J175" s="37" t="s">
        <v>216</v>
      </c>
      <c r="K175" s="37"/>
      <c r="L175" s="37"/>
      <c r="Q175" t="s">
        <v>479</v>
      </c>
      <c r="R175" t="s">
        <v>662</v>
      </c>
      <c r="S175" t="s">
        <v>664</v>
      </c>
      <c r="T175" t="s">
        <v>693</v>
      </c>
      <c r="U175" t="s">
        <v>693</v>
      </c>
    </row>
    <row r="176" spans="2:21" customFormat="1" x14ac:dyDescent="0.3">
      <c r="B176" s="38" t="s">
        <v>677</v>
      </c>
      <c r="C176" s="36" t="s">
        <v>78</v>
      </c>
      <c r="D176" s="36" t="s">
        <v>664</v>
      </c>
      <c r="E176" s="36" t="s">
        <v>79</v>
      </c>
      <c r="F176" s="36" t="s">
        <v>79</v>
      </c>
      <c r="G176" s="36" t="s">
        <v>79</v>
      </c>
      <c r="H176" s="36"/>
      <c r="I176" s="36">
        <v>1</v>
      </c>
      <c r="J176" s="37" t="s">
        <v>677</v>
      </c>
      <c r="K176" s="37"/>
      <c r="L176" s="37"/>
      <c r="Q176" t="s">
        <v>218</v>
      </c>
      <c r="R176" t="s">
        <v>662</v>
      </c>
      <c r="S176" t="s">
        <v>664</v>
      </c>
      <c r="T176" t="s">
        <v>693</v>
      </c>
      <c r="U176" t="s">
        <v>693</v>
      </c>
    </row>
    <row r="177" spans="2:21" customFormat="1" x14ac:dyDescent="0.3">
      <c r="B177" s="38" t="s">
        <v>319</v>
      </c>
      <c r="C177" s="36" t="s">
        <v>78</v>
      </c>
      <c r="D177" s="36" t="s">
        <v>664</v>
      </c>
      <c r="E177" s="36" t="s">
        <v>79</v>
      </c>
      <c r="F177" s="36" t="s">
        <v>79</v>
      </c>
      <c r="G177" s="36" t="s">
        <v>79</v>
      </c>
      <c r="H177" s="36"/>
      <c r="I177" s="36">
        <v>1</v>
      </c>
      <c r="J177" s="37" t="s">
        <v>319</v>
      </c>
      <c r="K177" s="37"/>
      <c r="L177" s="37"/>
      <c r="Q177" t="s">
        <v>565</v>
      </c>
      <c r="R177" t="s">
        <v>662</v>
      </c>
      <c r="S177" t="s">
        <v>664</v>
      </c>
      <c r="T177" t="s">
        <v>693</v>
      </c>
      <c r="U177" t="s">
        <v>693</v>
      </c>
    </row>
    <row r="178" spans="2:21" customFormat="1" x14ac:dyDescent="0.3">
      <c r="B178" s="38" t="s">
        <v>312</v>
      </c>
      <c r="C178" s="36" t="s">
        <v>78</v>
      </c>
      <c r="D178" s="36" t="s">
        <v>664</v>
      </c>
      <c r="E178" s="36" t="s">
        <v>79</v>
      </c>
      <c r="F178" s="36" t="s">
        <v>79</v>
      </c>
      <c r="G178" s="36" t="s">
        <v>79</v>
      </c>
      <c r="H178" s="36"/>
      <c r="I178" s="36">
        <v>1</v>
      </c>
      <c r="J178" s="37" t="s">
        <v>312</v>
      </c>
      <c r="K178" s="37"/>
      <c r="L178" s="37"/>
      <c r="Q178" t="s">
        <v>375</v>
      </c>
      <c r="R178" t="s">
        <v>662</v>
      </c>
      <c r="S178" t="s">
        <v>664</v>
      </c>
      <c r="T178" t="s">
        <v>693</v>
      </c>
      <c r="U178" t="s">
        <v>693</v>
      </c>
    </row>
    <row r="179" spans="2:21" customFormat="1" x14ac:dyDescent="0.3">
      <c r="B179" s="38" t="s">
        <v>507</v>
      </c>
      <c r="C179" s="36" t="s">
        <v>78</v>
      </c>
      <c r="D179" s="36" t="s">
        <v>664</v>
      </c>
      <c r="E179" s="36" t="s">
        <v>79</v>
      </c>
      <c r="F179" s="36" t="s">
        <v>79</v>
      </c>
      <c r="G179" s="36" t="s">
        <v>79</v>
      </c>
      <c r="H179" s="36"/>
      <c r="I179" s="36">
        <v>1</v>
      </c>
      <c r="J179" s="37" t="s">
        <v>507</v>
      </c>
      <c r="K179" s="37"/>
      <c r="L179" s="37"/>
      <c r="Q179" t="s">
        <v>278</v>
      </c>
      <c r="R179" t="s">
        <v>662</v>
      </c>
      <c r="S179" t="s">
        <v>664</v>
      </c>
      <c r="T179" t="s">
        <v>693</v>
      </c>
      <c r="U179" t="s">
        <v>693</v>
      </c>
    </row>
    <row r="180" spans="2:21" customFormat="1" x14ac:dyDescent="0.3">
      <c r="B180" s="38" t="s">
        <v>290</v>
      </c>
      <c r="C180" s="36" t="s">
        <v>78</v>
      </c>
      <c r="D180" s="36" t="s">
        <v>664</v>
      </c>
      <c r="E180" s="36" t="s">
        <v>79</v>
      </c>
      <c r="F180" s="36" t="s">
        <v>79</v>
      </c>
      <c r="G180" s="36" t="s">
        <v>79</v>
      </c>
      <c r="H180" s="36"/>
      <c r="I180" s="36">
        <v>1</v>
      </c>
      <c r="J180" s="37" t="s">
        <v>290</v>
      </c>
      <c r="K180" s="37"/>
      <c r="L180" s="37"/>
      <c r="Q180" t="s">
        <v>525</v>
      </c>
      <c r="R180" t="s">
        <v>662</v>
      </c>
      <c r="S180" t="s">
        <v>664</v>
      </c>
      <c r="T180" t="s">
        <v>693</v>
      </c>
      <c r="U180" t="s">
        <v>693</v>
      </c>
    </row>
    <row r="181" spans="2:21" customFormat="1" x14ac:dyDescent="0.3">
      <c r="B181" s="38" t="s">
        <v>419</v>
      </c>
      <c r="C181" s="36" t="s">
        <v>78</v>
      </c>
      <c r="D181" s="36" t="s">
        <v>664</v>
      </c>
      <c r="E181" s="36" t="s">
        <v>79</v>
      </c>
      <c r="F181" s="36" t="s">
        <v>79</v>
      </c>
      <c r="G181" s="36" t="s">
        <v>79</v>
      </c>
      <c r="H181" s="36"/>
      <c r="I181" s="36">
        <v>1</v>
      </c>
      <c r="J181" s="37" t="s">
        <v>419</v>
      </c>
      <c r="K181" s="37"/>
      <c r="L181" s="37"/>
      <c r="Q181" t="s">
        <v>381</v>
      </c>
      <c r="R181" t="s">
        <v>662</v>
      </c>
      <c r="S181" t="s">
        <v>664</v>
      </c>
      <c r="T181" t="s">
        <v>693</v>
      </c>
      <c r="U181" t="s">
        <v>693</v>
      </c>
    </row>
    <row r="182" spans="2:21" customFormat="1" x14ac:dyDescent="0.3">
      <c r="B182" s="38" t="s">
        <v>567</v>
      </c>
      <c r="C182" s="36" t="s">
        <v>56</v>
      </c>
      <c r="D182" s="36" t="s">
        <v>58</v>
      </c>
      <c r="E182" s="36" t="s">
        <v>58</v>
      </c>
      <c r="F182" s="36" t="s">
        <v>58</v>
      </c>
      <c r="G182" s="36" t="s">
        <v>58</v>
      </c>
      <c r="H182" s="36"/>
      <c r="I182" s="36">
        <v>1</v>
      </c>
      <c r="J182" s="37" t="s">
        <v>567</v>
      </c>
      <c r="K182" s="37"/>
      <c r="L182" s="37"/>
      <c r="Q182" t="s">
        <v>433</v>
      </c>
      <c r="R182" t="s">
        <v>662</v>
      </c>
      <c r="S182" t="s">
        <v>664</v>
      </c>
      <c r="T182" t="s">
        <v>693</v>
      </c>
      <c r="U182" t="s">
        <v>693</v>
      </c>
    </row>
    <row r="183" spans="2:21" customFormat="1" x14ac:dyDescent="0.3">
      <c r="B183" s="38" t="s">
        <v>385</v>
      </c>
      <c r="C183" s="36" t="s">
        <v>56</v>
      </c>
      <c r="D183" s="36" t="s">
        <v>176</v>
      </c>
      <c r="E183" s="36" t="s">
        <v>176</v>
      </c>
      <c r="F183" s="36" t="s">
        <v>176</v>
      </c>
      <c r="G183" s="36" t="s">
        <v>176</v>
      </c>
      <c r="H183" s="36"/>
      <c r="I183" s="36">
        <v>1</v>
      </c>
      <c r="J183" s="37" t="s">
        <v>385</v>
      </c>
      <c r="K183" s="37"/>
      <c r="L183" s="37"/>
      <c r="Q183" t="s">
        <v>435</v>
      </c>
      <c r="R183" t="s">
        <v>662</v>
      </c>
      <c r="S183" t="s">
        <v>664</v>
      </c>
      <c r="T183" t="s">
        <v>693</v>
      </c>
      <c r="U183" t="s">
        <v>693</v>
      </c>
    </row>
    <row r="184" spans="2:21" customFormat="1" x14ac:dyDescent="0.3">
      <c r="B184" s="38" t="s">
        <v>214</v>
      </c>
      <c r="C184" s="36" t="s">
        <v>56</v>
      </c>
      <c r="D184" s="36" t="s">
        <v>176</v>
      </c>
      <c r="E184" s="36" t="s">
        <v>176</v>
      </c>
      <c r="F184" s="36" t="s">
        <v>176</v>
      </c>
      <c r="G184" s="36" t="s">
        <v>176</v>
      </c>
      <c r="H184" s="36"/>
      <c r="I184" s="36">
        <v>1</v>
      </c>
      <c r="J184" s="37" t="s">
        <v>214</v>
      </c>
      <c r="K184" s="37"/>
      <c r="L184" s="37"/>
      <c r="Q184" t="s">
        <v>373</v>
      </c>
      <c r="R184" t="s">
        <v>662</v>
      </c>
      <c r="S184" t="s">
        <v>664</v>
      </c>
      <c r="T184" t="s">
        <v>693</v>
      </c>
      <c r="U184" t="s">
        <v>693</v>
      </c>
    </row>
    <row r="185" spans="2:21" customFormat="1" x14ac:dyDescent="0.3">
      <c r="B185" s="38" t="s">
        <v>465</v>
      </c>
      <c r="C185" s="36" t="s">
        <v>56</v>
      </c>
      <c r="D185" s="36" t="s">
        <v>176</v>
      </c>
      <c r="E185" s="36" t="s">
        <v>176</v>
      </c>
      <c r="F185" s="36" t="s">
        <v>176</v>
      </c>
      <c r="G185" s="36" t="s">
        <v>176</v>
      </c>
      <c r="H185" s="36"/>
      <c r="I185" s="36">
        <v>1</v>
      </c>
      <c r="J185" s="37" t="s">
        <v>465</v>
      </c>
      <c r="K185" s="37"/>
      <c r="L185" s="37"/>
      <c r="Q185" t="s">
        <v>286</v>
      </c>
      <c r="R185" t="s">
        <v>662</v>
      </c>
      <c r="S185" t="s">
        <v>664</v>
      </c>
      <c r="T185" t="s">
        <v>693</v>
      </c>
      <c r="U185" t="s">
        <v>693</v>
      </c>
    </row>
    <row r="186" spans="2:21" customFormat="1" x14ac:dyDescent="0.3">
      <c r="B186" s="38" t="s">
        <v>543</v>
      </c>
      <c r="C186" s="36" t="s">
        <v>56</v>
      </c>
      <c r="D186" s="36" t="s">
        <v>176</v>
      </c>
      <c r="E186" s="36" t="s">
        <v>176</v>
      </c>
      <c r="F186" s="36" t="s">
        <v>176</v>
      </c>
      <c r="G186" s="36" t="s">
        <v>176</v>
      </c>
      <c r="H186" s="36"/>
      <c r="I186" s="36">
        <v>1</v>
      </c>
      <c r="J186" s="37" t="s">
        <v>543</v>
      </c>
      <c r="K186" s="37"/>
      <c r="L186" s="37"/>
      <c r="Q186" t="s">
        <v>696</v>
      </c>
      <c r="R186" t="s">
        <v>662</v>
      </c>
      <c r="S186" t="s">
        <v>664</v>
      </c>
      <c r="T186" t="s">
        <v>693</v>
      </c>
      <c r="U186" t="s">
        <v>693</v>
      </c>
    </row>
    <row r="187" spans="2:21" customFormat="1" x14ac:dyDescent="0.3">
      <c r="B187" s="38" t="s">
        <v>300</v>
      </c>
      <c r="C187" s="36" t="s">
        <v>56</v>
      </c>
      <c r="D187" s="36" t="s">
        <v>176</v>
      </c>
      <c r="E187" s="36" t="s">
        <v>176</v>
      </c>
      <c r="F187" s="36" t="s">
        <v>176</v>
      </c>
      <c r="G187" s="36" t="s">
        <v>176</v>
      </c>
      <c r="H187" s="36"/>
      <c r="I187" s="36">
        <v>1</v>
      </c>
      <c r="J187" s="37" t="s">
        <v>300</v>
      </c>
      <c r="K187" s="37"/>
      <c r="L187" s="37"/>
      <c r="Q187" t="s">
        <v>521</v>
      </c>
      <c r="R187" t="s">
        <v>662</v>
      </c>
      <c r="S187" t="s">
        <v>664</v>
      </c>
      <c r="T187" t="s">
        <v>693</v>
      </c>
      <c r="U187" t="s">
        <v>693</v>
      </c>
    </row>
    <row r="188" spans="2:21" customFormat="1" x14ac:dyDescent="0.3">
      <c r="B188" s="38" t="s">
        <v>335</v>
      </c>
      <c r="C188" s="36" t="s">
        <v>56</v>
      </c>
      <c r="D188" s="36" t="s">
        <v>176</v>
      </c>
      <c r="E188" s="36" t="s">
        <v>176</v>
      </c>
      <c r="F188" s="36" t="s">
        <v>176</v>
      </c>
      <c r="G188" s="36" t="s">
        <v>176</v>
      </c>
      <c r="H188" s="36"/>
      <c r="I188" s="36">
        <v>1</v>
      </c>
      <c r="J188" s="37" t="s">
        <v>335</v>
      </c>
      <c r="K188" s="37"/>
      <c r="L188" s="37"/>
      <c r="Q188" t="s">
        <v>591</v>
      </c>
      <c r="R188" t="s">
        <v>662</v>
      </c>
      <c r="S188" t="s">
        <v>664</v>
      </c>
      <c r="T188" t="s">
        <v>693</v>
      </c>
      <c r="U188" t="s">
        <v>693</v>
      </c>
    </row>
    <row r="189" spans="2:21" customFormat="1" x14ac:dyDescent="0.3">
      <c r="B189" s="38" t="s">
        <v>174</v>
      </c>
      <c r="C189" s="36" t="s">
        <v>56</v>
      </c>
      <c r="D189" s="36" t="s">
        <v>176</v>
      </c>
      <c r="E189" s="36" t="s">
        <v>176</v>
      </c>
      <c r="F189" s="36" t="s">
        <v>176</v>
      </c>
      <c r="G189" s="36" t="s">
        <v>176</v>
      </c>
      <c r="H189" s="36"/>
      <c r="I189" s="36">
        <v>1</v>
      </c>
      <c r="J189" s="37" t="s">
        <v>174</v>
      </c>
      <c r="K189" s="37"/>
      <c r="L189" s="37"/>
      <c r="Q189" t="s">
        <v>288</v>
      </c>
      <c r="R189" t="s">
        <v>662</v>
      </c>
      <c r="S189" t="s">
        <v>664</v>
      </c>
      <c r="T189" t="s">
        <v>693</v>
      </c>
      <c r="U189" t="s">
        <v>693</v>
      </c>
    </row>
    <row r="190" spans="2:21" customFormat="1" x14ac:dyDescent="0.3">
      <c r="B190" s="38" t="s">
        <v>687</v>
      </c>
      <c r="C190" s="36" t="s">
        <v>56</v>
      </c>
      <c r="D190" s="36" t="s">
        <v>176</v>
      </c>
      <c r="E190" s="36" t="s">
        <v>176</v>
      </c>
      <c r="F190" s="36" t="s">
        <v>176</v>
      </c>
      <c r="G190" s="36" t="s">
        <v>176</v>
      </c>
      <c r="H190" s="36"/>
      <c r="I190" s="36">
        <v>1</v>
      </c>
      <c r="J190" s="37" t="s">
        <v>687</v>
      </c>
      <c r="K190" s="37"/>
      <c r="L190" s="37"/>
      <c r="Q190" t="s">
        <v>609</v>
      </c>
      <c r="R190" t="s">
        <v>662</v>
      </c>
      <c r="S190" t="s">
        <v>664</v>
      </c>
      <c r="T190" t="s">
        <v>693</v>
      </c>
      <c r="U190" t="s">
        <v>693</v>
      </c>
    </row>
    <row r="191" spans="2:21" customFormat="1" x14ac:dyDescent="0.3">
      <c r="B191" s="38" t="s">
        <v>467</v>
      </c>
      <c r="C191" s="36" t="s">
        <v>56</v>
      </c>
      <c r="D191" s="36" t="s">
        <v>176</v>
      </c>
      <c r="E191" s="36" t="s">
        <v>176</v>
      </c>
      <c r="F191" s="36" t="s">
        <v>176</v>
      </c>
      <c r="G191" s="36" t="s">
        <v>176</v>
      </c>
      <c r="H191" s="36"/>
      <c r="I191" s="36">
        <v>1</v>
      </c>
      <c r="J191" s="37" t="s">
        <v>467</v>
      </c>
      <c r="K191" s="37"/>
      <c r="L191" s="37"/>
      <c r="Q191" t="s">
        <v>527</v>
      </c>
      <c r="R191" t="s">
        <v>662</v>
      </c>
      <c r="S191" t="s">
        <v>664</v>
      </c>
      <c r="T191" t="s">
        <v>693</v>
      </c>
      <c r="U191" t="s">
        <v>693</v>
      </c>
    </row>
    <row r="192" spans="2:21" customFormat="1" x14ac:dyDescent="0.3">
      <c r="B192" s="38" t="s">
        <v>519</v>
      </c>
      <c r="C192" s="36" t="s">
        <v>697</v>
      </c>
      <c r="D192" s="36" t="s">
        <v>664</v>
      </c>
      <c r="E192" s="36" t="s">
        <v>181</v>
      </c>
      <c r="F192" s="36" t="s">
        <v>698</v>
      </c>
      <c r="G192" s="36" t="s">
        <v>67</v>
      </c>
      <c r="H192" s="36"/>
      <c r="I192" s="36">
        <v>1</v>
      </c>
      <c r="J192" s="37" t="s">
        <v>519</v>
      </c>
      <c r="K192" s="37"/>
      <c r="L192" s="37"/>
      <c r="Q192" t="s">
        <v>519</v>
      </c>
      <c r="R192" t="s">
        <v>697</v>
      </c>
      <c r="S192" t="s">
        <v>664</v>
      </c>
      <c r="T192" t="s">
        <v>181</v>
      </c>
      <c r="U192" t="s">
        <v>698</v>
      </c>
    </row>
    <row r="193" spans="2:21" customFormat="1" x14ac:dyDescent="0.3">
      <c r="B193" s="38" t="s">
        <v>280</v>
      </c>
      <c r="C193" s="36" t="s">
        <v>697</v>
      </c>
      <c r="D193" s="36" t="s">
        <v>664</v>
      </c>
      <c r="E193" s="36" t="s">
        <v>181</v>
      </c>
      <c r="F193" s="36" t="s">
        <v>698</v>
      </c>
      <c r="G193" s="36" t="s">
        <v>67</v>
      </c>
      <c r="H193" s="36"/>
      <c r="I193" s="36">
        <v>1</v>
      </c>
      <c r="J193" s="37" t="s">
        <v>280</v>
      </c>
      <c r="K193" s="37"/>
      <c r="L193" s="37"/>
      <c r="Q193" t="s">
        <v>280</v>
      </c>
      <c r="R193" t="s">
        <v>697</v>
      </c>
      <c r="S193" t="s">
        <v>664</v>
      </c>
      <c r="T193" t="s">
        <v>181</v>
      </c>
      <c r="U193" t="s">
        <v>698</v>
      </c>
    </row>
    <row r="194" spans="2:21" customFormat="1" x14ac:dyDescent="0.3">
      <c r="B194" s="38" t="s">
        <v>551</v>
      </c>
      <c r="C194" s="36" t="s">
        <v>697</v>
      </c>
      <c r="D194" s="36" t="s">
        <v>664</v>
      </c>
      <c r="E194" s="36" t="s">
        <v>181</v>
      </c>
      <c r="F194" s="36" t="s">
        <v>698</v>
      </c>
      <c r="G194" s="36" t="s">
        <v>67</v>
      </c>
      <c r="H194" s="36"/>
      <c r="I194" s="36">
        <v>1</v>
      </c>
      <c r="J194" s="37" t="s">
        <v>551</v>
      </c>
      <c r="K194" s="37"/>
      <c r="L194" s="37"/>
      <c r="Q194" t="s">
        <v>551</v>
      </c>
      <c r="R194" t="s">
        <v>697</v>
      </c>
      <c r="S194" t="s">
        <v>664</v>
      </c>
      <c r="T194" t="s">
        <v>181</v>
      </c>
      <c r="U194" t="s">
        <v>698</v>
      </c>
    </row>
    <row r="195" spans="2:21" customFormat="1" x14ac:dyDescent="0.3">
      <c r="B195" s="38" t="s">
        <v>579</v>
      </c>
      <c r="C195" s="36" t="s">
        <v>697</v>
      </c>
      <c r="D195" s="36" t="s">
        <v>664</v>
      </c>
      <c r="E195" s="36" t="s">
        <v>181</v>
      </c>
      <c r="F195" s="36" t="s">
        <v>698</v>
      </c>
      <c r="G195" s="36" t="s">
        <v>67</v>
      </c>
      <c r="H195" s="36"/>
      <c r="I195" s="36">
        <v>1</v>
      </c>
      <c r="J195" s="37" t="s">
        <v>579</v>
      </c>
      <c r="K195" s="37"/>
      <c r="L195" s="37"/>
      <c r="Q195" t="s">
        <v>579</v>
      </c>
      <c r="R195" t="s">
        <v>697</v>
      </c>
      <c r="S195" t="s">
        <v>664</v>
      </c>
      <c r="T195" t="s">
        <v>181</v>
      </c>
      <c r="U195" t="s">
        <v>698</v>
      </c>
    </row>
    <row r="196" spans="2:21" customFormat="1" x14ac:dyDescent="0.3">
      <c r="B196" s="38" t="s">
        <v>343</v>
      </c>
      <c r="C196" s="36" t="s">
        <v>697</v>
      </c>
      <c r="D196" s="36" t="s">
        <v>664</v>
      </c>
      <c r="E196" s="36" t="s">
        <v>181</v>
      </c>
      <c r="F196" s="36" t="s">
        <v>698</v>
      </c>
      <c r="G196" s="36" t="s">
        <v>67</v>
      </c>
      <c r="H196" s="36"/>
      <c r="I196" s="36">
        <v>1</v>
      </c>
      <c r="J196" s="37" t="s">
        <v>343</v>
      </c>
      <c r="K196" s="37"/>
      <c r="L196" s="37"/>
      <c r="Q196" t="s">
        <v>343</v>
      </c>
      <c r="R196" t="s">
        <v>697</v>
      </c>
      <c r="S196" t="s">
        <v>664</v>
      </c>
      <c r="T196" t="s">
        <v>181</v>
      </c>
      <c r="U196" t="s">
        <v>698</v>
      </c>
    </row>
    <row r="197" spans="2:21" customFormat="1" x14ac:dyDescent="0.3">
      <c r="B197" s="38" t="s">
        <v>499</v>
      </c>
      <c r="C197" s="36" t="s">
        <v>697</v>
      </c>
      <c r="D197" s="36" t="s">
        <v>664</v>
      </c>
      <c r="E197" s="36" t="s">
        <v>181</v>
      </c>
      <c r="F197" s="36" t="s">
        <v>698</v>
      </c>
      <c r="G197" s="36" t="s">
        <v>67</v>
      </c>
      <c r="H197" s="36"/>
      <c r="I197" s="36">
        <v>1</v>
      </c>
      <c r="J197" s="37" t="s">
        <v>499</v>
      </c>
      <c r="K197" s="37"/>
      <c r="L197" s="37"/>
      <c r="Q197" t="s">
        <v>499</v>
      </c>
      <c r="R197" t="s">
        <v>697</v>
      </c>
      <c r="S197" t="s">
        <v>664</v>
      </c>
      <c r="T197" t="s">
        <v>181</v>
      </c>
      <c r="U197" t="s">
        <v>698</v>
      </c>
    </row>
    <row r="198" spans="2:21" customFormat="1" x14ac:dyDescent="0.3">
      <c r="B198" s="38" t="s">
        <v>208</v>
      </c>
      <c r="C198" s="36" t="s">
        <v>697</v>
      </c>
      <c r="D198" s="36" t="s">
        <v>664</v>
      </c>
      <c r="E198" s="36" t="s">
        <v>181</v>
      </c>
      <c r="F198" s="36" t="s">
        <v>698</v>
      </c>
      <c r="G198" s="36" t="s">
        <v>67</v>
      </c>
      <c r="H198" s="36"/>
      <c r="I198" s="36">
        <v>1</v>
      </c>
      <c r="J198" s="37" t="s">
        <v>208</v>
      </c>
      <c r="K198" s="37"/>
      <c r="L198" s="37"/>
      <c r="Q198" t="s">
        <v>208</v>
      </c>
      <c r="R198" t="s">
        <v>697</v>
      </c>
      <c r="S198" t="s">
        <v>664</v>
      </c>
      <c r="T198" t="s">
        <v>181</v>
      </c>
      <c r="U198" t="s">
        <v>698</v>
      </c>
    </row>
    <row r="199" spans="2:21" customFormat="1" x14ac:dyDescent="0.3">
      <c r="B199" s="38" t="s">
        <v>254</v>
      </c>
      <c r="C199" s="36" t="s">
        <v>697</v>
      </c>
      <c r="D199" s="36" t="s">
        <v>664</v>
      </c>
      <c r="E199" s="36" t="s">
        <v>181</v>
      </c>
      <c r="F199" s="36" t="s">
        <v>698</v>
      </c>
      <c r="G199" s="36" t="s">
        <v>67</v>
      </c>
      <c r="H199" s="36"/>
      <c r="I199" s="36">
        <v>1</v>
      </c>
      <c r="J199" s="37" t="s">
        <v>254</v>
      </c>
      <c r="K199" s="37"/>
      <c r="L199" s="37"/>
      <c r="Q199" t="s">
        <v>254</v>
      </c>
      <c r="R199" t="s">
        <v>697</v>
      </c>
      <c r="S199" t="s">
        <v>664</v>
      </c>
      <c r="T199" t="s">
        <v>181</v>
      </c>
      <c r="U199" t="s">
        <v>698</v>
      </c>
    </row>
    <row r="200" spans="2:21" customFormat="1" x14ac:dyDescent="0.3">
      <c r="B200" s="38" t="s">
        <v>184</v>
      </c>
      <c r="C200" s="36" t="s">
        <v>697</v>
      </c>
      <c r="D200" s="36" t="s">
        <v>664</v>
      </c>
      <c r="E200" s="36" t="s">
        <v>181</v>
      </c>
      <c r="F200" s="36" t="s">
        <v>698</v>
      </c>
      <c r="G200" s="36" t="s">
        <v>67</v>
      </c>
      <c r="H200" s="36"/>
      <c r="I200" s="36">
        <v>1</v>
      </c>
      <c r="J200" s="37" t="s">
        <v>184</v>
      </c>
      <c r="K200" s="37"/>
      <c r="L200" s="37"/>
      <c r="Q200" t="s">
        <v>184</v>
      </c>
      <c r="R200" t="s">
        <v>697</v>
      </c>
      <c r="S200" t="s">
        <v>664</v>
      </c>
      <c r="T200" t="s">
        <v>181</v>
      </c>
      <c r="U200" t="s">
        <v>698</v>
      </c>
    </row>
    <row r="201" spans="2:21" customFormat="1" x14ac:dyDescent="0.3">
      <c r="B201" s="38" t="s">
        <v>179</v>
      </c>
      <c r="C201" s="36" t="s">
        <v>697</v>
      </c>
      <c r="D201" s="36" t="s">
        <v>664</v>
      </c>
      <c r="E201" s="36" t="s">
        <v>181</v>
      </c>
      <c r="F201" s="36" t="s">
        <v>699</v>
      </c>
      <c r="G201" s="36" t="s">
        <v>67</v>
      </c>
      <c r="H201" s="36"/>
      <c r="I201" s="36">
        <v>1</v>
      </c>
      <c r="J201" s="37" t="s">
        <v>700</v>
      </c>
      <c r="K201" s="37"/>
      <c r="L201" s="37"/>
      <c r="Q201" t="s">
        <v>179</v>
      </c>
      <c r="R201" t="s">
        <v>697</v>
      </c>
      <c r="S201" t="s">
        <v>664</v>
      </c>
      <c r="T201" t="s">
        <v>181</v>
      </c>
      <c r="U201" t="s">
        <v>699</v>
      </c>
    </row>
    <row r="202" spans="2:21" customFormat="1" x14ac:dyDescent="0.3">
      <c r="B202" s="38" t="s">
        <v>210</v>
      </c>
      <c r="C202" s="36" t="s">
        <v>697</v>
      </c>
      <c r="D202" s="36" t="s">
        <v>664</v>
      </c>
      <c r="E202" s="36" t="s">
        <v>181</v>
      </c>
      <c r="F202" s="36" t="s">
        <v>698</v>
      </c>
      <c r="G202" s="36" t="s">
        <v>67</v>
      </c>
      <c r="H202" s="36"/>
      <c r="I202" s="36">
        <v>1</v>
      </c>
      <c r="J202" s="37" t="s">
        <v>210</v>
      </c>
      <c r="K202" s="37"/>
      <c r="L202" s="37"/>
      <c r="Q202" t="s">
        <v>701</v>
      </c>
      <c r="R202" t="s">
        <v>697</v>
      </c>
      <c r="S202" t="s">
        <v>664</v>
      </c>
      <c r="T202" t="s">
        <v>181</v>
      </c>
      <c r="U202" t="s">
        <v>698</v>
      </c>
    </row>
    <row r="203" spans="2:21" customFormat="1" x14ac:dyDescent="0.3">
      <c r="B203" s="36" t="s">
        <v>702</v>
      </c>
      <c r="C203" s="36" t="s">
        <v>78</v>
      </c>
      <c r="D203" s="36" t="s">
        <v>53</v>
      </c>
      <c r="E203" s="36" t="s">
        <v>70</v>
      </c>
      <c r="F203" s="36" t="s">
        <v>70</v>
      </c>
      <c r="G203" s="36"/>
      <c r="H203" s="39"/>
      <c r="I203" s="36"/>
      <c r="J203" s="37" t="s">
        <v>463</v>
      </c>
      <c r="K203" s="37"/>
      <c r="L203" s="37"/>
      <c r="Q203" t="s">
        <v>210</v>
      </c>
      <c r="R203" t="s">
        <v>697</v>
      </c>
      <c r="S203" t="s">
        <v>664</v>
      </c>
      <c r="T203" t="s">
        <v>181</v>
      </c>
      <c r="U203" t="s">
        <v>698</v>
      </c>
    </row>
    <row r="204" spans="2:21" customFormat="1" x14ac:dyDescent="0.3">
      <c r="B204" s="36" t="s">
        <v>703</v>
      </c>
      <c r="C204" s="36" t="s">
        <v>56</v>
      </c>
      <c r="D204" s="36" t="s">
        <v>704</v>
      </c>
      <c r="E204" s="36" t="s">
        <v>704</v>
      </c>
      <c r="F204" s="36" t="s">
        <v>704</v>
      </c>
      <c r="G204" s="36" t="s">
        <v>58</v>
      </c>
      <c r="H204" s="36"/>
      <c r="I204" s="36"/>
      <c r="J204" s="37" t="s">
        <v>703</v>
      </c>
      <c r="K204" s="37"/>
      <c r="L204" s="37"/>
      <c r="Q204" t="s">
        <v>179</v>
      </c>
      <c r="R204" t="s">
        <v>697</v>
      </c>
      <c r="S204" t="s">
        <v>664</v>
      </c>
      <c r="T204" t="s">
        <v>181</v>
      </c>
      <c r="U204" t="s">
        <v>699</v>
      </c>
    </row>
    <row r="205" spans="2:21" customFormat="1" x14ac:dyDescent="0.3">
      <c r="B205" s="36" t="s">
        <v>705</v>
      </c>
      <c r="C205" s="36" t="s">
        <v>78</v>
      </c>
      <c r="D205" s="36" t="s">
        <v>53</v>
      </c>
      <c r="E205" s="36" t="s">
        <v>70</v>
      </c>
      <c r="F205" s="36" t="s">
        <v>70</v>
      </c>
      <c r="G205" s="36"/>
      <c r="H205" s="39"/>
      <c r="I205" s="36"/>
      <c r="J205" s="37" t="s">
        <v>321</v>
      </c>
      <c r="K205" s="37"/>
      <c r="L205" s="37"/>
      <c r="Q205" t="s">
        <v>567</v>
      </c>
      <c r="R205" t="s">
        <v>706</v>
      </c>
      <c r="S205" t="s">
        <v>707</v>
      </c>
      <c r="T205" t="s">
        <v>707</v>
      </c>
      <c r="U205" t="s">
        <v>58</v>
      </c>
    </row>
    <row r="206" spans="2:21" customFormat="1" x14ac:dyDescent="0.3">
      <c r="B206" s="36" t="s">
        <v>708</v>
      </c>
      <c r="C206" s="36" t="s">
        <v>56</v>
      </c>
      <c r="D206" s="36" t="s">
        <v>53</v>
      </c>
      <c r="E206" s="36" t="s">
        <v>69</v>
      </c>
      <c r="F206" s="36" t="s">
        <v>69</v>
      </c>
      <c r="G206" s="36"/>
      <c r="H206" s="36" t="s">
        <v>709</v>
      </c>
      <c r="I206" s="36"/>
      <c r="J206" s="37" t="s">
        <v>710</v>
      </c>
      <c r="K206" s="37"/>
      <c r="L206" s="37"/>
      <c r="Q206" t="s">
        <v>399</v>
      </c>
      <c r="R206" t="s">
        <v>706</v>
      </c>
      <c r="S206" t="s">
        <v>660</v>
      </c>
      <c r="T206" t="s">
        <v>180</v>
      </c>
      <c r="U206" t="s">
        <v>711</v>
      </c>
    </row>
    <row r="207" spans="2:21" customFormat="1" x14ac:dyDescent="0.3">
      <c r="B207" s="36" t="s">
        <v>675</v>
      </c>
      <c r="C207" s="36" t="s">
        <v>78</v>
      </c>
      <c r="D207" s="36" t="s">
        <v>53</v>
      </c>
      <c r="E207" s="36" t="s">
        <v>70</v>
      </c>
      <c r="F207" s="36" t="s">
        <v>79</v>
      </c>
      <c r="G207" s="36"/>
      <c r="H207" s="36" t="s">
        <v>709</v>
      </c>
      <c r="I207" s="36"/>
      <c r="J207" s="37" t="s">
        <v>712</v>
      </c>
      <c r="K207" s="37"/>
      <c r="L207" s="37"/>
      <c r="Q207" t="s">
        <v>539</v>
      </c>
      <c r="R207" t="s">
        <v>706</v>
      </c>
      <c r="S207" t="s">
        <v>660</v>
      </c>
      <c r="T207" t="s">
        <v>180</v>
      </c>
      <c r="U207" t="s">
        <v>711</v>
      </c>
    </row>
    <row r="208" spans="2:21" customFormat="1" x14ac:dyDescent="0.3">
      <c r="B208" s="36" t="s">
        <v>593</v>
      </c>
      <c r="C208" s="36" t="s">
        <v>78</v>
      </c>
      <c r="D208" s="36" t="s">
        <v>53</v>
      </c>
      <c r="E208" s="36" t="s">
        <v>71</v>
      </c>
      <c r="F208" s="36" t="s">
        <v>180</v>
      </c>
      <c r="G208" s="36"/>
      <c r="H208" s="36" t="s">
        <v>709</v>
      </c>
      <c r="I208" s="36"/>
      <c r="J208" s="37" t="s">
        <v>713</v>
      </c>
      <c r="K208" s="37"/>
      <c r="L208" s="37"/>
      <c r="Q208" t="s">
        <v>437</v>
      </c>
      <c r="R208" t="s">
        <v>706</v>
      </c>
      <c r="S208" t="s">
        <v>660</v>
      </c>
      <c r="T208" t="s">
        <v>180</v>
      </c>
      <c r="U208" t="s">
        <v>711</v>
      </c>
    </row>
    <row r="209" spans="2:21" customFormat="1" x14ac:dyDescent="0.3">
      <c r="B209" s="36" t="s">
        <v>595</v>
      </c>
      <c r="C209" s="36" t="s">
        <v>78</v>
      </c>
      <c r="D209" s="36" t="s">
        <v>53</v>
      </c>
      <c r="E209" s="36" t="s">
        <v>70</v>
      </c>
      <c r="F209" s="36" t="s">
        <v>79</v>
      </c>
      <c r="G209" s="36"/>
      <c r="H209" s="36" t="s">
        <v>709</v>
      </c>
      <c r="I209" s="36"/>
      <c r="J209" s="37" t="s">
        <v>714</v>
      </c>
      <c r="K209" s="37"/>
      <c r="L209" s="37"/>
      <c r="Q209" t="s">
        <v>387</v>
      </c>
      <c r="R209" t="s">
        <v>706</v>
      </c>
      <c r="S209" t="s">
        <v>660</v>
      </c>
      <c r="T209" t="s">
        <v>180</v>
      </c>
      <c r="U209" t="s">
        <v>711</v>
      </c>
    </row>
    <row r="210" spans="2:21" customFormat="1" x14ac:dyDescent="0.3">
      <c r="B210" s="36" t="s">
        <v>403</v>
      </c>
      <c r="C210" s="36" t="s">
        <v>56</v>
      </c>
      <c r="D210" s="36" t="s">
        <v>53</v>
      </c>
      <c r="E210" s="36" t="s">
        <v>69</v>
      </c>
      <c r="F210" s="36" t="s">
        <v>77</v>
      </c>
      <c r="G210" s="36"/>
      <c r="H210" s="39"/>
      <c r="I210" s="36"/>
      <c r="J210" s="37" t="s">
        <v>403</v>
      </c>
      <c r="K210" s="37"/>
      <c r="L210" s="37"/>
      <c r="Q210" t="s">
        <v>205</v>
      </c>
      <c r="R210" t="s">
        <v>662</v>
      </c>
      <c r="S210" t="s">
        <v>664</v>
      </c>
      <c r="T210" t="s">
        <v>180</v>
      </c>
      <c r="U210" t="s">
        <v>711</v>
      </c>
    </row>
    <row r="211" spans="2:21" customFormat="1" x14ac:dyDescent="0.3">
      <c r="B211" s="36" t="s">
        <v>692</v>
      </c>
      <c r="C211" s="36" t="s">
        <v>56</v>
      </c>
      <c r="D211" s="36" t="s">
        <v>53</v>
      </c>
      <c r="E211" s="36" t="s">
        <v>69</v>
      </c>
      <c r="F211" s="36" t="s">
        <v>77</v>
      </c>
      <c r="G211" s="36"/>
      <c r="H211" s="36" t="s">
        <v>709</v>
      </c>
      <c r="I211" s="36"/>
      <c r="J211" s="37" t="s">
        <v>715</v>
      </c>
      <c r="K211" s="37"/>
      <c r="L211" s="37"/>
      <c r="Q211" t="s">
        <v>353</v>
      </c>
      <c r="R211" t="s">
        <v>688</v>
      </c>
      <c r="S211" t="s">
        <v>664</v>
      </c>
      <c r="T211" t="s">
        <v>716</v>
      </c>
      <c r="U211" t="s">
        <v>717</v>
      </c>
    </row>
    <row r="212" spans="2:21" customFormat="1" x14ac:dyDescent="0.3">
      <c r="B212" s="36" t="s">
        <v>718</v>
      </c>
      <c r="C212" s="36" t="s">
        <v>78</v>
      </c>
      <c r="D212" s="36" t="s">
        <v>53</v>
      </c>
      <c r="E212" s="36" t="s">
        <v>70</v>
      </c>
      <c r="F212" s="36" t="s">
        <v>70</v>
      </c>
      <c r="G212" s="36"/>
      <c r="H212" s="39"/>
      <c r="I212" s="36"/>
      <c r="J212" s="37" t="s">
        <v>457</v>
      </c>
      <c r="K212" s="37"/>
      <c r="L212" s="37"/>
      <c r="Q212" t="s">
        <v>593</v>
      </c>
      <c r="R212" t="s">
        <v>706</v>
      </c>
      <c r="S212" t="s">
        <v>664</v>
      </c>
      <c r="T212" t="s">
        <v>180</v>
      </c>
      <c r="U212" t="s">
        <v>717</v>
      </c>
    </row>
    <row r="213" spans="2:21" customFormat="1" x14ac:dyDescent="0.3">
      <c r="B213" s="36" t="s">
        <v>681</v>
      </c>
      <c r="C213" s="36" t="s">
        <v>78</v>
      </c>
      <c r="D213" s="36" t="s">
        <v>53</v>
      </c>
      <c r="E213" s="36" t="s">
        <v>70</v>
      </c>
      <c r="F213" s="36" t="s">
        <v>79</v>
      </c>
      <c r="G213" s="36"/>
      <c r="H213" s="39"/>
      <c r="I213" s="36"/>
      <c r="J213" s="37" t="s">
        <v>290</v>
      </c>
      <c r="K213" s="37"/>
      <c r="L213" s="37"/>
      <c r="Q213" t="s">
        <v>469</v>
      </c>
      <c r="R213" t="s">
        <v>706</v>
      </c>
      <c r="S213" t="s">
        <v>664</v>
      </c>
      <c r="T213" t="s">
        <v>180</v>
      </c>
      <c r="U213" t="s">
        <v>717</v>
      </c>
    </row>
    <row r="214" spans="2:21" customFormat="1" x14ac:dyDescent="0.3">
      <c r="B214" s="36" t="s">
        <v>719</v>
      </c>
      <c r="C214" s="36" t="s">
        <v>697</v>
      </c>
      <c r="D214" s="36" t="s">
        <v>53</v>
      </c>
      <c r="E214" s="36" t="s">
        <v>67</v>
      </c>
      <c r="F214" s="36" t="s">
        <v>698</v>
      </c>
      <c r="G214" s="36"/>
      <c r="H214" s="36"/>
      <c r="I214" s="36"/>
      <c r="J214" s="37" t="s">
        <v>719</v>
      </c>
      <c r="K214" s="37"/>
      <c r="L214" s="37"/>
      <c r="Q214" t="s">
        <v>555</v>
      </c>
      <c r="R214" t="s">
        <v>706</v>
      </c>
      <c r="S214" t="s">
        <v>664</v>
      </c>
      <c r="T214" t="s">
        <v>180</v>
      </c>
      <c r="U214" t="s">
        <v>717</v>
      </c>
    </row>
    <row r="215" spans="2:21" customFormat="1" x14ac:dyDescent="0.3">
      <c r="B215" s="36" t="s">
        <v>601</v>
      </c>
      <c r="C215" s="36" t="s">
        <v>78</v>
      </c>
      <c r="D215" s="36" t="s">
        <v>59</v>
      </c>
      <c r="E215" s="36" t="s">
        <v>70</v>
      </c>
      <c r="F215" s="36" t="s">
        <v>70</v>
      </c>
      <c r="G215" s="36"/>
      <c r="H215" s="39"/>
      <c r="I215" s="36"/>
      <c r="J215" s="37" t="s">
        <v>485</v>
      </c>
      <c r="K215" s="37"/>
      <c r="L215" s="37"/>
      <c r="Q215" t="s">
        <v>395</v>
      </c>
      <c r="R215" t="s">
        <v>706</v>
      </c>
      <c r="S215" t="s">
        <v>664</v>
      </c>
      <c r="T215" t="s">
        <v>180</v>
      </c>
      <c r="U215" t="s">
        <v>717</v>
      </c>
    </row>
    <row r="216" spans="2:21" customFormat="1" x14ac:dyDescent="0.3">
      <c r="B216" s="36" t="s">
        <v>720</v>
      </c>
      <c r="C216" s="36" t="s">
        <v>78</v>
      </c>
      <c r="D216" s="36" t="s">
        <v>53</v>
      </c>
      <c r="E216" s="36" t="s">
        <v>70</v>
      </c>
      <c r="F216" s="36" t="s">
        <v>70</v>
      </c>
      <c r="G216" s="36"/>
      <c r="H216" s="36" t="s">
        <v>709</v>
      </c>
      <c r="I216" s="36"/>
      <c r="J216" s="37" t="s">
        <v>721</v>
      </c>
      <c r="K216" s="37"/>
      <c r="L216" s="37"/>
      <c r="Q216" t="s">
        <v>665</v>
      </c>
      <c r="R216" t="s">
        <v>706</v>
      </c>
      <c r="S216" t="s">
        <v>664</v>
      </c>
      <c r="T216" t="s">
        <v>180</v>
      </c>
      <c r="U216" t="s">
        <v>711</v>
      </c>
    </row>
    <row r="217" spans="2:21" customFormat="1" x14ac:dyDescent="0.3">
      <c r="B217" s="36" t="s">
        <v>691</v>
      </c>
      <c r="C217" s="36" t="s">
        <v>56</v>
      </c>
      <c r="D217" s="36" t="s">
        <v>53</v>
      </c>
      <c r="E217" s="36" t="s">
        <v>69</v>
      </c>
      <c r="F217" s="36" t="s">
        <v>77</v>
      </c>
      <c r="G217" s="36"/>
      <c r="H217" s="39"/>
      <c r="I217" s="36"/>
      <c r="J217" s="37" t="s">
        <v>505</v>
      </c>
      <c r="K217" s="37"/>
      <c r="L217" s="37"/>
      <c r="Q217" t="s">
        <v>545</v>
      </c>
      <c r="R217" t="s">
        <v>706</v>
      </c>
      <c r="S217" t="s">
        <v>664</v>
      </c>
      <c r="T217" t="s">
        <v>180</v>
      </c>
      <c r="U217" t="s">
        <v>711</v>
      </c>
    </row>
    <row r="218" spans="2:21" customFormat="1" x14ac:dyDescent="0.3">
      <c r="B218" s="36" t="s">
        <v>722</v>
      </c>
      <c r="C218" s="36" t="s">
        <v>56</v>
      </c>
      <c r="D218" s="36" t="s">
        <v>704</v>
      </c>
      <c r="E218" s="36" t="s">
        <v>704</v>
      </c>
      <c r="F218" s="36" t="s">
        <v>704</v>
      </c>
      <c r="G218" s="36"/>
      <c r="H218" s="36" t="s">
        <v>709</v>
      </c>
      <c r="I218" s="36"/>
      <c r="J218" s="37" t="s">
        <v>723</v>
      </c>
      <c r="K218" s="37"/>
      <c r="L218" s="37"/>
      <c r="Q218" t="s">
        <v>187</v>
      </c>
      <c r="R218" t="s">
        <v>706</v>
      </c>
      <c r="S218" t="s">
        <v>664</v>
      </c>
      <c r="T218" t="s">
        <v>180</v>
      </c>
      <c r="U218" t="s">
        <v>717</v>
      </c>
    </row>
    <row r="219" spans="2:21" customFormat="1" x14ac:dyDescent="0.3">
      <c r="B219" s="36" t="s">
        <v>724</v>
      </c>
      <c r="C219" s="36" t="s">
        <v>78</v>
      </c>
      <c r="D219" s="36" t="s">
        <v>53</v>
      </c>
      <c r="E219" s="36" t="s">
        <v>70</v>
      </c>
      <c r="F219" s="36" t="s">
        <v>70</v>
      </c>
      <c r="G219" s="36"/>
      <c r="H219" s="39"/>
      <c r="I219" s="36"/>
      <c r="J219" s="37" t="s">
        <v>489</v>
      </c>
      <c r="K219" s="37"/>
      <c r="L219" s="37"/>
      <c r="Q219" t="s">
        <v>361</v>
      </c>
      <c r="R219" t="s">
        <v>706</v>
      </c>
      <c r="S219" t="s">
        <v>664</v>
      </c>
      <c r="T219" t="s">
        <v>180</v>
      </c>
      <c r="U219" t="s">
        <v>717</v>
      </c>
    </row>
    <row r="220" spans="2:21" customFormat="1" x14ac:dyDescent="0.3">
      <c r="B220" s="36" t="s">
        <v>725</v>
      </c>
      <c r="C220" s="36" t="s">
        <v>78</v>
      </c>
      <c r="D220" s="36" t="s">
        <v>53</v>
      </c>
      <c r="E220" s="36" t="s">
        <v>70</v>
      </c>
      <c r="F220" s="36" t="s">
        <v>70</v>
      </c>
      <c r="G220" s="36"/>
      <c r="H220" s="36" t="s">
        <v>709</v>
      </c>
      <c r="I220" s="36"/>
      <c r="J220" s="37" t="s">
        <v>726</v>
      </c>
      <c r="K220" s="37"/>
      <c r="L220" s="37"/>
      <c r="Q220" t="s">
        <v>409</v>
      </c>
      <c r="R220" t="s">
        <v>706</v>
      </c>
      <c r="S220" t="s">
        <v>664</v>
      </c>
      <c r="T220" t="s">
        <v>180</v>
      </c>
      <c r="U220" t="s">
        <v>717</v>
      </c>
    </row>
    <row r="221" spans="2:21" customFormat="1" x14ac:dyDescent="0.3">
      <c r="B221" s="36" t="s">
        <v>689</v>
      </c>
      <c r="C221" s="36" t="s">
        <v>56</v>
      </c>
      <c r="D221" s="36" t="s">
        <v>53</v>
      </c>
      <c r="E221" s="36" t="s">
        <v>69</v>
      </c>
      <c r="F221" s="36" t="s">
        <v>77</v>
      </c>
      <c r="G221" s="36"/>
      <c r="H221" s="36" t="s">
        <v>709</v>
      </c>
      <c r="I221" s="36"/>
      <c r="J221" s="37" t="s">
        <v>727</v>
      </c>
      <c r="K221" s="37"/>
      <c r="L221" s="37"/>
      <c r="Q221" t="s">
        <v>671</v>
      </c>
      <c r="R221" t="s">
        <v>706</v>
      </c>
      <c r="S221" t="s">
        <v>664</v>
      </c>
      <c r="T221" t="s">
        <v>180</v>
      </c>
      <c r="U221" t="s">
        <v>717</v>
      </c>
    </row>
    <row r="222" spans="2:21" customFormat="1" x14ac:dyDescent="0.3">
      <c r="B222" s="36" t="s">
        <v>690</v>
      </c>
      <c r="C222" s="36" t="s">
        <v>56</v>
      </c>
      <c r="D222" s="36" t="s">
        <v>53</v>
      </c>
      <c r="E222" s="36" t="s">
        <v>69</v>
      </c>
      <c r="F222" s="36" t="s">
        <v>77</v>
      </c>
      <c r="G222" s="36"/>
      <c r="H222" s="36" t="s">
        <v>709</v>
      </c>
      <c r="I222" s="36"/>
      <c r="J222" s="37" t="s">
        <v>728</v>
      </c>
      <c r="K222" s="37"/>
      <c r="L222" s="37"/>
    </row>
    <row r="223" spans="2:21" customFormat="1" x14ac:dyDescent="0.3">
      <c r="B223" s="36" t="s">
        <v>729</v>
      </c>
      <c r="C223" s="36" t="s">
        <v>56</v>
      </c>
      <c r="D223" s="36" t="s">
        <v>704</v>
      </c>
      <c r="E223" s="36" t="s">
        <v>704</v>
      </c>
      <c r="F223" s="36" t="s">
        <v>704</v>
      </c>
      <c r="G223" s="36"/>
      <c r="H223" s="36" t="s">
        <v>709</v>
      </c>
      <c r="I223" s="36"/>
      <c r="J223" s="37" t="s">
        <v>730</v>
      </c>
      <c r="K223" s="37"/>
      <c r="L223" s="37"/>
    </row>
    <row r="224" spans="2:21" customFormat="1" x14ac:dyDescent="0.3">
      <c r="B224" s="36" t="s">
        <v>731</v>
      </c>
      <c r="C224" s="36" t="s">
        <v>697</v>
      </c>
      <c r="D224" s="36" t="s">
        <v>53</v>
      </c>
      <c r="E224" s="36" t="s">
        <v>67</v>
      </c>
      <c r="F224" s="36" t="s">
        <v>698</v>
      </c>
      <c r="G224" s="36"/>
      <c r="H224" s="36"/>
      <c r="I224" s="36"/>
      <c r="J224" s="37" t="s">
        <v>732</v>
      </c>
      <c r="K224" s="37"/>
      <c r="L224" s="37"/>
    </row>
    <row r="225" spans="2:24" x14ac:dyDescent="0.3">
      <c r="B225" s="36" t="s">
        <v>679</v>
      </c>
      <c r="C225" s="36" t="s">
        <v>78</v>
      </c>
      <c r="D225" s="36" t="s">
        <v>53</v>
      </c>
      <c r="E225" s="36" t="s">
        <v>70</v>
      </c>
      <c r="F225" s="36" t="s">
        <v>79</v>
      </c>
      <c r="H225" s="36" t="s">
        <v>709</v>
      </c>
      <c r="J225" s="37" t="s">
        <v>733</v>
      </c>
      <c r="K225" s="37"/>
      <c r="L225" s="37"/>
      <c r="M225"/>
      <c r="N225"/>
      <c r="O225"/>
      <c r="P225"/>
      <c r="Q225"/>
      <c r="R225"/>
      <c r="S225"/>
      <c r="T225"/>
      <c r="U225"/>
      <c r="V225"/>
      <c r="W225"/>
      <c r="X225"/>
    </row>
    <row r="226" spans="2:24" x14ac:dyDescent="0.3">
      <c r="B226" s="36" t="s">
        <v>589</v>
      </c>
      <c r="C226" s="36" t="s">
        <v>78</v>
      </c>
      <c r="D226" s="36" t="s">
        <v>53</v>
      </c>
      <c r="E226" s="36" t="s">
        <v>70</v>
      </c>
      <c r="F226" s="36" t="s">
        <v>79</v>
      </c>
      <c r="H226" s="36" t="s">
        <v>709</v>
      </c>
      <c r="J226" s="37" t="s">
        <v>734</v>
      </c>
      <c r="K226" s="37"/>
      <c r="L226" s="37"/>
      <c r="M226"/>
      <c r="N226"/>
      <c r="O226"/>
      <c r="P226"/>
      <c r="Q226"/>
      <c r="R226"/>
      <c r="S226"/>
      <c r="T226"/>
      <c r="U226"/>
      <c r="V226"/>
      <c r="W226"/>
      <c r="X226"/>
    </row>
    <row r="227" spans="2:24" x14ac:dyDescent="0.3">
      <c r="B227" s="36" t="s">
        <v>670</v>
      </c>
      <c r="C227" s="36" t="s">
        <v>78</v>
      </c>
      <c r="D227" s="36" t="s">
        <v>53</v>
      </c>
      <c r="E227" s="36" t="s">
        <v>70</v>
      </c>
      <c r="F227" s="36" t="s">
        <v>79</v>
      </c>
      <c r="H227" s="36" t="s">
        <v>709</v>
      </c>
      <c r="J227" s="37" t="s">
        <v>735</v>
      </c>
      <c r="K227" s="37"/>
      <c r="L227" s="37"/>
      <c r="M227"/>
      <c r="N227"/>
      <c r="O227"/>
      <c r="P227"/>
      <c r="Q227"/>
      <c r="R227"/>
      <c r="S227"/>
      <c r="T227"/>
      <c r="U227"/>
      <c r="V227"/>
      <c r="W227"/>
      <c r="X227"/>
    </row>
    <row r="228" spans="2:24" x14ac:dyDescent="0.3">
      <c r="B228" s="36" t="s">
        <v>736</v>
      </c>
      <c r="C228" s="36" t="s">
        <v>697</v>
      </c>
      <c r="D228" s="36" t="s">
        <v>53</v>
      </c>
      <c r="E228" s="36" t="s">
        <v>67</v>
      </c>
      <c r="F228" s="36" t="s">
        <v>699</v>
      </c>
      <c r="J228" s="37" t="s">
        <v>736</v>
      </c>
      <c r="K228" s="37"/>
      <c r="L228" s="37"/>
      <c r="M228"/>
      <c r="N228"/>
      <c r="O228"/>
      <c r="P228"/>
      <c r="Q228"/>
      <c r="R228"/>
      <c r="S228"/>
      <c r="T228"/>
      <c r="U228"/>
      <c r="V228"/>
      <c r="W228"/>
      <c r="X228"/>
    </row>
    <row r="229" spans="2:24" x14ac:dyDescent="0.3">
      <c r="B229" s="36" t="s">
        <v>701</v>
      </c>
      <c r="C229" s="36" t="s">
        <v>697</v>
      </c>
      <c r="D229" s="36" t="s">
        <v>53</v>
      </c>
      <c r="E229" s="36" t="s">
        <v>67</v>
      </c>
      <c r="F229" s="36" t="s">
        <v>698</v>
      </c>
      <c r="J229" s="37" t="s">
        <v>701</v>
      </c>
      <c r="K229" s="37"/>
      <c r="L229" s="37"/>
      <c r="M229"/>
      <c r="N229"/>
      <c r="O229"/>
      <c r="P229"/>
      <c r="Q229"/>
      <c r="R229"/>
      <c r="S229"/>
      <c r="T229"/>
      <c r="U229"/>
      <c r="V229"/>
      <c r="W229"/>
      <c r="X229"/>
    </row>
    <row r="230" spans="2:24" x14ac:dyDescent="0.3">
      <c r="B230" s="36" t="s">
        <v>694</v>
      </c>
      <c r="C230" s="36" t="s">
        <v>78</v>
      </c>
      <c r="D230" s="36" t="s">
        <v>664</v>
      </c>
      <c r="E230" s="36" t="s">
        <v>79</v>
      </c>
      <c r="F230" s="36" t="s">
        <v>81</v>
      </c>
      <c r="G230" s="36" t="s">
        <v>81</v>
      </c>
      <c r="H230" s="39" t="s">
        <v>81</v>
      </c>
      <c r="J230" s="36" t="s">
        <v>383</v>
      </c>
    </row>
    <row r="231" spans="2:24" x14ac:dyDescent="0.3">
      <c r="B231" s="36" t="s">
        <v>591</v>
      </c>
      <c r="C231" s="36" t="s">
        <v>78</v>
      </c>
      <c r="D231" s="36" t="s">
        <v>664</v>
      </c>
      <c r="E231" s="36" t="s">
        <v>79</v>
      </c>
      <c r="F231" s="36" t="s">
        <v>81</v>
      </c>
      <c r="G231" s="36" t="s">
        <v>81</v>
      </c>
      <c r="H231" s="39" t="s">
        <v>81</v>
      </c>
      <c r="J231" s="36" t="s">
        <v>521</v>
      </c>
    </row>
    <row r="232" spans="2:24" x14ac:dyDescent="0.3">
      <c r="B232" s="36" t="s">
        <v>695</v>
      </c>
      <c r="C232" s="36" t="s">
        <v>78</v>
      </c>
      <c r="D232" s="36" t="s">
        <v>664</v>
      </c>
      <c r="E232" s="36" t="s">
        <v>79</v>
      </c>
      <c r="F232" s="36" t="s">
        <v>81</v>
      </c>
      <c r="G232" s="36" t="s">
        <v>81</v>
      </c>
      <c r="H232" s="39" t="s">
        <v>81</v>
      </c>
      <c r="J232" s="36" t="s">
        <v>561</v>
      </c>
    </row>
    <row r="233" spans="2:24" x14ac:dyDescent="0.3">
      <c r="B233" s="36" t="s">
        <v>696</v>
      </c>
      <c r="C233" s="36" t="s">
        <v>78</v>
      </c>
      <c r="D233" s="36" t="s">
        <v>664</v>
      </c>
      <c r="E233" s="36" t="s">
        <v>79</v>
      </c>
      <c r="F233" s="36" t="s">
        <v>81</v>
      </c>
      <c r="G233" s="36" t="s">
        <v>81</v>
      </c>
      <c r="H233" s="36" t="s">
        <v>81</v>
      </c>
      <c r="J233" s="36" t="s">
        <v>737</v>
      </c>
    </row>
    <row r="234" spans="2:24" x14ac:dyDescent="0.3">
      <c r="B234" s="36" t="s">
        <v>561</v>
      </c>
      <c r="C234" s="36" t="s">
        <v>78</v>
      </c>
      <c r="D234" s="36" t="s">
        <v>664</v>
      </c>
      <c r="E234" s="36" t="s">
        <v>79</v>
      </c>
      <c r="F234" s="36" t="s">
        <v>81</v>
      </c>
      <c r="G234" s="36" t="s">
        <v>81</v>
      </c>
      <c r="H234" s="39" t="s">
        <v>81</v>
      </c>
      <c r="J234" s="36" t="s">
        <v>561</v>
      </c>
    </row>
    <row r="235" spans="2:24" x14ac:dyDescent="0.3">
      <c r="B235" s="36" t="s">
        <v>383</v>
      </c>
      <c r="C235" s="36" t="s">
        <v>78</v>
      </c>
      <c r="D235" s="36" t="s">
        <v>664</v>
      </c>
      <c r="E235" s="36" t="s">
        <v>79</v>
      </c>
      <c r="F235" s="36" t="s">
        <v>81</v>
      </c>
      <c r="G235" s="36" t="s">
        <v>81</v>
      </c>
      <c r="H235" s="39" t="s">
        <v>81</v>
      </c>
      <c r="J235" s="36" t="s">
        <v>383</v>
      </c>
    </row>
    <row r="236" spans="2:24" x14ac:dyDescent="0.3">
      <c r="B236" s="40" t="s">
        <v>738</v>
      </c>
      <c r="C236" s="36" t="s">
        <v>78</v>
      </c>
      <c r="D236" s="36" t="s">
        <v>664</v>
      </c>
      <c r="E236" s="36" t="s">
        <v>79</v>
      </c>
      <c r="F236" s="36" t="s">
        <v>79</v>
      </c>
      <c r="G236" s="37"/>
      <c r="H236" s="37"/>
      <c r="I236" s="37"/>
      <c r="J236" s="37" t="s">
        <v>739</v>
      </c>
      <c r="K236" s="37"/>
      <c r="L236" s="37"/>
      <c r="M236"/>
      <c r="N236"/>
      <c r="O236"/>
      <c r="P236"/>
      <c r="Q236"/>
      <c r="R236"/>
      <c r="S236"/>
      <c r="T236"/>
      <c r="U236"/>
      <c r="V236"/>
      <c r="W236"/>
      <c r="X236"/>
    </row>
    <row r="237" spans="2:24" x14ac:dyDescent="0.3">
      <c r="B237" s="40" t="s">
        <v>523</v>
      </c>
      <c r="C237" s="36" t="s">
        <v>78</v>
      </c>
      <c r="D237" s="36" t="s">
        <v>664</v>
      </c>
      <c r="E237" s="36" t="s">
        <v>79</v>
      </c>
      <c r="F237" s="36" t="s">
        <v>81</v>
      </c>
      <c r="G237" s="36" t="s">
        <v>81</v>
      </c>
      <c r="H237" s="39" t="s">
        <v>81</v>
      </c>
      <c r="J237" s="36" t="s">
        <v>523</v>
      </c>
    </row>
    <row r="238" spans="2:24" x14ac:dyDescent="0.3">
      <c r="B238" t="s">
        <v>483</v>
      </c>
      <c r="C238" s="36" t="s">
        <v>78</v>
      </c>
      <c r="D238" s="36" t="s">
        <v>664</v>
      </c>
      <c r="E238" s="36" t="s">
        <v>180</v>
      </c>
      <c r="F238" s="36" t="s">
        <v>180</v>
      </c>
      <c r="G238" s="36" t="s">
        <v>666</v>
      </c>
      <c r="J238" s="37" t="s">
        <v>483</v>
      </c>
      <c r="K238" s="37"/>
      <c r="L238" s="37"/>
      <c r="M238"/>
      <c r="N238"/>
      <c r="O238"/>
      <c r="P238"/>
      <c r="Q238"/>
      <c r="R238"/>
      <c r="S238"/>
      <c r="T238"/>
      <c r="U238"/>
      <c r="V238"/>
      <c r="W238"/>
      <c r="X238"/>
    </row>
    <row r="239" spans="2:24" x14ac:dyDescent="0.3">
      <c r="B239" t="s">
        <v>740</v>
      </c>
      <c r="C239" s="40" t="s">
        <v>78</v>
      </c>
      <c r="D239" s="37" t="s">
        <v>664</v>
      </c>
      <c r="E239" s="37" t="s">
        <v>79</v>
      </c>
      <c r="F239" s="37" t="s">
        <v>79</v>
      </c>
      <c r="G239" s="37" t="s">
        <v>79</v>
      </c>
      <c r="H239" s="37"/>
      <c r="I239" s="37"/>
      <c r="J239" s="37" t="s">
        <v>677</v>
      </c>
      <c r="K239" s="37"/>
      <c r="L239" s="37"/>
      <c r="M239"/>
      <c r="N239"/>
      <c r="O239"/>
      <c r="P239"/>
      <c r="Q239"/>
      <c r="R239"/>
      <c r="S239"/>
      <c r="T239"/>
      <c r="U239"/>
      <c r="V239"/>
      <c r="W239"/>
      <c r="X239"/>
    </row>
    <row r="240" spans="2:24" x14ac:dyDescent="0.3">
      <c r="B240" t="s">
        <v>741</v>
      </c>
      <c r="C240" s="36" t="s">
        <v>56</v>
      </c>
      <c r="D240" s="36" t="s">
        <v>53</v>
      </c>
      <c r="E240" s="36" t="s">
        <v>69</v>
      </c>
      <c r="F240" s="36" t="s">
        <v>77</v>
      </c>
      <c r="G240" s="37"/>
      <c r="H240" s="37"/>
      <c r="I240" s="37"/>
      <c r="J240" s="37" t="s">
        <v>742</v>
      </c>
      <c r="K240" s="37"/>
      <c r="L240" s="37"/>
      <c r="M240"/>
      <c r="N240"/>
      <c r="O240"/>
      <c r="P240"/>
      <c r="Q240"/>
      <c r="R240"/>
      <c r="S240"/>
      <c r="T240"/>
      <c r="U240"/>
      <c r="V240"/>
      <c r="W240"/>
      <c r="X240"/>
    </row>
    <row r="241" spans="2:24" x14ac:dyDescent="0.3">
      <c r="B241" s="40" t="s">
        <v>743</v>
      </c>
      <c r="C241" s="36" t="s">
        <v>78</v>
      </c>
      <c r="D241" s="36" t="s">
        <v>664</v>
      </c>
      <c r="E241" s="36" t="s">
        <v>79</v>
      </c>
      <c r="F241" s="36" t="s">
        <v>81</v>
      </c>
      <c r="G241" s="36" t="s">
        <v>81</v>
      </c>
      <c r="H241" s="36" t="s">
        <v>81</v>
      </c>
      <c r="J241" s="36" t="s">
        <v>744</v>
      </c>
    </row>
    <row r="242" spans="2:24" x14ac:dyDescent="0.3">
      <c r="B242" t="s">
        <v>570</v>
      </c>
      <c r="C242" s="40" t="s">
        <v>697</v>
      </c>
      <c r="D242" s="37" t="s">
        <v>664</v>
      </c>
      <c r="E242" s="37" t="s">
        <v>181</v>
      </c>
      <c r="F242" s="37" t="s">
        <v>698</v>
      </c>
      <c r="G242" s="37"/>
      <c r="H242" s="37"/>
      <c r="I242" s="37"/>
      <c r="J242" s="37" t="s">
        <v>570</v>
      </c>
      <c r="K242" s="37"/>
      <c r="L242" s="37"/>
      <c r="M242"/>
      <c r="N242"/>
      <c r="O242"/>
      <c r="P242"/>
      <c r="Q242"/>
      <c r="R242"/>
      <c r="S242"/>
      <c r="T242"/>
      <c r="U242"/>
      <c r="V242"/>
      <c r="W242"/>
      <c r="X242"/>
    </row>
    <row r="243" spans="2:24" x14ac:dyDescent="0.3">
      <c r="B243" t="s">
        <v>745</v>
      </c>
      <c r="C243" s="36" t="s">
        <v>56</v>
      </c>
      <c r="D243" s="37" t="s">
        <v>176</v>
      </c>
      <c r="E243" s="37" t="s">
        <v>176</v>
      </c>
      <c r="F243" s="37" t="s">
        <v>176</v>
      </c>
      <c r="G243" s="37" t="s">
        <v>176</v>
      </c>
      <c r="H243" s="37"/>
      <c r="I243" s="37"/>
      <c r="J243" s="37" t="s">
        <v>746</v>
      </c>
      <c r="K243" s="37"/>
      <c r="L243" s="37"/>
      <c r="M243"/>
      <c r="N243"/>
      <c r="O243"/>
      <c r="P243"/>
      <c r="Q243"/>
      <c r="R243"/>
      <c r="S243"/>
      <c r="T243"/>
      <c r="U243"/>
      <c r="V243"/>
      <c r="W243"/>
      <c r="X243"/>
    </row>
    <row r="244" spans="2:24" x14ac:dyDescent="0.3">
      <c r="B244" t="s">
        <v>747</v>
      </c>
      <c r="C244" s="40" t="s">
        <v>56</v>
      </c>
      <c r="D244" s="37" t="s">
        <v>664</v>
      </c>
      <c r="E244" s="37" t="s">
        <v>77</v>
      </c>
      <c r="F244" s="37" t="s">
        <v>77</v>
      </c>
      <c r="G244" s="37"/>
      <c r="H244" s="37"/>
      <c r="I244" s="37"/>
      <c r="J244" s="37" t="s">
        <v>748</v>
      </c>
      <c r="K244" s="37"/>
      <c r="L244" s="37"/>
      <c r="M244"/>
      <c r="N244"/>
      <c r="O244"/>
      <c r="P244"/>
      <c r="Q244"/>
      <c r="R244"/>
      <c r="S244"/>
      <c r="T244"/>
      <c r="U244"/>
      <c r="V244"/>
      <c r="W244"/>
      <c r="X244"/>
    </row>
    <row r="245" spans="2:24" x14ac:dyDescent="0.3">
      <c r="B245" t="s">
        <v>573</v>
      </c>
      <c r="C245" s="36" t="s">
        <v>56</v>
      </c>
      <c r="D245" s="36" t="s">
        <v>176</v>
      </c>
      <c r="E245" s="36" t="s">
        <v>176</v>
      </c>
      <c r="F245" s="36" t="s">
        <v>176</v>
      </c>
      <c r="G245" s="36" t="s">
        <v>176</v>
      </c>
      <c r="H245" s="36" t="s">
        <v>709</v>
      </c>
      <c r="I245" s="37"/>
      <c r="J245" s="37" t="s">
        <v>746</v>
      </c>
      <c r="K245" s="37"/>
      <c r="L245" s="37"/>
      <c r="M245"/>
      <c r="N245"/>
      <c r="O245"/>
      <c r="P245"/>
      <c r="Q245"/>
      <c r="R245"/>
      <c r="S245"/>
      <c r="T245"/>
      <c r="U245"/>
      <c r="V245"/>
      <c r="W245"/>
      <c r="X245"/>
    </row>
    <row r="246" spans="2:24" x14ac:dyDescent="0.3">
      <c r="B246" t="s">
        <v>605</v>
      </c>
      <c r="C246" s="40" t="s">
        <v>56</v>
      </c>
      <c r="D246" s="37" t="s">
        <v>664</v>
      </c>
      <c r="E246" s="37" t="s">
        <v>77</v>
      </c>
      <c r="F246" s="37" t="s">
        <v>77</v>
      </c>
      <c r="G246" s="37"/>
      <c r="H246" s="37"/>
      <c r="I246" s="37"/>
      <c r="J246" s="37" t="s">
        <v>749</v>
      </c>
      <c r="K246" s="37"/>
      <c r="L246" s="37"/>
      <c r="M246"/>
      <c r="N246"/>
      <c r="O246"/>
      <c r="P246"/>
      <c r="Q246"/>
      <c r="R246"/>
      <c r="S246"/>
      <c r="T246"/>
      <c r="U246"/>
      <c r="V246"/>
      <c r="W246"/>
      <c r="X246"/>
    </row>
    <row r="247" spans="2:24" x14ac:dyDescent="0.3">
      <c r="B247" s="40" t="s">
        <v>750</v>
      </c>
      <c r="C247" s="40" t="s">
        <v>78</v>
      </c>
      <c r="D247" s="36" t="s">
        <v>664</v>
      </c>
      <c r="E247" s="36" t="s">
        <v>79</v>
      </c>
      <c r="F247" s="36" t="s">
        <v>81</v>
      </c>
      <c r="G247" s="36" t="s">
        <v>81</v>
      </c>
      <c r="H247" s="36" t="s">
        <v>81</v>
      </c>
      <c r="J247" s="36" t="s">
        <v>751</v>
      </c>
    </row>
    <row r="248" spans="2:24" x14ac:dyDescent="0.3">
      <c r="B248" t="s">
        <v>577</v>
      </c>
      <c r="C248" s="36" t="s">
        <v>78</v>
      </c>
      <c r="D248" s="36" t="s">
        <v>664</v>
      </c>
      <c r="E248" s="36" t="s">
        <v>180</v>
      </c>
      <c r="F248" s="36" t="s">
        <v>180</v>
      </c>
      <c r="G248" s="36" t="s">
        <v>667</v>
      </c>
      <c r="J248" s="37" t="s">
        <v>671</v>
      </c>
      <c r="K248" s="37"/>
      <c r="L248" s="37"/>
      <c r="M248"/>
      <c r="N248"/>
      <c r="O248"/>
      <c r="P248"/>
      <c r="Q248"/>
      <c r="R248"/>
      <c r="S248"/>
      <c r="T248"/>
      <c r="U248"/>
      <c r="V248"/>
      <c r="W248"/>
      <c r="X248"/>
    </row>
    <row r="249" spans="2:24" x14ac:dyDescent="0.3">
      <c r="B249" t="s">
        <v>575</v>
      </c>
      <c r="C249" s="36" t="s">
        <v>78</v>
      </c>
      <c r="D249" s="36" t="s">
        <v>664</v>
      </c>
      <c r="E249" s="36" t="s">
        <v>79</v>
      </c>
      <c r="F249" s="36" t="s">
        <v>79</v>
      </c>
      <c r="G249" s="37"/>
      <c r="H249" s="37"/>
      <c r="I249" s="37"/>
      <c r="J249" s="37" t="s">
        <v>752</v>
      </c>
      <c r="K249" s="37"/>
      <c r="L249" s="37"/>
      <c r="M249"/>
      <c r="N249"/>
      <c r="O249"/>
      <c r="P249"/>
      <c r="Q249"/>
      <c r="R249"/>
      <c r="S249"/>
      <c r="T249"/>
      <c r="U249"/>
      <c r="V249"/>
      <c r="W249"/>
      <c r="X249"/>
    </row>
    <row r="250" spans="2:24" x14ac:dyDescent="0.3">
      <c r="B250" s="38" t="s">
        <v>753</v>
      </c>
      <c r="C250" s="36" t="s">
        <v>56</v>
      </c>
      <c r="D250" s="36" t="s">
        <v>664</v>
      </c>
      <c r="E250" s="36" t="s">
        <v>77</v>
      </c>
      <c r="F250" s="36" t="s">
        <v>77</v>
      </c>
      <c r="G250" s="36" t="s">
        <v>666</v>
      </c>
      <c r="J250" s="37" t="s">
        <v>680</v>
      </c>
      <c r="K250" s="37"/>
      <c r="L250" s="37"/>
      <c r="M250"/>
      <c r="N250"/>
      <c r="O250"/>
      <c r="P250"/>
      <c r="Q250"/>
      <c r="R250"/>
      <c r="S250"/>
      <c r="T250"/>
      <c r="U250"/>
      <c r="V250"/>
      <c r="W250"/>
      <c r="X250"/>
    </row>
    <row r="251" spans="2:24" x14ac:dyDescent="0.3">
      <c r="B251" s="40" t="s">
        <v>754</v>
      </c>
      <c r="C251" s="40" t="s">
        <v>78</v>
      </c>
      <c r="D251" s="36" t="s">
        <v>664</v>
      </c>
      <c r="E251" s="36" t="s">
        <v>79</v>
      </c>
      <c r="F251" s="36" t="s">
        <v>81</v>
      </c>
      <c r="G251" s="36" t="s">
        <v>81</v>
      </c>
      <c r="H251" s="36" t="s">
        <v>81</v>
      </c>
      <c r="J251" s="36" t="s">
        <v>755</v>
      </c>
    </row>
    <row r="252" spans="2:24" x14ac:dyDescent="0.3">
      <c r="B252" s="38" t="s">
        <v>756</v>
      </c>
      <c r="C252" s="36" t="s">
        <v>78</v>
      </c>
      <c r="D252" s="36" t="s">
        <v>664</v>
      </c>
      <c r="E252" s="36" t="s">
        <v>79</v>
      </c>
      <c r="F252" s="36" t="s">
        <v>79</v>
      </c>
      <c r="G252" s="36" t="s">
        <v>79</v>
      </c>
      <c r="J252" s="37" t="s">
        <v>223</v>
      </c>
      <c r="K252" s="37"/>
      <c r="L252" s="37"/>
      <c r="M252"/>
      <c r="N252"/>
      <c r="O252"/>
      <c r="P252"/>
      <c r="Q252"/>
      <c r="R252"/>
      <c r="S252"/>
      <c r="T252"/>
      <c r="U252"/>
      <c r="V252"/>
      <c r="W252"/>
      <c r="X252"/>
    </row>
    <row r="253" spans="2:24" x14ac:dyDescent="0.3">
      <c r="B253" s="40" t="s">
        <v>603</v>
      </c>
      <c r="C253" s="40" t="s">
        <v>78</v>
      </c>
      <c r="D253" s="36" t="s">
        <v>664</v>
      </c>
      <c r="E253" s="36" t="s">
        <v>79</v>
      </c>
      <c r="F253" s="36" t="s">
        <v>81</v>
      </c>
      <c r="G253" s="36" t="s">
        <v>81</v>
      </c>
      <c r="H253" s="36" t="s">
        <v>81</v>
      </c>
      <c r="J253" s="36" t="s">
        <v>755</v>
      </c>
    </row>
    <row r="254" spans="2:24" x14ac:dyDescent="0.3">
      <c r="B254" s="40" t="s">
        <v>571</v>
      </c>
      <c r="C254" s="40" t="s">
        <v>56</v>
      </c>
      <c r="D254" s="37" t="s">
        <v>664</v>
      </c>
      <c r="E254" s="37" t="s">
        <v>77</v>
      </c>
      <c r="F254" s="37" t="s">
        <v>77</v>
      </c>
      <c r="J254" s="36" t="s">
        <v>757</v>
      </c>
    </row>
    <row r="255" spans="2:24" x14ac:dyDescent="0.3">
      <c r="B255" s="40"/>
      <c r="C255" s="40"/>
    </row>
    <row r="256" spans="2:24" x14ac:dyDescent="0.3">
      <c r="B256" s="40"/>
      <c r="C256" s="40"/>
    </row>
    <row r="257" spans="2:3" x14ac:dyDescent="0.3">
      <c r="B257" s="40"/>
      <c r="C257" s="40"/>
    </row>
    <row r="258" spans="2:3" x14ac:dyDescent="0.3">
      <c r="B258" s="40"/>
      <c r="C258" s="40"/>
    </row>
    <row r="259" spans="2:3" x14ac:dyDescent="0.3">
      <c r="B259" s="40"/>
      <c r="C259" s="40"/>
    </row>
    <row r="260" spans="2:3" x14ac:dyDescent="0.3">
      <c r="B260" s="40"/>
      <c r="C260" s="40"/>
    </row>
    <row r="261" spans="2:3" x14ac:dyDescent="0.3">
      <c r="B261" s="40"/>
      <c r="C261" s="40"/>
    </row>
    <row r="262" spans="2:3" x14ac:dyDescent="0.3">
      <c r="B262" s="40"/>
      <c r="C262" s="40"/>
    </row>
    <row r="263" spans="2:3" x14ac:dyDescent="0.3">
      <c r="B263" s="40"/>
      <c r="C263" s="40"/>
    </row>
    <row r="264" spans="2:3" x14ac:dyDescent="0.3">
      <c r="B264" s="40"/>
      <c r="C264" s="40"/>
    </row>
    <row r="265" spans="2:3" x14ac:dyDescent="0.3">
      <c r="B265" s="40"/>
      <c r="C265" s="40"/>
    </row>
    <row r="266" spans="2:3" x14ac:dyDescent="0.3">
      <c r="B266" s="40"/>
      <c r="C266" s="40"/>
    </row>
    <row r="267" spans="2:3" x14ac:dyDescent="0.3">
      <c r="B267" s="40"/>
      <c r="C267" s="40"/>
    </row>
    <row r="268" spans="2:3" x14ac:dyDescent="0.3">
      <c r="B268" s="40"/>
      <c r="C268" s="40"/>
    </row>
    <row r="269" spans="2:3" x14ac:dyDescent="0.3">
      <c r="B269" s="40"/>
      <c r="C269" s="40"/>
    </row>
    <row r="270" spans="2:3" x14ac:dyDescent="0.3">
      <c r="B270" s="40"/>
      <c r="C270" s="40"/>
    </row>
    <row r="271" spans="2:3" x14ac:dyDescent="0.3">
      <c r="B271" s="40"/>
      <c r="C271" s="40"/>
    </row>
    <row r="272" spans="2:3" x14ac:dyDescent="0.3">
      <c r="B272" s="40"/>
      <c r="C272" s="40"/>
    </row>
    <row r="273" spans="2:3" x14ac:dyDescent="0.3">
      <c r="B273" s="40"/>
      <c r="C273" s="40"/>
    </row>
    <row r="274" spans="2:3" x14ac:dyDescent="0.3">
      <c r="B274" s="40"/>
      <c r="C274" s="40"/>
    </row>
    <row r="275" spans="2:3" x14ac:dyDescent="0.3">
      <c r="B275" s="40"/>
      <c r="C275" s="40"/>
    </row>
    <row r="276" spans="2:3" x14ac:dyDescent="0.3">
      <c r="B276" s="40"/>
      <c r="C276" s="40"/>
    </row>
    <row r="277" spans="2:3" x14ac:dyDescent="0.3">
      <c r="B277" s="40"/>
      <c r="C277" s="40"/>
    </row>
    <row r="278" spans="2:3" x14ac:dyDescent="0.3">
      <c r="B278" s="40"/>
      <c r="C278" s="40"/>
    </row>
    <row r="279" spans="2:3" x14ac:dyDescent="0.3">
      <c r="B279" s="40"/>
      <c r="C279" s="40"/>
    </row>
    <row r="280" spans="2:3" x14ac:dyDescent="0.3">
      <c r="B280" s="40"/>
      <c r="C280" s="40"/>
    </row>
    <row r="281" spans="2:3" x14ac:dyDescent="0.3">
      <c r="B281" s="40"/>
      <c r="C281" s="40"/>
    </row>
    <row r="282" spans="2:3" x14ac:dyDescent="0.3">
      <c r="B282" s="40"/>
      <c r="C282" s="40"/>
    </row>
    <row r="283" spans="2:3" x14ac:dyDescent="0.3">
      <c r="B283" s="40"/>
      <c r="C283" s="40"/>
    </row>
    <row r="284" spans="2:3" x14ac:dyDescent="0.3">
      <c r="B284" s="40"/>
      <c r="C284" s="40"/>
    </row>
    <row r="285" spans="2:3" x14ac:dyDescent="0.3">
      <c r="B285" s="40"/>
      <c r="C285" s="40"/>
    </row>
    <row r="286" spans="2:3" x14ac:dyDescent="0.3">
      <c r="B286" s="40"/>
      <c r="C286" s="40"/>
    </row>
    <row r="287" spans="2:3" x14ac:dyDescent="0.3">
      <c r="B287" s="40"/>
      <c r="C287" s="40"/>
    </row>
    <row r="288" spans="2:3" x14ac:dyDescent="0.3">
      <c r="B288" s="40"/>
      <c r="C288" s="40"/>
    </row>
    <row r="289" spans="2:3" x14ac:dyDescent="0.3">
      <c r="B289" s="40"/>
      <c r="C289" s="40"/>
    </row>
    <row r="290" spans="2:3" x14ac:dyDescent="0.3">
      <c r="B290" s="40"/>
      <c r="C290" s="40"/>
    </row>
    <row r="291" spans="2:3" x14ac:dyDescent="0.3">
      <c r="B291" s="40"/>
      <c r="C291" s="40"/>
    </row>
    <row r="292" spans="2:3" x14ac:dyDescent="0.3">
      <c r="B292" s="40"/>
      <c r="C292" s="40"/>
    </row>
    <row r="293" spans="2:3" x14ac:dyDescent="0.3">
      <c r="B293" s="40"/>
      <c r="C293" s="40"/>
    </row>
    <row r="294" spans="2:3" x14ac:dyDescent="0.3">
      <c r="B294" s="40"/>
      <c r="C294" s="40"/>
    </row>
    <row r="295" spans="2:3" x14ac:dyDescent="0.3">
      <c r="B295" s="40"/>
      <c r="C295" s="40"/>
    </row>
    <row r="296" spans="2:3" x14ac:dyDescent="0.3">
      <c r="B296" s="40"/>
      <c r="C296" s="40"/>
    </row>
    <row r="297" spans="2:3" x14ac:dyDescent="0.3">
      <c r="B297" s="40"/>
      <c r="C297" s="40"/>
    </row>
    <row r="298" spans="2:3" x14ac:dyDescent="0.3">
      <c r="B298" s="40"/>
      <c r="C298" s="40"/>
    </row>
    <row r="299" spans="2:3" x14ac:dyDescent="0.3">
      <c r="B299" s="40"/>
      <c r="C299" s="40"/>
    </row>
    <row r="300" spans="2:3" x14ac:dyDescent="0.3">
      <c r="B300" s="40"/>
      <c r="C300" s="40"/>
    </row>
    <row r="301" spans="2:3" x14ac:dyDescent="0.3">
      <c r="B301" s="40"/>
      <c r="C301" s="40"/>
    </row>
    <row r="302" spans="2:3" x14ac:dyDescent="0.3">
      <c r="B302" s="40"/>
      <c r="C302" s="40"/>
    </row>
    <row r="303" spans="2:3" x14ac:dyDescent="0.3">
      <c r="B303" s="40"/>
      <c r="C303" s="40"/>
    </row>
    <row r="304" spans="2:3" x14ac:dyDescent="0.3">
      <c r="B304" s="40"/>
      <c r="C304" s="40"/>
    </row>
    <row r="305" spans="2:3" x14ac:dyDescent="0.3">
      <c r="B305" s="40"/>
      <c r="C305" s="40"/>
    </row>
    <row r="306" spans="2:3" x14ac:dyDescent="0.3">
      <c r="B306" s="40"/>
      <c r="C306" s="40"/>
    </row>
    <row r="307" spans="2:3" x14ac:dyDescent="0.3">
      <c r="B307" s="40"/>
      <c r="C307" s="40"/>
    </row>
    <row r="308" spans="2:3" x14ac:dyDescent="0.3">
      <c r="B308" s="40"/>
      <c r="C308" s="40"/>
    </row>
    <row r="309" spans="2:3" x14ac:dyDescent="0.3">
      <c r="B309" s="40"/>
      <c r="C309" s="40"/>
    </row>
    <row r="310" spans="2:3" x14ac:dyDescent="0.3">
      <c r="B310" s="40"/>
      <c r="C310" s="40"/>
    </row>
    <row r="311" spans="2:3" x14ac:dyDescent="0.3">
      <c r="B311" s="40"/>
      <c r="C311" s="40"/>
    </row>
    <row r="312" spans="2:3" x14ac:dyDescent="0.3">
      <c r="B312" s="40"/>
      <c r="C312" s="40"/>
    </row>
    <row r="313" spans="2:3" x14ac:dyDescent="0.3">
      <c r="B313" s="40"/>
      <c r="C313" s="40"/>
    </row>
    <row r="314" spans="2:3" x14ac:dyDescent="0.3">
      <c r="B314" s="40"/>
      <c r="C314" s="40"/>
    </row>
    <row r="315" spans="2:3" x14ac:dyDescent="0.3">
      <c r="B315" s="40"/>
      <c r="C315" s="40"/>
    </row>
    <row r="316" spans="2:3" x14ac:dyDescent="0.3">
      <c r="B316" s="40"/>
      <c r="C316" s="40"/>
    </row>
    <row r="317" spans="2:3" x14ac:dyDescent="0.3">
      <c r="B317" s="40"/>
      <c r="C317" s="40"/>
    </row>
    <row r="318" spans="2:3" x14ac:dyDescent="0.3">
      <c r="B318" s="40"/>
      <c r="C318" s="40"/>
    </row>
    <row r="319" spans="2:3" x14ac:dyDescent="0.3">
      <c r="B319" s="40"/>
      <c r="C319" s="40"/>
    </row>
    <row r="320" spans="2:3" x14ac:dyDescent="0.3">
      <c r="B320" s="40"/>
      <c r="C320" s="40"/>
    </row>
    <row r="321" spans="2:3" x14ac:dyDescent="0.3">
      <c r="B321" s="40"/>
      <c r="C321" s="40"/>
    </row>
    <row r="322" spans="2:3" x14ac:dyDescent="0.3">
      <c r="B322" s="40"/>
      <c r="C322" s="40"/>
    </row>
    <row r="323" spans="2:3" x14ac:dyDescent="0.3">
      <c r="B323" s="40"/>
      <c r="C323" s="40"/>
    </row>
    <row r="324" spans="2:3" x14ac:dyDescent="0.3">
      <c r="B324" s="40"/>
      <c r="C324" s="40"/>
    </row>
    <row r="325" spans="2:3" x14ac:dyDescent="0.3">
      <c r="B325" s="40"/>
      <c r="C325" s="40"/>
    </row>
    <row r="326" spans="2:3" x14ac:dyDescent="0.3">
      <c r="B326" s="40"/>
      <c r="C326" s="40"/>
    </row>
    <row r="327" spans="2:3" x14ac:dyDescent="0.3">
      <c r="B327" s="40"/>
      <c r="C327" s="40"/>
    </row>
    <row r="328" spans="2:3" x14ac:dyDescent="0.3">
      <c r="B328" s="40"/>
      <c r="C328" s="40"/>
    </row>
    <row r="329" spans="2:3" x14ac:dyDescent="0.3">
      <c r="B329" s="40"/>
      <c r="C329" s="40"/>
    </row>
    <row r="330" spans="2:3" x14ac:dyDescent="0.3">
      <c r="B330" s="40"/>
      <c r="C330" s="40"/>
    </row>
    <row r="331" spans="2:3" x14ac:dyDescent="0.3">
      <c r="B331" s="40"/>
      <c r="C331" s="40"/>
    </row>
    <row r="332" spans="2:3" x14ac:dyDescent="0.3">
      <c r="B332" s="40"/>
      <c r="C332" s="40"/>
    </row>
    <row r="333" spans="2:3" x14ac:dyDescent="0.3">
      <c r="B333" s="40"/>
      <c r="C333" s="40"/>
    </row>
    <row r="334" spans="2:3" x14ac:dyDescent="0.3">
      <c r="B334" s="40"/>
      <c r="C334" s="40"/>
    </row>
    <row r="335" spans="2:3" x14ac:dyDescent="0.3">
      <c r="B335" s="40"/>
      <c r="C335" s="40"/>
    </row>
    <row r="336" spans="2:3" x14ac:dyDescent="0.3">
      <c r="B336" s="40"/>
      <c r="C336" s="40"/>
    </row>
    <row r="337" spans="2:3" x14ac:dyDescent="0.3">
      <c r="B337" s="40"/>
      <c r="C337" s="40"/>
    </row>
    <row r="338" spans="2:3" x14ac:dyDescent="0.3">
      <c r="B338" s="40"/>
      <c r="C338" s="40"/>
    </row>
    <row r="339" spans="2:3" x14ac:dyDescent="0.3">
      <c r="B339" s="40"/>
      <c r="C339" s="40"/>
    </row>
    <row r="340" spans="2:3" x14ac:dyDescent="0.3">
      <c r="B340" s="40"/>
      <c r="C340" s="40"/>
    </row>
    <row r="341" spans="2:3" x14ac:dyDescent="0.3">
      <c r="B341" s="40"/>
      <c r="C341" s="40"/>
    </row>
    <row r="342" spans="2:3" x14ac:dyDescent="0.3">
      <c r="B342" s="40"/>
      <c r="C342" s="40"/>
    </row>
    <row r="343" spans="2:3" x14ac:dyDescent="0.3">
      <c r="B343" s="40"/>
      <c r="C343" s="40"/>
    </row>
    <row r="344" spans="2:3" x14ac:dyDescent="0.3">
      <c r="B344" s="40"/>
      <c r="C344" s="40"/>
    </row>
    <row r="345" spans="2:3" x14ac:dyDescent="0.3">
      <c r="B345" s="40"/>
      <c r="C345" s="40"/>
    </row>
    <row r="346" spans="2:3" x14ac:dyDescent="0.3">
      <c r="B346" s="40"/>
      <c r="C346" s="40"/>
    </row>
    <row r="347" spans="2:3" x14ac:dyDescent="0.3">
      <c r="B347" s="40"/>
      <c r="C347" s="40"/>
    </row>
    <row r="348" spans="2:3" x14ac:dyDescent="0.3">
      <c r="B348" s="40"/>
      <c r="C348" s="40"/>
    </row>
    <row r="349" spans="2:3" x14ac:dyDescent="0.3">
      <c r="B349" s="40"/>
      <c r="C349" s="40"/>
    </row>
    <row r="350" spans="2:3" x14ac:dyDescent="0.3">
      <c r="B350" s="40"/>
      <c r="C350" s="40"/>
    </row>
    <row r="351" spans="2:3" x14ac:dyDescent="0.3">
      <c r="B351" s="40"/>
      <c r="C351" s="40"/>
    </row>
    <row r="352" spans="2:3" x14ac:dyDescent="0.3">
      <c r="B352" s="40"/>
      <c r="C352" s="40"/>
    </row>
    <row r="353" spans="2:3" x14ac:dyDescent="0.3">
      <c r="B353" s="40"/>
      <c r="C353" s="40"/>
    </row>
    <row r="354" spans="2:3" x14ac:dyDescent="0.3">
      <c r="B354" s="40"/>
      <c r="C354" s="40"/>
    </row>
    <row r="355" spans="2:3" x14ac:dyDescent="0.3">
      <c r="B355" s="40"/>
      <c r="C355" s="40"/>
    </row>
    <row r="356" spans="2:3" x14ac:dyDescent="0.3">
      <c r="B356" s="40"/>
      <c r="C356" s="40"/>
    </row>
    <row r="357" spans="2:3" x14ac:dyDescent="0.3">
      <c r="B357" s="40"/>
      <c r="C357" s="40"/>
    </row>
    <row r="358" spans="2:3" x14ac:dyDescent="0.3">
      <c r="B358" s="40"/>
      <c r="C358" s="40"/>
    </row>
    <row r="359" spans="2:3" x14ac:dyDescent="0.3">
      <c r="B359" s="40"/>
      <c r="C359" s="40"/>
    </row>
    <row r="360" spans="2:3" x14ac:dyDescent="0.3">
      <c r="B360" s="40"/>
      <c r="C360" s="40"/>
    </row>
    <row r="361" spans="2:3" x14ac:dyDescent="0.3">
      <c r="B361" s="40"/>
      <c r="C361" s="40"/>
    </row>
    <row r="362" spans="2:3" x14ac:dyDescent="0.3">
      <c r="B362" s="40"/>
      <c r="C362" s="40"/>
    </row>
    <row r="363" spans="2:3" x14ac:dyDescent="0.3">
      <c r="B363" s="40"/>
      <c r="C363" s="40"/>
    </row>
    <row r="364" spans="2:3" x14ac:dyDescent="0.3">
      <c r="B364" s="40"/>
      <c r="C364" s="40"/>
    </row>
    <row r="365" spans="2:3" x14ac:dyDescent="0.3">
      <c r="B365" s="40"/>
      <c r="C365" s="40"/>
    </row>
    <row r="366" spans="2:3" x14ac:dyDescent="0.3">
      <c r="B366" s="40"/>
      <c r="C366" s="40"/>
    </row>
    <row r="367" spans="2:3" x14ac:dyDescent="0.3">
      <c r="B367" s="40"/>
      <c r="C367" s="40"/>
    </row>
    <row r="368" spans="2:3" x14ac:dyDescent="0.3">
      <c r="B368" s="40"/>
      <c r="C368" s="40"/>
    </row>
    <row r="369" spans="2:3" x14ac:dyDescent="0.3">
      <c r="B369" s="40"/>
      <c r="C369" s="40"/>
    </row>
    <row r="370" spans="2:3" x14ac:dyDescent="0.3">
      <c r="B370" s="40"/>
      <c r="C370" s="40"/>
    </row>
    <row r="371" spans="2:3" x14ac:dyDescent="0.3">
      <c r="B371" s="40"/>
      <c r="C371" s="40"/>
    </row>
    <row r="372" spans="2:3" x14ac:dyDescent="0.3">
      <c r="B372" s="40"/>
      <c r="C372" s="40"/>
    </row>
    <row r="373" spans="2:3" x14ac:dyDescent="0.3">
      <c r="B373" s="40"/>
      <c r="C373" s="40"/>
    </row>
    <row r="374" spans="2:3" x14ac:dyDescent="0.3">
      <c r="B374" s="40"/>
      <c r="C374" s="40"/>
    </row>
    <row r="375" spans="2:3" x14ac:dyDescent="0.3">
      <c r="B375" s="40"/>
      <c r="C375" s="40"/>
    </row>
    <row r="376" spans="2:3" x14ac:dyDescent="0.3">
      <c r="B376" s="40"/>
      <c r="C376" s="40"/>
    </row>
    <row r="377" spans="2:3" x14ac:dyDescent="0.3">
      <c r="B377" s="40"/>
      <c r="C377" s="40"/>
    </row>
    <row r="378" spans="2:3" x14ac:dyDescent="0.3">
      <c r="B378" s="40"/>
      <c r="C378" s="40"/>
    </row>
    <row r="379" spans="2:3" x14ac:dyDescent="0.3">
      <c r="B379" s="40"/>
      <c r="C379" s="40"/>
    </row>
    <row r="380" spans="2:3" x14ac:dyDescent="0.3">
      <c r="B380" s="40"/>
      <c r="C380" s="40"/>
    </row>
    <row r="381" spans="2:3" x14ac:dyDescent="0.3">
      <c r="B381" s="40"/>
      <c r="C381" s="40"/>
    </row>
    <row r="382" spans="2:3" x14ac:dyDescent="0.3">
      <c r="B382" s="40"/>
      <c r="C382" s="40"/>
    </row>
    <row r="383" spans="2:3" x14ac:dyDescent="0.3">
      <c r="B383" s="40"/>
      <c r="C383" s="40"/>
    </row>
    <row r="384" spans="2:3" x14ac:dyDescent="0.3">
      <c r="B384" s="40"/>
      <c r="C384" s="40"/>
    </row>
    <row r="385" spans="2:3" x14ac:dyDescent="0.3">
      <c r="B385" s="40"/>
      <c r="C385" s="40"/>
    </row>
    <row r="386" spans="2:3" x14ac:dyDescent="0.3">
      <c r="B386" s="40"/>
      <c r="C386" s="40"/>
    </row>
    <row r="387" spans="2:3" x14ac:dyDescent="0.3">
      <c r="B387" s="40"/>
      <c r="C387" s="40"/>
    </row>
    <row r="388" spans="2:3" x14ac:dyDescent="0.3">
      <c r="B388" s="40"/>
      <c r="C388" s="40"/>
    </row>
    <row r="389" spans="2:3" x14ac:dyDescent="0.3">
      <c r="B389" s="40"/>
      <c r="C389" s="40"/>
    </row>
    <row r="390" spans="2:3" x14ac:dyDescent="0.3">
      <c r="B390" s="40"/>
      <c r="C390" s="40"/>
    </row>
    <row r="391" spans="2:3" x14ac:dyDescent="0.3">
      <c r="B391" s="40"/>
      <c r="C391" s="40"/>
    </row>
    <row r="392" spans="2:3" x14ac:dyDescent="0.3">
      <c r="B392" s="40"/>
      <c r="C392" s="40"/>
    </row>
    <row r="393" spans="2:3" x14ac:dyDescent="0.3">
      <c r="B393" s="40"/>
      <c r="C393" s="40"/>
    </row>
    <row r="394" spans="2:3" x14ac:dyDescent="0.3">
      <c r="B394" s="40"/>
      <c r="C394" s="40"/>
    </row>
    <row r="395" spans="2:3" x14ac:dyDescent="0.3">
      <c r="B395" s="40"/>
      <c r="C395" s="40"/>
    </row>
    <row r="396" spans="2:3" x14ac:dyDescent="0.3">
      <c r="B396" s="40"/>
      <c r="C396" s="40"/>
    </row>
    <row r="397" spans="2:3" x14ac:dyDescent="0.3">
      <c r="B397" s="40"/>
      <c r="C397" s="40"/>
    </row>
    <row r="398" spans="2:3" x14ac:dyDescent="0.3">
      <c r="B398" s="40"/>
      <c r="C398" s="40"/>
    </row>
    <row r="399" spans="2:3" x14ac:dyDescent="0.3">
      <c r="B399" s="40"/>
      <c r="C399" s="40"/>
    </row>
    <row r="400" spans="2:3" x14ac:dyDescent="0.3">
      <c r="B400" s="40"/>
      <c r="C400" s="40"/>
    </row>
    <row r="401" spans="2:3" x14ac:dyDescent="0.3">
      <c r="B401" s="40"/>
      <c r="C401" s="40"/>
    </row>
    <row r="402" spans="2:3" x14ac:dyDescent="0.3">
      <c r="B402" s="40"/>
      <c r="C402" s="40"/>
    </row>
    <row r="403" spans="2:3" x14ac:dyDescent="0.3">
      <c r="B403" s="40"/>
      <c r="C403" s="40"/>
    </row>
    <row r="404" spans="2:3" x14ac:dyDescent="0.3">
      <c r="B404" s="40"/>
      <c r="C404" s="40"/>
    </row>
    <row r="405" spans="2:3" x14ac:dyDescent="0.3">
      <c r="B405" s="40"/>
      <c r="C405" s="40"/>
    </row>
    <row r="406" spans="2:3" x14ac:dyDescent="0.3">
      <c r="B406" s="40"/>
      <c r="C406" s="40"/>
    </row>
    <row r="407" spans="2:3" x14ac:dyDescent="0.3">
      <c r="B407" s="40"/>
      <c r="C407" s="40"/>
    </row>
    <row r="408" spans="2:3" x14ac:dyDescent="0.3">
      <c r="B408" s="40"/>
      <c r="C408" s="40"/>
    </row>
    <row r="409" spans="2:3" x14ac:dyDescent="0.3">
      <c r="B409" s="40"/>
      <c r="C409" s="40"/>
    </row>
    <row r="410" spans="2:3" x14ac:dyDescent="0.3">
      <c r="B410" s="40"/>
      <c r="C410" s="40"/>
    </row>
    <row r="411" spans="2:3" x14ac:dyDescent="0.3">
      <c r="B411" s="40"/>
      <c r="C411" s="40"/>
    </row>
    <row r="412" spans="2:3" x14ac:dyDescent="0.3">
      <c r="B412" s="40"/>
      <c r="C412" s="40"/>
    </row>
    <row r="413" spans="2:3" x14ac:dyDescent="0.3">
      <c r="B413" s="40"/>
      <c r="C413" s="40"/>
    </row>
    <row r="414" spans="2:3" x14ac:dyDescent="0.3">
      <c r="B414" s="40"/>
      <c r="C414" s="40"/>
    </row>
    <row r="415" spans="2:3" x14ac:dyDescent="0.3">
      <c r="B415" s="40"/>
      <c r="C415" s="40"/>
    </row>
    <row r="416" spans="2:3" x14ac:dyDescent="0.3">
      <c r="B416" s="40"/>
      <c r="C416" s="40"/>
    </row>
    <row r="417" spans="2:3" x14ac:dyDescent="0.3">
      <c r="B417" s="40"/>
      <c r="C417" s="40"/>
    </row>
    <row r="418" spans="2:3" x14ac:dyDescent="0.3">
      <c r="B418" s="40"/>
      <c r="C418" s="40"/>
    </row>
    <row r="419" spans="2:3" x14ac:dyDescent="0.3">
      <c r="B419" s="40"/>
      <c r="C419" s="40"/>
    </row>
    <row r="420" spans="2:3" x14ac:dyDescent="0.3">
      <c r="B420" s="40"/>
      <c r="C420" s="40"/>
    </row>
    <row r="421" spans="2:3" x14ac:dyDescent="0.3">
      <c r="B421" s="40"/>
      <c r="C421" s="40"/>
    </row>
    <row r="422" spans="2:3" x14ac:dyDescent="0.3">
      <c r="B422" s="40"/>
      <c r="C422" s="40"/>
    </row>
    <row r="423" spans="2:3" x14ac:dyDescent="0.3">
      <c r="B423" s="40"/>
      <c r="C423" s="40"/>
    </row>
    <row r="424" spans="2:3" x14ac:dyDescent="0.3">
      <c r="B424" s="40"/>
      <c r="C424" s="40"/>
    </row>
    <row r="425" spans="2:3" x14ac:dyDescent="0.3">
      <c r="B425" s="40"/>
      <c r="C425" s="40"/>
    </row>
    <row r="426" spans="2:3" x14ac:dyDescent="0.3">
      <c r="B426" s="40"/>
      <c r="C426" s="40"/>
    </row>
    <row r="427" spans="2:3" x14ac:dyDescent="0.3">
      <c r="B427" s="40"/>
      <c r="C427" s="40"/>
    </row>
    <row r="428" spans="2:3" x14ac:dyDescent="0.3">
      <c r="B428" s="40"/>
      <c r="C428" s="40"/>
    </row>
    <row r="429" spans="2:3" x14ac:dyDescent="0.3">
      <c r="B429" s="40"/>
      <c r="C429" s="40"/>
    </row>
    <row r="430" spans="2:3" x14ac:dyDescent="0.3">
      <c r="B430" s="40"/>
      <c r="C430" s="40"/>
    </row>
    <row r="431" spans="2:3" x14ac:dyDescent="0.3">
      <c r="B431" s="40"/>
      <c r="C431" s="40"/>
    </row>
    <row r="432" spans="2:3" x14ac:dyDescent="0.3">
      <c r="B432" s="40"/>
      <c r="C432" s="40"/>
    </row>
    <row r="433" spans="2:3" x14ac:dyDescent="0.3">
      <c r="B433" s="40"/>
      <c r="C433" s="40"/>
    </row>
    <row r="434" spans="2:3" x14ac:dyDescent="0.3">
      <c r="B434" s="40"/>
      <c r="C434" s="40"/>
    </row>
    <row r="435" spans="2:3" x14ac:dyDescent="0.3">
      <c r="B435" s="40"/>
      <c r="C435" s="40"/>
    </row>
    <row r="436" spans="2:3" x14ac:dyDescent="0.3">
      <c r="B436" s="40"/>
      <c r="C436" s="40"/>
    </row>
    <row r="437" spans="2:3" x14ac:dyDescent="0.3">
      <c r="B437" s="40"/>
      <c r="C437" s="40"/>
    </row>
    <row r="438" spans="2:3" x14ac:dyDescent="0.3">
      <c r="B438" s="40"/>
      <c r="C438" s="40"/>
    </row>
    <row r="439" spans="2:3" x14ac:dyDescent="0.3">
      <c r="B439" s="40"/>
      <c r="C439" s="40"/>
    </row>
    <row r="440" spans="2:3" x14ac:dyDescent="0.3">
      <c r="B440" s="40"/>
      <c r="C440" s="40"/>
    </row>
    <row r="441" spans="2:3" x14ac:dyDescent="0.3">
      <c r="B441" s="40"/>
      <c r="C441" s="40"/>
    </row>
    <row r="442" spans="2:3" x14ac:dyDescent="0.3">
      <c r="B442" s="40"/>
      <c r="C442" s="40"/>
    </row>
    <row r="443" spans="2:3" x14ac:dyDescent="0.3">
      <c r="B443" s="40"/>
      <c r="C443" s="40"/>
    </row>
    <row r="444" spans="2:3" x14ac:dyDescent="0.3">
      <c r="B444" s="40"/>
      <c r="C444" s="40"/>
    </row>
    <row r="445" spans="2:3" x14ac:dyDescent="0.3">
      <c r="B445" s="40"/>
      <c r="C445" s="40"/>
    </row>
    <row r="446" spans="2:3" x14ac:dyDescent="0.3">
      <c r="B446" s="40"/>
      <c r="C446" s="40"/>
    </row>
    <row r="447" spans="2:3" x14ac:dyDescent="0.3">
      <c r="B447" s="40"/>
      <c r="C447" s="40"/>
    </row>
    <row r="448" spans="2:3" x14ac:dyDescent="0.3">
      <c r="B448" s="40"/>
      <c r="C448" s="40"/>
    </row>
    <row r="449" spans="2:3" x14ac:dyDescent="0.3">
      <c r="B449" s="40"/>
      <c r="C449" s="40"/>
    </row>
    <row r="450" spans="2:3" x14ac:dyDescent="0.3">
      <c r="B450" s="40"/>
      <c r="C450" s="40"/>
    </row>
    <row r="451" spans="2:3" x14ac:dyDescent="0.3">
      <c r="B451" s="40"/>
      <c r="C451" s="40"/>
    </row>
    <row r="452" spans="2:3" x14ac:dyDescent="0.3">
      <c r="B452" s="40"/>
      <c r="C452" s="40"/>
    </row>
    <row r="453" spans="2:3" x14ac:dyDescent="0.3">
      <c r="B453" s="40"/>
      <c r="C453" s="40"/>
    </row>
    <row r="454" spans="2:3" x14ac:dyDescent="0.3">
      <c r="B454" s="40"/>
      <c r="C454" s="40"/>
    </row>
    <row r="455" spans="2:3" x14ac:dyDescent="0.3">
      <c r="B455" s="40"/>
      <c r="C455" s="40"/>
    </row>
    <row r="456" spans="2:3" x14ac:dyDescent="0.3">
      <c r="B456" s="40"/>
      <c r="C456" s="40"/>
    </row>
    <row r="457" spans="2:3" x14ac:dyDescent="0.3">
      <c r="B457" s="40"/>
      <c r="C457" s="40"/>
    </row>
    <row r="458" spans="2:3" x14ac:dyDescent="0.3">
      <c r="B458" s="40"/>
      <c r="C458" s="40"/>
    </row>
    <row r="459" spans="2:3" x14ac:dyDescent="0.3">
      <c r="B459" s="40"/>
      <c r="C459" s="40"/>
    </row>
    <row r="460" spans="2:3" x14ac:dyDescent="0.3">
      <c r="B460" s="40"/>
      <c r="C460" s="40"/>
    </row>
    <row r="461" spans="2:3" x14ac:dyDescent="0.3">
      <c r="B461" s="40"/>
      <c r="C461" s="40"/>
    </row>
    <row r="462" spans="2:3" x14ac:dyDescent="0.3">
      <c r="B462" s="40"/>
      <c r="C462" s="40"/>
    </row>
    <row r="463" spans="2:3" x14ac:dyDescent="0.3">
      <c r="B463" s="40"/>
      <c r="C463" s="40"/>
    </row>
    <row r="464" spans="2:3" x14ac:dyDescent="0.3">
      <c r="B464" s="40"/>
      <c r="C464" s="40"/>
    </row>
    <row r="465" spans="2:3" x14ac:dyDescent="0.3">
      <c r="B465" s="40"/>
      <c r="C465" s="40"/>
    </row>
    <row r="466" spans="2:3" x14ac:dyDescent="0.3">
      <c r="B466" s="40"/>
      <c r="C466" s="40"/>
    </row>
    <row r="467" spans="2:3" x14ac:dyDescent="0.3">
      <c r="B467" s="40"/>
      <c r="C467" s="40"/>
    </row>
    <row r="468" spans="2:3" x14ac:dyDescent="0.3">
      <c r="B468" s="40"/>
      <c r="C468" s="40"/>
    </row>
    <row r="469" spans="2:3" x14ac:dyDescent="0.3">
      <c r="B469" s="40"/>
      <c r="C469" s="40"/>
    </row>
    <row r="470" spans="2:3" x14ac:dyDescent="0.3">
      <c r="B470" s="40"/>
      <c r="C470" s="40"/>
    </row>
    <row r="471" spans="2:3" x14ac:dyDescent="0.3">
      <c r="B471" s="40"/>
      <c r="C471" s="40"/>
    </row>
    <row r="472" spans="2:3" x14ac:dyDescent="0.3">
      <c r="B472" s="40"/>
      <c r="C472" s="40"/>
    </row>
    <row r="473" spans="2:3" x14ac:dyDescent="0.3">
      <c r="B473" s="40"/>
      <c r="C473" s="40"/>
    </row>
    <row r="474" spans="2:3" x14ac:dyDescent="0.3">
      <c r="B474" s="40"/>
      <c r="C474" s="40"/>
    </row>
    <row r="475" spans="2:3" x14ac:dyDescent="0.3">
      <c r="B475" s="40"/>
      <c r="C475" s="40"/>
    </row>
    <row r="476" spans="2:3" x14ac:dyDescent="0.3">
      <c r="B476" s="40"/>
      <c r="C476" s="40"/>
    </row>
    <row r="477" spans="2:3" x14ac:dyDescent="0.3">
      <c r="B477" s="40"/>
      <c r="C477" s="40"/>
    </row>
    <row r="478" spans="2:3" x14ac:dyDescent="0.3">
      <c r="B478" s="40"/>
      <c r="C478" s="40"/>
    </row>
    <row r="479" spans="2:3" x14ac:dyDescent="0.3">
      <c r="B479" s="40"/>
      <c r="C479" s="40"/>
    </row>
    <row r="480" spans="2:3" x14ac:dyDescent="0.3">
      <c r="B480" s="40"/>
      <c r="C480" s="40"/>
    </row>
    <row r="481" spans="2:3" x14ac:dyDescent="0.3">
      <c r="B481" s="40"/>
      <c r="C481" s="40"/>
    </row>
    <row r="482" spans="2:3" x14ac:dyDescent="0.3">
      <c r="B482" s="40"/>
      <c r="C482" s="40"/>
    </row>
    <row r="483" spans="2:3" x14ac:dyDescent="0.3">
      <c r="B483" s="40"/>
      <c r="C483" s="40"/>
    </row>
    <row r="484" spans="2:3" x14ac:dyDescent="0.3">
      <c r="B484" s="40"/>
      <c r="C484" s="40"/>
    </row>
    <row r="485" spans="2:3" x14ac:dyDescent="0.3">
      <c r="B485" s="40"/>
      <c r="C485" s="40"/>
    </row>
    <row r="486" spans="2:3" x14ac:dyDescent="0.3">
      <c r="B486" s="40"/>
      <c r="C486" s="40"/>
    </row>
    <row r="487" spans="2:3" x14ac:dyDescent="0.3">
      <c r="B487" s="40"/>
      <c r="C487" s="40"/>
    </row>
    <row r="488" spans="2:3" x14ac:dyDescent="0.3">
      <c r="B488" s="40"/>
      <c r="C488" s="40"/>
    </row>
    <row r="489" spans="2:3" x14ac:dyDescent="0.3">
      <c r="B489" s="40"/>
      <c r="C489" s="40"/>
    </row>
    <row r="490" spans="2:3" x14ac:dyDescent="0.3">
      <c r="B490" s="40"/>
      <c r="C490" s="40"/>
    </row>
    <row r="491" spans="2:3" x14ac:dyDescent="0.3">
      <c r="B491" s="40"/>
      <c r="C491" s="40"/>
    </row>
    <row r="492" spans="2:3" x14ac:dyDescent="0.3">
      <c r="B492" s="40"/>
      <c r="C492" s="40"/>
    </row>
    <row r="493" spans="2:3" x14ac:dyDescent="0.3">
      <c r="B493" s="40"/>
      <c r="C493" s="40"/>
    </row>
    <row r="494" spans="2:3" x14ac:dyDescent="0.3">
      <c r="B494" s="40"/>
      <c r="C494" s="40"/>
    </row>
    <row r="495" spans="2:3" x14ac:dyDescent="0.3">
      <c r="B495" s="40"/>
      <c r="C495" s="40"/>
    </row>
    <row r="496" spans="2:3" x14ac:dyDescent="0.3">
      <c r="B496" s="40"/>
      <c r="C496" s="40"/>
    </row>
    <row r="497" spans="2:3" x14ac:dyDescent="0.3">
      <c r="B497" s="40"/>
      <c r="C497" s="40"/>
    </row>
    <row r="498" spans="2:3" x14ac:dyDescent="0.3">
      <c r="B498" s="40"/>
      <c r="C498" s="40"/>
    </row>
    <row r="499" spans="2:3" x14ac:dyDescent="0.3">
      <c r="B499" s="40"/>
      <c r="C499" s="40"/>
    </row>
    <row r="500" spans="2:3" x14ac:dyDescent="0.3">
      <c r="B500" s="40"/>
      <c r="C500" s="40"/>
    </row>
    <row r="501" spans="2:3" x14ac:dyDescent="0.3">
      <c r="B501" s="40"/>
      <c r="C501" s="40"/>
    </row>
    <row r="502" spans="2:3" x14ac:dyDescent="0.3">
      <c r="B502" s="40"/>
      <c r="C502" s="40"/>
    </row>
    <row r="503" spans="2:3" x14ac:dyDescent="0.3">
      <c r="B503" s="40"/>
      <c r="C503" s="40"/>
    </row>
    <row r="504" spans="2:3" x14ac:dyDescent="0.3">
      <c r="B504" s="40"/>
      <c r="C504" s="40"/>
    </row>
    <row r="505" spans="2:3" x14ac:dyDescent="0.3">
      <c r="B505" s="40"/>
      <c r="C505" s="40"/>
    </row>
    <row r="506" spans="2:3" x14ac:dyDescent="0.3">
      <c r="B506" s="40"/>
      <c r="C506" s="40"/>
    </row>
    <row r="507" spans="2:3" x14ac:dyDescent="0.3">
      <c r="B507" s="40"/>
      <c r="C507" s="40"/>
    </row>
    <row r="508" spans="2:3" x14ac:dyDescent="0.3">
      <c r="B508" s="40"/>
      <c r="C508" s="40"/>
    </row>
    <row r="509" spans="2:3" x14ac:dyDescent="0.3">
      <c r="B509" s="40"/>
      <c r="C509" s="40"/>
    </row>
    <row r="510" spans="2:3" x14ac:dyDescent="0.3">
      <c r="B510" s="40"/>
      <c r="C510" s="40"/>
    </row>
    <row r="511" spans="2:3" x14ac:dyDescent="0.3">
      <c r="B511" s="40"/>
      <c r="C511" s="40"/>
    </row>
    <row r="512" spans="2:3" x14ac:dyDescent="0.3">
      <c r="B512" s="40"/>
      <c r="C512" s="40"/>
    </row>
    <row r="513" spans="2:3" x14ac:dyDescent="0.3">
      <c r="B513" s="40"/>
      <c r="C513" s="40"/>
    </row>
    <row r="514" spans="2:3" x14ac:dyDescent="0.3">
      <c r="B514" s="40"/>
      <c r="C514" s="40"/>
    </row>
    <row r="515" spans="2:3" x14ac:dyDescent="0.3">
      <c r="B515" s="40"/>
      <c r="C515" s="40"/>
    </row>
    <row r="516" spans="2:3" x14ac:dyDescent="0.3">
      <c r="B516" s="40"/>
      <c r="C516" s="40"/>
    </row>
    <row r="517" spans="2:3" x14ac:dyDescent="0.3">
      <c r="B517" s="40"/>
      <c r="C517" s="40"/>
    </row>
    <row r="518" spans="2:3" x14ac:dyDescent="0.3">
      <c r="B518" s="40"/>
      <c r="C518" s="40"/>
    </row>
    <row r="519" spans="2:3" x14ac:dyDescent="0.3">
      <c r="B519" s="40"/>
      <c r="C519" s="40"/>
    </row>
    <row r="520" spans="2:3" x14ac:dyDescent="0.3">
      <c r="B520" s="40"/>
      <c r="C520" s="40"/>
    </row>
    <row r="521" spans="2:3" x14ac:dyDescent="0.3">
      <c r="B521" s="40"/>
      <c r="C521" s="40"/>
    </row>
    <row r="522" spans="2:3" x14ac:dyDescent="0.3">
      <c r="B522" s="40"/>
      <c r="C522" s="40"/>
    </row>
    <row r="523" spans="2:3" x14ac:dyDescent="0.3">
      <c r="B523" s="40"/>
      <c r="C523" s="40"/>
    </row>
    <row r="524" spans="2:3" x14ac:dyDescent="0.3">
      <c r="B524" s="40"/>
      <c r="C524" s="40"/>
    </row>
    <row r="525" spans="2:3" x14ac:dyDescent="0.3">
      <c r="B525" s="40"/>
      <c r="C525" s="40"/>
    </row>
    <row r="526" spans="2:3" x14ac:dyDescent="0.3">
      <c r="B526" s="40"/>
      <c r="C526" s="40"/>
    </row>
    <row r="527" spans="2:3" x14ac:dyDescent="0.3">
      <c r="B527" s="40"/>
      <c r="C527" s="40"/>
    </row>
    <row r="528" spans="2:3" x14ac:dyDescent="0.3">
      <c r="B528" s="40"/>
      <c r="C528" s="40"/>
    </row>
    <row r="529" spans="2:3" x14ac:dyDescent="0.3">
      <c r="B529" s="40"/>
      <c r="C529" s="40"/>
    </row>
    <row r="530" spans="2:3" x14ac:dyDescent="0.3">
      <c r="B530" s="40"/>
      <c r="C530" s="40"/>
    </row>
    <row r="531" spans="2:3" x14ac:dyDescent="0.3">
      <c r="B531" s="40"/>
      <c r="C531" s="40"/>
    </row>
    <row r="532" spans="2:3" x14ac:dyDescent="0.3">
      <c r="B532" s="40"/>
      <c r="C532" s="40"/>
    </row>
    <row r="533" spans="2:3" x14ac:dyDescent="0.3">
      <c r="B533" s="40"/>
      <c r="C533" s="40"/>
    </row>
    <row r="534" spans="2:3" x14ac:dyDescent="0.3">
      <c r="B534" s="40"/>
      <c r="C534" s="40"/>
    </row>
    <row r="535" spans="2:3" x14ac:dyDescent="0.3">
      <c r="B535" s="40"/>
      <c r="C535" s="40"/>
    </row>
    <row r="536" spans="2:3" x14ac:dyDescent="0.3">
      <c r="B536" s="40"/>
      <c r="C536" s="40"/>
    </row>
    <row r="537" spans="2:3" x14ac:dyDescent="0.3">
      <c r="B537" s="40"/>
      <c r="C537" s="40"/>
    </row>
    <row r="538" spans="2:3" x14ac:dyDescent="0.3">
      <c r="B538" s="40"/>
      <c r="C538" s="40"/>
    </row>
    <row r="539" spans="2:3" x14ac:dyDescent="0.3">
      <c r="B539" s="40"/>
      <c r="C539" s="40"/>
    </row>
    <row r="540" spans="2:3" x14ac:dyDescent="0.3">
      <c r="B540" s="40"/>
      <c r="C540" s="40"/>
    </row>
    <row r="541" spans="2:3" x14ac:dyDescent="0.3">
      <c r="B541" s="40"/>
      <c r="C541" s="40"/>
    </row>
    <row r="542" spans="2:3" x14ac:dyDescent="0.3">
      <c r="B542" s="40"/>
      <c r="C542" s="40"/>
    </row>
    <row r="543" spans="2:3" x14ac:dyDescent="0.3">
      <c r="B543" s="40"/>
      <c r="C543" s="40"/>
    </row>
    <row r="544" spans="2:3" x14ac:dyDescent="0.3">
      <c r="B544" s="40"/>
      <c r="C544" s="40"/>
    </row>
    <row r="545" spans="2:3" x14ac:dyDescent="0.3">
      <c r="B545" s="40"/>
      <c r="C545" s="40"/>
    </row>
    <row r="546" spans="2:3" x14ac:dyDescent="0.3">
      <c r="B546" s="40"/>
      <c r="C546" s="40"/>
    </row>
    <row r="547" spans="2:3" x14ac:dyDescent="0.3">
      <c r="B547" s="40"/>
      <c r="C547" s="40"/>
    </row>
    <row r="548" spans="2:3" x14ac:dyDescent="0.3">
      <c r="B548" s="40"/>
      <c r="C548" s="40"/>
    </row>
    <row r="549" spans="2:3" x14ac:dyDescent="0.3">
      <c r="B549" s="40"/>
      <c r="C549" s="40"/>
    </row>
    <row r="550" spans="2:3" x14ac:dyDescent="0.3">
      <c r="B550" s="40"/>
      <c r="C550" s="40"/>
    </row>
    <row r="551" spans="2:3" x14ac:dyDescent="0.3">
      <c r="B551" s="40"/>
      <c r="C551" s="40"/>
    </row>
    <row r="552" spans="2:3" x14ac:dyDescent="0.3">
      <c r="B552" s="40"/>
      <c r="C552" s="40"/>
    </row>
    <row r="553" spans="2:3" x14ac:dyDescent="0.3">
      <c r="B553" s="40"/>
      <c r="C553" s="40"/>
    </row>
    <row r="554" spans="2:3" x14ac:dyDescent="0.3">
      <c r="B554" s="40"/>
      <c r="C554" s="40"/>
    </row>
    <row r="555" spans="2:3" x14ac:dyDescent="0.3">
      <c r="B555" s="40"/>
      <c r="C555" s="40"/>
    </row>
    <row r="556" spans="2:3" x14ac:dyDescent="0.3">
      <c r="B556" s="40"/>
      <c r="C556" s="40"/>
    </row>
    <row r="557" spans="2:3" x14ac:dyDescent="0.3">
      <c r="B557" s="40"/>
      <c r="C557" s="40"/>
    </row>
    <row r="558" spans="2:3" x14ac:dyDescent="0.3">
      <c r="B558" s="40"/>
      <c r="C558" s="40"/>
    </row>
    <row r="559" spans="2:3" x14ac:dyDescent="0.3">
      <c r="B559" s="40"/>
      <c r="C559" s="40"/>
    </row>
    <row r="560" spans="2:3" x14ac:dyDescent="0.3">
      <c r="B560" s="40"/>
      <c r="C560" s="40"/>
    </row>
    <row r="561" spans="2:3" x14ac:dyDescent="0.3">
      <c r="B561" s="40"/>
      <c r="C561" s="40"/>
    </row>
    <row r="562" spans="2:3" x14ac:dyDescent="0.3">
      <c r="B562" s="40"/>
      <c r="C562" s="40"/>
    </row>
    <row r="563" spans="2:3" x14ac:dyDescent="0.3">
      <c r="B563" s="40"/>
      <c r="C563" s="40"/>
    </row>
    <row r="564" spans="2:3" x14ac:dyDescent="0.3">
      <c r="B564" s="40"/>
      <c r="C564" s="40"/>
    </row>
    <row r="565" spans="2:3" x14ac:dyDescent="0.3">
      <c r="B565" s="40"/>
      <c r="C565" s="40"/>
    </row>
    <row r="566" spans="2:3" x14ac:dyDescent="0.3">
      <c r="B566" s="40"/>
      <c r="C566" s="40"/>
    </row>
    <row r="567" spans="2:3" x14ac:dyDescent="0.3">
      <c r="B567" s="40"/>
      <c r="C567" s="40"/>
    </row>
    <row r="568" spans="2:3" x14ac:dyDescent="0.3">
      <c r="B568" s="40"/>
      <c r="C568" s="40"/>
    </row>
    <row r="569" spans="2:3" x14ac:dyDescent="0.3">
      <c r="B569" s="40"/>
      <c r="C569" s="40"/>
    </row>
    <row r="570" spans="2:3" x14ac:dyDescent="0.3">
      <c r="B570" s="40"/>
      <c r="C570" s="40"/>
    </row>
    <row r="571" spans="2:3" x14ac:dyDescent="0.3">
      <c r="B571" s="40"/>
      <c r="C571" s="40"/>
    </row>
    <row r="572" spans="2:3" x14ac:dyDescent="0.3">
      <c r="B572" s="40"/>
      <c r="C572" s="40"/>
    </row>
    <row r="573" spans="2:3" x14ac:dyDescent="0.3">
      <c r="B573" s="40"/>
      <c r="C573" s="40"/>
    </row>
    <row r="574" spans="2:3" x14ac:dyDescent="0.3">
      <c r="B574" s="40"/>
      <c r="C574" s="40"/>
    </row>
    <row r="575" spans="2:3" x14ac:dyDescent="0.3">
      <c r="B575" s="40"/>
      <c r="C575" s="40"/>
    </row>
    <row r="576" spans="2:3" x14ac:dyDescent="0.3">
      <c r="B576" s="40"/>
      <c r="C576" s="40"/>
    </row>
    <row r="577" spans="2:3" x14ac:dyDescent="0.3">
      <c r="B577" s="40"/>
      <c r="C577" s="40"/>
    </row>
    <row r="578" spans="2:3" x14ac:dyDescent="0.3">
      <c r="B578" s="40"/>
      <c r="C578" s="40"/>
    </row>
    <row r="579" spans="2:3" x14ac:dyDescent="0.3">
      <c r="B579" s="40"/>
      <c r="C579" s="40"/>
    </row>
    <row r="580" spans="2:3" x14ac:dyDescent="0.3">
      <c r="B580" s="40"/>
      <c r="C580" s="40"/>
    </row>
    <row r="581" spans="2:3" x14ac:dyDescent="0.3">
      <c r="B581" s="40"/>
      <c r="C581" s="40"/>
    </row>
    <row r="582" spans="2:3" x14ac:dyDescent="0.3">
      <c r="B582" s="40"/>
      <c r="C582" s="40"/>
    </row>
    <row r="583" spans="2:3" x14ac:dyDescent="0.3">
      <c r="B583" s="40"/>
      <c r="C583" s="40"/>
    </row>
    <row r="584" spans="2:3" x14ac:dyDescent="0.3">
      <c r="B584" s="40"/>
      <c r="C584" s="40"/>
    </row>
    <row r="585" spans="2:3" x14ac:dyDescent="0.3">
      <c r="B585" s="40"/>
      <c r="C585" s="40"/>
    </row>
    <row r="586" spans="2:3" x14ac:dyDescent="0.3">
      <c r="B586" s="40"/>
      <c r="C586" s="40"/>
    </row>
    <row r="587" spans="2:3" x14ac:dyDescent="0.3">
      <c r="B587" s="40"/>
      <c r="C587" s="40"/>
    </row>
    <row r="588" spans="2:3" x14ac:dyDescent="0.3">
      <c r="B588" s="40"/>
      <c r="C588" s="40"/>
    </row>
    <row r="589" spans="2:3" x14ac:dyDescent="0.3">
      <c r="B589" s="40"/>
      <c r="C589" s="40"/>
    </row>
    <row r="590" spans="2:3" x14ac:dyDescent="0.3">
      <c r="B590" s="40"/>
      <c r="C590" s="40"/>
    </row>
    <row r="591" spans="2:3" x14ac:dyDescent="0.3">
      <c r="B591" s="40"/>
      <c r="C591" s="40"/>
    </row>
    <row r="592" spans="2:3" x14ac:dyDescent="0.3">
      <c r="B592" s="40"/>
      <c r="C592" s="40"/>
    </row>
    <row r="593" spans="2:3" x14ac:dyDescent="0.3">
      <c r="B593" s="40"/>
      <c r="C593" s="40"/>
    </row>
    <row r="594" spans="2:3" x14ac:dyDescent="0.3">
      <c r="B594" s="40"/>
      <c r="C594" s="40"/>
    </row>
    <row r="595" spans="2:3" x14ac:dyDescent="0.3">
      <c r="B595" s="40"/>
      <c r="C595" s="40"/>
    </row>
    <row r="596" spans="2:3" x14ac:dyDescent="0.3">
      <c r="B596" s="40"/>
      <c r="C596" s="40"/>
    </row>
    <row r="597" spans="2:3" x14ac:dyDescent="0.3">
      <c r="B597" s="40"/>
      <c r="C597" s="40"/>
    </row>
    <row r="598" spans="2:3" x14ac:dyDescent="0.3">
      <c r="B598" s="40"/>
      <c r="C598" s="40"/>
    </row>
    <row r="599" spans="2:3" x14ac:dyDescent="0.3">
      <c r="B599" s="40"/>
      <c r="C599" s="40"/>
    </row>
    <row r="600" spans="2:3" x14ac:dyDescent="0.3">
      <c r="B600" s="40"/>
      <c r="C600" s="40"/>
    </row>
    <row r="601" spans="2:3" x14ac:dyDescent="0.3">
      <c r="B601" s="40"/>
      <c r="C601" s="40"/>
    </row>
    <row r="602" spans="2:3" x14ac:dyDescent="0.3">
      <c r="B602" s="40"/>
      <c r="C602" s="40"/>
    </row>
    <row r="603" spans="2:3" x14ac:dyDescent="0.3">
      <c r="B603" s="40"/>
      <c r="C603" s="40"/>
    </row>
    <row r="604" spans="2:3" x14ac:dyDescent="0.3">
      <c r="B604" s="40"/>
      <c r="C604" s="40"/>
    </row>
    <row r="605" spans="2:3" x14ac:dyDescent="0.3">
      <c r="B605" s="40"/>
      <c r="C605" s="40"/>
    </row>
    <row r="606" spans="2:3" x14ac:dyDescent="0.3">
      <c r="B606" s="40"/>
      <c r="C606" s="40"/>
    </row>
    <row r="607" spans="2:3" x14ac:dyDescent="0.3">
      <c r="B607" s="40"/>
      <c r="C607" s="40"/>
    </row>
    <row r="608" spans="2:3" x14ac:dyDescent="0.3">
      <c r="B608" s="40"/>
      <c r="C608" s="40"/>
    </row>
    <row r="609" spans="2:3" x14ac:dyDescent="0.3">
      <c r="B609" s="40"/>
      <c r="C609" s="40"/>
    </row>
    <row r="610" spans="2:3" x14ac:dyDescent="0.3">
      <c r="B610" s="40"/>
      <c r="C610" s="40"/>
    </row>
    <row r="611" spans="2:3" x14ac:dyDescent="0.3">
      <c r="B611" s="40"/>
      <c r="C611" s="40"/>
    </row>
    <row r="612" spans="2:3" x14ac:dyDescent="0.3">
      <c r="B612" s="40"/>
      <c r="C612" s="40"/>
    </row>
    <row r="613" spans="2:3" x14ac:dyDescent="0.3">
      <c r="B613" s="40"/>
      <c r="C613" s="40"/>
    </row>
    <row r="614" spans="2:3" x14ac:dyDescent="0.3">
      <c r="B614" s="40"/>
      <c r="C614" s="40"/>
    </row>
    <row r="615" spans="2:3" x14ac:dyDescent="0.3">
      <c r="B615" s="40"/>
      <c r="C615" s="40"/>
    </row>
    <row r="616" spans="2:3" x14ac:dyDescent="0.3">
      <c r="B616" s="40"/>
      <c r="C616" s="40"/>
    </row>
    <row r="617" spans="2:3" x14ac:dyDescent="0.3">
      <c r="B617" s="40"/>
      <c r="C617" s="40"/>
    </row>
    <row r="618" spans="2:3" x14ac:dyDescent="0.3">
      <c r="B618" s="40"/>
      <c r="C618" s="40"/>
    </row>
    <row r="619" spans="2:3" x14ac:dyDescent="0.3">
      <c r="B619" s="40"/>
      <c r="C619" s="40"/>
    </row>
    <row r="620" spans="2:3" x14ac:dyDescent="0.3">
      <c r="B620" s="40"/>
      <c r="C620" s="40"/>
    </row>
    <row r="621" spans="2:3" x14ac:dyDescent="0.3">
      <c r="B621" s="40"/>
      <c r="C621" s="40"/>
    </row>
    <row r="622" spans="2:3" x14ac:dyDescent="0.3">
      <c r="B622" s="40"/>
      <c r="C622" s="40"/>
    </row>
    <row r="623" spans="2:3" x14ac:dyDescent="0.3">
      <c r="B623" s="40"/>
      <c r="C623" s="40"/>
    </row>
    <row r="624" spans="2:3" x14ac:dyDescent="0.3">
      <c r="B624" s="40"/>
      <c r="C624" s="40"/>
    </row>
    <row r="625" spans="2:3" x14ac:dyDescent="0.3">
      <c r="B625" s="40"/>
      <c r="C625" s="40"/>
    </row>
    <row r="626" spans="2:3" x14ac:dyDescent="0.3">
      <c r="B626" s="40"/>
      <c r="C626" s="40"/>
    </row>
    <row r="627" spans="2:3" x14ac:dyDescent="0.3">
      <c r="B627" s="40"/>
      <c r="C627" s="40"/>
    </row>
    <row r="628" spans="2:3" x14ac:dyDescent="0.3">
      <c r="B628" s="40"/>
      <c r="C628" s="40"/>
    </row>
    <row r="629" spans="2:3" x14ac:dyDescent="0.3">
      <c r="B629" s="40"/>
      <c r="C629" s="40"/>
    </row>
    <row r="630" spans="2:3" x14ac:dyDescent="0.3">
      <c r="B630" s="40"/>
      <c r="C630" s="40"/>
    </row>
    <row r="631" spans="2:3" x14ac:dyDescent="0.3">
      <c r="B631" s="40"/>
      <c r="C631" s="40"/>
    </row>
    <row r="632" spans="2:3" x14ac:dyDescent="0.3">
      <c r="B632" s="40"/>
      <c r="C632" s="40"/>
    </row>
    <row r="633" spans="2:3" x14ac:dyDescent="0.3">
      <c r="B633" s="40"/>
      <c r="C633" s="40"/>
    </row>
    <row r="634" spans="2:3" x14ac:dyDescent="0.3">
      <c r="B634" s="40"/>
      <c r="C634" s="40"/>
    </row>
    <row r="635" spans="2:3" x14ac:dyDescent="0.3">
      <c r="B635" s="40"/>
      <c r="C635" s="40"/>
    </row>
    <row r="636" spans="2:3" x14ac:dyDescent="0.3">
      <c r="B636" s="40"/>
      <c r="C636" s="40"/>
    </row>
    <row r="637" spans="2:3" x14ac:dyDescent="0.3">
      <c r="B637" s="40"/>
      <c r="C637" s="40"/>
    </row>
    <row r="638" spans="2:3" x14ac:dyDescent="0.3">
      <c r="B638" s="40"/>
      <c r="C638" s="40"/>
    </row>
    <row r="639" spans="2:3" x14ac:dyDescent="0.3">
      <c r="B639" s="40"/>
      <c r="C639" s="40"/>
    </row>
    <row r="640" spans="2:3" x14ac:dyDescent="0.3">
      <c r="B640" s="40"/>
      <c r="C640" s="40"/>
    </row>
    <row r="641" spans="2:3" x14ac:dyDescent="0.3">
      <c r="B641" s="40"/>
      <c r="C641" s="40"/>
    </row>
    <row r="642" spans="2:3" x14ac:dyDescent="0.3">
      <c r="B642" s="40"/>
      <c r="C642" s="40"/>
    </row>
    <row r="643" spans="2:3" x14ac:dyDescent="0.3">
      <c r="B643" s="40"/>
      <c r="C643" s="40"/>
    </row>
    <row r="644" spans="2:3" x14ac:dyDescent="0.3">
      <c r="B644" s="40"/>
      <c r="C644" s="40"/>
    </row>
    <row r="645" spans="2:3" x14ac:dyDescent="0.3">
      <c r="B645" s="40"/>
      <c r="C645" s="40"/>
    </row>
    <row r="646" spans="2:3" x14ac:dyDescent="0.3">
      <c r="B646" s="40"/>
      <c r="C646" s="40"/>
    </row>
    <row r="647" spans="2:3" x14ac:dyDescent="0.3">
      <c r="B647" s="40"/>
      <c r="C647" s="40"/>
    </row>
    <row r="648" spans="2:3" x14ac:dyDescent="0.3">
      <c r="B648" s="40"/>
      <c r="C648" s="40"/>
    </row>
    <row r="649" spans="2:3" x14ac:dyDescent="0.3">
      <c r="B649" s="40"/>
      <c r="C649" s="40"/>
    </row>
    <row r="650" spans="2:3" x14ac:dyDescent="0.3">
      <c r="B650" s="40"/>
      <c r="C650" s="40"/>
    </row>
    <row r="651" spans="2:3" x14ac:dyDescent="0.3">
      <c r="B651" s="40"/>
      <c r="C651" s="40"/>
    </row>
    <row r="652" spans="2:3" x14ac:dyDescent="0.3">
      <c r="B652" s="40"/>
      <c r="C652" s="40"/>
    </row>
    <row r="653" spans="2:3" x14ac:dyDescent="0.3">
      <c r="B653" s="40"/>
      <c r="C653" s="40"/>
    </row>
    <row r="654" spans="2:3" x14ac:dyDescent="0.3">
      <c r="B654" s="40"/>
      <c r="C654" s="40"/>
    </row>
    <row r="655" spans="2:3" x14ac:dyDescent="0.3">
      <c r="B655" s="40"/>
      <c r="C655" s="40"/>
    </row>
    <row r="656" spans="2:3" x14ac:dyDescent="0.3">
      <c r="B656" s="40"/>
      <c r="C656" s="40"/>
    </row>
    <row r="657" spans="2:3" x14ac:dyDescent="0.3">
      <c r="B657" s="40"/>
      <c r="C657" s="40"/>
    </row>
    <row r="658" spans="2:3" x14ac:dyDescent="0.3">
      <c r="B658" s="40"/>
      <c r="C658" s="40"/>
    </row>
    <row r="659" spans="2:3" x14ac:dyDescent="0.3">
      <c r="B659" s="40"/>
      <c r="C659" s="40"/>
    </row>
    <row r="660" spans="2:3" x14ac:dyDescent="0.3">
      <c r="B660" s="40"/>
      <c r="C660" s="40"/>
    </row>
    <row r="661" spans="2:3" x14ac:dyDescent="0.3">
      <c r="B661" s="40"/>
      <c r="C661" s="40"/>
    </row>
    <row r="662" spans="2:3" x14ac:dyDescent="0.3">
      <c r="B662" s="40"/>
      <c r="C662" s="40"/>
    </row>
    <row r="663" spans="2:3" x14ac:dyDescent="0.3">
      <c r="B663" s="40"/>
      <c r="C663" s="40"/>
    </row>
    <row r="664" spans="2:3" x14ac:dyDescent="0.3">
      <c r="B664" s="40"/>
      <c r="C664" s="40"/>
    </row>
    <row r="665" spans="2:3" x14ac:dyDescent="0.3">
      <c r="B665" s="40"/>
      <c r="C665" s="40"/>
    </row>
    <row r="666" spans="2:3" x14ac:dyDescent="0.3">
      <c r="B666" s="40"/>
      <c r="C666" s="40"/>
    </row>
    <row r="667" spans="2:3" x14ac:dyDescent="0.3">
      <c r="B667" s="40"/>
      <c r="C667" s="40"/>
    </row>
    <row r="668" spans="2:3" x14ac:dyDescent="0.3">
      <c r="B668" s="40"/>
      <c r="C668" s="40"/>
    </row>
    <row r="669" spans="2:3" x14ac:dyDescent="0.3">
      <c r="B669" s="40"/>
      <c r="C669" s="40"/>
    </row>
    <row r="670" spans="2:3" x14ac:dyDescent="0.3">
      <c r="B670" s="40"/>
      <c r="C670" s="40"/>
    </row>
    <row r="671" spans="2:3" x14ac:dyDescent="0.3">
      <c r="B671" s="40"/>
      <c r="C671" s="40"/>
    </row>
    <row r="672" spans="2:3" x14ac:dyDescent="0.3">
      <c r="B672" s="40"/>
      <c r="C672" s="40"/>
    </row>
    <row r="673" spans="2:3" x14ac:dyDescent="0.3">
      <c r="B673" s="40"/>
      <c r="C673" s="40"/>
    </row>
    <row r="674" spans="2:3" x14ac:dyDescent="0.3">
      <c r="B674" s="40"/>
      <c r="C674" s="40"/>
    </row>
    <row r="675" spans="2:3" x14ac:dyDescent="0.3">
      <c r="B675" s="40"/>
      <c r="C675" s="40"/>
    </row>
    <row r="676" spans="2:3" x14ac:dyDescent="0.3">
      <c r="B676" s="40"/>
      <c r="C676" s="40"/>
    </row>
    <row r="677" spans="2:3" x14ac:dyDescent="0.3">
      <c r="B677" s="40"/>
      <c r="C677" s="40"/>
    </row>
    <row r="678" spans="2:3" x14ac:dyDescent="0.3">
      <c r="B678" s="40"/>
      <c r="C678" s="40"/>
    </row>
    <row r="679" spans="2:3" x14ac:dyDescent="0.3">
      <c r="B679" s="40"/>
      <c r="C679" s="40"/>
    </row>
    <row r="680" spans="2:3" x14ac:dyDescent="0.3">
      <c r="B680" s="40"/>
      <c r="C680" s="40"/>
    </row>
    <row r="681" spans="2:3" x14ac:dyDescent="0.3">
      <c r="B681" s="40"/>
      <c r="C681" s="40"/>
    </row>
    <row r="682" spans="2:3" x14ac:dyDescent="0.3">
      <c r="B682" s="40"/>
      <c r="C682" s="40"/>
    </row>
    <row r="683" spans="2:3" x14ac:dyDescent="0.3">
      <c r="B683" s="40"/>
      <c r="C683" s="40"/>
    </row>
    <row r="684" spans="2:3" x14ac:dyDescent="0.3">
      <c r="B684" s="40"/>
      <c r="C684" s="40"/>
    </row>
    <row r="685" spans="2:3" x14ac:dyDescent="0.3">
      <c r="B685" s="40"/>
      <c r="C685" s="40"/>
    </row>
    <row r="686" spans="2:3" x14ac:dyDescent="0.3">
      <c r="B686" s="40"/>
      <c r="C686" s="40"/>
    </row>
    <row r="687" spans="2:3" x14ac:dyDescent="0.3">
      <c r="B687" s="40"/>
      <c r="C687" s="40"/>
    </row>
    <row r="688" spans="2:3" x14ac:dyDescent="0.3">
      <c r="B688" s="40"/>
      <c r="C688" s="40"/>
    </row>
    <row r="689" spans="2:3" x14ac:dyDescent="0.3">
      <c r="B689" s="40"/>
      <c r="C689" s="40"/>
    </row>
    <row r="690" spans="2:3" x14ac:dyDescent="0.3">
      <c r="B690" s="40"/>
      <c r="C690" s="40"/>
    </row>
    <row r="691" spans="2:3" x14ac:dyDescent="0.3">
      <c r="B691" s="40"/>
      <c r="C691" s="40"/>
    </row>
    <row r="692" spans="2:3" x14ac:dyDescent="0.3">
      <c r="B692" s="40"/>
      <c r="C692" s="40"/>
    </row>
    <row r="693" spans="2:3" x14ac:dyDescent="0.3">
      <c r="B693" s="40"/>
      <c r="C693" s="40"/>
    </row>
    <row r="694" spans="2:3" x14ac:dyDescent="0.3">
      <c r="B694" s="40"/>
      <c r="C694" s="40"/>
    </row>
    <row r="695" spans="2:3" x14ac:dyDescent="0.3">
      <c r="B695" s="40"/>
      <c r="C695" s="40"/>
    </row>
    <row r="696" spans="2:3" x14ac:dyDescent="0.3">
      <c r="B696" s="40"/>
      <c r="C696" s="40"/>
    </row>
    <row r="697" spans="2:3" x14ac:dyDescent="0.3">
      <c r="B697" s="40"/>
      <c r="C697" s="40"/>
    </row>
    <row r="698" spans="2:3" x14ac:dyDescent="0.3">
      <c r="B698" s="40"/>
      <c r="C698" s="40"/>
    </row>
    <row r="699" spans="2:3" x14ac:dyDescent="0.3">
      <c r="B699" s="40"/>
      <c r="C699" s="40"/>
    </row>
    <row r="700" spans="2:3" x14ac:dyDescent="0.3">
      <c r="B700" s="40"/>
      <c r="C700" s="40"/>
    </row>
    <row r="701" spans="2:3" x14ac:dyDescent="0.3">
      <c r="B701" s="40"/>
      <c r="C701" s="40"/>
    </row>
    <row r="702" spans="2:3" x14ac:dyDescent="0.3">
      <c r="B702" s="40"/>
      <c r="C702" s="40"/>
    </row>
    <row r="703" spans="2:3" x14ac:dyDescent="0.3">
      <c r="B703" s="40"/>
      <c r="C703" s="40"/>
    </row>
    <row r="704" spans="2:3" x14ac:dyDescent="0.3">
      <c r="B704" s="40"/>
      <c r="C704" s="40"/>
    </row>
    <row r="705" spans="2:3" x14ac:dyDescent="0.3">
      <c r="B705" s="40"/>
      <c r="C705" s="40"/>
    </row>
    <row r="706" spans="2:3" x14ac:dyDescent="0.3">
      <c r="B706" s="40"/>
      <c r="C706" s="40"/>
    </row>
    <row r="707" spans="2:3" x14ac:dyDescent="0.3">
      <c r="B707" s="40"/>
      <c r="C707" s="40"/>
    </row>
    <row r="708" spans="2:3" x14ac:dyDescent="0.3">
      <c r="B708" s="40"/>
      <c r="C708" s="40"/>
    </row>
    <row r="709" spans="2:3" x14ac:dyDescent="0.3">
      <c r="B709" s="40"/>
      <c r="C709" s="40"/>
    </row>
    <row r="710" spans="2:3" x14ac:dyDescent="0.3">
      <c r="B710" s="40"/>
      <c r="C710" s="40"/>
    </row>
    <row r="711" spans="2:3" x14ac:dyDescent="0.3">
      <c r="B711" s="40"/>
      <c r="C711" s="40"/>
    </row>
    <row r="712" spans="2:3" x14ac:dyDescent="0.3">
      <c r="B712" s="40"/>
      <c r="C712" s="40"/>
    </row>
    <row r="713" spans="2:3" x14ac:dyDescent="0.3">
      <c r="B713" s="40"/>
      <c r="C713" s="40"/>
    </row>
    <row r="714" spans="2:3" x14ac:dyDescent="0.3">
      <c r="B714" s="40"/>
      <c r="C714" s="40"/>
    </row>
    <row r="715" spans="2:3" x14ac:dyDescent="0.3">
      <c r="B715" s="40"/>
      <c r="C715" s="40"/>
    </row>
    <row r="716" spans="2:3" x14ac:dyDescent="0.3">
      <c r="B716" s="40"/>
      <c r="C716" s="40"/>
    </row>
    <row r="717" spans="2:3" x14ac:dyDescent="0.3">
      <c r="B717" s="40"/>
      <c r="C717" s="40"/>
    </row>
    <row r="718" spans="2:3" x14ac:dyDescent="0.3">
      <c r="B718" s="40"/>
      <c r="C718" s="40"/>
    </row>
    <row r="719" spans="2:3" x14ac:dyDescent="0.3">
      <c r="B719" s="40"/>
      <c r="C719" s="40"/>
    </row>
    <row r="720" spans="2:3" x14ac:dyDescent="0.3">
      <c r="B720" s="40"/>
      <c r="C720" s="40"/>
    </row>
    <row r="721" spans="2:3" x14ac:dyDescent="0.3">
      <c r="B721" s="40"/>
      <c r="C721" s="40"/>
    </row>
    <row r="722" spans="2:3" x14ac:dyDescent="0.3">
      <c r="B722" s="40"/>
      <c r="C722" s="40"/>
    </row>
    <row r="723" spans="2:3" x14ac:dyDescent="0.3">
      <c r="B723" s="40"/>
      <c r="C723" s="40"/>
    </row>
    <row r="724" spans="2:3" x14ac:dyDescent="0.3">
      <c r="B724" s="40"/>
      <c r="C724" s="40"/>
    </row>
    <row r="725" spans="2:3" x14ac:dyDescent="0.3">
      <c r="B725" s="40"/>
      <c r="C725" s="40"/>
    </row>
    <row r="726" spans="2:3" x14ac:dyDescent="0.3">
      <c r="B726" s="40"/>
      <c r="C726" s="40"/>
    </row>
    <row r="727" spans="2:3" x14ac:dyDescent="0.3">
      <c r="B727" s="40"/>
      <c r="C727" s="40"/>
    </row>
    <row r="728" spans="2:3" x14ac:dyDescent="0.3">
      <c r="B728" s="40"/>
      <c r="C728" s="40"/>
    </row>
    <row r="729" spans="2:3" x14ac:dyDescent="0.3">
      <c r="B729" s="40"/>
      <c r="C729" s="40"/>
    </row>
    <row r="730" spans="2:3" x14ac:dyDescent="0.3">
      <c r="B730" s="40"/>
      <c r="C730" s="40"/>
    </row>
    <row r="731" spans="2:3" x14ac:dyDescent="0.3">
      <c r="B731" s="40"/>
      <c r="C731" s="40"/>
    </row>
    <row r="732" spans="2:3" x14ac:dyDescent="0.3">
      <c r="B732" s="40"/>
      <c r="C732" s="40"/>
    </row>
    <row r="733" spans="2:3" x14ac:dyDescent="0.3">
      <c r="B733" s="40"/>
      <c r="C733" s="40"/>
    </row>
    <row r="734" spans="2:3" x14ac:dyDescent="0.3">
      <c r="B734" s="40"/>
      <c r="C734" s="40"/>
    </row>
    <row r="735" spans="2:3" x14ac:dyDescent="0.3">
      <c r="B735" s="40"/>
      <c r="C735" s="40"/>
    </row>
    <row r="736" spans="2:3" x14ac:dyDescent="0.3">
      <c r="B736" s="40"/>
      <c r="C736" s="40"/>
    </row>
    <row r="737" spans="2:3" x14ac:dyDescent="0.3">
      <c r="B737" s="40"/>
      <c r="C737" s="40"/>
    </row>
    <row r="738" spans="2:3" x14ac:dyDescent="0.3">
      <c r="B738" s="40"/>
      <c r="C738" s="40"/>
    </row>
    <row r="739" spans="2:3" x14ac:dyDescent="0.3">
      <c r="B739" s="40"/>
      <c r="C739" s="40"/>
    </row>
    <row r="740" spans="2:3" x14ac:dyDescent="0.3">
      <c r="B740" s="40"/>
      <c r="C740" s="40"/>
    </row>
    <row r="741" spans="2:3" x14ac:dyDescent="0.3">
      <c r="B741" s="40"/>
      <c r="C741" s="40"/>
    </row>
    <row r="742" spans="2:3" x14ac:dyDescent="0.3">
      <c r="B742" s="40"/>
      <c r="C742" s="40"/>
    </row>
    <row r="743" spans="2:3" x14ac:dyDescent="0.3">
      <c r="B743" s="40"/>
      <c r="C743" s="40"/>
    </row>
    <row r="744" spans="2:3" x14ac:dyDescent="0.3">
      <c r="B744" s="40"/>
      <c r="C744" s="40"/>
    </row>
    <row r="745" spans="2:3" x14ac:dyDescent="0.3">
      <c r="B745" s="40"/>
      <c r="C745" s="40"/>
    </row>
    <row r="746" spans="2:3" x14ac:dyDescent="0.3">
      <c r="B746" s="40"/>
      <c r="C746" s="40"/>
    </row>
    <row r="747" spans="2:3" x14ac:dyDescent="0.3">
      <c r="B747" s="40"/>
      <c r="C747" s="40"/>
    </row>
    <row r="748" spans="2:3" x14ac:dyDescent="0.3">
      <c r="B748" s="40"/>
      <c r="C748" s="40"/>
    </row>
    <row r="749" spans="2:3" x14ac:dyDescent="0.3">
      <c r="B749" s="40"/>
      <c r="C749" s="40"/>
    </row>
    <row r="750" spans="2:3" x14ac:dyDescent="0.3">
      <c r="B750" s="40"/>
      <c r="C750" s="40"/>
    </row>
    <row r="751" spans="2:3" x14ac:dyDescent="0.3">
      <c r="B751" s="40"/>
      <c r="C751" s="40"/>
    </row>
    <row r="752" spans="2:3" x14ac:dyDescent="0.3">
      <c r="B752" s="40"/>
      <c r="C752" s="40"/>
    </row>
    <row r="753" spans="2:3" x14ac:dyDescent="0.3">
      <c r="B753" s="40"/>
      <c r="C753" s="40"/>
    </row>
    <row r="754" spans="2:3" x14ac:dyDescent="0.3">
      <c r="B754" s="40"/>
      <c r="C754" s="40"/>
    </row>
    <row r="755" spans="2:3" x14ac:dyDescent="0.3">
      <c r="B755" s="40"/>
      <c r="C755" s="40"/>
    </row>
    <row r="756" spans="2:3" x14ac:dyDescent="0.3">
      <c r="B756" s="40"/>
      <c r="C756" s="40"/>
    </row>
    <row r="757" spans="2:3" x14ac:dyDescent="0.3">
      <c r="B757" s="40"/>
      <c r="C757" s="40"/>
    </row>
    <row r="758" spans="2:3" x14ac:dyDescent="0.3">
      <c r="B758" s="40"/>
      <c r="C758" s="40"/>
    </row>
    <row r="759" spans="2:3" x14ac:dyDescent="0.3">
      <c r="B759" s="40"/>
      <c r="C759" s="40"/>
    </row>
    <row r="760" spans="2:3" x14ac:dyDescent="0.3">
      <c r="B760" s="40"/>
      <c r="C760" s="40"/>
    </row>
    <row r="761" spans="2:3" x14ac:dyDescent="0.3">
      <c r="B761" s="40"/>
      <c r="C761" s="40"/>
    </row>
    <row r="762" spans="2:3" x14ac:dyDescent="0.3">
      <c r="B762" s="40"/>
      <c r="C762" s="40"/>
    </row>
    <row r="763" spans="2:3" x14ac:dyDescent="0.3">
      <c r="B763" s="40"/>
      <c r="C763" s="40"/>
    </row>
    <row r="764" spans="2:3" x14ac:dyDescent="0.3">
      <c r="B764" s="40"/>
      <c r="C764" s="40"/>
    </row>
    <row r="765" spans="2:3" x14ac:dyDescent="0.3">
      <c r="B765" s="40"/>
      <c r="C765" s="40"/>
    </row>
    <row r="766" spans="2:3" x14ac:dyDescent="0.3">
      <c r="B766" s="40"/>
      <c r="C766" s="40"/>
    </row>
    <row r="767" spans="2:3" x14ac:dyDescent="0.3">
      <c r="B767" s="40"/>
      <c r="C767" s="40"/>
    </row>
    <row r="768" spans="2:3" x14ac:dyDescent="0.3">
      <c r="B768" s="40"/>
      <c r="C768" s="40"/>
    </row>
    <row r="769" spans="2:3" x14ac:dyDescent="0.3">
      <c r="B769" s="40"/>
      <c r="C769" s="40"/>
    </row>
    <row r="770" spans="2:3" x14ac:dyDescent="0.3">
      <c r="B770" s="40"/>
      <c r="C770" s="40"/>
    </row>
    <row r="771" spans="2:3" x14ac:dyDescent="0.3">
      <c r="B771" s="40"/>
      <c r="C771" s="40"/>
    </row>
    <row r="772" spans="2:3" x14ac:dyDescent="0.3">
      <c r="B772" s="40"/>
      <c r="C772" s="40"/>
    </row>
    <row r="773" spans="2:3" x14ac:dyDescent="0.3">
      <c r="B773" s="40"/>
      <c r="C773" s="40"/>
    </row>
    <row r="774" spans="2:3" x14ac:dyDescent="0.3">
      <c r="B774" s="40"/>
      <c r="C774" s="40"/>
    </row>
    <row r="775" spans="2:3" x14ac:dyDescent="0.3">
      <c r="B775" s="40"/>
      <c r="C775" s="40"/>
    </row>
    <row r="776" spans="2:3" x14ac:dyDescent="0.3">
      <c r="B776" s="40"/>
      <c r="C776" s="40"/>
    </row>
    <row r="777" spans="2:3" x14ac:dyDescent="0.3">
      <c r="B777" s="40"/>
      <c r="C777" s="40"/>
    </row>
    <row r="778" spans="2:3" x14ac:dyDescent="0.3">
      <c r="B778" s="40"/>
      <c r="C778" s="40"/>
    </row>
    <row r="779" spans="2:3" x14ac:dyDescent="0.3">
      <c r="B779" s="40"/>
      <c r="C779" s="40"/>
    </row>
    <row r="780" spans="2:3" x14ac:dyDescent="0.3">
      <c r="B780" s="40"/>
      <c r="C780" s="40"/>
    </row>
    <row r="781" spans="2:3" x14ac:dyDescent="0.3">
      <c r="B781" s="40"/>
      <c r="C781" s="40"/>
    </row>
    <row r="782" spans="2:3" x14ac:dyDescent="0.3">
      <c r="B782" s="40"/>
      <c r="C782" s="40"/>
    </row>
    <row r="783" spans="2:3" x14ac:dyDescent="0.3">
      <c r="B783" s="40"/>
      <c r="C783" s="40"/>
    </row>
    <row r="784" spans="2:3" x14ac:dyDescent="0.3">
      <c r="B784" s="40"/>
      <c r="C784" s="40"/>
    </row>
    <row r="785" spans="2:3" x14ac:dyDescent="0.3">
      <c r="B785" s="40"/>
      <c r="C785" s="40"/>
    </row>
    <row r="786" spans="2:3" x14ac:dyDescent="0.3">
      <c r="B786" s="40"/>
      <c r="C786" s="40"/>
    </row>
    <row r="787" spans="2:3" x14ac:dyDescent="0.3">
      <c r="B787" s="40"/>
      <c r="C787" s="40"/>
    </row>
    <row r="788" spans="2:3" x14ac:dyDescent="0.3">
      <c r="B788" s="40"/>
      <c r="C788" s="40"/>
    </row>
    <row r="789" spans="2:3" x14ac:dyDescent="0.3">
      <c r="B789" s="40"/>
      <c r="C789" s="40"/>
    </row>
    <row r="790" spans="2:3" x14ac:dyDescent="0.3">
      <c r="B790" s="40"/>
      <c r="C790" s="40"/>
    </row>
    <row r="791" spans="2:3" x14ac:dyDescent="0.3">
      <c r="B791" s="40"/>
      <c r="C791" s="40"/>
    </row>
    <row r="792" spans="2:3" x14ac:dyDescent="0.3">
      <c r="B792" s="40"/>
      <c r="C792" s="40"/>
    </row>
    <row r="793" spans="2:3" x14ac:dyDescent="0.3">
      <c r="B793" s="40"/>
      <c r="C793" s="40"/>
    </row>
    <row r="794" spans="2:3" x14ac:dyDescent="0.3">
      <c r="B794" s="40"/>
      <c r="C794" s="40"/>
    </row>
    <row r="795" spans="2:3" x14ac:dyDescent="0.3">
      <c r="B795" s="40"/>
      <c r="C795" s="40"/>
    </row>
    <row r="796" spans="2:3" x14ac:dyDescent="0.3">
      <c r="B796" s="40"/>
      <c r="C796" s="40"/>
    </row>
    <row r="797" spans="2:3" x14ac:dyDescent="0.3">
      <c r="B797" s="40"/>
      <c r="C797" s="40"/>
    </row>
    <row r="798" spans="2:3" x14ac:dyDescent="0.3">
      <c r="B798" s="40"/>
      <c r="C798" s="40"/>
    </row>
    <row r="799" spans="2:3" x14ac:dyDescent="0.3">
      <c r="B799" s="40"/>
      <c r="C799" s="40"/>
    </row>
    <row r="800" spans="2:3" x14ac:dyDescent="0.3">
      <c r="B800" s="40"/>
      <c r="C800" s="40"/>
    </row>
    <row r="801" spans="2:3" x14ac:dyDescent="0.3">
      <c r="B801" s="40"/>
      <c r="C801" s="40"/>
    </row>
    <row r="802" spans="2:3" x14ac:dyDescent="0.3">
      <c r="B802" s="40"/>
      <c r="C802" s="40"/>
    </row>
    <row r="803" spans="2:3" x14ac:dyDescent="0.3">
      <c r="B803" s="40"/>
      <c r="C803" s="40"/>
    </row>
    <row r="804" spans="2:3" x14ac:dyDescent="0.3">
      <c r="B804" s="40"/>
      <c r="C804" s="40"/>
    </row>
    <row r="805" spans="2:3" x14ac:dyDescent="0.3">
      <c r="B805" s="40"/>
      <c r="C805" s="40"/>
    </row>
    <row r="806" spans="2:3" x14ac:dyDescent="0.3">
      <c r="B806" s="40"/>
      <c r="C806" s="40"/>
    </row>
    <row r="807" spans="2:3" x14ac:dyDescent="0.3">
      <c r="B807" s="40"/>
      <c r="C807" s="40"/>
    </row>
    <row r="808" spans="2:3" x14ac:dyDescent="0.3">
      <c r="B808" s="40"/>
      <c r="C808" s="40"/>
    </row>
    <row r="809" spans="2:3" x14ac:dyDescent="0.3">
      <c r="B809" s="40"/>
      <c r="C809" s="40"/>
    </row>
    <row r="810" spans="2:3" x14ac:dyDescent="0.3">
      <c r="B810" s="40"/>
      <c r="C810" s="40"/>
    </row>
    <row r="811" spans="2:3" x14ac:dyDescent="0.3">
      <c r="B811" s="40"/>
      <c r="C811" s="40"/>
    </row>
    <row r="812" spans="2:3" x14ac:dyDescent="0.3">
      <c r="B812" s="40"/>
      <c r="C812" s="40"/>
    </row>
    <row r="813" spans="2:3" x14ac:dyDescent="0.3">
      <c r="B813" s="40"/>
      <c r="C813" s="40"/>
    </row>
    <row r="814" spans="2:3" x14ac:dyDescent="0.3">
      <c r="B814" s="40"/>
      <c r="C814" s="40"/>
    </row>
    <row r="815" spans="2:3" x14ac:dyDescent="0.3">
      <c r="B815" s="40"/>
      <c r="C815" s="40"/>
    </row>
    <row r="816" spans="2:3" x14ac:dyDescent="0.3">
      <c r="B816" s="40"/>
      <c r="C816" s="40"/>
    </row>
    <row r="817" spans="2:3" x14ac:dyDescent="0.3">
      <c r="B817" s="40"/>
      <c r="C817" s="40"/>
    </row>
    <row r="818" spans="2:3" x14ac:dyDescent="0.3">
      <c r="B818" s="40"/>
      <c r="C818" s="40"/>
    </row>
    <row r="819" spans="2:3" x14ac:dyDescent="0.3">
      <c r="B819" s="40"/>
      <c r="C819" s="40"/>
    </row>
    <row r="820" spans="2:3" x14ac:dyDescent="0.3">
      <c r="B820" s="40"/>
      <c r="C820" s="40"/>
    </row>
    <row r="821" spans="2:3" x14ac:dyDescent="0.3">
      <c r="B821" s="40"/>
      <c r="C821" s="40"/>
    </row>
    <row r="822" spans="2:3" x14ac:dyDescent="0.3">
      <c r="B822" s="40"/>
      <c r="C822" s="40"/>
    </row>
    <row r="823" spans="2:3" x14ac:dyDescent="0.3">
      <c r="B823" s="40"/>
      <c r="C823" s="40"/>
    </row>
    <row r="824" spans="2:3" x14ac:dyDescent="0.3">
      <c r="B824" s="40"/>
      <c r="C824" s="40"/>
    </row>
    <row r="825" spans="2:3" x14ac:dyDescent="0.3">
      <c r="B825" s="40"/>
      <c r="C825" s="40"/>
    </row>
    <row r="826" spans="2:3" x14ac:dyDescent="0.3">
      <c r="B826" s="40"/>
      <c r="C826" s="40"/>
    </row>
    <row r="827" spans="2:3" x14ac:dyDescent="0.3">
      <c r="B827" s="40"/>
      <c r="C827" s="40"/>
    </row>
    <row r="828" spans="2:3" x14ac:dyDescent="0.3">
      <c r="B828" s="40"/>
      <c r="C828" s="40"/>
    </row>
    <row r="829" spans="2:3" x14ac:dyDescent="0.3">
      <c r="B829" s="40"/>
      <c r="C829" s="40"/>
    </row>
    <row r="830" spans="2:3" x14ac:dyDescent="0.3">
      <c r="B830" s="40"/>
      <c r="C830" s="40"/>
    </row>
    <row r="831" spans="2:3" x14ac:dyDescent="0.3">
      <c r="B831" s="40"/>
      <c r="C831" s="40"/>
    </row>
    <row r="832" spans="2:3" x14ac:dyDescent="0.3">
      <c r="B832" s="40"/>
      <c r="C832" s="40"/>
    </row>
    <row r="833" spans="2:3" x14ac:dyDescent="0.3">
      <c r="B833" s="40"/>
      <c r="C833" s="40"/>
    </row>
    <row r="834" spans="2:3" x14ac:dyDescent="0.3">
      <c r="B834" s="40"/>
      <c r="C834" s="40"/>
    </row>
    <row r="835" spans="2:3" x14ac:dyDescent="0.3">
      <c r="B835" s="40"/>
      <c r="C835" s="40"/>
    </row>
    <row r="836" spans="2:3" x14ac:dyDescent="0.3">
      <c r="B836" s="40"/>
      <c r="C836" s="40"/>
    </row>
    <row r="837" spans="2:3" x14ac:dyDescent="0.3">
      <c r="B837" s="40"/>
      <c r="C837" s="40"/>
    </row>
    <row r="838" spans="2:3" x14ac:dyDescent="0.3">
      <c r="B838" s="40"/>
      <c r="C838" s="40"/>
    </row>
    <row r="839" spans="2:3" x14ac:dyDescent="0.3">
      <c r="B839" s="40"/>
      <c r="C839" s="40"/>
    </row>
    <row r="840" spans="2:3" x14ac:dyDescent="0.3">
      <c r="B840" s="40"/>
      <c r="C840" s="40"/>
    </row>
    <row r="841" spans="2:3" x14ac:dyDescent="0.3">
      <c r="B841" s="40"/>
      <c r="C841" s="40"/>
    </row>
    <row r="842" spans="2:3" x14ac:dyDescent="0.3">
      <c r="B842" s="40"/>
      <c r="C842" s="40"/>
    </row>
    <row r="843" spans="2:3" x14ac:dyDescent="0.3">
      <c r="B843" s="40"/>
      <c r="C843" s="40"/>
    </row>
    <row r="844" spans="2:3" x14ac:dyDescent="0.3">
      <c r="B844" s="40"/>
      <c r="C844" s="40"/>
    </row>
    <row r="845" spans="2:3" x14ac:dyDescent="0.3">
      <c r="B845" s="40"/>
      <c r="C845" s="40"/>
    </row>
    <row r="846" spans="2:3" x14ac:dyDescent="0.3">
      <c r="B846" s="40"/>
      <c r="C846" s="40"/>
    </row>
    <row r="847" spans="2:3" x14ac:dyDescent="0.3">
      <c r="B847" s="40"/>
      <c r="C847" s="40"/>
    </row>
    <row r="848" spans="2:3" x14ac:dyDescent="0.3">
      <c r="B848" s="40"/>
      <c r="C848" s="40"/>
    </row>
    <row r="849" spans="2:3" x14ac:dyDescent="0.3">
      <c r="B849" s="40"/>
      <c r="C849" s="40"/>
    </row>
    <row r="850" spans="2:3" x14ac:dyDescent="0.3">
      <c r="B850" s="40"/>
      <c r="C850" s="40"/>
    </row>
    <row r="851" spans="2:3" x14ac:dyDescent="0.3">
      <c r="B851" s="40"/>
      <c r="C851" s="40"/>
    </row>
    <row r="852" spans="2:3" x14ac:dyDescent="0.3">
      <c r="B852" s="40"/>
      <c r="C852" s="40"/>
    </row>
    <row r="853" spans="2:3" x14ac:dyDescent="0.3">
      <c r="B853" s="40"/>
      <c r="C853" s="40"/>
    </row>
    <row r="854" spans="2:3" x14ac:dyDescent="0.3">
      <c r="B854" s="40"/>
      <c r="C854" s="40"/>
    </row>
    <row r="855" spans="2:3" x14ac:dyDescent="0.3">
      <c r="B855" s="40"/>
      <c r="C855" s="40"/>
    </row>
    <row r="856" spans="2:3" x14ac:dyDescent="0.3">
      <c r="B856" s="40"/>
      <c r="C856" s="40"/>
    </row>
    <row r="857" spans="2:3" x14ac:dyDescent="0.3">
      <c r="B857" s="40"/>
      <c r="C857" s="40"/>
    </row>
    <row r="858" spans="2:3" x14ac:dyDescent="0.3">
      <c r="B858" s="40"/>
      <c r="C858" s="40"/>
    </row>
    <row r="859" spans="2:3" x14ac:dyDescent="0.3">
      <c r="B859" s="40"/>
      <c r="C859" s="40"/>
    </row>
    <row r="860" spans="2:3" x14ac:dyDescent="0.3">
      <c r="B860" s="40"/>
      <c r="C860" s="40"/>
    </row>
    <row r="861" spans="2:3" x14ac:dyDescent="0.3">
      <c r="B861" s="40"/>
      <c r="C861" s="40"/>
    </row>
    <row r="862" spans="2:3" x14ac:dyDescent="0.3">
      <c r="B862" s="40"/>
      <c r="C862" s="40"/>
    </row>
    <row r="863" spans="2:3" x14ac:dyDescent="0.3">
      <c r="B863" s="40"/>
      <c r="C863" s="40"/>
    </row>
    <row r="864" spans="2:3" x14ac:dyDescent="0.3">
      <c r="B864" s="40"/>
      <c r="C864" s="40"/>
    </row>
    <row r="865" spans="2:3" x14ac:dyDescent="0.3">
      <c r="B865" s="40"/>
      <c r="C865" s="40"/>
    </row>
    <row r="866" spans="2:3" x14ac:dyDescent="0.3">
      <c r="B866" s="40"/>
      <c r="C866" s="40"/>
    </row>
    <row r="867" spans="2:3" x14ac:dyDescent="0.3">
      <c r="B867" s="40"/>
      <c r="C867" s="40"/>
    </row>
    <row r="868" spans="2:3" x14ac:dyDescent="0.3">
      <c r="B868" s="40"/>
      <c r="C868" s="40"/>
    </row>
    <row r="869" spans="2:3" x14ac:dyDescent="0.3">
      <c r="B869" s="40"/>
      <c r="C869" s="40"/>
    </row>
    <row r="870" spans="2:3" x14ac:dyDescent="0.3">
      <c r="B870" s="40"/>
      <c r="C870" s="40"/>
    </row>
    <row r="871" spans="2:3" x14ac:dyDescent="0.3">
      <c r="B871" s="40"/>
      <c r="C871" s="40"/>
    </row>
    <row r="872" spans="2:3" x14ac:dyDescent="0.3">
      <c r="B872" s="40"/>
      <c r="C872" s="40"/>
    </row>
    <row r="873" spans="2:3" x14ac:dyDescent="0.3">
      <c r="B873" s="40"/>
      <c r="C873" s="40"/>
    </row>
    <row r="874" spans="2:3" x14ac:dyDescent="0.3">
      <c r="B874" s="40"/>
      <c r="C874" s="40"/>
    </row>
    <row r="875" spans="2:3" x14ac:dyDescent="0.3">
      <c r="B875" s="40"/>
      <c r="C875" s="40"/>
    </row>
    <row r="876" spans="2:3" x14ac:dyDescent="0.3">
      <c r="B876" s="40"/>
      <c r="C876" s="40"/>
    </row>
    <row r="877" spans="2:3" x14ac:dyDescent="0.3">
      <c r="B877" s="40"/>
      <c r="C877" s="40"/>
    </row>
    <row r="878" spans="2:3" x14ac:dyDescent="0.3">
      <c r="B878" s="40"/>
      <c r="C878" s="40"/>
    </row>
    <row r="879" spans="2:3" x14ac:dyDescent="0.3">
      <c r="B879" s="40"/>
      <c r="C879" s="40"/>
    </row>
    <row r="880" spans="2:3" x14ac:dyDescent="0.3">
      <c r="B880" s="40"/>
      <c r="C880" s="40"/>
    </row>
    <row r="881" spans="2:3" x14ac:dyDescent="0.3">
      <c r="B881" s="40"/>
      <c r="C881" s="40"/>
    </row>
    <row r="882" spans="2:3" x14ac:dyDescent="0.3">
      <c r="B882" s="40"/>
      <c r="C882" s="40"/>
    </row>
    <row r="883" spans="2:3" x14ac:dyDescent="0.3">
      <c r="B883" s="40"/>
      <c r="C883" s="40"/>
    </row>
    <row r="884" spans="2:3" x14ac:dyDescent="0.3">
      <c r="B884" s="40"/>
      <c r="C884" s="40"/>
    </row>
    <row r="885" spans="2:3" x14ac:dyDescent="0.3">
      <c r="B885" s="40"/>
      <c r="C885" s="40"/>
    </row>
    <row r="886" spans="2:3" x14ac:dyDescent="0.3">
      <c r="B886" s="40"/>
      <c r="C886" s="40"/>
    </row>
    <row r="887" spans="2:3" x14ac:dyDescent="0.3">
      <c r="B887" s="40"/>
      <c r="C887" s="40"/>
    </row>
    <row r="888" spans="2:3" x14ac:dyDescent="0.3">
      <c r="B888" s="40"/>
      <c r="C888" s="40"/>
    </row>
    <row r="889" spans="2:3" x14ac:dyDescent="0.3">
      <c r="B889" s="40"/>
      <c r="C889" s="40"/>
    </row>
    <row r="890" spans="2:3" x14ac:dyDescent="0.3">
      <c r="B890" s="40"/>
      <c r="C890" s="40"/>
    </row>
    <row r="891" spans="2:3" x14ac:dyDescent="0.3">
      <c r="B891" s="40"/>
      <c r="C891" s="40"/>
    </row>
    <row r="892" spans="2:3" x14ac:dyDescent="0.3">
      <c r="B892" s="40"/>
      <c r="C892" s="40"/>
    </row>
    <row r="893" spans="2:3" x14ac:dyDescent="0.3">
      <c r="B893" s="40"/>
      <c r="C893" s="40"/>
    </row>
    <row r="894" spans="2:3" x14ac:dyDescent="0.3">
      <c r="B894" s="40"/>
      <c r="C894" s="40"/>
    </row>
    <row r="895" spans="2:3" x14ac:dyDescent="0.3">
      <c r="B895" s="40"/>
      <c r="C895" s="40"/>
    </row>
    <row r="896" spans="2:3" x14ac:dyDescent="0.3">
      <c r="B896" s="40"/>
      <c r="C896" s="40"/>
    </row>
    <row r="897" spans="2:3" x14ac:dyDescent="0.3">
      <c r="B897" s="40"/>
      <c r="C897" s="40"/>
    </row>
    <row r="898" spans="2:3" x14ac:dyDescent="0.3">
      <c r="B898" s="40"/>
      <c r="C898" s="40"/>
    </row>
    <row r="899" spans="2:3" x14ac:dyDescent="0.3">
      <c r="B899" s="40"/>
      <c r="C899" s="40"/>
    </row>
    <row r="900" spans="2:3" x14ac:dyDescent="0.3">
      <c r="B900" s="40"/>
      <c r="C900" s="40"/>
    </row>
    <row r="901" spans="2:3" x14ac:dyDescent="0.3">
      <c r="B901" s="40"/>
      <c r="C901" s="40"/>
    </row>
    <row r="902" spans="2:3" x14ac:dyDescent="0.3">
      <c r="B902" s="40"/>
      <c r="C902" s="40"/>
    </row>
    <row r="903" spans="2:3" x14ac:dyDescent="0.3">
      <c r="B903" s="40"/>
      <c r="C903" s="40"/>
    </row>
    <row r="904" spans="2:3" x14ac:dyDescent="0.3">
      <c r="B904" s="40"/>
      <c r="C904" s="40"/>
    </row>
    <row r="905" spans="2:3" x14ac:dyDescent="0.3">
      <c r="B905" s="40"/>
      <c r="C905" s="40"/>
    </row>
    <row r="906" spans="2:3" x14ac:dyDescent="0.3">
      <c r="B906" s="40"/>
      <c r="C906" s="40"/>
    </row>
    <row r="907" spans="2:3" x14ac:dyDescent="0.3">
      <c r="B907" s="40"/>
      <c r="C907" s="40"/>
    </row>
    <row r="908" spans="2:3" x14ac:dyDescent="0.3">
      <c r="B908" s="40"/>
      <c r="C908" s="40"/>
    </row>
    <row r="909" spans="2:3" x14ac:dyDescent="0.3">
      <c r="B909" s="40"/>
      <c r="C909" s="40"/>
    </row>
    <row r="910" spans="2:3" x14ac:dyDescent="0.3">
      <c r="B910" s="40"/>
      <c r="C910" s="40"/>
    </row>
    <row r="911" spans="2:3" x14ac:dyDescent="0.3">
      <c r="B911" s="40"/>
      <c r="C911" s="40"/>
    </row>
    <row r="912" spans="2:3" x14ac:dyDescent="0.3">
      <c r="B912" s="40"/>
      <c r="C912" s="40"/>
    </row>
    <row r="913" spans="2:3" x14ac:dyDescent="0.3">
      <c r="B913" s="40"/>
      <c r="C913" s="40"/>
    </row>
    <row r="914" spans="2:3" x14ac:dyDescent="0.3">
      <c r="B914" s="40"/>
      <c r="C914" s="40"/>
    </row>
    <row r="915" spans="2:3" x14ac:dyDescent="0.3">
      <c r="B915" s="40"/>
      <c r="C915" s="40"/>
    </row>
    <row r="916" spans="2:3" x14ac:dyDescent="0.3">
      <c r="B916" s="40"/>
      <c r="C916" s="40"/>
    </row>
    <row r="917" spans="2:3" x14ac:dyDescent="0.3">
      <c r="B917" s="40"/>
      <c r="C917" s="40"/>
    </row>
    <row r="918" spans="2:3" x14ac:dyDescent="0.3">
      <c r="B918" s="40"/>
      <c r="C918" s="40"/>
    </row>
    <row r="919" spans="2:3" x14ac:dyDescent="0.3">
      <c r="B919" s="40"/>
      <c r="C919" s="40"/>
    </row>
    <row r="920" spans="2:3" x14ac:dyDescent="0.3">
      <c r="B920" s="40"/>
      <c r="C920" s="40"/>
    </row>
    <row r="921" spans="2:3" x14ac:dyDescent="0.3">
      <c r="B921" s="40"/>
      <c r="C921" s="40"/>
    </row>
    <row r="922" spans="2:3" x14ac:dyDescent="0.3">
      <c r="B922" s="40"/>
      <c r="C922" s="40"/>
    </row>
    <row r="923" spans="2:3" x14ac:dyDescent="0.3">
      <c r="B923" s="40"/>
      <c r="C923" s="40"/>
    </row>
    <row r="924" spans="2:3" x14ac:dyDescent="0.3">
      <c r="B924" s="40"/>
      <c r="C924" s="40"/>
    </row>
    <row r="925" spans="2:3" x14ac:dyDescent="0.3">
      <c r="B925" s="40"/>
      <c r="C925" s="40"/>
    </row>
    <row r="926" spans="2:3" x14ac:dyDescent="0.3">
      <c r="B926" s="40"/>
      <c r="C926" s="40"/>
    </row>
    <row r="927" spans="2:3" x14ac:dyDescent="0.3">
      <c r="B927" s="40"/>
      <c r="C927" s="40"/>
    </row>
    <row r="928" spans="2:3" x14ac:dyDescent="0.3">
      <c r="B928" s="40"/>
      <c r="C928" s="40"/>
    </row>
    <row r="929" spans="2:3" x14ac:dyDescent="0.3">
      <c r="B929" s="40"/>
      <c r="C929" s="40"/>
    </row>
    <row r="930" spans="2:3" x14ac:dyDescent="0.3">
      <c r="B930" s="40"/>
      <c r="C930" s="40"/>
    </row>
    <row r="931" spans="2:3" x14ac:dyDescent="0.3">
      <c r="B931" s="40"/>
      <c r="C931" s="40"/>
    </row>
    <row r="932" spans="2:3" x14ac:dyDescent="0.3">
      <c r="B932" s="40"/>
      <c r="C932" s="40"/>
    </row>
    <row r="933" spans="2:3" x14ac:dyDescent="0.3">
      <c r="B933" s="40"/>
      <c r="C933" s="40"/>
    </row>
    <row r="934" spans="2:3" x14ac:dyDescent="0.3">
      <c r="B934" s="40"/>
      <c r="C934" s="40"/>
    </row>
    <row r="935" spans="2:3" x14ac:dyDescent="0.3">
      <c r="B935" s="40"/>
      <c r="C935" s="40"/>
    </row>
    <row r="936" spans="2:3" x14ac:dyDescent="0.3">
      <c r="B936" s="40"/>
      <c r="C936" s="40"/>
    </row>
    <row r="937" spans="2:3" x14ac:dyDescent="0.3">
      <c r="B937" s="40"/>
      <c r="C937" s="40"/>
    </row>
    <row r="938" spans="2:3" x14ac:dyDescent="0.3">
      <c r="B938" s="40"/>
      <c r="C938" s="40"/>
    </row>
    <row r="939" spans="2:3" x14ac:dyDescent="0.3">
      <c r="B939" s="40"/>
      <c r="C939" s="40"/>
    </row>
    <row r="940" spans="2:3" x14ac:dyDescent="0.3">
      <c r="B940" s="40"/>
      <c r="C940" s="40"/>
    </row>
    <row r="941" spans="2:3" x14ac:dyDescent="0.3">
      <c r="B941" s="40"/>
      <c r="C941" s="40"/>
    </row>
    <row r="942" spans="2:3" x14ac:dyDescent="0.3">
      <c r="B942" s="40"/>
      <c r="C942" s="40"/>
    </row>
    <row r="943" spans="2:3" x14ac:dyDescent="0.3">
      <c r="B943" s="40"/>
      <c r="C943" s="40"/>
    </row>
    <row r="944" spans="2:3" x14ac:dyDescent="0.3">
      <c r="B944" s="40"/>
      <c r="C944" s="40"/>
    </row>
    <row r="945" spans="2:3" x14ac:dyDescent="0.3">
      <c r="B945" s="40"/>
      <c r="C945" s="40"/>
    </row>
    <row r="946" spans="2:3" x14ac:dyDescent="0.3">
      <c r="B946" s="40"/>
      <c r="C946" s="40"/>
    </row>
    <row r="947" spans="2:3" x14ac:dyDescent="0.3">
      <c r="B947" s="40"/>
      <c r="C947" s="40"/>
    </row>
    <row r="948" spans="2:3" x14ac:dyDescent="0.3">
      <c r="B948" s="40"/>
      <c r="C948" s="40"/>
    </row>
    <row r="949" spans="2:3" x14ac:dyDescent="0.3">
      <c r="B949" s="40"/>
      <c r="C949" s="40"/>
    </row>
    <row r="950" spans="2:3" x14ac:dyDescent="0.3">
      <c r="B950" s="40"/>
      <c r="C950" s="40"/>
    </row>
    <row r="951" spans="2:3" x14ac:dyDescent="0.3">
      <c r="B951" s="40"/>
      <c r="C951" s="40"/>
    </row>
    <row r="952" spans="2:3" x14ac:dyDescent="0.3">
      <c r="B952" s="40"/>
      <c r="C952" s="40"/>
    </row>
    <row r="953" spans="2:3" x14ac:dyDescent="0.3">
      <c r="B953" s="40"/>
      <c r="C953" s="40"/>
    </row>
    <row r="954" spans="2:3" x14ac:dyDescent="0.3">
      <c r="B954" s="40"/>
      <c r="C954" s="40"/>
    </row>
    <row r="955" spans="2:3" x14ac:dyDescent="0.3">
      <c r="B955" s="40"/>
      <c r="C955" s="40"/>
    </row>
    <row r="956" spans="2:3" x14ac:dyDescent="0.3">
      <c r="B956" s="40"/>
      <c r="C956" s="40"/>
    </row>
    <row r="957" spans="2:3" x14ac:dyDescent="0.3">
      <c r="B957" s="40"/>
      <c r="C957" s="40"/>
    </row>
    <row r="958" spans="2:3" x14ac:dyDescent="0.3">
      <c r="B958" s="40"/>
      <c r="C958" s="40"/>
    </row>
    <row r="959" spans="2:3" x14ac:dyDescent="0.3">
      <c r="B959" s="40"/>
      <c r="C959" s="40"/>
    </row>
    <row r="960" spans="2:3" x14ac:dyDescent="0.3">
      <c r="B960" s="40"/>
      <c r="C960" s="40"/>
    </row>
    <row r="961" spans="2:3" x14ac:dyDescent="0.3">
      <c r="B961" s="40"/>
      <c r="C961" s="40"/>
    </row>
    <row r="962" spans="2:3" x14ac:dyDescent="0.3">
      <c r="B962" s="40"/>
      <c r="C962" s="40"/>
    </row>
    <row r="963" spans="2:3" x14ac:dyDescent="0.3">
      <c r="B963" s="40"/>
      <c r="C963" s="40"/>
    </row>
    <row r="964" spans="2:3" x14ac:dyDescent="0.3">
      <c r="B964" s="40"/>
      <c r="C964" s="40"/>
    </row>
    <row r="965" spans="2:3" x14ac:dyDescent="0.3">
      <c r="B965" s="40"/>
      <c r="C965" s="40"/>
    </row>
    <row r="966" spans="2:3" x14ac:dyDescent="0.3">
      <c r="B966" s="40"/>
      <c r="C966" s="40"/>
    </row>
    <row r="967" spans="2:3" x14ac:dyDescent="0.3">
      <c r="B967" s="40"/>
      <c r="C967" s="40"/>
    </row>
    <row r="968" spans="2:3" x14ac:dyDescent="0.3">
      <c r="B968" s="40"/>
      <c r="C968" s="40"/>
    </row>
    <row r="969" spans="2:3" x14ac:dyDescent="0.3">
      <c r="B969" s="40"/>
      <c r="C969" s="40"/>
    </row>
    <row r="970" spans="2:3" x14ac:dyDescent="0.3">
      <c r="B970" s="40"/>
      <c r="C970" s="40"/>
    </row>
    <row r="971" spans="2:3" x14ac:dyDescent="0.3">
      <c r="B971" s="40"/>
      <c r="C971" s="40"/>
    </row>
    <row r="972" spans="2:3" x14ac:dyDescent="0.3">
      <c r="B972" s="40"/>
      <c r="C972" s="40"/>
    </row>
    <row r="973" spans="2:3" x14ac:dyDescent="0.3">
      <c r="B973" s="40"/>
      <c r="C973" s="40"/>
    </row>
    <row r="974" spans="2:3" x14ac:dyDescent="0.3">
      <c r="B974" s="40"/>
      <c r="C974" s="40"/>
    </row>
    <row r="975" spans="2:3" x14ac:dyDescent="0.3">
      <c r="B975" s="40"/>
      <c r="C975" s="40"/>
    </row>
    <row r="976" spans="2:3" x14ac:dyDescent="0.3">
      <c r="B976" s="40"/>
      <c r="C976" s="40"/>
    </row>
    <row r="977" spans="2:3" x14ac:dyDescent="0.3">
      <c r="B977" s="40"/>
      <c r="C977" s="40"/>
    </row>
    <row r="978" spans="2:3" x14ac:dyDescent="0.3">
      <c r="B978" s="40"/>
      <c r="C978" s="40"/>
    </row>
    <row r="979" spans="2:3" x14ac:dyDescent="0.3">
      <c r="B979" s="40"/>
      <c r="C979" s="40"/>
    </row>
    <row r="980" spans="2:3" x14ac:dyDescent="0.3">
      <c r="B980" s="40"/>
      <c r="C980" s="40"/>
    </row>
    <row r="981" spans="2:3" x14ac:dyDescent="0.3">
      <c r="B981" s="40"/>
      <c r="C981" s="40"/>
    </row>
    <row r="982" spans="2:3" x14ac:dyDescent="0.3">
      <c r="B982" s="40"/>
      <c r="C982" s="40"/>
    </row>
    <row r="983" spans="2:3" x14ac:dyDescent="0.3">
      <c r="B983" s="40"/>
      <c r="C983" s="40"/>
    </row>
    <row r="984" spans="2:3" x14ac:dyDescent="0.3">
      <c r="B984" s="40"/>
      <c r="C984" s="40"/>
    </row>
    <row r="985" spans="2:3" x14ac:dyDescent="0.3">
      <c r="B985" s="40"/>
      <c r="C985" s="40"/>
    </row>
    <row r="986" spans="2:3" x14ac:dyDescent="0.3">
      <c r="B986" s="40"/>
      <c r="C986" s="40"/>
    </row>
    <row r="987" spans="2:3" x14ac:dyDescent="0.3">
      <c r="B987" s="40"/>
      <c r="C987" s="40"/>
    </row>
    <row r="988" spans="2:3" x14ac:dyDescent="0.3">
      <c r="B988" s="40"/>
      <c r="C988" s="40"/>
    </row>
    <row r="989" spans="2:3" x14ac:dyDescent="0.3">
      <c r="B989" s="40"/>
      <c r="C989" s="40"/>
    </row>
    <row r="990" spans="2:3" x14ac:dyDescent="0.3">
      <c r="B990" s="40"/>
      <c r="C990" s="40"/>
    </row>
    <row r="991" spans="2:3" x14ac:dyDescent="0.3">
      <c r="B991" s="40"/>
      <c r="C991" s="40"/>
    </row>
    <row r="992" spans="2:3" x14ac:dyDescent="0.3">
      <c r="B992" s="40"/>
      <c r="C992" s="40"/>
    </row>
    <row r="993" spans="2:3" x14ac:dyDescent="0.3">
      <c r="B993" s="40"/>
      <c r="C993" s="40"/>
    </row>
    <row r="994" spans="2:3" x14ac:dyDescent="0.3">
      <c r="B994" s="40"/>
      <c r="C994" s="40"/>
    </row>
    <row r="995" spans="2:3" x14ac:dyDescent="0.3">
      <c r="B995" s="40"/>
      <c r="C995" s="40"/>
    </row>
    <row r="996" spans="2:3" x14ac:dyDescent="0.3">
      <c r="B996" s="40"/>
      <c r="C996" s="40"/>
    </row>
    <row r="997" spans="2:3" x14ac:dyDescent="0.3">
      <c r="B997" s="40"/>
      <c r="C997" s="40"/>
    </row>
    <row r="998" spans="2:3" x14ac:dyDescent="0.3">
      <c r="B998" s="40"/>
      <c r="C998" s="40"/>
    </row>
    <row r="999" spans="2:3" x14ac:dyDescent="0.3">
      <c r="B999" s="40"/>
      <c r="C999" s="40"/>
    </row>
    <row r="1000" spans="2:3" x14ac:dyDescent="0.3">
      <c r="B1000" s="40"/>
      <c r="C1000" s="40"/>
    </row>
    <row r="1001" spans="2:3" x14ac:dyDescent="0.3">
      <c r="B1001" s="40"/>
      <c r="C1001" s="40"/>
    </row>
    <row r="1002" spans="2:3" x14ac:dyDescent="0.3">
      <c r="B1002" s="40"/>
      <c r="C1002" s="40"/>
    </row>
    <row r="1003" spans="2:3" x14ac:dyDescent="0.3">
      <c r="B1003" s="40"/>
      <c r="C1003" s="40"/>
    </row>
    <row r="1004" spans="2:3" x14ac:dyDescent="0.3">
      <c r="B1004" s="40"/>
      <c r="C1004" s="40"/>
    </row>
    <row r="1005" spans="2:3" x14ac:dyDescent="0.3">
      <c r="B1005" s="40"/>
      <c r="C1005" s="40"/>
    </row>
    <row r="1006" spans="2:3" x14ac:dyDescent="0.3">
      <c r="B1006" s="40"/>
      <c r="C1006" s="40"/>
    </row>
    <row r="1007" spans="2:3" x14ac:dyDescent="0.3">
      <c r="B1007" s="40"/>
      <c r="C1007" s="40"/>
    </row>
    <row r="1008" spans="2:3" x14ac:dyDescent="0.3">
      <c r="B1008" s="40"/>
      <c r="C1008" s="40"/>
    </row>
    <row r="1009" spans="2:3" x14ac:dyDescent="0.3">
      <c r="B1009" s="40"/>
      <c r="C1009" s="40"/>
    </row>
    <row r="1010" spans="2:3" x14ac:dyDescent="0.3">
      <c r="B1010" s="40"/>
      <c r="C1010" s="40"/>
    </row>
    <row r="1011" spans="2:3" x14ac:dyDescent="0.3">
      <c r="B1011" s="40"/>
      <c r="C1011" s="40"/>
    </row>
    <row r="1012" spans="2:3" x14ac:dyDescent="0.3">
      <c r="B1012" s="40"/>
      <c r="C1012" s="40"/>
    </row>
    <row r="1013" spans="2:3" x14ac:dyDescent="0.3">
      <c r="B1013" s="40"/>
      <c r="C1013" s="40"/>
    </row>
    <row r="1014" spans="2:3" x14ac:dyDescent="0.3">
      <c r="B1014" s="40"/>
      <c r="C1014" s="40"/>
    </row>
    <row r="1015" spans="2:3" x14ac:dyDescent="0.3">
      <c r="B1015" s="40"/>
      <c r="C1015" s="40"/>
    </row>
    <row r="1016" spans="2:3" x14ac:dyDescent="0.3">
      <c r="B1016" s="40"/>
      <c r="C1016" s="40"/>
    </row>
    <row r="1017" spans="2:3" x14ac:dyDescent="0.3">
      <c r="B1017" s="40"/>
      <c r="C1017" s="40"/>
    </row>
    <row r="1018" spans="2:3" x14ac:dyDescent="0.3">
      <c r="B1018" s="40"/>
      <c r="C1018" s="40"/>
    </row>
    <row r="1019" spans="2:3" x14ac:dyDescent="0.3">
      <c r="B1019" s="40"/>
      <c r="C1019" s="40"/>
    </row>
    <row r="1020" spans="2:3" x14ac:dyDescent="0.3">
      <c r="B1020" s="40"/>
      <c r="C1020" s="40"/>
    </row>
    <row r="1021" spans="2:3" x14ac:dyDescent="0.3">
      <c r="B1021" s="40"/>
      <c r="C1021" s="40"/>
    </row>
    <row r="1022" spans="2:3" x14ac:dyDescent="0.3">
      <c r="B1022" s="40"/>
      <c r="C1022" s="40"/>
    </row>
    <row r="1023" spans="2:3" x14ac:dyDescent="0.3">
      <c r="B1023" s="40"/>
      <c r="C1023" s="40"/>
    </row>
    <row r="1024" spans="2:3" x14ac:dyDescent="0.3">
      <c r="B1024" s="40"/>
      <c r="C1024" s="40"/>
    </row>
    <row r="1025" spans="2:3" x14ac:dyDescent="0.3">
      <c r="B1025" s="40"/>
      <c r="C1025" s="40"/>
    </row>
    <row r="1026" spans="2:3" x14ac:dyDescent="0.3">
      <c r="B1026" s="40"/>
      <c r="C1026" s="40"/>
    </row>
    <row r="1027" spans="2:3" x14ac:dyDescent="0.3">
      <c r="B1027" s="40"/>
      <c r="C1027" s="40"/>
    </row>
    <row r="1028" spans="2:3" x14ac:dyDescent="0.3">
      <c r="B1028" s="40"/>
      <c r="C1028" s="40"/>
    </row>
    <row r="1029" spans="2:3" x14ac:dyDescent="0.3">
      <c r="B1029" s="40"/>
      <c r="C1029" s="40"/>
    </row>
    <row r="1030" spans="2:3" x14ac:dyDescent="0.3">
      <c r="B1030" s="40"/>
      <c r="C1030" s="40"/>
    </row>
    <row r="1031" spans="2:3" x14ac:dyDescent="0.3">
      <c r="B1031" s="40"/>
      <c r="C1031" s="40"/>
    </row>
    <row r="1032" spans="2:3" x14ac:dyDescent="0.3">
      <c r="B1032" s="40"/>
      <c r="C1032" s="40"/>
    </row>
    <row r="1033" spans="2:3" x14ac:dyDescent="0.3">
      <c r="B1033" s="40"/>
      <c r="C1033" s="40"/>
    </row>
    <row r="1034" spans="2:3" x14ac:dyDescent="0.3">
      <c r="B1034" s="40"/>
      <c r="C1034" s="40"/>
    </row>
    <row r="1035" spans="2:3" x14ac:dyDescent="0.3">
      <c r="B1035" s="40"/>
      <c r="C1035" s="40"/>
    </row>
    <row r="1036" spans="2:3" x14ac:dyDescent="0.3">
      <c r="B1036" s="40"/>
      <c r="C1036" s="40"/>
    </row>
    <row r="1037" spans="2:3" x14ac:dyDescent="0.3">
      <c r="B1037" s="40"/>
      <c r="C1037" s="40"/>
    </row>
    <row r="1038" spans="2:3" x14ac:dyDescent="0.3">
      <c r="B1038" s="40"/>
      <c r="C1038" s="40"/>
    </row>
    <row r="1039" spans="2:3" x14ac:dyDescent="0.3">
      <c r="B1039" s="40"/>
      <c r="C1039" s="40"/>
    </row>
    <row r="1040" spans="2:3" x14ac:dyDescent="0.3">
      <c r="B1040" s="40"/>
      <c r="C1040" s="40"/>
    </row>
    <row r="1041" spans="2:3" x14ac:dyDescent="0.3">
      <c r="B1041" s="40"/>
      <c r="C1041" s="40"/>
    </row>
    <row r="1042" spans="2:3" x14ac:dyDescent="0.3">
      <c r="B1042" s="40"/>
      <c r="C1042" s="40"/>
    </row>
    <row r="1043" spans="2:3" x14ac:dyDescent="0.3">
      <c r="B1043" s="40"/>
      <c r="C1043" s="40"/>
    </row>
    <row r="1044" spans="2:3" x14ac:dyDescent="0.3">
      <c r="B1044" s="40"/>
      <c r="C1044" s="40"/>
    </row>
    <row r="1045" spans="2:3" x14ac:dyDescent="0.3">
      <c r="B1045" s="40"/>
      <c r="C1045" s="40"/>
    </row>
    <row r="1046" spans="2:3" x14ac:dyDescent="0.3">
      <c r="B1046" s="40"/>
      <c r="C1046" s="40"/>
    </row>
    <row r="1047" spans="2:3" x14ac:dyDescent="0.3">
      <c r="B1047" s="40"/>
      <c r="C1047" s="40"/>
    </row>
    <row r="1048" spans="2:3" x14ac:dyDescent="0.3">
      <c r="B1048" s="40"/>
      <c r="C1048" s="40"/>
    </row>
    <row r="1049" spans="2:3" x14ac:dyDescent="0.3">
      <c r="B1049" s="40"/>
      <c r="C1049" s="40"/>
    </row>
    <row r="1050" spans="2:3" x14ac:dyDescent="0.3">
      <c r="B1050" s="40"/>
      <c r="C1050" s="40"/>
    </row>
    <row r="1051" spans="2:3" x14ac:dyDescent="0.3">
      <c r="B1051" s="40"/>
      <c r="C1051" s="40"/>
    </row>
    <row r="1052" spans="2:3" x14ac:dyDescent="0.3">
      <c r="B1052" s="40"/>
      <c r="C1052" s="40"/>
    </row>
    <row r="1053" spans="2:3" x14ac:dyDescent="0.3">
      <c r="B1053" s="40"/>
      <c r="C1053" s="40"/>
    </row>
    <row r="1054" spans="2:3" x14ac:dyDescent="0.3">
      <c r="B1054" s="40"/>
      <c r="C1054" s="40"/>
    </row>
    <row r="1055" spans="2:3" x14ac:dyDescent="0.3">
      <c r="B1055" s="40"/>
      <c r="C1055" s="40"/>
    </row>
    <row r="1056" spans="2:3" x14ac:dyDescent="0.3">
      <c r="B1056" s="40"/>
      <c r="C1056" s="40"/>
    </row>
    <row r="1057" spans="2:3" x14ac:dyDescent="0.3">
      <c r="B1057" s="40"/>
      <c r="C1057" s="40"/>
    </row>
    <row r="1058" spans="2:3" x14ac:dyDescent="0.3">
      <c r="B1058" s="40"/>
      <c r="C1058" s="40"/>
    </row>
    <row r="1059" spans="2:3" x14ac:dyDescent="0.3">
      <c r="B1059" s="40"/>
      <c r="C1059" s="40"/>
    </row>
    <row r="1060" spans="2:3" x14ac:dyDescent="0.3">
      <c r="B1060" s="40"/>
      <c r="C1060" s="40"/>
    </row>
    <row r="1061" spans="2:3" x14ac:dyDescent="0.3">
      <c r="B1061" s="40"/>
      <c r="C1061" s="40"/>
    </row>
    <row r="1062" spans="2:3" x14ac:dyDescent="0.3">
      <c r="B1062" s="40"/>
      <c r="C1062" s="40"/>
    </row>
    <row r="1063" spans="2:3" x14ac:dyDescent="0.3">
      <c r="B1063" s="40"/>
      <c r="C1063" s="40"/>
    </row>
    <row r="1064" spans="2:3" x14ac:dyDescent="0.3">
      <c r="B1064" s="40"/>
      <c r="C1064" s="40"/>
    </row>
    <row r="1065" spans="2:3" x14ac:dyDescent="0.3">
      <c r="B1065" s="40"/>
      <c r="C1065" s="40"/>
    </row>
    <row r="1066" spans="2:3" x14ac:dyDescent="0.3">
      <c r="B1066" s="40"/>
      <c r="C1066" s="40"/>
    </row>
    <row r="1067" spans="2:3" x14ac:dyDescent="0.3">
      <c r="B1067" s="40"/>
      <c r="C1067" s="40"/>
    </row>
    <row r="1068" spans="2:3" x14ac:dyDescent="0.3">
      <c r="B1068" s="40"/>
      <c r="C1068" s="40"/>
    </row>
    <row r="1069" spans="2:3" x14ac:dyDescent="0.3">
      <c r="B1069" s="40"/>
      <c r="C1069" s="40"/>
    </row>
    <row r="1070" spans="2:3" x14ac:dyDescent="0.3">
      <c r="B1070" s="40"/>
      <c r="C1070" s="40"/>
    </row>
    <row r="1071" spans="2:3" x14ac:dyDescent="0.3">
      <c r="B1071" s="40"/>
      <c r="C1071" s="40"/>
    </row>
    <row r="1072" spans="2:3" x14ac:dyDescent="0.3">
      <c r="B1072" s="40"/>
      <c r="C1072" s="40"/>
    </row>
    <row r="1073" spans="2:3" x14ac:dyDescent="0.3">
      <c r="B1073" s="40"/>
      <c r="C1073" s="40"/>
    </row>
    <row r="1074" spans="2:3" x14ac:dyDescent="0.3">
      <c r="B1074" s="40"/>
      <c r="C1074" s="40"/>
    </row>
    <row r="1075" spans="2:3" x14ac:dyDescent="0.3">
      <c r="B1075" s="40"/>
      <c r="C1075" s="40"/>
    </row>
    <row r="1076" spans="2:3" x14ac:dyDescent="0.3">
      <c r="B1076" s="40"/>
      <c r="C1076" s="40"/>
    </row>
    <row r="1077" spans="2:3" x14ac:dyDescent="0.3">
      <c r="B1077" s="40"/>
      <c r="C1077" s="40"/>
    </row>
    <row r="1078" spans="2:3" x14ac:dyDescent="0.3">
      <c r="B1078" s="40"/>
      <c r="C1078" s="40"/>
    </row>
    <row r="1079" spans="2:3" x14ac:dyDescent="0.3">
      <c r="B1079" s="40"/>
      <c r="C1079" s="40"/>
    </row>
    <row r="1080" spans="2:3" x14ac:dyDescent="0.3">
      <c r="B1080" s="40"/>
      <c r="C1080" s="40"/>
    </row>
    <row r="1081" spans="2:3" x14ac:dyDescent="0.3">
      <c r="B1081" s="40"/>
      <c r="C1081" s="40"/>
    </row>
    <row r="1082" spans="2:3" x14ac:dyDescent="0.3">
      <c r="B1082" s="40"/>
      <c r="C1082" s="40"/>
    </row>
    <row r="1083" spans="2:3" x14ac:dyDescent="0.3">
      <c r="B1083" s="40"/>
      <c r="C1083" s="40"/>
    </row>
    <row r="1084" spans="2:3" x14ac:dyDescent="0.3">
      <c r="B1084" s="40"/>
      <c r="C1084" s="40"/>
    </row>
    <row r="1085" spans="2:3" x14ac:dyDescent="0.3">
      <c r="B1085" s="40"/>
      <c r="C1085" s="40"/>
    </row>
    <row r="1086" spans="2:3" x14ac:dyDescent="0.3">
      <c r="B1086" s="40"/>
      <c r="C1086" s="40"/>
    </row>
    <row r="1087" spans="2:3" x14ac:dyDescent="0.3">
      <c r="B1087" s="40"/>
      <c r="C1087" s="40"/>
    </row>
    <row r="1088" spans="2:3" x14ac:dyDescent="0.3">
      <c r="B1088" s="40"/>
      <c r="C1088" s="40"/>
    </row>
    <row r="1089" spans="2:3" x14ac:dyDescent="0.3">
      <c r="B1089" s="40"/>
      <c r="C1089" s="40"/>
    </row>
    <row r="1090" spans="2:3" x14ac:dyDescent="0.3">
      <c r="B1090" s="40"/>
      <c r="C1090" s="40"/>
    </row>
    <row r="1091" spans="2:3" x14ac:dyDescent="0.3">
      <c r="B1091" s="40"/>
      <c r="C1091" s="40"/>
    </row>
    <row r="1092" spans="2:3" x14ac:dyDescent="0.3">
      <c r="B1092" s="40"/>
      <c r="C1092" s="40"/>
    </row>
    <row r="1093" spans="2:3" x14ac:dyDescent="0.3">
      <c r="B1093" s="40"/>
      <c r="C1093" s="40"/>
    </row>
    <row r="1094" spans="2:3" x14ac:dyDescent="0.3">
      <c r="B1094" s="40"/>
      <c r="C1094" s="40"/>
    </row>
    <row r="1095" spans="2:3" x14ac:dyDescent="0.3">
      <c r="B1095" s="40"/>
      <c r="C1095" s="40"/>
    </row>
    <row r="1096" spans="2:3" x14ac:dyDescent="0.3">
      <c r="B1096" s="40"/>
      <c r="C1096" s="40"/>
    </row>
    <row r="1097" spans="2:3" x14ac:dyDescent="0.3">
      <c r="B1097" s="40"/>
      <c r="C1097" s="40"/>
    </row>
    <row r="1098" spans="2:3" x14ac:dyDescent="0.3">
      <c r="B1098" s="40"/>
      <c r="C1098" s="40"/>
    </row>
    <row r="1099" spans="2:3" x14ac:dyDescent="0.3">
      <c r="B1099" s="40"/>
      <c r="C1099" s="40"/>
    </row>
    <row r="1100" spans="2:3" x14ac:dyDescent="0.3">
      <c r="B1100" s="40"/>
      <c r="C1100" s="40"/>
    </row>
    <row r="1101" spans="2:3" x14ac:dyDescent="0.3">
      <c r="B1101" s="40"/>
      <c r="C1101" s="40"/>
    </row>
    <row r="1102" spans="2:3" x14ac:dyDescent="0.3">
      <c r="B1102" s="40"/>
      <c r="C1102" s="40"/>
    </row>
    <row r="1103" spans="2:3" x14ac:dyDescent="0.3">
      <c r="B1103" s="40"/>
      <c r="C1103" s="40"/>
    </row>
    <row r="1104" spans="2:3" x14ac:dyDescent="0.3">
      <c r="B1104" s="40"/>
      <c r="C1104" s="40"/>
    </row>
    <row r="1105" spans="2:3" x14ac:dyDescent="0.3">
      <c r="B1105" s="40"/>
      <c r="C1105" s="40"/>
    </row>
    <row r="1106" spans="2:3" x14ac:dyDescent="0.3">
      <c r="B1106" s="40"/>
      <c r="C1106" s="40"/>
    </row>
    <row r="1107" spans="2:3" x14ac:dyDescent="0.3">
      <c r="B1107" s="40"/>
      <c r="C1107" s="40"/>
    </row>
    <row r="1108" spans="2:3" x14ac:dyDescent="0.3">
      <c r="B1108" s="40"/>
      <c r="C1108" s="40"/>
    </row>
    <row r="1109" spans="2:3" x14ac:dyDescent="0.3">
      <c r="B1109" s="40"/>
      <c r="C1109" s="40"/>
    </row>
    <row r="1110" spans="2:3" x14ac:dyDescent="0.3">
      <c r="B1110" s="40"/>
      <c r="C1110" s="40"/>
    </row>
    <row r="1111" spans="2:3" x14ac:dyDescent="0.3">
      <c r="B1111" s="40"/>
      <c r="C1111" s="40"/>
    </row>
    <row r="1112" spans="2:3" x14ac:dyDescent="0.3">
      <c r="B1112" s="40"/>
      <c r="C1112" s="40"/>
    </row>
    <row r="1113" spans="2:3" x14ac:dyDescent="0.3">
      <c r="B1113" s="40"/>
      <c r="C1113" s="40"/>
    </row>
    <row r="1114" spans="2:3" x14ac:dyDescent="0.3">
      <c r="B1114" s="40"/>
      <c r="C1114" s="40"/>
    </row>
    <row r="1115" spans="2:3" x14ac:dyDescent="0.3">
      <c r="B1115" s="40"/>
      <c r="C1115" s="40"/>
    </row>
    <row r="1116" spans="2:3" x14ac:dyDescent="0.3">
      <c r="B1116" s="40"/>
      <c r="C1116" s="40"/>
    </row>
    <row r="1117" spans="2:3" x14ac:dyDescent="0.3">
      <c r="B1117" s="40"/>
      <c r="C1117" s="40"/>
    </row>
    <row r="1118" spans="2:3" x14ac:dyDescent="0.3">
      <c r="B1118" s="40"/>
      <c r="C1118" s="40"/>
    </row>
    <row r="1119" spans="2:3" x14ac:dyDescent="0.3">
      <c r="B1119" s="40"/>
      <c r="C1119" s="40"/>
    </row>
    <row r="1120" spans="2:3" x14ac:dyDescent="0.3">
      <c r="B1120" s="40"/>
      <c r="C1120" s="40"/>
    </row>
    <row r="1121" spans="2:3" x14ac:dyDescent="0.3">
      <c r="B1121" s="40"/>
      <c r="C1121" s="40"/>
    </row>
    <row r="1122" spans="2:3" x14ac:dyDescent="0.3">
      <c r="B1122" s="40"/>
      <c r="C1122" s="40"/>
    </row>
    <row r="1123" spans="2:3" x14ac:dyDescent="0.3">
      <c r="B1123" s="40"/>
      <c r="C1123" s="40"/>
    </row>
    <row r="1124" spans="2:3" x14ac:dyDescent="0.3">
      <c r="B1124" s="40"/>
      <c r="C1124" s="40"/>
    </row>
    <row r="1125" spans="2:3" x14ac:dyDescent="0.3">
      <c r="B1125" s="40"/>
      <c r="C1125" s="40"/>
    </row>
    <row r="1126" spans="2:3" x14ac:dyDescent="0.3">
      <c r="B1126" s="40"/>
      <c r="C1126" s="40"/>
    </row>
    <row r="1127" spans="2:3" x14ac:dyDescent="0.3">
      <c r="B1127" s="40"/>
      <c r="C1127" s="40"/>
    </row>
    <row r="1128" spans="2:3" x14ac:dyDescent="0.3">
      <c r="B1128" s="40"/>
      <c r="C1128" s="40"/>
    </row>
    <row r="1129" spans="2:3" x14ac:dyDescent="0.3">
      <c r="B1129" s="40"/>
      <c r="C1129" s="40"/>
    </row>
    <row r="1130" spans="2:3" x14ac:dyDescent="0.3">
      <c r="B1130" s="40"/>
      <c r="C1130" s="40"/>
    </row>
    <row r="1131" spans="2:3" x14ac:dyDescent="0.3">
      <c r="B1131" s="40"/>
      <c r="C1131" s="40"/>
    </row>
    <row r="1132" spans="2:3" x14ac:dyDescent="0.3">
      <c r="B1132" s="40"/>
      <c r="C1132" s="40"/>
    </row>
    <row r="1133" spans="2:3" x14ac:dyDescent="0.3">
      <c r="B1133" s="40"/>
      <c r="C1133" s="40"/>
    </row>
    <row r="1134" spans="2:3" x14ac:dyDescent="0.3">
      <c r="B1134" s="40"/>
      <c r="C1134" s="40"/>
    </row>
    <row r="1135" spans="2:3" x14ac:dyDescent="0.3">
      <c r="B1135" s="40"/>
      <c r="C1135" s="40"/>
    </row>
    <row r="1136" spans="2:3" x14ac:dyDescent="0.3">
      <c r="B1136" s="40"/>
      <c r="C1136" s="40"/>
    </row>
    <row r="1137" spans="2:3" x14ac:dyDescent="0.3">
      <c r="B1137" s="40"/>
      <c r="C1137" s="40"/>
    </row>
    <row r="1138" spans="2:3" x14ac:dyDescent="0.3">
      <c r="B1138" s="40"/>
      <c r="C1138" s="40"/>
    </row>
    <row r="1139" spans="2:3" x14ac:dyDescent="0.3">
      <c r="B1139" s="40"/>
      <c r="C1139" s="40"/>
    </row>
    <row r="1140" spans="2:3" x14ac:dyDescent="0.3">
      <c r="B1140" s="40"/>
      <c r="C1140" s="40"/>
    </row>
    <row r="1141" spans="2:3" x14ac:dyDescent="0.3">
      <c r="B1141" s="40"/>
      <c r="C1141" s="40"/>
    </row>
    <row r="1142" spans="2:3" x14ac:dyDescent="0.3">
      <c r="B1142" s="40"/>
      <c r="C1142" s="40"/>
    </row>
    <row r="1143" spans="2:3" x14ac:dyDescent="0.3">
      <c r="B1143" s="40"/>
      <c r="C1143" s="40"/>
    </row>
    <row r="1144" spans="2:3" x14ac:dyDescent="0.3">
      <c r="B1144" s="40"/>
      <c r="C1144" s="40"/>
    </row>
    <row r="1145" spans="2:3" x14ac:dyDescent="0.3">
      <c r="B1145" s="40"/>
      <c r="C1145" s="40"/>
    </row>
    <row r="1146" spans="2:3" x14ac:dyDescent="0.3">
      <c r="B1146" s="40"/>
      <c r="C1146" s="40"/>
    </row>
    <row r="1147" spans="2:3" x14ac:dyDescent="0.3">
      <c r="B1147" s="40"/>
      <c r="C1147" s="40"/>
    </row>
    <row r="1148" spans="2:3" x14ac:dyDescent="0.3">
      <c r="B1148" s="40"/>
      <c r="C1148" s="40"/>
    </row>
    <row r="1149" spans="2:3" x14ac:dyDescent="0.3">
      <c r="B1149" s="40"/>
      <c r="C1149" s="40"/>
    </row>
    <row r="1150" spans="2:3" x14ac:dyDescent="0.3">
      <c r="B1150" s="40"/>
      <c r="C1150" s="40"/>
    </row>
    <row r="1151" spans="2:3" x14ac:dyDescent="0.3">
      <c r="B1151" s="40"/>
      <c r="C1151" s="40"/>
    </row>
    <row r="1152" spans="2:3" x14ac:dyDescent="0.3">
      <c r="B1152" s="40"/>
      <c r="C1152" s="40"/>
    </row>
    <row r="1153" spans="2:3" x14ac:dyDescent="0.3">
      <c r="B1153" s="40"/>
      <c r="C1153" s="40"/>
    </row>
    <row r="1154" spans="2:3" x14ac:dyDescent="0.3">
      <c r="B1154" s="40"/>
      <c r="C1154" s="40"/>
    </row>
    <row r="1155" spans="2:3" x14ac:dyDescent="0.3">
      <c r="B1155" s="40"/>
      <c r="C1155" s="40"/>
    </row>
    <row r="1156" spans="2:3" x14ac:dyDescent="0.3">
      <c r="B1156" s="40"/>
      <c r="C1156" s="40"/>
    </row>
    <row r="1157" spans="2:3" x14ac:dyDescent="0.3">
      <c r="B1157" s="40"/>
      <c r="C1157" s="40"/>
    </row>
    <row r="1158" spans="2:3" x14ac:dyDescent="0.3">
      <c r="B1158" s="40"/>
      <c r="C1158" s="40"/>
    </row>
    <row r="1159" spans="2:3" x14ac:dyDescent="0.3">
      <c r="B1159" s="40"/>
      <c r="C1159" s="40"/>
    </row>
    <row r="1160" spans="2:3" x14ac:dyDescent="0.3">
      <c r="B1160" s="40"/>
      <c r="C1160" s="40"/>
    </row>
    <row r="1161" spans="2:3" x14ac:dyDescent="0.3">
      <c r="B1161" s="40"/>
      <c r="C1161" s="40"/>
    </row>
    <row r="1162" spans="2:3" x14ac:dyDescent="0.3">
      <c r="B1162" s="40"/>
      <c r="C1162" s="40"/>
    </row>
    <row r="1163" spans="2:3" x14ac:dyDescent="0.3">
      <c r="B1163" s="40"/>
      <c r="C1163" s="40"/>
    </row>
    <row r="1164" spans="2:3" x14ac:dyDescent="0.3">
      <c r="B1164" s="40"/>
      <c r="C1164" s="40"/>
    </row>
    <row r="1165" spans="2:3" x14ac:dyDescent="0.3">
      <c r="B1165" s="40"/>
      <c r="C1165" s="40"/>
    </row>
    <row r="1166" spans="2:3" x14ac:dyDescent="0.3">
      <c r="B1166" s="40"/>
      <c r="C1166" s="40"/>
    </row>
    <row r="1167" spans="2:3" x14ac:dyDescent="0.3">
      <c r="B1167" s="40"/>
      <c r="C1167" s="40"/>
    </row>
    <row r="1168" spans="2:3" x14ac:dyDescent="0.3">
      <c r="B1168" s="40"/>
      <c r="C1168" s="40"/>
    </row>
    <row r="1169" spans="2:3" x14ac:dyDescent="0.3">
      <c r="B1169" s="40"/>
      <c r="C1169" s="40"/>
    </row>
    <row r="1170" spans="2:3" x14ac:dyDescent="0.3">
      <c r="B1170" s="40"/>
      <c r="C1170" s="40"/>
    </row>
    <row r="1171" spans="2:3" x14ac:dyDescent="0.3">
      <c r="B1171" s="40"/>
      <c r="C1171" s="40"/>
    </row>
    <row r="1172" spans="2:3" x14ac:dyDescent="0.3">
      <c r="B1172" s="40"/>
      <c r="C1172" s="40"/>
    </row>
    <row r="1173" spans="2:3" x14ac:dyDescent="0.3">
      <c r="B1173" s="40"/>
      <c r="C1173" s="40"/>
    </row>
    <row r="1174" spans="2:3" x14ac:dyDescent="0.3">
      <c r="B1174" s="40"/>
      <c r="C1174" s="40"/>
    </row>
    <row r="1175" spans="2:3" x14ac:dyDescent="0.3">
      <c r="B1175" s="40"/>
      <c r="C1175" s="40"/>
    </row>
    <row r="1176" spans="2:3" x14ac:dyDescent="0.3">
      <c r="B1176" s="40"/>
      <c r="C1176" s="40"/>
    </row>
    <row r="1177" spans="2:3" x14ac:dyDescent="0.3">
      <c r="B1177" s="40"/>
      <c r="C1177" s="40"/>
    </row>
    <row r="1178" spans="2:3" x14ac:dyDescent="0.3">
      <c r="B1178" s="40"/>
      <c r="C1178" s="40"/>
    </row>
    <row r="1179" spans="2:3" x14ac:dyDescent="0.3">
      <c r="B1179" s="40"/>
      <c r="C1179" s="40"/>
    </row>
    <row r="1180" spans="2:3" x14ac:dyDescent="0.3">
      <c r="B1180" s="40"/>
      <c r="C1180" s="40"/>
    </row>
    <row r="1181" spans="2:3" x14ac:dyDescent="0.3">
      <c r="B1181" s="40"/>
      <c r="C1181" s="40"/>
    </row>
    <row r="1182" spans="2:3" x14ac:dyDescent="0.3">
      <c r="B1182" s="40"/>
      <c r="C1182" s="40"/>
    </row>
    <row r="1183" spans="2:3" x14ac:dyDescent="0.3">
      <c r="B1183" s="40"/>
      <c r="C1183" s="40"/>
    </row>
    <row r="1184" spans="2:3" x14ac:dyDescent="0.3">
      <c r="B1184" s="40"/>
      <c r="C1184" s="40"/>
    </row>
    <row r="1185" spans="2:3" x14ac:dyDescent="0.3">
      <c r="B1185" s="40"/>
      <c r="C1185" s="40"/>
    </row>
    <row r="1186" spans="2:3" x14ac:dyDescent="0.3">
      <c r="B1186" s="40"/>
      <c r="C1186" s="40"/>
    </row>
    <row r="1187" spans="2:3" x14ac:dyDescent="0.3">
      <c r="B1187" s="40"/>
      <c r="C1187" s="40"/>
    </row>
    <row r="1188" spans="2:3" x14ac:dyDescent="0.3">
      <c r="B1188" s="40"/>
      <c r="C1188" s="40"/>
    </row>
    <row r="1189" spans="2:3" x14ac:dyDescent="0.3">
      <c r="B1189" s="40"/>
      <c r="C1189" s="40"/>
    </row>
    <row r="1190" spans="2:3" x14ac:dyDescent="0.3">
      <c r="B1190" s="40"/>
      <c r="C1190" s="40"/>
    </row>
    <row r="1191" spans="2:3" x14ac:dyDescent="0.3">
      <c r="B1191" s="40"/>
      <c r="C1191" s="40"/>
    </row>
    <row r="1192" spans="2:3" x14ac:dyDescent="0.3">
      <c r="B1192" s="40"/>
      <c r="C1192" s="40"/>
    </row>
    <row r="1193" spans="2:3" x14ac:dyDescent="0.3">
      <c r="B1193" s="40"/>
      <c r="C1193" s="40"/>
    </row>
    <row r="1194" spans="2:3" x14ac:dyDescent="0.3">
      <c r="B1194" s="40"/>
      <c r="C1194" s="40"/>
    </row>
    <row r="1195" spans="2:3" x14ac:dyDescent="0.3">
      <c r="B1195" s="40"/>
      <c r="C1195" s="40"/>
    </row>
    <row r="1196" spans="2:3" x14ac:dyDescent="0.3">
      <c r="B1196" s="40"/>
      <c r="C1196" s="40"/>
    </row>
    <row r="1197" spans="2:3" x14ac:dyDescent="0.3">
      <c r="B1197" s="40"/>
      <c r="C1197" s="40"/>
    </row>
    <row r="1198" spans="2:3" x14ac:dyDescent="0.3">
      <c r="B1198" s="40"/>
      <c r="C1198" s="40"/>
    </row>
    <row r="1199" spans="2:3" x14ac:dyDescent="0.3">
      <c r="B1199" s="40"/>
      <c r="C1199" s="40"/>
    </row>
    <row r="1200" spans="2:3" x14ac:dyDescent="0.3">
      <c r="B1200" s="40"/>
      <c r="C1200" s="40"/>
    </row>
    <row r="1201" spans="2:3" x14ac:dyDescent="0.3">
      <c r="B1201" s="40"/>
      <c r="C1201" s="40"/>
    </row>
    <row r="1202" spans="2:3" x14ac:dyDescent="0.3">
      <c r="B1202" s="40"/>
      <c r="C1202" s="40"/>
    </row>
    <row r="1203" spans="2:3" x14ac:dyDescent="0.3">
      <c r="B1203" s="40"/>
      <c r="C1203" s="40"/>
    </row>
    <row r="1204" spans="2:3" x14ac:dyDescent="0.3">
      <c r="B1204" s="40"/>
      <c r="C1204" s="40"/>
    </row>
    <row r="1205" spans="2:3" x14ac:dyDescent="0.3">
      <c r="B1205" s="40"/>
      <c r="C1205" s="40"/>
    </row>
    <row r="1206" spans="2:3" x14ac:dyDescent="0.3">
      <c r="B1206" s="40"/>
      <c r="C1206" s="40"/>
    </row>
    <row r="1207" spans="2:3" x14ac:dyDescent="0.3">
      <c r="B1207" s="40"/>
      <c r="C1207" s="40"/>
    </row>
    <row r="1208" spans="2:3" x14ac:dyDescent="0.3">
      <c r="B1208" s="40"/>
      <c r="C1208" s="40"/>
    </row>
    <row r="1209" spans="2:3" x14ac:dyDescent="0.3">
      <c r="B1209" s="40"/>
      <c r="C1209" s="40"/>
    </row>
    <row r="1210" spans="2:3" x14ac:dyDescent="0.3">
      <c r="B1210" s="40"/>
      <c r="C1210" s="40"/>
    </row>
    <row r="1211" spans="2:3" x14ac:dyDescent="0.3">
      <c r="B1211" s="40"/>
      <c r="C1211" s="40"/>
    </row>
    <row r="1212" spans="2:3" x14ac:dyDescent="0.3">
      <c r="B1212" s="40"/>
      <c r="C1212" s="40"/>
    </row>
    <row r="1213" spans="2:3" x14ac:dyDescent="0.3">
      <c r="B1213" s="40"/>
      <c r="C1213" s="40"/>
    </row>
    <row r="1214" spans="2:3" x14ac:dyDescent="0.3">
      <c r="B1214" s="40"/>
      <c r="C1214" s="40"/>
    </row>
    <row r="1215" spans="2:3" x14ac:dyDescent="0.3">
      <c r="B1215" s="40"/>
      <c r="C1215" s="40"/>
    </row>
    <row r="1216" spans="2:3" x14ac:dyDescent="0.3">
      <c r="B1216" s="40"/>
      <c r="C1216" s="40"/>
    </row>
    <row r="1217" spans="2:3" x14ac:dyDescent="0.3">
      <c r="B1217" s="40"/>
      <c r="C1217" s="40"/>
    </row>
    <row r="1218" spans="2:3" x14ac:dyDescent="0.3">
      <c r="B1218" s="40"/>
      <c r="C1218" s="40"/>
    </row>
    <row r="1219" spans="2:3" x14ac:dyDescent="0.3">
      <c r="B1219" s="40"/>
      <c r="C1219" s="40"/>
    </row>
    <row r="1220" spans="2:3" x14ac:dyDescent="0.3">
      <c r="B1220" s="40"/>
      <c r="C1220" s="40"/>
    </row>
    <row r="1221" spans="2:3" x14ac:dyDescent="0.3">
      <c r="B1221" s="40"/>
      <c r="C1221" s="40"/>
    </row>
    <row r="1222" spans="2:3" x14ac:dyDescent="0.3">
      <c r="B1222" s="40"/>
      <c r="C1222" s="40"/>
    </row>
    <row r="1223" spans="2:3" x14ac:dyDescent="0.3">
      <c r="B1223" s="40"/>
      <c r="C1223" s="40"/>
    </row>
    <row r="1224" spans="2:3" x14ac:dyDescent="0.3">
      <c r="B1224" s="40"/>
      <c r="C1224" s="40"/>
    </row>
    <row r="1225" spans="2:3" x14ac:dyDescent="0.3">
      <c r="B1225" s="40"/>
      <c r="C1225" s="40"/>
    </row>
    <row r="1226" spans="2:3" x14ac:dyDescent="0.3">
      <c r="B1226" s="40"/>
      <c r="C1226" s="40"/>
    </row>
    <row r="1227" spans="2:3" x14ac:dyDescent="0.3">
      <c r="B1227" s="40"/>
      <c r="C1227" s="40"/>
    </row>
    <row r="1228" spans="2:3" x14ac:dyDescent="0.3">
      <c r="B1228" s="40"/>
      <c r="C1228" s="40"/>
    </row>
    <row r="1229" spans="2:3" x14ac:dyDescent="0.3">
      <c r="B1229" s="40"/>
      <c r="C1229" s="40"/>
    </row>
    <row r="1230" spans="2:3" x14ac:dyDescent="0.3">
      <c r="B1230" s="40"/>
      <c r="C1230" s="40"/>
    </row>
    <row r="1231" spans="2:3" x14ac:dyDescent="0.3">
      <c r="B1231" s="40"/>
      <c r="C1231" s="40"/>
    </row>
    <row r="1232" spans="2:3" x14ac:dyDescent="0.3">
      <c r="B1232" s="40"/>
      <c r="C1232" s="40"/>
    </row>
    <row r="1233" spans="2:3" x14ac:dyDescent="0.3">
      <c r="B1233" s="40"/>
      <c r="C1233" s="40"/>
    </row>
    <row r="1234" spans="2:3" x14ac:dyDescent="0.3">
      <c r="B1234" s="40"/>
      <c r="C1234" s="40"/>
    </row>
    <row r="1235" spans="2:3" x14ac:dyDescent="0.3">
      <c r="B1235" s="40"/>
      <c r="C1235" s="40"/>
    </row>
    <row r="1236" spans="2:3" x14ac:dyDescent="0.3">
      <c r="B1236" s="40"/>
      <c r="C1236" s="40"/>
    </row>
    <row r="1237" spans="2:3" x14ac:dyDescent="0.3">
      <c r="B1237" s="40"/>
      <c r="C1237" s="40"/>
    </row>
    <row r="1238" spans="2:3" x14ac:dyDescent="0.3">
      <c r="B1238" s="40"/>
      <c r="C1238" s="40"/>
    </row>
    <row r="1239" spans="2:3" x14ac:dyDescent="0.3">
      <c r="B1239" s="40"/>
      <c r="C1239" s="40"/>
    </row>
    <row r="1240" spans="2:3" x14ac:dyDescent="0.3">
      <c r="B1240" s="40"/>
      <c r="C1240" s="40"/>
    </row>
    <row r="1241" spans="2:3" x14ac:dyDescent="0.3">
      <c r="B1241" s="40"/>
      <c r="C1241" s="40"/>
    </row>
    <row r="1242" spans="2:3" x14ac:dyDescent="0.3">
      <c r="B1242" s="40"/>
      <c r="C1242" s="40"/>
    </row>
    <row r="1243" spans="2:3" x14ac:dyDescent="0.3">
      <c r="B1243" s="40"/>
      <c r="C1243" s="40"/>
    </row>
    <row r="1244" spans="2:3" x14ac:dyDescent="0.3">
      <c r="B1244" s="40"/>
      <c r="C1244" s="40"/>
    </row>
    <row r="1245" spans="2:3" x14ac:dyDescent="0.3">
      <c r="B1245" s="40"/>
      <c r="C1245" s="40"/>
    </row>
    <row r="1246" spans="2:3" x14ac:dyDescent="0.3">
      <c r="B1246" s="40"/>
      <c r="C1246" s="40"/>
    </row>
    <row r="1247" spans="2:3" x14ac:dyDescent="0.3">
      <c r="B1247" s="40"/>
      <c r="C1247" s="40"/>
    </row>
    <row r="1248" spans="2:3" x14ac:dyDescent="0.3">
      <c r="B1248" s="40"/>
      <c r="C1248" s="40"/>
    </row>
    <row r="1249" spans="2:3" x14ac:dyDescent="0.3">
      <c r="B1249" s="40"/>
      <c r="C1249" s="40"/>
    </row>
    <row r="1250" spans="2:3" x14ac:dyDescent="0.3">
      <c r="B1250" s="40"/>
      <c r="C1250" s="40"/>
    </row>
    <row r="1251" spans="2:3" x14ac:dyDescent="0.3">
      <c r="B1251" s="40"/>
      <c r="C1251" s="40"/>
    </row>
    <row r="1252" spans="2:3" x14ac:dyDescent="0.3">
      <c r="B1252" s="40"/>
      <c r="C1252" s="40"/>
    </row>
    <row r="1253" spans="2:3" x14ac:dyDescent="0.3">
      <c r="B1253" s="40"/>
      <c r="C1253" s="40"/>
    </row>
    <row r="1254" spans="2:3" x14ac:dyDescent="0.3">
      <c r="B1254" s="40"/>
      <c r="C1254" s="40"/>
    </row>
    <row r="1255" spans="2:3" x14ac:dyDescent="0.3">
      <c r="B1255" s="40"/>
      <c r="C1255" s="40"/>
    </row>
    <row r="1256" spans="2:3" x14ac:dyDescent="0.3">
      <c r="B1256" s="40"/>
      <c r="C1256" s="40"/>
    </row>
    <row r="1257" spans="2:3" x14ac:dyDescent="0.3">
      <c r="B1257" s="40"/>
      <c r="C1257" s="40"/>
    </row>
    <row r="1258" spans="2:3" x14ac:dyDescent="0.3">
      <c r="B1258" s="40"/>
      <c r="C1258" s="40"/>
    </row>
    <row r="1259" spans="2:3" x14ac:dyDescent="0.3">
      <c r="B1259" s="40"/>
      <c r="C1259" s="40"/>
    </row>
    <row r="1260" spans="2:3" x14ac:dyDescent="0.3">
      <c r="B1260" s="40"/>
      <c r="C1260" s="40"/>
    </row>
    <row r="1261" spans="2:3" x14ac:dyDescent="0.3">
      <c r="B1261" s="40"/>
      <c r="C1261" s="40"/>
    </row>
    <row r="1262" spans="2:3" x14ac:dyDescent="0.3">
      <c r="B1262" s="40"/>
      <c r="C1262" s="40"/>
    </row>
    <row r="1263" spans="2:3" x14ac:dyDescent="0.3">
      <c r="B1263" s="40"/>
      <c r="C1263" s="40"/>
    </row>
    <row r="1264" spans="2:3" x14ac:dyDescent="0.3">
      <c r="B1264" s="40"/>
      <c r="C1264" s="40"/>
    </row>
    <row r="1265" spans="2:3" x14ac:dyDescent="0.3">
      <c r="B1265" s="40"/>
      <c r="C1265" s="40"/>
    </row>
    <row r="1266" spans="2:3" x14ac:dyDescent="0.3">
      <c r="B1266" s="40"/>
      <c r="C1266" s="40"/>
    </row>
    <row r="1267" spans="2:3" x14ac:dyDescent="0.3">
      <c r="B1267" s="40"/>
      <c r="C1267" s="40"/>
    </row>
    <row r="1268" spans="2:3" x14ac:dyDescent="0.3">
      <c r="B1268" s="40"/>
      <c r="C1268" s="40"/>
    </row>
    <row r="1269" spans="2:3" x14ac:dyDescent="0.3">
      <c r="B1269" s="40"/>
      <c r="C1269" s="40"/>
    </row>
    <row r="1270" spans="2:3" x14ac:dyDescent="0.3">
      <c r="B1270" s="40"/>
      <c r="C1270" s="40"/>
    </row>
    <row r="1271" spans="2:3" x14ac:dyDescent="0.3">
      <c r="B1271" s="40"/>
      <c r="C1271" s="40"/>
    </row>
    <row r="1272" spans="2:3" x14ac:dyDescent="0.3">
      <c r="B1272" s="40"/>
      <c r="C1272" s="40"/>
    </row>
    <row r="1273" spans="2:3" x14ac:dyDescent="0.3">
      <c r="B1273" s="40"/>
      <c r="C1273" s="40"/>
    </row>
    <row r="1274" spans="2:3" x14ac:dyDescent="0.3">
      <c r="B1274" s="40"/>
      <c r="C1274" s="40"/>
    </row>
    <row r="1275" spans="2:3" x14ac:dyDescent="0.3">
      <c r="B1275" s="40"/>
      <c r="C1275" s="40"/>
    </row>
    <row r="1276" spans="2:3" x14ac:dyDescent="0.3">
      <c r="B1276" s="40"/>
      <c r="C1276" s="40"/>
    </row>
    <row r="1277" spans="2:3" x14ac:dyDescent="0.3">
      <c r="B1277" s="40"/>
      <c r="C1277" s="40"/>
    </row>
    <row r="1278" spans="2:3" x14ac:dyDescent="0.3">
      <c r="B1278" s="40"/>
      <c r="C1278" s="40"/>
    </row>
    <row r="1279" spans="2:3" x14ac:dyDescent="0.3">
      <c r="B1279" s="40"/>
      <c r="C1279" s="40"/>
    </row>
    <row r="1280" spans="2:3" x14ac:dyDescent="0.3">
      <c r="B1280" s="40"/>
      <c r="C1280" s="40"/>
    </row>
    <row r="1281" spans="2:3" x14ac:dyDescent="0.3">
      <c r="B1281" s="40"/>
      <c r="C1281" s="40"/>
    </row>
    <row r="1282" spans="2:3" x14ac:dyDescent="0.3">
      <c r="B1282" s="40"/>
      <c r="C1282" s="40"/>
    </row>
    <row r="1283" spans="2:3" x14ac:dyDescent="0.3">
      <c r="B1283" s="40"/>
      <c r="C1283" s="40"/>
    </row>
    <row r="1284" spans="2:3" x14ac:dyDescent="0.3">
      <c r="B1284" s="40"/>
      <c r="C1284" s="40"/>
    </row>
    <row r="1285" spans="2:3" x14ac:dyDescent="0.3">
      <c r="B1285" s="40"/>
      <c r="C1285" s="40"/>
    </row>
    <row r="1286" spans="2:3" x14ac:dyDescent="0.3">
      <c r="B1286" s="40"/>
      <c r="C1286" s="40"/>
    </row>
    <row r="1287" spans="2:3" x14ac:dyDescent="0.3">
      <c r="B1287" s="40"/>
      <c r="C1287" s="40"/>
    </row>
    <row r="1288" spans="2:3" x14ac:dyDescent="0.3">
      <c r="B1288" s="40"/>
      <c r="C1288" s="40"/>
    </row>
    <row r="1289" spans="2:3" x14ac:dyDescent="0.3">
      <c r="B1289" s="40"/>
      <c r="C1289" s="40"/>
    </row>
    <row r="1290" spans="2:3" x14ac:dyDescent="0.3">
      <c r="B1290" s="40"/>
      <c r="C1290" s="40"/>
    </row>
    <row r="1291" spans="2:3" x14ac:dyDescent="0.3">
      <c r="B1291" s="40"/>
      <c r="C1291" s="40"/>
    </row>
    <row r="1292" spans="2:3" x14ac:dyDescent="0.3">
      <c r="B1292" s="40"/>
      <c r="C1292" s="40"/>
    </row>
    <row r="1293" spans="2:3" x14ac:dyDescent="0.3">
      <c r="B1293" s="40"/>
      <c r="C1293" s="40"/>
    </row>
    <row r="1294" spans="2:3" x14ac:dyDescent="0.3">
      <c r="B1294" s="40"/>
      <c r="C1294" s="40"/>
    </row>
    <row r="1295" spans="2:3" x14ac:dyDescent="0.3">
      <c r="B1295" s="40"/>
      <c r="C1295" s="40"/>
    </row>
    <row r="1296" spans="2:3" x14ac:dyDescent="0.3">
      <c r="B1296" s="40"/>
      <c r="C1296" s="40"/>
    </row>
    <row r="1297" spans="2:3" x14ac:dyDescent="0.3">
      <c r="B1297" s="40"/>
      <c r="C1297" s="40"/>
    </row>
    <row r="1298" spans="2:3" x14ac:dyDescent="0.3">
      <c r="B1298" s="40"/>
      <c r="C1298" s="40"/>
    </row>
    <row r="1299" spans="2:3" x14ac:dyDescent="0.3">
      <c r="B1299" s="40"/>
      <c r="C1299" s="40"/>
    </row>
    <row r="1300" spans="2:3" x14ac:dyDescent="0.3">
      <c r="B1300" s="40"/>
      <c r="C1300" s="40"/>
    </row>
    <row r="1301" spans="2:3" x14ac:dyDescent="0.3">
      <c r="B1301" s="40"/>
      <c r="C1301" s="40"/>
    </row>
    <row r="1302" spans="2:3" x14ac:dyDescent="0.3">
      <c r="B1302" s="40"/>
      <c r="C1302" s="40"/>
    </row>
    <row r="1303" spans="2:3" x14ac:dyDescent="0.3">
      <c r="B1303" s="40"/>
      <c r="C1303" s="40"/>
    </row>
    <row r="1304" spans="2:3" x14ac:dyDescent="0.3">
      <c r="B1304" s="40"/>
      <c r="C1304" s="40"/>
    </row>
    <row r="1305" spans="2:3" x14ac:dyDescent="0.3">
      <c r="B1305" s="40"/>
      <c r="C1305" s="40"/>
    </row>
    <row r="1306" spans="2:3" x14ac:dyDescent="0.3">
      <c r="B1306" s="40"/>
      <c r="C1306" s="40"/>
    </row>
    <row r="1307" spans="2:3" x14ac:dyDescent="0.3">
      <c r="B1307" s="40"/>
      <c r="C1307" s="40"/>
    </row>
    <row r="1308" spans="2:3" x14ac:dyDescent="0.3">
      <c r="B1308" s="40"/>
      <c r="C1308" s="40"/>
    </row>
    <row r="1309" spans="2:3" x14ac:dyDescent="0.3">
      <c r="B1309" s="40"/>
      <c r="C1309" s="40"/>
    </row>
    <row r="1310" spans="2:3" x14ac:dyDescent="0.3">
      <c r="B1310" s="40"/>
      <c r="C1310" s="40"/>
    </row>
    <row r="1311" spans="2:3" x14ac:dyDescent="0.3">
      <c r="B1311" s="40"/>
      <c r="C1311" s="40"/>
    </row>
    <row r="1312" spans="2:3" x14ac:dyDescent="0.3">
      <c r="B1312" s="40"/>
      <c r="C1312" s="40"/>
    </row>
    <row r="1313" spans="2:3" x14ac:dyDescent="0.3">
      <c r="B1313" s="40"/>
      <c r="C1313" s="40"/>
    </row>
    <row r="1314" spans="2:3" x14ac:dyDescent="0.3">
      <c r="B1314" s="40"/>
      <c r="C1314" s="40"/>
    </row>
    <row r="1315" spans="2:3" x14ac:dyDescent="0.3">
      <c r="B1315" s="40"/>
      <c r="C1315" s="40"/>
    </row>
    <row r="1316" spans="2:3" x14ac:dyDescent="0.3">
      <c r="B1316" s="40"/>
      <c r="C1316" s="40"/>
    </row>
    <row r="1317" spans="2:3" x14ac:dyDescent="0.3">
      <c r="B1317" s="40"/>
      <c r="C1317" s="40"/>
    </row>
    <row r="1318" spans="2:3" x14ac:dyDescent="0.3">
      <c r="B1318" s="40"/>
      <c r="C1318" s="40"/>
    </row>
    <row r="1319" spans="2:3" x14ac:dyDescent="0.3">
      <c r="B1319" s="40"/>
      <c r="C1319" s="40"/>
    </row>
    <row r="1320" spans="2:3" x14ac:dyDescent="0.3">
      <c r="B1320" s="40"/>
      <c r="C1320" s="40"/>
    </row>
    <row r="1321" spans="2:3" x14ac:dyDescent="0.3">
      <c r="B1321" s="40"/>
      <c r="C1321" s="40"/>
    </row>
    <row r="1322" spans="2:3" x14ac:dyDescent="0.3">
      <c r="B1322" s="40"/>
      <c r="C1322" s="40"/>
    </row>
    <row r="1323" spans="2:3" x14ac:dyDescent="0.3">
      <c r="B1323" s="40"/>
      <c r="C1323" s="40"/>
    </row>
    <row r="1324" spans="2:3" x14ac:dyDescent="0.3">
      <c r="B1324" s="40"/>
      <c r="C1324" s="40"/>
    </row>
    <row r="1325" spans="2:3" x14ac:dyDescent="0.3">
      <c r="B1325" s="40"/>
      <c r="C1325" s="40"/>
    </row>
    <row r="1326" spans="2:3" x14ac:dyDescent="0.3">
      <c r="B1326" s="40"/>
      <c r="C1326" s="40"/>
    </row>
    <row r="1327" spans="2:3" x14ac:dyDescent="0.3">
      <c r="B1327" s="40"/>
      <c r="C1327" s="40"/>
    </row>
    <row r="1328" spans="2:3" x14ac:dyDescent="0.3">
      <c r="B1328" s="40"/>
      <c r="C1328" s="40"/>
    </row>
    <row r="1329" spans="2:3" x14ac:dyDescent="0.3">
      <c r="B1329" s="40"/>
      <c r="C1329" s="40"/>
    </row>
    <row r="1330" spans="2:3" x14ac:dyDescent="0.3">
      <c r="B1330" s="40"/>
      <c r="C1330" s="40"/>
    </row>
    <row r="1331" spans="2:3" x14ac:dyDescent="0.3">
      <c r="B1331" s="40"/>
      <c r="C1331" s="40"/>
    </row>
    <row r="1332" spans="2:3" x14ac:dyDescent="0.3">
      <c r="B1332" s="40"/>
      <c r="C1332" s="40"/>
    </row>
    <row r="1333" spans="2:3" x14ac:dyDescent="0.3">
      <c r="B1333" s="40"/>
      <c r="C1333" s="40"/>
    </row>
    <row r="1334" spans="2:3" x14ac:dyDescent="0.3">
      <c r="B1334" s="40"/>
      <c r="C1334" s="40"/>
    </row>
    <row r="1335" spans="2:3" x14ac:dyDescent="0.3">
      <c r="B1335" s="40"/>
      <c r="C1335" s="40"/>
    </row>
    <row r="1336" spans="2:3" x14ac:dyDescent="0.3">
      <c r="B1336" s="40"/>
      <c r="C1336" s="40"/>
    </row>
    <row r="1337" spans="2:3" x14ac:dyDescent="0.3">
      <c r="B1337" s="40"/>
      <c r="C1337" s="40"/>
    </row>
    <row r="1338" spans="2:3" x14ac:dyDescent="0.3">
      <c r="B1338" s="40"/>
      <c r="C1338" s="40"/>
    </row>
    <row r="1339" spans="2:3" x14ac:dyDescent="0.3">
      <c r="B1339" s="40"/>
      <c r="C1339" s="40"/>
    </row>
    <row r="1340" spans="2:3" x14ac:dyDescent="0.3">
      <c r="B1340" s="40"/>
      <c r="C1340" s="40"/>
    </row>
    <row r="1341" spans="2:3" x14ac:dyDescent="0.3">
      <c r="B1341" s="40"/>
      <c r="C1341" s="40"/>
    </row>
    <row r="1342" spans="2:3" x14ac:dyDescent="0.3">
      <c r="B1342" s="40"/>
      <c r="C1342" s="40"/>
    </row>
    <row r="1343" spans="2:3" x14ac:dyDescent="0.3">
      <c r="B1343" s="40"/>
      <c r="C1343" s="40"/>
    </row>
    <row r="1344" spans="2:3" x14ac:dyDescent="0.3">
      <c r="B1344" s="40"/>
      <c r="C1344" s="40"/>
    </row>
    <row r="1345" spans="2:3" x14ac:dyDescent="0.3">
      <c r="B1345" s="40"/>
      <c r="C1345" s="40"/>
    </row>
    <row r="1346" spans="2:3" x14ac:dyDescent="0.3">
      <c r="B1346" s="40"/>
      <c r="C1346" s="40"/>
    </row>
    <row r="1347" spans="2:3" x14ac:dyDescent="0.3">
      <c r="B1347" s="40"/>
      <c r="C1347" s="40"/>
    </row>
    <row r="1348" spans="2:3" x14ac:dyDescent="0.3">
      <c r="B1348" s="40"/>
      <c r="C1348" s="40"/>
    </row>
    <row r="1349" spans="2:3" x14ac:dyDescent="0.3">
      <c r="B1349" s="40"/>
      <c r="C1349" s="40"/>
    </row>
    <row r="1350" spans="2:3" x14ac:dyDescent="0.3">
      <c r="B1350" s="40"/>
      <c r="C1350" s="40"/>
    </row>
    <row r="1351" spans="2:3" x14ac:dyDescent="0.3">
      <c r="B1351" s="40"/>
      <c r="C1351" s="40"/>
    </row>
    <row r="1352" spans="2:3" x14ac:dyDescent="0.3">
      <c r="B1352" s="40"/>
      <c r="C1352" s="40"/>
    </row>
    <row r="1353" spans="2:3" x14ac:dyDescent="0.3">
      <c r="B1353" s="40"/>
      <c r="C1353" s="40"/>
    </row>
    <row r="1354" spans="2:3" x14ac:dyDescent="0.3">
      <c r="B1354" s="40"/>
      <c r="C1354" s="40"/>
    </row>
    <row r="1355" spans="2:3" x14ac:dyDescent="0.3">
      <c r="B1355" s="40"/>
      <c r="C1355" s="40"/>
    </row>
    <row r="1356" spans="2:3" x14ac:dyDescent="0.3">
      <c r="B1356" s="40"/>
      <c r="C1356" s="40"/>
    </row>
    <row r="1357" spans="2:3" x14ac:dyDescent="0.3">
      <c r="B1357" s="40"/>
      <c r="C1357" s="40"/>
    </row>
    <row r="1358" spans="2:3" x14ac:dyDescent="0.3">
      <c r="B1358" s="40"/>
      <c r="C1358" s="40"/>
    </row>
    <row r="1359" spans="2:3" x14ac:dyDescent="0.3">
      <c r="B1359" s="40"/>
      <c r="C1359" s="40"/>
    </row>
    <row r="1360" spans="2:3" x14ac:dyDescent="0.3">
      <c r="B1360" s="40"/>
      <c r="C1360" s="40"/>
    </row>
    <row r="1361" spans="2:3" x14ac:dyDescent="0.3">
      <c r="B1361" s="40"/>
      <c r="C1361" s="40"/>
    </row>
    <row r="1362" spans="2:3" x14ac:dyDescent="0.3">
      <c r="B1362" s="40"/>
      <c r="C1362" s="40"/>
    </row>
    <row r="1363" spans="2:3" x14ac:dyDescent="0.3">
      <c r="B1363" s="40"/>
      <c r="C1363" s="40"/>
    </row>
    <row r="1364" spans="2:3" x14ac:dyDescent="0.3">
      <c r="B1364" s="40"/>
      <c r="C1364" s="40"/>
    </row>
    <row r="1365" spans="2:3" x14ac:dyDescent="0.3">
      <c r="B1365" s="40"/>
      <c r="C1365" s="40"/>
    </row>
    <row r="1366" spans="2:3" x14ac:dyDescent="0.3">
      <c r="B1366" s="40"/>
      <c r="C1366" s="40"/>
    </row>
    <row r="1367" spans="2:3" x14ac:dyDescent="0.3">
      <c r="B1367" s="40"/>
      <c r="C1367" s="40"/>
    </row>
    <row r="1368" spans="2:3" x14ac:dyDescent="0.3">
      <c r="B1368" s="40"/>
      <c r="C1368" s="40"/>
    </row>
    <row r="1369" spans="2:3" x14ac:dyDescent="0.3">
      <c r="B1369" s="40"/>
      <c r="C1369" s="40"/>
    </row>
    <row r="1370" spans="2:3" x14ac:dyDescent="0.3">
      <c r="B1370" s="40"/>
      <c r="C1370" s="40"/>
    </row>
    <row r="1371" spans="2:3" x14ac:dyDescent="0.3">
      <c r="B1371" s="40"/>
      <c r="C1371" s="40"/>
    </row>
    <row r="1372" spans="2:3" x14ac:dyDescent="0.3">
      <c r="B1372" s="40"/>
      <c r="C1372" s="40"/>
    </row>
    <row r="1373" spans="2:3" x14ac:dyDescent="0.3">
      <c r="B1373" s="40"/>
      <c r="C1373" s="40"/>
    </row>
    <row r="1374" spans="2:3" x14ac:dyDescent="0.3">
      <c r="B1374" s="40"/>
      <c r="C1374" s="40"/>
    </row>
    <row r="1375" spans="2:3" x14ac:dyDescent="0.3">
      <c r="B1375" s="40"/>
      <c r="C1375" s="40"/>
    </row>
    <row r="1376" spans="2:3" x14ac:dyDescent="0.3">
      <c r="B1376" s="40"/>
      <c r="C1376" s="40"/>
    </row>
    <row r="1377" spans="2:3" x14ac:dyDescent="0.3">
      <c r="B1377" s="40"/>
      <c r="C1377" s="40"/>
    </row>
    <row r="1378" spans="2:3" x14ac:dyDescent="0.3">
      <c r="B1378" s="40"/>
      <c r="C1378" s="40"/>
    </row>
    <row r="1379" spans="2:3" x14ac:dyDescent="0.3">
      <c r="B1379" s="40"/>
      <c r="C1379" s="40"/>
    </row>
    <row r="1380" spans="2:3" x14ac:dyDescent="0.3">
      <c r="B1380" s="40"/>
      <c r="C1380" s="40"/>
    </row>
    <row r="1381" spans="2:3" x14ac:dyDescent="0.3">
      <c r="B1381" s="40"/>
      <c r="C1381" s="40"/>
    </row>
    <row r="1382" spans="2:3" x14ac:dyDescent="0.3">
      <c r="B1382" s="40"/>
      <c r="C1382" s="40"/>
    </row>
    <row r="1383" spans="2:3" x14ac:dyDescent="0.3">
      <c r="B1383" s="40"/>
      <c r="C1383" s="40"/>
    </row>
    <row r="1384" spans="2:3" x14ac:dyDescent="0.3">
      <c r="B1384" s="40"/>
      <c r="C1384" s="40"/>
    </row>
    <row r="1385" spans="2:3" x14ac:dyDescent="0.3">
      <c r="B1385" s="40"/>
      <c r="C1385" s="40"/>
    </row>
    <row r="1386" spans="2:3" x14ac:dyDescent="0.3">
      <c r="B1386" s="40"/>
      <c r="C1386" s="40"/>
    </row>
    <row r="1387" spans="2:3" x14ac:dyDescent="0.3">
      <c r="B1387" s="40"/>
      <c r="C1387" s="40"/>
    </row>
    <row r="1388" spans="2:3" x14ac:dyDescent="0.3">
      <c r="B1388" s="40"/>
      <c r="C1388" s="40"/>
    </row>
    <row r="1389" spans="2:3" x14ac:dyDescent="0.3">
      <c r="B1389" s="40"/>
      <c r="C1389" s="40"/>
    </row>
    <row r="1390" spans="2:3" x14ac:dyDescent="0.3">
      <c r="B1390" s="40"/>
      <c r="C1390" s="40"/>
    </row>
    <row r="1391" spans="2:3" x14ac:dyDescent="0.3">
      <c r="B1391" s="40"/>
      <c r="C1391" s="40"/>
    </row>
    <row r="1392" spans="2:3" x14ac:dyDescent="0.3">
      <c r="B1392" s="40"/>
      <c r="C1392" s="40"/>
    </row>
    <row r="1393" spans="2:3" x14ac:dyDescent="0.3">
      <c r="B1393" s="40"/>
      <c r="C1393" s="40"/>
    </row>
    <row r="1394" spans="2:3" x14ac:dyDescent="0.3">
      <c r="B1394" s="40"/>
      <c r="C1394" s="40"/>
    </row>
    <row r="1395" spans="2:3" x14ac:dyDescent="0.3">
      <c r="B1395" s="40"/>
      <c r="C1395" s="40"/>
    </row>
    <row r="1396" spans="2:3" x14ac:dyDescent="0.3">
      <c r="B1396" s="40"/>
      <c r="C1396" s="40"/>
    </row>
    <row r="1397" spans="2:3" x14ac:dyDescent="0.3">
      <c r="B1397" s="40"/>
      <c r="C1397" s="40"/>
    </row>
    <row r="1398" spans="2:3" x14ac:dyDescent="0.3">
      <c r="B1398" s="40"/>
      <c r="C1398" s="40"/>
    </row>
    <row r="1399" spans="2:3" x14ac:dyDescent="0.3">
      <c r="B1399" s="40"/>
      <c r="C1399" s="40"/>
    </row>
    <row r="1400" spans="2:3" x14ac:dyDescent="0.3">
      <c r="B1400" s="40"/>
      <c r="C1400" s="40"/>
    </row>
    <row r="1401" spans="2:3" x14ac:dyDescent="0.3">
      <c r="B1401" s="40"/>
      <c r="C1401" s="40"/>
    </row>
    <row r="1402" spans="2:3" x14ac:dyDescent="0.3">
      <c r="B1402" s="40"/>
      <c r="C1402" s="40"/>
    </row>
    <row r="1403" spans="2:3" x14ac:dyDescent="0.3">
      <c r="B1403" s="40"/>
      <c r="C1403" s="40"/>
    </row>
    <row r="1404" spans="2:3" x14ac:dyDescent="0.3">
      <c r="B1404" s="40"/>
      <c r="C1404" s="40"/>
    </row>
    <row r="1405" spans="2:3" x14ac:dyDescent="0.3">
      <c r="B1405" s="40"/>
      <c r="C1405" s="40"/>
    </row>
    <row r="1406" spans="2:3" x14ac:dyDescent="0.3">
      <c r="B1406" s="40"/>
      <c r="C1406" s="40"/>
    </row>
    <row r="1407" spans="2:3" x14ac:dyDescent="0.3">
      <c r="B1407" s="40"/>
      <c r="C1407" s="40"/>
    </row>
    <row r="1408" spans="2:3" x14ac:dyDescent="0.3">
      <c r="B1408" s="40"/>
      <c r="C1408" s="40"/>
    </row>
    <row r="1409" spans="2:3" x14ac:dyDescent="0.3">
      <c r="B1409" s="40"/>
      <c r="C1409" s="40"/>
    </row>
    <row r="1410" spans="2:3" x14ac:dyDescent="0.3">
      <c r="B1410" s="40"/>
      <c r="C1410" s="40"/>
    </row>
    <row r="1411" spans="2:3" x14ac:dyDescent="0.3">
      <c r="B1411" s="40"/>
      <c r="C1411" s="40"/>
    </row>
    <row r="1412" spans="2:3" x14ac:dyDescent="0.3">
      <c r="B1412" s="40"/>
      <c r="C1412" s="40"/>
    </row>
    <row r="1413" spans="2:3" x14ac:dyDescent="0.3">
      <c r="B1413" s="40"/>
      <c r="C1413" s="40"/>
    </row>
    <row r="1414" spans="2:3" x14ac:dyDescent="0.3">
      <c r="B1414" s="40"/>
      <c r="C1414" s="40"/>
    </row>
    <row r="1415" spans="2:3" x14ac:dyDescent="0.3">
      <c r="B1415" s="40"/>
      <c r="C1415" s="40"/>
    </row>
    <row r="1416" spans="2:3" x14ac:dyDescent="0.3">
      <c r="B1416" s="40"/>
      <c r="C1416" s="40"/>
    </row>
    <row r="1417" spans="2:3" x14ac:dyDescent="0.3">
      <c r="B1417" s="40"/>
      <c r="C1417" s="40"/>
    </row>
    <row r="1418" spans="2:3" x14ac:dyDescent="0.3">
      <c r="B1418" s="40"/>
      <c r="C1418" s="40"/>
    </row>
    <row r="1419" spans="2:3" x14ac:dyDescent="0.3">
      <c r="B1419" s="40"/>
      <c r="C1419" s="40"/>
    </row>
    <row r="1420" spans="2:3" x14ac:dyDescent="0.3">
      <c r="B1420" s="40"/>
      <c r="C1420" s="40"/>
    </row>
    <row r="1421" spans="2:3" x14ac:dyDescent="0.3">
      <c r="B1421" s="40"/>
      <c r="C1421" s="40"/>
    </row>
    <row r="1422" spans="2:3" x14ac:dyDescent="0.3">
      <c r="B1422" s="40"/>
      <c r="C1422" s="40"/>
    </row>
    <row r="1423" spans="2:3" x14ac:dyDescent="0.3">
      <c r="B1423" s="40"/>
      <c r="C1423" s="40"/>
    </row>
    <row r="1424" spans="2:3" x14ac:dyDescent="0.3">
      <c r="B1424" s="40"/>
      <c r="C1424" s="40"/>
    </row>
    <row r="1425" spans="2:3" x14ac:dyDescent="0.3">
      <c r="B1425" s="40"/>
      <c r="C1425" s="40"/>
    </row>
    <row r="1426" spans="2:3" x14ac:dyDescent="0.3">
      <c r="B1426" s="40"/>
      <c r="C1426" s="40"/>
    </row>
    <row r="1427" spans="2:3" x14ac:dyDescent="0.3">
      <c r="B1427" s="40"/>
      <c r="C1427" s="40"/>
    </row>
    <row r="1428" spans="2:3" x14ac:dyDescent="0.3">
      <c r="B1428" s="40"/>
      <c r="C1428" s="40"/>
    </row>
    <row r="1429" spans="2:3" x14ac:dyDescent="0.3">
      <c r="B1429" s="40"/>
      <c r="C1429" s="40"/>
    </row>
    <row r="1430" spans="2:3" x14ac:dyDescent="0.3">
      <c r="B1430" s="40"/>
      <c r="C1430" s="40"/>
    </row>
    <row r="1431" spans="2:3" x14ac:dyDescent="0.3">
      <c r="B1431" s="40"/>
      <c r="C1431" s="40"/>
    </row>
    <row r="1432" spans="2:3" x14ac:dyDescent="0.3">
      <c r="B1432" s="40"/>
      <c r="C1432" s="40"/>
    </row>
    <row r="1433" spans="2:3" x14ac:dyDescent="0.3">
      <c r="B1433" s="40"/>
      <c r="C1433" s="40"/>
    </row>
    <row r="1434" spans="2:3" x14ac:dyDescent="0.3">
      <c r="B1434" s="40"/>
      <c r="C1434" s="40"/>
    </row>
    <row r="1435" spans="2:3" x14ac:dyDescent="0.3">
      <c r="B1435" s="40"/>
      <c r="C1435" s="40"/>
    </row>
    <row r="1436" spans="2:3" x14ac:dyDescent="0.3">
      <c r="B1436" s="40"/>
      <c r="C1436" s="40"/>
    </row>
    <row r="1437" spans="2:3" x14ac:dyDescent="0.3">
      <c r="B1437" s="40"/>
      <c r="C1437" s="40"/>
    </row>
    <row r="1438" spans="2:3" x14ac:dyDescent="0.3">
      <c r="B1438" s="40"/>
      <c r="C1438" s="40"/>
    </row>
    <row r="1439" spans="2:3" x14ac:dyDescent="0.3">
      <c r="B1439" s="40"/>
      <c r="C1439" s="40"/>
    </row>
    <row r="1440" spans="2:3" x14ac:dyDescent="0.3">
      <c r="B1440" s="40"/>
      <c r="C1440" s="40"/>
    </row>
    <row r="1441" spans="2:3" x14ac:dyDescent="0.3">
      <c r="B1441" s="40"/>
      <c r="C1441" s="40"/>
    </row>
    <row r="1442" spans="2:3" x14ac:dyDescent="0.3">
      <c r="B1442" s="40"/>
      <c r="C1442" s="40"/>
    </row>
    <row r="1443" spans="2:3" x14ac:dyDescent="0.3">
      <c r="B1443" s="40"/>
      <c r="C1443" s="40"/>
    </row>
    <row r="1444" spans="2:3" x14ac:dyDescent="0.3">
      <c r="B1444" s="40"/>
      <c r="C1444" s="40"/>
    </row>
    <row r="1445" spans="2:3" x14ac:dyDescent="0.3">
      <c r="B1445" s="40"/>
      <c r="C1445" s="40"/>
    </row>
    <row r="1446" spans="2:3" x14ac:dyDescent="0.3">
      <c r="B1446" s="40"/>
      <c r="C1446" s="40"/>
    </row>
    <row r="1447" spans="2:3" x14ac:dyDescent="0.3">
      <c r="B1447" s="40"/>
      <c r="C1447" s="40"/>
    </row>
    <row r="1448" spans="2:3" x14ac:dyDescent="0.3">
      <c r="B1448" s="40"/>
      <c r="C1448" s="40"/>
    </row>
    <row r="1449" spans="2:3" x14ac:dyDescent="0.3">
      <c r="B1449" s="40"/>
      <c r="C1449" s="40"/>
    </row>
    <row r="1450" spans="2:3" x14ac:dyDescent="0.3">
      <c r="B1450" s="40"/>
      <c r="C1450" s="40"/>
    </row>
    <row r="1451" spans="2:3" x14ac:dyDescent="0.3">
      <c r="B1451" s="40"/>
      <c r="C1451" s="40"/>
    </row>
    <row r="1452" spans="2:3" x14ac:dyDescent="0.3">
      <c r="B1452" s="40"/>
      <c r="C1452" s="40"/>
    </row>
    <row r="1453" spans="2:3" x14ac:dyDescent="0.3">
      <c r="B1453" s="40"/>
      <c r="C1453" s="40"/>
    </row>
    <row r="1454" spans="2:3" x14ac:dyDescent="0.3">
      <c r="B1454" s="40"/>
      <c r="C1454" s="40"/>
    </row>
    <row r="1455" spans="2:3" x14ac:dyDescent="0.3">
      <c r="B1455" s="40"/>
      <c r="C1455" s="40"/>
    </row>
    <row r="1456" spans="2:3" x14ac:dyDescent="0.3">
      <c r="B1456" s="40"/>
      <c r="C1456" s="40"/>
    </row>
    <row r="1457" spans="2:3" x14ac:dyDescent="0.3">
      <c r="B1457" s="40"/>
      <c r="C1457" s="40"/>
    </row>
    <row r="1458" spans="2:3" x14ac:dyDescent="0.3">
      <c r="B1458" s="40"/>
      <c r="C1458" s="40"/>
    </row>
    <row r="1459" spans="2:3" x14ac:dyDescent="0.3">
      <c r="B1459" s="40"/>
      <c r="C1459" s="40"/>
    </row>
    <row r="1460" spans="2:3" x14ac:dyDescent="0.3">
      <c r="B1460" s="40"/>
      <c r="C1460" s="40"/>
    </row>
    <row r="1461" spans="2:3" x14ac:dyDescent="0.3">
      <c r="B1461" s="40"/>
      <c r="C1461" s="40"/>
    </row>
    <row r="1462" spans="2:3" x14ac:dyDescent="0.3">
      <c r="B1462" s="40"/>
      <c r="C1462" s="40"/>
    </row>
    <row r="1463" spans="2:3" x14ac:dyDescent="0.3">
      <c r="B1463" s="40"/>
      <c r="C1463" s="40"/>
    </row>
    <row r="1464" spans="2:3" x14ac:dyDescent="0.3">
      <c r="B1464" s="40"/>
      <c r="C1464" s="40"/>
    </row>
    <row r="1465" spans="2:3" x14ac:dyDescent="0.3">
      <c r="B1465" s="40"/>
      <c r="C1465" s="40"/>
    </row>
    <row r="1466" spans="2:3" x14ac:dyDescent="0.3">
      <c r="B1466" s="40"/>
      <c r="C1466" s="40"/>
    </row>
    <row r="1467" spans="2:3" x14ac:dyDescent="0.3">
      <c r="B1467" s="40"/>
      <c r="C1467" s="40"/>
    </row>
    <row r="1468" spans="2:3" x14ac:dyDescent="0.3">
      <c r="B1468" s="40"/>
      <c r="C1468" s="40"/>
    </row>
    <row r="1469" spans="2:3" x14ac:dyDescent="0.3">
      <c r="B1469" s="40"/>
      <c r="C1469" s="40"/>
    </row>
    <row r="1470" spans="2:3" x14ac:dyDescent="0.3">
      <c r="B1470" s="40"/>
      <c r="C1470" s="40"/>
    </row>
    <row r="1471" spans="2:3" x14ac:dyDescent="0.3">
      <c r="B1471" s="40"/>
      <c r="C1471" s="40"/>
    </row>
    <row r="1472" spans="2:3" x14ac:dyDescent="0.3">
      <c r="B1472" s="40"/>
      <c r="C1472" s="40"/>
    </row>
    <row r="1473" spans="2:3" x14ac:dyDescent="0.3">
      <c r="B1473" s="40"/>
      <c r="C1473" s="40"/>
    </row>
    <row r="1474" spans="2:3" x14ac:dyDescent="0.3">
      <c r="B1474" s="40"/>
      <c r="C1474" s="40"/>
    </row>
    <row r="1475" spans="2:3" x14ac:dyDescent="0.3">
      <c r="B1475" s="40"/>
      <c r="C1475" s="40"/>
    </row>
    <row r="1476" spans="2:3" x14ac:dyDescent="0.3">
      <c r="B1476" s="40"/>
      <c r="C1476" s="40"/>
    </row>
    <row r="1477" spans="2:3" x14ac:dyDescent="0.3">
      <c r="B1477" s="40"/>
      <c r="C1477" s="40"/>
    </row>
    <row r="1478" spans="2:3" x14ac:dyDescent="0.3">
      <c r="B1478" s="40"/>
      <c r="C1478" s="40"/>
    </row>
    <row r="1479" spans="2:3" x14ac:dyDescent="0.3">
      <c r="B1479" s="40"/>
      <c r="C1479" s="40"/>
    </row>
    <row r="1480" spans="2:3" x14ac:dyDescent="0.3">
      <c r="B1480" s="40"/>
      <c r="C1480" s="40"/>
    </row>
    <row r="1481" spans="2:3" x14ac:dyDescent="0.3">
      <c r="B1481" s="40"/>
      <c r="C1481" s="40"/>
    </row>
    <row r="1482" spans="2:3" x14ac:dyDescent="0.3">
      <c r="B1482" s="40"/>
      <c r="C1482" s="40"/>
    </row>
    <row r="1483" spans="2:3" x14ac:dyDescent="0.3">
      <c r="B1483" s="40"/>
      <c r="C1483" s="40"/>
    </row>
    <row r="1484" spans="2:3" x14ac:dyDescent="0.3">
      <c r="B1484" s="40"/>
      <c r="C1484" s="40"/>
    </row>
    <row r="1485" spans="2:3" x14ac:dyDescent="0.3">
      <c r="B1485" s="40"/>
      <c r="C1485" s="40"/>
    </row>
    <row r="1486" spans="2:3" x14ac:dyDescent="0.3">
      <c r="B1486" s="40"/>
      <c r="C1486" s="40"/>
    </row>
    <row r="1487" spans="2:3" x14ac:dyDescent="0.3">
      <c r="B1487" s="40"/>
      <c r="C1487" s="40"/>
    </row>
    <row r="1488" spans="2:3" x14ac:dyDescent="0.3">
      <c r="B1488" s="40"/>
      <c r="C1488" s="40"/>
    </row>
    <row r="1489" spans="2:3" x14ac:dyDescent="0.3">
      <c r="B1489" s="40"/>
      <c r="C1489" s="40"/>
    </row>
    <row r="1490" spans="2:3" x14ac:dyDescent="0.3">
      <c r="B1490" s="40"/>
      <c r="C1490" s="40"/>
    </row>
    <row r="1491" spans="2:3" x14ac:dyDescent="0.3">
      <c r="B1491" s="40"/>
      <c r="C1491" s="40"/>
    </row>
    <row r="1492" spans="2:3" x14ac:dyDescent="0.3">
      <c r="B1492" s="40"/>
      <c r="C1492" s="40"/>
    </row>
    <row r="1493" spans="2:3" x14ac:dyDescent="0.3">
      <c r="B1493" s="40"/>
      <c r="C1493" s="40"/>
    </row>
    <row r="1494" spans="2:3" x14ac:dyDescent="0.3">
      <c r="B1494" s="40"/>
      <c r="C1494" s="40"/>
    </row>
    <row r="1495" spans="2:3" x14ac:dyDescent="0.3">
      <c r="B1495" s="40"/>
      <c r="C1495" s="40"/>
    </row>
    <row r="1496" spans="2:3" x14ac:dyDescent="0.3">
      <c r="B1496" s="40"/>
      <c r="C1496" s="40"/>
    </row>
    <row r="1497" spans="2:3" x14ac:dyDescent="0.3">
      <c r="B1497" s="40"/>
      <c r="C1497" s="40"/>
    </row>
    <row r="1498" spans="2:3" x14ac:dyDescent="0.3">
      <c r="B1498" s="40"/>
      <c r="C1498" s="40"/>
    </row>
    <row r="1499" spans="2:3" x14ac:dyDescent="0.3">
      <c r="B1499" s="40"/>
      <c r="C1499" s="40"/>
    </row>
    <row r="1500" spans="2:3" x14ac:dyDescent="0.3">
      <c r="B1500" s="40"/>
      <c r="C1500" s="40"/>
    </row>
    <row r="1501" spans="2:3" x14ac:dyDescent="0.3">
      <c r="B1501" s="40"/>
      <c r="C1501" s="40"/>
    </row>
    <row r="1502" spans="2:3" x14ac:dyDescent="0.3">
      <c r="B1502" s="40"/>
      <c r="C1502" s="40"/>
    </row>
    <row r="1503" spans="2:3" x14ac:dyDescent="0.3">
      <c r="B1503" s="40"/>
      <c r="C1503" s="40"/>
    </row>
    <row r="1504" spans="2:3" x14ac:dyDescent="0.3">
      <c r="B1504" s="40"/>
      <c r="C1504" s="40"/>
    </row>
    <row r="1505" spans="2:3" x14ac:dyDescent="0.3">
      <c r="B1505" s="40"/>
      <c r="C1505" s="40"/>
    </row>
    <row r="1506" spans="2:3" x14ac:dyDescent="0.3">
      <c r="B1506" s="40"/>
      <c r="C1506" s="40"/>
    </row>
    <row r="1507" spans="2:3" x14ac:dyDescent="0.3">
      <c r="B1507" s="40"/>
      <c r="C1507" s="40"/>
    </row>
    <row r="1508" spans="2:3" x14ac:dyDescent="0.3">
      <c r="B1508" s="40"/>
      <c r="C1508" s="40"/>
    </row>
    <row r="1509" spans="2:3" x14ac:dyDescent="0.3">
      <c r="B1509" s="40"/>
      <c r="C1509" s="40"/>
    </row>
    <row r="1510" spans="2:3" x14ac:dyDescent="0.3">
      <c r="B1510" s="40"/>
      <c r="C1510" s="40"/>
    </row>
    <row r="1511" spans="2:3" x14ac:dyDescent="0.3">
      <c r="B1511" s="40"/>
      <c r="C1511" s="40"/>
    </row>
    <row r="1512" spans="2:3" x14ac:dyDescent="0.3">
      <c r="B1512" s="40"/>
      <c r="C1512" s="40"/>
    </row>
    <row r="1513" spans="2:3" x14ac:dyDescent="0.3">
      <c r="B1513" s="40"/>
      <c r="C1513" s="40"/>
    </row>
    <row r="1514" spans="2:3" x14ac:dyDescent="0.3">
      <c r="B1514" s="40"/>
      <c r="C1514" s="40"/>
    </row>
    <row r="1515" spans="2:3" x14ac:dyDescent="0.3">
      <c r="B1515" s="40"/>
      <c r="C1515" s="40"/>
    </row>
    <row r="1516" spans="2:3" x14ac:dyDescent="0.3">
      <c r="B1516" s="40"/>
      <c r="C1516" s="40"/>
    </row>
    <row r="1517" spans="2:3" x14ac:dyDescent="0.3">
      <c r="B1517" s="40"/>
      <c r="C1517" s="40"/>
    </row>
    <row r="1518" spans="2:3" x14ac:dyDescent="0.3">
      <c r="B1518" s="40"/>
      <c r="C1518" s="40"/>
    </row>
    <row r="1519" spans="2:3" x14ac:dyDescent="0.3">
      <c r="B1519" s="40"/>
      <c r="C1519" s="40"/>
    </row>
    <row r="1520" spans="2:3" x14ac:dyDescent="0.3">
      <c r="B1520" s="40"/>
      <c r="C1520" s="40"/>
    </row>
    <row r="1521" spans="2:3" x14ac:dyDescent="0.3">
      <c r="B1521" s="40"/>
      <c r="C1521" s="40"/>
    </row>
    <row r="1522" spans="2:3" x14ac:dyDescent="0.3">
      <c r="B1522" s="40"/>
      <c r="C1522" s="40"/>
    </row>
    <row r="1523" spans="2:3" x14ac:dyDescent="0.3">
      <c r="B1523" s="40"/>
      <c r="C1523" s="40"/>
    </row>
    <row r="1524" spans="2:3" x14ac:dyDescent="0.3">
      <c r="B1524" s="40"/>
      <c r="C1524" s="40"/>
    </row>
    <row r="1525" spans="2:3" x14ac:dyDescent="0.3">
      <c r="B1525" s="40"/>
      <c r="C1525" s="40"/>
    </row>
    <row r="1526" spans="2:3" x14ac:dyDescent="0.3">
      <c r="B1526" s="40"/>
      <c r="C1526" s="40"/>
    </row>
    <row r="1527" spans="2:3" x14ac:dyDescent="0.3">
      <c r="B1527" s="40"/>
      <c r="C1527" s="40"/>
    </row>
    <row r="1528" spans="2:3" x14ac:dyDescent="0.3">
      <c r="B1528" s="40"/>
      <c r="C1528" s="40"/>
    </row>
    <row r="1529" spans="2:3" x14ac:dyDescent="0.3">
      <c r="B1529" s="40"/>
      <c r="C1529" s="40"/>
    </row>
    <row r="1530" spans="2:3" x14ac:dyDescent="0.3">
      <c r="B1530" s="40"/>
      <c r="C1530" s="40"/>
    </row>
    <row r="1531" spans="2:3" x14ac:dyDescent="0.3">
      <c r="B1531" s="40"/>
      <c r="C1531" s="40"/>
    </row>
    <row r="1532" spans="2:3" x14ac:dyDescent="0.3">
      <c r="B1532" s="40"/>
      <c r="C1532" s="40"/>
    </row>
    <row r="1533" spans="2:3" x14ac:dyDescent="0.3">
      <c r="B1533" s="40"/>
      <c r="C1533" s="40"/>
    </row>
    <row r="1534" spans="2:3" x14ac:dyDescent="0.3">
      <c r="B1534" s="40"/>
      <c r="C1534" s="40"/>
    </row>
    <row r="1535" spans="2:3" x14ac:dyDescent="0.3">
      <c r="B1535" s="40"/>
      <c r="C1535" s="40"/>
    </row>
    <row r="1536" spans="2:3" x14ac:dyDescent="0.3">
      <c r="B1536" s="40"/>
      <c r="C1536" s="40"/>
    </row>
    <row r="1537" spans="2:3" x14ac:dyDescent="0.3">
      <c r="B1537" s="40"/>
      <c r="C1537" s="40"/>
    </row>
    <row r="1538" spans="2:3" x14ac:dyDescent="0.3">
      <c r="B1538" s="40"/>
      <c r="C1538" s="40"/>
    </row>
    <row r="1539" spans="2:3" x14ac:dyDescent="0.3">
      <c r="B1539" s="40"/>
      <c r="C1539" s="40"/>
    </row>
    <row r="1540" spans="2:3" x14ac:dyDescent="0.3">
      <c r="B1540" s="40"/>
      <c r="C1540" s="40"/>
    </row>
    <row r="1541" spans="2:3" x14ac:dyDescent="0.3">
      <c r="B1541" s="40"/>
      <c r="C1541" s="40"/>
    </row>
    <row r="1542" spans="2:3" x14ac:dyDescent="0.3">
      <c r="B1542" s="40"/>
      <c r="C1542" s="40"/>
    </row>
    <row r="1543" spans="2:3" x14ac:dyDescent="0.3">
      <c r="B1543" s="40"/>
      <c r="C1543" s="40"/>
    </row>
    <row r="1544" spans="2:3" x14ac:dyDescent="0.3">
      <c r="B1544" s="40"/>
      <c r="C1544" s="40"/>
    </row>
    <row r="1545" spans="2:3" x14ac:dyDescent="0.3">
      <c r="B1545" s="40"/>
      <c r="C1545" s="40"/>
    </row>
    <row r="1546" spans="2:3" x14ac:dyDescent="0.3">
      <c r="B1546" s="40"/>
      <c r="C1546" s="40"/>
    </row>
    <row r="1547" spans="2:3" x14ac:dyDescent="0.3">
      <c r="B1547" s="40"/>
      <c r="C1547" s="40"/>
    </row>
    <row r="1548" spans="2:3" x14ac:dyDescent="0.3">
      <c r="B1548" s="40"/>
      <c r="C1548" s="40"/>
    </row>
    <row r="1549" spans="2:3" x14ac:dyDescent="0.3">
      <c r="B1549" s="40"/>
      <c r="C1549" s="40"/>
    </row>
    <row r="1550" spans="2:3" x14ac:dyDescent="0.3">
      <c r="B1550" s="40"/>
      <c r="C1550" s="40"/>
    </row>
    <row r="1551" spans="2:3" x14ac:dyDescent="0.3">
      <c r="B1551" s="40"/>
      <c r="C1551" s="40"/>
    </row>
    <row r="1552" spans="2:3" x14ac:dyDescent="0.3">
      <c r="B1552" s="40"/>
      <c r="C1552" s="40"/>
    </row>
    <row r="1553" spans="2:3" x14ac:dyDescent="0.3">
      <c r="B1553" s="40"/>
      <c r="C1553" s="40"/>
    </row>
    <row r="1554" spans="2:3" x14ac:dyDescent="0.3">
      <c r="B1554" s="40"/>
      <c r="C1554" s="40"/>
    </row>
    <row r="1555" spans="2:3" x14ac:dyDescent="0.3">
      <c r="B1555" s="40"/>
      <c r="C1555" s="40"/>
    </row>
    <row r="1556" spans="2:3" x14ac:dyDescent="0.3">
      <c r="B1556" s="40"/>
      <c r="C1556" s="40"/>
    </row>
    <row r="1557" spans="2:3" x14ac:dyDescent="0.3">
      <c r="B1557" s="40"/>
      <c r="C1557" s="40"/>
    </row>
    <row r="1558" spans="2:3" x14ac:dyDescent="0.3">
      <c r="B1558" s="40"/>
      <c r="C1558" s="40"/>
    </row>
    <row r="1559" spans="2:3" x14ac:dyDescent="0.3">
      <c r="B1559" s="40"/>
      <c r="C1559" s="40"/>
    </row>
    <row r="1560" spans="2:3" x14ac:dyDescent="0.3">
      <c r="B1560" s="40"/>
      <c r="C1560" s="40"/>
    </row>
    <row r="1561" spans="2:3" x14ac:dyDescent="0.3">
      <c r="B1561" s="40"/>
      <c r="C1561" s="40"/>
    </row>
    <row r="1562" spans="2:3" x14ac:dyDescent="0.3">
      <c r="B1562" s="40"/>
      <c r="C1562" s="40"/>
    </row>
    <row r="1563" spans="2:3" x14ac:dyDescent="0.3">
      <c r="B1563" s="40"/>
      <c r="C1563" s="40"/>
    </row>
    <row r="1564" spans="2:3" x14ac:dyDescent="0.3">
      <c r="B1564" s="40"/>
      <c r="C1564" s="40"/>
    </row>
    <row r="1565" spans="2:3" x14ac:dyDescent="0.3">
      <c r="B1565" s="40"/>
      <c r="C1565" s="40"/>
    </row>
    <row r="1566" spans="2:3" x14ac:dyDescent="0.3">
      <c r="B1566" s="40"/>
      <c r="C1566" s="40"/>
    </row>
    <row r="1567" spans="2:3" x14ac:dyDescent="0.3">
      <c r="B1567" s="40"/>
      <c r="C1567" s="40"/>
    </row>
    <row r="1568" spans="2:3" x14ac:dyDescent="0.3">
      <c r="B1568" s="40"/>
      <c r="C1568" s="40"/>
    </row>
    <row r="1569" spans="2:3" x14ac:dyDescent="0.3">
      <c r="B1569" s="40"/>
      <c r="C1569" s="40"/>
    </row>
    <row r="1570" spans="2:3" x14ac:dyDescent="0.3">
      <c r="B1570" s="40"/>
      <c r="C1570" s="40"/>
    </row>
    <row r="1571" spans="2:3" x14ac:dyDescent="0.3">
      <c r="B1571" s="40"/>
      <c r="C1571" s="40"/>
    </row>
    <row r="1572" spans="2:3" x14ac:dyDescent="0.3">
      <c r="B1572" s="40"/>
      <c r="C1572" s="40"/>
    </row>
    <row r="1573" spans="2:3" x14ac:dyDescent="0.3">
      <c r="B1573" s="40"/>
      <c r="C1573" s="40"/>
    </row>
    <row r="1574" spans="2:3" x14ac:dyDescent="0.3">
      <c r="B1574" s="40"/>
      <c r="C1574" s="40"/>
    </row>
    <row r="1575" spans="2:3" x14ac:dyDescent="0.3">
      <c r="B1575" s="40"/>
      <c r="C1575" s="40"/>
    </row>
    <row r="1576" spans="2:3" x14ac:dyDescent="0.3">
      <c r="B1576" s="40"/>
      <c r="C1576" s="40"/>
    </row>
    <row r="1577" spans="2:3" x14ac:dyDescent="0.3">
      <c r="B1577" s="40"/>
      <c r="C1577" s="40"/>
    </row>
    <row r="1578" spans="2:3" x14ac:dyDescent="0.3">
      <c r="B1578" s="40"/>
      <c r="C1578" s="40"/>
    </row>
    <row r="1579" spans="2:3" x14ac:dyDescent="0.3">
      <c r="B1579" s="40"/>
      <c r="C1579" s="40"/>
    </row>
    <row r="1580" spans="2:3" x14ac:dyDescent="0.3">
      <c r="B1580" s="40"/>
      <c r="C1580" s="40"/>
    </row>
    <row r="1581" spans="2:3" x14ac:dyDescent="0.3">
      <c r="B1581" s="40"/>
      <c r="C1581" s="40"/>
    </row>
    <row r="1582" spans="2:3" x14ac:dyDescent="0.3">
      <c r="B1582" s="40"/>
      <c r="C1582" s="40"/>
    </row>
    <row r="1583" spans="2:3" x14ac:dyDescent="0.3">
      <c r="B1583" s="40"/>
      <c r="C1583" s="40"/>
    </row>
    <row r="1584" spans="2:3" x14ac:dyDescent="0.3">
      <c r="B1584" s="40"/>
      <c r="C1584" s="40"/>
    </row>
    <row r="1585" spans="2:3" x14ac:dyDescent="0.3">
      <c r="B1585" s="40"/>
      <c r="C1585" s="40"/>
    </row>
    <row r="1586" spans="2:3" x14ac:dyDescent="0.3">
      <c r="B1586" s="40"/>
      <c r="C1586" s="40"/>
    </row>
    <row r="1587" spans="2:3" x14ac:dyDescent="0.3">
      <c r="B1587" s="40"/>
      <c r="C1587" s="40"/>
    </row>
    <row r="1588" spans="2:3" x14ac:dyDescent="0.3">
      <c r="B1588" s="40"/>
      <c r="C1588" s="40"/>
    </row>
    <row r="1589" spans="2:3" x14ac:dyDescent="0.3">
      <c r="B1589" s="40"/>
      <c r="C1589" s="40"/>
    </row>
    <row r="1590" spans="2:3" x14ac:dyDescent="0.3">
      <c r="B1590" s="40"/>
      <c r="C1590" s="40"/>
    </row>
    <row r="1591" spans="2:3" x14ac:dyDescent="0.3">
      <c r="B1591" s="40"/>
      <c r="C1591" s="40"/>
    </row>
    <row r="1592" spans="2:3" x14ac:dyDescent="0.3">
      <c r="B1592" s="40"/>
      <c r="C1592" s="40"/>
    </row>
    <row r="1593" spans="2:3" x14ac:dyDescent="0.3">
      <c r="B1593" s="40"/>
      <c r="C1593" s="40"/>
    </row>
    <row r="1594" spans="2:3" x14ac:dyDescent="0.3">
      <c r="B1594" s="40"/>
      <c r="C1594" s="40"/>
    </row>
    <row r="1595" spans="2:3" x14ac:dyDescent="0.3">
      <c r="B1595" s="40"/>
      <c r="C1595" s="40"/>
    </row>
    <row r="1596" spans="2:3" x14ac:dyDescent="0.3">
      <c r="B1596" s="40"/>
      <c r="C1596" s="40"/>
    </row>
    <row r="1597" spans="2:3" x14ac:dyDescent="0.3">
      <c r="B1597" s="40"/>
      <c r="C1597" s="40"/>
    </row>
    <row r="1598" spans="2:3" x14ac:dyDescent="0.3">
      <c r="B1598" s="40"/>
      <c r="C1598" s="40"/>
    </row>
    <row r="1599" spans="2:3" x14ac:dyDescent="0.3">
      <c r="B1599" s="40"/>
      <c r="C1599" s="40"/>
    </row>
    <row r="1600" spans="2:3" x14ac:dyDescent="0.3">
      <c r="B1600" s="40"/>
      <c r="C1600" s="40"/>
    </row>
    <row r="1601" spans="2:3" x14ac:dyDescent="0.3">
      <c r="B1601" s="40"/>
      <c r="C1601" s="40"/>
    </row>
    <row r="1602" spans="2:3" x14ac:dyDescent="0.3">
      <c r="B1602" s="40"/>
      <c r="C1602" s="40"/>
    </row>
    <row r="1603" spans="2:3" x14ac:dyDescent="0.3">
      <c r="B1603" s="40"/>
      <c r="C1603" s="40"/>
    </row>
    <row r="1604" spans="2:3" x14ac:dyDescent="0.3">
      <c r="B1604" s="40"/>
      <c r="C1604" s="40"/>
    </row>
    <row r="1605" spans="2:3" x14ac:dyDescent="0.3">
      <c r="B1605" s="40"/>
      <c r="C1605" s="40"/>
    </row>
    <row r="1606" spans="2:3" x14ac:dyDescent="0.3">
      <c r="B1606" s="40"/>
      <c r="C1606" s="40"/>
    </row>
    <row r="1607" spans="2:3" x14ac:dyDescent="0.3">
      <c r="B1607" s="40"/>
      <c r="C1607" s="40"/>
    </row>
    <row r="1608" spans="2:3" x14ac:dyDescent="0.3">
      <c r="B1608" s="40"/>
      <c r="C1608" s="40"/>
    </row>
    <row r="1609" spans="2:3" x14ac:dyDescent="0.3">
      <c r="B1609" s="40"/>
      <c r="C1609" s="40"/>
    </row>
    <row r="1610" spans="2:3" x14ac:dyDescent="0.3">
      <c r="B1610" s="40"/>
      <c r="C1610" s="40"/>
    </row>
    <row r="1611" spans="2:3" x14ac:dyDescent="0.3">
      <c r="B1611" s="40"/>
      <c r="C1611" s="40"/>
    </row>
    <row r="1612" spans="2:3" x14ac:dyDescent="0.3">
      <c r="B1612" s="40"/>
      <c r="C1612" s="40"/>
    </row>
    <row r="1613" spans="2:3" x14ac:dyDescent="0.3">
      <c r="B1613" s="40"/>
      <c r="C1613" s="40"/>
    </row>
    <row r="1614" spans="2:3" x14ac:dyDescent="0.3">
      <c r="B1614" s="40"/>
      <c r="C1614" s="40"/>
    </row>
    <row r="1615" spans="2:3" x14ac:dyDescent="0.3">
      <c r="B1615" s="40"/>
      <c r="C1615" s="40"/>
    </row>
    <row r="1616" spans="2:3" x14ac:dyDescent="0.3">
      <c r="B1616" s="40"/>
      <c r="C1616" s="40"/>
    </row>
    <row r="1617" spans="2:3" x14ac:dyDescent="0.3">
      <c r="B1617" s="40"/>
      <c r="C1617" s="40"/>
    </row>
    <row r="1618" spans="2:3" x14ac:dyDescent="0.3">
      <c r="B1618" s="40"/>
      <c r="C1618" s="40"/>
    </row>
    <row r="1619" spans="2:3" x14ac:dyDescent="0.3">
      <c r="B1619" s="40"/>
      <c r="C1619" s="40"/>
    </row>
    <row r="1620" spans="2:3" x14ac:dyDescent="0.3">
      <c r="B1620" s="40"/>
      <c r="C1620" s="40"/>
    </row>
    <row r="1621" spans="2:3" x14ac:dyDescent="0.3">
      <c r="B1621" s="40"/>
      <c r="C1621" s="40"/>
    </row>
    <row r="1622" spans="2:3" x14ac:dyDescent="0.3">
      <c r="B1622" s="40"/>
      <c r="C1622" s="40"/>
    </row>
    <row r="1623" spans="2:3" x14ac:dyDescent="0.3">
      <c r="B1623" s="40"/>
      <c r="C1623" s="40"/>
    </row>
    <row r="1624" spans="2:3" x14ac:dyDescent="0.3">
      <c r="B1624" s="40"/>
      <c r="C1624" s="40"/>
    </row>
    <row r="1625" spans="2:3" x14ac:dyDescent="0.3">
      <c r="B1625" s="40"/>
      <c r="C1625" s="40"/>
    </row>
    <row r="1626" spans="2:3" x14ac:dyDescent="0.3">
      <c r="B1626" s="40"/>
      <c r="C1626" s="40"/>
    </row>
    <row r="1627" spans="2:3" x14ac:dyDescent="0.3">
      <c r="B1627" s="40"/>
      <c r="C1627" s="40"/>
    </row>
    <row r="1628" spans="2:3" x14ac:dyDescent="0.3">
      <c r="B1628" s="40"/>
      <c r="C1628" s="40"/>
    </row>
    <row r="1629" spans="2:3" x14ac:dyDescent="0.3">
      <c r="B1629" s="40"/>
      <c r="C1629" s="40"/>
    </row>
    <row r="1630" spans="2:3" x14ac:dyDescent="0.3">
      <c r="B1630" s="40"/>
      <c r="C1630" s="40"/>
    </row>
    <row r="1631" spans="2:3" x14ac:dyDescent="0.3">
      <c r="B1631" s="40"/>
      <c r="C1631" s="40"/>
    </row>
    <row r="1632" spans="2:3" x14ac:dyDescent="0.3">
      <c r="B1632" s="40"/>
      <c r="C1632" s="40"/>
    </row>
    <row r="1633" spans="2:3" x14ac:dyDescent="0.3">
      <c r="B1633" s="40"/>
      <c r="C1633" s="40"/>
    </row>
    <row r="1634" spans="2:3" x14ac:dyDescent="0.3">
      <c r="B1634" s="40"/>
      <c r="C1634" s="40"/>
    </row>
    <row r="1635" spans="2:3" x14ac:dyDescent="0.3">
      <c r="B1635" s="40"/>
      <c r="C1635" s="40"/>
    </row>
    <row r="1636" spans="2:3" x14ac:dyDescent="0.3">
      <c r="B1636" s="40"/>
      <c r="C1636" s="40"/>
    </row>
    <row r="1637" spans="2:3" x14ac:dyDescent="0.3">
      <c r="B1637" s="40"/>
      <c r="C1637" s="40"/>
    </row>
    <row r="1638" spans="2:3" x14ac:dyDescent="0.3">
      <c r="B1638" s="40"/>
      <c r="C1638" s="40"/>
    </row>
    <row r="1639" spans="2:3" x14ac:dyDescent="0.3">
      <c r="B1639" s="40"/>
      <c r="C1639" s="40"/>
    </row>
    <row r="1640" spans="2:3" x14ac:dyDescent="0.3">
      <c r="B1640" s="40"/>
      <c r="C1640" s="40"/>
    </row>
    <row r="1641" spans="2:3" x14ac:dyDescent="0.3">
      <c r="B1641" s="40"/>
      <c r="C1641" s="40"/>
    </row>
    <row r="1642" spans="2:3" x14ac:dyDescent="0.3">
      <c r="B1642" s="40"/>
      <c r="C1642" s="40"/>
    </row>
    <row r="1643" spans="2:3" x14ac:dyDescent="0.3">
      <c r="B1643" s="40"/>
      <c r="C1643" s="40"/>
    </row>
    <row r="1644" spans="2:3" x14ac:dyDescent="0.3">
      <c r="B1644" s="40"/>
      <c r="C1644" s="40"/>
    </row>
    <row r="1645" spans="2:3" x14ac:dyDescent="0.3">
      <c r="B1645" s="40"/>
      <c r="C1645" s="40"/>
    </row>
    <row r="1646" spans="2:3" x14ac:dyDescent="0.3">
      <c r="B1646" s="40"/>
      <c r="C1646" s="40"/>
    </row>
    <row r="1647" spans="2:3" x14ac:dyDescent="0.3">
      <c r="B1647" s="40"/>
      <c r="C1647" s="40"/>
    </row>
    <row r="1648" spans="2:3" x14ac:dyDescent="0.3">
      <c r="B1648" s="40"/>
      <c r="C1648" s="40"/>
    </row>
    <row r="1649" spans="2:3" x14ac:dyDescent="0.3">
      <c r="B1649" s="40"/>
      <c r="C1649" s="40"/>
    </row>
    <row r="1650" spans="2:3" x14ac:dyDescent="0.3">
      <c r="B1650" s="40"/>
      <c r="C1650" s="40"/>
    </row>
    <row r="1651" spans="2:3" x14ac:dyDescent="0.3">
      <c r="B1651" s="40"/>
      <c r="C1651" s="40"/>
    </row>
    <row r="1652" spans="2:3" x14ac:dyDescent="0.3">
      <c r="B1652" s="40"/>
      <c r="C1652" s="40"/>
    </row>
    <row r="1653" spans="2:3" x14ac:dyDescent="0.3">
      <c r="B1653" s="40"/>
      <c r="C1653" s="40"/>
    </row>
    <row r="1654" spans="2:3" x14ac:dyDescent="0.3">
      <c r="B1654" s="40"/>
      <c r="C1654" s="40"/>
    </row>
    <row r="1655" spans="2:3" x14ac:dyDescent="0.3">
      <c r="B1655" s="40"/>
      <c r="C1655" s="40"/>
    </row>
    <row r="1656" spans="2:3" x14ac:dyDescent="0.3">
      <c r="B1656" s="40"/>
      <c r="C1656" s="40"/>
    </row>
    <row r="1657" spans="2:3" x14ac:dyDescent="0.3">
      <c r="B1657" s="40"/>
      <c r="C1657" s="40"/>
    </row>
    <row r="1658" spans="2:3" x14ac:dyDescent="0.3">
      <c r="B1658" s="40"/>
      <c r="C1658" s="40"/>
    </row>
    <row r="1659" spans="2:3" x14ac:dyDescent="0.3">
      <c r="B1659" s="40"/>
      <c r="C1659" s="40"/>
    </row>
    <row r="1660" spans="2:3" x14ac:dyDescent="0.3">
      <c r="B1660" s="40"/>
      <c r="C1660" s="40"/>
    </row>
    <row r="1661" spans="2:3" x14ac:dyDescent="0.3">
      <c r="B1661" s="40"/>
      <c r="C1661" s="40"/>
    </row>
    <row r="1662" spans="2:3" x14ac:dyDescent="0.3">
      <c r="B1662" s="40"/>
      <c r="C1662" s="40"/>
    </row>
    <row r="1663" spans="2:3" x14ac:dyDescent="0.3">
      <c r="B1663" s="40"/>
      <c r="C1663" s="40"/>
    </row>
    <row r="1664" spans="2:3" x14ac:dyDescent="0.3">
      <c r="B1664" s="40"/>
      <c r="C1664" s="40"/>
    </row>
    <row r="1665" spans="2:3" x14ac:dyDescent="0.3">
      <c r="B1665" s="40"/>
      <c r="C1665" s="40"/>
    </row>
    <row r="1666" spans="2:3" x14ac:dyDescent="0.3">
      <c r="B1666" s="40"/>
      <c r="C1666" s="40"/>
    </row>
    <row r="1667" spans="2:3" x14ac:dyDescent="0.3">
      <c r="B1667" s="40"/>
      <c r="C1667" s="40"/>
    </row>
    <row r="1668" spans="2:3" x14ac:dyDescent="0.3">
      <c r="B1668" s="40"/>
      <c r="C1668" s="40"/>
    </row>
    <row r="1669" spans="2:3" x14ac:dyDescent="0.3">
      <c r="B1669" s="40"/>
      <c r="C1669" s="40"/>
    </row>
    <row r="1670" spans="2:3" x14ac:dyDescent="0.3">
      <c r="B1670" s="40"/>
      <c r="C1670" s="40"/>
    </row>
    <row r="1671" spans="2:3" x14ac:dyDescent="0.3">
      <c r="B1671" s="40"/>
      <c r="C1671" s="40"/>
    </row>
    <row r="1672" spans="2:3" x14ac:dyDescent="0.3">
      <c r="B1672" s="40"/>
      <c r="C1672" s="40"/>
    </row>
    <row r="1673" spans="2:3" x14ac:dyDescent="0.3">
      <c r="B1673" s="40"/>
      <c r="C1673" s="40"/>
    </row>
    <row r="1674" spans="2:3" x14ac:dyDescent="0.3">
      <c r="B1674" s="40"/>
      <c r="C1674" s="40"/>
    </row>
    <row r="1675" spans="2:3" x14ac:dyDescent="0.3">
      <c r="B1675" s="40"/>
      <c r="C1675" s="40"/>
    </row>
    <row r="1676" spans="2:3" x14ac:dyDescent="0.3">
      <c r="B1676" s="40"/>
      <c r="C1676" s="40"/>
    </row>
    <row r="1677" spans="2:3" x14ac:dyDescent="0.3">
      <c r="B1677" s="40"/>
      <c r="C1677" s="40"/>
    </row>
    <row r="1678" spans="2:3" x14ac:dyDescent="0.3">
      <c r="B1678" s="40"/>
      <c r="C1678" s="40"/>
    </row>
    <row r="1679" spans="2:3" x14ac:dyDescent="0.3">
      <c r="B1679" s="40"/>
      <c r="C1679" s="40"/>
    </row>
    <row r="1680" spans="2:3" x14ac:dyDescent="0.3">
      <c r="B1680" s="40"/>
      <c r="C1680" s="40"/>
    </row>
    <row r="1681" spans="2:3" x14ac:dyDescent="0.3">
      <c r="B1681" s="40"/>
      <c r="C1681" s="40"/>
    </row>
    <row r="1682" spans="2:3" x14ac:dyDescent="0.3">
      <c r="B1682" s="40"/>
      <c r="C1682" s="40"/>
    </row>
    <row r="1683" spans="2:3" x14ac:dyDescent="0.3">
      <c r="B1683" s="40"/>
      <c r="C1683" s="40"/>
    </row>
    <row r="1684" spans="2:3" x14ac:dyDescent="0.3">
      <c r="B1684" s="40"/>
      <c r="C1684" s="40"/>
    </row>
    <row r="1685" spans="2:3" x14ac:dyDescent="0.3">
      <c r="B1685" s="40"/>
      <c r="C1685" s="40"/>
    </row>
    <row r="1686" spans="2:3" x14ac:dyDescent="0.3">
      <c r="B1686" s="40"/>
      <c r="C1686" s="40"/>
    </row>
    <row r="1687" spans="2:3" x14ac:dyDescent="0.3">
      <c r="B1687" s="40"/>
      <c r="C1687" s="40"/>
    </row>
    <row r="1688" spans="2:3" x14ac:dyDescent="0.3">
      <c r="B1688" s="40"/>
      <c r="C1688" s="40"/>
    </row>
    <row r="1689" spans="2:3" x14ac:dyDescent="0.3">
      <c r="B1689" s="40"/>
      <c r="C1689" s="40"/>
    </row>
    <row r="1690" spans="2:3" x14ac:dyDescent="0.3">
      <c r="B1690" s="40"/>
      <c r="C1690" s="40"/>
    </row>
    <row r="1691" spans="2:3" x14ac:dyDescent="0.3">
      <c r="B1691" s="40"/>
      <c r="C1691" s="40"/>
    </row>
    <row r="1692" spans="2:3" x14ac:dyDescent="0.3">
      <c r="B1692" s="40"/>
      <c r="C1692" s="40"/>
    </row>
    <row r="1693" spans="2:3" x14ac:dyDescent="0.3">
      <c r="B1693" s="40"/>
      <c r="C1693" s="40"/>
    </row>
    <row r="1694" spans="2:3" x14ac:dyDescent="0.3">
      <c r="B1694" s="40"/>
      <c r="C1694" s="40"/>
    </row>
    <row r="1695" spans="2:3" x14ac:dyDescent="0.3">
      <c r="B1695" s="40"/>
      <c r="C1695" s="40"/>
    </row>
    <row r="1696" spans="2:3" x14ac:dyDescent="0.3">
      <c r="B1696" s="40"/>
      <c r="C1696" s="40"/>
    </row>
    <row r="1697" spans="2:3" x14ac:dyDescent="0.3">
      <c r="B1697" s="40"/>
      <c r="C1697" s="40"/>
    </row>
    <row r="1698" spans="2:3" x14ac:dyDescent="0.3">
      <c r="B1698" s="40"/>
      <c r="C1698" s="40"/>
    </row>
    <row r="1699" spans="2:3" x14ac:dyDescent="0.3">
      <c r="B1699" s="40"/>
      <c r="C1699" s="40"/>
    </row>
    <row r="1700" spans="2:3" x14ac:dyDescent="0.3">
      <c r="B1700" s="40"/>
      <c r="C1700" s="40"/>
    </row>
    <row r="1701" spans="2:3" x14ac:dyDescent="0.3">
      <c r="B1701" s="40"/>
      <c r="C1701" s="40"/>
    </row>
    <row r="1702" spans="2:3" x14ac:dyDescent="0.3">
      <c r="B1702" s="40"/>
      <c r="C1702" s="40"/>
    </row>
    <row r="1703" spans="2:3" x14ac:dyDescent="0.3">
      <c r="B1703" s="40"/>
      <c r="C1703" s="40"/>
    </row>
    <row r="1704" spans="2:3" x14ac:dyDescent="0.3">
      <c r="B1704" s="40"/>
      <c r="C1704" s="40"/>
    </row>
    <row r="1705" spans="2:3" x14ac:dyDescent="0.3">
      <c r="B1705" s="40"/>
      <c r="C1705" s="40"/>
    </row>
    <row r="1706" spans="2:3" x14ac:dyDescent="0.3">
      <c r="B1706" s="40"/>
      <c r="C1706" s="40"/>
    </row>
    <row r="1707" spans="2:3" x14ac:dyDescent="0.3">
      <c r="B1707" s="40"/>
      <c r="C1707" s="40"/>
    </row>
    <row r="1708" spans="2:3" x14ac:dyDescent="0.3">
      <c r="B1708" s="40"/>
      <c r="C1708" s="40"/>
    </row>
    <row r="1709" spans="2:3" x14ac:dyDescent="0.3">
      <c r="B1709" s="40"/>
      <c r="C1709" s="40"/>
    </row>
    <row r="1710" spans="2:3" x14ac:dyDescent="0.3">
      <c r="B1710" s="40"/>
      <c r="C1710" s="40"/>
    </row>
    <row r="1711" spans="2:3" x14ac:dyDescent="0.3">
      <c r="B1711" s="40"/>
      <c r="C1711" s="40"/>
    </row>
    <row r="1712" spans="2:3" x14ac:dyDescent="0.3">
      <c r="B1712" s="40"/>
      <c r="C1712" s="40"/>
    </row>
    <row r="1713" spans="2:3" x14ac:dyDescent="0.3">
      <c r="B1713" s="40"/>
      <c r="C1713" s="40"/>
    </row>
    <row r="1714" spans="2:3" x14ac:dyDescent="0.3">
      <c r="B1714" s="40"/>
      <c r="C1714" s="40"/>
    </row>
    <row r="1715" spans="2:3" x14ac:dyDescent="0.3">
      <c r="B1715" s="40"/>
      <c r="C1715" s="40"/>
    </row>
    <row r="1716" spans="2:3" x14ac:dyDescent="0.3">
      <c r="B1716" s="40"/>
      <c r="C1716" s="40"/>
    </row>
    <row r="1717" spans="2:3" x14ac:dyDescent="0.3">
      <c r="B1717" s="40"/>
      <c r="C1717" s="40"/>
    </row>
    <row r="1718" spans="2:3" x14ac:dyDescent="0.3">
      <c r="B1718" s="40"/>
      <c r="C1718" s="40"/>
    </row>
    <row r="1719" spans="2:3" x14ac:dyDescent="0.3">
      <c r="B1719" s="40"/>
      <c r="C1719" s="40"/>
    </row>
    <row r="1720" spans="2:3" x14ac:dyDescent="0.3">
      <c r="B1720" s="40"/>
      <c r="C1720" s="40"/>
    </row>
    <row r="1721" spans="2:3" x14ac:dyDescent="0.3">
      <c r="B1721" s="40"/>
      <c r="C1721" s="40"/>
    </row>
    <row r="1722" spans="2:3" x14ac:dyDescent="0.3">
      <c r="B1722" s="40"/>
      <c r="C1722" s="40"/>
    </row>
    <row r="1723" spans="2:3" x14ac:dyDescent="0.3">
      <c r="B1723" s="40"/>
      <c r="C1723" s="40"/>
    </row>
    <row r="1724" spans="2:3" x14ac:dyDescent="0.3">
      <c r="B1724" s="40"/>
      <c r="C1724" s="40"/>
    </row>
    <row r="1725" spans="2:3" x14ac:dyDescent="0.3">
      <c r="B1725" s="40"/>
      <c r="C1725" s="40"/>
    </row>
    <row r="1726" spans="2:3" x14ac:dyDescent="0.3">
      <c r="B1726" s="40"/>
      <c r="C1726" s="40"/>
    </row>
    <row r="1727" spans="2:3" x14ac:dyDescent="0.3">
      <c r="B1727" s="40"/>
      <c r="C1727" s="40"/>
    </row>
    <row r="1728" spans="2:3" x14ac:dyDescent="0.3">
      <c r="B1728" s="40"/>
      <c r="C1728" s="40"/>
    </row>
    <row r="1729" spans="2:3" x14ac:dyDescent="0.3">
      <c r="B1729" s="40"/>
      <c r="C1729" s="40"/>
    </row>
    <row r="1730" spans="2:3" x14ac:dyDescent="0.3">
      <c r="B1730" s="40"/>
      <c r="C1730" s="40"/>
    </row>
    <row r="1731" spans="2:3" x14ac:dyDescent="0.3">
      <c r="B1731" s="40"/>
      <c r="C1731" s="40"/>
    </row>
    <row r="1732" spans="2:3" x14ac:dyDescent="0.3">
      <c r="B1732" s="40"/>
      <c r="C1732" s="40"/>
    </row>
    <row r="1733" spans="2:3" x14ac:dyDescent="0.3">
      <c r="B1733" s="40"/>
      <c r="C1733" s="40"/>
    </row>
    <row r="1734" spans="2:3" x14ac:dyDescent="0.3">
      <c r="B1734" s="40"/>
      <c r="C1734" s="40"/>
    </row>
    <row r="1735" spans="2:3" x14ac:dyDescent="0.3">
      <c r="B1735" s="40"/>
      <c r="C1735" s="40"/>
    </row>
    <row r="1736" spans="2:3" x14ac:dyDescent="0.3">
      <c r="B1736" s="40"/>
      <c r="C1736" s="40"/>
    </row>
    <row r="1737" spans="2:3" x14ac:dyDescent="0.3">
      <c r="B1737" s="40"/>
      <c r="C1737" s="40"/>
    </row>
    <row r="1738" spans="2:3" x14ac:dyDescent="0.3">
      <c r="B1738" s="40"/>
      <c r="C1738" s="40"/>
    </row>
    <row r="1739" spans="2:3" x14ac:dyDescent="0.3">
      <c r="B1739" s="40"/>
      <c r="C1739" s="40"/>
    </row>
    <row r="1740" spans="2:3" x14ac:dyDescent="0.3">
      <c r="B1740" s="40"/>
      <c r="C1740" s="40"/>
    </row>
    <row r="1741" spans="2:3" x14ac:dyDescent="0.3">
      <c r="B1741" s="40"/>
      <c r="C1741" s="40"/>
    </row>
    <row r="1742" spans="2:3" x14ac:dyDescent="0.3">
      <c r="B1742" s="40"/>
      <c r="C1742" s="40"/>
    </row>
    <row r="1743" spans="2:3" x14ac:dyDescent="0.3">
      <c r="B1743" s="40"/>
      <c r="C1743" s="40"/>
    </row>
    <row r="1744" spans="2:3" x14ac:dyDescent="0.3">
      <c r="B1744" s="40"/>
      <c r="C1744" s="40"/>
    </row>
    <row r="1745" spans="2:3" x14ac:dyDescent="0.3">
      <c r="B1745" s="40"/>
      <c r="C1745" s="40"/>
    </row>
    <row r="1746" spans="2:3" x14ac:dyDescent="0.3">
      <c r="B1746" s="40"/>
      <c r="C1746" s="40"/>
    </row>
    <row r="1747" spans="2:3" x14ac:dyDescent="0.3">
      <c r="B1747" s="40"/>
      <c r="C1747" s="40"/>
    </row>
    <row r="1748" spans="2:3" x14ac:dyDescent="0.3">
      <c r="B1748" s="40"/>
      <c r="C1748" s="40"/>
    </row>
    <row r="1749" spans="2:3" x14ac:dyDescent="0.3">
      <c r="B1749" s="40"/>
      <c r="C1749" s="40"/>
    </row>
    <row r="1750" spans="2:3" x14ac:dyDescent="0.3">
      <c r="B1750" s="40"/>
      <c r="C1750" s="40"/>
    </row>
    <row r="1751" spans="2:3" x14ac:dyDescent="0.3">
      <c r="B1751" s="40"/>
      <c r="C1751" s="40"/>
    </row>
    <row r="1752" spans="2:3" x14ac:dyDescent="0.3">
      <c r="B1752" s="40"/>
      <c r="C1752" s="40"/>
    </row>
    <row r="1753" spans="2:3" x14ac:dyDescent="0.3">
      <c r="B1753" s="40"/>
      <c r="C1753" s="40"/>
    </row>
    <row r="1754" spans="2:3" x14ac:dyDescent="0.3">
      <c r="B1754" s="40"/>
      <c r="C1754" s="40"/>
    </row>
    <row r="1755" spans="2:3" x14ac:dyDescent="0.3">
      <c r="B1755" s="40"/>
      <c r="C1755" s="40"/>
    </row>
    <row r="1756" spans="2:3" x14ac:dyDescent="0.3">
      <c r="B1756" s="40"/>
      <c r="C1756" s="40"/>
    </row>
    <row r="1757" spans="2:3" x14ac:dyDescent="0.3">
      <c r="B1757" s="40"/>
      <c r="C1757" s="40"/>
    </row>
    <row r="1758" spans="2:3" x14ac:dyDescent="0.3">
      <c r="B1758" s="40"/>
      <c r="C1758" s="40"/>
    </row>
    <row r="1759" spans="2:3" x14ac:dyDescent="0.3">
      <c r="B1759" s="40"/>
      <c r="C1759" s="40"/>
    </row>
    <row r="1760" spans="2:3" x14ac:dyDescent="0.3">
      <c r="B1760" s="40"/>
      <c r="C1760" s="40"/>
    </row>
    <row r="1761" spans="2:3" x14ac:dyDescent="0.3">
      <c r="B1761" s="40"/>
      <c r="C1761" s="40"/>
    </row>
    <row r="1762" spans="2:3" x14ac:dyDescent="0.3">
      <c r="B1762" s="40"/>
      <c r="C1762" s="40"/>
    </row>
    <row r="1763" spans="2:3" x14ac:dyDescent="0.3">
      <c r="B1763" s="40"/>
      <c r="C1763" s="40"/>
    </row>
    <row r="1764" spans="2:3" x14ac:dyDescent="0.3">
      <c r="B1764" s="40"/>
      <c r="C1764" s="40"/>
    </row>
    <row r="1765" spans="2:3" x14ac:dyDescent="0.3">
      <c r="B1765" s="40"/>
      <c r="C1765" s="40"/>
    </row>
    <row r="1766" spans="2:3" x14ac:dyDescent="0.3">
      <c r="B1766" s="40"/>
      <c r="C1766" s="40"/>
    </row>
    <row r="1767" spans="2:3" x14ac:dyDescent="0.3">
      <c r="B1767" s="40"/>
      <c r="C1767" s="40"/>
    </row>
    <row r="1768" spans="2:3" x14ac:dyDescent="0.3">
      <c r="B1768" s="40"/>
      <c r="C1768" s="40"/>
    </row>
    <row r="1769" spans="2:3" x14ac:dyDescent="0.3">
      <c r="B1769" s="40"/>
      <c r="C1769" s="40"/>
    </row>
    <row r="1770" spans="2:3" x14ac:dyDescent="0.3">
      <c r="B1770" s="40"/>
      <c r="C1770" s="40"/>
    </row>
    <row r="1771" spans="2:3" x14ac:dyDescent="0.3">
      <c r="B1771" s="40"/>
      <c r="C1771" s="40"/>
    </row>
    <row r="1772" spans="2:3" x14ac:dyDescent="0.3">
      <c r="B1772" s="40"/>
      <c r="C1772" s="40"/>
    </row>
    <row r="1773" spans="2:3" x14ac:dyDescent="0.3">
      <c r="B1773" s="40"/>
      <c r="C1773" s="40"/>
    </row>
    <row r="1774" spans="2:3" x14ac:dyDescent="0.3">
      <c r="B1774" s="40"/>
      <c r="C1774" s="40"/>
    </row>
    <row r="1775" spans="2:3" x14ac:dyDescent="0.3">
      <c r="B1775" s="40"/>
      <c r="C1775" s="40"/>
    </row>
    <row r="1776" spans="2:3" x14ac:dyDescent="0.3">
      <c r="B1776" s="40"/>
      <c r="C1776" s="40"/>
    </row>
    <row r="1777" spans="2:3" x14ac:dyDescent="0.3">
      <c r="B1777" s="40"/>
      <c r="C1777" s="40"/>
    </row>
    <row r="1778" spans="2:3" x14ac:dyDescent="0.3">
      <c r="B1778" s="40"/>
      <c r="C1778" s="40"/>
    </row>
    <row r="1779" spans="2:3" x14ac:dyDescent="0.3">
      <c r="B1779" s="40"/>
      <c r="C1779" s="40"/>
    </row>
    <row r="1780" spans="2:3" x14ac:dyDescent="0.3">
      <c r="B1780" s="40"/>
      <c r="C1780" s="40"/>
    </row>
    <row r="1781" spans="2:3" x14ac:dyDescent="0.3">
      <c r="B1781" s="40"/>
      <c r="C1781" s="40"/>
    </row>
    <row r="1782" spans="2:3" x14ac:dyDescent="0.3">
      <c r="B1782" s="40"/>
      <c r="C1782" s="40"/>
    </row>
    <row r="1783" spans="2:3" x14ac:dyDescent="0.3">
      <c r="B1783" s="40"/>
      <c r="C1783" s="40"/>
    </row>
    <row r="1784" spans="2:3" x14ac:dyDescent="0.3">
      <c r="B1784" s="40"/>
      <c r="C1784" s="40"/>
    </row>
    <row r="1785" spans="2:3" x14ac:dyDescent="0.3">
      <c r="B1785" s="40"/>
      <c r="C1785" s="40"/>
    </row>
    <row r="1786" spans="2:3" x14ac:dyDescent="0.3">
      <c r="B1786" s="40"/>
      <c r="C1786" s="40"/>
    </row>
    <row r="1787" spans="2:3" x14ac:dyDescent="0.3">
      <c r="B1787" s="40"/>
      <c r="C1787" s="40"/>
    </row>
    <row r="1788" spans="2:3" x14ac:dyDescent="0.3">
      <c r="B1788" s="40"/>
      <c r="C1788" s="40"/>
    </row>
    <row r="1789" spans="2:3" x14ac:dyDescent="0.3">
      <c r="B1789" s="40"/>
      <c r="C1789" s="40"/>
    </row>
    <row r="1790" spans="2:3" x14ac:dyDescent="0.3">
      <c r="B1790" s="40"/>
      <c r="C1790" s="40"/>
    </row>
    <row r="1791" spans="2:3" x14ac:dyDescent="0.3">
      <c r="B1791" s="40"/>
      <c r="C1791" s="40"/>
    </row>
    <row r="1792" spans="2:3" x14ac:dyDescent="0.3">
      <c r="B1792" s="40"/>
      <c r="C1792" s="40"/>
    </row>
    <row r="1793" spans="2:3" x14ac:dyDescent="0.3">
      <c r="B1793" s="40"/>
      <c r="C1793" s="40"/>
    </row>
    <row r="1794" spans="2:3" x14ac:dyDescent="0.3">
      <c r="B1794" s="40"/>
      <c r="C1794" s="40"/>
    </row>
    <row r="1795" spans="2:3" x14ac:dyDescent="0.3">
      <c r="B1795" s="40"/>
      <c r="C1795" s="40"/>
    </row>
    <row r="1796" spans="2:3" x14ac:dyDescent="0.3">
      <c r="B1796" s="40"/>
      <c r="C1796" s="40"/>
    </row>
    <row r="1797" spans="2:3" x14ac:dyDescent="0.3">
      <c r="B1797" s="40"/>
      <c r="C1797" s="40"/>
    </row>
    <row r="1798" spans="2:3" x14ac:dyDescent="0.3">
      <c r="B1798" s="40"/>
      <c r="C1798" s="40"/>
    </row>
    <row r="1799" spans="2:3" x14ac:dyDescent="0.3">
      <c r="B1799" s="40"/>
      <c r="C1799" s="40"/>
    </row>
    <row r="1800" spans="2:3" x14ac:dyDescent="0.3">
      <c r="B1800" s="40"/>
      <c r="C1800" s="40"/>
    </row>
    <row r="1801" spans="2:3" x14ac:dyDescent="0.3">
      <c r="B1801" s="40"/>
      <c r="C1801" s="40"/>
    </row>
    <row r="1802" spans="2:3" x14ac:dyDescent="0.3">
      <c r="B1802" s="40"/>
      <c r="C1802" s="40"/>
    </row>
    <row r="1803" spans="2:3" x14ac:dyDescent="0.3">
      <c r="B1803" s="40"/>
      <c r="C1803" s="40"/>
    </row>
    <row r="1804" spans="2:3" x14ac:dyDescent="0.3">
      <c r="B1804" s="40"/>
      <c r="C1804" s="40"/>
    </row>
    <row r="1805" spans="2:3" x14ac:dyDescent="0.3">
      <c r="B1805" s="40"/>
      <c r="C1805" s="40"/>
    </row>
    <row r="1806" spans="2:3" x14ac:dyDescent="0.3">
      <c r="B1806" s="40"/>
      <c r="C1806" s="40"/>
    </row>
    <row r="1807" spans="2:3" x14ac:dyDescent="0.3">
      <c r="B1807" s="40"/>
      <c r="C1807" s="40"/>
    </row>
    <row r="1808" spans="2:3" x14ac:dyDescent="0.3">
      <c r="B1808" s="40"/>
      <c r="C1808" s="40"/>
    </row>
    <row r="1809" spans="2:3" x14ac:dyDescent="0.3">
      <c r="B1809" s="40"/>
      <c r="C1809" s="40"/>
    </row>
    <row r="1810" spans="2:3" x14ac:dyDescent="0.3">
      <c r="B1810" s="40"/>
      <c r="C1810" s="40"/>
    </row>
    <row r="1811" spans="2:3" x14ac:dyDescent="0.3">
      <c r="B1811" s="40"/>
      <c r="C1811" s="40"/>
    </row>
    <row r="1812" spans="2:3" x14ac:dyDescent="0.3">
      <c r="B1812" s="40"/>
      <c r="C1812" s="40"/>
    </row>
    <row r="1813" spans="2:3" x14ac:dyDescent="0.3">
      <c r="B1813" s="40"/>
      <c r="C1813" s="40"/>
    </row>
    <row r="1814" spans="2:3" x14ac:dyDescent="0.3">
      <c r="B1814" s="40"/>
      <c r="C1814" s="40"/>
    </row>
    <row r="1815" spans="2:3" x14ac:dyDescent="0.3">
      <c r="B1815" s="40"/>
      <c r="C1815" s="40"/>
    </row>
    <row r="1816" spans="2:3" x14ac:dyDescent="0.3">
      <c r="B1816" s="40"/>
      <c r="C1816" s="40"/>
    </row>
    <row r="1817" spans="2:3" x14ac:dyDescent="0.3">
      <c r="B1817" s="40"/>
      <c r="C1817" s="40"/>
    </row>
    <row r="1818" spans="2:3" x14ac:dyDescent="0.3">
      <c r="B1818" s="40"/>
      <c r="C1818" s="40"/>
    </row>
    <row r="1819" spans="2:3" x14ac:dyDescent="0.3">
      <c r="B1819" s="40"/>
      <c r="C1819" s="40"/>
    </row>
    <row r="1820" spans="2:3" x14ac:dyDescent="0.3">
      <c r="B1820" s="40"/>
      <c r="C1820" s="40"/>
    </row>
    <row r="1821" spans="2:3" x14ac:dyDescent="0.3">
      <c r="B1821" s="40"/>
      <c r="C1821" s="40"/>
    </row>
    <row r="1822" spans="2:3" x14ac:dyDescent="0.3">
      <c r="B1822" s="40"/>
      <c r="C1822" s="40"/>
    </row>
    <row r="1823" spans="2:3" x14ac:dyDescent="0.3">
      <c r="B1823" s="40"/>
      <c r="C1823" s="40"/>
    </row>
    <row r="1824" spans="2:3" x14ac:dyDescent="0.3">
      <c r="B1824" s="40"/>
      <c r="C1824" s="40"/>
    </row>
    <row r="1825" spans="2:3" x14ac:dyDescent="0.3">
      <c r="B1825" s="40"/>
      <c r="C1825" s="40"/>
    </row>
    <row r="1826" spans="2:3" x14ac:dyDescent="0.3">
      <c r="B1826" s="40"/>
      <c r="C1826" s="40"/>
    </row>
    <row r="1827" spans="2:3" x14ac:dyDescent="0.3">
      <c r="B1827" s="40"/>
      <c r="C1827" s="40"/>
    </row>
    <row r="1828" spans="2:3" x14ac:dyDescent="0.3">
      <c r="B1828" s="40"/>
      <c r="C1828" s="40"/>
    </row>
    <row r="1829" spans="2:3" x14ac:dyDescent="0.3">
      <c r="B1829" s="40"/>
      <c r="C1829" s="40"/>
    </row>
    <row r="1830" spans="2:3" x14ac:dyDescent="0.3">
      <c r="B1830" s="40"/>
      <c r="C1830" s="40"/>
    </row>
    <row r="1831" spans="2:3" x14ac:dyDescent="0.3">
      <c r="B1831" s="40"/>
      <c r="C1831" s="40"/>
    </row>
    <row r="1832" spans="2:3" x14ac:dyDescent="0.3">
      <c r="B1832" s="40"/>
      <c r="C1832" s="40"/>
    </row>
    <row r="1833" spans="2:3" x14ac:dyDescent="0.3">
      <c r="B1833" s="40"/>
      <c r="C1833" s="40"/>
    </row>
    <row r="1834" spans="2:3" x14ac:dyDescent="0.3">
      <c r="B1834" s="40"/>
      <c r="C1834" s="40"/>
    </row>
    <row r="1835" spans="2:3" x14ac:dyDescent="0.3">
      <c r="B1835" s="40"/>
      <c r="C1835" s="40"/>
    </row>
    <row r="1836" spans="2:3" x14ac:dyDescent="0.3">
      <c r="B1836" s="40"/>
      <c r="C1836" s="40"/>
    </row>
    <row r="1837" spans="2:3" x14ac:dyDescent="0.3">
      <c r="B1837" s="40"/>
      <c r="C1837" s="40"/>
    </row>
    <row r="1838" spans="2:3" x14ac:dyDescent="0.3">
      <c r="B1838" s="40"/>
      <c r="C1838" s="40"/>
    </row>
    <row r="1839" spans="2:3" x14ac:dyDescent="0.3">
      <c r="B1839" s="40"/>
      <c r="C1839" s="40"/>
    </row>
    <row r="1840" spans="2:3" x14ac:dyDescent="0.3">
      <c r="B1840" s="40"/>
      <c r="C1840" s="40"/>
    </row>
    <row r="1841" spans="2:3" x14ac:dyDescent="0.3">
      <c r="B1841" s="40"/>
      <c r="C1841" s="40"/>
    </row>
    <row r="1842" spans="2:3" x14ac:dyDescent="0.3">
      <c r="B1842" s="40"/>
      <c r="C1842" s="40"/>
    </row>
    <row r="1843" spans="2:3" x14ac:dyDescent="0.3">
      <c r="B1843" s="40"/>
      <c r="C1843" s="40"/>
    </row>
    <row r="1844" spans="2:3" x14ac:dyDescent="0.3">
      <c r="B1844" s="40"/>
      <c r="C1844" s="40"/>
    </row>
    <row r="1845" spans="2:3" x14ac:dyDescent="0.3">
      <c r="B1845" s="40"/>
      <c r="C1845" s="40"/>
    </row>
    <row r="1846" spans="2:3" x14ac:dyDescent="0.3">
      <c r="B1846" s="40"/>
      <c r="C1846" s="40"/>
    </row>
    <row r="1847" spans="2:3" x14ac:dyDescent="0.3">
      <c r="B1847" s="40"/>
      <c r="C1847" s="40"/>
    </row>
    <row r="1848" spans="2:3" x14ac:dyDescent="0.3">
      <c r="B1848" s="40"/>
      <c r="C1848" s="40"/>
    </row>
    <row r="1849" spans="2:3" x14ac:dyDescent="0.3">
      <c r="B1849" s="40"/>
      <c r="C1849" s="40"/>
    </row>
    <row r="1850" spans="2:3" x14ac:dyDescent="0.3">
      <c r="B1850" s="40"/>
      <c r="C1850" s="40"/>
    </row>
    <row r="1851" spans="2:3" x14ac:dyDescent="0.3">
      <c r="B1851" s="40"/>
      <c r="C1851" s="40"/>
    </row>
    <row r="1852" spans="2:3" x14ac:dyDescent="0.3">
      <c r="B1852" s="40"/>
      <c r="C1852" s="40"/>
    </row>
    <row r="1853" spans="2:3" x14ac:dyDescent="0.3">
      <c r="B1853" s="40"/>
      <c r="C1853" s="40"/>
    </row>
    <row r="1854" spans="2:3" x14ac:dyDescent="0.3">
      <c r="B1854" s="40"/>
      <c r="C1854" s="40"/>
    </row>
    <row r="1855" spans="2:3" x14ac:dyDescent="0.3">
      <c r="B1855" s="40"/>
      <c r="C1855" s="40"/>
    </row>
    <row r="1856" spans="2:3" x14ac:dyDescent="0.3">
      <c r="B1856" s="40"/>
      <c r="C1856" s="40"/>
    </row>
    <row r="1857" spans="2:3" x14ac:dyDescent="0.3">
      <c r="B1857" s="40"/>
      <c r="C1857" s="40"/>
    </row>
    <row r="1858" spans="2:3" x14ac:dyDescent="0.3">
      <c r="B1858" s="40"/>
      <c r="C1858" s="40"/>
    </row>
    <row r="1859" spans="2:3" x14ac:dyDescent="0.3">
      <c r="B1859" s="40"/>
      <c r="C1859" s="40"/>
    </row>
    <row r="1860" spans="2:3" x14ac:dyDescent="0.3">
      <c r="B1860" s="40"/>
      <c r="C1860" s="40"/>
    </row>
    <row r="1861" spans="2:3" x14ac:dyDescent="0.3">
      <c r="B1861" s="40"/>
      <c r="C1861" s="40"/>
    </row>
    <row r="1862" spans="2:3" x14ac:dyDescent="0.3">
      <c r="B1862" s="40"/>
      <c r="C1862" s="40"/>
    </row>
    <row r="1863" spans="2:3" x14ac:dyDescent="0.3">
      <c r="B1863" s="40"/>
      <c r="C1863" s="40"/>
    </row>
    <row r="1864" spans="2:3" x14ac:dyDescent="0.3">
      <c r="B1864" s="40"/>
      <c r="C1864" s="40"/>
    </row>
    <row r="1865" spans="2:3" x14ac:dyDescent="0.3">
      <c r="B1865" s="40"/>
      <c r="C1865" s="40"/>
    </row>
    <row r="1866" spans="2:3" x14ac:dyDescent="0.3">
      <c r="B1866" s="40"/>
      <c r="C1866" s="40"/>
    </row>
    <row r="1867" spans="2:3" x14ac:dyDescent="0.3">
      <c r="B1867" s="40"/>
      <c r="C1867" s="40"/>
    </row>
    <row r="1868" spans="2:3" x14ac:dyDescent="0.3">
      <c r="B1868" s="40"/>
      <c r="C1868" s="40"/>
    </row>
    <row r="1869" spans="2:3" x14ac:dyDescent="0.3">
      <c r="B1869" s="40"/>
      <c r="C1869" s="40"/>
    </row>
    <row r="1870" spans="2:3" x14ac:dyDescent="0.3">
      <c r="B1870" s="40"/>
      <c r="C1870" s="40"/>
    </row>
    <row r="1871" spans="2:3" x14ac:dyDescent="0.3">
      <c r="B1871" s="40"/>
      <c r="C1871" s="40"/>
    </row>
    <row r="1872" spans="2:3" x14ac:dyDescent="0.3">
      <c r="B1872" s="40"/>
      <c r="C1872" s="40"/>
    </row>
    <row r="1873" spans="2:3" x14ac:dyDescent="0.3">
      <c r="B1873" s="40"/>
      <c r="C1873" s="40"/>
    </row>
    <row r="1874" spans="2:3" x14ac:dyDescent="0.3">
      <c r="B1874" s="40"/>
      <c r="C1874" s="40"/>
    </row>
    <row r="1875" spans="2:3" x14ac:dyDescent="0.3">
      <c r="B1875" s="40"/>
      <c r="C1875" s="40"/>
    </row>
    <row r="1876" spans="2:3" x14ac:dyDescent="0.3">
      <c r="B1876" s="40"/>
      <c r="C1876" s="40"/>
    </row>
    <row r="1877" spans="2:3" x14ac:dyDescent="0.3">
      <c r="B1877" s="40"/>
      <c r="C1877" s="40"/>
    </row>
    <row r="1878" spans="2:3" x14ac:dyDescent="0.3">
      <c r="B1878" s="40"/>
      <c r="C1878" s="40"/>
    </row>
    <row r="1879" spans="2:3" x14ac:dyDescent="0.3">
      <c r="B1879" s="40"/>
      <c r="C1879" s="40"/>
    </row>
    <row r="1880" spans="2:3" x14ac:dyDescent="0.3">
      <c r="B1880" s="40"/>
      <c r="C1880" s="40"/>
    </row>
    <row r="1881" spans="2:3" x14ac:dyDescent="0.3">
      <c r="B1881" s="40"/>
      <c r="C1881" s="40"/>
    </row>
    <row r="1882" spans="2:3" x14ac:dyDescent="0.3">
      <c r="B1882" s="40"/>
      <c r="C1882" s="40"/>
    </row>
    <row r="1883" spans="2:3" x14ac:dyDescent="0.3">
      <c r="B1883" s="40"/>
      <c r="C1883" s="40"/>
    </row>
    <row r="1884" spans="2:3" x14ac:dyDescent="0.3">
      <c r="B1884" s="40"/>
      <c r="C1884" s="40"/>
    </row>
    <row r="1885" spans="2:3" x14ac:dyDescent="0.3">
      <c r="B1885" s="40"/>
      <c r="C1885" s="40"/>
    </row>
    <row r="1886" spans="2:3" x14ac:dyDescent="0.3">
      <c r="B1886" s="40"/>
      <c r="C1886" s="40"/>
    </row>
    <row r="1887" spans="2:3" x14ac:dyDescent="0.3">
      <c r="B1887" s="40"/>
      <c r="C1887" s="40"/>
    </row>
    <row r="1888" spans="2:3" x14ac:dyDescent="0.3">
      <c r="B1888" s="40"/>
      <c r="C1888" s="40"/>
    </row>
    <row r="1889" spans="2:3" x14ac:dyDescent="0.3">
      <c r="B1889" s="40"/>
      <c r="C1889" s="40"/>
    </row>
    <row r="1890" spans="2:3" x14ac:dyDescent="0.3">
      <c r="B1890" s="40"/>
      <c r="C1890" s="40"/>
    </row>
    <row r="1891" spans="2:3" x14ac:dyDescent="0.3">
      <c r="B1891" s="40"/>
      <c r="C1891" s="40"/>
    </row>
    <row r="1892" spans="2:3" x14ac:dyDescent="0.3">
      <c r="B1892" s="40"/>
      <c r="C1892" s="40"/>
    </row>
    <row r="1893" spans="2:3" x14ac:dyDescent="0.3">
      <c r="B1893" s="40"/>
      <c r="C1893" s="40"/>
    </row>
    <row r="1894" spans="2:3" x14ac:dyDescent="0.3">
      <c r="B1894" s="40"/>
      <c r="C1894" s="40"/>
    </row>
    <row r="1895" spans="2:3" x14ac:dyDescent="0.3">
      <c r="B1895" s="40"/>
      <c r="C1895" s="40"/>
    </row>
    <row r="1896" spans="2:3" x14ac:dyDescent="0.3">
      <c r="B1896" s="40"/>
      <c r="C1896" s="40"/>
    </row>
    <row r="1897" spans="2:3" x14ac:dyDescent="0.3">
      <c r="B1897" s="40"/>
      <c r="C1897" s="40"/>
    </row>
    <row r="1898" spans="2:3" x14ac:dyDescent="0.3">
      <c r="B1898" s="40"/>
      <c r="C1898" s="40"/>
    </row>
    <row r="1899" spans="2:3" x14ac:dyDescent="0.3">
      <c r="B1899" s="40"/>
      <c r="C1899" s="40"/>
    </row>
    <row r="1900" spans="2:3" x14ac:dyDescent="0.3">
      <c r="B1900" s="40"/>
      <c r="C1900" s="40"/>
    </row>
    <row r="1901" spans="2:3" x14ac:dyDescent="0.3">
      <c r="B1901" s="40"/>
      <c r="C1901" s="40"/>
    </row>
    <row r="1902" spans="2:3" x14ac:dyDescent="0.3">
      <c r="B1902" s="40"/>
      <c r="C1902" s="40"/>
    </row>
    <row r="1903" spans="2:3" x14ac:dyDescent="0.3">
      <c r="B1903" s="40"/>
      <c r="C1903" s="40"/>
    </row>
    <row r="1904" spans="2:3" x14ac:dyDescent="0.3">
      <c r="B1904" s="40"/>
      <c r="C1904" s="40"/>
    </row>
    <row r="1905" spans="2:3" x14ac:dyDescent="0.3">
      <c r="B1905" s="40"/>
      <c r="C1905" s="40"/>
    </row>
    <row r="1906" spans="2:3" x14ac:dyDescent="0.3">
      <c r="B1906" s="40"/>
      <c r="C1906" s="40"/>
    </row>
    <row r="1907" spans="2:3" x14ac:dyDescent="0.3">
      <c r="B1907" s="40"/>
      <c r="C1907" s="40"/>
    </row>
    <row r="1908" spans="2:3" x14ac:dyDescent="0.3">
      <c r="B1908" s="40"/>
      <c r="C1908" s="40"/>
    </row>
    <row r="1909" spans="2:3" x14ac:dyDescent="0.3">
      <c r="B1909" s="40"/>
      <c r="C1909" s="40"/>
    </row>
    <row r="1910" spans="2:3" x14ac:dyDescent="0.3">
      <c r="B1910" s="40"/>
      <c r="C1910" s="40"/>
    </row>
    <row r="1911" spans="2:3" x14ac:dyDescent="0.3">
      <c r="B1911" s="40"/>
      <c r="C1911" s="40"/>
    </row>
    <row r="1912" spans="2:3" x14ac:dyDescent="0.3">
      <c r="B1912" s="40"/>
      <c r="C1912" s="40"/>
    </row>
    <row r="1913" spans="2:3" x14ac:dyDescent="0.3">
      <c r="B1913" s="40"/>
      <c r="C1913" s="40"/>
    </row>
    <row r="1914" spans="2:3" x14ac:dyDescent="0.3">
      <c r="B1914" s="40"/>
      <c r="C1914" s="40"/>
    </row>
    <row r="1915" spans="2:3" x14ac:dyDescent="0.3">
      <c r="B1915" s="40"/>
      <c r="C1915" s="40"/>
    </row>
    <row r="1916" spans="2:3" x14ac:dyDescent="0.3">
      <c r="B1916" s="40"/>
      <c r="C1916" s="40"/>
    </row>
    <row r="1917" spans="2:3" x14ac:dyDescent="0.3">
      <c r="B1917" s="40"/>
      <c r="C1917" s="40"/>
    </row>
    <row r="1918" spans="2:3" x14ac:dyDescent="0.3">
      <c r="B1918" s="40"/>
      <c r="C1918" s="40"/>
    </row>
    <row r="1919" spans="2:3" x14ac:dyDescent="0.3">
      <c r="B1919" s="40"/>
      <c r="C1919" s="40"/>
    </row>
    <row r="1920" spans="2:3" x14ac:dyDescent="0.3">
      <c r="B1920" s="40"/>
      <c r="C1920" s="40"/>
    </row>
    <row r="1921" spans="2:3" x14ac:dyDescent="0.3">
      <c r="B1921" s="40"/>
      <c r="C1921" s="40"/>
    </row>
    <row r="1922" spans="2:3" x14ac:dyDescent="0.3">
      <c r="B1922" s="40"/>
      <c r="C1922" s="40"/>
    </row>
    <row r="1923" spans="2:3" x14ac:dyDescent="0.3">
      <c r="B1923" s="40"/>
      <c r="C1923" s="40"/>
    </row>
    <row r="1924" spans="2:3" x14ac:dyDescent="0.3">
      <c r="B1924" s="40"/>
      <c r="C1924" s="40"/>
    </row>
    <row r="1925" spans="2:3" x14ac:dyDescent="0.3">
      <c r="B1925" s="40"/>
      <c r="C1925" s="40"/>
    </row>
    <row r="1926" spans="2:3" x14ac:dyDescent="0.3">
      <c r="B1926" s="40"/>
      <c r="C1926" s="40"/>
    </row>
    <row r="1927" spans="2:3" x14ac:dyDescent="0.3">
      <c r="B1927" s="40"/>
      <c r="C1927" s="40"/>
    </row>
    <row r="1928" spans="2:3" x14ac:dyDescent="0.3">
      <c r="B1928" s="40"/>
      <c r="C1928" s="40"/>
    </row>
    <row r="1929" spans="2:3" x14ac:dyDescent="0.3">
      <c r="B1929" s="40"/>
      <c r="C1929" s="40"/>
    </row>
    <row r="1930" spans="2:3" x14ac:dyDescent="0.3">
      <c r="B1930" s="40"/>
      <c r="C1930" s="40"/>
    </row>
    <row r="1931" spans="2:3" x14ac:dyDescent="0.3">
      <c r="B1931" s="40"/>
      <c r="C1931" s="40"/>
    </row>
    <row r="1932" spans="2:3" x14ac:dyDescent="0.3">
      <c r="B1932" s="40"/>
      <c r="C1932" s="40"/>
    </row>
    <row r="1933" spans="2:3" x14ac:dyDescent="0.3">
      <c r="B1933" s="40"/>
      <c r="C1933" s="40"/>
    </row>
    <row r="1934" spans="2:3" x14ac:dyDescent="0.3">
      <c r="B1934" s="40"/>
      <c r="C1934" s="40"/>
    </row>
    <row r="1935" spans="2:3" x14ac:dyDescent="0.3">
      <c r="B1935" s="40"/>
      <c r="C1935" s="40"/>
    </row>
    <row r="1936" spans="2:3" x14ac:dyDescent="0.3">
      <c r="B1936" s="40"/>
      <c r="C1936" s="40"/>
    </row>
    <row r="1937" spans="2:3" x14ac:dyDescent="0.3">
      <c r="B1937" s="40"/>
      <c r="C1937" s="40"/>
    </row>
    <row r="1938" spans="2:3" x14ac:dyDescent="0.3">
      <c r="B1938" s="40"/>
      <c r="C1938" s="40"/>
    </row>
    <row r="1939" spans="2:3" x14ac:dyDescent="0.3">
      <c r="B1939" s="40"/>
      <c r="C1939" s="40"/>
    </row>
    <row r="1940" spans="2:3" x14ac:dyDescent="0.3">
      <c r="B1940" s="40"/>
      <c r="C1940" s="40"/>
    </row>
    <row r="1941" spans="2:3" x14ac:dyDescent="0.3">
      <c r="B1941" s="40"/>
      <c r="C1941" s="40"/>
    </row>
    <row r="1942" spans="2:3" x14ac:dyDescent="0.3">
      <c r="B1942" s="40"/>
      <c r="C1942" s="40"/>
    </row>
    <row r="1943" spans="2:3" x14ac:dyDescent="0.3">
      <c r="B1943" s="40"/>
      <c r="C1943" s="40"/>
    </row>
    <row r="1944" spans="2:3" x14ac:dyDescent="0.3">
      <c r="B1944" s="40"/>
      <c r="C1944" s="40"/>
    </row>
    <row r="1945" spans="2:3" x14ac:dyDescent="0.3">
      <c r="B1945" s="40"/>
      <c r="C1945" s="40"/>
    </row>
    <row r="1946" spans="2:3" x14ac:dyDescent="0.3">
      <c r="B1946" s="40"/>
      <c r="C1946" s="40"/>
    </row>
    <row r="1947" spans="2:3" x14ac:dyDescent="0.3">
      <c r="B1947" s="40"/>
      <c r="C1947" s="40"/>
    </row>
    <row r="1948" spans="2:3" x14ac:dyDescent="0.3">
      <c r="B1948" s="40"/>
      <c r="C1948" s="40"/>
    </row>
    <row r="1949" spans="2:3" x14ac:dyDescent="0.3">
      <c r="B1949" s="40"/>
      <c r="C1949" s="40"/>
    </row>
    <row r="1950" spans="2:3" x14ac:dyDescent="0.3">
      <c r="B1950" s="40"/>
      <c r="C1950" s="40"/>
    </row>
    <row r="1951" spans="2:3" x14ac:dyDescent="0.3">
      <c r="B1951" s="40"/>
      <c r="C1951" s="40"/>
    </row>
    <row r="1952" spans="2:3" x14ac:dyDescent="0.3">
      <c r="B1952" s="40"/>
      <c r="C1952" s="40"/>
    </row>
    <row r="1953" spans="2:3" x14ac:dyDescent="0.3">
      <c r="B1953" s="40"/>
      <c r="C1953" s="40"/>
    </row>
    <row r="1954" spans="2:3" x14ac:dyDescent="0.3">
      <c r="B1954" s="40"/>
      <c r="C1954" s="40"/>
    </row>
    <row r="1955" spans="2:3" x14ac:dyDescent="0.3">
      <c r="B1955" s="40"/>
      <c r="C1955" s="40"/>
    </row>
    <row r="1956" spans="2:3" x14ac:dyDescent="0.3">
      <c r="B1956" s="40"/>
      <c r="C1956" s="40"/>
    </row>
    <row r="1957" spans="2:3" x14ac:dyDescent="0.3">
      <c r="B1957" s="40"/>
      <c r="C1957" s="40"/>
    </row>
    <row r="1958" spans="2:3" x14ac:dyDescent="0.3">
      <c r="B1958" s="40"/>
      <c r="C1958" s="40"/>
    </row>
    <row r="1959" spans="2:3" x14ac:dyDescent="0.3">
      <c r="B1959" s="40"/>
      <c r="C1959" s="40"/>
    </row>
    <row r="1960" spans="2:3" x14ac:dyDescent="0.3">
      <c r="B1960" s="40"/>
      <c r="C1960" s="40"/>
    </row>
    <row r="1961" spans="2:3" x14ac:dyDescent="0.3">
      <c r="B1961" s="40"/>
      <c r="C1961" s="40"/>
    </row>
    <row r="1962" spans="2:3" x14ac:dyDescent="0.3">
      <c r="B1962" s="40"/>
      <c r="C1962" s="40"/>
    </row>
    <row r="1963" spans="2:3" x14ac:dyDescent="0.3">
      <c r="B1963" s="40"/>
      <c r="C1963" s="40"/>
    </row>
    <row r="1964" spans="2:3" x14ac:dyDescent="0.3">
      <c r="B1964" s="40"/>
      <c r="C1964" s="40"/>
    </row>
    <row r="1965" spans="2:3" x14ac:dyDescent="0.3">
      <c r="B1965" s="40"/>
      <c r="C1965" s="40"/>
    </row>
    <row r="1966" spans="2:3" x14ac:dyDescent="0.3">
      <c r="B1966" s="40"/>
      <c r="C1966" s="40"/>
    </row>
    <row r="1967" spans="2:3" x14ac:dyDescent="0.3">
      <c r="B1967" s="40"/>
      <c r="C1967" s="40"/>
    </row>
    <row r="1968" spans="2:3" x14ac:dyDescent="0.3">
      <c r="B1968" s="40"/>
      <c r="C1968" s="40"/>
    </row>
    <row r="1969" spans="2:3" x14ac:dyDescent="0.3">
      <c r="B1969" s="40"/>
      <c r="C1969" s="40"/>
    </row>
    <row r="1970" spans="2:3" x14ac:dyDescent="0.3">
      <c r="B1970" s="40"/>
      <c r="C1970" s="40"/>
    </row>
    <row r="1971" spans="2:3" x14ac:dyDescent="0.3">
      <c r="B1971" s="40"/>
      <c r="C1971" s="40"/>
    </row>
    <row r="1972" spans="2:3" x14ac:dyDescent="0.3">
      <c r="B1972" s="40"/>
      <c r="C1972" s="40"/>
    </row>
    <row r="1973" spans="2:3" x14ac:dyDescent="0.3">
      <c r="B1973" s="40"/>
      <c r="C1973" s="40"/>
    </row>
    <row r="1974" spans="2:3" x14ac:dyDescent="0.3">
      <c r="B1974" s="40"/>
      <c r="C1974" s="40"/>
    </row>
    <row r="1975" spans="2:3" x14ac:dyDescent="0.3">
      <c r="B1975" s="40"/>
      <c r="C1975" s="40"/>
    </row>
    <row r="1976" spans="2:3" x14ac:dyDescent="0.3">
      <c r="B1976" s="40"/>
      <c r="C1976" s="40"/>
    </row>
    <row r="1977" spans="2:3" x14ac:dyDescent="0.3">
      <c r="B1977" s="40"/>
      <c r="C1977" s="40"/>
    </row>
    <row r="1978" spans="2:3" x14ac:dyDescent="0.3">
      <c r="B1978" s="40"/>
      <c r="C1978" s="40"/>
    </row>
    <row r="1979" spans="2:3" x14ac:dyDescent="0.3">
      <c r="B1979" s="40"/>
      <c r="C1979" s="40"/>
    </row>
    <row r="1980" spans="2:3" x14ac:dyDescent="0.3">
      <c r="B1980" s="40"/>
      <c r="C1980" s="40"/>
    </row>
    <row r="1981" spans="2:3" x14ac:dyDescent="0.3">
      <c r="B1981" s="40"/>
      <c r="C1981" s="40"/>
    </row>
    <row r="1982" spans="2:3" x14ac:dyDescent="0.3">
      <c r="B1982" s="40"/>
      <c r="C1982" s="40"/>
    </row>
    <row r="1983" spans="2:3" x14ac:dyDescent="0.3">
      <c r="B1983" s="40"/>
      <c r="C1983" s="40"/>
    </row>
    <row r="1984" spans="2:3" x14ac:dyDescent="0.3">
      <c r="B1984" s="40"/>
      <c r="C1984" s="40"/>
    </row>
    <row r="1985" spans="2:3" x14ac:dyDescent="0.3">
      <c r="B1985" s="40"/>
      <c r="C1985" s="40"/>
    </row>
    <row r="1986" spans="2:3" x14ac:dyDescent="0.3">
      <c r="B1986" s="40"/>
      <c r="C1986" s="40"/>
    </row>
    <row r="1987" spans="2:3" x14ac:dyDescent="0.3">
      <c r="B1987" s="40"/>
      <c r="C1987" s="40"/>
    </row>
    <row r="1988" spans="2:3" x14ac:dyDescent="0.3">
      <c r="B1988" s="40"/>
      <c r="C1988" s="40"/>
    </row>
    <row r="1989" spans="2:3" x14ac:dyDescent="0.3">
      <c r="B1989" s="40"/>
      <c r="C1989" s="40"/>
    </row>
    <row r="1990" spans="2:3" x14ac:dyDescent="0.3">
      <c r="B1990" s="40"/>
      <c r="C1990" s="40"/>
    </row>
    <row r="1991" spans="2:3" x14ac:dyDescent="0.3">
      <c r="B1991" s="40"/>
      <c r="C1991" s="40"/>
    </row>
    <row r="1992" spans="2:3" x14ac:dyDescent="0.3">
      <c r="B1992" s="40"/>
      <c r="C1992" s="40"/>
    </row>
    <row r="1993" spans="2:3" x14ac:dyDescent="0.3">
      <c r="B1993" s="40"/>
      <c r="C1993" s="40"/>
    </row>
    <row r="1994" spans="2:3" x14ac:dyDescent="0.3">
      <c r="B1994" s="40"/>
      <c r="C1994" s="40"/>
    </row>
    <row r="1995" spans="2:3" x14ac:dyDescent="0.3">
      <c r="B1995" s="40"/>
      <c r="C1995" s="40"/>
    </row>
    <row r="1996" spans="2:3" x14ac:dyDescent="0.3">
      <c r="B1996" s="40"/>
      <c r="C1996" s="40"/>
    </row>
    <row r="1997" spans="2:3" x14ac:dyDescent="0.3">
      <c r="B1997" s="40"/>
      <c r="C1997" s="40"/>
    </row>
    <row r="1998" spans="2:3" x14ac:dyDescent="0.3">
      <c r="B1998" s="40"/>
      <c r="C1998" s="40"/>
    </row>
    <row r="1999" spans="2:3" x14ac:dyDescent="0.3">
      <c r="B1999" s="40"/>
      <c r="C1999" s="40"/>
    </row>
    <row r="2000" spans="2:3" x14ac:dyDescent="0.3">
      <c r="B2000" s="40"/>
      <c r="C2000" s="40"/>
    </row>
    <row r="2001" spans="2:3" x14ac:dyDescent="0.3">
      <c r="B2001" s="40"/>
      <c r="C2001" s="40"/>
    </row>
    <row r="2002" spans="2:3" x14ac:dyDescent="0.3">
      <c r="B2002" s="40"/>
      <c r="C2002" s="40"/>
    </row>
    <row r="2003" spans="2:3" x14ac:dyDescent="0.3">
      <c r="B2003" s="40"/>
      <c r="C2003" s="40"/>
    </row>
    <row r="2004" spans="2:3" x14ac:dyDescent="0.3">
      <c r="B2004" s="40"/>
      <c r="C2004" s="40"/>
    </row>
    <row r="2005" spans="2:3" x14ac:dyDescent="0.3">
      <c r="B2005" s="40"/>
      <c r="C2005" s="40"/>
    </row>
    <row r="2006" spans="2:3" x14ac:dyDescent="0.3">
      <c r="B2006" s="40"/>
      <c r="C2006" s="40"/>
    </row>
    <row r="2007" spans="2:3" x14ac:dyDescent="0.3">
      <c r="B2007" s="40"/>
      <c r="C2007" s="40"/>
    </row>
    <row r="2008" spans="2:3" x14ac:dyDescent="0.3">
      <c r="B2008" s="40"/>
      <c r="C2008" s="40"/>
    </row>
    <row r="2009" spans="2:3" x14ac:dyDescent="0.3">
      <c r="B2009" s="40"/>
      <c r="C2009" s="40"/>
    </row>
    <row r="2010" spans="2:3" x14ac:dyDescent="0.3">
      <c r="B2010" s="40"/>
      <c r="C2010" s="40"/>
    </row>
    <row r="2011" spans="2:3" x14ac:dyDescent="0.3">
      <c r="B2011" s="40"/>
      <c r="C2011" s="40"/>
    </row>
    <row r="2012" spans="2:3" x14ac:dyDescent="0.3">
      <c r="B2012" s="40"/>
      <c r="C2012" s="40"/>
    </row>
    <row r="2013" spans="2:3" x14ac:dyDescent="0.3">
      <c r="B2013" s="40"/>
      <c r="C2013" s="40"/>
    </row>
    <row r="2014" spans="2:3" x14ac:dyDescent="0.3">
      <c r="B2014" s="40"/>
      <c r="C2014" s="40"/>
    </row>
    <row r="2015" spans="2:3" x14ac:dyDescent="0.3">
      <c r="B2015" s="40"/>
      <c r="C2015" s="40"/>
    </row>
    <row r="2016" spans="2:3" x14ac:dyDescent="0.3">
      <c r="B2016" s="40"/>
      <c r="C2016" s="40"/>
    </row>
    <row r="2017" spans="2:3" x14ac:dyDescent="0.3">
      <c r="B2017" s="40"/>
      <c r="C2017" s="40"/>
    </row>
    <row r="2018" spans="2:3" x14ac:dyDescent="0.3">
      <c r="B2018" s="40"/>
      <c r="C2018" s="40"/>
    </row>
    <row r="2019" spans="2:3" x14ac:dyDescent="0.3">
      <c r="B2019" s="40"/>
      <c r="C2019" s="40"/>
    </row>
    <row r="2020" spans="2:3" x14ac:dyDescent="0.3">
      <c r="B2020" s="40"/>
      <c r="C2020" s="40"/>
    </row>
    <row r="2021" spans="2:3" x14ac:dyDescent="0.3">
      <c r="B2021" s="40"/>
      <c r="C2021" s="40"/>
    </row>
    <row r="2022" spans="2:3" x14ac:dyDescent="0.3">
      <c r="B2022" s="40"/>
      <c r="C2022" s="40"/>
    </row>
    <row r="2023" spans="2:3" x14ac:dyDescent="0.3">
      <c r="B2023" s="40"/>
      <c r="C2023" s="40"/>
    </row>
    <row r="2024" spans="2:3" x14ac:dyDescent="0.3">
      <c r="B2024" s="40"/>
      <c r="C2024" s="40"/>
    </row>
    <row r="2025" spans="2:3" x14ac:dyDescent="0.3">
      <c r="B2025" s="40"/>
      <c r="C2025" s="40"/>
    </row>
    <row r="2026" spans="2:3" x14ac:dyDescent="0.3">
      <c r="B2026" s="40"/>
      <c r="C2026" s="40"/>
    </row>
    <row r="2027" spans="2:3" x14ac:dyDescent="0.3">
      <c r="B2027" s="40"/>
      <c r="C2027" s="40"/>
    </row>
    <row r="2028" spans="2:3" x14ac:dyDescent="0.3">
      <c r="B2028" s="40"/>
      <c r="C2028" s="40"/>
    </row>
    <row r="2029" spans="2:3" x14ac:dyDescent="0.3">
      <c r="B2029" s="40"/>
      <c r="C2029" s="40"/>
    </row>
    <row r="2030" spans="2:3" x14ac:dyDescent="0.3">
      <c r="B2030" s="40"/>
      <c r="C2030" s="40"/>
    </row>
    <row r="2031" spans="2:3" x14ac:dyDescent="0.3">
      <c r="B2031" s="40"/>
      <c r="C2031" s="40"/>
    </row>
    <row r="2032" spans="2:3" x14ac:dyDescent="0.3">
      <c r="B2032" s="40"/>
      <c r="C2032" s="40"/>
    </row>
    <row r="2033" spans="2:3" x14ac:dyDescent="0.3">
      <c r="B2033" s="40"/>
      <c r="C2033" s="40"/>
    </row>
    <row r="2034" spans="2:3" x14ac:dyDescent="0.3">
      <c r="B2034" s="40"/>
      <c r="C2034" s="40"/>
    </row>
    <row r="2035" spans="2:3" x14ac:dyDescent="0.3">
      <c r="B2035" s="40"/>
      <c r="C2035" s="40"/>
    </row>
    <row r="2036" spans="2:3" x14ac:dyDescent="0.3">
      <c r="B2036" s="40"/>
      <c r="C2036" s="40"/>
    </row>
    <row r="2037" spans="2:3" x14ac:dyDescent="0.3">
      <c r="B2037" s="40"/>
      <c r="C2037" s="40"/>
    </row>
    <row r="2038" spans="2:3" x14ac:dyDescent="0.3">
      <c r="B2038" s="40"/>
      <c r="C2038" s="40"/>
    </row>
    <row r="2039" spans="2:3" x14ac:dyDescent="0.3">
      <c r="B2039" s="40"/>
      <c r="C2039" s="40"/>
    </row>
    <row r="2040" spans="2:3" x14ac:dyDescent="0.3">
      <c r="B2040" s="40"/>
      <c r="C2040" s="40"/>
    </row>
    <row r="2041" spans="2:3" x14ac:dyDescent="0.3">
      <c r="B2041" s="40"/>
      <c r="C2041" s="40"/>
    </row>
    <row r="2042" spans="2:3" x14ac:dyDescent="0.3">
      <c r="B2042" s="40"/>
      <c r="C2042" s="40"/>
    </row>
    <row r="2043" spans="2:3" x14ac:dyDescent="0.3">
      <c r="B2043" s="40"/>
      <c r="C2043" s="40"/>
    </row>
    <row r="2044" spans="2:3" x14ac:dyDescent="0.3">
      <c r="B2044" s="40"/>
      <c r="C2044" s="40"/>
    </row>
    <row r="2045" spans="2:3" x14ac:dyDescent="0.3">
      <c r="B2045" s="40"/>
      <c r="C2045" s="40"/>
    </row>
    <row r="2046" spans="2:3" x14ac:dyDescent="0.3">
      <c r="B2046" s="40"/>
      <c r="C2046" s="40"/>
    </row>
    <row r="2047" spans="2:3" x14ac:dyDescent="0.3">
      <c r="B2047" s="40"/>
      <c r="C2047" s="40"/>
    </row>
    <row r="2048" spans="2:3" x14ac:dyDescent="0.3">
      <c r="B2048" s="40"/>
      <c r="C2048" s="40"/>
    </row>
    <row r="2049" spans="2:3" x14ac:dyDescent="0.3">
      <c r="B2049" s="40"/>
      <c r="C2049" s="40"/>
    </row>
    <row r="2050" spans="2:3" x14ac:dyDescent="0.3">
      <c r="B2050" s="40"/>
      <c r="C2050" s="40"/>
    </row>
    <row r="2051" spans="2:3" x14ac:dyDescent="0.3">
      <c r="B2051" s="40"/>
      <c r="C2051" s="40"/>
    </row>
    <row r="2052" spans="2:3" x14ac:dyDescent="0.3">
      <c r="B2052" s="40"/>
      <c r="C2052" s="40"/>
    </row>
    <row r="2053" spans="2:3" x14ac:dyDescent="0.3">
      <c r="B2053" s="40"/>
      <c r="C2053" s="40"/>
    </row>
    <row r="2054" spans="2:3" x14ac:dyDescent="0.3">
      <c r="B2054" s="40"/>
      <c r="C2054" s="40"/>
    </row>
    <row r="2055" spans="2:3" x14ac:dyDescent="0.3">
      <c r="B2055" s="40"/>
      <c r="C2055" s="40"/>
    </row>
    <row r="2056" spans="2:3" x14ac:dyDescent="0.3">
      <c r="B2056" s="40"/>
      <c r="C2056" s="40"/>
    </row>
    <row r="2057" spans="2:3" x14ac:dyDescent="0.3">
      <c r="B2057" s="40"/>
      <c r="C2057" s="40"/>
    </row>
    <row r="2058" spans="2:3" x14ac:dyDescent="0.3">
      <c r="B2058" s="40"/>
      <c r="C2058" s="40"/>
    </row>
    <row r="2059" spans="2:3" x14ac:dyDescent="0.3">
      <c r="B2059" s="40"/>
      <c r="C2059" s="40"/>
    </row>
    <row r="2060" spans="2:3" x14ac:dyDescent="0.3">
      <c r="B2060" s="40"/>
      <c r="C2060" s="40"/>
    </row>
    <row r="2061" spans="2:3" x14ac:dyDescent="0.3">
      <c r="B2061" s="40"/>
      <c r="C2061" s="40"/>
    </row>
    <row r="2062" spans="2:3" x14ac:dyDescent="0.3">
      <c r="B2062" s="40"/>
      <c r="C2062" s="40"/>
    </row>
    <row r="2063" spans="2:3" x14ac:dyDescent="0.3">
      <c r="B2063" s="40"/>
      <c r="C2063" s="40"/>
    </row>
    <row r="2064" spans="2:3" x14ac:dyDescent="0.3">
      <c r="B2064" s="40"/>
      <c r="C2064" s="40"/>
    </row>
    <row r="2065" spans="2:3" x14ac:dyDescent="0.3">
      <c r="B2065" s="40"/>
      <c r="C2065" s="40"/>
    </row>
    <row r="2066" spans="2:3" x14ac:dyDescent="0.3">
      <c r="B2066" s="40"/>
      <c r="C2066" s="40"/>
    </row>
    <row r="2067" spans="2:3" x14ac:dyDescent="0.3">
      <c r="B2067" s="40"/>
      <c r="C2067" s="40"/>
    </row>
    <row r="2068" spans="2:3" x14ac:dyDescent="0.3">
      <c r="B2068" s="40"/>
      <c r="C2068" s="40"/>
    </row>
    <row r="2069" spans="2:3" x14ac:dyDescent="0.3">
      <c r="B2069" s="40"/>
      <c r="C2069" s="40"/>
    </row>
    <row r="2070" spans="2:3" x14ac:dyDescent="0.3">
      <c r="B2070" s="40"/>
      <c r="C2070" s="40"/>
    </row>
    <row r="2071" spans="2:3" x14ac:dyDescent="0.3">
      <c r="B2071" s="40"/>
      <c r="C2071" s="40"/>
    </row>
    <row r="2072" spans="2:3" x14ac:dyDescent="0.3">
      <c r="B2072" s="40"/>
      <c r="C2072" s="40"/>
    </row>
    <row r="2073" spans="2:3" x14ac:dyDescent="0.3">
      <c r="B2073" s="40"/>
      <c r="C2073" s="40"/>
    </row>
    <row r="2074" spans="2:3" x14ac:dyDescent="0.3">
      <c r="B2074" s="40"/>
      <c r="C2074" s="40"/>
    </row>
    <row r="2075" spans="2:3" x14ac:dyDescent="0.3">
      <c r="B2075" s="40"/>
      <c r="C2075" s="40"/>
    </row>
    <row r="2076" spans="2:3" x14ac:dyDescent="0.3">
      <c r="B2076" s="40"/>
      <c r="C2076" s="40"/>
    </row>
    <row r="2077" spans="2:3" x14ac:dyDescent="0.3">
      <c r="B2077" s="40"/>
      <c r="C2077" s="40"/>
    </row>
    <row r="2078" spans="2:3" x14ac:dyDescent="0.3">
      <c r="B2078" s="40"/>
      <c r="C2078" s="40"/>
    </row>
    <row r="2079" spans="2:3" x14ac:dyDescent="0.3">
      <c r="B2079" s="40"/>
      <c r="C2079" s="40"/>
    </row>
    <row r="2080" spans="2:3" x14ac:dyDescent="0.3">
      <c r="B2080" s="40"/>
      <c r="C2080" s="40"/>
    </row>
    <row r="2081" spans="2:3" x14ac:dyDescent="0.3">
      <c r="B2081" s="40"/>
      <c r="C2081" s="40"/>
    </row>
    <row r="2082" spans="2:3" x14ac:dyDescent="0.3">
      <c r="B2082" s="40"/>
      <c r="C2082" s="40"/>
    </row>
    <row r="2083" spans="2:3" x14ac:dyDescent="0.3">
      <c r="B2083" s="40"/>
      <c r="C2083" s="40"/>
    </row>
    <row r="2084" spans="2:3" x14ac:dyDescent="0.3">
      <c r="B2084" s="40"/>
      <c r="C2084" s="40"/>
    </row>
    <row r="2085" spans="2:3" x14ac:dyDescent="0.3">
      <c r="B2085" s="40"/>
      <c r="C2085" s="40"/>
    </row>
    <row r="2086" spans="2:3" x14ac:dyDescent="0.3">
      <c r="B2086" s="40"/>
      <c r="C2086" s="40"/>
    </row>
    <row r="2087" spans="2:3" x14ac:dyDescent="0.3">
      <c r="B2087" s="40"/>
      <c r="C2087" s="40"/>
    </row>
    <row r="2088" spans="2:3" x14ac:dyDescent="0.3">
      <c r="B2088" s="40"/>
      <c r="C2088" s="40"/>
    </row>
    <row r="2089" spans="2:3" x14ac:dyDescent="0.3">
      <c r="B2089" s="40"/>
      <c r="C2089" s="40"/>
    </row>
    <row r="2090" spans="2:3" x14ac:dyDescent="0.3">
      <c r="B2090" s="40"/>
      <c r="C2090" s="40"/>
    </row>
    <row r="2091" spans="2:3" x14ac:dyDescent="0.3">
      <c r="B2091" s="40"/>
      <c r="C2091" s="40"/>
    </row>
    <row r="2092" spans="2:3" x14ac:dyDescent="0.3">
      <c r="B2092" s="40"/>
      <c r="C2092" s="40"/>
    </row>
    <row r="2093" spans="2:3" x14ac:dyDescent="0.3">
      <c r="B2093" s="40"/>
      <c r="C2093" s="40"/>
    </row>
    <row r="2094" spans="2:3" x14ac:dyDescent="0.3">
      <c r="B2094" s="40"/>
      <c r="C2094" s="40"/>
    </row>
    <row r="2095" spans="2:3" x14ac:dyDescent="0.3">
      <c r="B2095" s="40"/>
      <c r="C2095" s="40"/>
    </row>
    <row r="2096" spans="2:3" x14ac:dyDescent="0.3">
      <c r="B2096" s="40"/>
      <c r="C2096" s="40"/>
    </row>
    <row r="2097" spans="2:3" x14ac:dyDescent="0.3">
      <c r="B2097" s="40"/>
      <c r="C2097" s="40"/>
    </row>
    <row r="2098" spans="2:3" x14ac:dyDescent="0.3">
      <c r="B2098" s="40"/>
      <c r="C2098" s="40"/>
    </row>
    <row r="2099" spans="2:3" x14ac:dyDescent="0.3">
      <c r="B2099" s="40"/>
      <c r="C2099" s="40"/>
    </row>
    <row r="2100" spans="2:3" x14ac:dyDescent="0.3">
      <c r="B2100" s="40"/>
      <c r="C2100" s="40"/>
    </row>
    <row r="2101" spans="2:3" x14ac:dyDescent="0.3">
      <c r="B2101" s="40"/>
      <c r="C2101" s="40"/>
    </row>
    <row r="2102" spans="2:3" x14ac:dyDescent="0.3">
      <c r="B2102" s="40"/>
      <c r="C2102" s="40"/>
    </row>
    <row r="2103" spans="2:3" x14ac:dyDescent="0.3">
      <c r="B2103" s="40"/>
      <c r="C2103" s="40"/>
    </row>
    <row r="2104" spans="2:3" x14ac:dyDescent="0.3">
      <c r="B2104" s="40"/>
      <c r="C2104" s="40"/>
    </row>
    <row r="2105" spans="2:3" x14ac:dyDescent="0.3">
      <c r="B2105" s="40"/>
      <c r="C2105" s="40"/>
    </row>
    <row r="2106" spans="2:3" x14ac:dyDescent="0.3">
      <c r="B2106" s="40"/>
      <c r="C2106" s="40"/>
    </row>
    <row r="2107" spans="2:3" x14ac:dyDescent="0.3">
      <c r="B2107" s="40"/>
      <c r="C2107" s="40"/>
    </row>
    <row r="2108" spans="2:3" x14ac:dyDescent="0.3">
      <c r="B2108" s="40"/>
      <c r="C2108" s="40"/>
    </row>
    <row r="2109" spans="2:3" x14ac:dyDescent="0.3">
      <c r="B2109" s="40"/>
      <c r="C2109" s="40"/>
    </row>
    <row r="2110" spans="2:3" x14ac:dyDescent="0.3">
      <c r="B2110" s="40"/>
      <c r="C2110" s="40"/>
    </row>
    <row r="2111" spans="2:3" x14ac:dyDescent="0.3">
      <c r="B2111" s="40"/>
      <c r="C2111" s="40"/>
    </row>
    <row r="2112" spans="2:3" x14ac:dyDescent="0.3">
      <c r="B2112" s="40"/>
      <c r="C2112" s="40"/>
    </row>
    <row r="2113" spans="2:3" x14ac:dyDescent="0.3">
      <c r="B2113" s="40"/>
      <c r="C2113" s="40"/>
    </row>
    <row r="2114" spans="2:3" x14ac:dyDescent="0.3">
      <c r="B2114" s="40"/>
      <c r="C2114" s="40"/>
    </row>
    <row r="2115" spans="2:3" x14ac:dyDescent="0.3">
      <c r="B2115" s="40"/>
      <c r="C2115" s="40"/>
    </row>
    <row r="2116" spans="2:3" x14ac:dyDescent="0.3">
      <c r="B2116" s="40"/>
      <c r="C2116" s="40"/>
    </row>
    <row r="2117" spans="2:3" x14ac:dyDescent="0.3">
      <c r="B2117" s="40"/>
      <c r="C2117" s="40"/>
    </row>
    <row r="2118" spans="2:3" x14ac:dyDescent="0.3">
      <c r="B2118" s="40"/>
      <c r="C2118" s="40"/>
    </row>
    <row r="2119" spans="2:3" x14ac:dyDescent="0.3">
      <c r="B2119" s="40"/>
      <c r="C2119" s="40"/>
    </row>
    <row r="2120" spans="2:3" x14ac:dyDescent="0.3">
      <c r="B2120" s="40"/>
      <c r="C2120" s="40"/>
    </row>
    <row r="2121" spans="2:3" x14ac:dyDescent="0.3">
      <c r="B2121" s="40"/>
      <c r="C2121" s="40"/>
    </row>
    <row r="2122" spans="2:3" x14ac:dyDescent="0.3">
      <c r="B2122" s="40"/>
      <c r="C2122" s="40"/>
    </row>
    <row r="2123" spans="2:3" x14ac:dyDescent="0.3">
      <c r="B2123" s="40"/>
      <c r="C2123" s="40"/>
    </row>
    <row r="2124" spans="2:3" x14ac:dyDescent="0.3">
      <c r="B2124" s="40"/>
      <c r="C2124" s="40"/>
    </row>
    <row r="2125" spans="2:3" x14ac:dyDescent="0.3">
      <c r="B2125" s="40"/>
      <c r="C2125" s="40"/>
    </row>
    <row r="2126" spans="2:3" x14ac:dyDescent="0.3">
      <c r="B2126" s="40"/>
      <c r="C2126" s="40"/>
    </row>
    <row r="2127" spans="2:3" x14ac:dyDescent="0.3">
      <c r="B2127" s="40"/>
      <c r="C2127" s="40"/>
    </row>
    <row r="2128" spans="2:3" x14ac:dyDescent="0.3">
      <c r="B2128" s="40"/>
      <c r="C2128" s="40"/>
    </row>
    <row r="2129" spans="2:3" x14ac:dyDescent="0.3">
      <c r="B2129" s="40"/>
      <c r="C2129" s="40"/>
    </row>
    <row r="2130" spans="2:3" x14ac:dyDescent="0.3">
      <c r="B2130" s="40"/>
      <c r="C2130" s="40"/>
    </row>
    <row r="2131" spans="2:3" x14ac:dyDescent="0.3">
      <c r="B2131" s="40"/>
      <c r="C2131" s="40"/>
    </row>
    <row r="2132" spans="2:3" x14ac:dyDescent="0.3">
      <c r="B2132" s="40"/>
      <c r="C2132" s="40"/>
    </row>
    <row r="2133" spans="2:3" x14ac:dyDescent="0.3">
      <c r="B2133" s="40"/>
      <c r="C2133" s="40"/>
    </row>
    <row r="2134" spans="2:3" x14ac:dyDescent="0.3">
      <c r="B2134" s="40"/>
      <c r="C2134" s="40"/>
    </row>
    <row r="2135" spans="2:3" x14ac:dyDescent="0.3">
      <c r="B2135" s="40"/>
      <c r="C2135" s="40"/>
    </row>
    <row r="2136" spans="2:3" x14ac:dyDescent="0.3">
      <c r="B2136" s="40"/>
      <c r="C2136" s="40"/>
    </row>
    <row r="2137" spans="2:3" x14ac:dyDescent="0.3">
      <c r="B2137" s="40"/>
      <c r="C2137" s="40"/>
    </row>
    <row r="2138" spans="2:3" x14ac:dyDescent="0.3">
      <c r="B2138" s="40"/>
      <c r="C2138" s="40"/>
    </row>
    <row r="2139" spans="2:3" x14ac:dyDescent="0.3">
      <c r="B2139" s="40"/>
      <c r="C2139" s="40"/>
    </row>
    <row r="2140" spans="2:3" x14ac:dyDescent="0.3">
      <c r="B2140" s="40"/>
      <c r="C2140" s="40"/>
    </row>
    <row r="2141" spans="2:3" x14ac:dyDescent="0.3">
      <c r="B2141" s="40"/>
      <c r="C2141" s="40"/>
    </row>
    <row r="2142" spans="2:3" x14ac:dyDescent="0.3">
      <c r="B2142" s="40"/>
      <c r="C2142" s="40"/>
    </row>
    <row r="2143" spans="2:3" x14ac:dyDescent="0.3">
      <c r="B2143" s="40"/>
      <c r="C2143" s="40"/>
    </row>
    <row r="2144" spans="2:3" x14ac:dyDescent="0.3">
      <c r="B2144" s="40"/>
      <c r="C2144" s="40"/>
    </row>
    <row r="2145" spans="2:3" x14ac:dyDescent="0.3">
      <c r="B2145" s="40"/>
      <c r="C2145" s="40"/>
    </row>
    <row r="2146" spans="2:3" x14ac:dyDescent="0.3">
      <c r="B2146" s="40"/>
      <c r="C2146" s="40"/>
    </row>
    <row r="2147" spans="2:3" x14ac:dyDescent="0.3">
      <c r="B2147" s="40"/>
      <c r="C2147" s="40"/>
    </row>
    <row r="2148" spans="2:3" x14ac:dyDescent="0.3">
      <c r="B2148" s="40"/>
      <c r="C2148" s="40"/>
    </row>
    <row r="2149" spans="2:3" x14ac:dyDescent="0.3">
      <c r="B2149" s="40"/>
      <c r="C2149" s="40"/>
    </row>
    <row r="2150" spans="2:3" x14ac:dyDescent="0.3">
      <c r="B2150" s="40"/>
      <c r="C2150" s="40"/>
    </row>
    <row r="2151" spans="2:3" x14ac:dyDescent="0.3">
      <c r="B2151" s="40"/>
      <c r="C2151" s="40"/>
    </row>
    <row r="2152" spans="2:3" x14ac:dyDescent="0.3">
      <c r="B2152" s="40"/>
      <c r="C2152" s="40"/>
    </row>
    <row r="2153" spans="2:3" x14ac:dyDescent="0.3">
      <c r="B2153" s="40"/>
      <c r="C2153" s="40"/>
    </row>
    <row r="2154" spans="2:3" x14ac:dyDescent="0.3">
      <c r="B2154" s="40"/>
      <c r="C2154" s="40"/>
    </row>
    <row r="2155" spans="2:3" x14ac:dyDescent="0.3">
      <c r="B2155" s="40"/>
      <c r="C2155" s="40"/>
    </row>
    <row r="2156" spans="2:3" x14ac:dyDescent="0.3">
      <c r="B2156" s="40"/>
      <c r="C2156" s="40"/>
    </row>
    <row r="2157" spans="2:3" x14ac:dyDescent="0.3">
      <c r="B2157" s="40"/>
      <c r="C2157" s="40"/>
    </row>
    <row r="2158" spans="2:3" x14ac:dyDescent="0.3">
      <c r="B2158" s="40"/>
      <c r="C2158" s="40"/>
    </row>
    <row r="2159" spans="2:3" x14ac:dyDescent="0.3">
      <c r="B2159" s="40"/>
      <c r="C2159" s="40"/>
    </row>
    <row r="2160" spans="2:3" x14ac:dyDescent="0.3">
      <c r="B2160" s="40"/>
      <c r="C2160" s="40"/>
    </row>
    <row r="2161" spans="2:3" x14ac:dyDescent="0.3">
      <c r="B2161" s="40"/>
      <c r="C2161" s="40"/>
    </row>
    <row r="2162" spans="2:3" x14ac:dyDescent="0.3">
      <c r="B2162" s="40"/>
      <c r="C2162" s="40"/>
    </row>
    <row r="2163" spans="2:3" x14ac:dyDescent="0.3">
      <c r="B2163" s="40"/>
      <c r="C2163" s="40"/>
    </row>
    <row r="2164" spans="2:3" x14ac:dyDescent="0.3">
      <c r="B2164" s="40"/>
      <c r="C2164" s="40"/>
    </row>
    <row r="2165" spans="2:3" x14ac:dyDescent="0.3">
      <c r="B2165" s="40"/>
      <c r="C2165" s="40"/>
    </row>
    <row r="2166" spans="2:3" x14ac:dyDescent="0.3">
      <c r="B2166" s="40"/>
      <c r="C2166" s="40"/>
    </row>
    <row r="2167" spans="2:3" x14ac:dyDescent="0.3">
      <c r="B2167" s="40"/>
      <c r="C2167" s="40"/>
    </row>
    <row r="2168" spans="2:3" x14ac:dyDescent="0.3">
      <c r="B2168" s="40"/>
      <c r="C2168" s="40"/>
    </row>
    <row r="2169" spans="2:3" x14ac:dyDescent="0.3">
      <c r="B2169" s="40"/>
      <c r="C2169" s="40"/>
    </row>
    <row r="2170" spans="2:3" x14ac:dyDescent="0.3">
      <c r="B2170" s="40"/>
      <c r="C2170" s="40"/>
    </row>
    <row r="2171" spans="2:3" x14ac:dyDescent="0.3">
      <c r="B2171" s="40"/>
      <c r="C2171" s="40"/>
    </row>
    <row r="2172" spans="2:3" x14ac:dyDescent="0.3">
      <c r="B2172" s="40"/>
      <c r="C2172" s="40"/>
    </row>
    <row r="2173" spans="2:3" x14ac:dyDescent="0.3">
      <c r="B2173" s="40"/>
      <c r="C2173" s="40"/>
    </row>
    <row r="2174" spans="2:3" x14ac:dyDescent="0.3">
      <c r="B2174" s="40"/>
      <c r="C2174" s="40"/>
    </row>
    <row r="2175" spans="2:3" x14ac:dyDescent="0.3">
      <c r="B2175" s="40"/>
      <c r="C2175" s="40"/>
    </row>
    <row r="2176" spans="2:3" x14ac:dyDescent="0.3">
      <c r="B2176" s="40"/>
      <c r="C2176" s="40"/>
    </row>
    <row r="2177" spans="2:3" x14ac:dyDescent="0.3">
      <c r="B2177" s="40"/>
      <c r="C2177" s="40"/>
    </row>
    <row r="2178" spans="2:3" x14ac:dyDescent="0.3">
      <c r="B2178" s="40"/>
      <c r="C2178" s="40"/>
    </row>
    <row r="2179" spans="2:3" x14ac:dyDescent="0.3">
      <c r="B2179" s="40"/>
      <c r="C2179" s="40"/>
    </row>
    <row r="2180" spans="2:3" x14ac:dyDescent="0.3">
      <c r="B2180" s="40"/>
      <c r="C2180" s="40"/>
    </row>
    <row r="2181" spans="2:3" x14ac:dyDescent="0.3">
      <c r="B2181" s="40"/>
      <c r="C2181" s="40"/>
    </row>
    <row r="2182" spans="2:3" x14ac:dyDescent="0.3">
      <c r="B2182" s="40"/>
      <c r="C2182" s="40"/>
    </row>
    <row r="2183" spans="2:3" x14ac:dyDescent="0.3">
      <c r="B2183" s="40"/>
      <c r="C2183" s="40"/>
    </row>
    <row r="2184" spans="2:3" x14ac:dyDescent="0.3">
      <c r="B2184" s="40"/>
      <c r="C2184" s="40"/>
    </row>
    <row r="2185" spans="2:3" x14ac:dyDescent="0.3">
      <c r="B2185" s="40"/>
      <c r="C2185" s="40"/>
    </row>
    <row r="2186" spans="2:3" x14ac:dyDescent="0.3">
      <c r="B2186" s="40"/>
      <c r="C2186" s="40"/>
    </row>
    <row r="2187" spans="2:3" x14ac:dyDescent="0.3">
      <c r="B2187" s="40"/>
      <c r="C2187" s="40"/>
    </row>
    <row r="2188" spans="2:3" x14ac:dyDescent="0.3">
      <c r="B2188" s="40"/>
      <c r="C2188" s="40"/>
    </row>
    <row r="2189" spans="2:3" x14ac:dyDescent="0.3">
      <c r="B2189" s="40"/>
      <c r="C2189" s="40"/>
    </row>
    <row r="2190" spans="2:3" x14ac:dyDescent="0.3">
      <c r="B2190" s="40"/>
      <c r="C2190" s="40"/>
    </row>
    <row r="2191" spans="2:3" x14ac:dyDescent="0.3">
      <c r="B2191" s="40"/>
      <c r="C2191" s="40"/>
    </row>
    <row r="2192" spans="2:3" x14ac:dyDescent="0.3">
      <c r="B2192" s="40"/>
      <c r="C2192" s="40"/>
    </row>
    <row r="2193" spans="2:3" x14ac:dyDescent="0.3">
      <c r="B2193" s="40"/>
      <c r="C2193" s="40"/>
    </row>
    <row r="2194" spans="2:3" x14ac:dyDescent="0.3">
      <c r="B2194" s="40"/>
      <c r="C2194" s="40"/>
    </row>
    <row r="2195" spans="2:3" x14ac:dyDescent="0.3">
      <c r="B2195" s="40"/>
      <c r="C2195" s="40"/>
    </row>
    <row r="2196" spans="2:3" x14ac:dyDescent="0.3">
      <c r="B2196" s="40"/>
      <c r="C2196" s="40"/>
    </row>
    <row r="2197" spans="2:3" x14ac:dyDescent="0.3">
      <c r="B2197" s="40"/>
      <c r="C2197" s="40"/>
    </row>
    <row r="2198" spans="2:3" x14ac:dyDescent="0.3">
      <c r="B2198" s="40"/>
      <c r="C2198" s="40"/>
    </row>
    <row r="2199" spans="2:3" x14ac:dyDescent="0.3">
      <c r="B2199" s="40"/>
      <c r="C2199" s="40"/>
    </row>
    <row r="2200" spans="2:3" x14ac:dyDescent="0.3">
      <c r="B2200" s="40"/>
      <c r="C2200" s="40"/>
    </row>
    <row r="2201" spans="2:3" x14ac:dyDescent="0.3">
      <c r="B2201" s="40"/>
      <c r="C2201" s="40"/>
    </row>
    <row r="2202" spans="2:3" x14ac:dyDescent="0.3">
      <c r="B2202" s="40"/>
      <c r="C2202" s="40"/>
    </row>
    <row r="2203" spans="2:3" x14ac:dyDescent="0.3">
      <c r="B2203" s="40"/>
      <c r="C2203" s="40"/>
    </row>
    <row r="2204" spans="2:3" x14ac:dyDescent="0.3">
      <c r="B2204" s="40"/>
      <c r="C2204" s="40"/>
    </row>
    <row r="2205" spans="2:3" x14ac:dyDescent="0.3">
      <c r="B2205" s="40"/>
      <c r="C2205" s="40"/>
    </row>
    <row r="2206" spans="2:3" x14ac:dyDescent="0.3">
      <c r="B2206" s="40"/>
      <c r="C2206" s="40"/>
    </row>
    <row r="2207" spans="2:3" x14ac:dyDescent="0.3">
      <c r="B2207" s="40"/>
      <c r="C2207" s="40"/>
    </row>
    <row r="2208" spans="2:3" x14ac:dyDescent="0.3">
      <c r="B2208" s="40"/>
      <c r="C2208" s="40"/>
    </row>
    <row r="2209" spans="2:3" x14ac:dyDescent="0.3">
      <c r="B2209" s="40"/>
      <c r="C2209" s="40"/>
    </row>
    <row r="2210" spans="2:3" x14ac:dyDescent="0.3">
      <c r="B2210" s="40"/>
      <c r="C2210" s="40"/>
    </row>
    <row r="2211" spans="2:3" x14ac:dyDescent="0.3">
      <c r="B2211" s="40"/>
      <c r="C2211" s="40"/>
    </row>
    <row r="2212" spans="2:3" x14ac:dyDescent="0.3">
      <c r="B2212" s="40"/>
      <c r="C2212" s="40"/>
    </row>
    <row r="2213" spans="2:3" x14ac:dyDescent="0.3">
      <c r="B2213" s="40"/>
      <c r="C2213" s="40"/>
    </row>
    <row r="2214" spans="2:3" x14ac:dyDescent="0.3">
      <c r="B2214" s="40"/>
      <c r="C2214" s="40"/>
    </row>
    <row r="2215" spans="2:3" x14ac:dyDescent="0.3">
      <c r="B2215" s="40"/>
      <c r="C2215" s="40"/>
    </row>
    <row r="2216" spans="2:3" x14ac:dyDescent="0.3">
      <c r="B2216" s="40"/>
      <c r="C2216" s="40"/>
    </row>
    <row r="2217" spans="2:3" x14ac:dyDescent="0.3">
      <c r="B2217" s="40"/>
      <c r="C2217" s="40"/>
    </row>
    <row r="2218" spans="2:3" x14ac:dyDescent="0.3">
      <c r="B2218" s="40"/>
      <c r="C2218" s="40"/>
    </row>
    <row r="2219" spans="2:3" x14ac:dyDescent="0.3">
      <c r="B2219" s="40"/>
      <c r="C2219" s="40"/>
    </row>
    <row r="2220" spans="2:3" x14ac:dyDescent="0.3">
      <c r="B2220" s="40"/>
      <c r="C2220" s="40"/>
    </row>
    <row r="2221" spans="2:3" x14ac:dyDescent="0.3">
      <c r="B2221" s="40"/>
      <c r="C2221" s="40"/>
    </row>
    <row r="2222" spans="2:3" x14ac:dyDescent="0.3">
      <c r="B2222" s="40"/>
      <c r="C2222" s="40"/>
    </row>
    <row r="2223" spans="2:3" x14ac:dyDescent="0.3">
      <c r="B2223" s="40"/>
      <c r="C2223" s="40"/>
    </row>
    <row r="2224" spans="2:3" x14ac:dyDescent="0.3">
      <c r="B2224" s="40"/>
      <c r="C2224" s="40"/>
    </row>
    <row r="2225" spans="2:3" x14ac:dyDescent="0.3">
      <c r="B2225" s="40"/>
      <c r="C2225" s="40"/>
    </row>
    <row r="2226" spans="2:3" x14ac:dyDescent="0.3">
      <c r="B2226" s="40"/>
      <c r="C2226" s="40"/>
    </row>
    <row r="2227" spans="2:3" x14ac:dyDescent="0.3">
      <c r="B2227" s="40"/>
      <c r="C2227" s="40"/>
    </row>
    <row r="2228" spans="2:3" x14ac:dyDescent="0.3">
      <c r="B2228" s="40"/>
      <c r="C2228" s="40"/>
    </row>
    <row r="2229" spans="2:3" x14ac:dyDescent="0.3">
      <c r="B2229" s="40"/>
      <c r="C2229" s="40"/>
    </row>
    <row r="2230" spans="2:3" x14ac:dyDescent="0.3">
      <c r="B2230" s="40"/>
      <c r="C2230" s="40"/>
    </row>
    <row r="2231" spans="2:3" x14ac:dyDescent="0.3">
      <c r="B2231" s="40"/>
      <c r="C2231" s="40"/>
    </row>
    <row r="2232" spans="2:3" x14ac:dyDescent="0.3">
      <c r="B2232" s="40"/>
      <c r="C2232" s="40"/>
    </row>
    <row r="2233" spans="2:3" x14ac:dyDescent="0.3">
      <c r="B2233" s="40"/>
      <c r="C2233" s="40"/>
    </row>
    <row r="2234" spans="2:3" x14ac:dyDescent="0.3">
      <c r="B2234" s="40"/>
      <c r="C2234" s="40"/>
    </row>
    <row r="2235" spans="2:3" x14ac:dyDescent="0.3">
      <c r="B2235" s="40"/>
      <c r="C2235" s="40"/>
    </row>
    <row r="2236" spans="2:3" x14ac:dyDescent="0.3">
      <c r="B2236" s="40"/>
      <c r="C2236" s="40"/>
    </row>
    <row r="2237" spans="2:3" x14ac:dyDescent="0.3">
      <c r="B2237" s="40"/>
      <c r="C2237" s="40"/>
    </row>
    <row r="2238" spans="2:3" x14ac:dyDescent="0.3">
      <c r="B2238" s="40"/>
      <c r="C2238" s="40"/>
    </row>
    <row r="2239" spans="2:3" x14ac:dyDescent="0.3">
      <c r="B2239" s="40"/>
      <c r="C2239" s="40"/>
    </row>
    <row r="2240" spans="2:3" x14ac:dyDescent="0.3">
      <c r="B2240" s="40"/>
      <c r="C2240" s="40"/>
    </row>
    <row r="2241" spans="2:3" x14ac:dyDescent="0.3">
      <c r="B2241" s="40"/>
      <c r="C2241" s="40"/>
    </row>
    <row r="2242" spans="2:3" x14ac:dyDescent="0.3">
      <c r="B2242" s="40"/>
      <c r="C2242" s="40"/>
    </row>
    <row r="2243" spans="2:3" x14ac:dyDescent="0.3">
      <c r="B2243" s="40"/>
      <c r="C2243" s="40"/>
    </row>
    <row r="2244" spans="2:3" x14ac:dyDescent="0.3">
      <c r="B2244" s="40"/>
      <c r="C2244" s="40"/>
    </row>
    <row r="2245" spans="2:3" x14ac:dyDescent="0.3">
      <c r="B2245" s="40"/>
      <c r="C2245" s="40"/>
    </row>
    <row r="2246" spans="2:3" x14ac:dyDescent="0.3">
      <c r="B2246" s="40"/>
      <c r="C2246" s="40"/>
    </row>
    <row r="2247" spans="2:3" x14ac:dyDescent="0.3">
      <c r="B2247" s="40"/>
      <c r="C2247" s="40"/>
    </row>
    <row r="2248" spans="2:3" x14ac:dyDescent="0.3">
      <c r="B2248" s="40"/>
      <c r="C2248" s="40"/>
    </row>
    <row r="2249" spans="2:3" x14ac:dyDescent="0.3">
      <c r="B2249" s="40"/>
      <c r="C2249" s="40"/>
    </row>
    <row r="2250" spans="2:3" x14ac:dyDescent="0.3">
      <c r="B2250" s="40"/>
      <c r="C2250" s="40"/>
    </row>
    <row r="2251" spans="2:3" x14ac:dyDescent="0.3">
      <c r="B2251" s="40"/>
      <c r="C2251" s="40"/>
    </row>
    <row r="2252" spans="2:3" x14ac:dyDescent="0.3">
      <c r="B2252" s="40"/>
      <c r="C2252" s="40"/>
    </row>
    <row r="2253" spans="2:3" x14ac:dyDescent="0.3">
      <c r="B2253" s="40"/>
      <c r="C2253" s="40"/>
    </row>
    <row r="2254" spans="2:3" x14ac:dyDescent="0.3">
      <c r="B2254" s="40"/>
      <c r="C2254" s="40"/>
    </row>
    <row r="2255" spans="2:3" x14ac:dyDescent="0.3">
      <c r="B2255" s="40"/>
      <c r="C2255" s="40"/>
    </row>
    <row r="2256" spans="2:3" x14ac:dyDescent="0.3">
      <c r="B2256" s="40"/>
      <c r="C2256" s="40"/>
    </row>
    <row r="2257" spans="2:3" x14ac:dyDescent="0.3">
      <c r="B2257" s="40"/>
      <c r="C2257" s="40"/>
    </row>
    <row r="2258" spans="2:3" x14ac:dyDescent="0.3">
      <c r="B2258" s="40"/>
      <c r="C2258" s="40"/>
    </row>
    <row r="2259" spans="2:3" x14ac:dyDescent="0.3">
      <c r="B2259" s="40"/>
      <c r="C2259" s="40"/>
    </row>
    <row r="2260" spans="2:3" x14ac:dyDescent="0.3">
      <c r="B2260" s="40"/>
      <c r="C2260" s="40"/>
    </row>
    <row r="2261" spans="2:3" x14ac:dyDescent="0.3">
      <c r="B2261" s="40"/>
      <c r="C2261" s="40"/>
    </row>
    <row r="2262" spans="2:3" x14ac:dyDescent="0.3">
      <c r="B2262" s="40"/>
      <c r="C2262" s="40"/>
    </row>
    <row r="2263" spans="2:3" x14ac:dyDescent="0.3">
      <c r="B2263" s="40"/>
      <c r="C2263" s="40"/>
    </row>
    <row r="2264" spans="2:3" x14ac:dyDescent="0.3">
      <c r="B2264" s="40"/>
      <c r="C2264" s="40"/>
    </row>
    <row r="2265" spans="2:3" x14ac:dyDescent="0.3">
      <c r="B2265" s="40"/>
      <c r="C2265" s="40"/>
    </row>
    <row r="2266" spans="2:3" x14ac:dyDescent="0.3">
      <c r="B2266" s="40"/>
      <c r="C2266" s="40"/>
    </row>
    <row r="2267" spans="2:3" x14ac:dyDescent="0.3">
      <c r="B2267" s="40"/>
      <c r="C2267" s="40"/>
    </row>
    <row r="2268" spans="2:3" x14ac:dyDescent="0.3">
      <c r="B2268" s="40"/>
      <c r="C2268" s="40"/>
    </row>
    <row r="2269" spans="2:3" x14ac:dyDescent="0.3">
      <c r="B2269" s="40"/>
      <c r="C2269" s="40"/>
    </row>
    <row r="2270" spans="2:3" x14ac:dyDescent="0.3">
      <c r="B2270" s="40"/>
      <c r="C2270" s="40"/>
    </row>
    <row r="2271" spans="2:3" x14ac:dyDescent="0.3">
      <c r="B2271" s="40"/>
      <c r="C2271" s="40"/>
    </row>
    <row r="2272" spans="2:3" x14ac:dyDescent="0.3">
      <c r="B2272" s="40"/>
      <c r="C2272" s="40"/>
    </row>
    <row r="2273" spans="2:3" x14ac:dyDescent="0.3">
      <c r="B2273" s="40"/>
      <c r="C2273" s="40"/>
    </row>
    <row r="2274" spans="2:3" x14ac:dyDescent="0.3">
      <c r="B2274" s="40"/>
      <c r="C2274" s="40"/>
    </row>
    <row r="2275" spans="2:3" x14ac:dyDescent="0.3">
      <c r="B2275" s="40"/>
      <c r="C2275" s="40"/>
    </row>
    <row r="2276" spans="2:3" x14ac:dyDescent="0.3">
      <c r="B2276" s="40"/>
      <c r="C2276" s="40"/>
    </row>
    <row r="2277" spans="2:3" x14ac:dyDescent="0.3">
      <c r="B2277" s="40"/>
      <c r="C2277" s="40"/>
    </row>
    <row r="2278" spans="2:3" x14ac:dyDescent="0.3">
      <c r="B2278" s="40"/>
      <c r="C2278" s="40"/>
    </row>
    <row r="2279" spans="2:3" x14ac:dyDescent="0.3">
      <c r="B2279" s="40"/>
      <c r="C2279" s="40"/>
    </row>
    <row r="2280" spans="2:3" x14ac:dyDescent="0.3">
      <c r="B2280" s="40"/>
      <c r="C2280" s="40"/>
    </row>
    <row r="2281" spans="2:3" x14ac:dyDescent="0.3">
      <c r="B2281" s="40"/>
      <c r="C2281" s="40"/>
    </row>
    <row r="2282" spans="2:3" x14ac:dyDescent="0.3">
      <c r="B2282" s="40"/>
      <c r="C2282" s="40"/>
    </row>
    <row r="2283" spans="2:3" x14ac:dyDescent="0.3">
      <c r="B2283" s="40"/>
      <c r="C2283" s="40"/>
    </row>
    <row r="2284" spans="2:3" x14ac:dyDescent="0.3">
      <c r="B2284" s="40"/>
      <c r="C2284" s="40"/>
    </row>
    <row r="2285" spans="2:3" x14ac:dyDescent="0.3">
      <c r="B2285" s="40"/>
      <c r="C2285" s="40"/>
    </row>
    <row r="2286" spans="2:3" x14ac:dyDescent="0.3">
      <c r="B2286" s="40"/>
      <c r="C2286" s="40"/>
    </row>
    <row r="2287" spans="2:3" x14ac:dyDescent="0.3">
      <c r="B2287" s="40"/>
      <c r="C2287" s="40"/>
    </row>
    <row r="2288" spans="2:3" x14ac:dyDescent="0.3">
      <c r="B2288" s="40"/>
      <c r="C2288" s="40"/>
    </row>
    <row r="2289" spans="2:3" x14ac:dyDescent="0.3">
      <c r="B2289" s="40"/>
      <c r="C2289" s="40"/>
    </row>
    <row r="2290" spans="2:3" x14ac:dyDescent="0.3">
      <c r="B2290" s="40"/>
      <c r="C2290" s="40"/>
    </row>
    <row r="2291" spans="2:3" x14ac:dyDescent="0.3">
      <c r="B2291" s="40"/>
      <c r="C2291" s="40"/>
    </row>
    <row r="2292" spans="2:3" x14ac:dyDescent="0.3">
      <c r="B2292" s="40"/>
      <c r="C2292" s="40"/>
    </row>
    <row r="2293" spans="2:3" x14ac:dyDescent="0.3">
      <c r="B2293" s="40"/>
      <c r="C2293" s="40"/>
    </row>
    <row r="2294" spans="2:3" x14ac:dyDescent="0.3">
      <c r="B2294" s="40"/>
      <c r="C2294" s="40"/>
    </row>
    <row r="2295" spans="2:3" x14ac:dyDescent="0.3">
      <c r="B2295" s="40"/>
      <c r="C2295" s="40"/>
    </row>
    <row r="2296" spans="2:3" x14ac:dyDescent="0.3">
      <c r="B2296" s="40"/>
      <c r="C2296" s="40"/>
    </row>
    <row r="2297" spans="2:3" x14ac:dyDescent="0.3">
      <c r="B2297" s="40"/>
      <c r="C2297" s="40"/>
    </row>
    <row r="2298" spans="2:3" x14ac:dyDescent="0.3">
      <c r="B2298" s="40"/>
      <c r="C2298" s="40"/>
    </row>
    <row r="2299" spans="2:3" x14ac:dyDescent="0.3">
      <c r="B2299" s="40"/>
      <c r="C2299" s="40"/>
    </row>
    <row r="2300" spans="2:3" x14ac:dyDescent="0.3">
      <c r="B2300" s="40"/>
      <c r="C2300" s="40"/>
    </row>
    <row r="2301" spans="2:3" x14ac:dyDescent="0.3">
      <c r="B2301" s="40"/>
      <c r="C2301" s="40"/>
    </row>
    <row r="2302" spans="2:3" x14ac:dyDescent="0.3">
      <c r="B2302" s="40"/>
      <c r="C2302" s="40"/>
    </row>
    <row r="2303" spans="2:3" x14ac:dyDescent="0.3">
      <c r="B2303" s="40"/>
      <c r="C2303" s="40"/>
    </row>
    <row r="2304" spans="2:3" x14ac:dyDescent="0.3">
      <c r="B2304" s="40"/>
      <c r="C2304" s="40"/>
    </row>
    <row r="2305" spans="2:3" x14ac:dyDescent="0.3">
      <c r="B2305" s="40"/>
      <c r="C2305" s="40"/>
    </row>
    <row r="2306" spans="2:3" x14ac:dyDescent="0.3">
      <c r="B2306" s="40"/>
      <c r="C2306" s="40"/>
    </row>
    <row r="2307" spans="2:3" x14ac:dyDescent="0.3">
      <c r="B2307" s="40"/>
      <c r="C2307" s="40"/>
    </row>
    <row r="2308" spans="2:3" x14ac:dyDescent="0.3">
      <c r="B2308" s="40"/>
      <c r="C2308" s="40"/>
    </row>
    <row r="2309" spans="2:3" x14ac:dyDescent="0.3">
      <c r="B2309" s="40"/>
      <c r="C2309" s="40"/>
    </row>
    <row r="2310" spans="2:3" x14ac:dyDescent="0.3">
      <c r="B2310" s="40"/>
      <c r="C2310" s="40"/>
    </row>
    <row r="2311" spans="2:3" x14ac:dyDescent="0.3">
      <c r="B2311" s="40"/>
      <c r="C2311" s="40"/>
    </row>
    <row r="2312" spans="2:3" x14ac:dyDescent="0.3">
      <c r="B2312" s="40"/>
      <c r="C2312" s="40"/>
    </row>
    <row r="2313" spans="2:3" x14ac:dyDescent="0.3">
      <c r="B2313" s="40"/>
      <c r="C2313" s="40"/>
    </row>
    <row r="2314" spans="2:3" x14ac:dyDescent="0.3">
      <c r="B2314" s="40"/>
      <c r="C2314" s="40"/>
    </row>
    <row r="2315" spans="2:3" x14ac:dyDescent="0.3">
      <c r="B2315" s="40"/>
      <c r="C2315" s="40"/>
    </row>
    <row r="2316" spans="2:3" x14ac:dyDescent="0.3">
      <c r="B2316" s="40"/>
      <c r="C2316" s="40"/>
    </row>
    <row r="2317" spans="2:3" x14ac:dyDescent="0.3">
      <c r="B2317" s="40"/>
      <c r="C2317" s="40"/>
    </row>
    <row r="2318" spans="2:3" x14ac:dyDescent="0.3">
      <c r="B2318" s="40"/>
      <c r="C2318" s="40"/>
    </row>
    <row r="2319" spans="2:3" x14ac:dyDescent="0.3">
      <c r="B2319" s="40"/>
      <c r="C2319" s="40"/>
    </row>
    <row r="2320" spans="2:3" x14ac:dyDescent="0.3">
      <c r="B2320" s="40"/>
      <c r="C2320" s="40"/>
    </row>
    <row r="2321" spans="2:3" x14ac:dyDescent="0.3">
      <c r="B2321" s="40"/>
      <c r="C2321" s="40"/>
    </row>
    <row r="2322" spans="2:3" x14ac:dyDescent="0.3">
      <c r="B2322" s="40"/>
      <c r="C2322" s="40"/>
    </row>
    <row r="2323" spans="2:3" x14ac:dyDescent="0.3">
      <c r="B2323" s="40"/>
      <c r="C2323" s="40"/>
    </row>
    <row r="2324" spans="2:3" x14ac:dyDescent="0.3">
      <c r="B2324" s="40"/>
      <c r="C2324" s="40"/>
    </row>
    <row r="2325" spans="2:3" x14ac:dyDescent="0.3">
      <c r="B2325" s="40"/>
      <c r="C2325" s="40"/>
    </row>
    <row r="2326" spans="2:3" x14ac:dyDescent="0.3">
      <c r="B2326" s="40"/>
      <c r="C2326" s="40"/>
    </row>
    <row r="2327" spans="2:3" x14ac:dyDescent="0.3">
      <c r="B2327" s="40"/>
      <c r="C2327" s="40"/>
    </row>
    <row r="2328" spans="2:3" x14ac:dyDescent="0.3">
      <c r="B2328" s="40"/>
      <c r="C2328" s="40"/>
    </row>
    <row r="2329" spans="2:3" x14ac:dyDescent="0.3">
      <c r="B2329" s="40"/>
      <c r="C2329" s="40"/>
    </row>
    <row r="2330" spans="2:3" x14ac:dyDescent="0.3">
      <c r="B2330" s="40"/>
      <c r="C2330" s="40"/>
    </row>
    <row r="2331" spans="2:3" x14ac:dyDescent="0.3">
      <c r="B2331" s="40"/>
      <c r="C2331" s="40"/>
    </row>
    <row r="2332" spans="2:3" x14ac:dyDescent="0.3">
      <c r="B2332" s="40"/>
      <c r="C2332" s="40"/>
    </row>
    <row r="2333" spans="2:3" x14ac:dyDescent="0.3">
      <c r="B2333" s="40"/>
      <c r="C2333" s="40"/>
    </row>
    <row r="2334" spans="2:3" x14ac:dyDescent="0.3">
      <c r="B2334" s="40"/>
      <c r="C2334" s="40"/>
    </row>
    <row r="2335" spans="2:3" x14ac:dyDescent="0.3">
      <c r="B2335" s="40"/>
      <c r="C2335" s="40"/>
    </row>
    <row r="2336" spans="2:3" x14ac:dyDescent="0.3">
      <c r="B2336" s="40"/>
      <c r="C2336" s="40"/>
    </row>
    <row r="2337" spans="2:3" x14ac:dyDescent="0.3">
      <c r="B2337" s="40"/>
      <c r="C2337" s="40"/>
    </row>
    <row r="2338" spans="2:3" x14ac:dyDescent="0.3">
      <c r="B2338" s="40"/>
      <c r="C2338" s="40"/>
    </row>
    <row r="2339" spans="2:3" x14ac:dyDescent="0.3">
      <c r="B2339" s="40"/>
      <c r="C2339" s="40"/>
    </row>
    <row r="2340" spans="2:3" x14ac:dyDescent="0.3">
      <c r="B2340" s="40"/>
      <c r="C2340" s="40"/>
    </row>
    <row r="2341" spans="2:3" x14ac:dyDescent="0.3">
      <c r="B2341" s="40"/>
      <c r="C2341" s="40"/>
    </row>
    <row r="2342" spans="2:3" x14ac:dyDescent="0.3">
      <c r="B2342" s="40"/>
      <c r="C2342" s="40"/>
    </row>
    <row r="2343" spans="2:3" x14ac:dyDescent="0.3">
      <c r="B2343" s="40"/>
      <c r="C2343" s="40"/>
    </row>
    <row r="2344" spans="2:3" x14ac:dyDescent="0.3">
      <c r="B2344" s="40"/>
      <c r="C2344" s="40"/>
    </row>
    <row r="2345" spans="2:3" x14ac:dyDescent="0.3">
      <c r="B2345" s="40"/>
      <c r="C2345" s="40"/>
    </row>
    <row r="2346" spans="2:3" x14ac:dyDescent="0.3">
      <c r="B2346" s="40"/>
      <c r="C2346" s="40"/>
    </row>
    <row r="2347" spans="2:3" x14ac:dyDescent="0.3">
      <c r="B2347" s="40"/>
      <c r="C2347" s="40"/>
    </row>
    <row r="2348" spans="2:3" x14ac:dyDescent="0.3">
      <c r="B2348" s="40"/>
      <c r="C2348" s="40"/>
    </row>
    <row r="2349" spans="2:3" x14ac:dyDescent="0.3">
      <c r="B2349" s="40"/>
      <c r="C2349" s="40"/>
    </row>
    <row r="2350" spans="2:3" x14ac:dyDescent="0.3">
      <c r="B2350" s="40"/>
      <c r="C2350" s="40"/>
    </row>
    <row r="2351" spans="2:3" x14ac:dyDescent="0.3">
      <c r="B2351" s="40"/>
      <c r="C2351" s="40"/>
    </row>
    <row r="2352" spans="2:3" x14ac:dyDescent="0.3">
      <c r="B2352" s="40"/>
      <c r="C2352" s="40"/>
    </row>
    <row r="2353" spans="2:3" x14ac:dyDescent="0.3">
      <c r="B2353" s="40"/>
      <c r="C2353" s="40"/>
    </row>
    <row r="2354" spans="2:3" x14ac:dyDescent="0.3">
      <c r="B2354" s="40"/>
      <c r="C2354" s="40"/>
    </row>
    <row r="2355" spans="2:3" x14ac:dyDescent="0.3">
      <c r="B2355" s="40"/>
      <c r="C2355" s="40"/>
    </row>
    <row r="2356" spans="2:3" x14ac:dyDescent="0.3">
      <c r="B2356" s="40"/>
      <c r="C2356" s="40"/>
    </row>
    <row r="2357" spans="2:3" x14ac:dyDescent="0.3">
      <c r="B2357" s="40"/>
      <c r="C2357" s="40"/>
    </row>
    <row r="2358" spans="2:3" x14ac:dyDescent="0.3">
      <c r="B2358" s="40"/>
      <c r="C2358" s="40"/>
    </row>
    <row r="2359" spans="2:3" x14ac:dyDescent="0.3">
      <c r="B2359" s="40"/>
      <c r="C2359" s="40"/>
    </row>
    <row r="2360" spans="2:3" x14ac:dyDescent="0.3">
      <c r="B2360" s="40"/>
      <c r="C2360" s="40"/>
    </row>
    <row r="2361" spans="2:3" x14ac:dyDescent="0.3">
      <c r="B2361" s="40"/>
      <c r="C2361" s="40"/>
    </row>
    <row r="2362" spans="2:3" x14ac:dyDescent="0.3">
      <c r="B2362" s="40"/>
      <c r="C2362" s="40"/>
    </row>
    <row r="2363" spans="2:3" x14ac:dyDescent="0.3">
      <c r="B2363" s="40"/>
      <c r="C2363" s="40"/>
    </row>
    <row r="2364" spans="2:3" x14ac:dyDescent="0.3">
      <c r="B2364" s="40"/>
      <c r="C2364" s="40"/>
    </row>
    <row r="2365" spans="2:3" x14ac:dyDescent="0.3">
      <c r="B2365" s="40"/>
      <c r="C2365" s="40"/>
    </row>
    <row r="2366" spans="2:3" x14ac:dyDescent="0.3">
      <c r="B2366" s="40"/>
      <c r="C2366" s="40"/>
    </row>
    <row r="2367" spans="2:3" x14ac:dyDescent="0.3">
      <c r="B2367" s="40"/>
      <c r="C2367" s="40"/>
    </row>
    <row r="2368" spans="2:3" x14ac:dyDescent="0.3">
      <c r="B2368" s="40"/>
      <c r="C2368" s="40"/>
    </row>
    <row r="2369" spans="2:3" x14ac:dyDescent="0.3">
      <c r="B2369" s="40"/>
      <c r="C2369" s="40"/>
    </row>
    <row r="2370" spans="2:3" x14ac:dyDescent="0.3">
      <c r="B2370" s="40"/>
      <c r="C2370" s="40"/>
    </row>
    <row r="2371" spans="2:3" x14ac:dyDescent="0.3">
      <c r="B2371" s="40"/>
      <c r="C2371" s="40"/>
    </row>
    <row r="2372" spans="2:3" x14ac:dyDescent="0.3">
      <c r="B2372" s="40"/>
      <c r="C2372" s="40"/>
    </row>
    <row r="2373" spans="2:3" x14ac:dyDescent="0.3">
      <c r="B2373" s="40"/>
      <c r="C2373" s="40"/>
    </row>
    <row r="2374" spans="2:3" x14ac:dyDescent="0.3">
      <c r="B2374" s="40"/>
      <c r="C2374" s="40"/>
    </row>
    <row r="2375" spans="2:3" x14ac:dyDescent="0.3">
      <c r="B2375" s="40"/>
      <c r="C2375" s="40"/>
    </row>
    <row r="2376" spans="2:3" x14ac:dyDescent="0.3">
      <c r="B2376" s="40"/>
      <c r="C2376" s="40"/>
    </row>
    <row r="2377" spans="2:3" x14ac:dyDescent="0.3">
      <c r="B2377" s="40"/>
      <c r="C2377" s="40"/>
    </row>
    <row r="2378" spans="2:3" x14ac:dyDescent="0.3">
      <c r="B2378" s="40"/>
      <c r="C2378" s="40"/>
    </row>
    <row r="2379" spans="2:3" x14ac:dyDescent="0.3">
      <c r="B2379" s="40"/>
      <c r="C2379" s="40"/>
    </row>
    <row r="2380" spans="2:3" x14ac:dyDescent="0.3">
      <c r="B2380" s="40"/>
      <c r="C2380" s="40"/>
    </row>
    <row r="2381" spans="2:3" x14ac:dyDescent="0.3">
      <c r="B2381" s="40"/>
      <c r="C2381" s="40"/>
    </row>
    <row r="2382" spans="2:3" x14ac:dyDescent="0.3">
      <c r="B2382" s="40"/>
      <c r="C2382" s="40"/>
    </row>
    <row r="2383" spans="2:3" x14ac:dyDescent="0.3">
      <c r="B2383" s="40"/>
      <c r="C2383" s="40"/>
    </row>
    <row r="2384" spans="2:3" x14ac:dyDescent="0.3">
      <c r="B2384" s="40"/>
      <c r="C2384" s="40"/>
    </row>
    <row r="2385" spans="2:3" x14ac:dyDescent="0.3">
      <c r="B2385" s="40"/>
      <c r="C2385" s="40"/>
    </row>
    <row r="2386" spans="2:3" x14ac:dyDescent="0.3">
      <c r="B2386" s="40"/>
      <c r="C2386" s="40"/>
    </row>
    <row r="2387" spans="2:3" x14ac:dyDescent="0.3">
      <c r="B2387" s="40"/>
      <c r="C2387" s="40"/>
    </row>
    <row r="2388" spans="2:3" x14ac:dyDescent="0.3">
      <c r="B2388" s="40"/>
      <c r="C2388" s="40"/>
    </row>
    <row r="2389" spans="2:3" x14ac:dyDescent="0.3">
      <c r="B2389" s="40"/>
      <c r="C2389" s="40"/>
    </row>
    <row r="2390" spans="2:3" x14ac:dyDescent="0.3">
      <c r="B2390" s="40"/>
      <c r="C2390" s="40"/>
    </row>
    <row r="2391" spans="2:3" x14ac:dyDescent="0.3">
      <c r="B2391" s="40"/>
      <c r="C2391" s="40"/>
    </row>
    <row r="2392" spans="2:3" x14ac:dyDescent="0.3">
      <c r="B2392" s="40"/>
      <c r="C2392" s="40"/>
    </row>
    <row r="2393" spans="2:3" x14ac:dyDescent="0.3">
      <c r="B2393" s="40"/>
      <c r="C2393" s="40"/>
    </row>
    <row r="2394" spans="2:3" x14ac:dyDescent="0.3">
      <c r="B2394" s="40"/>
      <c r="C2394" s="40"/>
    </row>
    <row r="2395" spans="2:3" x14ac:dyDescent="0.3">
      <c r="B2395" s="40"/>
      <c r="C2395" s="40"/>
    </row>
    <row r="2396" spans="2:3" x14ac:dyDescent="0.3">
      <c r="B2396" s="40"/>
      <c r="C2396" s="40"/>
    </row>
    <row r="2397" spans="2:3" x14ac:dyDescent="0.3">
      <c r="B2397" s="40"/>
      <c r="C2397" s="40"/>
    </row>
    <row r="2398" spans="2:3" x14ac:dyDescent="0.3">
      <c r="B2398" s="40"/>
      <c r="C2398" s="40"/>
    </row>
    <row r="2399" spans="2:3" x14ac:dyDescent="0.3">
      <c r="B2399" s="40"/>
      <c r="C2399" s="40"/>
    </row>
    <row r="2400" spans="2:3" x14ac:dyDescent="0.3">
      <c r="B2400" s="40"/>
      <c r="C2400" s="40"/>
    </row>
    <row r="2401" spans="2:3" x14ac:dyDescent="0.3">
      <c r="B2401" s="40"/>
      <c r="C2401" s="40"/>
    </row>
    <row r="2402" spans="2:3" x14ac:dyDescent="0.3">
      <c r="B2402" s="40"/>
      <c r="C2402" s="40"/>
    </row>
    <row r="2403" spans="2:3" x14ac:dyDescent="0.3">
      <c r="B2403" s="40"/>
      <c r="C2403" s="40"/>
    </row>
    <row r="2404" spans="2:3" x14ac:dyDescent="0.3">
      <c r="B2404" s="40"/>
      <c r="C2404" s="40"/>
    </row>
    <row r="2405" spans="2:3" x14ac:dyDescent="0.3">
      <c r="B2405" s="40"/>
      <c r="C2405" s="40"/>
    </row>
    <row r="2406" spans="2:3" x14ac:dyDescent="0.3">
      <c r="B2406" s="40"/>
      <c r="C2406" s="40"/>
    </row>
    <row r="2407" spans="2:3" x14ac:dyDescent="0.3">
      <c r="B2407" s="40"/>
      <c r="C2407" s="40"/>
    </row>
    <row r="2408" spans="2:3" x14ac:dyDescent="0.3">
      <c r="B2408" s="40"/>
      <c r="C2408" s="40"/>
    </row>
    <row r="2409" spans="2:3" x14ac:dyDescent="0.3">
      <c r="B2409" s="40"/>
      <c r="C2409" s="40"/>
    </row>
    <row r="2410" spans="2:3" x14ac:dyDescent="0.3">
      <c r="B2410" s="40"/>
      <c r="C2410" s="40"/>
    </row>
    <row r="2411" spans="2:3" x14ac:dyDescent="0.3">
      <c r="B2411" s="40"/>
      <c r="C2411" s="40"/>
    </row>
    <row r="2412" spans="2:3" x14ac:dyDescent="0.3">
      <c r="B2412" s="40"/>
      <c r="C2412" s="40"/>
    </row>
    <row r="2413" spans="2:3" x14ac:dyDescent="0.3">
      <c r="B2413" s="40"/>
      <c r="C2413" s="40"/>
    </row>
    <row r="2414" spans="2:3" x14ac:dyDescent="0.3">
      <c r="B2414" s="40"/>
      <c r="C2414" s="40"/>
    </row>
    <row r="2415" spans="2:3" x14ac:dyDescent="0.3">
      <c r="B2415" s="40"/>
      <c r="C2415" s="40"/>
    </row>
    <row r="2416" spans="2:3" x14ac:dyDescent="0.3">
      <c r="B2416" s="40"/>
      <c r="C2416" s="40"/>
    </row>
    <row r="2417" spans="2:3" x14ac:dyDescent="0.3">
      <c r="B2417" s="40"/>
      <c r="C2417" s="40"/>
    </row>
    <row r="2418" spans="2:3" x14ac:dyDescent="0.3">
      <c r="B2418" s="40"/>
      <c r="C2418" s="40"/>
    </row>
    <row r="2419" spans="2:3" x14ac:dyDescent="0.3">
      <c r="B2419" s="40"/>
      <c r="C2419" s="40"/>
    </row>
    <row r="2420" spans="2:3" x14ac:dyDescent="0.3">
      <c r="B2420" s="40"/>
      <c r="C2420" s="40"/>
    </row>
    <row r="2421" spans="2:3" x14ac:dyDescent="0.3">
      <c r="B2421" s="40"/>
      <c r="C2421" s="40"/>
    </row>
    <row r="2422" spans="2:3" x14ac:dyDescent="0.3">
      <c r="B2422" s="40"/>
      <c r="C2422" s="40"/>
    </row>
    <row r="2423" spans="2:3" x14ac:dyDescent="0.3">
      <c r="B2423" s="40"/>
      <c r="C2423" s="40"/>
    </row>
    <row r="2424" spans="2:3" x14ac:dyDescent="0.3">
      <c r="B2424" s="40"/>
      <c r="C2424" s="40"/>
    </row>
    <row r="2425" spans="2:3" x14ac:dyDescent="0.3">
      <c r="B2425" s="40"/>
      <c r="C2425" s="40"/>
    </row>
    <row r="2426" spans="2:3" x14ac:dyDescent="0.3">
      <c r="B2426" s="40"/>
      <c r="C2426" s="40"/>
    </row>
    <row r="2427" spans="2:3" x14ac:dyDescent="0.3">
      <c r="B2427" s="40"/>
      <c r="C2427" s="40"/>
    </row>
    <row r="2428" spans="2:3" x14ac:dyDescent="0.3">
      <c r="B2428" s="40"/>
      <c r="C2428" s="40"/>
    </row>
    <row r="2429" spans="2:3" x14ac:dyDescent="0.3">
      <c r="B2429" s="40"/>
      <c r="C2429" s="40"/>
    </row>
    <row r="2430" spans="2:3" x14ac:dyDescent="0.3">
      <c r="B2430" s="40"/>
      <c r="C2430" s="40"/>
    </row>
    <row r="2431" spans="2:3" x14ac:dyDescent="0.3">
      <c r="B2431" s="40"/>
      <c r="C2431" s="40"/>
    </row>
    <row r="2432" spans="2:3" x14ac:dyDescent="0.3">
      <c r="B2432" s="40"/>
      <c r="C2432" s="40"/>
    </row>
    <row r="2433" spans="2:3" x14ac:dyDescent="0.3">
      <c r="B2433" s="40"/>
      <c r="C2433" s="40"/>
    </row>
    <row r="2434" spans="2:3" x14ac:dyDescent="0.3">
      <c r="B2434" s="40"/>
      <c r="C2434" s="40"/>
    </row>
    <row r="2435" spans="2:3" x14ac:dyDescent="0.3">
      <c r="B2435" s="40"/>
      <c r="C2435" s="40"/>
    </row>
    <row r="2436" spans="2:3" x14ac:dyDescent="0.3">
      <c r="B2436" s="40"/>
      <c r="C2436" s="40"/>
    </row>
    <row r="2437" spans="2:3" x14ac:dyDescent="0.3">
      <c r="B2437" s="40"/>
      <c r="C2437" s="40"/>
    </row>
    <row r="2438" spans="2:3" x14ac:dyDescent="0.3">
      <c r="B2438" s="40"/>
      <c r="C2438" s="40"/>
    </row>
    <row r="2439" spans="2:3" x14ac:dyDescent="0.3">
      <c r="B2439" s="40"/>
      <c r="C2439" s="40"/>
    </row>
    <row r="2440" spans="2:3" x14ac:dyDescent="0.3">
      <c r="B2440" s="40"/>
      <c r="C2440" s="40"/>
    </row>
    <row r="2441" spans="2:3" x14ac:dyDescent="0.3">
      <c r="B2441" s="40"/>
      <c r="C2441" s="40"/>
    </row>
    <row r="2442" spans="2:3" x14ac:dyDescent="0.3">
      <c r="B2442" s="40"/>
      <c r="C2442" s="40"/>
    </row>
    <row r="2443" spans="2:3" x14ac:dyDescent="0.3">
      <c r="B2443" s="40"/>
      <c r="C2443" s="40"/>
    </row>
    <row r="2444" spans="2:3" x14ac:dyDescent="0.3">
      <c r="B2444" s="40"/>
      <c r="C2444" s="40"/>
    </row>
    <row r="2445" spans="2:3" x14ac:dyDescent="0.3">
      <c r="B2445" s="40"/>
      <c r="C2445" s="40"/>
    </row>
    <row r="2446" spans="2:3" x14ac:dyDescent="0.3">
      <c r="B2446" s="40"/>
      <c r="C2446" s="40"/>
    </row>
    <row r="2447" spans="2:3" x14ac:dyDescent="0.3">
      <c r="B2447" s="40"/>
      <c r="C2447" s="40"/>
    </row>
    <row r="2448" spans="2:3" x14ac:dyDescent="0.3">
      <c r="B2448" s="40"/>
      <c r="C2448" s="40"/>
    </row>
    <row r="2449" spans="2:3" x14ac:dyDescent="0.3">
      <c r="B2449" s="40"/>
      <c r="C2449" s="40"/>
    </row>
    <row r="2450" spans="2:3" x14ac:dyDescent="0.3">
      <c r="B2450" s="40"/>
      <c r="C2450" s="40"/>
    </row>
    <row r="2451" spans="2:3" x14ac:dyDescent="0.3">
      <c r="B2451" s="40"/>
      <c r="C2451" s="40"/>
    </row>
    <row r="2452" spans="2:3" x14ac:dyDescent="0.3">
      <c r="B2452" s="40"/>
      <c r="C2452" s="40"/>
    </row>
    <row r="2453" spans="2:3" x14ac:dyDescent="0.3">
      <c r="B2453" s="40"/>
      <c r="C2453" s="40"/>
    </row>
    <row r="2454" spans="2:3" x14ac:dyDescent="0.3">
      <c r="B2454" s="40"/>
      <c r="C2454" s="40"/>
    </row>
    <row r="2455" spans="2:3" x14ac:dyDescent="0.3">
      <c r="B2455" s="40"/>
      <c r="C2455" s="40"/>
    </row>
    <row r="2456" spans="2:3" x14ac:dyDescent="0.3">
      <c r="B2456" s="40"/>
      <c r="C2456" s="40"/>
    </row>
    <row r="2457" spans="2:3" x14ac:dyDescent="0.3">
      <c r="B2457" s="40"/>
      <c r="C2457" s="40"/>
    </row>
    <row r="2458" spans="2:3" x14ac:dyDescent="0.3">
      <c r="B2458" s="40"/>
      <c r="C2458" s="40"/>
    </row>
    <row r="2459" spans="2:3" x14ac:dyDescent="0.3">
      <c r="B2459" s="40"/>
      <c r="C2459" s="40"/>
    </row>
    <row r="2460" spans="2:3" x14ac:dyDescent="0.3">
      <c r="B2460" s="40"/>
      <c r="C2460" s="40"/>
    </row>
    <row r="2461" spans="2:3" x14ac:dyDescent="0.3">
      <c r="B2461" s="40"/>
      <c r="C2461" s="40"/>
    </row>
    <row r="2462" spans="2:3" x14ac:dyDescent="0.3">
      <c r="B2462" s="40"/>
      <c r="C2462" s="40"/>
    </row>
    <row r="2463" spans="2:3" x14ac:dyDescent="0.3">
      <c r="B2463" s="40"/>
      <c r="C2463" s="40"/>
    </row>
    <row r="2464" spans="2:3" x14ac:dyDescent="0.3">
      <c r="B2464" s="40"/>
      <c r="C2464" s="40"/>
    </row>
    <row r="2465" spans="2:3" x14ac:dyDescent="0.3">
      <c r="B2465" s="40"/>
      <c r="C2465" s="40"/>
    </row>
    <row r="2466" spans="2:3" x14ac:dyDescent="0.3">
      <c r="B2466" s="40"/>
      <c r="C2466" s="40"/>
    </row>
    <row r="2467" spans="2:3" x14ac:dyDescent="0.3">
      <c r="B2467" s="40"/>
      <c r="C2467" s="40"/>
    </row>
    <row r="2468" spans="2:3" x14ac:dyDescent="0.3">
      <c r="B2468" s="40"/>
      <c r="C2468" s="40"/>
    </row>
    <row r="2469" spans="2:3" x14ac:dyDescent="0.3">
      <c r="B2469" s="40"/>
      <c r="C2469" s="40"/>
    </row>
    <row r="2470" spans="2:3" x14ac:dyDescent="0.3">
      <c r="B2470" s="40"/>
      <c r="C2470" s="40"/>
    </row>
    <row r="2471" spans="2:3" x14ac:dyDescent="0.3">
      <c r="B2471" s="40"/>
      <c r="C2471" s="40"/>
    </row>
    <row r="2472" spans="2:3" x14ac:dyDescent="0.3">
      <c r="B2472" s="40"/>
      <c r="C2472" s="40"/>
    </row>
    <row r="2473" spans="2:3" x14ac:dyDescent="0.3">
      <c r="B2473" s="40"/>
      <c r="C2473" s="40"/>
    </row>
    <row r="2474" spans="2:3" x14ac:dyDescent="0.3">
      <c r="B2474" s="40"/>
      <c r="C2474" s="40"/>
    </row>
    <row r="2475" spans="2:3" x14ac:dyDescent="0.3">
      <c r="B2475" s="40"/>
      <c r="C2475" s="40"/>
    </row>
    <row r="2476" spans="2:3" x14ac:dyDescent="0.3">
      <c r="B2476" s="40"/>
      <c r="C2476" s="40"/>
    </row>
    <row r="2477" spans="2:3" x14ac:dyDescent="0.3">
      <c r="B2477" s="40"/>
      <c r="C2477" s="40"/>
    </row>
    <row r="2478" spans="2:3" x14ac:dyDescent="0.3">
      <c r="B2478" s="40"/>
      <c r="C2478" s="40"/>
    </row>
    <row r="2479" spans="2:3" x14ac:dyDescent="0.3">
      <c r="B2479" s="40"/>
      <c r="C2479" s="40"/>
    </row>
    <row r="2480" spans="2:3" x14ac:dyDescent="0.3">
      <c r="B2480" s="40"/>
      <c r="C2480" s="40"/>
    </row>
    <row r="2481" spans="2:3" x14ac:dyDescent="0.3">
      <c r="B2481" s="40"/>
      <c r="C2481" s="40"/>
    </row>
    <row r="2482" spans="2:3" x14ac:dyDescent="0.3">
      <c r="B2482" s="40"/>
      <c r="C2482" s="40"/>
    </row>
    <row r="2483" spans="2:3" x14ac:dyDescent="0.3">
      <c r="B2483" s="40"/>
      <c r="C2483" s="40"/>
    </row>
    <row r="2484" spans="2:3" x14ac:dyDescent="0.3">
      <c r="B2484" s="40"/>
      <c r="C2484" s="40"/>
    </row>
    <row r="2485" spans="2:3" x14ac:dyDescent="0.3">
      <c r="B2485" s="40"/>
      <c r="C2485" s="40"/>
    </row>
    <row r="2486" spans="2:3" x14ac:dyDescent="0.3">
      <c r="B2486" s="40"/>
      <c r="C2486" s="40"/>
    </row>
    <row r="2487" spans="2:3" x14ac:dyDescent="0.3">
      <c r="B2487" s="40"/>
      <c r="C2487" s="40"/>
    </row>
    <row r="2488" spans="2:3" x14ac:dyDescent="0.3">
      <c r="B2488" s="40"/>
      <c r="C2488" s="40"/>
    </row>
    <row r="2489" spans="2:3" x14ac:dyDescent="0.3">
      <c r="B2489" s="40"/>
      <c r="C2489" s="40"/>
    </row>
    <row r="2490" spans="2:3" x14ac:dyDescent="0.3">
      <c r="B2490" s="40"/>
      <c r="C2490" s="40"/>
    </row>
    <row r="2491" spans="2:3" x14ac:dyDescent="0.3">
      <c r="B2491" s="40"/>
      <c r="C2491" s="40"/>
    </row>
    <row r="2492" spans="2:3" x14ac:dyDescent="0.3">
      <c r="B2492" s="40"/>
      <c r="C2492" s="40"/>
    </row>
    <row r="2493" spans="2:3" x14ac:dyDescent="0.3">
      <c r="B2493" s="40"/>
      <c r="C2493" s="40"/>
    </row>
    <row r="2494" spans="2:3" x14ac:dyDescent="0.3">
      <c r="B2494" s="40"/>
      <c r="C2494" s="40"/>
    </row>
    <row r="2495" spans="2:3" x14ac:dyDescent="0.3">
      <c r="B2495" s="40"/>
      <c r="C2495" s="40"/>
    </row>
    <row r="2496" spans="2:3" x14ac:dyDescent="0.3">
      <c r="B2496" s="40"/>
      <c r="C2496" s="40"/>
    </row>
    <row r="2497" spans="2:3" x14ac:dyDescent="0.3">
      <c r="B2497" s="40"/>
      <c r="C2497" s="40"/>
    </row>
    <row r="2498" spans="2:3" x14ac:dyDescent="0.3">
      <c r="B2498" s="40"/>
      <c r="C2498" s="40"/>
    </row>
    <row r="2499" spans="2:3" x14ac:dyDescent="0.3">
      <c r="B2499" s="40"/>
      <c r="C2499" s="40"/>
    </row>
    <row r="2500" spans="2:3" x14ac:dyDescent="0.3">
      <c r="B2500" s="40"/>
      <c r="C2500" s="40"/>
    </row>
    <row r="2501" spans="2:3" x14ac:dyDescent="0.3">
      <c r="B2501" s="40"/>
      <c r="C2501" s="40"/>
    </row>
    <row r="2502" spans="2:3" x14ac:dyDescent="0.3">
      <c r="B2502" s="40"/>
      <c r="C2502" s="40"/>
    </row>
    <row r="2503" spans="2:3" x14ac:dyDescent="0.3">
      <c r="B2503" s="40"/>
      <c r="C2503" s="40"/>
    </row>
    <row r="2504" spans="2:3" x14ac:dyDescent="0.3">
      <c r="B2504" s="40"/>
      <c r="C2504" s="40"/>
    </row>
    <row r="2505" spans="2:3" x14ac:dyDescent="0.3">
      <c r="B2505" s="40"/>
      <c r="C2505" s="40"/>
    </row>
    <row r="2506" spans="2:3" x14ac:dyDescent="0.3">
      <c r="B2506" s="40"/>
      <c r="C2506" s="40"/>
    </row>
    <row r="2507" spans="2:3" x14ac:dyDescent="0.3">
      <c r="B2507" s="40"/>
      <c r="C2507" s="40"/>
    </row>
    <row r="2508" spans="2:3" x14ac:dyDescent="0.3">
      <c r="B2508" s="40"/>
      <c r="C2508" s="40"/>
    </row>
    <row r="2509" spans="2:3" x14ac:dyDescent="0.3">
      <c r="B2509" s="40"/>
      <c r="C2509" s="40"/>
    </row>
    <row r="2510" spans="2:3" x14ac:dyDescent="0.3">
      <c r="B2510" s="40"/>
      <c r="C2510" s="40"/>
    </row>
    <row r="2511" spans="2:3" x14ac:dyDescent="0.3">
      <c r="B2511" s="40"/>
      <c r="C2511" s="40"/>
    </row>
    <row r="2512" spans="2:3" x14ac:dyDescent="0.3">
      <c r="B2512" s="40"/>
      <c r="C2512" s="40"/>
    </row>
    <row r="2513" spans="2:3" x14ac:dyDescent="0.3">
      <c r="B2513" s="40"/>
      <c r="C2513" s="40"/>
    </row>
    <row r="2514" spans="2:3" x14ac:dyDescent="0.3">
      <c r="B2514" s="40"/>
      <c r="C2514" s="40"/>
    </row>
    <row r="2515" spans="2:3" x14ac:dyDescent="0.3">
      <c r="B2515" s="40"/>
      <c r="C2515" s="40"/>
    </row>
    <row r="2516" spans="2:3" x14ac:dyDescent="0.3">
      <c r="B2516" s="40"/>
      <c r="C2516" s="40"/>
    </row>
    <row r="2517" spans="2:3" x14ac:dyDescent="0.3">
      <c r="B2517" s="40"/>
      <c r="C2517" s="40"/>
    </row>
    <row r="2518" spans="2:3" x14ac:dyDescent="0.3">
      <c r="B2518" s="40"/>
      <c r="C2518" s="40"/>
    </row>
    <row r="2519" spans="2:3" x14ac:dyDescent="0.3">
      <c r="B2519" s="40"/>
      <c r="C2519" s="40"/>
    </row>
    <row r="2520" spans="2:3" x14ac:dyDescent="0.3">
      <c r="B2520" s="40"/>
      <c r="C2520" s="40"/>
    </row>
    <row r="2521" spans="2:3" x14ac:dyDescent="0.3">
      <c r="B2521" s="40"/>
      <c r="C2521" s="40"/>
    </row>
    <row r="2522" spans="2:3" x14ac:dyDescent="0.3">
      <c r="B2522" s="40"/>
      <c r="C2522" s="40"/>
    </row>
    <row r="2523" spans="2:3" x14ac:dyDescent="0.3">
      <c r="B2523" s="40"/>
      <c r="C2523" s="40"/>
    </row>
    <row r="2524" spans="2:3" x14ac:dyDescent="0.3">
      <c r="B2524" s="40"/>
      <c r="C2524" s="40"/>
    </row>
    <row r="2525" spans="2:3" x14ac:dyDescent="0.3">
      <c r="B2525" s="40"/>
      <c r="C2525" s="40"/>
    </row>
    <row r="2526" spans="2:3" x14ac:dyDescent="0.3">
      <c r="B2526" s="40"/>
      <c r="C2526" s="40"/>
    </row>
    <row r="2527" spans="2:3" x14ac:dyDescent="0.3">
      <c r="B2527" s="40"/>
      <c r="C2527" s="40"/>
    </row>
    <row r="2528" spans="2:3" x14ac:dyDescent="0.3">
      <c r="B2528" s="40"/>
      <c r="C2528" s="40"/>
    </row>
    <row r="2529" spans="2:3" x14ac:dyDescent="0.3">
      <c r="B2529" s="40"/>
      <c r="C2529" s="40"/>
    </row>
    <row r="2530" spans="2:3" x14ac:dyDescent="0.3">
      <c r="B2530" s="40"/>
      <c r="C2530" s="40"/>
    </row>
    <row r="2531" spans="2:3" x14ac:dyDescent="0.3">
      <c r="B2531" s="40"/>
      <c r="C2531" s="40"/>
    </row>
    <row r="2532" spans="2:3" x14ac:dyDescent="0.3">
      <c r="B2532" s="40"/>
      <c r="C2532" s="40"/>
    </row>
    <row r="2533" spans="2:3" x14ac:dyDescent="0.3">
      <c r="B2533" s="40"/>
      <c r="C2533" s="40"/>
    </row>
    <row r="2534" spans="2:3" x14ac:dyDescent="0.3">
      <c r="B2534" s="40"/>
      <c r="C2534" s="40"/>
    </row>
    <row r="2535" spans="2:3" x14ac:dyDescent="0.3">
      <c r="B2535" s="40"/>
      <c r="C2535" s="40"/>
    </row>
    <row r="2536" spans="2:3" x14ac:dyDescent="0.3">
      <c r="B2536" s="40"/>
      <c r="C2536" s="40"/>
    </row>
    <row r="2537" spans="2:3" x14ac:dyDescent="0.3">
      <c r="B2537" s="40"/>
      <c r="C2537" s="40"/>
    </row>
    <row r="2538" spans="2:3" x14ac:dyDescent="0.3">
      <c r="B2538" s="40"/>
      <c r="C2538" s="40"/>
    </row>
    <row r="2539" spans="2:3" x14ac:dyDescent="0.3">
      <c r="B2539" s="40"/>
      <c r="C2539" s="40"/>
    </row>
    <row r="2540" spans="2:3" x14ac:dyDescent="0.3">
      <c r="B2540" s="40"/>
      <c r="C2540" s="40"/>
    </row>
    <row r="2541" spans="2:3" x14ac:dyDescent="0.3">
      <c r="B2541" s="40"/>
      <c r="C2541" s="40"/>
    </row>
    <row r="2542" spans="2:3" x14ac:dyDescent="0.3">
      <c r="B2542" s="40"/>
      <c r="C2542" s="40"/>
    </row>
    <row r="2543" spans="2:3" x14ac:dyDescent="0.3">
      <c r="B2543" s="40"/>
      <c r="C2543" s="40"/>
    </row>
    <row r="2544" spans="2:3" x14ac:dyDescent="0.3">
      <c r="B2544" s="40"/>
      <c r="C2544" s="40"/>
    </row>
    <row r="2545" spans="2:3" x14ac:dyDescent="0.3">
      <c r="B2545" s="40"/>
      <c r="C2545" s="40"/>
    </row>
    <row r="2546" spans="2:3" x14ac:dyDescent="0.3">
      <c r="B2546" s="40"/>
      <c r="C2546" s="40"/>
    </row>
    <row r="2547" spans="2:3" x14ac:dyDescent="0.3">
      <c r="B2547" s="40"/>
      <c r="C2547" s="40"/>
    </row>
    <row r="2548" spans="2:3" x14ac:dyDescent="0.3">
      <c r="B2548" s="40"/>
      <c r="C2548" s="40"/>
    </row>
    <row r="2549" spans="2:3" x14ac:dyDescent="0.3">
      <c r="B2549" s="40"/>
      <c r="C2549" s="40"/>
    </row>
    <row r="2550" spans="2:3" x14ac:dyDescent="0.3">
      <c r="B2550" s="40"/>
      <c r="C2550" s="40"/>
    </row>
    <row r="2551" spans="2:3" x14ac:dyDescent="0.3">
      <c r="B2551" s="40"/>
      <c r="C2551" s="40"/>
    </row>
    <row r="2552" spans="2:3" x14ac:dyDescent="0.3">
      <c r="B2552" s="40"/>
      <c r="C2552" s="40"/>
    </row>
    <row r="2553" spans="2:3" x14ac:dyDescent="0.3">
      <c r="B2553" s="40"/>
      <c r="C2553" s="40"/>
    </row>
    <row r="2554" spans="2:3" x14ac:dyDescent="0.3">
      <c r="B2554" s="40"/>
      <c r="C2554" s="40"/>
    </row>
    <row r="2555" spans="2:3" x14ac:dyDescent="0.3">
      <c r="B2555" s="40"/>
      <c r="C2555" s="40"/>
    </row>
    <row r="2556" spans="2:3" x14ac:dyDescent="0.3">
      <c r="B2556" s="40"/>
      <c r="C2556" s="40"/>
    </row>
    <row r="2557" spans="2:3" x14ac:dyDescent="0.3">
      <c r="B2557" s="40"/>
      <c r="C2557" s="40"/>
    </row>
    <row r="2558" spans="2:3" x14ac:dyDescent="0.3">
      <c r="B2558" s="40"/>
      <c r="C2558" s="40"/>
    </row>
    <row r="2559" spans="2:3" x14ac:dyDescent="0.3">
      <c r="B2559" s="40"/>
      <c r="C2559" s="40"/>
    </row>
    <row r="2560" spans="2:3" x14ac:dyDescent="0.3">
      <c r="B2560" s="40"/>
      <c r="C2560" s="40"/>
    </row>
    <row r="2561" spans="2:3" x14ac:dyDescent="0.3">
      <c r="B2561" s="40"/>
      <c r="C2561" s="40"/>
    </row>
    <row r="2562" spans="2:3" x14ac:dyDescent="0.3">
      <c r="B2562" s="40"/>
      <c r="C2562" s="40"/>
    </row>
    <row r="2563" spans="2:3" x14ac:dyDescent="0.3">
      <c r="B2563" s="40"/>
      <c r="C2563" s="40"/>
    </row>
    <row r="2564" spans="2:3" x14ac:dyDescent="0.3">
      <c r="B2564" s="40"/>
      <c r="C2564" s="40"/>
    </row>
    <row r="2565" spans="2:3" x14ac:dyDescent="0.3">
      <c r="B2565" s="40"/>
      <c r="C2565" s="40"/>
    </row>
    <row r="2566" spans="2:3" x14ac:dyDescent="0.3">
      <c r="B2566" s="40"/>
      <c r="C2566" s="40"/>
    </row>
    <row r="2567" spans="2:3" x14ac:dyDescent="0.3">
      <c r="B2567" s="40"/>
      <c r="C2567" s="40"/>
    </row>
    <row r="2568" spans="2:3" x14ac:dyDescent="0.3">
      <c r="B2568" s="40"/>
      <c r="C2568" s="40"/>
    </row>
    <row r="2569" spans="2:3" x14ac:dyDescent="0.3">
      <c r="B2569" s="40"/>
      <c r="C2569" s="40"/>
    </row>
    <row r="2570" spans="2:3" x14ac:dyDescent="0.3">
      <c r="B2570" s="40"/>
      <c r="C2570" s="40"/>
    </row>
    <row r="2571" spans="2:3" x14ac:dyDescent="0.3">
      <c r="B2571" s="40"/>
      <c r="C2571" s="40"/>
    </row>
    <row r="2572" spans="2:3" x14ac:dyDescent="0.3">
      <c r="B2572" s="40"/>
      <c r="C2572" s="40"/>
    </row>
    <row r="2573" spans="2:3" x14ac:dyDescent="0.3">
      <c r="B2573" s="40"/>
      <c r="C2573" s="40"/>
    </row>
    <row r="2574" spans="2:3" x14ac:dyDescent="0.3">
      <c r="B2574" s="40"/>
      <c r="C2574" s="40"/>
    </row>
    <row r="2575" spans="2:3" x14ac:dyDescent="0.3">
      <c r="B2575" s="40"/>
      <c r="C2575" s="40"/>
    </row>
    <row r="2576" spans="2:3" x14ac:dyDescent="0.3">
      <c r="B2576" s="40"/>
      <c r="C2576" s="40"/>
    </row>
    <row r="2577" spans="2:3" x14ac:dyDescent="0.3">
      <c r="B2577" s="40"/>
      <c r="C2577" s="40"/>
    </row>
    <row r="2578" spans="2:3" x14ac:dyDescent="0.3">
      <c r="B2578" s="40"/>
      <c r="C2578" s="40"/>
    </row>
    <row r="2579" spans="2:3" x14ac:dyDescent="0.3">
      <c r="B2579" s="40"/>
      <c r="C2579" s="40"/>
    </row>
    <row r="2580" spans="2:3" x14ac:dyDescent="0.3">
      <c r="B2580" s="40"/>
      <c r="C2580" s="40"/>
    </row>
    <row r="2581" spans="2:3" x14ac:dyDescent="0.3">
      <c r="B2581" s="40"/>
      <c r="C2581" s="40"/>
    </row>
    <row r="2582" spans="2:3" x14ac:dyDescent="0.3">
      <c r="B2582" s="40"/>
      <c r="C2582" s="40"/>
    </row>
    <row r="2583" spans="2:3" x14ac:dyDescent="0.3">
      <c r="B2583" s="40"/>
      <c r="C2583" s="40"/>
    </row>
    <row r="2584" spans="2:3" x14ac:dyDescent="0.3">
      <c r="B2584" s="40"/>
      <c r="C2584" s="40"/>
    </row>
    <row r="2585" spans="2:3" x14ac:dyDescent="0.3">
      <c r="B2585" s="40"/>
      <c r="C2585" s="40"/>
    </row>
    <row r="2586" spans="2:3" x14ac:dyDescent="0.3">
      <c r="B2586" s="40"/>
      <c r="C2586" s="40"/>
    </row>
    <row r="2587" spans="2:3" x14ac:dyDescent="0.3">
      <c r="B2587" s="40"/>
      <c r="C2587" s="40"/>
    </row>
    <row r="2588" spans="2:3" x14ac:dyDescent="0.3">
      <c r="B2588" s="40"/>
      <c r="C2588" s="40"/>
    </row>
    <row r="2589" spans="2:3" x14ac:dyDescent="0.3">
      <c r="B2589" s="40"/>
      <c r="C2589" s="40"/>
    </row>
    <row r="2590" spans="2:3" x14ac:dyDescent="0.3">
      <c r="B2590" s="40"/>
      <c r="C2590" s="40"/>
    </row>
    <row r="2591" spans="2:3" x14ac:dyDescent="0.3">
      <c r="B2591" s="40"/>
      <c r="C2591" s="40"/>
    </row>
    <row r="2592" spans="2:3" x14ac:dyDescent="0.3">
      <c r="B2592" s="40"/>
      <c r="C2592" s="40"/>
    </row>
    <row r="2593" spans="2:3" x14ac:dyDescent="0.3">
      <c r="B2593" s="40"/>
      <c r="C2593" s="40"/>
    </row>
    <row r="2594" spans="2:3" x14ac:dyDescent="0.3">
      <c r="B2594" s="40"/>
      <c r="C2594" s="40"/>
    </row>
    <row r="2595" spans="2:3" x14ac:dyDescent="0.3">
      <c r="B2595" s="40"/>
      <c r="C2595" s="40"/>
    </row>
    <row r="2596" spans="2:3" x14ac:dyDescent="0.3">
      <c r="B2596" s="40"/>
      <c r="C2596" s="40"/>
    </row>
    <row r="2597" spans="2:3" x14ac:dyDescent="0.3">
      <c r="B2597" s="40"/>
      <c r="C2597" s="40"/>
    </row>
    <row r="2598" spans="2:3" x14ac:dyDescent="0.3">
      <c r="B2598" s="40"/>
      <c r="C2598" s="40"/>
    </row>
    <row r="2599" spans="2:3" x14ac:dyDescent="0.3">
      <c r="B2599" s="40"/>
      <c r="C2599" s="40"/>
    </row>
    <row r="2600" spans="2:3" x14ac:dyDescent="0.3">
      <c r="B2600" s="40"/>
      <c r="C2600" s="40"/>
    </row>
    <row r="2601" spans="2:3" x14ac:dyDescent="0.3">
      <c r="B2601" s="40"/>
      <c r="C2601" s="40"/>
    </row>
    <row r="2602" spans="2:3" x14ac:dyDescent="0.3">
      <c r="B2602" s="40"/>
      <c r="C2602" s="40"/>
    </row>
    <row r="2603" spans="2:3" x14ac:dyDescent="0.3">
      <c r="B2603" s="40"/>
      <c r="C2603" s="40"/>
    </row>
    <row r="2604" spans="2:3" x14ac:dyDescent="0.3">
      <c r="B2604" s="40"/>
      <c r="C2604" s="40"/>
    </row>
    <row r="2605" spans="2:3" x14ac:dyDescent="0.3">
      <c r="B2605" s="40"/>
      <c r="C2605" s="40"/>
    </row>
    <row r="2606" spans="2:3" x14ac:dyDescent="0.3">
      <c r="B2606" s="40"/>
      <c r="C2606" s="40"/>
    </row>
    <row r="2607" spans="2:3" x14ac:dyDescent="0.3">
      <c r="B2607" s="40"/>
      <c r="C2607" s="40"/>
    </row>
    <row r="2608" spans="2:3" x14ac:dyDescent="0.3">
      <c r="B2608" s="40"/>
      <c r="C2608" s="40"/>
    </row>
    <row r="2609" spans="2:3" x14ac:dyDescent="0.3">
      <c r="B2609" s="40"/>
      <c r="C2609" s="40"/>
    </row>
    <row r="2610" spans="2:3" x14ac:dyDescent="0.3">
      <c r="B2610" s="40"/>
      <c r="C2610" s="40"/>
    </row>
    <row r="2611" spans="2:3" x14ac:dyDescent="0.3">
      <c r="B2611" s="40"/>
      <c r="C2611" s="40"/>
    </row>
    <row r="2612" spans="2:3" x14ac:dyDescent="0.3">
      <c r="B2612" s="40"/>
      <c r="C2612" s="40"/>
    </row>
    <row r="2613" spans="2:3" x14ac:dyDescent="0.3">
      <c r="B2613" s="40"/>
      <c r="C2613" s="40"/>
    </row>
    <row r="2614" spans="2:3" x14ac:dyDescent="0.3">
      <c r="B2614" s="40"/>
      <c r="C2614" s="40"/>
    </row>
    <row r="2615" spans="2:3" x14ac:dyDescent="0.3">
      <c r="B2615" s="40"/>
      <c r="C2615" s="40"/>
    </row>
    <row r="2616" spans="2:3" x14ac:dyDescent="0.3">
      <c r="B2616" s="40"/>
      <c r="C2616" s="40"/>
    </row>
    <row r="2617" spans="2:3" x14ac:dyDescent="0.3">
      <c r="B2617" s="40"/>
      <c r="C2617" s="40"/>
    </row>
    <row r="2618" spans="2:3" x14ac:dyDescent="0.3">
      <c r="B2618" s="40"/>
      <c r="C2618" s="40"/>
    </row>
    <row r="2619" spans="2:3" x14ac:dyDescent="0.3">
      <c r="B2619" s="40"/>
      <c r="C2619" s="40"/>
    </row>
    <row r="2620" spans="2:3" x14ac:dyDescent="0.3">
      <c r="B2620" s="40"/>
      <c r="C2620" s="40"/>
    </row>
    <row r="2621" spans="2:3" x14ac:dyDescent="0.3">
      <c r="B2621" s="40"/>
      <c r="C2621" s="40"/>
    </row>
    <row r="2622" spans="2:3" x14ac:dyDescent="0.3">
      <c r="B2622" s="40"/>
      <c r="C2622" s="40"/>
    </row>
    <row r="2623" spans="2:3" x14ac:dyDescent="0.3">
      <c r="B2623" s="40"/>
      <c r="C2623" s="40"/>
    </row>
    <row r="2624" spans="2:3" x14ac:dyDescent="0.3">
      <c r="B2624" s="40"/>
      <c r="C2624" s="40"/>
    </row>
    <row r="2625" spans="2:3" x14ac:dyDescent="0.3">
      <c r="B2625" s="40"/>
      <c r="C2625" s="40"/>
    </row>
    <row r="2626" spans="2:3" x14ac:dyDescent="0.3">
      <c r="B2626" s="40"/>
      <c r="C2626" s="40"/>
    </row>
    <row r="2627" spans="2:3" x14ac:dyDescent="0.3">
      <c r="B2627" s="40"/>
      <c r="C2627" s="40"/>
    </row>
    <row r="2628" spans="2:3" x14ac:dyDescent="0.3">
      <c r="B2628" s="40"/>
      <c r="C2628" s="40"/>
    </row>
    <row r="2629" spans="2:3" x14ac:dyDescent="0.3">
      <c r="B2629" s="40"/>
      <c r="C2629" s="40"/>
    </row>
    <row r="2630" spans="2:3" x14ac:dyDescent="0.3">
      <c r="B2630" s="40"/>
      <c r="C2630" s="40"/>
    </row>
    <row r="2631" spans="2:3" x14ac:dyDescent="0.3">
      <c r="B2631" s="40"/>
      <c r="C2631" s="40"/>
    </row>
    <row r="2632" spans="2:3" x14ac:dyDescent="0.3">
      <c r="B2632" s="40"/>
      <c r="C2632" s="40"/>
    </row>
    <row r="2633" spans="2:3" x14ac:dyDescent="0.3">
      <c r="B2633" s="40"/>
      <c r="C2633" s="40"/>
    </row>
    <row r="2634" spans="2:3" x14ac:dyDescent="0.3">
      <c r="B2634" s="40"/>
      <c r="C2634" s="40"/>
    </row>
    <row r="2635" spans="2:3" x14ac:dyDescent="0.3">
      <c r="B2635" s="40"/>
      <c r="C2635" s="40"/>
    </row>
    <row r="2636" spans="2:3" x14ac:dyDescent="0.3">
      <c r="B2636" s="40"/>
      <c r="C2636" s="40"/>
    </row>
    <row r="2637" spans="2:3" x14ac:dyDescent="0.3">
      <c r="B2637" s="40"/>
      <c r="C2637" s="40"/>
    </row>
    <row r="2638" spans="2:3" x14ac:dyDescent="0.3">
      <c r="B2638" s="40"/>
      <c r="C2638" s="40"/>
    </row>
    <row r="2639" spans="2:3" x14ac:dyDescent="0.3">
      <c r="B2639" s="40"/>
      <c r="C2639" s="40"/>
    </row>
    <row r="2640" spans="2:3" x14ac:dyDescent="0.3">
      <c r="B2640" s="40"/>
      <c r="C2640" s="40"/>
    </row>
    <row r="2641" spans="2:3" x14ac:dyDescent="0.3">
      <c r="B2641" s="40"/>
      <c r="C2641" s="40"/>
    </row>
    <row r="2642" spans="2:3" x14ac:dyDescent="0.3">
      <c r="B2642" s="40"/>
      <c r="C2642" s="40"/>
    </row>
    <row r="2643" spans="2:3" x14ac:dyDescent="0.3">
      <c r="B2643" s="40"/>
      <c r="C2643" s="40"/>
    </row>
    <row r="2644" spans="2:3" x14ac:dyDescent="0.3">
      <c r="B2644" s="40"/>
      <c r="C2644" s="40"/>
    </row>
    <row r="2645" spans="2:3" x14ac:dyDescent="0.3">
      <c r="B2645" s="40"/>
      <c r="C2645" s="40"/>
    </row>
    <row r="2646" spans="2:3" x14ac:dyDescent="0.3">
      <c r="B2646" s="40"/>
      <c r="C2646" s="40"/>
    </row>
    <row r="2647" spans="2:3" x14ac:dyDescent="0.3">
      <c r="B2647" s="40"/>
      <c r="C2647" s="40"/>
    </row>
    <row r="2648" spans="2:3" x14ac:dyDescent="0.3">
      <c r="B2648" s="40"/>
      <c r="C2648" s="40"/>
    </row>
    <row r="2649" spans="2:3" x14ac:dyDescent="0.3">
      <c r="B2649" s="40"/>
      <c r="C2649" s="40"/>
    </row>
    <row r="2650" spans="2:3" x14ac:dyDescent="0.3">
      <c r="B2650" s="40"/>
      <c r="C2650" s="40"/>
    </row>
    <row r="2651" spans="2:3" x14ac:dyDescent="0.3">
      <c r="B2651" s="40"/>
      <c r="C2651" s="40"/>
    </row>
    <row r="2652" spans="2:3" x14ac:dyDescent="0.3">
      <c r="B2652" s="40"/>
      <c r="C2652" s="40"/>
    </row>
    <row r="2653" spans="2:3" x14ac:dyDescent="0.3">
      <c r="B2653" s="40"/>
      <c r="C2653" s="40"/>
    </row>
    <row r="2654" spans="2:3" x14ac:dyDescent="0.3">
      <c r="B2654" s="40"/>
      <c r="C2654" s="40"/>
    </row>
    <row r="2655" spans="2:3" x14ac:dyDescent="0.3">
      <c r="B2655" s="40"/>
      <c r="C2655" s="40"/>
    </row>
    <row r="2656" spans="2:3" x14ac:dyDescent="0.3">
      <c r="B2656" s="40"/>
      <c r="C2656" s="40"/>
    </row>
    <row r="2657" spans="2:3" x14ac:dyDescent="0.3">
      <c r="B2657" s="40"/>
      <c r="C2657" s="40"/>
    </row>
    <row r="2658" spans="2:3" x14ac:dyDescent="0.3">
      <c r="B2658" s="40"/>
      <c r="C2658" s="40"/>
    </row>
    <row r="2659" spans="2:3" x14ac:dyDescent="0.3">
      <c r="B2659" s="40"/>
      <c r="C2659" s="40"/>
    </row>
    <row r="2660" spans="2:3" x14ac:dyDescent="0.3">
      <c r="B2660" s="40"/>
      <c r="C2660" s="40"/>
    </row>
    <row r="2661" spans="2:3" x14ac:dyDescent="0.3">
      <c r="B2661" s="40"/>
      <c r="C2661" s="40"/>
    </row>
    <row r="2662" spans="2:3" x14ac:dyDescent="0.3">
      <c r="B2662" s="40"/>
      <c r="C2662" s="40"/>
    </row>
    <row r="2663" spans="2:3" x14ac:dyDescent="0.3">
      <c r="B2663" s="40"/>
      <c r="C2663" s="40"/>
    </row>
  </sheetData>
  <autoFilter ref="Q3:U221" xr:uid="{1530A48C-DB3D-46B4-ADF4-090ABC5A636A}"/>
  <phoneticPr fontId="3" type="noConversion"/>
  <conditionalFormatting sqref="J1:J244 J246:J247 J250:J1048576">
    <cfRule type="duplicateValues" dxfId="2" priority="3"/>
  </conditionalFormatting>
  <conditionalFormatting sqref="J245">
    <cfRule type="duplicateValues" dxfId="1" priority="2"/>
  </conditionalFormatting>
  <conditionalFormatting sqref="J248:J249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7855ed-ccf9-4be3-9042-57cd6cfa1dab" xsi:nil="true"/>
    <lcf76f155ced4ddcb4097134ff3c332f xmlns="30f0b3ed-098e-4de4-943a-db87b1f8a0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8B8BE252D44324780174F1FF5FA4503" ma:contentTypeVersion="16" ma:contentTypeDescription="새 문서를 만듭니다." ma:contentTypeScope="" ma:versionID="fb71e4a3d3a6ee97be94b4615a2db167">
  <xsd:schema xmlns:xsd="http://www.w3.org/2001/XMLSchema" xmlns:xs="http://www.w3.org/2001/XMLSchema" xmlns:p="http://schemas.microsoft.com/office/2006/metadata/properties" xmlns:ns2="30f0b3ed-098e-4de4-943a-db87b1f8a003" xmlns:ns3="3f7855ed-ccf9-4be3-9042-57cd6cfa1dab" targetNamespace="http://schemas.microsoft.com/office/2006/metadata/properties" ma:root="true" ma:fieldsID="bbc59faafcac7ab89a317dee204da92d" ns2:_="" ns3:_="">
    <xsd:import namespace="30f0b3ed-098e-4de4-943a-db87b1f8a003"/>
    <xsd:import namespace="3f7855ed-ccf9-4be3-9042-57cd6cfa1d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f0b3ed-098e-4de4-943a-db87b1f8a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f910dd0-6eb5-4878-af57-21ffa4d0e6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855ed-ccf9-4be3-9042-57cd6cfa1da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a4bbfb9-cfde-41e7-9496-6a2130fd283f}" ma:internalName="TaxCatchAll" ma:showField="CatchAllData" ma:web="3f7855ed-ccf9-4be3-9042-57cd6cfa1d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9CABB5-9B17-4957-A6B9-BD54CE9DD08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CF2960-0C16-421D-9EE4-1C68D288ED9C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855ed-ccf9-4be3-9042-57cd6cfa1dab"/>
    <ds:schemaRef ds:uri="http://purl.org/dc/terms/"/>
    <ds:schemaRef ds:uri="30f0b3ed-098e-4de4-943a-db87b1f8a00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6661ACD-DECD-448A-8E70-EBE2BFACDE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f0b3ed-098e-4de4-943a-db87b1f8a003"/>
    <ds:schemaRef ds:uri="3f7855ed-ccf9-4be3-9042-57cd6cfa1d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</vt:i4>
      </vt:variant>
    </vt:vector>
  </HeadingPairs>
  <TitlesOfParts>
    <vt:vector size="12" baseType="lpstr">
      <vt:lpstr>요약</vt:lpstr>
      <vt:lpstr>일자별</vt:lpstr>
      <vt:lpstr>단체(당년)</vt:lpstr>
      <vt:lpstr>단체(전년-동일자)</vt:lpstr>
      <vt:lpstr>단체(전년)</vt:lpstr>
      <vt:lpstr>단체(전년마감)</vt:lpstr>
      <vt:lpstr>당년</vt:lpstr>
      <vt:lpstr>전년</vt:lpstr>
      <vt:lpstr>RF(당년)</vt:lpstr>
      <vt:lpstr>RF(전년)</vt:lpstr>
      <vt:lpstr>매장구분</vt:lpstr>
      <vt:lpstr>일자별!Print_Area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(이성욱) F/KR/ML/MD/SS/SS1</dc:creator>
  <cp:keywords/>
  <dc:description/>
  <cp:lastModifiedBy>longyi(이용의) F/KR/ML/MD/SS/RC/FR</cp:lastModifiedBy>
  <cp:revision/>
  <dcterms:created xsi:type="dcterms:W3CDTF">2025-06-09T23:33:37Z</dcterms:created>
  <dcterms:modified xsi:type="dcterms:W3CDTF">2025-11-23T23:19:12Z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0x01010048B8BE252D44324780174F1FF5FA4503</vt:lpwstr>
  </property>
  <property fmtid="{D5CDD505-2E9C-101B-9397-08002B2CF9AE}" pid="3" name="MediaServiceImageTags">
    <vt:lpwstr/>
  </property>
</Properties>
</file>